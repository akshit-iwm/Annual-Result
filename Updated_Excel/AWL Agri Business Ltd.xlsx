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7C6D169-2CC1-46A9-8339-9CB327DA3AF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2" i="1" l="1"/>
  <c r="CL16" i="1"/>
  <c r="CL15" i="1"/>
  <c r="CL14" i="1"/>
  <c r="CL11" i="1"/>
  <c r="CL10" i="1"/>
  <c r="CL9" i="1"/>
  <c r="CL26" i="1"/>
  <c r="CL25" i="1"/>
  <c r="CL24" i="1"/>
  <c r="CL262" i="1" l="1"/>
  <c r="CK24" i="1"/>
  <c r="CK25" i="1"/>
  <c r="CK26" i="1"/>
  <c r="CK14" i="1"/>
  <c r="CK15" i="1"/>
  <c r="CK16" i="1"/>
  <c r="CJ9" i="1"/>
  <c r="CK9" i="1"/>
  <c r="CJ10" i="1"/>
  <c r="CK10" i="1"/>
  <c r="CJ11" i="1"/>
  <c r="CK11" i="1"/>
  <c r="Z5" i="1"/>
  <c r="Z4" i="1"/>
  <c r="Z3" i="1"/>
  <c r="Z20" i="1"/>
  <c r="Z21" i="1"/>
  <c r="Y20" i="1"/>
  <c r="Y21" i="1"/>
  <c r="Y16" i="1" s="1"/>
  <c r="Y19" i="1"/>
  <c r="Y14" i="1" s="1"/>
  <c r="X20" i="1"/>
  <c r="X15" i="1" s="1"/>
  <c r="X21" i="1"/>
  <c r="X16" i="1" s="1"/>
  <c r="Z19" i="1"/>
  <c r="X19" i="1"/>
  <c r="X14" i="1" s="1"/>
  <c r="CH26" i="1"/>
  <c r="CG26" i="1"/>
  <c r="CF26" i="1"/>
  <c r="CE26" i="1"/>
  <c r="CD26" i="1"/>
  <c r="CC26" i="1"/>
  <c r="CB26" i="1"/>
  <c r="CA26" i="1"/>
  <c r="BZ26" i="1"/>
  <c r="CH25" i="1"/>
  <c r="CG25" i="1"/>
  <c r="CF25" i="1"/>
  <c r="CE25" i="1"/>
  <c r="CD25" i="1"/>
  <c r="CC25" i="1"/>
  <c r="CB25" i="1"/>
  <c r="CA25" i="1"/>
  <c r="BZ25" i="1"/>
  <c r="CH24" i="1"/>
  <c r="CG24" i="1"/>
  <c r="CF24" i="1"/>
  <c r="CE24" i="1"/>
  <c r="CD24" i="1"/>
  <c r="CC24" i="1"/>
  <c r="CB24" i="1"/>
  <c r="CA24" i="1"/>
  <c r="BZ24" i="1"/>
  <c r="CI25" i="1"/>
  <c r="CI26" i="1"/>
  <c r="CI24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CI15" i="1"/>
  <c r="CM15" i="1" s="1"/>
  <c r="CQ15" i="1" s="1"/>
  <c r="CI16" i="1"/>
  <c r="CM16" i="1" s="1"/>
  <c r="CQ16" i="1" s="1"/>
  <c r="CU16" i="1" s="1"/>
  <c r="CY16" i="1" s="1"/>
  <c r="CI14" i="1"/>
  <c r="CM14" i="1" s="1"/>
  <c r="CQ14" i="1" s="1"/>
  <c r="CU14" i="1" s="1"/>
  <c r="CH11" i="1"/>
  <c r="CG11" i="1"/>
  <c r="CF11" i="1"/>
  <c r="CE11" i="1"/>
  <c r="CD11" i="1"/>
  <c r="CC11" i="1"/>
  <c r="CB11" i="1"/>
  <c r="CA11" i="1"/>
  <c r="BZ11" i="1"/>
  <c r="BY11" i="1"/>
  <c r="BX11" i="1"/>
  <c r="CH10" i="1"/>
  <c r="CG10" i="1"/>
  <c r="CF10" i="1"/>
  <c r="CE10" i="1"/>
  <c r="CD10" i="1"/>
  <c r="CC10" i="1"/>
  <c r="CB10" i="1"/>
  <c r="CA10" i="1"/>
  <c r="BZ10" i="1"/>
  <c r="BY10" i="1"/>
  <c r="BX10" i="1"/>
  <c r="CH9" i="1"/>
  <c r="CG9" i="1"/>
  <c r="CF9" i="1"/>
  <c r="CE9" i="1"/>
  <c r="CD9" i="1"/>
  <c r="CC9" i="1"/>
  <c r="CB9" i="1"/>
  <c r="CA9" i="1"/>
  <c r="BZ9" i="1"/>
  <c r="BY9" i="1"/>
  <c r="BX9" i="1"/>
  <c r="CI10" i="1"/>
  <c r="CI11" i="1"/>
  <c r="CI9" i="1"/>
  <c r="Y9" i="1"/>
  <c r="Y10" i="1"/>
  <c r="Y11" i="1"/>
  <c r="Y6" i="1"/>
  <c r="X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9" i="1"/>
  <c r="AB32" i="1"/>
  <c r="AC32" i="1"/>
  <c r="AD32" i="1"/>
  <c r="AE32" i="1"/>
  <c r="AB45" i="1"/>
  <c r="AC45" i="1"/>
  <c r="AD45" i="1"/>
  <c r="AE45" i="1"/>
  <c r="AE44" i="1"/>
  <c r="AD44" i="1"/>
  <c r="AC44" i="1"/>
  <c r="AB44" i="1"/>
  <c r="AJ232" i="1"/>
  <c r="AB50" i="2"/>
  <c r="AB49" i="2"/>
  <c r="AA186" i="1" s="1"/>
  <c r="AB20" i="2"/>
  <c r="AD35" i="2"/>
  <c r="AB74" i="2"/>
  <c r="AC18" i="2"/>
  <c r="AB72" i="2"/>
  <c r="AA165" i="1" s="1"/>
  <c r="AF23" i="2"/>
  <c r="AE55" i="2"/>
  <c r="AB95" i="2"/>
  <c r="AA194" i="1" s="1"/>
  <c r="AC75" i="2"/>
  <c r="AE67" i="2"/>
  <c r="AD33" i="2"/>
  <c r="AD8" i="2"/>
  <c r="AC29" i="2"/>
  <c r="AB52" i="2"/>
  <c r="AA174" i="1" s="1"/>
  <c r="AB53" i="2"/>
  <c r="AB28" i="2"/>
  <c r="AD46" i="2"/>
  <c r="AB78" i="2"/>
  <c r="AA183" i="1" s="1"/>
  <c r="AD66" i="2"/>
  <c r="AE92" i="2"/>
  <c r="AF25" i="2"/>
  <c r="AC58" i="2"/>
  <c r="AB97" i="2"/>
  <c r="AE78" i="2"/>
  <c r="AC96" i="2"/>
  <c r="AD63" i="2"/>
  <c r="AC47" i="2"/>
  <c r="AE27" i="2"/>
  <c r="AB22" i="2"/>
  <c r="AB66" i="2"/>
  <c r="AF85" i="2"/>
  <c r="AD26" i="2"/>
  <c r="AD5" i="2"/>
  <c r="AF97" i="2"/>
  <c r="AC110" i="2"/>
  <c r="AB84" i="2"/>
  <c r="AB82" i="2"/>
  <c r="AD109" i="2"/>
  <c r="AF54" i="2"/>
  <c r="AB59" i="2"/>
  <c r="AE5" i="2"/>
  <c r="AE59" i="2"/>
  <c r="AF104" i="2"/>
  <c r="AE82" i="2"/>
  <c r="AD105" i="2"/>
  <c r="AC71" i="2"/>
  <c r="AF29" i="2"/>
  <c r="AB85" i="2"/>
  <c r="AA193" i="1" s="1"/>
  <c r="AC84" i="2"/>
  <c r="AD36" i="2"/>
  <c r="AD25" i="2"/>
  <c r="AC6" i="2"/>
  <c r="AB47" i="2"/>
  <c r="AA147" i="1" s="1"/>
  <c r="AE7" i="2"/>
  <c r="AB21" i="2"/>
  <c r="AE51" i="2"/>
  <c r="AF12" i="2"/>
  <c r="AE84" i="2"/>
  <c r="AE87" i="2"/>
  <c r="AE13" i="2"/>
  <c r="AB69" i="2"/>
  <c r="AC52" i="2"/>
  <c r="AE106" i="2"/>
  <c r="AD78" i="2"/>
  <c r="AC68" i="2"/>
  <c r="AD23" i="2"/>
  <c r="AF71" i="2"/>
  <c r="AD32" i="2"/>
  <c r="AB9" i="2"/>
  <c r="AD80" i="2"/>
  <c r="AF90" i="2"/>
  <c r="AE77" i="2"/>
  <c r="AF52" i="2"/>
  <c r="AE75" i="2"/>
  <c r="AD14" i="2"/>
  <c r="AD56" i="2"/>
  <c r="AB19" i="2"/>
  <c r="AE34" i="2"/>
  <c r="AE19" i="2"/>
  <c r="AF83" i="2"/>
  <c r="AB80" i="2"/>
  <c r="AA170" i="1" s="1"/>
  <c r="AF82" i="2"/>
  <c r="AC34" i="2"/>
  <c r="AF67" i="2"/>
  <c r="AD27" i="2"/>
  <c r="AB48" i="2"/>
  <c r="AA148" i="1" s="1"/>
  <c r="AB93" i="2"/>
  <c r="AA195" i="1" s="1"/>
  <c r="AC30" i="2"/>
  <c r="AF28" i="2"/>
  <c r="AD12" i="2"/>
  <c r="AF91" i="2"/>
  <c r="AC62" i="2"/>
  <c r="AE12" i="2"/>
  <c r="AF21" i="2"/>
  <c r="AD13" i="2"/>
  <c r="AB14" i="2"/>
  <c r="AA43" i="1" s="1"/>
  <c r="AE28" i="2"/>
  <c r="AD108" i="2"/>
  <c r="AB64" i="2"/>
  <c r="AA156" i="1" s="1"/>
  <c r="AB81" i="2"/>
  <c r="AC106" i="2"/>
  <c r="AC9" i="2"/>
  <c r="AF24" i="2"/>
  <c r="AF99" i="2"/>
  <c r="AC13" i="2"/>
  <c r="AF61" i="2"/>
  <c r="AB42" i="2"/>
  <c r="AA141" i="1" s="1"/>
  <c r="AC107" i="2"/>
  <c r="AC36" i="2"/>
  <c r="AD59" i="2"/>
  <c r="AE15" i="2"/>
  <c r="AB87" i="2"/>
  <c r="AA149" i="1" s="1"/>
  <c r="AD17" i="2"/>
  <c r="AB44" i="2"/>
  <c r="AD11" i="2"/>
  <c r="AB6" i="2"/>
  <c r="AA31" i="1" s="1"/>
  <c r="AB89" i="2"/>
  <c r="AC72" i="2"/>
  <c r="AD97" i="2"/>
  <c r="AF69" i="2"/>
  <c r="AD18" i="2"/>
  <c r="AC76" i="2"/>
  <c r="AE54" i="2"/>
  <c r="AF84" i="2"/>
  <c r="AC59" i="2"/>
  <c r="AC51" i="2"/>
  <c r="AF45" i="2"/>
  <c r="AE83" i="2"/>
  <c r="AB13" i="2"/>
  <c r="AA47" i="1" s="1"/>
  <c r="AC25" i="2"/>
  <c r="AF77" i="2"/>
  <c r="AB58" i="2"/>
  <c r="AD62" i="2"/>
  <c r="AB55" i="2"/>
  <c r="AD65" i="2"/>
  <c r="AB90" i="2"/>
  <c r="AC45" i="2"/>
  <c r="AB88" i="2"/>
  <c r="AF31" i="2"/>
  <c r="AF16" i="2"/>
  <c r="AB107" i="2"/>
  <c r="AA101" i="1" s="1"/>
  <c r="AC87" i="2"/>
  <c r="AE91" i="2"/>
  <c r="AD52" i="2"/>
  <c r="AD16" i="2"/>
  <c r="AC44" i="2"/>
  <c r="AE6" i="2"/>
  <c r="AD64" i="2"/>
  <c r="AB60" i="2"/>
  <c r="AC28" i="2"/>
  <c r="AB94" i="2"/>
  <c r="AD74" i="2"/>
  <c r="AF78" i="2"/>
  <c r="AF33" i="2"/>
  <c r="AF20" i="2"/>
  <c r="AB109" i="2"/>
  <c r="AE90" i="2"/>
  <c r="AC60" i="2"/>
  <c r="AE25" i="2"/>
  <c r="AB76" i="2"/>
  <c r="AA167" i="1" s="1"/>
  <c r="AE81" i="2"/>
  <c r="AB41" i="2"/>
  <c r="AA140" i="1" s="1"/>
  <c r="AC43" i="2"/>
  <c r="AF18" i="2"/>
  <c r="AD34" i="2"/>
  <c r="AD21" i="2"/>
  <c r="AF109" i="2"/>
  <c r="AF108" i="2"/>
  <c r="AD93" i="2"/>
  <c r="AB98" i="2"/>
  <c r="AE93" i="2"/>
  <c r="AE10" i="2"/>
  <c r="AB67" i="2"/>
  <c r="AA160" i="1" s="1"/>
  <c r="AE29" i="2"/>
  <c r="AD79" i="2"/>
  <c r="AE46" i="2"/>
  <c r="AC95" i="2"/>
  <c r="AC86" i="2"/>
  <c r="AE98" i="2"/>
  <c r="AF40" i="2"/>
  <c r="AB105" i="2"/>
  <c r="AC20" i="2"/>
  <c r="AD47" i="2"/>
  <c r="AD44" i="2"/>
  <c r="AB24" i="2"/>
  <c r="AE33" i="2"/>
  <c r="AB86" i="2"/>
  <c r="AA158" i="1" s="1"/>
  <c r="AB29" i="2"/>
  <c r="AA70" i="1" s="1"/>
  <c r="AB10" i="2"/>
  <c r="AC99" i="2"/>
  <c r="AB7" i="2"/>
  <c r="AA32" i="1" s="1"/>
  <c r="AC41" i="2"/>
  <c r="AC70" i="2"/>
  <c r="AF50" i="2"/>
  <c r="AF41" i="2"/>
  <c r="AE30" i="2"/>
  <c r="AD90" i="2"/>
  <c r="AF55" i="2"/>
  <c r="AF96" i="2"/>
  <c r="AB11" i="2"/>
  <c r="AA36" i="1" s="1"/>
  <c r="AD53" i="2"/>
  <c r="AC26" i="2"/>
  <c r="AF72" i="2"/>
  <c r="AB83" i="2"/>
  <c r="AA187" i="1" s="1"/>
  <c r="AD6" i="2"/>
  <c r="AC32" i="2"/>
  <c r="AB45" i="2"/>
  <c r="AA145" i="1" s="1"/>
  <c r="AD57" i="2"/>
  <c r="AB15" i="2"/>
  <c r="AA46" i="1" s="1"/>
  <c r="AD86" i="2"/>
  <c r="AF106" i="2"/>
  <c r="AE88" i="2"/>
  <c r="AF58" i="2"/>
  <c r="AC12" i="2"/>
  <c r="AF87" i="2"/>
  <c r="AB17" i="2"/>
  <c r="AA44" i="1" s="1"/>
  <c r="AD88" i="2"/>
  <c r="AF110" i="2"/>
  <c r="AD110" i="2"/>
  <c r="AC7" i="2"/>
  <c r="AF62" i="2"/>
  <c r="AC24" i="2"/>
  <c r="AE99" i="2"/>
  <c r="AB36" i="2"/>
  <c r="AD89" i="2"/>
  <c r="AF65" i="2"/>
  <c r="AE14" i="2"/>
  <c r="AC90" i="2"/>
  <c r="AE49" i="2"/>
  <c r="AC81" i="2"/>
  <c r="AF10" i="2"/>
  <c r="AD92" i="2"/>
  <c r="AC40" i="2"/>
  <c r="AB32" i="2"/>
  <c r="AA68" i="1" s="1"/>
  <c r="AF75" i="2"/>
  <c r="AF66" i="2"/>
  <c r="AB56" i="2"/>
  <c r="AA150" i="1" s="1"/>
  <c r="AE26" i="2"/>
  <c r="AB23" i="2"/>
  <c r="AA58" i="1" s="1"/>
  <c r="AD94" i="2"/>
  <c r="AE61" i="2"/>
  <c r="AB8" i="2"/>
  <c r="AE16" i="2"/>
  <c r="AE17" i="2"/>
  <c r="AE73" i="2"/>
  <c r="AD51" i="2"/>
  <c r="AE57" i="2"/>
  <c r="AC77" i="2"/>
  <c r="AC21" i="2"/>
  <c r="AE69" i="2"/>
  <c r="AB73" i="2"/>
  <c r="AA166" i="1" s="1"/>
  <c r="AD75" i="2"/>
  <c r="AC91" i="2"/>
  <c r="AB46" i="2"/>
  <c r="AD29" i="2"/>
  <c r="AE20" i="2"/>
  <c r="AD54" i="2"/>
  <c r="AB54" i="2"/>
  <c r="AA176" i="1" s="1"/>
  <c r="AF27" i="2"/>
  <c r="AB99" i="2"/>
  <c r="AE107" i="2"/>
  <c r="AB12" i="2"/>
  <c r="AA38" i="1" s="1"/>
  <c r="AF98" i="2"/>
  <c r="AE53" i="2"/>
  <c r="AD106" i="2"/>
  <c r="AE86" i="2"/>
  <c r="AF107" i="2"/>
  <c r="AF7" i="2"/>
  <c r="AB79" i="2"/>
  <c r="AA169" i="1" s="1"/>
  <c r="AD87" i="2"/>
  <c r="AC5" i="2"/>
  <c r="AB18" i="2"/>
  <c r="AA48" i="1" s="1"/>
  <c r="AC89" i="2"/>
  <c r="AE95" i="2"/>
  <c r="AF9" i="2"/>
  <c r="AC49" i="2"/>
  <c r="AD81" i="2"/>
  <c r="AD48" i="2"/>
  <c r="AE32" i="2"/>
  <c r="AF81" i="2"/>
  <c r="AF94" i="2"/>
  <c r="AC93" i="2"/>
  <c r="AF35" i="2"/>
  <c r="AF22" i="2"/>
  <c r="AC57" i="2"/>
  <c r="AD69" i="2"/>
  <c r="AE89" i="2"/>
  <c r="AD99" i="2"/>
  <c r="AC50" i="2"/>
  <c r="AE35" i="2"/>
  <c r="AE24" i="2"/>
  <c r="AE40" i="2"/>
  <c r="AE96" i="2"/>
  <c r="AE43" i="2"/>
  <c r="AD107" i="2"/>
  <c r="AF26" i="2"/>
  <c r="AB34" i="2"/>
  <c r="AE58" i="2"/>
  <c r="AF17" i="2"/>
  <c r="AF34" i="2"/>
  <c r="AC33" i="2"/>
  <c r="AE47" i="2"/>
  <c r="AC85" i="2"/>
  <c r="AF46" i="2"/>
  <c r="AD42" i="2"/>
  <c r="AD85" i="2"/>
  <c r="AB61" i="2"/>
  <c r="AD9" i="2"/>
  <c r="AE60" i="2"/>
  <c r="AC15" i="2"/>
  <c r="AD70" i="2"/>
  <c r="AC14" i="2"/>
  <c r="AF70" i="2"/>
  <c r="AB110" i="2"/>
  <c r="AA90" i="1" s="1"/>
  <c r="AE64" i="2"/>
  <c r="AB108" i="2"/>
  <c r="AA102" i="1" s="1"/>
  <c r="AF42" i="2"/>
  <c r="AF32" i="2"/>
  <c r="AC97" i="2"/>
  <c r="AE110" i="2"/>
  <c r="AE42" i="2"/>
  <c r="AF63" i="2"/>
  <c r="AD24" i="2"/>
  <c r="AC56" i="2"/>
  <c r="AE18" i="2"/>
  <c r="AD72" i="2"/>
  <c r="AE21" i="2"/>
  <c r="AF74" i="2"/>
  <c r="AE11" i="2"/>
  <c r="AD82" i="2"/>
  <c r="AF93" i="2"/>
  <c r="AF44" i="2"/>
  <c r="AF36" i="2"/>
  <c r="AE108" i="2"/>
  <c r="AF14" i="2"/>
  <c r="AF80" i="2"/>
  <c r="AE52" i="2"/>
  <c r="AB92" i="2"/>
  <c r="AE109" i="2"/>
  <c r="AB57" i="2"/>
  <c r="AA178" i="1" s="1"/>
  <c r="AC66" i="2"/>
  <c r="AC61" i="2"/>
  <c r="AD45" i="2"/>
  <c r="AD40" i="2"/>
  <c r="AC109" i="2"/>
  <c r="AD22" i="2"/>
  <c r="AC98" i="2"/>
  <c r="AC82" i="2"/>
  <c r="AD77" i="2"/>
  <c r="AE22" i="2"/>
  <c r="AB75" i="2"/>
  <c r="AA182" i="1" s="1"/>
  <c r="AE56" i="2"/>
  <c r="AD95" i="2"/>
  <c r="AE85" i="2"/>
  <c r="AF60" i="2"/>
  <c r="AD68" i="2"/>
  <c r="AD61" i="2"/>
  <c r="AF48" i="2"/>
  <c r="AD50" i="2"/>
  <c r="AF88" i="2"/>
  <c r="AD55" i="2"/>
  <c r="AF59" i="2"/>
  <c r="AC64" i="2"/>
  <c r="AC83" i="2"/>
  <c r="AE65" i="2"/>
  <c r="AB40" i="2"/>
  <c r="AB26" i="2"/>
  <c r="AB77" i="2"/>
  <c r="AA168" i="1" s="1"/>
  <c r="AF30" i="2"/>
  <c r="AD30" i="2"/>
  <c r="AE23" i="2"/>
  <c r="AC27" i="2"/>
  <c r="AF86" i="2"/>
  <c r="AE76" i="2"/>
  <c r="AF51" i="2"/>
  <c r="AF76" i="2"/>
  <c r="AE48" i="2"/>
  <c r="AF53" i="2"/>
  <c r="AD31" i="2"/>
  <c r="AF49" i="2"/>
  <c r="AC67" i="2"/>
  <c r="AD98" i="2"/>
  <c r="AB68" i="2"/>
  <c r="AA159" i="1" s="1"/>
  <c r="AD41" i="2"/>
  <c r="AF11" i="2"/>
  <c r="AC69" i="2"/>
  <c r="AD84" i="2"/>
  <c r="AF56" i="2"/>
  <c r="AC11" i="2"/>
  <c r="AF5" i="2"/>
  <c r="AD67" i="2"/>
  <c r="AC42" i="2"/>
  <c r="AE62" i="2"/>
  <c r="AC94" i="2"/>
  <c r="AC92" i="2"/>
  <c r="AB63" i="2"/>
  <c r="AA155" i="1" s="1"/>
  <c r="AD58" i="2"/>
  <c r="AF92" i="2"/>
  <c r="AD43" i="2"/>
  <c r="AE45" i="2"/>
  <c r="AC65" i="2"/>
  <c r="AE105" i="2"/>
  <c r="AC73" i="2"/>
  <c r="AB65" i="2"/>
  <c r="AE31" i="2"/>
  <c r="AC79" i="2"/>
  <c r="AB35" i="2"/>
  <c r="AA74" i="1" s="1"/>
  <c r="AE41" i="2"/>
  <c r="AE8" i="2"/>
  <c r="AE80" i="2"/>
  <c r="AB27" i="2"/>
  <c r="AA55" i="1" s="1"/>
  <c r="AF19" i="2"/>
  <c r="AB91" i="2"/>
  <c r="AE79" i="2"/>
  <c r="AB96" i="2"/>
  <c r="AB70" i="2"/>
  <c r="AE72" i="2"/>
  <c r="AC23" i="2"/>
  <c r="AC108" i="2"/>
  <c r="AD73" i="2"/>
  <c r="AD60" i="2"/>
  <c r="AD83" i="2"/>
  <c r="AC54" i="2"/>
  <c r="AE74" i="2"/>
  <c r="AF79" i="2"/>
  <c r="AC8" i="2"/>
  <c r="AB71" i="2"/>
  <c r="AA163" i="1" s="1"/>
  <c r="AD71" i="2"/>
  <c r="AF95" i="2"/>
  <c r="AB25" i="2"/>
  <c r="AA59" i="1" s="1"/>
  <c r="AD96" i="2"/>
  <c r="AE71" i="2"/>
  <c r="AF6" i="2"/>
  <c r="AC19" i="2"/>
  <c r="AC22" i="2"/>
  <c r="AC78" i="2"/>
  <c r="AE63" i="2"/>
  <c r="AC53" i="2"/>
  <c r="AC55" i="2"/>
  <c r="AF73" i="2"/>
  <c r="AF105" i="2"/>
  <c r="AD49" i="2"/>
  <c r="AF8" i="2"/>
  <c r="AE94" i="2"/>
  <c r="AC80" i="2"/>
  <c r="AB106" i="2"/>
  <c r="AA100" i="1" s="1"/>
  <c r="AB62" i="2"/>
  <c r="AC35" i="2"/>
  <c r="AC74" i="2"/>
  <c r="AD15" i="2"/>
  <c r="AB31" i="2"/>
  <c r="AC88" i="2"/>
  <c r="AB43" i="2"/>
  <c r="AA142" i="1" s="1"/>
  <c r="AE44" i="2"/>
  <c r="AE97" i="2"/>
  <c r="AE104" i="2"/>
  <c r="AB33" i="2"/>
  <c r="AA69" i="1" s="1"/>
  <c r="AC48" i="2"/>
  <c r="AC31" i="2"/>
  <c r="AD91" i="2"/>
  <c r="AB16" i="2"/>
  <c r="AD19" i="2"/>
  <c r="AD10" i="2"/>
  <c r="AE50" i="2"/>
  <c r="AF64" i="2"/>
  <c r="AD7" i="2"/>
  <c r="AF68" i="2"/>
  <c r="AE9" i="2"/>
  <c r="AF47" i="2"/>
  <c r="AD20" i="2"/>
  <c r="AD76" i="2"/>
  <c r="AB5" i="2"/>
  <c r="AC10" i="2"/>
  <c r="AB30" i="2"/>
  <c r="AA62" i="1" s="1"/>
  <c r="AF15" i="2"/>
  <c r="AC63" i="2"/>
  <c r="AC17" i="2"/>
  <c r="AC105" i="2"/>
  <c r="AE68" i="2"/>
  <c r="AC46" i="2"/>
  <c r="AE66" i="2"/>
  <c r="AB51" i="2"/>
  <c r="AA173" i="1" s="1"/>
  <c r="AC16" i="2"/>
  <c r="AF89" i="2"/>
  <c r="AC104" i="2"/>
  <c r="AF43" i="2"/>
  <c r="AF57" i="2"/>
  <c r="AE70" i="2"/>
  <c r="AF13" i="2"/>
  <c r="AD28" i="2"/>
  <c r="AD104" i="2"/>
  <c r="AE36" i="2"/>
  <c r="AB104" i="2"/>
  <c r="AF113" i="2"/>
  <c r="AA45" i="1" l="1"/>
  <c r="AA172" i="1"/>
  <c r="AF111" i="2"/>
  <c r="AA177" i="1"/>
  <c r="AA196" i="1"/>
  <c r="AA33" i="1"/>
  <c r="AA254" i="1"/>
  <c r="AA217" i="1"/>
  <c r="AA276" i="1"/>
  <c r="AA275" i="1"/>
  <c r="AA202" i="1"/>
  <c r="AA143" i="1"/>
  <c r="AA206" i="1"/>
  <c r="AA184" i="1"/>
  <c r="AA203" i="1"/>
  <c r="AA171" i="1"/>
  <c r="AA49" i="1"/>
  <c r="AA154" i="1"/>
  <c r="AA157" i="1" s="1"/>
  <c r="AA161" i="1" s="1"/>
  <c r="AA151" i="1"/>
  <c r="AA39" i="1"/>
  <c r="AA121" i="1"/>
  <c r="AA179" i="1"/>
  <c r="Z24" i="1"/>
  <c r="CP14" i="1"/>
  <c r="CT14" i="1" s="1"/>
  <c r="CX14" i="1" s="1"/>
  <c r="DB14" i="1" s="1"/>
  <c r="CO15" i="1"/>
  <c r="CS15" i="1" s="1"/>
  <c r="Z26" i="1"/>
  <c r="Z25" i="1"/>
  <c r="Z6" i="1"/>
  <c r="Z16" i="1"/>
  <c r="Z11" i="1"/>
  <c r="Z15" i="1"/>
  <c r="Z10" i="1"/>
  <c r="Z9" i="1"/>
  <c r="Z14" i="1"/>
  <c r="Y15" i="1"/>
  <c r="Y25" i="1"/>
  <c r="Y26" i="1"/>
  <c r="Y24" i="1"/>
  <c r="CP15" i="1"/>
  <c r="CT15" i="1" s="1"/>
  <c r="CY14" i="1"/>
  <c r="CO16" i="1"/>
  <c r="CS16" i="1" s="1"/>
  <c r="CP16" i="1"/>
  <c r="CT16" i="1" s="1"/>
  <c r="CO14" i="1"/>
  <c r="CS14" i="1" s="1"/>
  <c r="CW14" i="1" s="1"/>
  <c r="B1" i="9"/>
  <c r="AB112" i="2"/>
  <c r="AA96" i="1" s="1"/>
  <c r="L1" i="9"/>
  <c r="AE113" i="2"/>
  <c r="AB111" i="2"/>
  <c r="A1" i="9"/>
  <c r="AD113" i="2"/>
  <c r="AC111" i="2"/>
  <c r="AE112" i="2"/>
  <c r="AF112" i="2"/>
  <c r="AC112" i="2"/>
  <c r="AD111" i="2"/>
  <c r="AD112" i="2"/>
  <c r="AE111" i="2"/>
  <c r="AB113" i="2"/>
  <c r="AA97" i="1" s="1"/>
  <c r="AC113" i="2"/>
  <c r="AA152" i="1" l="1"/>
  <c r="AA271" i="1"/>
  <c r="AA191" i="1"/>
  <c r="AA132" i="1" s="1"/>
  <c r="AA205" i="1"/>
  <c r="AA267" i="1"/>
  <c r="AA269" i="1"/>
  <c r="AA50" i="1"/>
  <c r="AA198" i="1"/>
  <c r="AA60" i="1"/>
  <c r="AA56" i="1"/>
  <c r="AA51" i="1"/>
  <c r="AA40" i="1"/>
  <c r="AA208" i="1"/>
  <c r="AA207" i="1" s="1"/>
  <c r="AA180" i="1"/>
  <c r="AA188" i="1" s="1"/>
  <c r="AA189" i="1" s="1"/>
  <c r="CJ6" i="1"/>
  <c r="CW15" i="1"/>
  <c r="DA14" i="1"/>
  <c r="CU15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K262" i="1"/>
  <c r="CK159" i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H175" i="1"/>
  <c r="CJ262" i="1"/>
  <c r="Z262" i="1"/>
  <c r="AA204" i="1" l="1"/>
  <c r="AA57" i="1"/>
  <c r="AA255" i="1"/>
  <c r="AA256" i="1" s="1"/>
  <c r="AA135" i="1"/>
  <c r="AA52" i="1"/>
  <c r="AA209" i="1"/>
  <c r="CY15" i="1"/>
  <c r="CX16" i="1"/>
  <c r="DA15" i="1"/>
  <c r="CX15" i="1"/>
  <c r="CW16" i="1"/>
  <c r="CI262" i="1"/>
  <c r="CG159" i="1"/>
  <c r="CG262" i="1"/>
  <c r="CH262" i="1"/>
  <c r="AB36" i="1"/>
  <c r="AC36" i="1"/>
  <c r="AD36" i="1"/>
  <c r="AE36" i="1"/>
  <c r="AB37" i="1"/>
  <c r="AC37" i="1"/>
  <c r="AD37" i="1"/>
  <c r="AE37" i="1"/>
  <c r="AB47" i="1"/>
  <c r="AC47" i="1"/>
  <c r="AD47" i="1"/>
  <c r="AE47" i="1"/>
  <c r="AB48" i="1"/>
  <c r="AC48" i="1"/>
  <c r="AD48" i="1"/>
  <c r="AE48" i="1"/>
  <c r="AB70" i="1"/>
  <c r="AC70" i="1"/>
  <c r="AD70" i="1"/>
  <c r="AE70" i="1"/>
  <c r="AB182" i="1"/>
  <c r="AC182" i="1"/>
  <c r="AD182" i="1"/>
  <c r="AE182" i="1"/>
  <c r="AB196" i="1"/>
  <c r="AC196" i="1"/>
  <c r="AD196" i="1"/>
  <c r="AE196" i="1"/>
  <c r="CE159" i="1"/>
  <c r="CE262" i="1"/>
  <c r="CF262" i="1"/>
  <c r="AI220" i="1"/>
  <c r="AI225" i="1"/>
  <c r="AI229" i="1"/>
  <c r="AI232" i="1"/>
  <c r="AI262" i="1"/>
  <c r="Y262" i="1"/>
  <c r="AM159" i="1"/>
  <c r="AO159" i="1"/>
  <c r="AQ159" i="1"/>
  <c r="AS159" i="1"/>
  <c r="AU159" i="1"/>
  <c r="AW159" i="1"/>
  <c r="AY159" i="1"/>
  <c r="BA159" i="1"/>
  <c r="BC159" i="1"/>
  <c r="BE159" i="1"/>
  <c r="BG159" i="1"/>
  <c r="BI159" i="1"/>
  <c r="BK159" i="1"/>
  <c r="BM159" i="1"/>
  <c r="BO159" i="1"/>
  <c r="BQ159" i="1"/>
  <c r="BS159" i="1"/>
  <c r="BU159" i="1"/>
  <c r="BW159" i="1"/>
  <c r="BY159" i="1"/>
  <c r="CA159" i="1"/>
  <c r="CC159" i="1"/>
  <c r="CD262" i="1"/>
  <c r="CC262" i="1"/>
  <c r="AJ262" i="1"/>
  <c r="AK262" i="1"/>
  <c r="AL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1" i="1" l="1"/>
  <c r="AA78" i="1"/>
  <c r="CK6" i="1"/>
  <c r="DB15" i="1"/>
  <c r="DB16" i="1"/>
  <c r="DA16" i="1"/>
  <c r="Y1" i="1"/>
  <c r="Z1" i="1" s="1"/>
  <c r="AA64" i="1" l="1"/>
  <c r="AA63" i="1"/>
  <c r="AA1" i="1"/>
  <c r="AB1" i="1" s="1"/>
  <c r="AC1" i="1" s="1"/>
  <c r="AD1" i="1" s="1"/>
  <c r="AE1" i="1" s="1"/>
  <c r="AA65" i="1" l="1"/>
  <c r="AA268" i="1" s="1"/>
  <c r="AA71" i="1"/>
  <c r="AA257" i="1"/>
  <c r="A1" i="3"/>
  <c r="AA75" i="1" l="1"/>
  <c r="AA77" i="1"/>
  <c r="AA216" i="1"/>
  <c r="AA218" i="1" s="1"/>
  <c r="A1" i="6"/>
  <c r="A1" i="4"/>
  <c r="BV5" i="3"/>
  <c r="BE34" i="3"/>
  <c r="BS13" i="3"/>
  <c r="BL34" i="3"/>
  <c r="BK14" i="3"/>
  <c r="BJ42" i="3"/>
  <c r="BF17" i="3"/>
  <c r="Y75" i="2"/>
  <c r="BD13" i="3"/>
  <c r="BB5" i="3"/>
  <c r="BB13" i="3"/>
  <c r="BC26" i="3"/>
  <c r="BQ28" i="3"/>
  <c r="BL14" i="3"/>
  <c r="BR36" i="3"/>
  <c r="BT22" i="3"/>
  <c r="BP31" i="3"/>
  <c r="BL42" i="3"/>
  <c r="BT45" i="3"/>
  <c r="BU34" i="3"/>
  <c r="BJ35" i="3"/>
  <c r="BV42" i="3"/>
  <c r="BE33" i="3"/>
  <c r="BM5" i="3"/>
  <c r="BM24" i="3"/>
  <c r="BI27" i="3"/>
  <c r="Y60" i="2"/>
  <c r="BB22" i="3"/>
  <c r="AA41" i="2"/>
  <c r="Z98" i="2"/>
  <c r="AA67" i="2"/>
  <c r="EZ14" i="4" a="1"/>
  <c r="BO28" i="3"/>
  <c r="BN12" i="3"/>
  <c r="Y44" i="2"/>
  <c r="BR7" i="3"/>
  <c r="BK39" i="3"/>
  <c r="BO15" i="3"/>
  <c r="BH40" i="3"/>
  <c r="BM15" i="3"/>
  <c r="BL7" i="3"/>
  <c r="BL20" i="3"/>
  <c r="AA53" i="2"/>
  <c r="AA62" i="2"/>
  <c r="BB14" i="3"/>
  <c r="BD28" i="3"/>
  <c r="BD14" i="3"/>
  <c r="FB14" i="4" a="1"/>
  <c r="EZ13" i="4" a="1"/>
  <c r="BI22" i="3"/>
  <c r="BU5" i="3"/>
  <c r="BV13" i="3"/>
  <c r="BH39" i="3"/>
  <c r="BS21" i="3"/>
  <c r="BI20" i="3"/>
  <c r="BE21" i="3"/>
  <c r="BJ28" i="3"/>
  <c r="BF39" i="3"/>
  <c r="Y68" i="2"/>
  <c r="Y42" i="2"/>
  <c r="BD45" i="3"/>
  <c r="BB12" i="3"/>
  <c r="BA30" i="3"/>
  <c r="BO16" i="3"/>
  <c r="BN23" i="3"/>
  <c r="Z44" i="2"/>
  <c r="BR20" i="3"/>
  <c r="BM37" i="3"/>
  <c r="BU6" i="3"/>
  <c r="BS36" i="3"/>
  <c r="BV14" i="3"/>
  <c r="BS22" i="3"/>
  <c r="BE24" i="3"/>
  <c r="BM21" i="3"/>
  <c r="BL31" i="3"/>
  <c r="BH42" i="3"/>
  <c r="AA29" i="2"/>
  <c r="AA30" i="2"/>
  <c r="BQ25" i="3"/>
  <c r="BG46" i="3"/>
  <c r="BR33" i="3"/>
  <c r="BT17" i="3"/>
  <c r="BP45" i="3"/>
  <c r="BG13" i="3"/>
  <c r="BU7" i="3"/>
  <c r="BO38" i="3"/>
  <c r="BV15" i="3"/>
  <c r="BS23" i="3"/>
  <c r="BK27" i="3"/>
  <c r="BK22" i="3"/>
  <c r="BN34" i="3"/>
  <c r="BK5" i="3"/>
  <c r="Z108" i="2"/>
  <c r="Y19" i="2"/>
  <c r="AA88" i="2"/>
  <c r="BQ26" i="3"/>
  <c r="BJ7" i="3"/>
  <c r="BR34" i="3"/>
  <c r="BT27" i="3"/>
  <c r="BP29" i="3"/>
  <c r="BI16" i="3"/>
  <c r="BP26" i="3"/>
  <c r="Z66" i="2"/>
  <c r="BD21" i="3"/>
  <c r="Z12" i="2"/>
  <c r="AA99" i="2"/>
  <c r="BD31" i="3"/>
  <c r="BT14" i="3"/>
  <c r="BH32" i="3"/>
  <c r="BD6" i="3"/>
  <c r="BD24" i="3"/>
  <c r="FB11" i="4" a="1"/>
  <c r="BD37" i="3"/>
  <c r="BV16" i="3"/>
  <c r="BJ8" i="3"/>
  <c r="BC45" i="3"/>
  <c r="BB23" i="3"/>
  <c r="AA65" i="2"/>
  <c r="FE8" i="4" a="1"/>
  <c r="FC15" i="4" a="1"/>
  <c r="FB7" i="4" a="1"/>
  <c r="BM23" i="3"/>
  <c r="BC15" i="3"/>
  <c r="BB26" i="3"/>
  <c r="FB8" i="4" a="1"/>
  <c r="Y79" i="2"/>
  <c r="BN18" i="3"/>
  <c r="BB19" i="3"/>
  <c r="BR23" i="3"/>
  <c r="BN16" i="3"/>
  <c r="Z73" i="2"/>
  <c r="FE16" i="4" a="1"/>
  <c r="BU8" i="3"/>
  <c r="BF38" i="3"/>
  <c r="AA86" i="2"/>
  <c r="Y86" i="2"/>
  <c r="FF9" i="4" a="1"/>
  <c r="AA49" i="2"/>
  <c r="FA14" i="4" a="1"/>
  <c r="BC5" i="3"/>
  <c r="BH30" i="3"/>
  <c r="BK19" i="3"/>
  <c r="Z57" i="2"/>
  <c r="AA75" i="2"/>
  <c r="BV10" i="3"/>
  <c r="BN9" i="3"/>
  <c r="BA41" i="3"/>
  <c r="Z33" i="2"/>
  <c r="FE11" i="4" a="1"/>
  <c r="AA97" i="2"/>
  <c r="BI12" i="3"/>
  <c r="Z64" i="2"/>
  <c r="Y90" i="2"/>
  <c r="EZ8" i="4" a="1"/>
  <c r="FC14" i="4" a="1"/>
  <c r="BM13" i="3"/>
  <c r="BA29" i="3"/>
  <c r="BK35" i="3"/>
  <c r="BU26" i="3"/>
  <c r="BT25" i="3"/>
  <c r="BU9" i="3"/>
  <c r="BS25" i="3"/>
  <c r="BG24" i="3"/>
  <c r="BM10" i="3"/>
  <c r="AA48" i="2"/>
  <c r="Y48" i="2"/>
  <c r="BQ40" i="3"/>
  <c r="BO8" i="3"/>
  <c r="BG10" i="3"/>
  <c r="BI41" i="3"/>
  <c r="BE38" i="3"/>
  <c r="BL38" i="3"/>
  <c r="BF6" i="3"/>
  <c r="Z89" i="2"/>
  <c r="BA37" i="3"/>
  <c r="BA46" i="3"/>
  <c r="BH5" i="3"/>
  <c r="BQ11" i="3"/>
  <c r="BR19" i="3"/>
  <c r="BG39" i="3"/>
  <c r="BJ46" i="3"/>
  <c r="AA44" i="2"/>
  <c r="Y16" i="2"/>
  <c r="AA95" i="2"/>
  <c r="BQ24" i="3"/>
  <c r="BU17" i="3"/>
  <c r="BV25" i="3"/>
  <c r="BH31" i="3"/>
  <c r="BF40" i="3"/>
  <c r="AA93" i="2"/>
  <c r="Z18" i="2"/>
  <c r="BB29" i="3"/>
  <c r="AA19" i="2"/>
  <c r="BR38" i="3"/>
  <c r="BP38" i="3"/>
  <c r="BS34" i="3"/>
  <c r="BN11" i="3"/>
  <c r="BI34" i="3"/>
  <c r="Z61" i="2"/>
  <c r="BO5" i="3"/>
  <c r="BK12" i="3"/>
  <c r="BU19" i="3"/>
  <c r="BV27" i="3"/>
  <c r="BT12" i="3"/>
  <c r="BN36" i="3"/>
  <c r="AA47" i="2"/>
  <c r="BQ38" i="3"/>
  <c r="BO6" i="3"/>
  <c r="BI13" i="3"/>
  <c r="BF13" i="3"/>
  <c r="BD29" i="3"/>
  <c r="X6" i="2"/>
  <c r="BO7" i="3"/>
  <c r="Y109" i="2"/>
  <c r="AA7" i="2"/>
  <c r="BB40" i="3"/>
  <c r="FA13" i="4" a="1"/>
  <c r="BQ33" i="3"/>
  <c r="Z19" i="2"/>
  <c r="FF12" i="4" a="1"/>
  <c r="BK7" i="3"/>
  <c r="BJ9" i="3"/>
  <c r="Y57" i="2"/>
  <c r="BH28" i="3"/>
  <c r="BD30" i="3"/>
  <c r="EX14" i="4" a="1"/>
  <c r="FF11" i="4" a="1"/>
  <c r="BO25" i="3"/>
  <c r="Y84" i="2"/>
  <c r="BV34" i="3"/>
  <c r="Z90" i="2"/>
  <c r="Z34" i="2"/>
  <c r="BJ39" i="3"/>
  <c r="BC23" i="3"/>
  <c r="BU20" i="3"/>
  <c r="Z79" i="2"/>
  <c r="BN38" i="3"/>
  <c r="BU15" i="3"/>
  <c r="BS31" i="3"/>
  <c r="BI45" i="3"/>
  <c r="BI26" i="3"/>
  <c r="Z11" i="2"/>
  <c r="Z16" i="2"/>
  <c r="BR6" i="3"/>
  <c r="BO14" i="3"/>
  <c r="BE15" i="3"/>
  <c r="BL18" i="3"/>
  <c r="BN24" i="3"/>
  <c r="BK17" i="3"/>
  <c r="BH25" i="3"/>
  <c r="Y26" i="2"/>
  <c r="BD19" i="3"/>
  <c r="BC21" i="3"/>
  <c r="EZ15" i="4" a="1"/>
  <c r="BL40" i="3"/>
  <c r="BP18" i="3"/>
  <c r="BO33" i="3"/>
  <c r="BL6" i="3"/>
  <c r="BI30" i="3"/>
  <c r="AA91" i="2"/>
  <c r="Z84" i="2"/>
  <c r="EZ5" i="4" a="1"/>
  <c r="BP5" i="3"/>
  <c r="BE39" i="3"/>
  <c r="BS46" i="3"/>
  <c r="BN27" i="3"/>
  <c r="BN22" i="3"/>
  <c r="Y98" i="2"/>
  <c r="Y11" i="2"/>
  <c r="FF13" i="4" a="1"/>
  <c r="Y32" i="2"/>
  <c r="BR46" i="3"/>
  <c r="BK42" i="3"/>
  <c r="BT11" i="3"/>
  <c r="BJ31" i="3"/>
  <c r="BL35" i="3"/>
  <c r="AA58" i="2"/>
  <c r="BF14" i="3"/>
  <c r="BN5" i="3"/>
  <c r="BT21" i="3"/>
  <c r="BH34" i="3"/>
  <c r="BH45" i="3"/>
  <c r="Z70" i="2"/>
  <c r="BQ46" i="3"/>
  <c r="BO12" i="3"/>
  <c r="BG18" i="3"/>
  <c r="BL28" i="3"/>
  <c r="Y43" i="2"/>
  <c r="BD9" i="3"/>
  <c r="BT39" i="3"/>
  <c r="AA96" i="2"/>
  <c r="EY12" i="4" a="1"/>
  <c r="BA17" i="3"/>
  <c r="EY11" i="4" a="1"/>
  <c r="BA23" i="3"/>
  <c r="BM31" i="3"/>
  <c r="BC7" i="3"/>
  <c r="FE7" i="4" a="1"/>
  <c r="BL13" i="3"/>
  <c r="BP37" i="3"/>
  <c r="AA82" i="2"/>
  <c r="BV28" i="3"/>
  <c r="AA73" i="2"/>
  <c r="FE15" i="4" a="1"/>
  <c r="BM32" i="3"/>
  <c r="BF33" i="3"/>
  <c r="FA15" i="4" a="1"/>
  <c r="BS30" i="3"/>
  <c r="Y81" i="2"/>
  <c r="FC6" i="4" a="1"/>
  <c r="BF8" i="3"/>
  <c r="BC33" i="3"/>
  <c r="BS40" i="3"/>
  <c r="BC17" i="3"/>
  <c r="BD35" i="3"/>
  <c r="AA54" i="2"/>
  <c r="BK32" i="3"/>
  <c r="BO40" i="3"/>
  <c r="BN21" i="3"/>
  <c r="BI42" i="3"/>
  <c r="Y91" i="2"/>
  <c r="BB31" i="3"/>
  <c r="BR12" i="3"/>
  <c r="BO20" i="3"/>
  <c r="BM19" i="3"/>
  <c r="BU10" i="3"/>
  <c r="BV18" i="3"/>
  <c r="BK37" i="3"/>
  <c r="BL45" i="3"/>
  <c r="AA90" i="2"/>
  <c r="AA16" i="2"/>
  <c r="AA107" i="2"/>
  <c r="BE10" i="3"/>
  <c r="BQ23" i="3"/>
  <c r="BR31" i="3"/>
  <c r="BS45" i="3"/>
  <c r="BN25" i="3"/>
  <c r="BJ16" i="3"/>
  <c r="AA11" i="2"/>
  <c r="BB6" i="3"/>
  <c r="FE13" i="4" a="1"/>
  <c r="BP9" i="3"/>
  <c r="BF19" i="3"/>
  <c r="BP16" i="3"/>
  <c r="BE8" i="3"/>
  <c r="BK45" i="3"/>
  <c r="Y15" i="2"/>
  <c r="Z24" i="2"/>
  <c r="BE30" i="3"/>
  <c r="BS35" i="3"/>
  <c r="BI21" i="3"/>
  <c r="BL22" i="3"/>
  <c r="BP32" i="3"/>
  <c r="BP35" i="3"/>
  <c r="BP8" i="3"/>
  <c r="BB30" i="3"/>
  <c r="BR9" i="3"/>
  <c r="BL19" i="3"/>
  <c r="BO17" i="3"/>
  <c r="BG22" i="3"/>
  <c r="BU31" i="3"/>
  <c r="BV39" i="3"/>
  <c r="BP13" i="3"/>
  <c r="BP20" i="3"/>
  <c r="BB32" i="3"/>
  <c r="Y61" i="2"/>
  <c r="BJ32" i="3"/>
  <c r="BG29" i="3"/>
  <c r="BJ36" i="3"/>
  <c r="AA51" i="2"/>
  <c r="Z6" i="2"/>
  <c r="Z43" i="2"/>
  <c r="BC18" i="3"/>
  <c r="FA8" i="4" a="1"/>
  <c r="Z56" i="2"/>
  <c r="BB38" i="3"/>
  <c r="FC16" i="4" a="1"/>
  <c r="BA11" i="3"/>
  <c r="BJ40" i="3"/>
  <c r="BD15" i="3"/>
  <c r="BS18" i="3"/>
  <c r="FA6" i="4" a="1"/>
  <c r="Z107" i="2"/>
  <c r="Z36" i="2"/>
  <c r="Y51" i="2"/>
  <c r="Z51" i="2"/>
  <c r="EY7" i="4" a="1"/>
  <c r="FE14" i="4" a="1"/>
  <c r="Y20" i="2"/>
  <c r="EX6" i="4" a="1"/>
  <c r="BD41" i="3"/>
  <c r="BB33" i="3"/>
  <c r="BN13" i="3"/>
  <c r="Z71" i="2"/>
  <c r="BG31" i="3"/>
  <c r="Z59" i="2"/>
  <c r="BT33" i="3"/>
  <c r="BU27" i="3"/>
  <c r="BV35" i="3"/>
  <c r="BP15" i="3"/>
  <c r="BT37" i="3"/>
  <c r="BD26" i="3"/>
  <c r="Y55" i="2"/>
  <c r="BQ10" i="3"/>
  <c r="BR18" i="3"/>
  <c r="BE36" i="3"/>
  <c r="BN42" i="3"/>
  <c r="BP12" i="3"/>
  <c r="BS32" i="3"/>
  <c r="BF5" i="3"/>
  <c r="BM28" i="3"/>
  <c r="Z53" i="2"/>
  <c r="AA23" i="2"/>
  <c r="FC11" i="4" a="1"/>
  <c r="Y10" i="2"/>
  <c r="BN17" i="3"/>
  <c r="BP10" i="3"/>
  <c r="BE6" i="3"/>
  <c r="BN40" i="3"/>
  <c r="Z91" i="2"/>
  <c r="Y70" i="2"/>
  <c r="FD15" i="4" a="1"/>
  <c r="BK16" i="3"/>
  <c r="BV45" i="3"/>
  <c r="BK6" i="3"/>
  <c r="BG30" i="3"/>
  <c r="BA9" i="3"/>
  <c r="Y77" i="2"/>
  <c r="EZ16" i="4" a="1"/>
  <c r="BB25" i="3"/>
  <c r="BH10" i="3"/>
  <c r="BN41" i="3"/>
  <c r="BI39" i="3"/>
  <c r="BE32" i="3"/>
  <c r="Y88" i="2"/>
  <c r="BQ7" i="3"/>
  <c r="BO23" i="3"/>
  <c r="BE35" i="3"/>
  <c r="BU37" i="3"/>
  <c r="BS5" i="3"/>
  <c r="BG8" i="3"/>
  <c r="BK34" i="3"/>
  <c r="BD39" i="3"/>
  <c r="BC13" i="3"/>
  <c r="BO39" i="3"/>
  <c r="BR16" i="3"/>
  <c r="BN30" i="3"/>
  <c r="BJ38" i="3"/>
  <c r="Y99" i="2"/>
  <c r="AA42" i="2"/>
  <c r="Y29" i="2"/>
  <c r="BB15" i="3"/>
  <c r="FF7" i="4" a="1"/>
  <c r="BL29" i="3"/>
  <c r="Z83" i="2"/>
  <c r="Z82" i="2"/>
  <c r="Y54" i="2"/>
  <c r="Y89" i="2"/>
  <c r="Z67" i="2"/>
  <c r="Z93" i="2"/>
  <c r="AA18" i="2"/>
  <c r="BD36" i="3"/>
  <c r="BJ20" i="3"/>
  <c r="Z32" i="2"/>
  <c r="BF31" i="3"/>
  <c r="AA70" i="2"/>
  <c r="BC36" i="3"/>
  <c r="Y58" i="2"/>
  <c r="BH20" i="3"/>
  <c r="Y56" i="2"/>
  <c r="BE9" i="3"/>
  <c r="BA24" i="3"/>
  <c r="FE5" i="4" a="1"/>
  <c r="BG25" i="3"/>
  <c r="Y18" i="2"/>
  <c r="BV40" i="3"/>
  <c r="BD25" i="3"/>
  <c r="BH37" i="3"/>
  <c r="BU33" i="3"/>
  <c r="BV41" i="3"/>
  <c r="BE5" i="3"/>
  <c r="BP40" i="3"/>
  <c r="BC32" i="3"/>
  <c r="Z45" i="2"/>
  <c r="BQ16" i="3"/>
  <c r="BR24" i="3"/>
  <c r="BF12" i="3"/>
  <c r="BN20" i="3"/>
  <c r="BI35" i="3"/>
  <c r="BO42" i="3"/>
  <c r="BL24" i="3"/>
  <c r="BH13" i="3"/>
  <c r="AA6" i="2"/>
  <c r="BB34" i="3"/>
  <c r="BN10" i="3"/>
  <c r="Y72" i="2"/>
  <c r="BF37" i="3"/>
  <c r="BG6" i="3"/>
  <c r="BE29" i="3"/>
  <c r="BC25" i="3"/>
  <c r="AA69" i="2"/>
  <c r="FD8" i="4" a="1"/>
  <c r="BK28" i="3"/>
  <c r="BM20" i="3"/>
  <c r="BS9" i="3"/>
  <c r="BI11" i="3"/>
  <c r="BJ5" i="3"/>
  <c r="BA22" i="3"/>
  <c r="AA52" i="2"/>
  <c r="EY9" i="4" a="1"/>
  <c r="BD23" i="3"/>
  <c r="BO34" i="3"/>
  <c r="BU42" i="3"/>
  <c r="BS10" i="3"/>
  <c r="BG12" i="3"/>
  <c r="BL8" i="3"/>
  <c r="AA87" i="2"/>
  <c r="BT29" i="3"/>
  <c r="BO29" i="3"/>
  <c r="BJ13" i="3"/>
  <c r="BU45" i="3"/>
  <c r="BS11" i="3"/>
  <c r="BE13" i="3"/>
  <c r="BJ11" i="3"/>
  <c r="BB37" i="3"/>
  <c r="BA36" i="3"/>
  <c r="BT41" i="3"/>
  <c r="BO30" i="3"/>
  <c r="BL16" i="3"/>
  <c r="BI38" i="3"/>
  <c r="AA81" i="2"/>
  <c r="BC34" i="3"/>
  <c r="BI40" i="3"/>
  <c r="Z65" i="2"/>
  <c r="Y27" i="2"/>
  <c r="BP14" i="3"/>
  <c r="BC22" i="3"/>
  <c r="Y53" i="2"/>
  <c r="BC10" i="3"/>
  <c r="Z22" i="2"/>
  <c r="AA57" i="2"/>
  <c r="Z49" i="2"/>
  <c r="BQ39" i="3"/>
  <c r="FD11" i="4" a="1"/>
  <c r="BP7" i="3"/>
  <c r="AA33" i="2"/>
  <c r="Y66" i="2"/>
  <c r="AA12" i="2"/>
  <c r="BL39" i="3"/>
  <c r="Z27" i="2"/>
  <c r="BN37" i="3"/>
  <c r="BD16" i="3"/>
  <c r="EY5" i="4" a="1"/>
  <c r="BR35" i="3"/>
  <c r="Y96" i="2"/>
  <c r="FE9" i="4" a="1"/>
  <c r="AA80" i="2"/>
  <c r="Z74" i="2"/>
  <c r="BU39" i="3"/>
  <c r="BF11" i="3"/>
  <c r="BE42" i="3"/>
  <c r="Y76" i="2"/>
  <c r="BD10" i="3"/>
  <c r="Y95" i="2"/>
  <c r="BM33" i="3"/>
  <c r="BT32" i="3"/>
  <c r="BH35" i="3"/>
  <c r="BH16" i="3"/>
  <c r="BT38" i="3"/>
  <c r="BH46" i="3"/>
  <c r="BJ34" i="3"/>
  <c r="Y50" i="2"/>
  <c r="Y59" i="2"/>
  <c r="BQ30" i="3"/>
  <c r="BB17" i="3"/>
  <c r="BG19" i="3"/>
  <c r="BN15" i="3"/>
  <c r="BH21" i="3"/>
  <c r="Z55" i="2"/>
  <c r="BC19" i="3"/>
  <c r="Z97" i="2"/>
  <c r="EX15" i="4" a="1"/>
  <c r="BM16" i="3"/>
  <c r="BS15" i="3"/>
  <c r="BG16" i="3"/>
  <c r="BH22" i="3"/>
  <c r="Z47" i="2"/>
  <c r="BC31" i="3"/>
  <c r="BQ36" i="3"/>
  <c r="Z25" i="2"/>
  <c r="BP22" i="3"/>
  <c r="BV8" i="3"/>
  <c r="BS16" i="3"/>
  <c r="BE17" i="3"/>
  <c r="BF25" i="3"/>
  <c r="AA66" i="2"/>
  <c r="BP46" i="3"/>
  <c r="BR27" i="3"/>
  <c r="BP25" i="3"/>
  <c r="BT9" i="3"/>
  <c r="BM6" i="3"/>
  <c r="BL15" i="3"/>
  <c r="AA14" i="2"/>
  <c r="BC42" i="3"/>
  <c r="BG28" i="3"/>
  <c r="BR28" i="3"/>
  <c r="BO37" i="3"/>
  <c r="BN35" i="3"/>
  <c r="BH7" i="3"/>
  <c r="AA26" i="2"/>
  <c r="BC6" i="3"/>
  <c r="BT31" i="3"/>
  <c r="BA21" i="3"/>
  <c r="FB12" i="4" a="1"/>
  <c r="BF35" i="3"/>
  <c r="BB10" i="3"/>
  <c r="EY14" i="4" a="1"/>
  <c r="BD17" i="3"/>
  <c r="BA20" i="3"/>
  <c r="FD7" i="4" a="1"/>
  <c r="BM39" i="3"/>
  <c r="BL10" i="3"/>
  <c r="BG9" i="3"/>
  <c r="EY16" i="4" a="1"/>
  <c r="BH18" i="3"/>
  <c r="Y17" i="2"/>
  <c r="EX5" i="4" a="1"/>
  <c r="FC13" i="4" a="1"/>
  <c r="BR5" i="3"/>
  <c r="BA42" i="3"/>
  <c r="BU14" i="3"/>
  <c r="BE46" i="3"/>
  <c r="AA43" i="2"/>
  <c r="BC20" i="3"/>
  <c r="Y46" i="2"/>
  <c r="FD14" i="4" a="1"/>
  <c r="BM30" i="3"/>
  <c r="BI32" i="3"/>
  <c r="BM38" i="3"/>
  <c r="BV11" i="3"/>
  <c r="BJ10" i="3"/>
  <c r="BS19" i="3"/>
  <c r="BE14" i="3"/>
  <c r="BI19" i="3"/>
  <c r="BF22" i="3"/>
  <c r="BN33" i="3"/>
  <c r="Z104" i="2"/>
  <c r="Y9" i="2"/>
  <c r="BB21" i="3"/>
  <c r="BB27" i="3"/>
  <c r="Z78" i="2"/>
  <c r="BQ34" i="3"/>
  <c r="BJ33" i="3"/>
  <c r="BR42" i="3"/>
  <c r="BI31" i="3"/>
  <c r="BI5" i="3"/>
  <c r="BG23" i="3"/>
  <c r="BM25" i="3"/>
  <c r="BU40" i="3"/>
  <c r="BG17" i="3"/>
  <c r="BS8" i="3"/>
  <c r="BH14" i="3"/>
  <c r="BK10" i="3"/>
  <c r="BN14" i="3"/>
  <c r="BG42" i="3"/>
  <c r="AA110" i="2"/>
  <c r="BA19" i="3"/>
  <c r="BD11" i="3"/>
  <c r="Z99" i="2"/>
  <c r="AA83" i="2"/>
  <c r="FD12" i="4" a="1"/>
  <c r="BN19" i="3"/>
  <c r="BM46" i="3"/>
  <c r="BQ5" i="3"/>
  <c r="BR13" i="3"/>
  <c r="BN32" i="3"/>
  <c r="BO21" i="3"/>
  <c r="BM18" i="3"/>
  <c r="BK20" i="3"/>
  <c r="BN26" i="3"/>
  <c r="BJ37" i="3"/>
  <c r="AA68" i="2"/>
  <c r="Z40" i="2"/>
  <c r="BA27" i="3"/>
  <c r="BD7" i="3"/>
  <c r="Y40" i="2"/>
  <c r="EZ7" i="4" a="1"/>
  <c r="FB16" i="4" a="1"/>
  <c r="BR14" i="3"/>
  <c r="BU11" i="3"/>
  <c r="BT7" i="3"/>
  <c r="BV19" i="3"/>
  <c r="BS27" i="3"/>
  <c r="BK41" i="3"/>
  <c r="BE27" i="3"/>
  <c r="BJ6" i="3"/>
  <c r="BK15" i="3"/>
  <c r="Z109" i="2"/>
  <c r="AA36" i="2"/>
  <c r="AA108" i="2"/>
  <c r="AA31" i="2"/>
  <c r="Z7" i="2"/>
  <c r="BN45" i="3"/>
  <c r="BG33" i="3"/>
  <c r="BQ6" i="3"/>
  <c r="BR32" i="3"/>
  <c r="BM22" i="3"/>
  <c r="BU12" i="3"/>
  <c r="BT23" i="3"/>
  <c r="BV20" i="3"/>
  <c r="BS28" i="3"/>
  <c r="BL11" i="3"/>
  <c r="BK30" i="3"/>
  <c r="BH19" i="3"/>
  <c r="BE18" i="3"/>
  <c r="Z13" i="2"/>
  <c r="Y62" i="2"/>
  <c r="BQ31" i="3"/>
  <c r="BH24" i="3"/>
  <c r="BR39" i="3"/>
  <c r="BP36" i="3"/>
  <c r="BM7" i="3"/>
  <c r="BK33" i="3"/>
  <c r="BU13" i="3"/>
  <c r="BT35" i="3"/>
  <c r="BV21" i="3"/>
  <c r="BS29" i="3"/>
  <c r="BF26" i="3"/>
  <c r="BK36" i="3"/>
  <c r="BF32" i="3"/>
  <c r="BG21" i="3"/>
  <c r="AA78" i="2"/>
  <c r="Z5" i="2"/>
  <c r="AA20" i="2"/>
  <c r="BQ32" i="3"/>
  <c r="BL26" i="3"/>
  <c r="BR40" i="3"/>
  <c r="BH6" i="3"/>
  <c r="BK8" i="3"/>
  <c r="BM36" i="3"/>
  <c r="BM35" i="3"/>
  <c r="Z76" i="2"/>
  <c r="BA16" i="3"/>
  <c r="BB16" i="3"/>
  <c r="AA89" i="2"/>
  <c r="Z52" i="2"/>
  <c r="BF46" i="3"/>
  <c r="BM40" i="3"/>
  <c r="BA35" i="3"/>
  <c r="Z8" i="2"/>
  <c r="EZ9" i="4" a="1"/>
  <c r="BA6" i="3"/>
  <c r="BS12" i="3"/>
  <c r="Y22" i="2"/>
  <c r="Z35" i="2"/>
  <c r="Y105" i="2"/>
  <c r="Z105" i="2"/>
  <c r="FF6" i="4" a="1"/>
  <c r="FD5" i="4" a="1"/>
  <c r="FD16" i="4" a="1"/>
  <c r="BF36" i="3"/>
  <c r="Y33" i="2"/>
  <c r="Z88" i="2"/>
  <c r="FD6" i="4" a="1"/>
  <c r="BU38" i="3"/>
  <c r="BP34" i="3"/>
  <c r="AA28" i="2"/>
  <c r="BO19" i="3"/>
  <c r="AA17" i="2"/>
  <c r="Z85" i="2"/>
  <c r="BS41" i="3"/>
  <c r="BU46" i="3"/>
  <c r="BE37" i="3"/>
  <c r="Z29" i="2"/>
  <c r="BA34" i="3"/>
  <c r="EX7" i="4" a="1"/>
  <c r="BC40" i="3"/>
  <c r="AA32" i="2"/>
  <c r="FF15" i="4" a="1"/>
  <c r="BR29" i="3"/>
  <c r="Y36" i="2"/>
  <c r="Z46" i="2"/>
  <c r="EZ11" i="4" a="1"/>
  <c r="BI10" i="3"/>
  <c r="BK23" i="3"/>
  <c r="Z23" i="2"/>
  <c r="BD5" i="3"/>
  <c r="EZ6" i="4" a="1"/>
  <c r="Z69" i="2"/>
  <c r="BI9" i="3"/>
  <c r="BC27" i="3"/>
  <c r="BA14" i="3"/>
  <c r="FF14" i="4" a="1"/>
  <c r="BD40" i="3"/>
  <c r="BI18" i="3"/>
  <c r="Y108" i="2"/>
  <c r="BC38" i="3"/>
  <c r="BT6" i="3"/>
  <c r="BL30" i="3"/>
  <c r="BS42" i="3"/>
  <c r="BV17" i="3"/>
  <c r="BM34" i="3"/>
  <c r="BH41" i="3"/>
  <c r="Z30" i="2"/>
  <c r="AA56" i="2"/>
  <c r="Z63" i="2"/>
  <c r="BG15" i="3"/>
  <c r="BL12" i="3"/>
  <c r="BN6" i="3"/>
  <c r="BV6" i="3"/>
  <c r="BS14" i="3"/>
  <c r="BI15" i="3"/>
  <c r="BJ19" i="3"/>
  <c r="Y6" i="2"/>
  <c r="BA12" i="3"/>
  <c r="FB9" i="4" a="1"/>
  <c r="BF7" i="3"/>
  <c r="BT5" i="3"/>
  <c r="BO27" i="3"/>
  <c r="BI25" i="3"/>
  <c r="BI14" i="3"/>
  <c r="Z14" i="2"/>
  <c r="Y93" i="2"/>
  <c r="EY8" i="4" a="1"/>
  <c r="BR26" i="3"/>
  <c r="BP24" i="3"/>
  <c r="BS33" i="3"/>
  <c r="BH8" i="3"/>
  <c r="BK31" i="3"/>
  <c r="Z96" i="2"/>
  <c r="Z87" i="2"/>
  <c r="BM11" i="3"/>
  <c r="BQ12" i="3"/>
  <c r="BL37" i="3"/>
  <c r="BU18" i="3"/>
  <c r="BV26" i="3"/>
  <c r="BI46" i="3"/>
  <c r="BL17" i="3"/>
  <c r="BA45" i="3"/>
  <c r="BQ37" i="3"/>
  <c r="BJ45" i="3"/>
  <c r="BE41" i="3"/>
  <c r="BN8" i="3"/>
  <c r="BK26" i="3"/>
  <c r="BO36" i="3"/>
  <c r="BF15" i="3"/>
  <c r="BG37" i="3"/>
  <c r="AA50" i="2"/>
  <c r="Y47" i="2"/>
  <c r="BM8" i="3"/>
  <c r="BF29" i="3"/>
  <c r="BL21" i="3"/>
  <c r="Y104" i="2"/>
  <c r="BD8" i="3"/>
  <c r="BA25" i="3"/>
  <c r="AA61" i="2"/>
  <c r="AA104" i="2"/>
  <c r="BC35" i="3"/>
  <c r="FE12" i="4" a="1"/>
  <c r="BG26" i="3"/>
  <c r="Y45" i="2"/>
  <c r="Z58" i="2"/>
  <c r="FB6" i="4" a="1"/>
  <c r="BP28" i="3"/>
  <c r="BD38" i="3"/>
  <c r="BF9" i="3"/>
  <c r="BC9" i="3"/>
  <c r="AA105" i="2"/>
  <c r="BG14" i="3"/>
  <c r="BG11" i="3"/>
  <c r="Y52" i="2"/>
  <c r="Z41" i="2"/>
  <c r="AA10" i="2"/>
  <c r="Y12" i="2"/>
  <c r="BS39" i="3"/>
  <c r="V6" i="2"/>
  <c r="Y41" i="2"/>
  <c r="EX16" i="4" a="1"/>
  <c r="AA9" i="2"/>
  <c r="FE6" i="4" a="1"/>
  <c r="BF16" i="3"/>
  <c r="AA63" i="2"/>
  <c r="BE40" i="3"/>
  <c r="BT26" i="3"/>
  <c r="BV23" i="3"/>
  <c r="BL5" i="3"/>
  <c r="BJ14" i="3"/>
  <c r="AA94" i="2"/>
  <c r="Z31" i="2"/>
  <c r="AA59" i="2"/>
  <c r="BI36" i="3"/>
  <c r="BL36" i="3"/>
  <c r="BJ29" i="3"/>
  <c r="BV12" i="3"/>
  <c r="BS20" i="3"/>
  <c r="BG20" i="3"/>
  <c r="BH36" i="3"/>
  <c r="Z110" i="2"/>
  <c r="Z60" i="2"/>
  <c r="BP27" i="3"/>
  <c r="BQ17" i="3"/>
  <c r="BR25" i="3"/>
  <c r="BJ26" i="3"/>
  <c r="BL33" i="3"/>
  <c r="Y24" i="2"/>
  <c r="Z75" i="2"/>
  <c r="BD34" i="3"/>
  <c r="BQ42" i="3"/>
  <c r="BU23" i="3"/>
  <c r="BV31" i="3"/>
  <c r="BT46" i="3"/>
  <c r="BJ30" i="3"/>
  <c r="BD32" i="3"/>
  <c r="BB35" i="3"/>
  <c r="BN29" i="3"/>
  <c r="BQ18" i="3"/>
  <c r="BE7" i="3"/>
  <c r="BU24" i="3"/>
  <c r="BV32" i="3"/>
  <c r="BP17" i="3"/>
  <c r="BP6" i="3"/>
  <c r="BD18" i="3"/>
  <c r="BQ45" i="3"/>
  <c r="BE26" i="3"/>
  <c r="BO11" i="3"/>
  <c r="BF23" i="3"/>
  <c r="BI17" i="3"/>
  <c r="BU25" i="3"/>
  <c r="BV33" i="3"/>
  <c r="BP33" i="3"/>
  <c r="BT13" i="3"/>
  <c r="BC37" i="3"/>
  <c r="Z94" i="2"/>
  <c r="BK29" i="3"/>
  <c r="BI8" i="3"/>
  <c r="BH17" i="3"/>
  <c r="Y64" i="2"/>
  <c r="BA28" i="3"/>
  <c r="BB28" i="3"/>
  <c r="Y23" i="2"/>
  <c r="Y110" i="2"/>
  <c r="BA8" i="3"/>
  <c r="BT20" i="3"/>
  <c r="AA34" i="2"/>
  <c r="BA10" i="3"/>
  <c r="BE20" i="3"/>
  <c r="BF45" i="3"/>
  <c r="Y69" i="2"/>
  <c r="BV22" i="3"/>
  <c r="Z26" i="2"/>
  <c r="BD22" i="3"/>
  <c r="BH26" i="3"/>
  <c r="BF28" i="3"/>
  <c r="BD27" i="3"/>
  <c r="Y87" i="2"/>
  <c r="FC12" i="4" a="1"/>
  <c r="BC16" i="3"/>
  <c r="AA92" i="2"/>
  <c r="Z62" i="2"/>
  <c r="BB11" i="3"/>
  <c r="BQ15" i="3"/>
  <c r="Z81" i="2"/>
  <c r="FF8" i="4" a="1"/>
  <c r="BJ15" i="3"/>
  <c r="BS6" i="3"/>
  <c r="BU21" i="3"/>
  <c r="BV29" i="3"/>
  <c r="BT28" i="3"/>
  <c r="BN28" i="3"/>
  <c r="BB24" i="3"/>
  <c r="Y92" i="2"/>
  <c r="BC46" i="3"/>
  <c r="BF20" i="3"/>
  <c r="BE16" i="3"/>
  <c r="BL23" i="3"/>
  <c r="BO46" i="3"/>
  <c r="BS26" i="3"/>
  <c r="BE25" i="3"/>
  <c r="BM12" i="3"/>
  <c r="Y49" i="2"/>
  <c r="AA27" i="2"/>
  <c r="FD13" i="4" a="1"/>
  <c r="Y13" i="2"/>
  <c r="BI37" i="3"/>
  <c r="BT40" i="3"/>
  <c r="BH11" i="3"/>
  <c r="BD42" i="3"/>
  <c r="C5" i="2"/>
  <c r="BC24" i="3"/>
  <c r="BR8" i="3"/>
  <c r="BU29" i="3"/>
  <c r="BV37" i="3"/>
  <c r="BP19" i="3"/>
  <c r="BT30" i="3"/>
  <c r="BA31" i="3"/>
  <c r="AA84" i="2"/>
  <c r="FF16" i="4" a="1"/>
  <c r="BD33" i="3"/>
  <c r="BO10" i="3"/>
  <c r="BU30" i="3"/>
  <c r="BV38" i="3"/>
  <c r="BK11" i="3"/>
  <c r="Y83" i="2"/>
  <c r="BA15" i="3"/>
  <c r="BG5" i="3"/>
  <c r="BH33" i="3"/>
  <c r="BJ25" i="3"/>
  <c r="BP42" i="3"/>
  <c r="BM14" i="3"/>
  <c r="AA40" i="2"/>
  <c r="AA13" i="2"/>
  <c r="BR10" i="3"/>
  <c r="BO18" i="3"/>
  <c r="BE23" i="3"/>
  <c r="BI6" i="3"/>
  <c r="W6" i="2"/>
  <c r="BB7" i="3"/>
  <c r="BN46" i="3"/>
  <c r="Y82" i="2"/>
  <c r="FC8" i="4" a="1"/>
  <c r="BI23" i="3"/>
  <c r="BA7" i="3"/>
  <c r="BB39" i="3"/>
  <c r="BA38" i="3"/>
  <c r="BR17" i="3"/>
  <c r="BB46" i="3"/>
  <c r="FB15" i="4" a="1"/>
  <c r="BA26" i="3"/>
  <c r="BK40" i="3"/>
  <c r="BB8" i="3"/>
  <c r="BS24" i="3"/>
  <c r="Z106" i="2"/>
  <c r="Y74" i="2"/>
  <c r="BJ22" i="3"/>
  <c r="BP23" i="3"/>
  <c r="BA5" i="3"/>
  <c r="BK9" i="3"/>
  <c r="BC8" i="3"/>
  <c r="FA7" i="4" a="1"/>
  <c r="BR11" i="3"/>
  <c r="BC28" i="3"/>
  <c r="EY6" i="4" a="1"/>
  <c r="BE28" i="3"/>
  <c r="Z42" i="2"/>
  <c r="AA74" i="2"/>
  <c r="BH12" i="3"/>
  <c r="BT10" i="3"/>
  <c r="BF41" i="3"/>
  <c r="BH23" i="3"/>
  <c r="Z80" i="2"/>
  <c r="BD12" i="3"/>
  <c r="BO45" i="3"/>
  <c r="BO26" i="3"/>
  <c r="BK24" i="3"/>
  <c r="BU16" i="3"/>
  <c r="BV24" i="3"/>
  <c r="BJ18" i="3"/>
  <c r="BH27" i="3"/>
  <c r="Z9" i="2"/>
  <c r="AA5" i="2"/>
  <c r="BD20" i="3"/>
  <c r="BF34" i="3"/>
  <c r="BQ29" i="3"/>
  <c r="BR37" i="3"/>
  <c r="BP11" i="3"/>
  <c r="BT18" i="3"/>
  <c r="AY29" i="3"/>
  <c r="AA64" i="2"/>
  <c r="EZ12" i="4" a="1"/>
  <c r="BT15" i="3"/>
  <c r="BU35" i="3"/>
  <c r="BH38" i="3"/>
  <c r="BG36" i="3"/>
  <c r="BI28" i="3"/>
  <c r="AA55" i="2"/>
  <c r="Z68" i="2"/>
  <c r="Z28" i="2"/>
  <c r="BG45" i="3"/>
  <c r="BM41" i="3"/>
  <c r="BO22" i="3"/>
  <c r="BU36" i="3"/>
  <c r="BV46" i="3"/>
  <c r="BI7" i="3"/>
  <c r="BG32" i="3"/>
  <c r="BC12" i="3"/>
  <c r="BS37" i="3"/>
  <c r="BR15" i="3"/>
  <c r="BK25" i="3"/>
  <c r="BL25" i="3"/>
  <c r="BG7" i="3"/>
  <c r="BE45" i="3"/>
  <c r="BG35" i="3"/>
  <c r="Y94" i="2"/>
  <c r="BQ8" i="3"/>
  <c r="BO24" i="3"/>
  <c r="BG38" i="3"/>
  <c r="BE22" i="3"/>
  <c r="Y80" i="2"/>
  <c r="Y67" i="2"/>
  <c r="BE19" i="3"/>
  <c r="BD46" i="3"/>
  <c r="FC7" i="4" a="1"/>
  <c r="FC5" i="4" a="1"/>
  <c r="AA79" i="2"/>
  <c r="FB5" i="4" a="1"/>
  <c r="BO13" i="3"/>
  <c r="Y8" i="2"/>
  <c r="BN7" i="3"/>
  <c r="EX13" i="4" a="1"/>
  <c r="Y65" i="2"/>
  <c r="AA76" i="2"/>
  <c r="Z50" i="2"/>
  <c r="AA45" i="2"/>
  <c r="FA16" i="4" a="1"/>
  <c r="EX12" i="4" a="1"/>
  <c r="AA35" i="2"/>
  <c r="Y21" i="2"/>
  <c r="AA106" i="2"/>
  <c r="EY13" i="4" a="1"/>
  <c r="BE12" i="3"/>
  <c r="BC29" i="3"/>
  <c r="Y31" i="2"/>
  <c r="AA109" i="2"/>
  <c r="EX9" i="4" a="1"/>
  <c r="AV10" i="3"/>
  <c r="BN31" i="3"/>
  <c r="BI29" i="3"/>
  <c r="BK21" i="3"/>
  <c r="Y73" i="2"/>
  <c r="Z86" i="2"/>
  <c r="BA18" i="3"/>
  <c r="BT34" i="3"/>
  <c r="BO32" i="3"/>
  <c r="BK46" i="3"/>
  <c r="BU22" i="3"/>
  <c r="BV30" i="3"/>
  <c r="BT36" i="3"/>
  <c r="BL41" i="3"/>
  <c r="BB20" i="3"/>
  <c r="Z10" i="2"/>
  <c r="BA13" i="3"/>
  <c r="FD9" i="4" a="1"/>
  <c r="BQ35" i="3"/>
  <c r="BR45" i="3"/>
  <c r="BG34" i="3"/>
  <c r="BM26" i="3"/>
  <c r="Y14" i="2"/>
  <c r="Z15" i="2"/>
  <c r="AA22" i="2"/>
  <c r="FA5" i="4" a="1"/>
  <c r="BP30" i="3"/>
  <c r="BU41" i="3"/>
  <c r="BJ17" i="3"/>
  <c r="BL27" i="3"/>
  <c r="AA24" i="2"/>
  <c r="BC14" i="3"/>
  <c r="AA25" i="2"/>
  <c r="BT42" i="3"/>
  <c r="BN39" i="3"/>
  <c r="BH29" i="3"/>
  <c r="BI24" i="3"/>
  <c r="BJ21" i="3"/>
  <c r="BF42" i="3"/>
  <c r="Y28" i="2"/>
  <c r="BQ13" i="3"/>
  <c r="BR21" i="3"/>
  <c r="BF18" i="3"/>
  <c r="BF24" i="3"/>
  <c r="BG27" i="3"/>
  <c r="BF27" i="3"/>
  <c r="BH15" i="3"/>
  <c r="Z48" i="2"/>
  <c r="BQ14" i="3"/>
  <c r="BR22" i="3"/>
  <c r="BT16" i="3"/>
  <c r="BL9" i="3"/>
  <c r="Y35" i="2"/>
  <c r="Z92" i="2"/>
  <c r="Y97" i="2"/>
  <c r="AA8" i="2"/>
  <c r="FA11" i="4" a="1"/>
  <c r="BU32" i="3"/>
  <c r="Y106" i="2"/>
  <c r="FF5" i="4" a="1"/>
  <c r="AA15" i="2"/>
  <c r="BM27" i="3"/>
  <c r="AA46" i="2"/>
  <c r="Z54" i="2"/>
  <c r="BP21" i="3"/>
  <c r="BI33" i="3"/>
  <c r="Z21" i="2"/>
  <c r="BB18" i="3"/>
  <c r="BC41" i="3"/>
  <c r="EX11" i="4" a="1"/>
  <c r="FA9" i="4" a="1"/>
  <c r="BQ9" i="3"/>
  <c r="Y25" i="2"/>
  <c r="BA39" i="3"/>
  <c r="Z77" i="2"/>
  <c r="EX8" i="4" a="1"/>
  <c r="AB39" i="3"/>
  <c r="Y63" i="2"/>
  <c r="BS38" i="3"/>
  <c r="Z17" i="2"/>
  <c r="BK18" i="3"/>
  <c r="BK13" i="3"/>
  <c r="BS7" i="3"/>
  <c r="BM9" i="3"/>
  <c r="BG40" i="3"/>
  <c r="BB41" i="3"/>
  <c r="Y30" i="2"/>
  <c r="BQ22" i="3"/>
  <c r="BR30" i="3"/>
  <c r="BO41" i="3"/>
  <c r="BJ23" i="3"/>
  <c r="BU28" i="3"/>
  <c r="BV36" i="3"/>
  <c r="BP39" i="3"/>
  <c r="BT8" i="3"/>
  <c r="BB9" i="3"/>
  <c r="AA71" i="2"/>
  <c r="FC9" i="4" a="1"/>
  <c r="BF30" i="3"/>
  <c r="BQ41" i="3"/>
  <c r="BO9" i="3"/>
  <c r="BE11" i="3"/>
  <c r="BM45" i="3"/>
  <c r="BC11" i="3"/>
  <c r="AA60" i="2"/>
  <c r="FA12" i="4" a="1"/>
  <c r="BF21" i="3"/>
  <c r="BV7" i="3"/>
  <c r="BG41" i="3"/>
  <c r="BJ41" i="3"/>
  <c r="BH9" i="3"/>
  <c r="AA72" i="2"/>
  <c r="BA40" i="3"/>
  <c r="BB36" i="3"/>
  <c r="BE31" i="3"/>
  <c r="BM42" i="3"/>
  <c r="AA77" i="2"/>
  <c r="BF10" i="3"/>
  <c r="BL46" i="3"/>
  <c r="BJ12" i="3"/>
  <c r="C4" i="2"/>
  <c r="BQ19" i="3"/>
  <c r="BO35" i="3"/>
  <c r="BL32" i="3"/>
  <c r="BV9" i="3"/>
  <c r="BJ24" i="3"/>
  <c r="BS17" i="3"/>
  <c r="BM17" i="3"/>
  <c r="BJ27" i="3"/>
  <c r="Z20" i="2"/>
  <c r="BQ20" i="3"/>
  <c r="BP41" i="3"/>
  <c r="BT19" i="3"/>
  <c r="BB45" i="3"/>
  <c r="Y5" i="2"/>
  <c r="BQ27" i="3"/>
  <c r="Z95" i="2"/>
  <c r="Y85" i="2"/>
  <c r="BM29" i="3"/>
  <c r="BA32" i="3"/>
  <c r="AA85" i="2"/>
  <c r="FB13" i="4" a="1"/>
  <c r="BT24" i="3"/>
  <c r="AA21" i="2"/>
  <c r="BR41" i="3"/>
  <c r="Y71" i="2"/>
  <c r="BC39" i="3"/>
  <c r="Y34" i="2"/>
  <c r="BA33" i="3"/>
  <c r="BC30" i="3"/>
  <c r="Y7" i="2"/>
  <c r="BK38" i="3"/>
  <c r="Y107" i="2"/>
  <c r="Y78" i="2"/>
  <c r="EY15" i="4" a="1"/>
  <c r="BO31" i="3"/>
  <c r="AA98" i="2"/>
  <c r="BQ21" i="3"/>
  <c r="Z72" i="2"/>
  <c r="BB42" i="3"/>
  <c r="CL36" i="1" l="1"/>
  <c r="CL45" i="1"/>
  <c r="CL48" i="1"/>
  <c r="CL74" i="1"/>
  <c r="CL68" i="1"/>
  <c r="CL32" i="1"/>
  <c r="CL55" i="1"/>
  <c r="CL86" i="1"/>
  <c r="CL58" i="1"/>
  <c r="CL43" i="1"/>
  <c r="CL62" i="1"/>
  <c r="CL47" i="1"/>
  <c r="CL87" i="1"/>
  <c r="CL70" i="1"/>
  <c r="CL69" i="1"/>
  <c r="CL59" i="1"/>
  <c r="CL38" i="1"/>
  <c r="CL37" i="1"/>
  <c r="CL46" i="1"/>
  <c r="CL31" i="1"/>
  <c r="CL44" i="1"/>
  <c r="CL254" i="1"/>
  <c r="CL49" i="1"/>
  <c r="CK55" i="1"/>
  <c r="CK37" i="1"/>
  <c r="CK87" i="1"/>
  <c r="CK32" i="1"/>
  <c r="CK58" i="1"/>
  <c r="CK86" i="1"/>
  <c r="CK69" i="1"/>
  <c r="CK70" i="1"/>
  <c r="CK48" i="1"/>
  <c r="CK44" i="1"/>
  <c r="CK45" i="1"/>
  <c r="CK62" i="1"/>
  <c r="CK31" i="1"/>
  <c r="CK38" i="1"/>
  <c r="CK36" i="1"/>
  <c r="CK59" i="1"/>
  <c r="CK47" i="1"/>
  <c r="CK43" i="1"/>
  <c r="CK74" i="1"/>
  <c r="CK46" i="1"/>
  <c r="CK68" i="1"/>
  <c r="CK33" i="1"/>
  <c r="Z70" i="1"/>
  <c r="CH68" i="1"/>
  <c r="CH38" i="1"/>
  <c r="X149" i="1"/>
  <c r="X177" i="1" s="1"/>
  <c r="Z145" i="1"/>
  <c r="CH145" i="1" s="1"/>
  <c r="CI145" i="1" s="1"/>
  <c r="Z46" i="1"/>
  <c r="Z178" i="1"/>
  <c r="CH178" i="1" s="1"/>
  <c r="CH62" i="1"/>
  <c r="CJ68" i="1"/>
  <c r="CJ32" i="1"/>
  <c r="X90" i="1"/>
  <c r="Y141" i="1"/>
  <c r="X70" i="1"/>
  <c r="Y44" i="1"/>
  <c r="X155" i="1"/>
  <c r="X140" i="1"/>
  <c r="Y140" i="1"/>
  <c r="Y32" i="1"/>
  <c r="Z194" i="1"/>
  <c r="Z101" i="1"/>
  <c r="Y173" i="1"/>
  <c r="Y155" i="1"/>
  <c r="X176" i="1"/>
  <c r="Y142" i="1"/>
  <c r="Y195" i="1"/>
  <c r="CI69" i="1"/>
  <c r="Y183" i="1"/>
  <c r="Z182" i="1"/>
  <c r="CH182" i="1" s="1"/>
  <c r="X48" i="1"/>
  <c r="CH55" i="1"/>
  <c r="CH217" i="1" s="1"/>
  <c r="CJ46" i="1"/>
  <c r="CI70" i="1"/>
  <c r="CJ47" i="1"/>
  <c r="CH58" i="1"/>
  <c r="CG59" i="1"/>
  <c r="X169" i="1"/>
  <c r="Y150" i="1"/>
  <c r="X101" i="1"/>
  <c r="Z59" i="1"/>
  <c r="Z187" i="1"/>
  <c r="CH187" i="1" s="1"/>
  <c r="CI187" i="1" s="1"/>
  <c r="X194" i="1"/>
  <c r="Y69" i="1"/>
  <c r="Z186" i="1"/>
  <c r="CH186" i="1" s="1"/>
  <c r="CI186" i="1" s="1"/>
  <c r="Y174" i="1"/>
  <c r="X174" i="1"/>
  <c r="X55" i="1"/>
  <c r="Z160" i="1"/>
  <c r="CH160" i="1" s="1"/>
  <c r="CI160" i="1" s="1"/>
  <c r="CH36" i="1"/>
  <c r="CG48" i="1"/>
  <c r="CJ44" i="1"/>
  <c r="Y55" i="1"/>
  <c r="Y217" i="1" s="1"/>
  <c r="Y163" i="1"/>
  <c r="Z142" i="1"/>
  <c r="CH142" i="1" s="1"/>
  <c r="CJ37" i="1"/>
  <c r="CG68" i="1"/>
  <c r="CG58" i="1"/>
  <c r="CI31" i="1"/>
  <c r="CG36" i="1"/>
  <c r="CG45" i="1"/>
  <c r="CH69" i="1"/>
  <c r="CH31" i="1"/>
  <c r="CH74" i="1"/>
  <c r="CG38" i="1"/>
  <c r="CJ59" i="1"/>
  <c r="CI68" i="1"/>
  <c r="CJ43" i="1"/>
  <c r="CN43" i="1" s="1"/>
  <c r="CR43" i="1" s="1"/>
  <c r="CV43" i="1" s="1"/>
  <c r="CZ43" i="1" s="1"/>
  <c r="X158" i="1"/>
  <c r="X154" i="1" s="1"/>
  <c r="Y149" i="1"/>
  <c r="Y177" i="1" s="1"/>
  <c r="Z58" i="1"/>
  <c r="Y68" i="1"/>
  <c r="X160" i="1"/>
  <c r="Y187" i="1"/>
  <c r="X32" i="1"/>
  <c r="X195" i="1"/>
  <c r="Z55" i="1"/>
  <c r="X150" i="1"/>
  <c r="X148" i="1"/>
  <c r="CI58" i="1"/>
  <c r="CH37" i="1"/>
  <c r="CI45" i="1"/>
  <c r="CH70" i="1"/>
  <c r="CJ87" i="1"/>
  <c r="CI87" i="1" s="1"/>
  <c r="CH87" i="1" s="1"/>
  <c r="CG87" i="1" s="1"/>
  <c r="CF87" i="1" s="1"/>
  <c r="CE87" i="1" s="1"/>
  <c r="CD87" i="1" s="1"/>
  <c r="CC87" i="1" s="1"/>
  <c r="CB87" i="1" s="1"/>
  <c r="CA87" i="1" s="1"/>
  <c r="BZ87" i="1" s="1"/>
  <c r="BY87" i="1" s="1"/>
  <c r="BX87" i="1" s="1"/>
  <c r="BW87" i="1" s="1"/>
  <c r="BV87" i="1" s="1"/>
  <c r="BU87" i="1" s="1"/>
  <c r="BT87" i="1" s="1"/>
  <c r="BS87" i="1" s="1"/>
  <c r="BR87" i="1" s="1"/>
  <c r="BQ87" i="1" s="1"/>
  <c r="BP87" i="1" s="1"/>
  <c r="BO87" i="1" s="1"/>
  <c r="BN87" i="1" s="1"/>
  <c r="BM87" i="1" s="1"/>
  <c r="BL87" i="1" s="1"/>
  <c r="BK87" i="1" s="1"/>
  <c r="BJ87" i="1" s="1"/>
  <c r="BI87" i="1" s="1"/>
  <c r="BH87" i="1" s="1"/>
  <c r="BG87" i="1" s="1"/>
  <c r="BF87" i="1" s="1"/>
  <c r="BE87" i="1" s="1"/>
  <c r="BD87" i="1" s="1"/>
  <c r="BC87" i="1" s="1"/>
  <c r="BB87" i="1" s="1"/>
  <c r="BA87" i="1" s="1"/>
  <c r="AZ87" i="1" s="1"/>
  <c r="AY87" i="1" s="1"/>
  <c r="AX87" i="1" s="1"/>
  <c r="AW87" i="1" s="1"/>
  <c r="AV87" i="1" s="1"/>
  <c r="AU87" i="1" s="1"/>
  <c r="AT87" i="1" s="1"/>
  <c r="AS87" i="1" s="1"/>
  <c r="AR87" i="1" s="1"/>
  <c r="AQ87" i="1" s="1"/>
  <c r="AP87" i="1" s="1"/>
  <c r="AO87" i="1" s="1"/>
  <c r="AN87" i="1" s="1"/>
  <c r="AM87" i="1" s="1"/>
  <c r="AL87" i="1" s="1"/>
  <c r="AK87" i="1" s="1"/>
  <c r="AJ87" i="1" s="1"/>
  <c r="AI87" i="1" s="1"/>
  <c r="CG46" i="1"/>
  <c r="CJ55" i="1"/>
  <c r="CG37" i="1"/>
  <c r="Z69" i="1"/>
  <c r="Z174" i="1"/>
  <c r="CH174" i="1" s="1"/>
  <c r="X62" i="1"/>
  <c r="Z68" i="1"/>
  <c r="X168" i="1"/>
  <c r="Y145" i="1"/>
  <c r="X178" i="1"/>
  <c r="Z47" i="1"/>
  <c r="X145" i="1"/>
  <c r="Z156" i="1"/>
  <c r="CH156" i="1" s="1"/>
  <c r="CI156" i="1" s="1"/>
  <c r="Z163" i="1"/>
  <c r="Z38" i="1"/>
  <c r="X36" i="1"/>
  <c r="Y100" i="1"/>
  <c r="Y193" i="1"/>
  <c r="Z193" i="1"/>
  <c r="X147" i="1"/>
  <c r="Y74" i="1"/>
  <c r="Y48" i="1"/>
  <c r="Y182" i="1"/>
  <c r="Z141" i="1"/>
  <c r="CH141" i="1" s="1"/>
  <c r="CI141" i="1" s="1"/>
  <c r="Y58" i="1"/>
  <c r="Y178" i="1"/>
  <c r="Z102" i="1"/>
  <c r="Z166" i="1"/>
  <c r="CH166" i="1" s="1"/>
  <c r="Z150" i="1"/>
  <c r="CH150" i="1" s="1"/>
  <c r="CI150" i="1" s="1"/>
  <c r="Y166" i="1"/>
  <c r="Y31" i="1"/>
  <c r="Y254" i="1" s="1"/>
  <c r="CG69" i="1"/>
  <c r="CJ86" i="1"/>
  <c r="CI86" i="1" s="1"/>
  <c r="CH86" i="1" s="1"/>
  <c r="CG86" i="1" s="1"/>
  <c r="CF86" i="1" s="1"/>
  <c r="CE86" i="1" s="1"/>
  <c r="CD86" i="1" s="1"/>
  <c r="CC86" i="1" s="1"/>
  <c r="CB86" i="1" s="1"/>
  <c r="CA86" i="1" s="1"/>
  <c r="BZ86" i="1" s="1"/>
  <c r="BY86" i="1" s="1"/>
  <c r="BX86" i="1" s="1"/>
  <c r="BW86" i="1" s="1"/>
  <c r="BV86" i="1" s="1"/>
  <c r="BU86" i="1" s="1"/>
  <c r="BT86" i="1" s="1"/>
  <c r="BS86" i="1" s="1"/>
  <c r="BR86" i="1" s="1"/>
  <c r="BQ86" i="1" s="1"/>
  <c r="BP86" i="1" s="1"/>
  <c r="BO86" i="1" s="1"/>
  <c r="BN86" i="1" s="1"/>
  <c r="BM86" i="1" s="1"/>
  <c r="BL86" i="1" s="1"/>
  <c r="BK86" i="1" s="1"/>
  <c r="BJ86" i="1" s="1"/>
  <c r="BI86" i="1" s="1"/>
  <c r="BH86" i="1" s="1"/>
  <c r="BG86" i="1" s="1"/>
  <c r="BF86" i="1" s="1"/>
  <c r="BE86" i="1" s="1"/>
  <c r="BD86" i="1" s="1"/>
  <c r="BC86" i="1" s="1"/>
  <c r="BB86" i="1" s="1"/>
  <c r="BA86" i="1" s="1"/>
  <c r="AZ86" i="1" s="1"/>
  <c r="AY86" i="1" s="1"/>
  <c r="AX86" i="1" s="1"/>
  <c r="AW86" i="1" s="1"/>
  <c r="AV86" i="1" s="1"/>
  <c r="AU86" i="1" s="1"/>
  <c r="AT86" i="1" s="1"/>
  <c r="AS86" i="1" s="1"/>
  <c r="AR86" i="1" s="1"/>
  <c r="AQ86" i="1" s="1"/>
  <c r="AP86" i="1" s="1"/>
  <c r="AO86" i="1" s="1"/>
  <c r="AN86" i="1" s="1"/>
  <c r="AM86" i="1" s="1"/>
  <c r="AL86" i="1" s="1"/>
  <c r="AK86" i="1" s="1"/>
  <c r="AJ86" i="1" s="1"/>
  <c r="AI86" i="1" s="1"/>
  <c r="CH48" i="1"/>
  <c r="CH45" i="1"/>
  <c r="CJ69" i="1"/>
  <c r="CG55" i="1"/>
  <c r="CI74" i="1"/>
  <c r="CI62" i="1"/>
  <c r="CG74" i="1"/>
  <c r="CH46" i="1"/>
  <c r="CJ31" i="1"/>
  <c r="CI46" i="1"/>
  <c r="CJ38" i="1"/>
  <c r="CJ36" i="1"/>
  <c r="CG31" i="1"/>
  <c r="CG254" i="1" s="1"/>
  <c r="CI44" i="1"/>
  <c r="CH43" i="1"/>
  <c r="CP43" i="1" s="1"/>
  <c r="CT43" i="1" s="1"/>
  <c r="CX43" i="1" s="1"/>
  <c r="DB43" i="1" s="1"/>
  <c r="CI55" i="1"/>
  <c r="CI217" i="1" s="1"/>
  <c r="CG47" i="1"/>
  <c r="X183" i="1"/>
  <c r="Y159" i="1"/>
  <c r="Y46" i="1"/>
  <c r="Z140" i="1"/>
  <c r="CH140" i="1" s="1"/>
  <c r="CI140" i="1" s="1"/>
  <c r="X59" i="1"/>
  <c r="Y158" i="1"/>
  <c r="Y154" i="1" s="1"/>
  <c r="Y70" i="1"/>
  <c r="Y38" i="1"/>
  <c r="X163" i="1"/>
  <c r="Y45" i="1"/>
  <c r="X46" i="1"/>
  <c r="X172" i="1"/>
  <c r="X100" i="1"/>
  <c r="Y170" i="1"/>
  <c r="Y194" i="1"/>
  <c r="Z167" i="1"/>
  <c r="CH167" i="1" s="1"/>
  <c r="Z155" i="1"/>
  <c r="CH155" i="1" s="1"/>
  <c r="Y169" i="1"/>
  <c r="Z36" i="1"/>
  <c r="Z31" i="1"/>
  <c r="Y168" i="1"/>
  <c r="Z74" i="1"/>
  <c r="Z172" i="1"/>
  <c r="CH172" i="1" s="1"/>
  <c r="Z158" i="1"/>
  <c r="CH158" i="1" s="1"/>
  <c r="CI158" i="1" s="1"/>
  <c r="Y36" i="1"/>
  <c r="Y186" i="1"/>
  <c r="X69" i="1"/>
  <c r="X170" i="1"/>
  <c r="Z169" i="1"/>
  <c r="CH169" i="1" s="1"/>
  <c r="Z62" i="1"/>
  <c r="Y43" i="1"/>
  <c r="X186" i="1"/>
  <c r="Z148" i="1"/>
  <c r="CH148" i="1" s="1"/>
  <c r="CI148" i="1" s="1"/>
  <c r="X102" i="1"/>
  <c r="X45" i="1"/>
  <c r="X141" i="1"/>
  <c r="Y90" i="1"/>
  <c r="Z100" i="1"/>
  <c r="X44" i="1"/>
  <c r="X142" i="1"/>
  <c r="Y101" i="1"/>
  <c r="Z149" i="1"/>
  <c r="CH149" i="1" s="1"/>
  <c r="CI149" i="1" s="1"/>
  <c r="Y59" i="1"/>
  <c r="Y147" i="1"/>
  <c r="X31" i="1"/>
  <c r="X254" i="1" s="1"/>
  <c r="CI47" i="1"/>
  <c r="CJ62" i="1"/>
  <c r="CH47" i="1"/>
  <c r="CI37" i="1"/>
  <c r="CJ58" i="1"/>
  <c r="CI38" i="1"/>
  <c r="CI36" i="1"/>
  <c r="CG62" i="1"/>
  <c r="CG43" i="1"/>
  <c r="CH59" i="1"/>
  <c r="CI59" i="1"/>
  <c r="CI43" i="1"/>
  <c r="CM43" i="1" s="1"/>
  <c r="CQ43" i="1" s="1"/>
  <c r="CU43" i="1" s="1"/>
  <c r="CY43" i="1" s="1"/>
  <c r="CJ45" i="1"/>
  <c r="CJ48" i="1"/>
  <c r="CH44" i="1"/>
  <c r="CE62" i="1"/>
  <c r="CG70" i="1"/>
  <c r="CJ70" i="1"/>
  <c r="CG32" i="1"/>
  <c r="CG44" i="1"/>
  <c r="CI48" i="1"/>
  <c r="CJ74" i="1"/>
  <c r="CH32" i="1"/>
  <c r="CI32" i="1"/>
  <c r="Y165" i="1"/>
  <c r="X74" i="1"/>
  <c r="Z147" i="1"/>
  <c r="CH147" i="1" s="1"/>
  <c r="CI147" i="1" s="1"/>
  <c r="Y156" i="1"/>
  <c r="Y47" i="1"/>
  <c r="X68" i="1"/>
  <c r="Z195" i="1"/>
  <c r="X38" i="1"/>
  <c r="Y172" i="1"/>
  <c r="Z183" i="1"/>
  <c r="CH183" i="1" s="1"/>
  <c r="X165" i="1"/>
  <c r="Y176" i="1"/>
  <c r="Y62" i="1"/>
  <c r="Z32" i="1"/>
  <c r="Z173" i="1"/>
  <c r="CH173" i="1" s="1"/>
  <c r="Y102" i="1"/>
  <c r="X58" i="1"/>
  <c r="X159" i="1"/>
  <c r="Z159" i="1"/>
  <c r="CH159" i="1" s="1"/>
  <c r="CI159" i="1" s="1"/>
  <c r="Z170" i="1"/>
  <c r="CH170" i="1" s="1"/>
  <c r="X156" i="1"/>
  <c r="Z43" i="1"/>
  <c r="Z168" i="1"/>
  <c r="CH168" i="1" s="1"/>
  <c r="Z165" i="1"/>
  <c r="CH165" i="1" s="1"/>
  <c r="X182" i="1"/>
  <c r="X173" i="1"/>
  <c r="Y148" i="1"/>
  <c r="Z44" i="1"/>
  <c r="Z45" i="1"/>
  <c r="Z90" i="1"/>
  <c r="Z48" i="1"/>
  <c r="X167" i="1"/>
  <c r="Y160" i="1"/>
  <c r="Y167" i="1"/>
  <c r="X187" i="1"/>
  <c r="X47" i="1"/>
  <c r="X43" i="1"/>
  <c r="Z176" i="1"/>
  <c r="CH176" i="1" s="1"/>
  <c r="X166" i="1"/>
  <c r="X193" i="1"/>
  <c r="JP9" i="4" s="1"/>
  <c r="JP16" i="4" s="1"/>
  <c r="JO16" i="4" s="1"/>
  <c r="JO9" i="4" s="1"/>
  <c r="JN9" i="4" s="1"/>
  <c r="JN16" i="4" s="1"/>
  <c r="BP61" i="3"/>
  <c r="BM82" i="3"/>
  <c r="BB68" i="3"/>
  <c r="BB76" i="3"/>
  <c r="BL86" i="3"/>
  <c r="Z111" i="2"/>
  <c r="BP58" i="3"/>
  <c r="BL58" i="3"/>
  <c r="BQ70" i="3"/>
  <c r="BO67" i="3"/>
  <c r="BR66" i="3"/>
  <c r="BN93" i="3"/>
  <c r="BL95" i="3"/>
  <c r="BK81" i="3"/>
  <c r="FR15" i="4" a="1"/>
  <c r="BA90" i="3"/>
  <c r="BG71" i="3"/>
  <c r="BG57" i="3"/>
  <c r="BA57" i="3"/>
  <c r="BE57" i="3"/>
  <c r="BV77" i="3"/>
  <c r="BU56" i="3"/>
  <c r="BV66" i="3"/>
  <c r="Y112" i="2"/>
  <c r="BF70" i="3"/>
  <c r="HG5" i="4" a="1"/>
  <c r="BJ86" i="3"/>
  <c r="BT49" i="3"/>
  <c r="BK68" i="3"/>
  <c r="BB50" i="3"/>
  <c r="BP59" i="3"/>
  <c r="BL47" i="3"/>
  <c r="BQ79" i="3"/>
  <c r="BO74" i="3"/>
  <c r="BR80" i="3"/>
  <c r="BN61" i="3"/>
  <c r="BL50" i="3"/>
  <c r="BK77" i="3"/>
  <c r="FY9" i="4" a="1"/>
  <c r="FU14" i="4" a="1"/>
  <c r="FP14" i="4" a="1"/>
  <c r="BP83" i="3"/>
  <c r="BM77" i="3"/>
  <c r="BB90" i="3"/>
  <c r="BB80" i="3"/>
  <c r="BL56" i="3"/>
  <c r="BU74" i="3"/>
  <c r="BS78" i="3"/>
  <c r="BV88" i="3"/>
  <c r="BN97" i="3"/>
  <c r="BH59" i="3"/>
  <c r="BR56" i="3"/>
  <c r="BB69" i="3"/>
  <c r="BI74" i="3"/>
  <c r="BL80" i="3"/>
  <c r="BQ81" i="3"/>
  <c r="BA50" i="3"/>
  <c r="BG65" i="3"/>
  <c r="BH68" i="3"/>
  <c r="BC60" i="3"/>
  <c r="BE88" i="3"/>
  <c r="BV60" i="3"/>
  <c r="BU71" i="3"/>
  <c r="BT59" i="3"/>
  <c r="BO54" i="3"/>
  <c r="BJ82" i="3"/>
  <c r="HF7" i="4" a="1"/>
  <c r="GS9" i="4" a="1"/>
  <c r="GV14" i="4" a="1"/>
  <c r="GV5" i="4" a="1"/>
  <c r="GR14" i="4" a="1"/>
  <c r="FM13" i="4" a="1"/>
  <c r="BA49" i="3"/>
  <c r="BG88" i="3"/>
  <c r="BG93" i="3"/>
  <c r="BA79" i="3"/>
  <c r="BE93" i="3"/>
  <c r="BR57" i="3"/>
  <c r="BS56" i="3"/>
  <c r="BV55" i="3"/>
  <c r="BF55" i="3"/>
  <c r="BF58" i="3"/>
  <c r="FS5" i="4" a="1"/>
  <c r="GU11" i="4" a="1"/>
  <c r="FX11" i="4" a="1"/>
  <c r="GO6" i="4" a="1"/>
  <c r="BP64" i="3"/>
  <c r="BM71" i="3"/>
  <c r="BD94" i="3"/>
  <c r="BH67" i="3"/>
  <c r="BF94" i="3"/>
  <c r="BO66" i="3"/>
  <c r="BR88" i="3"/>
  <c r="BE85" i="3"/>
  <c r="BC94" i="3"/>
  <c r="BB49" i="3"/>
  <c r="BI93" i="3"/>
  <c r="BL57" i="3"/>
  <c r="BQ94" i="3"/>
  <c r="BL48" i="3"/>
  <c r="BV50" i="3"/>
  <c r="BI79" i="3"/>
  <c r="GJ13" i="4" a="1"/>
  <c r="HH15" i="4" a="1"/>
  <c r="GQ15" i="4" a="1"/>
  <c r="BD71" i="3"/>
  <c r="GA6" i="4" a="1"/>
  <c r="GJ16" i="4" a="1"/>
  <c r="BL65" i="3"/>
  <c r="BV95" i="3"/>
  <c r="BI87" i="3"/>
  <c r="GF14" i="4" a="1"/>
  <c r="BE90" i="3"/>
  <c r="BS93" i="3"/>
  <c r="BO56" i="3"/>
  <c r="BK71" i="3"/>
  <c r="FJ9" i="4" a="1"/>
  <c r="FP7" i="4" a="1"/>
  <c r="GH13" i="4" a="1"/>
  <c r="HG9" i="4" a="1"/>
  <c r="GY9" i="4" a="1"/>
  <c r="GI15" i="4" a="1"/>
  <c r="BM94" i="3"/>
  <c r="BO79" i="3"/>
  <c r="BP75" i="3"/>
  <c r="BK87" i="3"/>
  <c r="FQ8" i="4" a="1"/>
  <c r="GD9" i="4" a="1"/>
  <c r="GN12" i="4" a="1"/>
  <c r="FS12" i="4" a="1"/>
  <c r="GQ16" i="4" a="1"/>
  <c r="GU16" i="4" a="1"/>
  <c r="BD72" i="3"/>
  <c r="BH74" i="3"/>
  <c r="BR95" i="3"/>
  <c r="BE91" i="3"/>
  <c r="HH9" i="4" a="1"/>
  <c r="HD7" i="4" a="1"/>
  <c r="GW9" i="4" a="1"/>
  <c r="GG11" i="4" a="1"/>
  <c r="GI14" i="4" a="1"/>
  <c r="BC66" i="3"/>
  <c r="FI16" i="4" a="1"/>
  <c r="BL77" i="3"/>
  <c r="BR85" i="3"/>
  <c r="BE65" i="3"/>
  <c r="FR11" i="4" a="1"/>
  <c r="FU8" i="4" a="1"/>
  <c r="HE9" i="4" a="1"/>
  <c r="GR11" i="4" a="1"/>
  <c r="FH15" i="4" a="1"/>
  <c r="BC68" i="3"/>
  <c r="BV59" i="3"/>
  <c r="BN82" i="3"/>
  <c r="BJ62" i="3"/>
  <c r="FQ12" i="4" a="1"/>
  <c r="FW8" i="4" a="1"/>
  <c r="FN7" i="4" a="1"/>
  <c r="FT16" i="4" a="1"/>
  <c r="HC15" i="4" a="1"/>
  <c r="BD68" i="3"/>
  <c r="BU84" i="3"/>
  <c r="GB6" i="4" a="1"/>
  <c r="FR12" i="4" a="1"/>
  <c r="BD58" i="3"/>
  <c r="BD54" i="3"/>
  <c r="BF95" i="3"/>
  <c r="BO93" i="3"/>
  <c r="GC5" i="4" a="1"/>
  <c r="GH11" i="4" a="1"/>
  <c r="HF5" i="4" a="1"/>
  <c r="HF13" i="4" a="1"/>
  <c r="GI12" i="4" a="1"/>
  <c r="FS14" i="4" a="1"/>
  <c r="BD61" i="3"/>
  <c r="BH93" i="3"/>
  <c r="FK13" i="4" a="1"/>
  <c r="HH14" i="4" a="1"/>
  <c r="FV8" i="4" a="1"/>
  <c r="BP68" i="3"/>
  <c r="BF97" i="3"/>
  <c r="BS67" i="3"/>
  <c r="FP5" i="4" a="1"/>
  <c r="GB12" i="4" a="1"/>
  <c r="FT9" i="4" a="1"/>
  <c r="FL14" i="4" a="1"/>
  <c r="FX13" i="4" a="1"/>
  <c r="BC54" i="3"/>
  <c r="BL70" i="3"/>
  <c r="BR79" i="3"/>
  <c r="BI56" i="3"/>
  <c r="GJ12" i="4" a="1"/>
  <c r="FW9" i="4" a="1"/>
  <c r="GA11" i="4" a="1"/>
  <c r="FU13" i="4" a="1"/>
  <c r="BI88" i="3"/>
  <c r="BU62" i="3"/>
  <c r="BS74" i="3"/>
  <c r="FX6" i="4" a="1"/>
  <c r="FS13" i="4" a="1"/>
  <c r="FL7" i="4" a="1"/>
  <c r="FT14" i="4" a="1"/>
  <c r="HH13" i="4" a="1"/>
  <c r="BC90" i="3"/>
  <c r="BK58" i="3"/>
  <c r="HB6" i="4" a="1"/>
  <c r="GD6" i="4" a="1"/>
  <c r="BD59" i="3"/>
  <c r="BG69" i="3"/>
  <c r="BP77" i="3"/>
  <c r="BB66" i="3"/>
  <c r="BL91" i="3"/>
  <c r="BS65" i="3"/>
  <c r="BN83" i="3"/>
  <c r="BK56" i="3"/>
  <c r="BQ49" i="3"/>
  <c r="BP47" i="3"/>
  <c r="BI76" i="3"/>
  <c r="BU65" i="3"/>
  <c r="BS79" i="3"/>
  <c r="FQ7" i="4" a="1"/>
  <c r="BP80" i="3"/>
  <c r="BB94" i="3"/>
  <c r="BL59" i="3"/>
  <c r="BS55" i="3"/>
  <c r="BN91" i="3"/>
  <c r="BK54" i="3"/>
  <c r="GS8" i="4" a="1"/>
  <c r="BA69" i="3"/>
  <c r="BH54" i="3"/>
  <c r="BC85" i="3"/>
  <c r="BV65" i="3"/>
  <c r="BT63" i="3"/>
  <c r="BA67" i="3"/>
  <c r="BG94" i="3"/>
  <c r="BE72" i="3"/>
  <c r="BP73" i="3"/>
  <c r="BD49" i="3"/>
  <c r="BF47" i="3"/>
  <c r="BU70" i="3"/>
  <c r="BS54" i="3"/>
  <c r="GH9" i="4" a="1"/>
  <c r="FT6" i="4" a="1"/>
  <c r="FZ14" i="4" a="1"/>
  <c r="BA92" i="3"/>
  <c r="BF90" i="3"/>
  <c r="BI54" i="3"/>
  <c r="BU91" i="3"/>
  <c r="BS62" i="3"/>
  <c r="FG6" i="4" a="1"/>
  <c r="HC7" i="4" a="1"/>
  <c r="BC72" i="3"/>
  <c r="BI89" i="3"/>
  <c r="BQ97" i="3"/>
  <c r="BR94" i="3"/>
  <c r="BP66" i="3"/>
  <c r="BB86" i="3"/>
  <c r="BR70" i="3"/>
  <c r="BT86" i="3"/>
  <c r="GC12" i="4" a="1"/>
  <c r="GK16" i="4" a="1"/>
  <c r="GP12" i="4" a="1"/>
  <c r="BU78" i="3"/>
  <c r="BJ89" i="3"/>
  <c r="BH85" i="3"/>
  <c r="BE89" i="3"/>
  <c r="GZ8" i="4" a="1"/>
  <c r="FG15" i="4" a="1"/>
  <c r="GC13" i="4" a="1"/>
  <c r="BD95" i="3"/>
  <c r="BU96" i="3"/>
  <c r="GL6" i="4" a="1"/>
  <c r="GC9" i="4" a="1"/>
  <c r="GL14" i="4" a="1"/>
  <c r="BC89" i="3"/>
  <c r="BF54" i="3"/>
  <c r="BJ49" i="3"/>
  <c r="FI9" i="4" a="1"/>
  <c r="HC12" i="4" a="1"/>
  <c r="FQ15" i="4" a="1"/>
  <c r="GD12" i="4" a="1"/>
  <c r="BT77" i="3"/>
  <c r="GQ8" i="4" a="1"/>
  <c r="HF12" i="4" a="1"/>
  <c r="GT15" i="4" a="1"/>
  <c r="BB97" i="3"/>
  <c r="BF81" i="3"/>
  <c r="FJ5" i="4" a="1"/>
  <c r="GD14" i="4" a="1"/>
  <c r="BB47" i="3"/>
  <c r="GF5" i="4" a="1"/>
  <c r="FI11" i="4" a="1"/>
  <c r="BR69" i="3"/>
  <c r="BE77" i="3"/>
  <c r="GP5" i="4" a="1"/>
  <c r="FV12" i="4" a="1"/>
  <c r="BC79" i="3"/>
  <c r="BK55" i="3"/>
  <c r="GX16" i="4" a="1"/>
  <c r="HE7" i="4" a="1"/>
  <c r="BL78" i="3"/>
  <c r="BI71" i="3"/>
  <c r="FT12" i="4" a="1"/>
  <c r="FS11" i="4" a="1"/>
  <c r="GU9" i="4" a="1"/>
  <c r="BQ66" i="3"/>
  <c r="BJ72" i="3"/>
  <c r="GK6" i="4" a="1"/>
  <c r="HD15" i="4" a="1"/>
  <c r="BR68" i="3"/>
  <c r="GQ13" i="4" a="1"/>
  <c r="GE11" i="4" a="1"/>
  <c r="FY11" i="4" a="1"/>
  <c r="FJ7" i="4" a="1"/>
  <c r="GS11" i="4" a="1"/>
  <c r="BA95" i="3"/>
  <c r="BE96" i="3"/>
  <c r="BP76" i="3"/>
  <c r="BA76" i="3"/>
  <c r="BS86" i="3"/>
  <c r="BP82" i="3"/>
  <c r="BK89" i="3"/>
  <c r="BH78" i="3"/>
  <c r="BD55" i="3"/>
  <c r="BH88" i="3"/>
  <c r="BO80" i="3"/>
  <c r="BN86" i="3"/>
  <c r="BJ67" i="3"/>
  <c r="BQ85" i="3"/>
  <c r="BP89" i="3"/>
  <c r="BG64" i="3"/>
  <c r="BE84" i="3"/>
  <c r="BS69" i="3"/>
  <c r="BF67" i="3"/>
  <c r="GT14" i="4" a="1"/>
  <c r="FZ9" i="4" a="1"/>
  <c r="BA84" i="3"/>
  <c r="BM92" i="3"/>
  <c r="BI94" i="3"/>
  <c r="BU85" i="3"/>
  <c r="BO91" i="3"/>
  <c r="BG83" i="3"/>
  <c r="BC57" i="3"/>
  <c r="BV81" i="3"/>
  <c r="BF83" i="3"/>
  <c r="BH82" i="3"/>
  <c r="BO94" i="3"/>
  <c r="BN67" i="3"/>
  <c r="BJ77" i="3"/>
  <c r="GS5" i="4" a="1"/>
  <c r="FY13" i="4" a="1"/>
  <c r="GK13" i="4" a="1"/>
  <c r="BM61" i="3"/>
  <c r="BH69" i="3"/>
  <c r="BO63" i="3"/>
  <c r="BT89" i="3"/>
  <c r="BJ94" i="3"/>
  <c r="HF8" i="4" a="1"/>
  <c r="BK78" i="3"/>
  <c r="BB63" i="3"/>
  <c r="BL94" i="3"/>
  <c r="BS68" i="3"/>
  <c r="BA73" i="3"/>
  <c r="BG56" i="3"/>
  <c r="BE50" i="3"/>
  <c r="BT93" i="3"/>
  <c r="HH5" i="4" a="1"/>
  <c r="FV9" i="4" a="1"/>
  <c r="GS14" i="4" a="1"/>
  <c r="BQ77" i="3"/>
  <c r="BN90" i="3"/>
  <c r="GN8" i="4" a="1"/>
  <c r="BI61" i="3"/>
  <c r="GF8" i="4" a="1"/>
  <c r="GA12" i="4" a="1"/>
  <c r="BB93" i="3"/>
  <c r="BR47" i="3"/>
  <c r="GK7" i="4" a="1"/>
  <c r="HC9" i="4" a="1"/>
  <c r="BC59" i="3"/>
  <c r="GS15" i="4" a="1"/>
  <c r="BT97" i="3"/>
  <c r="GJ6" i="4" a="1"/>
  <c r="GZ13" i="4" a="1"/>
  <c r="GY15" i="4" a="1"/>
  <c r="BD79" i="3"/>
  <c r="BT66" i="3"/>
  <c r="GD7" i="4" a="1"/>
  <c r="HE6" i="4" a="1"/>
  <c r="FR16" i="4" a="1"/>
  <c r="BD83" i="3"/>
  <c r="BO83" i="3"/>
  <c r="FH8" i="4" a="1"/>
  <c r="HC13" i="4" a="1"/>
  <c r="GN13" i="4" a="1"/>
  <c r="BM63" i="3"/>
  <c r="FP15" i="4" a="1"/>
  <c r="BE71" i="3"/>
  <c r="BM87" i="3"/>
  <c r="GH5" i="4" a="1"/>
  <c r="FO12" i="4" a="1"/>
  <c r="FL15" i="4" a="1"/>
  <c r="BD48" i="3"/>
  <c r="BK94" i="3"/>
  <c r="GT12" i="4" a="1"/>
  <c r="BI68" i="3"/>
  <c r="BM55" i="3"/>
  <c r="GM11" i="4" a="1"/>
  <c r="FS15" i="4" a="1"/>
  <c r="BF79" i="3"/>
  <c r="BN50" i="3"/>
  <c r="HG13" i="4" a="1"/>
  <c r="FP9" i="4" a="1"/>
  <c r="BI59" i="3"/>
  <c r="BF64" i="3"/>
  <c r="GG12" i="4" a="1"/>
  <c r="GF15" i="4" a="1"/>
  <c r="BD74" i="3"/>
  <c r="BM80" i="3"/>
  <c r="BG76" i="3"/>
  <c r="BA61" i="3"/>
  <c r="BV56" i="3"/>
  <c r="BV87" i="3"/>
  <c r="BF72" i="3"/>
  <c r="BP60" i="3"/>
  <c r="BL90" i="3"/>
  <c r="BP49" i="3"/>
  <c r="BQ86" i="3"/>
  <c r="BR84" i="3"/>
  <c r="BL85" i="3"/>
  <c r="FT7" i="4" a="1"/>
  <c r="BA96" i="3"/>
  <c r="BH55" i="3"/>
  <c r="BE61" i="3"/>
  <c r="BU59" i="3"/>
  <c r="BO47" i="3"/>
  <c r="GN6" i="4" a="1"/>
  <c r="GD13" i="4" a="1"/>
  <c r="FM14" i="4" a="1"/>
  <c r="BM49" i="3"/>
  <c r="BD88" i="3"/>
  <c r="BF71" i="3"/>
  <c r="BU88" i="3"/>
  <c r="BS89" i="3"/>
  <c r="BE62" i="3"/>
  <c r="BQ55" i="3"/>
  <c r="BT80" i="3"/>
  <c r="BB65" i="3"/>
  <c r="BL93" i="3"/>
  <c r="BO82" i="3"/>
  <c r="BN48" i="3"/>
  <c r="BK83" i="3"/>
  <c r="FI7" i="4" a="1"/>
  <c r="FM8" i="4" a="1"/>
  <c r="BG59" i="3"/>
  <c r="BF63" i="3"/>
  <c r="BH84" i="3"/>
  <c r="BF85" i="3"/>
  <c r="BR60" i="3"/>
  <c r="BH97" i="3"/>
  <c r="GA13" i="4" a="1"/>
  <c r="GZ6" i="4" a="1"/>
  <c r="BP71" i="3"/>
  <c r="BB54" i="3"/>
  <c r="BR62" i="3"/>
  <c r="BV58" i="3"/>
  <c r="BG49" i="3"/>
  <c r="BD86" i="3"/>
  <c r="BM72" i="3"/>
  <c r="BN87" i="3"/>
  <c r="FY14" i="4" a="1"/>
  <c r="BC70" i="3"/>
  <c r="GB14" i="4" a="1"/>
  <c r="BO65" i="3"/>
  <c r="BK48" i="3"/>
  <c r="BF61" i="3"/>
  <c r="BF96" i="3"/>
  <c r="HA7" i="4" a="1"/>
  <c r="GU12" i="4" a="1"/>
  <c r="HC14" i="4" a="1"/>
  <c r="GS13" i="4" a="1"/>
  <c r="BV67" i="3"/>
  <c r="GH8" i="4" a="1"/>
  <c r="HA11" i="4" a="1"/>
  <c r="GL12" i="4" a="1"/>
  <c r="BD69" i="3"/>
  <c r="BN76" i="3"/>
  <c r="BJ83" i="3"/>
  <c r="HD9" i="4" a="1"/>
  <c r="GP16" i="4" a="1"/>
  <c r="BO55" i="3"/>
  <c r="BJ85" i="3"/>
  <c r="FN11" i="4" a="1"/>
  <c r="GR16" i="4" a="1"/>
  <c r="BA86" i="3"/>
  <c r="BG48" i="3"/>
  <c r="GI5" i="4" a="1"/>
  <c r="GZ14" i="4" a="1"/>
  <c r="BC63" i="3"/>
  <c r="BJ60" i="3"/>
  <c r="FV15" i="4" a="1"/>
  <c r="BQ84" i="3"/>
  <c r="BJ58" i="3"/>
  <c r="FN5" i="4" a="1"/>
  <c r="GX15" i="4" a="1"/>
  <c r="BD57" i="3"/>
  <c r="FL5" i="4" a="1"/>
  <c r="HH8" i="4" a="1"/>
  <c r="BQ90" i="3"/>
  <c r="BJ66" i="3"/>
  <c r="GJ5" i="4" a="1"/>
  <c r="HB15" i="4" a="1"/>
  <c r="BG81" i="3"/>
  <c r="GZ12" i="4" a="1"/>
  <c r="HB16" i="4" a="1"/>
  <c r="BT65" i="3"/>
  <c r="FT8" i="4" a="1"/>
  <c r="GG13" i="4" a="1"/>
  <c r="GO15" i="4" a="1"/>
  <c r="FH14" i="4" a="1"/>
  <c r="GF12" i="4" a="1"/>
  <c r="BP92" i="3"/>
  <c r="BM79" i="3"/>
  <c r="BA91" i="3"/>
  <c r="BD73" i="3"/>
  <c r="BT50" i="3"/>
  <c r="BT96" i="3"/>
  <c r="BJ68" i="3"/>
  <c r="BG79" i="3"/>
  <c r="BB70" i="3"/>
  <c r="BL62" i="3"/>
  <c r="BS80" i="3"/>
  <c r="BN96" i="3"/>
  <c r="BK80" i="3"/>
  <c r="BL97" i="3"/>
  <c r="BE82" i="3"/>
  <c r="BQ50" i="3"/>
  <c r="BT92" i="3"/>
  <c r="BT57" i="3"/>
  <c r="BJ76" i="3"/>
  <c r="GK8" i="4" a="1"/>
  <c r="FM6" i="4" a="1"/>
  <c r="BH72" i="3"/>
  <c r="BU47" i="3"/>
  <c r="BF80" i="3"/>
  <c r="BR74" i="3"/>
  <c r="BG47" i="3"/>
  <c r="BM48" i="3"/>
  <c r="BH71" i="3"/>
  <c r="BQ62" i="3"/>
  <c r="BB74" i="3"/>
  <c r="BL82" i="3"/>
  <c r="BS73" i="3"/>
  <c r="BN70" i="3"/>
  <c r="BK76" i="3"/>
  <c r="GP7" i="4" a="1"/>
  <c r="FH12" i="4" a="1"/>
  <c r="BU58" i="3"/>
  <c r="BB92" i="3"/>
  <c r="BL66" i="3"/>
  <c r="BO87" i="3"/>
  <c r="BN58" i="3"/>
  <c r="BK75" i="3"/>
  <c r="GP8" i="4" a="1"/>
  <c r="BA68" i="3"/>
  <c r="BA47" i="3"/>
  <c r="BV64" i="3"/>
  <c r="BV70" i="3"/>
  <c r="BM78" i="3"/>
  <c r="BQ88" i="3"/>
  <c r="BG60" i="3"/>
  <c r="Y111" i="2"/>
  <c r="GT8" i="4" a="1"/>
  <c r="FV6" i="4" a="1"/>
  <c r="FQ9" i="4" a="1"/>
  <c r="BS47" i="3"/>
  <c r="GO13" i="4" a="1"/>
  <c r="BT48" i="3"/>
  <c r="HB9" i="4" a="1"/>
  <c r="GR13" i="4" a="1"/>
  <c r="GU15" i="4" a="1"/>
  <c r="BD60" i="3"/>
  <c r="BT58" i="3"/>
  <c r="FS8" i="4" a="1"/>
  <c r="GX12" i="4" a="1"/>
  <c r="FN15" i="4" a="1"/>
  <c r="GZ15" i="4" a="1"/>
  <c r="BO92" i="3"/>
  <c r="BK62" i="3"/>
  <c r="FK5" i="4" a="1"/>
  <c r="FH13" i="4" a="1"/>
  <c r="FW16" i="4" a="1"/>
  <c r="BO95" i="3"/>
  <c r="GM8" i="4" a="1"/>
  <c r="GV12" i="4" a="1"/>
  <c r="GG16" i="4" a="1"/>
  <c r="BR82" i="3"/>
  <c r="FZ11" i="4" a="1"/>
  <c r="FG11" i="4" a="1"/>
  <c r="FY15" i="4" a="1"/>
  <c r="BQ92" i="3"/>
  <c r="GU5" i="4" a="1"/>
  <c r="BC77" i="3"/>
  <c r="BN89" i="3"/>
  <c r="BJ64" i="3"/>
  <c r="GO12" i="4" a="1"/>
  <c r="GW8" i="4" a="1"/>
  <c r="GI7" i="4" a="1"/>
  <c r="FV16" i="4" a="1"/>
  <c r="HE15" i="4" a="1"/>
  <c r="BD81" i="3"/>
  <c r="BN59" i="3"/>
  <c r="FQ13" i="4" a="1"/>
  <c r="HG15" i="4" a="1"/>
  <c r="BT74" i="3"/>
  <c r="BJ57" i="3"/>
  <c r="GL7" i="4" a="1"/>
  <c r="FZ16" i="4" a="1"/>
  <c r="BB60" i="3"/>
  <c r="AA112" i="2"/>
  <c r="GS6" i="4" a="1"/>
  <c r="BA87" i="3"/>
  <c r="BN54" i="3"/>
  <c r="GC14" i="4" a="1"/>
  <c r="GA9" i="4" a="1"/>
  <c r="FK16" i="4" a="1"/>
  <c r="FS6" i="4" a="1"/>
  <c r="GZ5" i="4" a="1"/>
  <c r="Z113" i="2"/>
  <c r="BP62" i="3"/>
  <c r="BM95" i="3"/>
  <c r="BH83" i="3"/>
  <c r="BN92" i="3"/>
  <c r="BT83" i="3"/>
  <c r="BJ91" i="3"/>
  <c r="BP87" i="3"/>
  <c r="BB48" i="3"/>
  <c r="BL75" i="3"/>
  <c r="BS95" i="3"/>
  <c r="BN85" i="3"/>
  <c r="BK95" i="3"/>
  <c r="BU50" i="3"/>
  <c r="BM84" i="3"/>
  <c r="BH60" i="3"/>
  <c r="BO97" i="3"/>
  <c r="BT87" i="3"/>
  <c r="BJ55" i="3"/>
  <c r="GX5" i="4" a="1"/>
  <c r="GI8" i="4" a="1"/>
  <c r="BK50" i="3"/>
  <c r="BI49" i="3"/>
  <c r="BQ76" i="3"/>
  <c r="BR77" i="3"/>
  <c r="BE49" i="3"/>
  <c r="BF84" i="3"/>
  <c r="BH80" i="3"/>
  <c r="BG63" i="3"/>
  <c r="BB78" i="3"/>
  <c r="BL79" i="3"/>
  <c r="BS77" i="3"/>
  <c r="BP69" i="3"/>
  <c r="BK97" i="3"/>
  <c r="FR6" i="4" a="1"/>
  <c r="HD12" i="4" a="1"/>
  <c r="BK64" i="3"/>
  <c r="BB85" i="3"/>
  <c r="BL92" i="3"/>
  <c r="BS88" i="3"/>
  <c r="BN72" i="3"/>
  <c r="BK86" i="3"/>
  <c r="FI8" i="4" a="1"/>
  <c r="BA58" i="3"/>
  <c r="BE55" i="3"/>
  <c r="BE97" i="3"/>
  <c r="BU69" i="3"/>
  <c r="BP81" i="3"/>
  <c r="BD78" i="3"/>
  <c r="BF76" i="3"/>
  <c r="BU82" i="3"/>
  <c r="GN11" i="4" a="1"/>
  <c r="GW11" i="4" a="1"/>
  <c r="FX8" i="4" a="1"/>
  <c r="BB61" i="3"/>
  <c r="BS49" i="3"/>
  <c r="BH87" i="3"/>
  <c r="BN88" i="3"/>
  <c r="BN60" i="3"/>
  <c r="GX8" i="4" a="1"/>
  <c r="GL11" i="4" a="1"/>
  <c r="FQ16" i="4" a="1"/>
  <c r="GM16" i="4" a="1"/>
  <c r="BR65" i="3"/>
  <c r="BJ97" i="3"/>
  <c r="FM7" i="4" a="1"/>
  <c r="FN16" i="4" a="1"/>
  <c r="GW15" i="4" a="1"/>
  <c r="GC16" i="4" a="1"/>
  <c r="BS91" i="3"/>
  <c r="BK61" i="3"/>
  <c r="FJ8" i="4" a="1"/>
  <c r="GJ11" i="4" a="1"/>
  <c r="BC73" i="3"/>
  <c r="BS72" i="3"/>
  <c r="FK15" i="4" a="1"/>
  <c r="GA8" i="4" a="1"/>
  <c r="HE11" i="4" a="1"/>
  <c r="BE68" i="3"/>
  <c r="BM85" i="3"/>
  <c r="HD5" i="4" a="1"/>
  <c r="HF14" i="4" a="1"/>
  <c r="BD47" i="3"/>
  <c r="GA7" i="4" a="1"/>
  <c r="FG14" i="4" a="1"/>
  <c r="BN68" i="3"/>
  <c r="FH6" i="4" a="1"/>
  <c r="HG11" i="4" a="1"/>
  <c r="GA16" i="4" a="1"/>
  <c r="BN63" i="3"/>
  <c r="FM12" i="4" a="1"/>
  <c r="BG67" i="3"/>
  <c r="BN69" i="3"/>
  <c r="HA6" i="4" a="1"/>
  <c r="FP12" i="4" a="1"/>
  <c r="GE16" i="4" a="1"/>
  <c r="BU57" i="3"/>
  <c r="GB5" i="4" a="1"/>
  <c r="GM9" i="4" a="1"/>
  <c r="BG54" i="3"/>
  <c r="BN81" i="3"/>
  <c r="GO5" i="4" a="1"/>
  <c r="FX12" i="4" a="1"/>
  <c r="GI16" i="4" a="1"/>
  <c r="GR8" i="4" a="1"/>
  <c r="HH11" i="4" a="1"/>
  <c r="BC50" i="3"/>
  <c r="BI64" i="3"/>
  <c r="BM62" i="3"/>
  <c r="BH94" i="3"/>
  <c r="BO76" i="3"/>
  <c r="BN57" i="3"/>
  <c r="BJ65" i="3"/>
  <c r="BJ59" i="3"/>
  <c r="BG74" i="3"/>
  <c r="BA80" i="3"/>
  <c r="BR93" i="3"/>
  <c r="BV86" i="3"/>
  <c r="BM83" i="3"/>
  <c r="BP48" i="3"/>
  <c r="BH63" i="3"/>
  <c r="BD93" i="3"/>
  <c r="BO84" i="3"/>
  <c r="BN77" i="3"/>
  <c r="BJ71" i="3"/>
  <c r="GZ9" i="4" a="1"/>
  <c r="BH62" i="3"/>
  <c r="BB56" i="3"/>
  <c r="BL74" i="3"/>
  <c r="BS84" i="3"/>
  <c r="BN66" i="3"/>
  <c r="BC49" i="3"/>
  <c r="BI69" i="3"/>
  <c r="BQ72" i="3"/>
  <c r="BG78" i="3"/>
  <c r="BA74" i="3"/>
  <c r="BR54" i="3"/>
  <c r="BV63" i="3"/>
  <c r="BF74" i="3"/>
  <c r="FM5" i="4" a="1"/>
  <c r="FP11" i="4" a="1"/>
  <c r="GX13" i="4" a="1"/>
  <c r="BL81" i="3"/>
  <c r="BL69" i="3"/>
  <c r="BS97" i="3"/>
  <c r="BP95" i="3"/>
  <c r="BK47" i="3"/>
  <c r="FK7" i="4" a="1"/>
  <c r="BA60" i="3"/>
  <c r="BP86" i="3"/>
  <c r="BI81" i="3"/>
  <c r="BU92" i="3"/>
  <c r="BL63" i="3"/>
  <c r="BU68" i="3"/>
  <c r="BQ91" i="3"/>
  <c r="BR49" i="3"/>
  <c r="GM12" i="4" a="1"/>
  <c r="GM14" i="4" a="1"/>
  <c r="BD87" i="3"/>
  <c r="GJ15" i="4" a="1"/>
  <c r="BR55" i="3"/>
  <c r="HH7" i="4" a="1"/>
  <c r="BP90" i="3"/>
  <c r="GV7" i="4" a="1"/>
  <c r="GK12" i="4" a="1"/>
  <c r="GO11" i="4" a="1"/>
  <c r="FX16" i="4" a="1"/>
  <c r="BN78" i="3"/>
  <c r="BJ81" i="3"/>
  <c r="FU9" i="4" a="1"/>
  <c r="GN16" i="4" a="1"/>
  <c r="HA15" i="4" a="1"/>
  <c r="BA94" i="3"/>
  <c r="BP63" i="3"/>
  <c r="FI5" i="4" a="1"/>
  <c r="GO14" i="4" a="1"/>
  <c r="BC75" i="3"/>
  <c r="BA97" i="3"/>
  <c r="BP65" i="3"/>
  <c r="FY5" i="4" a="1"/>
  <c r="GW14" i="4" a="1"/>
  <c r="BD63" i="3"/>
  <c r="HC5" i="4" a="1"/>
  <c r="FI13" i="4" a="1"/>
  <c r="GB15" i="4" a="1"/>
  <c r="BS85" i="3"/>
  <c r="FO11" i="4" a="1"/>
  <c r="BB59" i="3"/>
  <c r="BF73" i="3"/>
  <c r="FQ6" i="4" a="1"/>
  <c r="FG13" i="4" a="1"/>
  <c r="GY16" i="4" a="1"/>
  <c r="BF48" i="3"/>
  <c r="FI14" i="4" a="1"/>
  <c r="BB88" i="3"/>
  <c r="BF75" i="3"/>
  <c r="BK91" i="3"/>
  <c r="FO13" i="4" a="1"/>
  <c r="HC16" i="4" a="1"/>
  <c r="BR86" i="3"/>
  <c r="GQ7" i="4" a="1"/>
  <c r="GR12" i="4" a="1"/>
  <c r="BG58" i="3"/>
  <c r="AA111" i="2"/>
  <c r="FR7" i="4" a="1"/>
  <c r="HB8" i="4" a="1"/>
  <c r="BJ69" i="3"/>
  <c r="GT13" i="4" a="1"/>
  <c r="BJ90" i="3"/>
  <c r="BP72" i="3"/>
  <c r="BB64" i="3"/>
  <c r="BV48" i="3"/>
  <c r="BC82" i="3"/>
  <c r="BB58" i="3"/>
  <c r="BI72" i="3"/>
  <c r="BL60" i="3"/>
  <c r="BQ67" i="3"/>
  <c r="BS71" i="3"/>
  <c r="BR83" i="3"/>
  <c r="BN71" i="3"/>
  <c r="BE59" i="3"/>
  <c r="BK85" i="3"/>
  <c r="HD6" i="4" a="1"/>
  <c r="BA89" i="3"/>
  <c r="BG92" i="3"/>
  <c r="BM97" i="3"/>
  <c r="BQ47" i="3"/>
  <c r="BI70" i="3"/>
  <c r="BT94" i="3"/>
  <c r="BU83" i="3"/>
  <c r="BT64" i="3"/>
  <c r="BO64" i="3"/>
  <c r="BJ70" i="3"/>
  <c r="FO8" i="4" a="1"/>
  <c r="BA59" i="3"/>
  <c r="BH61" i="3"/>
  <c r="BU63" i="3"/>
  <c r="BB71" i="3"/>
  <c r="BI92" i="3"/>
  <c r="BL96" i="3"/>
  <c r="BQ71" i="3"/>
  <c r="BS83" i="3"/>
  <c r="BR67" i="3"/>
  <c r="BN56" i="3"/>
  <c r="BE73" i="3"/>
  <c r="BK60" i="3"/>
  <c r="GW5" i="4" a="1"/>
  <c r="FP6" i="4" a="1"/>
  <c r="FU6" i="4" a="1"/>
  <c r="BA81" i="3"/>
  <c r="BG70" i="3"/>
  <c r="BG72" i="3"/>
  <c r="BA77" i="3"/>
  <c r="BE78" i="3"/>
  <c r="BR58" i="3"/>
  <c r="BS64" i="3"/>
  <c r="BV94" i="3"/>
  <c r="BF77" i="3"/>
  <c r="BG86" i="3"/>
  <c r="BN49" i="3"/>
  <c r="BB87" i="3"/>
  <c r="BB82" i="3"/>
  <c r="BL87" i="3"/>
  <c r="BU75" i="3"/>
  <c r="BA55" i="3"/>
  <c r="BE56" i="3"/>
  <c r="BF88" i="3"/>
  <c r="BQ57" i="3"/>
  <c r="BI57" i="3"/>
  <c r="BT84" i="3"/>
  <c r="BU90" i="3"/>
  <c r="BT55" i="3"/>
  <c r="BO96" i="3"/>
  <c r="BJ96" i="3"/>
  <c r="FI6" i="4" a="1"/>
  <c r="FK6" i="4" a="1"/>
  <c r="FZ7" i="4" a="1"/>
  <c r="GK11" i="4" a="1"/>
  <c r="FQ11" i="4" a="1"/>
  <c r="FM15" i="4" a="1"/>
  <c r="BA82" i="3"/>
  <c r="BG85" i="3"/>
  <c r="BH76" i="3"/>
  <c r="BD92" i="3"/>
  <c r="BE92" i="3"/>
  <c r="BV83" i="3"/>
  <c r="BU67" i="3"/>
  <c r="BT67" i="3"/>
  <c r="BO85" i="3"/>
  <c r="BJ84" i="3"/>
  <c r="GR5" i="4" a="1"/>
  <c r="FG5" i="4" a="1"/>
  <c r="FZ15" i="4" a="1"/>
  <c r="FR8" i="4" a="1"/>
  <c r="BH66" i="3"/>
  <c r="BF60" i="3"/>
  <c r="BU61" i="3"/>
  <c r="BH48" i="3"/>
  <c r="BQ93" i="3"/>
  <c r="BO57" i="3"/>
  <c r="BR75" i="3"/>
  <c r="BK70" i="3"/>
  <c r="BM50" i="3"/>
  <c r="BB73" i="3"/>
  <c r="BI48" i="3"/>
  <c r="BL67" i="3"/>
  <c r="BQ75" i="3"/>
  <c r="BI66" i="3"/>
  <c r="BV97" i="3"/>
  <c r="BF62" i="3"/>
  <c r="GF9" i="4" a="1"/>
  <c r="GH16" i="4" a="1"/>
  <c r="FM16" i="4" a="1"/>
  <c r="FM9" i="4" a="1"/>
  <c r="GK14" i="4" a="1"/>
  <c r="FV14" i="4" a="1"/>
  <c r="BI67" i="3"/>
  <c r="BV73" i="3"/>
  <c r="BF57" i="3"/>
  <c r="GQ6" i="4" a="1"/>
  <c r="BA64" i="3"/>
  <c r="BU73" i="3"/>
  <c r="BS58" i="3"/>
  <c r="FN6" i="4" a="1"/>
  <c r="FO15" i="4" a="1"/>
  <c r="HG8" i="4" a="1"/>
  <c r="GG14" i="4" a="1"/>
  <c r="GA14" i="4" a="1"/>
  <c r="BC95" i="3"/>
  <c r="BC55" i="3"/>
  <c r="BM96" i="3"/>
  <c r="BS92" i="3"/>
  <c r="BO73" i="3"/>
  <c r="BK79" i="3"/>
  <c r="GK9" i="4" a="1"/>
  <c r="GN7" i="4" a="1"/>
  <c r="GM13" i="4" a="1"/>
  <c r="FU11" i="4" a="1"/>
  <c r="GC11" i="4" a="1"/>
  <c r="GY12" i="4" a="1"/>
  <c r="GM15" i="4" a="1"/>
  <c r="BE95" i="3"/>
  <c r="BV91" i="3"/>
  <c r="BM47" i="3"/>
  <c r="HA9" i="4" a="1"/>
  <c r="GT9" i="4" a="1"/>
  <c r="HD11" i="4" a="1"/>
  <c r="GP14" i="4" a="1"/>
  <c r="HG12" i="4" a="1"/>
  <c r="BC62" i="3"/>
  <c r="BC87" i="3"/>
  <c r="BE76" i="3"/>
  <c r="BV84" i="3"/>
  <c r="BM54" i="3"/>
  <c r="FO5" i="4" a="1"/>
  <c r="HF9" i="4" a="1"/>
  <c r="FG12" i="4" a="1"/>
  <c r="GU14" i="4" a="1"/>
  <c r="FP13" i="4" a="1"/>
  <c r="BP94" i="3"/>
  <c r="BO68" i="3"/>
  <c r="BN47" i="3"/>
  <c r="BK73" i="3"/>
  <c r="GL5" i="4" a="1"/>
  <c r="GY7" i="4" a="1"/>
  <c r="HB11" i="4" a="1"/>
  <c r="GT16" i="4" a="1"/>
  <c r="FY16" i="4" a="1"/>
  <c r="BG61" i="3"/>
  <c r="BT56" i="3"/>
  <c r="HF11" i="4" a="1"/>
  <c r="GT7" i="4" a="1"/>
  <c r="BD67" i="3"/>
  <c r="BA88" i="3"/>
  <c r="BU95" i="3"/>
  <c r="BG84" i="3"/>
  <c r="GU8" i="4" a="1"/>
  <c r="FT5" i="4" a="1"/>
  <c r="FS9" i="4" a="1"/>
  <c r="HE14" i="4" a="1"/>
  <c r="FI15" i="4" a="1"/>
  <c r="BC64" i="3"/>
  <c r="BO75" i="3"/>
  <c r="BE81" i="3"/>
  <c r="FZ5" i="4" a="1"/>
  <c r="GQ12" i="4" a="1"/>
  <c r="BC78" i="3"/>
  <c r="BD85" i="3"/>
  <c r="BU64" i="3"/>
  <c r="BH91" i="3"/>
  <c r="HH6" i="4" a="1"/>
  <c r="GT5" i="4" a="1"/>
  <c r="FL12" i="4" a="1"/>
  <c r="FO6" i="4" a="1"/>
  <c r="FX15" i="4" a="1"/>
  <c r="BC83" i="3"/>
  <c r="BI58" i="3"/>
  <c r="BV96" i="3"/>
  <c r="BF68" i="3"/>
  <c r="GE7" i="4" a="1"/>
  <c r="FI12" i="4" a="1"/>
  <c r="FZ12" i="4" a="1"/>
  <c r="GC15" i="4" a="1"/>
  <c r="BH65" i="3"/>
  <c r="BR48" i="3"/>
  <c r="BL54" i="3"/>
  <c r="FG9" i="4" a="1"/>
  <c r="FO7" i="4" a="1"/>
  <c r="FN13" i="4" a="1"/>
  <c r="FN8" i="4" a="1"/>
  <c r="GD15" i="4" a="1"/>
  <c r="BC88" i="3"/>
  <c r="BK96" i="3"/>
  <c r="FP8" i="4" a="1"/>
  <c r="GJ8" i="4" a="1"/>
  <c r="BA56" i="3"/>
  <c r="BG73" i="3"/>
  <c r="BM60" i="3"/>
  <c r="BB81" i="3"/>
  <c r="BQ96" i="3"/>
  <c r="BV93" i="3"/>
  <c r="BI77" i="3"/>
  <c r="HC8" i="4" a="1"/>
  <c r="BM74" i="3"/>
  <c r="BH73" i="3"/>
  <c r="BN65" i="3"/>
  <c r="BT85" i="3"/>
  <c r="BJ54" i="3"/>
  <c r="BA85" i="3"/>
  <c r="BM73" i="3"/>
  <c r="BB77" i="3"/>
  <c r="BU72" i="3"/>
  <c r="BV90" i="3"/>
  <c r="BI91" i="3"/>
  <c r="GG6" i="4" a="1"/>
  <c r="HA8" i="4" a="1"/>
  <c r="BG89" i="3"/>
  <c r="BE48" i="3"/>
  <c r="BU60" i="3"/>
  <c r="BO48" i="3"/>
  <c r="BG55" i="3"/>
  <c r="BA78" i="3"/>
  <c r="BR63" i="3"/>
  <c r="BM59" i="3"/>
  <c r="BH58" i="3"/>
  <c r="BO59" i="3"/>
  <c r="BT62" i="3"/>
  <c r="BJ92" i="3"/>
  <c r="FV7" i="4" a="1"/>
  <c r="GE12" i="4" a="1"/>
  <c r="HF6" i="4" a="1"/>
  <c r="BM93" i="3"/>
  <c r="BQ60" i="3"/>
  <c r="BT91" i="3"/>
  <c r="BT78" i="3"/>
  <c r="BJ95" i="3"/>
  <c r="GI6" i="4" a="1"/>
  <c r="BU66" i="3"/>
  <c r="BB95" i="3"/>
  <c r="BL68" i="3"/>
  <c r="BO90" i="3"/>
  <c r="BF87" i="3"/>
  <c r="BB72" i="3"/>
  <c r="BE66" i="3"/>
  <c r="BQ87" i="3"/>
  <c r="HH12" i="4" a="1"/>
  <c r="HH16" i="4" a="1"/>
  <c r="GO7" i="4" a="1"/>
  <c r="BC67" i="3"/>
  <c r="BT60" i="3"/>
  <c r="FX7" i="4" a="1"/>
  <c r="BR72" i="3"/>
  <c r="FH7" i="4" a="1"/>
  <c r="GL9" i="4" a="1"/>
  <c r="BC61" i="3"/>
  <c r="BA54" i="3"/>
  <c r="BP55" i="3"/>
  <c r="GO9" i="4" a="1"/>
  <c r="GJ14" i="4" a="1"/>
  <c r="BC92" i="3"/>
  <c r="BA65" i="3"/>
  <c r="BT76" i="3"/>
  <c r="GE8" i="4" a="1"/>
  <c r="GR15" i="4" a="1"/>
  <c r="BD65" i="3"/>
  <c r="BQ68" i="3"/>
  <c r="BJ74" i="3"/>
  <c r="FQ5" i="4" a="1"/>
  <c r="BC84" i="3"/>
  <c r="BS48" i="3"/>
  <c r="BK57" i="3"/>
  <c r="GY8" i="4" a="1"/>
  <c r="HA12" i="4" a="1"/>
  <c r="GW16" i="4" a="1"/>
  <c r="BS66" i="3"/>
  <c r="FJ13" i="4" a="1"/>
  <c r="BL49" i="3"/>
  <c r="FW6" i="4" a="1"/>
  <c r="FK11" i="4" a="1"/>
  <c r="GD8" i="4" a="1"/>
  <c r="BF91" i="3"/>
  <c r="HC11" i="4" a="1"/>
  <c r="BR73" i="3"/>
  <c r="HG7" i="4" a="1"/>
  <c r="HB12" i="4" a="1"/>
  <c r="BC74" i="3"/>
  <c r="BT82" i="3"/>
  <c r="GR7" i="4" a="1"/>
  <c r="GB13" i="4" a="1"/>
  <c r="BL89" i="3"/>
  <c r="BI75" i="3"/>
  <c r="HA5" i="4" a="1"/>
  <c r="GF13" i="4" a="1"/>
  <c r="BC93" i="3"/>
  <c r="GY13" i="4" a="1"/>
  <c r="BG75" i="3"/>
  <c r="BJ56" i="3"/>
  <c r="BB83" i="3"/>
  <c r="BE83" i="3"/>
  <c r="BR92" i="3"/>
  <c r="BV82" i="3"/>
  <c r="BM58" i="3"/>
  <c r="GP9" i="4" a="1"/>
  <c r="BM90" i="3"/>
  <c r="BF49" i="3"/>
  <c r="BR76" i="3"/>
  <c r="BG68" i="3"/>
  <c r="HE8" i="4" a="1"/>
  <c r="BJ88" i="3"/>
  <c r="BA66" i="3"/>
  <c r="BR50" i="3"/>
  <c r="BV92" i="3"/>
  <c r="BM89" i="3"/>
  <c r="GB11" i="4" a="1"/>
  <c r="GV9" i="4" a="1"/>
  <c r="BE74" i="3"/>
  <c r="BQ54" i="3"/>
  <c r="BT75" i="3"/>
  <c r="BT47" i="3"/>
  <c r="BA70" i="3"/>
  <c r="BH64" i="3"/>
  <c r="BE70" i="3"/>
  <c r="BH70" i="3"/>
  <c r="BU54" i="3"/>
  <c r="BF93" i="3"/>
  <c r="BR59" i="3"/>
  <c r="BG90" i="3"/>
  <c r="HE12" i="4" a="1"/>
  <c r="GF11" i="4" a="1"/>
  <c r="GL15" i="4" a="1"/>
  <c r="BP88" i="3"/>
  <c r="BD62" i="3"/>
  <c r="BF92" i="3"/>
  <c r="BR81" i="3"/>
  <c r="BS94" i="3"/>
  <c r="GX9" i="4" a="1"/>
  <c r="GR6" i="4" a="1"/>
  <c r="BM64" i="3"/>
  <c r="BI96" i="3"/>
  <c r="BQ69" i="3"/>
  <c r="BV57" i="3"/>
  <c r="BG87" i="3"/>
  <c r="BA83" i="3"/>
  <c r="BA93" i="3"/>
  <c r="BN64" i="3"/>
  <c r="FZ13" i="4" a="1"/>
  <c r="GL8" i="4" a="1"/>
  <c r="GE13" i="4" a="1"/>
  <c r="BT73" i="3"/>
  <c r="BJ73" i="3"/>
  <c r="BE94" i="3"/>
  <c r="BV72" i="3"/>
  <c r="HA14" i="4" a="1"/>
  <c r="GV11" i="4" a="1"/>
  <c r="FO14" i="4" a="1"/>
  <c r="BC76" i="3"/>
  <c r="BH50" i="3"/>
  <c r="BE58" i="3"/>
  <c r="FR9" i="4" a="1"/>
  <c r="FN9" i="4" a="1"/>
  <c r="HE13" i="4" a="1"/>
  <c r="BD64" i="3"/>
  <c r="BR91" i="3"/>
  <c r="BJ87" i="3"/>
  <c r="GF7" i="4" a="1"/>
  <c r="FP16" i="4" a="1"/>
  <c r="BD80" i="3"/>
  <c r="BV71" i="3"/>
  <c r="BJ48" i="3"/>
  <c r="FG8" i="4" a="1"/>
  <c r="BD90" i="3"/>
  <c r="BS61" i="3"/>
  <c r="GE15" i="4" a="1"/>
  <c r="GO8" i="4" a="1"/>
  <c r="FN12" i="4" a="1"/>
  <c r="BL76" i="3"/>
  <c r="FL6" i="4" a="1"/>
  <c r="HE16" i="4" a="1"/>
  <c r="BV74" i="3"/>
  <c r="GU6" i="4" a="1"/>
  <c r="HD13" i="4" a="1"/>
  <c r="BR97" i="3"/>
  <c r="GN5" i="4" a="1"/>
  <c r="GX14" i="4" a="1"/>
  <c r="BV89" i="3"/>
  <c r="GC6" i="4" a="1"/>
  <c r="FW12" i="4" a="1"/>
  <c r="FR14" i="4" a="1"/>
  <c r="BT69" i="3"/>
  <c r="BJ61" i="3"/>
  <c r="FO9" i="4" a="1"/>
  <c r="GB16" i="4" a="1"/>
  <c r="BV69" i="3"/>
  <c r="GX7" i="4" a="1"/>
  <c r="GH12" i="4" a="1"/>
  <c r="GH14" i="4" a="1"/>
  <c r="GE9" i="4" a="1"/>
  <c r="HE5" i="4" a="1"/>
  <c r="GI11" i="4" a="1"/>
  <c r="BQ65" i="3"/>
  <c r="BP96" i="3"/>
  <c r="BA72" i="3"/>
  <c r="BG95" i="3"/>
  <c r="BE87" i="3"/>
  <c r="BU49" i="3"/>
  <c r="AA113" i="2"/>
  <c r="GQ5" i="4" a="1"/>
  <c r="BB84" i="3"/>
  <c r="BL55" i="3"/>
  <c r="BO70" i="3"/>
  <c r="BN75" i="3"/>
  <c r="BK69" i="3"/>
  <c r="BH81" i="3"/>
  <c r="BG96" i="3"/>
  <c r="BC56" i="3"/>
  <c r="BV47" i="3"/>
  <c r="BT68" i="3"/>
  <c r="BF50" i="3"/>
  <c r="FW15" i="4" a="1"/>
  <c r="BQ58" i="3"/>
  <c r="BH79" i="3"/>
  <c r="BO49" i="3"/>
  <c r="BT54" i="3"/>
  <c r="BA63" i="3"/>
  <c r="BF86" i="3"/>
  <c r="BI47" i="3"/>
  <c r="BC71" i="3"/>
  <c r="BI73" i="3"/>
  <c r="BQ63" i="3"/>
  <c r="BR96" i="3"/>
  <c r="BE79" i="3"/>
  <c r="GA5" i="4" a="1"/>
  <c r="GE6" i="4" a="1"/>
  <c r="FH16" i="4" a="1"/>
  <c r="BH86" i="3"/>
  <c r="BU55" i="3"/>
  <c r="BO50" i="3"/>
  <c r="BN95" i="3"/>
  <c r="BJ79" i="3"/>
  <c r="GK5" i="4" a="1"/>
  <c r="BL84" i="3"/>
  <c r="BB67" i="3"/>
  <c r="BL61" i="3"/>
  <c r="BS96" i="3"/>
  <c r="BA62" i="3"/>
  <c r="BE75" i="3"/>
  <c r="BE64" i="3"/>
  <c r="BO62" i="3"/>
  <c r="FK8" i="4" a="1"/>
  <c r="FK14" i="4" a="1"/>
  <c r="GW7" i="4" a="1"/>
  <c r="BM68" i="3"/>
  <c r="BP54" i="3"/>
  <c r="HB13" i="4" a="1"/>
  <c r="BT71" i="3"/>
  <c r="FX14" i="4" a="1"/>
  <c r="GN15" i="4" a="1"/>
  <c r="BD97" i="3"/>
  <c r="BE63" i="3"/>
  <c r="BI50" i="3"/>
  <c r="HD8" i="4" a="1"/>
  <c r="GE14" i="4" a="1"/>
  <c r="BC97" i="3"/>
  <c r="BC58" i="3"/>
  <c r="BN74" i="3"/>
  <c r="GG5" i="4" a="1"/>
  <c r="GT11" i="4" a="1"/>
  <c r="FU16" i="4" a="1"/>
  <c r="FU15" i="4" a="1"/>
  <c r="BM66" i="3"/>
  <c r="BN94" i="3"/>
  <c r="FX5" i="4" a="1"/>
  <c r="GY11" i="4" a="1"/>
  <c r="FW14" i="4" a="1"/>
  <c r="BU94" i="3"/>
  <c r="FY8" i="4" a="1"/>
  <c r="FS7" i="4" a="1"/>
  <c r="HG14" i="4" a="1"/>
  <c r="BI82" i="3"/>
  <c r="FH9" i="4" a="1"/>
  <c r="GQ9" i="4" a="1"/>
  <c r="BT70" i="3"/>
  <c r="FY6" i="4" a="1"/>
  <c r="FL13" i="4" a="1"/>
  <c r="GG15" i="4" a="1"/>
  <c r="BV78" i="3"/>
  <c r="GP11" i="4" a="1"/>
  <c r="FO16" i="4" a="1"/>
  <c r="BT81" i="3"/>
  <c r="FL9" i="4" a="1"/>
  <c r="FT13" i="4" a="1"/>
  <c r="GK15" i="4" a="1"/>
  <c r="BO89" i="3"/>
  <c r="BN73" i="3"/>
  <c r="BK59" i="3"/>
  <c r="GU7" i="4" a="1"/>
  <c r="FU12" i="4" a="1"/>
  <c r="BQ78" i="3"/>
  <c r="BJ78" i="3"/>
  <c r="FG7" i="4" a="1"/>
  <c r="HF15" i="4" a="1"/>
  <c r="BD96" i="3"/>
  <c r="HC6" i="4" a="1"/>
  <c r="BH75" i="3"/>
  <c r="BD76" i="3"/>
  <c r="BG80" i="3"/>
  <c r="BM81" i="3"/>
  <c r="BI62" i="3"/>
  <c r="BU86" i="3"/>
  <c r="BO86" i="3"/>
  <c r="GS7" i="4" a="1"/>
  <c r="BC65" i="3"/>
  <c r="BI80" i="3"/>
  <c r="BQ64" i="3"/>
  <c r="BR87" i="3"/>
  <c r="BE67" i="3"/>
  <c r="BP50" i="3"/>
  <c r="BA71" i="3"/>
  <c r="BM88" i="3"/>
  <c r="BI90" i="3"/>
  <c r="BU77" i="3"/>
  <c r="BO78" i="3"/>
  <c r="FW7" i="4" a="1"/>
  <c r="FW11" i="4" a="1"/>
  <c r="BM76" i="3"/>
  <c r="BH90" i="3"/>
  <c r="BO88" i="3"/>
  <c r="BN79" i="3"/>
  <c r="BP56" i="3"/>
  <c r="BD70" i="3"/>
  <c r="BF65" i="3"/>
  <c r="BR61" i="3"/>
  <c r="BI97" i="3"/>
  <c r="BQ82" i="3"/>
  <c r="BV79" i="3"/>
  <c r="BI63" i="3"/>
  <c r="HG6" i="4" a="1"/>
  <c r="GM7" i="4" a="1"/>
  <c r="GF16" i="4" a="1"/>
  <c r="BC47" i="3"/>
  <c r="BI83" i="3"/>
  <c r="BQ74" i="3"/>
  <c r="BR90" i="3"/>
  <c r="BE54" i="3"/>
  <c r="FH5" i="4" a="1"/>
  <c r="FZ8" i="4" a="1"/>
  <c r="BG50" i="3"/>
  <c r="BG97" i="3"/>
  <c r="BE60" i="3"/>
  <c r="BS50" i="3"/>
  <c r="BA75" i="3"/>
  <c r="BP91" i="3"/>
  <c r="BI55" i="3"/>
  <c r="BS60" i="3"/>
  <c r="GL13" i="4" a="1"/>
  <c r="FM11" i="4" a="1"/>
  <c r="BC81" i="3"/>
  <c r="BH77" i="3"/>
  <c r="BO69" i="3"/>
  <c r="BK63" i="3"/>
  <c r="BR89" i="3"/>
  <c r="BJ93" i="3"/>
  <c r="GT6" i="4" a="1"/>
  <c r="FL16" i="4" a="1"/>
  <c r="BD66" i="3"/>
  <c r="BF59" i="3"/>
  <c r="BF56" i="3"/>
  <c r="GZ7" i="4" a="1"/>
  <c r="GP15" i="4" a="1"/>
  <c r="BD56" i="3"/>
  <c r="BK72" i="3"/>
  <c r="BP74" i="3"/>
  <c r="GC8" i="4" a="1"/>
  <c r="GS12" i="4" a="1"/>
  <c r="GS16" i="4" a="1"/>
  <c r="BB96" i="3"/>
  <c r="BP79" i="3"/>
  <c r="BK90" i="3"/>
  <c r="FW5" i="4" a="1"/>
  <c r="FN14" i="4" a="1"/>
  <c r="BL83" i="3"/>
  <c r="BE69" i="3"/>
  <c r="GG8" i="4" a="1"/>
  <c r="FK12" i="4" a="1"/>
  <c r="BC86" i="3"/>
  <c r="BJ50" i="3"/>
  <c r="FT15" i="4" a="1"/>
  <c r="BV75" i="3"/>
  <c r="GM5" i="4" a="1"/>
  <c r="BP67" i="3"/>
  <c r="BN80" i="3"/>
  <c r="GI13" i="4" a="1"/>
  <c r="FK9" i="4" a="1"/>
  <c r="FG16" i="4" a="1"/>
  <c r="BS75" i="3"/>
  <c r="BK49" i="3"/>
  <c r="GM6" i="4" a="1"/>
  <c r="FR13" i="4" a="1"/>
  <c r="BT61" i="3"/>
  <c r="BJ63" i="3"/>
  <c r="FJ6" i="4" a="1"/>
  <c r="GD16" i="4" a="1"/>
  <c r="Z112" i="2"/>
  <c r="FJ16" i="4" a="1"/>
  <c r="BP57" i="3"/>
  <c r="BL88" i="3"/>
  <c r="BQ59" i="3"/>
  <c r="BP97" i="3"/>
  <c r="BI85" i="3"/>
  <c r="BU97" i="3"/>
  <c r="BS76" i="3"/>
  <c r="GH6" i="4" a="1"/>
  <c r="BM56" i="3"/>
  <c r="BB91" i="3"/>
  <c r="BQ95" i="3"/>
  <c r="BV68" i="3"/>
  <c r="BI60" i="3"/>
  <c r="BG66" i="3"/>
  <c r="BQ61" i="3"/>
  <c r="BD82" i="3"/>
  <c r="BF89" i="3"/>
  <c r="BU81" i="3"/>
  <c r="BS87" i="3"/>
  <c r="GB8" i="4" a="1"/>
  <c r="BK84" i="3"/>
  <c r="BB79" i="3"/>
  <c r="BL71" i="3"/>
  <c r="BO77" i="3"/>
  <c r="BN55" i="3"/>
  <c r="BH96" i="3"/>
  <c r="BU48" i="3"/>
  <c r="BF82" i="3"/>
  <c r="BN84" i="3"/>
  <c r="BB57" i="3"/>
  <c r="BU76" i="3"/>
  <c r="BV80" i="3"/>
  <c r="BM69" i="3"/>
  <c r="GJ9" i="4" a="1"/>
  <c r="GW6" i="4" a="1"/>
  <c r="HD16" i="4" a="1"/>
  <c r="BM91" i="3"/>
  <c r="BI84" i="3"/>
  <c r="BQ83" i="3"/>
  <c r="BV54" i="3"/>
  <c r="BI65" i="3"/>
  <c r="GC7" i="4" a="1"/>
  <c r="FL8" i="4" a="1"/>
  <c r="BG91" i="3"/>
  <c r="BD50" i="3"/>
  <c r="BV85" i="3"/>
  <c r="BT72" i="3"/>
  <c r="BM86" i="3"/>
  <c r="BH49" i="3"/>
  <c r="BI78" i="3"/>
  <c r="BS81" i="3"/>
  <c r="HA13" i="4" a="1"/>
  <c r="BC91" i="3"/>
  <c r="FJ14" i="4" a="1"/>
  <c r="BU80" i="3"/>
  <c r="GH7" i="4" a="1"/>
  <c r="BJ75" i="3"/>
  <c r="GV8" i="4" a="1"/>
  <c r="GL16" i="4" a="1"/>
  <c r="BC80" i="3"/>
  <c r="BT95" i="3"/>
  <c r="FL11" i="4" a="1"/>
  <c r="GW13" i="4" a="1"/>
  <c r="BD77" i="3"/>
  <c r="BP93" i="3"/>
  <c r="BO60" i="3"/>
  <c r="FJ11" i="4" a="1"/>
  <c r="GP13" i="4" a="1"/>
  <c r="GZ11" i="4" a="1"/>
  <c r="BD75" i="3"/>
  <c r="BO61" i="3"/>
  <c r="FV11" i="4" a="1"/>
  <c r="GU13" i="4" a="1"/>
  <c r="BC96" i="3"/>
  <c r="BV61" i="3"/>
  <c r="FV5" i="4" a="1"/>
  <c r="FJ12" i="4" a="1"/>
  <c r="GV13" i="4" a="1"/>
  <c r="BV49" i="3"/>
  <c r="GD5" i="4" a="1"/>
  <c r="BP84" i="3"/>
  <c r="BO71" i="3"/>
  <c r="BK82" i="3"/>
  <c r="GN9" i="4" a="1"/>
  <c r="GV16" i="4" a="1"/>
  <c r="BC48" i="3"/>
  <c r="GI9" i="4" a="1"/>
  <c r="BC69" i="3"/>
  <c r="BO81" i="3"/>
  <c r="BK88" i="3"/>
  <c r="FY12" i="4" a="1"/>
  <c r="GZ16" i="4" a="1"/>
  <c r="BI95" i="3"/>
  <c r="BS70" i="3"/>
  <c r="GW12" i="4" a="1"/>
  <c r="FQ14" i="4" a="1"/>
  <c r="BO58" i="3"/>
  <c r="BK67" i="3"/>
  <c r="FV13" i="4" a="1"/>
  <c r="HF16" i="4" a="1"/>
  <c r="BJ80" i="3"/>
  <c r="GG7" i="4" a="1"/>
  <c r="BB62" i="3"/>
  <c r="BH47" i="3"/>
  <c r="BD89" i="3"/>
  <c r="BF78" i="3"/>
  <c r="BR78" i="3"/>
  <c r="BG82" i="3"/>
  <c r="FZ6" i="4" a="1"/>
  <c r="BP78" i="3"/>
  <c r="BE86" i="3"/>
  <c r="BS82" i="3"/>
  <c r="BP85" i="3"/>
  <c r="BK93" i="3"/>
  <c r="BM65" i="3"/>
  <c r="BM57" i="3"/>
  <c r="BH92" i="3"/>
  <c r="BF66" i="3"/>
  <c r="BR64" i="3"/>
  <c r="BG62" i="3"/>
  <c r="GX11" i="4" a="1"/>
  <c r="GR9" i="4" a="1"/>
  <c r="BR71" i="3"/>
  <c r="BI86" i="3"/>
  <c r="BQ80" i="3"/>
  <c r="BV62" i="3"/>
  <c r="BQ56" i="3"/>
  <c r="BB55" i="3"/>
  <c r="BL64" i="3"/>
  <c r="BA48" i="3"/>
  <c r="BG77" i="3"/>
  <c r="BE80" i="3"/>
  <c r="BS57" i="3"/>
  <c r="BF69" i="3"/>
  <c r="FX9" i="4" a="1"/>
  <c r="GD11" i="4" a="1"/>
  <c r="GJ7" i="4" a="1"/>
  <c r="BP70" i="3"/>
  <c r="BB89" i="3"/>
  <c r="BB75" i="3"/>
  <c r="BU87" i="3"/>
  <c r="BV76" i="3"/>
  <c r="BM75" i="3"/>
  <c r="GX6" i="4" a="1"/>
  <c r="HB7" i="4" a="1"/>
  <c r="BM70" i="3"/>
  <c r="BQ73" i="3"/>
  <c r="BT90" i="3"/>
  <c r="BT79" i="3"/>
  <c r="BK74" i="3"/>
  <c r="BH56" i="3"/>
  <c r="BH95" i="3"/>
  <c r="BL73" i="3"/>
  <c r="GH15" i="4" a="1"/>
  <c r="GN14" i="4" a="1"/>
  <c r="BH57" i="3"/>
  <c r="BE47" i="3"/>
  <c r="BM67" i="3"/>
  <c r="BO72" i="3"/>
  <c r="BK66" i="3"/>
  <c r="FJ15" i="4" a="1"/>
  <c r="GO16" i="4" a="1"/>
  <c r="BL72" i="3"/>
  <c r="BN62" i="3"/>
  <c r="FU5" i="4" a="1"/>
  <c r="GQ11" i="4" a="1"/>
  <c r="FS16" i="4" a="1"/>
  <c r="BD84" i="3"/>
  <c r="BU89" i="3"/>
  <c r="GY6" i="4" a="1"/>
  <c r="FH11" i="4" a="1"/>
  <c r="GQ14" i="4" a="1"/>
  <c r="GA15" i="4" a="1"/>
  <c r="BU93" i="3"/>
  <c r="FU7" i="4" a="1"/>
  <c r="FT11" i="4" a="1"/>
  <c r="HB14" i="4" a="1"/>
  <c r="BQ89" i="3"/>
  <c r="BT88" i="3"/>
  <c r="BJ47" i="3"/>
  <c r="GE5" i="4" a="1"/>
  <c r="GV15" i="4" a="1"/>
  <c r="BD91" i="3"/>
  <c r="GF6" i="4" a="1"/>
  <c r="HA16" i="4" a="1"/>
  <c r="BS63" i="3"/>
  <c r="BK92" i="3"/>
  <c r="FR5" i="4" a="1"/>
  <c r="GY14" i="4" a="1"/>
  <c r="BU79" i="3"/>
  <c r="HB5" i="4" a="1"/>
  <c r="Y113" i="2"/>
  <c r="BS90" i="3"/>
  <c r="GB9" i="4" a="1"/>
  <c r="GY5" i="4" a="1"/>
  <c r="GP6" i="4" a="1"/>
  <c r="BQ48" i="3"/>
  <c r="BH89" i="3"/>
  <c r="GV6" i="4" a="1"/>
  <c r="FY7" i="4" a="1"/>
  <c r="BS59" i="3"/>
  <c r="BK65" i="3"/>
  <c r="GB7" i="4" a="1"/>
  <c r="FW13" i="4" a="1"/>
  <c r="HG16" i="4" a="1"/>
  <c r="HD14" i="4" a="1"/>
  <c r="GG9" i="4" a="1"/>
  <c r="CH163" i="1" l="1"/>
  <c r="CI163" i="1" s="1"/>
  <c r="AA225" i="1"/>
  <c r="CL276" i="1"/>
  <c r="CL88" i="1"/>
  <c r="CL275" i="1"/>
  <c r="CL33" i="1"/>
  <c r="CL39" i="1" s="1"/>
  <c r="CK88" i="1"/>
  <c r="CL174" i="1"/>
  <c r="CL165" i="1"/>
  <c r="CL168" i="1"/>
  <c r="CL203" i="1" s="1"/>
  <c r="CL176" i="1"/>
  <c r="CL206" i="1" s="1"/>
  <c r="CL140" i="1"/>
  <c r="CL173" i="1"/>
  <c r="CL97" i="1"/>
  <c r="CL178" i="1"/>
  <c r="CL96" i="1"/>
  <c r="CL177" i="1"/>
  <c r="CL175" i="1"/>
  <c r="CL157" i="1"/>
  <c r="CL141" i="1"/>
  <c r="CL147" i="1"/>
  <c r="CL145" i="1"/>
  <c r="CL150" i="1"/>
  <c r="CL163" i="1"/>
  <c r="CL160" i="1"/>
  <c r="CL169" i="1"/>
  <c r="CL182" i="1"/>
  <c r="CL186" i="1"/>
  <c r="CL170" i="1"/>
  <c r="CL148" i="1"/>
  <c r="CL158" i="1"/>
  <c r="CL172" i="1"/>
  <c r="CL166" i="1"/>
  <c r="CL183" i="1"/>
  <c r="CL167" i="1"/>
  <c r="CL202" i="1" s="1"/>
  <c r="CL149" i="1"/>
  <c r="CL187" i="1"/>
  <c r="CL142" i="1"/>
  <c r="CL156" i="1"/>
  <c r="CL50" i="1"/>
  <c r="CL217" i="1"/>
  <c r="CO43" i="1"/>
  <c r="CS43" i="1" s="1"/>
  <c r="CW43" i="1" s="1"/>
  <c r="DA43" i="1" s="1"/>
  <c r="X202" i="1"/>
  <c r="CL121" i="1"/>
  <c r="CL122" i="1" s="1"/>
  <c r="X275" i="1"/>
  <c r="CK49" i="1"/>
  <c r="CK50" i="1" s="1"/>
  <c r="Z254" i="1"/>
  <c r="Z203" i="1"/>
  <c r="JY9" i="4" s="1"/>
  <c r="CJ186" i="1"/>
  <c r="CK186" i="1" s="1"/>
  <c r="JX16" i="4" s="1"/>
  <c r="JW9" i="4" s="1"/>
  <c r="KF16" i="4" s="1"/>
  <c r="KA9" i="4" s="1"/>
  <c r="JS9" i="4" s="1"/>
  <c r="Z96" i="1"/>
  <c r="JR9" i="4" s="1"/>
  <c r="CJ170" i="1"/>
  <c r="JS16" i="4" s="1"/>
  <c r="CJ167" i="1"/>
  <c r="CJ202" i="1" s="1"/>
  <c r="CK202" i="1" s="1"/>
  <c r="CJ141" i="1"/>
  <c r="CK141" i="1" s="1"/>
  <c r="KE16" i="4" s="1"/>
  <c r="JW16" i="4" s="1"/>
  <c r="KD16" i="4" s="1"/>
  <c r="KG16" i="4" s="1"/>
  <c r="CJ142" i="1"/>
  <c r="CJ157" i="1"/>
  <c r="CK56" i="1" s="1"/>
  <c r="CJ177" i="1"/>
  <c r="CJ183" i="1"/>
  <c r="CJ148" i="1"/>
  <c r="CK148" i="1" s="1"/>
  <c r="JY16" i="4" s="1"/>
  <c r="CJ149" i="1"/>
  <c r="CK149" i="1" s="1"/>
  <c r="JT16" i="4" s="1"/>
  <c r="KG9" i="4" s="1"/>
  <c r="JQ16" i="4" s="1"/>
  <c r="CJ182" i="1"/>
  <c r="CJ173" i="1"/>
  <c r="KC16" i="4" s="1"/>
  <c r="JU16" i="4" s="1"/>
  <c r="KB16" i="4" s="1"/>
  <c r="JQ9" i="4" s="1"/>
  <c r="KH9" i="4" s="1"/>
  <c r="CJ158" i="1"/>
  <c r="CK158" i="1" s="1"/>
  <c r="CJ169" i="1"/>
  <c r="CJ172" i="1"/>
  <c r="CJ163" i="1"/>
  <c r="CJ140" i="1"/>
  <c r="JX9" i="4" s="1"/>
  <c r="JU9" i="4" s="1"/>
  <c r="JT8" i="4" s="1"/>
  <c r="JT9" i="4" s="1"/>
  <c r="KA16" i="4" s="1"/>
  <c r="CJ145" i="1"/>
  <c r="CK145" i="1" s="1"/>
  <c r="CJ187" i="1"/>
  <c r="CK187" i="1" s="1"/>
  <c r="JV16" i="4" s="1"/>
  <c r="CJ174" i="1"/>
  <c r="KE9" i="4" s="1"/>
  <c r="KD15" i="4" s="1"/>
  <c r="JR16" i="4" s="1"/>
  <c r="KF9" i="4" s="1"/>
  <c r="JZ16" i="4" s="1"/>
  <c r="JR14" i="4" s="1"/>
  <c r="CJ175" i="1"/>
  <c r="KH16" i="4" s="1"/>
  <c r="CK97" i="1"/>
  <c r="CJ165" i="1"/>
  <c r="CH96" i="1"/>
  <c r="CJ97" i="1"/>
  <c r="CJ178" i="1"/>
  <c r="CJ147" i="1"/>
  <c r="CK147" i="1" s="1"/>
  <c r="CG96" i="1"/>
  <c r="KC9" i="4" s="1"/>
  <c r="JV9" i="4" s="1"/>
  <c r="JZ9" i="4" s="1"/>
  <c r="CJ96" i="1"/>
  <c r="CG97" i="1"/>
  <c r="CJ156" i="1"/>
  <c r="CK156" i="1" s="1"/>
  <c r="CI96" i="1"/>
  <c r="CK96" i="1"/>
  <c r="CJ150" i="1"/>
  <c r="CK150" i="1" s="1"/>
  <c r="KD9" i="4" s="1"/>
  <c r="KD14" i="4" s="1"/>
  <c r="CJ168" i="1"/>
  <c r="CJ203" i="1" s="1"/>
  <c r="CK203" i="1" s="1"/>
  <c r="CH97" i="1"/>
  <c r="X96" i="1"/>
  <c r="KB9" i="4" s="1"/>
  <c r="Z97" i="1"/>
  <c r="CJ176" i="1"/>
  <c r="CJ206" i="1" s="1"/>
  <c r="CK206" i="1" s="1"/>
  <c r="Y97" i="1"/>
  <c r="CI97" i="1"/>
  <c r="Z202" i="1"/>
  <c r="Y202" i="1"/>
  <c r="Y196" i="1"/>
  <c r="CK121" i="1"/>
  <c r="CK122" i="1" s="1"/>
  <c r="CK39" i="1"/>
  <c r="X203" i="1"/>
  <c r="Y275" i="1"/>
  <c r="Y49" i="1"/>
  <c r="Z275" i="1"/>
  <c r="X206" i="1"/>
  <c r="Z276" i="1"/>
  <c r="X171" i="1"/>
  <c r="X205" i="1" s="1"/>
  <c r="X276" i="1"/>
  <c r="X33" i="1"/>
  <c r="Y206" i="1"/>
  <c r="Z184" i="1"/>
  <c r="AA232" i="1" s="1"/>
  <c r="Y184" i="1"/>
  <c r="Z232" i="1" s="1"/>
  <c r="Y33" i="1"/>
  <c r="Z143" i="1"/>
  <c r="Y157" i="1"/>
  <c r="Z217" i="1"/>
  <c r="X196" i="1"/>
  <c r="Z154" i="1"/>
  <c r="Z157" i="1" s="1"/>
  <c r="X217" i="1"/>
  <c r="Y276" i="1"/>
  <c r="Z177" i="1"/>
  <c r="CH177" i="1" s="1"/>
  <c r="CH179" i="1" s="1"/>
  <c r="CH208" i="1" s="1"/>
  <c r="Z171" i="1"/>
  <c r="Z206" i="1"/>
  <c r="Y171" i="1"/>
  <c r="CH184" i="1"/>
  <c r="CI232" i="1" s="1"/>
  <c r="CJ160" i="1"/>
  <c r="CJ166" i="1"/>
  <c r="CG217" i="1"/>
  <c r="CG276" i="1"/>
  <c r="Y179" i="1"/>
  <c r="CH276" i="1"/>
  <c r="CG275" i="1"/>
  <c r="X157" i="1"/>
  <c r="CH202" i="1"/>
  <c r="CI202" i="1" s="1"/>
  <c r="CI254" i="1"/>
  <c r="CI33" i="1"/>
  <c r="CJ121" i="1"/>
  <c r="Y225" i="1"/>
  <c r="Y203" i="1"/>
  <c r="CG33" i="1"/>
  <c r="CK34" i="1" s="1"/>
  <c r="Z196" i="1"/>
  <c r="Z33" i="1"/>
  <c r="X179" i="1"/>
  <c r="Y143" i="1"/>
  <c r="X151" i="1"/>
  <c r="X184" i="1"/>
  <c r="X143" i="1"/>
  <c r="X198" i="1" s="1"/>
  <c r="Y151" i="1"/>
  <c r="Z49" i="1"/>
  <c r="X49" i="1"/>
  <c r="CI155" i="1"/>
  <c r="CJ155" i="1" s="1"/>
  <c r="CH275" i="1"/>
  <c r="CJ49" i="1"/>
  <c r="CI151" i="1"/>
  <c r="CG49" i="1"/>
  <c r="CH33" i="1"/>
  <c r="CH49" i="1"/>
  <c r="CI275" i="1"/>
  <c r="CJ276" i="1"/>
  <c r="CH254" i="1"/>
  <c r="CJ254" i="1"/>
  <c r="CI276" i="1"/>
  <c r="CH203" i="1"/>
  <c r="CI203" i="1" s="1"/>
  <c r="CH206" i="1"/>
  <c r="CI206" i="1" s="1"/>
  <c r="CJ275" i="1"/>
  <c r="CJ33" i="1"/>
  <c r="Y96" i="1"/>
  <c r="X97" i="1"/>
  <c r="Z225" i="1"/>
  <c r="CI49" i="1"/>
  <c r="CI88" i="1"/>
  <c r="CJ217" i="1"/>
  <c r="Z151" i="1"/>
  <c r="CH88" i="1"/>
  <c r="CG88" i="1"/>
  <c r="CJ88" i="1"/>
  <c r="CH171" i="1"/>
  <c r="CH205" i="1" s="1"/>
  <c r="CH151" i="1"/>
  <c r="CH143" i="1"/>
  <c r="JP15" i="4"/>
  <c r="JP14" i="4"/>
  <c r="JP8" i="4"/>
  <c r="JP7" i="4"/>
  <c r="JP21" i="4"/>
  <c r="CJ100" i="1" s="1"/>
  <c r="JO21" i="4"/>
  <c r="CI100" i="1" s="1"/>
  <c r="JO7" i="4"/>
  <c r="JO15" i="4"/>
  <c r="JO14" i="4"/>
  <c r="JO8" i="4"/>
  <c r="JN21" i="4"/>
  <c r="CH100" i="1" s="1"/>
  <c r="JN15" i="4"/>
  <c r="JN14" i="4"/>
  <c r="JN7" i="4"/>
  <c r="JN8" i="4"/>
  <c r="CB36" i="1"/>
  <c r="CI225" i="1" l="1"/>
  <c r="CL35" i="1"/>
  <c r="Z198" i="1"/>
  <c r="AA230" i="1"/>
  <c r="Z205" i="1"/>
  <c r="AA219" i="1"/>
  <c r="AA34" i="1"/>
  <c r="AA211" i="1"/>
  <c r="AA229" i="1"/>
  <c r="AA272" i="1"/>
  <c r="KH21" i="4"/>
  <c r="CL184" i="1"/>
  <c r="JQ7" i="4"/>
  <c r="JX14" i="4"/>
  <c r="JW21" i="4"/>
  <c r="CL179" i="1"/>
  <c r="CL208" i="1" s="1"/>
  <c r="CL207" i="1" s="1"/>
  <c r="CL161" i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JT7" i="4"/>
  <c r="KB7" i="4"/>
  <c r="JY21" i="4"/>
  <c r="KG15" i="4"/>
  <c r="JZ15" i="4"/>
  <c r="KF8" i="4"/>
  <c r="JQ15" i="4"/>
  <c r="KC15" i="4"/>
  <c r="KD21" i="4"/>
  <c r="KG14" i="4"/>
  <c r="CM187" i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CX187" i="1" s="1"/>
  <c r="CY187" i="1" s="1"/>
  <c r="CZ187" i="1" s="1"/>
  <c r="DA187" i="1" s="1"/>
  <c r="DB187" i="1" s="1"/>
  <c r="CM147" i="1"/>
  <c r="CN147" i="1" s="1"/>
  <c r="KG7" i="4"/>
  <c r="X50" i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41" i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L171" i="1"/>
  <c r="KC7" i="4"/>
  <c r="JR8" i="4"/>
  <c r="JZ21" i="4"/>
  <c r="JR15" i="4"/>
  <c r="KC8" i="4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KH14" i="4"/>
  <c r="JQ14" i="4"/>
  <c r="JQ19" i="4" s="1"/>
  <c r="CK101" i="1" s="1"/>
  <c r="CM186" i="1"/>
  <c r="CN186" i="1" s="1"/>
  <c r="CO186" i="1" s="1"/>
  <c r="CP186" i="1" s="1"/>
  <c r="CQ186" i="1" s="1"/>
  <c r="CR186" i="1" s="1"/>
  <c r="CS186" i="1" s="1"/>
  <c r="CT186" i="1" s="1"/>
  <c r="CU186" i="1" s="1"/>
  <c r="CV186" i="1" s="1"/>
  <c r="CW186" i="1" s="1"/>
  <c r="CX186" i="1" s="1"/>
  <c r="KA15" i="4"/>
  <c r="CL151" i="1"/>
  <c r="KB15" i="4"/>
  <c r="KE15" i="4"/>
  <c r="CL143" i="1"/>
  <c r="CL115" i="1" s="1"/>
  <c r="CL42" i="1"/>
  <c r="KB21" i="4"/>
  <c r="KA7" i="4"/>
  <c r="JV8" i="4"/>
  <c r="CJ184" i="1"/>
  <c r="CK232" i="1" s="1"/>
  <c r="JW8" i="4"/>
  <c r="JU14" i="4"/>
  <c r="KB14" i="4"/>
  <c r="KB8" i="4"/>
  <c r="JU15" i="4"/>
  <c r="JS8" i="4"/>
  <c r="KA8" i="4"/>
  <c r="KH7" i="4"/>
  <c r="KA14" i="4"/>
  <c r="KE21" i="4"/>
  <c r="JQ8" i="4"/>
  <c r="JT21" i="4"/>
  <c r="CJ154" i="1"/>
  <c r="CK154" i="1" s="1"/>
  <c r="JX21" i="4"/>
  <c r="JY15" i="4"/>
  <c r="JX7" i="4"/>
  <c r="JU8" i="4"/>
  <c r="KF21" i="4"/>
  <c r="JW7" i="4"/>
  <c r="JS21" i="4"/>
  <c r="KG21" i="4"/>
  <c r="JY8" i="4"/>
  <c r="CJ179" i="1"/>
  <c r="CJ208" i="1" s="1"/>
  <c r="CJ207" i="1" s="1"/>
  <c r="CK207" i="1" s="1"/>
  <c r="JV7" i="4"/>
  <c r="CJ225" i="1"/>
  <c r="CK163" i="1"/>
  <c r="CL225" i="1" s="1"/>
  <c r="CJ143" i="1"/>
  <c r="CJ115" i="1" s="1"/>
  <c r="CJ117" i="1" s="1"/>
  <c r="CK140" i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L51" i="1"/>
  <c r="CL40" i="1"/>
  <c r="JY7" i="4"/>
  <c r="KH15" i="4"/>
  <c r="KE7" i="4"/>
  <c r="JT14" i="4"/>
  <c r="JR21" i="4"/>
  <c r="CL100" i="1" s="1"/>
  <c r="KH8" i="4"/>
  <c r="JX8" i="4"/>
  <c r="JZ7" i="4"/>
  <c r="KD7" i="4"/>
  <c r="KD19" i="4" s="1"/>
  <c r="JU7" i="4"/>
  <c r="JS15" i="4"/>
  <c r="KF14" i="4"/>
  <c r="JS14" i="4"/>
  <c r="KE14" i="4"/>
  <c r="JQ21" i="4"/>
  <c r="CK100" i="1" s="1"/>
  <c r="CK125" i="1" s="1"/>
  <c r="JW15" i="4"/>
  <c r="JS7" i="4"/>
  <c r="KF7" i="4"/>
  <c r="KG8" i="4"/>
  <c r="KA21" i="4"/>
  <c r="KD8" i="4"/>
  <c r="KD20" i="4" s="1"/>
  <c r="JW14" i="4"/>
  <c r="KC21" i="4"/>
  <c r="JV21" i="4"/>
  <c r="CL248" i="1"/>
  <c r="CL211" i="1"/>
  <c r="CL34" i="1"/>
  <c r="JZ8" i="4"/>
  <c r="JY14" i="4"/>
  <c r="KE8" i="4"/>
  <c r="JR7" i="4"/>
  <c r="JR19" i="4" s="1"/>
  <c r="CL101" i="1" s="1"/>
  <c r="JV14" i="4"/>
  <c r="JX15" i="4"/>
  <c r="KC14" i="4"/>
  <c r="JU21" i="4"/>
  <c r="JV15" i="4"/>
  <c r="JT15" i="4"/>
  <c r="JT20" i="4" s="1"/>
  <c r="KF15" i="4"/>
  <c r="JZ14" i="4"/>
  <c r="JZ19" i="4" s="1"/>
  <c r="CM156" i="1"/>
  <c r="CN156" i="1" s="1"/>
  <c r="CO156" i="1" s="1"/>
  <c r="CP156" i="1" s="1"/>
  <c r="CJ171" i="1"/>
  <c r="CJ205" i="1" s="1"/>
  <c r="CJ151" i="1"/>
  <c r="Y161" i="1"/>
  <c r="Y269" i="1" s="1"/>
  <c r="Y56" i="1"/>
  <c r="CK40" i="1"/>
  <c r="CK51" i="1"/>
  <c r="X121" i="1"/>
  <c r="X39" i="1"/>
  <c r="CI39" i="1"/>
  <c r="CK35" i="1"/>
  <c r="Y50" i="1"/>
  <c r="CH154" i="1"/>
  <c r="CI154" i="1" s="1"/>
  <c r="CI157" i="1" s="1"/>
  <c r="CJ56" i="1" s="1"/>
  <c r="X180" i="1"/>
  <c r="Y211" i="1"/>
  <c r="Z179" i="1"/>
  <c r="AA220" i="1" s="1"/>
  <c r="AA221" i="1" s="1"/>
  <c r="AA222" i="1" s="1"/>
  <c r="Y219" i="1"/>
  <c r="Y34" i="1"/>
  <c r="Y39" i="1"/>
  <c r="Y121" i="1"/>
  <c r="Z271" i="1"/>
  <c r="Y205" i="1"/>
  <c r="Y204" i="1" s="1"/>
  <c r="Z219" i="1"/>
  <c r="CK160" i="1"/>
  <c r="CM160" i="1" s="1"/>
  <c r="CN160" i="1" s="1"/>
  <c r="CO160" i="1" s="1"/>
  <c r="CP160" i="1" s="1"/>
  <c r="CQ160" i="1" s="1"/>
  <c r="CR160" i="1" s="1"/>
  <c r="CS160" i="1" s="1"/>
  <c r="CT160" i="1" s="1"/>
  <c r="CU160" i="1" s="1"/>
  <c r="CV160" i="1" s="1"/>
  <c r="CW160" i="1" s="1"/>
  <c r="CX160" i="1" s="1"/>
  <c r="CY160" i="1" s="1"/>
  <c r="CZ160" i="1" s="1"/>
  <c r="DA160" i="1" s="1"/>
  <c r="DB160" i="1" s="1"/>
  <c r="CJ161" i="1"/>
  <c r="Z50" i="1"/>
  <c r="CG50" i="1"/>
  <c r="CG39" i="1"/>
  <c r="CK41" i="1" s="1"/>
  <c r="X152" i="1"/>
  <c r="CI50" i="1"/>
  <c r="Y208" i="1"/>
  <c r="Y180" i="1"/>
  <c r="X161" i="1"/>
  <c r="X267" i="1" s="1"/>
  <c r="X56" i="1"/>
  <c r="CH207" i="1"/>
  <c r="CI207" i="1" s="1"/>
  <c r="X271" i="1"/>
  <c r="Y232" i="1"/>
  <c r="Z211" i="1"/>
  <c r="Z34" i="1"/>
  <c r="Z39" i="1"/>
  <c r="AA41" i="1" s="1"/>
  <c r="Z121" i="1"/>
  <c r="Y198" i="1"/>
  <c r="Y271" i="1"/>
  <c r="X60" i="1"/>
  <c r="X191" i="1"/>
  <c r="X132" i="1" s="1"/>
  <c r="CH115" i="1"/>
  <c r="CH117" i="1" s="1"/>
  <c r="CI229" i="1"/>
  <c r="X208" i="1"/>
  <c r="Y220" i="1"/>
  <c r="Y272" i="1"/>
  <c r="Y229" i="1"/>
  <c r="Y191" i="1"/>
  <c r="Y132" i="1" s="1"/>
  <c r="CK151" i="1"/>
  <c r="Y60" i="1"/>
  <c r="Y152" i="1"/>
  <c r="Z191" i="1"/>
  <c r="Z132" i="1" s="1"/>
  <c r="Z229" i="1"/>
  <c r="CI35" i="1"/>
  <c r="CJ39" i="1"/>
  <c r="CK42" i="1" s="1"/>
  <c r="CJ122" i="1"/>
  <c r="CJ125" i="1" s="1"/>
  <c r="CH50" i="1"/>
  <c r="CJ248" i="1"/>
  <c r="CJ35" i="1"/>
  <c r="CJ50" i="1"/>
  <c r="CH39" i="1"/>
  <c r="CL41" i="1" s="1"/>
  <c r="CH35" i="1"/>
  <c r="Z152" i="1"/>
  <c r="Z60" i="1"/>
  <c r="Z272" i="1"/>
  <c r="CH180" i="1"/>
  <c r="CH191" i="1"/>
  <c r="CI272" i="1"/>
  <c r="CH271" i="1"/>
  <c r="X204" i="1"/>
  <c r="Z161" i="1"/>
  <c r="AA226" i="1" s="1"/>
  <c r="AA224" i="1" s="1"/>
  <c r="Z56" i="1"/>
  <c r="CH152" i="1"/>
  <c r="CM202" i="1"/>
  <c r="CM203" i="1"/>
  <c r="CM206" i="1"/>
  <c r="JP20" i="4"/>
  <c r="CJ102" i="1" s="1"/>
  <c r="JP19" i="4"/>
  <c r="CJ101" i="1" s="1"/>
  <c r="JO19" i="4"/>
  <c r="CI101" i="1" s="1"/>
  <c r="JO20" i="4"/>
  <c r="CI102" i="1" s="1"/>
  <c r="JN20" i="4"/>
  <c r="CH102" i="1" s="1"/>
  <c r="JN19" i="4"/>
  <c r="CH101" i="1" s="1"/>
  <c r="CH204" i="1"/>
  <c r="CI204" i="1" s="1"/>
  <c r="CH209" i="1"/>
  <c r="Z204" i="1" l="1"/>
  <c r="JZ20" i="4"/>
  <c r="AA228" i="1"/>
  <c r="AA233" i="1" s="1"/>
  <c r="AA234" i="1" s="1"/>
  <c r="JQ20" i="4"/>
  <c r="CK102" i="1" s="1"/>
  <c r="AA236" i="1"/>
  <c r="KH19" i="4"/>
  <c r="KA20" i="4"/>
  <c r="CL54" i="1"/>
  <c r="JX19" i="4"/>
  <c r="JR20" i="4"/>
  <c r="CL102" i="1" s="1"/>
  <c r="JV19" i="4"/>
  <c r="JY20" i="4"/>
  <c r="CM50" i="1"/>
  <c r="KG19" i="4"/>
  <c r="KB19" i="4"/>
  <c r="JT19" i="4"/>
  <c r="KG20" i="4"/>
  <c r="JS20" i="4"/>
  <c r="KA19" i="4"/>
  <c r="CL267" i="1"/>
  <c r="CL180" i="1"/>
  <c r="CL188" i="1" s="1"/>
  <c r="KC20" i="4"/>
  <c r="JU19" i="4"/>
  <c r="CJ271" i="1"/>
  <c r="KF20" i="4"/>
  <c r="KE20" i="4"/>
  <c r="JW20" i="4"/>
  <c r="JU20" i="4"/>
  <c r="JV20" i="4"/>
  <c r="KB20" i="4"/>
  <c r="CL205" i="1"/>
  <c r="CL209" i="1" s="1"/>
  <c r="CL212" i="1" s="1"/>
  <c r="CJ152" i="1"/>
  <c r="JY19" i="4"/>
  <c r="CK225" i="1"/>
  <c r="KE19" i="4"/>
  <c r="CL269" i="1"/>
  <c r="KC19" i="4"/>
  <c r="JS19" i="4"/>
  <c r="CL271" i="1"/>
  <c r="CL191" i="1"/>
  <c r="CL132" i="1" s="1"/>
  <c r="CL152" i="1"/>
  <c r="JW19" i="4"/>
  <c r="JX20" i="4"/>
  <c r="KH20" i="4"/>
  <c r="KF19" i="4"/>
  <c r="AB156" i="1"/>
  <c r="CQ156" i="1"/>
  <c r="CR156" i="1" s="1"/>
  <c r="CS156" i="1" s="1"/>
  <c r="CT156" i="1" s="1"/>
  <c r="CU156" i="1" s="1"/>
  <c r="CV156" i="1" s="1"/>
  <c r="CW156" i="1" s="1"/>
  <c r="CX156" i="1" s="1"/>
  <c r="AD156" i="1" s="1"/>
  <c r="CL57" i="1"/>
  <c r="CL61" i="1" s="1"/>
  <c r="CL52" i="1"/>
  <c r="CL273" i="1"/>
  <c r="CL255" i="1"/>
  <c r="CL256" i="1" s="1"/>
  <c r="CL125" i="1"/>
  <c r="CL117" i="1"/>
  <c r="CL126" i="1"/>
  <c r="CL118" i="1"/>
  <c r="CL130" i="1"/>
  <c r="Z208" i="1"/>
  <c r="Z180" i="1"/>
  <c r="Z188" i="1" s="1"/>
  <c r="Z189" i="1" s="1"/>
  <c r="Z220" i="1"/>
  <c r="Z221" i="1" s="1"/>
  <c r="Y51" i="1"/>
  <c r="Y40" i="1"/>
  <c r="CL229" i="1"/>
  <c r="CL272" i="1"/>
  <c r="Y267" i="1"/>
  <c r="Y188" i="1"/>
  <c r="Y189" i="1" s="1"/>
  <c r="CJ180" i="1"/>
  <c r="CJ188" i="1" s="1"/>
  <c r="CJ272" i="1"/>
  <c r="CJ229" i="1"/>
  <c r="CJ269" i="1"/>
  <c r="CI40" i="1"/>
  <c r="CI51" i="1"/>
  <c r="CK57" i="1"/>
  <c r="CK61" i="1" s="1"/>
  <c r="CK52" i="1"/>
  <c r="X40" i="1"/>
  <c r="X51" i="1"/>
  <c r="Y41" i="1"/>
  <c r="CK126" i="1"/>
  <c r="CK130" i="1"/>
  <c r="CH157" i="1"/>
  <c r="CI56" i="1" s="1"/>
  <c r="Y221" i="1"/>
  <c r="X188" i="1"/>
  <c r="X189" i="1" s="1"/>
  <c r="CJ267" i="1"/>
  <c r="Y226" i="1"/>
  <c r="Y224" i="1" s="1"/>
  <c r="X269" i="1"/>
  <c r="Z41" i="1"/>
  <c r="Z40" i="1"/>
  <c r="Z51" i="1"/>
  <c r="CJ119" i="1"/>
  <c r="CJ118" i="1"/>
  <c r="CH119" i="1"/>
  <c r="CG51" i="1"/>
  <c r="CK53" i="1" s="1"/>
  <c r="CG40" i="1"/>
  <c r="CK208" i="1"/>
  <c r="Y207" i="1"/>
  <c r="Y209" i="1"/>
  <c r="CI208" i="1"/>
  <c r="CI175" i="1"/>
  <c r="CM163" i="1"/>
  <c r="CJ204" i="1"/>
  <c r="CK204" i="1" s="1"/>
  <c r="CJ209" i="1"/>
  <c r="CH118" i="1"/>
  <c r="CI42" i="1"/>
  <c r="CH40" i="1"/>
  <c r="X207" i="1"/>
  <c r="X209" i="1"/>
  <c r="CM148" i="1"/>
  <c r="CJ42" i="1"/>
  <c r="CJ51" i="1"/>
  <c r="CK54" i="1" s="1"/>
  <c r="CJ40" i="1"/>
  <c r="CK229" i="1"/>
  <c r="CK272" i="1"/>
  <c r="CH51" i="1"/>
  <c r="CL53" i="1" s="1"/>
  <c r="CH42" i="1"/>
  <c r="CI60" i="1"/>
  <c r="CH132" i="1"/>
  <c r="CI161" i="1"/>
  <c r="CJ226" i="1" s="1"/>
  <c r="CJ224" i="1" s="1"/>
  <c r="Z226" i="1"/>
  <c r="Z224" i="1" s="1"/>
  <c r="Z269" i="1"/>
  <c r="Z267" i="1"/>
  <c r="CJ131" i="1"/>
  <c r="CJ127" i="1"/>
  <c r="CH131" i="1"/>
  <c r="CI130" i="1"/>
  <c r="CH130" i="1"/>
  <c r="CI131" i="1"/>
  <c r="CJ130" i="1"/>
  <c r="CJ126" i="1"/>
  <c r="CN203" i="1"/>
  <c r="CO147" i="1"/>
  <c r="CI205" i="1"/>
  <c r="CI169" i="1"/>
  <c r="CN206" i="1"/>
  <c r="CN202" i="1"/>
  <c r="CY140" i="1"/>
  <c r="CY186" i="1"/>
  <c r="CK127" i="1" l="1"/>
  <c r="CK131" i="1"/>
  <c r="CY156" i="1"/>
  <c r="CZ156" i="1" s="1"/>
  <c r="DA156" i="1" s="1"/>
  <c r="DB156" i="1" s="1"/>
  <c r="AE156" i="1" s="1"/>
  <c r="AA273" i="1"/>
  <c r="AA274" i="1" s="1"/>
  <c r="AA53" i="1"/>
  <c r="CL127" i="1"/>
  <c r="CL119" i="1"/>
  <c r="CL131" i="1"/>
  <c r="CN50" i="1"/>
  <c r="CJ189" i="1"/>
  <c r="CL204" i="1"/>
  <c r="CL134" i="1"/>
  <c r="CL133" i="1"/>
  <c r="CL189" i="1"/>
  <c r="AC156" i="1"/>
  <c r="CL63" i="1"/>
  <c r="CL64" i="1"/>
  <c r="CL274" i="1"/>
  <c r="Z209" i="1"/>
  <c r="Z207" i="1"/>
  <c r="Y135" i="1"/>
  <c r="Y57" i="1"/>
  <c r="Y78" i="1" s="1"/>
  <c r="Y52" i="1"/>
  <c r="Y255" i="1"/>
  <c r="Y256" i="1" s="1"/>
  <c r="CI52" i="1"/>
  <c r="CL249" i="1"/>
  <c r="CL135" i="1"/>
  <c r="Y273" i="1"/>
  <c r="Y274" i="1" s="1"/>
  <c r="X57" i="1"/>
  <c r="X61" i="1" s="1"/>
  <c r="X135" i="1"/>
  <c r="X52" i="1"/>
  <c r="Y53" i="1"/>
  <c r="CH161" i="1"/>
  <c r="CH188" i="1" s="1"/>
  <c r="CH189" i="1" s="1"/>
  <c r="X255" i="1"/>
  <c r="X256" i="1" s="1"/>
  <c r="CI255" i="1"/>
  <c r="CI256" i="1" s="1"/>
  <c r="CI57" i="1"/>
  <c r="CK135" i="1"/>
  <c r="CK63" i="1"/>
  <c r="CK64" i="1"/>
  <c r="Z273" i="1"/>
  <c r="Z274" i="1" s="1"/>
  <c r="Z52" i="1"/>
  <c r="Z255" i="1"/>
  <c r="Z256" i="1" s="1"/>
  <c r="Z53" i="1"/>
  <c r="Z135" i="1"/>
  <c r="CM40" i="1"/>
  <c r="CI273" i="1"/>
  <c r="CI274" i="1" s="1"/>
  <c r="Z57" i="1"/>
  <c r="Z61" i="1" s="1"/>
  <c r="Y212" i="1"/>
  <c r="Y213" i="1" s="1"/>
  <c r="CM225" i="1"/>
  <c r="CN163" i="1"/>
  <c r="CN225" i="1" s="1"/>
  <c r="CG52" i="1"/>
  <c r="CG57" i="1"/>
  <c r="CG61" i="1" s="1"/>
  <c r="CG255" i="1"/>
  <c r="CG256" i="1" s="1"/>
  <c r="CK205" i="1"/>
  <c r="CK209" i="1" s="1"/>
  <c r="CM207" i="1"/>
  <c r="CJ54" i="1"/>
  <c r="CJ273" i="1"/>
  <c r="CJ274" i="1" s="1"/>
  <c r="CJ255" i="1"/>
  <c r="CJ256" i="1" s="1"/>
  <c r="CH52" i="1"/>
  <c r="CH57" i="1"/>
  <c r="CH61" i="1" s="1"/>
  <c r="CH54" i="1"/>
  <c r="CH273" i="1"/>
  <c r="CI54" i="1"/>
  <c r="CH255" i="1"/>
  <c r="CH256" i="1" s="1"/>
  <c r="CJ249" i="1"/>
  <c r="CJ135" i="1"/>
  <c r="CJ52" i="1"/>
  <c r="CJ57" i="1"/>
  <c r="CJ61" i="1" s="1"/>
  <c r="CN148" i="1"/>
  <c r="CM151" i="1"/>
  <c r="CM272" i="1" s="1"/>
  <c r="CH133" i="1"/>
  <c r="CH134" i="1"/>
  <c r="CK217" i="1"/>
  <c r="CK155" i="1"/>
  <c r="CP147" i="1"/>
  <c r="CO202" i="1"/>
  <c r="CO203" i="1"/>
  <c r="CO206" i="1"/>
  <c r="CZ186" i="1"/>
  <c r="CZ140" i="1"/>
  <c r="CM68" i="1"/>
  <c r="CN68" i="1" s="1"/>
  <c r="CO68" i="1" s="1"/>
  <c r="CP68" i="1" s="1"/>
  <c r="CQ68" i="1" s="1"/>
  <c r="CR68" i="1" s="1"/>
  <c r="CS68" i="1" s="1"/>
  <c r="CT68" i="1" s="1"/>
  <c r="CU68" i="1" s="1"/>
  <c r="CM69" i="1"/>
  <c r="CO50" i="1" l="1"/>
  <c r="Z212" i="1"/>
  <c r="Z213" i="1" s="1"/>
  <c r="AA212" i="1"/>
  <c r="AA213" i="1" s="1"/>
  <c r="X78" i="1"/>
  <c r="Y61" i="1"/>
  <c r="CL67" i="1"/>
  <c r="CP50" i="1"/>
  <c r="CI226" i="1"/>
  <c r="CI224" i="1" s="1"/>
  <c r="CH269" i="1"/>
  <c r="CL257" i="1"/>
  <c r="CL71" i="1"/>
  <c r="CL65" i="1"/>
  <c r="CL268" i="1" s="1"/>
  <c r="CL137" i="1"/>
  <c r="CL136" i="1"/>
  <c r="CI61" i="1"/>
  <c r="CL78" i="1"/>
  <c r="CK157" i="1"/>
  <c r="CL155" i="1"/>
  <c r="CL154" i="1" s="1"/>
  <c r="CO163" i="1"/>
  <c r="CO225" i="1" s="1"/>
  <c r="CK71" i="1"/>
  <c r="CK65" i="1"/>
  <c r="Z78" i="1"/>
  <c r="CH64" i="1"/>
  <c r="CL66" i="1" s="1"/>
  <c r="CH63" i="1"/>
  <c r="CG64" i="1"/>
  <c r="CK66" i="1" s="1"/>
  <c r="CG63" i="1"/>
  <c r="CN207" i="1"/>
  <c r="CM208" i="1"/>
  <c r="CJ64" i="1"/>
  <c r="CJ63" i="1"/>
  <c r="CM204" i="1"/>
  <c r="CO148" i="1"/>
  <c r="CN151" i="1"/>
  <c r="CN272" i="1" s="1"/>
  <c r="CM229" i="1"/>
  <c r="X63" i="1"/>
  <c r="X64" i="1"/>
  <c r="Z64" i="1"/>
  <c r="AA66" i="1" s="1"/>
  <c r="Z63" i="1"/>
  <c r="CN40" i="1"/>
  <c r="CP206" i="1"/>
  <c r="CP203" i="1"/>
  <c r="CP202" i="1"/>
  <c r="CQ147" i="1"/>
  <c r="DA140" i="1"/>
  <c r="DA186" i="1"/>
  <c r="CE88" i="1"/>
  <c r="AB68" i="1"/>
  <c r="AC68" i="1"/>
  <c r="CV68" i="1"/>
  <c r="CW68" i="1" s="1"/>
  <c r="CX68" i="1" s="1"/>
  <c r="CY68" i="1" s="1"/>
  <c r="AB58" i="1"/>
  <c r="CN69" i="1"/>
  <c r="CO69" i="1" s="1"/>
  <c r="CP69" i="1" s="1"/>
  <c r="CQ69" i="1" s="1"/>
  <c r="CQ50" i="1" l="1"/>
  <c r="Y63" i="1"/>
  <c r="Y64" i="1"/>
  <c r="CP163" i="1"/>
  <c r="CP225" i="1" s="1"/>
  <c r="CL56" i="1"/>
  <c r="CM56" i="1" s="1"/>
  <c r="CN56" i="1" s="1"/>
  <c r="CO56" i="1" s="1"/>
  <c r="CP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CK161" i="1"/>
  <c r="CL216" i="1"/>
  <c r="CL218" i="1" s="1"/>
  <c r="CL89" i="1"/>
  <c r="CL75" i="1"/>
  <c r="CI63" i="1"/>
  <c r="CI64" i="1"/>
  <c r="CJ250" i="1" s="1"/>
  <c r="CM154" i="1"/>
  <c r="CN154" i="1" s="1"/>
  <c r="CO154" i="1" s="1"/>
  <c r="CP154" i="1" s="1"/>
  <c r="CK226" i="1"/>
  <c r="CK224" i="1" s="1"/>
  <c r="CL226" i="1"/>
  <c r="CL224" i="1" s="1"/>
  <c r="CK75" i="1"/>
  <c r="CK89" i="1"/>
  <c r="CK67" i="1"/>
  <c r="CJ71" i="1"/>
  <c r="CJ216" i="1" s="1"/>
  <c r="CJ218" i="1" s="1"/>
  <c r="CJ65" i="1"/>
  <c r="CJ268" i="1" s="1"/>
  <c r="CJ257" i="1"/>
  <c r="CH71" i="1"/>
  <c r="CH89" i="1" s="1"/>
  <c r="CH65" i="1"/>
  <c r="CH268" i="1" s="1"/>
  <c r="CH257" i="1"/>
  <c r="CG65" i="1"/>
  <c r="CG268" i="1" s="1"/>
  <c r="CG257" i="1"/>
  <c r="CG71" i="1"/>
  <c r="CH67" i="1"/>
  <c r="CN208" i="1"/>
  <c r="CO207" i="1"/>
  <c r="CM205" i="1"/>
  <c r="CM209" i="1" s="1"/>
  <c r="CN204" i="1"/>
  <c r="CP148" i="1"/>
  <c r="CO151" i="1"/>
  <c r="CO272" i="1" s="1"/>
  <c r="CN229" i="1"/>
  <c r="X257" i="1"/>
  <c r="X65" i="1"/>
  <c r="X268" i="1" s="1"/>
  <c r="Y66" i="1"/>
  <c r="X71" i="1"/>
  <c r="Y257" i="1"/>
  <c r="Z66" i="1"/>
  <c r="Y65" i="1"/>
  <c r="Y268" i="1" s="1"/>
  <c r="Y71" i="1"/>
  <c r="Z71" i="1"/>
  <c r="Z65" i="1"/>
  <c r="Z268" i="1" s="1"/>
  <c r="Z257" i="1"/>
  <c r="CO40" i="1"/>
  <c r="CP40" i="1" s="1"/>
  <c r="CB88" i="1"/>
  <c r="BL88" i="1"/>
  <c r="CR147" i="1"/>
  <c r="CQ202" i="1"/>
  <c r="CQ206" i="1"/>
  <c r="CC88" i="1"/>
  <c r="CQ203" i="1"/>
  <c r="DB140" i="1"/>
  <c r="DB186" i="1"/>
  <c r="AL88" i="1"/>
  <c r="CF88" i="1"/>
  <c r="CD88" i="1"/>
  <c r="BY88" i="1"/>
  <c r="BZ88" i="1"/>
  <c r="CA88" i="1"/>
  <c r="CH216" i="1"/>
  <c r="CH218" i="1" s="1"/>
  <c r="AD68" i="1"/>
  <c r="AB69" i="1"/>
  <c r="CZ68" i="1"/>
  <c r="DA68" i="1" s="1"/>
  <c r="DB68" i="1" s="1"/>
  <c r="AE68" i="1" s="1"/>
  <c r="AC58" i="1"/>
  <c r="CR69" i="1"/>
  <c r="CS69" i="1" s="1"/>
  <c r="CT69" i="1" s="1"/>
  <c r="CU69" i="1" s="1"/>
  <c r="AX36" i="3"/>
  <c r="AY5" i="3"/>
  <c r="F6" i="6" a="1"/>
  <c r="AT12" i="3"/>
  <c r="M5" i="6" a="1"/>
  <c r="EP6" i="4" a="1"/>
  <c r="AF5" i="6" a="1"/>
  <c r="EM8" i="4" a="1"/>
  <c r="EL6" i="4" a="1"/>
  <c r="AB5" i="3"/>
  <c r="AT39" i="3"/>
  <c r="AF40" i="3"/>
  <c r="AT5" i="6" a="1"/>
  <c r="AS22" i="3"/>
  <c r="AV13" i="3"/>
  <c r="AF35" i="3"/>
  <c r="AU25" i="3"/>
  <c r="AS45" i="3"/>
  <c r="AX23" i="3"/>
  <c r="AV34" i="3"/>
  <c r="AX18" i="3"/>
  <c r="ER14" i="4" a="1"/>
  <c r="EW6" i="4" a="1"/>
  <c r="AW29" i="3"/>
  <c r="EM6" i="4" a="1"/>
  <c r="AY6" i="6" a="1"/>
  <c r="EN15" i="4" a="1"/>
  <c r="AF6" i="3"/>
  <c r="AT8" i="3"/>
  <c r="AX41" i="3"/>
  <c r="AX34" i="3"/>
  <c r="EU7" i="4" a="1"/>
  <c r="AS27" i="3"/>
  <c r="AS6" i="6" a="1"/>
  <c r="AS37" i="3"/>
  <c r="L6" i="6" a="1"/>
  <c r="AT24" i="3"/>
  <c r="AS8" i="3"/>
  <c r="AT35" i="3"/>
  <c r="AU7" i="3"/>
  <c r="ET15" i="4" a="1"/>
  <c r="AW36" i="3"/>
  <c r="AU33" i="3"/>
  <c r="EP13" i="4" a="1"/>
  <c r="AV25" i="3"/>
  <c r="AW46" i="3"/>
  <c r="AZ23" i="3"/>
  <c r="AZ33" i="3"/>
  <c r="EV15" i="4" a="1"/>
  <c r="ET14" i="4" a="1"/>
  <c r="EQ12" i="4" a="1"/>
  <c r="AZ38" i="3"/>
  <c r="AT13" i="3"/>
  <c r="AW7" i="3"/>
  <c r="U5" i="6" a="1"/>
  <c r="AS29" i="3"/>
  <c r="I6" i="6" a="1"/>
  <c r="Z5" i="6" a="1"/>
  <c r="AF46" i="3"/>
  <c r="X5" i="6" a="1"/>
  <c r="EV16" i="4" a="1"/>
  <c r="EU12" i="4" a="1"/>
  <c r="AU8" i="3"/>
  <c r="AS46" i="3"/>
  <c r="AU36" i="3"/>
  <c r="AU13" i="3"/>
  <c r="AF36" i="3"/>
  <c r="AT6" i="3"/>
  <c r="ER13" i="4" a="1"/>
  <c r="AY46" i="3"/>
  <c r="H5" i="6" a="1"/>
  <c r="AP5" i="3"/>
  <c r="AV22" i="3"/>
  <c r="AX8" i="3"/>
  <c r="EQ13" i="4" a="1"/>
  <c r="C6" i="6" a="1"/>
  <c r="AX14" i="3"/>
  <c r="ER15" i="4" a="1"/>
  <c r="EN9" i="4" a="1"/>
  <c r="AZ45" i="3"/>
  <c r="AX5" i="3"/>
  <c r="AU40" i="3"/>
  <c r="U6" i="6" a="1"/>
  <c r="AR6" i="3"/>
  <c r="AY40" i="3"/>
  <c r="AZ8" i="3"/>
  <c r="J5" i="6" a="1"/>
  <c r="EW8" i="4" a="1"/>
  <c r="AF42" i="3"/>
  <c r="AX10" i="3"/>
  <c r="AV31" i="3"/>
  <c r="AF45" i="3"/>
  <c r="ES12" i="4" a="1"/>
  <c r="ET7" i="4" a="1"/>
  <c r="T5" i="6" a="1"/>
  <c r="J6" i="6" a="1"/>
  <c r="EO6" i="4" a="1"/>
  <c r="AQ5" i="6" a="1"/>
  <c r="E5" i="6" a="1"/>
  <c r="AS34" i="3"/>
  <c r="EM9" i="4" a="1"/>
  <c r="EM13" i="4" a="1"/>
  <c r="P6" i="6" a="1"/>
  <c r="EN8" i="4" a="1"/>
  <c r="AS18" i="3"/>
  <c r="ER16" i="4" a="1"/>
  <c r="AF14" i="3"/>
  <c r="AU31" i="3"/>
  <c r="AP6" i="6" a="1"/>
  <c r="AW38" i="3"/>
  <c r="EW12" i="4" a="1"/>
  <c r="S5" i="6" a="1"/>
  <c r="AT18" i="3"/>
  <c r="AW19" i="3"/>
  <c r="AS17" i="3"/>
  <c r="AV9" i="3"/>
  <c r="EW16" i="4" a="1"/>
  <c r="EO9" i="4" a="1"/>
  <c r="EN12" i="4" a="1"/>
  <c r="AS26" i="3"/>
  <c r="AX21" i="3"/>
  <c r="AU26" i="3"/>
  <c r="AW34" i="3"/>
  <c r="AU17" i="3"/>
  <c r="AN5" i="6" a="1"/>
  <c r="EN6" i="4" a="1"/>
  <c r="AS28" i="3"/>
  <c r="AX15" i="3"/>
  <c r="AC5" i="6" a="1"/>
  <c r="AV11" i="3"/>
  <c r="EM16" i="4" a="1"/>
  <c r="AS10" i="3"/>
  <c r="AV40" i="3"/>
  <c r="AU12" i="3"/>
  <c r="EQ8" i="4" a="1"/>
  <c r="AX28" i="3"/>
  <c r="AF25" i="3"/>
  <c r="AU6" i="6" a="1"/>
  <c r="AF31" i="3"/>
  <c r="AT32" i="3"/>
  <c r="EW14" i="4" a="1"/>
  <c r="AZ29" i="3"/>
  <c r="AU41" i="3"/>
  <c r="AY21" i="3"/>
  <c r="EM11" i="4" a="1"/>
  <c r="EW13" i="4" a="1"/>
  <c r="AX6" i="6" a="1"/>
  <c r="E6" i="6" a="1"/>
  <c r="AF28" i="3"/>
  <c r="AT16" i="3"/>
  <c r="AV6" i="3"/>
  <c r="AW14" i="3"/>
  <c r="W6" i="6" a="1"/>
  <c r="EQ15" i="4" a="1"/>
  <c r="AV5" i="6" a="1"/>
  <c r="AF18" i="3"/>
  <c r="C6" i="4" a="1"/>
  <c r="EO7" i="4" a="1"/>
  <c r="EP9" i="4" a="1"/>
  <c r="AV6" i="6" a="1"/>
  <c r="AY7" i="3"/>
  <c r="AX35" i="3"/>
  <c r="AS41" i="3"/>
  <c r="EV6" i="4" a="1"/>
  <c r="AI6" i="6" a="1"/>
  <c r="AW31" i="3"/>
  <c r="D5" i="6" a="1"/>
  <c r="AY5" i="6" a="1"/>
  <c r="AH6" i="6" a="1"/>
  <c r="AX16" i="3"/>
  <c r="AF19" i="3"/>
  <c r="AX31" i="3"/>
  <c r="EV11" i="4" a="1"/>
  <c r="AU9" i="3"/>
  <c r="AZ41" i="3"/>
  <c r="C5" i="3"/>
  <c r="ER11" i="4" a="1"/>
  <c r="AW41" i="3"/>
  <c r="AZ31" i="3"/>
  <c r="AX45" i="3"/>
  <c r="ER12" i="4" a="1"/>
  <c r="EO13" i="4" a="1"/>
  <c r="AT25" i="3"/>
  <c r="AU39" i="3"/>
  <c r="AU46" i="3"/>
  <c r="AR5" i="3"/>
  <c r="AV32" i="3"/>
  <c r="AT21" i="3"/>
  <c r="AW16" i="3"/>
  <c r="AY27" i="3"/>
  <c r="AH5" i="6" a="1"/>
  <c r="EU16" i="4" a="1"/>
  <c r="AF20" i="3"/>
  <c r="AX7" i="3"/>
  <c r="AV39" i="3"/>
  <c r="AS40" i="3"/>
  <c r="AU14" i="3"/>
  <c r="AX37" i="3"/>
  <c r="EW11" i="4" a="1"/>
  <c r="F46" i="3"/>
  <c r="EM12" i="4" a="1"/>
  <c r="AY17" i="3"/>
  <c r="AT6" i="6" a="1"/>
  <c r="AV42" i="3"/>
  <c r="AV46" i="3"/>
  <c r="AY39" i="3"/>
  <c r="AZ15" i="3"/>
  <c r="AX5" i="6" a="1"/>
  <c r="EL11" i="4" a="1"/>
  <c r="AX40" i="3"/>
  <c r="AX20" i="3"/>
  <c r="AZ25" i="3"/>
  <c r="AZ28" i="3"/>
  <c r="AY26" i="3"/>
  <c r="AW5" i="6" a="1"/>
  <c r="AU27" i="3"/>
  <c r="AQ6" i="6" a="1"/>
  <c r="ES13" i="4" a="1"/>
  <c r="EO5" i="4" a="1"/>
  <c r="AX30" i="3"/>
  <c r="AS25" i="3"/>
  <c r="EL7" i="4" a="1"/>
  <c r="AF21" i="3"/>
  <c r="AS30" i="3"/>
  <c r="AX24" i="3"/>
  <c r="AZ27" i="3"/>
  <c r="EQ14" i="4" a="1"/>
  <c r="AS7" i="3"/>
  <c r="AY19" i="3"/>
  <c r="X6" i="6" a="1"/>
  <c r="AW5" i="3"/>
  <c r="AY34" i="3"/>
  <c r="AR7" i="3"/>
  <c r="AT14" i="3"/>
  <c r="AD5" i="6" a="1"/>
  <c r="AP7" i="3"/>
  <c r="AW15" i="3"/>
  <c r="EP14" i="4" a="1"/>
  <c r="AF30" i="3"/>
  <c r="AW10" i="3"/>
  <c r="AT5" i="3"/>
  <c r="I5" i="6" a="1"/>
  <c r="AV7" i="3"/>
  <c r="AC6" i="6" a="1"/>
  <c r="AU20" i="3"/>
  <c r="EP7" i="4" a="1"/>
  <c r="AV5" i="3"/>
  <c r="AU28" i="3"/>
  <c r="AT33" i="3"/>
  <c r="AT46" i="3"/>
  <c r="AT10" i="3"/>
  <c r="AU16" i="3"/>
  <c r="AY15" i="3"/>
  <c r="R5" i="6" a="1"/>
  <c r="EL15" i="4" a="1"/>
  <c r="AV29" i="3"/>
  <c r="AV23" i="3"/>
  <c r="ES8" i="4" a="1"/>
  <c r="ET13" i="4" a="1"/>
  <c r="AY33" i="3"/>
  <c r="AW32" i="3"/>
  <c r="AY6" i="3"/>
  <c r="AZ26" i="3"/>
  <c r="EQ16" i="4" a="1"/>
  <c r="AN6" i="6" a="1"/>
  <c r="AV33" i="3"/>
  <c r="AX11" i="3"/>
  <c r="AW11" i="3"/>
  <c r="AZ30" i="3"/>
  <c r="AS19" i="3"/>
  <c r="AK5" i="6" a="1"/>
  <c r="AW42" i="3"/>
  <c r="EN13" i="4" a="1"/>
  <c r="EU6" i="4" a="1"/>
  <c r="AY20" i="3"/>
  <c r="AW30" i="3"/>
  <c r="AZ7" i="3"/>
  <c r="AF34" i="3"/>
  <c r="AU24" i="3"/>
  <c r="AT7" i="3"/>
  <c r="AL5" i="6" a="1"/>
  <c r="AS16" i="3"/>
  <c r="EO15" i="4" a="1"/>
  <c r="ER6" i="4" a="1"/>
  <c r="AT20" i="3"/>
  <c r="AV17" i="3"/>
  <c r="AX26" i="3"/>
  <c r="EO12" i="4" a="1"/>
  <c r="AS20" i="3"/>
  <c r="AX6" i="3"/>
  <c r="AZ24" i="3"/>
  <c r="EV13" i="4" a="1"/>
  <c r="AV37" i="3"/>
  <c r="F45" i="3"/>
  <c r="AY8" i="3"/>
  <c r="EW5" i="4" a="1"/>
  <c r="AP5" i="6" a="1"/>
  <c r="AZ35" i="3"/>
  <c r="ER8" i="4" a="1"/>
  <c r="AX39" i="3"/>
  <c r="EV9" i="4" a="1"/>
  <c r="AS32" i="3"/>
  <c r="AF41" i="3"/>
  <c r="AY28" i="3"/>
  <c r="EP5" i="4" a="1"/>
  <c r="AY10" i="3"/>
  <c r="AY36" i="3"/>
  <c r="AX22" i="3"/>
  <c r="AV30" i="3"/>
  <c r="AE5" i="6" a="1"/>
  <c r="T6" i="6" a="1"/>
  <c r="AZ13" i="3"/>
  <c r="EU13" i="4" a="1"/>
  <c r="EP15" i="4" a="1"/>
  <c r="EU5" i="4" a="1"/>
  <c r="EP11" i="4" a="1"/>
  <c r="AW22" i="3"/>
  <c r="AW37" i="3"/>
  <c r="AU22" i="3"/>
  <c r="K5" i="6" a="1"/>
  <c r="AS13" i="3"/>
  <c r="AV12" i="3"/>
  <c r="AG6" i="6" a="1"/>
  <c r="AY24" i="3"/>
  <c r="AW21" i="3"/>
  <c r="AW20" i="3"/>
  <c r="G5" i="6" a="1"/>
  <c r="AF15" i="3"/>
  <c r="ET6" i="4" a="1"/>
  <c r="ES9" i="4" a="1"/>
  <c r="AS11" i="3"/>
  <c r="AX17" i="3"/>
  <c r="AG5" i="6" a="1"/>
  <c r="AT42" i="3"/>
  <c r="AY38" i="3"/>
  <c r="AZ17" i="3"/>
  <c r="AZ22" i="3"/>
  <c r="AX32" i="3"/>
  <c r="ER7" i="4" a="1"/>
  <c r="ET16" i="4" a="1"/>
  <c r="AZ40" i="3"/>
  <c r="AK6" i="6" a="1"/>
  <c r="R6" i="6" a="1"/>
  <c r="AU15" i="3"/>
  <c r="AW23" i="3"/>
  <c r="AX9" i="3"/>
  <c r="AY42" i="3"/>
  <c r="EL13" i="4" a="1"/>
  <c r="AV36" i="3"/>
  <c r="AU32" i="3"/>
  <c r="F5" i="6" a="1"/>
  <c r="AW45" i="3"/>
  <c r="AW13" i="3"/>
  <c r="AV20" i="3"/>
  <c r="D6" i="6" a="1"/>
  <c r="EO16" i="4" a="1"/>
  <c r="ET9" i="4" a="1"/>
  <c r="EP12" i="4" a="1"/>
  <c r="AY41" i="3"/>
  <c r="AS15" i="3"/>
  <c r="AT45" i="3"/>
  <c r="EP8" i="4" a="1"/>
  <c r="AV8" i="3"/>
  <c r="AF29" i="3"/>
  <c r="AF5" i="3"/>
  <c r="AZ9" i="3"/>
  <c r="AF17" i="3"/>
  <c r="ES11" i="4" a="1"/>
  <c r="EO14" i="4" a="1"/>
  <c r="AS39" i="3"/>
  <c r="AU5" i="6" a="1"/>
  <c r="Q5" i="6" a="1"/>
  <c r="AU29" i="3"/>
  <c r="W5" i="6" a="1"/>
  <c r="AV15" i="3"/>
  <c r="EN14" i="4" a="1"/>
  <c r="AY45" i="3"/>
  <c r="AO5" i="6" a="1"/>
  <c r="AV28" i="3"/>
  <c r="AP6" i="3"/>
  <c r="AW25" i="3"/>
  <c r="AU21" i="3"/>
  <c r="AZ14" i="3"/>
  <c r="AY9" i="3"/>
  <c r="AR5" i="6" a="1"/>
  <c r="EU14" i="4" a="1"/>
  <c r="AV41" i="3"/>
  <c r="AW39" i="3"/>
  <c r="AZ37" i="3"/>
  <c r="Z6" i="6" a="1"/>
  <c r="AT19" i="3"/>
  <c r="AZ21" i="3"/>
  <c r="AF9" i="3"/>
  <c r="AX12" i="3"/>
  <c r="AB6" i="6" a="1"/>
  <c r="AF24" i="3"/>
  <c r="ES14" i="4" a="1"/>
  <c r="AF7" i="3"/>
  <c r="AJ5" i="6" a="1"/>
  <c r="AY25" i="3"/>
  <c r="AY37" i="3"/>
  <c r="AW8" i="3"/>
  <c r="AF26" i="3"/>
  <c r="AU23" i="3"/>
  <c r="AF16" i="3"/>
  <c r="EP16" i="4" a="1"/>
  <c r="Y6" i="6" a="1"/>
  <c r="AU6" i="3"/>
  <c r="O5" i="6" a="1"/>
  <c r="AY12" i="3"/>
  <c r="AO6" i="6" a="1"/>
  <c r="C5" i="4" a="1"/>
  <c r="AA5" i="6" a="1"/>
  <c r="AT23" i="3"/>
  <c r="S6" i="6" a="1"/>
  <c r="AT22" i="3"/>
  <c r="AF12" i="3"/>
  <c r="ET5" i="4" a="1"/>
  <c r="N6" i="6" a="1"/>
  <c r="AV19" i="3"/>
  <c r="EW7" i="4" a="1"/>
  <c r="EM15" i="4" a="1"/>
  <c r="AF11" i="3"/>
  <c r="AY23" i="3"/>
  <c r="AF13" i="3"/>
  <c r="O6" i="6" a="1"/>
  <c r="AS9" i="3"/>
  <c r="AS31" i="3"/>
  <c r="AF37" i="3"/>
  <c r="AV16" i="3"/>
  <c r="AZ36" i="3"/>
  <c r="Y5" i="6" a="1"/>
  <c r="AM6" i="6" a="1"/>
  <c r="EL12" i="4" a="1"/>
  <c r="AZ6" i="3"/>
  <c r="AU42" i="3"/>
  <c r="AU5" i="3"/>
  <c r="ET12" i="4" a="1"/>
  <c r="EQ11" i="4" a="1"/>
  <c r="AX38" i="3"/>
  <c r="AV45" i="3"/>
  <c r="ET11" i="4" a="1"/>
  <c r="EL14" i="4" a="1"/>
  <c r="AT37" i="3"/>
  <c r="AZ18" i="3"/>
  <c r="AF6" i="6" a="1"/>
  <c r="L5" i="6" a="1"/>
  <c r="G6" i="6" a="1"/>
  <c r="ES15" i="4" a="1"/>
  <c r="AS12" i="3"/>
  <c r="EQ5" i="4" a="1"/>
  <c r="AY22" i="3"/>
  <c r="N5" i="6" a="1"/>
  <c r="AT40" i="3"/>
  <c r="AS33" i="3"/>
  <c r="AL6" i="6" a="1"/>
  <c r="EV14" i="4" a="1"/>
  <c r="AT26" i="3"/>
  <c r="AD6" i="6" a="1"/>
  <c r="AJ6" i="6" a="1"/>
  <c r="AZ42" i="3"/>
  <c r="AF38" i="3"/>
  <c r="EQ6" i="4" a="1"/>
  <c r="AS5" i="6" a="1"/>
  <c r="V6" i="6" a="1"/>
  <c r="EW15" i="4" a="1"/>
  <c r="AU45" i="3"/>
  <c r="Q6" i="6" a="1"/>
  <c r="AW12" i="3"/>
  <c r="AV26" i="3"/>
  <c r="AX42" i="3"/>
  <c r="EW9" i="4" a="1"/>
  <c r="EL16" i="4" a="1"/>
  <c r="AT31" i="3"/>
  <c r="AI5" i="6" a="1"/>
  <c r="AX27" i="3"/>
  <c r="AA6" i="6" a="1"/>
  <c r="EO11" i="4" a="1"/>
  <c r="EU9" i="4" a="1"/>
  <c r="AT28" i="3"/>
  <c r="AZ12" i="3"/>
  <c r="ES16" i="4" a="1"/>
  <c r="ES7" i="4" a="1"/>
  <c r="AY18" i="3"/>
  <c r="AT34" i="3"/>
  <c r="H6" i="6" a="1"/>
  <c r="AW33" i="3"/>
  <c r="AW27" i="3"/>
  <c r="AS35" i="3"/>
  <c r="EU11" i="4" a="1"/>
  <c r="EN16" i="4" a="1"/>
  <c r="ES6" i="4" a="1"/>
  <c r="AZ16" i="3"/>
  <c r="AS6" i="3"/>
  <c r="AY32" i="3"/>
  <c r="AT36" i="3"/>
  <c r="C5" i="6" a="1"/>
  <c r="AV35" i="3"/>
  <c r="EO8" i="4" a="1"/>
  <c r="AS14" i="3"/>
  <c r="ER5" i="4" a="1"/>
  <c r="M6" i="6" a="1"/>
  <c r="AV14" i="3"/>
  <c r="AW28" i="3"/>
  <c r="AZ46" i="3"/>
  <c r="EM5" i="4" a="1"/>
  <c r="AF22" i="3"/>
  <c r="AE6" i="6" a="1"/>
  <c r="AT27" i="3"/>
  <c r="AF39" i="3"/>
  <c r="EM7" i="4" a="1"/>
  <c r="AZ32" i="3"/>
  <c r="EL5" i="4" a="1"/>
  <c r="K6" i="6" a="1"/>
  <c r="AT38" i="3"/>
  <c r="AF27" i="3"/>
  <c r="EM14" i="4" a="1"/>
  <c r="AS5" i="3"/>
  <c r="AY31" i="3"/>
  <c r="AZ10" i="3"/>
  <c r="AY16" i="3"/>
  <c r="EU15" i="4" a="1"/>
  <c r="AX19" i="3"/>
  <c r="AW35" i="3"/>
  <c r="AX29" i="3"/>
  <c r="AS38" i="3"/>
  <c r="AW24" i="3"/>
  <c r="EL8" i="4" a="1"/>
  <c r="EV7" i="4" a="1"/>
  <c r="AU34" i="3"/>
  <c r="AT29" i="3"/>
  <c r="AB5" i="6" a="1"/>
  <c r="EL9" i="4" a="1"/>
  <c r="AR6" i="6" a="1"/>
  <c r="AS23" i="3"/>
  <c r="EQ7" i="4" a="1"/>
  <c r="AX13" i="3"/>
  <c r="AW26" i="3"/>
  <c r="EN11" i="4" a="1"/>
  <c r="AW40" i="3"/>
  <c r="AT11" i="3"/>
  <c r="V5" i="6" a="1"/>
  <c r="AU10" i="3"/>
  <c r="AZ11" i="3"/>
  <c r="EN7" i="4" a="1"/>
  <c r="AF8" i="3"/>
  <c r="AW6" i="3"/>
  <c r="AY13" i="3"/>
  <c r="AZ19" i="3"/>
  <c r="AF23" i="3"/>
  <c r="EV5" i="4" a="1"/>
  <c r="AX33" i="3"/>
  <c r="AZ39" i="3"/>
  <c r="AT30" i="3"/>
  <c r="ET8" i="4" a="1"/>
  <c r="AW6" i="6" a="1"/>
  <c r="AF32" i="3"/>
  <c r="AY11" i="3"/>
  <c r="AS42" i="3"/>
  <c r="AU38" i="3"/>
  <c r="AT9" i="3"/>
  <c r="AV24" i="3"/>
  <c r="AX25" i="3"/>
  <c r="AW18" i="3"/>
  <c r="AS21" i="3"/>
  <c r="AZ34" i="3"/>
  <c r="ES5" i="4" a="1"/>
  <c r="AY30" i="3"/>
  <c r="AV27" i="3"/>
  <c r="ER9" i="4" a="1"/>
  <c r="AZ5" i="3"/>
  <c r="EN5" i="4" a="1"/>
  <c r="AV18" i="3"/>
  <c r="EU8" i="4" a="1"/>
  <c r="EV8" i="4" a="1"/>
  <c r="AT17" i="3"/>
  <c r="AW9" i="3"/>
  <c r="AT41" i="3"/>
  <c r="AF10" i="3"/>
  <c r="AU19" i="3"/>
  <c r="AX46" i="3"/>
  <c r="AS36" i="3"/>
  <c r="AU18" i="3"/>
  <c r="AV38" i="3"/>
  <c r="AY35" i="3"/>
  <c r="AU37" i="3"/>
  <c r="AM5" i="6" a="1"/>
  <c r="AV21" i="3"/>
  <c r="AU11" i="3"/>
  <c r="AS24" i="3"/>
  <c r="AW17" i="3"/>
  <c r="AU30" i="3"/>
  <c r="EQ9" i="4" a="1"/>
  <c r="EV12" i="4" a="1"/>
  <c r="AZ20" i="3"/>
  <c r="AF33" i="3"/>
  <c r="P5" i="6" a="1"/>
  <c r="AY14" i="3"/>
  <c r="AU35" i="3"/>
  <c r="AT15" i="3"/>
  <c r="CR50" i="1" l="1"/>
  <c r="CQ163" i="1"/>
  <c r="CQ225" i="1" s="1"/>
  <c r="CJ67" i="1"/>
  <c r="CJ89" i="1"/>
  <c r="CI65" i="1"/>
  <c r="CI268" i="1" s="1"/>
  <c r="CI67" i="1"/>
  <c r="CI71" i="1"/>
  <c r="CJ77" i="1" s="1"/>
  <c r="CI257" i="1"/>
  <c r="CL250" i="1"/>
  <c r="AB154" i="1"/>
  <c r="CQ154" i="1"/>
  <c r="CR154" i="1" s="1"/>
  <c r="CS154" i="1" s="1"/>
  <c r="CT154" i="1" s="1"/>
  <c r="CJ75" i="1"/>
  <c r="CH75" i="1"/>
  <c r="CM63" i="1"/>
  <c r="CG216" i="1"/>
  <c r="CG218" i="1" s="1"/>
  <c r="CG89" i="1"/>
  <c r="CG75" i="1"/>
  <c r="CP207" i="1"/>
  <c r="CO208" i="1"/>
  <c r="CN205" i="1"/>
  <c r="CN209" i="1" s="1"/>
  <c r="CO204" i="1"/>
  <c r="CQ148" i="1"/>
  <c r="CP151" i="1"/>
  <c r="CP272" i="1" s="1"/>
  <c r="CO229" i="1"/>
  <c r="BY45" i="1"/>
  <c r="CA32" i="1"/>
  <c r="CE45" i="1"/>
  <c r="CA45" i="1"/>
  <c r="CF45" i="1"/>
  <c r="CD45" i="1"/>
  <c r="BZ45" i="1"/>
  <c r="BL45" i="1"/>
  <c r="CC45" i="1"/>
  <c r="CB45" i="1"/>
  <c r="CF32" i="1"/>
  <c r="CD32" i="1"/>
  <c r="BY32" i="1"/>
  <c r="CE32" i="1"/>
  <c r="BZ32" i="1"/>
  <c r="CC32" i="1"/>
  <c r="CB32" i="1"/>
  <c r="BL32" i="1"/>
  <c r="Y216" i="1"/>
  <c r="Y218" i="1" s="1"/>
  <c r="Y222" i="1" s="1"/>
  <c r="Y236" i="1" s="1"/>
  <c r="Y230" i="1"/>
  <c r="Y228" i="1" s="1"/>
  <c r="Y77" i="1"/>
  <c r="Y75" i="1"/>
  <c r="X216" i="1"/>
  <c r="X218" i="1" s="1"/>
  <c r="X75" i="1"/>
  <c r="X77" i="1"/>
  <c r="Z216" i="1"/>
  <c r="Z218" i="1" s="1"/>
  <c r="Z222" i="1" s="1"/>
  <c r="Z236" i="1" s="1"/>
  <c r="Z230" i="1"/>
  <c r="Z228" i="1" s="1"/>
  <c r="Z77" i="1"/>
  <c r="Z75" i="1"/>
  <c r="CD48" i="1"/>
  <c r="CC68" i="1"/>
  <c r="CA31" i="1"/>
  <c r="CA254" i="1" s="1"/>
  <c r="CD62" i="1"/>
  <c r="AH7" i="6" s="1"/>
  <c r="CD58" i="1"/>
  <c r="CF59" i="1"/>
  <c r="BY68" i="1"/>
  <c r="BL68" i="1"/>
  <c r="CD69" i="1"/>
  <c r="AV7" i="6" s="1"/>
  <c r="CB43" i="1"/>
  <c r="R7" i="6" s="1"/>
  <c r="X7" i="6" s="1"/>
  <c r="CD68" i="1"/>
  <c r="CD38" i="1"/>
  <c r="V7" i="6" s="1"/>
  <c r="BY38" i="1"/>
  <c r="CB31" i="1"/>
  <c r="CB254" i="1" s="1"/>
  <c r="BY74" i="1"/>
  <c r="BL31" i="1"/>
  <c r="AW7" i="6" s="1"/>
  <c r="BY44" i="1"/>
  <c r="CA36" i="1"/>
  <c r="CB46" i="1"/>
  <c r="BZ59" i="1"/>
  <c r="O7" i="6" s="1"/>
  <c r="BL70" i="1"/>
  <c r="AQ7" i="6" s="1"/>
  <c r="CF31" i="1"/>
  <c r="JJ9" i="4" s="1"/>
  <c r="BY69" i="1"/>
  <c r="AM7" i="6" s="1"/>
  <c r="JM16" i="4" s="1"/>
  <c r="CF70" i="1"/>
  <c r="CA47" i="1"/>
  <c r="BL46" i="1"/>
  <c r="BL69" i="1"/>
  <c r="CF58" i="1"/>
  <c r="BL59" i="1"/>
  <c r="BZ68" i="1"/>
  <c r="CC48" i="1"/>
  <c r="CC44" i="1"/>
  <c r="JM9" i="4" s="1"/>
  <c r="CA44" i="1"/>
  <c r="JL16" i="4" s="1"/>
  <c r="BZ47" i="1"/>
  <c r="CB44" i="1"/>
  <c r="CC36" i="1"/>
  <c r="JK16" i="4" s="1"/>
  <c r="CA74" i="1"/>
  <c r="BZ37" i="1"/>
  <c r="CE38" i="1"/>
  <c r="CC37" i="1"/>
  <c r="C7" i="6" s="1"/>
  <c r="T7" i="6" s="1"/>
  <c r="BY47" i="1"/>
  <c r="CC69" i="1"/>
  <c r="CC31" i="1"/>
  <c r="CC254" i="1" s="1"/>
  <c r="CB58" i="1"/>
  <c r="JL9" i="4" s="1"/>
  <c r="CF62" i="1"/>
  <c r="AL7" i="6" s="1"/>
  <c r="BZ55" i="1"/>
  <c r="BZ217" i="1" s="1"/>
  <c r="BZ58" i="1"/>
  <c r="J7" i="6" s="1"/>
  <c r="BY70" i="1"/>
  <c r="Z7" i="6" s="1"/>
  <c r="BL43" i="1"/>
  <c r="CF36" i="1"/>
  <c r="CF46" i="1"/>
  <c r="BZ36" i="1"/>
  <c r="CA38" i="1"/>
  <c r="CD37" i="1"/>
  <c r="BL44" i="1"/>
  <c r="BY37" i="1"/>
  <c r="CE55" i="1"/>
  <c r="CE217" i="1" s="1"/>
  <c r="AD7" i="6" s="1"/>
  <c r="CF48" i="1"/>
  <c r="CE43" i="1"/>
  <c r="CA70" i="1"/>
  <c r="CD59" i="1"/>
  <c r="CB47" i="1"/>
  <c r="CD70" i="1"/>
  <c r="AP7" i="6" s="1"/>
  <c r="Y7" i="6" s="1"/>
  <c r="CA48" i="1"/>
  <c r="AA7" i="6" s="1"/>
  <c r="AJ7" i="6" s="1"/>
  <c r="BY31" i="1"/>
  <c r="BY46" i="1"/>
  <c r="CB62" i="1"/>
  <c r="CE48" i="1"/>
  <c r="I7" i="6" s="1"/>
  <c r="AK7" i="6" s="1"/>
  <c r="CE37" i="1"/>
  <c r="K7" i="6" s="1"/>
  <c r="F7" i="6" s="1"/>
  <c r="CB68" i="1"/>
  <c r="CF47" i="1"/>
  <c r="AC7" i="6" s="1"/>
  <c r="AE7" i="6" s="1"/>
  <c r="M7" i="6" s="1"/>
  <c r="Q7" i="6" s="1"/>
  <c r="CA69" i="1"/>
  <c r="BZ69" i="1"/>
  <c r="CA59" i="1"/>
  <c r="CF69" i="1"/>
  <c r="AU7" i="6" s="1"/>
  <c r="BL38" i="1"/>
  <c r="CE47" i="1"/>
  <c r="CB55" i="1"/>
  <c r="CB217" i="1" s="1"/>
  <c r="CC70" i="1"/>
  <c r="CC74" i="1"/>
  <c r="AX7" i="6" s="1"/>
  <c r="BZ46" i="1"/>
  <c r="AT7" i="6" s="1"/>
  <c r="S7" i="6" s="1"/>
  <c r="BY36" i="1"/>
  <c r="CE58" i="1"/>
  <c r="CA68" i="1"/>
  <c r="CB70" i="1"/>
  <c r="CA58" i="1"/>
  <c r="CF74" i="1"/>
  <c r="CF44" i="1"/>
  <c r="CA43" i="1"/>
  <c r="AN7" i="6" s="1"/>
  <c r="CE69" i="1"/>
  <c r="CC38" i="1"/>
  <c r="CE74" i="1"/>
  <c r="CF38" i="1"/>
  <c r="G7" i="6" s="1"/>
  <c r="BL55" i="1"/>
  <c r="AF7" i="6" s="1"/>
  <c r="CC43" i="1"/>
  <c r="CD43" i="1"/>
  <c r="JJ16" i="4" s="1"/>
  <c r="BY48" i="1"/>
  <c r="CB69" i="1"/>
  <c r="CE31" i="1"/>
  <c r="AB7" i="6" s="1"/>
  <c r="BL37" i="1"/>
  <c r="CD74" i="1"/>
  <c r="BY43" i="1"/>
  <c r="BZ38" i="1"/>
  <c r="CD44" i="1"/>
  <c r="L7" i="6" s="1"/>
  <c r="BL62" i="1"/>
  <c r="BZ31" i="1"/>
  <c r="BZ254" i="1" s="1"/>
  <c r="CA55" i="1"/>
  <c r="BZ62" i="1"/>
  <c r="BY55" i="1"/>
  <c r="BY217" i="1" s="1"/>
  <c r="AI7" i="6" s="1"/>
  <c r="CC62" i="1"/>
  <c r="D7" i="6" s="1"/>
  <c r="BZ44" i="1"/>
  <c r="AG7" i="6" s="1"/>
  <c r="BZ43" i="1"/>
  <c r="BL74" i="1"/>
  <c r="W7" i="6" s="1"/>
  <c r="CB74" i="1"/>
  <c r="CE70" i="1"/>
  <c r="CF43" i="1"/>
  <c r="CC46" i="1"/>
  <c r="CD46" i="1"/>
  <c r="CE36" i="1"/>
  <c r="BY58" i="1"/>
  <c r="CC58" i="1"/>
  <c r="BZ74" i="1"/>
  <c r="AS7" i="6" s="1"/>
  <c r="BZ70" i="1"/>
  <c r="CE59" i="1"/>
  <c r="CD36" i="1"/>
  <c r="BL58" i="1"/>
  <c r="CB37" i="1"/>
  <c r="CC55" i="1"/>
  <c r="CC217" i="1" s="1"/>
  <c r="BY62" i="1"/>
  <c r="H7" i="6" s="1"/>
  <c r="CA46" i="1"/>
  <c r="BZ48" i="1"/>
  <c r="CD31" i="1"/>
  <c r="CD254" i="1" s="1"/>
  <c r="AR7" i="6" s="1"/>
  <c r="CF37" i="1"/>
  <c r="BL36" i="1"/>
  <c r="BL47" i="1"/>
  <c r="JK9" i="4" s="1"/>
  <c r="AO7" i="6" s="1"/>
  <c r="CA62" i="1"/>
  <c r="BL48" i="1"/>
  <c r="CA37" i="1"/>
  <c r="CE68" i="1"/>
  <c r="CD47" i="1"/>
  <c r="P7" i="6" s="1"/>
  <c r="E7" i="6" s="1"/>
  <c r="U7" i="6" s="1"/>
  <c r="CC47" i="1"/>
  <c r="AY7" i="6" s="1"/>
  <c r="CD55" i="1"/>
  <c r="CB38" i="1"/>
  <c r="CC59" i="1"/>
  <c r="CB59" i="1"/>
  <c r="CE46" i="1"/>
  <c r="CE44" i="1"/>
  <c r="CF55" i="1"/>
  <c r="CF217" i="1" s="1"/>
  <c r="CB48" i="1"/>
  <c r="BY59" i="1"/>
  <c r="CF68" i="1"/>
  <c r="N7" i="6" s="1"/>
  <c r="CQ40" i="1"/>
  <c r="CS147" i="1"/>
  <c r="CR203" i="1"/>
  <c r="CR206" i="1"/>
  <c r="CR202" i="1"/>
  <c r="CJ78" i="1"/>
  <c r="AC69" i="1"/>
  <c r="CV69" i="1"/>
  <c r="CW69" i="1" s="1"/>
  <c r="CX69" i="1" s="1"/>
  <c r="CY69" i="1" s="1"/>
  <c r="AD58" i="1"/>
  <c r="AS94" i="3"/>
  <c r="AT94" i="3"/>
  <c r="AX72" i="3"/>
  <c r="AF71" i="3"/>
  <c r="AU61" i="3"/>
  <c r="AS61" i="3"/>
  <c r="AS60" i="3"/>
  <c r="AT81" i="3"/>
  <c r="AV79" i="3"/>
  <c r="AX78" i="3"/>
  <c r="AS69" i="3"/>
  <c r="AX65" i="3"/>
  <c r="AZ80" i="3"/>
  <c r="AZ86" i="3"/>
  <c r="AS72" i="3"/>
  <c r="AY65" i="3"/>
  <c r="AV70" i="3"/>
  <c r="AW72" i="3"/>
  <c r="AF80" i="3"/>
  <c r="AT87" i="3"/>
  <c r="AS67" i="3"/>
  <c r="AX74" i="3"/>
  <c r="AZ84" i="3"/>
  <c r="AU82" i="3"/>
  <c r="AX48" i="3"/>
  <c r="AW86" i="3"/>
  <c r="AV64" i="3"/>
  <c r="AF55" i="3"/>
  <c r="AT95" i="3"/>
  <c r="AV59" i="3"/>
  <c r="C56" i="3"/>
  <c r="AT49" i="3"/>
  <c r="AU58" i="3"/>
  <c r="AX67" i="3"/>
  <c r="AX75" i="3"/>
  <c r="AW62" i="3"/>
  <c r="AZ90" i="3"/>
  <c r="AS64" i="3"/>
  <c r="C89" i="3"/>
  <c r="AT66" i="3"/>
  <c r="AW47" i="3"/>
  <c r="AS93" i="3"/>
  <c r="AT78" i="3"/>
  <c r="AT91" i="3"/>
  <c r="AY67" i="3"/>
  <c r="AF78" i="3"/>
  <c r="AF81" i="3"/>
  <c r="AZ62" i="3"/>
  <c r="AS56" i="3"/>
  <c r="AY88" i="3"/>
  <c r="AV93" i="3"/>
  <c r="AF97" i="3"/>
  <c r="AV48" i="3"/>
  <c r="AY95" i="3"/>
  <c r="AF90" i="3"/>
  <c r="AF66" i="3"/>
  <c r="AF92" i="3"/>
  <c r="AW88" i="3"/>
  <c r="AS70" i="3"/>
  <c r="AW50" i="3"/>
  <c r="AS62" i="3"/>
  <c r="AY86" i="3"/>
  <c r="AW84" i="3"/>
  <c r="AY74" i="3"/>
  <c r="AW56" i="3"/>
  <c r="AU97" i="3"/>
  <c r="AS87" i="3"/>
  <c r="C86" i="3"/>
  <c r="AX63" i="3"/>
  <c r="AF86" i="3"/>
  <c r="C60" i="3"/>
  <c r="AT80" i="3"/>
  <c r="AZ55" i="3"/>
  <c r="AY71" i="3"/>
  <c r="AW54" i="3"/>
  <c r="C67" i="3"/>
  <c r="AX62" i="3"/>
  <c r="AT76" i="3"/>
  <c r="C68" i="3"/>
  <c r="AU63" i="3"/>
  <c r="AT75" i="3"/>
  <c r="AZ47" i="3"/>
  <c r="AT79" i="3"/>
  <c r="AW60" i="3"/>
  <c r="C79" i="3"/>
  <c r="AV90" i="3"/>
  <c r="AY84" i="3"/>
  <c r="AS50" i="3"/>
  <c r="AU94" i="3"/>
  <c r="AX94" i="3"/>
  <c r="AZ95" i="3"/>
  <c r="AU67" i="3"/>
  <c r="C78" i="3"/>
  <c r="AX90" i="3"/>
  <c r="AY79" i="3"/>
  <c r="AS68" i="3"/>
  <c r="AS84" i="3"/>
  <c r="AX49" i="3"/>
  <c r="AW96" i="3"/>
  <c r="AX54" i="3"/>
  <c r="AY82" i="3"/>
  <c r="AV96" i="3"/>
  <c r="AY87" i="3"/>
  <c r="AX58" i="3"/>
  <c r="AV97" i="3"/>
  <c r="AY75" i="3"/>
  <c r="AT67" i="3"/>
  <c r="AZ85" i="3"/>
  <c r="AF60" i="3"/>
  <c r="C58" i="3"/>
  <c r="AF88" i="3"/>
  <c r="AF89" i="3"/>
  <c r="AY78" i="3"/>
  <c r="AW90" i="3"/>
  <c r="C73" i="3"/>
  <c r="C84" i="3"/>
  <c r="AW67" i="3"/>
  <c r="AW81" i="3"/>
  <c r="AF75" i="3"/>
  <c r="AV95" i="3"/>
  <c r="AY90" i="3"/>
  <c r="AT85" i="3"/>
  <c r="AU50" i="3"/>
  <c r="AS91" i="3"/>
  <c r="AW57" i="3"/>
  <c r="AU66" i="3"/>
  <c r="AY62" i="3"/>
  <c r="AU95" i="3"/>
  <c r="AW94" i="3"/>
  <c r="AZ94" i="3"/>
  <c r="AV81" i="3"/>
  <c r="AV86" i="3"/>
  <c r="AT84" i="3"/>
  <c r="AZ82" i="3"/>
  <c r="AV82" i="3"/>
  <c r="AU57" i="3"/>
  <c r="AS77" i="3"/>
  <c r="AT68" i="3"/>
  <c r="AW65" i="3"/>
  <c r="AY89" i="3"/>
  <c r="AZ79" i="3"/>
  <c r="AF47" i="3"/>
  <c r="C75" i="3"/>
  <c r="AU55" i="3"/>
  <c r="AT88" i="3"/>
  <c r="AZ75" i="3"/>
  <c r="AZ67" i="3"/>
  <c r="C95" i="3"/>
  <c r="AW83" i="3"/>
  <c r="AU49" i="3"/>
  <c r="AS95" i="3"/>
  <c r="C64" i="3"/>
  <c r="AU86" i="3"/>
  <c r="AV73" i="3"/>
  <c r="AF56" i="3"/>
  <c r="AZ64" i="3"/>
  <c r="AS86" i="3"/>
  <c r="AW63" i="3"/>
  <c r="AY66" i="3"/>
  <c r="AX68" i="3"/>
  <c r="AU75" i="3"/>
  <c r="AZ61" i="3"/>
  <c r="AY48" i="3"/>
  <c r="AU77" i="3"/>
  <c r="AW93" i="3"/>
  <c r="AZ70" i="3"/>
  <c r="AY81" i="3"/>
  <c r="AT63" i="3"/>
  <c r="AV76" i="3"/>
  <c r="AS90" i="3"/>
  <c r="AF62" i="3"/>
  <c r="AU56" i="3"/>
  <c r="AY69" i="3"/>
  <c r="AZ76" i="3"/>
  <c r="AV92" i="3"/>
  <c r="AF64" i="3"/>
  <c r="AZ57" i="3"/>
  <c r="AV63" i="3"/>
  <c r="AY91" i="3"/>
  <c r="AZ56" i="3"/>
  <c r="AS97" i="3"/>
  <c r="AY64" i="3"/>
  <c r="AW91" i="3"/>
  <c r="AV65" i="3"/>
  <c r="AF91" i="3"/>
  <c r="AV77" i="3"/>
  <c r="AY55" i="3"/>
  <c r="AF72" i="3"/>
  <c r="AW48" i="3"/>
  <c r="AU71" i="3"/>
  <c r="AX69" i="3"/>
  <c r="C90" i="3"/>
  <c r="AT65" i="3"/>
  <c r="AX88" i="3"/>
  <c r="AT89" i="3"/>
  <c r="AW64" i="3"/>
  <c r="AV91" i="3"/>
  <c r="AU62" i="3"/>
  <c r="AZ63" i="3"/>
  <c r="AT54" i="3"/>
  <c r="AU72" i="3"/>
  <c r="C50" i="3"/>
  <c r="AU83" i="3"/>
  <c r="AZ68" i="3"/>
  <c r="AT62" i="3"/>
  <c r="C69" i="3"/>
  <c r="AY96" i="3"/>
  <c r="AY92" i="3"/>
  <c r="AY77" i="3"/>
  <c r="AY80" i="3"/>
  <c r="AY60" i="3"/>
  <c r="AV60" i="3"/>
  <c r="AY83" i="3"/>
  <c r="AT58" i="3"/>
  <c r="AX76" i="3"/>
  <c r="AX89" i="3"/>
  <c r="AX84" i="3"/>
  <c r="AS73" i="3"/>
  <c r="AV83" i="3"/>
  <c r="AX50" i="3"/>
  <c r="C57" i="3"/>
  <c r="AW69" i="3"/>
  <c r="AZ71" i="3"/>
  <c r="AY85" i="3"/>
  <c r="AU48" i="3"/>
  <c r="AF57" i="3"/>
  <c r="AX85" i="3"/>
  <c r="AU84" i="3"/>
  <c r="C92" i="3"/>
  <c r="AU70" i="3"/>
  <c r="AF74" i="3"/>
  <c r="AW89" i="3"/>
  <c r="AZ96" i="3"/>
  <c r="AT60" i="3"/>
  <c r="AU81" i="3"/>
  <c r="AZ74" i="3"/>
  <c r="AX95" i="3"/>
  <c r="AS96" i="3"/>
  <c r="AV94" i="3"/>
  <c r="AF96" i="3"/>
  <c r="AF82" i="3"/>
  <c r="C63" i="3"/>
  <c r="AX64" i="3"/>
  <c r="AW79" i="3"/>
  <c r="AZ48" i="3"/>
  <c r="AX61" i="3"/>
  <c r="AW66" i="3"/>
  <c r="AS82" i="3"/>
  <c r="AV54" i="3"/>
  <c r="AX91" i="3"/>
  <c r="AV78" i="3"/>
  <c r="AT97" i="3"/>
  <c r="AY47" i="3"/>
  <c r="AF94" i="3"/>
  <c r="AW70" i="3"/>
  <c r="C93" i="3"/>
  <c r="AW75" i="3"/>
  <c r="AT96" i="3"/>
  <c r="AY61" i="3"/>
  <c r="AT77" i="3"/>
  <c r="AV57" i="3"/>
  <c r="AZ69" i="3"/>
  <c r="AZ73" i="3"/>
  <c r="AT83" i="3"/>
  <c r="C81" i="3"/>
  <c r="AW78" i="3"/>
  <c r="AV55" i="3"/>
  <c r="AF85" i="3"/>
  <c r="AY56" i="3"/>
  <c r="AW74" i="3"/>
  <c r="AV84" i="3"/>
  <c r="AV87" i="3"/>
  <c r="AW55" i="3"/>
  <c r="AS66" i="3"/>
  <c r="AZ78" i="3"/>
  <c r="AF54" i="3"/>
  <c r="AX96" i="3"/>
  <c r="AW87" i="3"/>
  <c r="AS75" i="3"/>
  <c r="AZ50" i="3"/>
  <c r="AU65" i="3"/>
  <c r="C54" i="3"/>
  <c r="AT73" i="3"/>
  <c r="C74" i="3"/>
  <c r="AW80" i="3"/>
  <c r="AV74" i="3"/>
  <c r="AS54" i="3"/>
  <c r="AT64" i="3"/>
  <c r="AW68" i="3"/>
  <c r="AU78" i="3"/>
  <c r="AY57" i="3"/>
  <c r="AS55" i="3"/>
  <c r="AT57" i="3"/>
  <c r="AF83" i="3"/>
  <c r="AF61" i="3"/>
  <c r="C71" i="3"/>
  <c r="AZ91" i="3"/>
  <c r="AT93" i="3"/>
  <c r="AS88" i="3"/>
  <c r="AU64" i="3"/>
  <c r="AY58" i="3"/>
  <c r="AF87" i="3"/>
  <c r="AX80" i="3"/>
  <c r="C62" i="3"/>
  <c r="AX81" i="3"/>
  <c r="AY76" i="3"/>
  <c r="AW49" i="3"/>
  <c r="AW97" i="3"/>
  <c r="AU73" i="3"/>
  <c r="AS80" i="3"/>
  <c r="AU47" i="3"/>
  <c r="AT92" i="3"/>
  <c r="AY73" i="3"/>
  <c r="AX82" i="3"/>
  <c r="AW61" i="3"/>
  <c r="AS78" i="3"/>
  <c r="AV58" i="3"/>
  <c r="C65" i="3"/>
  <c r="AY49" i="3"/>
  <c r="AU79" i="3"/>
  <c r="AZ72" i="3"/>
  <c r="C83" i="3"/>
  <c r="AV61" i="3"/>
  <c r="AS48" i="3"/>
  <c r="AF95" i="3"/>
  <c r="AW73" i="3"/>
  <c r="AU90" i="3"/>
  <c r="AF79" i="3"/>
  <c r="AS71" i="3"/>
  <c r="AF70" i="3"/>
  <c r="AW71" i="3"/>
  <c r="AY70" i="3"/>
  <c r="AS79" i="3"/>
  <c r="AZ65" i="3"/>
  <c r="AW58" i="3"/>
  <c r="AW76" i="3"/>
  <c r="AX73" i="3"/>
  <c r="C91" i="3"/>
  <c r="AT69" i="3"/>
  <c r="AZ59" i="3"/>
  <c r="AF69" i="3"/>
  <c r="AW77" i="3"/>
  <c r="AU88" i="3"/>
  <c r="AS89" i="3"/>
  <c r="AF77" i="3"/>
  <c r="AZ89" i="3"/>
  <c r="C61" i="3"/>
  <c r="AX92" i="3"/>
  <c r="AS92" i="3"/>
  <c r="C96" i="3"/>
  <c r="AF73" i="3"/>
  <c r="AV68" i="3"/>
  <c r="AT56" i="3"/>
  <c r="AX57" i="3"/>
  <c r="AS65" i="3"/>
  <c r="AF84" i="3"/>
  <c r="C59" i="3"/>
  <c r="AX59" i="3"/>
  <c r="AV62" i="3"/>
  <c r="AS74" i="3"/>
  <c r="AZ83" i="3"/>
  <c r="AT74" i="3"/>
  <c r="AU96" i="3"/>
  <c r="AV47" i="3"/>
  <c r="AY68" i="3"/>
  <c r="AX66" i="3"/>
  <c r="AS85" i="3"/>
  <c r="AW59" i="3"/>
  <c r="AZ60" i="3"/>
  <c r="C70" i="3"/>
  <c r="AV89" i="3"/>
  <c r="AZ49" i="3"/>
  <c r="C97" i="3"/>
  <c r="AX71" i="3"/>
  <c r="AT72" i="3"/>
  <c r="AT86" i="3"/>
  <c r="AZ87" i="3"/>
  <c r="AX56" i="3"/>
  <c r="AT61" i="3"/>
  <c r="AV88" i="3"/>
  <c r="AV69" i="3"/>
  <c r="AF63" i="3"/>
  <c r="AV66" i="3"/>
  <c r="AU69" i="3"/>
  <c r="AX97" i="3"/>
  <c r="AT50" i="3"/>
  <c r="AU76" i="3"/>
  <c r="AV56" i="3"/>
  <c r="AX87" i="3"/>
  <c r="AY63" i="3"/>
  <c r="AX77" i="3"/>
  <c r="AY97" i="3"/>
  <c r="AY93" i="3"/>
  <c r="AS58" i="3"/>
  <c r="AY94" i="3"/>
  <c r="AX55" i="3"/>
  <c r="AU54" i="3"/>
  <c r="AZ88" i="3"/>
  <c r="AS59" i="3"/>
  <c r="C94" i="3"/>
  <c r="AU91" i="3"/>
  <c r="AY50" i="3"/>
  <c r="AF76" i="3"/>
  <c r="AW82" i="3"/>
  <c r="C72" i="3"/>
  <c r="C80" i="3"/>
  <c r="AU60" i="3"/>
  <c r="AT47" i="3"/>
  <c r="AX83" i="3"/>
  <c r="AV72" i="3"/>
  <c r="AF67" i="3"/>
  <c r="AU87" i="3"/>
  <c r="AF59" i="3"/>
  <c r="AX60" i="3"/>
  <c r="AU93" i="3"/>
  <c r="AY59" i="3"/>
  <c r="AX86" i="3"/>
  <c r="AU74" i="3"/>
  <c r="C87" i="3"/>
  <c r="AS57" i="3"/>
  <c r="C82" i="3"/>
  <c r="AW85" i="3"/>
  <c r="AT82" i="3"/>
  <c r="AZ54" i="3"/>
  <c r="AT59" i="3"/>
  <c r="AV75" i="3"/>
  <c r="AY72" i="3"/>
  <c r="AS76" i="3"/>
  <c r="AV50" i="3"/>
  <c r="AF58" i="3"/>
  <c r="C77" i="3"/>
  <c r="C55" i="3"/>
  <c r="AX70" i="3"/>
  <c r="AU89" i="3"/>
  <c r="AU85" i="3"/>
  <c r="AY54" i="3"/>
  <c r="AT71" i="3"/>
  <c r="AW92" i="3"/>
  <c r="AV80" i="3"/>
  <c r="AZ58" i="3"/>
  <c r="AT90" i="3"/>
  <c r="AU92" i="3"/>
  <c r="C88" i="3"/>
  <c r="AS63" i="3"/>
  <c r="AF65" i="3"/>
  <c r="AZ81" i="3"/>
  <c r="C76" i="3"/>
  <c r="AS81" i="3"/>
  <c r="AX47" i="3"/>
  <c r="AT48" i="3"/>
  <c r="AU59" i="3"/>
  <c r="AX93" i="3"/>
  <c r="AU80" i="3"/>
  <c r="AS83" i="3"/>
  <c r="AZ92" i="3"/>
  <c r="AT70" i="3"/>
  <c r="AF93" i="3"/>
  <c r="C66" i="3"/>
  <c r="AV85" i="3"/>
  <c r="AZ93" i="3"/>
  <c r="AZ97" i="3"/>
  <c r="AZ77" i="3"/>
  <c r="AF68" i="3"/>
  <c r="AV71" i="3"/>
  <c r="AW95" i="3"/>
  <c r="AF49" i="3"/>
  <c r="AX79" i="3"/>
  <c r="AT55" i="3"/>
  <c r="AU68" i="3"/>
  <c r="AV49" i="3"/>
  <c r="C85" i="3"/>
  <c r="AZ66" i="3"/>
  <c r="AV67" i="3"/>
  <c r="CS50" i="1" l="1"/>
  <c r="CN63" i="1"/>
  <c r="CO63" i="1"/>
  <c r="CR163" i="1"/>
  <c r="CR225" i="1" s="1"/>
  <c r="CI216" i="1"/>
  <c r="CI218" i="1" s="1"/>
  <c r="CI89" i="1"/>
  <c r="CI75" i="1"/>
  <c r="CL77" i="1"/>
  <c r="CI142" i="1"/>
  <c r="CI143" i="1" s="1"/>
  <c r="AC154" i="1"/>
  <c r="CU154" i="1"/>
  <c r="CV154" i="1" s="1"/>
  <c r="CW154" i="1" s="1"/>
  <c r="CX154" i="1" s="1"/>
  <c r="CQ207" i="1"/>
  <c r="CP208" i="1"/>
  <c r="CO205" i="1"/>
  <c r="CO209" i="1" s="1"/>
  <c r="CP204" i="1"/>
  <c r="CR148" i="1"/>
  <c r="CQ151" i="1"/>
  <c r="CQ272" i="1" s="1"/>
  <c r="CP229" i="1"/>
  <c r="BZ148" i="1"/>
  <c r="CA148" i="1" s="1"/>
  <c r="BL96" i="1"/>
  <c r="CF97" i="1"/>
  <c r="CB169" i="1"/>
  <c r="CC169" i="1" s="1"/>
  <c r="CD176" i="1"/>
  <c r="CD206" i="1" s="1"/>
  <c r="CE206" i="1" s="1"/>
  <c r="CB187" i="1"/>
  <c r="CC187" i="1" s="1"/>
  <c r="BL147" i="1"/>
  <c r="BM147" i="1" s="1"/>
  <c r="CD156" i="1"/>
  <c r="CD147" i="1"/>
  <c r="CE147" i="1" s="1"/>
  <c r="CF150" i="1"/>
  <c r="CG150" i="1" s="1"/>
  <c r="CB150" i="1"/>
  <c r="CC150" i="1" s="1"/>
  <c r="CB175" i="1"/>
  <c r="CC175" i="1" s="1"/>
  <c r="CB167" i="1"/>
  <c r="CB202" i="1" s="1"/>
  <c r="CC202" i="1" s="1"/>
  <c r="BZ176" i="1"/>
  <c r="BZ206" i="1" s="1"/>
  <c r="CA206" i="1" s="1"/>
  <c r="BZ187" i="1"/>
  <c r="CA187" i="1" s="1"/>
  <c r="BZ177" i="1"/>
  <c r="CA177" i="1" s="1"/>
  <c r="BZ183" i="1"/>
  <c r="BZ173" i="1"/>
  <c r="CA173" i="1" s="1"/>
  <c r="BZ155" i="1"/>
  <c r="BL168" i="1"/>
  <c r="BL203" i="1" s="1"/>
  <c r="BM203" i="1" s="1"/>
  <c r="BL176" i="1"/>
  <c r="BL206" i="1" s="1"/>
  <c r="BM206" i="1" s="1"/>
  <c r="BL145" i="1"/>
  <c r="BM145" i="1" s="1"/>
  <c r="CA96" i="1"/>
  <c r="CF96" i="1"/>
  <c r="CF169" i="1"/>
  <c r="CG169" i="1" s="1"/>
  <c r="CF156" i="1"/>
  <c r="CB97" i="1"/>
  <c r="CF167" i="1"/>
  <c r="CF202" i="1" s="1"/>
  <c r="CG202" i="1" s="1"/>
  <c r="CG167" i="1" s="1"/>
  <c r="CF145" i="1"/>
  <c r="CG145" i="1" s="1"/>
  <c r="CB172" i="1"/>
  <c r="CC172" i="1" s="1"/>
  <c r="CF187" i="1"/>
  <c r="CG187" i="1" s="1"/>
  <c r="CB148" i="1"/>
  <c r="CC148" i="1" s="1"/>
  <c r="CB186" i="1"/>
  <c r="CC186" i="1" s="1"/>
  <c r="CD97" i="1"/>
  <c r="CB182" i="1"/>
  <c r="CD168" i="1"/>
  <c r="CD203" i="1" s="1"/>
  <c r="CE203" i="1" s="1"/>
  <c r="CD145" i="1"/>
  <c r="CE145" i="1" s="1"/>
  <c r="BL148" i="1"/>
  <c r="CD154" i="1"/>
  <c r="CD174" i="1"/>
  <c r="CE174" i="1" s="1"/>
  <c r="CD182" i="1"/>
  <c r="CD165" i="1"/>
  <c r="CE165" i="1" s="1"/>
  <c r="CF163" i="1"/>
  <c r="CF149" i="1"/>
  <c r="CG149" i="1" s="1"/>
  <c r="CB165" i="1"/>
  <c r="CC165" i="1" s="1"/>
  <c r="BL177" i="1"/>
  <c r="BM177" i="1" s="1"/>
  <c r="BL186" i="1"/>
  <c r="BM186" i="1" s="1"/>
  <c r="BL187" i="1"/>
  <c r="CB149" i="1"/>
  <c r="CC149" i="1" s="1"/>
  <c r="CE97" i="1"/>
  <c r="BZ182" i="1"/>
  <c r="BZ186" i="1"/>
  <c r="CA186" i="1" s="1"/>
  <c r="BZ142" i="1"/>
  <c r="BZ150" i="1"/>
  <c r="CA150" i="1" s="1"/>
  <c r="CF168" i="1"/>
  <c r="CF203" i="1" s="1"/>
  <c r="CG203" i="1" s="1"/>
  <c r="CG168" i="1" s="1"/>
  <c r="CF155" i="1"/>
  <c r="CF172" i="1"/>
  <c r="CB142" i="1"/>
  <c r="CB168" i="1"/>
  <c r="CB203" i="1" s="1"/>
  <c r="CC203" i="1" s="1"/>
  <c r="CD183" i="1"/>
  <c r="CD175" i="1"/>
  <c r="CE175" i="1" s="1"/>
  <c r="CB96" i="1"/>
  <c r="BZ178" i="1"/>
  <c r="CA178" i="1" s="1"/>
  <c r="BZ156" i="1"/>
  <c r="BZ140" i="1"/>
  <c r="BZ170" i="1"/>
  <c r="CA170" i="1" s="1"/>
  <c r="BZ97" i="1"/>
  <c r="BZ147" i="1"/>
  <c r="CA147" i="1" s="1"/>
  <c r="BZ149" i="1"/>
  <c r="CA149" i="1" s="1"/>
  <c r="BZ165" i="1"/>
  <c r="CA165" i="1" s="1"/>
  <c r="BZ154" i="1"/>
  <c r="BL156" i="1"/>
  <c r="BL172" i="1"/>
  <c r="BM172" i="1" s="1"/>
  <c r="CF147" i="1"/>
  <c r="CF176" i="1"/>
  <c r="CF206" i="1" s="1"/>
  <c r="CG206" i="1" s="1"/>
  <c r="CG176" i="1" s="1"/>
  <c r="CD177" i="1"/>
  <c r="CE177" i="1" s="1"/>
  <c r="CF177" i="1"/>
  <c r="CG177" i="1" s="1"/>
  <c r="CB154" i="1"/>
  <c r="CB177" i="1"/>
  <c r="CC177" i="1" s="1"/>
  <c r="BY97" i="1"/>
  <c r="CD186" i="1"/>
  <c r="CE186" i="1" s="1"/>
  <c r="CD158" i="1"/>
  <c r="CE158" i="1" s="1"/>
  <c r="BL183" i="1"/>
  <c r="CB176" i="1"/>
  <c r="CB206" i="1" s="1"/>
  <c r="CC206" i="1" s="1"/>
  <c r="CB141" i="1"/>
  <c r="CC141" i="1" s="1"/>
  <c r="BL173" i="1"/>
  <c r="BM173" i="1" s="1"/>
  <c r="CD150" i="1"/>
  <c r="CE150" i="1" s="1"/>
  <c r="CD170" i="1"/>
  <c r="CE170" i="1" s="1"/>
  <c r="CD142" i="1"/>
  <c r="CD169" i="1"/>
  <c r="CE169" i="1" s="1"/>
  <c r="CD178" i="1"/>
  <c r="CE178" i="1" s="1"/>
  <c r="CD163" i="1"/>
  <c r="CE163" i="1" s="1"/>
  <c r="CF140" i="1"/>
  <c r="CF141" i="1"/>
  <c r="CG141" i="1" s="1"/>
  <c r="CF174" i="1"/>
  <c r="CG174" i="1" s="1"/>
  <c r="CF186" i="1"/>
  <c r="CG186" i="1" s="1"/>
  <c r="CB183" i="1"/>
  <c r="CB163" i="1"/>
  <c r="AI97" i="1"/>
  <c r="BL170" i="1"/>
  <c r="BM170" i="1" s="1"/>
  <c r="BL158" i="1"/>
  <c r="BM158" i="1" s="1"/>
  <c r="BL149" i="1"/>
  <c r="BM149" i="1" s="1"/>
  <c r="CB147" i="1"/>
  <c r="CC147" i="1" s="1"/>
  <c r="BL169" i="1"/>
  <c r="BM169" i="1" s="1"/>
  <c r="BZ158" i="1"/>
  <c r="CA158" i="1" s="1"/>
  <c r="BZ96" i="1"/>
  <c r="BL175" i="1"/>
  <c r="BM175" i="1" s="1"/>
  <c r="CB155" i="1"/>
  <c r="CF170" i="1"/>
  <c r="CG170" i="1" s="1"/>
  <c r="CB170" i="1"/>
  <c r="CC170" i="1" s="1"/>
  <c r="CD96" i="1"/>
  <c r="CC97" i="1"/>
  <c r="CD141" i="1"/>
  <c r="CE141" i="1" s="1"/>
  <c r="BL142" i="1"/>
  <c r="CD148" i="1"/>
  <c r="CE148" i="1" s="1"/>
  <c r="CF182" i="1"/>
  <c r="CF175" i="1"/>
  <c r="CG175" i="1" s="1"/>
  <c r="CE96" i="1"/>
  <c r="BZ168" i="1"/>
  <c r="BZ203" i="1" s="1"/>
  <c r="CA203" i="1" s="1"/>
  <c r="BZ145" i="1"/>
  <c r="CA145" i="1" s="1"/>
  <c r="BZ167" i="1"/>
  <c r="BZ202" i="1" s="1"/>
  <c r="CA202" i="1" s="1"/>
  <c r="BZ141" i="1"/>
  <c r="CA141" i="1" s="1"/>
  <c r="BZ172" i="1"/>
  <c r="BZ174" i="1"/>
  <c r="CA174" i="1" s="1"/>
  <c r="BZ169" i="1"/>
  <c r="CA169" i="1" s="1"/>
  <c r="BZ163" i="1"/>
  <c r="CA163" i="1" s="1"/>
  <c r="BZ175" i="1"/>
  <c r="CA175" i="1" s="1"/>
  <c r="BL178" i="1"/>
  <c r="BM178" i="1" s="1"/>
  <c r="BL167" i="1"/>
  <c r="BL202" i="1" s="1"/>
  <c r="BM202" i="1" s="1"/>
  <c r="BL154" i="1"/>
  <c r="BL155" i="1"/>
  <c r="CA97" i="1"/>
  <c r="CF178" i="1"/>
  <c r="CG178" i="1" s="1"/>
  <c r="CF173" i="1"/>
  <c r="CG173" i="1" s="1"/>
  <c r="CF183" i="1"/>
  <c r="CB140" i="1"/>
  <c r="CC140" i="1" s="1"/>
  <c r="CF154" i="1"/>
  <c r="CF142" i="1"/>
  <c r="CG142" i="1" s="1"/>
  <c r="CF148" i="1"/>
  <c r="CG148" i="1" s="1"/>
  <c r="CD149" i="1"/>
  <c r="CE149" i="1" s="1"/>
  <c r="CB178" i="1"/>
  <c r="CC178" i="1" s="1"/>
  <c r="CB158" i="1"/>
  <c r="CC158" i="1" s="1"/>
  <c r="CB174" i="1"/>
  <c r="CC174" i="1" s="1"/>
  <c r="CD140" i="1"/>
  <c r="BL163" i="1"/>
  <c r="CB156" i="1"/>
  <c r="BL150" i="1"/>
  <c r="BM150" i="1" s="1"/>
  <c r="CD155" i="1"/>
  <c r="CD167" i="1"/>
  <c r="CD202" i="1" s="1"/>
  <c r="CE202" i="1" s="1"/>
  <c r="CD173" i="1"/>
  <c r="CE173" i="1" s="1"/>
  <c r="CD172" i="1"/>
  <c r="CE172" i="1" s="1"/>
  <c r="CD187" i="1"/>
  <c r="CE187" i="1" s="1"/>
  <c r="CF158" i="1"/>
  <c r="CG158" i="1" s="1"/>
  <c r="CF165" i="1"/>
  <c r="CG165" i="1" s="1"/>
  <c r="CC96" i="1"/>
  <c r="CB173" i="1"/>
  <c r="CC173" i="1" s="1"/>
  <c r="CB145" i="1"/>
  <c r="CC145" i="1" s="1"/>
  <c r="BL182" i="1"/>
  <c r="BL140" i="1"/>
  <c r="BM140" i="1" s="1"/>
  <c r="BL174" i="1"/>
  <c r="BM174" i="1" s="1"/>
  <c r="BL165" i="1"/>
  <c r="BM165" i="1" s="1"/>
  <c r="BL141" i="1"/>
  <c r="BM141" i="1" s="1"/>
  <c r="BL276" i="1"/>
  <c r="CH121" i="1"/>
  <c r="CH122" i="1" s="1"/>
  <c r="CB160" i="1"/>
  <c r="CC160" i="1" s="1"/>
  <c r="CF160" i="1"/>
  <c r="CG160" i="1" s="1"/>
  <c r="CD160" i="1"/>
  <c r="CE160" i="1" s="1"/>
  <c r="BL160" i="1"/>
  <c r="BM160" i="1" s="1"/>
  <c r="BZ160" i="1"/>
  <c r="CA160" i="1" s="1"/>
  <c r="BL166" i="1"/>
  <c r="CD166" i="1"/>
  <c r="CB166" i="1"/>
  <c r="CF166" i="1"/>
  <c r="BZ166" i="1"/>
  <c r="CA275" i="1"/>
  <c r="JJ21" i="4"/>
  <c r="CD100" i="1" s="1"/>
  <c r="CA33" i="1"/>
  <c r="CA39" i="1" s="1"/>
  <c r="CA40" i="1" s="1"/>
  <c r="JK14" i="4"/>
  <c r="BL33" i="1"/>
  <c r="BL39" i="1" s="1"/>
  <c r="BY33" i="1"/>
  <c r="BY39" i="1" s="1"/>
  <c r="BL217" i="1"/>
  <c r="CF33" i="1"/>
  <c r="AA81" i="1" s="1"/>
  <c r="CF275" i="1"/>
  <c r="JL21" i="4"/>
  <c r="CF100" i="1" s="1"/>
  <c r="Y233" i="1"/>
  <c r="Y234" i="1" s="1"/>
  <c r="CF121" i="1"/>
  <c r="CF122" i="1" s="1"/>
  <c r="CB49" i="1"/>
  <c r="CE254" i="1"/>
  <c r="CC276" i="1"/>
  <c r="CA49" i="1"/>
  <c r="CE275" i="1"/>
  <c r="CC275" i="1"/>
  <c r="JM7" i="4"/>
  <c r="CA276" i="1"/>
  <c r="JJ8" i="4"/>
  <c r="Z233" i="1"/>
  <c r="Z234" i="1" s="1"/>
  <c r="CF49" i="1"/>
  <c r="BZ275" i="1"/>
  <c r="BZ33" i="1"/>
  <c r="CA217" i="1"/>
  <c r="CD276" i="1"/>
  <c r="CB121" i="1"/>
  <c r="CB122" i="1" s="1"/>
  <c r="JK21" i="4"/>
  <c r="CE100" i="1" s="1"/>
  <c r="JK15" i="4"/>
  <c r="CD275" i="1"/>
  <c r="JL14" i="4"/>
  <c r="CC49" i="1"/>
  <c r="BY49" i="1"/>
  <c r="CI121" i="1"/>
  <c r="CI122" i="1" s="1"/>
  <c r="CI125" i="1" s="1"/>
  <c r="CF254" i="1"/>
  <c r="BY276" i="1"/>
  <c r="JL8" i="4"/>
  <c r="CE49" i="1"/>
  <c r="BL275" i="1"/>
  <c r="CE121" i="1"/>
  <c r="CE122" i="1" s="1"/>
  <c r="CD33" i="1"/>
  <c r="CD39" i="1" s="1"/>
  <c r="CH41" i="1" s="1"/>
  <c r="CC33" i="1"/>
  <c r="CD217" i="1"/>
  <c r="CE33" i="1"/>
  <c r="CG121" i="1"/>
  <c r="CG122" i="1" s="1"/>
  <c r="CD121" i="1"/>
  <c r="CD122" i="1" s="1"/>
  <c r="CB33" i="1"/>
  <c r="CB39" i="1" s="1"/>
  <c r="CB275" i="1"/>
  <c r="CC121" i="1"/>
  <c r="CC122" i="1" s="1"/>
  <c r="JJ15" i="4"/>
  <c r="CB276" i="1"/>
  <c r="BY275" i="1"/>
  <c r="CD49" i="1"/>
  <c r="JM8" i="4"/>
  <c r="JL7" i="4"/>
  <c r="CF276" i="1"/>
  <c r="JJ7" i="4"/>
  <c r="JK8" i="4"/>
  <c r="JM21" i="4"/>
  <c r="CG100" i="1" s="1"/>
  <c r="BZ276" i="1"/>
  <c r="CE276" i="1"/>
  <c r="JK7" i="4"/>
  <c r="BL49" i="1"/>
  <c r="JL15" i="4"/>
  <c r="BZ49" i="1"/>
  <c r="JM14" i="4"/>
  <c r="JM15" i="4"/>
  <c r="JJ14" i="4"/>
  <c r="CR40" i="1"/>
  <c r="CS40" i="1" s="1"/>
  <c r="CS203" i="1"/>
  <c r="CS206" i="1"/>
  <c r="CS202" i="1"/>
  <c r="CT147" i="1"/>
  <c r="AD69" i="1"/>
  <c r="CZ69" i="1"/>
  <c r="DA69" i="1" s="1"/>
  <c r="DB69" i="1" s="1"/>
  <c r="AE58" i="1"/>
  <c r="U31" i="1"/>
  <c r="V31" i="1"/>
  <c r="W31" i="1"/>
  <c r="CT50" i="1" l="1"/>
  <c r="CP63" i="1"/>
  <c r="CS163" i="1"/>
  <c r="CS225" i="1" s="1"/>
  <c r="CL92" i="1"/>
  <c r="CL110" i="1" s="1"/>
  <c r="CJ92" i="1"/>
  <c r="CK92" i="1"/>
  <c r="CL108" i="1"/>
  <c r="CI230" i="1"/>
  <c r="CI228" i="1" s="1"/>
  <c r="CJ230" i="1"/>
  <c r="CJ228" i="1" s="1"/>
  <c r="CI115" i="1"/>
  <c r="CI152" i="1"/>
  <c r="AD154" i="1"/>
  <c r="CY154" i="1"/>
  <c r="CZ154" i="1" s="1"/>
  <c r="DA154" i="1" s="1"/>
  <c r="DB154" i="1" s="1"/>
  <c r="AE154" i="1" s="1"/>
  <c r="CR207" i="1"/>
  <c r="CQ208" i="1"/>
  <c r="CP205" i="1"/>
  <c r="CP209" i="1" s="1"/>
  <c r="CQ204" i="1"/>
  <c r="CS148" i="1"/>
  <c r="CR151" i="1"/>
  <c r="CR272" i="1" s="1"/>
  <c r="CQ229" i="1"/>
  <c r="BZ184" i="1"/>
  <c r="BL184" i="1"/>
  <c r="CB225" i="1"/>
  <c r="CA140" i="1"/>
  <c r="BZ143" i="1"/>
  <c r="BZ115" i="1" s="1"/>
  <c r="BL143" i="1"/>
  <c r="BL115" i="1" s="1"/>
  <c r="CB184" i="1"/>
  <c r="CC232" i="1" s="1"/>
  <c r="CG147" i="1"/>
  <c r="CG151" i="1" s="1"/>
  <c r="CF151" i="1"/>
  <c r="CD157" i="1"/>
  <c r="CE56" i="1" s="1"/>
  <c r="CC163" i="1"/>
  <c r="CD225" i="1" s="1"/>
  <c r="CE140" i="1"/>
  <c r="CD143" i="1"/>
  <c r="CD115" i="1" s="1"/>
  <c r="CD117" i="1" s="1"/>
  <c r="BM163" i="1"/>
  <c r="BM225" i="1" s="1"/>
  <c r="CD184" i="1"/>
  <c r="CF225" i="1"/>
  <c r="CE151" i="1"/>
  <c r="BM148" i="1"/>
  <c r="BM151" i="1" s="1"/>
  <c r="BL151" i="1"/>
  <c r="CG163" i="1"/>
  <c r="CG172" i="1"/>
  <c r="CG179" i="1" s="1"/>
  <c r="CF179" i="1"/>
  <c r="CF208" i="1" s="1"/>
  <c r="CF207" i="1" s="1"/>
  <c r="CG140" i="1"/>
  <c r="CG143" i="1" s="1"/>
  <c r="CF143" i="1"/>
  <c r="CF115" i="1" s="1"/>
  <c r="CF117" i="1" s="1"/>
  <c r="CA172" i="1"/>
  <c r="BZ179" i="1"/>
  <c r="BZ208" i="1" s="1"/>
  <c r="BZ207" i="1" s="1"/>
  <c r="BZ157" i="1"/>
  <c r="BZ161" i="1" s="1"/>
  <c r="CA151" i="1"/>
  <c r="CB157" i="1"/>
  <c r="CF184" i="1"/>
  <c r="BL157" i="1"/>
  <c r="CF157" i="1"/>
  <c r="CF161" i="1" s="1"/>
  <c r="CC151" i="1"/>
  <c r="CB151" i="1"/>
  <c r="CE225" i="1"/>
  <c r="BZ151" i="1"/>
  <c r="CB179" i="1"/>
  <c r="CB208" i="1" s="1"/>
  <c r="CB207" i="1" s="1"/>
  <c r="BL179" i="1"/>
  <c r="BL208" i="1" s="1"/>
  <c r="BL207" i="1" s="1"/>
  <c r="CD179" i="1"/>
  <c r="CD208" i="1" s="1"/>
  <c r="CD207" i="1" s="1"/>
  <c r="CB143" i="1"/>
  <c r="CD151" i="1"/>
  <c r="CH125" i="1"/>
  <c r="CH126" i="1"/>
  <c r="CH127" i="1"/>
  <c r="BM166" i="1"/>
  <c r="BL171" i="1"/>
  <c r="CE166" i="1"/>
  <c r="CD171" i="1"/>
  <c r="CC166" i="1"/>
  <c r="CB171" i="1"/>
  <c r="CG166" i="1"/>
  <c r="CG171" i="1" s="1"/>
  <c r="CG205" i="1" s="1"/>
  <c r="CG204" i="1" s="1"/>
  <c r="CF171" i="1"/>
  <c r="CA166" i="1"/>
  <c r="BZ171" i="1"/>
  <c r="CD125" i="1"/>
  <c r="CA50" i="1"/>
  <c r="CA35" i="1"/>
  <c r="JK19" i="4"/>
  <c r="CE101" i="1" s="1"/>
  <c r="BL50" i="1"/>
  <c r="CC34" i="1"/>
  <c r="CC50" i="1"/>
  <c r="CI248" i="1"/>
  <c r="CF39" i="1"/>
  <c r="CG35" i="1"/>
  <c r="CJ34" i="1"/>
  <c r="BY50" i="1"/>
  <c r="JL20" i="4"/>
  <c r="CF102" i="1" s="1"/>
  <c r="CF127" i="1" s="1"/>
  <c r="BZ39" i="1"/>
  <c r="CD41" i="1" s="1"/>
  <c r="CF50" i="1"/>
  <c r="Y81" i="1"/>
  <c r="JJ19" i="4"/>
  <c r="CD101" i="1" s="1"/>
  <c r="CD130" i="1" s="1"/>
  <c r="JM20" i="4"/>
  <c r="CG102" i="1" s="1"/>
  <c r="CD50" i="1"/>
  <c r="JM19" i="4"/>
  <c r="CG101" i="1" s="1"/>
  <c r="CE176" i="1"/>
  <c r="CE179" i="1" s="1"/>
  <c r="CE208" i="1" s="1"/>
  <c r="CE207" i="1" s="1"/>
  <c r="CF125" i="1"/>
  <c r="JJ20" i="4"/>
  <c r="CD102" i="1" s="1"/>
  <c r="CD131" i="1" s="1"/>
  <c r="JL19" i="4"/>
  <c r="CF101" i="1" s="1"/>
  <c r="JK20" i="4"/>
  <c r="CE102" i="1" s="1"/>
  <c r="CE131" i="1" s="1"/>
  <c r="CA51" i="1"/>
  <c r="CA255" i="1" s="1"/>
  <c r="CA256" i="1" s="1"/>
  <c r="CD211" i="1"/>
  <c r="CD34" i="1"/>
  <c r="BZ35" i="1"/>
  <c r="CD248" i="1"/>
  <c r="BZ50" i="1"/>
  <c r="CE167" i="1"/>
  <c r="CE211" i="1"/>
  <c r="CG211" i="1"/>
  <c r="CF34" i="1"/>
  <c r="CH248" i="1"/>
  <c r="CJ211" i="1"/>
  <c r="CE50" i="1"/>
  <c r="CC39" i="1"/>
  <c r="CC42" i="1" s="1"/>
  <c r="CF248" i="1"/>
  <c r="CB35" i="1"/>
  <c r="CH267" i="1"/>
  <c r="Z81" i="1"/>
  <c r="CE34" i="1"/>
  <c r="CG125" i="1"/>
  <c r="CE125" i="1"/>
  <c r="CG248" i="1"/>
  <c r="CF35" i="1"/>
  <c r="CF211" i="1"/>
  <c r="CE248" i="1"/>
  <c r="CC35" i="1"/>
  <c r="CC248" i="1"/>
  <c r="CE168" i="1"/>
  <c r="CB50" i="1"/>
  <c r="CB40" i="1"/>
  <c r="CB51" i="1"/>
  <c r="CB42" i="1"/>
  <c r="CD51" i="1"/>
  <c r="CH53" i="1" s="1"/>
  <c r="CD35" i="1"/>
  <c r="CH34" i="1"/>
  <c r="CI211" i="1"/>
  <c r="CI126" i="1"/>
  <c r="CE39" i="1"/>
  <c r="CE42" i="1" s="1"/>
  <c r="CI34" i="1"/>
  <c r="CD40" i="1"/>
  <c r="CI127" i="1"/>
  <c r="CG34" i="1"/>
  <c r="CE35" i="1"/>
  <c r="CH211" i="1"/>
  <c r="CA225" i="1"/>
  <c r="BL40" i="1"/>
  <c r="BL51" i="1"/>
  <c r="BY40" i="1"/>
  <c r="BY51" i="1"/>
  <c r="CT40" i="1"/>
  <c r="CU40" i="1" s="1"/>
  <c r="CT202" i="1"/>
  <c r="CT206" i="1"/>
  <c r="CU147" i="1"/>
  <c r="CT203" i="1"/>
  <c r="AE69" i="1"/>
  <c r="V254" i="1"/>
  <c r="W254" i="1"/>
  <c r="U254" i="1"/>
  <c r="CU50" i="1" l="1"/>
  <c r="CV50" i="1" s="1"/>
  <c r="CQ63" i="1"/>
  <c r="CF51" i="1"/>
  <c r="AA83" i="1" s="1"/>
  <c r="AA82" i="1"/>
  <c r="CL109" i="1"/>
  <c r="CT163" i="1"/>
  <c r="CT225" i="1" s="1"/>
  <c r="CJ110" i="1"/>
  <c r="CJ109" i="1"/>
  <c r="CJ108" i="1"/>
  <c r="CK109" i="1"/>
  <c r="CK110" i="1"/>
  <c r="CK108" i="1"/>
  <c r="CI117" i="1"/>
  <c r="CI118" i="1"/>
  <c r="CI119" i="1"/>
  <c r="CC225" i="1"/>
  <c r="CS207" i="1"/>
  <c r="CR208" i="1"/>
  <c r="CG272" i="1"/>
  <c r="CQ205" i="1"/>
  <c r="CQ209" i="1" s="1"/>
  <c r="CR204" i="1"/>
  <c r="CH225" i="1"/>
  <c r="CG225" i="1"/>
  <c r="CA232" i="1"/>
  <c r="BZ271" i="1"/>
  <c r="CT148" i="1"/>
  <c r="CS151" i="1"/>
  <c r="CS272" i="1" s="1"/>
  <c r="CD229" i="1"/>
  <c r="CF272" i="1"/>
  <c r="BM232" i="1"/>
  <c r="BL271" i="1"/>
  <c r="CF229" i="1"/>
  <c r="CF152" i="1"/>
  <c r="CR229" i="1"/>
  <c r="BL152" i="1"/>
  <c r="BL191" i="1"/>
  <c r="BL132" i="1" s="1"/>
  <c r="CA56" i="1"/>
  <c r="CA157" i="1"/>
  <c r="CB161" i="1"/>
  <c r="CC56" i="1"/>
  <c r="CC157" i="1"/>
  <c r="BZ191" i="1"/>
  <c r="BZ152" i="1"/>
  <c r="CF118" i="1"/>
  <c r="CD161" i="1"/>
  <c r="CE157" i="1"/>
  <c r="CE232" i="1"/>
  <c r="CD271" i="1"/>
  <c r="CA272" i="1"/>
  <c r="CA229" i="1"/>
  <c r="BM229" i="1"/>
  <c r="BM272" i="1"/>
  <c r="CH230" i="1"/>
  <c r="CG115" i="1"/>
  <c r="CG118" i="1" s="1"/>
  <c r="CG230" i="1"/>
  <c r="CG232" i="1"/>
  <c r="CF191" i="1"/>
  <c r="CF271" i="1"/>
  <c r="BM157" i="1"/>
  <c r="BM161" i="1" s="1"/>
  <c r="BL161" i="1"/>
  <c r="BL269" i="1" s="1"/>
  <c r="CG56" i="1"/>
  <c r="CG157" i="1"/>
  <c r="CH272" i="1"/>
  <c r="CH274" i="1" s="1"/>
  <c r="CH229" i="1"/>
  <c r="CG152" i="1"/>
  <c r="CG229" i="1"/>
  <c r="CB272" i="1"/>
  <c r="CB152" i="1"/>
  <c r="CB191" i="1"/>
  <c r="CB229" i="1"/>
  <c r="CB115" i="1"/>
  <c r="CB271" i="1"/>
  <c r="CC272" i="1"/>
  <c r="CC229" i="1"/>
  <c r="CE229" i="1"/>
  <c r="CD272" i="1"/>
  <c r="CD152" i="1"/>
  <c r="CD191" i="1"/>
  <c r="CE272" i="1"/>
  <c r="BL205" i="1"/>
  <c r="BL180" i="1"/>
  <c r="CD205" i="1"/>
  <c r="CD180" i="1"/>
  <c r="CB205" i="1"/>
  <c r="CB180" i="1"/>
  <c r="CF205" i="1"/>
  <c r="CF180" i="1"/>
  <c r="CF188" i="1" s="1"/>
  <c r="BZ205" i="1"/>
  <c r="BZ180" i="1"/>
  <c r="BZ188" i="1" s="1"/>
  <c r="CE126" i="1"/>
  <c r="CE130" i="1"/>
  <c r="BZ42" i="1"/>
  <c r="BZ51" i="1"/>
  <c r="BZ40" i="1"/>
  <c r="CA42" i="1"/>
  <c r="CG208" i="1"/>
  <c r="CH220" i="1"/>
  <c r="CG220" i="1"/>
  <c r="CJ41" i="1"/>
  <c r="CF40" i="1"/>
  <c r="CG42" i="1"/>
  <c r="CF41" i="1"/>
  <c r="BZ269" i="1"/>
  <c r="CF269" i="1"/>
  <c r="CF267" i="1"/>
  <c r="CF131" i="1"/>
  <c r="CF119" i="1"/>
  <c r="CG131" i="1"/>
  <c r="CG127" i="1"/>
  <c r="CG130" i="1"/>
  <c r="CG126" i="1"/>
  <c r="CF130" i="1"/>
  <c r="CF126" i="1"/>
  <c r="CG54" i="1"/>
  <c r="CI135" i="1"/>
  <c r="CG41" i="1"/>
  <c r="CC40" i="1"/>
  <c r="Y82" i="1"/>
  <c r="CC51" i="1"/>
  <c r="CC57" i="1" s="1"/>
  <c r="CC61" i="1" s="1"/>
  <c r="CD42" i="1"/>
  <c r="CC41" i="1"/>
  <c r="CD119" i="1"/>
  <c r="CD126" i="1"/>
  <c r="CE171" i="1"/>
  <c r="CD118" i="1"/>
  <c r="CE220" i="1"/>
  <c r="CG219" i="1"/>
  <c r="CD127" i="1"/>
  <c r="CF220" i="1"/>
  <c r="CA57" i="1"/>
  <c r="CA61" i="1" s="1"/>
  <c r="CA64" i="1" s="1"/>
  <c r="CA71" i="1" s="1"/>
  <c r="CA216" i="1" s="1"/>
  <c r="CA218" i="1" s="1"/>
  <c r="CI249" i="1"/>
  <c r="CA52" i="1"/>
  <c r="CG273" i="1"/>
  <c r="CE127" i="1"/>
  <c r="CF52" i="1"/>
  <c r="CF255" i="1"/>
  <c r="CF256" i="1" s="1"/>
  <c r="CJ53" i="1"/>
  <c r="CF57" i="1"/>
  <c r="CG180" i="1"/>
  <c r="CH219" i="1"/>
  <c r="CD52" i="1"/>
  <c r="CB52" i="1"/>
  <c r="CB255" i="1"/>
  <c r="CB256" i="1" s="1"/>
  <c r="CB57" i="1"/>
  <c r="CB61" i="1" s="1"/>
  <c r="CB54" i="1"/>
  <c r="CB273" i="1"/>
  <c r="CD255" i="1"/>
  <c r="CD256" i="1" s="1"/>
  <c r="CD57" i="1"/>
  <c r="CD61" i="1" s="1"/>
  <c r="CD64" i="1" s="1"/>
  <c r="CD257" i="1" s="1"/>
  <c r="CF42" i="1"/>
  <c r="CE41" i="1"/>
  <c r="CI41" i="1"/>
  <c r="Z82" i="1"/>
  <c r="CE51" i="1"/>
  <c r="CG249" i="1" s="1"/>
  <c r="CE40" i="1"/>
  <c r="BY57" i="1"/>
  <c r="BY61" i="1" s="1"/>
  <c r="BY52" i="1"/>
  <c r="BL57" i="1"/>
  <c r="BL61" i="1" s="1"/>
  <c r="BL52" i="1"/>
  <c r="CV40" i="1"/>
  <c r="CU202" i="1"/>
  <c r="CV147" i="1"/>
  <c r="CU203" i="1"/>
  <c r="CU206" i="1"/>
  <c r="AB173" i="1"/>
  <c r="A1" i="1"/>
  <c r="CF53" i="1" l="1"/>
  <c r="CR63" i="1"/>
  <c r="CS63" i="1" s="1"/>
  <c r="CT63" i="1" s="1"/>
  <c r="CW50" i="1"/>
  <c r="CX50" i="1" s="1"/>
  <c r="CU163" i="1"/>
  <c r="CU225" i="1" s="1"/>
  <c r="CG274" i="1"/>
  <c r="CT207" i="1"/>
  <c r="CS208" i="1"/>
  <c r="CF189" i="1"/>
  <c r="CR205" i="1"/>
  <c r="CR209" i="1" s="1"/>
  <c r="CS204" i="1"/>
  <c r="CA161" i="1"/>
  <c r="CB56" i="1"/>
  <c r="CB188" i="1"/>
  <c r="CB189" i="1" s="1"/>
  <c r="CD188" i="1"/>
  <c r="CD189" i="1" s="1"/>
  <c r="CU148" i="1"/>
  <c r="CT151" i="1"/>
  <c r="CT272" i="1" s="1"/>
  <c r="CB269" i="1"/>
  <c r="CB267" i="1"/>
  <c r="CE161" i="1"/>
  <c r="CF56" i="1"/>
  <c r="CS229" i="1"/>
  <c r="CB274" i="1"/>
  <c r="CG228" i="1"/>
  <c r="BZ189" i="1"/>
  <c r="CD56" i="1"/>
  <c r="CC161" i="1"/>
  <c r="BZ132" i="1"/>
  <c r="CA60" i="1"/>
  <c r="CD267" i="1"/>
  <c r="CD269" i="1"/>
  <c r="CH228" i="1"/>
  <c r="CG117" i="1"/>
  <c r="CG119" i="1"/>
  <c r="CF132" i="1"/>
  <c r="CG60" i="1"/>
  <c r="CH56" i="1"/>
  <c r="CG161" i="1"/>
  <c r="CB132" i="1"/>
  <c r="CC60" i="1"/>
  <c r="CD132" i="1"/>
  <c r="CD134" i="1" s="1"/>
  <c r="CE60" i="1"/>
  <c r="CF204" i="1"/>
  <c r="CF209" i="1"/>
  <c r="CJ212" i="1" s="1"/>
  <c r="BL209" i="1"/>
  <c r="BL204" i="1"/>
  <c r="CD209" i="1"/>
  <c r="CD204" i="1"/>
  <c r="CB209" i="1"/>
  <c r="CB204" i="1"/>
  <c r="BZ204" i="1"/>
  <c r="BZ209" i="1"/>
  <c r="CG221" i="1"/>
  <c r="CG222" i="1" s="1"/>
  <c r="BZ52" i="1"/>
  <c r="BZ57" i="1"/>
  <c r="CA273" i="1"/>
  <c r="CA274" i="1" s="1"/>
  <c r="CA54" i="1"/>
  <c r="BZ255" i="1"/>
  <c r="BZ256" i="1" s="1"/>
  <c r="CD53" i="1"/>
  <c r="BZ54" i="1"/>
  <c r="BZ273" i="1"/>
  <c r="CB135" i="1"/>
  <c r="CH221" i="1"/>
  <c r="CH222" i="1" s="1"/>
  <c r="CD135" i="1"/>
  <c r="CC273" i="1"/>
  <c r="CC274" i="1" s="1"/>
  <c r="CE219" i="1"/>
  <c r="CE221" i="1" s="1"/>
  <c r="CE180" i="1"/>
  <c r="CG207" i="1"/>
  <c r="CG209" i="1"/>
  <c r="CC255" i="1"/>
  <c r="CC256" i="1" s="1"/>
  <c r="CG53" i="1"/>
  <c r="Y83" i="1"/>
  <c r="CC52" i="1"/>
  <c r="CC249" i="1"/>
  <c r="CD273" i="1"/>
  <c r="CD274" i="1" s="1"/>
  <c r="CC135" i="1"/>
  <c r="CD249" i="1"/>
  <c r="CC54" i="1"/>
  <c r="CD54" i="1"/>
  <c r="CC53" i="1"/>
  <c r="CC64" i="1"/>
  <c r="CC63" i="1"/>
  <c r="CF61" i="1"/>
  <c r="CI78" i="1"/>
  <c r="CE205" i="1"/>
  <c r="CF219" i="1"/>
  <c r="CF221" i="1" s="1"/>
  <c r="CA63" i="1"/>
  <c r="CA89" i="1"/>
  <c r="CA142" i="1"/>
  <c r="CA143" i="1" s="1"/>
  <c r="CA115" i="1" s="1"/>
  <c r="CH66" i="1"/>
  <c r="CD63" i="1"/>
  <c r="CA75" i="1"/>
  <c r="CA257" i="1"/>
  <c r="CA65" i="1"/>
  <c r="CA268" i="1" s="1"/>
  <c r="CD65" i="1"/>
  <c r="CD268" i="1" s="1"/>
  <c r="CF135" i="1"/>
  <c r="CD78" i="1"/>
  <c r="CD71" i="1"/>
  <c r="CD75" i="1" s="1"/>
  <c r="CE54" i="1"/>
  <c r="CE135" i="1"/>
  <c r="CE249" i="1"/>
  <c r="CB63" i="1"/>
  <c r="CB64" i="1"/>
  <c r="CE273" i="1"/>
  <c r="CE274" i="1" s="1"/>
  <c r="CF273" i="1"/>
  <c r="CF274" i="1" s="1"/>
  <c r="CE255" i="1"/>
  <c r="CE256" i="1" s="1"/>
  <c r="Z83" i="1"/>
  <c r="CE53" i="1"/>
  <c r="CH135" i="1"/>
  <c r="CE52" i="1"/>
  <c r="CG135" i="1"/>
  <c r="CE57" i="1"/>
  <c r="CH249" i="1"/>
  <c r="CF54" i="1"/>
  <c r="CI53" i="1"/>
  <c r="CF249" i="1"/>
  <c r="BL64" i="1"/>
  <c r="BL63" i="1"/>
  <c r="BY63" i="1"/>
  <c r="BY64" i="1"/>
  <c r="CW40" i="1"/>
  <c r="CX40" i="1" s="1"/>
  <c r="CW147" i="1"/>
  <c r="CV202" i="1"/>
  <c r="CV206" i="1"/>
  <c r="CV203" i="1"/>
  <c r="AC173" i="1"/>
  <c r="CY50" i="1" l="1"/>
  <c r="CZ50" i="1" s="1"/>
  <c r="CU63" i="1"/>
  <c r="CV63" i="1" s="1"/>
  <c r="DA50" i="1"/>
  <c r="DB50" i="1" s="1"/>
  <c r="CV163" i="1"/>
  <c r="CW163" i="1" s="1"/>
  <c r="CD133" i="1"/>
  <c r="CD136" i="1" s="1"/>
  <c r="CU207" i="1"/>
  <c r="CT208" i="1"/>
  <c r="CS205" i="1"/>
  <c r="CS209" i="1" s="1"/>
  <c r="CT204" i="1"/>
  <c r="CA226" i="1"/>
  <c r="CA224" i="1" s="1"/>
  <c r="CB226" i="1"/>
  <c r="CB224" i="1" s="1"/>
  <c r="CE226" i="1"/>
  <c r="CE224" i="1" s="1"/>
  <c r="CF226" i="1"/>
  <c r="CF224" i="1" s="1"/>
  <c r="CH226" i="1"/>
  <c r="CH224" i="1" s="1"/>
  <c r="CH236" i="1" s="1"/>
  <c r="CG226" i="1"/>
  <c r="CG224" i="1" s="1"/>
  <c r="CG236" i="1" s="1"/>
  <c r="CV148" i="1"/>
  <c r="CU151" i="1"/>
  <c r="CU272" i="1" s="1"/>
  <c r="CT229" i="1"/>
  <c r="CD226" i="1"/>
  <c r="CD224" i="1" s="1"/>
  <c r="CC226" i="1"/>
  <c r="CC224" i="1" s="1"/>
  <c r="CF212" i="1"/>
  <c r="CF133" i="1"/>
  <c r="CF136" i="1" s="1"/>
  <c r="CF134" i="1"/>
  <c r="CF137" i="1" s="1"/>
  <c r="CD212" i="1"/>
  <c r="CH212" i="1"/>
  <c r="BZ61" i="1"/>
  <c r="CB78" i="1"/>
  <c r="CD137" i="1"/>
  <c r="CD250" i="1"/>
  <c r="CF64" i="1"/>
  <c r="CF63" i="1"/>
  <c r="CC66" i="1"/>
  <c r="CG66" i="1"/>
  <c r="CC257" i="1"/>
  <c r="CC71" i="1"/>
  <c r="CC65" i="1"/>
  <c r="CC268" i="1" s="1"/>
  <c r="CD67" i="1"/>
  <c r="CE204" i="1"/>
  <c r="CE209" i="1"/>
  <c r="CA230" i="1"/>
  <c r="CA228" i="1" s="1"/>
  <c r="CA152" i="1"/>
  <c r="CC67" i="1"/>
  <c r="CD216" i="1"/>
  <c r="CD218" i="1" s="1"/>
  <c r="Y84" i="1"/>
  <c r="CD89" i="1"/>
  <c r="CH136" i="1"/>
  <c r="CH137" i="1"/>
  <c r="CF78" i="1"/>
  <c r="CH78" i="1"/>
  <c r="CG78" i="1"/>
  <c r="CE61" i="1"/>
  <c r="CB71" i="1"/>
  <c r="CB67" i="1"/>
  <c r="CB257" i="1"/>
  <c r="CB65" i="1"/>
  <c r="CB268" i="1" s="1"/>
  <c r="BL71" i="1"/>
  <c r="BL65" i="1"/>
  <c r="BL268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BY65" i="1"/>
  <c r="BY268" i="1" s="1"/>
  <c r="BY71" i="1"/>
  <c r="CY40" i="1"/>
  <c r="CZ40" i="1" s="1"/>
  <c r="CX147" i="1"/>
  <c r="CW203" i="1"/>
  <c r="CW202" i="1"/>
  <c r="CW206" i="1"/>
  <c r="AE173" i="1"/>
  <c r="AD173" i="1"/>
  <c r="CW63" i="1" l="1"/>
  <c r="CX63" i="1" s="1"/>
  <c r="CV225" i="1"/>
  <c r="CF257" i="1"/>
  <c r="AA84" i="1"/>
  <c r="CG233" i="1"/>
  <c r="CG183" i="1" s="1"/>
  <c r="CG184" i="1" s="1"/>
  <c r="CG234" i="1" s="1"/>
  <c r="CV207" i="1"/>
  <c r="CU208" i="1"/>
  <c r="CT205" i="1"/>
  <c r="CT209" i="1" s="1"/>
  <c r="CU204" i="1"/>
  <c r="CW148" i="1"/>
  <c r="CV151" i="1"/>
  <c r="CV272" i="1" s="1"/>
  <c r="CU229" i="1"/>
  <c r="CF66" i="1"/>
  <c r="CF65" i="1"/>
  <c r="CF268" i="1" s="1"/>
  <c r="BZ64" i="1"/>
  <c r="BZ63" i="1"/>
  <c r="CJ66" i="1"/>
  <c r="CG67" i="1"/>
  <c r="CI250" i="1"/>
  <c r="CF71" i="1"/>
  <c r="CD77" i="1"/>
  <c r="CC75" i="1"/>
  <c r="CC142" i="1"/>
  <c r="CC143" i="1" s="1"/>
  <c r="CC89" i="1"/>
  <c r="CC216" i="1"/>
  <c r="CC218" i="1" s="1"/>
  <c r="CB89" i="1"/>
  <c r="CB75" i="1"/>
  <c r="CB216" i="1"/>
  <c r="CB218" i="1" s="1"/>
  <c r="CB230" i="1"/>
  <c r="CB228" i="1" s="1"/>
  <c r="CE64" i="1"/>
  <c r="CE63" i="1"/>
  <c r="BY216" i="1"/>
  <c r="BY218" i="1" s="1"/>
  <c r="BY75" i="1"/>
  <c r="BY89" i="1"/>
  <c r="BL216" i="1"/>
  <c r="BL218" i="1" s="1"/>
  <c r="BL89" i="1"/>
  <c r="BL75" i="1"/>
  <c r="DA40" i="1"/>
  <c r="DB40" i="1" s="1"/>
  <c r="CX206" i="1"/>
  <c r="CX203" i="1"/>
  <c r="CX202" i="1"/>
  <c r="CX163" i="1"/>
  <c r="CY147" i="1"/>
  <c r="CW225" i="1"/>
  <c r="AB149" i="1"/>
  <c r="AB159" i="1"/>
  <c r="AB158" i="1"/>
  <c r="AB150" i="1"/>
  <c r="AB145" i="1"/>
  <c r="AB174" i="1"/>
  <c r="AB166" i="1"/>
  <c r="AB141" i="1"/>
  <c r="CY63" i="1" l="1"/>
  <c r="CZ63" i="1" s="1"/>
  <c r="CW207" i="1"/>
  <c r="CV208" i="1"/>
  <c r="CU205" i="1"/>
  <c r="CU209" i="1" s="1"/>
  <c r="CV204" i="1"/>
  <c r="CX148" i="1"/>
  <c r="CW151" i="1"/>
  <c r="CW272" i="1" s="1"/>
  <c r="CV229" i="1"/>
  <c r="CD92" i="1"/>
  <c r="CD109" i="1" s="1"/>
  <c r="BZ65" i="1"/>
  <c r="BZ268" i="1" s="1"/>
  <c r="BZ67" i="1"/>
  <c r="CC250" i="1"/>
  <c r="BZ71" i="1"/>
  <c r="CC77" i="1" s="1"/>
  <c r="BZ257" i="1"/>
  <c r="CD66" i="1"/>
  <c r="CA67" i="1"/>
  <c r="CG271" i="1"/>
  <c r="CH232" i="1"/>
  <c r="CH233" i="1" s="1"/>
  <c r="CH234" i="1" s="1"/>
  <c r="CG267" i="1"/>
  <c r="CG269" i="1"/>
  <c r="CG188" i="1"/>
  <c r="CG189" i="1" s="1"/>
  <c r="CG191" i="1"/>
  <c r="CF216" i="1"/>
  <c r="CF218" i="1" s="1"/>
  <c r="CF222" i="1" s="1"/>
  <c r="CF236" i="1" s="1"/>
  <c r="CF75" i="1"/>
  <c r="CF89" i="1"/>
  <c r="CI92" i="1" s="1"/>
  <c r="CI77" i="1"/>
  <c r="CC115" i="1"/>
  <c r="CC152" i="1"/>
  <c r="CC78" i="1" s="1"/>
  <c r="CC230" i="1"/>
  <c r="CC228" i="1" s="1"/>
  <c r="CD230" i="1"/>
  <c r="CD228" i="1" s="1"/>
  <c r="CG250" i="1"/>
  <c r="CI66" i="1"/>
  <c r="CH250" i="1"/>
  <c r="CE67" i="1"/>
  <c r="CE65" i="1"/>
  <c r="CE268" i="1" s="1"/>
  <c r="CE66" i="1"/>
  <c r="CF67" i="1"/>
  <c r="CE71" i="1"/>
  <c r="CF250" i="1"/>
  <c r="CE250" i="1"/>
  <c r="Z84" i="1"/>
  <c r="CE257" i="1"/>
  <c r="CY203" i="1"/>
  <c r="CZ147" i="1"/>
  <c r="CY202" i="1"/>
  <c r="CY163" i="1"/>
  <c r="CY225" i="1" s="1"/>
  <c r="CX225" i="1"/>
  <c r="CY206" i="1"/>
  <c r="AC159" i="1"/>
  <c r="AC149" i="1"/>
  <c r="AB187" i="1"/>
  <c r="AC145" i="1"/>
  <c r="AC174" i="1"/>
  <c r="AB170" i="1"/>
  <c r="AB177" i="1"/>
  <c r="AC166" i="1"/>
  <c r="AC150" i="1"/>
  <c r="AB178" i="1"/>
  <c r="AC141" i="1"/>
  <c r="AC158" i="1"/>
  <c r="DA63" i="1" l="1"/>
  <c r="DB63" i="1" s="1"/>
  <c r="CX207" i="1"/>
  <c r="CW208" i="1"/>
  <c r="CV205" i="1"/>
  <c r="CV209" i="1" s="1"/>
  <c r="CW204" i="1"/>
  <c r="CY148" i="1"/>
  <c r="CX151" i="1"/>
  <c r="CX272" i="1" s="1"/>
  <c r="CW229" i="1"/>
  <c r="CD108" i="1"/>
  <c r="CD110" i="1"/>
  <c r="CB77" i="1"/>
  <c r="BZ89" i="1"/>
  <c r="BZ75" i="1"/>
  <c r="BZ216" i="1"/>
  <c r="BZ218" i="1" s="1"/>
  <c r="CH60" i="1"/>
  <c r="CG132" i="1"/>
  <c r="CI110" i="1"/>
  <c r="CI108" i="1"/>
  <c r="CI109" i="1"/>
  <c r="CL113" i="1" s="1"/>
  <c r="CE75" i="1"/>
  <c r="CE142" i="1"/>
  <c r="CE143" i="1" s="1"/>
  <c r="CE77" i="1" s="1"/>
  <c r="CE216" i="1"/>
  <c r="CE218" i="1" s="1"/>
  <c r="CE222" i="1" s="1"/>
  <c r="CE236" i="1" s="1"/>
  <c r="CE89" i="1"/>
  <c r="CF77" i="1"/>
  <c r="CG77" i="1"/>
  <c r="CH77" i="1"/>
  <c r="DA147" i="1"/>
  <c r="CZ163" i="1"/>
  <c r="CZ225" i="1" s="1"/>
  <c r="CZ206" i="1"/>
  <c r="CZ203" i="1"/>
  <c r="CZ202" i="1"/>
  <c r="AE159" i="1"/>
  <c r="AD159" i="1"/>
  <c r="AE149" i="1"/>
  <c r="AD149" i="1"/>
  <c r="AC187" i="1"/>
  <c r="AE174" i="1"/>
  <c r="AD174" i="1"/>
  <c r="AE166" i="1"/>
  <c r="AD166" i="1"/>
  <c r="AD141" i="1"/>
  <c r="AE141" i="1"/>
  <c r="AC177" i="1"/>
  <c r="AE150" i="1"/>
  <c r="AD150" i="1"/>
  <c r="AE158" i="1"/>
  <c r="AD158" i="1"/>
  <c r="AC178" i="1"/>
  <c r="AC170" i="1"/>
  <c r="AE145" i="1"/>
  <c r="AD145" i="1"/>
  <c r="CY207" i="1" l="1"/>
  <c r="CX208" i="1"/>
  <c r="CW205" i="1"/>
  <c r="CW209" i="1" s="1"/>
  <c r="CX204" i="1"/>
  <c r="CZ148" i="1"/>
  <c r="CY151" i="1"/>
  <c r="CX229" i="1"/>
  <c r="CC92" i="1"/>
  <c r="CB92" i="1"/>
  <c r="CG134" i="1"/>
  <c r="CG137" i="1" s="1"/>
  <c r="CG133" i="1"/>
  <c r="CG136" i="1" s="1"/>
  <c r="CF92" i="1"/>
  <c r="CH92" i="1"/>
  <c r="CL93" i="1" s="1"/>
  <c r="CG92" i="1"/>
  <c r="CK93" i="1" s="1"/>
  <c r="CE92" i="1"/>
  <c r="CE115" i="1"/>
  <c r="CF230" i="1"/>
  <c r="CF228" i="1" s="1"/>
  <c r="CE152" i="1"/>
  <c r="CE78" i="1" s="1"/>
  <c r="CE230" i="1"/>
  <c r="CE228" i="1" s="1"/>
  <c r="CE233" i="1" s="1"/>
  <c r="CE183" i="1" s="1"/>
  <c r="CE184" i="1" s="1"/>
  <c r="CE188" i="1" s="1"/>
  <c r="DA202" i="1"/>
  <c r="DA203" i="1"/>
  <c r="DA163" i="1"/>
  <c r="DB163" i="1" s="1"/>
  <c r="DB225" i="1" s="1"/>
  <c r="DA206" i="1"/>
  <c r="DB147" i="1"/>
  <c r="AE187" i="1"/>
  <c r="AD187" i="1"/>
  <c r="AE177" i="1"/>
  <c r="AD177" i="1"/>
  <c r="AE178" i="1"/>
  <c r="AD178" i="1"/>
  <c r="AE170" i="1"/>
  <c r="AD170" i="1"/>
  <c r="BY254" i="1"/>
  <c r="CZ207" i="1" l="1"/>
  <c r="CY208" i="1"/>
  <c r="DA148" i="1"/>
  <c r="CZ151" i="1"/>
  <c r="CY272" i="1"/>
  <c r="CX205" i="1"/>
  <c r="CX209" i="1" s="1"/>
  <c r="CY204" i="1"/>
  <c r="CY229" i="1"/>
  <c r="CE117" i="1"/>
  <c r="CE118" i="1"/>
  <c r="CE119" i="1"/>
  <c r="CE267" i="1"/>
  <c r="CE108" i="1"/>
  <c r="CE109" i="1"/>
  <c r="CI93" i="1"/>
  <c r="CE110" i="1"/>
  <c r="CE271" i="1"/>
  <c r="CG93" i="1"/>
  <c r="CG108" i="1"/>
  <c r="CG110" i="1"/>
  <c r="CG109" i="1"/>
  <c r="CE191" i="1"/>
  <c r="CE132" i="1" s="1"/>
  <c r="CE134" i="1" s="1"/>
  <c r="CE137" i="1" s="1"/>
  <c r="CF232" i="1"/>
  <c r="CF233" i="1" s="1"/>
  <c r="CF234" i="1" s="1"/>
  <c r="CE269" i="1"/>
  <c r="CH93" i="1"/>
  <c r="CH109" i="1"/>
  <c r="CK113" i="1" s="1"/>
  <c r="CH108" i="1"/>
  <c r="CH110" i="1"/>
  <c r="CE234" i="1"/>
  <c r="CF93" i="1"/>
  <c r="CJ93" i="1"/>
  <c r="CF110" i="1"/>
  <c r="CF108" i="1"/>
  <c r="CF109" i="1"/>
  <c r="DA225" i="1"/>
  <c r="DB203" i="1"/>
  <c r="DB202" i="1"/>
  <c r="DB206" i="1"/>
  <c r="CE189" i="1"/>
  <c r="AB43" i="1"/>
  <c r="CZ272" i="1" l="1"/>
  <c r="CZ229" i="1"/>
  <c r="DA207" i="1"/>
  <c r="CZ208" i="1"/>
  <c r="DA151" i="1"/>
  <c r="DB148" i="1"/>
  <c r="DB151" i="1" s="1"/>
  <c r="CY205" i="1"/>
  <c r="CY209" i="1" s="1"/>
  <c r="CZ204" i="1"/>
  <c r="CJ113" i="1"/>
  <c r="CH113" i="1"/>
  <c r="CF60" i="1"/>
  <c r="CI113" i="1"/>
  <c r="CG113" i="1"/>
  <c r="CE133" i="1"/>
  <c r="CE136" i="1" s="1"/>
  <c r="AC43" i="1"/>
  <c r="BY255" i="1"/>
  <c r="BY256" i="1" s="1"/>
  <c r="DB207" i="1" l="1"/>
  <c r="DB208" i="1" s="1"/>
  <c r="DA208" i="1"/>
  <c r="DA229" i="1"/>
  <c r="DA272" i="1"/>
  <c r="DB229" i="1"/>
  <c r="DB272" i="1"/>
  <c r="CZ205" i="1"/>
  <c r="CZ209" i="1" s="1"/>
  <c r="DA204" i="1"/>
  <c r="AD43" i="1"/>
  <c r="BY257" i="1"/>
  <c r="DA205" i="1" l="1"/>
  <c r="DA209" i="1" s="1"/>
  <c r="DB204" i="1"/>
  <c r="DB205" i="1" s="1"/>
  <c r="DB209" i="1" s="1"/>
  <c r="AE43" i="1"/>
  <c r="BI88" i="1" l="1"/>
  <c r="AT88" i="1"/>
  <c r="BT88" i="1"/>
  <c r="AV88" i="1"/>
  <c r="AX88" i="1"/>
  <c r="AR88" i="1"/>
  <c r="AO88" i="1" l="1"/>
  <c r="BK88" i="1"/>
  <c r="AN88" i="1"/>
  <c r="AW88" i="1"/>
  <c r="BB88" i="1"/>
  <c r="BM88" i="1"/>
  <c r="BQ88" i="1"/>
  <c r="AJ88" i="1"/>
  <c r="BS88" i="1"/>
  <c r="BR88" i="1"/>
  <c r="BO88" i="1"/>
  <c r="AM88" i="1"/>
  <c r="AI88" i="1"/>
  <c r="AP88" i="1"/>
  <c r="AZ88" i="1"/>
  <c r="AS88" i="1"/>
  <c r="BN88" i="1"/>
  <c r="BU88" i="1"/>
  <c r="BA88" i="1"/>
  <c r="BC88" i="1"/>
  <c r="AU88" i="1"/>
  <c r="BW88" i="1"/>
  <c r="BP88" i="1"/>
  <c r="BJ88" i="1"/>
  <c r="BH88" i="1"/>
  <c r="BX88" i="1"/>
  <c r="BG88" i="1"/>
  <c r="AQ88" i="1"/>
  <c r="AY88" i="1"/>
  <c r="AK88" i="1"/>
  <c r="BE88" i="1"/>
  <c r="BD88" i="1"/>
  <c r="BV88" i="1"/>
  <c r="BF88" i="1"/>
  <c r="BL254" i="1" l="1"/>
  <c r="AB163" i="1" l="1"/>
  <c r="CN100" i="1" l="1"/>
  <c r="AB225" i="1"/>
  <c r="CO100" i="1" l="1"/>
  <c r="CM86" i="1"/>
  <c r="CP100" i="1" l="1"/>
  <c r="CN86" i="1"/>
  <c r="CM88" i="1"/>
  <c r="D6" i="2"/>
  <c r="H99" i="2"/>
  <c r="R31" i="2"/>
  <c r="K31" i="2"/>
  <c r="L28" i="2"/>
  <c r="S5" i="2"/>
  <c r="E16" i="2"/>
  <c r="F30" i="2"/>
  <c r="AQ46" i="3"/>
  <c r="D42" i="3"/>
  <c r="E19" i="3"/>
  <c r="E32" i="2"/>
  <c r="H30" i="2"/>
  <c r="C19" i="2"/>
  <c r="H16" i="2"/>
  <c r="E25" i="2"/>
  <c r="P31" i="2"/>
  <c r="J8" i="2"/>
  <c r="N32" i="2"/>
  <c r="D36" i="3"/>
  <c r="E33" i="3"/>
  <c r="Q46" i="3"/>
  <c r="G15" i="2"/>
  <c r="M19" i="2"/>
  <c r="E30" i="2"/>
  <c r="H31" i="2"/>
  <c r="X18" i="2"/>
  <c r="C36" i="2"/>
  <c r="G21" i="2"/>
  <c r="C33" i="2"/>
  <c r="AR13" i="3"/>
  <c r="G9" i="3"/>
  <c r="AD6" i="3"/>
  <c r="CZ16" i="4" a="1"/>
  <c r="CQ6" i="4" a="1"/>
  <c r="CJ5" i="4" a="1"/>
  <c r="N5" i="2"/>
  <c r="P9" i="2"/>
  <c r="V33" i="2"/>
  <c r="J6" i="2"/>
  <c r="T27" i="2"/>
  <c r="H21" i="2"/>
  <c r="AR88" i="3"/>
  <c r="AR65" i="3"/>
  <c r="F17" i="3"/>
  <c r="D9" i="2"/>
  <c r="R54" i="2"/>
  <c r="O30" i="2"/>
  <c r="J12" i="2"/>
  <c r="M20" i="2"/>
  <c r="AR89" i="3"/>
  <c r="U24" i="2"/>
  <c r="E9" i="2"/>
  <c r="AR24" i="3"/>
  <c r="Q45" i="3"/>
  <c r="AB46" i="3"/>
  <c r="AV9" i="4" a="1"/>
  <c r="DP9" i="4" a="1"/>
  <c r="DY16" i="4" a="1"/>
  <c r="DL11" i="4" a="1"/>
  <c r="I23" i="2"/>
  <c r="I28" i="2"/>
  <c r="Q33" i="2"/>
  <c r="H54" i="2"/>
  <c r="P33" i="2"/>
  <c r="G8" i="2"/>
  <c r="AR57" i="3"/>
  <c r="AR83" i="3"/>
  <c r="AR19" i="3"/>
  <c r="D30" i="3"/>
  <c r="AR31" i="3"/>
  <c r="BF11" i="4" a="1"/>
  <c r="DB14" i="4" a="1"/>
  <c r="E33" i="2"/>
  <c r="N24" i="2"/>
  <c r="U35" i="2"/>
  <c r="W20" i="2"/>
  <c r="M26" i="2"/>
  <c r="F36" i="2"/>
  <c r="L5" i="2"/>
  <c r="AR87" i="3"/>
  <c r="AM46" i="3"/>
  <c r="AR11" i="3"/>
  <c r="AO6" i="3"/>
  <c r="EJ14" i="4" a="1"/>
  <c r="DG8" i="4" a="1"/>
  <c r="DN9" i="4" a="1"/>
  <c r="M14" i="4" a="1"/>
  <c r="U9" i="4" a="1"/>
  <c r="F10" i="2"/>
  <c r="C6" i="2"/>
  <c r="D29" i="2"/>
  <c r="K7" i="2"/>
  <c r="G35" i="2"/>
  <c r="F29" i="2"/>
  <c r="AR60" i="3"/>
  <c r="F22" i="2"/>
  <c r="F39" i="3"/>
  <c r="G45" i="3"/>
  <c r="F5" i="3"/>
  <c r="BF9" i="4" a="1"/>
  <c r="CG16" i="4" a="1"/>
  <c r="G23" i="2"/>
  <c r="D8" i="2"/>
  <c r="I20" i="2"/>
  <c r="C59" i="2"/>
  <c r="L18" i="2"/>
  <c r="D32" i="2"/>
  <c r="U25" i="2"/>
  <c r="N35" i="2"/>
  <c r="X63" i="2"/>
  <c r="F19" i="2"/>
  <c r="C34" i="2"/>
  <c r="M30" i="2"/>
  <c r="AP46" i="3"/>
  <c r="CM16" i="4" a="1"/>
  <c r="DF7" i="4" a="1"/>
  <c r="O6" i="4" a="1"/>
  <c r="L5" i="4" a="1"/>
  <c r="CJ8" i="4" a="1"/>
  <c r="W6" i="4" a="1"/>
  <c r="BA15" i="4" a="1"/>
  <c r="EC12" i="4" a="1"/>
  <c r="CW13" i="4" a="1"/>
  <c r="CA5" i="4" a="1"/>
  <c r="DH9" i="4" a="1"/>
  <c r="K9" i="2"/>
  <c r="D25" i="2"/>
  <c r="AR26" i="3"/>
  <c r="BQ7" i="4" a="1"/>
  <c r="DI8" i="4" a="1"/>
  <c r="BE6" i="4" a="1"/>
  <c r="DU11" i="4" a="1"/>
  <c r="AW7" i="4" a="1"/>
  <c r="BI14" i="4" a="1"/>
  <c r="DR6" i="4" a="1"/>
  <c r="AU12" i="4" a="1"/>
  <c r="Z9" i="4" a="1"/>
  <c r="BV6" i="4" a="1"/>
  <c r="BR8" i="4" a="1"/>
  <c r="DH16" i="4" a="1"/>
  <c r="X21" i="2"/>
  <c r="AA46" i="3"/>
  <c r="AR23" i="3"/>
  <c r="AB13" i="4" a="1"/>
  <c r="CD8" i="4" a="1"/>
  <c r="CS15" i="4" a="1"/>
  <c r="EJ13" i="4" a="1"/>
  <c r="DW5" i="4" a="1"/>
  <c r="AS5" i="4" a="1"/>
  <c r="EA6" i="4" a="1"/>
  <c r="CG6" i="4" a="1"/>
  <c r="M36" i="2"/>
  <c r="AJ46" i="3"/>
  <c r="D35" i="3"/>
  <c r="AF16" i="4" a="1"/>
  <c r="CH7" i="4" a="1"/>
  <c r="EE12" i="4" a="1"/>
  <c r="S8" i="2"/>
  <c r="X46" i="3"/>
  <c r="J45" i="3"/>
  <c r="Q12" i="4" a="1"/>
  <c r="CN14" i="4" a="1"/>
  <c r="AI8" i="4" a="1"/>
  <c r="CK11" i="4" a="1"/>
  <c r="BV9" i="4" a="1"/>
  <c r="AP7" i="4" a="1"/>
  <c r="J31" i="2"/>
  <c r="N20" i="2"/>
  <c r="AR14" i="3"/>
  <c r="BH5" i="4" a="1"/>
  <c r="V12" i="4" a="1"/>
  <c r="BI7" i="4" a="1"/>
  <c r="BQ8" i="4" a="1"/>
  <c r="AT15" i="4" a="1"/>
  <c r="AX13" i="4" a="1"/>
  <c r="I15" i="4" a="1"/>
  <c r="AV12" i="4" a="1"/>
  <c r="EH9" i="4" a="1"/>
  <c r="Y9" i="4" a="1"/>
  <c r="CA7" i="4" a="1"/>
  <c r="DD7" i="4" a="1"/>
  <c r="AF15" i="4" a="1"/>
  <c r="AC7" i="4" a="1"/>
  <c r="S20" i="2"/>
  <c r="AR95" i="3"/>
  <c r="AC45" i="3"/>
  <c r="AS6" i="4" a="1"/>
  <c r="AC14" i="4" a="1"/>
  <c r="CN7" i="4" a="1"/>
  <c r="AX16" i="4" a="1"/>
  <c r="K9" i="4" a="1"/>
  <c r="O7" i="2"/>
  <c r="U5" i="2"/>
  <c r="AR9" i="3"/>
  <c r="DT7" i="4" a="1"/>
  <c r="CB13" i="4" a="1"/>
  <c r="Y8" i="4" a="1"/>
  <c r="G33" i="2"/>
  <c r="V20" i="2"/>
  <c r="AR15" i="3"/>
  <c r="AM11" i="4" a="1"/>
  <c r="AQ12" i="4" a="1"/>
  <c r="DD13" i="4" a="1"/>
  <c r="CA12" i="4" a="1"/>
  <c r="AT8" i="4" a="1"/>
  <c r="AS15" i="4" a="1"/>
  <c r="BC13" i="4" a="1"/>
  <c r="DZ13" i="4" a="1"/>
  <c r="CC6" i="4" a="1"/>
  <c r="S7" i="4" a="1"/>
  <c r="EK9" i="4" a="1"/>
  <c r="CR15" i="4" a="1"/>
  <c r="AN6" i="4" a="1"/>
  <c r="AR54" i="3"/>
  <c r="DZ12" i="4" a="1"/>
  <c r="I7" i="4" a="1"/>
  <c r="DL16" i="4" a="1"/>
  <c r="AK16" i="4" a="1"/>
  <c r="L14" i="4" a="1"/>
  <c r="CE9" i="4" a="1"/>
  <c r="Z14" i="4" a="1"/>
  <c r="Q11" i="4" a="1"/>
  <c r="K16" i="4" a="1"/>
  <c r="J15" i="4" a="1"/>
  <c r="EE9" i="4" a="1"/>
  <c r="W14" i="4" a="1"/>
  <c r="DD14" i="4" a="1"/>
  <c r="BK14" i="4" a="1"/>
  <c r="P11" i="4" a="1"/>
  <c r="AA45" i="3"/>
  <c r="DQ14" i="4" a="1"/>
  <c r="CZ9" i="4" a="1"/>
  <c r="AE11" i="4" a="1"/>
  <c r="DU6" i="4" a="1"/>
  <c r="Z6" i="4" a="1"/>
  <c r="AF5" i="4" a="1"/>
  <c r="CY7" i="4" a="1"/>
  <c r="BC11" i="4" a="1"/>
  <c r="BM7" i="4" a="1"/>
  <c r="DB7" i="4" a="1"/>
  <c r="CP7" i="4" a="1"/>
  <c r="N8" i="2"/>
  <c r="EA13" i="4" a="1"/>
  <c r="BW12" i="4" a="1"/>
  <c r="CF8" i="4" a="1"/>
  <c r="CG5" i="4" a="1"/>
  <c r="AI6" i="4" a="1"/>
  <c r="BS5" i="4" a="1"/>
  <c r="G16" i="4" a="1"/>
  <c r="DF13" i="4" a="1"/>
  <c r="AS12" i="4" a="1"/>
  <c r="CS13" i="4" a="1"/>
  <c r="BY7" i="4" a="1"/>
  <c r="CX13" i="4" a="1"/>
  <c r="DF8" i="4" a="1"/>
  <c r="E17" i="2"/>
  <c r="AK7" i="4" a="1"/>
  <c r="AA6" i="4" a="1"/>
  <c r="BJ14" i="4" a="1"/>
  <c r="AA14" i="4" a="1"/>
  <c r="S8" i="4" a="1"/>
  <c r="E30" i="3"/>
  <c r="BS15" i="4" a="1"/>
  <c r="AX15" i="4" a="1"/>
  <c r="L27" i="2"/>
  <c r="V5" i="4" a="1"/>
  <c r="K18" i="2"/>
  <c r="BI16" i="4" a="1"/>
  <c r="O11" i="4" a="1"/>
  <c r="BM5" i="4" a="1"/>
  <c r="AA7" i="4" a="1"/>
  <c r="BX14" i="4" a="1"/>
  <c r="CU12" i="4" a="1"/>
  <c r="CW15" i="4" a="1"/>
  <c r="S6" i="4" a="1"/>
  <c r="BI11" i="4" a="1"/>
  <c r="DP14" i="4" a="1"/>
  <c r="EE16" i="4" a="1"/>
  <c r="AR16" i="4" a="1"/>
  <c r="CQ12" i="4" a="1"/>
  <c r="BL14" i="4" a="1"/>
  <c r="EI11" i="4" a="1"/>
  <c r="BQ12" i="4" a="1"/>
  <c r="BS9" i="4" a="1"/>
  <c r="BV12" i="4" a="1"/>
  <c r="DS9" i="4" a="1"/>
  <c r="EJ9" i="4" a="1"/>
  <c r="N6" i="2"/>
  <c r="AQ15" i="4" a="1"/>
  <c r="BJ6" i="4" a="1"/>
  <c r="AZ5" i="4" a="1"/>
  <c r="BK5" i="4" a="1"/>
  <c r="AQ14" i="4" a="1"/>
  <c r="Q16" i="4" a="1"/>
  <c r="R22" i="2"/>
  <c r="AY9" i="4" a="1"/>
  <c r="EF14" i="4" a="1"/>
  <c r="R5" i="4" a="1"/>
  <c r="AV14" i="4" a="1"/>
  <c r="CL5" i="4" a="1"/>
  <c r="DN5" i="4" a="1"/>
  <c r="G11" i="3"/>
  <c r="AG5" i="4" a="1"/>
  <c r="EA14" i="4" a="1"/>
  <c r="DO7" i="4" a="1"/>
  <c r="AY16" i="4" a="1"/>
  <c r="CH12" i="4" a="1"/>
  <c r="AP14" i="4" a="1"/>
  <c r="CK12" i="4" a="1"/>
  <c r="CB6" i="4" a="1"/>
  <c r="EF7" i="4" a="1"/>
  <c r="BH14" i="4" a="1"/>
  <c r="AA13" i="4" a="1"/>
  <c r="J6" i="4" a="1"/>
  <c r="G11" i="4" a="1"/>
  <c r="CJ7" i="4" a="1"/>
  <c r="O14" i="4" a="1"/>
  <c r="DI5" i="4" a="1"/>
  <c r="BT14" i="4" a="1"/>
  <c r="DD16" i="4" a="1"/>
  <c r="BP13" i="4" a="1"/>
  <c r="BH11" i="4" a="1"/>
  <c r="G36" i="2"/>
  <c r="N29" i="2"/>
  <c r="S23" i="2"/>
  <c r="I5" i="2"/>
  <c r="Q26" i="2"/>
  <c r="C29" i="2"/>
  <c r="S14" i="2"/>
  <c r="AR59" i="3"/>
  <c r="AN46" i="3"/>
  <c r="G25" i="3"/>
  <c r="I18" i="2"/>
  <c r="D36" i="2"/>
  <c r="Q25" i="2"/>
  <c r="U32" i="2"/>
  <c r="AR45" i="3"/>
  <c r="K28" i="2"/>
  <c r="N28" i="2"/>
  <c r="P24" i="2"/>
  <c r="T25" i="2"/>
  <c r="X45" i="3"/>
  <c r="D5" i="3"/>
  <c r="EH16" i="4" a="1"/>
  <c r="J18" i="2"/>
  <c r="U22" i="2"/>
  <c r="R15" i="2"/>
  <c r="M34" i="2"/>
  <c r="E28" i="3"/>
  <c r="J10" i="2"/>
  <c r="L22" i="2"/>
  <c r="X32" i="2"/>
  <c r="E14" i="3"/>
  <c r="F41" i="3"/>
  <c r="DM12" i="4" a="1"/>
  <c r="CP13" i="4" a="1"/>
  <c r="G29" i="2"/>
  <c r="Q9" i="2"/>
  <c r="E15" i="2"/>
  <c r="C11" i="2"/>
  <c r="AD14" i="3"/>
  <c r="F12" i="4" a="1"/>
  <c r="G6" i="2"/>
  <c r="F28" i="2"/>
  <c r="S6" i="2"/>
  <c r="X24" i="2"/>
  <c r="G27" i="3"/>
  <c r="E46" i="3"/>
  <c r="AJ14" i="4" a="1"/>
  <c r="AX6" i="4" a="1"/>
  <c r="H8" i="2"/>
  <c r="S17" i="2"/>
  <c r="R14" i="2"/>
  <c r="J11" i="2"/>
  <c r="F20" i="3"/>
  <c r="AG7" i="4" a="1"/>
  <c r="I14" i="2"/>
  <c r="D7" i="2"/>
  <c r="X19" i="2"/>
  <c r="U34" i="2"/>
  <c r="I24" i="2"/>
  <c r="F9" i="2"/>
  <c r="E29" i="3"/>
  <c r="DL6" i="4" a="1"/>
  <c r="AU7" i="4" a="1"/>
  <c r="BP12" i="4" a="1"/>
  <c r="E8" i="4" a="1"/>
  <c r="CY12" i="4" a="1"/>
  <c r="G9" i="2"/>
  <c r="F35" i="3"/>
  <c r="CQ8" i="4" a="1"/>
  <c r="DF6" i="4" a="1"/>
  <c r="CO14" i="4" a="1"/>
  <c r="H16" i="4" a="1"/>
  <c r="Q46" i="2"/>
  <c r="AR33" i="3"/>
  <c r="DI14" i="4" a="1"/>
  <c r="BS16" i="4" a="1"/>
  <c r="U11" i="4" a="1"/>
  <c r="AC5" i="4" a="1"/>
  <c r="P25" i="2"/>
  <c r="DA11" i="4" a="1"/>
  <c r="CX15" i="4" a="1"/>
  <c r="T21" i="2"/>
  <c r="CI7" i="4" a="1"/>
  <c r="C8" i="4" a="1"/>
  <c r="EF5" i="4" a="1"/>
  <c r="BO16" i="4" a="1"/>
  <c r="D31" i="2"/>
  <c r="E8" i="3"/>
  <c r="DY8" i="4" a="1"/>
  <c r="CG14" i="4" a="1"/>
  <c r="J12" i="4" a="1"/>
  <c r="CW11" i="4" a="1"/>
  <c r="CR11" i="4" a="1"/>
  <c r="L12" i="4" a="1"/>
  <c r="V22" i="2"/>
  <c r="AR29" i="3"/>
  <c r="CV6" i="4" a="1"/>
  <c r="N27" i="2"/>
  <c r="AR32" i="3"/>
  <c r="AR11" i="4" a="1"/>
  <c r="X26" i="2"/>
  <c r="CR8" i="4" a="1"/>
  <c r="CM6" i="4" a="1"/>
  <c r="DX8" i="4" a="1"/>
  <c r="R8" i="4" a="1"/>
  <c r="O9" i="4" a="1"/>
  <c r="BJ13" i="4" a="1"/>
  <c r="DE7" i="4" a="1"/>
  <c r="BV15" i="4" a="1"/>
  <c r="EC14" i="4" a="1"/>
  <c r="BN12" i="4" a="1"/>
  <c r="BX11" i="4" a="1"/>
  <c r="DT6" i="4" a="1"/>
  <c r="CB16" i="4" a="1"/>
  <c r="CA14" i="4" a="1"/>
  <c r="T5" i="4" a="1"/>
  <c r="D7" i="4" a="1"/>
  <c r="AE13" i="4" a="1"/>
  <c r="EI8" i="4" a="1"/>
  <c r="EJ11" i="4" a="1"/>
  <c r="BA16" i="4" a="1"/>
  <c r="DJ8" i="4" a="1"/>
  <c r="G13" i="3"/>
  <c r="AL7" i="4" a="1"/>
  <c r="DW9" i="4" a="1"/>
  <c r="C16" i="4" a="1"/>
  <c r="R10" i="2"/>
  <c r="BG9" i="4" a="1"/>
  <c r="AN45" i="3"/>
  <c r="BR7" i="4" a="1"/>
  <c r="P15" i="4" a="1"/>
  <c r="DJ6" i="4" a="1"/>
  <c r="F15" i="3"/>
  <c r="D15" i="4" a="1"/>
  <c r="CE11" i="4" a="1"/>
  <c r="BG6" i="4" a="1"/>
  <c r="L8" i="4" a="1"/>
  <c r="BN14" i="4" a="1"/>
  <c r="CZ15" i="4" a="1"/>
  <c r="CC14" i="4" a="1"/>
  <c r="ED7" i="4" a="1"/>
  <c r="AR15" i="4" a="1"/>
  <c r="BY6" i="4" a="1"/>
  <c r="BF5" i="4" a="1"/>
  <c r="AJ15" i="4" a="1"/>
  <c r="AP15" i="4" a="1"/>
  <c r="AW12" i="4" a="1"/>
  <c r="BT8" i="4" a="1"/>
  <c r="AU14" i="4" a="1"/>
  <c r="CF6" i="4" a="1"/>
  <c r="AL6" i="4" a="1"/>
  <c r="CZ5" i="4" a="1"/>
  <c r="BQ6" i="4" a="1"/>
  <c r="CP11" i="4" a="1"/>
  <c r="AE8" i="4" a="1"/>
  <c r="EF16" i="4" a="1"/>
  <c r="AA16" i="4" a="1"/>
  <c r="CP6" i="4" a="1"/>
  <c r="AF11" i="4" a="1"/>
  <c r="CV16" i="4" a="1"/>
  <c r="Z12" i="4" a="1"/>
  <c r="AS16" i="4" a="1"/>
  <c r="AD15" i="4" a="1"/>
  <c r="F74" i="3"/>
  <c r="Q28" i="2"/>
  <c r="N25" i="2"/>
  <c r="E35" i="2"/>
  <c r="T28" i="2"/>
  <c r="S29" i="2"/>
  <c r="F14" i="3"/>
  <c r="BB8" i="4" a="1"/>
  <c r="X16" i="2"/>
  <c r="O5" i="2"/>
  <c r="N30" i="2"/>
  <c r="I6" i="2"/>
  <c r="AI45" i="3"/>
  <c r="V32" i="2"/>
  <c r="D26" i="2"/>
  <c r="I29" i="2"/>
  <c r="L25" i="2"/>
  <c r="AR66" i="3"/>
  <c r="AD5" i="3"/>
  <c r="DM6" i="4" a="1"/>
  <c r="BR5" i="4" a="1"/>
  <c r="K12" i="2"/>
  <c r="X15" i="2"/>
  <c r="F16" i="2"/>
  <c r="F15" i="2"/>
  <c r="T36" i="2"/>
  <c r="X10" i="2"/>
  <c r="C35" i="2"/>
  <c r="Q34" i="2"/>
  <c r="AE45" i="3"/>
  <c r="R16" i="4" a="1"/>
  <c r="DG15" i="4" a="1"/>
  <c r="Q5" i="2"/>
  <c r="Q24" i="2"/>
  <c r="D13" i="2"/>
  <c r="M21" i="2"/>
  <c r="D32" i="3"/>
  <c r="CO6" i="4" a="1"/>
  <c r="D34" i="2"/>
  <c r="N17" i="2"/>
  <c r="W7" i="2"/>
  <c r="F14" i="2"/>
  <c r="AG46" i="3"/>
  <c r="CX14" i="4" a="1"/>
  <c r="CP14" i="4" a="1"/>
  <c r="U29" i="2"/>
  <c r="W35" i="2"/>
  <c r="L31" i="2"/>
  <c r="U33" i="2"/>
  <c r="E41" i="3"/>
  <c r="AO12" i="4" a="1"/>
  <c r="F75" i="2"/>
  <c r="W31" i="2"/>
  <c r="T5" i="2"/>
  <c r="P23" i="2"/>
  <c r="G24" i="2"/>
  <c r="H26" i="2"/>
  <c r="D31" i="3"/>
  <c r="BT9" i="4" a="1"/>
  <c r="DW15" i="4" a="1"/>
  <c r="BJ8" i="4" a="1"/>
  <c r="DN14" i="4" a="1"/>
  <c r="R7" i="4" a="1"/>
  <c r="M11" i="2"/>
  <c r="AL12" i="4" a="1"/>
  <c r="CB9" i="4" a="1"/>
  <c r="AL15" i="4" a="1"/>
  <c r="DD12" i="4" a="1"/>
  <c r="DW7" i="4" a="1"/>
  <c r="EF8" i="4" a="1"/>
  <c r="O19" i="2"/>
  <c r="AR40" i="3"/>
  <c r="BY13" i="4" a="1"/>
  <c r="AY12" i="4" a="1"/>
  <c r="AS9" i="4" a="1"/>
  <c r="AH9" i="4" a="1"/>
  <c r="AR55" i="3"/>
  <c r="BF13" i="4" a="1"/>
  <c r="AD5" i="4" a="1"/>
  <c r="E7" i="2"/>
  <c r="AL5" i="4" a="1"/>
  <c r="BS13" i="4" a="1"/>
  <c r="U26" i="2"/>
  <c r="DO5" i="4" a="1"/>
  <c r="BI6" i="4" a="1"/>
  <c r="ED6" i="4" a="1"/>
  <c r="AJ5" i="4" a="1"/>
  <c r="AB16" i="4" a="1"/>
  <c r="X11" i="4" a="1"/>
  <c r="Z13" i="4" a="1"/>
  <c r="CE12" i="4" a="1"/>
  <c r="W15" i="2"/>
  <c r="G22" i="3"/>
  <c r="U5" i="4" a="1"/>
  <c r="N33" i="2"/>
  <c r="AQ45" i="3"/>
  <c r="X8" i="4" a="1"/>
  <c r="I21" i="2"/>
  <c r="AN8" i="4" a="1"/>
  <c r="AP16" i="4" a="1"/>
  <c r="BT16" i="4" a="1"/>
  <c r="DC13" i="4" a="1"/>
  <c r="DB6" i="4" a="1"/>
  <c r="CH11" i="4" a="1"/>
  <c r="BI12" i="4" a="1"/>
  <c r="AI5" i="4" a="1"/>
  <c r="BB5" i="4" a="1"/>
  <c r="BH15" i="4" a="1"/>
  <c r="EC6" i="4" a="1"/>
  <c r="CP9" i="4" a="1"/>
  <c r="BU16" i="4" a="1"/>
  <c r="DE13" i="4" a="1"/>
  <c r="DN7" i="4" a="1"/>
  <c r="DQ15" i="4" a="1"/>
  <c r="CY14" i="4" a="1"/>
  <c r="CG11" i="4" a="1"/>
  <c r="CU11" i="4" a="1"/>
  <c r="CS9" i="4" a="1"/>
  <c r="AT13" i="4" a="1"/>
  <c r="T12" i="4" a="1"/>
  <c r="CD11" i="4" a="1"/>
  <c r="EC16" i="4" a="1"/>
  <c r="EK13" i="4" a="1"/>
  <c r="DT13" i="4" a="1"/>
  <c r="G13" i="4" a="1"/>
  <c r="AJ8" i="4" a="1"/>
  <c r="AR18" i="3"/>
  <c r="BQ16" i="4" a="1"/>
  <c r="W17" i="2"/>
  <c r="V6" i="4" a="1"/>
  <c r="CP8" i="4" a="1"/>
  <c r="CT12" i="4" a="1"/>
  <c r="EB5" i="4" a="1"/>
  <c r="N6" i="4" a="1"/>
  <c r="EA12" i="4" a="1"/>
  <c r="DW12" i="4" a="1"/>
  <c r="F16" i="4" a="1"/>
  <c r="CQ5" i="4" a="1"/>
  <c r="BL7" i="4" a="1"/>
  <c r="BL15" i="4" a="1"/>
  <c r="BK16" i="4" a="1"/>
  <c r="CU7" i="4" a="1"/>
  <c r="E37" i="3"/>
  <c r="AD6" i="4" a="1"/>
  <c r="EI7" i="4" a="1"/>
  <c r="N13" i="4" a="1"/>
  <c r="W15" i="4" a="1"/>
  <c r="DH7" i="4" a="1"/>
  <c r="E12" i="4" a="1"/>
  <c r="X12" i="4" a="1"/>
  <c r="AD11" i="3"/>
  <c r="AU8" i="4" a="1"/>
  <c r="W16" i="4" a="1"/>
  <c r="DT15" i="4" a="1"/>
  <c r="CH9" i="4" a="1"/>
  <c r="DN15" i="4" a="1"/>
  <c r="DH11" i="4" a="1"/>
  <c r="DH13" i="4" a="1"/>
  <c r="AD73" i="3"/>
  <c r="AD59" i="3"/>
  <c r="AD80" i="3"/>
  <c r="AD92" i="3"/>
  <c r="F67" i="3"/>
  <c r="AD79" i="3"/>
  <c r="L13" i="2"/>
  <c r="I10" i="2"/>
  <c r="T23" i="2"/>
  <c r="E40" i="3"/>
  <c r="E17" i="3"/>
  <c r="H17" i="2"/>
  <c r="O33" i="2"/>
  <c r="P19" i="2"/>
  <c r="E36" i="2"/>
  <c r="G13" i="2"/>
  <c r="Q22" i="2"/>
  <c r="W23" i="2"/>
  <c r="W8" i="2"/>
  <c r="Q23" i="2"/>
  <c r="AR85" i="3"/>
  <c r="G24" i="3"/>
  <c r="BT7" i="4" a="1"/>
  <c r="BE8" i="4" a="1"/>
  <c r="L10" i="2"/>
  <c r="M5" i="2"/>
  <c r="M10" i="2"/>
  <c r="J30" i="2"/>
  <c r="V12" i="2"/>
  <c r="N16" i="2"/>
  <c r="J28" i="2"/>
  <c r="AR84" i="3"/>
  <c r="D21" i="3"/>
  <c r="X13" i="4" a="1"/>
  <c r="CQ13" i="4" a="1"/>
  <c r="AH15" i="4" a="1"/>
  <c r="P34" i="2"/>
  <c r="W11" i="2"/>
  <c r="W14" i="2"/>
  <c r="H25" i="2"/>
  <c r="AR46" i="3"/>
  <c r="Z15" i="4" a="1"/>
  <c r="U21" i="2"/>
  <c r="F31" i="2"/>
  <c r="L26" i="2"/>
  <c r="E18" i="2"/>
  <c r="D16" i="3"/>
  <c r="G8" i="3"/>
  <c r="BW15" i="4" a="1"/>
  <c r="BL8" i="4" a="1"/>
  <c r="O32" i="2"/>
  <c r="V23" i="2"/>
  <c r="M13" i="2"/>
  <c r="R19" i="2"/>
  <c r="AD15" i="3"/>
  <c r="I45" i="3"/>
  <c r="M14" i="2"/>
  <c r="D20" i="2"/>
  <c r="V36" i="2"/>
  <c r="R33" i="2"/>
  <c r="J7" i="2"/>
  <c r="F13" i="2"/>
  <c r="AR12" i="3"/>
  <c r="EI14" i="4" a="1"/>
  <c r="EA8" i="4" a="1"/>
  <c r="DE8" i="4" a="1"/>
  <c r="DS13" i="4" a="1"/>
  <c r="EF11" i="4" a="1"/>
  <c r="I16" i="2"/>
  <c r="N45" i="3"/>
  <c r="BA5" i="4" a="1"/>
  <c r="CN15" i="4" a="1"/>
  <c r="G14" i="4" a="1"/>
  <c r="CF15" i="4" a="1"/>
  <c r="DT14" i="4" a="1"/>
  <c r="CP16" i="4" a="1"/>
  <c r="D11" i="2"/>
  <c r="BX9" i="4" a="1"/>
  <c r="DD9" i="4" a="1"/>
  <c r="P8" i="4" a="1"/>
  <c r="DW14" i="4" a="1"/>
  <c r="I8" i="4" a="1"/>
  <c r="R26" i="2"/>
  <c r="EI16" i="4" a="1"/>
  <c r="CU9" i="4" a="1"/>
  <c r="Q57" i="2"/>
  <c r="J9" i="4" a="1"/>
  <c r="BF12" i="4" a="1"/>
  <c r="DE16" i="4" a="1"/>
  <c r="AK15" i="4" a="1"/>
  <c r="N21" i="2"/>
  <c r="CY6" i="4" a="1"/>
  <c r="BO12" i="4" a="1"/>
  <c r="AW5" i="4" a="1"/>
  <c r="Y7" i="4" a="1"/>
  <c r="EJ6" i="4" a="1"/>
  <c r="AE14" i="4" a="1"/>
  <c r="AF6" i="4" a="1"/>
  <c r="E23" i="2"/>
  <c r="AZ15" i="4" a="1"/>
  <c r="BY5" i="4" a="1"/>
  <c r="CG8" i="4" a="1"/>
  <c r="CH15" i="4" a="1"/>
  <c r="V19" i="2"/>
  <c r="AH13" i="4" a="1"/>
  <c r="CM13" i="4" a="1"/>
  <c r="I26" i="2"/>
  <c r="DV7" i="4" a="1"/>
  <c r="G12" i="4" a="1"/>
  <c r="BM14" i="4" a="1"/>
  <c r="BC16" i="4" a="1"/>
  <c r="DJ9" i="4" a="1"/>
  <c r="AG13" i="4" a="1"/>
  <c r="AU6" i="4" a="1"/>
  <c r="DL15" i="4" a="1"/>
  <c r="DC14" i="4" a="1"/>
  <c r="DL7" i="4" a="1"/>
  <c r="AH11" i="4" a="1"/>
  <c r="BQ5" i="4" a="1"/>
  <c r="EG9" i="4" a="1"/>
  <c r="EH6" i="4" a="1"/>
  <c r="DX9" i="4" a="1"/>
  <c r="T7" i="4" a="1"/>
  <c r="DQ7" i="4" a="1"/>
  <c r="DO11" i="4" a="1"/>
  <c r="BB7" i="4" a="1"/>
  <c r="BU15" i="4" a="1"/>
  <c r="CG12" i="4" a="1"/>
  <c r="P5" i="4" a="1"/>
  <c r="BH7" i="4" a="1"/>
  <c r="BZ6" i="4" a="1"/>
  <c r="DK15" i="4" a="1"/>
  <c r="AA5" i="4" a="1"/>
  <c r="F6" i="4" a="1"/>
  <c r="EH15" i="4" a="1"/>
  <c r="BW5" i="4" a="1"/>
  <c r="Q8" i="4" a="1"/>
  <c r="DQ5" i="4" a="1"/>
  <c r="DF9" i="4" a="1"/>
  <c r="T9" i="2"/>
  <c r="EI12" i="4" a="1"/>
  <c r="DB8" i="4" a="1"/>
  <c r="BA7" i="4" a="1"/>
  <c r="BK9" i="4" a="1"/>
  <c r="BG13" i="4" a="1"/>
  <c r="AD14" i="4" a="1"/>
  <c r="E45" i="2"/>
  <c r="U8" i="4" a="1"/>
  <c r="AW11" i="4" a="1"/>
  <c r="BC6" i="4" a="1"/>
  <c r="AW8" i="4" a="1"/>
  <c r="C12" i="4" a="1"/>
  <c r="DZ6" i="4" a="1"/>
  <c r="DR14" i="4" a="1"/>
  <c r="BW9" i="4" a="1"/>
  <c r="AN7" i="4" a="1"/>
  <c r="V8" i="4" a="1"/>
  <c r="X16" i="4" a="1"/>
  <c r="CE15" i="4" a="1"/>
  <c r="Q9" i="4" a="1"/>
  <c r="U13" i="4" a="1"/>
  <c r="CX11" i="4" a="1"/>
  <c r="BY11" i="4" a="1"/>
  <c r="CC15" i="4" a="1"/>
  <c r="BG16" i="4" a="1"/>
  <c r="H5" i="4" a="1"/>
  <c r="DN16" i="4" a="1"/>
  <c r="DY12" i="4" a="1"/>
  <c r="CJ15" i="4" a="1"/>
  <c r="F85" i="3"/>
  <c r="F49" i="3"/>
  <c r="F78" i="3"/>
  <c r="F61" i="3"/>
  <c r="T34" i="2"/>
  <c r="P17" i="2"/>
  <c r="W28" i="2"/>
  <c r="AR67" i="3"/>
  <c r="AR30" i="3"/>
  <c r="O13" i="2"/>
  <c r="K21" i="2"/>
  <c r="M35" i="2"/>
  <c r="AR70" i="3"/>
  <c r="G17" i="3"/>
  <c r="E16" i="3"/>
  <c r="R12" i="2"/>
  <c r="R28" i="2"/>
  <c r="X31" i="2"/>
  <c r="D30" i="2"/>
  <c r="AQ6" i="3"/>
  <c r="BS6" i="4" a="1"/>
  <c r="V21" i="2"/>
  <c r="R18" i="2"/>
  <c r="W10" i="2"/>
  <c r="L30" i="2"/>
  <c r="AR77" i="3"/>
  <c r="V26" i="2"/>
  <c r="K24" i="2"/>
  <c r="C25" i="2"/>
  <c r="AS47" i="3"/>
  <c r="AB45" i="3"/>
  <c r="DL9" i="4" a="1"/>
  <c r="M7" i="4" a="1"/>
  <c r="J7" i="4" a="1"/>
  <c r="U36" i="2"/>
  <c r="H13" i="2"/>
  <c r="P30" i="2"/>
  <c r="J16" i="2"/>
  <c r="E18" i="3"/>
  <c r="F38" i="3"/>
  <c r="AC16" i="4" a="1"/>
  <c r="T22" i="2"/>
  <c r="D35" i="2"/>
  <c r="M17" i="2"/>
  <c r="M6" i="2"/>
  <c r="M46" i="3"/>
  <c r="DK7" i="4" a="1"/>
  <c r="K14" i="4" a="1"/>
  <c r="CT7" i="4" a="1"/>
  <c r="K13" i="2"/>
  <c r="Q27" i="2"/>
  <c r="O23" i="2"/>
  <c r="U31" i="2"/>
  <c r="P46" i="3"/>
  <c r="BI13" i="4" a="1"/>
  <c r="P7" i="2"/>
  <c r="R23" i="2"/>
  <c r="G17" i="2"/>
  <c r="I19" i="2"/>
  <c r="H27" i="2"/>
  <c r="J32" i="2"/>
  <c r="DO14" i="4" a="1"/>
  <c r="DI16" i="4" a="1"/>
  <c r="DI13" i="4" a="1"/>
  <c r="DK14" i="4" a="1"/>
  <c r="CT13" i="4" a="1"/>
  <c r="C11" i="4" a="1"/>
  <c r="G31" i="2"/>
  <c r="E42" i="3"/>
  <c r="BE12" i="4" a="1"/>
  <c r="AM6" i="4" a="1"/>
  <c r="AL8" i="4" a="1"/>
  <c r="CD12" i="4" a="1"/>
  <c r="EC13" i="4" a="1"/>
  <c r="AR14" i="4" a="1"/>
  <c r="R7" i="2"/>
  <c r="BW11" i="4" a="1"/>
  <c r="BD5" i="4" a="1"/>
  <c r="AR8" i="4" a="1"/>
  <c r="M16" i="4" a="1"/>
  <c r="S9" i="2"/>
  <c r="F11" i="3"/>
  <c r="BK6" i="4" a="1"/>
  <c r="H6" i="2"/>
  <c r="D45" i="3"/>
  <c r="BL12" i="4" a="1"/>
  <c r="M6" i="4" a="1"/>
  <c r="J26" i="2"/>
  <c r="G14" i="3"/>
  <c r="EG16" i="4" a="1"/>
  <c r="DV15" i="4" a="1"/>
  <c r="AG14" i="4" a="1"/>
  <c r="DD6" i="4" a="1"/>
  <c r="BH9" i="4" a="1"/>
  <c r="AN5" i="4" a="1"/>
  <c r="K13" i="4" a="1"/>
  <c r="R36" i="2"/>
  <c r="DM5" i="4" a="1"/>
  <c r="CW7" i="4" a="1"/>
  <c r="BI9" i="4" a="1"/>
  <c r="P13" i="2"/>
  <c r="AO45" i="3"/>
  <c r="DC12" i="4" a="1"/>
  <c r="G11" i="2"/>
  <c r="AR35" i="3"/>
  <c r="AI13" i="4" a="1"/>
  <c r="V16" i="4" a="1"/>
  <c r="BD12" i="4" a="1"/>
  <c r="X14" i="4" a="1"/>
  <c r="CX8" i="4" a="1"/>
  <c r="ED13" i="4" a="1"/>
  <c r="DQ16" i="4" a="1"/>
  <c r="BN9" i="4" a="1"/>
  <c r="G9" i="4" a="1"/>
  <c r="CS11" i="4" a="1"/>
  <c r="AP8" i="4" a="1"/>
  <c r="P12" i="4" a="1"/>
  <c r="DJ15" i="4" a="1"/>
  <c r="AL16" i="4" a="1"/>
  <c r="Q8" i="2"/>
  <c r="AB6" i="4" a="1"/>
  <c r="DU9" i="4" a="1"/>
  <c r="DC6" i="4" a="1"/>
  <c r="AG6" i="4" a="1"/>
  <c r="H14" i="4" a="1"/>
  <c r="T16" i="4" a="1"/>
  <c r="L11" i="4" a="1"/>
  <c r="K6" i="4" a="1"/>
  <c r="AX7" i="4" a="1"/>
  <c r="DA16" i="4" a="1"/>
  <c r="CO16" i="4" a="1"/>
  <c r="H11" i="4" a="1"/>
  <c r="DX15" i="4" a="1"/>
  <c r="BO8" i="4" a="1"/>
  <c r="F13" i="4" a="1"/>
  <c r="ED15" i="4" a="1"/>
  <c r="AF9" i="4" a="1"/>
  <c r="W5" i="2"/>
  <c r="AV8" i="4" a="1"/>
  <c r="DG14" i="4" a="1"/>
  <c r="CM11" i="4" a="1"/>
  <c r="ED8" i="4" a="1"/>
  <c r="EG13" i="4" a="1"/>
  <c r="K46" i="3"/>
  <c r="DO16" i="4" a="1"/>
  <c r="M8" i="4" a="1"/>
  <c r="AT12" i="4" a="1"/>
  <c r="CU16" i="4" a="1"/>
  <c r="CN5" i="4" a="1"/>
  <c r="DC15" i="4" a="1"/>
  <c r="BR14" i="4" a="1"/>
  <c r="BD7" i="4" a="1"/>
  <c r="BC12" i="4" a="1"/>
  <c r="H12" i="2"/>
  <c r="O27" i="2"/>
  <c r="S34" i="2"/>
  <c r="X5" i="2"/>
  <c r="O29" i="2"/>
  <c r="X17" i="2"/>
  <c r="V30" i="2"/>
  <c r="P10" i="2"/>
  <c r="G26" i="3"/>
  <c r="H46" i="3"/>
  <c r="L45" i="3"/>
  <c r="O9" i="2"/>
  <c r="X66" i="2"/>
  <c r="C27" i="2"/>
  <c r="D23" i="2"/>
  <c r="S31" i="2"/>
  <c r="S21" i="2"/>
  <c r="W74" i="2"/>
  <c r="I13" i="2"/>
  <c r="C45" i="3"/>
  <c r="G6" i="3"/>
  <c r="F40" i="3"/>
  <c r="R35" i="2"/>
  <c r="C24" i="2"/>
  <c r="G22" i="2"/>
  <c r="M27" i="2"/>
  <c r="F12" i="2"/>
  <c r="E6" i="2"/>
  <c r="N34" i="2"/>
  <c r="V27" i="2"/>
  <c r="AR21" i="3"/>
  <c r="O46" i="3"/>
  <c r="AM45" i="3"/>
  <c r="BR12" i="4" a="1"/>
  <c r="CM8" i="4" a="1"/>
  <c r="I11" i="4" a="1"/>
  <c r="I27" i="2"/>
  <c r="C31" i="2"/>
  <c r="V16" i="2"/>
  <c r="R24" i="2"/>
  <c r="P26" i="2"/>
  <c r="C32" i="2"/>
  <c r="AR72" i="3"/>
  <c r="W34" i="2"/>
  <c r="D19" i="3"/>
  <c r="O16" i="2"/>
  <c r="C17" i="2"/>
  <c r="K36" i="2"/>
  <c r="O28" i="2"/>
  <c r="W33" i="2"/>
  <c r="T31" i="2"/>
  <c r="K22" i="2"/>
  <c r="T17" i="2"/>
  <c r="F29" i="3"/>
  <c r="AL45" i="3"/>
  <c r="K45" i="3"/>
  <c r="DG12" i="4" a="1"/>
  <c r="BB13" i="4" a="1"/>
  <c r="DC7" i="4" a="1"/>
  <c r="AB9" i="4" a="1"/>
  <c r="L34" i="2"/>
  <c r="N18" i="2"/>
  <c r="F17" i="2"/>
  <c r="U7" i="2"/>
  <c r="T13" i="2"/>
  <c r="M15" i="2"/>
  <c r="AR93" i="3"/>
  <c r="P12" i="2"/>
  <c r="D37" i="3"/>
  <c r="D11" i="3"/>
  <c r="F30" i="3"/>
  <c r="Y16" i="4" a="1"/>
  <c r="BP7" i="4" a="1"/>
  <c r="M22" i="2"/>
  <c r="O35" i="2"/>
  <c r="H22" i="2"/>
  <c r="D15" i="2"/>
  <c r="T18" i="2"/>
  <c r="U16" i="2"/>
  <c r="AR71" i="3"/>
  <c r="E27" i="2"/>
  <c r="D33" i="3"/>
  <c r="D39" i="3"/>
  <c r="F16" i="3"/>
  <c r="CY15" i="4" a="1"/>
  <c r="DR16" i="4" a="1"/>
  <c r="CY16" i="4" a="1"/>
  <c r="X15" i="4" a="1"/>
  <c r="DU5" i="4" a="1"/>
  <c r="U27" i="2"/>
  <c r="S12" i="2"/>
  <c r="Q14" i="2"/>
  <c r="H36" i="2"/>
  <c r="F20" i="2"/>
  <c r="X30" i="2"/>
  <c r="C10" i="2"/>
  <c r="K14" i="2"/>
  <c r="S46" i="3"/>
  <c r="AR27" i="3"/>
  <c r="D20" i="3"/>
  <c r="Z8" i="4" a="1"/>
  <c r="AI11" i="4" a="1"/>
  <c r="Q6" i="2"/>
  <c r="O15" i="2"/>
  <c r="D24" i="2"/>
  <c r="N19" i="2"/>
  <c r="T35" i="2"/>
  <c r="Q16" i="2"/>
  <c r="U11" i="2"/>
  <c r="N14" i="2"/>
  <c r="U13" i="2"/>
  <c r="H11" i="2"/>
  <c r="V5" i="2"/>
  <c r="I11" i="2"/>
  <c r="G23" i="3"/>
  <c r="BV5" i="4" a="1"/>
  <c r="BS7" i="4" a="1"/>
  <c r="BK12" i="4" a="1"/>
  <c r="BO13" i="4" a="1"/>
  <c r="BM16" i="4" a="1"/>
  <c r="AN9" i="4" a="1"/>
  <c r="CD16" i="4" a="1"/>
  <c r="BM6" i="4" a="1"/>
  <c r="AS14" i="4" a="1"/>
  <c r="AW15" i="4" a="1"/>
  <c r="DR15" i="4" a="1"/>
  <c r="I22" i="2"/>
  <c r="AR34" i="3"/>
  <c r="D7" i="3"/>
  <c r="DY11" i="4" a="1"/>
  <c r="CJ9" i="4" a="1"/>
  <c r="DG16" i="4" a="1"/>
  <c r="BV16" i="4" a="1"/>
  <c r="DX7" i="4" a="1"/>
  <c r="N14" i="4" a="1"/>
  <c r="CN9" i="4" a="1"/>
  <c r="V11" i="4" a="1"/>
  <c r="DK6" i="4" a="1"/>
  <c r="DI15" i="4" a="1"/>
  <c r="DU13" i="4" a="1"/>
  <c r="U19" i="2"/>
  <c r="H10" i="2"/>
  <c r="D24" i="3"/>
  <c r="EH5" i="4" a="1"/>
  <c r="DC9" i="4" a="1"/>
  <c r="DQ8" i="4" a="1"/>
  <c r="EA15" i="4" a="1"/>
  <c r="AK12" i="4" a="1"/>
  <c r="AB15" i="4" a="1"/>
  <c r="F7" i="4" a="1"/>
  <c r="EK16" i="4" a="1"/>
  <c r="C8" i="2"/>
  <c r="L6" i="2"/>
  <c r="AR36" i="3"/>
  <c r="N9" i="4" a="1"/>
  <c r="EG14" i="4" a="1"/>
  <c r="O7" i="4" a="1"/>
  <c r="V34" i="2"/>
  <c r="M7" i="2"/>
  <c r="F25" i="3"/>
  <c r="DV16" i="4" a="1"/>
  <c r="BK13" i="4" a="1"/>
  <c r="P9" i="4" a="1"/>
  <c r="AR12" i="4" a="1"/>
  <c r="BM13" i="4" a="1"/>
  <c r="CK5" i="4" a="1"/>
  <c r="DX5" i="4" a="1"/>
  <c r="G28" i="2"/>
  <c r="J34" i="2"/>
  <c r="AH45" i="3"/>
  <c r="BZ8" i="4" a="1"/>
  <c r="AE7" i="4" a="1"/>
  <c r="DK13" i="4" a="1"/>
  <c r="I13" i="4" a="1"/>
  <c r="BC15" i="4" a="1"/>
  <c r="BB15" i="4" a="1"/>
  <c r="G6" i="4" a="1"/>
  <c r="DY5" i="4" a="1"/>
  <c r="EE13" i="4" a="1"/>
  <c r="DH5" i="4" a="1"/>
  <c r="CS16" i="4" a="1"/>
  <c r="AM14" i="4" a="1"/>
  <c r="CW8" i="4" a="1"/>
  <c r="AI12" i="4" a="1"/>
  <c r="X20" i="2"/>
  <c r="X29" i="2"/>
  <c r="AO46" i="3"/>
  <c r="BD15" i="4" a="1"/>
  <c r="AQ13" i="4" a="1"/>
  <c r="BO5" i="4" a="1"/>
  <c r="CP12" i="4" a="1"/>
  <c r="AR13" i="4" a="1"/>
  <c r="N36" i="2"/>
  <c r="Q59" i="2"/>
  <c r="F12" i="3"/>
  <c r="DZ14" i="4" a="1"/>
  <c r="EK15" i="4" a="1"/>
  <c r="DX6" i="4" a="1"/>
  <c r="J25" i="2"/>
  <c r="C65" i="2"/>
  <c r="AD46" i="3"/>
  <c r="AI14" i="4" a="1"/>
  <c r="BU8" i="4" a="1"/>
  <c r="CF14" i="4" a="1"/>
  <c r="DP15" i="4" a="1"/>
  <c r="EH13" i="4" a="1"/>
  <c r="AO9" i="4" a="1"/>
  <c r="U6" i="4" a="1"/>
  <c r="ED11" i="4" a="1"/>
  <c r="DA13" i="4" a="1"/>
  <c r="BD9" i="4" a="1"/>
  <c r="EK7" i="4" a="1"/>
  <c r="CW12" i="4" a="1"/>
  <c r="EB13" i="4" a="1"/>
  <c r="F19" i="3"/>
  <c r="CR5" i="4" a="1"/>
  <c r="EB6" i="4" a="1"/>
  <c r="AV5" i="4" a="1"/>
  <c r="BN8" i="4" a="1"/>
  <c r="CZ11" i="4" a="1"/>
  <c r="CY5" i="4" a="1"/>
  <c r="AM9" i="4" a="1"/>
  <c r="CA13" i="4" a="1"/>
  <c r="AB5" i="4" a="1"/>
  <c r="DX16" i="4" a="1"/>
  <c r="BW8" i="4" a="1"/>
  <c r="DP13" i="4" a="1"/>
  <c r="BG14" i="4" a="1"/>
  <c r="DM7" i="4" a="1"/>
  <c r="AW9" i="4" a="1"/>
  <c r="D22" i="3"/>
  <c r="CR9" i="4" a="1"/>
  <c r="CM15" i="4" a="1"/>
  <c r="CO15" i="4" a="1"/>
  <c r="CW5" i="4" a="1"/>
  <c r="DV12" i="4" a="1"/>
  <c r="CF5" i="4" a="1"/>
  <c r="DZ5" i="4" a="1"/>
  <c r="DY13" i="4" a="1"/>
  <c r="DA6" i="4" a="1"/>
  <c r="F9" i="4" a="1"/>
  <c r="DW13" i="4" a="1"/>
  <c r="AC46" i="3"/>
  <c r="Y6" i="4" a="1"/>
  <c r="CB12" i="4" a="1"/>
  <c r="AQ16" i="4" a="1"/>
  <c r="BZ14" i="4" a="1"/>
  <c r="AT9" i="4" a="1"/>
  <c r="CZ7" i="4" a="1"/>
  <c r="AJ11" i="4" a="1"/>
  <c r="EG6" i="4" a="1"/>
  <c r="AY5" i="4" a="1"/>
  <c r="DC5" i="4" a="1"/>
  <c r="CS8" i="4" a="1"/>
  <c r="CI9" i="4" a="1"/>
  <c r="CR16" i="4" a="1"/>
  <c r="Q54" i="2"/>
  <c r="DN12" i="4" a="1"/>
  <c r="BX12" i="4" a="1"/>
  <c r="BN6" i="4" a="1"/>
  <c r="AR7" i="4" a="1"/>
  <c r="EG11" i="4" a="1"/>
  <c r="BN7" i="4" a="1"/>
  <c r="EJ12" i="4" a="1"/>
  <c r="AO7" i="4" a="1"/>
  <c r="T45" i="3"/>
  <c r="DS6" i="4" a="1"/>
  <c r="N15" i="2"/>
  <c r="EE11" i="4" a="1"/>
  <c r="E9" i="4" a="1"/>
  <c r="EK12" i="4" a="1"/>
  <c r="E13" i="4" a="1"/>
  <c r="N15" i="4" a="1"/>
  <c r="O5" i="4" a="1"/>
  <c r="CV8" i="4" a="1"/>
  <c r="CG15" i="4" a="1"/>
  <c r="T15" i="2"/>
  <c r="DM15" i="4" a="1"/>
  <c r="U12" i="4" a="1"/>
  <c r="CB15" i="4" a="1"/>
  <c r="AE9" i="4" a="1"/>
  <c r="S5" i="4" a="1"/>
  <c r="CP5" i="4" a="1"/>
  <c r="CU13" i="4" a="1"/>
  <c r="BO11" i="4" a="1"/>
  <c r="DD8" i="4" a="1"/>
  <c r="O16" i="4" a="1"/>
  <c r="H13" i="4" a="1"/>
  <c r="E5" i="2"/>
  <c r="C7" i="4" a="1"/>
  <c r="AN13" i="4" a="1"/>
  <c r="CV13" i="4" a="1"/>
  <c r="I9" i="4" a="1"/>
  <c r="DB9" i="4" a="1"/>
  <c r="EI15" i="4" a="1"/>
  <c r="D13" i="3"/>
  <c r="Q5" i="4" a="1"/>
  <c r="CI16" i="4" a="1"/>
  <c r="BP9" i="4" a="1"/>
  <c r="DR8" i="4" a="1"/>
  <c r="DM14" i="4" a="1"/>
  <c r="BL5" i="4" a="1"/>
  <c r="CL16" i="4" a="1"/>
  <c r="AB8" i="4" a="1"/>
  <c r="C14" i="4" a="1"/>
  <c r="AH14" i="4" a="1"/>
  <c r="G18" i="3"/>
  <c r="AD13" i="4" a="1"/>
  <c r="EF6" i="4" a="1"/>
  <c r="CQ14" i="4" a="1"/>
  <c r="L15" i="4" a="1"/>
  <c r="DC8" i="4" a="1"/>
  <c r="DV11" i="4" a="1"/>
  <c r="DM16" i="4" a="1"/>
  <c r="N5" i="4" a="1"/>
  <c r="DG9" i="4" a="1"/>
  <c r="CB11" i="4" a="1"/>
  <c r="Q7" i="4" a="1"/>
  <c r="BO7" i="4" a="1"/>
  <c r="CE8" i="4" a="1"/>
  <c r="DW16" i="4" a="1"/>
  <c r="EB11" i="4" a="1"/>
  <c r="D85" i="3"/>
  <c r="AD89" i="3"/>
  <c r="AD68" i="3"/>
  <c r="D60" i="3"/>
  <c r="D61" i="3"/>
  <c r="D54" i="3"/>
  <c r="D84" i="3"/>
  <c r="F62" i="3"/>
  <c r="AD55" i="3"/>
  <c r="E10" i="3"/>
  <c r="G34" i="2"/>
  <c r="O18" i="2"/>
  <c r="T16" i="2"/>
  <c r="N13" i="2"/>
  <c r="T46" i="3"/>
  <c r="D28" i="3"/>
  <c r="L16" i="2"/>
  <c r="S30" i="2"/>
  <c r="L14" i="2"/>
  <c r="S11" i="2"/>
  <c r="E38" i="3"/>
  <c r="CR13" i="4" a="1"/>
  <c r="CO13" i="4" a="1"/>
  <c r="F27" i="2"/>
  <c r="D22" i="2"/>
  <c r="K6" i="2"/>
  <c r="C13" i="2"/>
  <c r="U6" i="2"/>
  <c r="M8" i="2"/>
  <c r="L15" i="2"/>
  <c r="H28" i="2"/>
  <c r="V25" i="2"/>
  <c r="AD7" i="3"/>
  <c r="D14" i="4" a="1"/>
  <c r="P16" i="4" a="1"/>
  <c r="Q19" i="2"/>
  <c r="S13" i="2"/>
  <c r="U20" i="2"/>
  <c r="P18" i="2"/>
  <c r="AI46" i="3"/>
  <c r="D25" i="3"/>
  <c r="BV13" i="4" a="1"/>
  <c r="C20" i="2"/>
  <c r="X22" i="2"/>
  <c r="D18" i="2"/>
  <c r="S10" i="2"/>
  <c r="V46" i="3"/>
  <c r="Y5" i="4" a="1"/>
  <c r="X7" i="4" a="1"/>
  <c r="DJ14" i="4" a="1"/>
  <c r="L20" i="2"/>
  <c r="R34" i="2"/>
  <c r="V31" i="2"/>
  <c r="K27" i="2"/>
  <c r="O45" i="3"/>
  <c r="AD16" i="3"/>
  <c r="CD5" i="4" a="1"/>
  <c r="R29" i="2"/>
  <c r="N31" i="2"/>
  <c r="Q56" i="2"/>
  <c r="C22" i="2"/>
  <c r="P32" i="2"/>
  <c r="E22" i="2"/>
  <c r="BZ15" i="4" a="1"/>
  <c r="X6" i="4" a="1"/>
  <c r="DI7" i="4" a="1"/>
  <c r="CL11" i="4" a="1"/>
  <c r="K8" i="4" a="1"/>
  <c r="X28" i="2"/>
  <c r="AD10" i="3"/>
  <c r="CN16" i="4" a="1"/>
  <c r="CA8" i="4" a="1"/>
  <c r="DT9" i="4" a="1"/>
  <c r="AO14" i="4" a="1"/>
  <c r="BO9" i="4" a="1"/>
  <c r="DS16" i="4" a="1"/>
  <c r="M15" i="4" a="1"/>
  <c r="J17" i="2"/>
  <c r="AX8" i="4" a="1"/>
  <c r="AC12" i="4" a="1"/>
  <c r="AU16" i="4" a="1"/>
  <c r="DF14" i="4" a="1"/>
  <c r="G16" i="2"/>
  <c r="F33" i="3"/>
  <c r="DR5" i="4" a="1"/>
  <c r="M18" i="2"/>
  <c r="L46" i="3"/>
  <c r="EK5" i="4" a="1"/>
  <c r="BL16" i="4" a="1"/>
  <c r="AS8" i="4" a="1"/>
  <c r="W45" i="3"/>
  <c r="DF5" i="4" a="1"/>
  <c r="DP12" i="4" a="1"/>
  <c r="DA14" i="4" a="1"/>
  <c r="BZ13" i="4" a="1"/>
  <c r="BX6" i="4" a="1"/>
  <c r="AT16" i="4" a="1"/>
  <c r="J11" i="4" a="1"/>
  <c r="AV13" i="4" a="1"/>
  <c r="AR86" i="3"/>
  <c r="I14" i="4" a="1"/>
  <c r="DG5" i="4" a="1"/>
  <c r="AN11" i="4" a="1"/>
  <c r="CD6" i="4" a="1"/>
  <c r="F26" i="2"/>
  <c r="CM12" i="4" a="1"/>
  <c r="DX13" i="4" a="1"/>
  <c r="P28" i="2"/>
  <c r="AD12" i="3"/>
  <c r="AE16" i="4" a="1"/>
  <c r="DF16" i="4" a="1"/>
  <c r="L16" i="4" a="1"/>
  <c r="AF13" i="4" a="1"/>
  <c r="EA11" i="4" a="1"/>
  <c r="DW11" i="4" a="1"/>
  <c r="P45" i="3"/>
  <c r="BQ15" i="4" a="1"/>
  <c r="EE8" i="4" a="1"/>
  <c r="CY11" i="4" a="1"/>
  <c r="DD15" i="4" a="1"/>
  <c r="CA16" i="4" a="1"/>
  <c r="CQ9" i="4" a="1"/>
  <c r="DT8" i="4" a="1"/>
  <c r="AZ14" i="4" a="1"/>
  <c r="AR9" i="4" a="1"/>
  <c r="CX16" i="4" a="1"/>
  <c r="DS15" i="4" a="1"/>
  <c r="CO12" i="4" a="1"/>
  <c r="G7" i="4" a="1"/>
  <c r="BB6" i="4" a="1"/>
  <c r="CD15" i="4" a="1"/>
  <c r="AY14" i="4" a="1"/>
  <c r="DO13" i="4" a="1"/>
  <c r="Y13" i="4" a="1"/>
  <c r="CI11" i="4" a="1"/>
  <c r="BG15" i="4" a="1"/>
  <c r="CO5" i="4" a="1"/>
  <c r="BU13" i="4" a="1"/>
  <c r="CS5" i="4" a="1"/>
  <c r="Y14" i="4" a="1"/>
  <c r="BU7" i="4" a="1"/>
  <c r="CL6" i="4" a="1"/>
  <c r="EJ16" i="4" a="1"/>
  <c r="AR17" i="3"/>
  <c r="BU14" i="4" a="1"/>
  <c r="BN13" i="4" a="1"/>
  <c r="AQ11" i="4" a="1"/>
  <c r="T14" i="2"/>
  <c r="AJ9" i="4" a="1"/>
  <c r="CC12" i="4" a="1"/>
  <c r="DN11" i="4" a="1"/>
  <c r="BR16" i="4" a="1"/>
  <c r="J46" i="3"/>
  <c r="AL13" i="4" a="1"/>
  <c r="DS7" i="4" a="1"/>
  <c r="G21" i="3"/>
  <c r="AZ13" i="4" a="1"/>
  <c r="AF12" i="4" a="1"/>
  <c r="EC8" i="4" a="1"/>
  <c r="AM8" i="4" a="1"/>
  <c r="CL12" i="4" a="1"/>
  <c r="EF9" i="4" a="1"/>
  <c r="T14" i="4" a="1"/>
  <c r="AN14" i="4" a="1"/>
  <c r="ED12" i="4" a="1"/>
  <c r="DR12" i="4" a="1"/>
  <c r="AO6" i="4" a="1"/>
  <c r="D12" i="4" a="1"/>
  <c r="AD56" i="3"/>
  <c r="AD62" i="3"/>
  <c r="D66" i="3"/>
  <c r="AD88" i="3"/>
  <c r="D80" i="3"/>
  <c r="AD87" i="3"/>
  <c r="D71" i="3"/>
  <c r="D87" i="3"/>
  <c r="J27" i="2"/>
  <c r="D21" i="2"/>
  <c r="N23" i="2"/>
  <c r="F18" i="2"/>
  <c r="G28" i="3"/>
  <c r="F21" i="2"/>
  <c r="X9" i="2"/>
  <c r="S18" i="2"/>
  <c r="AR82" i="3"/>
  <c r="E36" i="3"/>
  <c r="S33" i="2"/>
  <c r="M25" i="2"/>
  <c r="W27" i="2"/>
  <c r="W22" i="2"/>
  <c r="D17" i="3"/>
  <c r="AD9" i="4" a="1"/>
  <c r="DE14" i="4" a="1"/>
  <c r="S27" i="2"/>
  <c r="S62" i="2"/>
  <c r="Q10" i="2"/>
  <c r="T32" i="2"/>
  <c r="W9" i="2"/>
  <c r="K29" i="2"/>
  <c r="O36" i="2"/>
  <c r="L11" i="2"/>
  <c r="AR96" i="3"/>
  <c r="E24" i="3"/>
  <c r="S11" i="4" a="1"/>
  <c r="CU6" i="4" a="1"/>
  <c r="EI6" i="4" a="1"/>
  <c r="J33" i="2"/>
  <c r="Q12" i="2"/>
  <c r="H7" i="2"/>
  <c r="V17" i="2"/>
  <c r="AD17" i="3"/>
  <c r="E27" i="3"/>
  <c r="CF16" i="4" a="1"/>
  <c r="M16" i="2"/>
  <c r="H49" i="2"/>
  <c r="I30" i="2"/>
  <c r="O21" i="2"/>
  <c r="AR41" i="3"/>
  <c r="Y46" i="3"/>
  <c r="EJ5" i="4" a="1"/>
  <c r="AG15" i="4" a="1"/>
  <c r="BB16" i="4" a="1"/>
  <c r="U30" i="2"/>
  <c r="S19" i="2"/>
  <c r="E12" i="2"/>
  <c r="D14" i="2"/>
  <c r="Z45" i="3"/>
  <c r="U46" i="3"/>
  <c r="CF9" i="4" a="1"/>
  <c r="V28" i="2"/>
  <c r="K16" i="2"/>
  <c r="K33" i="2"/>
  <c r="O22" i="2"/>
  <c r="Q20" i="2"/>
  <c r="G7" i="3"/>
  <c r="D6" i="4" a="1"/>
  <c r="BY15" i="4" a="1"/>
  <c r="DT16" i="4" a="1"/>
  <c r="AI15" i="4" a="1"/>
  <c r="CI5" i="4" a="1"/>
  <c r="U12" i="2"/>
  <c r="D34" i="3"/>
  <c r="BG8" i="4" a="1"/>
  <c r="CA9" i="4" a="1"/>
  <c r="BV8" i="4" a="1"/>
  <c r="BS11" i="4" a="1"/>
  <c r="DT5" i="4" a="1"/>
  <c r="BF16" i="4" a="1"/>
  <c r="AR49" i="3"/>
  <c r="AK11" i="4" a="1"/>
  <c r="CI13" i="4" a="1"/>
  <c r="DO9" i="4" a="1"/>
  <c r="EH7" i="4" a="1"/>
  <c r="Q30" i="2"/>
  <c r="D15" i="3"/>
  <c r="EE14" i="4" a="1"/>
  <c r="I8" i="2"/>
  <c r="E23" i="3"/>
  <c r="CC11" i="4" a="1"/>
  <c r="R13" i="4" a="1"/>
  <c r="CC16" i="4" a="1"/>
  <c r="AA11" i="4" a="1"/>
  <c r="K11" i="2"/>
  <c r="G5" i="3"/>
  <c r="AZ7" i="4" a="1"/>
  <c r="X9" i="4" a="1"/>
  <c r="CA11" i="4" a="1"/>
  <c r="CU5" i="4" a="1"/>
  <c r="AQ8" i="4" a="1"/>
  <c r="EH11" i="4" a="1"/>
  <c r="AJ6" i="4" a="1"/>
  <c r="H45" i="3"/>
  <c r="AM7" i="4" a="1"/>
  <c r="CV12" i="4" a="1"/>
  <c r="CF12" i="4" a="1"/>
  <c r="T6" i="4" a="1"/>
  <c r="R11" i="2"/>
  <c r="J16" i="4" a="1"/>
  <c r="DH8" i="4" a="1"/>
  <c r="X27" i="2"/>
  <c r="E12" i="3"/>
  <c r="V14" i="4" a="1"/>
  <c r="BA6" i="4" a="1"/>
  <c r="BM9" i="4" a="1"/>
  <c r="EE15" i="4" a="1"/>
  <c r="BH8" i="4" a="1"/>
  <c r="DU14" i="4" a="1"/>
  <c r="ED16" i="4" a="1"/>
  <c r="CJ12" i="4" a="1"/>
  <c r="M9" i="4" a="1"/>
  <c r="AE5" i="4" a="1"/>
  <c r="CR14" i="4" a="1"/>
  <c r="CC7" i="4" a="1"/>
  <c r="BO15" i="4" a="1"/>
  <c r="AU15" i="4" a="1"/>
  <c r="DV5" i="4" a="1"/>
  <c r="CV14" i="4" a="1"/>
  <c r="BY9" i="4" a="1"/>
  <c r="EF12" i="4" a="1"/>
  <c r="AQ6" i="4" a="1"/>
  <c r="DC11" i="4" a="1"/>
  <c r="CX7" i="4" a="1"/>
  <c r="CI8" i="4" a="1"/>
  <c r="AY13" i="4" a="1"/>
  <c r="AO8" i="4" a="1"/>
  <c r="CK16" i="4" a="1"/>
  <c r="R9" i="2"/>
  <c r="AV7" i="4" a="1"/>
  <c r="BK11" i="4" a="1"/>
  <c r="DN6" i="4" a="1"/>
  <c r="BT12" i="4" a="1"/>
  <c r="BN16" i="4" a="1"/>
  <c r="BP15" i="4" a="1"/>
  <c r="AJ12" i="4" a="1"/>
  <c r="G20" i="3"/>
  <c r="BP14" i="4" a="1"/>
  <c r="CN6" i="4" a="1"/>
  <c r="CZ6" i="4" a="1"/>
  <c r="U28" i="2"/>
  <c r="N12" i="4" a="1"/>
  <c r="F14" i="4" a="1"/>
  <c r="CG13" i="4" a="1"/>
  <c r="BZ16" i="4" a="1"/>
  <c r="DA5" i="4" a="1"/>
  <c r="DA8" i="4" a="1"/>
  <c r="AN15" i="4" a="1"/>
  <c r="I12" i="4" a="1"/>
  <c r="EI13" i="4" a="1"/>
  <c r="AK45" i="3"/>
  <c r="EB16" i="4" a="1"/>
  <c r="W7" i="4" a="1"/>
  <c r="DI12" i="4" a="1"/>
  <c r="S13" i="4" a="1"/>
  <c r="AM15" i="4" a="1"/>
  <c r="O15" i="4" a="1"/>
  <c r="AE15" i="4" a="1"/>
  <c r="BX7" i="4" a="1"/>
  <c r="EK14" i="4" a="1"/>
  <c r="EG15" i="4" a="1"/>
  <c r="DK12" i="4" a="1"/>
  <c r="CL7" i="4" a="1"/>
  <c r="BP6" i="4" a="1"/>
  <c r="AD67" i="3"/>
  <c r="G64" i="3"/>
  <c r="D69" i="3"/>
  <c r="AD90" i="3"/>
  <c r="G83" i="3"/>
  <c r="D65" i="3"/>
  <c r="D77" i="3"/>
  <c r="D83" i="3"/>
  <c r="W16" i="2"/>
  <c r="Q11" i="2"/>
  <c r="K25" i="2"/>
  <c r="Q15" i="2"/>
  <c r="AR63" i="3"/>
  <c r="G16" i="3"/>
  <c r="J13" i="2"/>
  <c r="X34" i="2"/>
  <c r="Q13" i="2"/>
  <c r="AR74" i="3"/>
  <c r="F42" i="3"/>
  <c r="AD9" i="3"/>
  <c r="R25" i="2"/>
  <c r="N26" i="2"/>
  <c r="M23" i="2"/>
  <c r="AR61" i="3"/>
  <c r="E6" i="3"/>
  <c r="E16" i="4" a="1"/>
  <c r="CW14" i="4" a="1"/>
  <c r="X14" i="2"/>
  <c r="C9" i="2"/>
  <c r="M29" i="2"/>
  <c r="J14" i="2"/>
  <c r="S35" i="2"/>
  <c r="E14" i="2"/>
  <c r="S28" i="2"/>
  <c r="O24" i="2"/>
  <c r="AF48" i="3"/>
  <c r="M45" i="3"/>
  <c r="CZ12" i="4" a="1"/>
  <c r="AG9" i="4" a="1"/>
  <c r="L8" i="2"/>
  <c r="I15" i="2"/>
  <c r="H18" i="2"/>
  <c r="H14" i="2"/>
  <c r="G31" i="3"/>
  <c r="D41" i="3"/>
  <c r="DH15" i="4" a="1"/>
  <c r="W13" i="2"/>
  <c r="S22" i="2"/>
  <c r="I7" i="2"/>
  <c r="N22" i="2"/>
  <c r="D9" i="3"/>
  <c r="BJ12" i="4" a="1"/>
  <c r="DZ16" i="4" a="1"/>
  <c r="CE6" i="4" a="1"/>
  <c r="E19" i="2"/>
  <c r="G10" i="2"/>
  <c r="P5" i="2"/>
  <c r="K15" i="2"/>
  <c r="G15" i="3"/>
  <c r="CB7" i="4" a="1"/>
  <c r="L17" i="2"/>
  <c r="R21" i="2"/>
  <c r="D19" i="2"/>
  <c r="K17" i="2"/>
  <c r="G25" i="2"/>
  <c r="J20" i="2"/>
  <c r="F28" i="3"/>
  <c r="CC8" i="4" a="1"/>
  <c r="I5" i="4" a="1"/>
  <c r="E6" i="4" a="1"/>
  <c r="CT9" i="4" a="1"/>
  <c r="CG9" i="4" a="1"/>
  <c r="AS49" i="3"/>
  <c r="BM8" i="4" a="1"/>
  <c r="BZ9" i="4" a="1"/>
  <c r="BB14" i="4" a="1"/>
  <c r="CH13" i="4" a="1"/>
  <c r="CT6" i="4" a="1"/>
  <c r="E15" i="4" a="1"/>
  <c r="J22" i="2"/>
  <c r="F13" i="3"/>
  <c r="BM15" i="4" a="1"/>
  <c r="CK6" i="4" a="1"/>
  <c r="CR6" i="4" a="1"/>
  <c r="K23" i="2"/>
  <c r="E35" i="3"/>
  <c r="ED14" i="4" a="1"/>
  <c r="F35" i="2"/>
  <c r="F6" i="3"/>
  <c r="J5" i="4" a="1"/>
  <c r="BG7" i="4" a="1"/>
  <c r="V35" i="2"/>
  <c r="AP45" i="3"/>
  <c r="BN11" i="4" a="1"/>
  <c r="CH8" i="4" a="1"/>
  <c r="AC6" i="4" a="1"/>
  <c r="DV6" i="4" a="1"/>
  <c r="DU16" i="4" a="1"/>
  <c r="DZ8" i="4" a="1"/>
  <c r="BA12" i="4" a="1"/>
  <c r="O8" i="2"/>
  <c r="E26" i="3"/>
  <c r="DH12" i="4" a="1"/>
  <c r="H6" i="4" a="1"/>
  <c r="M28" i="2"/>
  <c r="G10" i="3"/>
  <c r="BT13" i="4" a="1"/>
  <c r="P35" i="2"/>
  <c r="D18" i="3"/>
  <c r="BH6" i="4" a="1"/>
  <c r="F15" i="4" a="1"/>
  <c r="DX11" i="4" a="1"/>
  <c r="DK9" i="4" a="1"/>
  <c r="DQ12" i="4" a="1"/>
  <c r="BW14" i="4" a="1"/>
  <c r="AY11" i="4" a="1"/>
  <c r="BX13" i="4" a="1"/>
  <c r="AB7" i="4" a="1"/>
  <c r="BT11" i="4" a="1"/>
  <c r="O8" i="4" a="1"/>
  <c r="CC9" i="4" a="1"/>
  <c r="AS7" i="4" a="1"/>
  <c r="D16" i="2"/>
  <c r="DP7" i="4" a="1"/>
  <c r="U7" i="4" a="1"/>
  <c r="CO8" i="4" a="1"/>
  <c r="T11" i="4" a="1"/>
  <c r="AQ7" i="4" a="1"/>
  <c r="D8" i="4" a="1"/>
  <c r="BB11" i="4" a="1"/>
  <c r="CR12" i="4" a="1"/>
  <c r="BD13" i="4" a="1"/>
  <c r="K5" i="4" a="1"/>
  <c r="R17" i="2"/>
  <c r="CK15" i="4" a="1"/>
  <c r="CQ11" i="4" a="1"/>
  <c r="DI9" i="4" a="1"/>
  <c r="CO9" i="4" a="1"/>
  <c r="CV5" i="4" a="1"/>
  <c r="L9" i="4" a="1"/>
  <c r="BC9" i="4" a="1"/>
  <c r="EA9" i="4" a="1"/>
  <c r="BA14" i="4" a="1"/>
  <c r="H7" i="4" a="1"/>
  <c r="AX5" i="4" a="1"/>
  <c r="EJ7" i="4" a="1"/>
  <c r="EA16" i="4" a="1"/>
  <c r="DX14" i="4" a="1"/>
  <c r="BQ13" i="4" a="1"/>
  <c r="BU5" i="4" a="1"/>
  <c r="BX15" i="4" a="1"/>
  <c r="D14" i="3"/>
  <c r="CE13" i="4" a="1"/>
  <c r="BD16" i="4" a="1"/>
  <c r="AC8" i="4" a="1"/>
  <c r="CC13" i="4" a="1"/>
  <c r="BE9" i="4" a="1"/>
  <c r="CW6" i="4" a="1"/>
  <c r="H12" i="4" a="1"/>
  <c r="BA8" i="4" a="1"/>
  <c r="BY14" i="4" a="1"/>
  <c r="DE6" i="4" a="1"/>
  <c r="DG6" i="4" a="1"/>
  <c r="BF14" i="4" a="1"/>
  <c r="DG11" i="4" a="1"/>
  <c r="AX9" i="4" a="1"/>
  <c r="DV13" i="4" a="1"/>
  <c r="DV8" i="4" a="1"/>
  <c r="AD64" i="3"/>
  <c r="AD74" i="3"/>
  <c r="AD70" i="3"/>
  <c r="D89" i="3"/>
  <c r="AD58" i="3"/>
  <c r="AD57" i="3"/>
  <c r="AD71" i="3"/>
  <c r="AD75" i="3"/>
  <c r="G20" i="2"/>
  <c r="T33" i="2"/>
  <c r="K30" i="2"/>
  <c r="AR62" i="3"/>
  <c r="F10" i="3"/>
  <c r="G19" i="3"/>
  <c r="Q35" i="2"/>
  <c r="F5" i="2"/>
  <c r="D27" i="2"/>
  <c r="AR58" i="3"/>
  <c r="E21" i="3"/>
  <c r="S32" i="2"/>
  <c r="H19" i="2"/>
  <c r="F7" i="2"/>
  <c r="AR64" i="3"/>
  <c r="E22" i="3"/>
  <c r="AR20" i="3"/>
  <c r="BY8" i="4" a="1"/>
  <c r="BA9" i="4" a="1"/>
  <c r="H29" i="2"/>
  <c r="I32" i="2"/>
  <c r="U10" i="2"/>
  <c r="O31" i="2"/>
  <c r="K5" i="2"/>
  <c r="S26" i="2"/>
  <c r="L9" i="2"/>
  <c r="AR90" i="3"/>
  <c r="F32" i="3"/>
  <c r="AR8" i="3"/>
  <c r="DF15" i="4" a="1"/>
  <c r="AZ8" i="4" a="1"/>
  <c r="Q21" i="2"/>
  <c r="E31" i="2"/>
  <c r="Q32" i="2"/>
  <c r="E21" i="2"/>
  <c r="F24" i="3"/>
  <c r="BU12" i="4" a="1"/>
  <c r="U15" i="2"/>
  <c r="P20" i="2"/>
  <c r="U8" i="2"/>
  <c r="R16" i="2"/>
  <c r="E39" i="3"/>
  <c r="D46" i="3"/>
  <c r="CT14" i="4" a="1"/>
  <c r="AF8" i="4" a="1"/>
  <c r="Q78" i="2"/>
  <c r="P36" i="2"/>
  <c r="Q31" i="2"/>
  <c r="F32" i="2"/>
  <c r="E32" i="3"/>
  <c r="AR16" i="3"/>
  <c r="Q69" i="2"/>
  <c r="V24" i="2"/>
  <c r="V18" i="2"/>
  <c r="F6" i="2"/>
  <c r="S15" i="2"/>
  <c r="O6" i="2"/>
  <c r="E20" i="3"/>
  <c r="S15" i="4" a="1"/>
  <c r="CH6" i="4" a="1"/>
  <c r="DM11" i="4" a="1"/>
  <c r="CN13" i="4" a="1"/>
  <c r="AO13" i="4" a="1"/>
  <c r="X36" i="2"/>
  <c r="DH14" i="4" a="1"/>
  <c r="BR13" i="4" a="1"/>
  <c r="Z7" i="4" a="1"/>
  <c r="AS13" i="4" a="1"/>
  <c r="DZ7" i="4" a="1"/>
  <c r="DJ5" i="4" a="1"/>
  <c r="T29" i="2"/>
  <c r="D27" i="3"/>
  <c r="W5" i="4" a="1"/>
  <c r="BJ9" i="4" a="1"/>
  <c r="EC9" i="4" a="1"/>
  <c r="DZ9" i="4" a="1"/>
  <c r="E20" i="2"/>
  <c r="BE15" i="4" a="1"/>
  <c r="EC11" i="4" a="1"/>
  <c r="AR80" i="3"/>
  <c r="DE11" i="4" a="1"/>
  <c r="ED9" i="4" a="1"/>
  <c r="AE12" i="4" a="1"/>
  <c r="J14" i="4" a="1"/>
  <c r="J5" i="2"/>
  <c r="J8" i="4" a="1"/>
  <c r="DP16" i="4" a="1"/>
  <c r="EF15" i="4" a="1"/>
  <c r="BR6" i="4" a="1"/>
  <c r="DN8" i="4" a="1"/>
  <c r="BC7" i="4" a="1"/>
  <c r="AM16" i="4" a="1"/>
  <c r="S25" i="2"/>
  <c r="D29" i="3"/>
  <c r="AP9" i="4" a="1"/>
  <c r="BP8" i="4" a="1"/>
  <c r="CZ8" i="4" a="1"/>
  <c r="H35" i="2"/>
  <c r="AD8" i="4" a="1"/>
  <c r="DQ11" i="4" a="1"/>
  <c r="E25" i="3"/>
  <c r="CS14" i="4" a="1"/>
  <c r="CL9" i="4" a="1"/>
  <c r="AZ12" i="4" a="1"/>
  <c r="CF13" i="4" a="1"/>
  <c r="BD14" i="4" a="1"/>
  <c r="CT16" i="4" a="1"/>
  <c r="Q18" i="2"/>
  <c r="DY14" i="4" a="1"/>
  <c r="G8" i="4" a="1"/>
  <c r="BQ14" i="4" a="1"/>
  <c r="O13" i="4" a="1"/>
  <c r="AV6" i="4" a="1"/>
  <c r="BU9" i="4" a="1"/>
  <c r="DB13" i="4" a="1"/>
  <c r="M5" i="4" a="1"/>
  <c r="BE5" i="4" a="1"/>
  <c r="AN12" i="4" a="1"/>
  <c r="Q15" i="4" a="1"/>
  <c r="DU12" i="4" a="1"/>
  <c r="CS7" i="4" a="1"/>
  <c r="W46" i="2"/>
  <c r="AZ6" i="4" a="1"/>
  <c r="CH5" i="4" a="1"/>
  <c r="BS8" i="4" a="1"/>
  <c r="DE5" i="4" a="1"/>
  <c r="I34" i="2"/>
  <c r="AW16" i="4" a="1"/>
  <c r="DL5" i="4" a="1"/>
  <c r="EB15" i="4" a="1"/>
  <c r="Q36" i="2"/>
  <c r="Q13" i="4" a="1"/>
  <c r="CA15" i="4" a="1"/>
  <c r="CN11" i="4" a="1"/>
  <c r="BW6" i="4" a="1"/>
  <c r="BE13" i="4" a="1"/>
  <c r="BE16" i="4" a="1"/>
  <c r="DK8" i="4" a="1"/>
  <c r="F8" i="4" a="1"/>
  <c r="AC9" i="4" a="1"/>
  <c r="DA9" i="4" a="1"/>
  <c r="CJ16" i="4" a="1"/>
  <c r="AW6" i="4" a="1"/>
  <c r="BD8" i="4" a="1"/>
  <c r="CF7" i="4" a="1"/>
  <c r="DB12" i="4" a="1"/>
  <c r="DQ6" i="4" a="1"/>
  <c r="AL14" i="4" a="1"/>
  <c r="CJ13" i="4" a="1"/>
  <c r="C21" i="2"/>
  <c r="P16" i="2"/>
  <c r="E11" i="3"/>
  <c r="H20" i="2"/>
  <c r="I36" i="2"/>
  <c r="D10" i="3"/>
  <c r="S36" i="2"/>
  <c r="AR76" i="3"/>
  <c r="F23" i="3"/>
  <c r="X33" i="2"/>
  <c r="F25" i="2"/>
  <c r="AR78" i="3"/>
  <c r="T7" i="2"/>
  <c r="AR47" i="3"/>
  <c r="BU6" i="4" a="1"/>
  <c r="V29" i="2"/>
  <c r="N10" i="2"/>
  <c r="AR81" i="3"/>
  <c r="BX8" i="4" a="1"/>
  <c r="P14" i="2"/>
  <c r="F8" i="2"/>
  <c r="R45" i="3"/>
  <c r="AH5" i="4" a="1"/>
  <c r="C28" i="2"/>
  <c r="M31" i="2"/>
  <c r="CI14" i="4" a="1"/>
  <c r="K10" i="2"/>
  <c r="I31" i="2"/>
  <c r="K87" i="2"/>
  <c r="BZ5" i="4" a="1"/>
  <c r="AJ13" i="4" a="1"/>
  <c r="DD5" i="4" a="1"/>
  <c r="D8" i="3"/>
  <c r="W8" i="4" a="1"/>
  <c r="L13" i="4" a="1"/>
  <c r="DJ13" i="4" a="1"/>
  <c r="DK5" i="4" a="1"/>
  <c r="DM13" i="4" a="1"/>
  <c r="P6" i="2"/>
  <c r="AA12" i="4" a="1"/>
  <c r="Z46" i="3"/>
  <c r="CH14" i="4" a="1"/>
  <c r="J23" i="2"/>
  <c r="EF13" i="4" a="1"/>
  <c r="CK13" i="4" a="1"/>
  <c r="DY6" i="4" a="1"/>
  <c r="X8" i="2"/>
  <c r="AB11" i="4" a="1"/>
  <c r="D11" i="4" a="1"/>
  <c r="BL9" i="4" a="1"/>
  <c r="D26" i="3"/>
  <c r="AY6" i="4" a="1"/>
  <c r="K12" i="4" a="1"/>
  <c r="AU9" i="4" a="1"/>
  <c r="DS5" i="4" a="1"/>
  <c r="BM11" i="4" a="1"/>
  <c r="AW13" i="4" a="1"/>
  <c r="DW8" i="4" a="1"/>
  <c r="DJ16" i="4" a="1"/>
  <c r="AR6" i="4" a="1"/>
  <c r="L6" i="4" a="1"/>
  <c r="DK16" i="4" a="1"/>
  <c r="BA11" i="4" a="1"/>
  <c r="CL15" i="4" a="1"/>
  <c r="W21" i="2"/>
  <c r="BB12" i="4" a="1"/>
  <c r="BP16" i="4" a="1"/>
  <c r="EA5" i="4" a="1"/>
  <c r="M13" i="4" a="1"/>
  <c r="DU15" i="4" a="1"/>
  <c r="V9" i="4" a="1"/>
  <c r="CZ14" i="4" a="1"/>
  <c r="DI11" i="4" a="1"/>
  <c r="AQ9" i="4" a="1"/>
  <c r="R6" i="4" a="1"/>
  <c r="CO7" i="4" a="1"/>
  <c r="W30" i="2"/>
  <c r="AP13" i="4" a="1"/>
  <c r="N11" i="4" a="1"/>
  <c r="CU14" i="4" a="1"/>
  <c r="DS11" i="4" a="1"/>
  <c r="DY9" i="4" a="1"/>
  <c r="Z11" i="4" a="1"/>
  <c r="DR13" i="4" a="1"/>
  <c r="D81" i="3"/>
  <c r="AD84" i="3"/>
  <c r="D97" i="3"/>
  <c r="G56" i="3"/>
  <c r="AD94" i="3"/>
  <c r="AD91" i="3"/>
  <c r="AD54" i="3"/>
  <c r="H24" i="2"/>
  <c r="Q17" i="2"/>
  <c r="AF50" i="3"/>
  <c r="AR73" i="3"/>
  <c r="V7" i="2"/>
  <c r="J24" i="2"/>
  <c r="F8" i="3"/>
  <c r="U14" i="2"/>
  <c r="D40" i="3"/>
  <c r="C12" i="2"/>
  <c r="F23" i="2"/>
  <c r="V15" i="2"/>
  <c r="G32" i="2"/>
  <c r="AR69" i="3"/>
  <c r="AG16" i="4" a="1"/>
  <c r="AX11" i="4" a="1"/>
  <c r="CD14" i="4" a="1"/>
  <c r="DU8" i="4" a="1"/>
  <c r="M9" i="2"/>
  <c r="BF7" i="4" a="1"/>
  <c r="AR38" i="3"/>
  <c r="CS6" i="4" a="1"/>
  <c r="AD7" i="4" a="1"/>
  <c r="AB12" i="4" a="1"/>
  <c r="BA13" i="4" a="1"/>
  <c r="CL14" i="4" a="1"/>
  <c r="AS11" i="4" a="1"/>
  <c r="E7" i="4" a="1"/>
  <c r="DX12" i="4" a="1"/>
  <c r="AD18" i="3"/>
  <c r="N7" i="2"/>
  <c r="AL9" i="4" a="1"/>
  <c r="CV15" i="4" a="1"/>
  <c r="DE9" i="4" a="1"/>
  <c r="AZ16" i="4" a="1"/>
  <c r="AT6" i="4" a="1"/>
  <c r="AH6" i="4" a="1"/>
  <c r="K11" i="4" a="1"/>
  <c r="CL13" i="4" a="1"/>
  <c r="DV9" i="4" a="1"/>
  <c r="CP15" i="4" a="1"/>
  <c r="DZ15" i="4" a="1"/>
  <c r="G57" i="3"/>
  <c r="AD72" i="3"/>
  <c r="G87" i="3"/>
  <c r="I33" i="2"/>
  <c r="AK46" i="3"/>
  <c r="AR97" i="3"/>
  <c r="G5" i="2"/>
  <c r="BJ11" i="4" a="1"/>
  <c r="P27" i="2"/>
  <c r="G30" i="2"/>
  <c r="DU7" i="4" a="1"/>
  <c r="I17" i="2"/>
  <c r="AK8" i="4" a="1"/>
  <c r="D28" i="2"/>
  <c r="BQ9" i="4" a="1"/>
  <c r="DJ11" i="4" a="1"/>
  <c r="Z16" i="4" a="1"/>
  <c r="T19" i="2"/>
  <c r="CD9" i="4" a="1"/>
  <c r="BS12" i="4" a="1"/>
  <c r="CG7" i="4" a="1"/>
  <c r="DO6" i="4" a="1"/>
  <c r="C26" i="2"/>
  <c r="H15" i="2"/>
  <c r="EC15" i="4" a="1"/>
  <c r="CU15" i="4" a="1"/>
  <c r="EE5" i="4" a="1"/>
  <c r="AA8" i="4" a="1"/>
  <c r="AN16" i="4" a="1"/>
  <c r="DO8" i="4" a="1"/>
  <c r="D38" i="3"/>
  <c r="T8" i="2"/>
  <c r="BH13" i="4" a="1"/>
  <c r="O12" i="4" a="1"/>
  <c r="N8" i="4" a="1"/>
  <c r="AM12" i="4" a="1"/>
  <c r="BY16" i="4" a="1"/>
  <c r="DI6" i="4" a="1"/>
  <c r="EH12" i="4" a="1"/>
  <c r="S14" i="4" a="1"/>
  <c r="DJ12" i="4" a="1"/>
  <c r="D67" i="3"/>
  <c r="G58" i="3"/>
  <c r="AD95" i="3"/>
  <c r="J29" i="2"/>
  <c r="G29" i="3"/>
  <c r="G7" i="2"/>
  <c r="E5" i="3"/>
  <c r="R6" i="2"/>
  <c r="D47" i="2"/>
  <c r="AR25" i="3"/>
  <c r="J21" i="2"/>
  <c r="F27" i="3"/>
  <c r="Q29" i="2"/>
  <c r="AK14" i="4" a="1"/>
  <c r="E24" i="2"/>
  <c r="T26" i="2"/>
  <c r="V10" i="2"/>
  <c r="BK15" i="4" a="1"/>
  <c r="L32" i="2"/>
  <c r="AJ16" i="4" a="1"/>
  <c r="P21" i="2"/>
  <c r="AZ9" i="4" a="1"/>
  <c r="T24" i="2"/>
  <c r="DT11" i="4" a="1"/>
  <c r="DZ11" i="4" a="1"/>
  <c r="S16" i="4" a="1"/>
  <c r="BG11" i="4" a="1"/>
  <c r="O14" i="2"/>
  <c r="V15" i="4" a="1"/>
  <c r="AP5" i="4" a="1"/>
  <c r="BL11" i="4" a="1"/>
  <c r="BE14" i="4" a="1"/>
  <c r="T20" i="2"/>
  <c r="AB14" i="4" a="1"/>
  <c r="EJ8" i="4" a="1"/>
  <c r="R20" i="2"/>
  <c r="CO11" i="4" a="1"/>
  <c r="H5" i="2"/>
  <c r="BJ7" i="4" a="1"/>
  <c r="BG12" i="4" a="1"/>
  <c r="BM12" i="4" a="1"/>
  <c r="BP5" i="4" a="1"/>
  <c r="CF11" i="4" a="1"/>
  <c r="AY8" i="4" a="1"/>
  <c r="EE6" i="4" a="1"/>
  <c r="CW16" i="4" a="1"/>
  <c r="AG11" i="4" a="1"/>
  <c r="AD86" i="3"/>
  <c r="D82" i="3"/>
  <c r="E87" i="3"/>
  <c r="AD65" i="3"/>
  <c r="E79" i="3"/>
  <c r="N12" i="2"/>
  <c r="Y45" i="3"/>
  <c r="U17" i="2"/>
  <c r="F18" i="3"/>
  <c r="W24" i="2"/>
  <c r="U18" i="2"/>
  <c r="F9" i="3"/>
  <c r="V13" i="2"/>
  <c r="EG5" i="4" a="1"/>
  <c r="O34" i="2"/>
  <c r="K26" i="2"/>
  <c r="D10" i="2"/>
  <c r="C46" i="3"/>
  <c r="P8" i="2"/>
  <c r="AR5" i="4" a="1"/>
  <c r="AK5" i="4" a="1"/>
  <c r="G30" i="3"/>
  <c r="P14" i="4" a="1"/>
  <c r="EG12" i="4" a="1"/>
  <c r="R15" i="4" a="1"/>
  <c r="AD12" i="4" a="1"/>
  <c r="F22" i="3"/>
  <c r="K15" i="4" a="1"/>
  <c r="M12" i="4" a="1"/>
  <c r="CQ7" i="4" a="1"/>
  <c r="AP12" i="4" a="1"/>
  <c r="V8" i="2"/>
  <c r="BY12" i="4" a="1"/>
  <c r="AH7" i="4" a="1"/>
  <c r="CL8" i="4" a="1"/>
  <c r="W46" i="3"/>
  <c r="EI5" i="4" a="1"/>
  <c r="BJ5" i="4" a="1"/>
  <c r="DY7" i="4" a="1"/>
  <c r="BK7" i="4" a="1"/>
  <c r="AC13" i="4" a="1"/>
  <c r="BL6" i="4" a="1"/>
  <c r="BD11" i="4" a="1"/>
  <c r="DR7" i="4" a="1"/>
  <c r="BR9" i="4" a="1"/>
  <c r="E88" i="3"/>
  <c r="G73" i="3"/>
  <c r="E78" i="3"/>
  <c r="AD77" i="3"/>
  <c r="G59" i="3"/>
  <c r="E13" i="2"/>
  <c r="K34" i="2"/>
  <c r="AR22" i="3"/>
  <c r="D23" i="3"/>
  <c r="J9" i="2"/>
  <c r="D17" i="2"/>
  <c r="E7" i="3"/>
  <c r="Q55" i="2"/>
  <c r="K19" i="2"/>
  <c r="R5" i="2"/>
  <c r="F34" i="3"/>
  <c r="L33" i="2"/>
  <c r="E31" i="3"/>
  <c r="L21" i="2"/>
  <c r="BJ16" i="4" a="1"/>
  <c r="BE7" i="4" a="1"/>
  <c r="CA6" i="4" a="1"/>
  <c r="D6" i="3"/>
  <c r="DA12" i="4" a="1"/>
  <c r="R13" i="2"/>
  <c r="AH12" i="4" a="1"/>
  <c r="EK11" i="4" a="1"/>
  <c r="DF12" i="4" a="1"/>
  <c r="C14" i="2"/>
  <c r="P6" i="4" a="1"/>
  <c r="CN8" i="4" a="1"/>
  <c r="BI5" i="4" a="1"/>
  <c r="AM5" i="4" a="1"/>
  <c r="EH14" i="4" a="1"/>
  <c r="CD13" i="4" a="1"/>
  <c r="G5" i="4" a="1"/>
  <c r="DR11" i="4" a="1"/>
  <c r="CM9" i="4" a="1"/>
  <c r="BJ15" i="4" a="1"/>
  <c r="H9" i="4" a="1"/>
  <c r="CI12" i="4" a="1"/>
  <c r="AJ7" i="4" a="1"/>
  <c r="BF8" i="4" a="1"/>
  <c r="DV14" i="4" a="1"/>
  <c r="I6" i="4" a="1"/>
  <c r="CD7" i="4" a="1"/>
  <c r="BI8" i="4" a="1"/>
  <c r="K8" i="2"/>
  <c r="K20" i="2"/>
  <c r="X13" i="2"/>
  <c r="K43" i="2"/>
  <c r="P7" i="4" a="1"/>
  <c r="C16" i="2"/>
  <c r="E15" i="3"/>
  <c r="D12" i="2"/>
  <c r="BV7" i="4" a="1"/>
  <c r="E34" i="2"/>
  <c r="AV16" i="4" a="1"/>
  <c r="V11" i="2"/>
  <c r="K32" i="2"/>
  <c r="N9" i="2"/>
  <c r="BV14" i="4" a="1"/>
  <c r="BR15" i="4" a="1"/>
  <c r="DB16" i="4" a="1"/>
  <c r="EB12" i="4" a="1"/>
  <c r="E34" i="3"/>
  <c r="C15" i="4" a="1"/>
  <c r="DF11" i="4" a="1"/>
  <c r="BX16" i="4" a="1"/>
  <c r="CX12" i="4" a="1"/>
  <c r="BO6" i="4" a="1"/>
  <c r="AD16" i="4" a="1"/>
  <c r="T11" i="2"/>
  <c r="CE14" i="4" a="1"/>
  <c r="R9" i="4" a="1"/>
  <c r="E5" i="4" a="1"/>
  <c r="V7" i="4" a="1"/>
  <c r="AY7" i="4" a="1"/>
  <c r="AT7" i="4" a="1"/>
  <c r="C13" i="4" a="1"/>
  <c r="E28" i="2"/>
  <c r="DL8" i="4" a="1"/>
  <c r="Q6" i="4" a="1"/>
  <c r="V9" i="2"/>
  <c r="AA15" i="4" a="1"/>
  <c r="EE7" i="4" a="1"/>
  <c r="DL12" i="4" a="1"/>
  <c r="EB14" i="4" a="1"/>
  <c r="E95" i="3"/>
  <c r="D95" i="3"/>
  <c r="G92" i="3"/>
  <c r="G78" i="3"/>
  <c r="W25" i="2"/>
  <c r="L24" i="2"/>
  <c r="S45" i="3"/>
  <c r="L7" i="2"/>
  <c r="J35" i="2"/>
  <c r="AD8" i="3"/>
  <c r="R32" i="2"/>
  <c r="AR92" i="3"/>
  <c r="E45" i="3"/>
  <c r="W36" i="2"/>
  <c r="H34" i="2"/>
  <c r="E9" i="3"/>
  <c r="E29" i="2"/>
  <c r="C15" i="2"/>
  <c r="BL13" i="4" a="1"/>
  <c r="F24" i="2"/>
  <c r="W29" i="2"/>
  <c r="AR37" i="3"/>
  <c r="BE11" i="4" a="1"/>
  <c r="W32" i="2"/>
  <c r="D5" i="2"/>
  <c r="BO14" i="4" a="1"/>
  <c r="T8" i="4" a="1"/>
  <c r="L19" i="2"/>
  <c r="AR75" i="3"/>
  <c r="AF7" i="4" a="1"/>
  <c r="O12" i="2"/>
  <c r="T12" i="2"/>
  <c r="O25" i="2"/>
  <c r="Q14" i="4" a="1"/>
  <c r="CB14" i="4" a="1"/>
  <c r="W9" i="4" a="1"/>
  <c r="N46" i="3"/>
  <c r="AP11" i="4" a="1"/>
  <c r="ED5" i="4" a="1"/>
  <c r="H8" i="4" a="1"/>
  <c r="BD6" i="4" a="1"/>
  <c r="DP8" i="4" a="1"/>
  <c r="E8" i="2"/>
  <c r="R11" i="4" a="1"/>
  <c r="AR28" i="3"/>
  <c r="BC8" i="4" a="1"/>
  <c r="AR91" i="3"/>
  <c r="DP11" i="4" a="1"/>
  <c r="BR11" i="4" a="1"/>
  <c r="CK9" i="4" a="1"/>
  <c r="J15" i="2"/>
  <c r="R14" i="4" a="1"/>
  <c r="AU5" i="4" a="1"/>
  <c r="BG5" i="4" a="1"/>
  <c r="AR42" i="3"/>
  <c r="DP5" i="4" a="1"/>
  <c r="DP6" i="4" a="1"/>
  <c r="AM13" i="4" a="1"/>
  <c r="AA9" i="4" a="1"/>
  <c r="AP6" i="4" a="1"/>
  <c r="CC5" i="4" a="1"/>
  <c r="N16" i="4" a="1"/>
  <c r="BV11" i="4" a="1"/>
  <c r="AY15" i="4" a="1"/>
  <c r="BS14" i="4" a="1"/>
  <c r="BQ11" i="4" a="1"/>
  <c r="CK7" i="4" a="1"/>
  <c r="U15" i="4" a="1"/>
  <c r="O11" i="2"/>
  <c r="S9" i="4" a="1"/>
  <c r="Y12" i="4" a="1"/>
  <c r="AC15" i="4" a="1"/>
  <c r="BZ12" i="4" a="1"/>
  <c r="CE16" i="4" a="1"/>
  <c r="DS8" i="4" a="1"/>
  <c r="AO15" i="4" a="1"/>
  <c r="S16" i="2"/>
  <c r="J13" i="4" a="1"/>
  <c r="DE12" i="4" a="1"/>
  <c r="CJ14" i="4" a="1"/>
  <c r="C18" i="2"/>
  <c r="DB5" i="4" a="1"/>
  <c r="CV7" i="4" a="1"/>
  <c r="T13" i="4" a="1"/>
  <c r="M11" i="4" a="1"/>
  <c r="BF15" i="4" a="1"/>
  <c r="D5" i="4" a="1"/>
  <c r="CR7" i="4" a="1"/>
  <c r="D63" i="3"/>
  <c r="E94" i="3"/>
  <c r="E83" i="3"/>
  <c r="E74" i="3"/>
  <c r="G55" i="3"/>
  <c r="G76" i="3"/>
  <c r="D64" i="3"/>
  <c r="G94" i="3"/>
  <c r="P29" i="2"/>
  <c r="AD45" i="3"/>
  <c r="G12" i="3"/>
  <c r="W18" i="2"/>
  <c r="CI15" i="4" a="1"/>
  <c r="P69" i="2"/>
  <c r="J36" i="2"/>
  <c r="DS12" i="4" a="1"/>
  <c r="L36" i="2"/>
  <c r="CT8" i="4" a="1"/>
  <c r="E26" i="2"/>
  <c r="E14" i="4" a="1"/>
  <c r="I35" i="2"/>
  <c r="AC11" i="4" a="1"/>
  <c r="W12" i="2"/>
  <c r="CU8" i="4" a="1"/>
  <c r="V13" i="4" a="1"/>
  <c r="I16" i="4" a="1"/>
  <c r="R8" i="2"/>
  <c r="BW7" i="4" a="1"/>
  <c r="AU11" i="4" a="1"/>
  <c r="U14" i="4" a="1"/>
  <c r="W12" i="4" a="1"/>
  <c r="BU11" i="4" a="1"/>
  <c r="M24" i="2"/>
  <c r="K59" i="2"/>
  <c r="DA7" i="4" a="1"/>
  <c r="EI9" i="4" a="1"/>
  <c r="DO15" i="4" a="1"/>
  <c r="T9" i="4" a="1"/>
  <c r="AG8" i="4" a="1"/>
  <c r="BC14" i="4" a="1"/>
  <c r="DC16" i="4" a="1"/>
  <c r="EB7" i="4" a="1"/>
  <c r="AH8" i="4" a="1"/>
  <c r="R12" i="4" a="1"/>
  <c r="D9" i="4" a="1"/>
  <c r="F7" i="3"/>
  <c r="EC7" i="4" a="1"/>
  <c r="C23" i="2"/>
  <c r="AI16" i="4" a="1"/>
  <c r="AW14" i="4" a="1"/>
  <c r="E71" i="3"/>
  <c r="D55" i="3"/>
  <c r="E91" i="3"/>
  <c r="D91" i="3"/>
  <c r="O26" i="2"/>
  <c r="M33" i="2"/>
  <c r="F21" i="3"/>
  <c r="G12" i="2"/>
  <c r="F33" i="2"/>
  <c r="X41" i="2"/>
  <c r="M12" i="2"/>
  <c r="AE46" i="3"/>
  <c r="C9" i="4" a="1"/>
  <c r="U23" i="2"/>
  <c r="S7" i="2"/>
  <c r="G46" i="3"/>
  <c r="X7" i="2"/>
  <c r="G18" i="2"/>
  <c r="H9" i="2"/>
  <c r="AG45" i="3"/>
  <c r="J19" i="2"/>
  <c r="W70" i="2"/>
  <c r="L7" i="4" a="1"/>
  <c r="DT12" i="4" a="1"/>
  <c r="BT6" i="4" a="1"/>
  <c r="D13" i="4" a="1"/>
  <c r="C30" i="2"/>
  <c r="W11" i="4" a="1"/>
  <c r="E13" i="3"/>
  <c r="CM14" i="4" a="1"/>
  <c r="DM9" i="4" a="1"/>
  <c r="DW6" i="4" a="1"/>
  <c r="DE15" i="4" a="1"/>
  <c r="Z5" i="4" a="1"/>
  <c r="DJ7" i="4" a="1"/>
  <c r="EH8" i="4" a="1"/>
  <c r="F5" i="4" a="1"/>
  <c r="CN12" i="4" a="1"/>
  <c r="S12" i="4" a="1"/>
  <c r="DB15" i="4" a="1"/>
  <c r="AO11" i="4" a="1"/>
  <c r="AZ11" i="4" a="1"/>
  <c r="CT5" i="4" a="1"/>
  <c r="AI9" i="4" a="1"/>
  <c r="AK13" i="4" a="1"/>
  <c r="BH16" i="4" a="1"/>
  <c r="EC5" i="4" a="1"/>
  <c r="DH6" i="4" a="1"/>
  <c r="AD11" i="4" a="1"/>
  <c r="BX5" i="4" a="1"/>
  <c r="D57" i="3"/>
  <c r="AD85" i="3"/>
  <c r="E54" i="3"/>
  <c r="D78" i="3"/>
  <c r="I12" i="2"/>
  <c r="K35" i="2"/>
  <c r="AR79" i="3"/>
  <c r="X25" i="2"/>
  <c r="AI7" i="4" a="1"/>
  <c r="H32" i="2"/>
  <c r="X92" i="2"/>
  <c r="AE6" i="4" a="1"/>
  <c r="T10" i="2"/>
  <c r="F89" i="2"/>
  <c r="I46" i="3"/>
  <c r="L23" i="2"/>
  <c r="AD13" i="3"/>
  <c r="G27" i="2"/>
  <c r="V45" i="3"/>
  <c r="T15" i="4" a="1"/>
  <c r="CX6" i="4" a="1"/>
  <c r="CX5" i="4" a="1"/>
  <c r="BC5" i="4" a="1"/>
  <c r="AR39" i="3"/>
  <c r="BH12" i="4" a="1"/>
  <c r="AT14" i="4" a="1"/>
  <c r="H15" i="4" a="1"/>
  <c r="AH46" i="3"/>
  <c r="Q58" i="2"/>
  <c r="EA7" i="4" a="1"/>
  <c r="H23" i="2"/>
  <c r="DN13" i="4" a="1"/>
  <c r="D16" i="4" a="1"/>
  <c r="AH16" i="4" a="1"/>
  <c r="CB5" i="4" a="1"/>
  <c r="BP11" i="4" a="1"/>
  <c r="DB11" i="4" a="1"/>
  <c r="EG8" i="4" a="1"/>
  <c r="EB9" i="4" a="1"/>
  <c r="DR9" i="4" a="1"/>
  <c r="DS14" i="4" a="1"/>
  <c r="DK11" i="4" a="1"/>
  <c r="AL11" i="4" a="1"/>
  <c r="CE5" i="4" a="1"/>
  <c r="G97" i="3"/>
  <c r="AD83" i="3"/>
  <c r="E85" i="3"/>
  <c r="V14" i="2"/>
  <c r="G26" i="2"/>
  <c r="X35" i="2"/>
  <c r="W26" i="2"/>
  <c r="K7" i="4" a="1"/>
  <c r="AR56" i="3"/>
  <c r="X23" i="2"/>
  <c r="O10" i="2"/>
  <c r="F31" i="3"/>
  <c r="DQ13" i="4" a="1"/>
  <c r="C7" i="2"/>
  <c r="G19" i="2"/>
  <c r="D12" i="3"/>
  <c r="X11" i="2"/>
  <c r="R46" i="3"/>
  <c r="E10" i="2"/>
  <c r="CS12" i="4" a="1"/>
  <c r="AT5" i="4" a="1"/>
  <c r="DO12" i="4" a="1"/>
  <c r="CJ6" i="4" a="1"/>
  <c r="U9" i="2"/>
  <c r="N7" i="4" a="1"/>
  <c r="M32" i="2"/>
  <c r="AQ5" i="4" a="1"/>
  <c r="BW16" i="4" a="1"/>
  <c r="DM8" i="4" a="1"/>
  <c r="AL46" i="3"/>
  <c r="L12" i="2"/>
  <c r="EG7" i="4" a="1"/>
  <c r="I25" i="2"/>
  <c r="BF6" i="4" a="1"/>
  <c r="CY13" i="4" a="1"/>
  <c r="T6" i="2"/>
  <c r="AG12" i="4" a="1"/>
  <c r="CW9" i="4" a="1"/>
  <c r="DL13" i="4" a="1"/>
  <c r="G15" i="4" a="1"/>
  <c r="P13" i="4" a="1"/>
  <c r="AV15" i="4" a="1"/>
  <c r="Y11" i="4" a="1"/>
  <c r="AF14" i="4" a="1"/>
  <c r="AT11" i="4" a="1"/>
  <c r="CZ13" i="4" a="1"/>
  <c r="AX14" i="4" a="1"/>
  <c r="G91" i="3"/>
  <c r="AD66" i="3"/>
  <c r="AD93" i="3"/>
  <c r="D58" i="3"/>
  <c r="O20" i="2"/>
  <c r="P11" i="2"/>
  <c r="L35" i="2"/>
  <c r="E11" i="2"/>
  <c r="DG13" i="4" a="1"/>
  <c r="AR94" i="3"/>
  <c r="AR50" i="3"/>
  <c r="W13" i="4" a="1"/>
  <c r="F11" i="4" a="1"/>
  <c r="Q7" i="2"/>
  <c r="AO5" i="4" a="1"/>
  <c r="R27" i="2"/>
  <c r="O17" i="2"/>
  <c r="N11" i="2"/>
  <c r="BK8" i="4" a="1"/>
  <c r="BB9" i="4" a="1"/>
  <c r="S24" i="2"/>
  <c r="CK8" i="4" a="1"/>
  <c r="BZ11" i="4" a="1"/>
  <c r="DL14" i="4" a="1"/>
  <c r="H33" i="2"/>
  <c r="EB8" i="4" a="1"/>
  <c r="U16" i="4" a="1"/>
  <c r="DD11" i="4" a="1"/>
  <c r="AK9" i="4" a="1"/>
  <c r="AR10" i="3"/>
  <c r="X5" i="4" a="1"/>
  <c r="CB8" i="4" a="1"/>
  <c r="CV11" i="4" a="1"/>
  <c r="BN5" i="4" a="1"/>
  <c r="CH16" i="4" a="1"/>
  <c r="CV9" i="4" a="1"/>
  <c r="CM5" i="4" a="1"/>
  <c r="BT5" i="4" a="1"/>
  <c r="I9" i="2"/>
  <c r="CQ16" i="4" a="1"/>
  <c r="EK6" i="4" a="1"/>
  <c r="T30" i="2"/>
  <c r="CX9" i="4" a="1"/>
  <c r="DA15" i="4" a="1"/>
  <c r="Y15" i="4" a="1"/>
  <c r="EJ15" i="4" a="1"/>
  <c r="E92" i="3"/>
  <c r="G67" i="3"/>
  <c r="E64" i="3"/>
  <c r="E70" i="3"/>
  <c r="R30" i="2"/>
  <c r="L29" i="2"/>
  <c r="F36" i="3"/>
  <c r="U45" i="3"/>
  <c r="F11" i="2"/>
  <c r="F34" i="2"/>
  <c r="AR68" i="3"/>
  <c r="AK6" i="4" a="1"/>
  <c r="AR48" i="3"/>
  <c r="P15" i="2"/>
  <c r="F37" i="3"/>
  <c r="P22" i="2"/>
  <c r="AJ45" i="3"/>
  <c r="D33" i="2"/>
  <c r="CT15" i="4" a="1"/>
  <c r="W19" i="2"/>
  <c r="BT15" i="4" a="1"/>
  <c r="CJ11" i="4" a="1"/>
  <c r="BW13" i="4" a="1"/>
  <c r="X12" i="2"/>
  <c r="G14" i="2"/>
  <c r="BI15" i="4" a="1"/>
  <c r="CT11" i="4" a="1"/>
  <c r="F26" i="3"/>
  <c r="DQ9" i="4" a="1"/>
  <c r="AV11" i="4" a="1"/>
  <c r="CK14" i="4" a="1"/>
  <c r="CM7" i="4" a="1"/>
  <c r="EK8" i="4" a="1"/>
  <c r="DY15" i="4" a="1"/>
  <c r="BN15" i="4" a="1"/>
  <c r="CI6" i="4" a="1"/>
  <c r="AU13" i="4" a="1"/>
  <c r="CY9" i="4" a="1"/>
  <c r="CY8" i="4" a="1"/>
  <c r="AO16" i="4" a="1"/>
  <c r="CQ15" i="4" a="1"/>
  <c r="BZ7" i="4" a="1"/>
  <c r="DG7" i="4" a="1"/>
  <c r="CE7" i="4" a="1"/>
  <c r="E11" i="4" a="1"/>
  <c r="AX12" i="4" a="1"/>
  <c r="G86" i="3"/>
  <c r="E63" i="3"/>
  <c r="E65" i="3"/>
  <c r="D59" i="3"/>
  <c r="E73" i="3"/>
  <c r="G77" i="3"/>
  <c r="G81" i="3"/>
  <c r="G54" i="3"/>
  <c r="G89" i="3"/>
  <c r="G85" i="3"/>
  <c r="G63" i="3"/>
  <c r="G88" i="3"/>
  <c r="G90" i="3"/>
  <c r="D86" i="3"/>
  <c r="D92" i="3"/>
  <c r="D75" i="3"/>
  <c r="D93" i="3"/>
  <c r="D73" i="3"/>
  <c r="D62" i="3"/>
  <c r="D76" i="3"/>
  <c r="D70" i="3"/>
  <c r="D94" i="3"/>
  <c r="AD81" i="3"/>
  <c r="AD76" i="3"/>
  <c r="AD63" i="3"/>
  <c r="AD78" i="3"/>
  <c r="AD97" i="3"/>
  <c r="AD60" i="3"/>
  <c r="AD82" i="3"/>
  <c r="AD69" i="3"/>
  <c r="AD96" i="3"/>
  <c r="AD61" i="3"/>
  <c r="G75" i="3"/>
  <c r="G70" i="3"/>
  <c r="G93" i="3"/>
  <c r="G74" i="3"/>
  <c r="G68" i="3"/>
  <c r="G84" i="3"/>
  <c r="G60" i="3"/>
  <c r="G62" i="3"/>
  <c r="G61" i="3"/>
  <c r="G79" i="3"/>
  <c r="G69" i="3"/>
  <c r="G95" i="3"/>
  <c r="G82" i="3"/>
  <c r="G71" i="3"/>
  <c r="G72" i="3"/>
  <c r="G80" i="3"/>
  <c r="G65" i="3"/>
  <c r="G96" i="3"/>
  <c r="E57" i="3"/>
  <c r="E61" i="3"/>
  <c r="E96" i="3"/>
  <c r="E93" i="3"/>
  <c r="E89" i="3"/>
  <c r="E84" i="3"/>
  <c r="E86" i="3"/>
  <c r="E81" i="3"/>
  <c r="E56" i="3"/>
  <c r="E72" i="3"/>
  <c r="E97" i="3"/>
  <c r="E77" i="3"/>
  <c r="E68" i="3"/>
  <c r="E58" i="3"/>
  <c r="G66" i="3" l="1"/>
  <c r="D90" i="3"/>
  <c r="D88" i="3"/>
  <c r="D74" i="3"/>
  <c r="D72" i="3"/>
  <c r="D68" i="3"/>
  <c r="D56" i="3"/>
  <c r="D79" i="3"/>
  <c r="D96" i="3"/>
  <c r="F87" i="3"/>
  <c r="F75" i="3"/>
  <c r="F82" i="3"/>
  <c r="F79" i="3"/>
  <c r="F88" i="3"/>
  <c r="F81" i="3"/>
  <c r="F47" i="3"/>
  <c r="F63" i="3"/>
  <c r="F93" i="3"/>
  <c r="F50" i="3"/>
  <c r="F70" i="3"/>
  <c r="F91" i="3"/>
  <c r="F65" i="3"/>
  <c r="F54" i="3"/>
  <c r="F86" i="3"/>
  <c r="F57" i="3"/>
  <c r="F76" i="3"/>
  <c r="F71" i="3"/>
  <c r="F58" i="3"/>
  <c r="F80" i="3"/>
  <c r="F72" i="3"/>
  <c r="F77" i="3"/>
  <c r="F73" i="3"/>
  <c r="F56" i="3"/>
  <c r="F89" i="3"/>
  <c r="F94" i="3"/>
  <c r="F96" i="3"/>
  <c r="F90" i="3"/>
  <c r="F68" i="3"/>
  <c r="F64" i="3"/>
  <c r="F95" i="3"/>
  <c r="F59" i="3"/>
  <c r="F48" i="3"/>
  <c r="F66" i="3"/>
  <c r="F92" i="3"/>
  <c r="F97" i="3"/>
  <c r="F60" i="3"/>
  <c r="F83" i="3"/>
  <c r="F69" i="3"/>
  <c r="F84" i="3"/>
  <c r="F55" i="3"/>
  <c r="E76" i="3"/>
  <c r="E82" i="3"/>
  <c r="E60" i="3"/>
  <c r="E55" i="3"/>
  <c r="E67" i="3"/>
  <c r="E69" i="3"/>
  <c r="E66" i="3"/>
  <c r="E90" i="3"/>
  <c r="E62" i="3"/>
  <c r="E80" i="3"/>
  <c r="E75" i="3"/>
  <c r="E59" i="3"/>
  <c r="BJ186" i="1"/>
  <c r="BK186" i="1" s="1"/>
  <c r="BJ155" i="1"/>
  <c r="BJ168" i="1"/>
  <c r="BJ145" i="1"/>
  <c r="BK145" i="1" s="1"/>
  <c r="BJ165" i="1"/>
  <c r="BK165" i="1" s="1"/>
  <c r="BJ148" i="1"/>
  <c r="BK148" i="1" s="1"/>
  <c r="BJ167" i="1"/>
  <c r="AJ156" i="1"/>
  <c r="AJ147" i="1"/>
  <c r="AK147" i="1" s="1"/>
  <c r="AJ178" i="1"/>
  <c r="AK178" i="1" s="1"/>
  <c r="AL70" i="1"/>
  <c r="II15" i="4" s="1"/>
  <c r="F43" i="1"/>
  <c r="W38" i="1"/>
  <c r="V45" i="1"/>
  <c r="C69" i="1"/>
  <c r="O46" i="1"/>
  <c r="BX154" i="1"/>
  <c r="E36" i="1"/>
  <c r="K70" i="1"/>
  <c r="Q62" i="1"/>
  <c r="S62" i="1"/>
  <c r="BX36" i="1"/>
  <c r="HU16" i="4" s="1"/>
  <c r="G69" i="1"/>
  <c r="IF9" i="4" s="1"/>
  <c r="M36" i="1"/>
  <c r="N44" i="1"/>
  <c r="Q55" i="1"/>
  <c r="Q217" i="1" s="1"/>
  <c r="P32" i="1"/>
  <c r="BX97" i="1"/>
  <c r="D36" i="1"/>
  <c r="K74" i="1"/>
  <c r="O36" i="1"/>
  <c r="AJ142" i="1"/>
  <c r="BJ174" i="1"/>
  <c r="BK174" i="1" s="1"/>
  <c r="S31" i="1"/>
  <c r="S254" i="1" s="1"/>
  <c r="H59" i="1"/>
  <c r="K38" i="1"/>
  <c r="IM16" i="4" s="1"/>
  <c r="L68" i="1"/>
  <c r="W36" i="1"/>
  <c r="AJ37" i="1"/>
  <c r="F45" i="1"/>
  <c r="B32" i="1"/>
  <c r="W58" i="1"/>
  <c r="BX140" i="1"/>
  <c r="BY140" i="1" s="1"/>
  <c r="W74" i="1"/>
  <c r="U43" i="1"/>
  <c r="BJ183" i="1"/>
  <c r="JF9" i="4" s="1"/>
  <c r="G58" i="1"/>
  <c r="F55" i="1"/>
  <c r="F217" i="1" s="1"/>
  <c r="K58" i="1"/>
  <c r="G68" i="1"/>
  <c r="W59" i="1"/>
  <c r="W275" i="1" s="1"/>
  <c r="BX166" i="1"/>
  <c r="BY166" i="1" s="1"/>
  <c r="J74" i="1"/>
  <c r="H38" i="1"/>
  <c r="AJ165" i="1"/>
  <c r="AK165" i="1" s="1"/>
  <c r="BJ170" i="1"/>
  <c r="BK170" i="1" s="1"/>
  <c r="AJ141" i="1"/>
  <c r="AK141" i="1" s="1"/>
  <c r="IH16" i="4" s="1"/>
  <c r="JA9" i="4" s="1"/>
  <c r="B62" i="1"/>
  <c r="I45" i="1"/>
  <c r="F48" i="1"/>
  <c r="W32" i="1"/>
  <c r="W33" i="1" s="1"/>
  <c r="X34" i="1" s="1"/>
  <c r="R32" i="1"/>
  <c r="T58" i="1"/>
  <c r="L38" i="1"/>
  <c r="W140" i="1"/>
  <c r="E69" i="1"/>
  <c r="F38" i="1"/>
  <c r="AL45" i="1"/>
  <c r="L69" i="1"/>
  <c r="AJ177" i="1"/>
  <c r="AK177" i="1" s="1"/>
  <c r="B58" i="1"/>
  <c r="HQ16" i="4" s="1"/>
  <c r="V38" i="1"/>
  <c r="H74" i="1"/>
  <c r="V48" i="1"/>
  <c r="AM37" i="1"/>
  <c r="O70" i="1"/>
  <c r="AJ172" i="1"/>
  <c r="AK172" i="1" s="1"/>
  <c r="AJ148" i="1"/>
  <c r="AK148" i="1" s="1"/>
  <c r="B48" i="1"/>
  <c r="N36" i="1"/>
  <c r="HW9" i="4" s="1"/>
  <c r="BX74" i="1"/>
  <c r="I46" i="1"/>
  <c r="BX177" i="1"/>
  <c r="BY177" i="1" s="1"/>
  <c r="IG8" i="4" s="1"/>
  <c r="BX55" i="1"/>
  <c r="BX217" i="1" s="1"/>
  <c r="N59" i="1"/>
  <c r="S38" i="1"/>
  <c r="N38" i="1"/>
  <c r="K45" i="1"/>
  <c r="HU8" i="4" s="1"/>
  <c r="V68" i="1"/>
  <c r="V70" i="1"/>
  <c r="B46" i="1"/>
  <c r="D70" i="1"/>
  <c r="BX178" i="1"/>
  <c r="BY178" i="1" s="1"/>
  <c r="Q68" i="1"/>
  <c r="I74" i="1"/>
  <c r="K32" i="1"/>
  <c r="V59" i="1"/>
  <c r="V275" i="1" s="1"/>
  <c r="AJ187" i="1"/>
  <c r="AK187" i="1" s="1"/>
  <c r="HV7" i="4" s="1"/>
  <c r="HT9" i="4" s="1"/>
  <c r="S36" i="1"/>
  <c r="HX16" i="4" s="1"/>
  <c r="AK68" i="1"/>
  <c r="J68" i="1"/>
  <c r="U36" i="1"/>
  <c r="ID16" i="4" s="1"/>
  <c r="C38" i="1"/>
  <c r="AK47" i="1"/>
  <c r="J142" i="1"/>
  <c r="W47" i="1"/>
  <c r="B43" i="1"/>
  <c r="Q47" i="1"/>
  <c r="AJ31" i="1"/>
  <c r="AJ254" i="1" s="1"/>
  <c r="K69" i="1"/>
  <c r="AL68" i="1"/>
  <c r="J45" i="1"/>
  <c r="C44" i="1"/>
  <c r="AJ58" i="1"/>
  <c r="D47" i="1"/>
  <c r="BJ163" i="1"/>
  <c r="BK163" i="1" s="1"/>
  <c r="BL225" i="1" s="1"/>
  <c r="HT14" i="4" s="1"/>
  <c r="U47" i="1"/>
  <c r="T48" i="1"/>
  <c r="AL48" i="1"/>
  <c r="T44" i="1"/>
  <c r="M38" i="1"/>
  <c r="BJ173" i="1"/>
  <c r="BK173" i="1" s="1"/>
  <c r="AJ168" i="1"/>
  <c r="N43" i="1"/>
  <c r="HZ16" i="4" s="1"/>
  <c r="K68" i="1"/>
  <c r="P70" i="1"/>
  <c r="BX59" i="1"/>
  <c r="C147" i="1"/>
  <c r="Q31" i="1"/>
  <c r="F32" i="1"/>
  <c r="AM62" i="1"/>
  <c r="I70" i="1"/>
  <c r="BJ187" i="1"/>
  <c r="HU14" i="4" s="1"/>
  <c r="G46" i="1"/>
  <c r="S45" i="1"/>
  <c r="IK9" i="4" s="1"/>
  <c r="H44" i="1"/>
  <c r="F62" i="1"/>
  <c r="O55" i="1"/>
  <c r="H69" i="1"/>
  <c r="BJ158" i="1"/>
  <c r="BK158" i="1" s="1"/>
  <c r="JD9" i="4" s="1"/>
  <c r="M32" i="1"/>
  <c r="BJ48" i="1"/>
  <c r="HY16" i="4" s="1"/>
  <c r="BX155" i="1"/>
  <c r="F68" i="1"/>
  <c r="U46" i="1"/>
  <c r="E58" i="1"/>
  <c r="B38" i="1"/>
  <c r="T43" i="1"/>
  <c r="U32" i="1"/>
  <c r="U33" i="1" s="1"/>
  <c r="BL97" i="1"/>
  <c r="P44" i="1"/>
  <c r="BJ177" i="1"/>
  <c r="BK177" i="1" s="1"/>
  <c r="BJ169" i="1"/>
  <c r="BK169" i="1" s="1"/>
  <c r="AJ167" i="1"/>
  <c r="AJ202" i="1" s="1"/>
  <c r="JE9" i="4" s="1"/>
  <c r="V62" i="1"/>
  <c r="IZ16" i="4" s="1"/>
  <c r="JE8" i="4" s="1"/>
  <c r="AJ70" i="1"/>
  <c r="I58" i="1"/>
  <c r="O31" i="1"/>
  <c r="O254" i="1" s="1"/>
  <c r="O43" i="1"/>
  <c r="BX167" i="1"/>
  <c r="U70" i="1"/>
  <c r="S32" i="1"/>
  <c r="S33" i="1" s="1"/>
  <c r="S121" i="1" s="1"/>
  <c r="BX165" i="1"/>
  <c r="BY165" i="1" s="1"/>
  <c r="E59" i="1"/>
  <c r="W69" i="1"/>
  <c r="AL58" i="1"/>
  <c r="AJ36" i="1"/>
  <c r="AK38" i="1"/>
  <c r="IW9" i="4" s="1"/>
  <c r="IG16" i="4" s="1"/>
  <c r="IO15" i="4" s="1"/>
  <c r="P48" i="1"/>
  <c r="IG14" i="4" s="1"/>
  <c r="IR9" i="4" s="1"/>
  <c r="AK59" i="1"/>
  <c r="G74" i="1"/>
  <c r="IB9" i="4" s="1"/>
  <c r="AJ62" i="1"/>
  <c r="R59" i="1"/>
  <c r="IA16" i="4" s="1"/>
  <c r="BX182" i="1"/>
  <c r="S70" i="1"/>
  <c r="AK32" i="1"/>
  <c r="N31" i="1"/>
  <c r="N254" i="1" s="1"/>
  <c r="R46" i="1"/>
  <c r="E31" i="1"/>
  <c r="E254" i="1" s="1"/>
  <c r="U48" i="1"/>
  <c r="BX43" i="1"/>
  <c r="E68" i="1"/>
  <c r="P183" i="1"/>
  <c r="T46" i="1"/>
  <c r="P68" i="1"/>
  <c r="BX31" i="1"/>
  <c r="BX254" i="1" s="1"/>
  <c r="BX149" i="1"/>
  <c r="BY149" i="1" s="1"/>
  <c r="H68" i="1"/>
  <c r="G70" i="1"/>
  <c r="IN8" i="4" s="1"/>
  <c r="BX32" i="1"/>
  <c r="BX33" i="1" s="1"/>
  <c r="BX172" i="1"/>
  <c r="BY172" i="1" s="1"/>
  <c r="E32" i="1"/>
  <c r="G45" i="1"/>
  <c r="R68" i="1"/>
  <c r="AK45" i="1"/>
  <c r="BX142" i="1"/>
  <c r="BY142" i="1" s="1"/>
  <c r="C55" i="1"/>
  <c r="C217" i="1" s="1"/>
  <c r="P74" i="1"/>
  <c r="AL36" i="1"/>
  <c r="BX147" i="1"/>
  <c r="BY147" i="1" s="1"/>
  <c r="J62" i="1"/>
  <c r="S69" i="1"/>
  <c r="BJ141" i="1"/>
  <c r="BK141" i="1" s="1"/>
  <c r="BJ142" i="1"/>
  <c r="AJ176" i="1"/>
  <c r="BJ156" i="1"/>
  <c r="BJ160" i="1"/>
  <c r="BK160" i="1" s="1"/>
  <c r="BJ172" i="1"/>
  <c r="BK172" i="1" s="1"/>
  <c r="AJ46" i="1"/>
  <c r="IN15" i="4" s="1"/>
  <c r="IN20" i="4" s="1"/>
  <c r="BH102" i="1" s="1"/>
  <c r="BH131" i="1" s="1"/>
  <c r="IF14" i="4" s="1"/>
  <c r="HR9" i="4" s="1"/>
  <c r="IS9" i="4" s="1"/>
  <c r="Q44" i="1"/>
  <c r="IO9" i="4" s="1"/>
  <c r="HX7" i="4" s="1"/>
  <c r="AJ48" i="1"/>
  <c r="O74" i="1"/>
  <c r="AM36" i="1"/>
  <c r="AK70" i="1"/>
  <c r="U74" i="1"/>
  <c r="AL31" i="1"/>
  <c r="AL254" i="1" s="1"/>
  <c r="E74" i="1"/>
  <c r="AK69" i="1"/>
  <c r="J58" i="1"/>
  <c r="IN9" i="4" s="1"/>
  <c r="BY96" i="1"/>
  <c r="AL55" i="1"/>
  <c r="AL217" i="1" s="1"/>
  <c r="F59" i="1"/>
  <c r="J44" i="1"/>
  <c r="C45" i="1"/>
  <c r="K44" i="1"/>
  <c r="AM47" i="1"/>
  <c r="J46" i="1"/>
  <c r="D45" i="1"/>
  <c r="H32" i="1"/>
  <c r="V47" i="1"/>
  <c r="G43" i="1"/>
  <c r="G48" i="1"/>
  <c r="H46" i="1"/>
  <c r="HY9" i="4" s="1"/>
  <c r="D43" i="1"/>
  <c r="R74" i="1"/>
  <c r="I43" i="1"/>
  <c r="L70" i="1"/>
  <c r="W43" i="1"/>
  <c r="AK31" i="1"/>
  <c r="AK254" i="1" s="1"/>
  <c r="L58" i="1"/>
  <c r="Q59" i="1"/>
  <c r="AL74" i="1"/>
  <c r="BX160" i="1"/>
  <c r="BY160" i="1" s="1"/>
  <c r="P47" i="1"/>
  <c r="I47" i="1"/>
  <c r="AM43" i="1"/>
  <c r="BX148" i="1"/>
  <c r="BY148" i="1" s="1"/>
  <c r="P46" i="1"/>
  <c r="J59" i="1"/>
  <c r="P36" i="1"/>
  <c r="AJ183" i="1"/>
  <c r="AJ163" i="1"/>
  <c r="AK163" i="1" s="1"/>
  <c r="AJ173" i="1"/>
  <c r="AK173" i="1" s="1"/>
  <c r="BJ149" i="1"/>
  <c r="BK149" i="1" s="1"/>
  <c r="AJ155" i="1"/>
  <c r="JF16" i="4" s="1"/>
  <c r="JF21" i="4" s="1"/>
  <c r="BZ100" i="1" s="1"/>
  <c r="BZ117" i="1" s="1"/>
  <c r="IN16" i="4" s="1"/>
  <c r="AM32" i="1"/>
  <c r="IJ16" i="4" s="1"/>
  <c r="AK37" i="1"/>
  <c r="W55" i="1"/>
  <c r="Q36" i="1"/>
  <c r="IC8" i="4" s="1"/>
  <c r="HV9" i="4" s="1"/>
  <c r="J36" i="1"/>
  <c r="IO16" i="4" s="1"/>
  <c r="AK58" i="1"/>
  <c r="AJ47" i="1"/>
  <c r="P62" i="1"/>
  <c r="BX96" i="1"/>
  <c r="AJ68" i="1"/>
  <c r="T38" i="1"/>
  <c r="J69" i="1"/>
  <c r="IP9" i="4" s="1"/>
  <c r="C43" i="1"/>
  <c r="D38" i="1"/>
  <c r="R45" i="1"/>
  <c r="T62" i="1"/>
  <c r="IF16" i="4" s="1"/>
  <c r="H62" i="1"/>
  <c r="G186" i="1"/>
  <c r="IP16" i="4" s="1"/>
  <c r="BJ44" i="1"/>
  <c r="U44" i="1"/>
  <c r="G32" i="1"/>
  <c r="P38" i="1"/>
  <c r="I69" i="1"/>
  <c r="BX186" i="1"/>
  <c r="BY186" i="1" s="1"/>
  <c r="K36" i="1"/>
  <c r="J70" i="1"/>
  <c r="S68" i="1"/>
  <c r="R55" i="1"/>
  <c r="R217" i="1" s="1"/>
  <c r="HX9" i="4" s="1"/>
  <c r="AJ44" i="1"/>
  <c r="V55" i="1"/>
  <c r="V217" i="1" s="1"/>
  <c r="L59" i="1"/>
  <c r="R69" i="1"/>
  <c r="BX168" i="1"/>
  <c r="R48" i="1"/>
  <c r="AM55" i="1"/>
  <c r="AM217" i="1" s="1"/>
  <c r="E48" i="1"/>
  <c r="M58" i="1"/>
  <c r="I55" i="1"/>
  <c r="I217" i="1" s="1"/>
  <c r="AJ175" i="1"/>
  <c r="AK175" i="1" s="1"/>
  <c r="BJ175" i="1"/>
  <c r="BK175" i="1" s="1"/>
  <c r="AJ182" i="1"/>
  <c r="BJ150" i="1"/>
  <c r="BK150" i="1" s="1"/>
  <c r="AJ174" i="1"/>
  <c r="AK174" i="1" s="1"/>
  <c r="BJ147" i="1"/>
  <c r="BK147" i="1" s="1"/>
  <c r="BJ140" i="1"/>
  <c r="BK140" i="1" s="1"/>
  <c r="AM45" i="1"/>
  <c r="HZ9" i="4" s="1"/>
  <c r="S43" i="1"/>
  <c r="BX44" i="1"/>
  <c r="IE14" i="4" s="1"/>
  <c r="IV16" i="4" s="1"/>
  <c r="BJ37" i="1"/>
  <c r="L48" i="1"/>
  <c r="I44" i="1"/>
  <c r="HS15" i="4" s="1"/>
  <c r="BJ36" i="1"/>
  <c r="O68" i="1"/>
  <c r="P150" i="1"/>
  <c r="Q70" i="1"/>
  <c r="BJ43" i="1"/>
  <c r="J55" i="1"/>
  <c r="J217" i="1" s="1"/>
  <c r="C48" i="1"/>
  <c r="AJ59" i="1"/>
  <c r="O48" i="1"/>
  <c r="R47" i="1"/>
  <c r="P45" i="1"/>
  <c r="U59" i="1"/>
  <c r="U275" i="1" s="1"/>
  <c r="K46" i="1"/>
  <c r="T31" i="1"/>
  <c r="T254" i="1" s="1"/>
  <c r="B47" i="1"/>
  <c r="J31" i="1"/>
  <c r="J254" i="1" s="1"/>
  <c r="E55" i="1"/>
  <c r="E217" i="1" s="1"/>
  <c r="R36" i="1"/>
  <c r="K43" i="1"/>
  <c r="R62" i="1"/>
  <c r="AJ55" i="1"/>
  <c r="M47" i="1"/>
  <c r="N48" i="1"/>
  <c r="AK36" i="1"/>
  <c r="AL147" i="1"/>
  <c r="AM147" i="1" s="1"/>
  <c r="AJ169" i="1"/>
  <c r="AK169" i="1" s="1"/>
  <c r="AJ145" i="1"/>
  <c r="AK145" i="1" s="1"/>
  <c r="BJ154" i="1"/>
  <c r="BJ176" i="1"/>
  <c r="AJ170" i="1"/>
  <c r="AK170" i="1" s="1"/>
  <c r="IY9" i="4" s="1"/>
  <c r="JA16" i="4" s="1"/>
  <c r="AM48" i="1"/>
  <c r="IR16" i="4" s="1"/>
  <c r="S46" i="1"/>
  <c r="M46" i="1"/>
  <c r="P176" i="1"/>
  <c r="IT16" i="4" s="1"/>
  <c r="IQ9" i="4" s="1"/>
  <c r="HP9" i="4" s="1"/>
  <c r="IT9" i="4" s="1"/>
  <c r="IA9" i="4" s="1"/>
  <c r="I59" i="1"/>
  <c r="AL37" i="1"/>
  <c r="IG15" i="4" s="1"/>
  <c r="W70" i="1"/>
  <c r="JD16" i="4" s="1"/>
  <c r="AL59" i="1"/>
  <c r="AL275" i="1" s="1"/>
  <c r="L32" i="1"/>
  <c r="K31" i="1"/>
  <c r="K254" i="1" s="1"/>
  <c r="JI16" i="4" s="1"/>
  <c r="HX15" i="4" s="1"/>
  <c r="JC8" i="4" s="1"/>
  <c r="T45" i="1"/>
  <c r="IY16" i="4" s="1"/>
  <c r="IY21" i="4" s="1"/>
  <c r="BS100" i="1" s="1"/>
  <c r="BX68" i="1"/>
  <c r="AM58" i="1"/>
  <c r="H36" i="1"/>
  <c r="G36" i="1"/>
  <c r="T47" i="1"/>
  <c r="M43" i="1"/>
  <c r="T36" i="1"/>
  <c r="S74" i="1"/>
  <c r="M45" i="1"/>
  <c r="N46" i="1"/>
  <c r="P31" i="1"/>
  <c r="P254" i="1" s="1"/>
  <c r="AJ32" i="1"/>
  <c r="J43" i="1"/>
  <c r="W62" i="1"/>
  <c r="P43" i="1"/>
  <c r="R38" i="1"/>
  <c r="T55" i="1"/>
  <c r="T217" i="1" s="1"/>
  <c r="AL43" i="1"/>
  <c r="D55" i="1"/>
  <c r="D217" i="1" s="1"/>
  <c r="S48" i="1"/>
  <c r="C46" i="1"/>
  <c r="N74" i="1"/>
  <c r="AJ38" i="1"/>
  <c r="O38" i="1"/>
  <c r="L46" i="1"/>
  <c r="S47" i="1"/>
  <c r="T32" i="1"/>
  <c r="E44" i="1"/>
  <c r="M48" i="1"/>
  <c r="AL62" i="1"/>
  <c r="S44" i="1"/>
  <c r="V69" i="1"/>
  <c r="B44" i="1"/>
  <c r="BX158" i="1"/>
  <c r="BY158" i="1" s="1"/>
  <c r="B68" i="1"/>
  <c r="H55" i="1"/>
  <c r="H217" i="1" s="1"/>
  <c r="IS8" i="4" s="1"/>
  <c r="BX45" i="1"/>
  <c r="U55" i="1"/>
  <c r="U276" i="1" s="1"/>
  <c r="D31" i="1"/>
  <c r="D254" i="1" s="1"/>
  <c r="E38" i="1"/>
  <c r="L55" i="1"/>
  <c r="L217" i="1" s="1"/>
  <c r="Q74" i="1"/>
  <c r="AM31" i="1"/>
  <c r="AM254" i="1" s="1"/>
  <c r="H47" i="1"/>
  <c r="C58" i="1"/>
  <c r="B55" i="1"/>
  <c r="U62" i="1"/>
  <c r="W44" i="1"/>
  <c r="N70" i="1"/>
  <c r="N55" i="1"/>
  <c r="N217" i="1" s="1"/>
  <c r="G38" i="1"/>
  <c r="IU16" i="4" s="1"/>
  <c r="HS8" i="4" s="1"/>
  <c r="IK8" i="4" s="1"/>
  <c r="BX69" i="1"/>
  <c r="F36" i="1"/>
  <c r="O47" i="1"/>
  <c r="IH9" i="4" s="1"/>
  <c r="AM46" i="1"/>
  <c r="G31" i="1"/>
  <c r="G254" i="1" s="1"/>
  <c r="AL38" i="1"/>
  <c r="Q32" i="1"/>
  <c r="IC14" i="4" s="1"/>
  <c r="IA8" i="4" s="1"/>
  <c r="AK74" i="1"/>
  <c r="JA14" i="4" s="1"/>
  <c r="I68" i="1"/>
  <c r="G55" i="1"/>
  <c r="G217" i="1" s="1"/>
  <c r="H45" i="1"/>
  <c r="F44" i="1"/>
  <c r="Q58" i="1"/>
  <c r="O32" i="1"/>
  <c r="N58" i="1"/>
  <c r="P55" i="1"/>
  <c r="P217" i="1" s="1"/>
  <c r="J47" i="1"/>
  <c r="L31" i="1"/>
  <c r="L44" i="1"/>
  <c r="C74" i="1"/>
  <c r="AK48" i="1"/>
  <c r="O62" i="1"/>
  <c r="G47" i="1"/>
  <c r="HR7" i="4" s="1"/>
  <c r="HS7" i="4" s="1"/>
  <c r="B59" i="1"/>
  <c r="BX163" i="1"/>
  <c r="BY163" i="1" s="1"/>
  <c r="BZ225" i="1" s="1"/>
  <c r="K62" i="1"/>
  <c r="Q48" i="1"/>
  <c r="C62" i="1"/>
  <c r="Q38" i="1"/>
  <c r="AK43" i="1"/>
  <c r="AM44" i="1"/>
  <c r="BX156" i="1"/>
  <c r="L74" i="1"/>
  <c r="N47" i="1"/>
  <c r="O44" i="1"/>
  <c r="AL165" i="1"/>
  <c r="AM165" i="1" s="1"/>
  <c r="AL96" i="1"/>
  <c r="AL170" i="1"/>
  <c r="AM170" i="1" s="1"/>
  <c r="D145" i="1"/>
  <c r="II9" i="4" s="1"/>
  <c r="IZ9" i="4" s="1"/>
  <c r="U45" i="1"/>
  <c r="D58" i="1"/>
  <c r="P178" i="1"/>
  <c r="IU9" i="4" s="1"/>
  <c r="C36" i="1"/>
  <c r="JD14" i="4" s="1"/>
  <c r="BX37" i="1"/>
  <c r="E47" i="1"/>
  <c r="I32" i="1"/>
  <c r="Q69" i="1"/>
  <c r="L43" i="1"/>
  <c r="BJ47" i="1"/>
  <c r="Q45" i="1"/>
  <c r="L47" i="1"/>
  <c r="U58" i="1"/>
  <c r="N68" i="1"/>
  <c r="AJ43" i="1"/>
  <c r="D48" i="1"/>
  <c r="G59" i="1"/>
  <c r="V43" i="1"/>
  <c r="V36" i="1"/>
  <c r="AJ45" i="1"/>
  <c r="BX169" i="1"/>
  <c r="BY169" i="1" s="1"/>
  <c r="U38" i="1"/>
  <c r="I62" i="1"/>
  <c r="BX170" i="1"/>
  <c r="BY170" i="1" s="1"/>
  <c r="P58" i="1"/>
  <c r="V58" i="1"/>
  <c r="F47" i="1"/>
  <c r="O45" i="1"/>
  <c r="N69" i="1"/>
  <c r="G44" i="1"/>
  <c r="AK44" i="1"/>
  <c r="S58" i="1"/>
  <c r="K47" i="1"/>
  <c r="BJ166" i="1"/>
  <c r="BK166" i="1" s="1"/>
  <c r="BJ178" i="1"/>
  <c r="BK178" i="1" s="1"/>
  <c r="BJ182" i="1"/>
  <c r="BJ38" i="1"/>
  <c r="II16" i="4" s="1"/>
  <c r="IJ15" i="4" s="1"/>
  <c r="HP16" i="4" s="1"/>
  <c r="V44" i="1"/>
  <c r="IK16" i="4" s="1"/>
  <c r="BX48" i="1"/>
  <c r="IW14" i="4" s="1"/>
  <c r="IL16" i="4" s="1"/>
  <c r="IB16" i="4" s="1"/>
  <c r="M69" i="1"/>
  <c r="V46" i="1"/>
  <c r="D32" i="1"/>
  <c r="IC9" i="4" s="1"/>
  <c r="N45" i="1"/>
  <c r="L36" i="1"/>
  <c r="JB14" i="4" s="1"/>
  <c r="II8" i="4" s="1"/>
  <c r="IL9" i="4" s="1"/>
  <c r="O58" i="1"/>
  <c r="E182" i="1"/>
  <c r="T69" i="1"/>
  <c r="V74" i="1"/>
  <c r="T70" i="1"/>
  <c r="E43" i="1"/>
  <c r="V32" i="1"/>
  <c r="V33" i="1" s="1"/>
  <c r="M44" i="1"/>
  <c r="C47" i="1"/>
  <c r="HT16" i="4" s="1"/>
  <c r="B74" i="1"/>
  <c r="E46" i="1"/>
  <c r="W46" i="1"/>
  <c r="J38" i="1"/>
  <c r="BX174" i="1"/>
  <c r="BY174" i="1" s="1"/>
  <c r="K59" i="1"/>
  <c r="H70" i="1"/>
  <c r="U68" i="1"/>
  <c r="H31" i="1"/>
  <c r="H254" i="1" s="1"/>
  <c r="M62" i="1"/>
  <c r="AL46" i="1"/>
  <c r="R70" i="1"/>
  <c r="D74" i="1"/>
  <c r="M59" i="1"/>
  <c r="AL47" i="1"/>
  <c r="HT15" i="4" s="1"/>
  <c r="JI8" i="4" s="1"/>
  <c r="JG14" i="4" s="1"/>
  <c r="HS9" i="4" s="1"/>
  <c r="M55" i="1"/>
  <c r="BX62" i="1"/>
  <c r="O59" i="1"/>
  <c r="AL69" i="1"/>
  <c r="AK62" i="1"/>
  <c r="W45" i="1"/>
  <c r="C32" i="1"/>
  <c r="H43" i="1"/>
  <c r="AL32" i="1"/>
  <c r="I36" i="1"/>
  <c r="Q43" i="1"/>
  <c r="R44" i="1"/>
  <c r="R31" i="1"/>
  <c r="R254" i="1" s="1"/>
  <c r="F31" i="1"/>
  <c r="BJ46" i="1"/>
  <c r="B36" i="1"/>
  <c r="D46" i="1"/>
  <c r="F70" i="1"/>
  <c r="AK46" i="1"/>
  <c r="W68" i="1"/>
  <c r="AK55" i="1"/>
  <c r="AK217" i="1" s="1"/>
  <c r="Q46" i="1"/>
  <c r="I48" i="1"/>
  <c r="JH16" i="4" s="1"/>
  <c r="S59" i="1"/>
  <c r="T68" i="1"/>
  <c r="P59" i="1"/>
  <c r="H48" i="1"/>
  <c r="AM59" i="1"/>
  <c r="R43" i="1"/>
  <c r="B70" i="1"/>
  <c r="R58" i="1"/>
  <c r="M70" i="1"/>
  <c r="AM38" i="1"/>
  <c r="IE9" i="4" s="1"/>
  <c r="IC15" i="4" s="1"/>
  <c r="M31" i="1"/>
  <c r="M254" i="1" s="1"/>
  <c r="JC9" i="4" s="1"/>
  <c r="IJ14" i="4" s="1"/>
  <c r="JG16" i="4" s="1"/>
  <c r="J48" i="1"/>
  <c r="K55" i="1"/>
  <c r="K217" i="1" s="1"/>
  <c r="IA7" i="4" s="1"/>
  <c r="D44" i="1"/>
  <c r="BX47" i="1"/>
  <c r="F69" i="1"/>
  <c r="N32" i="1"/>
  <c r="BX187" i="1"/>
  <c r="BY187" i="1" s="1"/>
  <c r="JH9" i="4" s="1"/>
  <c r="BX46" i="1"/>
  <c r="IB7" i="4" s="1"/>
  <c r="AJ69" i="1"/>
  <c r="IP8" i="4" s="1"/>
  <c r="BX58" i="1"/>
  <c r="BX70" i="1"/>
  <c r="C59" i="1"/>
  <c r="L62" i="1"/>
  <c r="E45" i="1"/>
  <c r="W155" i="1"/>
  <c r="M74" i="1"/>
  <c r="T59" i="1"/>
  <c r="C68" i="1"/>
  <c r="K48" i="1"/>
  <c r="F58" i="1"/>
  <c r="BX145" i="1"/>
  <c r="BY145" i="1" s="1"/>
  <c r="E70" i="1"/>
  <c r="F74" i="1"/>
  <c r="J32" i="1"/>
  <c r="C70" i="1"/>
  <c r="B31" i="1"/>
  <c r="HU9" i="4" s="1"/>
  <c r="HS14" i="4" s="1"/>
  <c r="JI14" i="4" s="1"/>
  <c r="BX38" i="1"/>
  <c r="BX175" i="1"/>
  <c r="BY175" i="1" s="1"/>
  <c r="T74" i="1"/>
  <c r="D69" i="1"/>
  <c r="BX183" i="1"/>
  <c r="BX141" i="1"/>
  <c r="BY141" i="1" s="1"/>
  <c r="O69" i="1"/>
  <c r="G176" i="1"/>
  <c r="P69" i="1"/>
  <c r="H58" i="1"/>
  <c r="JE16" i="4" s="1"/>
  <c r="BX176" i="1"/>
  <c r="I38" i="1"/>
  <c r="N62" i="1"/>
  <c r="Q176" i="1"/>
  <c r="AL44" i="1"/>
  <c r="BX173" i="1"/>
  <c r="BY173" i="1" s="1"/>
  <c r="BX150" i="1"/>
  <c r="BY150" i="1" s="1"/>
  <c r="S55" i="1"/>
  <c r="S217" i="1" s="1"/>
  <c r="I31" i="1"/>
  <c r="I254" i="1" s="1"/>
  <c r="U69" i="1"/>
  <c r="BJ31" i="1"/>
  <c r="BJ254" i="1" s="1"/>
  <c r="B69" i="1"/>
  <c r="W48" i="1"/>
  <c r="D62" i="1"/>
  <c r="L45" i="1"/>
  <c r="F46" i="1"/>
  <c r="M68" i="1"/>
  <c r="D59" i="1"/>
  <c r="B45" i="1"/>
  <c r="G62" i="1"/>
  <c r="D68" i="1"/>
  <c r="AJ74" i="1"/>
  <c r="E62" i="1"/>
  <c r="C31" i="1"/>
  <c r="C254" i="1" s="1"/>
  <c r="II7" i="4"/>
  <c r="HU7" i="4"/>
  <c r="JB7" i="4"/>
  <c r="IP14" i="4"/>
  <c r="IZ8" i="4"/>
  <c r="B254" i="1"/>
  <c r="CM55" i="1"/>
  <c r="AB100" i="1"/>
  <c r="CQ100" i="1"/>
  <c r="AC163" i="1"/>
  <c r="CN88" i="1"/>
  <c r="CO86" i="1"/>
  <c r="IA21" i="4" l="1"/>
  <c r="AU100" i="1" s="1"/>
  <c r="JB8" i="4" s="1"/>
  <c r="JB16" i="4" s="1"/>
  <c r="AJ60" i="1"/>
  <c r="M275" i="1"/>
  <c r="JA21" i="4"/>
  <c r="BU100" i="1" s="1"/>
  <c r="AJ206" i="1"/>
  <c r="HS20" i="4"/>
  <c r="AM102" i="1" s="1"/>
  <c r="JC16" i="4" s="1"/>
  <c r="IO8" i="4" s="1"/>
  <c r="O33" i="1"/>
  <c r="O121" i="1" s="1"/>
  <c r="AJ186" i="1"/>
  <c r="AK186" i="1" s="1"/>
  <c r="AJ166" i="1"/>
  <c r="AK166" i="1" s="1"/>
  <c r="AJ140" i="1"/>
  <c r="AK140" i="1" s="1"/>
  <c r="AJ154" i="1"/>
  <c r="AJ158" i="1"/>
  <c r="AK158" i="1" s="1"/>
  <c r="AJ160" i="1"/>
  <c r="AK160" i="1" s="1"/>
  <c r="JB15" i="4" s="1"/>
  <c r="N49" i="1"/>
  <c r="JE7" i="4" s="1"/>
  <c r="AJ150" i="1"/>
  <c r="AK150" i="1" s="1"/>
  <c r="AJ149" i="1"/>
  <c r="AK149" i="1" s="1"/>
  <c r="IC16" i="4" s="1"/>
  <c r="IC21" i="4" s="1"/>
  <c r="AW100" i="1" s="1"/>
  <c r="HW16" i="4" s="1"/>
  <c r="HY8" i="4" s="1"/>
  <c r="IW15" i="4" s="1"/>
  <c r="O275" i="1"/>
  <c r="AL33" i="1"/>
  <c r="J33" i="1"/>
  <c r="O217" i="1"/>
  <c r="IT21" i="4"/>
  <c r="BN100" i="1" s="1"/>
  <c r="AJ33" i="1"/>
  <c r="J275" i="1"/>
  <c r="AJ203" i="1"/>
  <c r="AK203" i="1" s="1"/>
  <c r="BK225" i="1"/>
  <c r="AL149" i="1"/>
  <c r="AM149" i="1" s="1"/>
  <c r="AL186" i="1"/>
  <c r="AM186" i="1" s="1"/>
  <c r="IV9" i="4" s="1"/>
  <c r="IV21" i="4" s="1"/>
  <c r="BP100" i="1" s="1"/>
  <c r="IX15" i="4" s="1"/>
  <c r="AL176" i="1"/>
  <c r="AL206" i="1" s="1"/>
  <c r="AM206" i="1" s="1"/>
  <c r="AL140" i="1"/>
  <c r="AM140" i="1" s="1"/>
  <c r="AL163" i="1"/>
  <c r="AM163" i="1" s="1"/>
  <c r="AM225" i="1" s="1"/>
  <c r="AL158" i="1"/>
  <c r="AM158" i="1" s="1"/>
  <c r="AL182" i="1"/>
  <c r="AL142" i="1"/>
  <c r="AL141" i="1"/>
  <c r="AM141" i="1" s="1"/>
  <c r="AL173" i="1"/>
  <c r="AM173" i="1" s="1"/>
  <c r="AL156" i="1"/>
  <c r="AL97" i="1"/>
  <c r="AL148" i="1"/>
  <c r="AM148" i="1" s="1"/>
  <c r="AL166" i="1"/>
  <c r="AM166" i="1" s="1"/>
  <c r="AL177" i="1"/>
  <c r="AM177" i="1" s="1"/>
  <c r="AL167" i="1"/>
  <c r="AL168" i="1"/>
  <c r="AL203" i="1" s="1"/>
  <c r="AM203" i="1" s="1"/>
  <c r="AL150" i="1"/>
  <c r="AM150" i="1" s="1"/>
  <c r="IG9" i="4" s="1"/>
  <c r="AL160" i="1"/>
  <c r="AM160" i="1" s="1"/>
  <c r="AJ184" i="1"/>
  <c r="AK232" i="1" s="1"/>
  <c r="AL175" i="1"/>
  <c r="AM175" i="1" s="1"/>
  <c r="AL169" i="1"/>
  <c r="AM169" i="1" s="1"/>
  <c r="AL145" i="1"/>
  <c r="AM145" i="1" s="1"/>
  <c r="AL155" i="1"/>
  <c r="AL183" i="1"/>
  <c r="HV16" i="4" s="1"/>
  <c r="IM9" i="4" s="1"/>
  <c r="IE8" i="4" s="1"/>
  <c r="AL178" i="1"/>
  <c r="AM178" i="1" s="1"/>
  <c r="AL174" i="1"/>
  <c r="AM174" i="1" s="1"/>
  <c r="AL187" i="1"/>
  <c r="AM187" i="1" s="1"/>
  <c r="AL172" i="1"/>
  <c r="AM172" i="1" s="1"/>
  <c r="AL154" i="1"/>
  <c r="BJ184" i="1"/>
  <c r="BK232" i="1" s="1"/>
  <c r="IF21" i="4"/>
  <c r="AZ100" i="1" s="1"/>
  <c r="H275" i="1"/>
  <c r="R33" i="1"/>
  <c r="R121" i="1" s="1"/>
  <c r="Q276" i="1"/>
  <c r="P49" i="1"/>
  <c r="IO20" i="4"/>
  <c r="BI102" i="1" s="1"/>
  <c r="BI131" i="1" s="1"/>
  <c r="F275" i="1"/>
  <c r="J49" i="1"/>
  <c r="AM49" i="1"/>
  <c r="IO21" i="4"/>
  <c r="BI100" i="1" s="1"/>
  <c r="IP21" i="4"/>
  <c r="BJ100" i="1" s="1"/>
  <c r="G33" i="1"/>
  <c r="BX203" i="1"/>
  <c r="BY203" i="1" s="1"/>
  <c r="BJ157" i="1"/>
  <c r="IR21" i="4"/>
  <c r="BL100" i="1" s="1"/>
  <c r="BL117" i="1" s="1"/>
  <c r="IQ16" i="4" s="1"/>
  <c r="HQ9" i="4" s="1"/>
  <c r="HS16" i="4" s="1"/>
  <c r="M49" i="1"/>
  <c r="AK49" i="1"/>
  <c r="IU21" i="4"/>
  <c r="BO100" i="1" s="1"/>
  <c r="IX9" i="4" s="1"/>
  <c r="G275" i="1"/>
  <c r="JB20" i="4"/>
  <c r="BV102" i="1" s="1"/>
  <c r="BV131" i="1" s="1"/>
  <c r="IB21" i="4"/>
  <c r="AV100" i="1" s="1"/>
  <c r="IB8" i="4" s="1"/>
  <c r="HT21" i="4"/>
  <c r="AN100" i="1" s="1"/>
  <c r="AM275" i="1"/>
  <c r="AL157" i="1"/>
  <c r="AM157" i="1" s="1"/>
  <c r="AM161" i="1" s="1"/>
  <c r="IX16" i="4" s="1"/>
  <c r="IR7" i="4" s="1"/>
  <c r="IE16" i="4" s="1"/>
  <c r="IE21" i="4" s="1"/>
  <c r="AY100" i="1" s="1"/>
  <c r="IC20" i="4"/>
  <c r="AW102" i="1" s="1"/>
  <c r="AW131" i="1" s="1"/>
  <c r="D49" i="1"/>
  <c r="JC14" i="4" s="1"/>
  <c r="JG9" i="4" s="1"/>
  <c r="JI9" i="4" s="1"/>
  <c r="ID8" i="4" s="1"/>
  <c r="C275" i="1"/>
  <c r="IR8" i="4" s="1"/>
  <c r="T275" i="1"/>
  <c r="BY143" i="1"/>
  <c r="JE21" i="4"/>
  <c r="BY100" i="1" s="1"/>
  <c r="JB9" i="4" s="1"/>
  <c r="ID9" i="4" s="1"/>
  <c r="ID21" i="4" s="1"/>
  <c r="AX100" i="1" s="1"/>
  <c r="BX206" i="1"/>
  <c r="BY206" i="1" s="1"/>
  <c r="D275" i="1"/>
  <c r="K33" i="1"/>
  <c r="AL202" i="1"/>
  <c r="AM202" i="1" s="1"/>
  <c r="V121" i="1"/>
  <c r="V276" i="1"/>
  <c r="IG21" i="4"/>
  <c r="BA100" i="1" s="1"/>
  <c r="N33" i="1"/>
  <c r="C33" i="1"/>
  <c r="G276" i="1"/>
  <c r="S275" i="1"/>
  <c r="J276" i="1"/>
  <c r="H276" i="1"/>
  <c r="CA121" i="1"/>
  <c r="CA122" i="1" s="1"/>
  <c r="AK33" i="1"/>
  <c r="N276" i="1"/>
  <c r="D276" i="1"/>
  <c r="H33" i="1"/>
  <c r="AI219" i="1"/>
  <c r="AI221" i="1" s="1"/>
  <c r="U217" i="1"/>
  <c r="HQ14" i="4"/>
  <c r="IV14" i="4"/>
  <c r="IQ14" i="4"/>
  <c r="IM15" i="4"/>
  <c r="K49" i="1"/>
  <c r="IL21" i="4"/>
  <c r="BF100" i="1" s="1"/>
  <c r="HW7" i="4"/>
  <c r="JA7" i="4"/>
  <c r="JA19" i="4" s="1"/>
  <c r="BU101" i="1" s="1"/>
  <c r="BU130" i="1" s="1"/>
  <c r="HP7" i="4"/>
  <c r="IX8" i="4"/>
  <c r="AL225" i="1"/>
  <c r="HP8" i="4"/>
  <c r="AM151" i="1"/>
  <c r="BX202" i="1"/>
  <c r="BY202" i="1" s="1"/>
  <c r="V34" i="1"/>
  <c r="BX275" i="1"/>
  <c r="IX14" i="4"/>
  <c r="IF15" i="4"/>
  <c r="F33" i="1"/>
  <c r="F121" i="1" s="1"/>
  <c r="B275" i="1"/>
  <c r="II14" i="4"/>
  <c r="IK7" i="4"/>
  <c r="IC7" i="4"/>
  <c r="IC19" i="4" s="1"/>
  <c r="AW101" i="1" s="1"/>
  <c r="AW130" i="1" s="1"/>
  <c r="HQ7" i="4"/>
  <c r="IF8" i="4"/>
  <c r="IZ21" i="4"/>
  <c r="BT100" i="1" s="1"/>
  <c r="IT15" i="4"/>
  <c r="JD7" i="4"/>
  <c r="JD19" i="4" s="1"/>
  <c r="BX101" i="1" s="1"/>
  <c r="JH14" i="4"/>
  <c r="BJ202" i="1"/>
  <c r="BK202" i="1" s="1"/>
  <c r="IZ14" i="4"/>
  <c r="IL8" i="4"/>
  <c r="JF15" i="4"/>
  <c r="IL15" i="4"/>
  <c r="AK151" i="1"/>
  <c r="IU8" i="4"/>
  <c r="JG7" i="4"/>
  <c r="JG19" i="4" s="1"/>
  <c r="CA101" i="1" s="1"/>
  <c r="CA130" i="1" s="1"/>
  <c r="B33" i="1"/>
  <c r="C34" i="1" s="1"/>
  <c r="AJ143" i="1"/>
  <c r="V49" i="1"/>
  <c r="V50" i="1" s="1"/>
  <c r="AJ157" i="1"/>
  <c r="AK56" i="1" s="1"/>
  <c r="JI21" i="4"/>
  <c r="CC100" i="1" s="1"/>
  <c r="CC108" i="1" s="1"/>
  <c r="HS21" i="4"/>
  <c r="AM100" i="1" s="1"/>
  <c r="R275" i="1"/>
  <c r="JE14" i="4"/>
  <c r="JE19" i="4" s="1"/>
  <c r="BY101" i="1" s="1"/>
  <c r="HX21" i="4"/>
  <c r="AR100" i="1" s="1"/>
  <c r="IL14" i="4"/>
  <c r="AL184" i="1"/>
  <c r="AM232" i="1" s="1"/>
  <c r="I276" i="1"/>
  <c r="IA14" i="4"/>
  <c r="IA19" i="4" s="1"/>
  <c r="AU101" i="1" s="1"/>
  <c r="AU130" i="1" s="1"/>
  <c r="JA8" i="4"/>
  <c r="M33" i="1"/>
  <c r="AM33" i="1"/>
  <c r="AM50" i="1" s="1"/>
  <c r="P275" i="1"/>
  <c r="IY14" i="4"/>
  <c r="BX184" i="1"/>
  <c r="BY232" i="1" s="1"/>
  <c r="IW8" i="4"/>
  <c r="IW20" i="4" s="1"/>
  <c r="BQ102" i="1" s="1"/>
  <c r="BQ131" i="1" s="1"/>
  <c r="O276" i="1"/>
  <c r="IK14" i="4"/>
  <c r="BY225" i="1"/>
  <c r="L33" i="1"/>
  <c r="L34" i="1" s="1"/>
  <c r="HR15" i="4"/>
  <c r="L49" i="1"/>
  <c r="IR15" i="4"/>
  <c r="IR20" i="4" s="1"/>
  <c r="BL102" i="1" s="1"/>
  <c r="JI15" i="4"/>
  <c r="JI20" i="4" s="1"/>
  <c r="CC102" i="1" s="1"/>
  <c r="H49" i="1"/>
  <c r="X211" i="1"/>
  <c r="HS19" i="4"/>
  <c r="AM101" i="1" s="1"/>
  <c r="AM130" i="1" s="1"/>
  <c r="AL39" i="1"/>
  <c r="AL40" i="1" s="1"/>
  <c r="IJ8" i="4"/>
  <c r="IJ20" i="4" s="1"/>
  <c r="BD102" i="1" s="1"/>
  <c r="BD131" i="1" s="1"/>
  <c r="BX276" i="1"/>
  <c r="U39" i="1"/>
  <c r="U40" i="1" s="1"/>
  <c r="F276" i="1"/>
  <c r="HW8" i="4"/>
  <c r="Q49" i="1"/>
  <c r="T49" i="1"/>
  <c r="IT7" i="4"/>
  <c r="P206" i="1"/>
  <c r="IS7" i="4"/>
  <c r="O49" i="1"/>
  <c r="G49" i="1"/>
  <c r="HR14" i="4"/>
  <c r="HR19" i="4" s="1"/>
  <c r="AL101" i="1" s="1"/>
  <c r="IU14" i="4"/>
  <c r="Q206" i="1"/>
  <c r="IW7" i="4"/>
  <c r="IW19" i="4" s="1"/>
  <c r="BQ101" i="1" s="1"/>
  <c r="BQ130" i="1" s="1"/>
  <c r="JC7" i="4"/>
  <c r="JC19" i="4" s="1"/>
  <c r="BW101" i="1" s="1"/>
  <c r="BW130" i="1" s="1"/>
  <c r="IG7" i="4"/>
  <c r="IG19" i="4" s="1"/>
  <c r="BA101" i="1" s="1"/>
  <c r="BA130" i="1" s="1"/>
  <c r="P276" i="1"/>
  <c r="Q33" i="1"/>
  <c r="Q121" i="1" s="1"/>
  <c r="HV15" i="4"/>
  <c r="S49" i="1"/>
  <c r="IY8" i="4"/>
  <c r="I49" i="1"/>
  <c r="BX49" i="1"/>
  <c r="BX50" i="1" s="1"/>
  <c r="I275" i="1"/>
  <c r="BJ203" i="1"/>
  <c r="BK203" i="1" s="1"/>
  <c r="I33" i="1"/>
  <c r="I39" i="1" s="1"/>
  <c r="I40" i="1" s="1"/>
  <c r="IU7" i="4"/>
  <c r="BK151" i="1"/>
  <c r="BL229" i="1" s="1"/>
  <c r="R49" i="1"/>
  <c r="AL49" i="1"/>
  <c r="F49" i="1"/>
  <c r="IH15" i="4"/>
  <c r="U49" i="1"/>
  <c r="V211" i="1"/>
  <c r="HQ15" i="4"/>
  <c r="BJ179" i="1"/>
  <c r="BJ208" i="1" s="1"/>
  <c r="C49" i="1"/>
  <c r="IJ7" i="4"/>
  <c r="IJ19" i="4" s="1"/>
  <c r="BD101" i="1" s="1"/>
  <c r="BD130" i="1" s="1"/>
  <c r="BX171" i="1"/>
  <c r="BX205" i="1" s="1"/>
  <c r="IV15" i="4"/>
  <c r="AJ49" i="1"/>
  <c r="W49" i="1"/>
  <c r="W50" i="1" s="1"/>
  <c r="BJ171" i="1"/>
  <c r="BJ205" i="1" s="1"/>
  <c r="U121" i="1"/>
  <c r="B276" i="1"/>
  <c r="JC21" i="4"/>
  <c r="BW100" i="1" s="1"/>
  <c r="W121" i="1"/>
  <c r="W34" i="1"/>
  <c r="W211" i="1"/>
  <c r="ID14" i="4"/>
  <c r="IU15" i="4"/>
  <c r="AJ179" i="1"/>
  <c r="AJ208" i="1" s="1"/>
  <c r="IQ15" i="4"/>
  <c r="HX8" i="4"/>
  <c r="HX20" i="4" s="1"/>
  <c r="AR102" i="1" s="1"/>
  <c r="AR131" i="1" s="1"/>
  <c r="HT7" i="4"/>
  <c r="HT19" i="4" s="1"/>
  <c r="AN101" i="1" s="1"/>
  <c r="AN130" i="1" s="1"/>
  <c r="ID7" i="4"/>
  <c r="HY7" i="4"/>
  <c r="C276" i="1"/>
  <c r="IH21" i="4"/>
  <c r="BB100" i="1" s="1"/>
  <c r="L275" i="1"/>
  <c r="IN21" i="4"/>
  <c r="BH100" i="1" s="1"/>
  <c r="T33" i="1"/>
  <c r="T121" i="1" s="1"/>
  <c r="HZ15" i="4"/>
  <c r="IQ21" i="4"/>
  <c r="BK100" i="1" s="1"/>
  <c r="HZ14" i="4"/>
  <c r="IM14" i="4"/>
  <c r="IF7" i="4"/>
  <c r="IF19" i="4" s="1"/>
  <c r="AZ101" i="1" s="1"/>
  <c r="AZ130" i="1" s="1"/>
  <c r="IZ15" i="4"/>
  <c r="IZ20" i="4" s="1"/>
  <c r="BT102" i="1" s="1"/>
  <c r="BT131" i="1" s="1"/>
  <c r="HR8" i="4"/>
  <c r="HQ8" i="4"/>
  <c r="IV7" i="4"/>
  <c r="BJ143" i="1"/>
  <c r="BJ115" i="1" s="1"/>
  <c r="K276" i="1"/>
  <c r="AM276" i="1"/>
  <c r="AM121" i="1"/>
  <c r="AM122" i="1" s="1"/>
  <c r="L276" i="1"/>
  <c r="L254" i="1"/>
  <c r="IN7" i="4"/>
  <c r="JG21" i="4"/>
  <c r="CA100" i="1" s="1"/>
  <c r="CA117" i="1" s="1"/>
  <c r="JH7" i="4"/>
  <c r="IO14" i="4"/>
  <c r="E49" i="1"/>
  <c r="IK21" i="4"/>
  <c r="BE100" i="1" s="1"/>
  <c r="JI7" i="4"/>
  <c r="JI19" i="4" s="1"/>
  <c r="CC101" i="1" s="1"/>
  <c r="HT8" i="4"/>
  <c r="HT20" i="4" s="1"/>
  <c r="AN102" i="1" s="1"/>
  <c r="AN131" i="1" s="1"/>
  <c r="IX7" i="4"/>
  <c r="IL7" i="4"/>
  <c r="IE15" i="4"/>
  <c r="IO7" i="4"/>
  <c r="IH14" i="4"/>
  <c r="E33" i="1"/>
  <c r="HU15" i="4"/>
  <c r="HU20" i="4" s="1"/>
  <c r="AO102" i="1" s="1"/>
  <c r="AO131" i="1" s="1"/>
  <c r="JB21" i="4"/>
  <c r="BV100" i="1" s="1"/>
  <c r="IH7" i="4"/>
  <c r="JG15" i="4"/>
  <c r="IP7" i="4"/>
  <c r="IP19" i="4" s="1"/>
  <c r="BJ101" i="1" s="1"/>
  <c r="BJ130" i="1" s="1"/>
  <c r="IM7" i="4"/>
  <c r="N275" i="1"/>
  <c r="W39" i="1"/>
  <c r="BX157" i="1"/>
  <c r="IR14" i="4"/>
  <c r="BX179" i="1"/>
  <c r="BX208" i="1" s="1"/>
  <c r="JG8" i="4"/>
  <c r="HY21" i="4"/>
  <c r="AS100" i="1" s="1"/>
  <c r="II21" i="4"/>
  <c r="BC100" i="1" s="1"/>
  <c r="JD21" i="4"/>
  <c r="BX100" i="1" s="1"/>
  <c r="W276" i="1"/>
  <c r="W217" i="1"/>
  <c r="IQ7" i="4"/>
  <c r="HX14" i="4"/>
  <c r="HX19" i="4" s="1"/>
  <c r="AR101" i="1" s="1"/>
  <c r="AR130" i="1" s="1"/>
  <c r="AJ225" i="1"/>
  <c r="R276" i="1"/>
  <c r="JB19" i="4"/>
  <c r="BV101" i="1" s="1"/>
  <c r="BV130" i="1" s="1"/>
  <c r="HP14" i="4"/>
  <c r="BX143" i="1"/>
  <c r="BX115" i="1" s="1"/>
  <c r="HY14" i="4"/>
  <c r="BY151" i="1"/>
  <c r="BJ151" i="1"/>
  <c r="F254" i="1"/>
  <c r="BX151" i="1"/>
  <c r="BX152" i="1" s="1"/>
  <c r="S276" i="1"/>
  <c r="Q254" i="1"/>
  <c r="P33" i="1"/>
  <c r="BJ206" i="1"/>
  <c r="BK206" i="1" s="1"/>
  <c r="G206" i="1"/>
  <c r="IY7" i="4"/>
  <c r="IE7" i="4"/>
  <c r="IE19" i="4" s="1"/>
  <c r="AY101" i="1" s="1"/>
  <c r="AY130" i="1" s="1"/>
  <c r="ID15" i="4"/>
  <c r="ID20" i="4" s="1"/>
  <c r="AX102" i="1" s="1"/>
  <c r="AX131" i="1" s="1"/>
  <c r="IX21" i="4"/>
  <c r="BR100" i="1" s="1"/>
  <c r="M217" i="1"/>
  <c r="M276" i="1"/>
  <c r="JD15" i="4"/>
  <c r="IA15" i="4"/>
  <c r="IA20" i="4" s="1"/>
  <c r="AU102" i="1" s="1"/>
  <c r="AU131" i="1" s="1"/>
  <c r="JA15" i="4"/>
  <c r="HV8" i="4"/>
  <c r="D33" i="1"/>
  <c r="JF14" i="4"/>
  <c r="IZ7" i="4"/>
  <c r="JD8" i="4"/>
  <c r="IB14" i="4"/>
  <c r="IB19" i="4" s="1"/>
  <c r="AV101" i="1" s="1"/>
  <c r="AV130" i="1" s="1"/>
  <c r="IB15" i="4"/>
  <c r="HP15" i="4"/>
  <c r="IY15" i="4"/>
  <c r="JF7" i="4"/>
  <c r="JH15" i="4"/>
  <c r="V39" i="1"/>
  <c r="HU21" i="4"/>
  <c r="AO100" i="1" s="1"/>
  <c r="IT8" i="4"/>
  <c r="JH8" i="4"/>
  <c r="T276" i="1"/>
  <c r="IH8" i="4"/>
  <c r="IM8" i="4"/>
  <c r="IQ8" i="4"/>
  <c r="AL276" i="1"/>
  <c r="IS14" i="4"/>
  <c r="HV14" i="4"/>
  <c r="HV19" i="4" s="1"/>
  <c r="AP101" i="1" s="1"/>
  <c r="AP130" i="1" s="1"/>
  <c r="AK225" i="1"/>
  <c r="Q275" i="1"/>
  <c r="IN14" i="4"/>
  <c r="JH21" i="4"/>
  <c r="CB100" i="1" s="1"/>
  <c r="K275" i="1"/>
  <c r="IT14" i="4"/>
  <c r="JE15" i="4"/>
  <c r="JE20" i="4" s="1"/>
  <c r="BY102" i="1" s="1"/>
  <c r="BY131" i="1" s="1"/>
  <c r="JC15" i="4"/>
  <c r="JC20" i="4" s="1"/>
  <c r="BW102" i="1" s="1"/>
  <c r="BW131" i="1" s="1"/>
  <c r="IP15" i="4"/>
  <c r="IP20" i="4" s="1"/>
  <c r="BJ102" i="1" s="1"/>
  <c r="BJ131" i="1" s="1"/>
  <c r="B49" i="1"/>
  <c r="IS15" i="4"/>
  <c r="IS20" i="4" s="1"/>
  <c r="BM102" i="1" s="1"/>
  <c r="BM131" i="1" s="1"/>
  <c r="HP21" i="4"/>
  <c r="AJ100" i="1" s="1"/>
  <c r="AJ217" i="1"/>
  <c r="AJ56" i="1"/>
  <c r="HW14" i="4"/>
  <c r="HY15" i="4"/>
  <c r="JF8" i="4"/>
  <c r="HZ21" i="4"/>
  <c r="AT100" i="1" s="1"/>
  <c r="HZ8" i="4"/>
  <c r="HZ7" i="4"/>
  <c r="HW15" i="4"/>
  <c r="II20" i="4"/>
  <c r="BC102" i="1" s="1"/>
  <c r="BC131" i="1" s="1"/>
  <c r="BX39" i="1"/>
  <c r="BY42" i="1" s="1"/>
  <c r="CB34" i="1"/>
  <c r="CC211" i="1"/>
  <c r="HU19" i="4"/>
  <c r="AO101" i="1" s="1"/>
  <c r="AO130" i="1" s="1"/>
  <c r="IG20" i="4"/>
  <c r="BA102" i="1" s="1"/>
  <c r="BA131" i="1" s="1"/>
  <c r="S39" i="1"/>
  <c r="S40" i="1" s="1"/>
  <c r="BY35" i="1"/>
  <c r="CB41" i="1"/>
  <c r="CM217" i="1"/>
  <c r="CM155" i="1"/>
  <c r="CM157" i="1" s="1"/>
  <c r="CM161" i="1" s="1"/>
  <c r="CM226" i="1" s="1"/>
  <c r="CM224" i="1" s="1"/>
  <c r="CR100" i="1"/>
  <c r="AC225" i="1"/>
  <c r="AB172" i="1"/>
  <c r="AB140" i="1"/>
  <c r="CO88" i="1"/>
  <c r="CP86" i="1"/>
  <c r="CA248" i="1"/>
  <c r="HY20" i="4" l="1"/>
  <c r="AS102" i="1" s="1"/>
  <c r="AS131" i="1" s="1"/>
  <c r="AJ39" i="1"/>
  <c r="AJ40" i="1" s="1"/>
  <c r="AL151" i="1"/>
  <c r="AL143" i="1"/>
  <c r="AL152" i="1" s="1"/>
  <c r="AL50" i="1"/>
  <c r="C50" i="1"/>
  <c r="AJ50" i="1"/>
  <c r="AJ151" i="1"/>
  <c r="AJ229" i="1" s="1"/>
  <c r="AL179" i="1"/>
  <c r="AL208" i="1" s="1"/>
  <c r="AL207" i="1" s="1"/>
  <c r="O39" i="1"/>
  <c r="O40" i="1" s="1"/>
  <c r="AL171" i="1"/>
  <c r="AJ171" i="1"/>
  <c r="AJ205" i="1" s="1"/>
  <c r="P211" i="1"/>
  <c r="J39" i="1"/>
  <c r="J40" i="1" s="1"/>
  <c r="J121" i="1"/>
  <c r="AM131" i="1"/>
  <c r="IX19" i="4"/>
  <c r="BR101" i="1" s="1"/>
  <c r="BR130" i="1" s="1"/>
  <c r="IE20" i="4"/>
  <c r="AY102" i="1" s="1"/>
  <c r="AY131" i="1" s="1"/>
  <c r="HV21" i="4"/>
  <c r="AP100" i="1" s="1"/>
  <c r="HW21" i="4"/>
  <c r="AQ100" i="1" s="1"/>
  <c r="IM21" i="4"/>
  <c r="BG100" i="1" s="1"/>
  <c r="IR19" i="4"/>
  <c r="BL101" i="1" s="1"/>
  <c r="BL130" i="1" s="1"/>
  <c r="BL133" i="1" s="1"/>
  <c r="BX207" i="1"/>
  <c r="IQ19" i="4"/>
  <c r="BK101" i="1" s="1"/>
  <c r="BK130" i="1" s="1"/>
  <c r="HV20" i="4"/>
  <c r="AP102" i="1" s="1"/>
  <c r="AP131" i="1" s="1"/>
  <c r="D50" i="1"/>
  <c r="IB20" i="4"/>
  <c r="AV102" i="1" s="1"/>
  <c r="AV131" i="1" s="1"/>
  <c r="HP20" i="4"/>
  <c r="AJ102" i="1" s="1"/>
  <c r="HQ21" i="4"/>
  <c r="AK100" i="1" s="1"/>
  <c r="IM20" i="4"/>
  <c r="BG102" i="1" s="1"/>
  <c r="BG131" i="1" s="1"/>
  <c r="CC125" i="1"/>
  <c r="IX20" i="4"/>
  <c r="BR102" i="1" s="1"/>
  <c r="BR131" i="1" s="1"/>
  <c r="IK15" i="4"/>
  <c r="IY20" i="4"/>
  <c r="BS102" i="1" s="1"/>
  <c r="BS131" i="1" s="1"/>
  <c r="B50" i="1"/>
  <c r="R39" i="1"/>
  <c r="R40" i="1" s="1"/>
  <c r="S211" i="1"/>
  <c r="S34" i="1"/>
  <c r="BJ161" i="1"/>
  <c r="M34" i="1"/>
  <c r="IK19" i="4"/>
  <c r="BE101" i="1" s="1"/>
  <c r="BE130" i="1" s="1"/>
  <c r="AL191" i="1"/>
  <c r="JD20" i="4"/>
  <c r="BX102" i="1" s="1"/>
  <c r="BX131" i="1" s="1"/>
  <c r="JF19" i="4"/>
  <c r="BZ101" i="1" s="1"/>
  <c r="BZ118" i="1" s="1"/>
  <c r="JF20" i="4"/>
  <c r="BZ102" i="1" s="1"/>
  <c r="II19" i="4"/>
  <c r="BC101" i="1" s="1"/>
  <c r="BC130" i="1" s="1"/>
  <c r="HQ19" i="4"/>
  <c r="AK101" i="1" s="1"/>
  <c r="G121" i="1"/>
  <c r="G39" i="1"/>
  <c r="G40" i="1" s="1"/>
  <c r="K121" i="1"/>
  <c r="K39" i="1"/>
  <c r="K40" i="1" s="1"/>
  <c r="L211" i="1"/>
  <c r="C39" i="1"/>
  <c r="K211" i="1"/>
  <c r="K34" i="1"/>
  <c r="BZ230" i="1"/>
  <c r="H39" i="1"/>
  <c r="H40" i="1" s="1"/>
  <c r="H121" i="1"/>
  <c r="H34" i="1"/>
  <c r="IF20" i="4"/>
  <c r="AZ102" i="1" s="1"/>
  <c r="AZ131" i="1" s="1"/>
  <c r="M211" i="1"/>
  <c r="M39" i="1"/>
  <c r="O34" i="1"/>
  <c r="O211" i="1"/>
  <c r="N121" i="1"/>
  <c r="N39" i="1"/>
  <c r="N211" i="1"/>
  <c r="N34" i="1"/>
  <c r="BY115" i="1"/>
  <c r="AK50" i="1"/>
  <c r="G211" i="1"/>
  <c r="F39" i="1"/>
  <c r="AK39" i="1"/>
  <c r="AK35" i="1"/>
  <c r="AL35" i="1"/>
  <c r="H211" i="1"/>
  <c r="I211" i="1"/>
  <c r="AM248" i="1"/>
  <c r="C211" i="1"/>
  <c r="BK157" i="1"/>
  <c r="AM56" i="1"/>
  <c r="AL161" i="1"/>
  <c r="AL130" i="1"/>
  <c r="JH19" i="4"/>
  <c r="CB101" i="1" s="1"/>
  <c r="L121" i="1"/>
  <c r="IT19" i="4"/>
  <c r="BN101" i="1" s="1"/>
  <c r="BN130" i="1" s="1"/>
  <c r="L39" i="1"/>
  <c r="AM35" i="1"/>
  <c r="B39" i="1"/>
  <c r="B51" i="1" s="1"/>
  <c r="M121" i="1"/>
  <c r="IZ19" i="4"/>
  <c r="BT101" i="1" s="1"/>
  <c r="BT130" i="1" s="1"/>
  <c r="BX204" i="1"/>
  <c r="AM39" i="1"/>
  <c r="BY230" i="1"/>
  <c r="I121" i="1"/>
  <c r="IN19" i="4"/>
  <c r="BH101" i="1" s="1"/>
  <c r="BH130" i="1" s="1"/>
  <c r="BX117" i="1"/>
  <c r="F211" i="1"/>
  <c r="IL19" i="4"/>
  <c r="BF101" i="1" s="1"/>
  <c r="BF130" i="1" s="1"/>
  <c r="AJ161" i="1"/>
  <c r="G34" i="1"/>
  <c r="HP19" i="4"/>
  <c r="AJ101" i="1" s="1"/>
  <c r="IV19" i="4"/>
  <c r="BP101" i="1" s="1"/>
  <c r="BP130" i="1" s="1"/>
  <c r="HW19" i="4"/>
  <c r="AQ101" i="1" s="1"/>
  <c r="AQ130" i="1" s="1"/>
  <c r="F34" i="1"/>
  <c r="AK157" i="1"/>
  <c r="AL56" i="1" s="1"/>
  <c r="IT20" i="4"/>
  <c r="BN102" i="1" s="1"/>
  <c r="BN131" i="1" s="1"/>
  <c r="BL119" i="1"/>
  <c r="BL131" i="1"/>
  <c r="BL134" i="1" s="1"/>
  <c r="BY130" i="1"/>
  <c r="BY112" i="1"/>
  <c r="BX112" i="1"/>
  <c r="BX130" i="1"/>
  <c r="AM125" i="1"/>
  <c r="CC117" i="1"/>
  <c r="JG20" i="4"/>
  <c r="CA102" i="1" s="1"/>
  <c r="BJ207" i="1"/>
  <c r="BX40" i="1"/>
  <c r="IL20" i="4"/>
  <c r="BF102" i="1" s="1"/>
  <c r="BF131" i="1" s="1"/>
  <c r="BL272" i="1"/>
  <c r="JA20" i="4"/>
  <c r="BU102" i="1" s="1"/>
  <c r="BU131" i="1" s="1"/>
  <c r="IY19" i="4"/>
  <c r="BS101" i="1" s="1"/>
  <c r="BS130" i="1" s="1"/>
  <c r="BK272" i="1"/>
  <c r="IU20" i="4"/>
  <c r="BO102" i="1" s="1"/>
  <c r="BO131" i="1" s="1"/>
  <c r="IU19" i="4"/>
  <c r="BO101" i="1" s="1"/>
  <c r="BO130" i="1" s="1"/>
  <c r="BJ180" i="1"/>
  <c r="IS19" i="4"/>
  <c r="BM101" i="1" s="1"/>
  <c r="BM130" i="1" s="1"/>
  <c r="BX191" i="1"/>
  <c r="BX132" i="1" s="1"/>
  <c r="BX118" i="1"/>
  <c r="CC110" i="1"/>
  <c r="CC127" i="1"/>
  <c r="CC119" i="1"/>
  <c r="CC131" i="1"/>
  <c r="R211" i="1"/>
  <c r="Q39" i="1"/>
  <c r="Q40" i="1" s="1"/>
  <c r="AL51" i="1"/>
  <c r="AL52" i="1" s="1"/>
  <c r="W51" i="1"/>
  <c r="W255" i="1" s="1"/>
  <c r="W256" i="1" s="1"/>
  <c r="R34" i="1"/>
  <c r="Q211" i="1"/>
  <c r="IH19" i="4"/>
  <c r="BB101" i="1" s="1"/>
  <c r="BB130" i="1" s="1"/>
  <c r="HQ20" i="4"/>
  <c r="AK102" i="1" s="1"/>
  <c r="HW20" i="4"/>
  <c r="AQ102" i="1" s="1"/>
  <c r="AQ131" i="1" s="1"/>
  <c r="U34" i="1"/>
  <c r="V41" i="1"/>
  <c r="HR20" i="4"/>
  <c r="AL102" i="1" s="1"/>
  <c r="AL131" i="1" s="1"/>
  <c r="P34" i="1"/>
  <c r="V51" i="1"/>
  <c r="V52" i="1" s="1"/>
  <c r="P39" i="1"/>
  <c r="BJ191" i="1"/>
  <c r="BJ132" i="1" s="1"/>
  <c r="BJ133" i="1" s="1"/>
  <c r="BJ152" i="1"/>
  <c r="IH20" i="4"/>
  <c r="BB102" i="1" s="1"/>
  <c r="BB131" i="1" s="1"/>
  <c r="P121" i="1"/>
  <c r="CA125" i="1"/>
  <c r="HZ20" i="4"/>
  <c r="AT102" i="1" s="1"/>
  <c r="AT131" i="1" s="1"/>
  <c r="BX51" i="1"/>
  <c r="BY273" i="1" s="1"/>
  <c r="AJ220" i="1"/>
  <c r="BJ271" i="1"/>
  <c r="J34" i="1"/>
  <c r="Q34" i="1"/>
  <c r="E50" i="1"/>
  <c r="BK229" i="1"/>
  <c r="J211" i="1"/>
  <c r="I34" i="1"/>
  <c r="CC109" i="1"/>
  <c r="CF113" i="1" s="1"/>
  <c r="CC118" i="1"/>
  <c r="CC130" i="1"/>
  <c r="CC126" i="1"/>
  <c r="JH20" i="4"/>
  <c r="CB102" i="1" s="1"/>
  <c r="BZ229" i="1"/>
  <c r="BZ272" i="1"/>
  <c r="BZ274" i="1" s="1"/>
  <c r="BY229" i="1"/>
  <c r="CB108" i="1"/>
  <c r="CB125" i="1"/>
  <c r="CB117" i="1"/>
  <c r="HY19" i="4"/>
  <c r="AS101" i="1" s="1"/>
  <c r="AS130" i="1" s="1"/>
  <c r="BY272" i="1"/>
  <c r="D211" i="1"/>
  <c r="U211" i="1"/>
  <c r="BX180" i="1"/>
  <c r="IO19" i="4"/>
  <c r="BI101" i="1" s="1"/>
  <c r="BI130" i="1" s="1"/>
  <c r="BX209" i="1"/>
  <c r="CB212" i="1" s="1"/>
  <c r="BY157" i="1"/>
  <c r="BX161" i="1"/>
  <c r="BY56" i="1"/>
  <c r="IQ20" i="4"/>
  <c r="BK102" i="1" s="1"/>
  <c r="BK131" i="1" s="1"/>
  <c r="HZ19" i="4"/>
  <c r="AT101" i="1" s="1"/>
  <c r="AT130" i="1" s="1"/>
  <c r="CA126" i="1"/>
  <c r="AM126" i="1"/>
  <c r="T211" i="1"/>
  <c r="BX271" i="1"/>
  <c r="BY152" i="1"/>
  <c r="W40" i="1"/>
  <c r="X41" i="1"/>
  <c r="D34" i="1"/>
  <c r="D39" i="1"/>
  <c r="T39" i="1"/>
  <c r="U41" i="1" s="1"/>
  <c r="CA118" i="1"/>
  <c r="IM19" i="4"/>
  <c r="BG101" i="1" s="1"/>
  <c r="BG130" i="1" s="1"/>
  <c r="AM127" i="1"/>
  <c r="AM42" i="1"/>
  <c r="T34" i="1"/>
  <c r="V40" i="1"/>
  <c r="W41" i="1"/>
  <c r="E211" i="1"/>
  <c r="E39" i="1"/>
  <c r="E121" i="1"/>
  <c r="E34" i="1"/>
  <c r="ID19" i="4"/>
  <c r="AX101" i="1" s="1"/>
  <c r="AX130" i="1" s="1"/>
  <c r="BJ117" i="1"/>
  <c r="BJ118" i="1"/>
  <c r="BJ119" i="1"/>
  <c r="BJ209" i="1"/>
  <c r="BJ204" i="1"/>
  <c r="CN55" i="1"/>
  <c r="CS100" i="1"/>
  <c r="AB186" i="1"/>
  <c r="CP88" i="1"/>
  <c r="CQ86" i="1"/>
  <c r="AC140" i="1"/>
  <c r="AC172" i="1"/>
  <c r="CB248" i="1"/>
  <c r="BQ1" i="1"/>
  <c r="BR1" i="1" s="1"/>
  <c r="BS1" i="1" s="1"/>
  <c r="BT1" i="1" s="1"/>
  <c r="AM272" i="1" l="1"/>
  <c r="AL229" i="1"/>
  <c r="AM229" i="1"/>
  <c r="AL180" i="1"/>
  <c r="J41" i="1"/>
  <c r="AL272" i="1"/>
  <c r="AL205" i="1"/>
  <c r="AL204" i="1" s="1"/>
  <c r="AL271" i="1"/>
  <c r="AL115" i="1"/>
  <c r="AJ51" i="1"/>
  <c r="AJ255" i="1" s="1"/>
  <c r="AJ256" i="1" s="1"/>
  <c r="AJ180" i="1"/>
  <c r="AJ188" i="1" s="1"/>
  <c r="AJ219" i="1"/>
  <c r="AJ191" i="1"/>
  <c r="AK60" i="1" s="1"/>
  <c r="AK229" i="1"/>
  <c r="AJ152" i="1"/>
  <c r="AL132" i="1"/>
  <c r="AM60" i="1"/>
  <c r="IK20" i="4"/>
  <c r="BE102" i="1" s="1"/>
  <c r="BE131" i="1" s="1"/>
  <c r="IS16" i="4" s="1"/>
  <c r="HR16" i="4"/>
  <c r="HR21" i="4" s="1"/>
  <c r="AL100" i="1" s="1"/>
  <c r="CB126" i="1"/>
  <c r="CB109" i="1"/>
  <c r="CB130" i="1"/>
  <c r="CB133" i="1" s="1"/>
  <c r="CB136" i="1" s="1"/>
  <c r="X53" i="1"/>
  <c r="CB118" i="1"/>
  <c r="BZ130" i="1"/>
  <c r="BZ133" i="1" s="1"/>
  <c r="BY228" i="1"/>
  <c r="BX119" i="1"/>
  <c r="BL118" i="1"/>
  <c r="BJ269" i="1"/>
  <c r="C51" i="1"/>
  <c r="C40" i="1"/>
  <c r="S41" i="1"/>
  <c r="C41" i="1"/>
  <c r="V135" i="1"/>
  <c r="B40" i="1"/>
  <c r="AK161" i="1"/>
  <c r="AJ226" i="1"/>
  <c r="AJ224" i="1" s="1"/>
  <c r="O41" i="1"/>
  <c r="N40" i="1"/>
  <c r="BZ119" i="1"/>
  <c r="BZ131" i="1"/>
  <c r="BZ134" i="1" s="1"/>
  <c r="BZ228" i="1"/>
  <c r="H41" i="1"/>
  <c r="K41" i="1"/>
  <c r="M41" i="1"/>
  <c r="BY119" i="1"/>
  <c r="N41" i="1"/>
  <c r="CA127" i="1"/>
  <c r="BZ112" i="1"/>
  <c r="F41" i="1"/>
  <c r="M40" i="1"/>
  <c r="BY118" i="1"/>
  <c r="F40" i="1"/>
  <c r="AL269" i="1"/>
  <c r="BY117" i="1"/>
  <c r="BL56" i="1"/>
  <c r="AM226" i="1"/>
  <c r="AM224" i="1" s="1"/>
  <c r="I41" i="1"/>
  <c r="AL42" i="1"/>
  <c r="AK51" i="1"/>
  <c r="AK40" i="1"/>
  <c r="AK42" i="1"/>
  <c r="G41" i="1"/>
  <c r="BK161" i="1"/>
  <c r="BL226" i="1" s="1"/>
  <c r="BL224" i="1" s="1"/>
  <c r="L40" i="1"/>
  <c r="L41" i="1"/>
  <c r="W57" i="1"/>
  <c r="W61" i="1" s="1"/>
  <c r="W63" i="1" s="1"/>
  <c r="AM40" i="1"/>
  <c r="AM51" i="1"/>
  <c r="AM54" i="1" s="1"/>
  <c r="BY60" i="1"/>
  <c r="R41" i="1"/>
  <c r="V255" i="1"/>
  <c r="V256" i="1" s="1"/>
  <c r="BY54" i="1"/>
  <c r="CA131" i="1"/>
  <c r="CA119" i="1"/>
  <c r="AL57" i="1"/>
  <c r="AL61" i="1" s="1"/>
  <c r="AL64" i="1" s="1"/>
  <c r="W52" i="1"/>
  <c r="X273" i="1"/>
  <c r="W135" i="1"/>
  <c r="AL255" i="1"/>
  <c r="AL256" i="1" s="1"/>
  <c r="BY274" i="1"/>
  <c r="BX188" i="1"/>
  <c r="BX189" i="1" s="1"/>
  <c r="W53" i="1"/>
  <c r="V57" i="1"/>
  <c r="V61" i="1" s="1"/>
  <c r="T40" i="1"/>
  <c r="W273" i="1"/>
  <c r="CA135" i="1"/>
  <c r="BJ134" i="1"/>
  <c r="P41" i="1"/>
  <c r="Q41" i="1"/>
  <c r="P40" i="1"/>
  <c r="BX52" i="1"/>
  <c r="BX255" i="1"/>
  <c r="BX256" i="1" s="1"/>
  <c r="CB53" i="1"/>
  <c r="BX57" i="1"/>
  <c r="BX61" i="1" s="1"/>
  <c r="CB131" i="1"/>
  <c r="CB134" i="1" s="1"/>
  <c r="CB137" i="1" s="1"/>
  <c r="CB127" i="1"/>
  <c r="CB110" i="1"/>
  <c r="CB119" i="1"/>
  <c r="E51" i="1"/>
  <c r="E52" i="1" s="1"/>
  <c r="E40" i="1"/>
  <c r="D51" i="1"/>
  <c r="E41" i="1"/>
  <c r="D40" i="1"/>
  <c r="BX269" i="1"/>
  <c r="D41" i="1"/>
  <c r="T41" i="1"/>
  <c r="BZ56" i="1"/>
  <c r="BY161" i="1"/>
  <c r="BZ226" i="1" s="1"/>
  <c r="BZ224" i="1" s="1"/>
  <c r="V64" i="1"/>
  <c r="V63" i="1"/>
  <c r="BX133" i="1"/>
  <c r="BX134" i="1"/>
  <c r="B52" i="1"/>
  <c r="B135" i="1"/>
  <c r="CN155" i="1"/>
  <c r="CN157" i="1" s="1"/>
  <c r="CO55" i="1" s="1"/>
  <c r="CT100" i="1"/>
  <c r="AB160" i="1"/>
  <c r="AD172" i="1"/>
  <c r="AE172" i="1"/>
  <c r="AD140" i="1"/>
  <c r="AE140" i="1"/>
  <c r="CQ88" i="1"/>
  <c r="CR86" i="1"/>
  <c r="AC186" i="1"/>
  <c r="BU1" i="1"/>
  <c r="Q50" i="1"/>
  <c r="P50" i="1"/>
  <c r="O50" i="1"/>
  <c r="I50" i="1"/>
  <c r="H50" i="1"/>
  <c r="G50" i="1"/>
  <c r="U50" i="1"/>
  <c r="T50" i="1"/>
  <c r="S50" i="1"/>
  <c r="R50" i="1"/>
  <c r="N50" i="1"/>
  <c r="M50" i="1"/>
  <c r="L50" i="1"/>
  <c r="K50" i="1"/>
  <c r="J50" i="1"/>
  <c r="F50" i="1"/>
  <c r="AJ221" i="1" l="1"/>
  <c r="AL117" i="1"/>
  <c r="AL118" i="1"/>
  <c r="AL209" i="1"/>
  <c r="AL188" i="1"/>
  <c r="AL189" i="1" s="1"/>
  <c r="AJ189" i="1"/>
  <c r="AL119" i="1"/>
  <c r="AL134" i="1"/>
  <c r="AJ57" i="1"/>
  <c r="AJ61" i="1" s="1"/>
  <c r="AJ52" i="1"/>
  <c r="AK54" i="1"/>
  <c r="AL273" i="1"/>
  <c r="AL274" i="1" s="1"/>
  <c r="AM273" i="1"/>
  <c r="AM274" i="1" s="1"/>
  <c r="W64" i="1"/>
  <c r="W71" i="1" s="1"/>
  <c r="W75" i="1" s="1"/>
  <c r="AL133" i="1"/>
  <c r="IS21" i="4"/>
  <c r="BM100" i="1" s="1"/>
  <c r="IW16" i="4"/>
  <c r="CE113" i="1"/>
  <c r="D53" i="1"/>
  <c r="C53" i="1"/>
  <c r="C273" i="1"/>
  <c r="C52" i="1"/>
  <c r="AK255" i="1"/>
  <c r="AK256" i="1" s="1"/>
  <c r="AL54" i="1"/>
  <c r="AK52" i="1"/>
  <c r="AK57" i="1"/>
  <c r="AK61" i="1" s="1"/>
  <c r="AM135" i="1"/>
  <c r="AM249" i="1"/>
  <c r="AL226" i="1"/>
  <c r="AL224" i="1" s="1"/>
  <c r="AK226" i="1"/>
  <c r="AK224" i="1" s="1"/>
  <c r="V65" i="1"/>
  <c r="V268" i="1" s="1"/>
  <c r="AL63" i="1"/>
  <c r="AM52" i="1"/>
  <c r="AM57" i="1"/>
  <c r="AM61" i="1" s="1"/>
  <c r="AM255" i="1"/>
  <c r="AM256" i="1" s="1"/>
  <c r="W257" i="1"/>
  <c r="CA78" i="1"/>
  <c r="BY226" i="1"/>
  <c r="BY224" i="1" s="1"/>
  <c r="D255" i="1"/>
  <c r="D256" i="1" s="1"/>
  <c r="E53" i="1"/>
  <c r="D135" i="1"/>
  <c r="D52" i="1"/>
  <c r="D57" i="1"/>
  <c r="D61" i="1" s="1"/>
  <c r="D273" i="1"/>
  <c r="V71" i="1"/>
  <c r="AL257" i="1"/>
  <c r="AL71" i="1"/>
  <c r="AL65" i="1"/>
  <c r="AL268" i="1" s="1"/>
  <c r="BX63" i="1"/>
  <c r="BX64" i="1"/>
  <c r="CO217" i="1"/>
  <c r="CO155" i="1"/>
  <c r="CN161" i="1"/>
  <c r="CN217" i="1"/>
  <c r="AC100" i="1"/>
  <c r="CU100" i="1"/>
  <c r="AD186" i="1"/>
  <c r="AE186" i="1"/>
  <c r="AD163" i="1"/>
  <c r="CR88" i="1"/>
  <c r="CS86" i="1"/>
  <c r="AC160" i="1"/>
  <c r="BV1" i="1"/>
  <c r="BW1" i="1" s="1"/>
  <c r="BX1" i="1" s="1"/>
  <c r="B255" i="1"/>
  <c r="B256" i="1" s="1"/>
  <c r="BL255" i="1"/>
  <c r="BL256" i="1" s="1"/>
  <c r="G51" i="1"/>
  <c r="O51" i="1"/>
  <c r="H51" i="1"/>
  <c r="P51" i="1"/>
  <c r="I51" i="1"/>
  <c r="Q51" i="1"/>
  <c r="J51" i="1"/>
  <c r="R51" i="1"/>
  <c r="K51" i="1"/>
  <c r="S51" i="1"/>
  <c r="L51" i="1"/>
  <c r="T51" i="1"/>
  <c r="M51" i="1"/>
  <c r="U51" i="1"/>
  <c r="F51" i="1"/>
  <c r="F273" i="1" s="1"/>
  <c r="N51" i="1"/>
  <c r="W66" i="1" l="1"/>
  <c r="AJ64" i="1"/>
  <c r="AJ63" i="1"/>
  <c r="X66" i="1"/>
  <c r="W65" i="1"/>
  <c r="W268" i="1" s="1"/>
  <c r="AK63" i="1"/>
  <c r="IW21" i="4"/>
  <c r="BQ100" i="1" s="1"/>
  <c r="IJ9" i="4"/>
  <c r="AK64" i="1"/>
  <c r="AL67" i="1" s="1"/>
  <c r="AM64" i="1"/>
  <c r="AM63" i="1"/>
  <c r="AK67" i="1"/>
  <c r="D64" i="1"/>
  <c r="D63" i="1"/>
  <c r="AK65" i="1"/>
  <c r="AK71" i="1"/>
  <c r="AK142" i="1" s="1"/>
  <c r="AK143" i="1" s="1"/>
  <c r="AK152" i="1" s="1"/>
  <c r="AK257" i="1"/>
  <c r="AL216" i="1"/>
  <c r="AL218" i="1" s="1"/>
  <c r="AL89" i="1"/>
  <c r="AL75" i="1"/>
  <c r="T273" i="1"/>
  <c r="P273" i="1"/>
  <c r="CB66" i="1"/>
  <c r="BX257" i="1"/>
  <c r="BX65" i="1"/>
  <c r="BX268" i="1" s="1"/>
  <c r="BX71" i="1"/>
  <c r="BY67" i="1"/>
  <c r="M273" i="1"/>
  <c r="R273" i="1"/>
  <c r="I273" i="1"/>
  <c r="K273" i="1"/>
  <c r="G273" i="1"/>
  <c r="H273" i="1"/>
  <c r="L273" i="1"/>
  <c r="S273" i="1"/>
  <c r="O273" i="1"/>
  <c r="J273" i="1"/>
  <c r="N273" i="1"/>
  <c r="U273" i="1"/>
  <c r="V273" i="1"/>
  <c r="Q273" i="1"/>
  <c r="R135" i="1"/>
  <c r="S53" i="1"/>
  <c r="T135" i="1"/>
  <c r="U53" i="1"/>
  <c r="U135" i="1"/>
  <c r="V53" i="1"/>
  <c r="P135" i="1"/>
  <c r="Q53" i="1"/>
  <c r="Q135" i="1"/>
  <c r="R53" i="1"/>
  <c r="I135" i="1"/>
  <c r="J53" i="1"/>
  <c r="S135" i="1"/>
  <c r="T53" i="1"/>
  <c r="H135" i="1"/>
  <c r="I53" i="1"/>
  <c r="E135" i="1"/>
  <c r="F53" i="1"/>
  <c r="L135" i="1"/>
  <c r="M53" i="1"/>
  <c r="O135" i="1"/>
  <c r="P53" i="1"/>
  <c r="N135" i="1"/>
  <c r="O53" i="1"/>
  <c r="K135" i="1"/>
  <c r="L53" i="1"/>
  <c r="F135" i="1"/>
  <c r="G53" i="1"/>
  <c r="G135" i="1"/>
  <c r="H53" i="1"/>
  <c r="M135" i="1"/>
  <c r="N53" i="1"/>
  <c r="J135" i="1"/>
  <c r="K53" i="1"/>
  <c r="CN226" i="1"/>
  <c r="CN224" i="1" s="1"/>
  <c r="CO157" i="1"/>
  <c r="CV100" i="1"/>
  <c r="AD225" i="1"/>
  <c r="AB165" i="1"/>
  <c r="AE160" i="1"/>
  <c r="AD160" i="1"/>
  <c r="CT86" i="1"/>
  <c r="CS88" i="1"/>
  <c r="C135" i="1"/>
  <c r="BY1" i="1"/>
  <c r="L52" i="1"/>
  <c r="N52" i="1"/>
  <c r="F52" i="1"/>
  <c r="O52" i="1"/>
  <c r="U57" i="1"/>
  <c r="U61" i="1" s="1"/>
  <c r="U52" i="1"/>
  <c r="G52" i="1"/>
  <c r="S52" i="1"/>
  <c r="M52" i="1"/>
  <c r="R52" i="1"/>
  <c r="J52" i="1"/>
  <c r="I52" i="1"/>
  <c r="P52" i="1"/>
  <c r="H52" i="1"/>
  <c r="K52" i="1"/>
  <c r="T52" i="1"/>
  <c r="Q52" i="1"/>
  <c r="T255" i="1"/>
  <c r="T256" i="1" s="1"/>
  <c r="Q255" i="1"/>
  <c r="Q256" i="1" s="1"/>
  <c r="K255" i="1"/>
  <c r="K256" i="1" s="1"/>
  <c r="O255" i="1"/>
  <c r="O256" i="1" s="1"/>
  <c r="U255" i="1"/>
  <c r="U256" i="1" s="1"/>
  <c r="L255" i="1"/>
  <c r="L256" i="1" s="1"/>
  <c r="C255" i="1"/>
  <c r="C256" i="1" s="1"/>
  <c r="I255" i="1"/>
  <c r="I256" i="1" s="1"/>
  <c r="G255" i="1"/>
  <c r="G256" i="1" s="1"/>
  <c r="R255" i="1"/>
  <c r="R256" i="1" s="1"/>
  <c r="P255" i="1"/>
  <c r="P256" i="1" s="1"/>
  <c r="F255" i="1"/>
  <c r="F256" i="1" s="1"/>
  <c r="M255" i="1"/>
  <c r="M256" i="1" s="1"/>
  <c r="N255" i="1"/>
  <c r="N256" i="1" s="1"/>
  <c r="E255" i="1"/>
  <c r="E256" i="1" s="1"/>
  <c r="S255" i="1"/>
  <c r="S256" i="1" s="1"/>
  <c r="J255" i="1"/>
  <c r="J256" i="1" s="1"/>
  <c r="H255" i="1"/>
  <c r="H256" i="1" s="1"/>
  <c r="B57" i="1"/>
  <c r="L57" i="1"/>
  <c r="Q57" i="1"/>
  <c r="T57" i="1"/>
  <c r="N57" i="1"/>
  <c r="S57" i="1"/>
  <c r="F57" i="1"/>
  <c r="K57" i="1"/>
  <c r="H57" i="1"/>
  <c r="I57" i="1"/>
  <c r="P57" i="1"/>
  <c r="C57" i="1"/>
  <c r="O57" i="1"/>
  <c r="R57" i="1"/>
  <c r="M57" i="1"/>
  <c r="G57" i="1"/>
  <c r="E57" i="1"/>
  <c r="J57" i="1"/>
  <c r="AJ257" i="1" l="1"/>
  <c r="AJ71" i="1"/>
  <c r="AJ65" i="1"/>
  <c r="IJ21" i="4"/>
  <c r="BD100" i="1" s="1"/>
  <c r="IV8" i="4"/>
  <c r="IV20" i="4" s="1"/>
  <c r="BP102" i="1" s="1"/>
  <c r="BP131" i="1" s="1"/>
  <c r="AM250" i="1"/>
  <c r="AK89" i="1"/>
  <c r="AM65" i="1"/>
  <c r="AM268" i="1" s="1"/>
  <c r="AM257" i="1"/>
  <c r="AM67" i="1"/>
  <c r="AK75" i="1"/>
  <c r="AK216" i="1"/>
  <c r="AK218" i="1" s="1"/>
  <c r="D71" i="1"/>
  <c r="D257" i="1"/>
  <c r="D65" i="1"/>
  <c r="CA77" i="1"/>
  <c r="BX89" i="1"/>
  <c r="CA92" i="1" s="1"/>
  <c r="BX216" i="1"/>
  <c r="BX218" i="1" s="1"/>
  <c r="BX75" i="1"/>
  <c r="AK230" i="1"/>
  <c r="AK228" i="1" s="1"/>
  <c r="AL230" i="1"/>
  <c r="AL228" i="1" s="1"/>
  <c r="BK187" i="1"/>
  <c r="BM187" i="1"/>
  <c r="CO161" i="1"/>
  <c r="CP55" i="1"/>
  <c r="CW100" i="1"/>
  <c r="AE163" i="1"/>
  <c r="AE225" i="1" s="1"/>
  <c r="CT88" i="1"/>
  <c r="CU86" i="1"/>
  <c r="BZ1" i="1"/>
  <c r="U64" i="1"/>
  <c r="V66" i="1" s="1"/>
  <c r="U63" i="1"/>
  <c r="P61" i="1"/>
  <c r="P64" i="1" s="1"/>
  <c r="R61" i="1"/>
  <c r="R64" i="1" s="1"/>
  <c r="E61" i="1"/>
  <c r="S61" i="1"/>
  <c r="S63" i="1" s="1"/>
  <c r="G61" i="1"/>
  <c r="G64" i="1" s="1"/>
  <c r="K61" i="1"/>
  <c r="K64" i="1" s="1"/>
  <c r="B61" i="1"/>
  <c r="O61" i="1"/>
  <c r="O64" i="1" s="1"/>
  <c r="H61" i="1"/>
  <c r="H64" i="1" s="1"/>
  <c r="N61" i="1"/>
  <c r="N64" i="1" s="1"/>
  <c r="L61" i="1"/>
  <c r="L63" i="1" s="1"/>
  <c r="C61" i="1"/>
  <c r="M61" i="1"/>
  <c r="M63" i="1" s="1"/>
  <c r="T61" i="1"/>
  <c r="T64" i="1" s="1"/>
  <c r="F61" i="1"/>
  <c r="F63" i="1" s="1"/>
  <c r="J61" i="1"/>
  <c r="J63" i="1" s="1"/>
  <c r="I61" i="1"/>
  <c r="I63" i="1" s="1"/>
  <c r="Q61" i="1"/>
  <c r="Q64" i="1" s="1"/>
  <c r="V257" i="1"/>
  <c r="AJ89" i="1" l="1"/>
  <c r="AJ230" i="1"/>
  <c r="AJ228" i="1" s="1"/>
  <c r="AJ75" i="1"/>
  <c r="AJ216" i="1"/>
  <c r="AJ218" i="1" s="1"/>
  <c r="AJ222" i="1" s="1"/>
  <c r="AJ236" i="1" s="1"/>
  <c r="D216" i="1"/>
  <c r="D218" i="1" s="1"/>
  <c r="D75" i="1"/>
  <c r="R66" i="1"/>
  <c r="CE93" i="1"/>
  <c r="CA110" i="1"/>
  <c r="CA109" i="1"/>
  <c r="CD113" i="1" s="1"/>
  <c r="BW112" i="1"/>
  <c r="CA108" i="1"/>
  <c r="U66" i="1"/>
  <c r="O66" i="1"/>
  <c r="AB55" i="1"/>
  <c r="B64" i="1"/>
  <c r="B63" i="1"/>
  <c r="C64" i="1"/>
  <c r="C63" i="1"/>
  <c r="E64" i="1"/>
  <c r="E71" i="1" s="1"/>
  <c r="E63" i="1"/>
  <c r="P66" i="1"/>
  <c r="H66" i="1"/>
  <c r="Q66" i="1"/>
  <c r="BJ188" i="1"/>
  <c r="BJ189" i="1" s="1"/>
  <c r="BL188" i="1"/>
  <c r="BL189" i="1" s="1"/>
  <c r="CP217" i="1"/>
  <c r="CP155" i="1"/>
  <c r="CO226" i="1"/>
  <c r="CO224" i="1" s="1"/>
  <c r="CX100" i="1"/>
  <c r="CV86" i="1"/>
  <c r="CU88" i="1"/>
  <c r="CA1" i="1"/>
  <c r="CB1" i="1" s="1"/>
  <c r="O63" i="1"/>
  <c r="BL257" i="1"/>
  <c r="S64" i="1"/>
  <c r="U65" i="1"/>
  <c r="U268" i="1" s="1"/>
  <c r="P65" i="1"/>
  <c r="P268" i="1" s="1"/>
  <c r="Q71" i="1"/>
  <c r="Q65" i="1"/>
  <c r="Q268" i="1" s="1"/>
  <c r="L64" i="1"/>
  <c r="P63" i="1"/>
  <c r="H65" i="1"/>
  <c r="H268" i="1" s="1"/>
  <c r="G65" i="1"/>
  <c r="G268" i="1" s="1"/>
  <c r="U71" i="1"/>
  <c r="N65" i="1"/>
  <c r="N268" i="1" s="1"/>
  <c r="R65" i="1"/>
  <c r="R268" i="1" s="1"/>
  <c r="K65" i="1"/>
  <c r="K268" i="1" s="1"/>
  <c r="O71" i="1"/>
  <c r="O65" i="1"/>
  <c r="O268" i="1" s="1"/>
  <c r="T71" i="1"/>
  <c r="T65" i="1"/>
  <c r="T268" i="1" s="1"/>
  <c r="R63" i="1"/>
  <c r="K63" i="1"/>
  <c r="N63" i="1"/>
  <c r="G63" i="1"/>
  <c r="H63" i="1"/>
  <c r="J64" i="1"/>
  <c r="K66" i="1" s="1"/>
  <c r="M64" i="1"/>
  <c r="N66" i="1" s="1"/>
  <c r="T63" i="1"/>
  <c r="F64" i="1"/>
  <c r="G66" i="1" s="1"/>
  <c r="I64" i="1"/>
  <c r="I66" i="1" s="1"/>
  <c r="O257" i="1"/>
  <c r="Q63" i="1"/>
  <c r="P257" i="1"/>
  <c r="P71" i="1"/>
  <c r="K257" i="1"/>
  <c r="K71" i="1"/>
  <c r="H257" i="1"/>
  <c r="H71" i="1"/>
  <c r="R71" i="1"/>
  <c r="N71" i="1"/>
  <c r="G71" i="1"/>
  <c r="G257" i="1"/>
  <c r="R257" i="1"/>
  <c r="N257" i="1"/>
  <c r="Q257" i="1"/>
  <c r="U257" i="1"/>
  <c r="T257" i="1"/>
  <c r="V75" i="1"/>
  <c r="V216" i="1"/>
  <c r="V218" i="1" s="1"/>
  <c r="AJ233" i="1" l="1"/>
  <c r="AJ234" i="1" s="1"/>
  <c r="E257" i="1"/>
  <c r="AB217" i="1"/>
  <c r="E65" i="1"/>
  <c r="E268" i="1" s="1"/>
  <c r="E66" i="1"/>
  <c r="D66" i="1"/>
  <c r="C65" i="1"/>
  <c r="B65" i="1"/>
  <c r="C66" i="1"/>
  <c r="F66" i="1"/>
  <c r="M66" i="1"/>
  <c r="S65" i="1"/>
  <c r="S268" i="1" s="1"/>
  <c r="T66" i="1"/>
  <c r="L66" i="1"/>
  <c r="J66" i="1"/>
  <c r="S66" i="1"/>
  <c r="AB155" i="1"/>
  <c r="AB157" i="1" s="1"/>
  <c r="AB56" i="1" s="1"/>
  <c r="CP157" i="1"/>
  <c r="AD100" i="1"/>
  <c r="CY100" i="1"/>
  <c r="CV88" i="1"/>
  <c r="CW86" i="1"/>
  <c r="CC1" i="1"/>
  <c r="K75" i="1"/>
  <c r="G75" i="1"/>
  <c r="E75" i="1"/>
  <c r="S71" i="1"/>
  <c r="S257" i="1"/>
  <c r="L257" i="1"/>
  <c r="L71" i="1"/>
  <c r="O216" i="1"/>
  <c r="O218" i="1" s="1"/>
  <c r="O75" i="1"/>
  <c r="B257" i="1"/>
  <c r="B71" i="1"/>
  <c r="M71" i="1"/>
  <c r="M65" i="1"/>
  <c r="M268" i="1" s="1"/>
  <c r="C257" i="1"/>
  <c r="I71" i="1"/>
  <c r="I65" i="1"/>
  <c r="I268" i="1" s="1"/>
  <c r="J71" i="1"/>
  <c r="J65" i="1"/>
  <c r="J268" i="1" s="1"/>
  <c r="F71" i="1"/>
  <c r="F65" i="1"/>
  <c r="F268" i="1" s="1"/>
  <c r="L65" i="1"/>
  <c r="L268" i="1" s="1"/>
  <c r="J257" i="1"/>
  <c r="E216" i="1"/>
  <c r="E218" i="1" s="1"/>
  <c r="R216" i="1"/>
  <c r="R218" i="1" s="1"/>
  <c r="M257" i="1"/>
  <c r="R75" i="1"/>
  <c r="I257" i="1"/>
  <c r="H75" i="1"/>
  <c r="H216" i="1"/>
  <c r="H218" i="1" s="1"/>
  <c r="F257" i="1"/>
  <c r="C71" i="1"/>
  <c r="N216" i="1"/>
  <c r="N218" i="1" s="1"/>
  <c r="N75" i="1"/>
  <c r="G216" i="1"/>
  <c r="G218" i="1" s="1"/>
  <c r="P75" i="1"/>
  <c r="K216" i="1"/>
  <c r="K218" i="1" s="1"/>
  <c r="P216" i="1"/>
  <c r="P218" i="1" s="1"/>
  <c r="U75" i="1"/>
  <c r="U216" i="1"/>
  <c r="U218" i="1" s="1"/>
  <c r="Q75" i="1"/>
  <c r="Q216" i="1"/>
  <c r="Q218" i="1" s="1"/>
  <c r="T75" i="1"/>
  <c r="T216" i="1"/>
  <c r="T218" i="1" s="1"/>
  <c r="CP161" i="1" l="1"/>
  <c r="CP226" i="1" s="1"/>
  <c r="CP224" i="1" s="1"/>
  <c r="CQ55" i="1"/>
  <c r="CZ100" i="1"/>
  <c r="AC165" i="1"/>
  <c r="CX86" i="1"/>
  <c r="CW88" i="1"/>
  <c r="CD1" i="1"/>
  <c r="CE1" i="1" s="1"/>
  <c r="CF1" i="1" s="1"/>
  <c r="CG1" i="1" s="1"/>
  <c r="CH1" i="1" s="1"/>
  <c r="CI1" i="1" s="1"/>
  <c r="CJ1" i="1" s="1"/>
  <c r="CK1" i="1" s="1"/>
  <c r="L216" i="1"/>
  <c r="L218" i="1" s="1"/>
  <c r="J216" i="1"/>
  <c r="J218" i="1" s="1"/>
  <c r="M216" i="1"/>
  <c r="M218" i="1" s="1"/>
  <c r="B75" i="1"/>
  <c r="F75" i="1"/>
  <c r="I75" i="1"/>
  <c r="C75" i="1"/>
  <c r="L75" i="1"/>
  <c r="S75" i="1"/>
  <c r="J75" i="1"/>
  <c r="S216" i="1"/>
  <c r="S218" i="1" s="1"/>
  <c r="M75" i="1"/>
  <c r="I216" i="1"/>
  <c r="I218" i="1" s="1"/>
  <c r="F216" i="1"/>
  <c r="F218" i="1" s="1"/>
  <c r="C216" i="1"/>
  <c r="C218" i="1" s="1"/>
  <c r="V98" i="2"/>
  <c r="R69" i="2"/>
  <c r="P94" i="2"/>
  <c r="F104" i="2"/>
  <c r="P59" i="2"/>
  <c r="J59" i="2"/>
  <c r="U58" i="2"/>
  <c r="X44" i="2"/>
  <c r="W94" i="2"/>
  <c r="N87" i="2"/>
  <c r="H66" i="2"/>
  <c r="Q110" i="2"/>
  <c r="U76" i="2"/>
  <c r="J83" i="2"/>
  <c r="R42" i="2"/>
  <c r="S81" i="2"/>
  <c r="F76" i="2"/>
  <c r="U98" i="2"/>
  <c r="F84" i="2"/>
  <c r="C50" i="2"/>
  <c r="I54" i="2"/>
  <c r="L68" i="2"/>
  <c r="I70" i="2"/>
  <c r="K47" i="2"/>
  <c r="J110" i="2"/>
  <c r="I63" i="2"/>
  <c r="L54" i="2"/>
  <c r="V85" i="2"/>
  <c r="R53" i="2"/>
  <c r="N65" i="2"/>
  <c r="G44" i="2"/>
  <c r="E43" i="2"/>
  <c r="K75" i="2"/>
  <c r="U42" i="2"/>
  <c r="J112" i="2"/>
  <c r="O49" i="2"/>
  <c r="P71" i="2"/>
  <c r="P51" i="2"/>
  <c r="C88" i="2"/>
  <c r="G77" i="2"/>
  <c r="J53" i="2"/>
  <c r="Q96" i="2"/>
  <c r="E60" i="2"/>
  <c r="Q70" i="2"/>
  <c r="H87" i="2"/>
  <c r="Q81" i="2"/>
  <c r="V50" i="2"/>
  <c r="N95" i="2"/>
  <c r="W78" i="2"/>
  <c r="S110" i="2"/>
  <c r="X86" i="2"/>
  <c r="U108" i="2"/>
  <c r="C63" i="2"/>
  <c r="O48" i="2"/>
  <c r="R44" i="2"/>
  <c r="W63" i="2"/>
  <c r="S104" i="2"/>
  <c r="R79" i="2"/>
  <c r="F87" i="2"/>
  <c r="E58" i="2"/>
  <c r="O113" i="2"/>
  <c r="U99" i="2"/>
  <c r="C41" i="2"/>
  <c r="I85" i="2"/>
  <c r="K108" i="2"/>
  <c r="U53" i="2"/>
  <c r="S79" i="2"/>
  <c r="F49" i="2"/>
  <c r="X96" i="2"/>
  <c r="S97" i="2"/>
  <c r="O110" i="2"/>
  <c r="M43" i="2"/>
  <c r="T71" i="2"/>
  <c r="K46" i="2"/>
  <c r="T58" i="2"/>
  <c r="V67" i="2"/>
  <c r="S106" i="2"/>
  <c r="S109" i="2"/>
  <c r="X70" i="2"/>
  <c r="T95" i="2"/>
  <c r="T65" i="2"/>
  <c r="O77" i="2"/>
  <c r="F50" i="2"/>
  <c r="M91" i="2"/>
  <c r="K62" i="2"/>
  <c r="K104" i="2"/>
  <c r="M48" i="2"/>
  <c r="L95" i="2"/>
  <c r="N84" i="2"/>
  <c r="D50" i="2"/>
  <c r="I76" i="2"/>
  <c r="J57" i="2"/>
  <c r="D45" i="2"/>
  <c r="O87" i="2"/>
  <c r="F60" i="2"/>
  <c r="K84" i="2"/>
  <c r="E91" i="2"/>
  <c r="O111" i="2"/>
  <c r="V97" i="2"/>
  <c r="F81" i="2"/>
  <c r="AP48" i="3"/>
  <c r="U81" i="2"/>
  <c r="S84" i="2"/>
  <c r="E111" i="2"/>
  <c r="L98" i="2"/>
  <c r="N75" i="2"/>
  <c r="Q72" i="2"/>
  <c r="U70" i="2"/>
  <c r="O108" i="2"/>
  <c r="Q62" i="2"/>
  <c r="R66" i="2"/>
  <c r="E66" i="2"/>
  <c r="P108" i="2"/>
  <c r="E95" i="2"/>
  <c r="N104" i="2"/>
  <c r="M60" i="2"/>
  <c r="W80" i="2"/>
  <c r="O80" i="2"/>
  <c r="M109" i="2"/>
  <c r="J96" i="2"/>
  <c r="U107" i="2"/>
  <c r="E42" i="2"/>
  <c r="AP69" i="3"/>
  <c r="Y17" i="3"/>
  <c r="AE21" i="3"/>
  <c r="AG28" i="3"/>
  <c r="I13" i="3"/>
  <c r="AP28" i="3"/>
  <c r="V27" i="3"/>
  <c r="X65" i="2"/>
  <c r="C69" i="2"/>
  <c r="N66" i="2"/>
  <c r="Q79" i="2"/>
  <c r="R76" i="2"/>
  <c r="Q80" i="2"/>
  <c r="T52" i="2"/>
  <c r="Q51" i="2"/>
  <c r="AP70" i="3"/>
  <c r="S7" i="3"/>
  <c r="AK37" i="3"/>
  <c r="W21" i="3"/>
  <c r="P13" i="3"/>
  <c r="C19" i="3"/>
  <c r="O9" i="3"/>
  <c r="P16" i="3"/>
  <c r="X98" i="2"/>
  <c r="X72" i="2"/>
  <c r="O46" i="2"/>
  <c r="J40" i="2"/>
  <c r="J85" i="2"/>
  <c r="G49" i="2"/>
  <c r="F66" i="2"/>
  <c r="J81" i="2"/>
  <c r="AP57" i="3"/>
  <c r="N26" i="3"/>
  <c r="AI41" i="3"/>
  <c r="F111" i="2"/>
  <c r="R74" i="2"/>
  <c r="J76" i="2"/>
  <c r="X58" i="2"/>
  <c r="K89" i="2"/>
  <c r="O52" i="2"/>
  <c r="E87" i="2"/>
  <c r="L109" i="2"/>
  <c r="AB56" i="3"/>
  <c r="AO39" i="3"/>
  <c r="AD28" i="3"/>
  <c r="U24" i="3"/>
  <c r="AP8" i="3"/>
  <c r="AM9" i="3"/>
  <c r="AJ36" i="3"/>
  <c r="U84" i="2"/>
  <c r="F72" i="2"/>
  <c r="C99" i="2"/>
  <c r="R47" i="2"/>
  <c r="V47" i="2"/>
  <c r="P86" i="2"/>
  <c r="L106" i="2"/>
  <c r="H97" i="2"/>
  <c r="AB73" i="3"/>
  <c r="P32" i="3"/>
  <c r="I28" i="3"/>
  <c r="AL30" i="3"/>
  <c r="AC29" i="3"/>
  <c r="H21" i="3"/>
  <c r="AC7" i="3"/>
  <c r="AB42" i="3"/>
  <c r="S24" i="3"/>
  <c r="AQ30" i="3"/>
  <c r="T40" i="2"/>
  <c r="T48" i="2"/>
  <c r="K51" i="2"/>
  <c r="R70" i="2"/>
  <c r="Q61" i="2"/>
  <c r="Q98" i="2"/>
  <c r="L61" i="2"/>
  <c r="E52" i="2"/>
  <c r="V113" i="2"/>
  <c r="C55" i="2"/>
  <c r="D46" i="2"/>
  <c r="C54" i="2"/>
  <c r="J48" i="2"/>
  <c r="H57" i="2"/>
  <c r="W52" i="2"/>
  <c r="AP75" i="3"/>
  <c r="K13" i="3"/>
  <c r="AD37" i="3"/>
  <c r="T32" i="3"/>
  <c r="Y18" i="3"/>
  <c r="AB11" i="3"/>
  <c r="AQ9" i="3"/>
  <c r="AB6" i="3"/>
  <c r="AC14" i="3"/>
  <c r="M54" i="2"/>
  <c r="H44" i="2"/>
  <c r="C57" i="2"/>
  <c r="U90" i="2"/>
  <c r="N106" i="2"/>
  <c r="O97" i="2"/>
  <c r="J90" i="2"/>
  <c r="W96" i="2"/>
  <c r="AP78" i="3"/>
  <c r="C23" i="3"/>
  <c r="G41" i="3"/>
  <c r="AJ24" i="3"/>
  <c r="AE7" i="3"/>
  <c r="S9" i="3"/>
  <c r="J15" i="3"/>
  <c r="M6" i="3"/>
  <c r="P58" i="2"/>
  <c r="AO33" i="3"/>
  <c r="V41" i="3"/>
  <c r="F45" i="2"/>
  <c r="AH21" i="3"/>
  <c r="AB23" i="3"/>
  <c r="AK9" i="3"/>
  <c r="AE5" i="3"/>
  <c r="AA13" i="3"/>
  <c r="AK35" i="3"/>
  <c r="AC12" i="3"/>
  <c r="V5" i="3"/>
  <c r="AQ34" i="3"/>
  <c r="AG25" i="3"/>
  <c r="X42" i="3"/>
  <c r="M38" i="3"/>
  <c r="X32" i="3"/>
  <c r="J40" i="3"/>
  <c r="C13" i="3"/>
  <c r="AO22" i="3"/>
  <c r="T13" i="3"/>
  <c r="Y27" i="3"/>
  <c r="L16" i="3"/>
  <c r="AG14" i="3"/>
  <c r="W58" i="2"/>
  <c r="C28" i="3"/>
  <c r="AP36" i="3"/>
  <c r="AJ23" i="3"/>
  <c r="AJ34" i="3"/>
  <c r="T15" i="3"/>
  <c r="AH20" i="3"/>
  <c r="K28" i="3"/>
  <c r="AA37" i="3"/>
  <c r="N91" i="2"/>
  <c r="V16" i="3"/>
  <c r="W19" i="3"/>
  <c r="AP26" i="3"/>
  <c r="AN24" i="3"/>
  <c r="AH32" i="3"/>
  <c r="H16" i="3"/>
  <c r="S6" i="3"/>
  <c r="K39" i="3"/>
  <c r="AJ37" i="3"/>
  <c r="AC41" i="3"/>
  <c r="M18" i="3"/>
  <c r="P7" i="3"/>
  <c r="S41" i="3"/>
  <c r="K34" i="3"/>
  <c r="R105" i="2"/>
  <c r="AP59" i="3"/>
  <c r="N40" i="3"/>
  <c r="AE11" i="3"/>
  <c r="AI23" i="3"/>
  <c r="AN29" i="3"/>
  <c r="Z40" i="3"/>
  <c r="AA16" i="3"/>
  <c r="AD22" i="3"/>
  <c r="K85" i="2"/>
  <c r="I38" i="3"/>
  <c r="AE39" i="3"/>
  <c r="T22" i="3"/>
  <c r="AQ37" i="3"/>
  <c r="P17" i="3"/>
  <c r="P15" i="3"/>
  <c r="AG20" i="3"/>
  <c r="H26" i="3"/>
  <c r="T40" i="3"/>
  <c r="H39" i="3"/>
  <c r="AH6" i="3"/>
  <c r="N5" i="3"/>
  <c r="Y24" i="3"/>
  <c r="AE12" i="3"/>
  <c r="AC19" i="3"/>
  <c r="AB9" i="3"/>
  <c r="V71" i="2"/>
  <c r="AB94" i="3"/>
  <c r="U19" i="3"/>
  <c r="M13" i="3"/>
  <c r="Y30" i="3"/>
  <c r="AI27" i="3"/>
  <c r="Y20" i="3"/>
  <c r="AQ27" i="3"/>
  <c r="Q37" i="3"/>
  <c r="AP27" i="3"/>
  <c r="W39" i="3"/>
  <c r="AI26" i="3"/>
  <c r="AC16" i="3"/>
  <c r="M12" i="3"/>
  <c r="AL28" i="3"/>
  <c r="O40" i="3"/>
  <c r="X28" i="3"/>
  <c r="L39" i="3"/>
  <c r="L13" i="3"/>
  <c r="AP21" i="3"/>
  <c r="V29" i="3"/>
  <c r="C14" i="3"/>
  <c r="Z17" i="3"/>
  <c r="T105" i="2"/>
  <c r="AB19" i="3"/>
  <c r="Z35" i="3"/>
  <c r="V25" i="3"/>
  <c r="Z7" i="3"/>
  <c r="T18" i="3"/>
  <c r="AG40" i="3"/>
  <c r="M40" i="3"/>
  <c r="AL11" i="3"/>
  <c r="AB35" i="3"/>
  <c r="AC35" i="3"/>
  <c r="F82" i="2"/>
  <c r="AM42" i="3"/>
  <c r="I73" i="2"/>
  <c r="W33" i="3"/>
  <c r="M32" i="3"/>
  <c r="Q5" i="3"/>
  <c r="I18" i="3"/>
  <c r="V32" i="3"/>
  <c r="AB7" i="3"/>
  <c r="AK6" i="3"/>
  <c r="AJ10" i="3"/>
  <c r="AB17" i="3"/>
  <c r="J51" i="2"/>
  <c r="O29" i="3"/>
  <c r="AA17" i="3"/>
  <c r="K17" i="3"/>
  <c r="AI13" i="3"/>
  <c r="H68" i="2"/>
  <c r="O23" i="3"/>
  <c r="AM8" i="3"/>
  <c r="AN34" i="3"/>
  <c r="AB13" i="3"/>
  <c r="AH34" i="3"/>
  <c r="O25" i="3"/>
  <c r="AJ39" i="3"/>
  <c r="AN18" i="3"/>
  <c r="AO42" i="3"/>
  <c r="K22" i="3"/>
  <c r="AG35" i="3"/>
  <c r="AN7" i="3"/>
  <c r="Z37" i="3"/>
  <c r="J29" i="3"/>
  <c r="AN38" i="3"/>
  <c r="T37" i="3"/>
  <c r="AA18" i="3"/>
  <c r="Z27" i="3"/>
  <c r="T98" i="2"/>
  <c r="C48" i="2"/>
  <c r="X64" i="2"/>
  <c r="O42" i="2"/>
  <c r="N80" i="2"/>
  <c r="F73" i="2"/>
  <c r="O89" i="2"/>
  <c r="W84" i="2"/>
  <c r="L71" i="2"/>
  <c r="S82" i="2"/>
  <c r="D48" i="2"/>
  <c r="V78" i="2"/>
  <c r="S55" i="2"/>
  <c r="O73" i="2"/>
  <c r="M97" i="2"/>
  <c r="U71" i="2"/>
  <c r="L75" i="2"/>
  <c r="G45" i="2"/>
  <c r="E75" i="2"/>
  <c r="S51" i="2"/>
  <c r="Q67" i="2"/>
  <c r="D105" i="2"/>
  <c r="E55" i="2"/>
  <c r="E105" i="2"/>
  <c r="H80" i="2"/>
  <c r="G51" i="2"/>
  <c r="J109" i="2"/>
  <c r="R78" i="2"/>
  <c r="G81" i="2"/>
  <c r="E41" i="2"/>
  <c r="G71" i="2"/>
  <c r="J93" i="2"/>
  <c r="I77" i="2"/>
  <c r="R63" i="2"/>
  <c r="S88" i="2"/>
  <c r="M95" i="2"/>
  <c r="O67" i="2"/>
  <c r="T108" i="2"/>
  <c r="S94" i="2"/>
  <c r="D63" i="2"/>
  <c r="U104" i="2"/>
  <c r="P68" i="2"/>
  <c r="K74" i="2"/>
  <c r="X73" i="2"/>
  <c r="G96" i="2"/>
  <c r="H70" i="2"/>
  <c r="L111" i="2"/>
  <c r="O51" i="2"/>
  <c r="S42" i="2"/>
  <c r="AB75" i="3"/>
  <c r="E89" i="2"/>
  <c r="V41" i="2"/>
  <c r="W64" i="2"/>
  <c r="N47" i="2"/>
  <c r="D97" i="2"/>
  <c r="W67" i="2"/>
  <c r="N76" i="2"/>
  <c r="W51" i="2"/>
  <c r="T8" i="3"/>
  <c r="AG15" i="3"/>
  <c r="C34" i="3"/>
  <c r="S99" i="2"/>
  <c r="D91" i="2"/>
  <c r="N111" i="2"/>
  <c r="F58" i="2"/>
  <c r="G60" i="2"/>
  <c r="AC18" i="3"/>
  <c r="Q35" i="3"/>
  <c r="AH7" i="3"/>
  <c r="AJ11" i="3"/>
  <c r="K42" i="2"/>
  <c r="X55" i="2"/>
  <c r="P49" i="2"/>
  <c r="D42" i="2"/>
  <c r="T25" i="3"/>
  <c r="W59" i="2"/>
  <c r="X89" i="2"/>
  <c r="C75" i="2"/>
  <c r="Q73" i="2"/>
  <c r="AB84" i="3"/>
  <c r="K29" i="3"/>
  <c r="M9" i="3"/>
  <c r="C24" i="3"/>
  <c r="X113" i="2"/>
  <c r="S72" i="2"/>
  <c r="R73" i="2"/>
  <c r="R50" i="2"/>
  <c r="AH23" i="3"/>
  <c r="AP34" i="3"/>
  <c r="S27" i="3"/>
  <c r="Q40" i="3"/>
  <c r="V92" i="2"/>
  <c r="H98" i="2"/>
  <c r="I111" i="2"/>
  <c r="O66" i="2"/>
  <c r="R77" i="2"/>
  <c r="L60" i="2"/>
  <c r="T91" i="2"/>
  <c r="S95" i="2"/>
  <c r="Y22" i="3"/>
  <c r="AJ33" i="3"/>
  <c r="J34" i="3"/>
  <c r="AM20" i="3"/>
  <c r="D110" i="2"/>
  <c r="L108" i="2"/>
  <c r="E56" i="2"/>
  <c r="X74" i="2"/>
  <c r="AB87" i="3"/>
  <c r="G42" i="3"/>
  <c r="X16" i="3"/>
  <c r="T16" i="3"/>
  <c r="R40" i="2"/>
  <c r="E96" i="2"/>
  <c r="AN35" i="3"/>
  <c r="AD48" i="3"/>
  <c r="AM7" i="3"/>
  <c r="AG16" i="3"/>
  <c r="AA24" i="3"/>
  <c r="AM29" i="3"/>
  <c r="AJ35" i="3"/>
  <c r="K20" i="3"/>
  <c r="U8" i="3"/>
  <c r="X19" i="3"/>
  <c r="Q34" i="3"/>
  <c r="S42" i="3"/>
  <c r="AG18" i="3"/>
  <c r="AP32" i="3"/>
  <c r="T17" i="3"/>
  <c r="AG42" i="3"/>
  <c r="AO32" i="3"/>
  <c r="AM30" i="3"/>
  <c r="AD26" i="3"/>
  <c r="R22" i="3"/>
  <c r="AO36" i="3"/>
  <c r="H30" i="3"/>
  <c r="AO37" i="3"/>
  <c r="AM33" i="3"/>
  <c r="N35" i="3"/>
  <c r="Z31" i="3"/>
  <c r="S26" i="3"/>
  <c r="E79" i="2"/>
  <c r="S12" i="3"/>
  <c r="C42" i="3"/>
  <c r="P24" i="3"/>
  <c r="AN42" i="3"/>
  <c r="AI17" i="3"/>
  <c r="X6" i="3"/>
  <c r="AG34" i="3"/>
  <c r="AI20" i="3"/>
  <c r="O55" i="2"/>
  <c r="AJ41" i="3"/>
  <c r="G48" i="3"/>
  <c r="R23" i="3"/>
  <c r="Y10" i="3"/>
  <c r="J22" i="3"/>
  <c r="T12" i="3"/>
  <c r="AM31" i="3"/>
  <c r="AN27" i="3"/>
  <c r="C29" i="3"/>
  <c r="U33" i="3"/>
  <c r="G89" i="2"/>
  <c r="AA9" i="3"/>
  <c r="AE8" i="3"/>
  <c r="AC11" i="3"/>
  <c r="J19" i="3"/>
  <c r="Z13" i="3"/>
  <c r="J25" i="3"/>
  <c r="AP58" i="3"/>
  <c r="Z25" i="3"/>
  <c r="L22" i="3"/>
  <c r="O10" i="3"/>
  <c r="AM28" i="3"/>
  <c r="AN41" i="3"/>
  <c r="W37" i="3"/>
  <c r="R11" i="3"/>
  <c r="P33" i="3"/>
  <c r="K35" i="3"/>
  <c r="W35" i="3"/>
  <c r="AC28" i="3"/>
  <c r="AL24" i="3"/>
  <c r="P38" i="3"/>
  <c r="AA21" i="3"/>
  <c r="AC31" i="3"/>
  <c r="V22" i="3"/>
  <c r="AD31" i="3"/>
  <c r="J62" i="2"/>
  <c r="L63" i="2"/>
  <c r="L87" i="2"/>
  <c r="N93" i="2"/>
  <c r="I52" i="2"/>
  <c r="O71" i="2"/>
  <c r="C76" i="2"/>
  <c r="I84" i="2"/>
  <c r="O72" i="2"/>
  <c r="T59" i="2"/>
  <c r="J66" i="2"/>
  <c r="F63" i="2"/>
  <c r="L70" i="2"/>
  <c r="O43" i="2"/>
  <c r="P80" i="2"/>
  <c r="N68" i="2"/>
  <c r="G113" i="2"/>
  <c r="L59" i="2"/>
  <c r="L89" i="2"/>
  <c r="M88" i="2"/>
  <c r="J41" i="2"/>
  <c r="C84" i="2"/>
  <c r="Q99" i="2"/>
  <c r="D61" i="2"/>
  <c r="L82" i="2"/>
  <c r="G72" i="2"/>
  <c r="Q40" i="2"/>
  <c r="D57" i="2"/>
  <c r="K99" i="2"/>
  <c r="L58" i="2"/>
  <c r="L104" i="2"/>
  <c r="T93" i="2"/>
  <c r="N61" i="2"/>
  <c r="L85" i="2"/>
  <c r="S77" i="2"/>
  <c r="R110" i="2"/>
  <c r="W95" i="2"/>
  <c r="Q85" i="2"/>
  <c r="C46" i="2"/>
  <c r="S53" i="2"/>
  <c r="K105" i="2"/>
  <c r="H56" i="2"/>
  <c r="M84" i="2"/>
  <c r="I69" i="2"/>
  <c r="G98" i="2"/>
  <c r="K94" i="2"/>
  <c r="T50" i="2"/>
  <c r="L86" i="2"/>
  <c r="I106" i="2"/>
  <c r="W48" i="2"/>
  <c r="N88" i="2"/>
  <c r="J65" i="2"/>
  <c r="Q68" i="2"/>
  <c r="I56" i="2"/>
  <c r="D112" i="2"/>
  <c r="H106" i="2"/>
  <c r="O47" i="2"/>
  <c r="H41" i="2"/>
  <c r="R113" i="2"/>
  <c r="G56" i="2"/>
  <c r="I44" i="2"/>
  <c r="O98" i="2"/>
  <c r="H111" i="2"/>
  <c r="F95" i="2"/>
  <c r="E71" i="2"/>
  <c r="I42" i="2"/>
  <c r="P110" i="2"/>
  <c r="AP83" i="3"/>
  <c r="AE32" i="3"/>
  <c r="AB37" i="3"/>
  <c r="AC25" i="3"/>
  <c r="E70" i="2"/>
  <c r="V94" i="2"/>
  <c r="D77" i="2"/>
  <c r="F59" i="2"/>
  <c r="AP65" i="3"/>
  <c r="AH13" i="3"/>
  <c r="AP40" i="3"/>
  <c r="N36" i="3"/>
  <c r="N105" i="2"/>
  <c r="R111" i="2"/>
  <c r="V81" i="2"/>
  <c r="G79" i="2"/>
  <c r="AP89" i="3"/>
  <c r="L81" i="2"/>
  <c r="I50" i="2"/>
  <c r="J58" i="2"/>
  <c r="E97" i="2"/>
  <c r="AB58" i="3"/>
  <c r="L25" i="3"/>
  <c r="AM40" i="3"/>
  <c r="AI34" i="3"/>
  <c r="L72" i="2"/>
  <c r="L76" i="2"/>
  <c r="K92" i="2"/>
  <c r="T74" i="2"/>
  <c r="AP63" i="3"/>
  <c r="I19" i="3"/>
  <c r="AK29" i="3"/>
  <c r="Y16" i="3"/>
  <c r="AL21" i="3"/>
  <c r="P81" i="2"/>
  <c r="R93" i="2"/>
  <c r="F56" i="2"/>
  <c r="V45" i="2"/>
  <c r="U55" i="2"/>
  <c r="U95" i="2"/>
  <c r="D73" i="2"/>
  <c r="W112" i="2"/>
  <c r="AK31" i="3"/>
  <c r="V12" i="3"/>
  <c r="W24" i="3"/>
  <c r="I35" i="3"/>
  <c r="G61" i="2"/>
  <c r="X51" i="2"/>
  <c r="S75" i="2"/>
  <c r="R59" i="2"/>
  <c r="C49" i="3"/>
  <c r="R35" i="3"/>
  <c r="AH37" i="3"/>
  <c r="U22" i="3"/>
  <c r="F97" i="2"/>
  <c r="AB77" i="3"/>
  <c r="R38" i="3"/>
  <c r="AH26" i="3"/>
  <c r="AC38" i="3"/>
  <c r="U20" i="3"/>
  <c r="Z23" i="3"/>
  <c r="AO35" i="3"/>
  <c r="N11" i="3"/>
  <c r="M21" i="3"/>
  <c r="AQ17" i="3"/>
  <c r="AL27" i="3"/>
  <c r="J17" i="3"/>
  <c r="AD23" i="3"/>
  <c r="O13" i="3"/>
  <c r="H109" i="2"/>
  <c r="AA36" i="3"/>
  <c r="M30" i="3"/>
  <c r="AL6" i="3"/>
  <c r="X39" i="3"/>
  <c r="Q18" i="3"/>
  <c r="I11" i="3"/>
  <c r="AG9" i="3"/>
  <c r="H41" i="3"/>
  <c r="AQ32" i="3"/>
  <c r="L27" i="3"/>
  <c r="N13" i="3"/>
  <c r="N77" i="2"/>
  <c r="Z28" i="3"/>
  <c r="K18" i="3"/>
  <c r="L17" i="3"/>
  <c r="AJ42" i="3"/>
  <c r="T6" i="3"/>
  <c r="AO24" i="3"/>
  <c r="AA27" i="3"/>
  <c r="Z33" i="3"/>
  <c r="U21" i="3"/>
  <c r="H9" i="3"/>
  <c r="Q22" i="3"/>
  <c r="R21" i="3"/>
  <c r="AP24" i="3"/>
  <c r="AJ9" i="3"/>
  <c r="AE20" i="3"/>
  <c r="AN11" i="3"/>
  <c r="AK11" i="3"/>
  <c r="Q13" i="3"/>
  <c r="AP17" i="3"/>
  <c r="T79" i="2"/>
  <c r="Y6" i="3"/>
  <c r="L15" i="3"/>
  <c r="N27" i="3"/>
  <c r="C32" i="3"/>
  <c r="AA38" i="3"/>
  <c r="V63" i="2"/>
  <c r="T33" i="3"/>
  <c r="AO38" i="3"/>
  <c r="U27" i="3"/>
  <c r="AE16" i="3"/>
  <c r="AB89" i="3"/>
  <c r="AA10" i="3"/>
  <c r="K32" i="3"/>
  <c r="K111" i="2"/>
  <c r="Y31" i="3"/>
  <c r="AJ28" i="3"/>
  <c r="S5" i="3"/>
  <c r="I32" i="3"/>
  <c r="AH39" i="3"/>
  <c r="AK7" i="3"/>
  <c r="AD36" i="3"/>
  <c r="AM19" i="3"/>
  <c r="P113" i="2"/>
  <c r="C70" i="2"/>
  <c r="M50" i="2"/>
  <c r="E65" i="2"/>
  <c r="C64" i="2"/>
  <c r="G111" i="2"/>
  <c r="V64" i="2"/>
  <c r="R92" i="2"/>
  <c r="P75" i="2"/>
  <c r="P96" i="2"/>
  <c r="M80" i="2"/>
  <c r="I109" i="2"/>
  <c r="W81" i="2"/>
  <c r="T111" i="2"/>
  <c r="D89" i="2"/>
  <c r="I91" i="2"/>
  <c r="H86" i="2"/>
  <c r="T55" i="2"/>
  <c r="D83" i="2"/>
  <c r="N60" i="2"/>
  <c r="F80" i="2"/>
  <c r="Q49" i="2"/>
  <c r="R85" i="2"/>
  <c r="X95" i="2"/>
  <c r="K96" i="2"/>
  <c r="V108" i="2"/>
  <c r="M108" i="2"/>
  <c r="R90" i="2"/>
  <c r="G73" i="2"/>
  <c r="K45" i="2"/>
  <c r="P98" i="2"/>
  <c r="G109" i="2"/>
  <c r="C67" i="2"/>
  <c r="W88" i="2"/>
  <c r="P62" i="2"/>
  <c r="X42" i="2"/>
  <c r="F79" i="2"/>
  <c r="X104" i="2"/>
  <c r="P55" i="2"/>
  <c r="T78" i="2"/>
  <c r="F46" i="2"/>
  <c r="Q53" i="2"/>
  <c r="T69" i="2"/>
  <c r="U57" i="2"/>
  <c r="T84" i="2"/>
  <c r="I83" i="2"/>
  <c r="H95" i="2"/>
  <c r="K109" i="2"/>
  <c r="O44" i="2"/>
  <c r="E113" i="2"/>
  <c r="F69" i="2"/>
  <c r="E67" i="2"/>
  <c r="R80" i="2"/>
  <c r="E40" i="2"/>
  <c r="G69" i="2"/>
  <c r="R56" i="2"/>
  <c r="D54" i="2"/>
  <c r="T47" i="2"/>
  <c r="G57" i="2"/>
  <c r="N53" i="2"/>
  <c r="K112" i="2"/>
  <c r="C56" i="2"/>
  <c r="R18" i="3"/>
  <c r="AI21" i="3"/>
  <c r="AL22" i="3"/>
  <c r="AL15" i="3"/>
  <c r="P99" i="2"/>
  <c r="U61" i="2"/>
  <c r="X53" i="2"/>
  <c r="U64" i="2"/>
  <c r="AM32" i="3"/>
  <c r="AQ8" i="3"/>
  <c r="AJ15" i="3"/>
  <c r="E106" i="2"/>
  <c r="V89" i="2"/>
  <c r="K81" i="2"/>
  <c r="H63" i="2"/>
  <c r="C87" i="2"/>
  <c r="O21" i="3"/>
  <c r="L44" i="2"/>
  <c r="U63" i="2"/>
  <c r="O65" i="2"/>
  <c r="D106" i="2"/>
  <c r="AB55" i="3"/>
  <c r="AK21" i="3"/>
  <c r="AH11" i="3"/>
  <c r="AM24" i="3"/>
  <c r="T46" i="2"/>
  <c r="P44" i="2"/>
  <c r="D43" i="2"/>
  <c r="V83" i="2"/>
  <c r="AP10" i="3"/>
  <c r="AM26" i="3"/>
  <c r="AQ40" i="3"/>
  <c r="M44" i="2"/>
  <c r="V99" i="2"/>
  <c r="S47" i="2"/>
  <c r="P92" i="2"/>
  <c r="E92" i="2"/>
  <c r="F91" i="2"/>
  <c r="G80" i="2"/>
  <c r="L105" i="2"/>
  <c r="AH31" i="3"/>
  <c r="H6" i="3"/>
  <c r="AB21" i="3"/>
  <c r="AQ33" i="3"/>
  <c r="S63" i="2"/>
  <c r="S50" i="2"/>
  <c r="W82" i="2"/>
  <c r="G76" i="2"/>
  <c r="AB66" i="3"/>
  <c r="AH17" i="3"/>
  <c r="M25" i="3"/>
  <c r="AN14" i="3"/>
  <c r="AP66" i="3"/>
  <c r="I97" i="2"/>
  <c r="M11" i="3"/>
  <c r="AK34" i="3"/>
  <c r="AM23" i="3"/>
  <c r="AA29" i="3"/>
  <c r="AB16" i="3"/>
  <c r="AE6" i="3"/>
  <c r="Y8" i="3"/>
  <c r="O31" i="3"/>
  <c r="AJ29" i="3"/>
  <c r="W41" i="3"/>
  <c r="R97" i="2"/>
  <c r="AN20" i="3"/>
  <c r="S22" i="3"/>
  <c r="O33" i="3"/>
  <c r="H12" i="3"/>
  <c r="L97" i="2"/>
  <c r="AA34" i="3"/>
  <c r="AQ19" i="3"/>
  <c r="AO17" i="3"/>
  <c r="K30" i="3"/>
  <c r="AA28" i="3"/>
  <c r="AN16" i="3"/>
  <c r="AA7" i="3"/>
  <c r="T86" i="2"/>
  <c r="Y34" i="3"/>
  <c r="AE28" i="3"/>
  <c r="AC21" i="3"/>
  <c r="C47" i="3"/>
  <c r="AA42" i="3"/>
  <c r="V38" i="3"/>
  <c r="M8" i="3"/>
  <c r="M42" i="3"/>
  <c r="AE40" i="3"/>
  <c r="L41" i="3"/>
  <c r="AD27" i="3"/>
  <c r="AI22" i="3"/>
  <c r="F85" i="2"/>
  <c r="AM21" i="3"/>
  <c r="I42" i="3"/>
  <c r="Q14" i="3"/>
  <c r="AP29" i="3"/>
  <c r="V37" i="3"/>
  <c r="AL38" i="3"/>
  <c r="AA22" i="3"/>
  <c r="O20" i="3"/>
  <c r="K31" i="3"/>
  <c r="R33" i="3"/>
  <c r="Q112" i="2"/>
  <c r="X34" i="3"/>
  <c r="R13" i="3"/>
  <c r="Y41" i="3"/>
  <c r="AJ32" i="3"/>
  <c r="K26" i="3"/>
  <c r="E88" i="2"/>
  <c r="X14" i="3"/>
  <c r="P29" i="3"/>
  <c r="X33" i="3"/>
  <c r="M24" i="3"/>
  <c r="AP47" i="3"/>
  <c r="AD33" i="3"/>
  <c r="R16" i="3"/>
  <c r="AB59" i="3"/>
  <c r="N10" i="3"/>
  <c r="Z36" i="3"/>
  <c r="AI25" i="3"/>
  <c r="AL23" i="3"/>
  <c r="AH12" i="3"/>
  <c r="U37" i="3"/>
  <c r="Y33" i="3"/>
  <c r="Y35" i="3"/>
  <c r="I74" i="2"/>
  <c r="F65" i="2"/>
  <c r="L91" i="2"/>
  <c r="I72" i="2"/>
  <c r="G75" i="2"/>
  <c r="K97" i="2"/>
  <c r="S61" i="2"/>
  <c r="N41" i="2"/>
  <c r="G108" i="2"/>
  <c r="V87" i="2"/>
  <c r="X40" i="2"/>
  <c r="D44" i="2"/>
  <c r="J54" i="2"/>
  <c r="R46" i="2"/>
  <c r="P79" i="2"/>
  <c r="M106" i="2"/>
  <c r="C94" i="2"/>
  <c r="D98" i="2"/>
  <c r="M66" i="2"/>
  <c r="S96" i="2"/>
  <c r="L55" i="2"/>
  <c r="W56" i="2"/>
  <c r="K53" i="2"/>
  <c r="U112" i="2"/>
  <c r="R94" i="2"/>
  <c r="X85" i="2"/>
  <c r="P91" i="2"/>
  <c r="J78" i="2"/>
  <c r="J55" i="2"/>
  <c r="H46" i="2"/>
  <c r="N97" i="2"/>
  <c r="G92" i="2"/>
  <c r="F42" i="2"/>
  <c r="L94" i="2"/>
  <c r="J68" i="2"/>
  <c r="I87" i="2"/>
  <c r="G94" i="2"/>
  <c r="L67" i="2"/>
  <c r="U72" i="2"/>
  <c r="I104" i="2"/>
  <c r="M40" i="2"/>
  <c r="M104" i="2"/>
  <c r="T45" i="2"/>
  <c r="V107" i="2"/>
  <c r="W73" i="2"/>
  <c r="M99" i="2"/>
  <c r="G53" i="2"/>
  <c r="I43" i="2"/>
  <c r="C80" i="2"/>
  <c r="U113" i="2"/>
  <c r="U78" i="2"/>
  <c r="F44" i="2"/>
  <c r="V109" i="2"/>
  <c r="K64" i="2"/>
  <c r="X62" i="2"/>
  <c r="N90" i="2"/>
  <c r="T82" i="2"/>
  <c r="R51" i="2"/>
  <c r="H71" i="2"/>
  <c r="J49" i="2"/>
  <c r="T110" i="2"/>
  <c r="AL20" i="3"/>
  <c r="W29" i="3"/>
  <c r="W7" i="3"/>
  <c r="T14" i="3"/>
  <c r="W109" i="2"/>
  <c r="N113" i="2"/>
  <c r="C66" i="2"/>
  <c r="AP85" i="3"/>
  <c r="AO7" i="3"/>
  <c r="O35" i="3"/>
  <c r="AQ12" i="3"/>
  <c r="W44" i="2"/>
  <c r="X67" i="2"/>
  <c r="K65" i="2"/>
  <c r="F62" i="2"/>
  <c r="Z30" i="3"/>
  <c r="X108" i="2"/>
  <c r="U83" i="2"/>
  <c r="P89" i="2"/>
  <c r="G42" i="2"/>
  <c r="AB92" i="3"/>
  <c r="AB20" i="3"/>
  <c r="Q31" i="3"/>
  <c r="AA6" i="3"/>
  <c r="AA32" i="3"/>
  <c r="H85" i="2"/>
  <c r="G104" i="2"/>
  <c r="M63" i="2"/>
  <c r="M42" i="2"/>
  <c r="AL41" i="3"/>
  <c r="I36" i="3"/>
  <c r="AA31" i="3"/>
  <c r="U68" i="2"/>
  <c r="K110" i="2"/>
  <c r="N86" i="2"/>
  <c r="D68" i="2"/>
  <c r="P72" i="2"/>
  <c r="N52" i="2"/>
  <c r="M70" i="2"/>
  <c r="N46" i="2"/>
  <c r="AB97" i="3"/>
  <c r="AQ38" i="3"/>
  <c r="G40" i="3"/>
  <c r="L26" i="3"/>
  <c r="O95" i="2"/>
  <c r="P40" i="2"/>
  <c r="L96" i="2"/>
  <c r="G85" i="2"/>
  <c r="AB61" i="3"/>
  <c r="W22" i="3"/>
  <c r="V31" i="3"/>
  <c r="AO14" i="3"/>
  <c r="AO25" i="3"/>
  <c r="AB82" i="3"/>
  <c r="AA8" i="3"/>
  <c r="G59" i="2"/>
  <c r="P25" i="3"/>
  <c r="AQ21" i="3"/>
  <c r="J30" i="3"/>
  <c r="R12" i="3"/>
  <c r="N29" i="3"/>
  <c r="AG31" i="3"/>
  <c r="AE26" i="3"/>
  <c r="U7" i="3"/>
  <c r="AJ26" i="3"/>
  <c r="G83" i="2"/>
  <c r="C12" i="3"/>
  <c r="V28" i="3"/>
  <c r="T42" i="3"/>
  <c r="S105" i="2"/>
  <c r="AI11" i="3"/>
  <c r="O27" i="3"/>
  <c r="AK33" i="3"/>
  <c r="R8" i="3"/>
  <c r="N18" i="3"/>
  <c r="Z39" i="3"/>
  <c r="AG22" i="3"/>
  <c r="U30" i="3"/>
  <c r="Z24" i="3"/>
  <c r="AB33" i="3"/>
  <c r="AN28" i="3"/>
  <c r="L56" i="2"/>
  <c r="W18" i="3"/>
  <c r="AE41" i="3"/>
  <c r="AQ26" i="3"/>
  <c r="N17" i="3"/>
  <c r="Y21" i="3"/>
  <c r="AB24" i="3"/>
  <c r="AP64" i="3"/>
  <c r="AJ21" i="3"/>
  <c r="Q36" i="3"/>
  <c r="U6" i="3"/>
  <c r="AP20" i="3"/>
  <c r="C10" i="3"/>
  <c r="AK16" i="3"/>
  <c r="U36" i="3"/>
  <c r="AH38" i="3"/>
  <c r="AO34" i="3"/>
  <c r="AD42" i="3"/>
  <c r="S19" i="3"/>
  <c r="AG39" i="3"/>
  <c r="AN23" i="3"/>
  <c r="AN19" i="3"/>
  <c r="G47" i="3"/>
  <c r="X18" i="3"/>
  <c r="N6" i="3"/>
  <c r="N8" i="3"/>
  <c r="AJ17" i="3"/>
  <c r="AP14" i="3"/>
  <c r="AC23" i="3"/>
  <c r="U39" i="3"/>
  <c r="AI7" i="3"/>
  <c r="G88" i="2"/>
  <c r="S35" i="3"/>
  <c r="AG29" i="3"/>
  <c r="AB54" i="3"/>
  <c r="AB18" i="3"/>
  <c r="I29" i="3"/>
  <c r="AI18" i="3"/>
  <c r="K11" i="3"/>
  <c r="V36" i="3"/>
  <c r="AD32" i="3"/>
  <c r="Y7" i="3"/>
  <c r="AL26" i="3"/>
  <c r="AK26" i="3"/>
  <c r="F47" i="2"/>
  <c r="D69" i="2"/>
  <c r="Q52" i="2"/>
  <c r="J108" i="2"/>
  <c r="K91" i="2"/>
  <c r="O75" i="2"/>
  <c r="F94" i="2"/>
  <c r="O85" i="2"/>
  <c r="I64" i="2"/>
  <c r="V88" i="2"/>
  <c r="T72" i="2"/>
  <c r="E94" i="2"/>
  <c r="V42" i="2"/>
  <c r="S57" i="2"/>
  <c r="S60" i="2"/>
  <c r="I89" i="2"/>
  <c r="D111" i="2"/>
  <c r="P67" i="2"/>
  <c r="P73" i="2"/>
  <c r="K79" i="2"/>
  <c r="S89" i="2"/>
  <c r="V110" i="2"/>
  <c r="T81" i="2"/>
  <c r="S41" i="2"/>
  <c r="G74" i="2"/>
  <c r="X84" i="2"/>
  <c r="S44" i="2"/>
  <c r="U82" i="2"/>
  <c r="X90" i="2"/>
  <c r="E81" i="2"/>
  <c r="P66" i="2"/>
  <c r="V72" i="2"/>
  <c r="T66" i="2"/>
  <c r="O90" i="2"/>
  <c r="N108" i="2"/>
  <c r="L99" i="2"/>
  <c r="W104" i="2"/>
  <c r="H60" i="2"/>
  <c r="O74" i="2"/>
  <c r="C96" i="2"/>
  <c r="X59" i="2"/>
  <c r="L65" i="2"/>
  <c r="S69" i="2"/>
  <c r="F105" i="2"/>
  <c r="S86" i="2"/>
  <c r="M85" i="2"/>
  <c r="K98" i="2"/>
  <c r="J64" i="2"/>
  <c r="Q50" i="2"/>
  <c r="AB68" i="3"/>
  <c r="D76" i="2"/>
  <c r="O70" i="2"/>
  <c r="AP61" i="3"/>
  <c r="N73" i="2"/>
  <c r="D72" i="2"/>
  <c r="E57" i="2"/>
  <c r="U69" i="2"/>
  <c r="D41" i="2"/>
  <c r="AP54" i="3"/>
  <c r="I9" i="3"/>
  <c r="O41" i="3"/>
  <c r="AH40" i="3"/>
  <c r="I66" i="2"/>
  <c r="W69" i="2"/>
  <c r="K71" i="2"/>
  <c r="G70" i="2"/>
  <c r="AP77" i="3"/>
  <c r="Z34" i="3"/>
  <c r="L6" i="3"/>
  <c r="T26" i="3"/>
  <c r="I61" i="2"/>
  <c r="N49" i="2"/>
  <c r="S66" i="2"/>
  <c r="AL33" i="3"/>
  <c r="R62" i="2"/>
  <c r="N94" i="2"/>
  <c r="P53" i="2"/>
  <c r="R104" i="2"/>
  <c r="AP79" i="3"/>
  <c r="AE9" i="3"/>
  <c r="S34" i="3"/>
  <c r="AI31" i="3"/>
  <c r="O105" i="2"/>
  <c r="R84" i="2"/>
  <c r="E59" i="2"/>
  <c r="N44" i="2"/>
  <c r="AB64" i="3"/>
  <c r="N14" i="3"/>
  <c r="O15" i="3"/>
  <c r="AP11" i="3"/>
  <c r="Y32" i="3"/>
  <c r="D79" i="2"/>
  <c r="T41" i="2"/>
  <c r="Q111" i="2"/>
  <c r="N57" i="2"/>
  <c r="X110" i="2"/>
  <c r="O60" i="2"/>
  <c r="I51" i="2"/>
  <c r="F93" i="2"/>
  <c r="N15" i="3"/>
  <c r="AB34" i="3"/>
  <c r="P18" i="3"/>
  <c r="W31" i="3"/>
  <c r="T80" i="2"/>
  <c r="S71" i="2"/>
  <c r="S113" i="2"/>
  <c r="N55" i="2"/>
  <c r="AI6" i="3"/>
  <c r="P30" i="3"/>
  <c r="P27" i="3"/>
  <c r="AG6" i="3"/>
  <c r="AP60" i="3"/>
  <c r="W40" i="3"/>
  <c r="AI12" i="3"/>
  <c r="S17" i="3"/>
  <c r="AI36" i="3"/>
  <c r="W23" i="3"/>
  <c r="Z16" i="3"/>
  <c r="H33" i="3"/>
  <c r="AQ24" i="3"/>
  <c r="R31" i="3"/>
  <c r="AP35" i="3"/>
  <c r="H28" i="3"/>
  <c r="N40" i="2"/>
  <c r="AP19" i="3"/>
  <c r="O12" i="3"/>
  <c r="AM18" i="3"/>
  <c r="N62" i="2"/>
  <c r="N39" i="3"/>
  <c r="AJ13" i="3"/>
  <c r="AH19" i="3"/>
  <c r="AG24" i="3"/>
  <c r="L10" i="3"/>
  <c r="G55" i="2"/>
  <c r="Q25" i="3"/>
  <c r="S36" i="3"/>
  <c r="AJ20" i="3"/>
  <c r="I30" i="3"/>
  <c r="J11" i="3"/>
  <c r="C21" i="3"/>
  <c r="N20" i="3"/>
  <c r="AO10" i="3"/>
  <c r="U9" i="3"/>
  <c r="N31" i="3"/>
  <c r="R7" i="3"/>
  <c r="AO13" i="3"/>
  <c r="M19" i="3"/>
  <c r="Z5" i="3"/>
  <c r="H59" i="2"/>
  <c r="O24" i="3"/>
  <c r="AL25" i="3"/>
  <c r="Q20" i="3"/>
  <c r="U17" i="3"/>
  <c r="Q41" i="3"/>
  <c r="V21" i="3"/>
  <c r="G50" i="3"/>
  <c r="AN13" i="3"/>
  <c r="AL36" i="3"/>
  <c r="M74" i="2"/>
  <c r="AI15" i="3"/>
  <c r="K12" i="3"/>
  <c r="AQ7" i="3"/>
  <c r="R39" i="3"/>
  <c r="AA35" i="3"/>
  <c r="V91" i="2"/>
  <c r="R15" i="3"/>
  <c r="AD21" i="3"/>
  <c r="N38" i="3"/>
  <c r="S25" i="3"/>
  <c r="H17" i="3"/>
  <c r="Y26" i="3"/>
  <c r="C35" i="3"/>
  <c r="AB76" i="3"/>
  <c r="G32" i="3"/>
  <c r="AK10" i="3"/>
  <c r="AB28" i="3"/>
  <c r="K7" i="3"/>
  <c r="Q11" i="3"/>
  <c r="C20" i="3"/>
  <c r="U38" i="3"/>
  <c r="D51" i="2"/>
  <c r="J72" i="2"/>
  <c r="J104" i="2"/>
  <c r="H81" i="2"/>
  <c r="V57" i="2"/>
  <c r="R52" i="2"/>
  <c r="Q104" i="2"/>
  <c r="F74" i="2"/>
  <c r="H43" i="2"/>
  <c r="I68" i="2"/>
  <c r="C73" i="2"/>
  <c r="V58" i="2"/>
  <c r="M49" i="2"/>
  <c r="D93" i="2"/>
  <c r="P109" i="2"/>
  <c r="O57" i="2"/>
  <c r="G40" i="2"/>
  <c r="G58" i="2"/>
  <c r="H51" i="2"/>
  <c r="K86" i="2"/>
  <c r="H65" i="2"/>
  <c r="M113" i="2"/>
  <c r="I53" i="2"/>
  <c r="U60" i="2"/>
  <c r="K57" i="2"/>
  <c r="I58" i="2"/>
  <c r="H104" i="2"/>
  <c r="J56" i="2"/>
  <c r="Q87" i="2"/>
  <c r="X79" i="2"/>
  <c r="P76" i="2"/>
  <c r="T97" i="2"/>
  <c r="S43" i="2"/>
  <c r="T94" i="2"/>
  <c r="I86" i="2"/>
  <c r="E93" i="2"/>
  <c r="Q86" i="2"/>
  <c r="P50" i="2"/>
  <c r="W93" i="2"/>
  <c r="C58" i="2"/>
  <c r="P90" i="2"/>
  <c r="S74" i="2"/>
  <c r="L112" i="2"/>
  <c r="U74" i="2"/>
  <c r="O54" i="2"/>
  <c r="J47" i="2"/>
  <c r="S92" i="2"/>
  <c r="P82" i="2"/>
  <c r="N79" i="2"/>
  <c r="K106" i="2"/>
  <c r="L113" i="2"/>
  <c r="U47" i="2"/>
  <c r="E68" i="2"/>
  <c r="I81" i="2"/>
  <c r="O109" i="2"/>
  <c r="D81" i="2"/>
  <c r="W107" i="2"/>
  <c r="F43" i="2"/>
  <c r="L45" i="2"/>
  <c r="O92" i="2"/>
  <c r="C110" i="2"/>
  <c r="H55" i="2"/>
  <c r="AE10" i="3"/>
  <c r="AB38" i="3"/>
  <c r="R17" i="3"/>
  <c r="E90" i="2"/>
  <c r="K70" i="2"/>
  <c r="J113" i="2"/>
  <c r="T109" i="2"/>
  <c r="V95" i="2"/>
  <c r="AC20" i="3"/>
  <c r="X10" i="3"/>
  <c r="L14" i="3"/>
  <c r="P107" i="2"/>
  <c r="G110" i="2"/>
  <c r="O93" i="2"/>
  <c r="M64" i="2"/>
  <c r="AB90" i="3"/>
  <c r="O28" i="3"/>
  <c r="H94" i="2"/>
  <c r="U77" i="2"/>
  <c r="W76" i="2"/>
  <c r="X68" i="2"/>
  <c r="AQ39" i="3"/>
  <c r="AP30" i="3"/>
  <c r="R6" i="3"/>
  <c r="D109" i="2"/>
  <c r="R64" i="2"/>
  <c r="X76" i="2"/>
  <c r="V68" i="2"/>
  <c r="AB65" i="3"/>
  <c r="W6" i="3"/>
  <c r="AE30" i="3"/>
  <c r="T107" i="2"/>
  <c r="I46" i="2"/>
  <c r="C40" i="2"/>
  <c r="G66" i="2"/>
  <c r="I47" i="2"/>
  <c r="M81" i="2"/>
  <c r="U86" i="2"/>
  <c r="AP68" i="3"/>
  <c r="P34" i="3"/>
  <c r="W12" i="3"/>
  <c r="I41" i="3"/>
  <c r="AO29" i="3"/>
  <c r="U62" i="2"/>
  <c r="C62" i="2"/>
  <c r="S83" i="2"/>
  <c r="X54" i="2"/>
  <c r="M35" i="3"/>
  <c r="Y13" i="3"/>
  <c r="J18" i="3"/>
  <c r="O7" i="3"/>
  <c r="AJ38" i="3"/>
  <c r="T96" i="2"/>
  <c r="I39" i="3"/>
  <c r="W9" i="3"/>
  <c r="AJ18" i="3"/>
  <c r="AC30" i="3"/>
  <c r="AK18" i="3"/>
  <c r="K6" i="3"/>
  <c r="Z32" i="3"/>
  <c r="W30" i="3"/>
  <c r="AQ10" i="3"/>
  <c r="AN39" i="3"/>
  <c r="AP74" i="3"/>
  <c r="S11" i="3"/>
  <c r="H8" i="3"/>
  <c r="AK23" i="3"/>
  <c r="J44" i="2"/>
  <c r="K36" i="3"/>
  <c r="K15" i="3"/>
  <c r="AE23" i="3"/>
  <c r="Q42" i="3"/>
  <c r="K37" i="3"/>
  <c r="AG33" i="3"/>
  <c r="T29" i="3"/>
  <c r="X45" i="2"/>
  <c r="AC37" i="3"/>
  <c r="AL8" i="3"/>
  <c r="AI35" i="3"/>
  <c r="C90" i="2"/>
  <c r="AJ14" i="3"/>
  <c r="C39" i="3"/>
  <c r="AI37" i="3"/>
  <c r="L34" i="3"/>
  <c r="AK28" i="3"/>
  <c r="AB29" i="3"/>
  <c r="AK17" i="3"/>
  <c r="X93" i="2"/>
  <c r="U15" i="3"/>
  <c r="C27" i="3"/>
  <c r="I10" i="3"/>
  <c r="Y12" i="3"/>
  <c r="X41" i="3"/>
  <c r="X5" i="3"/>
  <c r="X17" i="3"/>
  <c r="AO26" i="3"/>
  <c r="V6" i="3"/>
  <c r="AL9" i="3"/>
  <c r="AM15" i="3"/>
  <c r="R25" i="3"/>
  <c r="M26" i="3"/>
  <c r="Y36" i="3"/>
  <c r="I17" i="3"/>
  <c r="AD49" i="3"/>
  <c r="AQ25" i="3"/>
  <c r="S14" i="3"/>
  <c r="P10" i="3"/>
  <c r="AC6" i="3"/>
  <c r="AO16" i="3"/>
  <c r="U29" i="3"/>
  <c r="U42" i="3"/>
  <c r="AJ31" i="3"/>
  <c r="AE25" i="3"/>
  <c r="C11" i="3"/>
  <c r="L19" i="3"/>
  <c r="I8" i="3"/>
  <c r="E48" i="3"/>
  <c r="AD47" i="3"/>
  <c r="L7" i="3"/>
  <c r="P14" i="3"/>
  <c r="M41" i="3"/>
  <c r="H32" i="3"/>
  <c r="H23" i="3"/>
  <c r="L40" i="3"/>
  <c r="K56" i="2"/>
  <c r="S91" i="2"/>
  <c r="T113" i="2"/>
  <c r="H48" i="2"/>
  <c r="L92" i="2"/>
  <c r="P97" i="2"/>
  <c r="L43" i="2"/>
  <c r="I96" i="2"/>
  <c r="H50" i="2"/>
  <c r="Q45" i="2"/>
  <c r="I94" i="2"/>
  <c r="N56" i="2"/>
  <c r="I71" i="2"/>
  <c r="W97" i="2"/>
  <c r="U48" i="2"/>
  <c r="P54" i="2"/>
  <c r="L47" i="2"/>
  <c r="P105" i="2"/>
  <c r="M65" i="2"/>
  <c r="M87" i="2"/>
  <c r="T51" i="2"/>
  <c r="Q97" i="2"/>
  <c r="P112" i="2"/>
  <c r="T85" i="2"/>
  <c r="T104" i="2"/>
  <c r="V54" i="2"/>
  <c r="G43" i="2"/>
  <c r="X106" i="2"/>
  <c r="H113" i="2"/>
  <c r="D65" i="2"/>
  <c r="D88" i="2"/>
  <c r="S73" i="2"/>
  <c r="Q83" i="2"/>
  <c r="J107" i="2"/>
  <c r="G106" i="2"/>
  <c r="K61" i="2"/>
  <c r="N107" i="2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N51" i="2"/>
  <c r="T64" i="2"/>
  <c r="D70" i="2"/>
  <c r="T67" i="2"/>
  <c r="T99" i="2"/>
  <c r="G48" i="2"/>
  <c r="R91" i="2"/>
  <c r="U66" i="2"/>
  <c r="U80" i="2"/>
  <c r="D90" i="2"/>
  <c r="Q63" i="2"/>
  <c r="M46" i="2"/>
  <c r="U92" i="2"/>
  <c r="O106" i="2"/>
  <c r="C47" i="2"/>
  <c r="R98" i="2"/>
  <c r="D96" i="2"/>
  <c r="K48" i="2"/>
  <c r="X105" i="2"/>
  <c r="O104" i="2"/>
  <c r="I110" i="2"/>
  <c r="G64" i="2"/>
  <c r="M71" i="2"/>
  <c r="K54" i="2"/>
  <c r="E62" i="2"/>
  <c r="W98" i="2"/>
  <c r="N112" i="2"/>
  <c r="C53" i="2"/>
  <c r="P84" i="2"/>
  <c r="C81" i="2"/>
  <c r="P46" i="2"/>
  <c r="I80" i="2"/>
  <c r="F57" i="2"/>
  <c r="I108" i="2"/>
  <c r="T88" i="2"/>
  <c r="O41" i="2"/>
  <c r="H112" i="2"/>
  <c r="J80" i="2"/>
  <c r="P87" i="2"/>
  <c r="W60" i="2"/>
  <c r="T75" i="2"/>
  <c r="U94" i="2"/>
  <c r="M73" i="2"/>
  <c r="N99" i="2"/>
  <c r="X43" i="2"/>
  <c r="I75" i="2"/>
  <c r="U65" i="2"/>
  <c r="AB79" i="3"/>
  <c r="M86" i="2"/>
  <c r="V105" i="2"/>
  <c r="X88" i="2"/>
  <c r="F61" i="2"/>
  <c r="C77" i="2"/>
  <c r="V59" i="2"/>
  <c r="N67" i="2"/>
  <c r="M47" i="2"/>
  <c r="M62" i="2"/>
  <c r="N82" i="2"/>
  <c r="Q88" i="2"/>
  <c r="W106" i="2"/>
  <c r="F70" i="2"/>
  <c r="K60" i="2"/>
  <c r="Q93" i="2"/>
  <c r="O63" i="2"/>
  <c r="F107" i="2"/>
  <c r="U93" i="2"/>
  <c r="U43" i="2"/>
  <c r="K58" i="2"/>
  <c r="AP84" i="3"/>
  <c r="R29" i="3"/>
  <c r="AH33" i="3"/>
  <c r="AG17" i="3"/>
  <c r="AJ16" i="3"/>
  <c r="AI5" i="3"/>
  <c r="X38" i="3"/>
  <c r="AG30" i="3"/>
  <c r="K52" i="2"/>
  <c r="X99" i="2"/>
  <c r="F48" i="2"/>
  <c r="V84" i="2"/>
  <c r="H62" i="2"/>
  <c r="V70" i="2"/>
  <c r="X97" i="2"/>
  <c r="O50" i="2"/>
  <c r="AB80" i="3"/>
  <c r="O22" i="3"/>
  <c r="M34" i="3"/>
  <c r="AO20" i="3"/>
  <c r="AI9" i="3"/>
  <c r="O18" i="3"/>
  <c r="AO11" i="3"/>
  <c r="AL42" i="3"/>
  <c r="J82" i="2"/>
  <c r="E99" i="2"/>
  <c r="O45" i="2"/>
  <c r="D71" i="2"/>
  <c r="X52" i="2"/>
  <c r="F98" i="2"/>
  <c r="X78" i="2"/>
  <c r="O62" i="2"/>
  <c r="AP62" i="3"/>
  <c r="J16" i="3"/>
  <c r="O37" i="3"/>
  <c r="W83" i="2"/>
  <c r="J106" i="2"/>
  <c r="G52" i="2"/>
  <c r="D55" i="2"/>
  <c r="U59" i="2"/>
  <c r="V77" i="2"/>
  <c r="R99" i="2"/>
  <c r="S98" i="2"/>
  <c r="AB69" i="3"/>
  <c r="Z10" i="3"/>
  <c r="S33" i="3"/>
  <c r="H24" i="3"/>
  <c r="C25" i="3"/>
  <c r="Q38" i="3"/>
  <c r="C8" i="3"/>
  <c r="D108" i="2"/>
  <c r="F109" i="2"/>
  <c r="U87" i="2"/>
  <c r="M112" i="2"/>
  <c r="E72" i="2"/>
  <c r="P93" i="2"/>
  <c r="V44" i="2"/>
  <c r="X109" i="2"/>
  <c r="AB48" i="3"/>
  <c r="C37" i="3"/>
  <c r="AD35" i="3"/>
  <c r="L29" i="3"/>
  <c r="AH36" i="3"/>
  <c r="L20" i="3"/>
  <c r="C15" i="3"/>
  <c r="C40" i="3"/>
  <c r="AK20" i="3"/>
  <c r="AA11" i="3"/>
  <c r="S46" i="2"/>
  <c r="V111" i="2"/>
  <c r="J89" i="2"/>
  <c r="T83" i="2"/>
  <c r="J86" i="2"/>
  <c r="D40" i="2"/>
  <c r="P56" i="2"/>
  <c r="V65" i="2"/>
  <c r="D52" i="2"/>
  <c r="M94" i="2"/>
  <c r="J73" i="2"/>
  <c r="C68" i="2"/>
  <c r="O79" i="2"/>
  <c r="P52" i="2"/>
  <c r="H76" i="2"/>
  <c r="AP97" i="3"/>
  <c r="N24" i="3"/>
  <c r="AK12" i="3"/>
  <c r="L33" i="3"/>
  <c r="T35" i="3"/>
  <c r="AK30" i="3"/>
  <c r="S30" i="3"/>
  <c r="W36" i="3"/>
  <c r="AG36" i="3"/>
  <c r="H53" i="2"/>
  <c r="M77" i="2"/>
  <c r="O96" i="2"/>
  <c r="H96" i="2"/>
  <c r="V93" i="2"/>
  <c r="W110" i="2"/>
  <c r="K73" i="2"/>
  <c r="D107" i="2"/>
  <c r="AP91" i="3"/>
  <c r="M17" i="3"/>
  <c r="X27" i="3"/>
  <c r="AA30" i="3"/>
  <c r="G35" i="3"/>
  <c r="T41" i="3"/>
  <c r="AJ8" i="3"/>
  <c r="W11" i="3"/>
  <c r="G67" i="2"/>
  <c r="Z6" i="3"/>
  <c r="Y11" i="3"/>
  <c r="C79" i="2"/>
  <c r="I23" i="3"/>
  <c r="AG7" i="3"/>
  <c r="K42" i="3"/>
  <c r="Y37" i="3"/>
  <c r="AB27" i="3"/>
  <c r="W42" i="3"/>
  <c r="R34" i="3"/>
  <c r="Y15" i="3"/>
  <c r="AM38" i="3"/>
  <c r="AD29" i="3"/>
  <c r="U13" i="3"/>
  <c r="R10" i="3"/>
  <c r="AD25" i="3"/>
  <c r="AP42" i="3"/>
  <c r="AG41" i="3"/>
  <c r="AH8" i="3"/>
  <c r="AQ11" i="3"/>
  <c r="AE13" i="3"/>
  <c r="AC33" i="3"/>
  <c r="X11" i="3"/>
  <c r="M75" i="2"/>
  <c r="Z19" i="3"/>
  <c r="AP37" i="3"/>
  <c r="I15" i="3"/>
  <c r="H37" i="3"/>
  <c r="AH18" i="3"/>
  <c r="T5" i="3"/>
  <c r="AM27" i="3"/>
  <c r="U46" i="2"/>
  <c r="M68" i="2"/>
  <c r="M10" i="3"/>
  <c r="U41" i="3"/>
  <c r="AN6" i="3"/>
  <c r="AQ22" i="3"/>
  <c r="O26" i="3"/>
  <c r="AL17" i="3"/>
  <c r="U10" i="3"/>
  <c r="Y9" i="3"/>
  <c r="C36" i="3"/>
  <c r="AL19" i="3"/>
  <c r="U40" i="3"/>
  <c r="J39" i="3"/>
  <c r="AN5" i="3"/>
  <c r="J35" i="3"/>
  <c r="R83" i="2"/>
  <c r="AB86" i="3"/>
  <c r="I16" i="3"/>
  <c r="P20" i="3"/>
  <c r="AO31" i="3"/>
  <c r="AA23" i="3"/>
  <c r="AL13" i="3"/>
  <c r="AE37" i="3"/>
  <c r="K33" i="3"/>
  <c r="J60" i="2"/>
  <c r="AJ22" i="3"/>
  <c r="AM14" i="3"/>
  <c r="I25" i="3"/>
  <c r="AP22" i="3"/>
  <c r="Y23" i="3"/>
  <c r="AO12" i="3"/>
  <c r="Z18" i="3"/>
  <c r="Y42" i="3"/>
  <c r="AA15" i="3"/>
  <c r="P36" i="3"/>
  <c r="AD41" i="3"/>
  <c r="Z12" i="3"/>
  <c r="I34" i="3"/>
  <c r="AI14" i="3"/>
  <c r="AL7" i="3"/>
  <c r="AA39" i="3"/>
  <c r="C86" i="2"/>
  <c r="AB67" i="3"/>
  <c r="X24" i="3"/>
  <c r="O16" i="3"/>
  <c r="I7" i="3"/>
  <c r="S21" i="3"/>
  <c r="AE17" i="3"/>
  <c r="X9" i="3"/>
  <c r="C4" i="3"/>
  <c r="AD34" i="3"/>
  <c r="M14" i="3"/>
  <c r="V19" i="3"/>
  <c r="G39" i="3"/>
  <c r="N9" i="3"/>
  <c r="Y29" i="3"/>
  <c r="S15" i="3"/>
  <c r="V9" i="3"/>
  <c r="AI42" i="3"/>
  <c r="AK42" i="3"/>
  <c r="U110" i="2"/>
  <c r="J8" i="3"/>
  <c r="S29" i="3"/>
  <c r="AC15" i="3"/>
  <c r="E77" i="2"/>
  <c r="AJ25" i="3"/>
  <c r="AG27" i="3"/>
  <c r="AG21" i="3"/>
  <c r="Z38" i="3"/>
  <c r="AI40" i="3"/>
  <c r="AN15" i="3"/>
  <c r="V20" i="3"/>
  <c r="AK15" i="3"/>
  <c r="J9" i="3"/>
  <c r="AH30" i="3"/>
  <c r="AP12" i="3"/>
  <c r="E104" i="2"/>
  <c r="AB81" i="3"/>
  <c r="J12" i="3"/>
  <c r="P22" i="3"/>
  <c r="K19" i="3"/>
  <c r="AP18" i="3"/>
  <c r="AA14" i="3"/>
  <c r="I20" i="3"/>
  <c r="M28" i="3"/>
  <c r="H31" i="3"/>
  <c r="H29" i="3"/>
  <c r="C51" i="2"/>
  <c r="AN31" i="3"/>
  <c r="O8" i="3"/>
  <c r="W20" i="3"/>
  <c r="V40" i="3"/>
  <c r="N110" i="2"/>
  <c r="AQ29" i="3"/>
  <c r="R32" i="3"/>
  <c r="U12" i="3"/>
  <c r="Q9" i="3"/>
  <c r="U23" i="3"/>
  <c r="P42" i="3"/>
  <c r="AI39" i="3"/>
  <c r="AG12" i="3"/>
  <c r="AB32" i="3"/>
  <c r="P9" i="3"/>
  <c r="AD39" i="3"/>
  <c r="AG10" i="3"/>
  <c r="O30" i="3"/>
  <c r="AK39" i="3"/>
  <c r="AL29" i="3"/>
  <c r="AN21" i="3"/>
  <c r="J28" i="3"/>
  <c r="J14" i="3"/>
  <c r="G41" i="2"/>
  <c r="N96" i="2"/>
  <c r="H105" i="2"/>
  <c r="V86" i="2"/>
  <c r="W50" i="2"/>
  <c r="M96" i="2"/>
  <c r="D92" i="2"/>
  <c r="P106" i="2"/>
  <c r="I57" i="2"/>
  <c r="I48" i="2"/>
  <c r="E49" i="2"/>
  <c r="W72" i="2"/>
  <c r="H73" i="2"/>
  <c r="C92" i="2"/>
  <c r="O107" i="2"/>
  <c r="G97" i="2"/>
  <c r="P104" i="2"/>
  <c r="I67" i="2"/>
  <c r="W113" i="2"/>
  <c r="T44" i="2"/>
  <c r="Q109" i="2"/>
  <c r="F52" i="2"/>
  <c r="G112" i="2"/>
  <c r="S45" i="2"/>
  <c r="O64" i="2"/>
  <c r="R68" i="2"/>
  <c r="H107" i="2"/>
  <c r="T77" i="2"/>
  <c r="M105" i="2"/>
  <c r="O83" i="2"/>
  <c r="V55" i="2"/>
  <c r="F108" i="2"/>
  <c r="O82" i="2"/>
  <c r="F106" i="2"/>
  <c r="Q82" i="2"/>
  <c r="E83" i="2"/>
  <c r="G87" i="2"/>
  <c r="E48" i="2"/>
  <c r="J43" i="2"/>
  <c r="D62" i="2"/>
  <c r="N81" i="2"/>
  <c r="N64" i="2"/>
  <c r="N58" i="2"/>
  <c r="L84" i="2"/>
  <c r="K76" i="2"/>
  <c r="F71" i="2"/>
  <c r="R81" i="2"/>
  <c r="E51" i="2"/>
  <c r="J69" i="2"/>
  <c r="M51" i="2"/>
  <c r="S64" i="2"/>
  <c r="I107" i="2"/>
  <c r="G68" i="2"/>
  <c r="U106" i="2"/>
  <c r="U85" i="2"/>
  <c r="D85" i="2"/>
  <c r="M52" i="2"/>
  <c r="M53" i="2"/>
  <c r="F86" i="2"/>
  <c r="R72" i="2"/>
  <c r="K55" i="2"/>
  <c r="M56" i="2"/>
  <c r="H93" i="2"/>
  <c r="AB78" i="3"/>
  <c r="X12" i="3"/>
  <c r="H13" i="3"/>
  <c r="AM5" i="3"/>
  <c r="AP31" i="3"/>
  <c r="L77" i="2"/>
  <c r="X56" i="2"/>
  <c r="J88" i="2"/>
  <c r="AB93" i="3"/>
  <c r="C7" i="3"/>
  <c r="X15" i="3"/>
  <c r="L23" i="3"/>
  <c r="X46" i="2"/>
  <c r="I99" i="2"/>
  <c r="D60" i="2"/>
  <c r="T57" i="2"/>
  <c r="AP80" i="3"/>
  <c r="D99" i="2"/>
  <c r="U111" i="2"/>
  <c r="E50" i="2"/>
  <c r="R45" i="2"/>
  <c r="F88" i="2"/>
  <c r="V8" i="3"/>
  <c r="AL31" i="3"/>
  <c r="AL16" i="3"/>
  <c r="W71" i="2"/>
  <c r="G91" i="2"/>
  <c r="D64" i="2"/>
  <c r="N54" i="2"/>
  <c r="AP55" i="3"/>
  <c r="AH16" i="3"/>
  <c r="U11" i="3"/>
  <c r="Q23" i="3"/>
  <c r="I21" i="3"/>
  <c r="I95" i="2"/>
  <c r="M89" i="2"/>
  <c r="O53" i="2"/>
  <c r="R107" i="2"/>
  <c r="H84" i="2"/>
  <c r="F90" i="2"/>
  <c r="G63" i="2"/>
  <c r="H88" i="2"/>
  <c r="AP71" i="3"/>
  <c r="H38" i="3"/>
  <c r="AN32" i="3"/>
  <c r="L28" i="3"/>
  <c r="S23" i="3"/>
  <c r="E85" i="2"/>
  <c r="C105" i="2"/>
  <c r="K78" i="2"/>
  <c r="T63" i="2"/>
  <c r="X30" i="3"/>
  <c r="AG37" i="3"/>
  <c r="AG26" i="3"/>
  <c r="AH29" i="3"/>
  <c r="AC39" i="3"/>
  <c r="AC27" i="3"/>
  <c r="AA25" i="3"/>
  <c r="U28" i="3"/>
  <c r="H15" i="3"/>
  <c r="Q24" i="3"/>
  <c r="AL35" i="3"/>
  <c r="AN30" i="3"/>
  <c r="Z20" i="3"/>
  <c r="AQ35" i="3"/>
  <c r="Q10" i="3"/>
  <c r="R42" i="3"/>
  <c r="W45" i="2"/>
  <c r="Q19" i="3"/>
  <c r="AE27" i="3"/>
  <c r="S20" i="3"/>
  <c r="X80" i="2"/>
  <c r="AB22" i="3"/>
  <c r="AJ12" i="3"/>
  <c r="G33" i="3"/>
  <c r="AN36" i="3"/>
  <c r="V39" i="3"/>
  <c r="S39" i="3"/>
  <c r="M58" i="2"/>
  <c r="Q33" i="3"/>
  <c r="X21" i="3"/>
  <c r="T20" i="3"/>
  <c r="J67" i="2"/>
  <c r="AC42" i="3"/>
  <c r="K24" i="3"/>
  <c r="Q30" i="3"/>
  <c r="W25" i="3"/>
  <c r="J26" i="3"/>
  <c r="Q29" i="3"/>
  <c r="U16" i="3"/>
  <c r="AQ20" i="3"/>
  <c r="I22" i="3"/>
  <c r="Y19" i="3"/>
  <c r="N28" i="3"/>
  <c r="AB14" i="3"/>
  <c r="V17" i="3"/>
  <c r="AJ6" i="3"/>
  <c r="AH28" i="3"/>
  <c r="AO19" i="3"/>
  <c r="AQ42" i="3"/>
  <c r="AP96" i="3"/>
  <c r="AL5" i="3"/>
  <c r="AB83" i="3"/>
  <c r="H19" i="3"/>
  <c r="Q15" i="3"/>
  <c r="L21" i="3"/>
  <c r="Y39" i="3"/>
  <c r="T36" i="3"/>
  <c r="V62" i="2"/>
  <c r="AQ36" i="3"/>
  <c r="Z26" i="3"/>
  <c r="AN10" i="3"/>
  <c r="AI29" i="3"/>
  <c r="N92" i="2"/>
  <c r="AH35" i="3"/>
  <c r="N63" i="2"/>
  <c r="AE31" i="3"/>
  <c r="M31" i="3"/>
  <c r="AA33" i="3"/>
  <c r="I27" i="3"/>
  <c r="V14" i="3"/>
  <c r="N25" i="3"/>
  <c r="T11" i="3"/>
  <c r="L42" i="3"/>
  <c r="N16" i="3"/>
  <c r="F110" i="2"/>
  <c r="T54" i="2"/>
  <c r="O69" i="2"/>
  <c r="W65" i="2"/>
  <c r="F83" i="2"/>
  <c r="R108" i="2"/>
  <c r="U50" i="2"/>
  <c r="G90" i="2"/>
  <c r="H74" i="2"/>
  <c r="P85" i="2"/>
  <c r="P65" i="2"/>
  <c r="K113" i="2"/>
  <c r="G46" i="2"/>
  <c r="H82" i="2"/>
  <c r="Q77" i="2"/>
  <c r="V90" i="2"/>
  <c r="J74" i="2"/>
  <c r="X61" i="2"/>
  <c r="T49" i="2"/>
  <c r="E109" i="2"/>
  <c r="H64" i="2"/>
  <c r="V40" i="2"/>
  <c r="G84" i="2"/>
  <c r="S80" i="2"/>
  <c r="V49" i="2"/>
  <c r="R48" i="2"/>
  <c r="L41" i="2"/>
  <c r="W54" i="2"/>
  <c r="J42" i="2"/>
  <c r="E80" i="2"/>
  <c r="P77" i="2"/>
  <c r="X83" i="2"/>
  <c r="M57" i="2"/>
  <c r="L51" i="2"/>
  <c r="I78" i="2"/>
  <c r="G99" i="2"/>
  <c r="E46" i="2"/>
  <c r="J50" i="2"/>
  <c r="C72" i="2"/>
  <c r="C98" i="2"/>
  <c r="Q94" i="2"/>
  <c r="T60" i="2"/>
  <c r="C61" i="2"/>
  <c r="O84" i="2"/>
  <c r="U67" i="2"/>
  <c r="V104" i="2"/>
  <c r="I105" i="2"/>
  <c r="AB60" i="3"/>
  <c r="X47" i="2"/>
  <c r="I112" i="2"/>
  <c r="X82" i="2"/>
  <c r="L49" i="2"/>
  <c r="C83" i="2"/>
  <c r="K63" i="2"/>
  <c r="L32" i="3"/>
  <c r="AD20" i="3"/>
  <c r="C17" i="3"/>
  <c r="AK36" i="3"/>
  <c r="Q106" i="2"/>
  <c r="E98" i="2"/>
  <c r="S59" i="2"/>
  <c r="O61" i="2"/>
  <c r="AK5" i="3"/>
  <c r="AI30" i="3"/>
  <c r="Y38" i="3"/>
  <c r="L18" i="3"/>
  <c r="F68" i="2"/>
  <c r="P61" i="2"/>
  <c r="T112" i="2"/>
  <c r="U51" i="2"/>
  <c r="R24" i="3"/>
  <c r="K95" i="2"/>
  <c r="Q41" i="2"/>
  <c r="D58" i="2"/>
  <c r="G62" i="2"/>
  <c r="W5" i="3"/>
  <c r="N34" i="3"/>
  <c r="AK24" i="3"/>
  <c r="AC17" i="3"/>
  <c r="W92" i="2"/>
  <c r="N43" i="2"/>
  <c r="H108" i="2"/>
  <c r="C108" i="2"/>
  <c r="G36" i="3"/>
  <c r="Z11" i="3"/>
  <c r="S40" i="3"/>
  <c r="X25" i="3"/>
  <c r="P64" i="2"/>
  <c r="E69" i="2"/>
  <c r="G105" i="2"/>
  <c r="E73" i="2"/>
  <c r="C49" i="2"/>
  <c r="V76" i="2"/>
  <c r="M72" i="2"/>
  <c r="I88" i="2"/>
  <c r="AB71" i="3"/>
  <c r="Z15" i="3"/>
  <c r="AH14" i="3"/>
  <c r="AQ23" i="3"/>
  <c r="P19" i="3"/>
  <c r="Q92" i="2"/>
  <c r="J105" i="2"/>
  <c r="Q60" i="2"/>
  <c r="M59" i="2"/>
  <c r="AD50" i="3"/>
  <c r="AC22" i="3"/>
  <c r="AB10" i="3"/>
  <c r="I14" i="3"/>
  <c r="AP41" i="3"/>
  <c r="C74" i="2"/>
  <c r="L37" i="3"/>
  <c r="H40" i="3"/>
  <c r="R14" i="3"/>
  <c r="G49" i="3"/>
  <c r="V26" i="3"/>
  <c r="M16" i="3"/>
  <c r="AL34" i="3"/>
  <c r="AE36" i="3"/>
  <c r="V35" i="3"/>
  <c r="K5" i="3"/>
  <c r="AQ14" i="3"/>
  <c r="H90" i="2"/>
  <c r="H27" i="3"/>
  <c r="Y14" i="3"/>
  <c r="AI33" i="3"/>
  <c r="AB8" i="3"/>
  <c r="V24" i="3"/>
  <c r="M7" i="3"/>
  <c r="M37" i="3"/>
  <c r="AG5" i="3"/>
  <c r="R19" i="3"/>
  <c r="Q7" i="3"/>
  <c r="T19" i="3"/>
  <c r="Q42" i="2"/>
  <c r="AH15" i="3"/>
  <c r="AA5" i="3"/>
  <c r="V30" i="3"/>
  <c r="T42" i="2"/>
  <c r="Q27" i="3"/>
  <c r="AN17" i="3"/>
  <c r="AO9" i="3"/>
  <c r="AK40" i="3"/>
  <c r="G34" i="3"/>
  <c r="S28" i="3"/>
  <c r="I6" i="3"/>
  <c r="M27" i="3"/>
  <c r="H42" i="2"/>
  <c r="AE34" i="3"/>
  <c r="P40" i="3"/>
  <c r="Z41" i="3"/>
  <c r="AH9" i="3"/>
  <c r="N41" i="3"/>
  <c r="AH25" i="3"/>
  <c r="L35" i="3"/>
  <c r="AE29" i="3"/>
  <c r="S16" i="3"/>
  <c r="Q8" i="3"/>
  <c r="AB96" i="3"/>
  <c r="Q26" i="3"/>
  <c r="AC9" i="3"/>
  <c r="N23" i="3"/>
  <c r="S37" i="3"/>
  <c r="Q6" i="3"/>
  <c r="K21" i="3"/>
  <c r="AP67" i="3"/>
  <c r="T30" i="3"/>
  <c r="C9" i="3"/>
  <c r="AN40" i="3"/>
  <c r="AK32" i="3"/>
  <c r="W87" i="2"/>
  <c r="H14" i="3"/>
  <c r="AA19" i="3"/>
  <c r="K38" i="3"/>
  <c r="AM39" i="3"/>
  <c r="H7" i="3"/>
  <c r="Z22" i="3"/>
  <c r="D49" i="3"/>
  <c r="AK19" i="3"/>
  <c r="M33" i="3"/>
  <c r="U26" i="3"/>
  <c r="T9" i="3"/>
  <c r="E76" i="2"/>
  <c r="S70" i="2"/>
  <c r="R88" i="2"/>
  <c r="J99" i="2"/>
  <c r="R41" i="2"/>
  <c r="O94" i="2"/>
  <c r="M61" i="2"/>
  <c r="H83" i="2"/>
  <c r="M55" i="2"/>
  <c r="F96" i="2"/>
  <c r="N48" i="2"/>
  <c r="R75" i="2"/>
  <c r="U54" i="2"/>
  <c r="L90" i="2"/>
  <c r="T53" i="2"/>
  <c r="K107" i="2"/>
  <c r="V96" i="2"/>
  <c r="Q43" i="2"/>
  <c r="X94" i="2"/>
  <c r="L52" i="2"/>
  <c r="R61" i="2"/>
  <c r="L74" i="2"/>
  <c r="O59" i="2"/>
  <c r="K69" i="2"/>
  <c r="D94" i="2"/>
  <c r="J92" i="2"/>
  <c r="X75" i="2"/>
  <c r="M76" i="2"/>
  <c r="W62" i="2"/>
  <c r="P83" i="2"/>
  <c r="H110" i="2"/>
  <c r="P42" i="2"/>
  <c r="J94" i="2"/>
  <c r="D86" i="2"/>
  <c r="W41" i="2"/>
  <c r="J77" i="2"/>
  <c r="X112" i="2"/>
  <c r="U91" i="2"/>
  <c r="D53" i="2"/>
  <c r="U96" i="2"/>
  <c r="K50" i="2"/>
  <c r="Q89" i="2"/>
  <c r="M93" i="2"/>
  <c r="V74" i="2"/>
  <c r="C71" i="2"/>
  <c r="M45" i="2"/>
  <c r="M98" i="2"/>
  <c r="L66" i="2"/>
  <c r="M67" i="2"/>
  <c r="K49" i="2"/>
  <c r="K67" i="2"/>
  <c r="M83" i="2"/>
  <c r="F77" i="2"/>
  <c r="C48" i="3"/>
  <c r="N89" i="2"/>
  <c r="T90" i="2"/>
  <c r="R89" i="2"/>
  <c r="O112" i="2"/>
  <c r="I93" i="2"/>
  <c r="AB50" i="3"/>
  <c r="AI16" i="3"/>
  <c r="P8" i="3"/>
  <c r="O6" i="3"/>
  <c r="S78" i="2"/>
  <c r="I59" i="2"/>
  <c r="D95" i="2"/>
  <c r="E112" i="2"/>
  <c r="AP81" i="3"/>
  <c r="C38" i="3"/>
  <c r="AK27" i="3"/>
  <c r="P35" i="3"/>
  <c r="C42" i="2"/>
  <c r="U109" i="2"/>
  <c r="E74" i="2"/>
  <c r="D113" i="2"/>
  <c r="AB85" i="3"/>
  <c r="G47" i="2"/>
  <c r="N74" i="2"/>
  <c r="H67" i="2"/>
  <c r="S54" i="2"/>
  <c r="J36" i="3"/>
  <c r="AQ18" i="3"/>
  <c r="M39" i="3"/>
  <c r="H42" i="3"/>
  <c r="W75" i="2"/>
  <c r="D74" i="2"/>
  <c r="C52" i="2"/>
  <c r="T62" i="2"/>
  <c r="AP82" i="3"/>
  <c r="K40" i="3"/>
  <c r="I26" i="3"/>
  <c r="AK22" i="3"/>
  <c r="AL39" i="3"/>
  <c r="E50" i="3"/>
  <c r="U75" i="2"/>
  <c r="K72" i="2"/>
  <c r="M107" i="2"/>
  <c r="P57" i="2"/>
  <c r="Q76" i="2"/>
  <c r="O86" i="2"/>
  <c r="W53" i="2"/>
  <c r="J45" i="2"/>
  <c r="AP94" i="3"/>
  <c r="O38" i="3"/>
  <c r="C41" i="3"/>
  <c r="AJ5" i="3"/>
  <c r="M5" i="3"/>
  <c r="J63" i="2"/>
  <c r="E107" i="2"/>
  <c r="S56" i="2"/>
  <c r="V79" i="2"/>
  <c r="X31" i="3"/>
  <c r="AP23" i="3"/>
  <c r="AP9" i="3"/>
  <c r="M78" i="2"/>
  <c r="N19" i="3"/>
  <c r="AP95" i="3"/>
  <c r="R30" i="3"/>
  <c r="AE38" i="3"/>
  <c r="J6" i="3"/>
  <c r="T38" i="3"/>
  <c r="AB15" i="3"/>
  <c r="C6" i="3"/>
  <c r="L12" i="3"/>
  <c r="AC10" i="3"/>
  <c r="C26" i="3"/>
  <c r="R5" i="3"/>
  <c r="H5" i="3"/>
  <c r="C30" i="3"/>
  <c r="V15" i="3"/>
  <c r="I49" i="2"/>
  <c r="C22" i="3"/>
  <c r="X29" i="3"/>
  <c r="AK14" i="3"/>
  <c r="AK8" i="3"/>
  <c r="J10" i="3"/>
  <c r="J24" i="3"/>
  <c r="O34" i="3"/>
  <c r="W28" i="3"/>
  <c r="AL10" i="3"/>
  <c r="AQ41" i="3"/>
  <c r="AL40" i="3"/>
  <c r="D84" i="2"/>
  <c r="L11" i="3"/>
  <c r="AC5" i="3"/>
  <c r="Z21" i="3"/>
  <c r="D48" i="3"/>
  <c r="Q39" i="3"/>
  <c r="R26" i="3"/>
  <c r="C97" i="2"/>
  <c r="Z14" i="3"/>
  <c r="W26" i="3"/>
  <c r="R20" i="3"/>
  <c r="R9" i="3"/>
  <c r="AM10" i="3"/>
  <c r="AM36" i="3"/>
  <c r="AO40" i="3"/>
  <c r="AQ15" i="3"/>
  <c r="AB31" i="3"/>
  <c r="Q28" i="3"/>
  <c r="P5" i="3"/>
  <c r="C16" i="3"/>
  <c r="AP72" i="3"/>
  <c r="K23" i="3"/>
  <c r="AB26" i="3"/>
  <c r="AJ40" i="3"/>
  <c r="T31" i="3"/>
  <c r="T7" i="3"/>
  <c r="AA41" i="3"/>
  <c r="AN8" i="3"/>
  <c r="Y28" i="3"/>
  <c r="AI32" i="3"/>
  <c r="G38" i="3"/>
  <c r="J33" i="3"/>
  <c r="C109" i="2"/>
  <c r="AA12" i="3"/>
  <c r="K88" i="2"/>
  <c r="P41" i="3"/>
  <c r="P21" i="3"/>
  <c r="AB25" i="3"/>
  <c r="AI8" i="3"/>
  <c r="AN26" i="3"/>
  <c r="J42" i="3"/>
  <c r="AO41" i="3"/>
  <c r="J5" i="3"/>
  <c r="AJ19" i="3"/>
  <c r="P95" i="2"/>
  <c r="Q65" i="2"/>
  <c r="V61" i="2"/>
  <c r="F92" i="2"/>
  <c r="G95" i="2"/>
  <c r="N85" i="2"/>
  <c r="I65" i="2"/>
  <c r="X60" i="2"/>
  <c r="U52" i="2"/>
  <c r="L107" i="2"/>
  <c r="X57" i="2"/>
  <c r="N59" i="2"/>
  <c r="Q48" i="2"/>
  <c r="X71" i="2"/>
  <c r="I41" i="2"/>
  <c r="J52" i="2"/>
  <c r="H91" i="2"/>
  <c r="O76" i="2"/>
  <c r="U49" i="2"/>
  <c r="E63" i="2"/>
  <c r="N78" i="2"/>
  <c r="S112" i="2"/>
  <c r="S68" i="2"/>
  <c r="T106" i="2"/>
  <c r="H47" i="2"/>
  <c r="G78" i="2"/>
  <c r="V106" i="2"/>
  <c r="U105" i="2"/>
  <c r="R106" i="2"/>
  <c r="P111" i="2"/>
  <c r="T76" i="2"/>
  <c r="J71" i="2"/>
  <c r="Q91" i="2"/>
  <c r="P41" i="2"/>
  <c r="W111" i="2"/>
  <c r="V56" i="2"/>
  <c r="V46" i="2"/>
  <c r="I98" i="2"/>
  <c r="E86" i="2"/>
  <c r="O78" i="2"/>
  <c r="D80" i="2"/>
  <c r="N50" i="2"/>
  <c r="E64" i="2"/>
  <c r="R109" i="2"/>
  <c r="R95" i="2"/>
  <c r="K82" i="2"/>
  <c r="W40" i="2"/>
  <c r="Q90" i="2"/>
  <c r="X48" i="2"/>
  <c r="J95" i="2"/>
  <c r="F41" i="2"/>
  <c r="W55" i="2"/>
  <c r="H69" i="2"/>
  <c r="D75" i="2"/>
  <c r="AP88" i="3"/>
  <c r="H79" i="2"/>
  <c r="Q74" i="2"/>
  <c r="K66" i="2"/>
  <c r="R96" i="2"/>
  <c r="P74" i="2"/>
  <c r="AP92" i="3"/>
  <c r="X7" i="3"/>
  <c r="AM12" i="3"/>
  <c r="R28" i="3"/>
  <c r="R57" i="2"/>
  <c r="G93" i="2"/>
  <c r="J70" i="2"/>
  <c r="T61" i="2"/>
  <c r="F67" i="2"/>
  <c r="J41" i="3"/>
  <c r="H11" i="3"/>
  <c r="T28" i="3"/>
  <c r="F40" i="2"/>
  <c r="W66" i="2"/>
  <c r="U89" i="2"/>
  <c r="O91" i="2"/>
  <c r="AB88" i="3"/>
  <c r="AO15" i="3"/>
  <c r="L69" i="2"/>
  <c r="C106" i="2"/>
  <c r="R43" i="2"/>
  <c r="E78" i="2"/>
  <c r="AN33" i="3"/>
  <c r="AD38" i="3"/>
  <c r="C33" i="3"/>
  <c r="V80" i="2"/>
  <c r="C60" i="2"/>
  <c r="C93" i="2"/>
  <c r="H45" i="2"/>
  <c r="AP76" i="3"/>
  <c r="AO21" i="3"/>
  <c r="AB30" i="3"/>
  <c r="AG8" i="3"/>
  <c r="L38" i="3"/>
  <c r="W13" i="3"/>
  <c r="U45" i="2"/>
  <c r="E54" i="2"/>
  <c r="X87" i="2"/>
  <c r="C95" i="2"/>
  <c r="L62" i="2"/>
  <c r="Q75" i="2"/>
  <c r="D67" i="2"/>
  <c r="L40" i="2"/>
  <c r="S31" i="3"/>
  <c r="L8" i="3"/>
  <c r="J7" i="3"/>
  <c r="J21" i="3"/>
  <c r="N72" i="2"/>
  <c r="J84" i="2"/>
  <c r="R71" i="2"/>
  <c r="H77" i="2"/>
  <c r="T23" i="3"/>
  <c r="M23" i="3"/>
  <c r="AC8" i="3"/>
  <c r="W89" i="2"/>
  <c r="AB74" i="3"/>
  <c r="V34" i="3"/>
  <c r="Z29" i="3"/>
  <c r="L9" i="3"/>
  <c r="R27" i="3"/>
  <c r="N37" i="3"/>
  <c r="W8" i="3"/>
  <c r="J32" i="3"/>
  <c r="AQ31" i="3"/>
  <c r="AB40" i="3"/>
  <c r="J87" i="2"/>
  <c r="K25" i="3"/>
  <c r="I37" i="3"/>
  <c r="W16" i="3"/>
  <c r="AE22" i="3"/>
  <c r="K9" i="3"/>
  <c r="AP90" i="3"/>
  <c r="M22" i="3"/>
  <c r="AG23" i="3"/>
  <c r="AM37" i="3"/>
  <c r="Q21" i="3"/>
  <c r="S10" i="3"/>
  <c r="AM35" i="3"/>
  <c r="C31" i="3"/>
  <c r="L42" i="2"/>
  <c r="M36" i="3"/>
  <c r="T21" i="3"/>
  <c r="AA26" i="3"/>
  <c r="AP50" i="3"/>
  <c r="AC13" i="3"/>
  <c r="AH10" i="3"/>
  <c r="U25" i="3"/>
  <c r="X37" i="3"/>
  <c r="P12" i="3"/>
  <c r="K16" i="3"/>
  <c r="O14" i="3"/>
  <c r="AA20" i="3"/>
  <c r="S58" i="2"/>
  <c r="U31" i="3"/>
  <c r="J38" i="3"/>
  <c r="AO30" i="3"/>
  <c r="O36" i="3"/>
  <c r="V10" i="3"/>
  <c r="H22" i="3"/>
  <c r="P31" i="3"/>
  <c r="AO8" i="3"/>
  <c r="AP39" i="3"/>
  <c r="E47" i="3"/>
  <c r="L24" i="3"/>
  <c r="X107" i="2"/>
  <c r="O5" i="3"/>
  <c r="I12" i="3"/>
  <c r="K8" i="3"/>
  <c r="P11" i="3"/>
  <c r="AJ7" i="3"/>
  <c r="S52" i="2"/>
  <c r="W34" i="3"/>
  <c r="V13" i="3"/>
  <c r="AL18" i="3"/>
  <c r="N33" i="3"/>
  <c r="AP49" i="3"/>
  <c r="X40" i="3"/>
  <c r="W61" i="2"/>
  <c r="S32" i="3"/>
  <c r="V11" i="3"/>
  <c r="U34" i="3"/>
  <c r="AH5" i="3"/>
  <c r="S18" i="3"/>
  <c r="O11" i="3"/>
  <c r="AD30" i="3"/>
  <c r="AE35" i="3"/>
  <c r="X77" i="2"/>
  <c r="F78" i="2"/>
  <c r="U41" i="2"/>
  <c r="P78" i="2"/>
  <c r="R82" i="2"/>
  <c r="W91" i="2"/>
  <c r="W43" i="2"/>
  <c r="I62" i="2"/>
  <c r="Q113" i="2"/>
  <c r="H75" i="2"/>
  <c r="I60" i="2"/>
  <c r="V51" i="2"/>
  <c r="W85" i="2"/>
  <c r="T92" i="2"/>
  <c r="L88" i="2"/>
  <c r="I92" i="2"/>
  <c r="U79" i="2"/>
  <c r="X49" i="2"/>
  <c r="H40" i="2"/>
  <c r="D66" i="2"/>
  <c r="W90" i="2"/>
  <c r="U56" i="2"/>
  <c r="J91" i="2"/>
  <c r="T87" i="2"/>
  <c r="H61" i="2"/>
  <c r="W79" i="2"/>
  <c r="R67" i="2"/>
  <c r="G107" i="2"/>
  <c r="O81" i="2"/>
  <c r="G82" i="2"/>
  <c r="U44" i="2"/>
  <c r="J46" i="2"/>
  <c r="L48" i="2"/>
  <c r="R87" i="2"/>
  <c r="R112" i="2"/>
  <c r="J111" i="2"/>
  <c r="P60" i="2"/>
  <c r="X81" i="2"/>
  <c r="W108" i="2"/>
  <c r="T43" i="2"/>
  <c r="G65" i="2"/>
  <c r="R86" i="2"/>
  <c r="K90" i="2"/>
  <c r="E84" i="2"/>
  <c r="X50" i="2"/>
  <c r="R55" i="2"/>
  <c r="C89" i="2"/>
  <c r="D87" i="2"/>
  <c r="I55" i="2"/>
  <c r="N70" i="2"/>
  <c r="K80" i="2"/>
  <c r="F51" i="2"/>
  <c r="L73" i="2"/>
  <c r="L80" i="2"/>
  <c r="X91" i="2"/>
  <c r="P45" i="2"/>
  <c r="V73" i="2"/>
  <c r="V48" i="2"/>
  <c r="G50" i="2"/>
  <c r="W49" i="2"/>
  <c r="F112" i="2"/>
  <c r="C44" i="2"/>
  <c r="U40" i="2"/>
  <c r="T24" i="3"/>
  <c r="AN12" i="3"/>
  <c r="L30" i="3"/>
  <c r="V7" i="3"/>
  <c r="T68" i="2"/>
  <c r="H92" i="2"/>
  <c r="H58" i="2"/>
  <c r="C91" i="2"/>
  <c r="Y40" i="3"/>
  <c r="X36" i="3"/>
  <c r="P6" i="3"/>
  <c r="F99" i="2"/>
  <c r="S49" i="2"/>
  <c r="Q64" i="2"/>
  <c r="J97" i="2"/>
  <c r="N71" i="2"/>
  <c r="AP86" i="3"/>
  <c r="Z8" i="3"/>
  <c r="W105" i="2"/>
  <c r="P43" i="2"/>
  <c r="X111" i="2"/>
  <c r="M111" i="2"/>
  <c r="AM16" i="3"/>
  <c r="AH42" i="3"/>
  <c r="AE19" i="3"/>
  <c r="I40" i="3"/>
  <c r="C43" i="2"/>
  <c r="O99" i="2"/>
  <c r="C78" i="2"/>
  <c r="R60" i="2"/>
  <c r="E49" i="3"/>
  <c r="AM41" i="3"/>
  <c r="AE42" i="3"/>
  <c r="L36" i="3"/>
  <c r="I82" i="2"/>
  <c r="U73" i="2"/>
  <c r="N69" i="2"/>
  <c r="S111" i="2"/>
  <c r="W99" i="2"/>
  <c r="V69" i="2"/>
  <c r="M90" i="2"/>
  <c r="T70" i="2"/>
  <c r="AB91" i="3"/>
  <c r="Q16" i="3"/>
  <c r="V18" i="3"/>
  <c r="H35" i="3"/>
  <c r="O68" i="2"/>
  <c r="J79" i="2"/>
  <c r="H52" i="2"/>
  <c r="D56" i="2"/>
  <c r="AB57" i="3"/>
  <c r="AD24" i="3"/>
  <c r="AH22" i="3"/>
  <c r="AE18" i="3"/>
  <c r="V112" i="2"/>
  <c r="I45" i="2"/>
  <c r="M15" i="3"/>
  <c r="H18" i="3"/>
  <c r="AO28" i="3"/>
  <c r="X8" i="3"/>
  <c r="Q32" i="3"/>
  <c r="AK13" i="3"/>
  <c r="AM34" i="3"/>
  <c r="AM6" i="3"/>
  <c r="P26" i="3"/>
  <c r="Y5" i="3"/>
  <c r="AB47" i="3"/>
  <c r="O42" i="3"/>
  <c r="AG38" i="3"/>
  <c r="W14" i="3"/>
  <c r="K41" i="3"/>
  <c r="AB49" i="3"/>
  <c r="AI10" i="3"/>
  <c r="H25" i="3"/>
  <c r="J13" i="3"/>
  <c r="K14" i="3"/>
  <c r="AC34" i="3"/>
  <c r="AH27" i="3"/>
  <c r="U5" i="3"/>
  <c r="I79" i="2"/>
  <c r="L5" i="3"/>
  <c r="W27" i="3"/>
  <c r="AO18" i="3"/>
  <c r="K40" i="2"/>
  <c r="AE14" i="3"/>
  <c r="R37" i="3"/>
  <c r="P37" i="3"/>
  <c r="U32" i="3"/>
  <c r="N22" i="3"/>
  <c r="T10" i="3"/>
  <c r="AM25" i="3"/>
  <c r="W32" i="3"/>
  <c r="AE24" i="3"/>
  <c r="AC36" i="3"/>
  <c r="AH41" i="3"/>
  <c r="K10" i="3"/>
  <c r="Z42" i="3"/>
  <c r="C18" i="3"/>
  <c r="AO27" i="3"/>
  <c r="Q12" i="3"/>
  <c r="AC24" i="3"/>
  <c r="AB36" i="3"/>
  <c r="AM11" i="3"/>
  <c r="AG11" i="3"/>
  <c r="P39" i="3"/>
  <c r="J27" i="3"/>
  <c r="AO23" i="3"/>
  <c r="AJ27" i="3"/>
  <c r="X20" i="3"/>
  <c r="U18" i="3"/>
  <c r="S13" i="3"/>
  <c r="AN22" i="3"/>
  <c r="Z9" i="3"/>
  <c r="D50" i="3"/>
  <c r="I33" i="3"/>
  <c r="AK38" i="3"/>
  <c r="E44" i="2"/>
  <c r="AP87" i="3"/>
  <c r="N83" i="2"/>
  <c r="AP13" i="3"/>
  <c r="O19" i="3"/>
  <c r="I24" i="3"/>
  <c r="S8" i="3"/>
  <c r="AK25" i="3"/>
  <c r="AN25" i="3"/>
  <c r="AI28" i="3"/>
  <c r="AD19" i="3"/>
  <c r="J20" i="3"/>
  <c r="AQ5" i="3"/>
  <c r="F53" i="2"/>
  <c r="H78" i="2"/>
  <c r="V52" i="2"/>
  <c r="U88" i="2"/>
  <c r="S87" i="2"/>
  <c r="Q84" i="2"/>
  <c r="Q71" i="2"/>
  <c r="I90" i="2"/>
  <c r="T73" i="2"/>
  <c r="U97" i="2"/>
  <c r="E47" i="2"/>
  <c r="D49" i="2"/>
  <c r="F55" i="2"/>
  <c r="Q108" i="2"/>
  <c r="O40" i="2"/>
  <c r="O56" i="2"/>
  <c r="S40" i="2"/>
  <c r="E61" i="2"/>
  <c r="S67" i="2"/>
  <c r="S85" i="2"/>
  <c r="K44" i="2"/>
  <c r="L110" i="2"/>
  <c r="L57" i="2"/>
  <c r="T89" i="2"/>
  <c r="O88" i="2"/>
  <c r="L78" i="2"/>
  <c r="E110" i="2"/>
  <c r="W57" i="2"/>
  <c r="J75" i="2"/>
  <c r="E82" i="2"/>
  <c r="N45" i="2"/>
  <c r="M92" i="2"/>
  <c r="P70" i="2"/>
  <c r="W42" i="2"/>
  <c r="L79" i="2"/>
  <c r="T56" i="2"/>
  <c r="G86" i="2"/>
  <c r="J61" i="2"/>
  <c r="P63" i="2"/>
  <c r="I113" i="2"/>
  <c r="D78" i="2"/>
  <c r="V75" i="2"/>
  <c r="P88" i="2"/>
  <c r="M110" i="2"/>
  <c r="Q66" i="2"/>
  <c r="L93" i="2"/>
  <c r="X69" i="2"/>
  <c r="V66" i="2"/>
  <c r="S65" i="2"/>
  <c r="AP93" i="3"/>
  <c r="S93" i="2"/>
  <c r="N42" i="2"/>
  <c r="R65" i="2"/>
  <c r="AB63" i="3"/>
  <c r="L53" i="2"/>
  <c r="R58" i="2"/>
  <c r="M41" i="2"/>
  <c r="L64" i="2"/>
  <c r="K77" i="2"/>
  <c r="AB70" i="3"/>
  <c r="AN9" i="3"/>
  <c r="L31" i="3"/>
  <c r="AG32" i="3"/>
  <c r="W68" i="2"/>
  <c r="H89" i="2"/>
  <c r="D104" i="2"/>
  <c r="L46" i="2"/>
  <c r="AP73" i="3"/>
  <c r="O17" i="3"/>
  <c r="AA40" i="3"/>
  <c r="AK41" i="3"/>
  <c r="P47" i="2"/>
  <c r="C82" i="2"/>
  <c r="C104" i="2"/>
  <c r="Q47" i="2"/>
  <c r="O39" i="3"/>
  <c r="L50" i="2"/>
  <c r="S48" i="2"/>
  <c r="M79" i="2"/>
  <c r="K83" i="2"/>
  <c r="AB62" i="3"/>
  <c r="M29" i="3"/>
  <c r="M20" i="3"/>
  <c r="N32" i="3"/>
  <c r="S108" i="2"/>
  <c r="C107" i="2"/>
  <c r="N109" i="2"/>
  <c r="J98" i="2"/>
  <c r="AB95" i="3"/>
  <c r="R36" i="3"/>
  <c r="J37" i="3"/>
  <c r="AH24" i="3"/>
  <c r="R40" i="3"/>
  <c r="S38" i="3"/>
  <c r="X26" i="3"/>
  <c r="W47" i="2"/>
  <c r="S107" i="2"/>
  <c r="Q107" i="2"/>
  <c r="P48" i="2"/>
  <c r="O58" i="2"/>
  <c r="S76" i="2"/>
  <c r="D59" i="2"/>
  <c r="I40" i="2"/>
  <c r="H20" i="3"/>
  <c r="AM22" i="3"/>
  <c r="AP16" i="3"/>
  <c r="AI19" i="3"/>
  <c r="M82" i="2"/>
  <c r="R49" i="2"/>
  <c r="K68" i="2"/>
  <c r="S90" i="2"/>
  <c r="AB72" i="3"/>
  <c r="AI24" i="3"/>
  <c r="AJ30" i="3"/>
  <c r="AB12" i="3"/>
  <c r="V82" i="2"/>
  <c r="X35" i="3"/>
  <c r="AP25" i="3"/>
  <c r="AM13" i="3"/>
  <c r="P23" i="3"/>
  <c r="N7" i="3"/>
  <c r="I31" i="3"/>
  <c r="AE15" i="3"/>
  <c r="J23" i="3"/>
  <c r="P28" i="3"/>
  <c r="AP38" i="3"/>
  <c r="N21" i="3"/>
  <c r="Q105" i="2"/>
  <c r="G37" i="3"/>
  <c r="AE33" i="3"/>
  <c r="Q17" i="3"/>
  <c r="AQ28" i="3"/>
  <c r="H34" i="3"/>
  <c r="V33" i="3"/>
  <c r="N42" i="3"/>
  <c r="W38" i="3"/>
  <c r="V42" i="3"/>
  <c r="J31" i="3"/>
  <c r="T34" i="3"/>
  <c r="F113" i="2"/>
  <c r="AB41" i="3"/>
  <c r="AP15" i="3"/>
  <c r="AL12" i="3"/>
  <c r="N12" i="3"/>
  <c r="AQ13" i="3"/>
  <c r="AL37" i="3"/>
  <c r="AP33" i="3"/>
  <c r="U14" i="3"/>
  <c r="AL32" i="3"/>
  <c r="AG13" i="3"/>
  <c r="V23" i="3"/>
  <c r="AQ16" i="3"/>
  <c r="AC40" i="3"/>
  <c r="L83" i="2"/>
  <c r="AN37" i="3"/>
  <c r="N30" i="3"/>
  <c r="R41" i="3"/>
  <c r="AL14" i="3"/>
  <c r="X23" i="3"/>
  <c r="AD40" i="3"/>
  <c r="K27" i="3"/>
  <c r="X13" i="3"/>
  <c r="I5" i="3"/>
  <c r="AM17" i="3"/>
  <c r="W86" i="2"/>
  <c r="W15" i="3"/>
  <c r="AC32" i="3"/>
  <c r="AO5" i="3"/>
  <c r="AC26" i="3"/>
  <c r="H72" i="2"/>
  <c r="Q44" i="2"/>
  <c r="Y25" i="3"/>
  <c r="W10" i="3"/>
  <c r="U35" i="3"/>
  <c r="T39" i="3"/>
  <c r="G54" i="2"/>
  <c r="W17" i="3"/>
  <c r="F64" i="2"/>
  <c r="AI38" i="3"/>
  <c r="H10" i="3"/>
  <c r="AG19" i="3"/>
  <c r="D47" i="3"/>
  <c r="H36" i="3"/>
  <c r="X22" i="3"/>
  <c r="O32" i="3"/>
  <c r="T27" i="3"/>
  <c r="BH168" i="1" l="1"/>
  <c r="B155" i="1"/>
  <c r="B149" i="1"/>
  <c r="B177" i="1" s="1"/>
  <c r="U194" i="1"/>
  <c r="D141" i="1"/>
  <c r="K187" i="1"/>
  <c r="M147" i="1"/>
  <c r="T97" i="1"/>
  <c r="M168" i="1"/>
  <c r="M203" i="1" s="1"/>
  <c r="U169" i="1"/>
  <c r="E195" i="1"/>
  <c r="W145" i="1"/>
  <c r="K183" i="1"/>
  <c r="T173" i="1"/>
  <c r="L147" i="1"/>
  <c r="F187" i="1"/>
  <c r="L141" i="1"/>
  <c r="C141" i="1"/>
  <c r="E160" i="1"/>
  <c r="N102" i="1"/>
  <c r="N147" i="1"/>
  <c r="S155" i="1"/>
  <c r="W193" i="1"/>
  <c r="U187" i="1"/>
  <c r="W159" i="1"/>
  <c r="T156" i="1"/>
  <c r="S90" i="1"/>
  <c r="R156" i="1"/>
  <c r="H166" i="1"/>
  <c r="L102" i="1"/>
  <c r="C101" i="1"/>
  <c r="V96" i="1"/>
  <c r="M178" i="1"/>
  <c r="B102" i="1"/>
  <c r="B150" i="1"/>
  <c r="D168" i="1"/>
  <c r="D203" i="1" s="1"/>
  <c r="O145" i="1"/>
  <c r="R194" i="1"/>
  <c r="B194" i="1"/>
  <c r="Q172" i="1"/>
  <c r="D183" i="1"/>
  <c r="P147" i="1"/>
  <c r="J155" i="1"/>
  <c r="I160" i="1"/>
  <c r="F173" i="1"/>
  <c r="J156" i="1"/>
  <c r="H169" i="1"/>
  <c r="W176" i="1"/>
  <c r="G167" i="1"/>
  <c r="G202" i="1" s="1"/>
  <c r="R176" i="1"/>
  <c r="R206" i="1" s="1"/>
  <c r="K160" i="1"/>
  <c r="N172" i="1"/>
  <c r="G195" i="1"/>
  <c r="J100" i="1"/>
  <c r="V174" i="1"/>
  <c r="U145" i="1"/>
  <c r="W96" i="1"/>
  <c r="T102" i="1"/>
  <c r="P173" i="1"/>
  <c r="B169" i="1"/>
  <c r="G168" i="1"/>
  <c r="G203" i="1" s="1"/>
  <c r="O168" i="1"/>
  <c r="O203" i="1" s="1"/>
  <c r="P166" i="1"/>
  <c r="C97" i="1"/>
  <c r="T101" i="1"/>
  <c r="M155" i="1"/>
  <c r="T193" i="1"/>
  <c r="I194" i="1"/>
  <c r="D148" i="1"/>
  <c r="F167" i="1"/>
  <c r="F202" i="1" s="1"/>
  <c r="V169" i="1"/>
  <c r="O150" i="1"/>
  <c r="F169" i="1"/>
  <c r="J168" i="1"/>
  <c r="J203" i="1" s="1"/>
  <c r="B173" i="1"/>
  <c r="M160" i="1"/>
  <c r="F156" i="1"/>
  <c r="L160" i="1"/>
  <c r="F183" i="1"/>
  <c r="G145" i="1"/>
  <c r="D149" i="1"/>
  <c r="D177" i="1" s="1"/>
  <c r="S178" i="1"/>
  <c r="C140" i="1"/>
  <c r="I145" i="1"/>
  <c r="O148" i="1"/>
  <c r="J187" i="1"/>
  <c r="W183" i="1"/>
  <c r="F158" i="1"/>
  <c r="F154" i="1" s="1"/>
  <c r="D96" i="1"/>
  <c r="S186" i="1"/>
  <c r="R141" i="1"/>
  <c r="K141" i="1"/>
  <c r="J166" i="1"/>
  <c r="Q159" i="1"/>
  <c r="H195" i="1"/>
  <c r="W170" i="1"/>
  <c r="H182" i="1"/>
  <c r="C159" i="1"/>
  <c r="J140" i="1"/>
  <c r="M176" i="1"/>
  <c r="M206" i="1" s="1"/>
  <c r="F141" i="1"/>
  <c r="L156" i="1"/>
  <c r="O90" i="1"/>
  <c r="E145" i="1"/>
  <c r="C182" i="1"/>
  <c r="F160" i="1"/>
  <c r="W158" i="1"/>
  <c r="W154" i="1" s="1"/>
  <c r="O174" i="1"/>
  <c r="O178" i="1"/>
  <c r="C100" i="1"/>
  <c r="M163" i="1"/>
  <c r="L150" i="1"/>
  <c r="M90" i="1"/>
  <c r="E168" i="1"/>
  <c r="E203" i="1" s="1"/>
  <c r="T90" i="1"/>
  <c r="C150" i="1"/>
  <c r="G178" i="1"/>
  <c r="D166" i="1"/>
  <c r="K100" i="1"/>
  <c r="S174" i="1"/>
  <c r="T142" i="1"/>
  <c r="N160" i="1"/>
  <c r="I173" i="1"/>
  <c r="P172" i="1"/>
  <c r="F193" i="1"/>
  <c r="T158" i="1"/>
  <c r="T154" i="1" s="1"/>
  <c r="Q101" i="1"/>
  <c r="U159" i="1"/>
  <c r="Q145" i="1"/>
  <c r="G155" i="1"/>
  <c r="H90" i="1"/>
  <c r="V158" i="1"/>
  <c r="V154" i="1" s="1"/>
  <c r="V156" i="1"/>
  <c r="B170" i="1"/>
  <c r="E193" i="1"/>
  <c r="R150" i="1"/>
  <c r="H173" i="1"/>
  <c r="B183" i="1"/>
  <c r="U168" i="1"/>
  <c r="U203" i="1" s="1"/>
  <c r="U102" i="1"/>
  <c r="S96" i="1"/>
  <c r="B90" i="1"/>
  <c r="J193" i="1"/>
  <c r="D97" i="1"/>
  <c r="S158" i="1"/>
  <c r="S154" i="1" s="1"/>
  <c r="C160" i="1"/>
  <c r="P158" i="1"/>
  <c r="P154" i="1" s="1"/>
  <c r="S195" i="1"/>
  <c r="L155" i="1"/>
  <c r="N174" i="1"/>
  <c r="O186" i="1"/>
  <c r="L159" i="1"/>
  <c r="P165" i="1"/>
  <c r="G100" i="1"/>
  <c r="V145" i="1"/>
  <c r="J183" i="1"/>
  <c r="G170" i="1"/>
  <c r="F170" i="1"/>
  <c r="C142" i="1"/>
  <c r="V167" i="1"/>
  <c r="V202" i="1" s="1"/>
  <c r="I186" i="1"/>
  <c r="L173" i="1"/>
  <c r="V90" i="1"/>
  <c r="C166" i="1"/>
  <c r="G102" i="1"/>
  <c r="F186" i="1"/>
  <c r="J96" i="1"/>
  <c r="I168" i="1"/>
  <c r="I203" i="1" s="1"/>
  <c r="G159" i="1"/>
  <c r="R90" i="1"/>
  <c r="W142" i="1"/>
  <c r="W149" i="1"/>
  <c r="W177" i="1" s="1"/>
  <c r="Q166" i="1"/>
  <c r="Q142" i="1"/>
  <c r="B86" i="1"/>
  <c r="D170" i="1"/>
  <c r="J178" i="1"/>
  <c r="B187" i="1"/>
  <c r="F176" i="1"/>
  <c r="F206" i="1" s="1"/>
  <c r="R174" i="1"/>
  <c r="R187" i="1"/>
  <c r="N169" i="1"/>
  <c r="R147" i="1"/>
  <c r="O195" i="1"/>
  <c r="F149" i="1"/>
  <c r="F177" i="1" s="1"/>
  <c r="G160" i="1"/>
  <c r="M186" i="1"/>
  <c r="M169" i="1"/>
  <c r="G141" i="1"/>
  <c r="R97" i="1"/>
  <c r="I148" i="1"/>
  <c r="E150" i="1"/>
  <c r="G147" i="1"/>
  <c r="O158" i="1"/>
  <c r="O154" i="1" s="1"/>
  <c r="P170" i="1"/>
  <c r="T195" i="1"/>
  <c r="F150" i="1"/>
  <c r="P141" i="1"/>
  <c r="S163" i="1"/>
  <c r="Q163" i="1"/>
  <c r="B182" i="1"/>
  <c r="C86" i="1"/>
  <c r="T100" i="1"/>
  <c r="S150" i="1"/>
  <c r="W148" i="1"/>
  <c r="L182" i="1"/>
  <c r="I158" i="1"/>
  <c r="I154" i="1" s="1"/>
  <c r="J163" i="1"/>
  <c r="K156" i="1"/>
  <c r="H145" i="1"/>
  <c r="N156" i="1"/>
  <c r="B168" i="1"/>
  <c r="B203" i="1" s="1"/>
  <c r="R182" i="1"/>
  <c r="B195" i="1"/>
  <c r="H149" i="1"/>
  <c r="H177" i="1" s="1"/>
  <c r="M97" i="1"/>
  <c r="E156" i="1"/>
  <c r="M182" i="1"/>
  <c r="D150" i="1"/>
  <c r="P101" i="1"/>
  <c r="B174" i="1"/>
  <c r="E169" i="1"/>
  <c r="L169" i="1"/>
  <c r="V183" i="1"/>
  <c r="W174" i="1"/>
  <c r="C194" i="1"/>
  <c r="M141" i="1"/>
  <c r="U195" i="1"/>
  <c r="L165" i="1"/>
  <c r="I193" i="1"/>
  <c r="C168" i="1"/>
  <c r="C203" i="1" s="1"/>
  <c r="N96" i="1"/>
  <c r="W101" i="1"/>
  <c r="K170" i="1"/>
  <c r="L194" i="1"/>
  <c r="M100" i="1"/>
  <c r="R140" i="1"/>
  <c r="F155" i="1"/>
  <c r="M158" i="1"/>
  <c r="M154" i="1" s="1"/>
  <c r="C156" i="1"/>
  <c r="N195" i="1"/>
  <c r="W150" i="1"/>
  <c r="H141" i="1"/>
  <c r="T96" i="1"/>
  <c r="J159" i="1"/>
  <c r="B159" i="1"/>
  <c r="L101" i="1"/>
  <c r="D165" i="1"/>
  <c r="Q165" i="1"/>
  <c r="L142" i="1"/>
  <c r="L187" i="1"/>
  <c r="G174" i="1"/>
  <c r="B176" i="1"/>
  <c r="B206" i="1" s="1"/>
  <c r="U147" i="1"/>
  <c r="D195" i="1"/>
  <c r="Q167" i="1"/>
  <c r="Q202" i="1" s="1"/>
  <c r="E101" i="1"/>
  <c r="I156" i="1"/>
  <c r="U96" i="1"/>
  <c r="W167" i="1"/>
  <c r="D172" i="1"/>
  <c r="D87" i="1"/>
  <c r="I97" i="1"/>
  <c r="N170" i="1"/>
  <c r="M187" i="1"/>
  <c r="U140" i="1"/>
  <c r="H142" i="1"/>
  <c r="I149" i="1"/>
  <c r="I177" i="1" s="1"/>
  <c r="D101" i="1"/>
  <c r="U150" i="1"/>
  <c r="S187" i="1"/>
  <c r="E176" i="1"/>
  <c r="E206" i="1" s="1"/>
  <c r="E142" i="1"/>
  <c r="V140" i="1"/>
  <c r="M194" i="1"/>
  <c r="P182" i="1"/>
  <c r="P184" i="1" s="1"/>
  <c r="Q232" i="1" s="1"/>
  <c r="E96" i="1"/>
  <c r="F172" i="1"/>
  <c r="I141" i="1"/>
  <c r="C96" i="1"/>
  <c r="U155" i="1"/>
  <c r="B87" i="1"/>
  <c r="T168" i="1"/>
  <c r="T203" i="1" s="1"/>
  <c r="C163" i="1"/>
  <c r="G163" i="1"/>
  <c r="D187" i="1"/>
  <c r="S149" i="1"/>
  <c r="S177" i="1" s="1"/>
  <c r="D159" i="1"/>
  <c r="N173" i="1"/>
  <c r="P96" i="1"/>
  <c r="T194" i="1"/>
  <c r="S140" i="1"/>
  <c r="M142" i="1"/>
  <c r="O142" i="1"/>
  <c r="J148" i="1"/>
  <c r="S100" i="1"/>
  <c r="S147" i="1"/>
  <c r="K166" i="1"/>
  <c r="L166" i="1"/>
  <c r="B158" i="1"/>
  <c r="D176" i="1"/>
  <c r="D206" i="1" s="1"/>
  <c r="R165" i="1"/>
  <c r="N90" i="1"/>
  <c r="B100" i="1"/>
  <c r="K186" i="1"/>
  <c r="H96" i="1"/>
  <c r="K150" i="1"/>
  <c r="B154" i="1"/>
  <c r="I166" i="1"/>
  <c r="K169" i="1"/>
  <c r="L96" i="1"/>
  <c r="P156" i="1"/>
  <c r="V173" i="1"/>
  <c r="V160" i="1"/>
  <c r="Q170" i="1"/>
  <c r="Q187" i="1"/>
  <c r="M102" i="1"/>
  <c r="R163" i="1"/>
  <c r="R145" i="1"/>
  <c r="Q195" i="1"/>
  <c r="Q147" i="1"/>
  <c r="P140" i="1"/>
  <c r="W160" i="1"/>
  <c r="P169" i="1"/>
  <c r="N155" i="1"/>
  <c r="V100" i="1"/>
  <c r="Q97" i="1"/>
  <c r="I159" i="1"/>
  <c r="C149" i="1"/>
  <c r="C177" i="1" s="1"/>
  <c r="D102" i="1"/>
  <c r="R167" i="1"/>
  <c r="R202" i="1" s="1"/>
  <c r="B101" i="1"/>
  <c r="V170" i="1"/>
  <c r="W141" i="1"/>
  <c r="O102" i="1"/>
  <c r="U172" i="1"/>
  <c r="F159" i="1"/>
  <c r="R172" i="1"/>
  <c r="F174" i="1"/>
  <c r="G150" i="1"/>
  <c r="K178" i="1"/>
  <c r="L140" i="1"/>
  <c r="W173" i="1"/>
  <c r="M174" i="1"/>
  <c r="J173" i="1"/>
  <c r="I167" i="1"/>
  <c r="I202" i="1" s="1"/>
  <c r="F195" i="1"/>
  <c r="D178" i="1"/>
  <c r="M166" i="1"/>
  <c r="K102" i="1"/>
  <c r="N158" i="1"/>
  <c r="N154" i="1" s="1"/>
  <c r="R101" i="1"/>
  <c r="R148" i="1"/>
  <c r="N145" i="1"/>
  <c r="G169" i="1"/>
  <c r="R195" i="1"/>
  <c r="D173" i="1"/>
  <c r="W194" i="1"/>
  <c r="U167" i="1"/>
  <c r="T166" i="1"/>
  <c r="K167" i="1"/>
  <c r="K202" i="1" s="1"/>
  <c r="C176" i="1"/>
  <c r="C206" i="1" s="1"/>
  <c r="E173" i="1"/>
  <c r="H158" i="1"/>
  <c r="H154" i="1" s="1"/>
  <c r="G165" i="1"/>
  <c r="B178" i="1"/>
  <c r="J90" i="1"/>
  <c r="T187" i="1"/>
  <c r="F90" i="1"/>
  <c r="D163" i="1"/>
  <c r="Q96" i="1"/>
  <c r="T172" i="1"/>
  <c r="Q186" i="1"/>
  <c r="J165" i="1"/>
  <c r="T149" i="1"/>
  <c r="T177" i="1" s="1"/>
  <c r="T155" i="1"/>
  <c r="R186" i="1"/>
  <c r="B145" i="1"/>
  <c r="E148" i="1"/>
  <c r="E158" i="1"/>
  <c r="E154" i="1" s="1"/>
  <c r="G166" i="1"/>
  <c r="L174" i="1"/>
  <c r="J160" i="1"/>
  <c r="I169" i="1"/>
  <c r="C158" i="1"/>
  <c r="U176" i="1"/>
  <c r="U206" i="1" s="1"/>
  <c r="H172" i="1"/>
  <c r="F194" i="1"/>
  <c r="P195" i="1"/>
  <c r="V176" i="1"/>
  <c r="V206" i="1" s="1"/>
  <c r="T160" i="1"/>
  <c r="S169" i="1"/>
  <c r="H155" i="1"/>
  <c r="H147" i="1"/>
  <c r="Q156" i="1"/>
  <c r="L186" i="1"/>
  <c r="N165" i="1"/>
  <c r="U163" i="1"/>
  <c r="I155" i="1"/>
  <c r="W90" i="1"/>
  <c r="R159" i="1"/>
  <c r="B142" i="1"/>
  <c r="V193" i="1"/>
  <c r="I100" i="1"/>
  <c r="M170" i="1"/>
  <c r="E159" i="1"/>
  <c r="S159" i="1"/>
  <c r="K145" i="1"/>
  <c r="V101" i="1"/>
  <c r="P148" i="1"/>
  <c r="G172" i="1"/>
  <c r="S148" i="1"/>
  <c r="G193" i="1"/>
  <c r="V141" i="1"/>
  <c r="J141" i="1"/>
  <c r="V186" i="1"/>
  <c r="Q182" i="1"/>
  <c r="U148" i="1"/>
  <c r="H150" i="1"/>
  <c r="D193" i="1"/>
  <c r="F96" i="1"/>
  <c r="S101" i="1"/>
  <c r="Q173" i="1"/>
  <c r="T147" i="1"/>
  <c r="L168" i="1"/>
  <c r="L203" i="1" s="1"/>
  <c r="I102" i="1"/>
  <c r="C169" i="1"/>
  <c r="W165" i="1"/>
  <c r="G149" i="1"/>
  <c r="G177" i="1" s="1"/>
  <c r="P100" i="1"/>
  <c r="F178" i="1"/>
  <c r="H165" i="1"/>
  <c r="C167" i="1"/>
  <c r="C202" i="1" s="1"/>
  <c r="S182" i="1"/>
  <c r="K90" i="1"/>
  <c r="Q168" i="1"/>
  <c r="Q203" i="1" s="1"/>
  <c r="T145" i="1"/>
  <c r="I90" i="1"/>
  <c r="O170" i="1"/>
  <c r="B156" i="1"/>
  <c r="W97" i="1"/>
  <c r="O147" i="1"/>
  <c r="K168" i="1"/>
  <c r="K203" i="1" s="1"/>
  <c r="Q155" i="1"/>
  <c r="U90" i="1"/>
  <c r="W147" i="1"/>
  <c r="C186" i="1"/>
  <c r="K163" i="1"/>
  <c r="T183" i="1"/>
  <c r="N149" i="1"/>
  <c r="N177" i="1" s="1"/>
  <c r="B147" i="1"/>
  <c r="V150" i="1"/>
  <c r="C174" i="1"/>
  <c r="K147" i="1"/>
  <c r="U158" i="1"/>
  <c r="U154" i="1" s="1"/>
  <c r="E186" i="1"/>
  <c r="V194" i="1"/>
  <c r="Q193" i="1"/>
  <c r="M167" i="1"/>
  <c r="M202" i="1" s="1"/>
  <c r="E167" i="1"/>
  <c r="E202" i="1" s="1"/>
  <c r="D160" i="1"/>
  <c r="L183" i="1"/>
  <c r="S170" i="1"/>
  <c r="D140" i="1"/>
  <c r="U97" i="1"/>
  <c r="E165" i="1"/>
  <c r="J194" i="1"/>
  <c r="Q149" i="1"/>
  <c r="Q177" i="1" s="1"/>
  <c r="C87" i="1"/>
  <c r="Q102" i="1"/>
  <c r="N193" i="1"/>
  <c r="G140" i="1"/>
  <c r="J149" i="1"/>
  <c r="J177" i="1" s="1"/>
  <c r="M165" i="1"/>
  <c r="O140" i="1"/>
  <c r="P194" i="1"/>
  <c r="V165" i="1"/>
  <c r="M140" i="1"/>
  <c r="O183" i="1"/>
  <c r="R102" i="1"/>
  <c r="B141" i="1"/>
  <c r="V159" i="1"/>
  <c r="W169" i="1"/>
  <c r="S193" i="1"/>
  <c r="O182" i="1"/>
  <c r="H101" i="1"/>
  <c r="D169" i="1"/>
  <c r="R155" i="1"/>
  <c r="K140" i="1"/>
  <c r="L97" i="1"/>
  <c r="J147" i="1"/>
  <c r="S176" i="1"/>
  <c r="S206" i="1" s="1"/>
  <c r="V187" i="1"/>
  <c r="E100" i="1"/>
  <c r="T150" i="1"/>
  <c r="O100" i="1"/>
  <c r="B167" i="1"/>
  <c r="B202" i="1" s="1"/>
  <c r="L158" i="1"/>
  <c r="L154" i="1" s="1"/>
  <c r="L145" i="1"/>
  <c r="V149" i="1"/>
  <c r="V177" i="1" s="1"/>
  <c r="N100" i="1"/>
  <c r="R96" i="1"/>
  <c r="O165" i="1"/>
  <c r="U173" i="1"/>
  <c r="O176" i="1"/>
  <c r="O206" i="1" s="1"/>
  <c r="N141" i="1"/>
  <c r="G194" i="1"/>
  <c r="U170" i="1"/>
  <c r="R169" i="1"/>
  <c r="Q178" i="1"/>
  <c r="K142" i="1"/>
  <c r="P159" i="1"/>
  <c r="C165" i="1"/>
  <c r="U166" i="1"/>
  <c r="N187" i="1"/>
  <c r="P168" i="1"/>
  <c r="P203" i="1" s="1"/>
  <c r="G158" i="1"/>
  <c r="G154" i="1" s="1"/>
  <c r="M148" i="1"/>
  <c r="D86" i="1"/>
  <c r="C90" i="1"/>
  <c r="P167" i="1"/>
  <c r="P202" i="1" s="1"/>
  <c r="F148" i="1"/>
  <c r="E174" i="1"/>
  <c r="V147" i="1"/>
  <c r="U174" i="1"/>
  <c r="O149" i="1"/>
  <c r="O177" i="1" s="1"/>
  <c r="V182" i="1"/>
  <c r="K172" i="1"/>
  <c r="E141" i="1"/>
  <c r="E149" i="1"/>
  <c r="E177" i="1" s="1"/>
  <c r="V168" i="1"/>
  <c r="V203" i="1" s="1"/>
  <c r="R183" i="1"/>
  <c r="T163" i="1"/>
  <c r="U183" i="1"/>
  <c r="P174" i="1"/>
  <c r="I178" i="1"/>
  <c r="I182" i="1"/>
  <c r="K97" i="1"/>
  <c r="R166" i="1"/>
  <c r="O96" i="1"/>
  <c r="I147" i="1"/>
  <c r="K173" i="1"/>
  <c r="D142" i="1"/>
  <c r="N142" i="1"/>
  <c r="B186" i="1"/>
  <c r="H168" i="1"/>
  <c r="H203" i="1" s="1"/>
  <c r="K165" i="1"/>
  <c r="N178" i="1"/>
  <c r="D147" i="1"/>
  <c r="N163" i="1"/>
  <c r="J145" i="1"/>
  <c r="S165" i="1"/>
  <c r="T148" i="1"/>
  <c r="B163" i="1"/>
  <c r="Q150" i="1"/>
  <c r="Q90" i="1"/>
  <c r="P186" i="1"/>
  <c r="J170" i="1"/>
  <c r="I174" i="1"/>
  <c r="Q141" i="1"/>
  <c r="B165" i="1"/>
  <c r="W195" i="1"/>
  <c r="H97" i="1"/>
  <c r="R142" i="1"/>
  <c r="C178" i="1"/>
  <c r="L176" i="1"/>
  <c r="L206" i="1" s="1"/>
  <c r="P163" i="1"/>
  <c r="E163" i="1"/>
  <c r="T159" i="1"/>
  <c r="K148" i="1"/>
  <c r="P160" i="1"/>
  <c r="V163" i="1"/>
  <c r="E187" i="1"/>
  <c r="I170" i="1"/>
  <c r="W102" i="1"/>
  <c r="O101" i="1"/>
  <c r="N183" i="1"/>
  <c r="Q169" i="1"/>
  <c r="U142" i="1"/>
  <c r="D186" i="1"/>
  <c r="T140" i="1"/>
  <c r="H167" i="1"/>
  <c r="E194" i="1"/>
  <c r="O141" i="1"/>
  <c r="P149" i="1"/>
  <c r="P177" i="1" s="1"/>
  <c r="V97" i="1"/>
  <c r="E178" i="1"/>
  <c r="S172" i="1"/>
  <c r="Q148" i="1"/>
  <c r="M101" i="1"/>
  <c r="K159" i="1"/>
  <c r="R158" i="1"/>
  <c r="R154" i="1" s="1"/>
  <c r="E140" i="1"/>
  <c r="C155" i="1"/>
  <c r="Q100" i="1"/>
  <c r="O163" i="1"/>
  <c r="B166" i="1"/>
  <c r="H174" i="1"/>
  <c r="V166" i="1"/>
  <c r="C145" i="1"/>
  <c r="K96" i="1"/>
  <c r="M96" i="1"/>
  <c r="L167" i="1"/>
  <c r="L202" i="1" s="1"/>
  <c r="M183" i="1"/>
  <c r="W156" i="1"/>
  <c r="H187" i="1"/>
  <c r="S141" i="1"/>
  <c r="S194" i="1"/>
  <c r="J102" i="1"/>
  <c r="K174" i="1"/>
  <c r="O160" i="1"/>
  <c r="O169" i="1"/>
  <c r="W178" i="1"/>
  <c r="I187" i="1"/>
  <c r="D156" i="1"/>
  <c r="S142" i="1"/>
  <c r="U165" i="1"/>
  <c r="S160" i="1"/>
  <c r="C187" i="1"/>
  <c r="F97" i="1"/>
  <c r="V142" i="1"/>
  <c r="G183" i="1"/>
  <c r="G96" i="1"/>
  <c r="T182" i="1"/>
  <c r="B193" i="1"/>
  <c r="C148" i="1"/>
  <c r="C172" i="1"/>
  <c r="C102" i="1"/>
  <c r="B160" i="1"/>
  <c r="V178" i="1"/>
  <c r="F145" i="1"/>
  <c r="S173" i="1"/>
  <c r="N176" i="1"/>
  <c r="N206" i="1" s="1"/>
  <c r="F147" i="1"/>
  <c r="H170" i="1"/>
  <c r="L178" i="1"/>
  <c r="R193" i="1"/>
  <c r="H176" i="1"/>
  <c r="H206" i="1" s="1"/>
  <c r="E155" i="1"/>
  <c r="L172" i="1"/>
  <c r="W172" i="1"/>
  <c r="C154" i="1"/>
  <c r="I195" i="1"/>
  <c r="I183" i="1"/>
  <c r="J169" i="1"/>
  <c r="N186" i="1"/>
  <c r="M195" i="1"/>
  <c r="Q194" i="1"/>
  <c r="J174" i="1"/>
  <c r="U182" i="1"/>
  <c r="P155" i="1"/>
  <c r="F166" i="1"/>
  <c r="H163" i="1"/>
  <c r="B148" i="1"/>
  <c r="H193" i="1"/>
  <c r="R168" i="1"/>
  <c r="R203" i="1" s="1"/>
  <c r="E170" i="1"/>
  <c r="W186" i="1"/>
  <c r="H140" i="1"/>
  <c r="U149" i="1"/>
  <c r="U177" i="1" s="1"/>
  <c r="T167" i="1"/>
  <c r="T202" i="1" s="1"/>
  <c r="G148" i="1"/>
  <c r="I172" i="1"/>
  <c r="C193" i="1"/>
  <c r="M172" i="1"/>
  <c r="O155" i="1"/>
  <c r="Q183" i="1"/>
  <c r="N167" i="1"/>
  <c r="L170" i="1"/>
  <c r="J167" i="1"/>
  <c r="J202" i="1" s="1"/>
  <c r="J186" i="1"/>
  <c r="R173" i="1"/>
  <c r="I140" i="1"/>
  <c r="N182" i="1"/>
  <c r="I165" i="1"/>
  <c r="N140" i="1"/>
  <c r="K195" i="1"/>
  <c r="H100" i="1"/>
  <c r="D158" i="1"/>
  <c r="I163" i="1"/>
  <c r="V155" i="1"/>
  <c r="J195" i="1"/>
  <c r="N101" i="1"/>
  <c r="H148" i="1"/>
  <c r="E183" i="1"/>
  <c r="E184" i="1" s="1"/>
  <c r="F232" i="1" s="1"/>
  <c r="E97" i="1"/>
  <c r="O159" i="1"/>
  <c r="S183" i="1"/>
  <c r="G90" i="1"/>
  <c r="I150" i="1"/>
  <c r="F168" i="1"/>
  <c r="F203" i="1" s="1"/>
  <c r="H160" i="1"/>
  <c r="G97" i="1"/>
  <c r="L149" i="1"/>
  <c r="L177" i="1" s="1"/>
  <c r="U156" i="1"/>
  <c r="L90" i="1"/>
  <c r="N159" i="1"/>
  <c r="U186" i="1"/>
  <c r="F101" i="1"/>
  <c r="J158" i="1"/>
  <c r="J154" i="1" s="1"/>
  <c r="F100" i="1"/>
  <c r="B172" i="1"/>
  <c r="E90" i="1"/>
  <c r="D167" i="1"/>
  <c r="D202" i="1" s="1"/>
  <c r="D174" i="1"/>
  <c r="E102" i="1"/>
  <c r="I96" i="1"/>
  <c r="P102" i="1"/>
  <c r="H159" i="1"/>
  <c r="K149" i="1"/>
  <c r="K177" i="1" s="1"/>
  <c r="U101" i="1"/>
  <c r="O156" i="1"/>
  <c r="D154" i="1"/>
  <c r="W182" i="1"/>
  <c r="D155" i="1"/>
  <c r="R178" i="1"/>
  <c r="G182" i="1"/>
  <c r="M150" i="1"/>
  <c r="Q158" i="1"/>
  <c r="Q154" i="1" s="1"/>
  <c r="B140" i="1"/>
  <c r="G156" i="1"/>
  <c r="K101" i="1"/>
  <c r="P90" i="1"/>
  <c r="S97" i="1"/>
  <c r="V195" i="1"/>
  <c r="M145" i="1"/>
  <c r="S168" i="1"/>
  <c r="S203" i="1" s="1"/>
  <c r="Q174" i="1"/>
  <c r="W166" i="1"/>
  <c r="J172" i="1"/>
  <c r="V102" i="1"/>
  <c r="S156" i="1"/>
  <c r="M159" i="1"/>
  <c r="H183" i="1"/>
  <c r="T165" i="1"/>
  <c r="N166" i="1"/>
  <c r="M193" i="1"/>
  <c r="E147" i="1"/>
  <c r="K194" i="1"/>
  <c r="M156" i="1"/>
  <c r="D90" i="1"/>
  <c r="K182" i="1"/>
  <c r="W100" i="1"/>
  <c r="Q140" i="1"/>
  <c r="W187" i="1"/>
  <c r="P193" i="1"/>
  <c r="R160" i="1"/>
  <c r="I101" i="1"/>
  <c r="U193" i="1"/>
  <c r="E172" i="1"/>
  <c r="I142" i="1"/>
  <c r="F163" i="1"/>
  <c r="O166" i="1"/>
  <c r="T141" i="1"/>
  <c r="C195" i="1"/>
  <c r="S166" i="1"/>
  <c r="E166" i="1"/>
  <c r="K155" i="1"/>
  <c r="L193" i="1"/>
  <c r="C183" i="1"/>
  <c r="J176" i="1"/>
  <c r="J206" i="1" s="1"/>
  <c r="T170" i="1"/>
  <c r="H156" i="1"/>
  <c r="L195" i="1"/>
  <c r="H186" i="1"/>
  <c r="R100" i="1"/>
  <c r="K193" i="1"/>
  <c r="T169" i="1"/>
  <c r="W163" i="1"/>
  <c r="F102" i="1"/>
  <c r="N194" i="1"/>
  <c r="C170" i="1"/>
  <c r="O167" i="1"/>
  <c r="O202" i="1" s="1"/>
  <c r="F165" i="1"/>
  <c r="T176" i="1"/>
  <c r="T206" i="1" s="1"/>
  <c r="R149" i="1"/>
  <c r="R177" i="1" s="1"/>
  <c r="M173" i="1"/>
  <c r="D182" i="1"/>
  <c r="J101" i="1"/>
  <c r="C173" i="1"/>
  <c r="H102" i="1"/>
  <c r="H194" i="1"/>
  <c r="K158" i="1"/>
  <c r="K154" i="1" s="1"/>
  <c r="S167" i="1"/>
  <c r="S202" i="1" s="1"/>
  <c r="N148" i="1"/>
  <c r="O193" i="1"/>
  <c r="H178" i="1"/>
  <c r="F182" i="1"/>
  <c r="W168" i="1"/>
  <c r="L148" i="1"/>
  <c r="O187" i="1"/>
  <c r="O173" i="1"/>
  <c r="F142" i="1"/>
  <c r="O194" i="1"/>
  <c r="R170" i="1"/>
  <c r="Q160" i="1"/>
  <c r="G173" i="1"/>
  <c r="P187" i="1"/>
  <c r="K176" i="1"/>
  <c r="K206" i="1" s="1"/>
  <c r="O97" i="1"/>
  <c r="D100" i="1"/>
  <c r="N168" i="1"/>
  <c r="N203" i="1" s="1"/>
  <c r="S102" i="1"/>
  <c r="U100" i="1"/>
  <c r="J182" i="1"/>
  <c r="G142" i="1"/>
  <c r="V172" i="1"/>
  <c r="S145" i="1"/>
  <c r="L163" i="1"/>
  <c r="T186" i="1"/>
  <c r="N150" i="1"/>
  <c r="U141" i="1"/>
  <c r="P97" i="1"/>
  <c r="P145" i="1"/>
  <c r="F140" i="1"/>
  <c r="T178" i="1"/>
  <c r="D194" i="1"/>
  <c r="U160" i="1"/>
  <c r="N97" i="1"/>
  <c r="P142" i="1"/>
  <c r="I176" i="1"/>
  <c r="I206" i="1" s="1"/>
  <c r="T174" i="1"/>
  <c r="M149" i="1"/>
  <c r="J150" i="1"/>
  <c r="V148" i="1"/>
  <c r="O172" i="1"/>
  <c r="G101" i="1"/>
  <c r="J97" i="1"/>
  <c r="L100" i="1"/>
  <c r="G187" i="1"/>
  <c r="U178" i="1"/>
  <c r="AQ32" i="1"/>
  <c r="BV45" i="1"/>
  <c r="BW32" i="1"/>
  <c r="BE45" i="1"/>
  <c r="BA32" i="1"/>
  <c r="BN32" i="1"/>
  <c r="BD32" i="1"/>
  <c r="AS45" i="1"/>
  <c r="AR45" i="1"/>
  <c r="BP45" i="1"/>
  <c r="AW32" i="1"/>
  <c r="BC32" i="1"/>
  <c r="BB45" i="1"/>
  <c r="AW45" i="1"/>
  <c r="BG32" i="1"/>
  <c r="BM32" i="1"/>
  <c r="BI45" i="1"/>
  <c r="BT45" i="1"/>
  <c r="AZ32" i="1"/>
  <c r="AI32" i="1"/>
  <c r="BF45" i="1"/>
  <c r="AO32" i="1"/>
  <c r="BV32" i="1"/>
  <c r="BF32" i="1"/>
  <c r="AX45" i="1"/>
  <c r="BH69" i="1"/>
  <c r="AP32" i="1"/>
  <c r="BE32" i="1"/>
  <c r="BO32" i="1"/>
  <c r="AZ45" i="1"/>
  <c r="BJ45" i="1"/>
  <c r="BJ49" i="1" s="1"/>
  <c r="AU70" i="1"/>
  <c r="BD45" i="1"/>
  <c r="AY45" i="1"/>
  <c r="BR45" i="1"/>
  <c r="BK32" i="1"/>
  <c r="BQ32" i="1"/>
  <c r="AP45" i="1"/>
  <c r="BS32" i="1"/>
  <c r="AO45" i="1"/>
  <c r="BW45" i="1"/>
  <c r="AQ45" i="1"/>
  <c r="AV45" i="1"/>
  <c r="BM45" i="1"/>
  <c r="BP32" i="1"/>
  <c r="BG45" i="1"/>
  <c r="BH45" i="1"/>
  <c r="AT45" i="1"/>
  <c r="AN45" i="1"/>
  <c r="BS45" i="1"/>
  <c r="BU45" i="1"/>
  <c r="BO45" i="1"/>
  <c r="BJ32" i="1"/>
  <c r="BJ33" i="1" s="1"/>
  <c r="BJ39" i="1" s="1"/>
  <c r="BC45" i="1"/>
  <c r="BK45" i="1"/>
  <c r="BQ45" i="1"/>
  <c r="AU45" i="1"/>
  <c r="BN45" i="1"/>
  <c r="BA45" i="1"/>
  <c r="AI45" i="1"/>
  <c r="AN32" i="1"/>
  <c r="BH32" i="1"/>
  <c r="AW70" i="1"/>
  <c r="AV32" i="1"/>
  <c r="AR32" i="1"/>
  <c r="BR32" i="1"/>
  <c r="AT32" i="1"/>
  <c r="BT32" i="1"/>
  <c r="BI32" i="1"/>
  <c r="BU32" i="1"/>
  <c r="AX32" i="1"/>
  <c r="AS32" i="1"/>
  <c r="AU32" i="1"/>
  <c r="BB32" i="1"/>
  <c r="AV70" i="1"/>
  <c r="AY32" i="1"/>
  <c r="BH166" i="1"/>
  <c r="BI166" i="1" s="1"/>
  <c r="BV160" i="1"/>
  <c r="BW160" i="1" s="1"/>
  <c r="BV166" i="1"/>
  <c r="BW166" i="1" s="1"/>
  <c r="BH160" i="1"/>
  <c r="BI160" i="1" s="1"/>
  <c r="AV55" i="1"/>
  <c r="AV217" i="1" s="1"/>
  <c r="BA44" i="1"/>
  <c r="BF46" i="1"/>
  <c r="AY59" i="1"/>
  <c r="BU74" i="1"/>
  <c r="AQ44" i="1"/>
  <c r="BE36" i="1"/>
  <c r="AP70" i="1"/>
  <c r="AQ59" i="1"/>
  <c r="AU46" i="1"/>
  <c r="BG70" i="1"/>
  <c r="AW48" i="1"/>
  <c r="AY47" i="1"/>
  <c r="AW44" i="1"/>
  <c r="BJ62" i="1"/>
  <c r="AR68" i="1"/>
  <c r="BV69" i="1"/>
  <c r="AQ46" i="1"/>
  <c r="BM62" i="1"/>
  <c r="BK70" i="1"/>
  <c r="BK37" i="1"/>
  <c r="BF43" i="1"/>
  <c r="AW74" i="1"/>
  <c r="BJ96" i="1"/>
  <c r="BG62" i="1"/>
  <c r="BH186" i="1"/>
  <c r="BI186" i="1" s="1"/>
  <c r="BU31" i="1"/>
  <c r="BU254" i="1" s="1"/>
  <c r="BQ43" i="1"/>
  <c r="AQ38" i="1"/>
  <c r="BS48" i="1"/>
  <c r="AX38" i="1"/>
  <c r="BS55" i="1"/>
  <c r="BS217" i="1" s="1"/>
  <c r="BH163" i="1"/>
  <c r="BI163" i="1" s="1"/>
  <c r="BJ225" i="1" s="1"/>
  <c r="BC46" i="1"/>
  <c r="BB44" i="1"/>
  <c r="AI38" i="1"/>
  <c r="BM59" i="1"/>
  <c r="BG69" i="1"/>
  <c r="AS74" i="1"/>
  <c r="BB58" i="1"/>
  <c r="BB74" i="1"/>
  <c r="AR69" i="1"/>
  <c r="AU37" i="1"/>
  <c r="BD31" i="1"/>
  <c r="AP38" i="1"/>
  <c r="BB70" i="1"/>
  <c r="BV148" i="1"/>
  <c r="BW148" i="1" s="1"/>
  <c r="BM46" i="1"/>
  <c r="BK69" i="1"/>
  <c r="BK43" i="1"/>
  <c r="AT58" i="1"/>
  <c r="BW59" i="1"/>
  <c r="BI47" i="1"/>
  <c r="BJ68" i="1"/>
  <c r="AS55" i="1"/>
  <c r="AT59" i="1"/>
  <c r="BQ48" i="1"/>
  <c r="AT44" i="1"/>
  <c r="BT38" i="1"/>
  <c r="BH182" i="1"/>
  <c r="BI36" i="1"/>
  <c r="BE37" i="1"/>
  <c r="AY46" i="1"/>
  <c r="BH187" i="1"/>
  <c r="BI187" i="1" s="1"/>
  <c r="BH96" i="1"/>
  <c r="AP69" i="1"/>
  <c r="BH165" i="1"/>
  <c r="AY55" i="1"/>
  <c r="AY217" i="1" s="1"/>
  <c r="AR37" i="1"/>
  <c r="BP62" i="1"/>
  <c r="BE69" i="1"/>
  <c r="AQ68" i="1"/>
  <c r="BB47" i="1"/>
  <c r="BW36" i="1"/>
  <c r="BC44" i="1"/>
  <c r="BD74" i="1"/>
  <c r="BO62" i="1"/>
  <c r="AI62" i="1"/>
  <c r="BI38" i="1"/>
  <c r="BQ31" i="1"/>
  <c r="BF74" i="1"/>
  <c r="AV46" i="1"/>
  <c r="AT38" i="1"/>
  <c r="BT74" i="1"/>
  <c r="AQ43" i="1"/>
  <c r="BS69" i="1"/>
  <c r="BB55" i="1"/>
  <c r="BH169" i="1"/>
  <c r="BI169" i="1" s="1"/>
  <c r="BV142" i="1"/>
  <c r="BT47" i="1"/>
  <c r="BQ70" i="1"/>
  <c r="BV141" i="1"/>
  <c r="BW141" i="1" s="1"/>
  <c r="BN31" i="1"/>
  <c r="BR58" i="1"/>
  <c r="BU69" i="1"/>
  <c r="AX68" i="1"/>
  <c r="AN37" i="1"/>
  <c r="AT37" i="1"/>
  <c r="BK47" i="1"/>
  <c r="BJ58" i="1"/>
  <c r="AP46" i="1"/>
  <c r="AX37" i="1"/>
  <c r="BR46" i="1"/>
  <c r="BM69" i="1"/>
  <c r="BP74" i="1"/>
  <c r="BA62" i="1"/>
  <c r="BM38" i="1"/>
  <c r="BQ59" i="1"/>
  <c r="AZ74" i="1"/>
  <c r="BE62" i="1"/>
  <c r="AI70" i="1"/>
  <c r="BU70" i="1"/>
  <c r="BB69" i="1"/>
  <c r="BF48" i="1"/>
  <c r="BD48" i="1"/>
  <c r="BM43" i="1"/>
  <c r="BT43" i="1"/>
  <c r="BQ55" i="1"/>
  <c r="BQ217" i="1" s="1"/>
  <c r="AS46" i="1"/>
  <c r="AJ96" i="1"/>
  <c r="BP69" i="1"/>
  <c r="AW36" i="1"/>
  <c r="AV37" i="1"/>
  <c r="BI37" i="1"/>
  <c r="AS48" i="1"/>
  <c r="BI68" i="1"/>
  <c r="BP36" i="1"/>
  <c r="AZ48" i="1"/>
  <c r="AY62" i="1"/>
  <c r="BH43" i="1"/>
  <c r="BA48" i="1"/>
  <c r="BF44" i="1"/>
  <c r="BC59" i="1"/>
  <c r="BW44" i="1"/>
  <c r="BR55" i="1"/>
  <c r="AX43" i="1"/>
  <c r="BS36" i="1"/>
  <c r="BQ47" i="1"/>
  <c r="BE47" i="1"/>
  <c r="BP31" i="1"/>
  <c r="BP254" i="1" s="1"/>
  <c r="AO44" i="1"/>
  <c r="BV174" i="1"/>
  <c r="BW174" i="1" s="1"/>
  <c r="BA36" i="1"/>
  <c r="BV74" i="1"/>
  <c r="AY36" i="1"/>
  <c r="BI69" i="1"/>
  <c r="BH170" i="1"/>
  <c r="BI170" i="1" s="1"/>
  <c r="BN48" i="1"/>
  <c r="AS43" i="1"/>
  <c r="AW38" i="1"/>
  <c r="AU68" i="1"/>
  <c r="AI36" i="1"/>
  <c r="AT31" i="1"/>
  <c r="BT70" i="1"/>
  <c r="BE74" i="1"/>
  <c r="BR48" i="1"/>
  <c r="BA43" i="1"/>
  <c r="AI43" i="1"/>
  <c r="BD44" i="1"/>
  <c r="AN62" i="1"/>
  <c r="BW69" i="1"/>
  <c r="AY31" i="1"/>
  <c r="BW38" i="1"/>
  <c r="AM68" i="1"/>
  <c r="AT43" i="1"/>
  <c r="BE46" i="1"/>
  <c r="AR36" i="1"/>
  <c r="BM37" i="1"/>
  <c r="BC58" i="1"/>
  <c r="BG55" i="1"/>
  <c r="BG217" i="1" s="1"/>
  <c r="AZ62" i="1"/>
  <c r="BH47" i="1"/>
  <c r="BJ74" i="1"/>
  <c r="BS74" i="1"/>
  <c r="BR69" i="1"/>
  <c r="BE70" i="1"/>
  <c r="AY48" i="1"/>
  <c r="BV173" i="1"/>
  <c r="BW173" i="1" s="1"/>
  <c r="BV62" i="1"/>
  <c r="BQ74" i="1"/>
  <c r="AI69" i="1"/>
  <c r="AN70" i="1"/>
  <c r="AQ70" i="1"/>
  <c r="BW43" i="1"/>
  <c r="AO38" i="1"/>
  <c r="AW37" i="1"/>
  <c r="BR38" i="1"/>
  <c r="BH44" i="1"/>
  <c r="BH46" i="1"/>
  <c r="AI48" i="1"/>
  <c r="BO70" i="1"/>
  <c r="BO44" i="1"/>
  <c r="AP55" i="1"/>
  <c r="AQ55" i="1"/>
  <c r="BT48" i="1"/>
  <c r="AY70" i="1"/>
  <c r="BV177" i="1"/>
  <c r="BW177" i="1" s="1"/>
  <c r="AZ47" i="1"/>
  <c r="BK58" i="1"/>
  <c r="BH97" i="1"/>
  <c r="BH55" i="1"/>
  <c r="BH217" i="1" s="1"/>
  <c r="AT48" i="1"/>
  <c r="BV155" i="1"/>
  <c r="BR74" i="1"/>
  <c r="BP70" i="1"/>
  <c r="AN58" i="1"/>
  <c r="BS47" i="1"/>
  <c r="AX74" i="1"/>
  <c r="AZ36" i="1"/>
  <c r="BB46" i="1"/>
  <c r="AW59" i="1"/>
  <c r="BD38" i="1"/>
  <c r="BN55" i="1"/>
  <c r="BM31" i="1"/>
  <c r="AO37" i="1"/>
  <c r="BK44" i="1"/>
  <c r="BN37" i="1"/>
  <c r="BH31" i="1"/>
  <c r="BH254" i="1" s="1"/>
  <c r="BA59" i="1"/>
  <c r="BH140" i="1"/>
  <c r="BA74" i="1"/>
  <c r="BH74" i="1"/>
  <c r="AP58" i="1"/>
  <c r="BI44" i="1"/>
  <c r="BS58" i="1"/>
  <c r="BN36" i="1"/>
  <c r="AY58" i="1"/>
  <c r="AV43" i="1"/>
  <c r="BW70" i="1"/>
  <c r="BO48" i="1"/>
  <c r="BO46" i="1"/>
  <c r="BB36" i="1"/>
  <c r="BI70" i="1"/>
  <c r="AN59" i="1"/>
  <c r="AU36" i="1"/>
  <c r="BT62" i="1"/>
  <c r="BQ68" i="1"/>
  <c r="BG47" i="1"/>
  <c r="BU59" i="1"/>
  <c r="BV145" i="1"/>
  <c r="BW145" i="1" s="1"/>
  <c r="BQ58" i="1"/>
  <c r="BO55" i="1"/>
  <c r="BO217" i="1" s="1"/>
  <c r="BG48" i="1"/>
  <c r="BV182" i="1"/>
  <c r="AM96" i="1"/>
  <c r="BO74" i="1"/>
  <c r="AO62" i="1"/>
  <c r="BV48" i="1"/>
  <c r="BH141" i="1"/>
  <c r="BI141" i="1" s="1"/>
  <c r="BS31" i="1"/>
  <c r="BS254" i="1" s="1"/>
  <c r="BH59" i="1"/>
  <c r="AZ37" i="1"/>
  <c r="BV170" i="1"/>
  <c r="BW170" i="1" s="1"/>
  <c r="BG46" i="1"/>
  <c r="AQ48" i="1"/>
  <c r="AP31" i="1"/>
  <c r="AP254" i="1" s="1"/>
  <c r="AO36" i="1"/>
  <c r="BD58" i="1"/>
  <c r="BD62" i="1"/>
  <c r="BW68" i="1"/>
  <c r="BR37" i="1"/>
  <c r="AT62" i="1"/>
  <c r="BT46" i="1"/>
  <c r="BU44" i="1"/>
  <c r="AN69" i="1"/>
  <c r="AZ31" i="1"/>
  <c r="AN47" i="1"/>
  <c r="BV38" i="1"/>
  <c r="AQ37" i="1"/>
  <c r="BP55" i="1"/>
  <c r="BI46" i="1"/>
  <c r="BA68" i="1"/>
  <c r="AZ70" i="1"/>
  <c r="BV172" i="1"/>
  <c r="BW172" i="1" s="1"/>
  <c r="BW55" i="1"/>
  <c r="BW217" i="1" s="1"/>
  <c r="AV38" i="1"/>
  <c r="AO48" i="1"/>
  <c r="BO58" i="1"/>
  <c r="BM58" i="1"/>
  <c r="AP36" i="1"/>
  <c r="AS37" i="1"/>
  <c r="BG38" i="1"/>
  <c r="BV186" i="1"/>
  <c r="BW186" i="1" s="1"/>
  <c r="BV96" i="1"/>
  <c r="AQ36" i="1"/>
  <c r="AX46" i="1"/>
  <c r="BV165" i="1"/>
  <c r="BW165" i="1" s="1"/>
  <c r="BK31" i="1"/>
  <c r="AR70" i="1"/>
  <c r="AU38" i="1"/>
  <c r="BT36" i="1"/>
  <c r="AI31" i="1"/>
  <c r="BU62" i="1"/>
  <c r="BC69" i="1"/>
  <c r="BA70" i="1"/>
  <c r="BD70" i="1"/>
  <c r="BW37" i="1"/>
  <c r="BV44" i="1"/>
  <c r="BG43" i="1"/>
  <c r="AO68" i="1"/>
  <c r="BN69" i="1"/>
  <c r="AW55" i="1"/>
  <c r="AW217" i="1" s="1"/>
  <c r="BC36" i="1"/>
  <c r="AM97" i="1"/>
  <c r="BS68" i="1"/>
  <c r="BU43" i="1"/>
  <c r="BU58" i="1"/>
  <c r="BN70" i="1"/>
  <c r="BH174" i="1"/>
  <c r="BI174" i="1" s="1"/>
  <c r="BR70" i="1"/>
  <c r="BA31" i="1"/>
  <c r="BA254" i="1" s="1"/>
  <c r="AZ43" i="1"/>
  <c r="BO59" i="1"/>
  <c r="AI46" i="1"/>
  <c r="BE58" i="1"/>
  <c r="AW31" i="1"/>
  <c r="BP37" i="1"/>
  <c r="BR68" i="1"/>
  <c r="AR47" i="1"/>
  <c r="BF58" i="1"/>
  <c r="BV187" i="1"/>
  <c r="BW187" i="1" s="1"/>
  <c r="BT44" i="1"/>
  <c r="AR44" i="1"/>
  <c r="BO69" i="1"/>
  <c r="BA58" i="1"/>
  <c r="AZ38" i="1"/>
  <c r="AV69" i="1"/>
  <c r="BQ46" i="1"/>
  <c r="AX55" i="1"/>
  <c r="AX217" i="1" s="1"/>
  <c r="AO31" i="1"/>
  <c r="BV47" i="1"/>
  <c r="AJ97" i="1"/>
  <c r="BC43" i="1"/>
  <c r="BI43" i="1"/>
  <c r="BA55" i="1"/>
  <c r="BS44" i="1"/>
  <c r="AO74" i="1"/>
  <c r="BB31" i="1"/>
  <c r="AV44" i="1"/>
  <c r="BW58" i="1"/>
  <c r="BK55" i="1"/>
  <c r="AO46" i="1"/>
  <c r="AW47" i="1"/>
  <c r="BE43" i="1"/>
  <c r="BR59" i="1"/>
  <c r="BS62" i="1"/>
  <c r="AV58" i="1"/>
  <c r="BU48" i="1"/>
  <c r="BH142" i="1"/>
  <c r="BR31" i="1"/>
  <c r="BR254" i="1" s="1"/>
  <c r="BH177" i="1"/>
  <c r="BI177" i="1" s="1"/>
  <c r="BM48" i="1"/>
  <c r="BN68" i="1"/>
  <c r="AU31" i="1"/>
  <c r="BC74" i="1"/>
  <c r="AX70" i="1"/>
  <c r="BI55" i="1"/>
  <c r="BM68" i="1"/>
  <c r="BW46" i="1"/>
  <c r="AP47" i="1"/>
  <c r="BA69" i="1"/>
  <c r="BN62" i="1"/>
  <c r="AR55" i="1"/>
  <c r="AR217" i="1" s="1"/>
  <c r="BI58" i="1"/>
  <c r="BU37" i="1"/>
  <c r="AK97" i="1"/>
  <c r="BT55" i="1"/>
  <c r="AI74" i="1"/>
  <c r="BJ70" i="1"/>
  <c r="AX36" i="1"/>
  <c r="AR58" i="1"/>
  <c r="BI59" i="1"/>
  <c r="AP62" i="1"/>
  <c r="AZ46" i="1"/>
  <c r="BQ69" i="1"/>
  <c r="AN36" i="1"/>
  <c r="AR74" i="1"/>
  <c r="BV140" i="1"/>
  <c r="AV74" i="1"/>
  <c r="AN48" i="1"/>
  <c r="AQ74" i="1"/>
  <c r="BK62" i="1"/>
  <c r="BH37" i="1"/>
  <c r="AV62" i="1"/>
  <c r="BC38" i="1"/>
  <c r="AO69" i="1"/>
  <c r="AT55" i="1"/>
  <c r="AT217" i="1" s="1"/>
  <c r="BH150" i="1"/>
  <c r="BI150" i="1" s="1"/>
  <c r="AW46" i="1"/>
  <c r="BD59" i="1"/>
  <c r="BH172" i="1"/>
  <c r="AV47" i="1"/>
  <c r="AI47" i="1"/>
  <c r="AT74" i="1"/>
  <c r="AN74" i="1"/>
  <c r="BR44" i="1"/>
  <c r="AR48" i="1"/>
  <c r="BR47" i="1"/>
  <c r="BH175" i="1"/>
  <c r="BI175" i="1" s="1"/>
  <c r="BP48" i="1"/>
  <c r="BF62" i="1"/>
  <c r="BU38" i="1"/>
  <c r="BR62" i="1"/>
  <c r="BH62" i="1"/>
  <c r="AI68" i="1"/>
  <c r="AU59" i="1"/>
  <c r="BH178" i="1"/>
  <c r="BI178" i="1" s="1"/>
  <c r="AR43" i="1"/>
  <c r="BV156" i="1"/>
  <c r="BQ36" i="1"/>
  <c r="BU68" i="1"/>
  <c r="BG36" i="1"/>
  <c r="BH70" i="1"/>
  <c r="BI31" i="1"/>
  <c r="BI254" i="1" s="1"/>
  <c r="BW74" i="1"/>
  <c r="AS31" i="1"/>
  <c r="AS254" i="1" s="1"/>
  <c r="BH155" i="1"/>
  <c r="BB59" i="1"/>
  <c r="BW47" i="1"/>
  <c r="BK48" i="1"/>
  <c r="BA46" i="1"/>
  <c r="BG58" i="1"/>
  <c r="BU36" i="1"/>
  <c r="AN43" i="1"/>
  <c r="BP38" i="1"/>
  <c r="BJ59" i="1"/>
  <c r="BJ275" i="1" s="1"/>
  <c r="BO68" i="1"/>
  <c r="BU55" i="1"/>
  <c r="BH149" i="1"/>
  <c r="BI149" i="1" s="1"/>
  <c r="AO59" i="1"/>
  <c r="AQ31" i="1"/>
  <c r="AQ254" i="1" s="1"/>
  <c r="AQ47" i="1"/>
  <c r="BV169" i="1"/>
  <c r="BW169" i="1" s="1"/>
  <c r="BP68" i="1"/>
  <c r="BV176" i="1"/>
  <c r="BC31" i="1"/>
  <c r="BC254" i="1" s="1"/>
  <c r="BB38" i="1"/>
  <c r="BV175" i="1"/>
  <c r="BW175" i="1" s="1"/>
  <c r="BH176" i="1"/>
  <c r="BR43" i="1"/>
  <c r="BN59" i="1"/>
  <c r="BA37" i="1"/>
  <c r="AP44" i="1"/>
  <c r="AR46" i="1"/>
  <c r="BS38" i="1"/>
  <c r="AX58" i="1"/>
  <c r="BV55" i="1"/>
  <c r="BV217" i="1" s="1"/>
  <c r="BD55" i="1"/>
  <c r="BD217" i="1" s="1"/>
  <c r="BF70" i="1"/>
  <c r="BD46" i="1"/>
  <c r="BD43" i="1"/>
  <c r="BD37" i="1"/>
  <c r="AS70" i="1"/>
  <c r="BV163" i="1"/>
  <c r="BW163" i="1" s="1"/>
  <c r="BX225" i="1" s="1"/>
  <c r="BS70" i="1"/>
  <c r="AO58" i="1"/>
  <c r="AV48" i="1"/>
  <c r="BF55" i="1"/>
  <c r="BF217" i="1" s="1"/>
  <c r="BA38" i="1"/>
  <c r="BK74" i="1"/>
  <c r="BV168" i="1"/>
  <c r="BK46" i="1"/>
  <c r="BS37" i="1"/>
  <c r="AW69" i="1"/>
  <c r="AV31" i="1"/>
  <c r="AV254" i="1" s="1"/>
  <c r="AO55" i="1"/>
  <c r="AO217" i="1" s="1"/>
  <c r="AX44" i="1"/>
  <c r="AR59" i="1"/>
  <c r="BR36" i="1"/>
  <c r="AI37" i="1"/>
  <c r="BU47" i="1"/>
  <c r="BV183" i="1"/>
  <c r="BT69" i="1"/>
  <c r="BT31" i="1"/>
  <c r="AM69" i="1"/>
  <c r="AV59" i="1"/>
  <c r="BN46" i="1"/>
  <c r="AP74" i="1"/>
  <c r="AV36" i="1"/>
  <c r="BH36" i="1"/>
  <c r="BQ62" i="1"/>
  <c r="AY68" i="1"/>
  <c r="AR62" i="1"/>
  <c r="BM36" i="1"/>
  <c r="BW48" i="1"/>
  <c r="AV68" i="1"/>
  <c r="BT68" i="1"/>
  <c r="AP59" i="1"/>
  <c r="AZ55" i="1"/>
  <c r="BH145" i="1"/>
  <c r="BI145" i="1" s="1"/>
  <c r="BK59" i="1"/>
  <c r="BH156" i="1"/>
  <c r="AY69" i="1"/>
  <c r="BQ38" i="1"/>
  <c r="BE44" i="1"/>
  <c r="BV46" i="1"/>
  <c r="BD68" i="1"/>
  <c r="BM74" i="1"/>
  <c r="BM70" i="1"/>
  <c r="BV68" i="1"/>
  <c r="BH147" i="1"/>
  <c r="BV149" i="1"/>
  <c r="BW149" i="1" s="1"/>
  <c r="BH154" i="1"/>
  <c r="BI74" i="1"/>
  <c r="AT47" i="1"/>
  <c r="BD47" i="1"/>
  <c r="BF31" i="1"/>
  <c r="AX31" i="1"/>
  <c r="AT68" i="1"/>
  <c r="BV158" i="1"/>
  <c r="BW158" i="1" s="1"/>
  <c r="BP46" i="1"/>
  <c r="BC48" i="1"/>
  <c r="AK96" i="1"/>
  <c r="BP47" i="1"/>
  <c r="BF36" i="1"/>
  <c r="BM44" i="1"/>
  <c r="AO43" i="1"/>
  <c r="BV70" i="1"/>
  <c r="BK36" i="1"/>
  <c r="AO47" i="1"/>
  <c r="AZ69" i="1"/>
  <c r="BW62" i="1"/>
  <c r="AY44" i="1"/>
  <c r="AS38" i="1"/>
  <c r="AY43" i="1"/>
  <c r="AU62" i="1"/>
  <c r="AQ69" i="1"/>
  <c r="BJ97" i="1"/>
  <c r="BV147" i="1"/>
  <c r="BW147" i="1" s="1"/>
  <c r="BM47" i="1"/>
  <c r="AQ62" i="1"/>
  <c r="AX59" i="1"/>
  <c r="BG44" i="1"/>
  <c r="BF37" i="1"/>
  <c r="AU44" i="1"/>
  <c r="BE59" i="1"/>
  <c r="AZ59" i="1"/>
  <c r="BF69" i="1"/>
  <c r="BS59" i="1"/>
  <c r="BV150" i="1"/>
  <c r="BW150" i="1" s="1"/>
  <c r="BG37" i="1"/>
  <c r="BF59" i="1"/>
  <c r="BC70" i="1"/>
  <c r="BE55" i="1"/>
  <c r="BE217" i="1" s="1"/>
  <c r="BE48" i="1"/>
  <c r="BE31" i="1"/>
  <c r="BE254" i="1" s="1"/>
  <c r="BT58" i="1"/>
  <c r="BN44" i="1"/>
  <c r="BC55" i="1"/>
  <c r="BC217" i="1" s="1"/>
  <c r="BI62" i="1"/>
  <c r="AW43" i="1"/>
  <c r="BH167" i="1"/>
  <c r="AP68" i="1"/>
  <c r="AS36" i="1"/>
  <c r="BS46" i="1"/>
  <c r="AT46" i="1"/>
  <c r="AW58" i="1"/>
  <c r="BG31" i="1"/>
  <c r="BP43" i="1"/>
  <c r="AR38" i="1"/>
  <c r="AW68" i="1"/>
  <c r="BF68" i="1"/>
  <c r="BV36" i="1"/>
  <c r="AI44" i="1"/>
  <c r="AT69" i="1"/>
  <c r="BH58" i="1"/>
  <c r="BV167" i="1"/>
  <c r="AP43" i="1"/>
  <c r="AS58" i="1"/>
  <c r="BO38" i="1"/>
  <c r="BP58" i="1"/>
  <c r="BC37" i="1"/>
  <c r="BB68" i="1"/>
  <c r="BE38" i="1"/>
  <c r="BV59" i="1"/>
  <c r="AP48" i="1"/>
  <c r="AX69" i="1"/>
  <c r="AU58" i="1"/>
  <c r="AZ44" i="1"/>
  <c r="BD36" i="1"/>
  <c r="AS44" i="1"/>
  <c r="BN38" i="1"/>
  <c r="BM55" i="1"/>
  <c r="BJ55" i="1"/>
  <c r="AM70" i="1"/>
  <c r="BQ44" i="1"/>
  <c r="AU48" i="1"/>
  <c r="AX47" i="1"/>
  <c r="BS43" i="1"/>
  <c r="BB62" i="1"/>
  <c r="BC47" i="1"/>
  <c r="AT70" i="1"/>
  <c r="AW62" i="1"/>
  <c r="BV58" i="1"/>
  <c r="BH68" i="1"/>
  <c r="AN46" i="1"/>
  <c r="AX48" i="1"/>
  <c r="AP37" i="1"/>
  <c r="BP44" i="1"/>
  <c r="AQ58" i="1"/>
  <c r="BV97" i="1"/>
  <c r="AM74" i="1"/>
  <c r="BH38" i="1"/>
  <c r="AU43" i="1"/>
  <c r="BA47" i="1"/>
  <c r="BV178" i="1"/>
  <c r="BW178" i="1" s="1"/>
  <c r="BE68" i="1"/>
  <c r="AS62" i="1"/>
  <c r="AI58" i="1"/>
  <c r="BV154" i="1"/>
  <c r="AY74" i="1"/>
  <c r="BN58" i="1"/>
  <c r="BO36" i="1"/>
  <c r="BG68" i="1"/>
  <c r="BI48" i="1"/>
  <c r="AY38" i="1"/>
  <c r="BU46" i="1"/>
  <c r="BF47" i="1"/>
  <c r="BB43" i="1"/>
  <c r="BV43" i="1"/>
  <c r="BG59" i="1"/>
  <c r="BT59" i="1"/>
  <c r="AN38" i="1"/>
  <c r="BO37" i="1"/>
  <c r="BT37" i="1"/>
  <c r="AZ68" i="1"/>
  <c r="AS69" i="1"/>
  <c r="BH48" i="1"/>
  <c r="BO43" i="1"/>
  <c r="BH158" i="1"/>
  <c r="BI158" i="1" s="1"/>
  <c r="BC68" i="1"/>
  <c r="BH183" i="1"/>
  <c r="BO47" i="1"/>
  <c r="AN55" i="1"/>
  <c r="AN31" i="1"/>
  <c r="BK68" i="1"/>
  <c r="BV37" i="1"/>
  <c r="AS59" i="1"/>
  <c r="AO70" i="1"/>
  <c r="AI96" i="1"/>
  <c r="BB48" i="1"/>
  <c r="BN43" i="1"/>
  <c r="AN44" i="1"/>
  <c r="AU47" i="1"/>
  <c r="BH148" i="1"/>
  <c r="BI148" i="1" s="1"/>
  <c r="AU55" i="1"/>
  <c r="AU217" i="1" s="1"/>
  <c r="AI59" i="1"/>
  <c r="BW31" i="1"/>
  <c r="BO31" i="1"/>
  <c r="BG74" i="1"/>
  <c r="BC62" i="1"/>
  <c r="AR31" i="1"/>
  <c r="AR254" i="1" s="1"/>
  <c r="BN47" i="1"/>
  <c r="BP59" i="1"/>
  <c r="BK38" i="1"/>
  <c r="AS47" i="1"/>
  <c r="AY37" i="1"/>
  <c r="AU74" i="1"/>
  <c r="BB37" i="1"/>
  <c r="AX62" i="1"/>
  <c r="BD69" i="1"/>
  <c r="BQ37" i="1"/>
  <c r="BH173" i="1"/>
  <c r="BI173" i="1" s="1"/>
  <c r="BF38" i="1"/>
  <c r="BJ69" i="1"/>
  <c r="AN68" i="1"/>
  <c r="BN74" i="1"/>
  <c r="AI55" i="1"/>
  <c r="AI217" i="1" s="1"/>
  <c r="BV31" i="1"/>
  <c r="BV254" i="1" s="1"/>
  <c r="AZ58" i="1"/>
  <c r="AT36" i="1"/>
  <c r="AS68" i="1"/>
  <c r="AU69" i="1"/>
  <c r="CQ217" i="1"/>
  <c r="CQ155" i="1"/>
  <c r="DA100" i="1"/>
  <c r="CX88" i="1"/>
  <c r="CY86" i="1"/>
  <c r="AB147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B184" i="1" l="1"/>
  <c r="C232" i="1" s="1"/>
  <c r="L143" i="1"/>
  <c r="D143" i="1"/>
  <c r="Q225" i="1"/>
  <c r="F157" i="1"/>
  <c r="U184" i="1"/>
  <c r="V232" i="1" s="1"/>
  <c r="O184" i="1"/>
  <c r="I184" i="1"/>
  <c r="J232" i="1" s="1"/>
  <c r="P225" i="1"/>
  <c r="N184" i="1"/>
  <c r="O232" i="1" s="1"/>
  <c r="T225" i="1"/>
  <c r="B88" i="1"/>
  <c r="B130" i="1" s="1"/>
  <c r="M143" i="1"/>
  <c r="M198" i="1" s="1"/>
  <c r="D151" i="1"/>
  <c r="N143" i="1"/>
  <c r="N77" i="1" s="1"/>
  <c r="O143" i="1"/>
  <c r="C225" i="1"/>
  <c r="C151" i="1"/>
  <c r="I171" i="1"/>
  <c r="I205" i="1" s="1"/>
  <c r="I204" i="1" s="1"/>
  <c r="S184" i="1"/>
  <c r="T232" i="1" s="1"/>
  <c r="U202" i="1"/>
  <c r="U171" i="1"/>
  <c r="U205" i="1" s="1"/>
  <c r="F151" i="1"/>
  <c r="F60" i="1" s="1"/>
  <c r="S225" i="1"/>
  <c r="N157" i="1"/>
  <c r="L157" i="1"/>
  <c r="L56" i="1" s="1"/>
  <c r="V184" i="1"/>
  <c r="W232" i="1" s="1"/>
  <c r="V225" i="1"/>
  <c r="M184" i="1"/>
  <c r="S196" i="1"/>
  <c r="T184" i="1"/>
  <c r="U232" i="1" s="1"/>
  <c r="B196" i="1"/>
  <c r="C157" i="1"/>
  <c r="Q196" i="1"/>
  <c r="H143" i="1"/>
  <c r="H77" i="1" s="1"/>
  <c r="R151" i="1"/>
  <c r="R60" i="1" s="1"/>
  <c r="V151" i="1"/>
  <c r="V60" i="1" s="1"/>
  <c r="S171" i="1"/>
  <c r="S205" i="1" s="1"/>
  <c r="S204" i="1" s="1"/>
  <c r="T143" i="1"/>
  <c r="T77" i="1" s="1"/>
  <c r="H196" i="1"/>
  <c r="C196" i="1"/>
  <c r="I143" i="1"/>
  <c r="I198" i="1" s="1"/>
  <c r="J157" i="1"/>
  <c r="M171" i="1"/>
  <c r="M205" i="1" s="1"/>
  <c r="M204" i="1" s="1"/>
  <c r="U157" i="1"/>
  <c r="B179" i="1"/>
  <c r="B208" i="1" s="1"/>
  <c r="B207" i="1" s="1"/>
  <c r="S157" i="1"/>
  <c r="S56" i="1" s="1"/>
  <c r="B157" i="1"/>
  <c r="B161" i="1" s="1"/>
  <c r="K225" i="1"/>
  <c r="H184" i="1"/>
  <c r="C88" i="1"/>
  <c r="C130" i="1" s="1"/>
  <c r="S151" i="1"/>
  <c r="S191" i="1" s="1"/>
  <c r="S132" i="1" s="1"/>
  <c r="S179" i="1"/>
  <c r="S208" i="1" s="1"/>
  <c r="S207" i="1" s="1"/>
  <c r="C171" i="1"/>
  <c r="K184" i="1"/>
  <c r="D184" i="1"/>
  <c r="F184" i="1"/>
  <c r="G232" i="1" s="1"/>
  <c r="M225" i="1"/>
  <c r="F143" i="1"/>
  <c r="F198" i="1" s="1"/>
  <c r="T157" i="1"/>
  <c r="T56" i="1" s="1"/>
  <c r="B143" i="1"/>
  <c r="G157" i="1"/>
  <c r="T151" i="1"/>
  <c r="M196" i="1"/>
  <c r="O151" i="1"/>
  <c r="L225" i="1"/>
  <c r="B151" i="1"/>
  <c r="N196" i="1"/>
  <c r="D88" i="1"/>
  <c r="D130" i="1" s="1"/>
  <c r="K171" i="1"/>
  <c r="K151" i="1"/>
  <c r="F171" i="1"/>
  <c r="J184" i="1"/>
  <c r="G143" i="1"/>
  <c r="D196" i="1"/>
  <c r="J151" i="1"/>
  <c r="N225" i="1"/>
  <c r="E196" i="1"/>
  <c r="R225" i="1"/>
  <c r="L171" i="1"/>
  <c r="D225" i="1"/>
  <c r="G171" i="1"/>
  <c r="G205" i="1" s="1"/>
  <c r="G204" i="1" s="1"/>
  <c r="K143" i="1"/>
  <c r="C184" i="1"/>
  <c r="P171" i="1"/>
  <c r="W151" i="1"/>
  <c r="D171" i="1"/>
  <c r="U143" i="1"/>
  <c r="F179" i="1"/>
  <c r="F208" i="1" s="1"/>
  <c r="R171" i="1"/>
  <c r="C179" i="1"/>
  <c r="W196" i="1"/>
  <c r="E225" i="1"/>
  <c r="J171" i="1"/>
  <c r="E157" i="1"/>
  <c r="H179" i="1"/>
  <c r="H208" i="1" s="1"/>
  <c r="H207" i="1" s="1"/>
  <c r="H151" i="1"/>
  <c r="U225" i="1"/>
  <c r="I157" i="1"/>
  <c r="V196" i="1"/>
  <c r="P151" i="1"/>
  <c r="G196" i="1"/>
  <c r="J143" i="1"/>
  <c r="Q184" i="1"/>
  <c r="N179" i="1"/>
  <c r="N208" i="1" s="1"/>
  <c r="N207" i="1" s="1"/>
  <c r="V171" i="1"/>
  <c r="O171" i="1"/>
  <c r="I151" i="1"/>
  <c r="O225" i="1"/>
  <c r="D157" i="1"/>
  <c r="G184" i="1"/>
  <c r="Q157" i="1"/>
  <c r="T171" i="1"/>
  <c r="E151" i="1"/>
  <c r="M157" i="1"/>
  <c r="Q143" i="1"/>
  <c r="P196" i="1"/>
  <c r="E171" i="1"/>
  <c r="L196" i="1"/>
  <c r="K196" i="1"/>
  <c r="K157" i="1"/>
  <c r="N151" i="1"/>
  <c r="O196" i="1"/>
  <c r="L151" i="1"/>
  <c r="P143" i="1"/>
  <c r="B171" i="1"/>
  <c r="T196" i="1"/>
  <c r="J196" i="1"/>
  <c r="P157" i="1"/>
  <c r="G151" i="1"/>
  <c r="U151" i="1"/>
  <c r="D179" i="1"/>
  <c r="H225" i="1"/>
  <c r="S143" i="1"/>
  <c r="W157" i="1"/>
  <c r="F196" i="1"/>
  <c r="O157" i="1"/>
  <c r="L184" i="1"/>
  <c r="R184" i="1"/>
  <c r="I196" i="1"/>
  <c r="R143" i="1"/>
  <c r="Q171" i="1"/>
  <c r="V143" i="1"/>
  <c r="Q151" i="1"/>
  <c r="K179" i="1"/>
  <c r="N202" i="1"/>
  <c r="N171" i="1"/>
  <c r="P179" i="1"/>
  <c r="P208" i="1" s="1"/>
  <c r="P207" i="1" s="1"/>
  <c r="T179" i="1"/>
  <c r="J179" i="1"/>
  <c r="E179" i="1"/>
  <c r="G179" i="1"/>
  <c r="O179" i="1"/>
  <c r="U179" i="1"/>
  <c r="L179" i="1"/>
  <c r="H202" i="1"/>
  <c r="H171" i="1"/>
  <c r="R196" i="1"/>
  <c r="J225" i="1"/>
  <c r="I225" i="1"/>
  <c r="U196" i="1"/>
  <c r="G225" i="1"/>
  <c r="F225" i="1"/>
  <c r="X225" i="1"/>
  <c r="W225" i="1"/>
  <c r="M177" i="1"/>
  <c r="M179" i="1" s="1"/>
  <c r="M151" i="1"/>
  <c r="V157" i="1"/>
  <c r="I179" i="1"/>
  <c r="H157" i="1"/>
  <c r="Q179" i="1"/>
  <c r="V179" i="1"/>
  <c r="R179" i="1"/>
  <c r="BH157" i="1"/>
  <c r="BH161" i="1" s="1"/>
  <c r="L77" i="1"/>
  <c r="BH184" i="1"/>
  <c r="BI165" i="1"/>
  <c r="BH171" i="1"/>
  <c r="BH205" i="1" s="1"/>
  <c r="BI172" i="1"/>
  <c r="BH179" i="1"/>
  <c r="BH208" i="1" s="1"/>
  <c r="BI147" i="1"/>
  <c r="BI151" i="1" s="1"/>
  <c r="BH151" i="1"/>
  <c r="AZ33" i="1"/>
  <c r="AZ39" i="1" s="1"/>
  <c r="AN275" i="1"/>
  <c r="AI60" i="1"/>
  <c r="BV184" i="1"/>
  <c r="BW232" i="1" s="1"/>
  <c r="AP275" i="1"/>
  <c r="BK275" i="1"/>
  <c r="BO49" i="1"/>
  <c r="AU121" i="1"/>
  <c r="AU122" i="1" s="1"/>
  <c r="BH275" i="1"/>
  <c r="BI275" i="1"/>
  <c r="BU49" i="1"/>
  <c r="BD49" i="1"/>
  <c r="BK33" i="1"/>
  <c r="AT254" i="1"/>
  <c r="AP217" i="1"/>
  <c r="AP276" i="1"/>
  <c r="AY33" i="1"/>
  <c r="AM71" i="1"/>
  <c r="BO275" i="1"/>
  <c r="BR49" i="1"/>
  <c r="BW49" i="1"/>
  <c r="BF275" i="1"/>
  <c r="AX49" i="1"/>
  <c r="BI140" i="1"/>
  <c r="BH143" i="1"/>
  <c r="BH115" i="1" s="1"/>
  <c r="BH119" i="1" s="1"/>
  <c r="AZ254" i="1"/>
  <c r="BC121" i="1"/>
  <c r="BC122" i="1" s="1"/>
  <c r="AY275" i="1"/>
  <c r="AW33" i="1"/>
  <c r="AW39" i="1" s="1"/>
  <c r="BN276" i="1"/>
  <c r="AP33" i="1"/>
  <c r="BJ121" i="1"/>
  <c r="BJ122" i="1" s="1"/>
  <c r="BJ125" i="1" s="1"/>
  <c r="AI206" i="1"/>
  <c r="AI208" i="1"/>
  <c r="AI205" i="1"/>
  <c r="AN217" i="1"/>
  <c r="AN56" i="1"/>
  <c r="AW49" i="1"/>
  <c r="AU49" i="1"/>
  <c r="BQ275" i="1"/>
  <c r="BN121" i="1"/>
  <c r="BN122" i="1" s="1"/>
  <c r="BM33" i="1"/>
  <c r="AO276" i="1"/>
  <c r="BA33" i="1"/>
  <c r="BA39" i="1" s="1"/>
  <c r="BW276" i="1"/>
  <c r="BR121" i="1"/>
  <c r="BR122" i="1" s="1"/>
  <c r="BP275" i="1"/>
  <c r="BQ33" i="1"/>
  <c r="BQ254" i="1"/>
  <c r="BS121" i="1"/>
  <c r="BS122" i="1" s="1"/>
  <c r="BB217" i="1"/>
  <c r="BB276" i="1"/>
  <c r="BN275" i="1"/>
  <c r="BO121" i="1"/>
  <c r="BO122" i="1" s="1"/>
  <c r="BO125" i="1" s="1"/>
  <c r="BN254" i="1"/>
  <c r="BM254" i="1"/>
  <c r="BP121" i="1"/>
  <c r="BP122" i="1" s="1"/>
  <c r="BK49" i="1"/>
  <c r="BU275" i="1"/>
  <c r="BU33" i="1"/>
  <c r="BD33" i="1"/>
  <c r="BD276" i="1"/>
  <c r="BD254" i="1"/>
  <c r="BG121" i="1"/>
  <c r="BG122" i="1" s="1"/>
  <c r="AI226" i="1"/>
  <c r="AI224" i="1" s="1"/>
  <c r="AI49" i="1"/>
  <c r="BV276" i="1"/>
  <c r="BJ50" i="1"/>
  <c r="BV33" i="1"/>
  <c r="BV39" i="1" s="1"/>
  <c r="BO33" i="1"/>
  <c r="BK60" i="1"/>
  <c r="AR276" i="1"/>
  <c r="BU121" i="1"/>
  <c r="BU122" i="1" s="1"/>
  <c r="BW151" i="1"/>
  <c r="BW121" i="1"/>
  <c r="BW122" i="1" s="1"/>
  <c r="AZ121" i="1"/>
  <c r="AZ122" i="1" s="1"/>
  <c r="AZ125" i="1" s="1"/>
  <c r="BG49" i="1"/>
  <c r="BA275" i="1"/>
  <c r="AY276" i="1"/>
  <c r="AT33" i="1"/>
  <c r="AT39" i="1" s="1"/>
  <c r="AZ49" i="1"/>
  <c r="AS49" i="1"/>
  <c r="BO254" i="1"/>
  <c r="AS275" i="1"/>
  <c r="BA49" i="1"/>
  <c r="AZ275" i="1"/>
  <c r="BE49" i="1"/>
  <c r="BV171" i="1"/>
  <c r="BV205" i="1" s="1"/>
  <c r="BR33" i="1"/>
  <c r="AR49" i="1"/>
  <c r="BD275" i="1"/>
  <c r="BI49" i="1"/>
  <c r="BM60" i="1"/>
  <c r="BQ49" i="1"/>
  <c r="AR33" i="1"/>
  <c r="AS33" i="1"/>
  <c r="AT49" i="1"/>
  <c r="BP49" i="1"/>
  <c r="BT276" i="1"/>
  <c r="AP49" i="1"/>
  <c r="AI33" i="1"/>
  <c r="BV202" i="1"/>
  <c r="BW202" i="1" s="1"/>
  <c r="BX121" i="1"/>
  <c r="BX122" i="1" s="1"/>
  <c r="BG276" i="1"/>
  <c r="BV121" i="1"/>
  <c r="BV122" i="1" s="1"/>
  <c r="AL121" i="1"/>
  <c r="AL122" i="1" s="1"/>
  <c r="AL127" i="1" s="1"/>
  <c r="AT275" i="1"/>
  <c r="AT121" i="1"/>
  <c r="AT122" i="1" s="1"/>
  <c r="BT121" i="1"/>
  <c r="BT122" i="1" s="1"/>
  <c r="AW276" i="1"/>
  <c r="BS275" i="1"/>
  <c r="AX275" i="1"/>
  <c r="AO275" i="1"/>
  <c r="AN49" i="1"/>
  <c r="BT49" i="1"/>
  <c r="AQ49" i="1"/>
  <c r="AV49" i="1"/>
  <c r="BH49" i="1"/>
  <c r="BI33" i="1"/>
  <c r="BP33" i="1"/>
  <c r="AY49" i="1"/>
  <c r="BF49" i="1"/>
  <c r="BN49" i="1"/>
  <c r="AU33" i="1"/>
  <c r="AY254" i="1"/>
  <c r="BV275" i="1"/>
  <c r="AI203" i="1"/>
  <c r="BV151" i="1"/>
  <c r="BS33" i="1"/>
  <c r="BQ121" i="1"/>
  <c r="BQ122" i="1" s="1"/>
  <c r="BQ125" i="1" s="1"/>
  <c r="BV206" i="1"/>
  <c r="BE33" i="1"/>
  <c r="BY121" i="1"/>
  <c r="BY122" i="1" s="1"/>
  <c r="BE275" i="1"/>
  <c r="BL121" i="1"/>
  <c r="BL122" i="1" s="1"/>
  <c r="AT276" i="1"/>
  <c r="BT275" i="1"/>
  <c r="BM276" i="1"/>
  <c r="BM226" i="1"/>
  <c r="BM224" i="1" s="1"/>
  <c r="BM56" i="1"/>
  <c r="BM217" i="1"/>
  <c r="BP276" i="1"/>
  <c r="BP217" i="1"/>
  <c r="BR276" i="1"/>
  <c r="BR217" i="1"/>
  <c r="BC33" i="1"/>
  <c r="AU276" i="1"/>
  <c r="BV203" i="1"/>
  <c r="BW203" i="1" s="1"/>
  <c r="BH121" i="1"/>
  <c r="BH122" i="1" s="1"/>
  <c r="BH126" i="1" s="1"/>
  <c r="BF276" i="1"/>
  <c r="BD121" i="1"/>
  <c r="BD122" i="1" s="1"/>
  <c r="AI56" i="1"/>
  <c r="BH33" i="1"/>
  <c r="BH203" i="1"/>
  <c r="BI203" i="1" s="1"/>
  <c r="AX121" i="1"/>
  <c r="AX122" i="1" s="1"/>
  <c r="BQ276" i="1"/>
  <c r="BK121" i="1"/>
  <c r="BK122" i="1" s="1"/>
  <c r="BK127" i="1" s="1"/>
  <c r="AX276" i="1"/>
  <c r="AR121" i="1"/>
  <c r="AR122" i="1" s="1"/>
  <c r="AQ275" i="1"/>
  <c r="AS121" i="1"/>
  <c r="AS122" i="1" s="1"/>
  <c r="AQ33" i="1"/>
  <c r="BT217" i="1"/>
  <c r="BH202" i="1"/>
  <c r="BI202" i="1" s="1"/>
  <c r="AR275" i="1"/>
  <c r="BU217" i="1"/>
  <c r="BU276" i="1"/>
  <c r="BW140" i="1"/>
  <c r="BV143" i="1"/>
  <c r="BK276" i="1"/>
  <c r="BK217" i="1"/>
  <c r="BK56" i="1"/>
  <c r="BK226" i="1"/>
  <c r="BK224" i="1" s="1"/>
  <c r="BK254" i="1"/>
  <c r="BM121" i="1"/>
  <c r="BM122" i="1" s="1"/>
  <c r="BM275" i="1"/>
  <c r="BS49" i="1"/>
  <c r="AN33" i="1"/>
  <c r="AN254" i="1"/>
  <c r="AN121" i="1"/>
  <c r="AN122" i="1" s="1"/>
  <c r="AO121" i="1"/>
  <c r="AO122" i="1" s="1"/>
  <c r="AU254" i="1"/>
  <c r="BO276" i="1"/>
  <c r="BF121" i="1"/>
  <c r="BF122" i="1" s="1"/>
  <c r="BF33" i="1"/>
  <c r="AV33" i="1"/>
  <c r="AY121" i="1"/>
  <c r="AY122" i="1" s="1"/>
  <c r="AW121" i="1"/>
  <c r="AW122" i="1" s="1"/>
  <c r="AV275" i="1"/>
  <c r="AP121" i="1"/>
  <c r="AP122" i="1" s="1"/>
  <c r="AV121" i="1"/>
  <c r="AV122" i="1" s="1"/>
  <c r="BW33" i="1"/>
  <c r="BW254" i="1"/>
  <c r="BZ121" i="1"/>
  <c r="BZ122" i="1" s="1"/>
  <c r="BV157" i="1"/>
  <c r="AO49" i="1"/>
  <c r="BR275" i="1"/>
  <c r="BN56" i="1"/>
  <c r="BN217" i="1"/>
  <c r="AQ276" i="1"/>
  <c r="AQ217" i="1"/>
  <c r="BN33" i="1"/>
  <c r="BW275" i="1"/>
  <c r="BI276" i="1"/>
  <c r="BI217" i="1"/>
  <c r="BB254" i="1"/>
  <c r="BB33" i="1"/>
  <c r="BM49" i="1"/>
  <c r="BI121" i="1"/>
  <c r="BI122" i="1" s="1"/>
  <c r="BI126" i="1" s="1"/>
  <c r="BF254" i="1"/>
  <c r="BE121" i="1"/>
  <c r="BE122" i="1" s="1"/>
  <c r="BE127" i="1" s="1"/>
  <c r="AN276" i="1"/>
  <c r="BC275" i="1"/>
  <c r="AV276" i="1"/>
  <c r="BC276" i="1"/>
  <c r="BE276" i="1"/>
  <c r="AQ121" i="1"/>
  <c r="AQ122" i="1" s="1"/>
  <c r="AQ127" i="1" s="1"/>
  <c r="BH276" i="1"/>
  <c r="BV179" i="1"/>
  <c r="BV208" i="1" s="1"/>
  <c r="BB275" i="1"/>
  <c r="BV49" i="1"/>
  <c r="BJ276" i="1"/>
  <c r="BJ217" i="1"/>
  <c r="BG275" i="1"/>
  <c r="BG254" i="1"/>
  <c r="BC49" i="1"/>
  <c r="AX254" i="1"/>
  <c r="AX33" i="1"/>
  <c r="AZ276" i="1"/>
  <c r="AZ217" i="1"/>
  <c r="BT254" i="1"/>
  <c r="BT33" i="1"/>
  <c r="BH206" i="1"/>
  <c r="BI206" i="1" s="1"/>
  <c r="BG33" i="1"/>
  <c r="AU275" i="1"/>
  <c r="BA276" i="1"/>
  <c r="BA217" i="1"/>
  <c r="AO254" i="1"/>
  <c r="AO33" i="1"/>
  <c r="AW275" i="1"/>
  <c r="AW254" i="1"/>
  <c r="AI202" i="1"/>
  <c r="AI254" i="1"/>
  <c r="BB49" i="1"/>
  <c r="BA121" i="1"/>
  <c r="BA122" i="1" s="1"/>
  <c r="BB121" i="1"/>
  <c r="BB122" i="1" s="1"/>
  <c r="AS276" i="1"/>
  <c r="AS217" i="1"/>
  <c r="BS276" i="1"/>
  <c r="BI225" i="1"/>
  <c r="BW225" i="1"/>
  <c r="BJ51" i="1"/>
  <c r="BJ40" i="1"/>
  <c r="CQ157" i="1"/>
  <c r="DB100" i="1"/>
  <c r="CY88" i="1"/>
  <c r="CZ86" i="1"/>
  <c r="J86" i="3"/>
  <c r="AC56" i="3"/>
  <c r="AE70" i="3"/>
  <c r="AO79" i="3"/>
  <c r="Z81" i="3"/>
  <c r="L97" i="3"/>
  <c r="AE95" i="3"/>
  <c r="AO93" i="3"/>
  <c r="I69" i="3"/>
  <c r="N90" i="3"/>
  <c r="L49" i="3"/>
  <c r="AJ56" i="3"/>
  <c r="AM59" i="3"/>
  <c r="AG62" i="3"/>
  <c r="AG93" i="3"/>
  <c r="S81" i="3"/>
  <c r="N87" i="3"/>
  <c r="AM50" i="3"/>
  <c r="AJ93" i="3"/>
  <c r="N88" i="3"/>
  <c r="U87" i="3"/>
  <c r="Q78" i="3"/>
  <c r="M85" i="3"/>
  <c r="J96" i="3"/>
  <c r="J58" i="3"/>
  <c r="L77" i="3"/>
  <c r="I79" i="3"/>
  <c r="S54" i="3"/>
  <c r="AQ47" i="3"/>
  <c r="X79" i="3"/>
  <c r="AE61" i="3"/>
  <c r="O69" i="3"/>
  <c r="N62" i="3"/>
  <c r="U96" i="3"/>
  <c r="J82" i="3"/>
  <c r="I96" i="3"/>
  <c r="O67" i="3"/>
  <c r="J50" i="3"/>
  <c r="Z79" i="3"/>
  <c r="S89" i="3"/>
  <c r="I94" i="3"/>
  <c r="P95" i="3"/>
  <c r="AG72" i="3"/>
  <c r="N60" i="3"/>
  <c r="AN87" i="3"/>
  <c r="AM70" i="3"/>
  <c r="L85" i="3"/>
  <c r="AN93" i="3"/>
  <c r="T82" i="3"/>
  <c r="AH47" i="3"/>
  <c r="H88" i="3"/>
  <c r="P86" i="3"/>
  <c r="AG88" i="3"/>
  <c r="AQ59" i="3"/>
  <c r="AM97" i="3"/>
  <c r="AK67" i="3"/>
  <c r="AC90" i="3"/>
  <c r="AK87" i="3"/>
  <c r="Y65" i="3"/>
  <c r="AN61" i="3"/>
  <c r="AI78" i="3"/>
  <c r="AE75" i="3"/>
  <c r="N59" i="3"/>
  <c r="U64" i="3"/>
  <c r="AE88" i="3"/>
  <c r="L90" i="3"/>
  <c r="J88" i="3"/>
  <c r="X77" i="3"/>
  <c r="AC54" i="3"/>
  <c r="U71" i="3"/>
  <c r="W83" i="3"/>
  <c r="AA78" i="3"/>
  <c r="U50" i="3"/>
  <c r="AN97" i="3"/>
  <c r="V75" i="3"/>
  <c r="AC64" i="3"/>
  <c r="AO62" i="3"/>
  <c r="AK97" i="3"/>
  <c r="AO88" i="3"/>
  <c r="I55" i="3"/>
  <c r="R94" i="3"/>
  <c r="M96" i="3"/>
  <c r="W86" i="3"/>
  <c r="S96" i="3"/>
  <c r="R80" i="3"/>
  <c r="K60" i="3"/>
  <c r="AE59" i="3"/>
  <c r="T95" i="3"/>
  <c r="J57" i="3"/>
  <c r="AO60" i="3"/>
  <c r="AH80" i="3"/>
  <c r="AI59" i="3"/>
  <c r="AM79" i="3"/>
  <c r="V90" i="3"/>
  <c r="N80" i="3"/>
  <c r="T68" i="3"/>
  <c r="AQ93" i="3"/>
  <c r="I49" i="3"/>
  <c r="M72" i="3"/>
  <c r="V72" i="3"/>
  <c r="L59" i="3"/>
  <c r="M95" i="3"/>
  <c r="S87" i="3"/>
  <c r="I80" i="3"/>
  <c r="AA88" i="3"/>
  <c r="AI97" i="3"/>
  <c r="Y47" i="3"/>
  <c r="AJ59" i="3"/>
  <c r="AJ69" i="3"/>
  <c r="O47" i="3"/>
  <c r="AA95" i="3"/>
  <c r="Z76" i="3"/>
  <c r="S85" i="3"/>
  <c r="S71" i="3"/>
  <c r="P88" i="3"/>
  <c r="AI88" i="3"/>
  <c r="AG70" i="3"/>
  <c r="S93" i="3"/>
  <c r="AE56" i="3"/>
  <c r="N54" i="3"/>
  <c r="AA63" i="3"/>
  <c r="H93" i="3"/>
  <c r="R49" i="3"/>
  <c r="L95" i="3"/>
  <c r="J84" i="3"/>
  <c r="AE67" i="3"/>
  <c r="K80" i="3"/>
  <c r="K72" i="3"/>
  <c r="V97" i="3"/>
  <c r="Y63" i="3"/>
  <c r="AA83" i="3"/>
  <c r="AE69" i="3"/>
  <c r="R78" i="3"/>
  <c r="AN48" i="3"/>
  <c r="X86" i="3"/>
  <c r="N64" i="3"/>
  <c r="Y74" i="3"/>
  <c r="H55" i="3"/>
  <c r="O92" i="3"/>
  <c r="Q66" i="3"/>
  <c r="AA92" i="3"/>
  <c r="AE73" i="3"/>
  <c r="AH60" i="3"/>
  <c r="AL90" i="3"/>
  <c r="M84" i="3"/>
  <c r="Q58" i="3"/>
  <c r="N85" i="3"/>
  <c r="U60" i="3"/>
  <c r="J69" i="3"/>
  <c r="AO81" i="3"/>
  <c r="AI47" i="3"/>
  <c r="AE47" i="3"/>
  <c r="AM75" i="3"/>
  <c r="Y89" i="3"/>
  <c r="AN58" i="3"/>
  <c r="AA74" i="3"/>
  <c r="P80" i="3"/>
  <c r="AC48" i="3"/>
  <c r="I84" i="3"/>
  <c r="AG55" i="3"/>
  <c r="Y92" i="3"/>
  <c r="AE97" i="3"/>
  <c r="AL49" i="3"/>
  <c r="AI90" i="3"/>
  <c r="AO73" i="3"/>
  <c r="K86" i="3"/>
  <c r="AL85" i="3"/>
  <c r="W85" i="3"/>
  <c r="AM74" i="3"/>
  <c r="AE96" i="3"/>
  <c r="N92" i="3"/>
  <c r="U91" i="3"/>
  <c r="P54" i="3"/>
  <c r="AK94" i="3"/>
  <c r="AA82" i="3"/>
  <c r="N81" i="3"/>
  <c r="M55" i="3"/>
  <c r="O49" i="3"/>
  <c r="U82" i="3"/>
  <c r="AQ63" i="3"/>
  <c r="O80" i="3"/>
  <c r="T89" i="3"/>
  <c r="Z50" i="3"/>
  <c r="AE48" i="3"/>
  <c r="T91" i="3"/>
  <c r="Y71" i="3"/>
  <c r="T71" i="3"/>
  <c r="W88" i="3"/>
  <c r="AG63" i="3"/>
  <c r="V93" i="3"/>
  <c r="H94" i="3"/>
  <c r="S68" i="3"/>
  <c r="AH72" i="3"/>
  <c r="AQ80" i="3"/>
  <c r="AE50" i="3"/>
  <c r="AN54" i="3"/>
  <c r="X84" i="3"/>
  <c r="P89" i="3"/>
  <c r="AE80" i="3"/>
  <c r="AJ85" i="3"/>
  <c r="AC94" i="3"/>
  <c r="AJ84" i="3"/>
  <c r="W70" i="3"/>
  <c r="AM82" i="3"/>
  <c r="AI65" i="3"/>
  <c r="AM61" i="3"/>
  <c r="AN92" i="3"/>
  <c r="AM84" i="3"/>
  <c r="AC55" i="3"/>
  <c r="J54" i="3"/>
  <c r="AA96" i="3"/>
  <c r="AH86" i="3"/>
  <c r="I85" i="3"/>
  <c r="AQ69" i="3"/>
  <c r="X87" i="3"/>
  <c r="AI62" i="3"/>
  <c r="H57" i="3"/>
  <c r="L80" i="3"/>
  <c r="AN86" i="3"/>
  <c r="AL71" i="3"/>
  <c r="V78" i="3"/>
  <c r="M63" i="3"/>
  <c r="H68" i="3"/>
  <c r="AO86" i="3"/>
  <c r="T62" i="3"/>
  <c r="AO64" i="3"/>
  <c r="AH82" i="3"/>
  <c r="AM65" i="3"/>
  <c r="R65" i="3"/>
  <c r="Q49" i="3"/>
  <c r="AO84" i="3"/>
  <c r="AJ58" i="3"/>
  <c r="AK77" i="3"/>
  <c r="U48" i="3"/>
  <c r="Q72" i="3"/>
  <c r="L48" i="3"/>
  <c r="K83" i="3"/>
  <c r="K96" i="3"/>
  <c r="S92" i="3"/>
  <c r="K70" i="3"/>
  <c r="H84" i="3"/>
  <c r="I58" i="3"/>
  <c r="O66" i="3"/>
  <c r="Z70" i="3"/>
  <c r="S47" i="3"/>
  <c r="S48" i="3"/>
  <c r="J56" i="3"/>
  <c r="AH64" i="3"/>
  <c r="X80" i="3"/>
  <c r="AO58" i="3"/>
  <c r="V61" i="3"/>
  <c r="AM56" i="3"/>
  <c r="O70" i="3"/>
  <c r="Y60" i="3"/>
  <c r="AJ72" i="3"/>
  <c r="Y94" i="3"/>
  <c r="AI56" i="3"/>
  <c r="AC71" i="3"/>
  <c r="Z72" i="3"/>
  <c r="P47" i="3"/>
  <c r="AN89" i="3"/>
  <c r="U95" i="3"/>
  <c r="AN66" i="3"/>
  <c r="P73" i="3"/>
  <c r="O93" i="3"/>
  <c r="J48" i="3"/>
  <c r="U66" i="3"/>
  <c r="O74" i="3"/>
  <c r="AG47" i="3"/>
  <c r="V71" i="3"/>
  <c r="AA48" i="3"/>
  <c r="L76" i="3"/>
  <c r="AL47" i="3"/>
  <c r="M73" i="3"/>
  <c r="Z47" i="3"/>
  <c r="AO63" i="3"/>
  <c r="H72" i="3"/>
  <c r="T69" i="3"/>
  <c r="W97" i="3"/>
  <c r="K47" i="3"/>
  <c r="AL74" i="3"/>
  <c r="P90" i="3"/>
  <c r="Q92" i="3"/>
  <c r="R67" i="3"/>
  <c r="AL65" i="3"/>
  <c r="V73" i="3"/>
  <c r="AA73" i="3"/>
  <c r="Y49" i="3"/>
  <c r="Q57" i="3"/>
  <c r="AH57" i="3"/>
  <c r="AQ84" i="3"/>
  <c r="Z60" i="3"/>
  <c r="K82" i="3"/>
  <c r="O79" i="3"/>
  <c r="J68" i="3"/>
  <c r="AO48" i="3"/>
  <c r="Y85" i="3"/>
  <c r="Q63" i="3"/>
  <c r="AC60" i="3"/>
  <c r="H48" i="3"/>
  <c r="I47" i="3"/>
  <c r="AA57" i="3"/>
  <c r="AI74" i="3"/>
  <c r="Y78" i="3"/>
  <c r="AK74" i="3"/>
  <c r="AK82" i="3"/>
  <c r="AE62" i="3"/>
  <c r="AJ86" i="3"/>
  <c r="AH92" i="3"/>
  <c r="T56" i="3"/>
  <c r="AA62" i="3"/>
  <c r="AJ62" i="3"/>
  <c r="AC84" i="3"/>
  <c r="T59" i="3"/>
  <c r="AC50" i="3"/>
  <c r="AH85" i="3"/>
  <c r="U75" i="3"/>
  <c r="O81" i="3"/>
  <c r="AQ88" i="3"/>
  <c r="N79" i="3"/>
  <c r="AM90" i="3"/>
  <c r="V91" i="3"/>
  <c r="T77" i="3"/>
  <c r="U89" i="3"/>
  <c r="AE76" i="3"/>
  <c r="S70" i="3"/>
  <c r="J74" i="3"/>
  <c r="J95" i="3"/>
  <c r="W78" i="3"/>
  <c r="T74" i="3"/>
  <c r="W92" i="3"/>
  <c r="I95" i="3"/>
  <c r="O68" i="3"/>
  <c r="S91" i="3"/>
  <c r="W79" i="3"/>
  <c r="S76" i="3"/>
  <c r="I78" i="3"/>
  <c r="AO50" i="3"/>
  <c r="AO71" i="3"/>
  <c r="H85" i="3"/>
  <c r="AI71" i="3"/>
  <c r="AE85" i="3"/>
  <c r="Y84" i="3"/>
  <c r="AI87" i="3"/>
  <c r="Z48" i="3"/>
  <c r="X65" i="3"/>
  <c r="L79" i="3"/>
  <c r="M88" i="3"/>
  <c r="AG91" i="3"/>
  <c r="O90" i="3"/>
  <c r="R47" i="3"/>
  <c r="AI95" i="3"/>
  <c r="W81" i="3"/>
  <c r="AQ92" i="3"/>
  <c r="AN67" i="3"/>
  <c r="Q93" i="3"/>
  <c r="S84" i="3"/>
  <c r="T76" i="3"/>
  <c r="AK79" i="3"/>
  <c r="AN75" i="3"/>
  <c r="K63" i="3"/>
  <c r="AQ97" i="3"/>
  <c r="AE49" i="3"/>
  <c r="AN72" i="3"/>
  <c r="AM62" i="3"/>
  <c r="J77" i="3"/>
  <c r="M66" i="3"/>
  <c r="AA70" i="3"/>
  <c r="AA58" i="3"/>
  <c r="AC73" i="3"/>
  <c r="U79" i="3"/>
  <c r="M93" i="3"/>
  <c r="AQ70" i="3"/>
  <c r="AI61" i="3"/>
  <c r="AE94" i="3"/>
  <c r="AA71" i="3"/>
  <c r="AA54" i="3"/>
  <c r="Y55" i="3"/>
  <c r="R92" i="3"/>
  <c r="AL88" i="3"/>
  <c r="AQ74" i="3"/>
  <c r="AQ76" i="3"/>
  <c r="Q77" i="3"/>
  <c r="H49" i="3"/>
  <c r="AM76" i="3"/>
  <c r="H86" i="3"/>
  <c r="AE81" i="3"/>
  <c r="AL78" i="3"/>
  <c r="AN73" i="3"/>
  <c r="AO90" i="3"/>
  <c r="Y54" i="3"/>
  <c r="AQ86" i="3"/>
  <c r="L86" i="3"/>
  <c r="AG66" i="3"/>
  <c r="AL59" i="3"/>
  <c r="W49" i="3"/>
  <c r="U56" i="3"/>
  <c r="AH68" i="3"/>
  <c r="AI93" i="3"/>
  <c r="Q70" i="3"/>
  <c r="AN95" i="3"/>
  <c r="AK83" i="3"/>
  <c r="AA61" i="3"/>
  <c r="J61" i="3"/>
  <c r="X95" i="3"/>
  <c r="P81" i="3"/>
  <c r="AG89" i="3"/>
  <c r="AK47" i="3"/>
  <c r="K76" i="3"/>
  <c r="W87" i="3"/>
  <c r="R95" i="3"/>
  <c r="Q54" i="3"/>
  <c r="Q84" i="3"/>
  <c r="S74" i="3"/>
  <c r="AE55" i="3"/>
  <c r="X93" i="3"/>
  <c r="N73" i="3"/>
  <c r="J64" i="3"/>
  <c r="Z94" i="3"/>
  <c r="J65" i="3"/>
  <c r="X75" i="3"/>
  <c r="Q95" i="3"/>
  <c r="O58" i="3"/>
  <c r="K85" i="3"/>
  <c r="O50" i="3"/>
  <c r="R93" i="3"/>
  <c r="AI82" i="3"/>
  <c r="AM72" i="3"/>
  <c r="O61" i="3"/>
  <c r="AI81" i="3"/>
  <c r="Y68" i="3"/>
  <c r="X72" i="3"/>
  <c r="AH55" i="3"/>
  <c r="AG79" i="3"/>
  <c r="W59" i="3"/>
  <c r="S73" i="3"/>
  <c r="S69" i="3"/>
  <c r="AM88" i="3"/>
  <c r="AK96" i="3"/>
  <c r="AA87" i="3"/>
  <c r="Q74" i="3"/>
  <c r="P84" i="3"/>
  <c r="S65" i="3"/>
  <c r="X56" i="3"/>
  <c r="AH94" i="3"/>
  <c r="AO92" i="3"/>
  <c r="AJ61" i="3"/>
  <c r="AL96" i="3"/>
  <c r="W65" i="3"/>
  <c r="T75" i="3"/>
  <c r="U84" i="3"/>
  <c r="AI54" i="3"/>
  <c r="AL66" i="3"/>
  <c r="Z96" i="3"/>
  <c r="V88" i="3"/>
  <c r="N61" i="3"/>
  <c r="X85" i="3"/>
  <c r="W48" i="3"/>
  <c r="AH76" i="3"/>
  <c r="T84" i="3"/>
  <c r="U85" i="3"/>
  <c r="AL50" i="3"/>
  <c r="L60" i="3"/>
  <c r="O55" i="3"/>
  <c r="W61" i="3"/>
  <c r="J76" i="3"/>
  <c r="Z93" i="3"/>
  <c r="K75" i="3"/>
  <c r="P94" i="3"/>
  <c r="AJ60" i="3"/>
  <c r="X62" i="3"/>
  <c r="M74" i="3"/>
  <c r="AN47" i="3"/>
  <c r="AE63" i="3"/>
  <c r="K50" i="3"/>
  <c r="AC92" i="3"/>
  <c r="Y72" i="3"/>
  <c r="Z78" i="3"/>
  <c r="AA67" i="3"/>
  <c r="AO56" i="3"/>
  <c r="AC78" i="3"/>
  <c r="AO67" i="3"/>
  <c r="J47" i="3"/>
  <c r="S49" i="3"/>
  <c r="AQ55" i="3"/>
  <c r="Y97" i="3"/>
  <c r="N78" i="3"/>
  <c r="AA80" i="3"/>
  <c r="L73" i="3"/>
  <c r="X55" i="3"/>
  <c r="AQ65" i="3"/>
  <c r="AG69" i="3"/>
  <c r="Q96" i="3"/>
  <c r="AN74" i="3"/>
  <c r="AK57" i="3"/>
  <c r="AO59" i="3"/>
  <c r="AL63" i="3"/>
  <c r="AI73" i="3"/>
  <c r="AL92" i="3"/>
  <c r="AK50" i="3"/>
  <c r="J62" i="3"/>
  <c r="I91" i="3"/>
  <c r="AL80" i="3"/>
  <c r="AH75" i="3"/>
  <c r="H63" i="3"/>
  <c r="N83" i="3"/>
  <c r="T48" i="3"/>
  <c r="Q69" i="3"/>
  <c r="AC47" i="3"/>
  <c r="I63" i="3"/>
  <c r="U68" i="3"/>
  <c r="AL87" i="3"/>
  <c r="AM66" i="3"/>
  <c r="K84" i="3"/>
  <c r="AM49" i="3"/>
  <c r="AH78" i="3"/>
  <c r="K57" i="3"/>
  <c r="AC49" i="3"/>
  <c r="AM89" i="3"/>
  <c r="P55" i="3"/>
  <c r="AJ94" i="3"/>
  <c r="Z75" i="3"/>
  <c r="N67" i="3"/>
  <c r="AE91" i="3"/>
  <c r="T60" i="3"/>
  <c r="AE78" i="3"/>
  <c r="T85" i="3"/>
  <c r="AC66" i="3"/>
  <c r="AH49" i="3"/>
  <c r="AM80" i="3"/>
  <c r="N71" i="3"/>
  <c r="Q86" i="3"/>
  <c r="P50" i="3"/>
  <c r="L62" i="3"/>
  <c r="AJ67" i="3"/>
  <c r="H47" i="3"/>
  <c r="S58" i="3"/>
  <c r="N91" i="3"/>
  <c r="AE90" i="3"/>
  <c r="J97" i="3"/>
  <c r="X76" i="3"/>
  <c r="AH58" i="3"/>
  <c r="AN90" i="3"/>
  <c r="O71" i="3"/>
  <c r="AI57" i="3"/>
  <c r="AM96" i="3"/>
  <c r="J73" i="3"/>
  <c r="P56" i="3"/>
  <c r="R79" i="3"/>
  <c r="I86" i="3"/>
  <c r="AQ75" i="3"/>
  <c r="AI86" i="3"/>
  <c r="AN96" i="3"/>
  <c r="Y80" i="3"/>
  <c r="AK80" i="3"/>
  <c r="T65" i="3"/>
  <c r="Z89" i="3"/>
  <c r="H65" i="3"/>
  <c r="AC67" i="3"/>
  <c r="U92" i="3"/>
  <c r="N68" i="3"/>
  <c r="AA97" i="3"/>
  <c r="AH74" i="3"/>
  <c r="V49" i="3"/>
  <c r="AA72" i="3"/>
  <c r="AL86" i="3"/>
  <c r="H90" i="3"/>
  <c r="AJ71" i="3"/>
  <c r="R81" i="3"/>
  <c r="Q91" i="3"/>
  <c r="R77" i="3"/>
  <c r="AJ92" i="3"/>
  <c r="AG77" i="3"/>
  <c r="AN79" i="3"/>
  <c r="AQ49" i="3"/>
  <c r="AM47" i="3"/>
  <c r="AG67" i="3"/>
  <c r="W64" i="3"/>
  <c r="AE66" i="3"/>
  <c r="U76" i="3"/>
  <c r="N57" i="3"/>
  <c r="AI89" i="3"/>
  <c r="AM60" i="3"/>
  <c r="Q48" i="3"/>
  <c r="AJ87" i="3"/>
  <c r="AL73" i="3"/>
  <c r="Z83" i="3"/>
  <c r="V83" i="3"/>
  <c r="AO54" i="3"/>
  <c r="AL56" i="3"/>
  <c r="AJ91" i="3"/>
  <c r="AC68" i="3"/>
  <c r="AC95" i="3"/>
  <c r="Q56" i="3"/>
  <c r="AH67" i="3"/>
  <c r="AH81" i="3"/>
  <c r="AQ90" i="3"/>
  <c r="AJ78" i="3"/>
  <c r="AO87" i="3"/>
  <c r="K71" i="3"/>
  <c r="AI76" i="3"/>
  <c r="AM86" i="3"/>
  <c r="Y86" i="3"/>
  <c r="AI66" i="3"/>
  <c r="K87" i="3"/>
  <c r="V89" i="3"/>
  <c r="T63" i="3"/>
  <c r="T50" i="3"/>
  <c r="L75" i="3"/>
  <c r="U81" i="3"/>
  <c r="R68" i="3"/>
  <c r="X66" i="3"/>
  <c r="AA84" i="3"/>
  <c r="K65" i="3"/>
  <c r="O76" i="3"/>
  <c r="N86" i="3"/>
  <c r="Z80" i="3"/>
  <c r="K90" i="3"/>
  <c r="AM87" i="3"/>
  <c r="AG96" i="3"/>
  <c r="AA69" i="3"/>
  <c r="P64" i="3"/>
  <c r="AC80" i="3"/>
  <c r="R97" i="3"/>
  <c r="AK54" i="3"/>
  <c r="AK69" i="3"/>
  <c r="M48" i="3"/>
  <c r="N50" i="3"/>
  <c r="L63" i="3"/>
  <c r="Q88" i="3"/>
  <c r="Q75" i="3"/>
  <c r="P69" i="3"/>
  <c r="AI69" i="3"/>
  <c r="AM91" i="3"/>
  <c r="Q97" i="3"/>
  <c r="L58" i="3"/>
  <c r="AQ66" i="3"/>
  <c r="T73" i="3"/>
  <c r="X63" i="3"/>
  <c r="T58" i="3"/>
  <c r="P87" i="3"/>
  <c r="Z97" i="3"/>
  <c r="W76" i="3"/>
  <c r="X90" i="3"/>
  <c r="AH79" i="3"/>
  <c r="Y90" i="3"/>
  <c r="T78" i="3"/>
  <c r="AO61" i="3"/>
  <c r="M91" i="3"/>
  <c r="R84" i="3"/>
  <c r="H79" i="3"/>
  <c r="W74" i="3"/>
  <c r="AQ81" i="3"/>
  <c r="AJ55" i="3"/>
  <c r="X50" i="3"/>
  <c r="AH90" i="3"/>
  <c r="R66" i="3"/>
  <c r="Z73" i="3"/>
  <c r="Y56" i="3"/>
  <c r="N93" i="3"/>
  <c r="T96" i="3"/>
  <c r="AC63" i="3"/>
  <c r="O94" i="3"/>
  <c r="T87" i="3"/>
  <c r="AK66" i="3"/>
  <c r="AG48" i="3"/>
  <c r="M58" i="3"/>
  <c r="N65" i="3"/>
  <c r="R57" i="3"/>
  <c r="AI72" i="3"/>
  <c r="AM77" i="3"/>
  <c r="L92" i="3"/>
  <c r="U65" i="3"/>
  <c r="K59" i="3"/>
  <c r="P93" i="3"/>
  <c r="AQ61" i="3"/>
  <c r="P97" i="3"/>
  <c r="N94" i="3"/>
  <c r="AN70" i="3"/>
  <c r="U61" i="3"/>
  <c r="AJ63" i="3"/>
  <c r="S56" i="3"/>
  <c r="R96" i="3"/>
  <c r="Y57" i="3"/>
  <c r="Z74" i="3"/>
  <c r="Z84" i="3"/>
  <c r="M50" i="3"/>
  <c r="W77" i="3"/>
  <c r="R63" i="3"/>
  <c r="M86" i="3"/>
  <c r="S61" i="3"/>
  <c r="K81" i="3"/>
  <c r="N74" i="3"/>
  <c r="Z95" i="3"/>
  <c r="S62" i="3"/>
  <c r="AQ89" i="3"/>
  <c r="M97" i="3"/>
  <c r="T80" i="3"/>
  <c r="Z87" i="3"/>
  <c r="Q59" i="3"/>
  <c r="AH91" i="3"/>
  <c r="L74" i="3"/>
  <c r="W55" i="3"/>
  <c r="R61" i="3"/>
  <c r="J89" i="3"/>
  <c r="Q79" i="3"/>
  <c r="AH54" i="3"/>
  <c r="AM54" i="3"/>
  <c r="W95" i="3"/>
  <c r="Y77" i="3"/>
  <c r="H60" i="3"/>
  <c r="Y48" i="3"/>
  <c r="AO97" i="3"/>
  <c r="T67" i="3"/>
  <c r="L54" i="3"/>
  <c r="U73" i="3"/>
  <c r="T90" i="3"/>
  <c r="AC88" i="3"/>
  <c r="M90" i="3"/>
  <c r="W63" i="3"/>
  <c r="Q73" i="3"/>
  <c r="L66" i="3"/>
  <c r="V79" i="3"/>
  <c r="K62" i="3"/>
  <c r="J81" i="3"/>
  <c r="L78" i="3"/>
  <c r="X54" i="3"/>
  <c r="AC86" i="3"/>
  <c r="M60" i="3"/>
  <c r="AN94" i="3"/>
  <c r="AG95" i="3"/>
  <c r="V67" i="3"/>
  <c r="AL79" i="3"/>
  <c r="S83" i="3"/>
  <c r="AA59" i="3"/>
  <c r="AH77" i="3"/>
  <c r="H91" i="3"/>
  <c r="AG90" i="3"/>
  <c r="Z82" i="3"/>
  <c r="AO76" i="3"/>
  <c r="Z57" i="3"/>
  <c r="Z63" i="3"/>
  <c r="M54" i="3"/>
  <c r="AH63" i="3"/>
  <c r="T49" i="3"/>
  <c r="AG58" i="3"/>
  <c r="AI63" i="3"/>
  <c r="N84" i="3"/>
  <c r="AJ79" i="3"/>
  <c r="H74" i="3"/>
  <c r="AO95" i="3"/>
  <c r="W47" i="3"/>
  <c r="Z85" i="3"/>
  <c r="AA55" i="3"/>
  <c r="R86" i="3"/>
  <c r="AE74" i="3"/>
  <c r="W67" i="3"/>
  <c r="R82" i="3"/>
  <c r="L57" i="3"/>
  <c r="AL75" i="3"/>
  <c r="AG50" i="3"/>
  <c r="AI91" i="3"/>
  <c r="U59" i="3"/>
  <c r="AA49" i="3"/>
  <c r="AG78" i="3"/>
  <c r="Z66" i="3"/>
  <c r="R73" i="3"/>
  <c r="Q85" i="3"/>
  <c r="X47" i="3"/>
  <c r="AO83" i="3"/>
  <c r="X70" i="3"/>
  <c r="Y58" i="3"/>
  <c r="L65" i="3"/>
  <c r="AA79" i="3"/>
  <c r="AG60" i="3"/>
  <c r="AQ64" i="3"/>
  <c r="AG54" i="3"/>
  <c r="AI79" i="3"/>
  <c r="AN80" i="3"/>
  <c r="L61" i="3"/>
  <c r="AA93" i="3"/>
  <c r="U47" i="3"/>
  <c r="AJ83" i="3"/>
  <c r="AG75" i="3"/>
  <c r="AK61" i="3"/>
  <c r="O91" i="3"/>
  <c r="M49" i="3"/>
  <c r="AQ79" i="3"/>
  <c r="AO47" i="3"/>
  <c r="L81" i="3"/>
  <c r="J93" i="3"/>
  <c r="I50" i="3"/>
  <c r="H62" i="3"/>
  <c r="N47" i="3"/>
  <c r="U97" i="3"/>
  <c r="P68" i="3"/>
  <c r="R89" i="3"/>
  <c r="AI85" i="3"/>
  <c r="X91" i="3"/>
  <c r="AM92" i="3"/>
  <c r="Y73" i="3"/>
  <c r="V81" i="3"/>
  <c r="P82" i="3"/>
  <c r="T86" i="3"/>
  <c r="K48" i="3"/>
  <c r="K74" i="3"/>
  <c r="AO70" i="3"/>
  <c r="AO75" i="3"/>
  <c r="AK70" i="3"/>
  <c r="K88" i="3"/>
  <c r="W54" i="3"/>
  <c r="J67" i="3"/>
  <c r="X74" i="3"/>
  <c r="AA77" i="3"/>
  <c r="O89" i="3"/>
  <c r="I61" i="3"/>
  <c r="AJ68" i="3"/>
  <c r="O60" i="3"/>
  <c r="J87" i="3"/>
  <c r="R88" i="3"/>
  <c r="X57" i="3"/>
  <c r="U88" i="3"/>
  <c r="AK62" i="3"/>
  <c r="AC91" i="3"/>
  <c r="Q50" i="3"/>
  <c r="R69" i="3"/>
  <c r="X96" i="3"/>
  <c r="AI60" i="3"/>
  <c r="H82" i="3"/>
  <c r="AM78" i="3"/>
  <c r="AQ56" i="3"/>
  <c r="O75" i="3"/>
  <c r="AA60" i="3"/>
  <c r="L50" i="3"/>
  <c r="AG65" i="3"/>
  <c r="K68" i="3"/>
  <c r="V74" i="3"/>
  <c r="AL72" i="3"/>
  <c r="P74" i="3"/>
  <c r="S50" i="3"/>
  <c r="AK73" i="3"/>
  <c r="AO57" i="3"/>
  <c r="AO85" i="3"/>
  <c r="AJ75" i="3"/>
  <c r="AI94" i="3"/>
  <c r="AM58" i="3"/>
  <c r="K92" i="3"/>
  <c r="AM83" i="3"/>
  <c r="H97" i="3"/>
  <c r="N77" i="3"/>
  <c r="U86" i="3"/>
  <c r="AN49" i="3"/>
  <c r="AM48" i="3"/>
  <c r="AC74" i="3"/>
  <c r="X58" i="3"/>
  <c r="T66" i="3"/>
  <c r="I60" i="3"/>
  <c r="M75" i="3"/>
  <c r="M56" i="3"/>
  <c r="AG57" i="3"/>
  <c r="Z69" i="3"/>
  <c r="AL97" i="3"/>
  <c r="V76" i="3"/>
  <c r="X89" i="3"/>
  <c r="K64" i="3"/>
  <c r="AH69" i="3"/>
  <c r="K93" i="3"/>
  <c r="AI84" i="3"/>
  <c r="AN60" i="3"/>
  <c r="AG73" i="3"/>
  <c r="Z64" i="3"/>
  <c r="AG56" i="3"/>
  <c r="AM81" i="3"/>
  <c r="AO82" i="3"/>
  <c r="AC57" i="3"/>
  <c r="M57" i="3"/>
  <c r="J80" i="3"/>
  <c r="V87" i="3"/>
  <c r="AL61" i="3"/>
  <c r="AO49" i="3"/>
  <c r="K54" i="3"/>
  <c r="O83" i="3"/>
  <c r="J60" i="3"/>
  <c r="U69" i="3"/>
  <c r="AJ50" i="3"/>
  <c r="AJ48" i="3"/>
  <c r="N89" i="3"/>
  <c r="K94" i="3"/>
  <c r="J75" i="3"/>
  <c r="AG94" i="3"/>
  <c r="P72" i="3"/>
  <c r="AM63" i="3"/>
  <c r="AJ95" i="3"/>
  <c r="W96" i="3"/>
  <c r="AH71" i="3"/>
  <c r="I57" i="3"/>
  <c r="AC69" i="3"/>
  <c r="P62" i="3"/>
  <c r="S95" i="3"/>
  <c r="AJ76" i="3"/>
  <c r="AL94" i="3"/>
  <c r="Y69" i="3"/>
  <c r="L84" i="3"/>
  <c r="AJ82" i="3"/>
  <c r="V69" i="3"/>
  <c r="AJ81" i="3"/>
  <c r="W94" i="3"/>
  <c r="AE58" i="3"/>
  <c r="AL64" i="3"/>
  <c r="K49" i="3"/>
  <c r="I89" i="3"/>
  <c r="AH88" i="3"/>
  <c r="H81" i="3"/>
  <c r="Z49" i="3"/>
  <c r="Q76" i="3"/>
  <c r="T54" i="3"/>
  <c r="AN76" i="3"/>
  <c r="L88" i="3"/>
  <c r="Q60" i="3"/>
  <c r="AC58" i="3"/>
  <c r="I66" i="3"/>
  <c r="W80" i="3"/>
  <c r="AN77" i="3"/>
  <c r="AA56" i="3"/>
  <c r="H50" i="3"/>
  <c r="Z56" i="3"/>
  <c r="N66" i="3"/>
  <c r="K78" i="3"/>
  <c r="V50" i="3"/>
  <c r="K69" i="3"/>
  <c r="AC83" i="3"/>
  <c r="N96" i="3"/>
  <c r="U74" i="3"/>
  <c r="AE65" i="3"/>
  <c r="AL77" i="3"/>
  <c r="AK49" i="3"/>
  <c r="AN82" i="3"/>
  <c r="AG84" i="3"/>
  <c r="AQ73" i="3"/>
  <c r="X60" i="3"/>
  <c r="AJ64" i="3"/>
  <c r="M78" i="3"/>
  <c r="AJ77" i="3"/>
  <c r="H56" i="3"/>
  <c r="W90" i="3"/>
  <c r="AO65" i="3"/>
  <c r="M79" i="3"/>
  <c r="AJ90" i="3"/>
  <c r="S78" i="3"/>
  <c r="L89" i="3"/>
  <c r="S90" i="3"/>
  <c r="AN85" i="3"/>
  <c r="AN65" i="3"/>
  <c r="AK63" i="3"/>
  <c r="N55" i="3"/>
  <c r="X64" i="3"/>
  <c r="S77" i="3"/>
  <c r="X73" i="3"/>
  <c r="W66" i="3"/>
  <c r="AI70" i="3"/>
  <c r="K77" i="3"/>
  <c r="AI80" i="3"/>
  <c r="T57" i="3"/>
  <c r="V48" i="3"/>
  <c r="W58" i="3"/>
  <c r="T55" i="3"/>
  <c r="V95" i="3"/>
  <c r="H66" i="3"/>
  <c r="V60" i="3"/>
  <c r="N72" i="3"/>
  <c r="AQ83" i="3"/>
  <c r="AE82" i="3"/>
  <c r="Y75" i="3"/>
  <c r="AM93" i="3"/>
  <c r="O88" i="3"/>
  <c r="I56" i="3"/>
  <c r="AL62" i="3"/>
  <c r="W60" i="3"/>
  <c r="I71" i="3"/>
  <c r="O73" i="3"/>
  <c r="U72" i="3"/>
  <c r="AQ50" i="3"/>
  <c r="T81" i="3"/>
  <c r="R85" i="3"/>
  <c r="S72" i="3"/>
  <c r="AL58" i="3"/>
  <c r="AI92" i="3"/>
  <c r="AL70" i="3"/>
  <c r="AM57" i="3"/>
  <c r="Q82" i="3"/>
  <c r="I97" i="3"/>
  <c r="J49" i="3"/>
  <c r="W71" i="3"/>
  <c r="I67" i="3"/>
  <c r="P63" i="3"/>
  <c r="AC89" i="3"/>
  <c r="I83" i="3"/>
  <c r="Q94" i="3"/>
  <c r="AG82" i="3"/>
  <c r="AE72" i="3"/>
  <c r="AQ87" i="3"/>
  <c r="L96" i="3"/>
  <c r="Y59" i="3"/>
  <c r="S67" i="3"/>
  <c r="M77" i="3"/>
  <c r="AM55" i="3"/>
  <c r="AL48" i="3"/>
  <c r="AQ78" i="3"/>
  <c r="K58" i="3"/>
  <c r="M59" i="3"/>
  <c r="K89" i="3"/>
  <c r="L94" i="3"/>
  <c r="Z58" i="3"/>
  <c r="AO78" i="3"/>
  <c r="W56" i="3"/>
  <c r="I77" i="3"/>
  <c r="X49" i="3"/>
  <c r="AJ66" i="3"/>
  <c r="U94" i="3"/>
  <c r="Q89" i="3"/>
  <c r="U93" i="3"/>
  <c r="AI75" i="3"/>
  <c r="AK85" i="3"/>
  <c r="AJ65" i="3"/>
  <c r="O57" i="3"/>
  <c r="V66" i="3"/>
  <c r="I87" i="3"/>
  <c r="X97" i="3"/>
  <c r="AG83" i="3"/>
  <c r="I75" i="3"/>
  <c r="S86" i="3"/>
  <c r="O95" i="3"/>
  <c r="AC76" i="3"/>
  <c r="AH48" i="3"/>
  <c r="O84" i="3"/>
  <c r="Y88" i="3"/>
  <c r="AI83" i="3"/>
  <c r="P67" i="3"/>
  <c r="X61" i="3"/>
  <c r="P85" i="3"/>
  <c r="AA89" i="3"/>
  <c r="Q81" i="3"/>
  <c r="AN63" i="3"/>
  <c r="J94" i="3"/>
  <c r="I62" i="3"/>
  <c r="AI50" i="3"/>
  <c r="R87" i="3"/>
  <c r="Y66" i="3"/>
  <c r="P57" i="3"/>
  <c r="R58" i="3"/>
  <c r="AA50" i="3"/>
  <c r="AN81" i="3"/>
  <c r="M71" i="3"/>
  <c r="W73" i="3"/>
  <c r="O72" i="3"/>
  <c r="W57" i="3"/>
  <c r="X88" i="3"/>
  <c r="O59" i="3"/>
  <c r="X82" i="3"/>
  <c r="AQ77" i="3"/>
  <c r="AL84" i="3"/>
  <c r="Z92" i="3"/>
  <c r="Z88" i="3"/>
  <c r="H61" i="3"/>
  <c r="AG64" i="3"/>
  <c r="R76" i="3"/>
  <c r="AG97" i="3"/>
  <c r="AK72" i="3"/>
  <c r="N69" i="3"/>
  <c r="X92" i="3"/>
  <c r="M80" i="3"/>
  <c r="P71" i="3"/>
  <c r="AG68" i="3"/>
  <c r="AK58" i="3"/>
  <c r="Z90" i="3"/>
  <c r="Y95" i="3"/>
  <c r="V82" i="3"/>
  <c r="Z59" i="3"/>
  <c r="W72" i="3"/>
  <c r="AK84" i="3"/>
  <c r="AN55" i="3"/>
  <c r="H89" i="3"/>
  <c r="V55" i="3"/>
  <c r="R56" i="3"/>
  <c r="N76" i="3"/>
  <c r="O82" i="3"/>
  <c r="O96" i="3"/>
  <c r="AG76" i="3"/>
  <c r="AM68" i="3"/>
  <c r="M62" i="3"/>
  <c r="Y81" i="3"/>
  <c r="L55" i="3"/>
  <c r="V58" i="3"/>
  <c r="AK88" i="3"/>
  <c r="X94" i="3"/>
  <c r="Y83" i="3"/>
  <c r="H75" i="3"/>
  <c r="V92" i="3"/>
  <c r="AO69" i="3"/>
  <c r="H87" i="3"/>
  <c r="AH62" i="3"/>
  <c r="AI55" i="3"/>
  <c r="I70" i="3"/>
  <c r="T83" i="3"/>
  <c r="Q68" i="3"/>
  <c r="V47" i="3"/>
  <c r="J85" i="3"/>
  <c r="AL93" i="3"/>
  <c r="M92" i="3"/>
  <c r="N56" i="3"/>
  <c r="AM67" i="3"/>
  <c r="AK89" i="3"/>
  <c r="H70" i="3"/>
  <c r="H96" i="3"/>
  <c r="AO68" i="3"/>
  <c r="Y91" i="3"/>
  <c r="J59" i="3"/>
  <c r="AH87" i="3"/>
  <c r="AK68" i="3"/>
  <c r="AA76" i="3"/>
  <c r="AJ54" i="3"/>
  <c r="O48" i="3"/>
  <c r="S75" i="3"/>
  <c r="T47" i="3"/>
  <c r="AH84" i="3"/>
  <c r="AQ95" i="3"/>
  <c r="W84" i="3"/>
  <c r="AH59" i="3"/>
  <c r="I72" i="3"/>
  <c r="K79" i="3"/>
  <c r="V96" i="3"/>
  <c r="AJ70" i="3"/>
  <c r="R55" i="3"/>
  <c r="Z86" i="3"/>
  <c r="W62" i="3"/>
  <c r="AN84" i="3"/>
  <c r="AC85" i="3"/>
  <c r="V62" i="3"/>
  <c r="AJ57" i="3"/>
  <c r="I68" i="3"/>
  <c r="J83" i="3"/>
  <c r="AG59" i="3"/>
  <c r="AL57" i="3"/>
  <c r="V84" i="3"/>
  <c r="M65" i="3"/>
  <c r="AK76" i="3"/>
  <c r="AC62" i="3"/>
  <c r="AL67" i="3"/>
  <c r="T97" i="3"/>
  <c r="K67" i="3"/>
  <c r="AK64" i="3"/>
  <c r="AM73" i="3"/>
  <c r="AC97" i="3"/>
  <c r="Y70" i="3"/>
  <c r="H71" i="3"/>
  <c r="AO72" i="3"/>
  <c r="T92" i="3"/>
  <c r="AA94" i="3"/>
  <c r="L70" i="3"/>
  <c r="S55" i="3"/>
  <c r="AN69" i="3"/>
  <c r="X78" i="3"/>
  <c r="Z61" i="3"/>
  <c r="L83" i="3"/>
  <c r="L67" i="3"/>
  <c r="AG81" i="3"/>
  <c r="N95" i="3"/>
  <c r="O54" i="3"/>
  <c r="R48" i="3"/>
  <c r="S88" i="3"/>
  <c r="AA90" i="3"/>
  <c r="R75" i="3"/>
  <c r="P83" i="3"/>
  <c r="I82" i="3"/>
  <c r="V59" i="3"/>
  <c r="H59" i="3"/>
  <c r="AE71" i="3"/>
  <c r="P60" i="3"/>
  <c r="S97" i="3"/>
  <c r="T79" i="3"/>
  <c r="Z67" i="3"/>
  <c r="T88" i="3"/>
  <c r="AA65" i="3"/>
  <c r="AC77" i="3"/>
  <c r="U54" i="3"/>
  <c r="AQ54" i="3"/>
  <c r="R64" i="3"/>
  <c r="AJ73" i="3"/>
  <c r="Y50" i="3"/>
  <c r="AH97" i="3"/>
  <c r="N48" i="3"/>
  <c r="AQ91" i="3"/>
  <c r="J91" i="3"/>
  <c r="AG61" i="3"/>
  <c r="AG74" i="3"/>
  <c r="AE89" i="3"/>
  <c r="Y76" i="3"/>
  <c r="H54" i="3"/>
  <c r="AL55" i="3"/>
  <c r="AA75" i="3"/>
  <c r="AQ94" i="3"/>
  <c r="AN59" i="3"/>
  <c r="H58" i="3"/>
  <c r="I48" i="3"/>
  <c r="AE68" i="3"/>
  <c r="L93" i="3"/>
  <c r="P61" i="3"/>
  <c r="R54" i="3"/>
  <c r="O63" i="3"/>
  <c r="W89" i="3"/>
  <c r="AQ82" i="3"/>
  <c r="AE83" i="3"/>
  <c r="AA86" i="3"/>
  <c r="S60" i="3"/>
  <c r="AN78" i="3"/>
  <c r="M69" i="3"/>
  <c r="L64" i="3"/>
  <c r="N97" i="3"/>
  <c r="Z68" i="3"/>
  <c r="H67" i="3"/>
  <c r="AC79" i="3"/>
  <c r="Q64" i="3"/>
  <c r="AG80" i="3"/>
  <c r="P48" i="3"/>
  <c r="M61" i="3"/>
  <c r="I81" i="3"/>
  <c r="L56" i="3"/>
  <c r="AN83" i="3"/>
  <c r="Y79" i="3"/>
  <c r="AC87" i="3"/>
  <c r="AL69" i="3"/>
  <c r="AE54" i="3"/>
  <c r="AE86" i="3"/>
  <c r="AG86" i="3"/>
  <c r="AQ57" i="3"/>
  <c r="AI77" i="3"/>
  <c r="R90" i="3"/>
  <c r="T94" i="3"/>
  <c r="P75" i="3"/>
  <c r="AK55" i="3"/>
  <c r="AO91" i="3"/>
  <c r="U70" i="3"/>
  <c r="R60" i="3"/>
  <c r="AM85" i="3"/>
  <c r="AK90" i="3"/>
  <c r="Z71" i="3"/>
  <c r="AQ68" i="3"/>
  <c r="N49" i="3"/>
  <c r="AJ97" i="3"/>
  <c r="R70" i="3"/>
  <c r="L47" i="3"/>
  <c r="W69" i="3"/>
  <c r="R71" i="3"/>
  <c r="P70" i="3"/>
  <c r="AO66" i="3"/>
  <c r="AH83" i="3"/>
  <c r="AQ96" i="3"/>
  <c r="M83" i="3"/>
  <c r="K56" i="3"/>
  <c r="AA66" i="3"/>
  <c r="H64" i="3"/>
  <c r="U63" i="3"/>
  <c r="AG92" i="3"/>
  <c r="X69" i="3"/>
  <c r="AN57" i="3"/>
  <c r="V63" i="3"/>
  <c r="T64" i="3"/>
  <c r="H95" i="3"/>
  <c r="AM94" i="3"/>
  <c r="AM95" i="3"/>
  <c r="S64" i="3"/>
  <c r="H83" i="3"/>
  <c r="Q83" i="3"/>
  <c r="J72" i="3"/>
  <c r="U62" i="3"/>
  <c r="Q62" i="3"/>
  <c r="J71" i="3"/>
  <c r="AH65" i="3"/>
  <c r="L68" i="3"/>
  <c r="X67" i="3"/>
  <c r="K97" i="3"/>
  <c r="V70" i="3"/>
  <c r="AL76" i="3"/>
  <c r="AI48" i="3"/>
  <c r="P65" i="3"/>
  <c r="V94" i="3"/>
  <c r="K91" i="3"/>
  <c r="X83" i="3"/>
  <c r="AN64" i="3"/>
  <c r="V54" i="3"/>
  <c r="R62" i="3"/>
  <c r="Q67" i="3"/>
  <c r="R59" i="3"/>
  <c r="K66" i="3"/>
  <c r="M70" i="3"/>
  <c r="U49" i="3"/>
  <c r="K55" i="3"/>
  <c r="AK65" i="3"/>
  <c r="AE84" i="3"/>
  <c r="Y96" i="3"/>
  <c r="AK93" i="3"/>
  <c r="AJ47" i="3"/>
  <c r="H92" i="3"/>
  <c r="AL89" i="3"/>
  <c r="AQ58" i="3"/>
  <c r="J90" i="3"/>
  <c r="AH70" i="3"/>
  <c r="AI49" i="3"/>
  <c r="N70" i="3"/>
  <c r="Q90" i="3"/>
  <c r="M94" i="3"/>
  <c r="AH66" i="3"/>
  <c r="AN62" i="3"/>
  <c r="AA91" i="3"/>
  <c r="Y61" i="3"/>
  <c r="P66" i="3"/>
  <c r="Z54" i="3"/>
  <c r="AG71" i="3"/>
  <c r="AC81" i="3"/>
  <c r="I65" i="3"/>
  <c r="AI64" i="3"/>
  <c r="AK48" i="3"/>
  <c r="H77" i="3"/>
  <c r="Q55" i="3"/>
  <c r="V64" i="3"/>
  <c r="Q61" i="3"/>
  <c r="X68" i="3"/>
  <c r="Y93" i="3"/>
  <c r="U80" i="3"/>
  <c r="Z62" i="3"/>
  <c r="W82" i="3"/>
  <c r="P76" i="3"/>
  <c r="P96" i="3"/>
  <c r="AN91" i="3"/>
  <c r="Y82" i="3"/>
  <c r="AK71" i="3"/>
  <c r="W91" i="3"/>
  <c r="X71" i="3"/>
  <c r="AH93" i="3"/>
  <c r="N75" i="3"/>
  <c r="AL81" i="3"/>
  <c r="AJ49" i="3"/>
  <c r="I88" i="3"/>
  <c r="AN56" i="3"/>
  <c r="V57" i="3"/>
  <c r="K61" i="3"/>
  <c r="AM69" i="3"/>
  <c r="N82" i="3"/>
  <c r="AA64" i="3"/>
  <c r="J78" i="3"/>
  <c r="M67" i="3"/>
  <c r="Y62" i="3"/>
  <c r="H78" i="3"/>
  <c r="AO74" i="3"/>
  <c r="T70" i="3"/>
  <c r="AJ80" i="3"/>
  <c r="AE64" i="3"/>
  <c r="AJ96" i="3"/>
  <c r="AO77" i="3"/>
  <c r="P92" i="3"/>
  <c r="V80" i="3"/>
  <c r="R91" i="3"/>
  <c r="N58" i="3"/>
  <c r="P91" i="3"/>
  <c r="AK75" i="3"/>
  <c r="Q65" i="3"/>
  <c r="AE77" i="3"/>
  <c r="L87" i="3"/>
  <c r="N63" i="3"/>
  <c r="AC82" i="3"/>
  <c r="AQ62" i="3"/>
  <c r="O77" i="3"/>
  <c r="K73" i="3"/>
  <c r="AO55" i="3"/>
  <c r="O78" i="3"/>
  <c r="AL60" i="3"/>
  <c r="I76" i="3"/>
  <c r="AA47" i="3"/>
  <c r="J55" i="3"/>
  <c r="AK92" i="3"/>
  <c r="P77" i="3"/>
  <c r="M81" i="3"/>
  <c r="AA85" i="3"/>
  <c r="O64" i="3"/>
  <c r="P59" i="3"/>
  <c r="X59" i="3"/>
  <c r="S80" i="3"/>
  <c r="AH89" i="3"/>
  <c r="AL95" i="3"/>
  <c r="AK78" i="3"/>
  <c r="AI67" i="3"/>
  <c r="AQ71" i="3"/>
  <c r="AH96" i="3"/>
  <c r="S63" i="3"/>
  <c r="AN71" i="3"/>
  <c r="AQ72" i="3"/>
  <c r="H69" i="3"/>
  <c r="AG85" i="3"/>
  <c r="H76" i="3"/>
  <c r="AH56" i="3"/>
  <c r="J92" i="3"/>
  <c r="AC75" i="3"/>
  <c r="Y64" i="3"/>
  <c r="AN88" i="3"/>
  <c r="R83" i="3"/>
  <c r="AO80" i="3"/>
  <c r="P58" i="3"/>
  <c r="S79" i="3"/>
  <c r="AJ74" i="3"/>
  <c r="M76" i="3"/>
  <c r="I93" i="3"/>
  <c r="J70" i="3"/>
  <c r="AI68" i="3"/>
  <c r="R50" i="3"/>
  <c r="AQ85" i="3"/>
  <c r="Q80" i="3"/>
  <c r="AK56" i="3"/>
  <c r="J66" i="3"/>
  <c r="X81" i="3"/>
  <c r="P79" i="3"/>
  <c r="S59" i="3"/>
  <c r="AO89" i="3"/>
  <c r="U83" i="3"/>
  <c r="I74" i="3"/>
  <c r="AK86" i="3"/>
  <c r="AK60" i="3"/>
  <c r="AM71" i="3"/>
  <c r="V85" i="3"/>
  <c r="J79" i="3"/>
  <c r="V86" i="3"/>
  <c r="AJ89" i="3"/>
  <c r="AC59" i="3"/>
  <c r="I73" i="3"/>
  <c r="AH95" i="3"/>
  <c r="AN50" i="3"/>
  <c r="S57" i="3"/>
  <c r="AO94" i="3"/>
  <c r="J63" i="3"/>
  <c r="V65" i="3"/>
  <c r="AN68" i="3"/>
  <c r="M47" i="3"/>
  <c r="AE92" i="3"/>
  <c r="AK81" i="3"/>
  <c r="U77" i="3"/>
  <c r="AC70" i="3"/>
  <c r="O56" i="3"/>
  <c r="V56" i="3"/>
  <c r="I64" i="3"/>
  <c r="P78" i="3"/>
  <c r="W68" i="3"/>
  <c r="R72" i="3"/>
  <c r="L91" i="3"/>
  <c r="AL54" i="3"/>
  <c r="AO96" i="3"/>
  <c r="AQ67" i="3"/>
  <c r="L72" i="3"/>
  <c r="S94" i="3"/>
  <c r="AC93" i="3"/>
  <c r="Z77" i="3"/>
  <c r="AC96" i="3"/>
  <c r="P49" i="3"/>
  <c r="X48" i="3"/>
  <c r="AA68" i="3"/>
  <c r="L71" i="3"/>
  <c r="U55" i="3"/>
  <c r="M87" i="3"/>
  <c r="I59" i="3"/>
  <c r="O97" i="3"/>
  <c r="W93" i="3"/>
  <c r="I90" i="3"/>
  <c r="O87" i="3"/>
  <c r="S66" i="3"/>
  <c r="AL91" i="3"/>
  <c r="AC72" i="3"/>
  <c r="T61" i="3"/>
  <c r="V68" i="3"/>
  <c r="AE60" i="3"/>
  <c r="Z91" i="3"/>
  <c r="U57" i="3"/>
  <c r="Y67" i="3"/>
  <c r="Q87" i="3"/>
  <c r="AL83" i="3"/>
  <c r="I92" i="3"/>
  <c r="Q47" i="3"/>
  <c r="AE57" i="3"/>
  <c r="AK91" i="3"/>
  <c r="O85" i="3"/>
  <c r="AE87" i="3"/>
  <c r="Y87" i="3"/>
  <c r="AJ88" i="3"/>
  <c r="AE79" i="3"/>
  <c r="W75" i="3"/>
  <c r="R74" i="3"/>
  <c r="U58" i="3"/>
  <c r="L82" i="3"/>
  <c r="AG49" i="3"/>
  <c r="Q71" i="3"/>
  <c r="O86" i="3"/>
  <c r="I54" i="3"/>
  <c r="Z65" i="3"/>
  <c r="AM64" i="3"/>
  <c r="AQ60" i="3"/>
  <c r="L69" i="3"/>
  <c r="AC65" i="3"/>
  <c r="AH73" i="3"/>
  <c r="O62" i="3"/>
  <c r="AH50" i="3"/>
  <c r="AI96" i="3"/>
  <c r="AA81" i="3"/>
  <c r="M64" i="3"/>
  <c r="T93" i="3"/>
  <c r="U78" i="3"/>
  <c r="AI58" i="3"/>
  <c r="AL68" i="3"/>
  <c r="W50" i="3"/>
  <c r="H80" i="3"/>
  <c r="U67" i="3"/>
  <c r="AK59" i="3"/>
  <c r="AH61" i="3"/>
  <c r="AQ48" i="3"/>
  <c r="M82" i="3"/>
  <c r="AK95" i="3"/>
  <c r="AE93" i="3"/>
  <c r="Z55" i="3"/>
  <c r="H73" i="3"/>
  <c r="S82" i="3"/>
  <c r="V77" i="3"/>
  <c r="O65" i="3"/>
  <c r="AG87" i="3"/>
  <c r="M68" i="3"/>
  <c r="U90" i="3"/>
  <c r="K95" i="3"/>
  <c r="T72" i="3"/>
  <c r="AC61" i="3"/>
  <c r="M89" i="3"/>
  <c r="AL82" i="3"/>
  <c r="L198" i="1" l="1"/>
  <c r="U204" i="1"/>
  <c r="S161" i="1"/>
  <c r="S269" i="1" s="1"/>
  <c r="D77" i="1"/>
  <c r="D198" i="1"/>
  <c r="F161" i="1"/>
  <c r="F269" i="1" s="1"/>
  <c r="F56" i="1"/>
  <c r="D60" i="1"/>
  <c r="D152" i="1"/>
  <c r="D78" i="1" s="1"/>
  <c r="O77" i="1"/>
  <c r="O198" i="1"/>
  <c r="O271" i="1"/>
  <c r="C161" i="1"/>
  <c r="C56" i="1"/>
  <c r="BR168" i="1"/>
  <c r="BR203" i="1" s="1"/>
  <c r="BS203" i="1" s="1"/>
  <c r="BT154" i="1"/>
  <c r="BT140" i="1"/>
  <c r="BU140" i="1" s="1"/>
  <c r="BE96" i="1"/>
  <c r="BW96" i="1"/>
  <c r="BB173" i="1"/>
  <c r="BC173" i="1" s="1"/>
  <c r="BD172" i="1"/>
  <c r="BE172" i="1" s="1"/>
  <c r="BF174" i="1"/>
  <c r="BG174" i="1" s="1"/>
  <c r="BT166" i="1"/>
  <c r="BU166" i="1" s="1"/>
  <c r="AP148" i="1"/>
  <c r="AQ148" i="1" s="1"/>
  <c r="BP96" i="1"/>
  <c r="AX141" i="1"/>
  <c r="AY141" i="1" s="1"/>
  <c r="BF165" i="1"/>
  <c r="BG165" i="1" s="1"/>
  <c r="BR150" i="1"/>
  <c r="BS150" i="1" s="1"/>
  <c r="BT167" i="1"/>
  <c r="BT202" i="1" s="1"/>
  <c r="BU202" i="1" s="1"/>
  <c r="BT173" i="1"/>
  <c r="BU173" i="1" s="1"/>
  <c r="AZ158" i="1"/>
  <c r="BA158" i="1" s="1"/>
  <c r="BR167" i="1"/>
  <c r="BR202" i="1" s="1"/>
  <c r="BS202" i="1" s="1"/>
  <c r="BR173" i="1"/>
  <c r="BS173" i="1" s="1"/>
  <c r="BT170" i="1"/>
  <c r="BU170" i="1" s="1"/>
  <c r="AZ177" i="1"/>
  <c r="BA177" i="1" s="1"/>
  <c r="BG96" i="1"/>
  <c r="AT173" i="1"/>
  <c r="AU173" i="1" s="1"/>
  <c r="BP178" i="1"/>
  <c r="BQ178" i="1" s="1"/>
  <c r="AX178" i="1"/>
  <c r="AY178" i="1" s="1"/>
  <c r="BG97" i="1"/>
  <c r="AX145" i="1"/>
  <c r="AY145" i="1" s="1"/>
  <c r="AR176" i="1"/>
  <c r="AR206" i="1" s="1"/>
  <c r="AS206" i="1" s="1"/>
  <c r="BF97" i="1"/>
  <c r="AX163" i="1"/>
  <c r="AY163" i="1" s="1"/>
  <c r="AX142" i="1"/>
  <c r="AZ176" i="1"/>
  <c r="AZ206" i="1" s="1"/>
  <c r="BA206" i="1" s="1"/>
  <c r="BT97" i="1"/>
  <c r="BP149" i="1"/>
  <c r="BQ149" i="1" s="1"/>
  <c r="AQ97" i="1"/>
  <c r="AV141" i="1"/>
  <c r="AW141" i="1" s="1"/>
  <c r="BN187" i="1"/>
  <c r="BO187" i="1" s="1"/>
  <c r="AV149" i="1"/>
  <c r="AW149" i="1" s="1"/>
  <c r="BM97" i="1"/>
  <c r="AX167" i="1"/>
  <c r="AX202" i="1" s="1"/>
  <c r="AY202" i="1" s="1"/>
  <c r="AU96" i="1"/>
  <c r="BR160" i="1"/>
  <c r="BS160" i="1" s="1"/>
  <c r="AN140" i="1"/>
  <c r="AO140" i="1" s="1"/>
  <c r="AZ175" i="1"/>
  <c r="BA175" i="1" s="1"/>
  <c r="AX175" i="1"/>
  <c r="AY175" i="1" s="1"/>
  <c r="BP163" i="1"/>
  <c r="BQ163" i="1" s="1"/>
  <c r="AT167" i="1"/>
  <c r="AT202" i="1" s="1"/>
  <c r="AU202" i="1" s="1"/>
  <c r="BB169" i="1"/>
  <c r="BC169" i="1" s="1"/>
  <c r="AR141" i="1"/>
  <c r="AS141" i="1" s="1"/>
  <c r="AN149" i="1"/>
  <c r="AO149" i="1" s="1"/>
  <c r="BO97" i="1"/>
  <c r="BP172" i="1"/>
  <c r="BQ172" i="1" s="1"/>
  <c r="BB163" i="1"/>
  <c r="BC163" i="1" s="1"/>
  <c r="BP176" i="1"/>
  <c r="BP206" i="1" s="1"/>
  <c r="BQ206" i="1" s="1"/>
  <c r="BR141" i="1"/>
  <c r="BS141" i="1" s="1"/>
  <c r="BD145" i="1"/>
  <c r="BE145" i="1" s="1"/>
  <c r="AX168" i="1"/>
  <c r="AX203" i="1" s="1"/>
  <c r="AY203" i="1" s="1"/>
  <c r="BD147" i="1"/>
  <c r="BE147" i="1" s="1"/>
  <c r="BT177" i="1"/>
  <c r="BU177" i="1" s="1"/>
  <c r="AX149" i="1"/>
  <c r="AY149" i="1" s="1"/>
  <c r="AZ155" i="1"/>
  <c r="AT178" i="1"/>
  <c r="AU178" i="1" s="1"/>
  <c r="AZ186" i="1"/>
  <c r="BA186" i="1" s="1"/>
  <c r="BP145" i="1"/>
  <c r="BQ145" i="1" s="1"/>
  <c r="BT168" i="1"/>
  <c r="BT203" i="1" s="1"/>
  <c r="BU203" i="1" s="1"/>
  <c r="AP166" i="1"/>
  <c r="AQ166" i="1" s="1"/>
  <c r="AV186" i="1"/>
  <c r="AW186" i="1" s="1"/>
  <c r="AP183" i="1"/>
  <c r="AN158" i="1"/>
  <c r="AO158" i="1" s="1"/>
  <c r="BQ96" i="1"/>
  <c r="BB96" i="1"/>
  <c r="BT148" i="1"/>
  <c r="BU148" i="1" s="1"/>
  <c r="BR163" i="1"/>
  <c r="BS163" i="1" s="1"/>
  <c r="BB170" i="1"/>
  <c r="BC170" i="1" s="1"/>
  <c r="BR170" i="1"/>
  <c r="BS170" i="1" s="1"/>
  <c r="BN160" i="1"/>
  <c r="BO160" i="1" s="1"/>
  <c r="BP141" i="1"/>
  <c r="BQ141" i="1" s="1"/>
  <c r="AT186" i="1"/>
  <c r="AU186" i="1" s="1"/>
  <c r="BF147" i="1"/>
  <c r="BG147" i="1" s="1"/>
  <c r="BB147" i="1"/>
  <c r="BC147" i="1" s="1"/>
  <c r="BR96" i="1"/>
  <c r="BF170" i="1"/>
  <c r="BG170" i="1" s="1"/>
  <c r="AX174" i="1"/>
  <c r="AY174" i="1" s="1"/>
  <c r="AT154" i="1"/>
  <c r="AV170" i="1"/>
  <c r="AW170" i="1" s="1"/>
  <c r="BB97" i="1"/>
  <c r="BN149" i="1"/>
  <c r="BO149" i="1" s="1"/>
  <c r="AT174" i="1"/>
  <c r="AU174" i="1" s="1"/>
  <c r="BR155" i="1"/>
  <c r="BT169" i="1"/>
  <c r="BU169" i="1" s="1"/>
  <c r="BF140" i="1"/>
  <c r="BG140" i="1" s="1"/>
  <c r="BD97" i="1"/>
  <c r="AP163" i="1"/>
  <c r="AQ163" i="1" s="1"/>
  <c r="AN97" i="1"/>
  <c r="BD154" i="1"/>
  <c r="AV182" i="1"/>
  <c r="AN160" i="1"/>
  <c r="AO160" i="1" s="1"/>
  <c r="AN173" i="1"/>
  <c r="AO173" i="1" s="1"/>
  <c r="AR145" i="1"/>
  <c r="AS145" i="1" s="1"/>
  <c r="BT163" i="1"/>
  <c r="BU163" i="1" s="1"/>
  <c r="BV225" i="1" s="1"/>
  <c r="BT142" i="1"/>
  <c r="BP166" i="1"/>
  <c r="BQ166" i="1" s="1"/>
  <c r="BF176" i="1"/>
  <c r="BF206" i="1" s="1"/>
  <c r="BG206" i="1" s="1"/>
  <c r="BR97" i="1"/>
  <c r="BT158" i="1"/>
  <c r="BU158" i="1" s="1"/>
  <c r="BB172" i="1"/>
  <c r="BC172" i="1" s="1"/>
  <c r="BT183" i="1"/>
  <c r="AT169" i="1"/>
  <c r="AU169" i="1" s="1"/>
  <c r="AZ173" i="1"/>
  <c r="BA173" i="1" s="1"/>
  <c r="BK96" i="1"/>
  <c r="AN182" i="1"/>
  <c r="AV166" i="1"/>
  <c r="AW166" i="1" s="1"/>
  <c r="AR140" i="1"/>
  <c r="AS140" i="1" s="1"/>
  <c r="BP156" i="1"/>
  <c r="AR150" i="1"/>
  <c r="AS150" i="1" s="1"/>
  <c r="AN166" i="1"/>
  <c r="AO166" i="1" s="1"/>
  <c r="AZ169" i="1"/>
  <c r="BA169" i="1" s="1"/>
  <c r="BC97" i="1"/>
  <c r="BD167" i="1"/>
  <c r="BD202" i="1" s="1"/>
  <c r="BE202" i="1" s="1"/>
  <c r="AN163" i="1"/>
  <c r="AN225" i="1" s="1"/>
  <c r="BB186" i="1"/>
  <c r="BC186" i="1" s="1"/>
  <c r="AP155" i="1"/>
  <c r="AX169" i="1"/>
  <c r="AY169" i="1" s="1"/>
  <c r="BR154" i="1"/>
  <c r="AP174" i="1"/>
  <c r="AQ174" i="1" s="1"/>
  <c r="BF96" i="1"/>
  <c r="AT170" i="1"/>
  <c r="AU170" i="1" s="1"/>
  <c r="AZ96" i="1"/>
  <c r="BT186" i="1"/>
  <c r="BU186" i="1" s="1"/>
  <c r="AN167" i="1"/>
  <c r="AN202" i="1" s="1"/>
  <c r="AO202" i="1" s="1"/>
  <c r="BD170" i="1"/>
  <c r="BE170" i="1" s="1"/>
  <c r="BN150" i="1"/>
  <c r="BO150" i="1" s="1"/>
  <c r="BN148" i="1"/>
  <c r="BO148" i="1" s="1"/>
  <c r="BR149" i="1"/>
  <c r="BS149" i="1" s="1"/>
  <c r="AQ96" i="1"/>
  <c r="BN145" i="1"/>
  <c r="BO145" i="1" s="1"/>
  <c r="AZ165" i="1"/>
  <c r="BA165" i="1" s="1"/>
  <c r="BR172" i="1"/>
  <c r="BS172" i="1" s="1"/>
  <c r="BB150" i="1"/>
  <c r="BC150" i="1" s="1"/>
  <c r="BT174" i="1"/>
  <c r="BU174" i="1" s="1"/>
  <c r="BF148" i="1"/>
  <c r="BG148" i="1" s="1"/>
  <c r="AX97" i="1"/>
  <c r="BF186" i="1"/>
  <c r="BG186" i="1" s="1"/>
  <c r="BP167" i="1"/>
  <c r="BP202" i="1" s="1"/>
  <c r="BQ202" i="1" s="1"/>
  <c r="BF141" i="1"/>
  <c r="BG141" i="1" s="1"/>
  <c r="BN166" i="1"/>
  <c r="BO166" i="1" s="1"/>
  <c r="AX166" i="1"/>
  <c r="AY166" i="1" s="1"/>
  <c r="BB155" i="1"/>
  <c r="BR174" i="1"/>
  <c r="BS174" i="1" s="1"/>
  <c r="BN169" i="1"/>
  <c r="BO169" i="1" s="1"/>
  <c r="BT176" i="1"/>
  <c r="BT206" i="1" s="1"/>
  <c r="BU206" i="1" s="1"/>
  <c r="BP168" i="1"/>
  <c r="BP203" i="1" s="1"/>
  <c r="BQ203" i="1" s="1"/>
  <c r="BD149" i="1"/>
  <c r="BE149" i="1" s="1"/>
  <c r="AV140" i="1"/>
  <c r="AW140" i="1" s="1"/>
  <c r="AR169" i="1"/>
  <c r="AS169" i="1" s="1"/>
  <c r="AT172" i="1"/>
  <c r="AU172" i="1" s="1"/>
  <c r="AP156" i="1"/>
  <c r="AV174" i="1"/>
  <c r="AW174" i="1" s="1"/>
  <c r="BF168" i="1"/>
  <c r="BF203" i="1" s="1"/>
  <c r="BG203" i="1" s="1"/>
  <c r="BF154" i="1"/>
  <c r="BF158" i="1"/>
  <c r="BG158" i="1" s="1"/>
  <c r="BN97" i="1"/>
  <c r="BB174" i="1"/>
  <c r="BC174" i="1" s="1"/>
  <c r="AX165" i="1"/>
  <c r="AY165" i="1" s="1"/>
  <c r="AV147" i="1"/>
  <c r="AN177" i="1"/>
  <c r="AO177" i="1" s="1"/>
  <c r="AV175" i="1"/>
  <c r="AW175" i="1" s="1"/>
  <c r="AR172" i="1"/>
  <c r="AS172" i="1" s="1"/>
  <c r="BP160" i="1"/>
  <c r="BQ160" i="1" s="1"/>
  <c r="BT147" i="1"/>
  <c r="BU147" i="1" s="1"/>
  <c r="BP173" i="1"/>
  <c r="BQ173" i="1" s="1"/>
  <c r="BN163" i="1"/>
  <c r="AZ142" i="1"/>
  <c r="BN174" i="1"/>
  <c r="BO174" i="1" s="1"/>
  <c r="BR186" i="1"/>
  <c r="BS186" i="1" s="1"/>
  <c r="BD148" i="1"/>
  <c r="BE148" i="1" s="1"/>
  <c r="BT149" i="1"/>
  <c r="BU149" i="1" s="1"/>
  <c r="BT165" i="1"/>
  <c r="BU165" i="1" s="1"/>
  <c r="BP158" i="1"/>
  <c r="BQ158" i="1" s="1"/>
  <c r="BP187" i="1"/>
  <c r="BQ187" i="1" s="1"/>
  <c r="AR155" i="1"/>
  <c r="AV142" i="1"/>
  <c r="AP169" i="1"/>
  <c r="AQ169" i="1" s="1"/>
  <c r="BN142" i="1"/>
  <c r="AV158" i="1"/>
  <c r="AW158" i="1" s="1"/>
  <c r="AR187" i="1"/>
  <c r="AS187" i="1" s="1"/>
  <c r="BN175" i="1"/>
  <c r="BO175" i="1" s="1"/>
  <c r="AX96" i="1"/>
  <c r="BR166" i="1"/>
  <c r="BS166" i="1" s="1"/>
  <c r="AX183" i="1"/>
  <c r="AT156" i="1"/>
  <c r="AR142" i="1"/>
  <c r="AR166" i="1"/>
  <c r="AS166" i="1" s="1"/>
  <c r="AT176" i="1"/>
  <c r="AT206" i="1" s="1"/>
  <c r="AU206" i="1" s="1"/>
  <c r="BF173" i="1"/>
  <c r="BG173" i="1" s="1"/>
  <c r="BT150" i="1"/>
  <c r="BU150" i="1" s="1"/>
  <c r="BO96" i="1"/>
  <c r="BD140" i="1"/>
  <c r="BE140" i="1" s="1"/>
  <c r="BD173" i="1"/>
  <c r="BE173" i="1" s="1"/>
  <c r="BP97" i="1"/>
  <c r="BN156" i="1"/>
  <c r="BP174" i="1"/>
  <c r="BQ174" i="1" s="1"/>
  <c r="AT177" i="1"/>
  <c r="AU177" i="1" s="1"/>
  <c r="AP145" i="1"/>
  <c r="AQ145" i="1" s="1"/>
  <c r="AP149" i="1"/>
  <c r="AQ149" i="1" s="1"/>
  <c r="AV169" i="1"/>
  <c r="AW169" i="1" s="1"/>
  <c r="AN186" i="1"/>
  <c r="AO186" i="1" s="1"/>
  <c r="BD96" i="1"/>
  <c r="AV150" i="1"/>
  <c r="AW150" i="1" s="1"/>
  <c r="BD182" i="1"/>
  <c r="AP178" i="1"/>
  <c r="AQ178" i="1" s="1"/>
  <c r="AN156" i="1"/>
  <c r="BU96" i="1"/>
  <c r="AV155" i="1"/>
  <c r="BN172" i="1"/>
  <c r="BO172" i="1" s="1"/>
  <c r="BM96" i="1"/>
  <c r="BN140" i="1"/>
  <c r="BR176" i="1"/>
  <c r="BR206" i="1" s="1"/>
  <c r="BS206" i="1" s="1"/>
  <c r="BB175" i="1"/>
  <c r="BC175" i="1" s="1"/>
  <c r="AP140" i="1"/>
  <c r="AQ140" i="1" s="1"/>
  <c r="AP182" i="1"/>
  <c r="AR168" i="1"/>
  <c r="AR203" i="1" s="1"/>
  <c r="AS203" i="1" s="1"/>
  <c r="AN178" i="1"/>
  <c r="AO178" i="1" s="1"/>
  <c r="BP155" i="1"/>
  <c r="AR165" i="1"/>
  <c r="AS165" i="1" s="1"/>
  <c r="AR147" i="1"/>
  <c r="AS147" i="1" s="1"/>
  <c r="AT140" i="1"/>
  <c r="BF142" i="1"/>
  <c r="AP167" i="1"/>
  <c r="AP202" i="1" s="1"/>
  <c r="AQ202" i="1" s="1"/>
  <c r="AR148" i="1"/>
  <c r="AS148" i="1" s="1"/>
  <c r="AV97" i="1"/>
  <c r="AN170" i="1"/>
  <c r="AO170" i="1" s="1"/>
  <c r="AX160" i="1"/>
  <c r="AY160" i="1" s="1"/>
  <c r="AN155" i="1"/>
  <c r="AT97" i="1"/>
  <c r="BF172" i="1"/>
  <c r="BG172" i="1" s="1"/>
  <c r="BF156" i="1"/>
  <c r="BB166" i="1"/>
  <c r="BC166" i="1" s="1"/>
  <c r="BU97" i="1"/>
  <c r="BT145" i="1"/>
  <c r="BU145" i="1" s="1"/>
  <c r="AN142" i="1"/>
  <c r="AP170" i="1"/>
  <c r="AQ170" i="1" s="1"/>
  <c r="AR174" i="1"/>
  <c r="AS174" i="1" s="1"/>
  <c r="BB158" i="1"/>
  <c r="BC158" i="1" s="1"/>
  <c r="BP150" i="1"/>
  <c r="BQ150" i="1" s="1"/>
  <c r="BN155" i="1"/>
  <c r="BN96" i="1"/>
  <c r="AO96" i="1"/>
  <c r="BN186" i="1"/>
  <c r="BO186" i="1" s="1"/>
  <c r="AN169" i="1"/>
  <c r="AO169" i="1" s="1"/>
  <c r="BD176" i="1"/>
  <c r="BD206" i="1" s="1"/>
  <c r="BE206" i="1" s="1"/>
  <c r="BD158" i="1"/>
  <c r="BE158" i="1" s="1"/>
  <c r="AZ154" i="1"/>
  <c r="BA96" i="1"/>
  <c r="AZ183" i="1"/>
  <c r="AT182" i="1"/>
  <c r="AZ170" i="1"/>
  <c r="BA170" i="1" s="1"/>
  <c r="BF155" i="1"/>
  <c r="BB149" i="1"/>
  <c r="BC149" i="1" s="1"/>
  <c r="AV172" i="1"/>
  <c r="AW172" i="1" s="1"/>
  <c r="BN182" i="1"/>
  <c r="AZ149" i="1"/>
  <c r="BA149" i="1" s="1"/>
  <c r="AZ145" i="1"/>
  <c r="BA145" i="1" s="1"/>
  <c r="BR187" i="1"/>
  <c r="BS187" i="1" s="1"/>
  <c r="BN147" i="1"/>
  <c r="BO147" i="1" s="1"/>
  <c r="AZ174" i="1"/>
  <c r="BA174" i="1" s="1"/>
  <c r="AP141" i="1"/>
  <c r="AQ141" i="1" s="1"/>
  <c r="BD142" i="1"/>
  <c r="AZ187" i="1"/>
  <c r="BA187" i="1" s="1"/>
  <c r="BN176" i="1"/>
  <c r="BN206" i="1" s="1"/>
  <c r="BO206" i="1" s="1"/>
  <c r="AN175" i="1"/>
  <c r="AO175" i="1" s="1"/>
  <c r="AZ160" i="1"/>
  <c r="BA160" i="1" s="1"/>
  <c r="AR186" i="1"/>
  <c r="AS186" i="1" s="1"/>
  <c r="AX147" i="1"/>
  <c r="AY147" i="1" s="1"/>
  <c r="BT96" i="1"/>
  <c r="AX182" i="1"/>
  <c r="BR183" i="1"/>
  <c r="BB178" i="1"/>
  <c r="BC178" i="1" s="1"/>
  <c r="AT163" i="1"/>
  <c r="BF182" i="1"/>
  <c r="AU97" i="1"/>
  <c r="AP187" i="1"/>
  <c r="AQ187" i="1" s="1"/>
  <c r="BT172" i="1"/>
  <c r="BU172" i="1" s="1"/>
  <c r="AP177" i="1"/>
  <c r="AQ177" i="1" s="1"/>
  <c r="AP160" i="1"/>
  <c r="AQ160" i="1" s="1"/>
  <c r="BD183" i="1"/>
  <c r="BP142" i="1"/>
  <c r="AN145" i="1"/>
  <c r="AO145" i="1" s="1"/>
  <c r="BI96" i="1"/>
  <c r="BF177" i="1"/>
  <c r="BG177" i="1" s="1"/>
  <c r="AW96" i="1"/>
  <c r="AV163" i="1"/>
  <c r="AV173" i="1"/>
  <c r="AW173" i="1" s="1"/>
  <c r="BE97" i="1"/>
  <c r="BB142" i="1"/>
  <c r="AX173" i="1"/>
  <c r="AY173" i="1" s="1"/>
  <c r="AY97" i="1"/>
  <c r="BA97" i="1"/>
  <c r="BD174" i="1"/>
  <c r="BE174" i="1" s="1"/>
  <c r="BN165" i="1"/>
  <c r="BO165" i="1" s="1"/>
  <c r="AP173" i="1"/>
  <c r="AQ173" i="1" s="1"/>
  <c r="AZ163" i="1"/>
  <c r="AV148" i="1"/>
  <c r="AW148" i="1" s="1"/>
  <c r="AV160" i="1"/>
  <c r="AW160" i="1" s="1"/>
  <c r="BB154" i="1"/>
  <c r="BR158" i="1"/>
  <c r="BS158" i="1" s="1"/>
  <c r="AX154" i="1"/>
  <c r="BS96" i="1"/>
  <c r="BB177" i="1"/>
  <c r="BC177" i="1" s="1"/>
  <c r="BB160" i="1"/>
  <c r="BC160" i="1" s="1"/>
  <c r="AX172" i="1"/>
  <c r="AY172" i="1" s="1"/>
  <c r="BN168" i="1"/>
  <c r="BN203" i="1" s="1"/>
  <c r="BO203" i="1" s="1"/>
  <c r="AP172" i="1"/>
  <c r="AQ172" i="1" s="1"/>
  <c r="BD163" i="1"/>
  <c r="BB156" i="1"/>
  <c r="AR97" i="1"/>
  <c r="AP150" i="1"/>
  <c r="AQ150" i="1" s="1"/>
  <c r="AP176" i="1"/>
  <c r="AP206" i="1" s="1"/>
  <c r="AQ206" i="1" s="1"/>
  <c r="AT166" i="1"/>
  <c r="AU166" i="1" s="1"/>
  <c r="AP96" i="1"/>
  <c r="AR149" i="1"/>
  <c r="AS149" i="1" s="1"/>
  <c r="BR177" i="1"/>
  <c r="BS177" i="1" s="1"/>
  <c r="AZ147" i="1"/>
  <c r="BA147" i="1" s="1"/>
  <c r="AZ97" i="1"/>
  <c r="BR175" i="1"/>
  <c r="BS175" i="1" s="1"/>
  <c r="BR145" i="1"/>
  <c r="BS145" i="1" s="1"/>
  <c r="AZ148" i="1"/>
  <c r="BA148" i="1" s="1"/>
  <c r="AN168" i="1"/>
  <c r="AN203" i="1" s="1"/>
  <c r="AO203" i="1" s="1"/>
  <c r="AR154" i="1"/>
  <c r="AN154" i="1"/>
  <c r="AR160" i="1"/>
  <c r="AS160" i="1" s="1"/>
  <c r="BB176" i="1"/>
  <c r="BB206" i="1" s="1"/>
  <c r="BC206" i="1" s="1"/>
  <c r="BD186" i="1"/>
  <c r="BE186" i="1" s="1"/>
  <c r="BN173" i="1"/>
  <c r="BO173" i="1" s="1"/>
  <c r="AZ150" i="1"/>
  <c r="BA150" i="1" s="1"/>
  <c r="AX155" i="1"/>
  <c r="BN177" i="1"/>
  <c r="BO177" i="1" s="1"/>
  <c r="BN170" i="1"/>
  <c r="BO170" i="1" s="1"/>
  <c r="BR156" i="1"/>
  <c r="AW97" i="1"/>
  <c r="BB165" i="1"/>
  <c r="BC165" i="1" s="1"/>
  <c r="BI97" i="1"/>
  <c r="AZ166" i="1"/>
  <c r="BA166" i="1" s="1"/>
  <c r="AX140" i="1"/>
  <c r="BF175" i="1"/>
  <c r="BG175" i="1" s="1"/>
  <c r="AX187" i="1"/>
  <c r="AY187" i="1" s="1"/>
  <c r="BR142" i="1"/>
  <c r="BD141" i="1"/>
  <c r="BE141" i="1" s="1"/>
  <c r="AX150" i="1"/>
  <c r="AY150" i="1" s="1"/>
  <c r="AZ182" i="1"/>
  <c r="AT183" i="1"/>
  <c r="AP175" i="1"/>
  <c r="AQ175" i="1" s="1"/>
  <c r="AP158" i="1"/>
  <c r="AQ158" i="1" s="1"/>
  <c r="AV145" i="1"/>
  <c r="AW145" i="1" s="1"/>
  <c r="AN176" i="1"/>
  <c r="AN206" i="1" s="1"/>
  <c r="AO206" i="1" s="1"/>
  <c r="AR182" i="1"/>
  <c r="AN150" i="1"/>
  <c r="AO150" i="1" s="1"/>
  <c r="AN148" i="1"/>
  <c r="AO148" i="1" s="1"/>
  <c r="BP147" i="1"/>
  <c r="BQ147" i="1" s="1"/>
  <c r="AX170" i="1"/>
  <c r="AY170" i="1" s="1"/>
  <c r="BP154" i="1"/>
  <c r="AT148" i="1"/>
  <c r="AU148" i="1" s="1"/>
  <c r="AN141" i="1"/>
  <c r="AO141" i="1" s="1"/>
  <c r="AZ168" i="1"/>
  <c r="AZ203" i="1" s="1"/>
  <c r="BA203" i="1" s="1"/>
  <c r="AZ167" i="1"/>
  <c r="AZ202" i="1" s="1"/>
  <c r="BA202" i="1" s="1"/>
  <c r="AR175" i="1"/>
  <c r="AS175" i="1" s="1"/>
  <c r="AN183" i="1"/>
  <c r="AR170" i="1"/>
  <c r="AS170" i="1" s="1"/>
  <c r="BR182" i="1"/>
  <c r="AZ140" i="1"/>
  <c r="BA140" i="1" s="1"/>
  <c r="BW97" i="1"/>
  <c r="BD160" i="1"/>
  <c r="BE160" i="1" s="1"/>
  <c r="BD175" i="1"/>
  <c r="BE175" i="1" s="1"/>
  <c r="BT175" i="1"/>
  <c r="BU175" i="1" s="1"/>
  <c r="BF187" i="1"/>
  <c r="BG187" i="1" s="1"/>
  <c r="BP165" i="1"/>
  <c r="BQ165" i="1" s="1"/>
  <c r="AV167" i="1"/>
  <c r="AV202" i="1" s="1"/>
  <c r="AW202" i="1" s="1"/>
  <c r="BN178" i="1"/>
  <c r="BO178" i="1" s="1"/>
  <c r="AT145" i="1"/>
  <c r="AU145" i="1" s="1"/>
  <c r="AT160" i="1"/>
  <c r="AU160" i="1" s="1"/>
  <c r="AP147" i="1"/>
  <c r="AQ147" i="1" s="1"/>
  <c r="BD187" i="1"/>
  <c r="BE187" i="1" s="1"/>
  <c r="AV187" i="1"/>
  <c r="AW187" i="1" s="1"/>
  <c r="AV96" i="1"/>
  <c r="AV183" i="1"/>
  <c r="BB168" i="1"/>
  <c r="BB203" i="1" s="1"/>
  <c r="BC203" i="1" s="1"/>
  <c r="BN167" i="1"/>
  <c r="BN202" i="1" s="1"/>
  <c r="BO202" i="1" s="1"/>
  <c r="BQ97" i="1"/>
  <c r="AV177" i="1"/>
  <c r="AW177" i="1" s="1"/>
  <c r="AN187" i="1"/>
  <c r="AO187" i="1" s="1"/>
  <c r="BF166" i="1"/>
  <c r="BG166" i="1" s="1"/>
  <c r="BR178" i="1"/>
  <c r="BS178" i="1" s="1"/>
  <c r="AP97" i="1"/>
  <c r="BF163" i="1"/>
  <c r="BG163" i="1" s="1"/>
  <c r="BH225" i="1" s="1"/>
  <c r="AT142" i="1"/>
  <c r="AZ172" i="1"/>
  <c r="BA172" i="1" s="1"/>
  <c r="BF149" i="1"/>
  <c r="BG149" i="1" s="1"/>
  <c r="BR147" i="1"/>
  <c r="BS147" i="1" s="1"/>
  <c r="AV168" i="1"/>
  <c r="AV203" i="1" s="1"/>
  <c r="AW203" i="1" s="1"/>
  <c r="AX177" i="1"/>
  <c r="AY177" i="1" s="1"/>
  <c r="BB148" i="1"/>
  <c r="BC148" i="1" s="1"/>
  <c r="BB167" i="1"/>
  <c r="BB202" i="1" s="1"/>
  <c r="BC202" i="1" s="1"/>
  <c r="AP168" i="1"/>
  <c r="AP203" i="1" s="1"/>
  <c r="AQ203" i="1" s="1"/>
  <c r="AX148" i="1"/>
  <c r="AY148" i="1" s="1"/>
  <c r="BR148" i="1"/>
  <c r="BS148" i="1" s="1"/>
  <c r="BT187" i="1"/>
  <c r="BU187" i="1" s="1"/>
  <c r="BB182" i="1"/>
  <c r="BT141" i="1"/>
  <c r="BU141" i="1" s="1"/>
  <c r="AT147" i="1"/>
  <c r="AU147" i="1" s="1"/>
  <c r="BD177" i="1"/>
  <c r="BE177" i="1" s="1"/>
  <c r="AR158" i="1"/>
  <c r="AS158" i="1" s="1"/>
  <c r="AV178" i="1"/>
  <c r="AW178" i="1" s="1"/>
  <c r="BD155" i="1"/>
  <c r="AS97" i="1"/>
  <c r="BP177" i="1"/>
  <c r="BQ177" i="1" s="1"/>
  <c r="AX176" i="1"/>
  <c r="AX206" i="1" s="1"/>
  <c r="AY206" i="1" s="1"/>
  <c r="BD166" i="1"/>
  <c r="BE166" i="1" s="1"/>
  <c r="AT187" i="1"/>
  <c r="AU187" i="1" s="1"/>
  <c r="BT178" i="1"/>
  <c r="BU178" i="1" s="1"/>
  <c r="AV154" i="1"/>
  <c r="BF169" i="1"/>
  <c r="BG169" i="1" s="1"/>
  <c r="BR140" i="1"/>
  <c r="BS140" i="1" s="1"/>
  <c r="BT160" i="1"/>
  <c r="BU160" i="1" s="1"/>
  <c r="BN154" i="1"/>
  <c r="BP186" i="1"/>
  <c r="BQ186" i="1" s="1"/>
  <c r="BD178" i="1"/>
  <c r="BE178" i="1" s="1"/>
  <c r="BF160" i="1"/>
  <c r="BG160" i="1" s="1"/>
  <c r="AN147" i="1"/>
  <c r="AO147" i="1" s="1"/>
  <c r="AR163" i="1"/>
  <c r="AS163" i="1" s="1"/>
  <c r="AN172" i="1"/>
  <c r="AO172" i="1" s="1"/>
  <c r="AT155" i="1"/>
  <c r="AO97" i="1"/>
  <c r="AP142" i="1"/>
  <c r="BB183" i="1"/>
  <c r="BC96" i="1"/>
  <c r="AP186" i="1"/>
  <c r="AQ186" i="1" s="1"/>
  <c r="AR177" i="1"/>
  <c r="AS177" i="1" s="1"/>
  <c r="BP182" i="1"/>
  <c r="AR183" i="1"/>
  <c r="AR167" i="1"/>
  <c r="AR202" i="1" s="1"/>
  <c r="AS202" i="1" s="1"/>
  <c r="AX186" i="1"/>
  <c r="AY186" i="1" s="1"/>
  <c r="BF183" i="1"/>
  <c r="AT158" i="1"/>
  <c r="AU158" i="1" s="1"/>
  <c r="AX158" i="1"/>
  <c r="AY158" i="1" s="1"/>
  <c r="AZ156" i="1"/>
  <c r="BB145" i="1"/>
  <c r="BC145" i="1" s="1"/>
  <c r="AS96" i="1"/>
  <c r="AT150" i="1"/>
  <c r="AU150" i="1" s="1"/>
  <c r="BD165" i="1"/>
  <c r="BE165" i="1" s="1"/>
  <c r="BP169" i="1"/>
  <c r="BQ169" i="1" s="1"/>
  <c r="BP148" i="1"/>
  <c r="BQ148" i="1" s="1"/>
  <c r="BP175" i="1"/>
  <c r="BQ175" i="1" s="1"/>
  <c r="AN174" i="1"/>
  <c r="AO174" i="1" s="1"/>
  <c r="BS97" i="1"/>
  <c r="AV165" i="1"/>
  <c r="AW165" i="1" s="1"/>
  <c r="AN165" i="1"/>
  <c r="AO165" i="1" s="1"/>
  <c r="BT155" i="1"/>
  <c r="AT175" i="1"/>
  <c r="AU175" i="1" s="1"/>
  <c r="BF150" i="1"/>
  <c r="BG150" i="1" s="1"/>
  <c r="BB187" i="1"/>
  <c r="BC187" i="1" s="1"/>
  <c r="BP183" i="1"/>
  <c r="BN183" i="1"/>
  <c r="BP170" i="1"/>
  <c r="BQ170" i="1" s="1"/>
  <c r="BT156" i="1"/>
  <c r="AT165" i="1"/>
  <c r="AU165" i="1" s="1"/>
  <c r="BF178" i="1"/>
  <c r="BG178" i="1" s="1"/>
  <c r="BB140" i="1"/>
  <c r="BC140" i="1" s="1"/>
  <c r="AR156" i="1"/>
  <c r="AP154" i="1"/>
  <c r="BR169" i="1"/>
  <c r="BS169" i="1" s="1"/>
  <c r="BT182" i="1"/>
  <c r="BP140" i="1"/>
  <c r="BQ140" i="1" s="1"/>
  <c r="AP165" i="1"/>
  <c r="AQ165" i="1" s="1"/>
  <c r="AV156" i="1"/>
  <c r="AV176" i="1"/>
  <c r="AV206" i="1" s="1"/>
  <c r="AW206" i="1" s="1"/>
  <c r="AR96" i="1"/>
  <c r="AT141" i="1"/>
  <c r="AU141" i="1" s="1"/>
  <c r="AT149" i="1"/>
  <c r="AU149" i="1" s="1"/>
  <c r="AZ178" i="1"/>
  <c r="BA178" i="1" s="1"/>
  <c r="BD169" i="1"/>
  <c r="BE169" i="1" s="1"/>
  <c r="AY96" i="1"/>
  <c r="BR165" i="1"/>
  <c r="BS165" i="1" s="1"/>
  <c r="BD168" i="1"/>
  <c r="BD203" i="1" s="1"/>
  <c r="BE203" i="1" s="1"/>
  <c r="AZ141" i="1"/>
  <c r="BA141" i="1" s="1"/>
  <c r="AT168" i="1"/>
  <c r="AT203" i="1" s="1"/>
  <c r="AU203" i="1" s="1"/>
  <c r="BF145" i="1"/>
  <c r="BG145" i="1" s="1"/>
  <c r="AR173" i="1"/>
  <c r="AS173" i="1" s="1"/>
  <c r="BK97" i="1"/>
  <c r="BF167" i="1"/>
  <c r="BF202" i="1" s="1"/>
  <c r="BG202" i="1" s="1"/>
  <c r="BD150" i="1"/>
  <c r="BE150" i="1" s="1"/>
  <c r="BD156" i="1"/>
  <c r="AX156" i="1"/>
  <c r="BN141" i="1"/>
  <c r="BO141" i="1" s="1"/>
  <c r="BN158" i="1"/>
  <c r="BO158" i="1" s="1"/>
  <c r="BB141" i="1"/>
  <c r="BC141" i="1" s="1"/>
  <c r="AR178" i="1"/>
  <c r="AS178" i="1" s="1"/>
  <c r="AT96" i="1"/>
  <c r="AN96" i="1"/>
  <c r="P232" i="1"/>
  <c r="S209" i="1"/>
  <c r="L161" i="1"/>
  <c r="L267" i="1" s="1"/>
  <c r="R152" i="1"/>
  <c r="R78" i="1" s="1"/>
  <c r="N271" i="1"/>
  <c r="S180" i="1"/>
  <c r="S188" i="1" s="1"/>
  <c r="E143" i="1"/>
  <c r="R157" i="1"/>
  <c r="C143" i="1"/>
  <c r="C271" i="1" s="1"/>
  <c r="F230" i="1"/>
  <c r="F191" i="1"/>
  <c r="F132" i="1" s="1"/>
  <c r="N198" i="1"/>
  <c r="I191" i="1"/>
  <c r="I132" i="1" s="1"/>
  <c r="T161" i="1"/>
  <c r="B56" i="1"/>
  <c r="O230" i="1"/>
  <c r="T271" i="1"/>
  <c r="I271" i="1"/>
  <c r="T191" i="1"/>
  <c r="T132" i="1" s="1"/>
  <c r="D229" i="1"/>
  <c r="V191" i="1"/>
  <c r="V132" i="1" s="1"/>
  <c r="M230" i="1"/>
  <c r="I230" i="1"/>
  <c r="M77" i="1"/>
  <c r="I77" i="1"/>
  <c r="N230" i="1"/>
  <c r="S272" i="1"/>
  <c r="S274" i="1" s="1"/>
  <c r="H198" i="1"/>
  <c r="S229" i="1"/>
  <c r="U220" i="1"/>
  <c r="B89" i="1"/>
  <c r="P220" i="1"/>
  <c r="S60" i="1"/>
  <c r="C131" i="1"/>
  <c r="B131" i="1"/>
  <c r="R198" i="1"/>
  <c r="R191" i="1"/>
  <c r="R132" i="1" s="1"/>
  <c r="C89" i="1"/>
  <c r="C91" i="1" s="1"/>
  <c r="E229" i="1"/>
  <c r="F152" i="1"/>
  <c r="F78" i="1" s="1"/>
  <c r="F77" i="1"/>
  <c r="U219" i="1"/>
  <c r="C152" i="1"/>
  <c r="C78" i="1" s="1"/>
  <c r="C60" i="1"/>
  <c r="F271" i="1"/>
  <c r="D272" i="1"/>
  <c r="D274" i="1" s="1"/>
  <c r="R77" i="1"/>
  <c r="C272" i="1"/>
  <c r="C274" i="1" s="1"/>
  <c r="T229" i="1"/>
  <c r="D220" i="1"/>
  <c r="T208" i="1"/>
  <c r="T207" i="1" s="1"/>
  <c r="T220" i="1"/>
  <c r="E219" i="1"/>
  <c r="P219" i="1"/>
  <c r="C180" i="1"/>
  <c r="S220" i="1"/>
  <c r="U230" i="1"/>
  <c r="U77" i="1"/>
  <c r="J219" i="1"/>
  <c r="K219" i="1"/>
  <c r="J205" i="1"/>
  <c r="J204" i="1" s="1"/>
  <c r="R232" i="1"/>
  <c r="Q271" i="1"/>
  <c r="R230" i="1"/>
  <c r="N161" i="1"/>
  <c r="N56" i="1"/>
  <c r="N232" i="1"/>
  <c r="M271" i="1"/>
  <c r="T230" i="1"/>
  <c r="T198" i="1"/>
  <c r="J161" i="1"/>
  <c r="J56" i="1"/>
  <c r="U56" i="1"/>
  <c r="U161" i="1"/>
  <c r="I232" i="1"/>
  <c r="H271" i="1"/>
  <c r="E232" i="1"/>
  <c r="D271" i="1"/>
  <c r="D191" i="1"/>
  <c r="D132" i="1" s="1"/>
  <c r="D133" i="1" s="1"/>
  <c r="D136" i="1" s="1"/>
  <c r="O152" i="1"/>
  <c r="O78" i="1" s="1"/>
  <c r="O229" i="1"/>
  <c r="F205" i="1"/>
  <c r="F180" i="1"/>
  <c r="G219" i="1"/>
  <c r="J271" i="1"/>
  <c r="K232" i="1"/>
  <c r="H230" i="1"/>
  <c r="G198" i="1"/>
  <c r="G230" i="1"/>
  <c r="G77" i="1"/>
  <c r="J272" i="1"/>
  <c r="J274" i="1" s="1"/>
  <c r="J152" i="1"/>
  <c r="J78" i="1" s="1"/>
  <c r="J191" i="1"/>
  <c r="J132" i="1" s="1"/>
  <c r="J60" i="1"/>
  <c r="H229" i="1"/>
  <c r="H191" i="1"/>
  <c r="H132" i="1" s="1"/>
  <c r="H152" i="1"/>
  <c r="H78" i="1" s="1"/>
  <c r="H60" i="1"/>
  <c r="E205" i="1"/>
  <c r="E204" i="1" s="1"/>
  <c r="F219" i="1"/>
  <c r="P161" i="1"/>
  <c r="P56" i="1"/>
  <c r="V272" i="1"/>
  <c r="V274" i="1" s="1"/>
  <c r="U272" i="1"/>
  <c r="U274" i="1" s="1"/>
  <c r="H161" i="1"/>
  <c r="H56" i="1"/>
  <c r="Q191" i="1"/>
  <c r="Q132" i="1" s="1"/>
  <c r="H220" i="1"/>
  <c r="K230" i="1"/>
  <c r="G161" i="1"/>
  <c r="G56" i="1"/>
  <c r="I56" i="1"/>
  <c r="I161" i="1"/>
  <c r="V219" i="1"/>
  <c r="V205" i="1"/>
  <c r="V204" i="1" s="1"/>
  <c r="T219" i="1"/>
  <c r="E152" i="1"/>
  <c r="E78" i="1" s="1"/>
  <c r="F272" i="1"/>
  <c r="F274" i="1" s="1"/>
  <c r="H272" i="1"/>
  <c r="H274" i="1" s="1"/>
  <c r="G229" i="1"/>
  <c r="G272" i="1"/>
  <c r="G274" i="1" s="1"/>
  <c r="Q219" i="1"/>
  <c r="E56" i="1"/>
  <c r="E161" i="1"/>
  <c r="J198" i="1"/>
  <c r="J77" i="1"/>
  <c r="J230" i="1"/>
  <c r="D56" i="1"/>
  <c r="D161" i="1"/>
  <c r="L208" i="1"/>
  <c r="L207" i="1" s="1"/>
  <c r="L180" i="1"/>
  <c r="C205" i="1"/>
  <c r="C204" i="1" s="1"/>
  <c r="D219" i="1"/>
  <c r="L232" i="1"/>
  <c r="K271" i="1"/>
  <c r="B198" i="1"/>
  <c r="B77" i="1"/>
  <c r="B271" i="1"/>
  <c r="T60" i="1"/>
  <c r="T152" i="1"/>
  <c r="T78" i="1" s="1"/>
  <c r="T272" i="1"/>
  <c r="T274" i="1" s="1"/>
  <c r="O60" i="1"/>
  <c r="O191" i="1"/>
  <c r="O132" i="1" s="1"/>
  <c r="B60" i="1"/>
  <c r="C229" i="1"/>
  <c r="B191" i="1"/>
  <c r="B132" i="1" s="1"/>
  <c r="B152" i="1"/>
  <c r="B78" i="1" s="1"/>
  <c r="K272" i="1"/>
  <c r="K274" i="1" s="1"/>
  <c r="K229" i="1"/>
  <c r="K152" i="1"/>
  <c r="K78" i="1" s="1"/>
  <c r="K60" i="1"/>
  <c r="K191" i="1"/>
  <c r="K132" i="1" s="1"/>
  <c r="K77" i="1"/>
  <c r="L230" i="1"/>
  <c r="K198" i="1"/>
  <c r="C191" i="1"/>
  <c r="C132" i="1" s="1"/>
  <c r="D232" i="1"/>
  <c r="W272" i="1"/>
  <c r="W274" i="1" s="1"/>
  <c r="W229" i="1"/>
  <c r="W60" i="1"/>
  <c r="X272" i="1"/>
  <c r="X274" i="1" s="1"/>
  <c r="X229" i="1"/>
  <c r="U271" i="1"/>
  <c r="U198" i="1"/>
  <c r="M161" i="1"/>
  <c r="M56" i="1"/>
  <c r="S152" i="1"/>
  <c r="S78" i="1" s="1"/>
  <c r="S230" i="1"/>
  <c r="S77" i="1"/>
  <c r="Q205" i="1"/>
  <c r="Q204" i="1" s="1"/>
  <c r="R219" i="1"/>
  <c r="H205" i="1"/>
  <c r="I219" i="1"/>
  <c r="J180" i="1"/>
  <c r="D89" i="1"/>
  <c r="D131" i="1"/>
  <c r="K205" i="1"/>
  <c r="K204" i="1" s="1"/>
  <c r="K180" i="1"/>
  <c r="D205" i="1"/>
  <c r="D204" i="1" s="1"/>
  <c r="D180" i="1"/>
  <c r="I60" i="1"/>
  <c r="I229" i="1"/>
  <c r="J229" i="1"/>
  <c r="Q77" i="1"/>
  <c r="Q198" i="1"/>
  <c r="K56" i="1"/>
  <c r="K161" i="1"/>
  <c r="M229" i="1"/>
  <c r="L152" i="1"/>
  <c r="L78" i="1" s="1"/>
  <c r="D208" i="1"/>
  <c r="E220" i="1"/>
  <c r="W161" i="1"/>
  <c r="X226" i="1" s="1"/>
  <c r="X224" i="1" s="1"/>
  <c r="W56" i="1"/>
  <c r="S232" i="1"/>
  <c r="R271" i="1"/>
  <c r="V230" i="1"/>
  <c r="V271" i="1"/>
  <c r="N219" i="1"/>
  <c r="O219" i="1"/>
  <c r="K220" i="1"/>
  <c r="J208" i="1"/>
  <c r="Q230" i="1"/>
  <c r="L205" i="1"/>
  <c r="L219" i="1"/>
  <c r="M219" i="1"/>
  <c r="P205" i="1"/>
  <c r="P180" i="1"/>
  <c r="R205" i="1"/>
  <c r="R204" i="1" s="1"/>
  <c r="S219" i="1"/>
  <c r="C208" i="1"/>
  <c r="C220" i="1"/>
  <c r="O205" i="1"/>
  <c r="O204" i="1" s="1"/>
  <c r="O180" i="1"/>
  <c r="I272" i="1"/>
  <c r="I274" i="1" s="1"/>
  <c r="I152" i="1"/>
  <c r="I78" i="1" s="1"/>
  <c r="Q56" i="1"/>
  <c r="Q161" i="1"/>
  <c r="P198" i="1"/>
  <c r="G152" i="1"/>
  <c r="G78" i="1" s="1"/>
  <c r="G60" i="1"/>
  <c r="G191" i="1"/>
  <c r="G132" i="1" s="1"/>
  <c r="U229" i="1"/>
  <c r="U191" i="1"/>
  <c r="U132" i="1" s="1"/>
  <c r="U60" i="1"/>
  <c r="U152" i="1"/>
  <c r="U78" i="1" s="1"/>
  <c r="V229" i="1"/>
  <c r="S271" i="1"/>
  <c r="S198" i="1"/>
  <c r="Q272" i="1"/>
  <c r="Q274" i="1" s="1"/>
  <c r="R272" i="1"/>
  <c r="R274" i="1" s="1"/>
  <c r="Q229" i="1"/>
  <c r="H219" i="1"/>
  <c r="H180" i="1"/>
  <c r="I180" i="1"/>
  <c r="I220" i="1"/>
  <c r="I208" i="1"/>
  <c r="J220" i="1"/>
  <c r="Q208" i="1"/>
  <c r="Q180" i="1"/>
  <c r="Q220" i="1"/>
  <c r="R220" i="1"/>
  <c r="P152" i="1"/>
  <c r="P78" i="1" s="1"/>
  <c r="P229" i="1"/>
  <c r="P191" i="1"/>
  <c r="P132" i="1" s="1"/>
  <c r="P272" i="1"/>
  <c r="P274" i="1" s="1"/>
  <c r="P60" i="1"/>
  <c r="H232" i="1"/>
  <c r="G271" i="1"/>
  <c r="T205" i="1"/>
  <c r="T180" i="1"/>
  <c r="F229" i="1"/>
  <c r="E191" i="1"/>
  <c r="E132" i="1" s="1"/>
  <c r="E60" i="1"/>
  <c r="O272" i="1"/>
  <c r="O274" i="1" s="1"/>
  <c r="N152" i="1"/>
  <c r="N78" i="1" s="1"/>
  <c r="N272" i="1"/>
  <c r="N274" i="1" s="1"/>
  <c r="N60" i="1"/>
  <c r="N229" i="1"/>
  <c r="N191" i="1"/>
  <c r="N132" i="1" s="1"/>
  <c r="L191" i="1"/>
  <c r="L132" i="1" s="1"/>
  <c r="L60" i="1"/>
  <c r="L272" i="1"/>
  <c r="L274" i="1" s="1"/>
  <c r="L229" i="1"/>
  <c r="P230" i="1"/>
  <c r="P77" i="1"/>
  <c r="P271" i="1"/>
  <c r="B180" i="1"/>
  <c r="B188" i="1" s="1"/>
  <c r="B205" i="1"/>
  <c r="C219" i="1"/>
  <c r="O161" i="1"/>
  <c r="O56" i="1"/>
  <c r="M232" i="1"/>
  <c r="L271" i="1"/>
  <c r="V77" i="1"/>
  <c r="V152" i="1"/>
  <c r="V78" i="1" s="1"/>
  <c r="V198" i="1"/>
  <c r="Q152" i="1"/>
  <c r="Q78" i="1" s="1"/>
  <c r="R229" i="1"/>
  <c r="Q60" i="1"/>
  <c r="K208" i="1"/>
  <c r="L220" i="1"/>
  <c r="N205" i="1"/>
  <c r="N180" i="1"/>
  <c r="E208" i="1"/>
  <c r="F220" i="1"/>
  <c r="E180" i="1"/>
  <c r="G208" i="1"/>
  <c r="G180" i="1"/>
  <c r="G220" i="1"/>
  <c r="O208" i="1"/>
  <c r="O220" i="1"/>
  <c r="U208" i="1"/>
  <c r="U180" i="1"/>
  <c r="M272" i="1"/>
  <c r="M274" i="1" s="1"/>
  <c r="M60" i="1"/>
  <c r="M152" i="1"/>
  <c r="M78" i="1" s="1"/>
  <c r="M191" i="1"/>
  <c r="M132" i="1" s="1"/>
  <c r="V161" i="1"/>
  <c r="V56" i="1"/>
  <c r="V208" i="1"/>
  <c r="V180" i="1"/>
  <c r="V220" i="1"/>
  <c r="M220" i="1"/>
  <c r="N220" i="1"/>
  <c r="M180" i="1"/>
  <c r="M208" i="1"/>
  <c r="R208" i="1"/>
  <c r="R180" i="1"/>
  <c r="AI209" i="1"/>
  <c r="AI207" i="1"/>
  <c r="BH180" i="1"/>
  <c r="BH188" i="1" s="1"/>
  <c r="BH152" i="1"/>
  <c r="AZ50" i="1"/>
  <c r="BK34" i="1"/>
  <c r="BC125" i="1"/>
  <c r="BC127" i="1"/>
  <c r="BC126" i="1"/>
  <c r="O81" i="1"/>
  <c r="BF126" i="1"/>
  <c r="BF127" i="1"/>
  <c r="BF125" i="1"/>
  <c r="BH117" i="1"/>
  <c r="BH118" i="1"/>
  <c r="BK50" i="1"/>
  <c r="AW50" i="1"/>
  <c r="AU126" i="1"/>
  <c r="AU127" i="1"/>
  <c r="AU125" i="1"/>
  <c r="C226" i="1"/>
  <c r="C224" i="1" s="1"/>
  <c r="BE50" i="1"/>
  <c r="BK35" i="1"/>
  <c r="BL35" i="1"/>
  <c r="BK39" i="1"/>
  <c r="AM75" i="1"/>
  <c r="AM142" i="1"/>
  <c r="AM143" i="1" s="1"/>
  <c r="AM152" i="1" s="1"/>
  <c r="AM216" i="1"/>
  <c r="AM218" i="1" s="1"/>
  <c r="AM89" i="1"/>
  <c r="AM92" i="1" s="1"/>
  <c r="AS35" i="1"/>
  <c r="AT35" i="1"/>
  <c r="AT50" i="1"/>
  <c r="AY50" i="1"/>
  <c r="AP248" i="1"/>
  <c r="AQ35" i="1"/>
  <c r="AZ35" i="1"/>
  <c r="AY39" i="1"/>
  <c r="AP39" i="1"/>
  <c r="AP34" i="1"/>
  <c r="BJ126" i="1"/>
  <c r="BJ127" i="1"/>
  <c r="BA50" i="1"/>
  <c r="BQ50" i="1"/>
  <c r="AP50" i="1"/>
  <c r="AQ211" i="1"/>
  <c r="BM50" i="1"/>
  <c r="BN126" i="1"/>
  <c r="BN127" i="1"/>
  <c r="BN125" i="1"/>
  <c r="BQ34" i="1"/>
  <c r="BM248" i="1"/>
  <c r="BM34" i="1"/>
  <c r="BR125" i="1"/>
  <c r="BR127" i="1"/>
  <c r="BR126" i="1"/>
  <c r="BU34" i="1"/>
  <c r="BQ39" i="1"/>
  <c r="BQ51" i="1" s="1"/>
  <c r="BQ35" i="1"/>
  <c r="BS125" i="1"/>
  <c r="BS126" i="1"/>
  <c r="BS127" i="1"/>
  <c r="BO126" i="1"/>
  <c r="BO127" i="1"/>
  <c r="BP126" i="1"/>
  <c r="BP127" i="1"/>
  <c r="BP125" i="1"/>
  <c r="BU50" i="1"/>
  <c r="BU39" i="1"/>
  <c r="BU127" i="1"/>
  <c r="BU126" i="1"/>
  <c r="BV115" i="1"/>
  <c r="BV271" i="1"/>
  <c r="BM39" i="1"/>
  <c r="BM35" i="1"/>
  <c r="BA34" i="1"/>
  <c r="BA35" i="1"/>
  <c r="AI50" i="1"/>
  <c r="BA42" i="1"/>
  <c r="BH50" i="1"/>
  <c r="AS39" i="1"/>
  <c r="AW34" i="1"/>
  <c r="BJ34" i="1"/>
  <c r="BF39" i="1"/>
  <c r="BF51" i="1" s="1"/>
  <c r="BJ53" i="1" s="1"/>
  <c r="BV50" i="1"/>
  <c r="BC50" i="1"/>
  <c r="AY211" i="1"/>
  <c r="BT248" i="1"/>
  <c r="BY34" i="1"/>
  <c r="BU211" i="1"/>
  <c r="BD34" i="1"/>
  <c r="BE35" i="1"/>
  <c r="BG248" i="1"/>
  <c r="BH34" i="1"/>
  <c r="BD39" i="1"/>
  <c r="BD50" i="1"/>
  <c r="BD211" i="1"/>
  <c r="BG125" i="1"/>
  <c r="BG127" i="1"/>
  <c r="BG126" i="1"/>
  <c r="BV35" i="1"/>
  <c r="BV211" i="1"/>
  <c r="BJ272" i="1"/>
  <c r="BJ229" i="1"/>
  <c r="BI272" i="1"/>
  <c r="BO34" i="1"/>
  <c r="BP35" i="1"/>
  <c r="BO50" i="1"/>
  <c r="BO39" i="1"/>
  <c r="BR248" i="1"/>
  <c r="V81" i="1"/>
  <c r="BX229" i="1"/>
  <c r="BX272" i="1"/>
  <c r="BW229" i="1"/>
  <c r="BW127" i="1"/>
  <c r="BW125" i="1"/>
  <c r="AT34" i="1"/>
  <c r="AW248" i="1"/>
  <c r="AU35" i="1"/>
  <c r="AT211" i="1"/>
  <c r="BR50" i="1"/>
  <c r="BV34" i="1"/>
  <c r="BS35" i="1"/>
  <c r="BU248" i="1"/>
  <c r="AR39" i="1"/>
  <c r="AR51" i="1" s="1"/>
  <c r="AR52" i="1" s="1"/>
  <c r="AU248" i="1"/>
  <c r="AS248" i="1"/>
  <c r="AT40" i="1"/>
  <c r="AT51" i="1"/>
  <c r="BV40" i="1"/>
  <c r="BZ41" i="1"/>
  <c r="N81" i="1"/>
  <c r="AL267" i="1"/>
  <c r="AJ35" i="1"/>
  <c r="AM34" i="1"/>
  <c r="AL248" i="1"/>
  <c r="AI39" i="1"/>
  <c r="BX125" i="1"/>
  <c r="BX126" i="1"/>
  <c r="BX127" i="1"/>
  <c r="BV126" i="1"/>
  <c r="BV125" i="1"/>
  <c r="BV127" i="1"/>
  <c r="AT126" i="1"/>
  <c r="AT127" i="1"/>
  <c r="AT125" i="1"/>
  <c r="BT127" i="1"/>
  <c r="BT126" i="1"/>
  <c r="BT125" i="1"/>
  <c r="BA51" i="1"/>
  <c r="BA40" i="1"/>
  <c r="BI39" i="1"/>
  <c r="BI211" i="1"/>
  <c r="BJ211" i="1"/>
  <c r="BL267" i="1"/>
  <c r="BL248" i="1"/>
  <c r="AW40" i="1"/>
  <c r="AW51" i="1"/>
  <c r="BA41" i="1"/>
  <c r="BP39" i="1"/>
  <c r="BP211" i="1"/>
  <c r="BS248" i="1"/>
  <c r="BQ211" i="1"/>
  <c r="AY34" i="1"/>
  <c r="AU39" i="1"/>
  <c r="AU50" i="1"/>
  <c r="BV191" i="1"/>
  <c r="BV152" i="1"/>
  <c r="BS50" i="1"/>
  <c r="BW34" i="1"/>
  <c r="BS39" i="1"/>
  <c r="BT35" i="1"/>
  <c r="BS211" i="1"/>
  <c r="BX211" i="1"/>
  <c r="BW206" i="1"/>
  <c r="BV207" i="1"/>
  <c r="BE39" i="1"/>
  <c r="BE41" i="1" s="1"/>
  <c r="BE211" i="1"/>
  <c r="BI34" i="1"/>
  <c r="BF35" i="1"/>
  <c r="BE34" i="1"/>
  <c r="BY127" i="1"/>
  <c r="BY125" i="1"/>
  <c r="BC39" i="1"/>
  <c r="BC34" i="1"/>
  <c r="BD125" i="1"/>
  <c r="BD126" i="1"/>
  <c r="BD127" i="1"/>
  <c r="BK248" i="1"/>
  <c r="T81" i="1"/>
  <c r="BL211" i="1"/>
  <c r="BH211" i="1"/>
  <c r="AZ51" i="1"/>
  <c r="BF50" i="1"/>
  <c r="BR39" i="1"/>
  <c r="BV41" i="1" s="1"/>
  <c r="AX248" i="1"/>
  <c r="BF248" i="1"/>
  <c r="AV211" i="1"/>
  <c r="BF211" i="1"/>
  <c r="BK126" i="1"/>
  <c r="BK125" i="1"/>
  <c r="BS34" i="1"/>
  <c r="BR35" i="1"/>
  <c r="BT211" i="1"/>
  <c r="AY35" i="1"/>
  <c r="BI248" i="1"/>
  <c r="BG35" i="1"/>
  <c r="AZ40" i="1"/>
  <c r="BW272" i="1"/>
  <c r="BH191" i="1"/>
  <c r="BP50" i="1"/>
  <c r="AR50" i="1"/>
  <c r="BW126" i="1"/>
  <c r="BI229" i="1"/>
  <c r="AI204" i="1"/>
  <c r="BZ34" i="1"/>
  <c r="BZ211" i="1"/>
  <c r="BY126" i="1"/>
  <c r="AZ127" i="1"/>
  <c r="BK211" i="1"/>
  <c r="BH248" i="1"/>
  <c r="AR248" i="1"/>
  <c r="S81" i="1"/>
  <c r="W81" i="1"/>
  <c r="AV248" i="1"/>
  <c r="AS50" i="1"/>
  <c r="AZ126" i="1"/>
  <c r="AS211" i="1"/>
  <c r="AN50" i="1"/>
  <c r="BU125" i="1"/>
  <c r="Q81" i="1"/>
  <c r="BE126" i="1"/>
  <c r="BV248" i="1"/>
  <c r="AP35" i="1"/>
  <c r="BV204" i="1"/>
  <c r="BA248" i="1"/>
  <c r="AZ211" i="1"/>
  <c r="AU34" i="1"/>
  <c r="AY248" i="1"/>
  <c r="AU211" i="1"/>
  <c r="BV209" i="1"/>
  <c r="BZ212" i="1" s="1"/>
  <c r="BP34" i="1"/>
  <c r="BJ35" i="1"/>
  <c r="BT50" i="1"/>
  <c r="BQ126" i="1"/>
  <c r="BQ127" i="1"/>
  <c r="BI50" i="1"/>
  <c r="AX50" i="1"/>
  <c r="AL125" i="1"/>
  <c r="AL126" i="1"/>
  <c r="BE125" i="1"/>
  <c r="AQ248" i="1"/>
  <c r="BH204" i="1"/>
  <c r="AQ126" i="1"/>
  <c r="BM211" i="1"/>
  <c r="BL127" i="1"/>
  <c r="BL125" i="1"/>
  <c r="BL126" i="1"/>
  <c r="BB35" i="1"/>
  <c r="BB211" i="1"/>
  <c r="R81" i="1"/>
  <c r="BD248" i="1"/>
  <c r="BB39" i="1"/>
  <c r="BN34" i="1"/>
  <c r="BN211" i="1"/>
  <c r="BN39" i="1"/>
  <c r="BN35" i="1"/>
  <c r="BR34" i="1"/>
  <c r="BR211" i="1"/>
  <c r="BZ126" i="1"/>
  <c r="BZ125" i="1"/>
  <c r="BZ127" i="1"/>
  <c r="AN125" i="1"/>
  <c r="AN126" i="1"/>
  <c r="AN127" i="1"/>
  <c r="BM127" i="1"/>
  <c r="BM125" i="1"/>
  <c r="BM126" i="1"/>
  <c r="AR125" i="1"/>
  <c r="AR126" i="1"/>
  <c r="AR127" i="1"/>
  <c r="U81" i="1"/>
  <c r="BE248" i="1"/>
  <c r="BQ248" i="1"/>
  <c r="BO35" i="1"/>
  <c r="AP211" i="1"/>
  <c r="AQ125" i="1"/>
  <c r="BB50" i="1"/>
  <c r="BX34" i="1"/>
  <c r="BU35" i="1"/>
  <c r="BT39" i="1"/>
  <c r="BY211" i="1"/>
  <c r="BW248" i="1"/>
  <c r="AX211" i="1"/>
  <c r="AX35" i="1"/>
  <c r="AX39" i="1"/>
  <c r="BB34" i="1"/>
  <c r="AZ248" i="1"/>
  <c r="BI157" i="1"/>
  <c r="AV125" i="1"/>
  <c r="AV127" i="1"/>
  <c r="AV126" i="1"/>
  <c r="AY125" i="1"/>
  <c r="AY126" i="1"/>
  <c r="AY127" i="1"/>
  <c r="AT248" i="1"/>
  <c r="P81" i="1"/>
  <c r="AQ39" i="1"/>
  <c r="AQ34" i="1"/>
  <c r="AR35" i="1"/>
  <c r="AX125" i="1"/>
  <c r="AX127" i="1"/>
  <c r="AX126" i="1"/>
  <c r="BH127" i="1"/>
  <c r="BH125" i="1"/>
  <c r="AX34" i="1"/>
  <c r="BV180" i="1"/>
  <c r="AR211" i="1"/>
  <c r="BC35" i="1"/>
  <c r="BP248" i="1"/>
  <c r="BC248" i="1"/>
  <c r="BO248" i="1"/>
  <c r="BB127" i="1"/>
  <c r="BB126" i="1"/>
  <c r="BB125" i="1"/>
  <c r="AO34" i="1"/>
  <c r="AS34" i="1"/>
  <c r="AO211" i="1"/>
  <c r="AO39" i="1"/>
  <c r="BH207" i="1"/>
  <c r="BI232" i="1"/>
  <c r="BH271" i="1"/>
  <c r="AO50" i="1"/>
  <c r="BX267" i="1"/>
  <c r="CA211" i="1"/>
  <c r="CB211" i="1"/>
  <c r="X81" i="1"/>
  <c r="BW39" i="1"/>
  <c r="BZ267" i="1"/>
  <c r="CA34" i="1"/>
  <c r="BW35" i="1"/>
  <c r="BY248" i="1"/>
  <c r="BZ248" i="1"/>
  <c r="BX35" i="1"/>
  <c r="BX248" i="1"/>
  <c r="AV50" i="1"/>
  <c r="AW211" i="1"/>
  <c r="AV39" i="1"/>
  <c r="AW35" i="1"/>
  <c r="BA211" i="1"/>
  <c r="AZ34" i="1"/>
  <c r="AN34" i="1"/>
  <c r="AO248" i="1"/>
  <c r="AN39" i="1"/>
  <c r="AN35" i="1"/>
  <c r="AN248" i="1"/>
  <c r="AO35" i="1"/>
  <c r="AR34" i="1"/>
  <c r="AS125" i="1"/>
  <c r="AS127" i="1"/>
  <c r="AS126" i="1"/>
  <c r="BH39" i="1"/>
  <c r="BL34" i="1"/>
  <c r="BI35" i="1"/>
  <c r="BT34" i="1"/>
  <c r="AV35" i="1"/>
  <c r="BN50" i="1"/>
  <c r="BI56" i="1"/>
  <c r="BC211" i="1"/>
  <c r="BI127" i="1"/>
  <c r="BB248" i="1"/>
  <c r="BO211" i="1"/>
  <c r="BI125" i="1"/>
  <c r="BN248" i="1"/>
  <c r="BA127" i="1"/>
  <c r="BA125" i="1"/>
  <c r="BA126" i="1"/>
  <c r="BG211" i="1"/>
  <c r="BG50" i="1"/>
  <c r="BJ248" i="1"/>
  <c r="BJ267" i="1"/>
  <c r="BH35" i="1"/>
  <c r="BG39" i="1"/>
  <c r="BW211" i="1"/>
  <c r="BV161" i="1"/>
  <c r="BW56" i="1"/>
  <c r="BW157" i="1"/>
  <c r="AP125" i="1"/>
  <c r="AP127" i="1"/>
  <c r="AP126" i="1"/>
  <c r="AW125" i="1"/>
  <c r="AW127" i="1"/>
  <c r="AW126" i="1"/>
  <c r="BF34" i="1"/>
  <c r="BV51" i="1"/>
  <c r="AO125" i="1"/>
  <c r="AO127" i="1"/>
  <c r="AO126" i="1"/>
  <c r="BW50" i="1"/>
  <c r="BD35" i="1"/>
  <c r="BG34" i="1"/>
  <c r="AN211" i="1"/>
  <c r="AV34" i="1"/>
  <c r="AQ50" i="1"/>
  <c r="BH209" i="1"/>
  <c r="BL212" i="1" s="1"/>
  <c r="BJ52" i="1"/>
  <c r="BJ57" i="1"/>
  <c r="BJ61" i="1" s="1"/>
  <c r="BJ255" i="1"/>
  <c r="BJ256" i="1" s="1"/>
  <c r="F207" i="1"/>
  <c r="CQ161" i="1"/>
  <c r="CR55" i="1"/>
  <c r="AE100" i="1"/>
  <c r="AB148" i="1"/>
  <c r="AB151" i="1" s="1"/>
  <c r="AB272" i="1" s="1"/>
  <c r="AD165" i="1"/>
  <c r="CZ88" i="1"/>
  <c r="DA86" i="1"/>
  <c r="AP157" i="1" l="1"/>
  <c r="S267" i="1"/>
  <c r="BC225" i="1"/>
  <c r="AZ184" i="1"/>
  <c r="BA232" i="1" s="1"/>
  <c r="T226" i="1"/>
  <c r="T224" i="1" s="1"/>
  <c r="BP157" i="1"/>
  <c r="BT157" i="1"/>
  <c r="BU56" i="1" s="1"/>
  <c r="AX184" i="1"/>
  <c r="AY232" i="1" s="1"/>
  <c r="C188" i="1"/>
  <c r="C189" i="1" s="1"/>
  <c r="F267" i="1"/>
  <c r="D226" i="1"/>
  <c r="D224" i="1" s="1"/>
  <c r="AU151" i="1"/>
  <c r="AY225" i="1"/>
  <c r="F188" i="1"/>
  <c r="F189" i="1" s="1"/>
  <c r="BR157" i="1"/>
  <c r="AV184" i="1"/>
  <c r="AW232" i="1" s="1"/>
  <c r="BT184" i="1"/>
  <c r="BU232" i="1" s="1"/>
  <c r="AZ157" i="1"/>
  <c r="BP184" i="1"/>
  <c r="BQ232" i="1" s="1"/>
  <c r="BD184" i="1"/>
  <c r="BE232" i="1" s="1"/>
  <c r="BN184" i="1"/>
  <c r="BO232" i="1" s="1"/>
  <c r="AR157" i="1"/>
  <c r="BG151" i="1"/>
  <c r="BR225" i="1"/>
  <c r="AP184" i="1"/>
  <c r="BC151" i="1"/>
  <c r="AT157" i="1"/>
  <c r="AV151" i="1"/>
  <c r="BA151" i="1"/>
  <c r="AR184" i="1"/>
  <c r="AS232" i="1" s="1"/>
  <c r="BQ151" i="1"/>
  <c r="AN184" i="1"/>
  <c r="BR184" i="1"/>
  <c r="BS151" i="1"/>
  <c r="BB184" i="1"/>
  <c r="BC232" i="1" s="1"/>
  <c r="AV157" i="1"/>
  <c r="AT225" i="1"/>
  <c r="BF184" i="1"/>
  <c r="BG232" i="1" s="1"/>
  <c r="BN157" i="1"/>
  <c r="AS151" i="1"/>
  <c r="AN157" i="1"/>
  <c r="BO163" i="1"/>
  <c r="BN225" i="1"/>
  <c r="BO140" i="1"/>
  <c r="BN143" i="1"/>
  <c r="AU163" i="1"/>
  <c r="AV225" i="1" s="1"/>
  <c r="BA163" i="1"/>
  <c r="BB225" i="1" s="1"/>
  <c r="AZ225" i="1"/>
  <c r="BE163" i="1"/>
  <c r="BF225" i="1" s="1"/>
  <c r="BE225" i="1"/>
  <c r="BD225" i="1"/>
  <c r="BR179" i="1"/>
  <c r="BR208" i="1" s="1"/>
  <c r="BR207" i="1" s="1"/>
  <c r="AZ171" i="1"/>
  <c r="AX143" i="1"/>
  <c r="F228" i="1"/>
  <c r="AT184" i="1"/>
  <c r="AU232" i="1" s="1"/>
  <c r="BF157" i="1"/>
  <c r="BB157" i="1"/>
  <c r="AN143" i="1"/>
  <c r="AN115" i="1" s="1"/>
  <c r="AN118" i="1" s="1"/>
  <c r="AY140" i="1"/>
  <c r="BE151" i="1"/>
  <c r="BP171" i="1"/>
  <c r="BP205" i="1" s="1"/>
  <c r="BP204" i="1" s="1"/>
  <c r="BD157" i="1"/>
  <c r="BD171" i="1"/>
  <c r="BD205" i="1" s="1"/>
  <c r="AZ143" i="1"/>
  <c r="AO163" i="1"/>
  <c r="AN151" i="1"/>
  <c r="AP179" i="1"/>
  <c r="AP208" i="1" s="1"/>
  <c r="AT151" i="1"/>
  <c r="AW147" i="1"/>
  <c r="AW151" i="1" s="1"/>
  <c r="BD151" i="1"/>
  <c r="BN151" i="1"/>
  <c r="BN272" i="1" s="1"/>
  <c r="AW163" i="1"/>
  <c r="AX225" i="1" s="1"/>
  <c r="AP171" i="1"/>
  <c r="AP205" i="1" s="1"/>
  <c r="AP204" i="1" s="1"/>
  <c r="AT143" i="1"/>
  <c r="AT115" i="1" s="1"/>
  <c r="AQ151" i="1"/>
  <c r="BF179" i="1"/>
  <c r="BF208" i="1" s="1"/>
  <c r="BF207" i="1" s="1"/>
  <c r="AP143" i="1"/>
  <c r="AP115" i="1" s="1"/>
  <c r="AX179" i="1"/>
  <c r="AX208" i="1" s="1"/>
  <c r="AX207" i="1" s="1"/>
  <c r="AX151" i="1"/>
  <c r="BG225" i="1"/>
  <c r="BB179" i="1"/>
  <c r="BB208" i="1" s="1"/>
  <c r="BB207" i="1" s="1"/>
  <c r="AX157" i="1"/>
  <c r="BF171" i="1"/>
  <c r="BF205" i="1" s="1"/>
  <c r="AO151" i="1"/>
  <c r="AV171" i="1"/>
  <c r="AV205" i="1" s="1"/>
  <c r="BQ225" i="1"/>
  <c r="BR143" i="1"/>
  <c r="BR115" i="1" s="1"/>
  <c r="AZ151" i="1"/>
  <c r="BO151" i="1"/>
  <c r="AR171" i="1"/>
  <c r="AR205" i="1" s="1"/>
  <c r="AR204" i="1" s="1"/>
  <c r="AY151" i="1"/>
  <c r="L226" i="1"/>
  <c r="L224" i="1" s="1"/>
  <c r="L188" i="1"/>
  <c r="L189" i="1" s="1"/>
  <c r="P221" i="1"/>
  <c r="P222" i="1" s="1"/>
  <c r="BR171" i="1"/>
  <c r="BP151" i="1"/>
  <c r="BT151" i="1"/>
  <c r="AR143" i="1"/>
  <c r="BB171" i="1"/>
  <c r="BB205" i="1" s="1"/>
  <c r="AV143" i="1"/>
  <c r="AT179" i="1"/>
  <c r="AT208" i="1" s="1"/>
  <c r="AT207" i="1" s="1"/>
  <c r="AZ179" i="1"/>
  <c r="AZ208" i="1" s="1"/>
  <c r="AZ207" i="1" s="1"/>
  <c r="AN179" i="1"/>
  <c r="AN208" i="1" s="1"/>
  <c r="AN207" i="1" s="1"/>
  <c r="BF151" i="1"/>
  <c r="BT179" i="1"/>
  <c r="BT208" i="1" s="1"/>
  <c r="BT207" i="1" s="1"/>
  <c r="BU151" i="1"/>
  <c r="BV229" i="1" s="1"/>
  <c r="BB143" i="1"/>
  <c r="BB115" i="1" s="1"/>
  <c r="BB119" i="1" s="1"/>
  <c r="L269" i="1"/>
  <c r="BR151" i="1"/>
  <c r="BP143" i="1"/>
  <c r="BP179" i="1"/>
  <c r="BP208" i="1" s="1"/>
  <c r="BP207" i="1" s="1"/>
  <c r="AT171" i="1"/>
  <c r="AU140" i="1"/>
  <c r="C198" i="1"/>
  <c r="D230" i="1"/>
  <c r="D228" i="1" s="1"/>
  <c r="C230" i="1"/>
  <c r="C228" i="1" s="1"/>
  <c r="C77" i="1"/>
  <c r="AX171" i="1"/>
  <c r="AX205" i="1" s="1"/>
  <c r="BN179" i="1"/>
  <c r="BN208" i="1" s="1"/>
  <c r="BN207" i="1" s="1"/>
  <c r="BD143" i="1"/>
  <c r="BT171" i="1"/>
  <c r="BT205" i="1" s="1"/>
  <c r="BD179" i="1"/>
  <c r="BD208" i="1" s="1"/>
  <c r="BD207" i="1" s="1"/>
  <c r="AS225" i="1"/>
  <c r="AN171" i="1"/>
  <c r="AN205" i="1" s="1"/>
  <c r="AR151" i="1"/>
  <c r="V228" i="1"/>
  <c r="R56" i="1"/>
  <c r="R161" i="1"/>
  <c r="R188" i="1" s="1"/>
  <c r="R189" i="1" s="1"/>
  <c r="BF143" i="1"/>
  <c r="BB151" i="1"/>
  <c r="E198" i="1"/>
  <c r="E230" i="1"/>
  <c r="E228" i="1" s="1"/>
  <c r="E77" i="1"/>
  <c r="BT143" i="1"/>
  <c r="BN171" i="1"/>
  <c r="BN205" i="1" s="1"/>
  <c r="AV179" i="1"/>
  <c r="AV208" i="1" s="1"/>
  <c r="AV207" i="1" s="1"/>
  <c r="AP151" i="1"/>
  <c r="AR179" i="1"/>
  <c r="AR208" i="1" s="1"/>
  <c r="S228" i="1"/>
  <c r="M228" i="1"/>
  <c r="T188" i="1"/>
  <c r="T189" i="1" s="1"/>
  <c r="N228" i="1"/>
  <c r="T267" i="1"/>
  <c r="T269" i="1"/>
  <c r="B92" i="1"/>
  <c r="B91" i="1"/>
  <c r="T221" i="1"/>
  <c r="T222" i="1" s="1"/>
  <c r="O228" i="1"/>
  <c r="C92" i="1"/>
  <c r="U221" i="1"/>
  <c r="U222" i="1" s="1"/>
  <c r="I228" i="1"/>
  <c r="BU225" i="1"/>
  <c r="D221" i="1"/>
  <c r="D222" i="1" s="1"/>
  <c r="H228" i="1"/>
  <c r="T228" i="1"/>
  <c r="E221" i="1"/>
  <c r="E222" i="1" s="1"/>
  <c r="K221" i="1"/>
  <c r="K222" i="1" s="1"/>
  <c r="P188" i="1"/>
  <c r="P189" i="1" s="1"/>
  <c r="S221" i="1"/>
  <c r="S222" i="1" s="1"/>
  <c r="U228" i="1"/>
  <c r="F221" i="1"/>
  <c r="F222" i="1" s="1"/>
  <c r="H188" i="1"/>
  <c r="H189" i="1" s="1"/>
  <c r="J221" i="1"/>
  <c r="J222" i="1" s="1"/>
  <c r="R228" i="1"/>
  <c r="N188" i="1"/>
  <c r="N189" i="1" s="1"/>
  <c r="G221" i="1"/>
  <c r="G222" i="1" s="1"/>
  <c r="U188" i="1"/>
  <c r="U189" i="1" s="1"/>
  <c r="W226" i="1"/>
  <c r="W224" i="1" s="1"/>
  <c r="F204" i="1"/>
  <c r="F209" i="1"/>
  <c r="P267" i="1"/>
  <c r="P269" i="1"/>
  <c r="H269" i="1"/>
  <c r="H267" i="1"/>
  <c r="G228" i="1"/>
  <c r="K228" i="1"/>
  <c r="D134" i="1"/>
  <c r="D137" i="1" s="1"/>
  <c r="V188" i="1"/>
  <c r="V189" i="1" s="1"/>
  <c r="N269" i="1"/>
  <c r="N267" i="1"/>
  <c r="K226" i="1"/>
  <c r="K224" i="1" s="1"/>
  <c r="J188" i="1"/>
  <c r="J189" i="1" s="1"/>
  <c r="J269" i="1"/>
  <c r="J267" i="1"/>
  <c r="U267" i="1"/>
  <c r="U269" i="1"/>
  <c r="U226" i="1"/>
  <c r="U224" i="1" s="1"/>
  <c r="D188" i="1"/>
  <c r="J228" i="1"/>
  <c r="H221" i="1"/>
  <c r="H222" i="1" s="1"/>
  <c r="I188" i="1"/>
  <c r="I189" i="1" s="1"/>
  <c r="Q221" i="1"/>
  <c r="Q222" i="1" s="1"/>
  <c r="L228" i="1"/>
  <c r="E188" i="1"/>
  <c r="E189" i="1" s="1"/>
  <c r="G188" i="1"/>
  <c r="G189" i="1" s="1"/>
  <c r="V221" i="1"/>
  <c r="V222" i="1" s="1"/>
  <c r="G226" i="1"/>
  <c r="G224" i="1" s="1"/>
  <c r="G267" i="1"/>
  <c r="G269" i="1"/>
  <c r="H226" i="1"/>
  <c r="H224" i="1" s="1"/>
  <c r="I226" i="1"/>
  <c r="I224" i="1" s="1"/>
  <c r="I267" i="1"/>
  <c r="I269" i="1"/>
  <c r="J226" i="1"/>
  <c r="J224" i="1" s="1"/>
  <c r="E267" i="1"/>
  <c r="E269" i="1"/>
  <c r="F226" i="1"/>
  <c r="F224" i="1" s="1"/>
  <c r="B133" i="1"/>
  <c r="B136" i="1" s="1"/>
  <c r="B134" i="1"/>
  <c r="B137" i="1" s="1"/>
  <c r="C133" i="1"/>
  <c r="C136" i="1" s="1"/>
  <c r="C134" i="1"/>
  <c r="C137" i="1" s="1"/>
  <c r="N226" i="1"/>
  <c r="N224" i="1" s="1"/>
  <c r="M226" i="1"/>
  <c r="M224" i="1" s="1"/>
  <c r="M267" i="1"/>
  <c r="M269" i="1"/>
  <c r="K188" i="1"/>
  <c r="K189" i="1" s="1"/>
  <c r="E226" i="1"/>
  <c r="E224" i="1" s="1"/>
  <c r="L204" i="1"/>
  <c r="L209" i="1"/>
  <c r="C221" i="1"/>
  <c r="C222" i="1" s="1"/>
  <c r="S189" i="1"/>
  <c r="H204" i="1"/>
  <c r="H209" i="1"/>
  <c r="D207" i="1"/>
  <c r="D209" i="1"/>
  <c r="Q228" i="1"/>
  <c r="I221" i="1"/>
  <c r="I222" i="1" s="1"/>
  <c r="Q188" i="1"/>
  <c r="Q189" i="1" s="1"/>
  <c r="R221" i="1"/>
  <c r="R222" i="1" s="1"/>
  <c r="M221" i="1"/>
  <c r="M222" i="1" s="1"/>
  <c r="N221" i="1"/>
  <c r="N222" i="1" s="1"/>
  <c r="M188" i="1"/>
  <c r="M189" i="1" s="1"/>
  <c r="D92" i="1"/>
  <c r="D91" i="1"/>
  <c r="B209" i="1"/>
  <c r="B204" i="1"/>
  <c r="AR225" i="1"/>
  <c r="AQ225" i="1"/>
  <c r="O221" i="1"/>
  <c r="O222" i="1" s="1"/>
  <c r="J207" i="1"/>
  <c r="J209" i="1"/>
  <c r="L221" i="1"/>
  <c r="L222" i="1" s="1"/>
  <c r="P228" i="1"/>
  <c r="K267" i="1"/>
  <c r="K269" i="1"/>
  <c r="C207" i="1"/>
  <c r="C209" i="1"/>
  <c r="V226" i="1"/>
  <c r="V224" i="1" s="1"/>
  <c r="V267" i="1"/>
  <c r="V269" i="1"/>
  <c r="P209" i="1"/>
  <c r="P204" i="1"/>
  <c r="O188" i="1"/>
  <c r="O189" i="1" s="1"/>
  <c r="Q269" i="1"/>
  <c r="Q267" i="1"/>
  <c r="Q226" i="1"/>
  <c r="Q224" i="1" s="1"/>
  <c r="O269" i="1"/>
  <c r="P226" i="1"/>
  <c r="P224" i="1" s="1"/>
  <c r="Q209" i="1"/>
  <c r="Q207" i="1"/>
  <c r="I207" i="1"/>
  <c r="I209" i="1"/>
  <c r="K207" i="1"/>
  <c r="K209" i="1"/>
  <c r="E207" i="1"/>
  <c r="E209" i="1"/>
  <c r="U207" i="1"/>
  <c r="U209" i="1"/>
  <c r="V207" i="1"/>
  <c r="V209" i="1"/>
  <c r="T209" i="1"/>
  <c r="T204" i="1"/>
  <c r="O226" i="1"/>
  <c r="O224" i="1" s="1"/>
  <c r="O267" i="1"/>
  <c r="N209" i="1"/>
  <c r="N204" i="1"/>
  <c r="G209" i="1"/>
  <c r="G207" i="1"/>
  <c r="O209" i="1"/>
  <c r="O207" i="1"/>
  <c r="AQ157" i="1"/>
  <c r="AP161" i="1"/>
  <c r="AQ56" i="1"/>
  <c r="R209" i="1"/>
  <c r="R207" i="1"/>
  <c r="BQ56" i="1"/>
  <c r="BP161" i="1"/>
  <c r="BQ157" i="1"/>
  <c r="BT225" i="1"/>
  <c r="BS225" i="1"/>
  <c r="M209" i="1"/>
  <c r="M207" i="1"/>
  <c r="BH189" i="1"/>
  <c r="C267" i="1"/>
  <c r="B267" i="1"/>
  <c r="B189" i="1"/>
  <c r="BV119" i="1"/>
  <c r="BV118" i="1"/>
  <c r="BV117" i="1"/>
  <c r="BA273" i="1"/>
  <c r="AP42" i="1"/>
  <c r="BL42" i="1"/>
  <c r="BK40" i="1"/>
  <c r="BK51" i="1"/>
  <c r="BK42" i="1"/>
  <c r="AM77" i="1"/>
  <c r="AM230" i="1"/>
  <c r="AM228" i="1" s="1"/>
  <c r="AM78" i="1"/>
  <c r="AM115" i="1"/>
  <c r="AM109" i="1"/>
  <c r="AM108" i="1"/>
  <c r="AM110" i="1"/>
  <c r="AY51" i="1"/>
  <c r="AY40" i="1"/>
  <c r="AZ42" i="1"/>
  <c r="AT41" i="1"/>
  <c r="AP51" i="1"/>
  <c r="AP41" i="1"/>
  <c r="AP40" i="1"/>
  <c r="BQ40" i="1"/>
  <c r="BU41" i="1"/>
  <c r="BU51" i="1"/>
  <c r="BV42" i="1"/>
  <c r="BY41" i="1"/>
  <c r="BU40" i="1"/>
  <c r="BQ57" i="1"/>
  <c r="BQ61" i="1" s="1"/>
  <c r="BQ52" i="1"/>
  <c r="BQ255" i="1"/>
  <c r="BQ256" i="1" s="1"/>
  <c r="AS40" i="1"/>
  <c r="AS51" i="1"/>
  <c r="AS54" i="1" s="1"/>
  <c r="AT42" i="1"/>
  <c r="AW41" i="1"/>
  <c r="AR40" i="1"/>
  <c r="AS42" i="1"/>
  <c r="BI41" i="1"/>
  <c r="BI40" i="1"/>
  <c r="BM41" i="1"/>
  <c r="BI51" i="1"/>
  <c r="BJ42" i="1"/>
  <c r="BP51" i="1"/>
  <c r="BP41" i="1"/>
  <c r="BP40" i="1"/>
  <c r="BQ42" i="1"/>
  <c r="BM40" i="1"/>
  <c r="BQ41" i="1"/>
  <c r="BM51" i="1"/>
  <c r="BM42" i="1"/>
  <c r="BF40" i="1"/>
  <c r="BJ41" i="1"/>
  <c r="BE42" i="1"/>
  <c r="BS42" i="1"/>
  <c r="BD40" i="1"/>
  <c r="BD51" i="1"/>
  <c r="BD53" i="1" s="1"/>
  <c r="BD41" i="1"/>
  <c r="BE51" i="1"/>
  <c r="BE40" i="1"/>
  <c r="BF42" i="1"/>
  <c r="BC42" i="1"/>
  <c r="BT42" i="1"/>
  <c r="AU41" i="1"/>
  <c r="BW41" i="1"/>
  <c r="Q82" i="1"/>
  <c r="BF52" i="1"/>
  <c r="BF57" i="1"/>
  <c r="BF61" i="1" s="1"/>
  <c r="BF255" i="1"/>
  <c r="BF256" i="1" s="1"/>
  <c r="BO51" i="1"/>
  <c r="V82" i="1"/>
  <c r="BP42" i="1"/>
  <c r="BS41" i="1"/>
  <c r="BO41" i="1"/>
  <c r="BO40" i="1"/>
  <c r="AT57" i="1"/>
  <c r="AT61" i="1" s="1"/>
  <c r="AT52" i="1"/>
  <c r="AT255" i="1"/>
  <c r="AT256" i="1" s="1"/>
  <c r="AJ42" i="1"/>
  <c r="AI40" i="1"/>
  <c r="AM41" i="1"/>
  <c r="AI51" i="1"/>
  <c r="N82" i="1"/>
  <c r="BA52" i="1"/>
  <c r="BA255" i="1"/>
  <c r="BA256" i="1" s="1"/>
  <c r="BA57" i="1"/>
  <c r="BA61" i="1" s="1"/>
  <c r="BA53" i="1"/>
  <c r="AW255" i="1"/>
  <c r="AW256" i="1" s="1"/>
  <c r="AW52" i="1"/>
  <c r="AW57" i="1"/>
  <c r="AW61" i="1" s="1"/>
  <c r="AU42" i="1"/>
  <c r="AV42" i="1"/>
  <c r="AU51" i="1"/>
  <c r="AY41" i="1"/>
  <c r="AU40" i="1"/>
  <c r="BV132" i="1"/>
  <c r="BW60" i="1"/>
  <c r="BS51" i="1"/>
  <c r="BS40" i="1"/>
  <c r="BD42" i="1"/>
  <c r="S82" i="1"/>
  <c r="BC51" i="1"/>
  <c r="BC40" i="1"/>
  <c r="BC41" i="1"/>
  <c r="BA54" i="1"/>
  <c r="BH132" i="1"/>
  <c r="BI60" i="1"/>
  <c r="BR51" i="1"/>
  <c r="BR42" i="1"/>
  <c r="BR40" i="1"/>
  <c r="AZ52" i="1"/>
  <c r="AZ255" i="1"/>
  <c r="AZ256" i="1" s="1"/>
  <c r="AZ57" i="1"/>
  <c r="AZ61" i="1" s="1"/>
  <c r="AQ42" i="1"/>
  <c r="BH51" i="1"/>
  <c r="BH40" i="1"/>
  <c r="BL41" i="1"/>
  <c r="BH41" i="1"/>
  <c r="BB41" i="1"/>
  <c r="AX42" i="1"/>
  <c r="AX40" i="1"/>
  <c r="AX41" i="1"/>
  <c r="AX51" i="1"/>
  <c r="BN41" i="1"/>
  <c r="BR41" i="1"/>
  <c r="BN51" i="1"/>
  <c r="U82" i="1"/>
  <c r="BN40" i="1"/>
  <c r="BN42" i="1"/>
  <c r="AR255" i="1"/>
  <c r="AR256" i="1" s="1"/>
  <c r="BO42" i="1"/>
  <c r="BG42" i="1"/>
  <c r="BG41" i="1"/>
  <c r="BG40" i="1"/>
  <c r="BH42" i="1"/>
  <c r="BK41" i="1"/>
  <c r="T82" i="1"/>
  <c r="BG51" i="1"/>
  <c r="AN51" i="1"/>
  <c r="AO42" i="1"/>
  <c r="AN41" i="1"/>
  <c r="AR41" i="1"/>
  <c r="AN42" i="1"/>
  <c r="AN40" i="1"/>
  <c r="AV51" i="1"/>
  <c r="AV40" i="1"/>
  <c r="AW42" i="1"/>
  <c r="AV41" i="1"/>
  <c r="AZ41" i="1"/>
  <c r="BW42" i="1"/>
  <c r="BW40" i="1"/>
  <c r="X82" i="1"/>
  <c r="CA41" i="1"/>
  <c r="BX42" i="1"/>
  <c r="BW51" i="1"/>
  <c r="BU42" i="1"/>
  <c r="BT51" i="1"/>
  <c r="BX41" i="1"/>
  <c r="BT40" i="1"/>
  <c r="BT41" i="1"/>
  <c r="BV57" i="1"/>
  <c r="BV61" i="1" s="1"/>
  <c r="BZ53" i="1"/>
  <c r="BV52" i="1"/>
  <c r="BV255" i="1"/>
  <c r="BV256" i="1" s="1"/>
  <c r="BW161" i="1"/>
  <c r="BX56" i="1"/>
  <c r="AR57" i="1"/>
  <c r="AR61" i="1" s="1"/>
  <c r="AY42" i="1"/>
  <c r="BI42" i="1"/>
  <c r="BV267" i="1"/>
  <c r="BV269" i="1"/>
  <c r="AO41" i="1"/>
  <c r="AO51" i="1"/>
  <c r="AO40" i="1"/>
  <c r="AS41" i="1"/>
  <c r="BH269" i="1"/>
  <c r="BH267" i="1"/>
  <c r="O82" i="1"/>
  <c r="BV188" i="1"/>
  <c r="BV189" i="1" s="1"/>
  <c r="AQ51" i="1"/>
  <c r="P82" i="1"/>
  <c r="AQ41" i="1"/>
  <c r="AQ40" i="1"/>
  <c r="AR42" i="1"/>
  <c r="BJ56" i="1"/>
  <c r="BI161" i="1"/>
  <c r="BJ226" i="1" s="1"/>
  <c r="BJ224" i="1" s="1"/>
  <c r="BB40" i="1"/>
  <c r="R82" i="1"/>
  <c r="BB51" i="1"/>
  <c r="BF41" i="1"/>
  <c r="BB42" i="1"/>
  <c r="BJ64" i="1"/>
  <c r="BJ63" i="1"/>
  <c r="CR217" i="1"/>
  <c r="CR155" i="1"/>
  <c r="CQ226" i="1"/>
  <c r="CQ224" i="1" s="1"/>
  <c r="AB229" i="1"/>
  <c r="DB86" i="1"/>
  <c r="DB88" i="1" s="1"/>
  <c r="DA88" i="1"/>
  <c r="T236" i="1" l="1"/>
  <c r="AU225" i="1"/>
  <c r="BU157" i="1"/>
  <c r="BT161" i="1"/>
  <c r="BT267" i="1" s="1"/>
  <c r="AV229" i="1"/>
  <c r="BA225" i="1"/>
  <c r="BE272" i="1"/>
  <c r="AW229" i="1"/>
  <c r="BS56" i="1"/>
  <c r="BS157" i="1"/>
  <c r="BS161" i="1" s="1"/>
  <c r="BR161" i="1"/>
  <c r="BR267" i="1" s="1"/>
  <c r="BR180" i="1"/>
  <c r="BQ272" i="1"/>
  <c r="BT191" i="1"/>
  <c r="BU60" i="1" s="1"/>
  <c r="T233" i="1"/>
  <c r="T234" i="1" s="1"/>
  <c r="BA157" i="1"/>
  <c r="BA161" i="1" s="1"/>
  <c r="BA56" i="1"/>
  <c r="AZ161" i="1"/>
  <c r="AZ267" i="1" s="1"/>
  <c r="BH229" i="1"/>
  <c r="BH272" i="1"/>
  <c r="BN161" i="1"/>
  <c r="BN269" i="1" s="1"/>
  <c r="BO157" i="1"/>
  <c r="BP56" i="1" s="1"/>
  <c r="BO56" i="1"/>
  <c r="BF272" i="1"/>
  <c r="BS272" i="1"/>
  <c r="AS272" i="1"/>
  <c r="BC229" i="1"/>
  <c r="AR161" i="1"/>
  <c r="AR267" i="1" s="1"/>
  <c r="AS56" i="1"/>
  <c r="AS157" i="1"/>
  <c r="AT56" i="1" s="1"/>
  <c r="AW56" i="1"/>
  <c r="AV161" i="1"/>
  <c r="AV269" i="1" s="1"/>
  <c r="AW157" i="1"/>
  <c r="AW161" i="1" s="1"/>
  <c r="BN271" i="1"/>
  <c r="BN115" i="1"/>
  <c r="BN118" i="1" s="1"/>
  <c r="AT118" i="1"/>
  <c r="AT119" i="1"/>
  <c r="AT117" i="1"/>
  <c r="BR119" i="1"/>
  <c r="BR117" i="1"/>
  <c r="BR118" i="1"/>
  <c r="AX229" i="1"/>
  <c r="AQ229" i="1"/>
  <c r="AP229" i="1"/>
  <c r="AV209" i="1"/>
  <c r="AP271" i="1"/>
  <c r="AQ232" i="1"/>
  <c r="AT161" i="1"/>
  <c r="AT267" i="1" s="1"/>
  <c r="AU56" i="1"/>
  <c r="AU157" i="1"/>
  <c r="AV56" i="1" s="1"/>
  <c r="AV191" i="1"/>
  <c r="AV132" i="1" s="1"/>
  <c r="AV272" i="1"/>
  <c r="AV152" i="1"/>
  <c r="BA229" i="1"/>
  <c r="BA272" i="1"/>
  <c r="BA274" i="1" s="1"/>
  <c r="AO232" i="1"/>
  <c r="AN271" i="1"/>
  <c r="BR271" i="1"/>
  <c r="BS232" i="1"/>
  <c r="AO157" i="1"/>
  <c r="AO161" i="1" s="1"/>
  <c r="AO56" i="1"/>
  <c r="AN161" i="1"/>
  <c r="AN269" i="1" s="1"/>
  <c r="BP225" i="1"/>
  <c r="BO225" i="1"/>
  <c r="AZ180" i="1"/>
  <c r="AZ205" i="1"/>
  <c r="AX115" i="1"/>
  <c r="AX119" i="1" s="1"/>
  <c r="AX271" i="1"/>
  <c r="BG157" i="1"/>
  <c r="BG161" i="1" s="1"/>
  <c r="BG56" i="1"/>
  <c r="BB161" i="1"/>
  <c r="BB267" i="1" s="1"/>
  <c r="BC56" i="1"/>
  <c r="BE157" i="1"/>
  <c r="BE161" i="1" s="1"/>
  <c r="BE56" i="1"/>
  <c r="AZ115" i="1"/>
  <c r="AZ271" i="1"/>
  <c r="AO225" i="1"/>
  <c r="AP225" i="1"/>
  <c r="AN191" i="1"/>
  <c r="AO60" i="1" s="1"/>
  <c r="AN272" i="1"/>
  <c r="AN229" i="1"/>
  <c r="AN152" i="1"/>
  <c r="AU229" i="1"/>
  <c r="AT229" i="1"/>
  <c r="AT191" i="1"/>
  <c r="AT132" i="1" s="1"/>
  <c r="AP118" i="1"/>
  <c r="AP117" i="1"/>
  <c r="AP119" i="1"/>
  <c r="AX152" i="1"/>
  <c r="AX191" i="1"/>
  <c r="AY60" i="1" s="1"/>
  <c r="AY157" i="1"/>
  <c r="AY56" i="1"/>
  <c r="AX161" i="1"/>
  <c r="AX269" i="1" s="1"/>
  <c r="AZ191" i="1"/>
  <c r="AZ132" i="1" s="1"/>
  <c r="AZ152" i="1"/>
  <c r="BO229" i="1"/>
  <c r="BO272" i="1"/>
  <c r="AZ272" i="1"/>
  <c r="AY229" i="1"/>
  <c r="AR271" i="1"/>
  <c r="AR115" i="1"/>
  <c r="AR117" i="1" s="1"/>
  <c r="AV115" i="1"/>
  <c r="AV118" i="1" s="1"/>
  <c r="AV271" i="1"/>
  <c r="BP115" i="1"/>
  <c r="BP271" i="1"/>
  <c r="AT180" i="1"/>
  <c r="AT205" i="1"/>
  <c r="AT209" i="1" s="1"/>
  <c r="BF271" i="1"/>
  <c r="BF115" i="1"/>
  <c r="BT271" i="1"/>
  <c r="BT115" i="1"/>
  <c r="AP191" i="1"/>
  <c r="AP132" i="1" s="1"/>
  <c r="AP152" i="1"/>
  <c r="BD180" i="1"/>
  <c r="BD191" i="1"/>
  <c r="BD132" i="1" s="1"/>
  <c r="AX272" i="1"/>
  <c r="BR191" i="1"/>
  <c r="BD161" i="1"/>
  <c r="BD272" i="1"/>
  <c r="BB180" i="1"/>
  <c r="BD229" i="1"/>
  <c r="AN180" i="1"/>
  <c r="BS229" i="1"/>
  <c r="AV180" i="1"/>
  <c r="BP209" i="1"/>
  <c r="BP212" i="1" s="1"/>
  <c r="AW272" i="1"/>
  <c r="BB271" i="1"/>
  <c r="BP191" i="1"/>
  <c r="AT271" i="1"/>
  <c r="AQ272" i="1"/>
  <c r="BR152" i="1"/>
  <c r="BF229" i="1"/>
  <c r="AR229" i="1"/>
  <c r="BR229" i="1"/>
  <c r="BF161" i="1"/>
  <c r="BR272" i="1"/>
  <c r="BP180" i="1"/>
  <c r="BP188" i="1" s="1"/>
  <c r="BC157" i="1"/>
  <c r="BU229" i="1"/>
  <c r="AO229" i="1"/>
  <c r="AP272" i="1"/>
  <c r="AT272" i="1"/>
  <c r="BV272" i="1"/>
  <c r="AO272" i="1"/>
  <c r="AR152" i="1"/>
  <c r="AP180" i="1"/>
  <c r="AP188" i="1" s="1"/>
  <c r="AY272" i="1"/>
  <c r="AT152" i="1"/>
  <c r="BB118" i="1"/>
  <c r="AR191" i="1"/>
  <c r="AS60" i="1" s="1"/>
  <c r="BB191" i="1"/>
  <c r="BR205" i="1"/>
  <c r="AZ229" i="1"/>
  <c r="AS229" i="1"/>
  <c r="BC272" i="1"/>
  <c r="AW225" i="1"/>
  <c r="BT180" i="1"/>
  <c r="BN152" i="1"/>
  <c r="AR272" i="1"/>
  <c r="BB229" i="1"/>
  <c r="AU272" i="1"/>
  <c r="BN191" i="1"/>
  <c r="BN132" i="1" s="1"/>
  <c r="BF180" i="1"/>
  <c r="P236" i="1"/>
  <c r="BE229" i="1"/>
  <c r="BN229" i="1"/>
  <c r="BD152" i="1"/>
  <c r="BB272" i="1"/>
  <c r="BD115" i="1"/>
  <c r="BD118" i="1" s="1"/>
  <c r="BP229" i="1"/>
  <c r="BP272" i="1"/>
  <c r="BF191" i="1"/>
  <c r="BG60" i="1" s="1"/>
  <c r="BB152" i="1"/>
  <c r="R269" i="1"/>
  <c r="S226" i="1"/>
  <c r="S224" i="1" s="1"/>
  <c r="S236" i="1" s="1"/>
  <c r="R267" i="1"/>
  <c r="BG229" i="1"/>
  <c r="AX180" i="1"/>
  <c r="BG272" i="1"/>
  <c r="R226" i="1"/>
  <c r="R224" i="1" s="1"/>
  <c r="R236" i="1" s="1"/>
  <c r="BD271" i="1"/>
  <c r="BQ229" i="1"/>
  <c r="BP152" i="1"/>
  <c r="BT229" i="1"/>
  <c r="AR180" i="1"/>
  <c r="BT152" i="1"/>
  <c r="BT272" i="1"/>
  <c r="BU272" i="1"/>
  <c r="BF152" i="1"/>
  <c r="BB117" i="1"/>
  <c r="BN180" i="1"/>
  <c r="D93" i="1"/>
  <c r="B110" i="1"/>
  <c r="B108" i="1"/>
  <c r="B109" i="1"/>
  <c r="C110" i="1"/>
  <c r="C108" i="1"/>
  <c r="C93" i="1"/>
  <c r="B112" i="1"/>
  <c r="D233" i="1"/>
  <c r="D234" i="1" s="1"/>
  <c r="D236" i="1"/>
  <c r="C109" i="1"/>
  <c r="V212" i="1"/>
  <c r="V213" i="1" s="1"/>
  <c r="K236" i="1"/>
  <c r="Q236" i="1"/>
  <c r="J236" i="1"/>
  <c r="I236" i="1"/>
  <c r="H233" i="1"/>
  <c r="H234" i="1" s="1"/>
  <c r="P233" i="1"/>
  <c r="P234" i="1" s="1"/>
  <c r="K233" i="1"/>
  <c r="K234" i="1" s="1"/>
  <c r="Q233" i="1"/>
  <c r="Q234" i="1" s="1"/>
  <c r="I233" i="1"/>
  <c r="I234" i="1" s="1"/>
  <c r="M236" i="1"/>
  <c r="N236" i="1"/>
  <c r="H236" i="1"/>
  <c r="J233" i="1"/>
  <c r="J234" i="1" s="1"/>
  <c r="U236" i="1"/>
  <c r="U233" i="1"/>
  <c r="U234" i="1" s="1"/>
  <c r="D267" i="1"/>
  <c r="D189" i="1"/>
  <c r="N233" i="1"/>
  <c r="N234" i="1" s="1"/>
  <c r="M233" i="1"/>
  <c r="M234" i="1" s="1"/>
  <c r="I212" i="1"/>
  <c r="I213" i="1" s="1"/>
  <c r="G233" i="1"/>
  <c r="G234" i="1" s="1"/>
  <c r="G236" i="1"/>
  <c r="F236" i="1"/>
  <c r="F233" i="1"/>
  <c r="F234" i="1" s="1"/>
  <c r="E233" i="1"/>
  <c r="E234" i="1" s="1"/>
  <c r="E236" i="1"/>
  <c r="C233" i="1"/>
  <c r="C234" i="1" s="1"/>
  <c r="C236" i="1"/>
  <c r="V233" i="1"/>
  <c r="V234" i="1" s="1"/>
  <c r="V236" i="1"/>
  <c r="AN117" i="1"/>
  <c r="AN119" i="1"/>
  <c r="O236" i="1"/>
  <c r="J212" i="1"/>
  <c r="J213" i="1" s="1"/>
  <c r="Q212" i="1"/>
  <c r="Q213" i="1" s="1"/>
  <c r="O233" i="1"/>
  <c r="O234" i="1" s="1"/>
  <c r="L236" i="1"/>
  <c r="L233" i="1"/>
  <c r="L234" i="1" s="1"/>
  <c r="D108" i="1"/>
  <c r="D109" i="1"/>
  <c r="D110" i="1"/>
  <c r="C112" i="1"/>
  <c r="L212" i="1"/>
  <c r="L213" i="1" s="1"/>
  <c r="K212" i="1"/>
  <c r="K213" i="1" s="1"/>
  <c r="E212" i="1"/>
  <c r="E213" i="1" s="1"/>
  <c r="F212" i="1"/>
  <c r="F213" i="1" s="1"/>
  <c r="H212" i="1"/>
  <c r="H213" i="1" s="1"/>
  <c r="G212" i="1"/>
  <c r="G213" i="1" s="1"/>
  <c r="C212" i="1"/>
  <c r="C213" i="1" s="1"/>
  <c r="D212" i="1"/>
  <c r="D213" i="1" s="1"/>
  <c r="AP269" i="1"/>
  <c r="AP267" i="1"/>
  <c r="BT269" i="1"/>
  <c r="BR56" i="1"/>
  <c r="BQ161" i="1"/>
  <c r="AN204" i="1"/>
  <c r="AN209" i="1"/>
  <c r="S212" i="1"/>
  <c r="S213" i="1" s="1"/>
  <c r="R212" i="1"/>
  <c r="R213" i="1" s="1"/>
  <c r="BV56" i="1"/>
  <c r="BU161" i="1"/>
  <c r="AQ161" i="1"/>
  <c r="AR56" i="1"/>
  <c r="AR209" i="1"/>
  <c r="AR207" i="1"/>
  <c r="AV117" i="1"/>
  <c r="T212" i="1"/>
  <c r="T213" i="1" s="1"/>
  <c r="U212" i="1"/>
  <c r="U213" i="1" s="1"/>
  <c r="P212" i="1"/>
  <c r="P213" i="1" s="1"/>
  <c r="O212" i="1"/>
  <c r="O213" i="1" s="1"/>
  <c r="BP269" i="1"/>
  <c r="BP267" i="1"/>
  <c r="M212" i="1"/>
  <c r="M213" i="1" s="1"/>
  <c r="N212" i="1"/>
  <c r="N213" i="1" s="1"/>
  <c r="AP209" i="1"/>
  <c r="AP212" i="1" s="1"/>
  <c r="AP207" i="1"/>
  <c r="AX204" i="1"/>
  <c r="AX209" i="1"/>
  <c r="BF204" i="1"/>
  <c r="BF209" i="1"/>
  <c r="BJ212" i="1" s="1"/>
  <c r="AV204" i="1"/>
  <c r="BN204" i="1"/>
  <c r="BN209" i="1"/>
  <c r="BB209" i="1"/>
  <c r="BB204" i="1"/>
  <c r="BD204" i="1"/>
  <c r="BD209" i="1"/>
  <c r="BT209" i="1"/>
  <c r="BT204" i="1"/>
  <c r="BX226" i="1"/>
  <c r="BX224" i="1" s="1"/>
  <c r="BW226" i="1"/>
  <c r="BW224" i="1" s="1"/>
  <c r="BA249" i="1"/>
  <c r="BL135" i="1"/>
  <c r="AQ273" i="1"/>
  <c r="AT53" i="1"/>
  <c r="AQ54" i="1"/>
  <c r="BS249" i="1"/>
  <c r="BO53" i="1"/>
  <c r="BK53" i="1"/>
  <c r="BX249" i="1"/>
  <c r="BK54" i="1"/>
  <c r="BK52" i="1"/>
  <c r="BL54" i="1"/>
  <c r="BK255" i="1"/>
  <c r="BK256" i="1" s="1"/>
  <c r="BK57" i="1"/>
  <c r="BK61" i="1" s="1"/>
  <c r="BK273" i="1"/>
  <c r="BK274" i="1" s="1"/>
  <c r="BL273" i="1"/>
  <c r="BL274" i="1" s="1"/>
  <c r="AM117" i="1"/>
  <c r="AM118" i="1"/>
  <c r="AM119" i="1"/>
  <c r="AY52" i="1"/>
  <c r="AY255" i="1"/>
  <c r="AY256" i="1" s="1"/>
  <c r="AY57" i="1"/>
  <c r="AY61" i="1" s="1"/>
  <c r="AZ273" i="1"/>
  <c r="AZ54" i="1"/>
  <c r="AP52" i="1"/>
  <c r="AP53" i="1"/>
  <c r="AP255" i="1"/>
  <c r="AP256" i="1" s="1"/>
  <c r="AP57" i="1"/>
  <c r="AP61" i="1" s="1"/>
  <c r="BV273" i="1"/>
  <c r="BV54" i="1"/>
  <c r="BM135" i="1"/>
  <c r="BM249" i="1"/>
  <c r="BU53" i="1"/>
  <c r="BU52" i="1"/>
  <c r="BU255" i="1"/>
  <c r="BU256" i="1" s="1"/>
  <c r="BY53" i="1"/>
  <c r="BU57" i="1"/>
  <c r="BU61" i="1" s="1"/>
  <c r="S83" i="1"/>
  <c r="BK135" i="1"/>
  <c r="U83" i="1"/>
  <c r="AS255" i="1"/>
  <c r="AS256" i="1" s="1"/>
  <c r="AS57" i="1"/>
  <c r="AS61" i="1" s="1"/>
  <c r="AW53" i="1"/>
  <c r="AT54" i="1"/>
  <c r="AS273" i="1"/>
  <c r="AS52" i="1"/>
  <c r="AT273" i="1"/>
  <c r="AS249" i="1"/>
  <c r="AS135" i="1"/>
  <c r="BF273" i="1"/>
  <c r="BE53" i="1"/>
  <c r="BI255" i="1"/>
  <c r="BI256" i="1" s="1"/>
  <c r="BI57" i="1"/>
  <c r="BI52" i="1"/>
  <c r="BL249" i="1"/>
  <c r="BJ54" i="1"/>
  <c r="BJ273" i="1"/>
  <c r="BJ274" i="1" s="1"/>
  <c r="BQ54" i="1"/>
  <c r="BP52" i="1"/>
  <c r="BP53" i="1"/>
  <c r="BP255" i="1"/>
  <c r="BP256" i="1" s="1"/>
  <c r="BP57" i="1"/>
  <c r="BP61" i="1" s="1"/>
  <c r="BQ273" i="1"/>
  <c r="BM57" i="1"/>
  <c r="BM61" i="1" s="1"/>
  <c r="BM52" i="1"/>
  <c r="BQ53" i="1"/>
  <c r="BM54" i="1"/>
  <c r="BM53" i="1"/>
  <c r="BM255" i="1"/>
  <c r="BM256" i="1" s="1"/>
  <c r="BM273" i="1"/>
  <c r="BM274" i="1" s="1"/>
  <c r="BD273" i="1"/>
  <c r="O83" i="1"/>
  <c r="AP54" i="1"/>
  <c r="BE54" i="1"/>
  <c r="BD57" i="1"/>
  <c r="BD61" i="1" s="1"/>
  <c r="BD52" i="1"/>
  <c r="BD255" i="1"/>
  <c r="BD256" i="1" s="1"/>
  <c r="BE273" i="1"/>
  <c r="BI53" i="1"/>
  <c r="BE255" i="1"/>
  <c r="BE256" i="1" s="1"/>
  <c r="BE52" i="1"/>
  <c r="BE57" i="1"/>
  <c r="BE61" i="1" s="1"/>
  <c r="BF54" i="1"/>
  <c r="BF64" i="1"/>
  <c r="BF63" i="1"/>
  <c r="BO52" i="1"/>
  <c r="BO57" i="1"/>
  <c r="BO61" i="1" s="1"/>
  <c r="BO255" i="1"/>
  <c r="BO256" i="1" s="1"/>
  <c r="BP54" i="1"/>
  <c r="BP273" i="1"/>
  <c r="BH133" i="1"/>
  <c r="BH134" i="1"/>
  <c r="AX249" i="1"/>
  <c r="BT273" i="1"/>
  <c r="BC54" i="1"/>
  <c r="AJ54" i="1"/>
  <c r="AL135" i="1"/>
  <c r="AI52" i="1"/>
  <c r="AM53" i="1"/>
  <c r="AI57" i="1"/>
  <c r="N83" i="1"/>
  <c r="AL249" i="1"/>
  <c r="AI255" i="1"/>
  <c r="AI256" i="1" s="1"/>
  <c r="AW249" i="1"/>
  <c r="AU249" i="1"/>
  <c r="AW135" i="1"/>
  <c r="AU54" i="1"/>
  <c r="AU273" i="1"/>
  <c r="AU135" i="1"/>
  <c r="AV249" i="1"/>
  <c r="AU255" i="1"/>
  <c r="AU256" i="1" s="1"/>
  <c r="AU52" i="1"/>
  <c r="AU57" i="1"/>
  <c r="AU61" i="1" s="1"/>
  <c r="AY53" i="1"/>
  <c r="AV54" i="1"/>
  <c r="AV273" i="1"/>
  <c r="AU53" i="1"/>
  <c r="BV133" i="1"/>
  <c r="BV134" i="1"/>
  <c r="BS53" i="1"/>
  <c r="BS57" i="1"/>
  <c r="BS61" i="1" s="1"/>
  <c r="BS52" i="1"/>
  <c r="BS255" i="1"/>
  <c r="BS256" i="1" s="1"/>
  <c r="BS273" i="1"/>
  <c r="BD54" i="1"/>
  <c r="BG53" i="1"/>
  <c r="BF135" i="1"/>
  <c r="BC57" i="1"/>
  <c r="BC52" i="1"/>
  <c r="BC255" i="1"/>
  <c r="BC256" i="1" s="1"/>
  <c r="BF249" i="1"/>
  <c r="BC53" i="1"/>
  <c r="BV53" i="1"/>
  <c r="BS135" i="1"/>
  <c r="BT249" i="1"/>
  <c r="AQ249" i="1"/>
  <c r="AZ64" i="1"/>
  <c r="AZ63" i="1"/>
  <c r="BV249" i="1"/>
  <c r="BR273" i="1"/>
  <c r="BR52" i="1"/>
  <c r="BR54" i="1"/>
  <c r="BS54" i="1"/>
  <c r="V83" i="1"/>
  <c r="BR249" i="1"/>
  <c r="BR255" i="1"/>
  <c r="BR256" i="1" s="1"/>
  <c r="BR135" i="1"/>
  <c r="BR57" i="1"/>
  <c r="BN135" i="1"/>
  <c r="BN249" i="1"/>
  <c r="BA135" i="1"/>
  <c r="AX135" i="1"/>
  <c r="AY135" i="1"/>
  <c r="AY249" i="1"/>
  <c r="AY54" i="1"/>
  <c r="AY273" i="1"/>
  <c r="AZ135" i="1"/>
  <c r="BV135" i="1"/>
  <c r="AQ135" i="1"/>
  <c r="BT135" i="1"/>
  <c r="BT54" i="1"/>
  <c r="AR249" i="1"/>
  <c r="AP249" i="1"/>
  <c r="AP273" i="1"/>
  <c r="AP135" i="1"/>
  <c r="BK249" i="1"/>
  <c r="BX135" i="1"/>
  <c r="AV135" i="1"/>
  <c r="Q83" i="1"/>
  <c r="BI226" i="1"/>
  <c r="BI224" i="1" s="1"/>
  <c r="BV63" i="1"/>
  <c r="BV64" i="1"/>
  <c r="BD249" i="1"/>
  <c r="BC135" i="1"/>
  <c r="BC249" i="1"/>
  <c r="BB249" i="1"/>
  <c r="R83" i="1"/>
  <c r="AV57" i="1"/>
  <c r="AZ53" i="1"/>
  <c r="AV52" i="1"/>
  <c r="AV255" i="1"/>
  <c r="AV256" i="1" s="1"/>
  <c r="AW273" i="1"/>
  <c r="AW54" i="1"/>
  <c r="BG52" i="1"/>
  <c r="BH249" i="1"/>
  <c r="T83" i="1"/>
  <c r="BG135" i="1"/>
  <c r="BJ135" i="1"/>
  <c r="BG273" i="1"/>
  <c r="BI249" i="1"/>
  <c r="BG57" i="1"/>
  <c r="BI135" i="1"/>
  <c r="BG255" i="1"/>
  <c r="BG256" i="1" s="1"/>
  <c r="BH135" i="1"/>
  <c r="BJ249" i="1"/>
  <c r="BH54" i="1"/>
  <c r="BG249" i="1"/>
  <c r="BG54" i="1"/>
  <c r="BL53" i="1"/>
  <c r="BH52" i="1"/>
  <c r="BH57" i="1"/>
  <c r="BH61" i="1" s="1"/>
  <c r="BH255" i="1"/>
  <c r="BH256" i="1" s="1"/>
  <c r="BH273" i="1"/>
  <c r="BH53" i="1"/>
  <c r="BI273" i="1"/>
  <c r="BI274" i="1" s="1"/>
  <c r="BI54" i="1"/>
  <c r="BW53" i="1"/>
  <c r="AN273" i="1"/>
  <c r="AN57" i="1"/>
  <c r="AO249" i="1"/>
  <c r="AN54" i="1"/>
  <c r="AN52" i="1"/>
  <c r="AN255" i="1"/>
  <c r="AN256" i="1" s="1"/>
  <c r="AN249" i="1"/>
  <c r="AR53" i="1"/>
  <c r="AO135" i="1"/>
  <c r="AN135" i="1"/>
  <c r="AO54" i="1"/>
  <c r="AN53" i="1"/>
  <c r="BW54" i="1"/>
  <c r="BN57" i="1"/>
  <c r="BP249" i="1"/>
  <c r="BO249" i="1"/>
  <c r="BR53" i="1"/>
  <c r="BQ135" i="1"/>
  <c r="BN52" i="1"/>
  <c r="BO54" i="1"/>
  <c r="BN54" i="1"/>
  <c r="BN255" i="1"/>
  <c r="BN256" i="1" s="1"/>
  <c r="BO273" i="1"/>
  <c r="BN273" i="1"/>
  <c r="BN274" i="1" s="1"/>
  <c r="BN53" i="1"/>
  <c r="BP135" i="1"/>
  <c r="BQ249" i="1"/>
  <c r="BO135" i="1"/>
  <c r="AX273" i="1"/>
  <c r="AX255" i="1"/>
  <c r="AX256" i="1" s="1"/>
  <c r="AX53" i="1"/>
  <c r="BB53" i="1"/>
  <c r="AZ249" i="1"/>
  <c r="AX57" i="1"/>
  <c r="AX54" i="1"/>
  <c r="AX52" i="1"/>
  <c r="BB57" i="1"/>
  <c r="BF53" i="1"/>
  <c r="BB255" i="1"/>
  <c r="BB256" i="1" s="1"/>
  <c r="BB135" i="1"/>
  <c r="BD135" i="1"/>
  <c r="BB52" i="1"/>
  <c r="BB273" i="1"/>
  <c r="BB54" i="1"/>
  <c r="BW249" i="1"/>
  <c r="BW255" i="1"/>
  <c r="BW256" i="1" s="1"/>
  <c r="BX54" i="1"/>
  <c r="X83" i="1"/>
  <c r="BW52" i="1"/>
  <c r="BZ135" i="1"/>
  <c r="BZ249" i="1"/>
  <c r="BW273" i="1"/>
  <c r="BW274" i="1" s="1"/>
  <c r="BW57" i="1"/>
  <c r="BY135" i="1"/>
  <c r="CA53" i="1"/>
  <c r="BX273" i="1"/>
  <c r="BX274" i="1" s="1"/>
  <c r="BY249" i="1"/>
  <c r="BC273" i="1"/>
  <c r="BE249" i="1"/>
  <c r="BE135" i="1"/>
  <c r="AQ52" i="1"/>
  <c r="AT249" i="1"/>
  <c r="AQ255" i="1"/>
  <c r="AQ256" i="1" s="1"/>
  <c r="P83" i="1"/>
  <c r="AQ57" i="1"/>
  <c r="AQ53" i="1"/>
  <c r="AR54" i="1"/>
  <c r="AR273" i="1"/>
  <c r="AT135" i="1"/>
  <c r="AO255" i="1"/>
  <c r="AO256" i="1" s="1"/>
  <c r="AO57" i="1"/>
  <c r="AO61" i="1" s="1"/>
  <c r="AO63" i="1" s="1"/>
  <c r="AR135" i="1"/>
  <c r="AO273" i="1"/>
  <c r="AO53" i="1"/>
  <c r="AS53" i="1"/>
  <c r="AO52" i="1"/>
  <c r="AR64" i="1"/>
  <c r="AR63" i="1"/>
  <c r="BT57" i="1"/>
  <c r="BU273" i="1"/>
  <c r="BT52" i="1"/>
  <c r="BX53" i="1"/>
  <c r="BU54" i="1"/>
  <c r="BT255" i="1"/>
  <c r="BT256" i="1" s="1"/>
  <c r="BT53" i="1"/>
  <c r="BW135" i="1"/>
  <c r="BU135" i="1"/>
  <c r="AV53" i="1"/>
  <c r="BJ257" i="1"/>
  <c r="BJ65" i="1"/>
  <c r="BJ268" i="1" s="1"/>
  <c r="BJ71" i="1"/>
  <c r="BQ63" i="1"/>
  <c r="BQ64" i="1"/>
  <c r="BA64" i="1"/>
  <c r="BA63" i="1"/>
  <c r="AW63" i="1"/>
  <c r="AW64" i="1"/>
  <c r="AT64" i="1"/>
  <c r="AT63" i="1"/>
  <c r="CR157" i="1"/>
  <c r="AE165" i="1"/>
  <c r="AC147" i="1"/>
  <c r="BB269" i="1" l="1"/>
  <c r="BB188" i="1"/>
  <c r="BT188" i="1"/>
  <c r="BE274" i="1"/>
  <c r="AX117" i="1"/>
  <c r="BE60" i="1"/>
  <c r="AX56" i="1"/>
  <c r="BR188" i="1"/>
  <c r="BR189" i="1" s="1"/>
  <c r="AT269" i="1"/>
  <c r="S233" i="1"/>
  <c r="S234" i="1" s="1"/>
  <c r="AV188" i="1"/>
  <c r="AV189" i="1" s="1"/>
  <c r="AN132" i="1"/>
  <c r="AN134" i="1" s="1"/>
  <c r="AN137" i="1" s="1"/>
  <c r="BB56" i="1"/>
  <c r="AV267" i="1"/>
  <c r="AP189" i="1"/>
  <c r="AT188" i="1"/>
  <c r="AT189" i="1" s="1"/>
  <c r="AQ60" i="1"/>
  <c r="BF56" i="1"/>
  <c r="AX118" i="1"/>
  <c r="AZ269" i="1"/>
  <c r="AR269" i="1"/>
  <c r="AU60" i="1"/>
  <c r="BN117" i="1"/>
  <c r="BR269" i="1"/>
  <c r="AZ188" i="1"/>
  <c r="AZ189" i="1" s="1"/>
  <c r="BN226" i="1"/>
  <c r="BN224" i="1" s="1"/>
  <c r="BT56" i="1"/>
  <c r="BH274" i="1"/>
  <c r="BD188" i="1"/>
  <c r="BD189" i="1" s="1"/>
  <c r="BO161" i="1"/>
  <c r="BP226" i="1" s="1"/>
  <c r="BP224" i="1" s="1"/>
  <c r="AX267" i="1"/>
  <c r="BQ274" i="1"/>
  <c r="BT132" i="1"/>
  <c r="BT134" i="1" s="1"/>
  <c r="BT137" i="1" s="1"/>
  <c r="AT204" i="1"/>
  <c r="BH56" i="1"/>
  <c r="AN188" i="1"/>
  <c r="AN189" i="1" s="1"/>
  <c r="AX132" i="1"/>
  <c r="AX133" i="1" s="1"/>
  <c r="AX136" i="1" s="1"/>
  <c r="AR118" i="1"/>
  <c r="AN267" i="1"/>
  <c r="BN119" i="1"/>
  <c r="AW60" i="1"/>
  <c r="AR188" i="1"/>
  <c r="BA60" i="1"/>
  <c r="AU161" i="1"/>
  <c r="AV226" i="1" s="1"/>
  <c r="AV224" i="1" s="1"/>
  <c r="AR119" i="1"/>
  <c r="BD269" i="1"/>
  <c r="BN267" i="1"/>
  <c r="AS161" i="1"/>
  <c r="AS226" i="1" s="1"/>
  <c r="AS224" i="1" s="1"/>
  <c r="AV119" i="1"/>
  <c r="AN226" i="1"/>
  <c r="AN224" i="1" s="1"/>
  <c r="BN188" i="1"/>
  <c r="BN189" i="1" s="1"/>
  <c r="AP56" i="1"/>
  <c r="BD267" i="1"/>
  <c r="AZ274" i="1"/>
  <c r="AS274" i="1"/>
  <c r="AT274" i="1"/>
  <c r="BF274" i="1"/>
  <c r="BT274" i="1"/>
  <c r="AV274" i="1"/>
  <c r="BS274" i="1"/>
  <c r="AP274" i="1"/>
  <c r="AW274" i="1"/>
  <c r="AN274" i="1"/>
  <c r="BO274" i="1"/>
  <c r="AX274" i="1"/>
  <c r="BU274" i="1"/>
  <c r="BP189" i="1"/>
  <c r="AZ118" i="1"/>
  <c r="AZ119" i="1"/>
  <c r="AZ117" i="1"/>
  <c r="AZ56" i="1"/>
  <c r="AY161" i="1"/>
  <c r="BS60" i="1"/>
  <c r="BR132" i="1"/>
  <c r="BB132" i="1"/>
  <c r="BC60" i="1"/>
  <c r="BP118" i="1"/>
  <c r="BP119" i="1"/>
  <c r="BP117" i="1"/>
  <c r="AX188" i="1"/>
  <c r="AX189" i="1" s="1"/>
  <c r="AR189" i="1"/>
  <c r="AQ274" i="1"/>
  <c r="AZ209" i="1"/>
  <c r="AZ204" i="1"/>
  <c r="BF118" i="1"/>
  <c r="BF119" i="1"/>
  <c r="BF117" i="1"/>
  <c r="BT119" i="1"/>
  <c r="BT118" i="1"/>
  <c r="BT117" i="1"/>
  <c r="BP132" i="1"/>
  <c r="BQ60" i="1"/>
  <c r="BF188" i="1"/>
  <c r="BF189" i="1" s="1"/>
  <c r="BF269" i="1"/>
  <c r="BF267" i="1"/>
  <c r="BD56" i="1"/>
  <c r="BC161" i="1"/>
  <c r="BR209" i="1"/>
  <c r="BV212" i="1" s="1"/>
  <c r="BR204" i="1"/>
  <c r="BR274" i="1"/>
  <c r="BV274" i="1"/>
  <c r="AO274" i="1"/>
  <c r="BC274" i="1"/>
  <c r="AY274" i="1"/>
  <c r="AU274" i="1"/>
  <c r="AR274" i="1"/>
  <c r="BD274" i="1"/>
  <c r="BB274" i="1"/>
  <c r="BP274" i="1"/>
  <c r="BF132" i="1"/>
  <c r="BD119" i="1"/>
  <c r="BD117" i="1"/>
  <c r="BO60" i="1"/>
  <c r="R233" i="1"/>
  <c r="R234" i="1" s="1"/>
  <c r="BG274" i="1"/>
  <c r="AV133" i="1"/>
  <c r="AV136" i="1" s="1"/>
  <c r="AV134" i="1"/>
  <c r="AV137" i="1" s="1"/>
  <c r="BT226" i="1"/>
  <c r="BT224" i="1" s="1"/>
  <c r="BS226" i="1"/>
  <c r="BS224" i="1" s="1"/>
  <c r="AP226" i="1"/>
  <c r="AP224" i="1" s="1"/>
  <c r="AO226" i="1"/>
  <c r="AO224" i="1" s="1"/>
  <c r="BN134" i="1"/>
  <c r="BN137" i="1" s="1"/>
  <c r="BN133" i="1"/>
  <c r="BN136" i="1" s="1"/>
  <c r="AX226" i="1"/>
  <c r="AX224" i="1" s="1"/>
  <c r="AW226" i="1"/>
  <c r="AW224" i="1" s="1"/>
  <c r="BB226" i="1"/>
  <c r="BB224" i="1" s="1"/>
  <c r="BA226" i="1"/>
  <c r="BA224" i="1" s="1"/>
  <c r="BR226" i="1"/>
  <c r="BR224" i="1" s="1"/>
  <c r="BQ226" i="1"/>
  <c r="BQ224" i="1" s="1"/>
  <c r="BH226" i="1"/>
  <c r="BH224" i="1" s="1"/>
  <c r="BG226" i="1"/>
  <c r="BG224" i="1" s="1"/>
  <c r="AR226" i="1"/>
  <c r="AR224" i="1" s="1"/>
  <c r="AQ226" i="1"/>
  <c r="AQ224" i="1" s="1"/>
  <c r="AR212" i="1"/>
  <c r="AV212" i="1"/>
  <c r="BE226" i="1"/>
  <c r="BE224" i="1" s="1"/>
  <c r="BF226" i="1"/>
  <c r="BF224" i="1" s="1"/>
  <c r="AT134" i="1"/>
  <c r="AT137" i="1" s="1"/>
  <c r="AT133" i="1"/>
  <c r="AT136" i="1" s="1"/>
  <c r="AT212" i="1"/>
  <c r="AX212" i="1"/>
  <c r="BV226" i="1"/>
  <c r="BV224" i="1" s="1"/>
  <c r="BU226" i="1"/>
  <c r="BU224" i="1" s="1"/>
  <c r="BD134" i="1"/>
  <c r="BD137" i="1" s="1"/>
  <c r="BD133" i="1"/>
  <c r="BD136" i="1" s="1"/>
  <c r="AP133" i="1"/>
  <c r="AP136" i="1" s="1"/>
  <c r="AP134" i="1"/>
  <c r="AP137" i="1" s="1"/>
  <c r="AZ133" i="1"/>
  <c r="AZ136" i="1" s="1"/>
  <c r="AZ134" i="1"/>
  <c r="AZ137" i="1" s="1"/>
  <c r="BH212" i="1"/>
  <c r="BN212" i="1"/>
  <c r="BB212" i="1"/>
  <c r="BF212" i="1"/>
  <c r="BT212" i="1"/>
  <c r="BX212" i="1"/>
  <c r="BL136" i="1"/>
  <c r="BL137" i="1"/>
  <c r="BK64" i="1"/>
  <c r="BK63" i="1"/>
  <c r="AY63" i="1"/>
  <c r="AY64" i="1"/>
  <c r="AP63" i="1"/>
  <c r="AP64" i="1"/>
  <c r="AP66" i="1" s="1"/>
  <c r="BU64" i="1"/>
  <c r="BY66" i="1" s="1"/>
  <c r="BU63" i="1"/>
  <c r="AS63" i="1"/>
  <c r="AS64" i="1"/>
  <c r="AS67" i="1" s="1"/>
  <c r="BP63" i="1"/>
  <c r="BP64" i="1"/>
  <c r="BQ67" i="1" s="1"/>
  <c r="BI61" i="1"/>
  <c r="BL78" i="1"/>
  <c r="BM63" i="1"/>
  <c r="BM64" i="1"/>
  <c r="BV136" i="1"/>
  <c r="BE63" i="1"/>
  <c r="BE64" i="1"/>
  <c r="BF257" i="1"/>
  <c r="BF65" i="1"/>
  <c r="BF268" i="1" s="1"/>
  <c r="BF71" i="1"/>
  <c r="BJ66" i="1"/>
  <c r="BD78" i="1"/>
  <c r="BV78" i="1"/>
  <c r="BD63" i="1"/>
  <c r="BD64" i="1"/>
  <c r="BO64" i="1"/>
  <c r="BO63" i="1"/>
  <c r="AL137" i="1"/>
  <c r="AL136" i="1"/>
  <c r="AI61" i="1"/>
  <c r="AL78" i="1"/>
  <c r="AU64" i="1"/>
  <c r="AU63" i="1"/>
  <c r="BC61" i="1"/>
  <c r="BF78" i="1"/>
  <c r="BX136" i="1"/>
  <c r="BX137" i="1"/>
  <c r="AZ257" i="1"/>
  <c r="AZ71" i="1"/>
  <c r="AZ65" i="1"/>
  <c r="AZ268" i="1" s="1"/>
  <c r="BR61" i="1"/>
  <c r="BR78" i="1"/>
  <c r="AR78" i="1"/>
  <c r="AP78" i="1"/>
  <c r="BV137" i="1"/>
  <c r="AO64" i="1"/>
  <c r="AR65" i="1"/>
  <c r="AR268" i="1" s="1"/>
  <c r="AR71" i="1"/>
  <c r="AR257" i="1"/>
  <c r="AX61" i="1"/>
  <c r="AZ78" i="1"/>
  <c r="BN61" i="1"/>
  <c r="BP78" i="1"/>
  <c r="BV65" i="1"/>
  <c r="BV268" i="1" s="1"/>
  <c r="BV71" i="1"/>
  <c r="BV257" i="1"/>
  <c r="BZ66" i="1"/>
  <c r="BH64" i="1"/>
  <c r="BH63" i="1"/>
  <c r="AQ61" i="1"/>
  <c r="AT78" i="1"/>
  <c r="BX78" i="1"/>
  <c r="BZ78" i="1"/>
  <c r="BW61" i="1"/>
  <c r="BB61" i="1"/>
  <c r="BB78" i="1"/>
  <c r="AN78" i="1"/>
  <c r="AN61" i="1"/>
  <c r="BH136" i="1"/>
  <c r="BH137" i="1"/>
  <c r="AV61" i="1"/>
  <c r="AV78" i="1"/>
  <c r="AX78" i="1"/>
  <c r="BT61" i="1"/>
  <c r="BT78" i="1"/>
  <c r="BJ136" i="1"/>
  <c r="BJ137" i="1"/>
  <c r="BN78" i="1"/>
  <c r="BY78" i="1"/>
  <c r="BZ136" i="1"/>
  <c r="BZ137" i="1"/>
  <c r="BJ78" i="1"/>
  <c r="BG61" i="1"/>
  <c r="BH78" i="1"/>
  <c r="BS63" i="1"/>
  <c r="BS64" i="1"/>
  <c r="BJ75" i="1"/>
  <c r="BJ216" i="1"/>
  <c r="BJ218" i="1" s="1"/>
  <c r="BJ89" i="1"/>
  <c r="BQ65" i="1"/>
  <c r="BQ268" i="1" s="1"/>
  <c r="BQ71" i="1"/>
  <c r="BQ257" i="1"/>
  <c r="AT71" i="1"/>
  <c r="AT257" i="1"/>
  <c r="AT65" i="1"/>
  <c r="AT268" i="1" s="1"/>
  <c r="BA257" i="1"/>
  <c r="BA65" i="1"/>
  <c r="BA268" i="1" s="1"/>
  <c r="BA67" i="1"/>
  <c r="BA71" i="1"/>
  <c r="AW71" i="1"/>
  <c r="AW257" i="1"/>
  <c r="AW65" i="1"/>
  <c r="AW268" i="1" s="1"/>
  <c r="BA66" i="1"/>
  <c r="CR161" i="1"/>
  <c r="CS55" i="1"/>
  <c r="BT189" i="1" l="1"/>
  <c r="BB189" i="1"/>
  <c r="AT226" i="1"/>
  <c r="AT224" i="1" s="1"/>
  <c r="AN133" i="1"/>
  <c r="AN136" i="1" s="1"/>
  <c r="AX134" i="1"/>
  <c r="AX137" i="1" s="1"/>
  <c r="BR212" i="1"/>
  <c r="BO226" i="1"/>
  <c r="BO224" i="1" s="1"/>
  <c r="AU226" i="1"/>
  <c r="AU224" i="1" s="1"/>
  <c r="BT133" i="1"/>
  <c r="BT136" i="1" s="1"/>
  <c r="AY226" i="1"/>
  <c r="AY224" i="1" s="1"/>
  <c r="AZ226" i="1"/>
  <c r="AZ224" i="1" s="1"/>
  <c r="BR133" i="1"/>
  <c r="BR136" i="1" s="1"/>
  <c r="BR134" i="1"/>
  <c r="BR137" i="1" s="1"/>
  <c r="BB134" i="1"/>
  <c r="BB137" i="1" s="1"/>
  <c r="BB133" i="1"/>
  <c r="BB136" i="1" s="1"/>
  <c r="AZ212" i="1"/>
  <c r="BD212" i="1"/>
  <c r="BP133" i="1"/>
  <c r="BP136" i="1" s="1"/>
  <c r="BP134" i="1"/>
  <c r="BP137" i="1" s="1"/>
  <c r="BC226" i="1"/>
  <c r="BC224" i="1" s="1"/>
  <c r="BD226" i="1"/>
  <c r="BD224" i="1" s="1"/>
  <c r="BF133" i="1"/>
  <c r="BF136" i="1" s="1"/>
  <c r="BF134" i="1"/>
  <c r="BF137" i="1" s="1"/>
  <c r="BL67" i="1"/>
  <c r="BK71" i="1"/>
  <c r="BK65" i="1"/>
  <c r="BK268" i="1" s="1"/>
  <c r="AY257" i="1"/>
  <c r="AY65" i="1"/>
  <c r="AY268" i="1" s="1"/>
  <c r="AT66" i="1"/>
  <c r="AP257" i="1"/>
  <c r="AP71" i="1"/>
  <c r="AP65" i="1"/>
  <c r="AP268" i="1" s="1"/>
  <c r="AZ67" i="1"/>
  <c r="AY71" i="1"/>
  <c r="BU65" i="1"/>
  <c r="BU268" i="1" s="1"/>
  <c r="BU257" i="1"/>
  <c r="BU71" i="1"/>
  <c r="BK67" i="1"/>
  <c r="BK257" i="1"/>
  <c r="AS71" i="1"/>
  <c r="AS65" i="1"/>
  <c r="AS268" i="1" s="1"/>
  <c r="BV67" i="1"/>
  <c r="BU66" i="1"/>
  <c r="AS257" i="1"/>
  <c r="AT67" i="1"/>
  <c r="AW66" i="1"/>
  <c r="BP71" i="1"/>
  <c r="BP66" i="1"/>
  <c r="BP257" i="1"/>
  <c r="BP65" i="1"/>
  <c r="BP268" i="1" s="1"/>
  <c r="BI64" i="1"/>
  <c r="BI67" i="1" s="1"/>
  <c r="BI63" i="1"/>
  <c r="BM71" i="1"/>
  <c r="BM67" i="1"/>
  <c r="BM257" i="1"/>
  <c r="BM250" i="1"/>
  <c r="BQ66" i="1"/>
  <c r="BM65" i="1"/>
  <c r="BM268" i="1" s="1"/>
  <c r="BE65" i="1"/>
  <c r="BE268" i="1" s="1"/>
  <c r="BE71" i="1"/>
  <c r="BE257" i="1"/>
  <c r="BF67" i="1"/>
  <c r="BF75" i="1"/>
  <c r="BF216" i="1"/>
  <c r="BF218" i="1" s="1"/>
  <c r="BF89" i="1"/>
  <c r="BC64" i="1"/>
  <c r="BC63" i="1"/>
  <c r="BS66" i="1"/>
  <c r="BE66" i="1"/>
  <c r="BD71" i="1"/>
  <c r="BD257" i="1"/>
  <c r="BD65" i="1"/>
  <c r="BD268" i="1" s="1"/>
  <c r="BD66" i="1"/>
  <c r="BE67" i="1"/>
  <c r="BO257" i="1"/>
  <c r="BO65" i="1"/>
  <c r="BO268" i="1" s="1"/>
  <c r="BO71" i="1"/>
  <c r="BP67" i="1"/>
  <c r="BO66" i="1"/>
  <c r="AI64" i="1"/>
  <c r="AI63" i="1"/>
  <c r="AU65" i="1"/>
  <c r="AU268" i="1" s="1"/>
  <c r="AU257" i="1"/>
  <c r="AY66" i="1"/>
  <c r="AU71" i="1"/>
  <c r="AU250" i="1"/>
  <c r="AU67" i="1"/>
  <c r="AP67" i="1"/>
  <c r="AO71" i="1"/>
  <c r="AZ89" i="1"/>
  <c r="AZ75" i="1"/>
  <c r="AZ216" i="1"/>
  <c r="AZ218" i="1" s="1"/>
  <c r="BR64" i="1"/>
  <c r="BR63" i="1"/>
  <c r="AO66" i="1"/>
  <c r="BH66" i="1"/>
  <c r="AO257" i="1"/>
  <c r="AS66" i="1"/>
  <c r="AO65" i="1"/>
  <c r="AO268" i="1" s="1"/>
  <c r="BW64" i="1"/>
  <c r="BW66" i="1" s="1"/>
  <c r="BW63" i="1"/>
  <c r="BN64" i="1"/>
  <c r="BN63" i="1"/>
  <c r="AQ64" i="1"/>
  <c r="AQ63" i="1"/>
  <c r="AR75" i="1"/>
  <c r="AR216" i="1"/>
  <c r="AR218" i="1" s="1"/>
  <c r="AR89" i="1"/>
  <c r="BT64" i="1"/>
  <c r="BT63" i="1"/>
  <c r="AV63" i="1"/>
  <c r="AV64" i="1"/>
  <c r="AN64" i="1"/>
  <c r="AN63" i="1"/>
  <c r="BH71" i="1"/>
  <c r="BL66" i="1"/>
  <c r="BH257" i="1"/>
  <c r="BH65" i="1"/>
  <c r="BH268" i="1" s="1"/>
  <c r="AX64" i="1"/>
  <c r="AX63" i="1"/>
  <c r="BV216" i="1"/>
  <c r="BV218" i="1" s="1"/>
  <c r="BV89" i="1"/>
  <c r="BV75" i="1"/>
  <c r="BG63" i="1"/>
  <c r="BG64" i="1"/>
  <c r="BB64" i="1"/>
  <c r="BB63" i="1"/>
  <c r="BS257" i="1"/>
  <c r="BS65" i="1"/>
  <c r="BS268" i="1" s="1"/>
  <c r="BS71" i="1"/>
  <c r="BQ216" i="1"/>
  <c r="BQ218" i="1" s="1"/>
  <c r="BQ142" i="1"/>
  <c r="BQ143" i="1" s="1"/>
  <c r="BQ89" i="1"/>
  <c r="BQ75" i="1"/>
  <c r="AT89" i="1"/>
  <c r="AT216" i="1"/>
  <c r="AT218" i="1" s="1"/>
  <c r="AT75" i="1"/>
  <c r="AW216" i="1"/>
  <c r="AW218" i="1" s="1"/>
  <c r="AW89" i="1"/>
  <c r="AW142" i="1"/>
  <c r="AW143" i="1" s="1"/>
  <c r="AW75" i="1"/>
  <c r="BA75" i="1"/>
  <c r="BA216" i="1"/>
  <c r="BA218" i="1" s="1"/>
  <c r="BA89" i="1"/>
  <c r="BA142" i="1"/>
  <c r="BA143" i="1" s="1"/>
  <c r="CS217" i="1"/>
  <c r="CS155" i="1"/>
  <c r="CR226" i="1"/>
  <c r="CR224" i="1" s="1"/>
  <c r="AC148" i="1"/>
  <c r="AC151" i="1" s="1"/>
  <c r="AC272" i="1" s="1"/>
  <c r="BK75" i="1" l="1"/>
  <c r="BK216" i="1"/>
  <c r="BK218" i="1" s="1"/>
  <c r="BK142" i="1"/>
  <c r="BK143" i="1" s="1"/>
  <c r="BK89" i="1"/>
  <c r="AP216" i="1"/>
  <c r="AP218" i="1" s="1"/>
  <c r="AP89" i="1"/>
  <c r="AP75" i="1"/>
  <c r="BU142" i="1"/>
  <c r="BU143" i="1" s="1"/>
  <c r="BU75" i="1"/>
  <c r="BU216" i="1"/>
  <c r="BU218" i="1" s="1"/>
  <c r="BU89" i="1"/>
  <c r="BS67" i="1"/>
  <c r="BS250" i="1"/>
  <c r="AY216" i="1"/>
  <c r="AY218" i="1" s="1"/>
  <c r="AY89" i="1"/>
  <c r="AY142" i="1"/>
  <c r="AY143" i="1" s="1"/>
  <c r="AY75" i="1"/>
  <c r="AS75" i="1"/>
  <c r="AS142" i="1"/>
  <c r="AS143" i="1" s="1"/>
  <c r="AS216" i="1"/>
  <c r="AS218" i="1" s="1"/>
  <c r="AS89" i="1"/>
  <c r="BI66" i="1"/>
  <c r="BK250" i="1"/>
  <c r="BM89" i="1"/>
  <c r="BM75" i="1"/>
  <c r="BP75" i="1"/>
  <c r="BP216" i="1"/>
  <c r="BP218" i="1" s="1"/>
  <c r="BP89" i="1"/>
  <c r="BM66" i="1"/>
  <c r="BL250" i="1"/>
  <c r="BI71" i="1"/>
  <c r="BI257" i="1"/>
  <c r="BJ67" i="1"/>
  <c r="BI65" i="1"/>
  <c r="BI268" i="1" s="1"/>
  <c r="BM142" i="1"/>
  <c r="BM143" i="1" s="1"/>
  <c r="BM216" i="1"/>
  <c r="BM218" i="1" s="1"/>
  <c r="BE89" i="1"/>
  <c r="BE216" i="1"/>
  <c r="BE218" i="1" s="1"/>
  <c r="BE75" i="1"/>
  <c r="BE142" i="1"/>
  <c r="BE143" i="1" s="1"/>
  <c r="BF250" i="1"/>
  <c r="BD67" i="1"/>
  <c r="BC66" i="1"/>
  <c r="BC71" i="1"/>
  <c r="BC257" i="1"/>
  <c r="BC65" i="1"/>
  <c r="BC268" i="1" s="1"/>
  <c r="BD75" i="1"/>
  <c r="BD216" i="1"/>
  <c r="BD218" i="1" s="1"/>
  <c r="BD89" i="1"/>
  <c r="BO75" i="1"/>
  <c r="BO89" i="1"/>
  <c r="BO216" i="1"/>
  <c r="BO218" i="1" s="1"/>
  <c r="BO142" i="1"/>
  <c r="BO143" i="1" s="1"/>
  <c r="AI65" i="1"/>
  <c r="AI257" i="1"/>
  <c r="AJ67" i="1"/>
  <c r="AM66" i="1"/>
  <c r="AI71" i="1"/>
  <c r="AL250" i="1"/>
  <c r="AU75" i="1"/>
  <c r="AU89" i="1"/>
  <c r="AU216" i="1"/>
  <c r="AU218" i="1" s="1"/>
  <c r="AU142" i="1"/>
  <c r="AU143" i="1" s="1"/>
  <c r="AO216" i="1"/>
  <c r="AO218" i="1" s="1"/>
  <c r="AO89" i="1"/>
  <c r="AO142" i="1"/>
  <c r="AO143" i="1" s="1"/>
  <c r="AO75" i="1"/>
  <c r="BR65" i="1"/>
  <c r="BR268" i="1" s="1"/>
  <c r="BR257" i="1"/>
  <c r="BR71" i="1"/>
  <c r="BR230" i="1" s="1"/>
  <c r="BR228" i="1" s="1"/>
  <c r="BV66" i="1"/>
  <c r="BR67" i="1"/>
  <c r="BR250" i="1"/>
  <c r="AN65" i="1"/>
  <c r="AN268" i="1" s="1"/>
  <c r="AQ250" i="1"/>
  <c r="AO67" i="1"/>
  <c r="AN250" i="1"/>
  <c r="AN66" i="1"/>
  <c r="AP250" i="1"/>
  <c r="AR66" i="1"/>
  <c r="AO250" i="1"/>
  <c r="AN71" i="1"/>
  <c r="AN67" i="1"/>
  <c r="AN257" i="1"/>
  <c r="BX66" i="1"/>
  <c r="BT65" i="1"/>
  <c r="BT268" i="1" s="1"/>
  <c r="BT257" i="1"/>
  <c r="BT71" i="1"/>
  <c r="BU67" i="1"/>
  <c r="BT66" i="1"/>
  <c r="BW250" i="1"/>
  <c r="BV250" i="1"/>
  <c r="AZ66" i="1"/>
  <c r="AV65" i="1"/>
  <c r="AV268" i="1" s="1"/>
  <c r="AV257" i="1"/>
  <c r="AV71" i="1"/>
  <c r="AY250" i="1"/>
  <c r="AW250" i="1"/>
  <c r="AW67" i="1"/>
  <c r="AV66" i="1"/>
  <c r="AV67" i="1"/>
  <c r="AX250" i="1"/>
  <c r="AV250" i="1"/>
  <c r="AR67" i="1"/>
  <c r="AQ66" i="1"/>
  <c r="AQ257" i="1"/>
  <c r="AQ71" i="1"/>
  <c r="AQ65" i="1"/>
  <c r="AQ268" i="1" s="1"/>
  <c r="AQ67" i="1"/>
  <c r="AU66" i="1"/>
  <c r="AT250" i="1"/>
  <c r="AS250" i="1"/>
  <c r="AR250" i="1"/>
  <c r="BN257" i="1"/>
  <c r="BR66" i="1"/>
  <c r="BN71" i="1"/>
  <c r="BQ77" i="1" s="1"/>
  <c r="BN66" i="1"/>
  <c r="BN65" i="1"/>
  <c r="BN268" i="1" s="1"/>
  <c r="BO67" i="1"/>
  <c r="BN250" i="1"/>
  <c r="BQ250" i="1"/>
  <c r="BN67" i="1"/>
  <c r="BO250" i="1"/>
  <c r="BP250" i="1"/>
  <c r="BB65" i="1"/>
  <c r="BB268" i="1" s="1"/>
  <c r="BF66" i="1"/>
  <c r="BB257" i="1"/>
  <c r="BB71" i="1"/>
  <c r="BB230" i="1" s="1"/>
  <c r="BB228" i="1" s="1"/>
  <c r="BC67" i="1"/>
  <c r="BD250" i="1"/>
  <c r="BB250" i="1"/>
  <c r="BB67" i="1"/>
  <c r="BC250" i="1"/>
  <c r="BE250" i="1"/>
  <c r="BB66" i="1"/>
  <c r="AX71" i="1"/>
  <c r="AX257" i="1"/>
  <c r="AX65" i="1"/>
  <c r="AX268" i="1" s="1"/>
  <c r="AZ250" i="1"/>
  <c r="AX67" i="1"/>
  <c r="AY67" i="1"/>
  <c r="AX66" i="1"/>
  <c r="BA250" i="1"/>
  <c r="BH75" i="1"/>
  <c r="BH89" i="1"/>
  <c r="BH216" i="1"/>
  <c r="BH218" i="1" s="1"/>
  <c r="BT250" i="1"/>
  <c r="BT67" i="1"/>
  <c r="BK66" i="1"/>
  <c r="BG71" i="1"/>
  <c r="BH250" i="1"/>
  <c r="BG66" i="1"/>
  <c r="BG65" i="1"/>
  <c r="BG268" i="1" s="1"/>
  <c r="BH67" i="1"/>
  <c r="BG250" i="1"/>
  <c r="BG257" i="1"/>
  <c r="BJ250" i="1"/>
  <c r="BG67" i="1"/>
  <c r="BI250" i="1"/>
  <c r="BX250" i="1"/>
  <c r="BW257" i="1"/>
  <c r="BW67" i="1"/>
  <c r="BX67" i="1"/>
  <c r="BW71" i="1"/>
  <c r="X84" i="1"/>
  <c r="BY250" i="1"/>
  <c r="CA66" i="1"/>
  <c r="BW65" i="1"/>
  <c r="BW268" i="1" s="1"/>
  <c r="BZ250" i="1"/>
  <c r="BS216" i="1"/>
  <c r="BS218" i="1" s="1"/>
  <c r="BS75" i="1"/>
  <c r="BS142" i="1"/>
  <c r="BS143" i="1" s="1"/>
  <c r="BS89" i="1"/>
  <c r="BQ230" i="1"/>
  <c r="BQ228" i="1" s="1"/>
  <c r="BQ152" i="1"/>
  <c r="BQ78" i="1" s="1"/>
  <c r="BQ115" i="1"/>
  <c r="AW152" i="1"/>
  <c r="AW78" i="1" s="1"/>
  <c r="AW230" i="1"/>
  <c r="AW228" i="1" s="1"/>
  <c r="AW115" i="1"/>
  <c r="BA230" i="1"/>
  <c r="BA228" i="1" s="1"/>
  <c r="BA115" i="1"/>
  <c r="BA152" i="1"/>
  <c r="BA78" i="1" s="1"/>
  <c r="CS157" i="1"/>
  <c r="AC229" i="1"/>
  <c r="CA249" i="1"/>
  <c r="CB249" i="1"/>
  <c r="BU249" i="1"/>
  <c r="BK77" i="1" l="1"/>
  <c r="BM92" i="1"/>
  <c r="BI112" i="1" s="1"/>
  <c r="BK115" i="1"/>
  <c r="BL230" i="1"/>
  <c r="BL228" i="1" s="1"/>
  <c r="BK230" i="1"/>
  <c r="BK228" i="1" s="1"/>
  <c r="BK152" i="1"/>
  <c r="BK78" i="1" s="1"/>
  <c r="BV230" i="1"/>
  <c r="BV228" i="1" s="1"/>
  <c r="BU230" i="1"/>
  <c r="BU228" i="1" s="1"/>
  <c r="BU115" i="1"/>
  <c r="BU152" i="1"/>
  <c r="BU78" i="1" s="1"/>
  <c r="AU92" i="1"/>
  <c r="AY115" i="1"/>
  <c r="AY230" i="1"/>
  <c r="AY228" i="1" s="1"/>
  <c r="AY152" i="1"/>
  <c r="AY78" i="1" s="1"/>
  <c r="AZ230" i="1"/>
  <c r="AZ228" i="1" s="1"/>
  <c r="AS230" i="1"/>
  <c r="AS228" i="1" s="1"/>
  <c r="AS115" i="1"/>
  <c r="AS152" i="1"/>
  <c r="AS78" i="1" s="1"/>
  <c r="AT230" i="1"/>
  <c r="AT228" i="1" s="1"/>
  <c r="AO77" i="1"/>
  <c r="BL77" i="1"/>
  <c r="BI75" i="1"/>
  <c r="BI216" i="1"/>
  <c r="BI218" i="1" s="1"/>
  <c r="BI89" i="1"/>
  <c r="BI142" i="1"/>
  <c r="BI143" i="1" s="1"/>
  <c r="BM77" i="1"/>
  <c r="BM230" i="1"/>
  <c r="BM228" i="1" s="1"/>
  <c r="BM152" i="1"/>
  <c r="BM78" i="1" s="1"/>
  <c r="BM115" i="1"/>
  <c r="AX230" i="1"/>
  <c r="AX228" i="1" s="1"/>
  <c r="BA77" i="1"/>
  <c r="BF230" i="1"/>
  <c r="BF228" i="1" s="1"/>
  <c r="BE115" i="1"/>
  <c r="BE152" i="1"/>
  <c r="BE78" i="1" s="1"/>
  <c r="BE230" i="1"/>
  <c r="BE228" i="1" s="1"/>
  <c r="S84" i="1"/>
  <c r="BF77" i="1"/>
  <c r="BC89" i="1"/>
  <c r="BF92" i="1" s="1"/>
  <c r="BC142" i="1"/>
  <c r="BC143" i="1" s="1"/>
  <c r="BC216" i="1"/>
  <c r="BC218" i="1" s="1"/>
  <c r="BC75" i="1"/>
  <c r="BO230" i="1"/>
  <c r="BO228" i="1" s="1"/>
  <c r="BO152" i="1"/>
  <c r="BO78" i="1" s="1"/>
  <c r="BP230" i="1"/>
  <c r="BP228" i="1" s="1"/>
  <c r="BO115" i="1"/>
  <c r="AI89" i="1"/>
  <c r="AL92" i="1" s="1"/>
  <c r="AI75" i="1"/>
  <c r="AL77" i="1"/>
  <c r="N84" i="1"/>
  <c r="AI230" i="1"/>
  <c r="AI228" i="1" s="1"/>
  <c r="AI216" i="1"/>
  <c r="AI218" i="1" s="1"/>
  <c r="AI222" i="1" s="1"/>
  <c r="AI236" i="1" s="1"/>
  <c r="AU115" i="1"/>
  <c r="AU230" i="1"/>
  <c r="AU228" i="1" s="1"/>
  <c r="AU152" i="1"/>
  <c r="AU78" i="1" s="1"/>
  <c r="AU77" i="1"/>
  <c r="AP230" i="1"/>
  <c r="AP228" i="1" s="1"/>
  <c r="AO115" i="1"/>
  <c r="AO152" i="1"/>
  <c r="AO78" i="1" s="1"/>
  <c r="AO230" i="1"/>
  <c r="AO228" i="1" s="1"/>
  <c r="AV230" i="1"/>
  <c r="AV228" i="1" s="1"/>
  <c r="AY77" i="1"/>
  <c r="BT77" i="1"/>
  <c r="BR75" i="1"/>
  <c r="BR216" i="1"/>
  <c r="BR218" i="1" s="1"/>
  <c r="BR89" i="1"/>
  <c r="BR77" i="1"/>
  <c r="V84" i="1"/>
  <c r="AW77" i="1"/>
  <c r="BV77" i="1"/>
  <c r="BO77" i="1"/>
  <c r="BN230" i="1"/>
  <c r="BN228" i="1" s="1"/>
  <c r="BU77" i="1"/>
  <c r="BX77" i="1"/>
  <c r="BW142" i="1"/>
  <c r="BW143" i="1" s="1"/>
  <c r="BY77" i="1"/>
  <c r="BW216" i="1"/>
  <c r="BW218" i="1" s="1"/>
  <c r="BW75" i="1"/>
  <c r="BZ77" i="1"/>
  <c r="BW89" i="1"/>
  <c r="BN75" i="1"/>
  <c r="BN89" i="1"/>
  <c r="BN216" i="1"/>
  <c r="BN218" i="1" s="1"/>
  <c r="BN77" i="1"/>
  <c r="U84" i="1"/>
  <c r="BP77" i="1"/>
  <c r="AV216" i="1"/>
  <c r="AV218" i="1" s="1"/>
  <c r="AV75" i="1"/>
  <c r="AV89" i="1"/>
  <c r="AV77" i="1"/>
  <c r="Q84" i="1"/>
  <c r="AX77" i="1"/>
  <c r="BT216" i="1"/>
  <c r="BT218" i="1" s="1"/>
  <c r="BT75" i="1"/>
  <c r="BT89" i="1"/>
  <c r="BV92" i="1" s="1"/>
  <c r="BR112" i="1" s="1"/>
  <c r="AX75" i="1"/>
  <c r="AX89" i="1"/>
  <c r="AX216" i="1"/>
  <c r="AX218" i="1" s="1"/>
  <c r="AZ77" i="1"/>
  <c r="BB89" i="1"/>
  <c r="BB75" i="1"/>
  <c r="BB216" i="1"/>
  <c r="BB218" i="1" s="1"/>
  <c r="BB77" i="1"/>
  <c r="R84" i="1"/>
  <c r="BD77" i="1"/>
  <c r="BE77" i="1"/>
  <c r="AQ142" i="1"/>
  <c r="AQ143" i="1" s="1"/>
  <c r="AQ216" i="1"/>
  <c r="AQ218" i="1" s="1"/>
  <c r="AQ75" i="1"/>
  <c r="AQ89" i="1"/>
  <c r="AS77" i="1"/>
  <c r="AR77" i="1"/>
  <c r="AT77" i="1"/>
  <c r="P84" i="1"/>
  <c r="BG75" i="1"/>
  <c r="BG89" i="1"/>
  <c r="BG142" i="1"/>
  <c r="BG143" i="1" s="1"/>
  <c r="BJ77" i="1"/>
  <c r="BH77" i="1"/>
  <c r="BG216" i="1"/>
  <c r="BG218" i="1" s="1"/>
  <c r="T84" i="1"/>
  <c r="AN75" i="1"/>
  <c r="AP77" i="1"/>
  <c r="AN89" i="1"/>
  <c r="AN216" i="1"/>
  <c r="AN218" i="1" s="1"/>
  <c r="AN77" i="1"/>
  <c r="O84" i="1"/>
  <c r="AN230" i="1"/>
  <c r="AN228" i="1" s="1"/>
  <c r="BT230" i="1"/>
  <c r="BT228" i="1" s="1"/>
  <c r="BS115" i="1"/>
  <c r="BS152" i="1"/>
  <c r="BS78" i="1" s="1"/>
  <c r="BS230" i="1"/>
  <c r="BS228" i="1" s="1"/>
  <c r="BS77" i="1"/>
  <c r="BQ117" i="1"/>
  <c r="BQ118" i="1"/>
  <c r="BQ119" i="1"/>
  <c r="BA118" i="1"/>
  <c r="BA117" i="1"/>
  <c r="BA119" i="1"/>
  <c r="AW118" i="1"/>
  <c r="AW117" i="1"/>
  <c r="AW119" i="1"/>
  <c r="CS161" i="1"/>
  <c r="CT55" i="1"/>
  <c r="AD147" i="1"/>
  <c r="W82" i="1"/>
  <c r="BM108" i="1" l="1"/>
  <c r="BM110" i="1"/>
  <c r="BM109" i="1"/>
  <c r="BK119" i="1"/>
  <c r="BK117" i="1"/>
  <c r="BK118" i="1"/>
  <c r="BU117" i="1"/>
  <c r="BU119" i="1"/>
  <c r="BU118" i="1"/>
  <c r="AU110" i="1"/>
  <c r="AU109" i="1"/>
  <c r="AQ112" i="1"/>
  <c r="AU108" i="1"/>
  <c r="AY117" i="1"/>
  <c r="AY118" i="1"/>
  <c r="AY119" i="1"/>
  <c r="BL92" i="1"/>
  <c r="BK92" i="1"/>
  <c r="BR92" i="1"/>
  <c r="BR109" i="1" s="1"/>
  <c r="BT92" i="1"/>
  <c r="BS92" i="1"/>
  <c r="AS118" i="1"/>
  <c r="AS119" i="1"/>
  <c r="AS117" i="1"/>
  <c r="BI115" i="1"/>
  <c r="BI152" i="1"/>
  <c r="BI78" i="1" s="1"/>
  <c r="BI230" i="1"/>
  <c r="BI228" i="1" s="1"/>
  <c r="BI77" i="1"/>
  <c r="BJ230" i="1"/>
  <c r="BJ228" i="1" s="1"/>
  <c r="AI233" i="1"/>
  <c r="AI234" i="1" s="1"/>
  <c r="BM118" i="1"/>
  <c r="BM119" i="1"/>
  <c r="BM117" i="1"/>
  <c r="BU92" i="1"/>
  <c r="BU108" i="1" s="1"/>
  <c r="BE117" i="1"/>
  <c r="BE119" i="1"/>
  <c r="BE118" i="1"/>
  <c r="BC230" i="1"/>
  <c r="BC228" i="1" s="1"/>
  <c r="BC152" i="1"/>
  <c r="BC78" i="1" s="1"/>
  <c r="BC115" i="1"/>
  <c r="BC77" i="1"/>
  <c r="BD230" i="1"/>
  <c r="BD228" i="1" s="1"/>
  <c r="BB112" i="1"/>
  <c r="BF108" i="1"/>
  <c r="BF110" i="1"/>
  <c r="BF109" i="1"/>
  <c r="BO117" i="1"/>
  <c r="BO118" i="1"/>
  <c r="BO119" i="1"/>
  <c r="AL108" i="1"/>
  <c r="AL109" i="1"/>
  <c r="AL110" i="1"/>
  <c r="AU118" i="1"/>
  <c r="AU119" i="1"/>
  <c r="AU117" i="1"/>
  <c r="AO119" i="1"/>
  <c r="AO117" i="1"/>
  <c r="AO118" i="1"/>
  <c r="BA92" i="1"/>
  <c r="AZ92" i="1"/>
  <c r="AY92" i="1"/>
  <c r="AY109" i="1" s="1"/>
  <c r="AX92" i="1"/>
  <c r="AV92" i="1"/>
  <c r="AW92" i="1"/>
  <c r="AT92" i="1"/>
  <c r="AR92" i="1"/>
  <c r="AS92" i="1"/>
  <c r="BQ92" i="1"/>
  <c r="BO92" i="1"/>
  <c r="BN92" i="1"/>
  <c r="BP92" i="1"/>
  <c r="AQ92" i="1"/>
  <c r="AN92" i="1"/>
  <c r="AP92" i="1"/>
  <c r="AO92" i="1"/>
  <c r="BJ92" i="1"/>
  <c r="BF112" i="1" s="1"/>
  <c r="BG92" i="1"/>
  <c r="BH92" i="1"/>
  <c r="BI92" i="1"/>
  <c r="BE92" i="1"/>
  <c r="BE109" i="1" s="1"/>
  <c r="BD92" i="1"/>
  <c r="BB92" i="1"/>
  <c r="BC92" i="1"/>
  <c r="BZ92" i="1"/>
  <c r="BX92" i="1"/>
  <c r="BY92" i="1"/>
  <c r="BW92" i="1"/>
  <c r="BG230" i="1"/>
  <c r="BG228" i="1" s="1"/>
  <c r="BG152" i="1"/>
  <c r="BG78" i="1" s="1"/>
  <c r="BG115" i="1"/>
  <c r="BG77" i="1"/>
  <c r="BH230" i="1"/>
  <c r="BH228" i="1" s="1"/>
  <c r="AQ152" i="1"/>
  <c r="AQ78" i="1" s="1"/>
  <c r="AQ230" i="1"/>
  <c r="AQ228" i="1" s="1"/>
  <c r="AQ115" i="1"/>
  <c r="AR230" i="1"/>
  <c r="AR228" i="1" s="1"/>
  <c r="AQ77" i="1"/>
  <c r="BW230" i="1"/>
  <c r="BW228" i="1" s="1"/>
  <c r="BX230" i="1"/>
  <c r="BX228" i="1" s="1"/>
  <c r="BW152" i="1"/>
  <c r="BW78" i="1" s="1"/>
  <c r="BW77" i="1"/>
  <c r="BW115" i="1"/>
  <c r="BV110" i="1"/>
  <c r="BV109" i="1"/>
  <c r="BV108" i="1"/>
  <c r="BS117" i="1"/>
  <c r="BS118" i="1"/>
  <c r="BS119" i="1"/>
  <c r="AC55" i="1"/>
  <c r="CT217" i="1"/>
  <c r="CT155" i="1"/>
  <c r="CS226" i="1"/>
  <c r="CS224" i="1" s="1"/>
  <c r="W83" i="1"/>
  <c r="BL108" i="1" l="1"/>
  <c r="BL109" i="1"/>
  <c r="BN112" i="1"/>
  <c r="BR108" i="1"/>
  <c r="BR110" i="1"/>
  <c r="BV93" i="1"/>
  <c r="BP112" i="1"/>
  <c r="BT110" i="1"/>
  <c r="BT108" i="1"/>
  <c r="BT109" i="1"/>
  <c r="BS110" i="1"/>
  <c r="BO112" i="1"/>
  <c r="BS109" i="1"/>
  <c r="BS108" i="1"/>
  <c r="BH112" i="1"/>
  <c r="BL110" i="1"/>
  <c r="BK108" i="1"/>
  <c r="BK109" i="1"/>
  <c r="BK110" i="1"/>
  <c r="BG112" i="1"/>
  <c r="BT93" i="1"/>
  <c r="BV112" i="1"/>
  <c r="BZ93" i="1"/>
  <c r="BY93" i="1"/>
  <c r="BI118" i="1"/>
  <c r="BI119" i="1"/>
  <c r="BI117" i="1"/>
  <c r="BQ112" i="1"/>
  <c r="BU110" i="1"/>
  <c r="BU109" i="1"/>
  <c r="BW108" i="1"/>
  <c r="BW93" i="1"/>
  <c r="BC118" i="1"/>
  <c r="BC117" i="1"/>
  <c r="BC119" i="1"/>
  <c r="AW112" i="1"/>
  <c r="BE93" i="1"/>
  <c r="BQ109" i="1"/>
  <c r="BM112" i="1"/>
  <c r="AQ109" i="1"/>
  <c r="AQ108" i="1"/>
  <c r="BU93" i="1"/>
  <c r="BA110" i="1"/>
  <c r="AX93" i="1"/>
  <c r="CD93" i="1"/>
  <c r="BZ110" i="1"/>
  <c r="BX109" i="1"/>
  <c r="BT112" i="1"/>
  <c r="BX110" i="1"/>
  <c r="CB93" i="1"/>
  <c r="BX108" i="1"/>
  <c r="AN110" i="1"/>
  <c r="AR93" i="1"/>
  <c r="AN109" i="1"/>
  <c r="AN108" i="1"/>
  <c r="BO108" i="1"/>
  <c r="BK112" i="1"/>
  <c r="BO109" i="1"/>
  <c r="BO93" i="1"/>
  <c r="BO110" i="1"/>
  <c r="AP112" i="1"/>
  <c r="CA93" i="1"/>
  <c r="BS112" i="1"/>
  <c r="BW110" i="1"/>
  <c r="BE110" i="1"/>
  <c r="BI93" i="1"/>
  <c r="BE108" i="1"/>
  <c r="BJ109" i="1"/>
  <c r="BJ93" i="1"/>
  <c r="BJ108" i="1"/>
  <c r="AU93" i="1"/>
  <c r="AQ93" i="1"/>
  <c r="AQ110" i="1"/>
  <c r="BQ108" i="1"/>
  <c r="BQ93" i="1"/>
  <c r="BQ110" i="1"/>
  <c r="AW108" i="1"/>
  <c r="AW109" i="1"/>
  <c r="AS112" i="1"/>
  <c r="BA93" i="1"/>
  <c r="AW110" i="1"/>
  <c r="AV112" i="1"/>
  <c r="AZ110" i="1"/>
  <c r="AZ109" i="1"/>
  <c r="BD93" i="1"/>
  <c r="AZ108" i="1"/>
  <c r="AZ112" i="1"/>
  <c r="BD108" i="1"/>
  <c r="BH93" i="1"/>
  <c r="BD110" i="1"/>
  <c r="BD109" i="1"/>
  <c r="AY110" i="1"/>
  <c r="AU112" i="1"/>
  <c r="BC93" i="1"/>
  <c r="AY93" i="1"/>
  <c r="AT109" i="1"/>
  <c r="BJ110" i="1"/>
  <c r="BW109" i="1"/>
  <c r="AM112" i="1"/>
  <c r="BS93" i="1"/>
  <c r="BC110" i="1"/>
  <c r="AY112" i="1"/>
  <c r="BG93" i="1"/>
  <c r="BC109" i="1"/>
  <c r="BC108" i="1"/>
  <c r="BM93" i="1"/>
  <c r="BI110" i="1"/>
  <c r="BI108" i="1"/>
  <c r="BI109" i="1"/>
  <c r="BE112" i="1"/>
  <c r="AO110" i="1"/>
  <c r="AO108" i="1"/>
  <c r="AS93" i="1"/>
  <c r="AO109" i="1"/>
  <c r="BP93" i="1"/>
  <c r="BL112" i="1"/>
  <c r="BP109" i="1"/>
  <c r="BP110" i="1"/>
  <c r="BP108" i="1"/>
  <c r="AS109" i="1"/>
  <c r="AO112" i="1"/>
  <c r="AS110" i="1"/>
  <c r="AS108" i="1"/>
  <c r="AW93" i="1"/>
  <c r="AV109" i="1"/>
  <c r="AV108" i="1"/>
  <c r="AZ93" i="1"/>
  <c r="AV110" i="1"/>
  <c r="AR112" i="1"/>
  <c r="BA108" i="1"/>
  <c r="BA109" i="1"/>
  <c r="BC112" i="1"/>
  <c r="BG108" i="1"/>
  <c r="BG109" i="1"/>
  <c r="BG110" i="1"/>
  <c r="BK93" i="1"/>
  <c r="AT110" i="1"/>
  <c r="AT108" i="1"/>
  <c r="AY108" i="1"/>
  <c r="BZ109" i="1"/>
  <c r="CC113" i="1" s="1"/>
  <c r="BA112" i="1"/>
  <c r="BN93" i="1"/>
  <c r="BZ108" i="1"/>
  <c r="CC93" i="1"/>
  <c r="BY110" i="1"/>
  <c r="BU112" i="1"/>
  <c r="BY109" i="1"/>
  <c r="BY108" i="1"/>
  <c r="AX112" i="1"/>
  <c r="BF93" i="1"/>
  <c r="BB110" i="1"/>
  <c r="BB109" i="1"/>
  <c r="BB108" i="1"/>
  <c r="BH110" i="1"/>
  <c r="BH108" i="1"/>
  <c r="BD112" i="1"/>
  <c r="BL93" i="1"/>
  <c r="BH109" i="1"/>
  <c r="AT93" i="1"/>
  <c r="AP110" i="1"/>
  <c r="AP93" i="1"/>
  <c r="AL112" i="1"/>
  <c r="AP109" i="1"/>
  <c r="AP108" i="1"/>
  <c r="BR93" i="1"/>
  <c r="BJ112" i="1"/>
  <c r="BN110" i="1"/>
  <c r="BN108" i="1"/>
  <c r="BN109" i="1"/>
  <c r="AN112" i="1"/>
  <c r="AR110" i="1"/>
  <c r="AR109" i="1"/>
  <c r="AR108" i="1"/>
  <c r="AV93" i="1"/>
  <c r="AX109" i="1"/>
  <c r="BB93" i="1"/>
  <c r="AX108" i="1"/>
  <c r="AT112" i="1"/>
  <c r="AX110" i="1"/>
  <c r="BX93" i="1"/>
  <c r="BW117" i="1"/>
  <c r="BW119" i="1"/>
  <c r="BW118" i="1"/>
  <c r="BG117" i="1"/>
  <c r="BG119" i="1"/>
  <c r="BG118" i="1"/>
  <c r="AQ118" i="1"/>
  <c r="AQ119" i="1"/>
  <c r="AQ117" i="1"/>
  <c r="AC217" i="1"/>
  <c r="AC155" i="1"/>
  <c r="AC157" i="1" s="1"/>
  <c r="AC56" i="1" s="1"/>
  <c r="CT157" i="1"/>
  <c r="AD148" i="1"/>
  <c r="AD151" i="1" s="1"/>
  <c r="AD272" i="1" s="1"/>
  <c r="AR132" i="1"/>
  <c r="W84" i="1"/>
  <c r="CB113" i="1" l="1"/>
  <c r="BT113" i="1"/>
  <c r="BH113" i="1"/>
  <c r="BM113" i="1"/>
  <c r="BG113" i="1"/>
  <c r="BN113" i="1"/>
  <c r="BB113" i="1"/>
  <c r="BI113" i="1"/>
  <c r="AW113" i="1"/>
  <c r="BL113" i="1"/>
  <c r="BY113" i="1"/>
  <c r="AZ113" i="1"/>
  <c r="AR113" i="1"/>
  <c r="AV113" i="1"/>
  <c r="BJ113" i="1"/>
  <c r="BE113" i="1"/>
  <c r="AS113" i="1"/>
  <c r="AU113" i="1"/>
  <c r="BA113" i="1"/>
  <c r="AT113" i="1"/>
  <c r="AQ113" i="1"/>
  <c r="AP113" i="1"/>
  <c r="AO113" i="1"/>
  <c r="BP113" i="1"/>
  <c r="BO113" i="1"/>
  <c r="AY113" i="1"/>
  <c r="AX113" i="1"/>
  <c r="CA113" i="1"/>
  <c r="BR113" i="1"/>
  <c r="BC113" i="1"/>
  <c r="BZ113" i="1"/>
  <c r="BF113" i="1"/>
  <c r="BS113" i="1"/>
  <c r="BD113" i="1"/>
  <c r="BK113" i="1"/>
  <c r="BQ113" i="1"/>
  <c r="BX113" i="1"/>
  <c r="BW113" i="1"/>
  <c r="BV113" i="1"/>
  <c r="BU113" i="1"/>
  <c r="CU55" i="1"/>
  <c r="CT161" i="1"/>
  <c r="AD229" i="1"/>
  <c r="AB161" i="1"/>
  <c r="AR133" i="1"/>
  <c r="AR136" i="1" s="1"/>
  <c r="AR134" i="1"/>
  <c r="AR137" i="1" s="1"/>
  <c r="CA250" i="1"/>
  <c r="CB250" i="1"/>
  <c r="W216" i="1"/>
  <c r="W218" i="1" s="1"/>
  <c r="BU250" i="1"/>
  <c r="CT226" i="1" l="1"/>
  <c r="CT224" i="1" s="1"/>
  <c r="CU217" i="1"/>
  <c r="CU155" i="1"/>
  <c r="AB226" i="1"/>
  <c r="AB224" i="1" s="1"/>
  <c r="AE147" i="1"/>
  <c r="CA112" i="1"/>
  <c r="CU157" i="1" l="1"/>
  <c r="CF112" i="1"/>
  <c r="CU161" i="1" l="1"/>
  <c r="CV55" i="1"/>
  <c r="AE148" i="1"/>
  <c r="AE151" i="1" s="1"/>
  <c r="AE272" i="1" s="1"/>
  <c r="CV217" i="1" l="1"/>
  <c r="CV155" i="1"/>
  <c r="CU226" i="1"/>
  <c r="CU224" i="1" s="1"/>
  <c r="AE229" i="1"/>
  <c r="AC161" i="1"/>
  <c r="W143" i="1"/>
  <c r="CV157" i="1" l="1"/>
  <c r="W77" i="1"/>
  <c r="AC226" i="1"/>
  <c r="AC224" i="1" s="1"/>
  <c r="X230" i="1"/>
  <c r="X228" i="1" s="1"/>
  <c r="W230" i="1"/>
  <c r="W228" i="1" s="1"/>
  <c r="W152" i="1"/>
  <c r="W78" i="1" s="1"/>
  <c r="W198" i="1"/>
  <c r="CW55" i="1" l="1"/>
  <c r="CV161" i="1"/>
  <c r="CV226" i="1" l="1"/>
  <c r="CV224" i="1" s="1"/>
  <c r="CW217" i="1"/>
  <c r="CW155" i="1"/>
  <c r="CW157" i="1" l="1"/>
  <c r="CW161" i="1" l="1"/>
  <c r="CX55" i="1"/>
  <c r="AD55" i="1" l="1"/>
  <c r="CX217" i="1"/>
  <c r="CX155" i="1"/>
  <c r="CW226" i="1"/>
  <c r="CW224" i="1" s="1"/>
  <c r="AD217" i="1" l="1"/>
  <c r="AD155" i="1"/>
  <c r="AD157" i="1" s="1"/>
  <c r="CX157" i="1"/>
  <c r="AD161" i="1" l="1"/>
  <c r="AD226" i="1" s="1"/>
  <c r="AD224" i="1" s="1"/>
  <c r="AD56" i="1"/>
  <c r="CX161" i="1"/>
  <c r="CY55" i="1"/>
  <c r="CY217" i="1" l="1"/>
  <c r="CY155" i="1"/>
  <c r="CX226" i="1"/>
  <c r="CX224" i="1" s="1"/>
  <c r="CY157" i="1" l="1"/>
  <c r="W203" i="1"/>
  <c r="CY161" i="1" l="1"/>
  <c r="CZ55" i="1"/>
  <c r="W206" i="1"/>
  <c r="W179" i="1"/>
  <c r="X220" i="1" s="1"/>
  <c r="CZ217" i="1" l="1"/>
  <c r="CZ155" i="1"/>
  <c r="CY226" i="1"/>
  <c r="CY224" i="1" s="1"/>
  <c r="W208" i="1"/>
  <c r="W207" i="1" s="1"/>
  <c r="W220" i="1"/>
  <c r="W171" i="1"/>
  <c r="X219" i="1" s="1"/>
  <c r="X221" i="1" s="1"/>
  <c r="X222" i="1" s="1"/>
  <c r="X236" i="1" s="1"/>
  <c r="W202" i="1"/>
  <c r="CZ157" i="1" l="1"/>
  <c r="W205" i="1"/>
  <c r="W180" i="1"/>
  <c r="W219" i="1"/>
  <c r="W221" i="1" s="1"/>
  <c r="W222" i="1" s="1"/>
  <c r="CZ161" i="1" l="1"/>
  <c r="CZ226" i="1" s="1"/>
  <c r="CZ224" i="1" s="1"/>
  <c r="DA55" i="1"/>
  <c r="W204" i="1"/>
  <c r="W209" i="1"/>
  <c r="W233" i="1"/>
  <c r="W236" i="1"/>
  <c r="DA217" i="1" l="1"/>
  <c r="DA155" i="1"/>
  <c r="W212" i="1"/>
  <c r="W213" i="1" s="1"/>
  <c r="X212" i="1"/>
  <c r="X213" i="1" s="1"/>
  <c r="DA157" i="1" l="1"/>
  <c r="W184" i="1"/>
  <c r="X232" i="1" l="1"/>
  <c r="X233" i="1" s="1"/>
  <c r="X234" i="1" s="1"/>
  <c r="W269" i="1"/>
  <c r="W271" i="1"/>
  <c r="W267" i="1"/>
  <c r="DA161" i="1"/>
  <c r="DA226" i="1" s="1"/>
  <c r="DA224" i="1" s="1"/>
  <c r="DB55" i="1"/>
  <c r="W191" i="1"/>
  <c r="W132" i="1" s="1"/>
  <c r="W188" i="1"/>
  <c r="W234" i="1"/>
  <c r="AE55" i="1" l="1"/>
  <c r="AE217" i="1" s="1"/>
  <c r="DB217" i="1"/>
  <c r="DB155" i="1"/>
  <c r="W189" i="1"/>
  <c r="DB157" i="1" l="1"/>
  <c r="DB161" i="1" s="1"/>
  <c r="DB226" i="1" s="1"/>
  <c r="DB224" i="1" s="1"/>
  <c r="AE155" i="1"/>
  <c r="AE157" i="1" s="1"/>
  <c r="C113" i="2"/>
  <c r="C111" i="2"/>
  <c r="C112" i="2"/>
  <c r="AE161" i="1" l="1"/>
  <c r="AE226" i="1" s="1"/>
  <c r="AE224" i="1" s="1"/>
  <c r="AE56" i="1"/>
  <c r="B96" i="1"/>
  <c r="B97" i="1"/>
  <c r="AK202" i="1" l="1"/>
  <c r="AK167" i="1" s="1"/>
  <c r="AM167" i="1" l="1"/>
  <c r="AO167" i="1" l="1"/>
  <c r="AQ167" i="1" l="1"/>
  <c r="AS167" i="1" l="1"/>
  <c r="AU167" i="1" l="1"/>
  <c r="AW167" i="1" l="1"/>
  <c r="AY167" i="1" l="1"/>
  <c r="BA167" i="1" l="1"/>
  <c r="BC167" i="1" l="1"/>
  <c r="BE167" i="1" l="1"/>
  <c r="BG167" i="1" l="1"/>
  <c r="BI167" i="1" l="1"/>
  <c r="BK167" i="1" l="1"/>
  <c r="BM167" i="1" l="1"/>
  <c r="BO167" i="1" l="1"/>
  <c r="BQ167" i="1" l="1"/>
  <c r="BS167" i="1" l="1"/>
  <c r="BU167" i="1" l="1"/>
  <c r="BW167" i="1" l="1"/>
  <c r="BY167" i="1" l="1"/>
  <c r="AK168" i="1" l="1"/>
  <c r="AK171" i="1" s="1"/>
  <c r="AL219" i="1" l="1"/>
  <c r="AK219" i="1"/>
  <c r="AK205" i="1"/>
  <c r="AM168" i="1"/>
  <c r="AM171" i="1" s="1"/>
  <c r="AM205" i="1" l="1"/>
  <c r="AM204" i="1" s="1"/>
  <c r="AN219" i="1"/>
  <c r="AM219" i="1"/>
  <c r="AJ204" i="1"/>
  <c r="AK204" i="1"/>
  <c r="AO168" i="1" l="1"/>
  <c r="AO171" i="1" s="1"/>
  <c r="AP219" i="1" l="1"/>
  <c r="AO205" i="1"/>
  <c r="AO204" i="1" s="1"/>
  <c r="AO219" i="1"/>
  <c r="AQ168" i="1" l="1"/>
  <c r="AQ171" i="1" s="1"/>
  <c r="AQ205" i="1" l="1"/>
  <c r="AQ204" i="1" s="1"/>
  <c r="AR219" i="1"/>
  <c r="AQ219" i="1"/>
  <c r="AS168" i="1" l="1"/>
  <c r="AS171" i="1" s="1"/>
  <c r="AT219" i="1" l="1"/>
  <c r="AS205" i="1"/>
  <c r="AS204" i="1" s="1"/>
  <c r="AS219" i="1"/>
  <c r="AU168" i="1" l="1"/>
  <c r="AU171" i="1" s="1"/>
  <c r="AU205" i="1" l="1"/>
  <c r="AU204" i="1" s="1"/>
  <c r="AV219" i="1"/>
  <c r="AU219" i="1"/>
  <c r="AW168" i="1" l="1"/>
  <c r="AW171" i="1" s="1"/>
  <c r="AW205" i="1" l="1"/>
  <c r="AW204" i="1" s="1"/>
  <c r="AX219" i="1"/>
  <c r="AW219" i="1"/>
  <c r="AY168" i="1" l="1"/>
  <c r="AY171" i="1" s="1"/>
  <c r="AY205" i="1" l="1"/>
  <c r="AY204" i="1" s="1"/>
  <c r="AZ219" i="1"/>
  <c r="AY219" i="1"/>
  <c r="BA168" i="1" l="1"/>
  <c r="BA171" i="1" s="1"/>
  <c r="BB219" i="1" l="1"/>
  <c r="BA205" i="1"/>
  <c r="BA204" i="1" s="1"/>
  <c r="BA219" i="1"/>
  <c r="BC168" i="1" l="1"/>
  <c r="BC171" i="1" s="1"/>
  <c r="BD219" i="1" l="1"/>
  <c r="BC205" i="1"/>
  <c r="BC204" i="1" s="1"/>
  <c r="BC219" i="1"/>
  <c r="BE168" i="1" l="1"/>
  <c r="BE171" i="1" s="1"/>
  <c r="BF219" i="1" l="1"/>
  <c r="BE205" i="1"/>
  <c r="BE204" i="1" s="1"/>
  <c r="BE219" i="1"/>
  <c r="BG168" i="1" l="1"/>
  <c r="BG171" i="1" s="1"/>
  <c r="BG205" i="1" l="1"/>
  <c r="BG204" i="1" s="1"/>
  <c r="BH219" i="1"/>
  <c r="BG219" i="1"/>
  <c r="BI168" i="1" l="1"/>
  <c r="BI171" i="1" s="1"/>
  <c r="BJ219" i="1" l="1"/>
  <c r="BI205" i="1"/>
  <c r="BI204" i="1" s="1"/>
  <c r="BI219" i="1"/>
  <c r="BK168" i="1" l="1"/>
  <c r="BK171" i="1" s="1"/>
  <c r="BL219" i="1" l="1"/>
  <c r="BK205" i="1"/>
  <c r="BK204" i="1" s="1"/>
  <c r="BK219" i="1"/>
  <c r="BM168" i="1" l="1"/>
  <c r="BM171" i="1" s="1"/>
  <c r="BM205" i="1" l="1"/>
  <c r="BM204" i="1" s="1"/>
  <c r="BN219" i="1"/>
  <c r="BM219" i="1"/>
  <c r="BO168" i="1" l="1"/>
  <c r="BO171" i="1" s="1"/>
  <c r="BO205" i="1" l="1"/>
  <c r="BO204" i="1" s="1"/>
  <c r="BP219" i="1"/>
  <c r="BO219" i="1"/>
  <c r="BQ168" i="1" l="1"/>
  <c r="BQ171" i="1" s="1"/>
  <c r="BR219" i="1" l="1"/>
  <c r="BQ205" i="1"/>
  <c r="BQ204" i="1" s="1"/>
  <c r="BQ219" i="1"/>
  <c r="BS168" i="1" l="1"/>
  <c r="BS171" i="1" s="1"/>
  <c r="BT219" i="1" l="1"/>
  <c r="BS205" i="1"/>
  <c r="BS204" i="1" s="1"/>
  <c r="BS219" i="1"/>
  <c r="BU168" i="1" l="1"/>
  <c r="BU171" i="1" s="1"/>
  <c r="BU205" i="1" l="1"/>
  <c r="BU204" i="1" s="1"/>
  <c r="BV219" i="1"/>
  <c r="BU219" i="1"/>
  <c r="BW168" i="1" l="1"/>
  <c r="BW171" i="1" s="1"/>
  <c r="BW205" i="1" l="1"/>
  <c r="BW204" i="1" s="1"/>
  <c r="BX219" i="1"/>
  <c r="BW219" i="1"/>
  <c r="BY168" i="1" l="1"/>
  <c r="BY171" i="1" s="1"/>
  <c r="BZ219" i="1" l="1"/>
  <c r="BY205" i="1"/>
  <c r="BY204" i="1" s="1"/>
  <c r="BY219" i="1"/>
  <c r="AK206" i="1" l="1"/>
  <c r="AK176" i="1" s="1"/>
  <c r="AK179" i="1" s="1"/>
  <c r="AK180" i="1" l="1"/>
  <c r="AK208" i="1"/>
  <c r="AL220" i="1"/>
  <c r="AL221" i="1" s="1"/>
  <c r="AL222" i="1" s="1"/>
  <c r="AL236" i="1" s="1"/>
  <c r="AK220" i="1"/>
  <c r="AK221" i="1" s="1"/>
  <c r="AK222" i="1" s="1"/>
  <c r="AM176" i="1"/>
  <c r="AM179" i="1" s="1"/>
  <c r="AK236" i="1" l="1"/>
  <c r="AK233" i="1"/>
  <c r="AK183" i="1" s="1"/>
  <c r="AK184" i="1" s="1"/>
  <c r="AK188" i="1" s="1"/>
  <c r="AK189" i="1" s="1"/>
  <c r="AN220" i="1"/>
  <c r="AN221" i="1" s="1"/>
  <c r="AN222" i="1" s="1"/>
  <c r="AN236" i="1" s="1"/>
  <c r="AM208" i="1"/>
  <c r="AM207" i="1" s="1"/>
  <c r="AM220" i="1"/>
  <c r="AM221" i="1" s="1"/>
  <c r="AM222" i="1" s="1"/>
  <c r="AM180" i="1"/>
  <c r="AJ207" i="1"/>
  <c r="AJ209" i="1"/>
  <c r="AN212" i="1" s="1"/>
  <c r="AK207" i="1"/>
  <c r="AK209" i="1"/>
  <c r="AO176" i="1"/>
  <c r="AO179" i="1" s="1"/>
  <c r="AM209" i="1" l="1"/>
  <c r="AO208" i="1"/>
  <c r="AO207" i="1" s="1"/>
  <c r="AP220" i="1"/>
  <c r="AP221" i="1" s="1"/>
  <c r="AP222" i="1" s="1"/>
  <c r="AP236" i="1" s="1"/>
  <c r="AO220" i="1"/>
  <c r="AO221" i="1" s="1"/>
  <c r="AO222" i="1" s="1"/>
  <c r="AM236" i="1"/>
  <c r="AM233" i="1"/>
  <c r="AO180" i="1"/>
  <c r="AL232" i="1" l="1"/>
  <c r="AL233" i="1" s="1"/>
  <c r="AL234" i="1" s="1"/>
  <c r="AK234" i="1"/>
  <c r="AO209" i="1"/>
  <c r="AO212" i="1" s="1"/>
  <c r="AO236" i="1"/>
  <c r="AO233" i="1"/>
  <c r="AQ176" i="1"/>
  <c r="AQ179" i="1" s="1"/>
  <c r="AK191" i="1"/>
  <c r="AL60" i="1" s="1"/>
  <c r="AM183" i="1"/>
  <c r="AM184" i="1" s="1"/>
  <c r="AM188" i="1" s="1"/>
  <c r="AN232" i="1" l="1"/>
  <c r="AN233" i="1" s="1"/>
  <c r="AN234" i="1" s="1"/>
  <c r="AM271" i="1"/>
  <c r="AM269" i="1"/>
  <c r="AM267" i="1"/>
  <c r="AQ208" i="1"/>
  <c r="AQ207" i="1" s="1"/>
  <c r="AR220" i="1"/>
  <c r="AR221" i="1" s="1"/>
  <c r="AR222" i="1" s="1"/>
  <c r="AR236" i="1" s="1"/>
  <c r="AQ220" i="1"/>
  <c r="AQ221" i="1" s="1"/>
  <c r="AQ222" i="1" s="1"/>
  <c r="AM234" i="1"/>
  <c r="AQ180" i="1"/>
  <c r="AO183" i="1"/>
  <c r="AO184" i="1" s="1"/>
  <c r="AM191" i="1"/>
  <c r="AO269" i="1" l="1"/>
  <c r="AO271" i="1"/>
  <c r="AO267" i="1"/>
  <c r="AM132" i="1"/>
  <c r="AM133" i="1" s="1"/>
  <c r="AM136" i="1" s="1"/>
  <c r="AN60" i="1"/>
  <c r="AQ209" i="1"/>
  <c r="AQ212" i="1" s="1"/>
  <c r="AQ236" i="1"/>
  <c r="AQ233" i="1"/>
  <c r="AP232" i="1"/>
  <c r="AP233" i="1" s="1"/>
  <c r="AP234" i="1" s="1"/>
  <c r="AO234" i="1"/>
  <c r="AS176" i="1"/>
  <c r="AS179" i="1" s="1"/>
  <c r="AO191" i="1"/>
  <c r="AO188" i="1"/>
  <c r="AM189" i="1"/>
  <c r="AM134" i="1" l="1"/>
  <c r="AM137" i="1" s="1"/>
  <c r="AO132" i="1"/>
  <c r="AO134" i="1" s="1"/>
  <c r="AO137" i="1" s="1"/>
  <c r="AP60" i="1"/>
  <c r="AS208" i="1"/>
  <c r="AS207" i="1" s="1"/>
  <c r="AT220" i="1"/>
  <c r="AT221" i="1" s="1"/>
  <c r="AT222" i="1" s="1"/>
  <c r="AT236" i="1" s="1"/>
  <c r="AS220" i="1"/>
  <c r="AS221" i="1" s="1"/>
  <c r="AS222" i="1" s="1"/>
  <c r="AO189" i="1"/>
  <c r="AS180" i="1"/>
  <c r="AQ183" i="1"/>
  <c r="AQ184" i="1" s="1"/>
  <c r="AQ269" i="1" l="1"/>
  <c r="AQ271" i="1"/>
  <c r="AQ267" i="1"/>
  <c r="AO133" i="1"/>
  <c r="AO136" i="1" s="1"/>
  <c r="AS209" i="1"/>
  <c r="AS212" i="1" s="1"/>
  <c r="AS236" i="1"/>
  <c r="AS233" i="1"/>
  <c r="AR232" i="1"/>
  <c r="AR233" i="1" s="1"/>
  <c r="AR234" i="1" s="1"/>
  <c r="AQ234" i="1"/>
  <c r="AQ188" i="1"/>
  <c r="AQ191" i="1"/>
  <c r="AU176" i="1"/>
  <c r="AU179" i="1" s="1"/>
  <c r="AQ132" i="1" l="1"/>
  <c r="AQ133" i="1" s="1"/>
  <c r="AQ136" i="1" s="1"/>
  <c r="AR60" i="1"/>
  <c r="AU208" i="1"/>
  <c r="AU207" i="1" s="1"/>
  <c r="AV220" i="1"/>
  <c r="AV221" i="1" s="1"/>
  <c r="AV222" i="1" s="1"/>
  <c r="AV236" i="1" s="1"/>
  <c r="AU220" i="1"/>
  <c r="AU221" i="1" s="1"/>
  <c r="AU222" i="1" s="1"/>
  <c r="AU180" i="1"/>
  <c r="AS183" i="1"/>
  <c r="AS184" i="1" s="1"/>
  <c r="AQ189" i="1"/>
  <c r="AS271" i="1" l="1"/>
  <c r="AS269" i="1"/>
  <c r="AS267" i="1"/>
  <c r="AQ134" i="1"/>
  <c r="AQ137" i="1" s="1"/>
  <c r="AU209" i="1"/>
  <c r="AU212" i="1" s="1"/>
  <c r="AU236" i="1"/>
  <c r="AU233" i="1"/>
  <c r="AT232" i="1"/>
  <c r="AT233" i="1" s="1"/>
  <c r="AT234" i="1" s="1"/>
  <c r="AS234" i="1"/>
  <c r="AS191" i="1"/>
  <c r="AS188" i="1"/>
  <c r="AW176" i="1"/>
  <c r="AW179" i="1" s="1"/>
  <c r="AS132" i="1" l="1"/>
  <c r="AS133" i="1" s="1"/>
  <c r="AS136" i="1" s="1"/>
  <c r="AT60" i="1"/>
  <c r="AW208" i="1"/>
  <c r="AW209" i="1" s="1"/>
  <c r="AW212" i="1" s="1"/>
  <c r="AX220" i="1"/>
  <c r="AX221" i="1" s="1"/>
  <c r="AX222" i="1" s="1"/>
  <c r="AX236" i="1" s="1"/>
  <c r="AW220" i="1"/>
  <c r="AW221" i="1" s="1"/>
  <c r="AW222" i="1" s="1"/>
  <c r="AU183" i="1"/>
  <c r="AU184" i="1" s="1"/>
  <c r="AS189" i="1"/>
  <c r="AW180" i="1"/>
  <c r="AU271" i="1" l="1"/>
  <c r="AU269" i="1"/>
  <c r="AU267" i="1"/>
  <c r="AS134" i="1"/>
  <c r="AS137" i="1" s="1"/>
  <c r="AW207" i="1"/>
  <c r="AW236" i="1"/>
  <c r="AW233" i="1"/>
  <c r="AV232" i="1"/>
  <c r="AV233" i="1" s="1"/>
  <c r="AV234" i="1" s="1"/>
  <c r="AU234" i="1"/>
  <c r="AU191" i="1"/>
  <c r="AU188" i="1"/>
  <c r="AY176" i="1"/>
  <c r="AY179" i="1" s="1"/>
  <c r="AU132" i="1" l="1"/>
  <c r="AU134" i="1" s="1"/>
  <c r="AU137" i="1" s="1"/>
  <c r="AV60" i="1"/>
  <c r="AY208" i="1"/>
  <c r="AY207" i="1" s="1"/>
  <c r="AZ220" i="1"/>
  <c r="AZ221" i="1" s="1"/>
  <c r="AZ222" i="1" s="1"/>
  <c r="AZ236" i="1" s="1"/>
  <c r="AY220" i="1"/>
  <c r="AY221" i="1" s="1"/>
  <c r="AY222" i="1" s="1"/>
  <c r="AW183" i="1"/>
  <c r="AW184" i="1" s="1"/>
  <c r="AY180" i="1"/>
  <c r="AU189" i="1"/>
  <c r="AW269" i="1" l="1"/>
  <c r="AW271" i="1"/>
  <c r="AW267" i="1"/>
  <c r="AU133" i="1"/>
  <c r="AU136" i="1" s="1"/>
  <c r="AY209" i="1"/>
  <c r="AY212" i="1" s="1"/>
  <c r="AY236" i="1"/>
  <c r="AY233" i="1"/>
  <c r="AX232" i="1"/>
  <c r="AX233" i="1" s="1"/>
  <c r="AX234" i="1" s="1"/>
  <c r="AW234" i="1"/>
  <c r="BA176" i="1"/>
  <c r="BA179" i="1" s="1"/>
  <c r="AW188" i="1"/>
  <c r="AW191" i="1"/>
  <c r="AW132" i="1" l="1"/>
  <c r="AW134" i="1" s="1"/>
  <c r="AW137" i="1" s="1"/>
  <c r="AX60" i="1"/>
  <c r="BB220" i="1"/>
  <c r="BB221" i="1" s="1"/>
  <c r="BB222" i="1" s="1"/>
  <c r="BB236" i="1" s="1"/>
  <c r="BA208" i="1"/>
  <c r="BA207" i="1" s="1"/>
  <c r="BA220" i="1"/>
  <c r="BA221" i="1" s="1"/>
  <c r="BA222" i="1" s="1"/>
  <c r="AW189" i="1"/>
  <c r="BA180" i="1"/>
  <c r="AY183" i="1"/>
  <c r="AY184" i="1" s="1"/>
  <c r="AY269" i="1" l="1"/>
  <c r="AY271" i="1"/>
  <c r="AY267" i="1"/>
  <c r="AW133" i="1"/>
  <c r="AW136" i="1" s="1"/>
  <c r="BA209" i="1"/>
  <c r="BA212" i="1" s="1"/>
  <c r="BA236" i="1"/>
  <c r="BA233" i="1"/>
  <c r="AZ232" i="1"/>
  <c r="AZ233" i="1" s="1"/>
  <c r="AZ234" i="1" s="1"/>
  <c r="AY234" i="1"/>
  <c r="AY188" i="1"/>
  <c r="AY191" i="1"/>
  <c r="BC176" i="1"/>
  <c r="BC179" i="1" s="1"/>
  <c r="AY132" i="1" l="1"/>
  <c r="AY134" i="1" s="1"/>
  <c r="AY137" i="1" s="1"/>
  <c r="AZ60" i="1"/>
  <c r="BC208" i="1"/>
  <c r="BC207" i="1" s="1"/>
  <c r="BD220" i="1"/>
  <c r="BD221" i="1" s="1"/>
  <c r="BD222" i="1" s="1"/>
  <c r="BD236" i="1" s="1"/>
  <c r="BC220" i="1"/>
  <c r="BC221" i="1" s="1"/>
  <c r="BC222" i="1" s="1"/>
  <c r="AY189" i="1"/>
  <c r="BC180" i="1"/>
  <c r="BA183" i="1"/>
  <c r="BA184" i="1" s="1"/>
  <c r="BA271" i="1" l="1"/>
  <c r="BA269" i="1"/>
  <c r="BA267" i="1"/>
  <c r="AY133" i="1"/>
  <c r="AY136" i="1" s="1"/>
  <c r="BC209" i="1"/>
  <c r="BC212" i="1" s="1"/>
  <c r="BC236" i="1"/>
  <c r="BC233" i="1"/>
  <c r="BB232" i="1"/>
  <c r="BB233" i="1" s="1"/>
  <c r="BB234" i="1" s="1"/>
  <c r="BA234" i="1"/>
  <c r="BE176" i="1"/>
  <c r="BE179" i="1" s="1"/>
  <c r="BA191" i="1"/>
  <c r="BA188" i="1"/>
  <c r="BA132" i="1" l="1"/>
  <c r="BA133" i="1" s="1"/>
  <c r="BA136" i="1" s="1"/>
  <c r="BB60" i="1"/>
  <c r="BE208" i="1"/>
  <c r="BE207" i="1" s="1"/>
  <c r="BF220" i="1"/>
  <c r="BF221" i="1" s="1"/>
  <c r="BF222" i="1" s="1"/>
  <c r="BF236" i="1" s="1"/>
  <c r="BE220" i="1"/>
  <c r="BE221" i="1" s="1"/>
  <c r="BE222" i="1" s="1"/>
  <c r="BC183" i="1"/>
  <c r="BC184" i="1" s="1"/>
  <c r="BA189" i="1"/>
  <c r="BE180" i="1"/>
  <c r="BC271" i="1" l="1"/>
  <c r="BC269" i="1"/>
  <c r="BC267" i="1"/>
  <c r="BA134" i="1"/>
  <c r="BA137" i="1" s="1"/>
  <c r="BE209" i="1"/>
  <c r="BE212" i="1" s="1"/>
  <c r="BE236" i="1"/>
  <c r="BE233" i="1"/>
  <c r="BD232" i="1"/>
  <c r="BD233" i="1" s="1"/>
  <c r="BD234" i="1" s="1"/>
  <c r="BC234" i="1"/>
  <c r="BG176" i="1"/>
  <c r="BG179" i="1" s="1"/>
  <c r="BC188" i="1"/>
  <c r="BC191" i="1"/>
  <c r="BC132" i="1" l="1"/>
  <c r="BC133" i="1" s="1"/>
  <c r="BC136" i="1" s="1"/>
  <c r="BD60" i="1"/>
  <c r="BG208" i="1"/>
  <c r="BG209" i="1" s="1"/>
  <c r="BG212" i="1" s="1"/>
  <c r="BH220" i="1"/>
  <c r="BH221" i="1" s="1"/>
  <c r="BH222" i="1" s="1"/>
  <c r="BH236" i="1" s="1"/>
  <c r="BG220" i="1"/>
  <c r="BG221" i="1" s="1"/>
  <c r="BG222" i="1" s="1"/>
  <c r="BC189" i="1"/>
  <c r="BE183" i="1"/>
  <c r="BE184" i="1" s="1"/>
  <c r="BG180" i="1"/>
  <c r="BE269" i="1" l="1"/>
  <c r="BE271" i="1"/>
  <c r="BE267" i="1"/>
  <c r="BC134" i="1"/>
  <c r="BC137" i="1" s="1"/>
  <c r="BG207" i="1"/>
  <c r="BG236" i="1"/>
  <c r="BG233" i="1"/>
  <c r="BF232" i="1"/>
  <c r="BF233" i="1" s="1"/>
  <c r="BF234" i="1" s="1"/>
  <c r="BE234" i="1"/>
  <c r="BE191" i="1"/>
  <c r="BE188" i="1"/>
  <c r="BI176" i="1"/>
  <c r="BI179" i="1" s="1"/>
  <c r="BE132" i="1" l="1"/>
  <c r="BE133" i="1" s="1"/>
  <c r="BE136" i="1" s="1"/>
  <c r="BF60" i="1"/>
  <c r="BI208" i="1"/>
  <c r="BI207" i="1" s="1"/>
  <c r="BJ220" i="1"/>
  <c r="BJ221" i="1" s="1"/>
  <c r="BJ222" i="1" s="1"/>
  <c r="BJ236" i="1" s="1"/>
  <c r="BI220" i="1"/>
  <c r="BI221" i="1" s="1"/>
  <c r="BI222" i="1" s="1"/>
  <c r="BE189" i="1"/>
  <c r="BG183" i="1"/>
  <c r="BG184" i="1" s="1"/>
  <c r="BI180" i="1"/>
  <c r="BG269" i="1" l="1"/>
  <c r="BG271" i="1"/>
  <c r="BG267" i="1"/>
  <c r="BE134" i="1"/>
  <c r="BE137" i="1" s="1"/>
  <c r="BI209" i="1"/>
  <c r="BI212" i="1" s="1"/>
  <c r="BI236" i="1"/>
  <c r="BI233" i="1"/>
  <c r="BH232" i="1"/>
  <c r="BH233" i="1" s="1"/>
  <c r="BH234" i="1" s="1"/>
  <c r="BG234" i="1"/>
  <c r="BG188" i="1"/>
  <c r="BG191" i="1"/>
  <c r="BK176" i="1"/>
  <c r="BK179" i="1" s="1"/>
  <c r="BG132" i="1" l="1"/>
  <c r="BG133" i="1" s="1"/>
  <c r="BG136" i="1" s="1"/>
  <c r="BH60" i="1"/>
  <c r="BL220" i="1"/>
  <c r="BL221" i="1" s="1"/>
  <c r="BL222" i="1" s="1"/>
  <c r="BL236" i="1" s="1"/>
  <c r="BK208" i="1"/>
  <c r="BK207" i="1" s="1"/>
  <c r="BK220" i="1"/>
  <c r="BK221" i="1" s="1"/>
  <c r="BK222" i="1" s="1"/>
  <c r="BK180" i="1"/>
  <c r="BG189" i="1"/>
  <c r="BI183" i="1"/>
  <c r="BI184" i="1" s="1"/>
  <c r="BI271" i="1" l="1"/>
  <c r="BI269" i="1"/>
  <c r="BI267" i="1"/>
  <c r="BG134" i="1"/>
  <c r="BG137" i="1" s="1"/>
  <c r="BK209" i="1"/>
  <c r="BK212" i="1" s="1"/>
  <c r="BK236" i="1"/>
  <c r="BK233" i="1"/>
  <c r="BJ232" i="1"/>
  <c r="BJ233" i="1" s="1"/>
  <c r="BJ234" i="1" s="1"/>
  <c r="BI234" i="1"/>
  <c r="BI191" i="1"/>
  <c r="BI188" i="1"/>
  <c r="BM176" i="1"/>
  <c r="BM179" i="1" s="1"/>
  <c r="BI132" i="1" l="1"/>
  <c r="BI134" i="1" s="1"/>
  <c r="BI137" i="1" s="1"/>
  <c r="BJ60" i="1"/>
  <c r="BM208" i="1"/>
  <c r="BM207" i="1" s="1"/>
  <c r="BN220" i="1"/>
  <c r="BN221" i="1" s="1"/>
  <c r="BN222" i="1" s="1"/>
  <c r="BN236" i="1" s="1"/>
  <c r="BM220" i="1"/>
  <c r="BM221" i="1" s="1"/>
  <c r="BM222" i="1" s="1"/>
  <c r="BM180" i="1"/>
  <c r="BI189" i="1"/>
  <c r="BK183" i="1"/>
  <c r="BK184" i="1" s="1"/>
  <c r="BK271" i="1" l="1"/>
  <c r="BK269" i="1"/>
  <c r="BK267" i="1"/>
  <c r="BI133" i="1"/>
  <c r="BI136" i="1" s="1"/>
  <c r="BM209" i="1"/>
  <c r="BM212" i="1" s="1"/>
  <c r="BM236" i="1"/>
  <c r="BM233" i="1"/>
  <c r="BL232" i="1"/>
  <c r="BL233" i="1" s="1"/>
  <c r="BL234" i="1" s="1"/>
  <c r="BK234" i="1"/>
  <c r="BK191" i="1"/>
  <c r="BK188" i="1"/>
  <c r="BO176" i="1"/>
  <c r="BO179" i="1" s="1"/>
  <c r="BK132" i="1" l="1"/>
  <c r="BK134" i="1" s="1"/>
  <c r="BK137" i="1" s="1"/>
  <c r="BL60" i="1"/>
  <c r="BO208" i="1"/>
  <c r="BO207" i="1" s="1"/>
  <c r="BP220" i="1"/>
  <c r="BP221" i="1" s="1"/>
  <c r="BP222" i="1" s="1"/>
  <c r="BP236" i="1" s="1"/>
  <c r="BO220" i="1"/>
  <c r="BO221" i="1" s="1"/>
  <c r="BO222" i="1" s="1"/>
  <c r="BM183" i="1"/>
  <c r="BM184" i="1" s="1"/>
  <c r="BK189" i="1"/>
  <c r="BO180" i="1"/>
  <c r="BM269" i="1" l="1"/>
  <c r="BM271" i="1"/>
  <c r="BM267" i="1"/>
  <c r="BK133" i="1"/>
  <c r="BK136" i="1" s="1"/>
  <c r="BO209" i="1"/>
  <c r="BO212" i="1" s="1"/>
  <c r="BO236" i="1"/>
  <c r="BO233" i="1"/>
  <c r="BN232" i="1"/>
  <c r="BN233" i="1" s="1"/>
  <c r="BN234" i="1" s="1"/>
  <c r="BM234" i="1"/>
  <c r="BM188" i="1"/>
  <c r="BM191" i="1"/>
  <c r="BQ176" i="1"/>
  <c r="BQ179" i="1" s="1"/>
  <c r="BM132" i="1" l="1"/>
  <c r="BM133" i="1" s="1"/>
  <c r="BM136" i="1" s="1"/>
  <c r="BN60" i="1"/>
  <c r="BQ208" i="1"/>
  <c r="BQ207" i="1" s="1"/>
  <c r="BR220" i="1"/>
  <c r="BR221" i="1" s="1"/>
  <c r="BR222" i="1" s="1"/>
  <c r="BR236" i="1" s="1"/>
  <c r="BQ220" i="1"/>
  <c r="BQ221" i="1" s="1"/>
  <c r="BQ222" i="1" s="1"/>
  <c r="BO183" i="1"/>
  <c r="BO184" i="1" s="1"/>
  <c r="BQ180" i="1"/>
  <c r="BM189" i="1"/>
  <c r="BO269" i="1" l="1"/>
  <c r="BO271" i="1"/>
  <c r="BO267" i="1"/>
  <c r="BM134" i="1"/>
  <c r="BM137" i="1" s="1"/>
  <c r="BQ209" i="1"/>
  <c r="BQ212" i="1" s="1"/>
  <c r="BQ236" i="1"/>
  <c r="BQ233" i="1"/>
  <c r="BP232" i="1"/>
  <c r="BP233" i="1" s="1"/>
  <c r="BP234" i="1" s="1"/>
  <c r="BO234" i="1"/>
  <c r="BS176" i="1"/>
  <c r="BS179" i="1" s="1"/>
  <c r="BO188" i="1"/>
  <c r="BO191" i="1"/>
  <c r="BO132" i="1" l="1"/>
  <c r="BO133" i="1" s="1"/>
  <c r="BO136" i="1" s="1"/>
  <c r="BP60" i="1"/>
  <c r="BS208" i="1"/>
  <c r="BS207" i="1" s="1"/>
  <c r="BT220" i="1"/>
  <c r="BT221" i="1" s="1"/>
  <c r="BT222" i="1" s="1"/>
  <c r="BT236" i="1" s="1"/>
  <c r="BS220" i="1"/>
  <c r="BS221" i="1" s="1"/>
  <c r="BS222" i="1" s="1"/>
  <c r="BO189" i="1"/>
  <c r="BS180" i="1"/>
  <c r="BQ183" i="1"/>
  <c r="BQ184" i="1" s="1"/>
  <c r="BQ271" i="1" l="1"/>
  <c r="BQ269" i="1"/>
  <c r="BQ267" i="1"/>
  <c r="BO134" i="1"/>
  <c r="BO137" i="1" s="1"/>
  <c r="BS209" i="1"/>
  <c r="BS212" i="1" s="1"/>
  <c r="BS236" i="1"/>
  <c r="BS233" i="1"/>
  <c r="BR232" i="1"/>
  <c r="BR233" i="1" s="1"/>
  <c r="BR234" i="1" s="1"/>
  <c r="BQ234" i="1"/>
  <c r="BQ188" i="1"/>
  <c r="BQ191" i="1"/>
  <c r="BU176" i="1"/>
  <c r="BU179" i="1" s="1"/>
  <c r="BQ132" i="1" l="1"/>
  <c r="BQ133" i="1" s="1"/>
  <c r="BQ136" i="1" s="1"/>
  <c r="BR60" i="1"/>
  <c r="BU208" i="1"/>
  <c r="BU207" i="1" s="1"/>
  <c r="BV220" i="1"/>
  <c r="BV221" i="1" s="1"/>
  <c r="BV222" i="1" s="1"/>
  <c r="BV236" i="1" s="1"/>
  <c r="BU220" i="1"/>
  <c r="BU221" i="1" s="1"/>
  <c r="BU222" i="1" s="1"/>
  <c r="BS183" i="1"/>
  <c r="BS184" i="1" s="1"/>
  <c r="BQ189" i="1"/>
  <c r="BU180" i="1"/>
  <c r="BS271" i="1" l="1"/>
  <c r="BS269" i="1"/>
  <c r="BS267" i="1"/>
  <c r="BQ134" i="1"/>
  <c r="BQ137" i="1" s="1"/>
  <c r="BU209" i="1"/>
  <c r="BU212" i="1" s="1"/>
  <c r="BU236" i="1"/>
  <c r="BU233" i="1"/>
  <c r="BT232" i="1"/>
  <c r="BT233" i="1" s="1"/>
  <c r="BT234" i="1" s="1"/>
  <c r="BS234" i="1"/>
  <c r="BS188" i="1"/>
  <c r="BS191" i="1"/>
  <c r="BW176" i="1"/>
  <c r="BW179" i="1" s="1"/>
  <c r="BS132" i="1" l="1"/>
  <c r="BS134" i="1" s="1"/>
  <c r="BS137" i="1" s="1"/>
  <c r="BT60" i="1"/>
  <c r="BW208" i="1"/>
  <c r="BW207" i="1" s="1"/>
  <c r="BX220" i="1"/>
  <c r="BX221" i="1" s="1"/>
  <c r="BX222" i="1" s="1"/>
  <c r="BX236" i="1" s="1"/>
  <c r="BW220" i="1"/>
  <c r="BW221" i="1" s="1"/>
  <c r="BW222" i="1" s="1"/>
  <c r="BW180" i="1"/>
  <c r="BS189" i="1"/>
  <c r="BU183" i="1"/>
  <c r="BU184" i="1" s="1"/>
  <c r="BU269" i="1" l="1"/>
  <c r="BU271" i="1"/>
  <c r="BU267" i="1"/>
  <c r="BS133" i="1"/>
  <c r="BS136" i="1" s="1"/>
  <c r="BW209" i="1"/>
  <c r="BW212" i="1" s="1"/>
  <c r="BW236" i="1"/>
  <c r="BW233" i="1"/>
  <c r="BV232" i="1"/>
  <c r="BV233" i="1" s="1"/>
  <c r="BV234" i="1" s="1"/>
  <c r="BU234" i="1"/>
  <c r="BU188" i="1"/>
  <c r="BU191" i="1"/>
  <c r="BY176" i="1"/>
  <c r="BY179" i="1" s="1"/>
  <c r="BU132" i="1" l="1"/>
  <c r="BU134" i="1" s="1"/>
  <c r="BU137" i="1" s="1"/>
  <c r="BV60" i="1"/>
  <c r="BZ220" i="1"/>
  <c r="BZ221" i="1" s="1"/>
  <c r="BZ222" i="1" s="1"/>
  <c r="BZ236" i="1" s="1"/>
  <c r="BY208" i="1"/>
  <c r="BY207" i="1" s="1"/>
  <c r="BY220" i="1"/>
  <c r="BY221" i="1" s="1"/>
  <c r="BY222" i="1" s="1"/>
  <c r="BW183" i="1"/>
  <c r="BW184" i="1" s="1"/>
  <c r="BY180" i="1"/>
  <c r="BU189" i="1"/>
  <c r="BW269" i="1" l="1"/>
  <c r="BW271" i="1"/>
  <c r="BW267" i="1"/>
  <c r="BU133" i="1"/>
  <c r="BU136" i="1" s="1"/>
  <c r="BY209" i="1"/>
  <c r="BY212" i="1" s="1"/>
  <c r="BY236" i="1"/>
  <c r="BY233" i="1"/>
  <c r="BX232" i="1"/>
  <c r="BX233" i="1" s="1"/>
  <c r="BX234" i="1" s="1"/>
  <c r="BW234" i="1"/>
  <c r="BW188" i="1"/>
  <c r="BW191" i="1"/>
  <c r="BW132" i="1" l="1"/>
  <c r="BW134" i="1" s="1"/>
  <c r="BW137" i="1" s="1"/>
  <c r="BX60" i="1"/>
  <c r="BW189" i="1"/>
  <c r="BY183" i="1"/>
  <c r="BY184" i="1" s="1"/>
  <c r="BY271" i="1" l="1"/>
  <c r="BY269" i="1"/>
  <c r="BY267" i="1"/>
  <c r="BW133" i="1"/>
  <c r="BW136" i="1" s="1"/>
  <c r="BZ232" i="1"/>
  <c r="BZ233" i="1" s="1"/>
  <c r="BZ234" i="1" s="1"/>
  <c r="BY234" i="1"/>
  <c r="BY191" i="1"/>
  <c r="BY188" i="1"/>
  <c r="BY132" i="1" l="1"/>
  <c r="BY133" i="1" s="1"/>
  <c r="BY136" i="1" s="1"/>
  <c r="BZ60" i="1"/>
  <c r="BY189" i="1"/>
  <c r="CC168" i="1"/>
  <c r="CC167" i="1"/>
  <c r="CA167" i="1"/>
  <c r="CA176" i="1"/>
  <c r="CA179" i="1" s="1"/>
  <c r="CA168" i="1"/>
  <c r="BY134" i="1" l="1"/>
  <c r="BY137" i="1" s="1"/>
  <c r="CA171" i="1"/>
  <c r="CA205" i="1" s="1"/>
  <c r="CA204" i="1" s="1"/>
  <c r="CB220" i="1"/>
  <c r="CA208" i="1"/>
  <c r="CA207" i="1" s="1"/>
  <c r="CA220" i="1"/>
  <c r="CC176" i="1"/>
  <c r="CC179" i="1" s="1"/>
  <c r="CC171" i="1"/>
  <c r="CA180" i="1" l="1"/>
  <c r="CA219" i="1"/>
  <c r="CA221" i="1" s="1"/>
  <c r="CA222" i="1" s="1"/>
  <c r="CA236" i="1" s="1"/>
  <c r="CB219" i="1"/>
  <c r="CB221" i="1" s="1"/>
  <c r="CB222" i="1" s="1"/>
  <c r="CB236" i="1" s="1"/>
  <c r="CA209" i="1"/>
  <c r="CD219" i="1"/>
  <c r="CC205" i="1"/>
  <c r="CC204" i="1" s="1"/>
  <c r="CC219" i="1"/>
  <c r="CC208" i="1"/>
  <c r="CC207" i="1" s="1"/>
  <c r="CD220" i="1"/>
  <c r="CC220" i="1"/>
  <c r="CC180" i="1"/>
  <c r="CA212" i="1" l="1"/>
  <c r="CE212" i="1"/>
  <c r="CC221" i="1"/>
  <c r="CC222" i="1" s="1"/>
  <c r="CC236" i="1" s="1"/>
  <c r="CD221" i="1"/>
  <c r="CD222" i="1" s="1"/>
  <c r="CD236" i="1" s="1"/>
  <c r="CA233" i="1"/>
  <c r="CA183" i="1" s="1"/>
  <c r="CA184" i="1" s="1"/>
  <c r="CC209" i="1"/>
  <c r="CA271" i="1" l="1"/>
  <c r="CA269" i="1"/>
  <c r="CA267" i="1"/>
  <c r="CC212" i="1"/>
  <c r="CG212" i="1"/>
  <c r="CC233" i="1"/>
  <c r="CC183" i="1" s="1"/>
  <c r="CC184" i="1" s="1"/>
  <c r="CB232" i="1"/>
  <c r="CB233" i="1" s="1"/>
  <c r="CB234" i="1" s="1"/>
  <c r="CA234" i="1"/>
  <c r="CA191" i="1"/>
  <c r="CA188" i="1"/>
  <c r="CC269" i="1" l="1"/>
  <c r="CC271" i="1"/>
  <c r="CC267" i="1"/>
  <c r="CA132" i="1"/>
  <c r="CA133" i="1" s="1"/>
  <c r="CA136" i="1" s="1"/>
  <c r="CB60" i="1"/>
  <c r="CD232" i="1"/>
  <c r="CD233" i="1" s="1"/>
  <c r="CD234" i="1" s="1"/>
  <c r="CC234" i="1"/>
  <c r="CC188" i="1"/>
  <c r="CC191" i="1"/>
  <c r="CA189" i="1"/>
  <c r="CA134" i="1" l="1"/>
  <c r="CA137" i="1" s="1"/>
  <c r="CC132" i="1"/>
  <c r="CC133" i="1" s="1"/>
  <c r="CC136" i="1" s="1"/>
  <c r="CD60" i="1"/>
  <c r="CC189" i="1"/>
  <c r="CC134" i="1" l="1"/>
  <c r="CC137" i="1" s="1"/>
  <c r="CE112" i="1"/>
  <c r="CD112" i="1"/>
  <c r="CC112" i="1"/>
  <c r="CB112" i="1"/>
  <c r="CI168" i="1" l="1"/>
  <c r="CI176" i="1"/>
  <c r="CI179" i="1" s="1"/>
  <c r="CI167" i="1"/>
  <c r="CJ220" i="1" l="1"/>
  <c r="CI171" i="1"/>
  <c r="CI220" i="1"/>
  <c r="CJ219" i="1" l="1"/>
  <c r="CJ221" i="1" s="1"/>
  <c r="CJ222" i="1" s="1"/>
  <c r="CJ236" i="1" s="1"/>
  <c r="CI180" i="1"/>
  <c r="CI219" i="1"/>
  <c r="CI221" i="1" s="1"/>
  <c r="CI222" i="1" s="1"/>
  <c r="CI236" i="1" s="1"/>
  <c r="CI209" i="1" l="1"/>
  <c r="CI212" i="1" s="1"/>
  <c r="CI233" i="1"/>
  <c r="CI183" i="1" s="1"/>
  <c r="CI184" i="1" s="1"/>
  <c r="CI271" i="1" l="1"/>
  <c r="CI269" i="1"/>
  <c r="CI267" i="1"/>
  <c r="CI234" i="1"/>
  <c r="CJ232" i="1"/>
  <c r="CJ233" i="1" s="1"/>
  <c r="CI191" i="1"/>
  <c r="CI188" i="1"/>
  <c r="CI132" i="1" l="1"/>
  <c r="CI134" i="1" s="1"/>
  <c r="CI137" i="1" s="1"/>
  <c r="CJ60" i="1"/>
  <c r="CJ234" i="1"/>
  <c r="CI189" i="1"/>
  <c r="CI133" i="1" l="1"/>
  <c r="CI136" i="1" s="1"/>
  <c r="CJ191" i="1"/>
  <c r="CJ132" i="1" l="1"/>
  <c r="CK60" i="1"/>
  <c r="CJ133" i="1" l="1"/>
  <c r="CJ136" i="1" s="1"/>
  <c r="CJ134" i="1"/>
  <c r="CJ137" i="1" s="1"/>
  <c r="CK254" i="1"/>
  <c r="CK276" i="1"/>
  <c r="CK275" i="1"/>
  <c r="CK167" i="1" l="1"/>
  <c r="CK176" i="1"/>
  <c r="CK168" i="1"/>
  <c r="CK175" i="1"/>
  <c r="CK248" i="1"/>
  <c r="CK169" i="1"/>
  <c r="CK179" i="1" l="1"/>
  <c r="CK171" i="1"/>
  <c r="CK220" i="1" l="1"/>
  <c r="CL220" i="1"/>
  <c r="CK219" i="1"/>
  <c r="CL219" i="1"/>
  <c r="CK180" i="1"/>
  <c r="CK273" i="1"/>
  <c r="CK274" i="1" s="1"/>
  <c r="CK255" i="1"/>
  <c r="CK256" i="1" s="1"/>
  <c r="CK249" i="1"/>
  <c r="CK221" i="1" l="1"/>
  <c r="CL221" i="1"/>
  <c r="CL222" i="1" s="1"/>
  <c r="CL236" i="1" s="1"/>
  <c r="CK268" i="1"/>
  <c r="CK250" i="1"/>
  <c r="CK257" i="1"/>
  <c r="CK216" i="1" l="1"/>
  <c r="CK218" i="1" s="1"/>
  <c r="CK222" i="1" s="1"/>
  <c r="CK236" i="1" s="1"/>
  <c r="CK142" i="1"/>
  <c r="CK143" i="1" l="1"/>
  <c r="CL230" i="1" s="1"/>
  <c r="CL228" i="1" s="1"/>
  <c r="CK115" i="1" l="1"/>
  <c r="CK77" i="1"/>
  <c r="CG112" i="1"/>
  <c r="CK230" i="1"/>
  <c r="CK228" i="1" s="1"/>
  <c r="CK233" i="1" s="1"/>
  <c r="CK152" i="1"/>
  <c r="CK78" i="1" s="1"/>
  <c r="CK119" i="1" l="1"/>
  <c r="CK117" i="1"/>
  <c r="CK118" i="1"/>
  <c r="CK183" i="1"/>
  <c r="CK184" i="1" s="1"/>
  <c r="CL232" i="1" s="1"/>
  <c r="CL233" i="1" s="1"/>
  <c r="CL234" i="1" s="1"/>
  <c r="CK234" i="1" l="1"/>
  <c r="CK271" i="1"/>
  <c r="CK267" i="1"/>
  <c r="CK269" i="1"/>
  <c r="CK188" i="1"/>
  <c r="CK191" i="1"/>
  <c r="CK132" i="1" l="1"/>
  <c r="CL60" i="1"/>
  <c r="CM60" i="1" s="1"/>
  <c r="CN60" i="1" s="1"/>
  <c r="CO60" i="1" s="1"/>
  <c r="CP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CK189" i="1"/>
  <c r="CK133" i="1" l="1"/>
  <c r="CK136" i="1" s="1"/>
  <c r="CK134" i="1"/>
  <c r="CK137" i="1" s="1"/>
  <c r="CJ14" i="1" l="1"/>
  <c r="CN14" i="1" s="1"/>
  <c r="CR14" i="1" s="1"/>
  <c r="CJ24" i="1"/>
  <c r="CM24" i="1" l="1"/>
  <c r="CN24" i="1" l="1"/>
  <c r="CM19" i="1"/>
  <c r="CV14" i="1"/>
  <c r="CO24" i="1" l="1"/>
  <c r="CZ14" i="1"/>
  <c r="CN19" i="1"/>
  <c r="AA19" i="1"/>
  <c r="AA24" i="1" s="1"/>
  <c r="CM3" i="1"/>
  <c r="CP24" i="1" l="1"/>
  <c r="CQ24" i="1" s="1"/>
  <c r="CO19" i="1"/>
  <c r="AA3" i="1"/>
  <c r="CN3" i="1"/>
  <c r="CM9" i="1"/>
  <c r="CR24" i="1" l="1"/>
  <c r="CQ19" i="1"/>
  <c r="CN9" i="1"/>
  <c r="AA9" i="1"/>
  <c r="AA14" i="1"/>
  <c r="CP19" i="1"/>
  <c r="AB19" i="1" s="1"/>
  <c r="AB24" i="1" s="1"/>
  <c r="CO3" i="1"/>
  <c r="CS24" i="1" l="1"/>
  <c r="CT24" i="1" s="1"/>
  <c r="CT19" i="1"/>
  <c r="CO9" i="1"/>
  <c r="CR19" i="1"/>
  <c r="CQ3" i="1"/>
  <c r="CP3" i="1"/>
  <c r="CS19" i="1" l="1"/>
  <c r="AC19" i="1" s="1"/>
  <c r="AC24" i="1" s="1"/>
  <c r="CU24" i="1"/>
  <c r="CT3" i="1"/>
  <c r="CR3" i="1"/>
  <c r="CP9" i="1"/>
  <c r="AB3" i="1"/>
  <c r="CQ9" i="1"/>
  <c r="CU19" i="1" l="1"/>
  <c r="CU3" i="1" s="1"/>
  <c r="CV24" i="1"/>
  <c r="CV19" i="1" s="1"/>
  <c r="CS3" i="1"/>
  <c r="CS9" i="1" s="1"/>
  <c r="CR9" i="1"/>
  <c r="AB9" i="1"/>
  <c r="AB14" i="1"/>
  <c r="CT9" i="1"/>
  <c r="CW24" i="1" l="1"/>
  <c r="CW19" i="1" s="1"/>
  <c r="AC3" i="1"/>
  <c r="AC9" i="1" s="1"/>
  <c r="CV3" i="1"/>
  <c r="CU9" i="1"/>
  <c r="CX24" i="1" l="1"/>
  <c r="CX19" i="1" s="1"/>
  <c r="AD19" i="1" s="1"/>
  <c r="AD24" i="1" s="1"/>
  <c r="AC14" i="1"/>
  <c r="CW3" i="1"/>
  <c r="CV9" i="1"/>
  <c r="CY24" i="1" l="1"/>
  <c r="CY19" i="1" s="1"/>
  <c r="CY3" i="1" s="1"/>
  <c r="CW9" i="1"/>
  <c r="CX3" i="1"/>
  <c r="CZ24" i="1" l="1"/>
  <c r="DA24" i="1" s="1"/>
  <c r="DA19" i="1" s="1"/>
  <c r="DA3" i="1" s="1"/>
  <c r="DA9" i="1" s="1"/>
  <c r="CX9" i="1"/>
  <c r="CY9" i="1"/>
  <c r="AD3" i="1"/>
  <c r="CZ19" i="1" l="1"/>
  <c r="CZ3" i="1" s="1"/>
  <c r="CZ9" i="1" s="1"/>
  <c r="DB24" i="1"/>
  <c r="DB19" i="1" s="1"/>
  <c r="DB3" i="1" s="1"/>
  <c r="DB9" i="1" s="1"/>
  <c r="AD14" i="1"/>
  <c r="AD9" i="1"/>
  <c r="CJ15" i="1"/>
  <c r="CN15" i="1" s="1"/>
  <c r="CR15" i="1" s="1"/>
  <c r="CJ25" i="1"/>
  <c r="CM25" i="1" s="1"/>
  <c r="AE19" i="1" l="1"/>
  <c r="AE24" i="1" s="1"/>
  <c r="AE3" i="1"/>
  <c r="AE9" i="1" s="1"/>
  <c r="CN25" i="1"/>
  <c r="CV15" i="1"/>
  <c r="AE14" i="1" l="1"/>
  <c r="CO25" i="1"/>
  <c r="AA20" i="1"/>
  <c r="AA25" i="1" s="1"/>
  <c r="CZ15" i="1"/>
  <c r="CQ25" i="1" l="1"/>
  <c r="CP25" i="1"/>
  <c r="AA4" i="1"/>
  <c r="CM20" i="1"/>
  <c r="CM4" i="1" s="1"/>
  <c r="CM10" i="1" s="1"/>
  <c r="CS25" i="1" l="1"/>
  <c r="CT25" i="1" s="1"/>
  <c r="CR25" i="1"/>
  <c r="CN20" i="1"/>
  <c r="CN4" i="1" s="1"/>
  <c r="CN10" i="1" s="1"/>
  <c r="AA15" i="1"/>
  <c r="AA10" i="1"/>
  <c r="CO20" i="1" l="1"/>
  <c r="CP20" i="1" l="1"/>
  <c r="CP4" i="1" s="1"/>
  <c r="CP10" i="1" s="1"/>
  <c r="CO4" i="1"/>
  <c r="CO10" i="1" s="1"/>
  <c r="AB20" i="1" l="1"/>
  <c r="AB25" i="1" s="1"/>
  <c r="AB4" i="1"/>
  <c r="AB15" i="1" s="1"/>
  <c r="CQ20" i="1"/>
  <c r="CQ4" i="1" s="1"/>
  <c r="CQ10" i="1" s="1"/>
  <c r="AB10" i="1" l="1"/>
  <c r="CS20" i="1"/>
  <c r="CS4" i="1" s="1"/>
  <c r="CR20" i="1"/>
  <c r="CR4" i="1" s="1"/>
  <c r="CR10" i="1" s="1"/>
  <c r="CS10" i="1" l="1"/>
  <c r="CT20" i="1" l="1"/>
  <c r="CU25" i="1"/>
  <c r="CU20" i="1" l="1"/>
  <c r="CV25" i="1"/>
  <c r="AC20" i="1"/>
  <c r="AC25" i="1" s="1"/>
  <c r="CT4" i="1"/>
  <c r="AC4" i="1" l="1"/>
  <c r="CT10" i="1"/>
  <c r="CW25" i="1"/>
  <c r="CX25" i="1" s="1"/>
  <c r="CY25" i="1" s="1"/>
  <c r="CZ25" i="1" s="1"/>
  <c r="CV20" i="1"/>
  <c r="CU4" i="1"/>
  <c r="CU10" i="1" s="1"/>
  <c r="CY20" i="1" l="1"/>
  <c r="CX20" i="1"/>
  <c r="CZ20" i="1"/>
  <c r="CZ4" i="1" s="1"/>
  <c r="CV4" i="1"/>
  <c r="CV10" i="1" s="1"/>
  <c r="CW20" i="1"/>
  <c r="CW4" i="1" s="1"/>
  <c r="CW10" i="1" s="1"/>
  <c r="DA25" i="1"/>
  <c r="DB25" i="1" s="1"/>
  <c r="AC10" i="1"/>
  <c r="AC15" i="1"/>
  <c r="CJ16" i="1"/>
  <c r="CN16" i="1" s="1"/>
  <c r="CR16" i="1" s="1"/>
  <c r="CV16" i="1" s="1"/>
  <c r="CJ26" i="1"/>
  <c r="CM26" i="1" l="1"/>
  <c r="CZ10" i="1"/>
  <c r="AD20" i="1"/>
  <c r="AD25" i="1" s="1"/>
  <c r="CX4" i="1"/>
  <c r="CX10" i="1" s="1"/>
  <c r="DB20" i="1"/>
  <c r="DB4" i="1" s="1"/>
  <c r="DA20" i="1"/>
  <c r="DA4" i="1" s="1"/>
  <c r="DA10" i="1" s="1"/>
  <c r="CY4" i="1"/>
  <c r="AE20" i="1"/>
  <c r="CZ16" i="1"/>
  <c r="DB10" i="1" l="1"/>
  <c r="CN26" i="1"/>
  <c r="AE25" i="1"/>
  <c r="AE4" i="1"/>
  <c r="CY10" i="1"/>
  <c r="AD4" i="1"/>
  <c r="CM21" i="1"/>
  <c r="CO26" i="1" l="1"/>
  <c r="CP26" i="1" s="1"/>
  <c r="AD15" i="1"/>
  <c r="AD10" i="1"/>
  <c r="AE15" i="1"/>
  <c r="AE10" i="1"/>
  <c r="CN21" i="1"/>
  <c r="AA21" i="1"/>
  <c r="AA26" i="1" s="1"/>
  <c r="CM5" i="1"/>
  <c r="CQ26" i="1" l="1"/>
  <c r="CP21" i="1"/>
  <c r="CP5" i="1" s="1"/>
  <c r="CN5" i="1"/>
  <c r="CO21" i="1"/>
  <c r="CL6" i="1"/>
  <c r="AA5" i="1"/>
  <c r="CM11" i="1"/>
  <c r="CM6" i="1"/>
  <c r="CM31" i="1" s="1"/>
  <c r="CR26" i="1" l="1"/>
  <c r="CS26" i="1" s="1"/>
  <c r="CT26" i="1" s="1"/>
  <c r="CN11" i="1"/>
  <c r="CN6" i="1"/>
  <c r="CN31" i="1" s="1"/>
  <c r="AA11" i="1"/>
  <c r="AA16" i="1"/>
  <c r="AA6" i="1"/>
  <c r="CO5" i="1"/>
  <c r="AB5" i="1" s="1"/>
  <c r="AB21" i="1"/>
  <c r="AB26" i="1" s="1"/>
  <c r="CP11" i="1"/>
  <c r="CP6" i="1"/>
  <c r="CP31" i="1" s="1"/>
  <c r="CQ21" i="1" l="1"/>
  <c r="CQ5" i="1" s="1"/>
  <c r="CQ11" i="1" s="1"/>
  <c r="CN33" i="1"/>
  <c r="CN276" i="1"/>
  <c r="CN254" i="1"/>
  <c r="CP254" i="1"/>
  <c r="CP33" i="1"/>
  <c r="CP276" i="1"/>
  <c r="AB16" i="1"/>
  <c r="AB11" i="1"/>
  <c r="CM254" i="1"/>
  <c r="CM33" i="1"/>
  <c r="CM276" i="1"/>
  <c r="CO6" i="1"/>
  <c r="CO31" i="1" s="1"/>
  <c r="CO11" i="1"/>
  <c r="CN121" i="1"/>
  <c r="CN122" i="1" s="1"/>
  <c r="CN125" i="1" s="1"/>
  <c r="CM121" i="1"/>
  <c r="CM122" i="1" s="1"/>
  <c r="CM125" i="1" s="1"/>
  <c r="CQ6" i="1" l="1"/>
  <c r="CQ31" i="1" s="1"/>
  <c r="CP121" i="1"/>
  <c r="CP122" i="1" s="1"/>
  <c r="CP125" i="1" s="1"/>
  <c r="CR21" i="1"/>
  <c r="CR5" i="1" s="1"/>
  <c r="CO276" i="1"/>
  <c r="CO33" i="1"/>
  <c r="CO248" i="1" s="1"/>
  <c r="CO121" i="1"/>
  <c r="CO122" i="1" s="1"/>
  <c r="CO125" i="1" s="1"/>
  <c r="CN248" i="1"/>
  <c r="CM248" i="1"/>
  <c r="CP34" i="1"/>
  <c r="CP49" i="1"/>
  <c r="CP46" i="1" s="1"/>
  <c r="CP176" i="1"/>
  <c r="AB176" i="1" s="1"/>
  <c r="CP169" i="1"/>
  <c r="AB169" i="1" s="1"/>
  <c r="CP167" i="1"/>
  <c r="CP175" i="1"/>
  <c r="CP39" i="1"/>
  <c r="CP38" i="1" s="1"/>
  <c r="CP168" i="1"/>
  <c r="AB168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AB31" i="1"/>
  <c r="CM167" i="1"/>
  <c r="CM168" i="1"/>
  <c r="CM39" i="1"/>
  <c r="CM35" i="1"/>
  <c r="CM169" i="1"/>
  <c r="CM49" i="1"/>
  <c r="CM46" i="1" s="1"/>
  <c r="CM176" i="1"/>
  <c r="CM34" i="1"/>
  <c r="CM175" i="1"/>
  <c r="CN49" i="1"/>
  <c r="CN46" i="1" s="1"/>
  <c r="CN168" i="1"/>
  <c r="CN175" i="1"/>
  <c r="CN39" i="1"/>
  <c r="CN38" i="1" s="1"/>
  <c r="CN35" i="1"/>
  <c r="CN167" i="1"/>
  <c r="CN34" i="1"/>
  <c r="CN176" i="1"/>
  <c r="CN169" i="1"/>
  <c r="AB6" i="1"/>
  <c r="CO254" i="1" l="1"/>
  <c r="CN179" i="1"/>
  <c r="CP35" i="1"/>
  <c r="CP248" i="1"/>
  <c r="CS21" i="1"/>
  <c r="CS5" i="1" s="1"/>
  <c r="CM179" i="1"/>
  <c r="CN220" i="1" s="1"/>
  <c r="CR6" i="1"/>
  <c r="CR31" i="1" s="1"/>
  <c r="CR11" i="1"/>
  <c r="CM42" i="1"/>
  <c r="CM41" i="1"/>
  <c r="CM51" i="1"/>
  <c r="CM171" i="1"/>
  <c r="CN171" i="1"/>
  <c r="CM38" i="1"/>
  <c r="AB175" i="1"/>
  <c r="AB179" i="1" s="1"/>
  <c r="CP179" i="1"/>
  <c r="CP171" i="1"/>
  <c r="AB167" i="1"/>
  <c r="CP41" i="1"/>
  <c r="CP51" i="1"/>
  <c r="AB276" i="1"/>
  <c r="AB33" i="1"/>
  <c r="CQ254" i="1"/>
  <c r="CQ276" i="1"/>
  <c r="CQ33" i="1"/>
  <c r="CN51" i="1"/>
  <c r="CN42" i="1"/>
  <c r="CN41" i="1"/>
  <c r="AB203" i="1"/>
  <c r="AB206" i="1"/>
  <c r="CO167" i="1"/>
  <c r="CO34" i="1"/>
  <c r="CO176" i="1"/>
  <c r="CO49" i="1"/>
  <c r="CO46" i="1" s="1"/>
  <c r="AB46" i="1" s="1"/>
  <c r="AB49" i="1" s="1"/>
  <c r="CO175" i="1"/>
  <c r="CO35" i="1"/>
  <c r="CO168" i="1"/>
  <c r="CO169" i="1"/>
  <c r="CO39" i="1"/>
  <c r="CO38" i="1" s="1"/>
  <c r="CQ121" i="1"/>
  <c r="CQ122" i="1" s="1"/>
  <c r="CQ125" i="1" s="1"/>
  <c r="AB50" i="1" l="1"/>
  <c r="CP42" i="1"/>
  <c r="CO179" i="1"/>
  <c r="CP220" i="1" s="1"/>
  <c r="CR276" i="1"/>
  <c r="CR33" i="1"/>
  <c r="CR121" i="1"/>
  <c r="CR122" i="1" s="1"/>
  <c r="CR125" i="1" s="1"/>
  <c r="CR254" i="1"/>
  <c r="AB38" i="1"/>
  <c r="AB39" i="1" s="1"/>
  <c r="AB41" i="1" s="1"/>
  <c r="CT21" i="1"/>
  <c r="CU26" i="1"/>
  <c r="CV26" i="1" s="1"/>
  <c r="CV21" i="1" s="1"/>
  <c r="CV5" i="1" s="1"/>
  <c r="CS6" i="1"/>
  <c r="CS11" i="1"/>
  <c r="CN249" i="1"/>
  <c r="CM249" i="1"/>
  <c r="CM135" i="1"/>
  <c r="CN135" i="1"/>
  <c r="CQ167" i="1"/>
  <c r="CQ39" i="1"/>
  <c r="CQ38" i="1" s="1"/>
  <c r="CQ49" i="1"/>
  <c r="CQ46" i="1" s="1"/>
  <c r="CQ176" i="1"/>
  <c r="CQ168" i="1"/>
  <c r="CQ169" i="1"/>
  <c r="CQ35" i="1"/>
  <c r="CQ175" i="1"/>
  <c r="CQ34" i="1"/>
  <c r="CQ248" i="1"/>
  <c r="CP255" i="1"/>
  <c r="CP256" i="1" s="1"/>
  <c r="CP57" i="1"/>
  <c r="CP53" i="1"/>
  <c r="CP52" i="1"/>
  <c r="CM219" i="1"/>
  <c r="AB220" i="1"/>
  <c r="CP180" i="1"/>
  <c r="CM220" i="1"/>
  <c r="CM52" i="1"/>
  <c r="CM255" i="1"/>
  <c r="CM256" i="1" s="1"/>
  <c r="CM53" i="1"/>
  <c r="CM273" i="1"/>
  <c r="CM274" i="1" s="1"/>
  <c r="CM57" i="1"/>
  <c r="CM54" i="1"/>
  <c r="CO171" i="1"/>
  <c r="AB171" i="1"/>
  <c r="AB202" i="1"/>
  <c r="CN180" i="1"/>
  <c r="CO41" i="1"/>
  <c r="CO42" i="1"/>
  <c r="CO51" i="1"/>
  <c r="CP249" i="1" s="1"/>
  <c r="CN57" i="1"/>
  <c r="CN53" i="1"/>
  <c r="CN273" i="1"/>
  <c r="CN274" i="1" s="1"/>
  <c r="CN52" i="1"/>
  <c r="CN255" i="1"/>
  <c r="CN256" i="1" s="1"/>
  <c r="CN54" i="1"/>
  <c r="AB34" i="1"/>
  <c r="AB121" i="1"/>
  <c r="AB81" i="1"/>
  <c r="AB211" i="1"/>
  <c r="AB208" i="1"/>
  <c r="AB207" i="1" s="1"/>
  <c r="CN219" i="1"/>
  <c r="CN221" i="1" s="1"/>
  <c r="CM180" i="1"/>
  <c r="CO220" i="1" l="1"/>
  <c r="CR248" i="1"/>
  <c r="CR35" i="1"/>
  <c r="CP273" i="1"/>
  <c r="CP274" i="1" s="1"/>
  <c r="CP135" i="1"/>
  <c r="CP54" i="1"/>
  <c r="AC21" i="1"/>
  <c r="AC26" i="1" s="1"/>
  <c r="CT5" i="1"/>
  <c r="CO135" i="1"/>
  <c r="CR34" i="1"/>
  <c r="CR167" i="1"/>
  <c r="CR39" i="1"/>
  <c r="CR42" i="1" s="1"/>
  <c r="CR168" i="1"/>
  <c r="CR169" i="1"/>
  <c r="CR176" i="1"/>
  <c r="CR175" i="1"/>
  <c r="CR49" i="1"/>
  <c r="CR46" i="1" s="1"/>
  <c r="CU21" i="1"/>
  <c r="CU5" i="1" s="1"/>
  <c r="CW26" i="1"/>
  <c r="CW21" i="1" s="1"/>
  <c r="CW5" i="1" s="1"/>
  <c r="CS31" i="1"/>
  <c r="CP219" i="1"/>
  <c r="CP221" i="1" s="1"/>
  <c r="CO180" i="1"/>
  <c r="CV11" i="1"/>
  <c r="CV6" i="1"/>
  <c r="CV31" i="1" s="1"/>
  <c r="CQ51" i="1"/>
  <c r="CQ135" i="1" s="1"/>
  <c r="CQ42" i="1"/>
  <c r="CQ41" i="1"/>
  <c r="CO219" i="1"/>
  <c r="AB219" i="1"/>
  <c r="AB221" i="1" s="1"/>
  <c r="CQ171" i="1"/>
  <c r="CM221" i="1"/>
  <c r="CO255" i="1"/>
  <c r="CO256" i="1" s="1"/>
  <c r="CO57" i="1"/>
  <c r="CO52" i="1"/>
  <c r="CO54" i="1"/>
  <c r="CO273" i="1"/>
  <c r="CO274" i="1" s="1"/>
  <c r="CO53" i="1"/>
  <c r="CO249" i="1"/>
  <c r="CQ179" i="1"/>
  <c r="AB40" i="1"/>
  <c r="AB51" i="1"/>
  <c r="AB53" i="1" s="1"/>
  <c r="AB82" i="1"/>
  <c r="AB205" i="1"/>
  <c r="AB180" i="1"/>
  <c r="CO221" i="1" l="1"/>
  <c r="CR179" i="1"/>
  <c r="CR220" i="1" s="1"/>
  <c r="CX26" i="1"/>
  <c r="CY26" i="1" s="1"/>
  <c r="CY21" i="1" s="1"/>
  <c r="CY5" i="1" s="1"/>
  <c r="CU11" i="1"/>
  <c r="CU6" i="1"/>
  <c r="CU31" i="1" s="1"/>
  <c r="CU276" i="1" s="1"/>
  <c r="CR171" i="1"/>
  <c r="CR219" i="1" s="1"/>
  <c r="CZ26" i="1"/>
  <c r="CZ21" i="1" s="1"/>
  <c r="CZ5" i="1" s="1"/>
  <c r="CZ11" i="1" s="1"/>
  <c r="CT11" i="1"/>
  <c r="CT6" i="1"/>
  <c r="AC5" i="1"/>
  <c r="CR41" i="1"/>
  <c r="CR51" i="1"/>
  <c r="CR135" i="1" s="1"/>
  <c r="CS33" i="1"/>
  <c r="CS121" i="1"/>
  <c r="CS122" i="1" s="1"/>
  <c r="CS125" i="1" s="1"/>
  <c r="CS254" i="1"/>
  <c r="CS276" i="1"/>
  <c r="CR38" i="1"/>
  <c r="AB204" i="1"/>
  <c r="AB209" i="1"/>
  <c r="CQ180" i="1"/>
  <c r="CQ219" i="1"/>
  <c r="CQ220" i="1"/>
  <c r="CW11" i="1"/>
  <c r="CW6" i="1"/>
  <c r="CQ54" i="1"/>
  <c r="CQ255" i="1"/>
  <c r="CQ256" i="1" s="1"/>
  <c r="CQ53" i="1"/>
  <c r="CQ273" i="1"/>
  <c r="CQ274" i="1" s="1"/>
  <c r="CQ52" i="1"/>
  <c r="CQ57" i="1"/>
  <c r="CQ249" i="1"/>
  <c r="AB57" i="1"/>
  <c r="AB135" i="1"/>
  <c r="AB52" i="1"/>
  <c r="AB273" i="1"/>
  <c r="AB274" i="1" s="1"/>
  <c r="AB83" i="1"/>
  <c r="CV276" i="1"/>
  <c r="CV33" i="1"/>
  <c r="CV254" i="1"/>
  <c r="CR249" i="1" l="1"/>
  <c r="CR54" i="1"/>
  <c r="CX21" i="1"/>
  <c r="AD21" i="1" s="1"/>
  <c r="AD26" i="1" s="1"/>
  <c r="CR273" i="1"/>
  <c r="CR274" i="1" s="1"/>
  <c r="DA26" i="1"/>
  <c r="DB26" i="1" s="1"/>
  <c r="DB21" i="1" s="1"/>
  <c r="DB5" i="1" s="1"/>
  <c r="CQ221" i="1"/>
  <c r="CZ6" i="1"/>
  <c r="CZ31" i="1" s="1"/>
  <c r="CZ276" i="1" s="1"/>
  <c r="CX5" i="1"/>
  <c r="AD5" i="1" s="1"/>
  <c r="AD11" i="1" s="1"/>
  <c r="CU33" i="1"/>
  <c r="CU169" i="1" s="1"/>
  <c r="CU254" i="1"/>
  <c r="AC16" i="1"/>
  <c r="AC11" i="1"/>
  <c r="CS34" i="1"/>
  <c r="CS248" i="1"/>
  <c r="CS39" i="1"/>
  <c r="CS169" i="1"/>
  <c r="CS49" i="1"/>
  <c r="CS46" i="1" s="1"/>
  <c r="CS167" i="1"/>
  <c r="CS176" i="1"/>
  <c r="CS175" i="1"/>
  <c r="CS168" i="1"/>
  <c r="CS35" i="1"/>
  <c r="CR57" i="1"/>
  <c r="CR53" i="1"/>
  <c r="CR255" i="1"/>
  <c r="CR256" i="1" s="1"/>
  <c r="CR52" i="1"/>
  <c r="CR180" i="1"/>
  <c r="CT31" i="1"/>
  <c r="AC6" i="1"/>
  <c r="CR221" i="1"/>
  <c r="CV176" i="1"/>
  <c r="CV49" i="1"/>
  <c r="CV46" i="1" s="1"/>
  <c r="CV175" i="1"/>
  <c r="CV168" i="1"/>
  <c r="CV169" i="1"/>
  <c r="CV39" i="1"/>
  <c r="CV38" i="1" s="1"/>
  <c r="CV167" i="1"/>
  <c r="CV34" i="1"/>
  <c r="CW31" i="1"/>
  <c r="AB212" i="1"/>
  <c r="AB213" i="1" s="1"/>
  <c r="CY6" i="1"/>
  <c r="CY11" i="1"/>
  <c r="CS179" i="1" l="1"/>
  <c r="CS220" i="1" s="1"/>
  <c r="CZ254" i="1"/>
  <c r="DA21" i="1"/>
  <c r="AE21" i="1" s="1"/>
  <c r="AE26" i="1" s="1"/>
  <c r="CU175" i="1"/>
  <c r="CU49" i="1"/>
  <c r="CU46" i="1" s="1"/>
  <c r="CU176" i="1"/>
  <c r="AD16" i="1"/>
  <c r="CX11" i="1"/>
  <c r="CU39" i="1"/>
  <c r="CU38" i="1" s="1"/>
  <c r="CZ33" i="1"/>
  <c r="CZ34" i="1" s="1"/>
  <c r="CU167" i="1"/>
  <c r="CV35" i="1"/>
  <c r="CU168" i="1"/>
  <c r="CU34" i="1"/>
  <c r="CX6" i="1"/>
  <c r="CX31" i="1" s="1"/>
  <c r="AD31" i="1" s="1"/>
  <c r="CS171" i="1"/>
  <c r="CS38" i="1"/>
  <c r="CS42" i="1"/>
  <c r="CS41" i="1"/>
  <c r="CS51" i="1"/>
  <c r="CT254" i="1"/>
  <c r="CT276" i="1"/>
  <c r="CT33" i="1"/>
  <c r="AC31" i="1"/>
  <c r="CV121" i="1"/>
  <c r="CV122" i="1" s="1"/>
  <c r="CV125" i="1" s="1"/>
  <c r="CU121" i="1"/>
  <c r="CU122" i="1" s="1"/>
  <c r="CU125" i="1" s="1"/>
  <c r="CT121" i="1"/>
  <c r="CT122" i="1" s="1"/>
  <c r="CT125" i="1" s="1"/>
  <c r="CV179" i="1"/>
  <c r="CW276" i="1"/>
  <c r="CW254" i="1"/>
  <c r="CW33" i="1"/>
  <c r="CW121" i="1"/>
  <c r="CW122" i="1" s="1"/>
  <c r="CW125" i="1" s="1"/>
  <c r="DB11" i="1"/>
  <c r="DB6" i="1"/>
  <c r="DB31" i="1" s="1"/>
  <c r="CY31" i="1"/>
  <c r="CV171" i="1"/>
  <c r="CV51" i="1"/>
  <c r="CV41" i="1"/>
  <c r="DA5" i="1" l="1"/>
  <c r="CU179" i="1"/>
  <c r="CV220" i="1" s="1"/>
  <c r="CX33" i="1"/>
  <c r="CX35" i="1" s="1"/>
  <c r="CX276" i="1"/>
  <c r="CX254" i="1"/>
  <c r="CX121" i="1"/>
  <c r="CX122" i="1" s="1"/>
  <c r="CX125" i="1" s="1"/>
  <c r="CU171" i="1"/>
  <c r="CZ175" i="1"/>
  <c r="CU51" i="1"/>
  <c r="CU57" i="1" s="1"/>
  <c r="CU41" i="1"/>
  <c r="CV42" i="1"/>
  <c r="CZ168" i="1"/>
  <c r="CZ39" i="1"/>
  <c r="CZ38" i="1" s="1"/>
  <c r="CZ49" i="1"/>
  <c r="CZ46" i="1" s="1"/>
  <c r="CZ169" i="1"/>
  <c r="CZ176" i="1"/>
  <c r="CZ167" i="1"/>
  <c r="AD6" i="1"/>
  <c r="CT176" i="1"/>
  <c r="AC176" i="1" s="1"/>
  <c r="AC206" i="1" s="1"/>
  <c r="CT169" i="1"/>
  <c r="AC169" i="1" s="1"/>
  <c r="CT175" i="1"/>
  <c r="CT49" i="1"/>
  <c r="CT46" i="1" s="1"/>
  <c r="AC46" i="1" s="1"/>
  <c r="AC49" i="1" s="1"/>
  <c r="CT34" i="1"/>
  <c r="CT168" i="1"/>
  <c r="AC168" i="1" s="1"/>
  <c r="AC203" i="1" s="1"/>
  <c r="CT39" i="1"/>
  <c r="CT35" i="1"/>
  <c r="CT167" i="1"/>
  <c r="CV248" i="1"/>
  <c r="CU248" i="1"/>
  <c r="CT248" i="1"/>
  <c r="CU35" i="1"/>
  <c r="CS249" i="1"/>
  <c r="CS135" i="1"/>
  <c r="CS52" i="1"/>
  <c r="CS54" i="1"/>
  <c r="CS53" i="1"/>
  <c r="CS273" i="1"/>
  <c r="CS274" i="1" s="1"/>
  <c r="CS57" i="1"/>
  <c r="CS255" i="1"/>
  <c r="CS256" i="1" s="1"/>
  <c r="AC33" i="1"/>
  <c r="AC276" i="1"/>
  <c r="CS180" i="1"/>
  <c r="CS219" i="1"/>
  <c r="CS221" i="1" s="1"/>
  <c r="AD276" i="1"/>
  <c r="AD33" i="1"/>
  <c r="CY276" i="1"/>
  <c r="CY33" i="1"/>
  <c r="CY254" i="1"/>
  <c r="CY121" i="1"/>
  <c r="CY122" i="1" s="1"/>
  <c r="CY125" i="1" s="1"/>
  <c r="CW167" i="1"/>
  <c r="CW175" i="1"/>
  <c r="CW176" i="1"/>
  <c r="CW49" i="1"/>
  <c r="CW46" i="1" s="1"/>
  <c r="CW168" i="1"/>
  <c r="CW35" i="1"/>
  <c r="CW169" i="1"/>
  <c r="CW39" i="1"/>
  <c r="CW34" i="1"/>
  <c r="CW248" i="1"/>
  <c r="DB254" i="1"/>
  <c r="DB276" i="1"/>
  <c r="DB33" i="1"/>
  <c r="CZ121" i="1"/>
  <c r="CZ122" i="1" s="1"/>
  <c r="CZ125" i="1" s="1"/>
  <c r="CV180" i="1"/>
  <c r="CV57" i="1"/>
  <c r="CV255" i="1"/>
  <c r="CV256" i="1" s="1"/>
  <c r="CV53" i="1"/>
  <c r="CV52" i="1"/>
  <c r="CX248" i="1" l="1"/>
  <c r="DA11" i="1"/>
  <c r="DA6" i="1"/>
  <c r="AE5" i="1"/>
  <c r="CX176" i="1"/>
  <c r="AD176" i="1" s="1"/>
  <c r="AD206" i="1" s="1"/>
  <c r="CZ179" i="1"/>
  <c r="CX167" i="1"/>
  <c r="CX39" i="1"/>
  <c r="CX38" i="1" s="1"/>
  <c r="CX168" i="1"/>
  <c r="AD168" i="1" s="1"/>
  <c r="AD203" i="1" s="1"/>
  <c r="CX34" i="1"/>
  <c r="CX49" i="1"/>
  <c r="CX46" i="1" s="1"/>
  <c r="AD46" i="1" s="1"/>
  <c r="AD49" i="1" s="1"/>
  <c r="AD50" i="1" s="1"/>
  <c r="CX175" i="1"/>
  <c r="AD175" i="1" s="1"/>
  <c r="CY248" i="1"/>
  <c r="CX169" i="1"/>
  <c r="AD169" i="1" s="1"/>
  <c r="CV219" i="1"/>
  <c r="CV221" i="1" s="1"/>
  <c r="CU180" i="1"/>
  <c r="CU52" i="1"/>
  <c r="CU53" i="1"/>
  <c r="CU255" i="1"/>
  <c r="CU256" i="1" s="1"/>
  <c r="CV273" i="1"/>
  <c r="CV274" i="1" s="1"/>
  <c r="CV54" i="1"/>
  <c r="CZ41" i="1"/>
  <c r="CZ171" i="1"/>
  <c r="CZ51" i="1"/>
  <c r="CZ53" i="1" s="1"/>
  <c r="AC50" i="1"/>
  <c r="CT41" i="1"/>
  <c r="CT42" i="1"/>
  <c r="CT51" i="1"/>
  <c r="CU42" i="1"/>
  <c r="AC175" i="1"/>
  <c r="AC179" i="1" s="1"/>
  <c r="CT179" i="1"/>
  <c r="AC121" i="1"/>
  <c r="AC34" i="1"/>
  <c r="AC211" i="1"/>
  <c r="AC81" i="1"/>
  <c r="CT38" i="1"/>
  <c r="AC38" i="1" s="1"/>
  <c r="AC39" i="1" s="1"/>
  <c r="AC167" i="1"/>
  <c r="CT171" i="1"/>
  <c r="DB168" i="1"/>
  <c r="AE168" i="1" s="1"/>
  <c r="DB49" i="1"/>
  <c r="DB46" i="1" s="1"/>
  <c r="DB167" i="1"/>
  <c r="DB175" i="1"/>
  <c r="DB39" i="1"/>
  <c r="DB169" i="1"/>
  <c r="AE169" i="1" s="1"/>
  <c r="DB176" i="1"/>
  <c r="AE176" i="1" s="1"/>
  <c r="DB34" i="1"/>
  <c r="CW41" i="1"/>
  <c r="CW42" i="1"/>
  <c r="CW51" i="1"/>
  <c r="CW179" i="1"/>
  <c r="AD34" i="1"/>
  <c r="AD121" i="1"/>
  <c r="AD211" i="1"/>
  <c r="AD81" i="1"/>
  <c r="CW38" i="1"/>
  <c r="CW171" i="1"/>
  <c r="CY49" i="1"/>
  <c r="CY46" i="1" s="1"/>
  <c r="CY175" i="1"/>
  <c r="CY176" i="1"/>
  <c r="CY35" i="1"/>
  <c r="CY167" i="1"/>
  <c r="CY39" i="1"/>
  <c r="CY168" i="1"/>
  <c r="CY169" i="1"/>
  <c r="CY34" i="1"/>
  <c r="CZ35" i="1"/>
  <c r="CZ248" i="1"/>
  <c r="AE16" i="1" l="1"/>
  <c r="AE11" i="1"/>
  <c r="DA31" i="1"/>
  <c r="AE6" i="1"/>
  <c r="AD167" i="1"/>
  <c r="CX41" i="1"/>
  <c r="CX42" i="1"/>
  <c r="AD179" i="1"/>
  <c r="CZ180" i="1"/>
  <c r="AD38" i="1"/>
  <c r="AD39" i="1" s="1"/>
  <c r="AD51" i="1" s="1"/>
  <c r="CX171" i="1"/>
  <c r="CX219" i="1" s="1"/>
  <c r="CX179" i="1"/>
  <c r="CX220" i="1" s="1"/>
  <c r="CX51" i="1"/>
  <c r="CX57" i="1" s="1"/>
  <c r="CZ255" i="1"/>
  <c r="CZ256" i="1" s="1"/>
  <c r="CZ57" i="1"/>
  <c r="CZ52" i="1"/>
  <c r="CY171" i="1"/>
  <c r="CT180" i="1"/>
  <c r="CT219" i="1"/>
  <c r="CU219" i="1"/>
  <c r="AC208" i="1"/>
  <c r="AC207" i="1" s="1"/>
  <c r="AC220" i="1"/>
  <c r="CT220" i="1"/>
  <c r="CU220" i="1"/>
  <c r="AC202" i="1"/>
  <c r="AC171" i="1"/>
  <c r="AC41" i="1"/>
  <c r="AC82" i="1"/>
  <c r="AC40" i="1"/>
  <c r="AC51" i="1"/>
  <c r="CT57" i="1"/>
  <c r="CT53" i="1"/>
  <c r="CT273" i="1"/>
  <c r="CT274" i="1" s="1"/>
  <c r="CT255" i="1"/>
  <c r="CT256" i="1" s="1"/>
  <c r="CT52" i="1"/>
  <c r="CT54" i="1"/>
  <c r="CV135" i="1"/>
  <c r="CT135" i="1"/>
  <c r="CV249" i="1"/>
  <c r="CU135" i="1"/>
  <c r="CU249" i="1"/>
  <c r="CU273" i="1"/>
  <c r="CU274" i="1" s="1"/>
  <c r="CT249" i="1"/>
  <c r="CU54" i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H112" i="1"/>
  <c r="CM110" i="1"/>
  <c r="CW220" i="1"/>
  <c r="DA276" i="1"/>
  <c r="DA254" i="1"/>
  <c r="DA33" i="1"/>
  <c r="DA121" i="1"/>
  <c r="DA122" i="1" s="1"/>
  <c r="DA125" i="1" s="1"/>
  <c r="AE31" i="1"/>
  <c r="DB121" i="1"/>
  <c r="DB122" i="1" s="1"/>
  <c r="DB125" i="1" s="1"/>
  <c r="AD202" i="1"/>
  <c r="AD171" i="1"/>
  <c r="CW52" i="1"/>
  <c r="CW53" i="1"/>
  <c r="CW54" i="1"/>
  <c r="CW57" i="1"/>
  <c r="CW255" i="1"/>
  <c r="CW256" i="1" s="1"/>
  <c r="CW273" i="1"/>
  <c r="CW274" i="1" s="1"/>
  <c r="CW135" i="1"/>
  <c r="CW249" i="1"/>
  <c r="DB51" i="1"/>
  <c r="DB41" i="1"/>
  <c r="CY42" i="1"/>
  <c r="CY41" i="1"/>
  <c r="CY51" i="1"/>
  <c r="CZ42" i="1"/>
  <c r="CW180" i="1"/>
  <c r="CW219" i="1"/>
  <c r="AE175" i="1"/>
  <c r="AE179" i="1" s="1"/>
  <c r="DB179" i="1"/>
  <c r="DB38" i="1"/>
  <c r="CY179" i="1"/>
  <c r="CZ220" i="1" s="1"/>
  <c r="CY38" i="1"/>
  <c r="AE167" i="1"/>
  <c r="DB171" i="1"/>
  <c r="AD208" i="1" l="1"/>
  <c r="AD207" i="1" s="1"/>
  <c r="AD220" i="1"/>
  <c r="AD82" i="1"/>
  <c r="AD40" i="1"/>
  <c r="CX180" i="1"/>
  <c r="CX135" i="1"/>
  <c r="AD41" i="1"/>
  <c r="CY249" i="1"/>
  <c r="CX52" i="1"/>
  <c r="CX255" i="1"/>
  <c r="CX256" i="1" s="1"/>
  <c r="CX273" i="1"/>
  <c r="CX274" i="1" s="1"/>
  <c r="CX53" i="1"/>
  <c r="CX54" i="1"/>
  <c r="CX249" i="1"/>
  <c r="CY219" i="1"/>
  <c r="CZ219" i="1"/>
  <c r="CZ221" i="1" s="1"/>
  <c r="DB180" i="1"/>
  <c r="CY220" i="1"/>
  <c r="AE208" i="1"/>
  <c r="CW221" i="1"/>
  <c r="AC273" i="1"/>
  <c r="AC274" i="1" s="1"/>
  <c r="AC57" i="1"/>
  <c r="AC135" i="1"/>
  <c r="AC52" i="1"/>
  <c r="AC53" i="1"/>
  <c r="AC83" i="1"/>
  <c r="CZ135" i="1"/>
  <c r="CU221" i="1"/>
  <c r="CT221" i="1"/>
  <c r="CY180" i="1"/>
  <c r="AC205" i="1"/>
  <c r="AC219" i="1"/>
  <c r="AC221" i="1" s="1"/>
  <c r="AC180" i="1"/>
  <c r="CX221" i="1"/>
  <c r="CN110" i="1"/>
  <c r="AD205" i="1"/>
  <c r="AD180" i="1"/>
  <c r="AD219" i="1"/>
  <c r="AD221" i="1" s="1"/>
  <c r="AE220" i="1"/>
  <c r="AE276" i="1"/>
  <c r="AE33" i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Y57" i="1"/>
  <c r="CY53" i="1"/>
  <c r="CY52" i="1"/>
  <c r="CY273" i="1"/>
  <c r="CY274" i="1" s="1"/>
  <c r="CY54" i="1"/>
  <c r="CY255" i="1"/>
  <c r="CY256" i="1" s="1"/>
  <c r="CZ273" i="1"/>
  <c r="CZ274" i="1" s="1"/>
  <c r="CZ54" i="1"/>
  <c r="AD135" i="1"/>
  <c r="AD57" i="1"/>
  <c r="AD273" i="1"/>
  <c r="AD274" i="1" s="1"/>
  <c r="AD52" i="1"/>
  <c r="AD83" i="1"/>
  <c r="AD53" i="1"/>
  <c r="DB57" i="1"/>
  <c r="DB52" i="1"/>
  <c r="DB53" i="1"/>
  <c r="DB255" i="1"/>
  <c r="DB256" i="1" s="1"/>
  <c r="AE203" i="1"/>
  <c r="CY135" i="1"/>
  <c r="CZ249" i="1"/>
  <c r="DA49" i="1"/>
  <c r="DA46" i="1" s="1"/>
  <c r="AE46" i="1" s="1"/>
  <c r="AE49" i="1" s="1"/>
  <c r="DA167" i="1"/>
  <c r="DA169" i="1"/>
  <c r="DA176" i="1"/>
  <c r="DA35" i="1"/>
  <c r="DA175" i="1"/>
  <c r="DA39" i="1"/>
  <c r="DA168" i="1"/>
  <c r="DA248" i="1"/>
  <c r="DA34" i="1"/>
  <c r="DB248" i="1"/>
  <c r="DB35" i="1"/>
  <c r="AE171" i="1"/>
  <c r="AE219" i="1" s="1"/>
  <c r="AE202" i="1"/>
  <c r="AE206" i="1"/>
  <c r="CY221" i="1" l="1"/>
  <c r="AE207" i="1"/>
  <c r="AE221" i="1"/>
  <c r="DA179" i="1"/>
  <c r="DA171" i="1"/>
  <c r="DB219" i="1" s="1"/>
  <c r="AC209" i="1"/>
  <c r="AC212" i="1" s="1"/>
  <c r="AC213" i="1" s="1"/>
  <c r="AC204" i="1"/>
  <c r="AE50" i="1"/>
  <c r="AD209" i="1"/>
  <c r="AD204" i="1"/>
  <c r="DA42" i="1"/>
  <c r="DA41" i="1"/>
  <c r="DA51" i="1"/>
  <c r="DB42" i="1"/>
  <c r="AE121" i="1"/>
  <c r="AE34" i="1"/>
  <c r="AE81" i="1"/>
  <c r="AE211" i="1"/>
  <c r="AE180" i="1"/>
  <c r="AE205" i="1"/>
  <c r="CO110" i="1"/>
  <c r="DA38" i="1"/>
  <c r="AE38" i="1" s="1"/>
  <c r="AE39" i="1" s="1"/>
  <c r="DA220" i="1" l="1"/>
  <c r="DB220" i="1"/>
  <c r="DB221" i="1" s="1"/>
  <c r="DA219" i="1"/>
  <c r="DA180" i="1"/>
  <c r="AD212" i="1"/>
  <c r="AD213" i="1" s="1"/>
  <c r="AE40" i="1"/>
  <c r="AE82" i="1"/>
  <c r="AE51" i="1"/>
  <c r="AE41" i="1"/>
  <c r="AB232" i="1"/>
  <c r="CP110" i="1"/>
  <c r="CM232" i="1"/>
  <c r="AE204" i="1"/>
  <c r="AE209" i="1"/>
  <c r="AE212" i="1" s="1"/>
  <c r="AE213" i="1" s="1"/>
  <c r="DA57" i="1"/>
  <c r="DA255" i="1"/>
  <c r="DA256" i="1" s="1"/>
  <c r="DA54" i="1"/>
  <c r="DA52" i="1"/>
  <c r="DA53" i="1"/>
  <c r="DA273" i="1"/>
  <c r="DA274" i="1" s="1"/>
  <c r="DA249" i="1"/>
  <c r="DA135" i="1"/>
  <c r="DB273" i="1"/>
  <c r="DB274" i="1" s="1"/>
  <c r="DB54" i="1"/>
  <c r="DB135" i="1"/>
  <c r="DB249" i="1"/>
  <c r="DA221" i="1" l="1"/>
  <c r="AE57" i="1"/>
  <c r="AE135" i="1"/>
  <c r="AE83" i="1"/>
  <c r="AE273" i="1"/>
  <c r="AE274" i="1" s="1"/>
  <c r="AE52" i="1"/>
  <c r="AE53" i="1"/>
  <c r="CQ110" i="1"/>
  <c r="CM59" i="1"/>
  <c r="CM275" i="1" l="1"/>
  <c r="CM61" i="1"/>
  <c r="CR110" i="1"/>
  <c r="CM62" i="1" l="1"/>
  <c r="CM64" i="1" s="1"/>
  <c r="CS110" i="1"/>
  <c r="CM65" i="1" l="1"/>
  <c r="CM268" i="1" s="1"/>
  <c r="CM71" i="1"/>
  <c r="CM67" i="1"/>
  <c r="CM66" i="1"/>
  <c r="CM257" i="1"/>
  <c r="CM250" i="1"/>
  <c r="CT110" i="1"/>
  <c r="CU110" i="1" l="1"/>
  <c r="CM89" i="1"/>
  <c r="CM216" i="1"/>
  <c r="CM218" i="1" s="1"/>
  <c r="CM222" i="1" s="1"/>
  <c r="CM236" i="1" s="1"/>
  <c r="CM142" i="1"/>
  <c r="CM92" i="1" l="1"/>
  <c r="CV110" i="1"/>
  <c r="CM143" i="1"/>
  <c r="CW110" i="1" l="1"/>
  <c r="CM115" i="1"/>
  <c r="CM117" i="1" s="1"/>
  <c r="CM230" i="1"/>
  <c r="CM228" i="1" s="1"/>
  <c r="CM233" i="1" s="1"/>
  <c r="CM152" i="1"/>
  <c r="CM78" i="1" s="1"/>
  <c r="CM77" i="1"/>
  <c r="CI112" i="1"/>
  <c r="CM108" i="1"/>
  <c r="CM93" i="1"/>
  <c r="CM101" i="1"/>
  <c r="CM102" i="1"/>
  <c r="CM131" i="1" l="1"/>
  <c r="CM105" i="1"/>
  <c r="CM183" i="1"/>
  <c r="CM184" i="1" s="1"/>
  <c r="CM130" i="1"/>
  <c r="CM104" i="1"/>
  <c r="CX110" i="1"/>
  <c r="CM271" i="1" l="1"/>
  <c r="CM188" i="1"/>
  <c r="CM189" i="1" s="1"/>
  <c r="CM269" i="1"/>
  <c r="CM191" i="1"/>
  <c r="CN232" i="1"/>
  <c r="CM267" i="1"/>
  <c r="CM234" i="1"/>
  <c r="CY110" i="1"/>
  <c r="CM132" i="1" l="1"/>
  <c r="CN59" i="1"/>
  <c r="CZ110" i="1"/>
  <c r="DA110" i="1" l="1"/>
  <c r="CN275" i="1"/>
  <c r="CN61" i="1"/>
  <c r="CM133" i="1"/>
  <c r="CM136" i="1" s="1"/>
  <c r="CM134" i="1"/>
  <c r="CM137" i="1" s="1"/>
  <c r="CN62" i="1" l="1"/>
  <c r="CN64" i="1" s="1"/>
  <c r="DB110" i="1"/>
  <c r="CN65" i="1" l="1"/>
  <c r="CN268" i="1" s="1"/>
  <c r="CN67" i="1"/>
  <c r="CN257" i="1"/>
  <c r="CN66" i="1"/>
  <c r="CN71" i="1"/>
  <c r="CN250" i="1"/>
  <c r="CN89" i="1" l="1"/>
  <c r="CN216" i="1"/>
  <c r="CN218" i="1" s="1"/>
  <c r="CN222" i="1" s="1"/>
  <c r="CN236" i="1" s="1"/>
  <c r="CN142" i="1"/>
  <c r="CN143" i="1" l="1"/>
  <c r="CN92" i="1"/>
  <c r="CN108" i="1" l="1"/>
  <c r="CJ112" i="1"/>
  <c r="CN93" i="1"/>
  <c r="CN101" i="1"/>
  <c r="CN102" i="1"/>
  <c r="CN230" i="1"/>
  <c r="CN228" i="1" s="1"/>
  <c r="CN233" i="1" s="1"/>
  <c r="CN115" i="1"/>
  <c r="CN117" i="1" s="1"/>
  <c r="CN152" i="1"/>
  <c r="CN78" i="1" s="1"/>
  <c r="CN77" i="1"/>
  <c r="CN183" i="1" l="1"/>
  <c r="CN184" i="1" s="1"/>
  <c r="CN130" i="1"/>
  <c r="CN104" i="1"/>
  <c r="CN131" i="1"/>
  <c r="CN105" i="1"/>
  <c r="CN271" i="1" l="1"/>
  <c r="CN191" i="1"/>
  <c r="CN269" i="1"/>
  <c r="CN188" i="1"/>
  <c r="CN189" i="1" s="1"/>
  <c r="CO232" i="1"/>
  <c r="CN267" i="1"/>
  <c r="CN234" i="1"/>
  <c r="CN132" i="1" l="1"/>
  <c r="CO59" i="1"/>
  <c r="CO275" i="1" l="1"/>
  <c r="CO61" i="1"/>
  <c r="CN134" i="1"/>
  <c r="CN137" i="1" s="1"/>
  <c r="CN133" i="1"/>
  <c r="CN136" i="1" s="1"/>
  <c r="CO62" i="1" l="1"/>
  <c r="CO64" i="1" s="1"/>
  <c r="CO257" i="1" l="1"/>
  <c r="CO66" i="1"/>
  <c r="CO65" i="1"/>
  <c r="CO268" i="1" s="1"/>
  <c r="CO67" i="1"/>
  <c r="CO71" i="1"/>
  <c r="CO250" i="1"/>
  <c r="CO89" i="1" l="1"/>
  <c r="CO216" i="1"/>
  <c r="CO218" i="1" s="1"/>
  <c r="CO222" i="1" s="1"/>
  <c r="CO236" i="1" s="1"/>
  <c r="CO142" i="1"/>
  <c r="CO143" i="1" l="1"/>
  <c r="CO92" i="1"/>
  <c r="CO115" i="1" l="1"/>
  <c r="CO117" i="1" s="1"/>
  <c r="CO230" i="1"/>
  <c r="CO228" i="1" s="1"/>
  <c r="CO233" i="1" s="1"/>
  <c r="CO152" i="1"/>
  <c r="CO78" i="1" s="1"/>
  <c r="CO77" i="1"/>
  <c r="CK112" i="1"/>
  <c r="CO108" i="1"/>
  <c r="CO101" i="1"/>
  <c r="CO93" i="1"/>
  <c r="CO102" i="1"/>
  <c r="CO183" i="1" l="1"/>
  <c r="CO184" i="1" s="1"/>
  <c r="CO130" i="1"/>
  <c r="CO104" i="1"/>
  <c r="CO105" i="1"/>
  <c r="CO131" i="1"/>
  <c r="CO188" i="1" l="1"/>
  <c r="CO189" i="1" s="1"/>
  <c r="CO271" i="1"/>
  <c r="CO269" i="1"/>
  <c r="CO191" i="1"/>
  <c r="CP232" i="1"/>
  <c r="CO267" i="1"/>
  <c r="CO234" i="1"/>
  <c r="CO132" i="1" l="1"/>
  <c r="CP59" i="1"/>
  <c r="CP275" i="1" l="1"/>
  <c r="CP61" i="1"/>
  <c r="AB59" i="1"/>
  <c r="CO133" i="1"/>
  <c r="CO136" i="1" s="1"/>
  <c r="CO134" i="1"/>
  <c r="CO137" i="1" s="1"/>
  <c r="AB60" i="1" l="1"/>
  <c r="AB275" i="1"/>
  <c r="AB61" i="1"/>
  <c r="CP62" i="1"/>
  <c r="AB62" i="1" s="1"/>
  <c r="AB63" i="1" l="1"/>
  <c r="CP64" i="1"/>
  <c r="CP71" i="1" s="1"/>
  <c r="AB64" i="1"/>
  <c r="CP257" i="1" l="1"/>
  <c r="CP250" i="1"/>
  <c r="CP65" i="1"/>
  <c r="CP268" i="1" s="1"/>
  <c r="CP67" i="1"/>
  <c r="CP66" i="1"/>
  <c r="AB65" i="1"/>
  <c r="AB268" i="1" s="1"/>
  <c r="AB84" i="1"/>
  <c r="AB71" i="1"/>
  <c r="AB66" i="1"/>
  <c r="CP216" i="1"/>
  <c r="CP218" i="1" s="1"/>
  <c r="CP222" i="1" s="1"/>
  <c r="CP236" i="1" s="1"/>
  <c r="CP89" i="1"/>
  <c r="CP142" i="1"/>
  <c r="CP92" i="1" l="1"/>
  <c r="AB142" i="1"/>
  <c r="AB143" i="1" s="1"/>
  <c r="CP143" i="1"/>
  <c r="AB74" i="1"/>
  <c r="AB75" i="1" s="1"/>
  <c r="AB216" i="1"/>
  <c r="AB218" i="1" s="1"/>
  <c r="AB222" i="1" s="1"/>
  <c r="AB236" i="1" s="1"/>
  <c r="CP95" i="1" l="1"/>
  <c r="CL112" i="1"/>
  <c r="AB230" i="1"/>
  <c r="AB228" i="1" s="1"/>
  <c r="AB233" i="1" s="1"/>
  <c r="AB198" i="1"/>
  <c r="AB152" i="1"/>
  <c r="AB78" i="1" s="1"/>
  <c r="AB77" i="1"/>
  <c r="CP115" i="1"/>
  <c r="CP117" i="1" s="1"/>
  <c r="CP152" i="1"/>
  <c r="CP78" i="1" s="1"/>
  <c r="CP230" i="1"/>
  <c r="CP228" i="1" s="1"/>
  <c r="CP233" i="1" s="1"/>
  <c r="CP77" i="1"/>
  <c r="CP101" i="1"/>
  <c r="CP108" i="1"/>
  <c r="CP93" i="1"/>
  <c r="CP102" i="1"/>
  <c r="CP104" i="1" l="1"/>
  <c r="CP130" i="1"/>
  <c r="AB101" i="1"/>
  <c r="CP183" i="1"/>
  <c r="CP105" i="1"/>
  <c r="CP131" i="1"/>
  <c r="AB102" i="1"/>
  <c r="AB183" i="1" l="1"/>
  <c r="AB184" i="1" s="1"/>
  <c r="CP184" i="1"/>
  <c r="AB104" i="1"/>
  <c r="AB105" i="1"/>
  <c r="AB188" i="1" l="1"/>
  <c r="AB189" i="1" s="1"/>
  <c r="AB271" i="1"/>
  <c r="AC232" i="1"/>
  <c r="AB191" i="1"/>
  <c r="AB132" i="1" s="1"/>
  <c r="AB269" i="1"/>
  <c r="AB267" i="1"/>
  <c r="AB234" i="1"/>
  <c r="CP269" i="1"/>
  <c r="CP271" i="1"/>
  <c r="CP188" i="1"/>
  <c r="CP189" i="1" s="1"/>
  <c r="CP191" i="1"/>
  <c r="CQ232" i="1"/>
  <c r="CP267" i="1"/>
  <c r="CP234" i="1"/>
  <c r="CP132" i="1" l="1"/>
  <c r="CQ59" i="1"/>
  <c r="CQ275" i="1" l="1"/>
  <c r="CQ61" i="1"/>
  <c r="CP133" i="1"/>
  <c r="CP136" i="1" s="1"/>
  <c r="CP134" i="1"/>
  <c r="CP137" i="1" s="1"/>
  <c r="CQ62" i="1" l="1"/>
  <c r="CQ64" i="1" s="1"/>
  <c r="CQ71" i="1" l="1"/>
  <c r="CQ65" i="1"/>
  <c r="CQ268" i="1" s="1"/>
  <c r="CQ66" i="1"/>
  <c r="CQ257" i="1"/>
  <c r="CQ67" i="1"/>
  <c r="CQ250" i="1"/>
  <c r="CQ216" i="1" l="1"/>
  <c r="CQ218" i="1" s="1"/>
  <c r="CQ222" i="1" s="1"/>
  <c r="CQ236" i="1" s="1"/>
  <c r="CQ89" i="1"/>
  <c r="CQ142" i="1"/>
  <c r="CQ143" i="1" l="1"/>
  <c r="CQ92" i="1"/>
  <c r="CQ101" i="1" l="1"/>
  <c r="CQ108" i="1"/>
  <c r="CQ102" i="1"/>
  <c r="CQ93" i="1"/>
  <c r="CQ115" i="1"/>
  <c r="CQ117" i="1" s="1"/>
  <c r="CQ152" i="1"/>
  <c r="CQ78" i="1" s="1"/>
  <c r="CQ230" i="1"/>
  <c r="CQ228" i="1" s="1"/>
  <c r="CQ233" i="1" s="1"/>
  <c r="CQ77" i="1"/>
  <c r="CQ183" i="1" l="1"/>
  <c r="CQ184" i="1" s="1"/>
  <c r="CQ131" i="1"/>
  <c r="CQ105" i="1"/>
  <c r="CQ104" i="1"/>
  <c r="CQ130" i="1"/>
  <c r="CQ191" i="1" l="1"/>
  <c r="CQ188" i="1"/>
  <c r="CQ189" i="1" s="1"/>
  <c r="CQ269" i="1"/>
  <c r="CQ271" i="1"/>
  <c r="CR232" i="1"/>
  <c r="CQ267" i="1"/>
  <c r="CQ234" i="1"/>
  <c r="CR59" i="1" l="1"/>
  <c r="CQ132" i="1"/>
  <c r="CQ133" i="1" l="1"/>
  <c r="CQ136" i="1" s="1"/>
  <c r="CQ134" i="1"/>
  <c r="CQ137" i="1" s="1"/>
  <c r="CR275" i="1"/>
  <c r="CR61" i="1"/>
  <c r="CR62" i="1" l="1"/>
  <c r="CR64" i="1" l="1"/>
  <c r="CR67" i="1" l="1"/>
  <c r="CR65" i="1"/>
  <c r="CR268" i="1" s="1"/>
  <c r="CR257" i="1"/>
  <c r="CR71" i="1"/>
  <c r="CR66" i="1"/>
  <c r="CR250" i="1"/>
  <c r="CR216" i="1" l="1"/>
  <c r="CR218" i="1" s="1"/>
  <c r="CR222" i="1" s="1"/>
  <c r="CR236" i="1" s="1"/>
  <c r="CR89" i="1"/>
  <c r="CR142" i="1"/>
  <c r="CR143" i="1" l="1"/>
  <c r="CR92" i="1"/>
  <c r="CR108" i="1" l="1"/>
  <c r="CR101" i="1"/>
  <c r="CR102" i="1"/>
  <c r="CR93" i="1"/>
  <c r="CR230" i="1"/>
  <c r="CR228" i="1" s="1"/>
  <c r="CR233" i="1" s="1"/>
  <c r="CR152" i="1"/>
  <c r="CR78" i="1" s="1"/>
  <c r="CR115" i="1"/>
  <c r="CR117" i="1" s="1"/>
  <c r="CR77" i="1"/>
  <c r="CR183" i="1" l="1"/>
  <c r="CR184" i="1" s="1"/>
  <c r="CR131" i="1"/>
  <c r="CR105" i="1"/>
  <c r="CR130" i="1"/>
  <c r="CR104" i="1"/>
  <c r="CR188" i="1" l="1"/>
  <c r="CR189" i="1" s="1"/>
  <c r="CR271" i="1"/>
  <c r="CS232" i="1"/>
  <c r="CR269" i="1"/>
  <c r="CR191" i="1"/>
  <c r="CR267" i="1"/>
  <c r="CR234" i="1"/>
  <c r="CS59" i="1" l="1"/>
  <c r="CR132" i="1"/>
  <c r="CR133" i="1" l="1"/>
  <c r="CR136" i="1" s="1"/>
  <c r="CR134" i="1"/>
  <c r="CR137" i="1" s="1"/>
  <c r="CS275" i="1"/>
  <c r="CS61" i="1"/>
  <c r="CS62" i="1" l="1"/>
  <c r="CS64" i="1" s="1"/>
  <c r="CS257" i="1" l="1"/>
  <c r="CS65" i="1"/>
  <c r="CS268" i="1" s="1"/>
  <c r="CS66" i="1"/>
  <c r="CS71" i="1"/>
  <c r="CS67" i="1"/>
  <c r="CS250" i="1"/>
  <c r="CS89" i="1" l="1"/>
  <c r="CS216" i="1"/>
  <c r="CS218" i="1" s="1"/>
  <c r="CS222" i="1" s="1"/>
  <c r="CS236" i="1" s="1"/>
  <c r="CS142" i="1"/>
  <c r="CS143" i="1" l="1"/>
  <c r="CS92" i="1"/>
  <c r="CS108" i="1" l="1"/>
  <c r="CS101" i="1"/>
  <c r="CS102" i="1"/>
  <c r="CS93" i="1"/>
  <c r="CS230" i="1"/>
  <c r="CS228" i="1" s="1"/>
  <c r="CS233" i="1" s="1"/>
  <c r="CS115" i="1"/>
  <c r="CS117" i="1" s="1"/>
  <c r="CS152" i="1"/>
  <c r="CS78" i="1" s="1"/>
  <c r="CS77" i="1"/>
  <c r="CS130" i="1" l="1"/>
  <c r="CS104" i="1"/>
  <c r="CS183" i="1"/>
  <c r="CS184" i="1" s="1"/>
  <c r="CS234" i="1" s="1"/>
  <c r="CS131" i="1"/>
  <c r="CS105" i="1"/>
  <c r="CS269" i="1" l="1"/>
  <c r="CS271" i="1"/>
  <c r="CS191" i="1"/>
  <c r="CS188" i="1"/>
  <c r="CS189" i="1" s="1"/>
  <c r="CT232" i="1"/>
  <c r="CS267" i="1"/>
  <c r="CS132" i="1" l="1"/>
  <c r="CT59" i="1"/>
  <c r="CT275" i="1" l="1"/>
  <c r="CT61" i="1"/>
  <c r="AC59" i="1"/>
  <c r="CS134" i="1"/>
  <c r="CS137" i="1" s="1"/>
  <c r="CS133" i="1"/>
  <c r="CS136" i="1" s="1"/>
  <c r="AC275" i="1" l="1"/>
  <c r="AC60" i="1"/>
  <c r="AC61" i="1"/>
  <c r="CT62" i="1"/>
  <c r="AC62" i="1" s="1"/>
  <c r="AC63" i="1" l="1"/>
  <c r="CT64" i="1"/>
  <c r="AC64" i="1"/>
  <c r="AC65" i="1" l="1"/>
  <c r="AC268" i="1" s="1"/>
  <c r="AC84" i="1"/>
  <c r="AC71" i="1"/>
  <c r="AC66" i="1"/>
  <c r="CT257" i="1"/>
  <c r="CT65" i="1"/>
  <c r="CT268" i="1" s="1"/>
  <c r="CT66" i="1"/>
  <c r="CT67" i="1"/>
  <c r="CT71" i="1"/>
  <c r="CT250" i="1"/>
  <c r="AC216" i="1" l="1"/>
  <c r="AC218" i="1" s="1"/>
  <c r="AC222" i="1" s="1"/>
  <c r="AC236" i="1" s="1"/>
  <c r="AC74" i="1"/>
  <c r="AC75" i="1" s="1"/>
  <c r="CT216" i="1"/>
  <c r="CT218" i="1" s="1"/>
  <c r="CT222" i="1" s="1"/>
  <c r="CT236" i="1" s="1"/>
  <c r="CT89" i="1"/>
  <c r="CT142" i="1"/>
  <c r="CT92" i="1" l="1"/>
  <c r="CT95" i="1" s="1"/>
  <c r="CT143" i="1"/>
  <c r="AC142" i="1"/>
  <c r="AC143" i="1" s="1"/>
  <c r="CT152" i="1" l="1"/>
  <c r="CT78" i="1" s="1"/>
  <c r="CT230" i="1"/>
  <c r="CT228" i="1" s="1"/>
  <c r="CT233" i="1" s="1"/>
  <c r="CT115" i="1"/>
  <c r="CT117" i="1" s="1"/>
  <c r="CT77" i="1"/>
  <c r="AC230" i="1"/>
  <c r="AC228" i="1" s="1"/>
  <c r="AC233" i="1" s="1"/>
  <c r="AC152" i="1"/>
  <c r="AC78" i="1" s="1"/>
  <c r="AC198" i="1"/>
  <c r="AC77" i="1"/>
  <c r="CT108" i="1"/>
  <c r="CT101" i="1"/>
  <c r="CT102" i="1"/>
  <c r="CT93" i="1"/>
  <c r="CT183" i="1" l="1"/>
  <c r="CT131" i="1"/>
  <c r="CT105" i="1"/>
  <c r="AC102" i="1"/>
  <c r="CT104" i="1"/>
  <c r="CT130" i="1"/>
  <c r="AC101" i="1"/>
  <c r="AC105" i="1" l="1"/>
  <c r="AC104" i="1"/>
  <c r="AC183" i="1"/>
  <c r="AC184" i="1" s="1"/>
  <c r="CT184" i="1"/>
  <c r="AD232" i="1" l="1"/>
  <c r="AC188" i="1"/>
  <c r="AC189" i="1" s="1"/>
  <c r="AC271" i="1"/>
  <c r="AC191" i="1"/>
  <c r="AC132" i="1" s="1"/>
  <c r="AC269" i="1"/>
  <c r="AC267" i="1"/>
  <c r="AC234" i="1"/>
  <c r="CT188" i="1"/>
  <c r="CT189" i="1" s="1"/>
  <c r="CT191" i="1"/>
  <c r="CT269" i="1"/>
  <c r="CT271" i="1"/>
  <c r="CU232" i="1"/>
  <c r="CT267" i="1"/>
  <c r="CT234" i="1"/>
  <c r="CT132" i="1" l="1"/>
  <c r="CU59" i="1"/>
  <c r="CU275" i="1" l="1"/>
  <c r="CU61" i="1"/>
  <c r="CT133" i="1"/>
  <c r="CT136" i="1" s="1"/>
  <c r="CT134" i="1"/>
  <c r="CT137" i="1" s="1"/>
  <c r="CU62" i="1" l="1"/>
  <c r="CU64" i="1" s="1"/>
  <c r="CU67" i="1" l="1"/>
  <c r="CU66" i="1"/>
  <c r="CU65" i="1"/>
  <c r="CU268" i="1" s="1"/>
  <c r="CU257" i="1"/>
  <c r="CU71" i="1"/>
  <c r="CU250" i="1"/>
  <c r="CU216" i="1" l="1"/>
  <c r="CU218" i="1" s="1"/>
  <c r="CU222" i="1" s="1"/>
  <c r="CU236" i="1" s="1"/>
  <c r="CU89" i="1"/>
  <c r="CU142" i="1"/>
  <c r="CU92" i="1" l="1"/>
  <c r="CU143" i="1"/>
  <c r="CU115" i="1" l="1"/>
  <c r="CU117" i="1" s="1"/>
  <c r="CU230" i="1"/>
  <c r="CU228" i="1" s="1"/>
  <c r="CU233" i="1" s="1"/>
  <c r="CU152" i="1"/>
  <c r="CU78" i="1" s="1"/>
  <c r="CU77" i="1"/>
  <c r="CU108" i="1"/>
  <c r="CU101" i="1"/>
  <c r="CU102" i="1"/>
  <c r="CU93" i="1"/>
  <c r="CU105" i="1" l="1"/>
  <c r="CU131" i="1"/>
  <c r="CU130" i="1"/>
  <c r="CU104" i="1"/>
  <c r="CU183" i="1"/>
  <c r="CU184" i="1" s="1"/>
  <c r="CU234" i="1" s="1"/>
  <c r="CU188" i="1" l="1"/>
  <c r="CU189" i="1" s="1"/>
  <c r="CU269" i="1"/>
  <c r="CU271" i="1"/>
  <c r="CU191" i="1"/>
  <c r="CV232" i="1"/>
  <c r="CU267" i="1"/>
  <c r="CV59" i="1" l="1"/>
  <c r="CU132" i="1"/>
  <c r="CU133" i="1" l="1"/>
  <c r="CU136" i="1" s="1"/>
  <c r="CU134" i="1"/>
  <c r="CU137" i="1" s="1"/>
  <c r="CV275" i="1"/>
  <c r="CV61" i="1"/>
  <c r="CV62" i="1" l="1"/>
  <c r="CV64" i="1" s="1"/>
  <c r="CV65" i="1" l="1"/>
  <c r="CV268" i="1" s="1"/>
  <c r="CV66" i="1"/>
  <c r="CV67" i="1"/>
  <c r="CV71" i="1"/>
  <c r="CV257" i="1"/>
  <c r="CV250" i="1"/>
  <c r="CV216" i="1" l="1"/>
  <c r="CV218" i="1" s="1"/>
  <c r="CV222" i="1" s="1"/>
  <c r="CV236" i="1" s="1"/>
  <c r="CV89" i="1"/>
  <c r="CV142" i="1"/>
  <c r="CV92" i="1" l="1"/>
  <c r="CV143" i="1"/>
  <c r="CV230" i="1" l="1"/>
  <c r="CV228" i="1" s="1"/>
  <c r="CV233" i="1" s="1"/>
  <c r="CV152" i="1"/>
  <c r="CV78" i="1" s="1"/>
  <c r="CV115" i="1"/>
  <c r="CV117" i="1" s="1"/>
  <c r="CV77" i="1"/>
  <c r="CV108" i="1"/>
  <c r="CV101" i="1"/>
  <c r="CV102" i="1"/>
  <c r="CV93" i="1"/>
  <c r="CV105" i="1" l="1"/>
  <c r="CV131" i="1"/>
  <c r="CV104" i="1"/>
  <c r="CV130" i="1"/>
  <c r="CV183" i="1"/>
  <c r="CV184" i="1" s="1"/>
  <c r="CV234" i="1" s="1"/>
  <c r="CV188" i="1" l="1"/>
  <c r="CV189" i="1" s="1"/>
  <c r="CV191" i="1"/>
  <c r="CV269" i="1"/>
  <c r="CV271" i="1"/>
  <c r="CW232" i="1"/>
  <c r="CV267" i="1"/>
  <c r="CW59" i="1" l="1"/>
  <c r="CV132" i="1"/>
  <c r="CV134" i="1" l="1"/>
  <c r="CV137" i="1" s="1"/>
  <c r="CV133" i="1"/>
  <c r="CV136" i="1" s="1"/>
  <c r="CW275" i="1"/>
  <c r="CW61" i="1"/>
  <c r="CW62" i="1" l="1"/>
  <c r="CW64" i="1" s="1"/>
  <c r="CW257" i="1" l="1"/>
  <c r="CW67" i="1"/>
  <c r="CW66" i="1"/>
  <c r="CW65" i="1"/>
  <c r="CW268" i="1" s="1"/>
  <c r="CW71" i="1"/>
  <c r="CW250" i="1"/>
  <c r="CW89" i="1" l="1"/>
  <c r="CW216" i="1"/>
  <c r="CW218" i="1" s="1"/>
  <c r="CW222" i="1" s="1"/>
  <c r="CW236" i="1" s="1"/>
  <c r="CW142" i="1"/>
  <c r="CW143" i="1" l="1"/>
  <c r="CW92" i="1"/>
  <c r="CW108" i="1" l="1"/>
  <c r="CW101" i="1"/>
  <c r="CW102" i="1"/>
  <c r="CW93" i="1"/>
  <c r="CW152" i="1"/>
  <c r="CW78" i="1" s="1"/>
  <c r="CW230" i="1"/>
  <c r="CW228" i="1" s="1"/>
  <c r="CW233" i="1" s="1"/>
  <c r="CW115" i="1"/>
  <c r="CW117" i="1" s="1"/>
  <c r="CW77" i="1"/>
  <c r="CW183" i="1" l="1"/>
  <c r="CW184" i="1" s="1"/>
  <c r="CW105" i="1"/>
  <c r="CW131" i="1"/>
  <c r="CW130" i="1"/>
  <c r="CW104" i="1"/>
  <c r="CW269" i="1" l="1"/>
  <c r="CW191" i="1"/>
  <c r="CW271" i="1"/>
  <c r="CW188" i="1"/>
  <c r="CW189" i="1" s="1"/>
  <c r="CX232" i="1"/>
  <c r="CW267" i="1"/>
  <c r="CW234" i="1"/>
  <c r="CX59" i="1" l="1"/>
  <c r="CW132" i="1"/>
  <c r="CW134" i="1" l="1"/>
  <c r="CW137" i="1" s="1"/>
  <c r="CW133" i="1"/>
  <c r="CW136" i="1" s="1"/>
  <c r="CX275" i="1"/>
  <c r="CX61" i="1"/>
  <c r="AD59" i="1"/>
  <c r="AD275" i="1" l="1"/>
  <c r="AD60" i="1"/>
  <c r="AD61" i="1"/>
  <c r="CX62" i="1"/>
  <c r="AD62" i="1" s="1"/>
  <c r="AD63" i="1" l="1"/>
  <c r="CX64" i="1"/>
  <c r="CX67" i="1" s="1"/>
  <c r="AD64" i="1"/>
  <c r="CX65" i="1" l="1"/>
  <c r="CX268" i="1" s="1"/>
  <c r="CX250" i="1"/>
  <c r="CX71" i="1"/>
  <c r="CX216" i="1" s="1"/>
  <c r="CX218" i="1" s="1"/>
  <c r="CX222" i="1" s="1"/>
  <c r="CX236" i="1" s="1"/>
  <c r="CX66" i="1"/>
  <c r="CX257" i="1"/>
  <c r="AD84" i="1"/>
  <c r="AD65" i="1"/>
  <c r="AD268" i="1" s="1"/>
  <c r="AD71" i="1"/>
  <c r="AD66" i="1"/>
  <c r="CX89" i="1" l="1"/>
  <c r="CX92" i="1" s="1"/>
  <c r="CX142" i="1"/>
  <c r="CX143" i="1" s="1"/>
  <c r="AD216" i="1"/>
  <c r="AD218" i="1" s="1"/>
  <c r="AD222" i="1" s="1"/>
  <c r="AD236" i="1" s="1"/>
  <c r="AD74" i="1"/>
  <c r="AD75" i="1" s="1"/>
  <c r="AD142" i="1" l="1"/>
  <c r="AD143" i="1" s="1"/>
  <c r="AD77" i="1" s="1"/>
  <c r="CX108" i="1"/>
  <c r="CX101" i="1"/>
  <c r="CX102" i="1"/>
  <c r="CX93" i="1"/>
  <c r="CX115" i="1"/>
  <c r="CX117" i="1" s="1"/>
  <c r="CX152" i="1"/>
  <c r="CX78" i="1" s="1"/>
  <c r="CX230" i="1"/>
  <c r="CX228" i="1" s="1"/>
  <c r="CX233" i="1" s="1"/>
  <c r="CX77" i="1"/>
  <c r="AD152" i="1" l="1"/>
  <c r="AD78" i="1" s="1"/>
  <c r="AD230" i="1"/>
  <c r="AD228" i="1" s="1"/>
  <c r="AD233" i="1" s="1"/>
  <c r="AD198" i="1"/>
  <c r="CX183" i="1"/>
  <c r="CX105" i="1"/>
  <c r="CX131" i="1"/>
  <c r="AD102" i="1"/>
  <c r="CX104" i="1"/>
  <c r="CX130" i="1"/>
  <c r="AD101" i="1"/>
  <c r="AD105" i="1" l="1"/>
  <c r="AD183" i="1"/>
  <c r="AD184" i="1" s="1"/>
  <c r="CX184" i="1"/>
  <c r="AD104" i="1"/>
  <c r="AE232" i="1" l="1"/>
  <c r="AD188" i="1"/>
  <c r="AD189" i="1" s="1"/>
  <c r="AD269" i="1"/>
  <c r="AD271" i="1"/>
  <c r="AD191" i="1"/>
  <c r="AD132" i="1" s="1"/>
  <c r="AD267" i="1"/>
  <c r="AD234" i="1"/>
  <c r="CX191" i="1"/>
  <c r="CX188" i="1"/>
  <c r="CX189" i="1" s="1"/>
  <c r="CX271" i="1"/>
  <c r="CX269" i="1"/>
  <c r="CY232" i="1"/>
  <c r="CX267" i="1"/>
  <c r="CX234" i="1"/>
  <c r="CX132" i="1" l="1"/>
  <c r="CY59" i="1"/>
  <c r="CY275" i="1" l="1"/>
  <c r="CY61" i="1"/>
  <c r="CX134" i="1"/>
  <c r="CX137" i="1" s="1"/>
  <c r="CX133" i="1"/>
  <c r="CX136" i="1" s="1"/>
  <c r="CY62" i="1" l="1"/>
  <c r="CY64" i="1" s="1"/>
  <c r="CY65" i="1" l="1"/>
  <c r="CY268" i="1" s="1"/>
  <c r="CY67" i="1"/>
  <c r="CY71" i="1"/>
  <c r="CY66" i="1"/>
  <c r="CY257" i="1"/>
  <c r="CY250" i="1"/>
  <c r="CY89" i="1" l="1"/>
  <c r="CY216" i="1"/>
  <c r="CY218" i="1" s="1"/>
  <c r="CY222" i="1" s="1"/>
  <c r="CY236" i="1" s="1"/>
  <c r="CY142" i="1"/>
  <c r="CY143" i="1" l="1"/>
  <c r="CY92" i="1"/>
  <c r="CY101" i="1" l="1"/>
  <c r="CY108" i="1"/>
  <c r="CY102" i="1"/>
  <c r="CY93" i="1"/>
  <c r="CY115" i="1"/>
  <c r="CY117" i="1" s="1"/>
  <c r="CY230" i="1"/>
  <c r="CY228" i="1" s="1"/>
  <c r="CY233" i="1" s="1"/>
  <c r="CY152" i="1"/>
  <c r="CY78" i="1" s="1"/>
  <c r="CY77" i="1"/>
  <c r="CY183" i="1" l="1"/>
  <c r="CY184" i="1" s="1"/>
  <c r="CY234" i="1" s="1"/>
  <c r="CY105" i="1"/>
  <c r="CY131" i="1"/>
  <c r="CY130" i="1"/>
  <c r="CY104" i="1"/>
  <c r="CY191" i="1" l="1"/>
  <c r="CZ232" i="1"/>
  <c r="CY271" i="1"/>
  <c r="CY269" i="1"/>
  <c r="CY188" i="1"/>
  <c r="CY189" i="1" s="1"/>
  <c r="CY267" i="1"/>
  <c r="CY132" i="1" l="1"/>
  <c r="CZ59" i="1"/>
  <c r="CZ275" i="1" l="1"/>
  <c r="CZ61" i="1"/>
  <c r="CY133" i="1"/>
  <c r="CY136" i="1" s="1"/>
  <c r="CY134" i="1"/>
  <c r="CY137" i="1" s="1"/>
  <c r="CZ62" i="1" l="1"/>
  <c r="CZ64" i="1" l="1"/>
  <c r="CZ257" i="1" l="1"/>
  <c r="CZ67" i="1"/>
  <c r="CZ65" i="1"/>
  <c r="CZ268" i="1" s="1"/>
  <c r="CZ71" i="1"/>
  <c r="CZ66" i="1"/>
  <c r="CZ250" i="1"/>
  <c r="CZ89" i="1" l="1"/>
  <c r="CZ216" i="1"/>
  <c r="CZ218" i="1" s="1"/>
  <c r="CZ222" i="1" s="1"/>
  <c r="CZ236" i="1" s="1"/>
  <c r="CZ142" i="1"/>
  <c r="CZ143" i="1" l="1"/>
  <c r="CZ92" i="1"/>
  <c r="CZ108" i="1" l="1"/>
  <c r="CZ101" i="1"/>
  <c r="CZ102" i="1"/>
  <c r="CZ93" i="1"/>
  <c r="CZ115" i="1"/>
  <c r="CZ117" i="1" s="1"/>
  <c r="CZ230" i="1"/>
  <c r="CZ228" i="1" s="1"/>
  <c r="CZ233" i="1" s="1"/>
  <c r="CZ152" i="1"/>
  <c r="CZ78" i="1" s="1"/>
  <c r="CZ77" i="1"/>
  <c r="CZ183" i="1" l="1"/>
  <c r="CZ184" i="1" s="1"/>
  <c r="CZ105" i="1"/>
  <c r="CZ131" i="1"/>
  <c r="CZ104" i="1"/>
  <c r="CZ130" i="1"/>
  <c r="CZ188" i="1" l="1"/>
  <c r="CZ189" i="1" s="1"/>
  <c r="CZ191" i="1"/>
  <c r="CZ269" i="1"/>
  <c r="CZ271" i="1"/>
  <c r="DA232" i="1"/>
  <c r="CZ267" i="1"/>
  <c r="CZ234" i="1"/>
  <c r="CZ132" i="1" l="1"/>
  <c r="DA59" i="1"/>
  <c r="DA275" i="1" l="1"/>
  <c r="DA61" i="1"/>
  <c r="CZ133" i="1"/>
  <c r="CZ136" i="1" s="1"/>
  <c r="CZ134" i="1"/>
  <c r="CZ137" i="1" s="1"/>
  <c r="DA62" i="1" l="1"/>
  <c r="DA64" i="1" l="1"/>
  <c r="DA65" i="1" l="1"/>
  <c r="DA268" i="1" s="1"/>
  <c r="DA66" i="1"/>
  <c r="DA67" i="1"/>
  <c r="DA71" i="1"/>
  <c r="DA257" i="1"/>
  <c r="DA250" i="1"/>
  <c r="DA216" i="1" l="1"/>
  <c r="DA218" i="1" s="1"/>
  <c r="DA222" i="1" s="1"/>
  <c r="DA236" i="1" s="1"/>
  <c r="DA89" i="1"/>
  <c r="DA142" i="1"/>
  <c r="DA143" i="1" l="1"/>
  <c r="DA92" i="1"/>
  <c r="DA108" i="1" l="1"/>
  <c r="DA101" i="1"/>
  <c r="DA102" i="1"/>
  <c r="DA93" i="1"/>
  <c r="DA152" i="1"/>
  <c r="DA78" i="1" s="1"/>
  <c r="DA230" i="1"/>
  <c r="DA228" i="1" s="1"/>
  <c r="DA233" i="1" s="1"/>
  <c r="DA115" i="1"/>
  <c r="DA117" i="1" s="1"/>
  <c r="DA77" i="1"/>
  <c r="DA183" i="1" l="1"/>
  <c r="DA184" i="1" s="1"/>
  <c r="DA105" i="1"/>
  <c r="DA131" i="1"/>
  <c r="DA130" i="1"/>
  <c r="DA104" i="1"/>
  <c r="DA188" i="1" l="1"/>
  <c r="DA189" i="1" s="1"/>
  <c r="DA271" i="1"/>
  <c r="DA269" i="1"/>
  <c r="DB232" i="1"/>
  <c r="DA191" i="1"/>
  <c r="DA267" i="1"/>
  <c r="DA234" i="1"/>
  <c r="DB59" i="1" l="1"/>
  <c r="DA132" i="1"/>
  <c r="DA134" i="1" l="1"/>
  <c r="DA137" i="1" s="1"/>
  <c r="DA133" i="1"/>
  <c r="DA136" i="1" s="1"/>
  <c r="DB275" i="1"/>
  <c r="DB61" i="1"/>
  <c r="AE59" i="1"/>
  <c r="AE60" i="1" l="1"/>
  <c r="AE275" i="1"/>
  <c r="AE61" i="1"/>
  <c r="DB62" i="1"/>
  <c r="AE62" i="1" s="1"/>
  <c r="AE63" i="1" l="1"/>
  <c r="DB64" i="1"/>
  <c r="AE64" i="1"/>
  <c r="AE84" i="1" l="1"/>
  <c r="AE71" i="1"/>
  <c r="AE65" i="1"/>
  <c r="AE268" i="1" s="1"/>
  <c r="AE66" i="1"/>
  <c r="DB66" i="1"/>
  <c r="DB71" i="1"/>
  <c r="DB65" i="1"/>
  <c r="DB268" i="1" s="1"/>
  <c r="DB257" i="1"/>
  <c r="DB67" i="1"/>
  <c r="DB250" i="1"/>
  <c r="AE74" i="1" l="1"/>
  <c r="AE75" i="1" s="1"/>
  <c r="AE216" i="1"/>
  <c r="AE218" i="1" s="1"/>
  <c r="AE222" i="1" s="1"/>
  <c r="AE236" i="1" s="1"/>
  <c r="DB89" i="1"/>
  <c r="DB92" i="1" s="1"/>
  <c r="DB216" i="1"/>
  <c r="DB218" i="1" s="1"/>
  <c r="DB222" i="1" s="1"/>
  <c r="DB236" i="1" s="1"/>
  <c r="DB142" i="1"/>
  <c r="AE142" i="1" l="1"/>
  <c r="AE143" i="1" s="1"/>
  <c r="DB143" i="1"/>
  <c r="DB108" i="1"/>
  <c r="DB101" i="1"/>
  <c r="DB102" i="1"/>
  <c r="DB93" i="1"/>
  <c r="DB131" i="1" l="1"/>
  <c r="DB105" i="1"/>
  <c r="AE102" i="1"/>
  <c r="DB130" i="1"/>
  <c r="DB104" i="1"/>
  <c r="AE101" i="1"/>
  <c r="DB230" i="1"/>
  <c r="DB228" i="1" s="1"/>
  <c r="DB233" i="1" s="1"/>
  <c r="DB115" i="1"/>
  <c r="DB117" i="1" s="1"/>
  <c r="DB152" i="1"/>
  <c r="DB78" i="1" s="1"/>
  <c r="DB77" i="1"/>
  <c r="AE152" i="1"/>
  <c r="AE78" i="1" s="1"/>
  <c r="AE198" i="1"/>
  <c r="AE230" i="1"/>
  <c r="AE228" i="1" s="1"/>
  <c r="AE233" i="1" s="1"/>
  <c r="AE77" i="1"/>
  <c r="AE105" i="1" l="1"/>
  <c r="DB183" i="1"/>
  <c r="AE104" i="1"/>
  <c r="AE183" i="1" l="1"/>
  <c r="AE184" i="1" s="1"/>
  <c r="DB184" i="1"/>
  <c r="DB188" i="1" l="1"/>
  <c r="DB189" i="1" s="1"/>
  <c r="DB191" i="1"/>
  <c r="DB132" i="1" s="1"/>
  <c r="DB271" i="1"/>
  <c r="DB269" i="1"/>
  <c r="DB267" i="1"/>
  <c r="DB234" i="1"/>
  <c r="AE188" i="1"/>
  <c r="AE189" i="1" s="1"/>
  <c r="AE271" i="1"/>
  <c r="AE269" i="1"/>
  <c r="AE191" i="1"/>
  <c r="AE132" i="1" s="1"/>
  <c r="AE267" i="1"/>
  <c r="AE234" i="1"/>
  <c r="DB134" i="1" l="1"/>
  <c r="DB137" i="1" s="1"/>
  <c r="DB133" i="1"/>
  <c r="DB136" i="1" s="1"/>
  <c r="AA86" i="1" l="1"/>
  <c r="AB86" i="1"/>
  <c r="AA88" i="1"/>
  <c r="AA89" i="1"/>
  <c r="AA92" i="1"/>
  <c r="AA93" i="1"/>
  <c r="AA131" i="1"/>
  <c r="AA134" i="1"/>
  <c r="AA137" i="1"/>
  <c r="AA109" i="1"/>
  <c r="AA108" i="1"/>
  <c r="AA130" i="1"/>
  <c r="AA133" i="1"/>
  <c r="AA136" i="1"/>
  <c r="AA110" i="1"/>
  <c r="AA115" i="1"/>
  <c r="AA122" i="1"/>
  <c r="AA117" i="1"/>
  <c r="AA118" i="1"/>
  <c r="AA119" i="1"/>
  <c r="AA127" i="1"/>
  <c r="AA126" i="1"/>
  <c r="AA125" i="1"/>
  <c r="AA91" i="1"/>
  <c r="AA87" i="1"/>
  <c r="AB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AC87" i="1"/>
  <c r="AD87" i="1"/>
  <c r="AE87" i="1"/>
  <c r="AB88" i="1"/>
  <c r="Z86" i="1"/>
  <c r="AC86" i="1"/>
  <c r="Y86" i="1"/>
  <c r="Z88" i="1"/>
  <c r="AC88" i="1"/>
  <c r="AD86" i="1"/>
  <c r="Z131" i="1"/>
  <c r="Z134" i="1"/>
  <c r="Z137" i="1"/>
  <c r="Z122" i="1"/>
  <c r="Z130" i="1"/>
  <c r="Z133" i="1"/>
  <c r="Z136" i="1"/>
  <c r="Z115" i="1"/>
  <c r="Z89" i="1"/>
  <c r="X86" i="1"/>
  <c r="Y88" i="1"/>
  <c r="AD88" i="1"/>
  <c r="X88" i="1"/>
  <c r="Z92" i="1"/>
  <c r="Z119" i="1"/>
  <c r="Z127" i="1"/>
  <c r="Z126" i="1"/>
  <c r="AE86" i="1"/>
  <c r="AE88" i="1"/>
  <c r="Y131" i="1"/>
  <c r="Y134" i="1"/>
  <c r="Y137" i="1"/>
  <c r="Y130" i="1"/>
  <c r="Y133" i="1"/>
  <c r="Y136" i="1"/>
  <c r="Y115" i="1"/>
  <c r="Y122" i="1"/>
  <c r="Y89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Z91" i="1"/>
  <c r="Z117" i="1"/>
  <c r="Z118" i="1"/>
  <c r="Z125" i="1"/>
  <c r="S88" i="1"/>
  <c r="S131" i="1"/>
  <c r="S134" i="1"/>
  <c r="S115" i="1"/>
  <c r="AD89" i="1"/>
  <c r="AE89" i="1"/>
  <c r="AB130" i="1"/>
  <c r="S118" i="1"/>
  <c r="Y118" i="1"/>
  <c r="AE130" i="1"/>
  <c r="K88" i="1"/>
  <c r="K122" i="1"/>
  <c r="K125" i="1"/>
  <c r="P88" i="1"/>
  <c r="P89" i="1"/>
  <c r="P92" i="1"/>
  <c r="P110" i="1"/>
  <c r="Y117" i="1"/>
  <c r="U88" i="1"/>
  <c r="U131" i="1"/>
  <c r="U134" i="1"/>
  <c r="U137" i="1"/>
  <c r="E88" i="1"/>
  <c r="E115" i="1"/>
  <c r="E119" i="1"/>
  <c r="U130" i="1"/>
  <c r="U133" i="1"/>
  <c r="N88" i="1"/>
  <c r="N122" i="1"/>
  <c r="N126" i="1"/>
  <c r="M88" i="1"/>
  <c r="M130" i="1"/>
  <c r="M133" i="1"/>
  <c r="M136" i="1"/>
  <c r="R88" i="1"/>
  <c r="R115" i="1"/>
  <c r="R117" i="1"/>
  <c r="X122" i="1"/>
  <c r="E117" i="1"/>
  <c r="U122" i="1"/>
  <c r="U126" i="1"/>
  <c r="S137" i="1"/>
  <c r="I88" i="1"/>
  <c r="G88" i="1"/>
  <c r="G115" i="1"/>
  <c r="G118" i="1"/>
  <c r="U89" i="1"/>
  <c r="U92" i="1"/>
  <c r="T112" i="1"/>
  <c r="Y126" i="1"/>
  <c r="H88" i="1"/>
  <c r="H131" i="1"/>
  <c r="H134" i="1"/>
  <c r="H137" i="1"/>
  <c r="W88" i="1"/>
  <c r="W122" i="1"/>
  <c r="W127" i="1"/>
  <c r="S130" i="1"/>
  <c r="AB89" i="1"/>
  <c r="AB92" i="1"/>
  <c r="AB93" i="1"/>
  <c r="AB131" i="1"/>
  <c r="S89" i="1"/>
  <c r="V88" i="1"/>
  <c r="V131" i="1"/>
  <c r="V134" i="1"/>
  <c r="AD131" i="1"/>
  <c r="Y127" i="1"/>
  <c r="M122" i="1"/>
  <c r="M126" i="1"/>
  <c r="V89" i="1"/>
  <c r="V92" i="1"/>
  <c r="V93" i="1"/>
  <c r="J88" i="1"/>
  <c r="J89" i="1"/>
  <c r="J92" i="1"/>
  <c r="J93" i="1"/>
  <c r="J122" i="1"/>
  <c r="AE115" i="1"/>
  <c r="X115" i="1"/>
  <c r="X89" i="1"/>
  <c r="Z110" i="1"/>
  <c r="Z93" i="1"/>
  <c r="H89" i="1"/>
  <c r="AC131" i="1"/>
  <c r="AD115" i="1"/>
  <c r="AC89" i="1"/>
  <c r="H92" i="1"/>
  <c r="L88" i="1"/>
  <c r="L89" i="1"/>
  <c r="L92" i="1"/>
  <c r="T88" i="1"/>
  <c r="T89" i="1"/>
  <c r="T92" i="1"/>
  <c r="T110" i="1"/>
  <c r="L109" i="1"/>
  <c r="V91" i="1"/>
  <c r="N89" i="1"/>
  <c r="F88" i="1"/>
  <c r="F89" i="1"/>
  <c r="F91" i="1"/>
  <c r="Q88" i="1"/>
  <c r="Q122" i="1"/>
  <c r="Q125" i="1"/>
  <c r="G89" i="1"/>
  <c r="P91" i="1"/>
  <c r="W125" i="1"/>
  <c r="T109" i="1"/>
  <c r="L93" i="1"/>
  <c r="J108" i="1"/>
  <c r="S112" i="1"/>
  <c r="P122" i="1"/>
  <c r="P125" i="1"/>
  <c r="AA112" i="1"/>
  <c r="W89" i="1"/>
  <c r="W92" i="1"/>
  <c r="W108" i="1"/>
  <c r="AB108" i="1"/>
  <c r="T108" i="1"/>
  <c r="W131" i="1"/>
  <c r="W134" i="1"/>
  <c r="W137" i="1"/>
  <c r="R122" i="1"/>
  <c r="R125" i="1"/>
  <c r="V109" i="1"/>
  <c r="S92" i="1"/>
  <c r="L122" i="1"/>
  <c r="F131" i="1"/>
  <c r="V130" i="1"/>
  <c r="AD119" i="1"/>
  <c r="I89" i="1"/>
  <c r="I92" i="1"/>
  <c r="H112" i="1"/>
  <c r="Y125" i="1"/>
  <c r="AC92" i="1"/>
  <c r="E130" i="1"/>
  <c r="E133" i="1"/>
  <c r="H130" i="1"/>
  <c r="G131" i="1"/>
  <c r="G134" i="1"/>
  <c r="Q130" i="1"/>
  <c r="Q133" i="1"/>
  <c r="W130" i="1"/>
  <c r="W133" i="1"/>
  <c r="W136" i="1"/>
  <c r="K130" i="1"/>
  <c r="K133" i="1"/>
  <c r="M131" i="1"/>
  <c r="AC134" i="1"/>
  <c r="AD130" i="1"/>
  <c r="M125" i="1"/>
  <c r="L115" i="1"/>
  <c r="Y119" i="1"/>
  <c r="S122" i="1"/>
  <c r="Q131" i="1"/>
  <c r="P109" i="1"/>
  <c r="K127" i="1"/>
  <c r="E118" i="1"/>
  <c r="AE92" i="1"/>
  <c r="AD112" i="1"/>
  <c r="O88" i="1"/>
  <c r="J131" i="1"/>
  <c r="J134" i="1"/>
  <c r="Y91" i="1"/>
  <c r="I115" i="1"/>
  <c r="I122" i="1"/>
  <c r="H93" i="1"/>
  <c r="F115" i="1"/>
  <c r="I112" i="1"/>
  <c r="S119" i="1"/>
  <c r="Z109" i="1"/>
  <c r="R130" i="1"/>
  <c r="R133" i="1"/>
  <c r="J130" i="1"/>
  <c r="Q134" i="1"/>
  <c r="K115" i="1"/>
  <c r="L130" i="1"/>
  <c r="L133" i="1"/>
  <c r="V115" i="1"/>
  <c r="AC115" i="1"/>
  <c r="M127" i="1"/>
  <c r="J125" i="1"/>
  <c r="X92" i="1"/>
  <c r="I108" i="1"/>
  <c r="I93" i="1"/>
  <c r="R112" i="1"/>
  <c r="M134" i="1"/>
  <c r="N92" i="1"/>
  <c r="M112" i="1"/>
  <c r="N109" i="1"/>
  <c r="X93" i="1"/>
  <c r="L126" i="1"/>
  <c r="V110" i="1"/>
  <c r="AD117" i="1"/>
  <c r="X131" i="1"/>
  <c r="G122" i="1"/>
  <c r="G112" i="1"/>
  <c r="F117" i="1"/>
  <c r="G126" i="1"/>
  <c r="X134" i="1"/>
  <c r="X137" i="1"/>
  <c r="N93" i="1"/>
  <c r="V137" i="1"/>
  <c r="V133" i="1"/>
  <c r="H133" i="1"/>
  <c r="E122" i="1"/>
  <c r="N110" i="1"/>
  <c r="G92" i="1"/>
  <c r="N127" i="1"/>
  <c r="I91" i="1"/>
  <c r="N108" i="1"/>
  <c r="J127" i="1"/>
  <c r="N115" i="1"/>
  <c r="Z112" i="1"/>
  <c r="Q89" i="1"/>
  <c r="G125" i="1"/>
  <c r="AC91" i="1"/>
  <c r="AB115" i="1"/>
  <c r="S110" i="1"/>
  <c r="H115" i="1"/>
  <c r="F130" i="1"/>
  <c r="F133" i="1"/>
  <c r="N117" i="1"/>
  <c r="I110" i="1"/>
  <c r="P126" i="1"/>
  <c r="K89" i="1"/>
  <c r="K92" i="1"/>
  <c r="K93" i="1"/>
  <c r="I130" i="1"/>
  <c r="AE117" i="1"/>
  <c r="AC118" i="1"/>
  <c r="H122" i="1"/>
  <c r="H127" i="1"/>
  <c r="P93" i="1"/>
  <c r="Q92" i="1"/>
  <c r="Q109" i="1"/>
  <c r="P112" i="1"/>
  <c r="T91" i="1"/>
  <c r="S117" i="1"/>
  <c r="J137" i="1"/>
  <c r="I131" i="1"/>
  <c r="H109" i="1"/>
  <c r="F122" i="1"/>
  <c r="I109" i="1"/>
  <c r="T131" i="1"/>
  <c r="P131" i="1"/>
  <c r="L131" i="1"/>
  <c r="L134" i="1"/>
  <c r="N130" i="1"/>
  <c r="N133" i="1"/>
  <c r="AD134" i="1"/>
  <c r="K112" i="1"/>
  <c r="S93" i="1"/>
  <c r="V119" i="1"/>
  <c r="X130" i="1"/>
  <c r="Y92" i="1"/>
  <c r="Y108" i="1"/>
  <c r="Q115" i="1"/>
  <c r="I117" i="1"/>
  <c r="AB134" i="1"/>
  <c r="AB137" i="1"/>
  <c r="N119" i="1"/>
  <c r="AE91" i="1"/>
  <c r="F126" i="1"/>
  <c r="U110" i="1"/>
  <c r="G110" i="1"/>
  <c r="K108" i="1"/>
  <c r="T130" i="1"/>
  <c r="T133" i="1"/>
  <c r="T136" i="1"/>
  <c r="U115" i="1"/>
  <c r="U117" i="1"/>
  <c r="F127" i="1"/>
  <c r="S133" i="1"/>
  <c r="S136" i="1"/>
  <c r="O89" i="1"/>
  <c r="O92" i="1"/>
  <c r="O108" i="1"/>
  <c r="AB118" i="1"/>
  <c r="AB117" i="1"/>
  <c r="M115" i="1"/>
  <c r="M117" i="1"/>
  <c r="O93" i="1"/>
  <c r="U125" i="1"/>
  <c r="U118" i="1"/>
  <c r="H119" i="1"/>
  <c r="U136" i="1"/>
  <c r="AB119" i="1"/>
  <c r="R131" i="1"/>
  <c r="R134" i="1"/>
  <c r="R137" i="1"/>
  <c r="X108" i="1"/>
  <c r="V108" i="1"/>
  <c r="K126" i="1"/>
  <c r="O122" i="1"/>
  <c r="M89" i="1"/>
  <c r="M92" i="1"/>
  <c r="S127" i="1"/>
  <c r="Y109" i="1"/>
  <c r="O112" i="1"/>
  <c r="W115" i="1"/>
  <c r="W118" i="1"/>
  <c r="X112" i="1"/>
  <c r="O130" i="1"/>
  <c r="O133" i="1"/>
  <c r="AC93" i="1"/>
  <c r="U93" i="1"/>
  <c r="Q93" i="1"/>
  <c r="AD133" i="1"/>
  <c r="AD136" i="1"/>
  <c r="O110" i="1"/>
  <c r="G130" i="1"/>
  <c r="G133" i="1"/>
  <c r="G136" i="1"/>
  <c r="X125" i="1"/>
  <c r="L112" i="1"/>
  <c r="X127" i="1"/>
  <c r="Q91" i="1"/>
  <c r="Q118" i="1"/>
  <c r="M119" i="1"/>
  <c r="O136" i="1"/>
  <c r="O125" i="1"/>
  <c r="O126" i="1"/>
  <c r="H118" i="1"/>
  <c r="AD137" i="1"/>
  <c r="E131" i="1"/>
  <c r="E134" i="1"/>
  <c r="E137" i="1"/>
  <c r="I126" i="1"/>
  <c r="R89" i="1"/>
  <c r="R92" i="1"/>
  <c r="R93" i="1"/>
  <c r="K118" i="1"/>
  <c r="X126" i="1"/>
  <c r="L136" i="1"/>
  <c r="E89" i="1"/>
  <c r="E92" i="1"/>
  <c r="E93" i="1"/>
  <c r="R110" i="1"/>
  <c r="M93" i="1"/>
  <c r="H117" i="1"/>
  <c r="Q119" i="1"/>
  <c r="M91" i="1"/>
  <c r="W117" i="1"/>
  <c r="Q110" i="1"/>
  <c r="M110" i="1"/>
  <c r="F125" i="1"/>
  <c r="D112" i="1"/>
  <c r="Y93" i="1"/>
  <c r="N131" i="1"/>
  <c r="N134" i="1"/>
  <c r="N137" i="1"/>
  <c r="W119" i="1"/>
  <c r="U91" i="1"/>
  <c r="Y110" i="1"/>
  <c r="Q108" i="1"/>
  <c r="O109" i="1"/>
  <c r="T134" i="1"/>
  <c r="T137" i="1"/>
  <c r="U119" i="1"/>
  <c r="N112" i="1"/>
  <c r="L137" i="1"/>
  <c r="E108" i="1"/>
  <c r="Q117" i="1"/>
  <c r="M109" i="1"/>
  <c r="M108" i="1"/>
  <c r="H91" i="1"/>
  <c r="U108" i="1"/>
  <c r="L110" i="1"/>
  <c r="N136" i="1"/>
  <c r="E110" i="1"/>
  <c r="M118" i="1"/>
  <c r="O127" i="1"/>
  <c r="AC122" i="1"/>
  <c r="AB109" i="1"/>
  <c r="V112" i="1"/>
  <c r="AE110" i="1"/>
  <c r="AE118" i="1"/>
  <c r="AB122" i="1"/>
  <c r="I119" i="1"/>
  <c r="H125" i="1"/>
  <c r="L118" i="1"/>
  <c r="T115" i="1"/>
  <c r="J115" i="1"/>
  <c r="J118" i="1"/>
  <c r="AB91" i="1"/>
  <c r="AE131" i="1"/>
  <c r="R119" i="1"/>
  <c r="J119" i="1"/>
  <c r="X91" i="1"/>
  <c r="V122" i="1"/>
  <c r="R136" i="1"/>
  <c r="J133" i="1"/>
  <c r="J136" i="1"/>
  <c r="J110" i="1"/>
  <c r="V117" i="1"/>
  <c r="J109" i="1"/>
  <c r="J126" i="1"/>
  <c r="W112" i="1"/>
  <c r="AE122" i="1"/>
  <c r="L127" i="1"/>
  <c r="S108" i="1"/>
  <c r="S125" i="1"/>
  <c r="AD91" i="1"/>
  <c r="AE119" i="1"/>
  <c r="AB127" i="1"/>
  <c r="Q112" i="1"/>
  <c r="AC117" i="1"/>
  <c r="X109" i="1"/>
  <c r="J112" i="1"/>
  <c r="V136" i="1"/>
  <c r="H136" i="1"/>
  <c r="O131" i="1"/>
  <c r="O134" i="1"/>
  <c r="O137" i="1"/>
  <c r="AB110" i="1"/>
  <c r="K136" i="1"/>
  <c r="K131" i="1"/>
  <c r="K134" i="1"/>
  <c r="K137" i="1"/>
  <c r="K119" i="1"/>
  <c r="P130" i="1"/>
  <c r="P133" i="1"/>
  <c r="P136" i="1"/>
  <c r="AC130" i="1"/>
  <c r="AC133" i="1"/>
  <c r="AC136" i="1"/>
  <c r="F92" i="1"/>
  <c r="N125" i="1"/>
  <c r="V125" i="1"/>
  <c r="AD122" i="1"/>
  <c r="G127" i="1"/>
  <c r="R109" i="1"/>
  <c r="T93" i="1"/>
  <c r="F136" i="1"/>
  <c r="P115" i="1"/>
  <c r="O115" i="1"/>
  <c r="F110" i="1"/>
  <c r="F112" i="1"/>
  <c r="I133" i="1"/>
  <c r="I136" i="1"/>
  <c r="AE93" i="1"/>
  <c r="J117" i="1"/>
  <c r="AE134" i="1"/>
  <c r="AE137" i="1"/>
  <c r="H108" i="1"/>
  <c r="Z108" i="1"/>
  <c r="AC110" i="1"/>
  <c r="AB112" i="1"/>
  <c r="AE126" i="1"/>
  <c r="AB133" i="1"/>
  <c r="I127" i="1"/>
  <c r="T122" i="1"/>
  <c r="T125" i="1"/>
  <c r="I134" i="1"/>
  <c r="I137" i="1"/>
  <c r="T127" i="1"/>
  <c r="P108" i="1"/>
  <c r="S109" i="1"/>
  <c r="F134" i="1"/>
  <c r="P134" i="1"/>
  <c r="AD92" i="1"/>
  <c r="AE133" i="1"/>
  <c r="L108" i="1"/>
  <c r="R118" i="1"/>
  <c r="H126" i="1"/>
  <c r="T126" i="1"/>
  <c r="X133" i="1"/>
  <c r="R127" i="1"/>
  <c r="Y112" i="1"/>
  <c r="R126" i="1"/>
  <c r="M137" i="1"/>
  <c r="L125" i="1"/>
  <c r="U127" i="1"/>
  <c r="W126" i="1"/>
  <c r="AC108" i="1"/>
  <c r="E136" i="1"/>
  <c r="G137" i="1"/>
  <c r="Q136" i="1"/>
  <c r="W93" i="1"/>
  <c r="X118" i="1"/>
  <c r="AE108" i="1"/>
  <c r="O91" i="1"/>
  <c r="R108" i="1"/>
  <c r="I125" i="1"/>
  <c r="X117" i="1"/>
  <c r="F118" i="1"/>
  <c r="T117" i="1"/>
  <c r="Q137" i="1"/>
  <c r="K117" i="1"/>
  <c r="L91" i="1"/>
  <c r="AC119" i="1"/>
  <c r="G117" i="1"/>
  <c r="U112" i="1"/>
  <c r="G91" i="1"/>
  <c r="Q127" i="1"/>
  <c r="Q126" i="1"/>
  <c r="S126" i="1"/>
  <c r="I118" i="1"/>
  <c r="AC137" i="1"/>
  <c r="AD118" i="1"/>
  <c r="AE109" i="1"/>
  <c r="F119" i="1"/>
  <c r="S91" i="1"/>
  <c r="V126" i="1"/>
  <c r="E126" i="1"/>
  <c r="K110" i="1"/>
  <c r="G93" i="1"/>
  <c r="J91" i="1"/>
  <c r="E125" i="1"/>
  <c r="G108" i="1"/>
  <c r="W109" i="1"/>
  <c r="N118" i="1"/>
  <c r="G109" i="1"/>
  <c r="X119" i="1"/>
  <c r="X110" i="1"/>
  <c r="E127" i="1"/>
  <c r="K109" i="1"/>
  <c r="V118" i="1"/>
  <c r="L117" i="1"/>
  <c r="H110" i="1"/>
  <c r="W91" i="1"/>
  <c r="AC126" i="1"/>
  <c r="U109" i="1"/>
  <c r="AC109" i="1"/>
  <c r="AB136" i="1"/>
  <c r="AB125" i="1"/>
  <c r="W110" i="1"/>
  <c r="P127" i="1"/>
  <c r="E109" i="1"/>
  <c r="G119" i="1"/>
  <c r="T118" i="1"/>
  <c r="X136" i="1"/>
  <c r="N91" i="1"/>
  <c r="L119" i="1"/>
  <c r="T119" i="1"/>
  <c r="F93" i="1"/>
  <c r="V127" i="1"/>
  <c r="P118" i="1"/>
  <c r="AC125" i="1"/>
  <c r="AE125" i="1"/>
  <c r="O117" i="1"/>
  <c r="AD109" i="1"/>
  <c r="AE136" i="1"/>
  <c r="P119" i="1"/>
  <c r="AC112" i="1"/>
  <c r="AD110" i="1"/>
  <c r="O119" i="1"/>
  <c r="AD127" i="1"/>
  <c r="AD126" i="1"/>
  <c r="R91" i="1"/>
  <c r="AE127" i="1"/>
  <c r="F137" i="1"/>
  <c r="K91" i="1"/>
  <c r="AB126" i="1"/>
  <c r="P117" i="1"/>
  <c r="AC127" i="1"/>
  <c r="E91" i="1"/>
  <c r="AD93" i="1"/>
  <c r="AD125" i="1"/>
  <c r="P137" i="1"/>
  <c r="AD108" i="1"/>
  <c r="F109" i="1"/>
  <c r="O118" i="1"/>
  <c r="F108" i="1"/>
  <c r="E1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<sst xmlns="http://schemas.openxmlformats.org/spreadsheetml/2006/main" count="682" uniqueCount="531">
  <si>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</si>
  <si>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</si>
  <si>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</si>
  <si>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</si>
  <si>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</si>
  <si>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</si>
  <si>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</si>
  <si>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</si>
  <si>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</si>
  <si>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</si>
  <si>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</si>
  <si>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</si>
  <si>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</si>
  <si>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</si>
  <si>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</si>
  <si>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</si>
  <si>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</si>
  <si>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</si>
  <si>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</si>
  <si>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</si>
  <si>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</si>
  <si>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</si>
  <si>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</si>
  <si>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</si>
  <si>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</si>
  <si>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</si>
  <si>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</si>
  <si>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</si>
  <si>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</si>
  <si>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</si>
  <si>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</si>
  <si>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</si>
  <si>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</si>
  <si>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</si>
  <si>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</si>
  <si>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</si>
  <si>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</si>
  <si>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</si>
  <si>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</si>
  <si>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</si>
  <si>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</si>
  <si>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</si>
  <si>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</si>
  <si>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</si>
  <si>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</si>
  <si>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</si>
  <si>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</si>
  <si>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</si>
  <si>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</si>
  <si>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</si>
  <si>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</si>
  <si>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</si>
  <si>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</si>
  <si>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</si>
  <si>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</si>
  <si>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</si>
  <si>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</si>
  <si>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</si>
  <si>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</si>
  <si>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</si>
  <si>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</si>
  <si>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</si>
  <si>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</si>
  <si>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</si>
  <si>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</si>
  <si>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</si>
  <si>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</si>
  <si>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</si>
  <si>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</si>
  <si>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</si>
  <si>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</si>
  <si>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</si>
  <si>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</si>
  <si>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</si>
  <si>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</si>
  <si>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</si>
  <si>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</si>
  <si>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</si>
  <si>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</si>
  <si>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</si>
  <si>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</si>
  <si>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</si>
  <si>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</si>
  <si>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</si>
  <si>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</si>
  <si>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</si>
  <si>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</si>
  <si>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</si>
  <si>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</si>
  <si>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</si>
  <si>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</si>
  <si>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</si>
  <si>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</si>
  <si>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</si>
  <si>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</si>
  <si>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</si>
  <si>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</si>
  <si>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</si>
  <si>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</si>
  <si>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</si>
  <si>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</si>
  <si>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</si>
  <si>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</si>
  <si>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</si>
  <si>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</si>
  <si>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</si>
  <si>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</si>
  <si>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</si>
  <si>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</si>
  <si>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</si>
  <si>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</si>
  <si>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</si>
  <si>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</si>
  <si>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</si>
  <si>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</si>
  <si>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</si>
  <si>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</si>
  <si>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</si>
  <si>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</si>
  <si>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</si>
  <si>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</si>
  <si>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</si>
  <si>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</si>
  <si>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</si>
  <si>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</si>
  <si>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</si>
  <si>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</si>
  <si>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</si>
  <si>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</si>
  <si>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</si>
  <si>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</si>
  <si>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</si>
  <si>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</si>
  <si>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</si>
  <si>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</si>
  <si>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</si>
  <si>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</si>
  <si>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</si>
  <si>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</si>
  <si>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</si>
  <si>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</si>
  <si>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</si>
  <si>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</si>
  <si>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</si>
  <si>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</si>
  <si>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</si>
  <si>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</si>
  <si>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</si>
  <si>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</si>
  <si>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</si>
  <si>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</si>
  <si>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</si>
  <si>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</si>
  <si>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</si>
  <si>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</si>
  <si>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</si>
  <si>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</si>
  <si>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</si>
  <si>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</si>
  <si>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</si>
  <si>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</si>
  <si>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</si>
  <si>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</si>
  <si>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</si>
  <si>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</si>
  <si>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</si>
  <si>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</si>
  <si>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</si>
  <si>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</si>
  <si>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</si>
  <si>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</si>
  <si>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</si>
  <si>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</si>
  <si>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</si>
  <si>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</si>
  <si>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</si>
  <si>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</si>
  <si>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</si>
  <si>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</si>
  <si>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</si>
  <si>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</si>
  <si>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</si>
  <si>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</si>
  <si>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</si>
  <si>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</si>
  <si>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</si>
  <si>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</si>
  <si>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</si>
  <si>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</si>
  <si>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</si>
  <si>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</si>
  <si>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</si>
  <si>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</si>
  <si>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</si>
  <si>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</si>
  <si>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</si>
  <si>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</si>
  <si>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</si>
  <si>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</si>
  <si>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</si>
  <si>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</si>
  <si>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</si>
  <si>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</si>
  <si>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</si>
  <si>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</si>
  <si>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</si>
  <si>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</si>
  <si>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</si>
  <si>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</si>
  <si>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</si>
  <si>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</si>
  <si>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</si>
  <si>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</si>
  <si>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</si>
  <si>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</si>
  <si>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</si>
  <si>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</si>
  <si>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</si>
  <si>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</si>
  <si>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</si>
  <si>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</si>
  <si>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</si>
  <si>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</si>
  <si>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</si>
  <si>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</si>
  <si>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</si>
  <si>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</si>
  <si>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</si>
  <si>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</si>
  <si>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</si>
  <si>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</si>
  <si>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</si>
  <si>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</si>
  <si>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</si>
  <si>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</si>
  <si>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</si>
  <si>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</si>
  <si>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</si>
  <si>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</si>
  <si>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</si>
  <si>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</si>
  <si>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</si>
  <si>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</si>
  <si>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</si>
  <si>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</si>
  <si>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</si>
  <si>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</si>
  <si>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</si>
  <si>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</si>
  <si>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</si>
  <si>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</si>
  <si>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</si>
  <si>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</si>
  <si>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</si>
  <si>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</si>
  <si>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</si>
  <si>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</si>
  <si>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</si>
  <si>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</si>
  <si>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</si>
  <si>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</si>
  <si>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</si>
  <si>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</si>
  <si>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</si>
  <si>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</si>
  <si>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</si>
  <si>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</si>
  <si>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</si>
  <si>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</si>
  <si>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</si>
  <si>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</si>
  <si>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</si>
  <si>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</si>
  <si>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</si>
  <si>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</si>
  <si>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</si>
  <si>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</si>
  <si>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</si>
  <si>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</si>
  <si>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</si>
  <si>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</si>
  <si>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</si>
  <si>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</si>
  <si>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</si>
  <si>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</si>
  <si>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</si>
  <si>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</si>
  <si>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</si>
  <si>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</si>
  <si>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</si>
  <si>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</si>
  <si>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</si>
  <si>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</si>
  <si>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</si>
  <si>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</si>
  <si>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</si>
  <si>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</si>
  <si>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</si>
  <si>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</si>
  <si>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</si>
  <si>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</si>
  <si>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</si>
  <si>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</si>
  <si>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</si>
  <si>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</si>
  <si>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</si>
  <si>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</si>
  <si>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</si>
  <si>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</si>
  <si>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</si>
  <si>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</si>
  <si>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</si>
  <si>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</si>
  <si>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</si>
  <si>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</si>
  <si>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</si>
  <si>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</si>
  <si>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</si>
  <si>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</si>
  <si>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</si>
  <si>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</si>
  <si>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</si>
  <si>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</si>
  <si>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</si>
  <si>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</si>
  <si>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</si>
  <si>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</si>
  <si>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</si>
  <si>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</si>
  <si>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</si>
  <si>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</si>
  <si>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</si>
  <si>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</si>
  <si>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</si>
  <si>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</si>
  <si>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</si>
  <si>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</si>
  <si>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</si>
  <si>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</si>
  <si>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</si>
  <si>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</si>
  <si>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</si>
  <si>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</si>
  <si>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</si>
  <si>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</si>
  <si>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</si>
  <si>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</si>
  <si>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</si>
  <si>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</si>
  <si>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</si>
  <si>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</si>
  <si>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</si>
  <si>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</si>
  <si>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</si>
  <si>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</si>
  <si>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</si>
  <si>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</si>
  <si>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</si>
  <si>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</si>
  <si>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</si>
  <si>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</si>
  <si>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</si>
  <si>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</si>
  <si>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</si>
  <si>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</si>
  <si>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</si>
  <si>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</si>
  <si>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</si>
  <si>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</si>
  <si>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</si>
  <si>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</si>
  <si>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</si>
  <si>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</si>
  <si>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</si>
  <si>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</si>
  <si>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</si>
  <si>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</si>
  <si>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</si>
  <si>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</si>
  <si>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</si>
  <si>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</si>
  <si>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</si>
  <si>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</si>
  <si>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</si>
  <si>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</si>
  <si>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</si>
  <si>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</si>
  <si>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</si>
  <si>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</si>
  <si>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</si>
  <si>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</si>
  <si>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</si>
  <si>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</si>
  <si>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</si>
  <si>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</si>
  <si>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</si>
  <si>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</si>
  <si>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</si>
  <si>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</si>
  <si>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</si>
  <si>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</si>
  <si>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</si>
  <si>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</si>
  <si>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</si>
  <si>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</si>
  <si>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</si>
  <si>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</si>
  <si>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</si>
  <si>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</si>
  <si>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</si>
  <si>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</si>
  <si>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</si>
  <si>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</si>
  <si>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</si>
  <si>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</si>
  <si>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</si>
  <si>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</si>
  <si>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</si>
  <si>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</si>
  <si>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</si>
  <si>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</si>
  <si>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</si>
  <si>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</si>
  <si>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</si>
  <si>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</si>
  <si>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</si>
  <si>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</si>
  <si>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</si>
  <si>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</si>
  <si>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</si>
  <si>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</si>
  <si>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</si>
  <si>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</si>
  <si>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</si>
  <si>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</si>
  <si>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</si>
  <si>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</si>
  <si>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</si>
  <si>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</si>
  <si>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</si>
  <si>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</si>
  <si>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</si>
  <si>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</si>
  <si>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</si>
  <si>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</si>
  <si>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</si>
  <si>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</si>
  <si>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</si>
  <si>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</si>
  <si>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</si>
  <si>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</si>
  <si>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</si>
  <si>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</si>
  <si>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</si>
  <si>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</si>
  <si>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</si>
  <si>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</si>
  <si>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</si>
  <si>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</si>
  <si>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</si>
  <si>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</si>
  <si>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</si>
  <si>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</si>
  <si>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</si>
  <si>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</si>
  <si>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</si>
  <si>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</si>
  <si>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</si>
  <si>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</si>
  <si>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</si>
  <si>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</si>
  <si>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</si>
  <si>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</si>
  <si>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</si>
  <si>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</si>
  <si>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</si>
  <si>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</si>
  <si>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</si>
  <si>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</si>
  <si>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</si>
  <si>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</si>
  <si>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</si>
  <si>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</si>
  <si>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</si>
  <si>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</si>
  <si>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</si>
  <si>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</si>
  <si>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</si>
  <si>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</si>
  <si>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</si>
  <si>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</si>
  <si>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</si>
  <si>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</si>
  <si>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</si>
  <si>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</si>
  <si>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</si>
  <si>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</si>
  <si>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</si>
  <si>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</si>
  <si>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</si>
  <si>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</si>
  <si>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</si>
  <si>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</si>
  <si>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</si>
  <si>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</si>
  <si>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</si>
  <si>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</si>
  <si>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</si>
  <si>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</si>
  <si>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</si>
  <si>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</si>
  <si>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</si>
  <si>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</si>
  <si>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</si>
  <si>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</si>
  <si>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AWL Agri Business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</si>
  <si>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</si>
  <si>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</si>
  <si>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</si>
  <si>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</si>
  <si>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</si>
  <si>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</si>
  <si>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</si>
  <si>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  Edible Oil</t>
  </si>
  <si>
    <t xml:space="preserve">  Food &amp; FMCG</t>
  </si>
  <si>
    <t xml:space="preserve">  Industry Essentials</t>
  </si>
  <si>
    <t>Total</t>
  </si>
  <si>
    <t>Revenue growth %</t>
  </si>
  <si>
    <t>Revenue per kg</t>
  </si>
  <si>
    <t>Sales Volume (Million Mt)</t>
  </si>
  <si>
    <t>Sales Volume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</si>
</sst>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19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20" fillId="2" borderId="0" xfId="0" applyFont="1" applyFill="1"/>
    <xf numFmtId="2" fontId="18" fillId="2" borderId="0" xfId="0" applyNumberFormat="1" applyFont="1" applyFill="1"/>
    <xf numFmtId="2" fontId="20" fillId="2" borderId="0" xfId="0" applyNumberFormat="1" applyFont="1" applyFill="1"/>
    <xf numFmtId="9" fontId="18" fillId="2" borderId="0" xfId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9" fontId="20" fillId="2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center"/>
    </xf>
    <xf numFmtId="9" fontId="18" fillId="7" borderId="0" xfId="1" applyFont="1" applyFill="1" applyAlignment="1">
      <alignment horizontal="center"/>
    </xf>
    <xf numFmtId="9" fontId="20" fillId="7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  <xf numFmtId="9" fontId="5" fillId="0" borderId="0" xfId="1" applyFont="1" applyBorder="1"/>
  </cellXfs>
  <cellStyles count="6">
    <cellStyle name="Comma" xfId="2" builtinId="3"/>
    <cellStyle name="Comma 2" xfId="5" xr:uid="{EB94E6FA-B8A5-4257-BFBF-3CDF03FA6D4B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7"/>
  <sheetViews>
    <sheetView tabSelected="1" zoomScaleNormal="100" workbookViewId="0">
      <pane xSplit="1" ySplit="1" topLeftCell="CG79" activePane="bottomRight" state="frozen"/>
      <selection pane="topRight" activeCell="B1" sqref="B1"/>
      <selection pane="bottomLeft" activeCell="A2" sqref="A2"/>
      <selection pane="bottomRight" activeCell="CM101" sqref="CM101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AWL Agri Business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88" customFormat="1" x14ac:dyDescent="0.2">
      <c r="A3" s="180" t="s">
        <v>523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>
        <v>46111.08</v>
      </c>
      <c r="Y3" s="186">
        <v>38788.33</v>
      </c>
      <c r="Z3" s="186">
        <f>SUM(CE3:CH3)</f>
        <v>49761.17</v>
      </c>
      <c r="AA3" s="187">
        <f>SUM(CI3:CL3)</f>
        <v>59787.95</v>
      </c>
      <c r="AB3" s="187">
        <f>SUM(CM3:CP3)</f>
        <v>65032.423645628922</v>
      </c>
      <c r="AC3" s="187">
        <f>SUM(CQ3:CT3)</f>
        <v>67962.58238547435</v>
      </c>
      <c r="AD3" s="187">
        <f>SUM(CU3:CX3)</f>
        <v>74027.892414666829</v>
      </c>
      <c r="AE3" s="187">
        <f>SUM(CY3:DB3)</f>
        <v>80641.192780541329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>
        <v>11482.33</v>
      </c>
      <c r="BU3" s="186">
        <v>12118</v>
      </c>
      <c r="BV3" s="186">
        <v>12372.2</v>
      </c>
      <c r="BW3" s="186">
        <v>11518.72</v>
      </c>
      <c r="BX3" s="186">
        <v>11221.4</v>
      </c>
      <c r="BY3" s="186">
        <v>12581.21</v>
      </c>
      <c r="BZ3" s="186">
        <v>10789.75</v>
      </c>
      <c r="CA3" s="186">
        <v>9845.0400000000009</v>
      </c>
      <c r="CB3" s="186">
        <v>9037.5300000000007</v>
      </c>
      <c r="CC3" s="186">
        <v>9710.82</v>
      </c>
      <c r="CD3" s="186">
        <v>10194.94</v>
      </c>
      <c r="CE3" s="186">
        <v>10649.36</v>
      </c>
      <c r="CF3" s="186">
        <v>10976.55</v>
      </c>
      <c r="CG3" s="186">
        <v>13366.26</v>
      </c>
      <c r="CH3" s="186">
        <v>14769</v>
      </c>
      <c r="CI3" s="186">
        <v>13415</v>
      </c>
      <c r="CJ3" s="186">
        <v>13827.65</v>
      </c>
      <c r="CK3" s="186">
        <v>15025.3</v>
      </c>
      <c r="CL3" s="186">
        <v>17520</v>
      </c>
      <c r="CM3" s="187">
        <f t="shared" ref="CM3:DB5" si="33">+CM14*CM19*100</f>
        <v>14202.157240973316</v>
      </c>
      <c r="CN3" s="187">
        <f t="shared" si="33"/>
        <v>14980.139584527078</v>
      </c>
      <c r="CO3" s="187">
        <f t="shared" si="33"/>
        <v>16515.560763417387</v>
      </c>
      <c r="CP3" s="187">
        <f t="shared" si="33"/>
        <v>19334.566056711141</v>
      </c>
      <c r="CQ3" s="187">
        <f t="shared" si="33"/>
        <v>14773.999692550813</v>
      </c>
      <c r="CR3" s="187">
        <f t="shared" si="33"/>
        <v>15670.252398378523</v>
      </c>
      <c r="CS3" s="187">
        <f t="shared" si="33"/>
        <v>17300.661150557018</v>
      </c>
      <c r="CT3" s="187">
        <f t="shared" si="33"/>
        <v>20217.669143987994</v>
      </c>
      <c r="CU3" s="187">
        <f t="shared" si="33"/>
        <v>16080.363065634305</v>
      </c>
      <c r="CV3" s="187">
        <f t="shared" si="33"/>
        <v>17074.725584325453</v>
      </c>
      <c r="CW3" s="187">
        <f t="shared" si="33"/>
        <v>18851.141432465869</v>
      </c>
      <c r="CX3" s="187">
        <f t="shared" si="33"/>
        <v>22021.662332241198</v>
      </c>
      <c r="CY3" s="187">
        <f t="shared" si="33"/>
        <v>17515.125836131239</v>
      </c>
      <c r="CZ3" s="187">
        <f t="shared" si="33"/>
        <v>18601.630760349879</v>
      </c>
      <c r="DA3" s="187">
        <f t="shared" si="33"/>
        <v>20535.951153522219</v>
      </c>
      <c r="DB3" s="187">
        <f t="shared" si="33"/>
        <v>23988.485030537984</v>
      </c>
      <c r="DE3" s="189"/>
    </row>
    <row r="4" spans="1:110" s="188" customFormat="1" x14ac:dyDescent="0.2">
      <c r="A4" s="180" t="s">
        <v>524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>
        <v>4053.34</v>
      </c>
      <c r="Y4" s="186">
        <v>4993.99</v>
      </c>
      <c r="Z4" s="186">
        <f t="shared" ref="Z4" si="34">SUM(CE4:CH4)</f>
        <v>6273.14</v>
      </c>
      <c r="AA4" s="187">
        <f t="shared" ref="AA4:AA6" si="35">SUM(CI4:CL4)</f>
        <v>6473.69</v>
      </c>
      <c r="AB4" s="187">
        <f t="shared" ref="AB4:AB6" si="36">SUM(CM4:CP4)</f>
        <v>6287.4137161883809</v>
      </c>
      <c r="AC4" s="187">
        <f t="shared" ref="AC4:AC6" si="37">SUM(CQ4:CT4)</f>
        <v>5897.758088799349</v>
      </c>
      <c r="AD4" s="187">
        <f t="shared" ref="AD4:AD6" si="38">SUM(CU4:CX4)</f>
        <v>5768.6263708027363</v>
      </c>
      <c r="AE4" s="187">
        <f t="shared" ref="AE4:AE6" si="39">SUM(CY4:DB4)</f>
        <v>5643.1479432367905</v>
      </c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>
        <v>642.73</v>
      </c>
      <c r="BU4" s="186">
        <v>703.21</v>
      </c>
      <c r="BV4" s="186">
        <v>756.65</v>
      </c>
      <c r="BW4" s="186">
        <v>859.98</v>
      </c>
      <c r="BX4" s="186">
        <v>1014.79</v>
      </c>
      <c r="BY4" s="186">
        <v>1019.56</v>
      </c>
      <c r="BZ4" s="186">
        <v>1159.01</v>
      </c>
      <c r="CA4" s="186">
        <v>1097.1400000000001</v>
      </c>
      <c r="CB4" s="186">
        <v>1282.6099999999999</v>
      </c>
      <c r="CC4" s="186">
        <v>1273.42</v>
      </c>
      <c r="CD4" s="186">
        <v>1340.82</v>
      </c>
      <c r="CE4" s="186">
        <v>1532.96</v>
      </c>
      <c r="CF4" s="186">
        <v>1718.17</v>
      </c>
      <c r="CG4" s="186">
        <v>1558.01</v>
      </c>
      <c r="CH4" s="186">
        <v>1464</v>
      </c>
      <c r="CI4" s="186">
        <v>1414</v>
      </c>
      <c r="CJ4" s="186">
        <v>1681.11</v>
      </c>
      <c r="CK4" s="186">
        <v>1647.58</v>
      </c>
      <c r="CL4" s="186">
        <v>1731</v>
      </c>
      <c r="CM4" s="187">
        <f t="shared" ref="CM4:CY4" si="40">+CM15*CM20*100</f>
        <v>1320.8785923753667</v>
      </c>
      <c r="CN4" s="187">
        <f t="shared" si="40"/>
        <v>1631.8692762882279</v>
      </c>
      <c r="CO4" s="187">
        <f t="shared" si="40"/>
        <v>1622.5620234254993</v>
      </c>
      <c r="CP4" s="187">
        <f t="shared" si="40"/>
        <v>1712.1038240992877</v>
      </c>
      <c r="CQ4" s="187">
        <f t="shared" si="40"/>
        <v>1229.2220369240929</v>
      </c>
      <c r="CR4" s="187">
        <f t="shared" si="40"/>
        <v>1532.5732061902381</v>
      </c>
      <c r="CS4" s="187">
        <f t="shared" si="40"/>
        <v>1526.8111565089857</v>
      </c>
      <c r="CT4" s="187">
        <f t="shared" si="40"/>
        <v>1609.1516891760321</v>
      </c>
      <c r="CU4" s="187">
        <f t="shared" si="40"/>
        <v>1200.6097351120643</v>
      </c>
      <c r="CV4" s="187">
        <f t="shared" si="40"/>
        <v>1499.7115510811934</v>
      </c>
      <c r="CW4" s="187">
        <f t="shared" si="40"/>
        <v>1494.1778597649193</v>
      </c>
      <c r="CX4" s="187">
        <f t="shared" si="40"/>
        <v>1574.1272248445598</v>
      </c>
      <c r="CY4" s="187">
        <f t="shared" si="40"/>
        <v>1174.2388845820788</v>
      </c>
      <c r="CZ4" s="187">
        <f t="shared" si="33"/>
        <v>1467.2630476399063</v>
      </c>
      <c r="DA4" s="187">
        <f t="shared" si="33"/>
        <v>1461.7764867201918</v>
      </c>
      <c r="DB4" s="187">
        <f t="shared" si="33"/>
        <v>1539.8695242946144</v>
      </c>
      <c r="DE4" s="189"/>
    </row>
    <row r="5" spans="1:110" s="188" customFormat="1" x14ac:dyDescent="0.2">
      <c r="A5" s="180" t="s">
        <v>525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>
        <v>8028.22</v>
      </c>
      <c r="Y5" s="186">
        <v>7479.3099999999995</v>
      </c>
      <c r="Z5" s="186">
        <f>SUM(CE5:CH5)</f>
        <v>7663.5810000000001</v>
      </c>
      <c r="AA5" s="187">
        <f t="shared" si="35"/>
        <v>8469.5999999999985</v>
      </c>
      <c r="AB5" s="187">
        <f t="shared" si="36"/>
        <v>9362.329327069865</v>
      </c>
      <c r="AC5" s="187">
        <f t="shared" si="37"/>
        <v>9918.2329175522318</v>
      </c>
      <c r="AD5" s="187">
        <f t="shared" si="38"/>
        <v>10819.919403502923</v>
      </c>
      <c r="AE5" s="187">
        <f t="shared" si="39"/>
        <v>11801.639635474527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>
        <v>1437.49</v>
      </c>
      <c r="BU5" s="186">
        <v>1557.34</v>
      </c>
      <c r="BV5" s="186">
        <v>1788.4</v>
      </c>
      <c r="BW5" s="186">
        <v>2352.92</v>
      </c>
      <c r="BX5" s="186">
        <v>1913.84</v>
      </c>
      <c r="BY5" s="186">
        <v>1837.58</v>
      </c>
      <c r="BZ5" s="186">
        <v>1923.88</v>
      </c>
      <c r="CA5" s="186">
        <v>1985.9</v>
      </c>
      <c r="CB5" s="186">
        <v>1947.01</v>
      </c>
      <c r="CC5" s="186">
        <v>1844.12</v>
      </c>
      <c r="CD5" s="186">
        <v>1702.28</v>
      </c>
      <c r="CE5" s="186">
        <v>1986.26</v>
      </c>
      <c r="CF5" s="186">
        <v>1765.731</v>
      </c>
      <c r="CG5" s="186">
        <v>1914.59</v>
      </c>
      <c r="CH5" s="186">
        <v>1997</v>
      </c>
      <c r="CI5" s="186">
        <v>2230</v>
      </c>
      <c r="CJ5" s="186">
        <v>2095.81</v>
      </c>
      <c r="CK5" s="186">
        <v>1929.79</v>
      </c>
      <c r="CL5" s="186">
        <v>2214</v>
      </c>
      <c r="CM5" s="187">
        <f t="shared" si="33"/>
        <v>2519.4033764367814</v>
      </c>
      <c r="CN5" s="187">
        <f t="shared" si="33"/>
        <v>2309.3244077765803</v>
      </c>
      <c r="CO5" s="187">
        <f t="shared" si="33"/>
        <v>2075.7243034976659</v>
      </c>
      <c r="CP5" s="187">
        <f t="shared" si="33"/>
        <v>2457.877239358837</v>
      </c>
      <c r="CQ5" s="187">
        <f t="shared" si="33"/>
        <v>2683.5494974251324</v>
      </c>
      <c r="CR5" s="187">
        <f t="shared" si="33"/>
        <v>2443.1057453863586</v>
      </c>
      <c r="CS5" s="187">
        <f t="shared" si="33"/>
        <v>2190.6610965453124</v>
      </c>
      <c r="CT5" s="187">
        <f t="shared" si="33"/>
        <v>2600.9165781954298</v>
      </c>
      <c r="CU5" s="187">
        <f t="shared" si="33"/>
        <v>2930.2229613190507</v>
      </c>
      <c r="CV5" s="187">
        <f t="shared" si="33"/>
        <v>2663.905901625807</v>
      </c>
      <c r="CW5" s="187">
        <f t="shared" si="33"/>
        <v>2388.4962510065739</v>
      </c>
      <c r="CX5" s="187">
        <f t="shared" si="33"/>
        <v>2837.2942895514911</v>
      </c>
      <c r="CY5" s="187">
        <f t="shared" si="33"/>
        <v>3196.4984141737573</v>
      </c>
      <c r="CZ5" s="187">
        <f t="shared" si="33"/>
        <v>2905.2822833115933</v>
      </c>
      <c r="DA5" s="187">
        <f t="shared" si="33"/>
        <v>2605.0569788348357</v>
      </c>
      <c r="DB5" s="187">
        <f t="shared" si="33"/>
        <v>3094.8019591543416</v>
      </c>
      <c r="DE5" s="189"/>
    </row>
    <row r="6" spans="1:110" s="109" customFormat="1" x14ac:dyDescent="0.2">
      <c r="A6" s="181" t="s">
        <v>526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>
        <f>SUM(X3:X5)</f>
        <v>58192.639999999999</v>
      </c>
      <c r="Y6" s="107">
        <f>SUM(Y3:Y5)</f>
        <v>51261.63</v>
      </c>
      <c r="Z6" s="107">
        <f>SUM(CE6:CH6)</f>
        <v>63697.891000000003</v>
      </c>
      <c r="AA6" s="108">
        <f t="shared" si="35"/>
        <v>74731.239999999991</v>
      </c>
      <c r="AB6" s="108">
        <f t="shared" si="36"/>
        <v>80682.16668888717</v>
      </c>
      <c r="AC6" s="108">
        <f t="shared" si="37"/>
        <v>83778.573391825921</v>
      </c>
      <c r="AD6" s="108">
        <f t="shared" si="38"/>
        <v>90616.43818897249</v>
      </c>
      <c r="AE6" s="108">
        <f t="shared" si="39"/>
        <v>98085.98035925263</v>
      </c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>
        <f t="shared" ref="BT6:CH6" si="41">SUM(BT3:BT5)</f>
        <v>13562.55</v>
      </c>
      <c r="BU6" s="107">
        <f t="shared" si="41"/>
        <v>14378.55</v>
      </c>
      <c r="BV6" s="107">
        <f t="shared" si="41"/>
        <v>14917.25</v>
      </c>
      <c r="BW6" s="107">
        <f t="shared" si="41"/>
        <v>14731.619999999999</v>
      </c>
      <c r="BX6" s="107">
        <f t="shared" si="41"/>
        <v>14150.029999999999</v>
      </c>
      <c r="BY6" s="107">
        <f t="shared" si="41"/>
        <v>15438.349999999999</v>
      </c>
      <c r="BZ6" s="107">
        <f t="shared" si="41"/>
        <v>13872.64</v>
      </c>
      <c r="CA6" s="107">
        <f t="shared" si="41"/>
        <v>12928.08</v>
      </c>
      <c r="CB6" s="107">
        <f t="shared" si="41"/>
        <v>12267.150000000001</v>
      </c>
      <c r="CC6" s="107">
        <f t="shared" si="41"/>
        <v>12828.36</v>
      </c>
      <c r="CD6" s="107">
        <f t="shared" si="41"/>
        <v>13238.04</v>
      </c>
      <c r="CE6" s="107">
        <f t="shared" si="41"/>
        <v>14168.58</v>
      </c>
      <c r="CF6" s="107">
        <f t="shared" si="41"/>
        <v>14460.450999999999</v>
      </c>
      <c r="CG6" s="107">
        <f t="shared" si="41"/>
        <v>16838.86</v>
      </c>
      <c r="CH6" s="107">
        <f t="shared" si="41"/>
        <v>18230</v>
      </c>
      <c r="CI6" s="107">
        <f>SUM(CI3:CI5)</f>
        <v>17059</v>
      </c>
      <c r="CJ6" s="107">
        <f>SUM(CJ3:CJ5)</f>
        <v>17604.57</v>
      </c>
      <c r="CK6" s="107">
        <f t="shared" ref="CK6:DB6" si="42">SUM(CK3:CK5)</f>
        <v>18602.669999999998</v>
      </c>
      <c r="CL6" s="107">
        <f t="shared" si="42"/>
        <v>21465</v>
      </c>
      <c r="CM6" s="108">
        <f t="shared" si="42"/>
        <v>18042.439209785465</v>
      </c>
      <c r="CN6" s="108">
        <f t="shared" si="42"/>
        <v>18921.333268591887</v>
      </c>
      <c r="CO6" s="108">
        <f t="shared" si="42"/>
        <v>20213.847090340554</v>
      </c>
      <c r="CP6" s="108">
        <f t="shared" si="42"/>
        <v>23504.547120169267</v>
      </c>
      <c r="CQ6" s="108">
        <f t="shared" si="42"/>
        <v>18686.77122690004</v>
      </c>
      <c r="CR6" s="108">
        <f t="shared" si="42"/>
        <v>19645.931349955117</v>
      </c>
      <c r="CS6" s="108">
        <f t="shared" si="42"/>
        <v>21018.133403611315</v>
      </c>
      <c r="CT6" s="108">
        <f t="shared" si="42"/>
        <v>24427.737411359456</v>
      </c>
      <c r="CU6" s="108">
        <f t="shared" si="42"/>
        <v>20211.195762065421</v>
      </c>
      <c r="CV6" s="108">
        <f t="shared" si="42"/>
        <v>21238.343037032453</v>
      </c>
      <c r="CW6" s="108">
        <f t="shared" si="42"/>
        <v>22733.815543237364</v>
      </c>
      <c r="CX6" s="108">
        <f t="shared" si="42"/>
        <v>26433.083846637248</v>
      </c>
      <c r="CY6" s="108">
        <f t="shared" si="42"/>
        <v>21885.863134887077</v>
      </c>
      <c r="CZ6" s="108">
        <f t="shared" si="42"/>
        <v>22974.176091301379</v>
      </c>
      <c r="DA6" s="108">
        <f t="shared" si="42"/>
        <v>24602.784619077247</v>
      </c>
      <c r="DB6" s="108">
        <f t="shared" si="42"/>
        <v>28623.156513986942</v>
      </c>
      <c r="DE6" s="117"/>
    </row>
    <row r="7" spans="1:110" s="109" customFormat="1" x14ac:dyDescent="0.2">
      <c r="A7" s="182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108"/>
      <c r="AC7" s="108"/>
      <c r="AD7" s="108"/>
      <c r="AE7" s="108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E7" s="117"/>
    </row>
    <row r="8" spans="1:110" s="109" customFormat="1" x14ac:dyDescent="0.2">
      <c r="A8" s="181" t="s">
        <v>527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09" customFormat="1" x14ac:dyDescent="0.2">
      <c r="A9" s="180" t="s">
        <v>523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83"/>
      <c r="Y9" s="183">
        <f>(Y3/X3)-1</f>
        <v>-0.1588067336527359</v>
      </c>
      <c r="Z9" s="183">
        <f>(Z3/Y3)-1</f>
        <v>0.28289024044087485</v>
      </c>
      <c r="AA9" s="193">
        <f>(AA3/Z3)-1</f>
        <v>0.20149807570842881</v>
      </c>
      <c r="AB9" s="193">
        <f t="shared" ref="AB9:AE9" si="43">(AB3/AA3)-1</f>
        <v>8.7717903785443863E-2</v>
      </c>
      <c r="AC9" s="193">
        <f>(AC3/AB3)-1</f>
        <v>4.505688971108146E-2</v>
      </c>
      <c r="AD9" s="193">
        <f t="shared" si="43"/>
        <v>8.9244843505075888E-2</v>
      </c>
      <c r="AE9" s="193">
        <f t="shared" si="43"/>
        <v>8.9335251216259515E-2</v>
      </c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83"/>
      <c r="BV9" s="183"/>
      <c r="BW9" s="183"/>
      <c r="BX9" s="195">
        <f t="shared" ref="BX9:CI9" si="44">(BX3/BT3)-1</f>
        <v>-2.2724481877807068E-2</v>
      </c>
      <c r="BY9" s="195">
        <f t="shared" si="44"/>
        <v>3.8224954612972262E-2</v>
      </c>
      <c r="BZ9" s="195">
        <f t="shared" si="44"/>
        <v>-0.12790368729894441</v>
      </c>
      <c r="CA9" s="195">
        <f t="shared" si="44"/>
        <v>-0.14530086676297349</v>
      </c>
      <c r="CB9" s="195">
        <f t="shared" si="44"/>
        <v>-0.19461653626107256</v>
      </c>
      <c r="CC9" s="195">
        <f t="shared" si="44"/>
        <v>-0.22814896182481648</v>
      </c>
      <c r="CD9" s="195">
        <f t="shared" si="44"/>
        <v>-5.5127319910099781E-2</v>
      </c>
      <c r="CE9" s="195">
        <f t="shared" si="44"/>
        <v>8.1697992085354665E-2</v>
      </c>
      <c r="CF9" s="195">
        <f t="shared" si="44"/>
        <v>0.21455198488967664</v>
      </c>
      <c r="CG9" s="195">
        <f t="shared" si="44"/>
        <v>0.37642959090993355</v>
      </c>
      <c r="CH9" s="195">
        <f t="shared" si="44"/>
        <v>0.44865982536434723</v>
      </c>
      <c r="CI9" s="195">
        <f t="shared" si="44"/>
        <v>0.25970011343404664</v>
      </c>
      <c r="CJ9" s="195">
        <f t="shared" ref="CJ9:CJ11" si="45">(CJ3/CF3)-1</f>
        <v>0.25974463743161569</v>
      </c>
      <c r="CK9" s="195">
        <f t="shared" ref="CK9:CK11" si="46">(CK3/CG3)-1</f>
        <v>0.12412148200020034</v>
      </c>
      <c r="CL9" s="195">
        <f t="shared" ref="CL9:CL11" si="47">(CL3/CH3)-1</f>
        <v>0.18626853544586641</v>
      </c>
      <c r="CM9" s="196">
        <f t="shared" ref="CM9:DB9" si="48">(CM3/CI3)-1</f>
        <v>5.8677394034537089E-2</v>
      </c>
      <c r="CN9" s="196">
        <f t="shared" si="48"/>
        <v>8.3346742543171093E-2</v>
      </c>
      <c r="CO9" s="196">
        <f t="shared" si="48"/>
        <v>9.9183428178964084E-2</v>
      </c>
      <c r="CP9" s="196">
        <f t="shared" si="48"/>
        <v>0.10357112195839835</v>
      </c>
      <c r="CQ9" s="196">
        <f t="shared" si="48"/>
        <v>4.0264478267268311E-2</v>
      </c>
      <c r="CR9" s="196">
        <f t="shared" si="48"/>
        <v>4.6068516915841018E-2</v>
      </c>
      <c r="CS9" s="196">
        <f t="shared" si="48"/>
        <v>4.7537010603882157E-2</v>
      </c>
      <c r="CT9" s="196">
        <f t="shared" si="48"/>
        <v>4.5674833595260589E-2</v>
      </c>
      <c r="CU9" s="196">
        <f t="shared" si="48"/>
        <v>8.8423135255794927E-2</v>
      </c>
      <c r="CV9" s="196">
        <f t="shared" si="48"/>
        <v>8.9626711187642316E-2</v>
      </c>
      <c r="CW9" s="196">
        <f t="shared" si="48"/>
        <v>8.9619712704385845E-2</v>
      </c>
      <c r="CX9" s="196">
        <f t="shared" si="48"/>
        <v>8.9228544369054807E-2</v>
      </c>
      <c r="CY9" s="196">
        <f t="shared" si="48"/>
        <v>8.9224525879219474E-2</v>
      </c>
      <c r="CZ9" s="196">
        <f t="shared" si="48"/>
        <v>8.9424873535075777E-2</v>
      </c>
      <c r="DA9" s="196">
        <f t="shared" si="48"/>
        <v>8.9374414121933921E-2</v>
      </c>
      <c r="DB9" s="196">
        <f t="shared" si="48"/>
        <v>8.9313089476320995E-2</v>
      </c>
      <c r="DE9" s="117"/>
    </row>
    <row r="10" spans="1:110" s="109" customFormat="1" x14ac:dyDescent="0.2">
      <c r="A10" s="180" t="s">
        <v>524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83"/>
      <c r="Y10" s="183">
        <f>(Y4/X4)-1</f>
        <v>0.23206787488836356</v>
      </c>
      <c r="Z10" s="183">
        <f>(Z4/Y4)-1</f>
        <v>0.25613787772903041</v>
      </c>
      <c r="AA10" s="193">
        <f t="shared" ref="AA10:AE11" si="49">(AA4/Z4)-1</f>
        <v>3.1969635621076353E-2</v>
      </c>
      <c r="AB10" s="193">
        <f t="shared" si="49"/>
        <v>-2.8774359571066666E-2</v>
      </c>
      <c r="AC10" s="193">
        <f t="shared" si="49"/>
        <v>-6.1973912482611859E-2</v>
      </c>
      <c r="AD10" s="193">
        <f t="shared" si="49"/>
        <v>-2.1895051653924469E-2</v>
      </c>
      <c r="AE10" s="193">
        <f t="shared" si="49"/>
        <v>-2.1751872889712698E-2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83"/>
      <c r="BV10" s="183"/>
      <c r="BW10" s="183"/>
      <c r="BX10" s="195">
        <f t="shared" ref="BX10:CI11" si="50">(BX4/BT4)-1</f>
        <v>0.57887448850994971</v>
      </c>
      <c r="BY10" s="195">
        <f t="shared" si="50"/>
        <v>0.44986561624550259</v>
      </c>
      <c r="BZ10" s="195">
        <f t="shared" si="50"/>
        <v>0.53176501685059141</v>
      </c>
      <c r="CA10" s="195">
        <f t="shared" si="50"/>
        <v>0.275773855205935</v>
      </c>
      <c r="CB10" s="195">
        <f t="shared" si="50"/>
        <v>0.2639166724149824</v>
      </c>
      <c r="CC10" s="195">
        <f t="shared" si="50"/>
        <v>0.24898976028875208</v>
      </c>
      <c r="CD10" s="195">
        <f t="shared" si="50"/>
        <v>0.15686663618087837</v>
      </c>
      <c r="CE10" s="195">
        <f t="shared" si="50"/>
        <v>0.3972328052937637</v>
      </c>
      <c r="CF10" s="195">
        <f t="shared" si="50"/>
        <v>0.33958880719782325</v>
      </c>
      <c r="CG10" s="195">
        <f t="shared" si="50"/>
        <v>0.22348478899341928</v>
      </c>
      <c r="CH10" s="195">
        <f t="shared" si="50"/>
        <v>9.1869154696379907E-2</v>
      </c>
      <c r="CI10" s="195">
        <f t="shared" si="50"/>
        <v>-7.7601502974637304E-2</v>
      </c>
      <c r="CJ10" s="195">
        <f t="shared" si="45"/>
        <v>-2.1569460530680984E-2</v>
      </c>
      <c r="CK10" s="195">
        <f t="shared" si="46"/>
        <v>5.7490003273406476E-2</v>
      </c>
      <c r="CL10" s="195">
        <f t="shared" si="47"/>
        <v>0.18237704918032782</v>
      </c>
      <c r="CM10" s="196">
        <f t="shared" ref="CM10:DB10" si="51">(CM4/CI4)-1</f>
        <v>-6.5856723921239979E-2</v>
      </c>
      <c r="CN10" s="196">
        <f t="shared" si="51"/>
        <v>-2.9290601871246991E-2</v>
      </c>
      <c r="CO10" s="196">
        <f t="shared" si="51"/>
        <v>-1.5184680910487303E-2</v>
      </c>
      <c r="CP10" s="196">
        <f t="shared" si="51"/>
        <v>-1.0916335009076961E-2</v>
      </c>
      <c r="CQ10" s="196">
        <f t="shared" si="51"/>
        <v>-6.9390598031001227E-2</v>
      </c>
      <c r="CR10" s="196">
        <f t="shared" si="51"/>
        <v>-6.0848054155320463E-2</v>
      </c>
      <c r="CS10" s="196">
        <f t="shared" si="51"/>
        <v>-5.9012145935948612E-2</v>
      </c>
      <c r="CT10" s="196">
        <f t="shared" si="51"/>
        <v>-6.0131946132073621E-2</v>
      </c>
      <c r="CU10" s="196">
        <f t="shared" si="51"/>
        <v>-2.3276756316235381E-2</v>
      </c>
      <c r="CV10" s="196">
        <f t="shared" si="51"/>
        <v>-2.1442143824720872E-2</v>
      </c>
      <c r="CW10" s="196">
        <f t="shared" si="51"/>
        <v>-2.1373499011286823E-2</v>
      </c>
      <c r="CX10" s="196">
        <f t="shared" si="51"/>
        <v>-2.1765794093288049E-2</v>
      </c>
      <c r="CY10" s="196">
        <f t="shared" si="51"/>
        <v>-2.1964548311382837E-2</v>
      </c>
      <c r="CZ10" s="196">
        <f t="shared" si="51"/>
        <v>-2.1636496310169728E-2</v>
      </c>
      <c r="DA10" s="196">
        <f t="shared" si="51"/>
        <v>-2.1685084431531609E-2</v>
      </c>
      <c r="DB10" s="196">
        <f t="shared" si="51"/>
        <v>-2.1762980786593222E-2</v>
      </c>
      <c r="DE10" s="117"/>
    </row>
    <row r="11" spans="1:110" s="109" customFormat="1" x14ac:dyDescent="0.2">
      <c r="A11" s="180" t="s">
        <v>525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83"/>
      <c r="Y11" s="183">
        <f>(Y5/X5)-1</f>
        <v>-6.8372565774231453E-2</v>
      </c>
      <c r="Z11" s="183">
        <f>(Z5/Y5)-1</f>
        <v>2.4637433132200792E-2</v>
      </c>
      <c r="AA11" s="193">
        <f t="shared" si="49"/>
        <v>0.10517524379268628</v>
      </c>
      <c r="AB11" s="193">
        <f t="shared" si="49"/>
        <v>0.10540395379591327</v>
      </c>
      <c r="AC11" s="193">
        <f>(AC5/AB5)-1</f>
        <v>5.9376632786784178E-2</v>
      </c>
      <c r="AD11" s="193">
        <f t="shared" si="49"/>
        <v>9.091200957329626E-2</v>
      </c>
      <c r="AE11" s="193">
        <f t="shared" si="49"/>
        <v>9.0732675111588446E-2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83"/>
      <c r="BV11" s="183"/>
      <c r="BW11" s="183"/>
      <c r="BX11" s="195">
        <f t="shared" si="50"/>
        <v>0.33137621826934449</v>
      </c>
      <c r="BY11" s="195">
        <f t="shared" si="50"/>
        <v>0.17994785981224393</v>
      </c>
      <c r="BZ11" s="195">
        <f t="shared" si="50"/>
        <v>7.5754864683515999E-2</v>
      </c>
      <c r="CA11" s="195">
        <f t="shared" si="50"/>
        <v>-0.15598490386413477</v>
      </c>
      <c r="CB11" s="195">
        <f t="shared" si="50"/>
        <v>1.7331647368641123E-2</v>
      </c>
      <c r="CC11" s="195">
        <f t="shared" si="50"/>
        <v>3.5590287225590878E-3</v>
      </c>
      <c r="CD11" s="195">
        <f t="shared" si="50"/>
        <v>-0.11518389920369265</v>
      </c>
      <c r="CE11" s="195">
        <f t="shared" si="50"/>
        <v>1.8127800997014276E-4</v>
      </c>
      <c r="CF11" s="195">
        <f t="shared" si="50"/>
        <v>-9.3106352817910576E-2</v>
      </c>
      <c r="CG11" s="195">
        <f t="shared" si="50"/>
        <v>3.8213348372123201E-2</v>
      </c>
      <c r="CH11" s="195">
        <f t="shared" si="50"/>
        <v>0.17313250464083474</v>
      </c>
      <c r="CI11" s="195">
        <f t="shared" si="50"/>
        <v>0.12271303857501037</v>
      </c>
      <c r="CJ11" s="195">
        <f t="shared" si="45"/>
        <v>0.18693617544235219</v>
      </c>
      <c r="CK11" s="195">
        <f t="shared" si="46"/>
        <v>7.9390365561295972E-3</v>
      </c>
      <c r="CL11" s="195">
        <f t="shared" si="47"/>
        <v>0.10866299449173766</v>
      </c>
      <c r="CM11" s="196">
        <f t="shared" ref="CM11:DB11" si="52">(CM5/CI5)-1</f>
        <v>0.12977729885057454</v>
      </c>
      <c r="CN11" s="196">
        <f t="shared" si="52"/>
        <v>0.10187679597701149</v>
      </c>
      <c r="CO11" s="196">
        <f t="shared" si="52"/>
        <v>7.5621857040230278E-2</v>
      </c>
      <c r="CP11" s="196">
        <f t="shared" si="52"/>
        <v>0.11015232130028774</v>
      </c>
      <c r="CQ11" s="196">
        <f t="shared" si="52"/>
        <v>6.5152774868669328E-2</v>
      </c>
      <c r="CR11" s="196">
        <f t="shared" si="52"/>
        <v>5.7930941689817939E-2</v>
      </c>
      <c r="CS11" s="196">
        <f t="shared" si="52"/>
        <v>5.5371897343965193E-2</v>
      </c>
      <c r="CT11" s="196">
        <f t="shared" si="52"/>
        <v>5.8196290907476689E-2</v>
      </c>
      <c r="CU11" s="196">
        <f t="shared" si="52"/>
        <v>9.192059402317776E-2</v>
      </c>
      <c r="CV11" s="196">
        <f t="shared" si="52"/>
        <v>9.0376831480346143E-2</v>
      </c>
      <c r="CW11" s="196">
        <f t="shared" si="52"/>
        <v>9.0308425512850343E-2</v>
      </c>
      <c r="CX11" s="196">
        <f t="shared" si="52"/>
        <v>9.0882465565298887E-2</v>
      </c>
      <c r="CY11" s="196">
        <f t="shared" si="52"/>
        <v>9.0872079145418283E-2</v>
      </c>
      <c r="CZ11" s="196">
        <f t="shared" si="52"/>
        <v>9.0609950425978747E-2</v>
      </c>
      <c r="DA11" s="196">
        <f t="shared" si="52"/>
        <v>9.0668230162386676E-2</v>
      </c>
      <c r="DB11" s="196">
        <f t="shared" si="52"/>
        <v>9.0758181324770648E-2</v>
      </c>
      <c r="DE11" s="117"/>
    </row>
    <row r="12" spans="1:110" s="109" customFormat="1" x14ac:dyDescent="0.2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8"/>
      <c r="AB12" s="108"/>
      <c r="AC12" s="108"/>
      <c r="AD12" s="108"/>
      <c r="AE12" s="108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0" s="109" customFormat="1" x14ac:dyDescent="0.2">
      <c r="A13" s="184" t="s">
        <v>528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8"/>
      <c r="AB13" s="108"/>
      <c r="AC13" s="108"/>
      <c r="AD13" s="108"/>
      <c r="AE13" s="108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E13" s="117"/>
    </row>
    <row r="14" spans="1:110" s="188" customFormat="1" x14ac:dyDescent="0.2">
      <c r="A14" s="185" t="s">
        <v>523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>
        <f t="shared" ref="X14:AE14" si="53">+(X3*10)/(X19*1000)</f>
        <v>136.42331360946747</v>
      </c>
      <c r="Y14" s="186">
        <f t="shared" si="53"/>
        <v>105.97904371584703</v>
      </c>
      <c r="Z14" s="186">
        <f t="shared" si="53"/>
        <v>123.78400497512438</v>
      </c>
      <c r="AA14" s="187">
        <f t="shared" si="53"/>
        <v>140.34730046948357</v>
      </c>
      <c r="AB14" s="187">
        <f t="shared" si="53"/>
        <v>140.37284112733187</v>
      </c>
      <c r="AC14" s="187">
        <f t="shared" si="53"/>
        <v>134.75879488686198</v>
      </c>
      <c r="AD14" s="187">
        <f t="shared" si="53"/>
        <v>134.75860976110093</v>
      </c>
      <c r="AE14" s="187">
        <f t="shared" si="53"/>
        <v>134.75852616057148</v>
      </c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>
        <f t="shared" ref="BV14:CH16" si="54">+(BV3*10)/(BV19*1000)</f>
        <v>137.4688888888889</v>
      </c>
      <c r="BW14" s="186">
        <f t="shared" si="54"/>
        <v>164.55314285714283</v>
      </c>
      <c r="BX14" s="186">
        <f t="shared" si="54"/>
        <v>136.84634146341463</v>
      </c>
      <c r="BY14" s="186">
        <f t="shared" si="54"/>
        <v>131.05427083333333</v>
      </c>
      <c r="BZ14" s="186">
        <f t="shared" si="54"/>
        <v>119.88611111111111</v>
      </c>
      <c r="CA14" s="186">
        <f t="shared" si="54"/>
        <v>110.61842696629215</v>
      </c>
      <c r="CB14" s="186">
        <f t="shared" si="54"/>
        <v>106.32388235294118</v>
      </c>
      <c r="CC14" s="186">
        <f t="shared" si="54"/>
        <v>103.30659574468085</v>
      </c>
      <c r="CD14" s="186">
        <f t="shared" si="54"/>
        <v>104.03000000000002</v>
      </c>
      <c r="CE14" s="186">
        <f t="shared" si="54"/>
        <v>106.4936</v>
      </c>
      <c r="CF14" s="186">
        <f t="shared" si="54"/>
        <v>109.7655</v>
      </c>
      <c r="CG14" s="186">
        <f t="shared" si="54"/>
        <v>136.39040816326531</v>
      </c>
      <c r="CH14" s="186">
        <f t="shared" si="54"/>
        <v>142.00961538461539</v>
      </c>
      <c r="CI14" s="186">
        <f>+(CI3*10)/(CI19*1000)</f>
        <v>139.73958333333334</v>
      </c>
      <c r="CJ14" s="186">
        <f t="shared" ref="CJ14:CK14" si="55">+(CJ3*10)/(CJ19*1000)</f>
        <v>135.56519607843137</v>
      </c>
      <c r="CK14" s="186">
        <f t="shared" si="55"/>
        <v>141.74811320754716</v>
      </c>
      <c r="CL14" s="186">
        <f t="shared" ref="CL14" si="56">+(CL3*10)/(CL19*1000)</f>
        <v>143.60655737704917</v>
      </c>
      <c r="CM14" s="187">
        <f t="shared" ref="CM14:DB16" si="57">+CI14</f>
        <v>139.73958333333334</v>
      </c>
      <c r="CN14" s="187">
        <f t="shared" si="57"/>
        <v>135.56519607843137</v>
      </c>
      <c r="CO14" s="187">
        <f t="shared" si="57"/>
        <v>141.74811320754716</v>
      </c>
      <c r="CP14" s="187">
        <f t="shared" si="57"/>
        <v>143.60655737704917</v>
      </c>
      <c r="CQ14" s="187">
        <f>+CM14*0.96</f>
        <v>134.15</v>
      </c>
      <c r="CR14" s="187">
        <f t="shared" ref="CR14:CT14" si="58">+CN14*0.96</f>
        <v>130.14258823529411</v>
      </c>
      <c r="CS14" s="187">
        <f t="shared" si="58"/>
        <v>136.07818867924527</v>
      </c>
      <c r="CT14" s="187">
        <f t="shared" si="58"/>
        <v>137.8622950819672</v>
      </c>
      <c r="CU14" s="187">
        <f t="shared" si="57"/>
        <v>134.15</v>
      </c>
      <c r="CV14" s="187">
        <f t="shared" si="57"/>
        <v>130.14258823529411</v>
      </c>
      <c r="CW14" s="187">
        <f t="shared" si="57"/>
        <v>136.07818867924527</v>
      </c>
      <c r="CX14" s="187">
        <f t="shared" si="57"/>
        <v>137.8622950819672</v>
      </c>
      <c r="CY14" s="187">
        <f t="shared" si="57"/>
        <v>134.15</v>
      </c>
      <c r="CZ14" s="187">
        <f t="shared" si="57"/>
        <v>130.14258823529411</v>
      </c>
      <c r="DA14" s="187">
        <f t="shared" si="57"/>
        <v>136.07818867924527</v>
      </c>
      <c r="DB14" s="187">
        <f t="shared" si="57"/>
        <v>137.8622950819672</v>
      </c>
      <c r="DE14" s="189"/>
    </row>
    <row r="15" spans="1:110" s="188" customFormat="1" x14ac:dyDescent="0.2">
      <c r="A15" s="185" t="s">
        <v>524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>
        <f t="shared" ref="X15:AE15" si="59">+(X4*10)/(X20*1000)</f>
        <v>43.584301075268826</v>
      </c>
      <c r="Y15" s="186">
        <f t="shared" si="59"/>
        <v>48.485339805825234</v>
      </c>
      <c r="Z15" s="186">
        <f t="shared" si="59"/>
        <v>48.628992248062019</v>
      </c>
      <c r="AA15" s="187">
        <f t="shared" si="59"/>
        <v>53.947416666666655</v>
      </c>
      <c r="AB15" s="187">
        <f t="shared" si="59"/>
        <v>53.948117514916355</v>
      </c>
      <c r="AC15" s="187">
        <f t="shared" si="59"/>
        <v>51.789889125176686</v>
      </c>
      <c r="AD15" s="187">
        <f t="shared" si="59"/>
        <v>51.78973053809473</v>
      </c>
      <c r="AE15" s="187">
        <f t="shared" si="59"/>
        <v>51.789684770256173</v>
      </c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>
        <f t="shared" si="54"/>
        <v>37.832500000000003</v>
      </c>
      <c r="BW15" s="186">
        <f t="shared" si="54"/>
        <v>45.262105263157899</v>
      </c>
      <c r="BX15" s="186">
        <f t="shared" si="54"/>
        <v>46.12681818181818</v>
      </c>
      <c r="BY15" s="186">
        <f t="shared" si="54"/>
        <v>46.343636363636357</v>
      </c>
      <c r="BZ15" s="186">
        <f t="shared" si="54"/>
        <v>38.63366666666667</v>
      </c>
      <c r="CA15" s="186">
        <f t="shared" si="54"/>
        <v>47.701739130434788</v>
      </c>
      <c r="CB15" s="186">
        <f t="shared" si="54"/>
        <v>49.331153846153839</v>
      </c>
      <c r="CC15" s="186">
        <f t="shared" si="54"/>
        <v>48.977692307692308</v>
      </c>
      <c r="CD15" s="186">
        <f t="shared" si="54"/>
        <v>47.886428571428567</v>
      </c>
      <c r="CE15" s="186">
        <f t="shared" si="54"/>
        <v>46.453333333333333</v>
      </c>
      <c r="CF15" s="186">
        <f t="shared" si="54"/>
        <v>49.09057142857143</v>
      </c>
      <c r="CG15" s="186">
        <f t="shared" si="54"/>
        <v>50.258387096774193</v>
      </c>
      <c r="CH15" s="186">
        <f t="shared" si="54"/>
        <v>48.8</v>
      </c>
      <c r="CI15" s="186">
        <f t="shared" ref="CI15:CI16" si="60">+(CI4*10)/(CI20*1000)</f>
        <v>54.384615384615387</v>
      </c>
      <c r="CJ15" s="186">
        <f t="shared" ref="CJ15:CK15" si="61">+(CJ4*10)/(CJ20*1000)</f>
        <v>52.534687499999997</v>
      </c>
      <c r="CK15" s="186">
        <f t="shared" si="61"/>
        <v>54.919333333333334</v>
      </c>
      <c r="CL15" s="186">
        <f t="shared" ref="CL15" si="62">+(CL4*10)/(CL20*1000)</f>
        <v>54.09375</v>
      </c>
      <c r="CM15" s="187">
        <f t="shared" si="57"/>
        <v>54.384615384615387</v>
      </c>
      <c r="CN15" s="187">
        <f t="shared" si="57"/>
        <v>52.534687499999997</v>
      </c>
      <c r="CO15" s="187">
        <f t="shared" si="57"/>
        <v>54.919333333333334</v>
      </c>
      <c r="CP15" s="187">
        <f t="shared" si="57"/>
        <v>54.09375</v>
      </c>
      <c r="CQ15" s="187">
        <f>+CM15*0.96</f>
        <v>52.209230769230771</v>
      </c>
      <c r="CR15" s="187">
        <f t="shared" ref="CR15:CT15" si="63">+CN15*0.96</f>
        <v>50.433299999999996</v>
      </c>
      <c r="CS15" s="187">
        <f t="shared" si="63"/>
        <v>52.722560000000001</v>
      </c>
      <c r="CT15" s="187">
        <f t="shared" si="63"/>
        <v>51.93</v>
      </c>
      <c r="CU15" s="187">
        <f t="shared" si="57"/>
        <v>52.209230769230771</v>
      </c>
      <c r="CV15" s="187">
        <f t="shared" si="57"/>
        <v>50.433299999999996</v>
      </c>
      <c r="CW15" s="187">
        <f t="shared" si="57"/>
        <v>52.722560000000001</v>
      </c>
      <c r="CX15" s="187">
        <f t="shared" si="57"/>
        <v>51.93</v>
      </c>
      <c r="CY15" s="187">
        <f t="shared" si="57"/>
        <v>52.209230769230771</v>
      </c>
      <c r="CZ15" s="187">
        <f t="shared" si="57"/>
        <v>50.433299999999996</v>
      </c>
      <c r="DA15" s="187">
        <f t="shared" si="57"/>
        <v>52.722560000000001</v>
      </c>
      <c r="DB15" s="187">
        <f t="shared" si="57"/>
        <v>51.93</v>
      </c>
      <c r="DE15" s="189"/>
    </row>
    <row r="16" spans="1:110" s="188" customFormat="1" x14ac:dyDescent="0.2">
      <c r="A16" s="185" t="s">
        <v>525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>
        <f t="shared" ref="X16:AE16" si="64">+(X5*10)/(X21*1000)</f>
        <v>63.214330708661414</v>
      </c>
      <c r="Y16" s="186">
        <f t="shared" si="64"/>
        <v>58.432109374999996</v>
      </c>
      <c r="Z16" s="186">
        <f t="shared" si="64"/>
        <v>63.863174999999984</v>
      </c>
      <c r="AA16" s="187">
        <f t="shared" si="64"/>
        <v>62.737777777777765</v>
      </c>
      <c r="AB16" s="187">
        <f t="shared" si="64"/>
        <v>62.728542075236973</v>
      </c>
      <c r="AC16" s="187">
        <f t="shared" si="64"/>
        <v>60.844610333476304</v>
      </c>
      <c r="AD16" s="187">
        <f t="shared" si="64"/>
        <v>60.844566864260308</v>
      </c>
      <c r="AE16" s="187">
        <f t="shared" si="64"/>
        <v>60.84461435454557</v>
      </c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>
        <f t="shared" si="54"/>
        <v>89.42</v>
      </c>
      <c r="BW16" s="186">
        <f t="shared" si="54"/>
        <v>78.430666666666681</v>
      </c>
      <c r="BX16" s="186">
        <f t="shared" si="54"/>
        <v>68.351428571428571</v>
      </c>
      <c r="BY16" s="186">
        <f t="shared" si="54"/>
        <v>63.364827586206893</v>
      </c>
      <c r="BZ16" s="186">
        <f t="shared" si="54"/>
        <v>48.097000000000008</v>
      </c>
      <c r="CA16" s="186">
        <f t="shared" si="54"/>
        <v>64.06129032258066</v>
      </c>
      <c r="CB16" s="186">
        <f t="shared" si="54"/>
        <v>55.628857142857136</v>
      </c>
      <c r="CC16" s="186">
        <f t="shared" si="54"/>
        <v>54.238823529411754</v>
      </c>
      <c r="CD16" s="186">
        <f t="shared" si="54"/>
        <v>60.795714285714283</v>
      </c>
      <c r="CE16" s="186">
        <f t="shared" si="54"/>
        <v>68.491724137931001</v>
      </c>
      <c r="CF16" s="186">
        <f t="shared" si="54"/>
        <v>60.887275862068982</v>
      </c>
      <c r="CG16" s="186">
        <f t="shared" si="54"/>
        <v>59.83093749999999</v>
      </c>
      <c r="CH16" s="186">
        <f t="shared" si="54"/>
        <v>66.566666666666663</v>
      </c>
      <c r="CI16" s="186">
        <f t="shared" si="60"/>
        <v>61.944444444444443</v>
      </c>
      <c r="CJ16" s="186">
        <f t="shared" ref="CJ16:CK16" si="65">+(CJ5*10)/(CJ21*1000)</f>
        <v>59.880285714285712</v>
      </c>
      <c r="CK16" s="186">
        <f t="shared" si="65"/>
        <v>64.326333333333338</v>
      </c>
      <c r="CL16" s="186">
        <f t="shared" ref="CL16" si="66">+(CL5*10)/(CL21*1000)</f>
        <v>65.117647058823536</v>
      </c>
      <c r="CM16" s="187">
        <f t="shared" si="57"/>
        <v>61.944444444444443</v>
      </c>
      <c r="CN16" s="187">
        <f t="shared" si="57"/>
        <v>59.880285714285712</v>
      </c>
      <c r="CO16" s="187">
        <f t="shared" si="57"/>
        <v>64.326333333333338</v>
      </c>
      <c r="CP16" s="187">
        <f t="shared" si="57"/>
        <v>65.117647058823536</v>
      </c>
      <c r="CQ16" s="187">
        <f>+CM16*0.97</f>
        <v>60.086111111111109</v>
      </c>
      <c r="CR16" s="187">
        <f t="shared" ref="CR16:CT16" si="67">+CN16*0.97</f>
        <v>58.083877142857141</v>
      </c>
      <c r="CS16" s="187">
        <f t="shared" si="67"/>
        <v>62.396543333333334</v>
      </c>
      <c r="CT16" s="187">
        <f t="shared" si="67"/>
        <v>63.164117647058831</v>
      </c>
      <c r="CU16" s="187">
        <f t="shared" si="57"/>
        <v>60.086111111111109</v>
      </c>
      <c r="CV16" s="187">
        <f t="shared" si="57"/>
        <v>58.083877142857141</v>
      </c>
      <c r="CW16" s="187">
        <f t="shared" si="57"/>
        <v>62.396543333333334</v>
      </c>
      <c r="CX16" s="187">
        <f t="shared" si="57"/>
        <v>63.164117647058831</v>
      </c>
      <c r="CY16" s="187">
        <f t="shared" si="57"/>
        <v>60.086111111111109</v>
      </c>
      <c r="CZ16" s="187">
        <f t="shared" si="57"/>
        <v>58.083877142857141</v>
      </c>
      <c r="DA16" s="187">
        <f t="shared" si="57"/>
        <v>62.396543333333334</v>
      </c>
      <c r="DB16" s="187">
        <f t="shared" si="57"/>
        <v>63.164117647058831</v>
      </c>
      <c r="DE16" s="189"/>
    </row>
    <row r="17" spans="1:110" s="109" customFormat="1" x14ac:dyDescent="0.2">
      <c r="A17" s="184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8"/>
      <c r="AB17" s="108"/>
      <c r="AC17" s="108"/>
      <c r="AD17" s="108"/>
      <c r="AE17" s="108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E17" s="117"/>
    </row>
    <row r="18" spans="1:110" s="109" customFormat="1" x14ac:dyDescent="0.2">
      <c r="A18" s="184" t="s">
        <v>529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8"/>
      <c r="AB18" s="108"/>
      <c r="AC18" s="108"/>
      <c r="AD18" s="108"/>
      <c r="AE18" s="108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107"/>
      <c r="CL18" s="107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E18" s="117"/>
    </row>
    <row r="19" spans="1:110" s="188" customFormat="1" x14ac:dyDescent="0.2">
      <c r="A19" s="185" t="s">
        <v>523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>
        <f>SUM(BW19:BZ19)</f>
        <v>3.38</v>
      </c>
      <c r="Y19" s="186">
        <f>SUM(CA19:CD19)</f>
        <v>3.6599999999999997</v>
      </c>
      <c r="Z19" s="186">
        <f>SUM(CE19:CH19)</f>
        <v>4.0199999999999996</v>
      </c>
      <c r="AA19" s="187">
        <f>SUM(CI19:CL19)</f>
        <v>4.26</v>
      </c>
      <c r="AB19" s="187">
        <f>SUM(CM19:CP19)</f>
        <v>4.6328351783261379</v>
      </c>
      <c r="AC19" s="187">
        <f>SUM(CQ19:CT19)</f>
        <v>5.0432762063903125</v>
      </c>
      <c r="AD19" s="187">
        <f>SUM(CU19:CX19)</f>
        <v>5.493370148735055</v>
      </c>
      <c r="AE19" s="187">
        <f>SUM(CY19:DB19)</f>
        <v>5.984125463382802</v>
      </c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>
        <v>0.9</v>
      </c>
      <c r="BW19" s="186">
        <v>0.70000000000000007</v>
      </c>
      <c r="BX19" s="186">
        <v>0.82</v>
      </c>
      <c r="BY19" s="186">
        <v>0.96</v>
      </c>
      <c r="BZ19" s="186">
        <v>0.9</v>
      </c>
      <c r="CA19" s="186">
        <v>0.89</v>
      </c>
      <c r="CB19" s="186">
        <v>0.85</v>
      </c>
      <c r="CC19" s="186">
        <v>0.94</v>
      </c>
      <c r="CD19" s="186">
        <v>0.98</v>
      </c>
      <c r="CE19" s="186">
        <v>1</v>
      </c>
      <c r="CF19" s="186">
        <v>1</v>
      </c>
      <c r="CG19" s="186">
        <v>0.98</v>
      </c>
      <c r="CH19" s="186">
        <v>1.04</v>
      </c>
      <c r="CI19" s="186">
        <v>0.96</v>
      </c>
      <c r="CJ19" s="186">
        <v>1.02</v>
      </c>
      <c r="CK19" s="186">
        <v>1.06</v>
      </c>
      <c r="CL19" s="186">
        <v>1.22</v>
      </c>
      <c r="CM19" s="187">
        <f t="shared" ref="CM19:DB21" si="68">+CI19*(1+CM24)</f>
        <v>1.0163302982731555</v>
      </c>
      <c r="CN19" s="187">
        <f t="shared" si="68"/>
        <v>1.1050136773940344</v>
      </c>
      <c r="CO19" s="187">
        <f t="shared" si="68"/>
        <v>1.1651344338697018</v>
      </c>
      <c r="CP19" s="187">
        <f t="shared" si="68"/>
        <v>1.3463567687892461</v>
      </c>
      <c r="CQ19" s="187">
        <f t="shared" si="68"/>
        <v>1.101304486958689</v>
      </c>
      <c r="CR19" s="187">
        <f t="shared" si="68"/>
        <v>1.2040833527951011</v>
      </c>
      <c r="CS19" s="187">
        <f t="shared" si="68"/>
        <v>1.2713765018828269</v>
      </c>
      <c r="CT19" s="187">
        <f t="shared" si="68"/>
        <v>1.4665118647536954</v>
      </c>
      <c r="CU19" s="187">
        <f t="shared" si="68"/>
        <v>1.1986852825668508</v>
      </c>
      <c r="CV19" s="187">
        <f t="shared" si="68"/>
        <v>1.3120013837019158</v>
      </c>
      <c r="CW19" s="187">
        <f t="shared" si="68"/>
        <v>1.3853168987206732</v>
      </c>
      <c r="CX19" s="187">
        <f t="shared" si="68"/>
        <v>1.5973665837456159</v>
      </c>
      <c r="CY19" s="187">
        <f t="shared" si="68"/>
        <v>1.3056374085822764</v>
      </c>
      <c r="CZ19" s="187">
        <f t="shared" si="68"/>
        <v>1.4293269415173038</v>
      </c>
      <c r="DA19" s="187">
        <f t="shared" si="68"/>
        <v>1.5091287849170478</v>
      </c>
      <c r="DB19" s="187">
        <f t="shared" si="68"/>
        <v>1.7400323283661734</v>
      </c>
      <c r="DE19" s="189"/>
    </row>
    <row r="20" spans="1:110" s="188" customFormat="1" x14ac:dyDescent="0.2">
      <c r="A20" s="185" t="s">
        <v>524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>
        <f t="shared" ref="X20:X21" si="69">SUM(BW20:BZ20)</f>
        <v>0.92999999999999994</v>
      </c>
      <c r="Y20" s="186">
        <f t="shared" ref="Y20:Y21" si="70">SUM(CA20:CD20)</f>
        <v>1.03</v>
      </c>
      <c r="Z20" s="186">
        <f t="shared" ref="Z20:Z21" si="71">SUM(CE20:CH20)</f>
        <v>1.29</v>
      </c>
      <c r="AA20" s="187">
        <f t="shared" ref="AA20:AA21" si="72">SUM(CI20:CL20)</f>
        <v>1.2000000000000002</v>
      </c>
      <c r="AB20" s="187">
        <f t="shared" ref="AB20:AB21" si="73">SUM(CM20:CP20)</f>
        <v>1.1654556277056276</v>
      </c>
      <c r="AC20" s="187">
        <f t="shared" ref="AC20:AC21" si="74">SUM(CQ20:CT20)</f>
        <v>1.1387856178924054</v>
      </c>
      <c r="AD20" s="187">
        <f t="shared" ref="AD20:AD21" si="75">SUM(CU20:CX20)</f>
        <v>1.1138552587292445</v>
      </c>
      <c r="AE20" s="187">
        <f t="shared" ref="AE20:AE21" si="76">SUM(CY20:DB20)</f>
        <v>1.0896277836542771</v>
      </c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>
        <v>0.2</v>
      </c>
      <c r="BW20" s="186">
        <v>0.18999999999999997</v>
      </c>
      <c r="BX20" s="186">
        <v>0.22</v>
      </c>
      <c r="BY20" s="186">
        <v>0.22</v>
      </c>
      <c r="BZ20" s="186">
        <v>0.3</v>
      </c>
      <c r="CA20" s="186">
        <v>0.23</v>
      </c>
      <c r="CB20" s="186">
        <v>0.26</v>
      </c>
      <c r="CC20" s="186">
        <v>0.26</v>
      </c>
      <c r="CD20" s="186">
        <v>0.28000000000000003</v>
      </c>
      <c r="CE20" s="186">
        <v>0.33</v>
      </c>
      <c r="CF20" s="186">
        <v>0.35</v>
      </c>
      <c r="CG20" s="186">
        <v>0.31</v>
      </c>
      <c r="CH20" s="186">
        <v>0.3</v>
      </c>
      <c r="CI20" s="186">
        <v>0.26</v>
      </c>
      <c r="CJ20" s="186">
        <v>0.32</v>
      </c>
      <c r="CK20" s="186">
        <v>0.3</v>
      </c>
      <c r="CL20" s="186">
        <v>0.32</v>
      </c>
      <c r="CM20" s="187">
        <f t="shared" si="68"/>
        <v>0.24287725178047759</v>
      </c>
      <c r="CN20" s="187">
        <f t="shared" si="68"/>
        <v>0.31062700740120097</v>
      </c>
      <c r="CO20" s="187">
        <f t="shared" si="68"/>
        <v>0.29544459572685378</v>
      </c>
      <c r="CP20" s="187">
        <f t="shared" si="68"/>
        <v>0.31650677279709538</v>
      </c>
      <c r="CQ20" s="187">
        <f t="shared" si="68"/>
        <v>0.23544151461594187</v>
      </c>
      <c r="CR20" s="187">
        <f t="shared" si="68"/>
        <v>0.30388120670077873</v>
      </c>
      <c r="CS20" s="187">
        <f t="shared" si="68"/>
        <v>0.28959351679982642</v>
      </c>
      <c r="CT20" s="187">
        <f t="shared" si="68"/>
        <v>0.30986937977585832</v>
      </c>
      <c r="CU20" s="187">
        <f t="shared" si="68"/>
        <v>0.22996119985350122</v>
      </c>
      <c r="CV20" s="187">
        <f t="shared" si="68"/>
        <v>0.29736534216107086</v>
      </c>
      <c r="CW20" s="187">
        <f t="shared" si="68"/>
        <v>0.2834038900548303</v>
      </c>
      <c r="CX20" s="187">
        <f t="shared" si="68"/>
        <v>0.30312482665984203</v>
      </c>
      <c r="CY20" s="187">
        <f t="shared" si="68"/>
        <v>0.22491020596957542</v>
      </c>
      <c r="CZ20" s="187">
        <f t="shared" si="68"/>
        <v>0.29093139803263052</v>
      </c>
      <c r="DA20" s="187">
        <f t="shared" si="68"/>
        <v>0.27725825277076677</v>
      </c>
      <c r="DB20" s="187">
        <f t="shared" si="68"/>
        <v>0.29652792688130453</v>
      </c>
      <c r="DE20" s="189"/>
    </row>
    <row r="21" spans="1:110" s="188" customFormat="1" x14ac:dyDescent="0.2">
      <c r="A21" s="185" t="s">
        <v>525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>
        <f t="shared" si="69"/>
        <v>1.27</v>
      </c>
      <c r="Y21" s="186">
        <f t="shared" si="70"/>
        <v>1.28</v>
      </c>
      <c r="Z21" s="186">
        <f t="shared" si="71"/>
        <v>1.2000000000000002</v>
      </c>
      <c r="AA21" s="187">
        <f t="shared" si="72"/>
        <v>1.35</v>
      </c>
      <c r="AB21" s="187">
        <f t="shared" si="73"/>
        <v>1.4925150525323279</v>
      </c>
      <c r="AC21" s="187">
        <f t="shared" si="74"/>
        <v>1.6300922732831251</v>
      </c>
      <c r="AD21" s="187">
        <f t="shared" si="75"/>
        <v>1.778288508099886</v>
      </c>
      <c r="AE21" s="187">
        <f t="shared" si="76"/>
        <v>1.939635867639097</v>
      </c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>
        <v>0.2</v>
      </c>
      <c r="BW21" s="186">
        <v>0.29999999999999993</v>
      </c>
      <c r="BX21" s="186">
        <v>0.28000000000000003</v>
      </c>
      <c r="BY21" s="186">
        <v>0.28999999999999998</v>
      </c>
      <c r="BZ21" s="186">
        <v>0.4</v>
      </c>
      <c r="CA21" s="186">
        <v>0.30999999999999994</v>
      </c>
      <c r="CB21" s="186">
        <v>0.35</v>
      </c>
      <c r="CC21" s="186">
        <v>0.34</v>
      </c>
      <c r="CD21" s="186">
        <v>0.28000000000000003</v>
      </c>
      <c r="CE21" s="186">
        <v>0.29000000000000009</v>
      </c>
      <c r="CF21" s="186">
        <v>0.28999999999999992</v>
      </c>
      <c r="CG21" s="186">
        <v>0.32</v>
      </c>
      <c r="CH21" s="186">
        <v>0.3</v>
      </c>
      <c r="CI21" s="186">
        <v>0.36</v>
      </c>
      <c r="CJ21" s="186">
        <v>0.35</v>
      </c>
      <c r="CK21" s="186">
        <v>0.3</v>
      </c>
      <c r="CL21" s="186">
        <v>0.34</v>
      </c>
      <c r="CM21" s="187">
        <f t="shared" si="68"/>
        <v>0.40671982758620689</v>
      </c>
      <c r="CN21" s="187">
        <f t="shared" si="68"/>
        <v>0.38565687859195402</v>
      </c>
      <c r="CO21" s="187">
        <f t="shared" si="68"/>
        <v>0.32268655711206901</v>
      </c>
      <c r="CP21" s="187">
        <f t="shared" si="68"/>
        <v>0.37745178924209777</v>
      </c>
      <c r="CQ21" s="187">
        <f t="shared" si="68"/>
        <v>0.44661727107995364</v>
      </c>
      <c r="CR21" s="187">
        <f t="shared" si="68"/>
        <v>0.42061685024530071</v>
      </c>
      <c r="CS21" s="187">
        <f t="shared" si="68"/>
        <v>0.3510869319863465</v>
      </c>
      <c r="CT21" s="187">
        <f t="shared" si="68"/>
        <v>0.41177121997152427</v>
      </c>
      <c r="CU21" s="187">
        <f t="shared" si="68"/>
        <v>0.4876705959386336</v>
      </c>
      <c r="CV21" s="187">
        <f t="shared" si="68"/>
        <v>0.45863086843771422</v>
      </c>
      <c r="CW21" s="187">
        <f t="shared" si="68"/>
        <v>0.38279304003217068</v>
      </c>
      <c r="CX21" s="187">
        <f t="shared" si="68"/>
        <v>0.44919400369136742</v>
      </c>
      <c r="CY21" s="187">
        <f t="shared" si="68"/>
        <v>0.5319862369296624</v>
      </c>
      <c r="CZ21" s="187">
        <f t="shared" si="68"/>
        <v>0.50018738869067902</v>
      </c>
      <c r="DA21" s="187">
        <f t="shared" si="68"/>
        <v>0.41750020749036726</v>
      </c>
      <c r="DB21" s="187">
        <f t="shared" si="68"/>
        <v>0.48996203452838821</v>
      </c>
      <c r="DE21" s="189"/>
    </row>
    <row r="22" spans="1:110" s="109" customFormat="1" x14ac:dyDescent="0.2">
      <c r="A22" s="184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8"/>
      <c r="AB22" s="108"/>
      <c r="AC22" s="108"/>
      <c r="AD22" s="108"/>
      <c r="AE22" s="108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E22" s="117"/>
    </row>
    <row r="23" spans="1:110" s="109" customFormat="1" x14ac:dyDescent="0.2">
      <c r="A23" s="184" t="s">
        <v>530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8"/>
      <c r="AB23" s="108"/>
      <c r="AC23" s="108"/>
      <c r="AD23" s="108"/>
      <c r="AE23" s="108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E23" s="117"/>
    </row>
    <row r="24" spans="1:110" s="188" customFormat="1" x14ac:dyDescent="0.2">
      <c r="A24" s="185" t="s">
        <v>523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90">
        <f>(Y19/X19)-1</f>
        <v>8.2840236686390512E-2</v>
      </c>
      <c r="Z24" s="190">
        <f>(Z19/Y19)-1</f>
        <v>9.8360655737704805E-2</v>
      </c>
      <c r="AA24" s="192">
        <f>(AA19/Z19)-1</f>
        <v>5.9701492537313383E-2</v>
      </c>
      <c r="AB24" s="192">
        <f t="shared" ref="AB24:AE24" si="77">(AB19/AA19)-1</f>
        <v>8.7519994912238941E-2</v>
      </c>
      <c r="AC24" s="192">
        <f t="shared" si="77"/>
        <v>8.8593919763074513E-2</v>
      </c>
      <c r="AD24" s="192">
        <f t="shared" si="77"/>
        <v>8.9246339864239577E-2</v>
      </c>
      <c r="AE24" s="192">
        <f t="shared" si="77"/>
        <v>8.9335927010262051E-2</v>
      </c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91"/>
      <c r="BY24" s="191"/>
      <c r="BZ24" s="191">
        <f t="shared" ref="BZ24:CH26" si="78">+BZ19/BV19-1</f>
        <v>0</v>
      </c>
      <c r="CA24" s="191">
        <f t="shared" si="78"/>
        <v>0.27142857142857135</v>
      </c>
      <c r="CB24" s="191">
        <f t="shared" si="78"/>
        <v>3.6585365853658569E-2</v>
      </c>
      <c r="CC24" s="191">
        <f t="shared" si="78"/>
        <v>-2.083333333333337E-2</v>
      </c>
      <c r="CD24" s="191">
        <f t="shared" si="78"/>
        <v>8.8888888888888795E-2</v>
      </c>
      <c r="CE24" s="191">
        <f t="shared" si="78"/>
        <v>0.12359550561797761</v>
      </c>
      <c r="CF24" s="191">
        <f t="shared" si="78"/>
        <v>0.17647058823529416</v>
      </c>
      <c r="CG24" s="191">
        <f t="shared" si="78"/>
        <v>4.2553191489361764E-2</v>
      </c>
      <c r="CH24" s="191">
        <f t="shared" si="78"/>
        <v>6.1224489795918435E-2</v>
      </c>
      <c r="CI24" s="191">
        <f>+CI19/CE19-1</f>
        <v>-4.0000000000000036E-2</v>
      </c>
      <c r="CJ24" s="191">
        <f t="shared" ref="CJ24:CK26" si="79">+CJ19/CF19-1</f>
        <v>2.0000000000000018E-2</v>
      </c>
      <c r="CK24" s="191">
        <f t="shared" si="79"/>
        <v>8.163265306122458E-2</v>
      </c>
      <c r="CL24" s="191">
        <f t="shared" ref="CL24:CL26" si="80">+CL19/CH19-1</f>
        <v>0.17307692307692291</v>
      </c>
      <c r="CM24" s="194">
        <f t="shared" ref="CM24:DB26" si="81">+AVERAGE(CI24:CL24)</f>
        <v>5.8677394034536867E-2</v>
      </c>
      <c r="CN24" s="194">
        <f t="shared" si="81"/>
        <v>8.3346742543171093E-2</v>
      </c>
      <c r="CO24" s="194">
        <f t="shared" si="81"/>
        <v>9.9183428178963862E-2</v>
      </c>
      <c r="CP24" s="194">
        <f t="shared" si="81"/>
        <v>0.10357112195839868</v>
      </c>
      <c r="CQ24" s="194">
        <f>+AVERAGE(CM24:CP24)*0.97</f>
        <v>8.3608831528404592E-2</v>
      </c>
      <c r="CR24" s="194">
        <f t="shared" ref="CR24:CT24" si="82">+AVERAGE(CN24:CQ24)*0.97</f>
        <v>8.9654705120667519E-2</v>
      </c>
      <c r="CS24" s="194">
        <f t="shared" si="82"/>
        <v>9.11843860457104E-2</v>
      </c>
      <c r="CT24" s="194">
        <f t="shared" si="82"/>
        <v>8.9244618328396433E-2</v>
      </c>
      <c r="CU24" s="194">
        <f t="shared" si="81"/>
        <v>8.8423135255794733E-2</v>
      </c>
      <c r="CV24" s="194">
        <f t="shared" si="81"/>
        <v>8.9626711187642261E-2</v>
      </c>
      <c r="CW24" s="194">
        <f t="shared" si="81"/>
        <v>8.9619712704385956E-2</v>
      </c>
      <c r="CX24" s="194">
        <f t="shared" si="81"/>
        <v>8.9228544369054849E-2</v>
      </c>
      <c r="CY24" s="194">
        <f t="shared" si="81"/>
        <v>8.922452587921946E-2</v>
      </c>
      <c r="CZ24" s="194">
        <f t="shared" si="81"/>
        <v>8.9424873535075639E-2</v>
      </c>
      <c r="DA24" s="194">
        <f t="shared" si="81"/>
        <v>8.9374414121933976E-2</v>
      </c>
      <c r="DB24" s="194">
        <f t="shared" si="81"/>
        <v>8.9313089476320981E-2</v>
      </c>
      <c r="DE24" s="189"/>
    </row>
    <row r="25" spans="1:110" s="188" customFormat="1" x14ac:dyDescent="0.2">
      <c r="A25" s="185" t="s">
        <v>524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90">
        <f t="shared" ref="Y25:Y26" si="83">(Y20/X20)-1</f>
        <v>0.10752688172043023</v>
      </c>
      <c r="Z25" s="190">
        <f t="shared" ref="Z25:AA25" si="84">(Z20/Y20)-1</f>
        <v>0.25242718446601953</v>
      </c>
      <c r="AA25" s="192">
        <f t="shared" si="84"/>
        <v>-6.9767441860465018E-2</v>
      </c>
      <c r="AB25" s="192">
        <f t="shared" ref="AB25:AE25" si="85">(AB20/AA20)-1</f>
        <v>-2.878697691197718E-2</v>
      </c>
      <c r="AC25" s="192">
        <f t="shared" si="85"/>
        <v>-2.288376252103741E-2</v>
      </c>
      <c r="AD25" s="192">
        <f t="shared" si="85"/>
        <v>-2.1892056565748108E-2</v>
      </c>
      <c r="AE25" s="192">
        <f t="shared" si="85"/>
        <v>-2.1751008387398185E-2</v>
      </c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91"/>
      <c r="BY25" s="191"/>
      <c r="BZ25" s="191">
        <f t="shared" si="78"/>
        <v>0.49999999999999978</v>
      </c>
      <c r="CA25" s="191">
        <f t="shared" si="78"/>
        <v>0.21052631578947389</v>
      </c>
      <c r="CB25" s="191">
        <f t="shared" si="78"/>
        <v>0.18181818181818188</v>
      </c>
      <c r="CC25" s="191">
        <f t="shared" si="78"/>
        <v>0.18181818181818188</v>
      </c>
      <c r="CD25" s="191">
        <f t="shared" si="78"/>
        <v>-6.6666666666666541E-2</v>
      </c>
      <c r="CE25" s="191">
        <f t="shared" si="78"/>
        <v>0.43478260869565211</v>
      </c>
      <c r="CF25" s="191">
        <f t="shared" si="78"/>
        <v>0.34615384615384603</v>
      </c>
      <c r="CG25" s="191">
        <f t="shared" si="78"/>
        <v>0.19230769230769229</v>
      </c>
      <c r="CH25" s="191">
        <f t="shared" si="78"/>
        <v>7.1428571428571397E-2</v>
      </c>
      <c r="CI25" s="191">
        <f t="shared" ref="CI25:CI26" si="86">+CI20/CE20-1</f>
        <v>-0.21212121212121215</v>
      </c>
      <c r="CJ25" s="191">
        <f t="shared" si="79"/>
        <v>-8.5714285714285632E-2</v>
      </c>
      <c r="CK25" s="191">
        <f t="shared" si="79"/>
        <v>-3.2258064516129115E-2</v>
      </c>
      <c r="CL25" s="191">
        <f t="shared" si="80"/>
        <v>6.6666666666666652E-2</v>
      </c>
      <c r="CM25" s="194">
        <f t="shared" si="81"/>
        <v>-6.5856723921240062E-2</v>
      </c>
      <c r="CN25" s="194">
        <f t="shared" si="81"/>
        <v>-2.9290601871247039E-2</v>
      </c>
      <c r="CO25" s="194">
        <f t="shared" si="81"/>
        <v>-1.5184680910487391E-2</v>
      </c>
      <c r="CP25" s="194">
        <f t="shared" si="81"/>
        <v>-1.0916335009076961E-2</v>
      </c>
      <c r="CQ25" s="194">
        <f>+AVERAGE(CM25:CP25)*1.01</f>
        <v>-3.0615206282292994E-2</v>
      </c>
      <c r="CR25" s="194">
        <f t="shared" ref="CR25:CT25" si="87">+AVERAGE(CN25:CQ25)*1.01</f>
        <v>-2.1716723078458858E-2</v>
      </c>
      <c r="CS25" s="194">
        <f t="shared" si="87"/>
        <v>-1.980431868327984E-2</v>
      </c>
      <c r="CT25" s="194">
        <f t="shared" si="87"/>
        <v>-2.0970777220909932E-2</v>
      </c>
      <c r="CU25" s="194">
        <f t="shared" si="81"/>
        <v>-2.3276756316235409E-2</v>
      </c>
      <c r="CV25" s="194">
        <f t="shared" si="81"/>
        <v>-2.1442143824721011E-2</v>
      </c>
      <c r="CW25" s="194">
        <f t="shared" si="81"/>
        <v>-2.1373499011286549E-2</v>
      </c>
      <c r="CX25" s="194">
        <f t="shared" si="81"/>
        <v>-2.1765794093288222E-2</v>
      </c>
      <c r="CY25" s="194">
        <f t="shared" si="81"/>
        <v>-2.1964548311382795E-2</v>
      </c>
      <c r="CZ25" s="194">
        <f t="shared" si="81"/>
        <v>-2.1636496310169642E-2</v>
      </c>
      <c r="DA25" s="194">
        <f t="shared" si="81"/>
        <v>-2.1685084431531804E-2</v>
      </c>
      <c r="DB25" s="194">
        <f t="shared" si="81"/>
        <v>-2.1762980786593115E-2</v>
      </c>
      <c r="DE25" s="189"/>
    </row>
    <row r="26" spans="1:110" s="188" customFormat="1" x14ac:dyDescent="0.2">
      <c r="A26" s="185" t="s">
        <v>525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90">
        <f t="shared" si="83"/>
        <v>7.8740157480314821E-3</v>
      </c>
      <c r="Z26" s="190">
        <f t="shared" ref="Z26:AA26" si="88">(Z21/Y21)-1</f>
        <v>-6.2499999999999889E-2</v>
      </c>
      <c r="AA26" s="192">
        <f t="shared" si="88"/>
        <v>0.125</v>
      </c>
      <c r="AB26" s="192">
        <f t="shared" ref="AB26:AE26" si="89">(AB21/AA21)-1</f>
        <v>0.10556670557950198</v>
      </c>
      <c r="AC26" s="192">
        <f t="shared" si="89"/>
        <v>9.2178112721457595E-2</v>
      </c>
      <c r="AD26" s="192">
        <f t="shared" si="89"/>
        <v>9.091278895413879E-2</v>
      </c>
      <c r="AE26" s="192">
        <f t="shared" si="89"/>
        <v>9.0731823775666021E-2</v>
      </c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91"/>
      <c r="BY26" s="191"/>
      <c r="BZ26" s="191">
        <f t="shared" si="78"/>
        <v>1</v>
      </c>
      <c r="CA26" s="191">
        <f t="shared" si="78"/>
        <v>3.3333333333333437E-2</v>
      </c>
      <c r="CB26" s="191">
        <f t="shared" si="78"/>
        <v>0.24999999999999978</v>
      </c>
      <c r="CC26" s="191">
        <f t="shared" si="78"/>
        <v>0.1724137931034484</v>
      </c>
      <c r="CD26" s="191">
        <f t="shared" si="78"/>
        <v>-0.29999999999999993</v>
      </c>
      <c r="CE26" s="191">
        <f t="shared" si="78"/>
        <v>-6.4516129032257563E-2</v>
      </c>
      <c r="CF26" s="191">
        <f t="shared" si="78"/>
        <v>-0.1714285714285716</v>
      </c>
      <c r="CG26" s="191">
        <f t="shared" si="78"/>
        <v>-5.8823529411764719E-2</v>
      </c>
      <c r="CH26" s="191">
        <f t="shared" si="78"/>
        <v>7.1428571428571397E-2</v>
      </c>
      <c r="CI26" s="191">
        <f t="shared" si="86"/>
        <v>0.24137931034482718</v>
      </c>
      <c r="CJ26" s="191">
        <f t="shared" si="79"/>
        <v>0.20689655172413812</v>
      </c>
      <c r="CK26" s="191">
        <f t="shared" si="79"/>
        <v>-6.25E-2</v>
      </c>
      <c r="CL26" s="191">
        <f t="shared" si="80"/>
        <v>0.13333333333333353</v>
      </c>
      <c r="CM26" s="194">
        <f t="shared" si="81"/>
        <v>0.12977729885057471</v>
      </c>
      <c r="CN26" s="194">
        <f t="shared" si="81"/>
        <v>0.10187679597701159</v>
      </c>
      <c r="CO26" s="194">
        <f t="shared" si="81"/>
        <v>7.5621857040229959E-2</v>
      </c>
      <c r="CP26" s="194">
        <f t="shared" si="81"/>
        <v>0.11015232130028745</v>
      </c>
      <c r="CQ26" s="194">
        <f>+AVERAGE(CM26:CP26)*0.94</f>
        <v>9.8095644194504367E-2</v>
      </c>
      <c r="CR26" s="194">
        <f t="shared" ref="CR26:CT26" si="90">+AVERAGE(CN26:CQ26)*0.94</f>
        <v>9.0650455350327841E-2</v>
      </c>
      <c r="CS26" s="194">
        <f t="shared" si="90"/>
        <v>8.8012265303057155E-2</v>
      </c>
      <c r="CT26" s="194">
        <f t="shared" si="90"/>
        <v>9.0924011244821551E-2</v>
      </c>
      <c r="CU26" s="194">
        <f t="shared" si="81"/>
        <v>9.1920594023177732E-2</v>
      </c>
      <c r="CV26" s="194">
        <f t="shared" si="81"/>
        <v>9.0376831480346087E-2</v>
      </c>
      <c r="CW26" s="194">
        <f t="shared" si="81"/>
        <v>9.0308425512850635E-2</v>
      </c>
      <c r="CX26" s="194">
        <f t="shared" si="81"/>
        <v>9.0882465565298998E-2</v>
      </c>
      <c r="CY26" s="194">
        <f t="shared" si="81"/>
        <v>9.0872079145418366E-2</v>
      </c>
      <c r="CZ26" s="194">
        <f t="shared" si="81"/>
        <v>9.0609950425978525E-2</v>
      </c>
      <c r="DA26" s="194">
        <f t="shared" si="81"/>
        <v>9.066823016238662E-2</v>
      </c>
      <c r="DB26" s="194">
        <f t="shared" si="81"/>
        <v>9.0758181324770634E-2</v>
      </c>
      <c r="DE26" s="189"/>
    </row>
    <row r="27" spans="1:110" s="109" customFormat="1" x14ac:dyDescent="0.2">
      <c r="A27" s="184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8"/>
      <c r="AB27" s="108"/>
      <c r="AC27" s="108"/>
      <c r="AD27" s="108"/>
      <c r="AE27" s="108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E27" s="117"/>
    </row>
    <row r="28" spans="1:110" s="109" customFormat="1" x14ac:dyDescent="0.2">
      <c r="A28" s="184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8"/>
      <c r="AB28" s="108"/>
      <c r="AC28" s="108"/>
      <c r="AD28" s="108"/>
      <c r="AE28" s="108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  <c r="CI28" s="107"/>
      <c r="CJ28" s="107"/>
      <c r="CK28" s="107"/>
      <c r="CL28" s="107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E28" s="117"/>
    </row>
    <row r="29" spans="1:110" s="106" customFormat="1" x14ac:dyDescent="0.2">
      <c r="A29" s="151" t="s">
        <v>500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5"/>
      <c r="AB29" s="105"/>
      <c r="AC29" s="105"/>
      <c r="AD29" s="105"/>
      <c r="AE29" s="105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E29" s="118"/>
    </row>
    <row r="30" spans="1:110" s="106" customFormat="1" x14ac:dyDescent="0.2">
      <c r="A30" s="151" t="s">
        <v>485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05"/>
      <c r="AC30" s="105"/>
      <c r="AD30" s="105"/>
      <c r="AE30" s="105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55"/>
      <c r="CK30" s="155"/>
      <c r="CL30" s="15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E30" s="118"/>
    </row>
    <row r="31" spans="1:110" s="25" customFormat="1" outlineLevel="1" x14ac:dyDescent="0.2">
      <c r="A31" s="25" t="s">
        <v>430</v>
      </c>
      <c r="B31" s="25">
        <f>'Annual Raw'!C6</f>
        <v>0</v>
      </c>
      <c r="C31" s="25">
        <f>'Annual Raw'!D6</f>
        <v>0</v>
      </c>
      <c r="D31" s="25">
        <f>'Annual Raw'!E6</f>
        <v>1260.7719999999999</v>
      </c>
      <c r="E31" s="25">
        <f>'Annual Raw'!F6</f>
        <v>1855.8320000000001</v>
      </c>
      <c r="F31" s="25">
        <f>'Annual Raw'!G6</f>
        <v>2060.087</v>
      </c>
      <c r="G31" s="25">
        <f>'Annual Raw'!H6</f>
        <v>2683.49</v>
      </c>
      <c r="H31" s="25">
        <f>'Annual Raw'!I6</f>
        <v>2645.877</v>
      </c>
      <c r="I31" s="25">
        <f>'Annual Raw'!J6</f>
        <v>3400.482</v>
      </c>
      <c r="J31" s="25">
        <f>'Annual Raw'!K6</f>
        <v>5807.5110000000004</v>
      </c>
      <c r="K31" s="25">
        <f>'Annual Raw'!L6</f>
        <v>6115.808</v>
      </c>
      <c r="L31" s="25">
        <f>'Annual Raw'!M6</f>
        <v>8551.9940000000006</v>
      </c>
      <c r="M31" s="25">
        <f>'Annual Raw'!N6</f>
        <v>12062.159</v>
      </c>
      <c r="N31" s="25">
        <f>'Annual Raw'!O6</f>
        <v>14296.861999999999</v>
      </c>
      <c r="O31" s="25">
        <f>'Annual Raw'!P6</f>
        <v>17393.797999999999</v>
      </c>
      <c r="P31" s="25">
        <f>'Annual Raw'!Q6</f>
        <v>17347.368999999999</v>
      </c>
      <c r="Q31" s="25">
        <f>'Annual Raw'!R6</f>
        <v>19127.66</v>
      </c>
      <c r="R31" s="25">
        <f>'Annual Raw'!S6</f>
        <v>23308.911</v>
      </c>
      <c r="S31" s="25">
        <f>'Annual Raw'!T6</f>
        <v>26471.909</v>
      </c>
      <c r="T31" s="25">
        <f>'Annual Raw'!U6</f>
        <v>28904.156999999999</v>
      </c>
      <c r="U31" s="25">
        <f>'Annual Raw'!V6</f>
        <v>29800.577000000001</v>
      </c>
      <c r="V31" s="25">
        <f>'Annual Raw'!W6</f>
        <v>37319.32</v>
      </c>
      <c r="W31" s="25">
        <f>'Annual Raw'!X6</f>
        <v>54506.92</v>
      </c>
      <c r="X31" s="25">
        <f>'Annual Raw'!Y6</f>
        <v>58578.91</v>
      </c>
      <c r="Y31" s="25">
        <f>'Annual Raw'!Z6</f>
        <v>51669.19</v>
      </c>
      <c r="Z31" s="25">
        <f>'Annual Raw'!AA6</f>
        <v>64276.44</v>
      </c>
      <c r="AA31" s="25">
        <f>'Annual Raw'!AB6</f>
        <v>75597.919999999998</v>
      </c>
      <c r="AB31" s="17">
        <f>+SUM(CM31:CP31)</f>
        <v>80682.16668888717</v>
      </c>
      <c r="AC31" s="17">
        <f>+SUM(CQ31:CT31)</f>
        <v>83778.573391825921</v>
      </c>
      <c r="AD31" s="17">
        <f>+SUM(CU31:CX31)</f>
        <v>90616.43818897249</v>
      </c>
      <c r="AE31" s="17">
        <f>+SUM(CY31:DB31)</f>
        <v>98085.98035925263</v>
      </c>
      <c r="AI31" s="25">
        <f>'QTR Raw'!C6+'QTR Raw'!C8</f>
        <v>0</v>
      </c>
      <c r="AJ31" s="25">
        <f>'QTR Raw'!D6+'QTR Raw'!D8</f>
        <v>0</v>
      </c>
      <c r="AK31" s="25">
        <f>'QTR Raw'!E6+'QTR Raw'!E8</f>
        <v>0</v>
      </c>
      <c r="AL31" s="25">
        <f>'QTR Raw'!F6+'QTR Raw'!F8</f>
        <v>0</v>
      </c>
      <c r="AM31" s="25">
        <f>'QTR Raw'!G6+'QTR Raw'!G8</f>
        <v>0</v>
      </c>
      <c r="AN31" s="25">
        <f>'QTR Raw'!H6+'QTR Raw'!H8</f>
        <v>0</v>
      </c>
      <c r="AO31" s="25">
        <f>'QTR Raw'!I6+'QTR Raw'!I8</f>
        <v>0</v>
      </c>
      <c r="AP31" s="25">
        <f>'QTR Raw'!J6+'QTR Raw'!J8</f>
        <v>0</v>
      </c>
      <c r="AQ31" s="25">
        <f>'QTR Raw'!K6+'QTR Raw'!K8</f>
        <v>0</v>
      </c>
      <c r="AR31" s="25">
        <f>'QTR Raw'!L6+'QTR Raw'!L8</f>
        <v>0</v>
      </c>
      <c r="AS31" s="25">
        <f>'QTR Raw'!M6+'QTR Raw'!M8</f>
        <v>0</v>
      </c>
      <c r="AT31" s="25">
        <f>'QTR Raw'!N6+'QTR Raw'!N8</f>
        <v>0</v>
      </c>
      <c r="AU31" s="25">
        <f>'QTR Raw'!O6+'QTR Raw'!O8</f>
        <v>0</v>
      </c>
      <c r="AV31" s="25">
        <f>'QTR Raw'!P6+'QTR Raw'!P8</f>
        <v>0</v>
      </c>
      <c r="AW31" s="25">
        <f>'QTR Raw'!Q6+'QTR Raw'!Q8</f>
        <v>0</v>
      </c>
      <c r="AX31" s="25">
        <f>'QTR Raw'!R6+'QTR Raw'!R8</f>
        <v>0</v>
      </c>
      <c r="AY31" s="25">
        <f>'QTR Raw'!S6+'QTR Raw'!S8</f>
        <v>0</v>
      </c>
      <c r="AZ31" s="25">
        <f>'QTR Raw'!T6+'QTR Raw'!T8</f>
        <v>0</v>
      </c>
      <c r="BA31" s="25">
        <f>'QTR Raw'!U6+'QTR Raw'!U8</f>
        <v>0</v>
      </c>
      <c r="BB31" s="25">
        <f>'QTR Raw'!V6+'QTR Raw'!V8</f>
        <v>0</v>
      </c>
      <c r="BC31" s="25">
        <f>'QTR Raw'!W6+'QTR Raw'!W8</f>
        <v>0</v>
      </c>
      <c r="BD31" s="25">
        <f>'QTR Raw'!X6+'QTR Raw'!X8</f>
        <v>0</v>
      </c>
      <c r="BE31" s="25">
        <f>'QTR Raw'!Y6+'QTR Raw'!Y8</f>
        <v>0</v>
      </c>
      <c r="BF31" s="25">
        <f>'QTR Raw'!Z6+'QTR Raw'!Z8</f>
        <v>0</v>
      </c>
      <c r="BG31" s="25">
        <f>'QTR Raw'!AA6+'QTR Raw'!AA8</f>
        <v>0</v>
      </c>
      <c r="BH31" s="25">
        <f>'QTR Raw'!AB6+'QTR Raw'!AB8</f>
        <v>0</v>
      </c>
      <c r="BI31" s="25">
        <f>'QTR Raw'!AC6+'QTR Raw'!AC8</f>
        <v>0</v>
      </c>
      <c r="BJ31" s="25">
        <f>'QTR Raw'!AD6+'QTR Raw'!AD8</f>
        <v>0</v>
      </c>
      <c r="BK31" s="25">
        <f>'QTR Raw'!AE6+'QTR Raw'!AE8</f>
        <v>0</v>
      </c>
      <c r="BL31" s="25">
        <f>'QTR Raw'!AF6+'QTR Raw'!AF8</f>
        <v>0</v>
      </c>
      <c r="BM31" s="25">
        <f>'QTR Raw'!AG6+'QTR Raw'!AG8</f>
        <v>0</v>
      </c>
      <c r="BN31" s="25">
        <f>'QTR Raw'!AH6+'QTR Raw'!AH8</f>
        <v>0</v>
      </c>
      <c r="BO31" s="25">
        <f>'QTR Raw'!AI6+'QTR Raw'!AI8</f>
        <v>0</v>
      </c>
      <c r="BP31" s="25">
        <f>'QTR Raw'!AJ6+'QTR Raw'!AJ8</f>
        <v>0</v>
      </c>
      <c r="BQ31" s="25">
        <f>'QTR Raw'!AK6+'QTR Raw'!AK8</f>
        <v>10229.49</v>
      </c>
      <c r="BR31" s="25">
        <f>'QTR Raw'!AL6+'QTR Raw'!AL8</f>
        <v>10672.34</v>
      </c>
      <c r="BS31" s="25">
        <f>'QTR Raw'!AM6+'QTR Raw'!AM8</f>
        <v>11311.97</v>
      </c>
      <c r="BT31" s="25">
        <f>'QTR Raw'!AN6+'QTR Raw'!AN8</f>
        <v>13558.47</v>
      </c>
      <c r="BU31" s="25">
        <f>'QTR Raw'!AO6+'QTR Raw'!AO8</f>
        <v>14370.92</v>
      </c>
      <c r="BV31" s="25">
        <f>'QTR Raw'!AP6+'QTR Raw'!AP8</f>
        <v>14917.26</v>
      </c>
      <c r="BW31" s="25">
        <f>'QTR Raw'!AQ6+'QTR Raw'!AQ8</f>
        <v>14724.09</v>
      </c>
      <c r="BX31" s="25">
        <f>'QTR Raw'!AR6+'QTR Raw'!AR8</f>
        <v>14150.03</v>
      </c>
      <c r="BY31" s="25">
        <f>'QTR Raw'!AS6+'QTR Raw'!AS8</f>
        <v>15438.05</v>
      </c>
      <c r="BZ31" s="25">
        <f>'QTR Raw'!AT6+'QTR Raw'!AT8</f>
        <v>13872.64</v>
      </c>
      <c r="CA31" s="25">
        <f>'QTR Raw'!AU6+'QTR Raw'!AU8</f>
        <v>12928.08</v>
      </c>
      <c r="CB31" s="25">
        <f>'QTR Raw'!AV6+'QTR Raw'!AV8</f>
        <v>12267.15</v>
      </c>
      <c r="CC31" s="25">
        <f>'QTR Raw'!AW6+'QTR Raw'!AW8</f>
        <v>12828.36</v>
      </c>
      <c r="CD31" s="25">
        <f>'QTR Raw'!AX6+'QTR Raw'!AX8</f>
        <v>13222.83</v>
      </c>
      <c r="CE31" s="25">
        <f>'QTR Raw'!AY6+'QTR Raw'!AY8</f>
        <v>14153.85</v>
      </c>
      <c r="CF31" s="25">
        <f>'QTR Raw'!AZ6+'QTR Raw'!AZ8</f>
        <v>14449.94</v>
      </c>
      <c r="CG31" s="25">
        <f>'QTR Raw'!BA6+'QTR Raw'!BA8</f>
        <v>16838.86</v>
      </c>
      <c r="CH31" s="25">
        <f>'QTR Raw'!BB6+'QTR Raw'!BB8</f>
        <v>18229.59</v>
      </c>
      <c r="CI31" s="25">
        <f>'QTR Raw'!BC6+'QTR Raw'!BC8</f>
        <v>17058.650000000001</v>
      </c>
      <c r="CJ31" s="25">
        <f>'QTR Raw'!BD6+'QTR Raw'!BD8</f>
        <v>17604.57</v>
      </c>
      <c r="CK31" s="25">
        <f>'QTR Raw'!BE6+'QTR Raw'!BE8</f>
        <v>18602.669999999998</v>
      </c>
      <c r="CL31" s="25">
        <f>'QTR Raw'!BF6+'QTR Raw'!BF8</f>
        <v>21464.78</v>
      </c>
      <c r="CM31" s="17">
        <f t="shared" ref="CM31:DB31" si="91">+CM6</f>
        <v>18042.439209785465</v>
      </c>
      <c r="CN31" s="17">
        <f t="shared" si="91"/>
        <v>18921.333268591887</v>
      </c>
      <c r="CO31" s="17">
        <f t="shared" si="91"/>
        <v>20213.847090340554</v>
      </c>
      <c r="CP31" s="17">
        <f t="shared" si="91"/>
        <v>23504.547120169267</v>
      </c>
      <c r="CQ31" s="17">
        <f t="shared" si="91"/>
        <v>18686.77122690004</v>
      </c>
      <c r="CR31" s="17">
        <f t="shared" si="91"/>
        <v>19645.931349955117</v>
      </c>
      <c r="CS31" s="17">
        <f t="shared" si="91"/>
        <v>21018.133403611315</v>
      </c>
      <c r="CT31" s="17">
        <f t="shared" si="91"/>
        <v>24427.737411359456</v>
      </c>
      <c r="CU31" s="17">
        <f t="shared" si="91"/>
        <v>20211.195762065421</v>
      </c>
      <c r="CV31" s="17">
        <f t="shared" si="91"/>
        <v>21238.343037032453</v>
      </c>
      <c r="CW31" s="17">
        <f t="shared" si="91"/>
        <v>22733.815543237364</v>
      </c>
      <c r="CX31" s="17">
        <f t="shared" si="91"/>
        <v>26433.083846637248</v>
      </c>
      <c r="CY31" s="17">
        <f t="shared" si="91"/>
        <v>21885.863134887077</v>
      </c>
      <c r="CZ31" s="17">
        <f t="shared" si="91"/>
        <v>22974.176091301379</v>
      </c>
      <c r="DA31" s="17">
        <f t="shared" si="91"/>
        <v>24602.784619077247</v>
      </c>
      <c r="DB31" s="17">
        <f t="shared" si="91"/>
        <v>28623.156513986942</v>
      </c>
      <c r="DE31" s="119"/>
      <c r="DF31" s="25">
        <v>21619.205849999998</v>
      </c>
    </row>
    <row r="32" spans="1:110" s="92" customFormat="1" outlineLevel="1" x14ac:dyDescent="0.2">
      <c r="A32" s="92" t="s">
        <v>109</v>
      </c>
      <c r="B32" s="92">
        <f>'Annual Raw'!C7+'Annual Raw'!C8+'Annual Raw'!C9</f>
        <v>0</v>
      </c>
      <c r="C32" s="92">
        <f>'Annual Raw'!D7+'Annual Raw'!D8+'Annual Raw'!D9</f>
        <v>0</v>
      </c>
      <c r="D32" s="92">
        <f>'Annual Raw'!E7+'Annual Raw'!E8+'Annual Raw'!E9</f>
        <v>5.9029999999999996</v>
      </c>
      <c r="E32" s="92">
        <f>'Annual Raw'!F7+'Annual Raw'!F8+'Annual Raw'!F9</f>
        <v>30.452999999999999</v>
      </c>
      <c r="F32" s="92">
        <f>'Annual Raw'!G7+'Annual Raw'!G8+'Annual Raw'!G9</f>
        <v>24.702000000000002</v>
      </c>
      <c r="G32" s="92">
        <f>'Annual Raw'!H7+'Annual Raw'!H8+'Annual Raw'!H9</f>
        <v>3.2789999999999999</v>
      </c>
      <c r="H32" s="92">
        <f>'Annual Raw'!I7+'Annual Raw'!I8+'Annual Raw'!I9</f>
        <v>4.4450000000000003</v>
      </c>
      <c r="I32" s="92">
        <f>'Annual Raw'!J7+'Annual Raw'!J8+'Annual Raw'!J9</f>
        <v>7.9089999999999998</v>
      </c>
      <c r="J32" s="92">
        <f>'Annual Raw'!K7+'Annual Raw'!K8+'Annual Raw'!K9</f>
        <v>8.2959999999999994</v>
      </c>
      <c r="K32" s="92">
        <f>'Annual Raw'!L7+'Annual Raw'!L8+'Annual Raw'!L9</f>
        <v>6.5090000000000003</v>
      </c>
      <c r="L32" s="92">
        <f>'Annual Raw'!M7+'Annual Raw'!M8+'Annual Raw'!M9</f>
        <v>11.744999999999999</v>
      </c>
      <c r="M32" s="92">
        <f>'Annual Raw'!N7+'Annual Raw'!N8+'Annual Raw'!N9</f>
        <v>19.431000000000001</v>
      </c>
      <c r="N32" s="92">
        <f>'Annual Raw'!O7+'Annual Raw'!O8+'Annual Raw'!O9</f>
        <v>43.363999999999997</v>
      </c>
      <c r="O32" s="92">
        <f>'Annual Raw'!P7+'Annual Raw'!P8+'Annual Raw'!P9</f>
        <v>74.165999999999997</v>
      </c>
      <c r="P32" s="92">
        <f>'Annual Raw'!Q7+'Annual Raw'!Q8+'Annual Raw'!Q9</f>
        <v>80.966999999999999</v>
      </c>
      <c r="Q32" s="92">
        <f>'Annual Raw'!R7+'Annual Raw'!R8+'Annual Raw'!R9</f>
        <v>92.692999999999998</v>
      </c>
      <c r="R32" s="92">
        <f>'Annual Raw'!S7+'Annual Raw'!S8+'Annual Raw'!S9</f>
        <v>110.548</v>
      </c>
      <c r="S32" s="92">
        <f>'Annual Raw'!T7+'Annual Raw'!T8+'Annual Raw'!T9</f>
        <v>0</v>
      </c>
      <c r="T32" s="92">
        <f>'Annual Raw'!U7+'Annual Raw'!U8+'Annual Raw'!U9</f>
        <v>106.699</v>
      </c>
      <c r="U32" s="92">
        <f>'Annual Raw'!V7+'Annual Raw'!V8+'Annual Raw'!V9</f>
        <v>143.541</v>
      </c>
      <c r="V32" s="92">
        <f>'Annual Raw'!W7+'Annual Raw'!W8+'Annual Raw'!W9</f>
        <v>228.9</v>
      </c>
      <c r="W32" s="92">
        <f>'Annual Raw'!X7+'Annual Raw'!X8+'Annual Raw'!X9</f>
        <v>352.1</v>
      </c>
      <c r="X32" s="92">
        <f>'Annual Raw'!Y7+'Annual Raw'!Y8+'Annual Raw'!Y9</f>
        <v>394.1</v>
      </c>
      <c r="Y32" s="92">
        <f>'Annual Raw'!Z7+'Annual Raw'!Z8+'Annual Raw'!Z9</f>
        <v>444.09</v>
      </c>
      <c r="Z32" s="92">
        <f>'Annual Raw'!AA7+'Annual Raw'!AA8+'Annual Raw'!AA9</f>
        <v>604.20000000000005</v>
      </c>
      <c r="AA32" s="92">
        <f>'Annual Raw'!AB7+'Annual Raw'!AB8+'Annual Raw'!AB9</f>
        <v>867.25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92">
        <f>+'QTR Raw'!C20+'QTR Raw'!C19+'QTR Raw'!C13+'QTR Raw'!C7</f>
        <v>0</v>
      </c>
      <c r="AJ32" s="92">
        <f>+'QTR Raw'!D20+'QTR Raw'!D19+'QTR Raw'!D13+'QTR Raw'!D7</f>
        <v>0</v>
      </c>
      <c r="AK32" s="92">
        <f>+'QTR Raw'!E20+'QTR Raw'!E19+'QTR Raw'!E13+'QTR Raw'!E7</f>
        <v>0</v>
      </c>
      <c r="AL32" s="92">
        <f>+'QTR Raw'!F20+'QTR Raw'!F19+'QTR Raw'!F13+'QTR Raw'!F7</f>
        <v>0</v>
      </c>
      <c r="AM32" s="92">
        <f>+'QTR Raw'!G20+'QTR Raw'!G19+'QTR Raw'!G13+'QTR Raw'!G7</f>
        <v>0</v>
      </c>
      <c r="AN32" s="92">
        <f>+'QTR Raw'!H20+'QTR Raw'!H19+'QTR Raw'!H13+'QTR Raw'!H7</f>
        <v>0</v>
      </c>
      <c r="AO32" s="92">
        <f>+'QTR Raw'!I20+'QTR Raw'!I19+'QTR Raw'!I13+'QTR Raw'!I7</f>
        <v>0</v>
      </c>
      <c r="AP32" s="92">
        <f>+'QTR Raw'!J20+'QTR Raw'!J19+'QTR Raw'!J13+'QTR Raw'!J7</f>
        <v>0</v>
      </c>
      <c r="AQ32" s="92">
        <f>+'QTR Raw'!K20+'QTR Raw'!K19+'QTR Raw'!K13+'QTR Raw'!K7</f>
        <v>0</v>
      </c>
      <c r="AR32" s="92">
        <f>+'QTR Raw'!L20+'QTR Raw'!L19+'QTR Raw'!L13+'QTR Raw'!L7</f>
        <v>0</v>
      </c>
      <c r="AS32" s="92">
        <f>+'QTR Raw'!M20+'QTR Raw'!M19+'QTR Raw'!M13+'QTR Raw'!M7</f>
        <v>0</v>
      </c>
      <c r="AT32" s="92">
        <f>+'QTR Raw'!N20+'QTR Raw'!N19+'QTR Raw'!N13+'QTR Raw'!N7</f>
        <v>0</v>
      </c>
      <c r="AU32" s="92">
        <f>+'QTR Raw'!O20+'QTR Raw'!O19+'QTR Raw'!O13+'QTR Raw'!O7</f>
        <v>0</v>
      </c>
      <c r="AV32" s="92">
        <f>+'QTR Raw'!P20+'QTR Raw'!P19+'QTR Raw'!P13+'QTR Raw'!P7</f>
        <v>0</v>
      </c>
      <c r="AW32" s="92">
        <f>+'QTR Raw'!Q20+'QTR Raw'!Q19+'QTR Raw'!Q13+'QTR Raw'!Q7</f>
        <v>0</v>
      </c>
      <c r="AX32" s="92">
        <f>+'QTR Raw'!R20+'QTR Raw'!R19+'QTR Raw'!R13+'QTR Raw'!R7</f>
        <v>0</v>
      </c>
      <c r="AY32" s="92">
        <f>+'QTR Raw'!S20+'QTR Raw'!S19+'QTR Raw'!S13+'QTR Raw'!S7</f>
        <v>0</v>
      </c>
      <c r="AZ32" s="92">
        <f>+'QTR Raw'!T20+'QTR Raw'!T19+'QTR Raw'!T13+'QTR Raw'!T7</f>
        <v>0</v>
      </c>
      <c r="BA32" s="92">
        <f>+'QTR Raw'!U20+'QTR Raw'!U19+'QTR Raw'!U13+'QTR Raw'!U7</f>
        <v>0</v>
      </c>
      <c r="BB32" s="92">
        <f>+'QTR Raw'!V20+'QTR Raw'!V19+'QTR Raw'!V13+'QTR Raw'!V7</f>
        <v>0</v>
      </c>
      <c r="BC32" s="92">
        <f>+'QTR Raw'!W20+'QTR Raw'!W19+'QTR Raw'!W13+'QTR Raw'!W7</f>
        <v>0</v>
      </c>
      <c r="BD32" s="92">
        <f>+'QTR Raw'!X20+'QTR Raw'!X19+'QTR Raw'!X13+'QTR Raw'!X7</f>
        <v>0</v>
      </c>
      <c r="BE32" s="92">
        <f>+'QTR Raw'!Y20+'QTR Raw'!Y19+'QTR Raw'!Y13+'QTR Raw'!Y7</f>
        <v>0</v>
      </c>
      <c r="BF32" s="92">
        <f>+'QTR Raw'!Z20+'QTR Raw'!Z19+'QTR Raw'!Z13+'QTR Raw'!Z7</f>
        <v>0</v>
      </c>
      <c r="BG32" s="92">
        <f>+'QTR Raw'!AA20+'QTR Raw'!AA19+'QTR Raw'!AA13+'QTR Raw'!AA7</f>
        <v>0</v>
      </c>
      <c r="BH32" s="92">
        <f>+'QTR Raw'!AB20+'QTR Raw'!AB19+'QTR Raw'!AB13+'QTR Raw'!AB7</f>
        <v>0</v>
      </c>
      <c r="BI32" s="92">
        <f>+'QTR Raw'!AC20+'QTR Raw'!AC19+'QTR Raw'!AC13+'QTR Raw'!AC7</f>
        <v>0</v>
      </c>
      <c r="BJ32" s="92">
        <f>+'QTR Raw'!AD20+'QTR Raw'!AD19+'QTR Raw'!AD13+'QTR Raw'!AD7</f>
        <v>0</v>
      </c>
      <c r="BK32" s="92">
        <f>+'QTR Raw'!AE20+'QTR Raw'!AE19+'QTR Raw'!AE13+'QTR Raw'!AE7</f>
        <v>0</v>
      </c>
      <c r="BL32" s="92">
        <f>+'QTR Raw'!AF20+'QTR Raw'!AF19+'QTR Raw'!AF13+'QTR Raw'!AF7</f>
        <v>0</v>
      </c>
      <c r="BM32" s="92">
        <f>+'QTR Raw'!AG20+'QTR Raw'!AG19+'QTR Raw'!AG13+'QTR Raw'!AG7</f>
        <v>0</v>
      </c>
      <c r="BN32" s="92">
        <f>+'QTR Raw'!AH20+'QTR Raw'!AH19+'QTR Raw'!AH13+'QTR Raw'!AH7</f>
        <v>0</v>
      </c>
      <c r="BO32" s="92">
        <f>+'QTR Raw'!AI20+'QTR Raw'!AI19+'QTR Raw'!AI13+'QTR Raw'!AI7</f>
        <v>0</v>
      </c>
      <c r="BP32" s="92">
        <f>+'QTR Raw'!AJ20+'QTR Raw'!AJ19+'QTR Raw'!AJ13+'QTR Raw'!AJ7</f>
        <v>0</v>
      </c>
      <c r="BQ32" s="92">
        <f>+'QTR Raw'!AK20+'QTR Raw'!AK19+'QTR Raw'!AK13+'QTR Raw'!AK7</f>
        <v>0</v>
      </c>
      <c r="BR32" s="92">
        <f>+'QTR Raw'!AL20+'QTR Raw'!AL19+'QTR Raw'!AL13+'QTR Raw'!AL7</f>
        <v>0</v>
      </c>
      <c r="BS32" s="92">
        <f>+'QTR Raw'!AM20+'QTR Raw'!AM19+'QTR Raw'!AM13+'QTR Raw'!AM7</f>
        <v>0</v>
      </c>
      <c r="BT32" s="92">
        <f>+'QTR Raw'!AN20+'QTR Raw'!AN19+'QTR Raw'!AN13+'QTR Raw'!AN7</f>
        <v>0</v>
      </c>
      <c r="BU32" s="92">
        <f>+'QTR Raw'!AO20+'QTR Raw'!AO19+'QTR Raw'!AO13+'QTR Raw'!AO7</f>
        <v>0</v>
      </c>
      <c r="BV32" s="92">
        <f>+'QTR Raw'!AP20+'QTR Raw'!AP19+'QTR Raw'!AP13+'QTR Raw'!AP7</f>
        <v>0</v>
      </c>
      <c r="BW32" s="92">
        <f>+'QTR Raw'!AQ20+'QTR Raw'!AQ19+'QTR Raw'!AQ13+'QTR Raw'!AQ7</f>
        <v>0</v>
      </c>
      <c r="BX32" s="92">
        <f>+'QTR Raw'!AR20+'QTR Raw'!AR19+'QTR Raw'!AR13+'QTR Raw'!AR7</f>
        <v>0</v>
      </c>
      <c r="BY32" s="92">
        <f>+'QTR Raw'!AS20+'QTR Raw'!AS19+'QTR Raw'!AS13+'QTR Raw'!AS7</f>
        <v>0</v>
      </c>
      <c r="BZ32" s="92">
        <f>+'QTR Raw'!AT20+'QTR Raw'!AT19+'QTR Raw'!AT13+'QTR Raw'!AT7</f>
        <v>0</v>
      </c>
      <c r="CA32" s="92">
        <f>+'QTR Raw'!AU20+'QTR Raw'!AU19+'QTR Raw'!AU13+'QTR Raw'!AU7</f>
        <v>0</v>
      </c>
      <c r="CB32" s="92">
        <f>+'QTR Raw'!AV20+'QTR Raw'!AV19+'QTR Raw'!AV13+'QTR Raw'!AV7</f>
        <v>0</v>
      </c>
      <c r="CC32" s="92">
        <f>+'QTR Raw'!AW20+'QTR Raw'!AW19+'QTR Raw'!AW13+'QTR Raw'!AW7</f>
        <v>0</v>
      </c>
      <c r="CD32" s="92">
        <f>+'QTR Raw'!AX20+'QTR Raw'!AX19+'QTR Raw'!AX13+'QTR Raw'!AX7</f>
        <v>0</v>
      </c>
      <c r="CE32" s="92">
        <f>+'QTR Raw'!AY20+'QTR Raw'!AY19+'QTR Raw'!AY13+'QTR Raw'!AY7</f>
        <v>0</v>
      </c>
      <c r="CF32" s="92">
        <f>+'QTR Raw'!AZ20+'QTR Raw'!AZ19+'QTR Raw'!AZ13+'QTR Raw'!AZ7</f>
        <v>0</v>
      </c>
      <c r="CG32" s="92">
        <f>+'QTR Raw'!BA20+'QTR Raw'!BA19+'QTR Raw'!BA13+'QTR Raw'!BA7</f>
        <v>0</v>
      </c>
      <c r="CH32" s="92">
        <f>+'QTR Raw'!BB20+'QTR Raw'!BB19+'QTR Raw'!BB13+'QTR Raw'!BB7</f>
        <v>0</v>
      </c>
      <c r="CI32" s="92">
        <f>+'QTR Raw'!BC20+'QTR Raw'!BC19+'QTR Raw'!BC13+'QTR Raw'!BC7</f>
        <v>0</v>
      </c>
      <c r="CJ32" s="92">
        <f>+'QTR Raw'!BD20+'QTR Raw'!BD19+'QTR Raw'!BD13+'QTR Raw'!BD7</f>
        <v>0</v>
      </c>
      <c r="CK32" s="92">
        <f>+'QTR Raw'!BE20+'QTR Raw'!BE19+'QTR Raw'!BE13+'QTR Raw'!BE7</f>
        <v>0</v>
      </c>
      <c r="CL32" s="92">
        <f>+'QTR Raw'!BF20+'QTR Raw'!BF19+'QTR Raw'!BF13+'QTR Raw'!BF7</f>
        <v>0</v>
      </c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E32" s="120"/>
      <c r="DF32" s="92">
        <v>0</v>
      </c>
    </row>
    <row r="33" spans="1:110" s="26" customFormat="1" x14ac:dyDescent="0.2">
      <c r="A33" s="26" t="s">
        <v>431</v>
      </c>
      <c r="B33" s="26">
        <f>+B31-B32</f>
        <v>0</v>
      </c>
      <c r="C33" s="26">
        <f>+C31-C32</f>
        <v>0</v>
      </c>
      <c r="D33" s="26">
        <f t="shared" ref="D33:U33" si="92">+D31-D32</f>
        <v>1254.8689999999999</v>
      </c>
      <c r="E33" s="26">
        <f t="shared" si="92"/>
        <v>1825.3790000000001</v>
      </c>
      <c r="F33" s="26">
        <f t="shared" si="92"/>
        <v>2035.385</v>
      </c>
      <c r="G33" s="26">
        <f t="shared" si="92"/>
        <v>2680.2109999999998</v>
      </c>
      <c r="H33" s="26">
        <f t="shared" si="92"/>
        <v>2641.4319999999998</v>
      </c>
      <c r="I33" s="26">
        <f t="shared" si="92"/>
        <v>3392.5729999999999</v>
      </c>
      <c r="J33" s="26">
        <f t="shared" si="92"/>
        <v>5799.2150000000001</v>
      </c>
      <c r="K33" s="26">
        <f t="shared" si="92"/>
        <v>6109.299</v>
      </c>
      <c r="L33" s="26">
        <f t="shared" si="92"/>
        <v>8540.2489999999998</v>
      </c>
      <c r="M33" s="26">
        <f t="shared" si="92"/>
        <v>12042.727999999999</v>
      </c>
      <c r="N33" s="26">
        <f t="shared" si="92"/>
        <v>14253.498</v>
      </c>
      <c r="O33" s="26">
        <f t="shared" si="92"/>
        <v>17319.631999999998</v>
      </c>
      <c r="P33" s="26">
        <f t="shared" si="92"/>
        <v>17266.401999999998</v>
      </c>
      <c r="Q33" s="26">
        <f t="shared" si="92"/>
        <v>19034.967000000001</v>
      </c>
      <c r="R33" s="26">
        <f t="shared" si="92"/>
        <v>23198.363000000001</v>
      </c>
      <c r="S33" s="26">
        <f t="shared" si="92"/>
        <v>26471.909</v>
      </c>
      <c r="T33" s="26">
        <f t="shared" si="92"/>
        <v>28797.457999999999</v>
      </c>
      <c r="U33" s="26">
        <f t="shared" si="92"/>
        <v>29657.036</v>
      </c>
      <c r="V33" s="26">
        <f>+V31-V32</f>
        <v>37090.42</v>
      </c>
      <c r="W33" s="26">
        <f>+W31-W32</f>
        <v>54154.82</v>
      </c>
      <c r="X33" s="26">
        <f>+X31-X32</f>
        <v>58184.810000000005</v>
      </c>
      <c r="Y33" s="26">
        <f>+Y31-Y32</f>
        <v>51225.100000000006</v>
      </c>
      <c r="Z33" s="26">
        <f>+Z31-Z32</f>
        <v>63672.240000000005</v>
      </c>
      <c r="AA33" s="26">
        <f>+AA31-AA32</f>
        <v>74730.67</v>
      </c>
      <c r="AB33" s="27">
        <f t="shared" ref="AB33:AD33" si="93">+AB31-AB32</f>
        <v>80682.16668888717</v>
      </c>
      <c r="AC33" s="27">
        <f t="shared" si="93"/>
        <v>83778.573391825921</v>
      </c>
      <c r="AD33" s="27">
        <f t="shared" si="93"/>
        <v>90616.43818897249</v>
      </c>
      <c r="AE33" s="27">
        <f t="shared" ref="AE33" si="94">+AE31-AE32</f>
        <v>98085.98035925263</v>
      </c>
      <c r="AI33" s="26">
        <f t="shared" ref="AI33" si="95">+AI31-AI32</f>
        <v>0</v>
      </c>
      <c r="AJ33" s="26">
        <f t="shared" ref="AJ33" si="96">+AJ31-AJ32</f>
        <v>0</v>
      </c>
      <c r="AK33" s="26">
        <f t="shared" ref="AK33:AM33" si="97">+AK31-AK32</f>
        <v>0</v>
      </c>
      <c r="AL33" s="26">
        <f t="shared" si="97"/>
        <v>0</v>
      </c>
      <c r="AM33" s="26">
        <f t="shared" si="97"/>
        <v>0</v>
      </c>
      <c r="AN33" s="26">
        <f t="shared" ref="AN33:AO33" si="98">+AN31-AN32</f>
        <v>0</v>
      </c>
      <c r="AO33" s="26">
        <f t="shared" si="98"/>
        <v>0</v>
      </c>
      <c r="AP33" s="26">
        <f t="shared" ref="AP33:AW33" si="99">+AP31-AP32</f>
        <v>0</v>
      </c>
      <c r="AQ33" s="26">
        <f t="shared" si="99"/>
        <v>0</v>
      </c>
      <c r="AR33" s="26">
        <f t="shared" si="99"/>
        <v>0</v>
      </c>
      <c r="AS33" s="26">
        <f t="shared" si="99"/>
        <v>0</v>
      </c>
      <c r="AT33" s="26">
        <f t="shared" si="99"/>
        <v>0</v>
      </c>
      <c r="AU33" s="26">
        <f t="shared" si="99"/>
        <v>0</v>
      </c>
      <c r="AV33" s="26">
        <f t="shared" si="99"/>
        <v>0</v>
      </c>
      <c r="AW33" s="26">
        <f t="shared" si="99"/>
        <v>0</v>
      </c>
      <c r="AX33" s="26">
        <f t="shared" ref="AX33:CF33" si="100">+AX31-AX32</f>
        <v>0</v>
      </c>
      <c r="AY33" s="26">
        <f t="shared" si="100"/>
        <v>0</v>
      </c>
      <c r="AZ33" s="26">
        <f t="shared" si="100"/>
        <v>0</v>
      </c>
      <c r="BA33" s="26">
        <f t="shared" si="100"/>
        <v>0</v>
      </c>
      <c r="BB33" s="26">
        <f t="shared" si="100"/>
        <v>0</v>
      </c>
      <c r="BC33" s="26">
        <f t="shared" si="100"/>
        <v>0</v>
      </c>
      <c r="BD33" s="26">
        <f t="shared" si="100"/>
        <v>0</v>
      </c>
      <c r="BE33" s="26">
        <f t="shared" si="100"/>
        <v>0</v>
      </c>
      <c r="BF33" s="26">
        <f t="shared" si="100"/>
        <v>0</v>
      </c>
      <c r="BG33" s="26">
        <f t="shared" si="100"/>
        <v>0</v>
      </c>
      <c r="BH33" s="26">
        <f t="shared" si="100"/>
        <v>0</v>
      </c>
      <c r="BI33" s="26">
        <f t="shared" si="100"/>
        <v>0</v>
      </c>
      <c r="BJ33" s="26">
        <f t="shared" si="100"/>
        <v>0</v>
      </c>
      <c r="BK33" s="26">
        <f t="shared" si="100"/>
        <v>0</v>
      </c>
      <c r="BL33" s="26">
        <f t="shared" si="100"/>
        <v>0</v>
      </c>
      <c r="BM33" s="26">
        <f t="shared" si="100"/>
        <v>0</v>
      </c>
      <c r="BN33" s="26">
        <f t="shared" si="100"/>
        <v>0</v>
      </c>
      <c r="BO33" s="26">
        <f t="shared" si="100"/>
        <v>0</v>
      </c>
      <c r="BP33" s="26">
        <f t="shared" si="100"/>
        <v>0</v>
      </c>
      <c r="BQ33" s="26">
        <f t="shared" si="100"/>
        <v>10229.49</v>
      </c>
      <c r="BR33" s="26">
        <f t="shared" si="100"/>
        <v>10672.34</v>
      </c>
      <c r="BS33" s="26">
        <f t="shared" si="100"/>
        <v>11311.97</v>
      </c>
      <c r="BT33" s="26">
        <f t="shared" si="100"/>
        <v>13558.47</v>
      </c>
      <c r="BU33" s="26">
        <f t="shared" si="100"/>
        <v>14370.92</v>
      </c>
      <c r="BV33" s="26">
        <f t="shared" si="100"/>
        <v>14917.26</v>
      </c>
      <c r="BW33" s="26">
        <f t="shared" si="100"/>
        <v>14724.09</v>
      </c>
      <c r="BX33" s="26">
        <f t="shared" si="100"/>
        <v>14150.03</v>
      </c>
      <c r="BY33" s="26">
        <f t="shared" si="100"/>
        <v>15438.05</v>
      </c>
      <c r="BZ33" s="26">
        <f t="shared" si="100"/>
        <v>13872.64</v>
      </c>
      <c r="CA33" s="26">
        <f t="shared" si="100"/>
        <v>12928.08</v>
      </c>
      <c r="CB33" s="26">
        <f t="shared" si="100"/>
        <v>12267.15</v>
      </c>
      <c r="CC33" s="26">
        <f t="shared" si="100"/>
        <v>12828.36</v>
      </c>
      <c r="CD33" s="26">
        <f t="shared" si="100"/>
        <v>13222.83</v>
      </c>
      <c r="CE33" s="26">
        <f t="shared" si="100"/>
        <v>14153.85</v>
      </c>
      <c r="CF33" s="26">
        <f t="shared" si="100"/>
        <v>14449.94</v>
      </c>
      <c r="CG33" s="26">
        <f t="shared" ref="CG33:CH33" si="101">+CG31-CG32</f>
        <v>16838.86</v>
      </c>
      <c r="CH33" s="26">
        <f t="shared" si="101"/>
        <v>18229.59</v>
      </c>
      <c r="CI33" s="26">
        <f t="shared" ref="CI33:CJ33" si="102">+CI31-CI32</f>
        <v>17058.650000000001</v>
      </c>
      <c r="CJ33" s="26">
        <f t="shared" si="102"/>
        <v>17604.57</v>
      </c>
      <c r="CK33" s="26">
        <f t="shared" ref="CK33:CL33" si="103">+CK31-CK32</f>
        <v>18602.669999999998</v>
      </c>
      <c r="CL33" s="26">
        <f t="shared" si="103"/>
        <v>21464.78</v>
      </c>
      <c r="CM33" s="27">
        <f t="shared" ref="CM33:DB33" si="104">+CM31-CM32</f>
        <v>18042.439209785465</v>
      </c>
      <c r="CN33" s="27">
        <f t="shared" si="104"/>
        <v>18921.333268591887</v>
      </c>
      <c r="CO33" s="27">
        <f t="shared" si="104"/>
        <v>20213.847090340554</v>
      </c>
      <c r="CP33" s="27">
        <f t="shared" si="104"/>
        <v>23504.547120169267</v>
      </c>
      <c r="CQ33" s="27">
        <f t="shared" si="104"/>
        <v>18686.77122690004</v>
      </c>
      <c r="CR33" s="27">
        <f t="shared" si="104"/>
        <v>19645.931349955117</v>
      </c>
      <c r="CS33" s="27">
        <f t="shared" si="104"/>
        <v>21018.133403611315</v>
      </c>
      <c r="CT33" s="27">
        <f t="shared" si="104"/>
        <v>24427.737411359456</v>
      </c>
      <c r="CU33" s="27">
        <f t="shared" si="104"/>
        <v>20211.195762065421</v>
      </c>
      <c r="CV33" s="27">
        <f t="shared" si="104"/>
        <v>21238.343037032453</v>
      </c>
      <c r="CW33" s="27">
        <f t="shared" si="104"/>
        <v>22733.815543237364</v>
      </c>
      <c r="CX33" s="27">
        <f t="shared" si="104"/>
        <v>26433.083846637248</v>
      </c>
      <c r="CY33" s="27">
        <f t="shared" si="104"/>
        <v>21885.863134887077</v>
      </c>
      <c r="CZ33" s="27">
        <f t="shared" si="104"/>
        <v>22974.176091301379</v>
      </c>
      <c r="DA33" s="27">
        <f t="shared" si="104"/>
        <v>24602.784619077247</v>
      </c>
      <c r="DB33" s="27">
        <f t="shared" si="104"/>
        <v>28623.156513986942</v>
      </c>
      <c r="DE33" s="121"/>
      <c r="DF33" s="26">
        <v>21619.205849999998</v>
      </c>
    </row>
    <row r="34" spans="1:110" s="39" customFormat="1" x14ac:dyDescent="0.2">
      <c r="A34" s="39" t="s">
        <v>484</v>
      </c>
      <c r="C34" s="39" t="e">
        <f t="shared" ref="C34" si="105">C33/B33-1</f>
        <v>#DIV/0!</v>
      </c>
      <c r="D34" s="39" t="e">
        <f t="shared" ref="D34" si="106">D33/C33-1</f>
        <v>#DIV/0!</v>
      </c>
      <c r="E34" s="39">
        <f t="shared" ref="E34" si="107">E33/D33-1</f>
        <v>0.45463709757751625</v>
      </c>
      <c r="F34" s="39">
        <f t="shared" ref="F34:R34" si="108">F33/E33-1</f>
        <v>0.11504788868503457</v>
      </c>
      <c r="G34" s="39">
        <f t="shared" si="108"/>
        <v>0.31680787664250243</v>
      </c>
      <c r="H34" s="39">
        <f t="shared" si="108"/>
        <v>-1.4468636984177774E-2</v>
      </c>
      <c r="I34" s="39">
        <f t="shared" si="108"/>
        <v>0.28436885749850838</v>
      </c>
      <c r="J34" s="39">
        <f t="shared" si="108"/>
        <v>0.70938547232439819</v>
      </c>
      <c r="K34" s="39">
        <f>K33/J33-1</f>
        <v>5.346999550801268E-2</v>
      </c>
      <c r="L34" s="39">
        <f t="shared" si="108"/>
        <v>0.39790980929235897</v>
      </c>
      <c r="M34" s="39">
        <f t="shared" si="108"/>
        <v>0.41011438893643493</v>
      </c>
      <c r="N34" s="39">
        <f t="shared" si="108"/>
        <v>0.18357717620127278</v>
      </c>
      <c r="O34" s="39">
        <f t="shared" si="108"/>
        <v>0.21511449329841681</v>
      </c>
      <c r="P34" s="39">
        <f t="shared" si="108"/>
        <v>-3.0733909357889555E-3</v>
      </c>
      <c r="Q34" s="39">
        <f t="shared" si="108"/>
        <v>0.1024281144386654</v>
      </c>
      <c r="R34" s="39">
        <f t="shared" si="108"/>
        <v>0.21872357330590586</v>
      </c>
      <c r="S34" s="39">
        <f t="shared" ref="S34:AA34" si="109">S33/R33-1</f>
        <v>0.14111107753594498</v>
      </c>
      <c r="T34" s="39">
        <f t="shared" si="109"/>
        <v>8.7849690024244254E-2</v>
      </c>
      <c r="U34" s="39">
        <f t="shared" si="109"/>
        <v>2.9849092930355203E-2</v>
      </c>
      <c r="V34" s="39">
        <f t="shared" si="109"/>
        <v>0.25064487226572463</v>
      </c>
      <c r="W34" s="39">
        <f t="shared" si="109"/>
        <v>0.46007567452727693</v>
      </c>
      <c r="X34" s="39">
        <f t="shared" si="109"/>
        <v>7.4416090756095343E-2</v>
      </c>
      <c r="Y34" s="39">
        <f t="shared" si="109"/>
        <v>-0.11961386485579306</v>
      </c>
      <c r="Z34" s="39">
        <f t="shared" si="109"/>
        <v>0.24298908152448706</v>
      </c>
      <c r="AA34" s="39">
        <f t="shared" si="109"/>
        <v>0.17367741420751015</v>
      </c>
      <c r="AB34" s="40">
        <f t="shared" ref="AB34" si="110">AB33/AA33-1</f>
        <v>7.9639279145860442E-2</v>
      </c>
      <c r="AC34" s="40">
        <f t="shared" ref="AC34" si="111">AC33/AB33-1</f>
        <v>3.8377832797656275E-2</v>
      </c>
      <c r="AD34" s="40">
        <f t="shared" ref="AD34" si="112">AD33/AC33-1</f>
        <v>8.1618300721908899E-2</v>
      </c>
      <c r="AE34" s="40">
        <f t="shared" ref="AE34" si="113">AE33/AD33-1</f>
        <v>8.2430321910281545E-2</v>
      </c>
      <c r="AM34" s="39" t="e">
        <f t="shared" ref="AM34:CI34" si="114">+IF(AI33&lt;0,1-AM33/AI33,AM33/AI33-1)</f>
        <v>#DIV/0!</v>
      </c>
      <c r="AN34" s="39" t="e">
        <f t="shared" si="114"/>
        <v>#DIV/0!</v>
      </c>
      <c r="AO34" s="39" t="e">
        <f t="shared" si="114"/>
        <v>#DIV/0!</v>
      </c>
      <c r="AP34" s="39" t="e">
        <f t="shared" si="114"/>
        <v>#DIV/0!</v>
      </c>
      <c r="AQ34" s="39" t="e">
        <f t="shared" si="114"/>
        <v>#DIV/0!</v>
      </c>
      <c r="AR34" s="39" t="e">
        <f t="shared" si="114"/>
        <v>#DIV/0!</v>
      </c>
      <c r="AS34" s="39" t="e">
        <f t="shared" si="114"/>
        <v>#DIV/0!</v>
      </c>
      <c r="AT34" s="39" t="e">
        <f t="shared" si="114"/>
        <v>#DIV/0!</v>
      </c>
      <c r="AU34" s="39" t="e">
        <f t="shared" si="114"/>
        <v>#DIV/0!</v>
      </c>
      <c r="AV34" s="39" t="e">
        <f t="shared" si="114"/>
        <v>#DIV/0!</v>
      </c>
      <c r="AW34" s="39" t="e">
        <f t="shared" si="114"/>
        <v>#DIV/0!</v>
      </c>
      <c r="AX34" s="39" t="e">
        <f t="shared" si="114"/>
        <v>#DIV/0!</v>
      </c>
      <c r="AY34" s="39" t="e">
        <f t="shared" si="114"/>
        <v>#DIV/0!</v>
      </c>
      <c r="AZ34" s="39" t="e">
        <f t="shared" si="114"/>
        <v>#DIV/0!</v>
      </c>
      <c r="BA34" s="39" t="e">
        <f t="shared" si="114"/>
        <v>#DIV/0!</v>
      </c>
      <c r="BB34" s="39" t="e">
        <f t="shared" si="114"/>
        <v>#DIV/0!</v>
      </c>
      <c r="BC34" s="39" t="e">
        <f t="shared" si="114"/>
        <v>#DIV/0!</v>
      </c>
      <c r="BD34" s="39" t="e">
        <f t="shared" si="114"/>
        <v>#DIV/0!</v>
      </c>
      <c r="BE34" s="39" t="e">
        <f t="shared" si="114"/>
        <v>#DIV/0!</v>
      </c>
      <c r="BF34" s="39" t="e">
        <f t="shared" si="114"/>
        <v>#DIV/0!</v>
      </c>
      <c r="BG34" s="39" t="e">
        <f t="shared" si="114"/>
        <v>#DIV/0!</v>
      </c>
      <c r="BH34" s="39" t="e">
        <f t="shared" si="114"/>
        <v>#DIV/0!</v>
      </c>
      <c r="BI34" s="39" t="e">
        <f t="shared" si="114"/>
        <v>#DIV/0!</v>
      </c>
      <c r="BJ34" s="39" t="e">
        <f t="shared" si="114"/>
        <v>#DIV/0!</v>
      </c>
      <c r="BK34" s="39" t="e">
        <f t="shared" si="114"/>
        <v>#DIV/0!</v>
      </c>
      <c r="BL34" s="39" t="e">
        <f t="shared" si="114"/>
        <v>#DIV/0!</v>
      </c>
      <c r="BM34" s="39" t="e">
        <f t="shared" si="114"/>
        <v>#DIV/0!</v>
      </c>
      <c r="BN34" s="39" t="e">
        <f t="shared" si="114"/>
        <v>#DIV/0!</v>
      </c>
      <c r="BO34" s="39" t="e">
        <f t="shared" si="114"/>
        <v>#DIV/0!</v>
      </c>
      <c r="BP34" s="39" t="e">
        <f t="shared" si="114"/>
        <v>#DIV/0!</v>
      </c>
      <c r="BQ34" s="39" t="e">
        <f t="shared" si="114"/>
        <v>#DIV/0!</v>
      </c>
      <c r="BR34" s="39" t="e">
        <f t="shared" si="114"/>
        <v>#DIV/0!</v>
      </c>
      <c r="BS34" s="39" t="e">
        <f t="shared" si="114"/>
        <v>#DIV/0!</v>
      </c>
      <c r="BT34" s="39" t="e">
        <f t="shared" si="114"/>
        <v>#DIV/0!</v>
      </c>
      <c r="BU34" s="39">
        <f t="shared" si="114"/>
        <v>0.40485205029771776</v>
      </c>
      <c r="BV34" s="39">
        <f t="shared" si="114"/>
        <v>0.39774969687997186</v>
      </c>
      <c r="BW34" s="39">
        <f t="shared" si="114"/>
        <v>0.30163799939356273</v>
      </c>
      <c r="BX34" s="39">
        <f t="shared" si="114"/>
        <v>4.3630291618449668E-2</v>
      </c>
      <c r="BY34" s="39">
        <f t="shared" si="114"/>
        <v>7.4256206283244142E-2</v>
      </c>
      <c r="BZ34" s="39">
        <f t="shared" si="114"/>
        <v>-7.0027605605855303E-2</v>
      </c>
      <c r="CA34" s="39">
        <f t="shared" si="114"/>
        <v>-0.12197765702328633</v>
      </c>
      <c r="CB34" s="39">
        <f t="shared" si="114"/>
        <v>-0.13306544226408012</v>
      </c>
      <c r="CC34" s="39">
        <f t="shared" si="114"/>
        <v>-0.1690427223645472</v>
      </c>
      <c r="CD34" s="39">
        <f t="shared" si="114"/>
        <v>-4.6841120363535715E-2</v>
      </c>
      <c r="CE34" s="39">
        <f t="shared" si="114"/>
        <v>9.4814543226836578E-2</v>
      </c>
      <c r="CF34" s="39">
        <f t="shared" si="114"/>
        <v>0.17793782581936313</v>
      </c>
      <c r="CG34" s="39">
        <f t="shared" si="114"/>
        <v>0.31262764686990385</v>
      </c>
      <c r="CH34" s="39">
        <f t="shared" si="114"/>
        <v>0.37864511606063145</v>
      </c>
      <c r="CI34" s="39">
        <f t="shared" si="114"/>
        <v>0.20523037901348395</v>
      </c>
      <c r="CJ34" s="39">
        <f>+IF(CF33&lt;0,1-CJ33/CF33,CJ33/CF33-1)</f>
        <v>0.21831440130547253</v>
      </c>
      <c r="CK34" s="39">
        <f>+IF(CG33&lt;0,1-CK33/CG33,CK33/CG33-1)</f>
        <v>0.1047464020723492</v>
      </c>
      <c r="CL34" s="39">
        <f>+IF(CH33&lt;0,1-CL33/CH33,CL33/CH33-1)</f>
        <v>0.17746915865908108</v>
      </c>
      <c r="CM34" s="40">
        <f t="shared" ref="CM34:DB34" si="115">+IF(CI33&lt;0,1-CM33/CI33,CM33/CI33-1)</f>
        <v>5.767098860610087E-2</v>
      </c>
      <c r="CN34" s="40">
        <f t="shared" si="115"/>
        <v>7.479667317019878E-2</v>
      </c>
      <c r="CO34" s="40">
        <f t="shared" si="115"/>
        <v>8.660999148727333E-2</v>
      </c>
      <c r="CP34" s="40">
        <f t="shared" si="115"/>
        <v>9.5028559350213149E-2</v>
      </c>
      <c r="CQ34" s="40">
        <f t="shared" si="115"/>
        <v>3.5712023724880693E-2</v>
      </c>
      <c r="CR34" s="40">
        <f t="shared" si="115"/>
        <v>3.8295297222316504E-2</v>
      </c>
      <c r="CS34" s="40">
        <f t="shared" si="115"/>
        <v>3.9788878864879695E-2</v>
      </c>
      <c r="CT34" s="40">
        <f t="shared" si="115"/>
        <v>3.9277093341568703E-2</v>
      </c>
      <c r="CU34" s="40">
        <f t="shared" si="115"/>
        <v>8.1577738425508972E-2</v>
      </c>
      <c r="CV34" s="40">
        <f t="shared" si="115"/>
        <v>8.105554573674989E-2</v>
      </c>
      <c r="CW34" s="40">
        <f t="shared" si="115"/>
        <v>8.1628663529714984E-2</v>
      </c>
      <c r="CX34" s="40">
        <f t="shared" si="115"/>
        <v>8.2093007694820752E-2</v>
      </c>
      <c r="CY34" s="40">
        <f t="shared" si="115"/>
        <v>8.2858401478890009E-2</v>
      </c>
      <c r="CZ34" s="40">
        <f t="shared" si="115"/>
        <v>8.173109602958295E-2</v>
      </c>
      <c r="DA34" s="40">
        <f t="shared" si="115"/>
        <v>8.2210972121476766E-2</v>
      </c>
      <c r="DB34" s="40">
        <f t="shared" si="115"/>
        <v>8.2853468027277E-2</v>
      </c>
      <c r="DE34" s="122"/>
      <c r="DF34" s="39">
        <v>0.18594032284873108</v>
      </c>
    </row>
    <row r="35" spans="1:110" s="39" customFormat="1" x14ac:dyDescent="0.2">
      <c r="A35" s="39" t="s">
        <v>446</v>
      </c>
      <c r="AB35" s="40"/>
      <c r="AC35" s="40"/>
      <c r="AD35" s="40"/>
      <c r="AE35" s="40"/>
      <c r="AJ35" s="39" t="e">
        <f t="shared" ref="AJ35:AL35" si="116">+IF(AI33&lt;0,1-AJ33/AI33,AJ33/AI33-1)</f>
        <v>#DIV/0!</v>
      </c>
      <c r="AK35" s="39" t="e">
        <f t="shared" si="116"/>
        <v>#DIV/0!</v>
      </c>
      <c r="AL35" s="39" t="e">
        <f t="shared" si="116"/>
        <v>#DIV/0!</v>
      </c>
      <c r="AM35" s="39" t="e">
        <f t="shared" ref="AM35:CI35" si="117">+IF(AL33&lt;0,1-AM33/AL33,AM33/AL33-1)</f>
        <v>#DIV/0!</v>
      </c>
      <c r="AN35" s="39" t="e">
        <f t="shared" si="117"/>
        <v>#DIV/0!</v>
      </c>
      <c r="AO35" s="39" t="e">
        <f t="shared" si="117"/>
        <v>#DIV/0!</v>
      </c>
      <c r="AP35" s="39" t="e">
        <f t="shared" si="117"/>
        <v>#DIV/0!</v>
      </c>
      <c r="AQ35" s="39" t="e">
        <f t="shared" si="117"/>
        <v>#DIV/0!</v>
      </c>
      <c r="AR35" s="39" t="e">
        <f t="shared" si="117"/>
        <v>#DIV/0!</v>
      </c>
      <c r="AS35" s="39" t="e">
        <f t="shared" si="117"/>
        <v>#DIV/0!</v>
      </c>
      <c r="AT35" s="39" t="e">
        <f t="shared" si="117"/>
        <v>#DIV/0!</v>
      </c>
      <c r="AU35" s="39" t="e">
        <f t="shared" si="117"/>
        <v>#DIV/0!</v>
      </c>
      <c r="AV35" s="39" t="e">
        <f t="shared" si="117"/>
        <v>#DIV/0!</v>
      </c>
      <c r="AW35" s="39" t="e">
        <f t="shared" si="117"/>
        <v>#DIV/0!</v>
      </c>
      <c r="AX35" s="39" t="e">
        <f t="shared" si="117"/>
        <v>#DIV/0!</v>
      </c>
      <c r="AY35" s="39" t="e">
        <f t="shared" si="117"/>
        <v>#DIV/0!</v>
      </c>
      <c r="AZ35" s="39" t="e">
        <f t="shared" si="117"/>
        <v>#DIV/0!</v>
      </c>
      <c r="BA35" s="39" t="e">
        <f t="shared" si="117"/>
        <v>#DIV/0!</v>
      </c>
      <c r="BB35" s="39" t="e">
        <f t="shared" si="117"/>
        <v>#DIV/0!</v>
      </c>
      <c r="BC35" s="39" t="e">
        <f t="shared" si="117"/>
        <v>#DIV/0!</v>
      </c>
      <c r="BD35" s="39" t="e">
        <f t="shared" si="117"/>
        <v>#DIV/0!</v>
      </c>
      <c r="BE35" s="39" t="e">
        <f t="shared" si="117"/>
        <v>#DIV/0!</v>
      </c>
      <c r="BF35" s="39" t="e">
        <f t="shared" si="117"/>
        <v>#DIV/0!</v>
      </c>
      <c r="BG35" s="39" t="e">
        <f t="shared" si="117"/>
        <v>#DIV/0!</v>
      </c>
      <c r="BH35" s="39" t="e">
        <f t="shared" si="117"/>
        <v>#DIV/0!</v>
      </c>
      <c r="BI35" s="39" t="e">
        <f t="shared" si="117"/>
        <v>#DIV/0!</v>
      </c>
      <c r="BJ35" s="39" t="e">
        <f t="shared" si="117"/>
        <v>#DIV/0!</v>
      </c>
      <c r="BK35" s="39" t="e">
        <f t="shared" si="117"/>
        <v>#DIV/0!</v>
      </c>
      <c r="BL35" s="39" t="e">
        <f t="shared" si="117"/>
        <v>#DIV/0!</v>
      </c>
      <c r="BM35" s="39" t="e">
        <f t="shared" si="117"/>
        <v>#DIV/0!</v>
      </c>
      <c r="BN35" s="39" t="e">
        <f t="shared" si="117"/>
        <v>#DIV/0!</v>
      </c>
      <c r="BO35" s="39" t="e">
        <f t="shared" si="117"/>
        <v>#DIV/0!</v>
      </c>
      <c r="BP35" s="39" t="e">
        <f t="shared" si="117"/>
        <v>#DIV/0!</v>
      </c>
      <c r="BQ35" s="39" t="e">
        <f t="shared" si="117"/>
        <v>#DIV/0!</v>
      </c>
      <c r="BR35" s="39">
        <f t="shared" si="117"/>
        <v>4.329150329097553E-2</v>
      </c>
      <c r="BS35" s="39">
        <f t="shared" si="117"/>
        <v>5.9933435404044388E-2</v>
      </c>
      <c r="BT35" s="39">
        <f t="shared" si="117"/>
        <v>0.19859493969662223</v>
      </c>
      <c r="BU35" s="39">
        <f t="shared" si="117"/>
        <v>5.9921952845712001E-2</v>
      </c>
      <c r="BV35" s="39">
        <f t="shared" si="117"/>
        <v>3.8017051100416754E-2</v>
      </c>
      <c r="BW35" s="39">
        <f t="shared" si="117"/>
        <v>-1.2949429050643335E-2</v>
      </c>
      <c r="BX35" s="39">
        <f t="shared" si="117"/>
        <v>-3.8987808414645664E-2</v>
      </c>
      <c r="BY35" s="39">
        <f t="shared" si="117"/>
        <v>9.1025955422002536E-2</v>
      </c>
      <c r="BZ35" s="39">
        <f t="shared" si="117"/>
        <v>-0.10139946431058322</v>
      </c>
      <c r="CA35" s="39">
        <f t="shared" si="117"/>
        <v>-6.8087977486621098E-2</v>
      </c>
      <c r="CB35" s="39">
        <f t="shared" si="117"/>
        <v>-5.112360072029265E-2</v>
      </c>
      <c r="CC35" s="39">
        <f t="shared" si="117"/>
        <v>4.5749012606840278E-2</v>
      </c>
      <c r="CD35" s="39">
        <f t="shared" si="117"/>
        <v>3.0749838638765903E-2</v>
      </c>
      <c r="CE35" s="39">
        <f t="shared" si="117"/>
        <v>7.0410040815770847E-2</v>
      </c>
      <c r="CF35" s="39">
        <f t="shared" si="117"/>
        <v>2.0919396489294417E-2</v>
      </c>
      <c r="CG35" s="39">
        <f t="shared" si="117"/>
        <v>0.16532386985689906</v>
      </c>
      <c r="CH35" s="39">
        <f t="shared" si="117"/>
        <v>8.2590507908492539E-2</v>
      </c>
      <c r="CI35" s="39">
        <f t="shared" si="117"/>
        <v>-6.4232931184957986E-2</v>
      </c>
      <c r="CJ35" s="39">
        <f>+IF(CI33&lt;0,1-CJ33/CI33,CJ33/CI33-1)</f>
        <v>3.2002532439554088E-2</v>
      </c>
      <c r="CK35" s="39">
        <f>+IF(CJ33&lt;0,1-CK33/CJ33,CK33/CJ33-1)</f>
        <v>5.6695505769240429E-2</v>
      </c>
      <c r="CL35" s="39">
        <f>+IF(CK33&lt;0,1-CL33/CK33,CL33/CK33-1)</f>
        <v>0.15385479611260111</v>
      </c>
      <c r="CM35" s="40">
        <f t="shared" ref="CM35" si="118">+CM33/CL33-1</f>
        <v>-0.15943982608787666</v>
      </c>
      <c r="CN35" s="40">
        <f t="shared" ref="CN35" si="119">+CN33/CM33-1</f>
        <v>4.8712596372764594E-2</v>
      </c>
      <c r="CO35" s="40">
        <f t="shared" ref="CO35" si="120">+CO33/CN33-1</f>
        <v>6.8309870314168242E-2</v>
      </c>
      <c r="CP35" s="40">
        <f t="shared" ref="CP35" si="121">+CP33/CO33-1</f>
        <v>0.1627943466239643</v>
      </c>
      <c r="CQ35" s="40">
        <f t="shared" ref="CQ35" si="122">+CQ33/CP33-1</f>
        <v>-0.20497207917420757</v>
      </c>
      <c r="CR35" s="40">
        <f t="shared" ref="CR35" si="123">+CR33/CQ33-1</f>
        <v>5.1328295905626709E-2</v>
      </c>
      <c r="CS35" s="40">
        <f t="shared" ref="CS35" si="124">+CS33/CR33-1</f>
        <v>6.9846627742559564E-2</v>
      </c>
      <c r="CT35" s="40">
        <f t="shared" ref="CT35" si="125">+CT33/CS33-1</f>
        <v>0.16222201763941158</v>
      </c>
      <c r="CU35" s="40">
        <f t="shared" ref="CU35" si="126">+CU33/CT33-1</f>
        <v>-0.17261286128502618</v>
      </c>
      <c r="CV35" s="40">
        <f t="shared" ref="CV35" si="127">+CV33/CU33-1</f>
        <v>5.0820707842278878E-2</v>
      </c>
      <c r="CW35" s="40">
        <f t="shared" ref="CW35" si="128">+CW33/CV33-1</f>
        <v>7.0413803167097999E-2</v>
      </c>
      <c r="CX35" s="40">
        <f t="shared" ref="CX35" si="129">+CX33/CW33-1</f>
        <v>0.16272096060444663</v>
      </c>
      <c r="CY35" s="40">
        <f t="shared" ref="CY35" si="130">+CY33/CX33-1</f>
        <v>-0.17202762788227066</v>
      </c>
      <c r="CZ35" s="40">
        <f t="shared" ref="CZ35" si="131">+CZ33/CY33-1</f>
        <v>4.9726755107020626E-2</v>
      </c>
      <c r="DA35" s="40">
        <f t="shared" ref="DA35" si="132">+DA33/CZ33-1</f>
        <v>7.0888658696774964E-2</v>
      </c>
      <c r="DB35" s="40">
        <f t="shared" ref="DB35" si="133">+DB33/DA33-1</f>
        <v>0.16341125434200876</v>
      </c>
      <c r="DE35" s="122"/>
      <c r="DF35" s="39">
        <v>0.16215606953195438</v>
      </c>
    </row>
    <row r="36" spans="1:110" s="23" customFormat="1" outlineLevel="1" x14ac:dyDescent="0.2">
      <c r="A36" s="23" t="s">
        <v>2</v>
      </c>
      <c r="B36" s="23">
        <f>'Annual Raw'!C11</f>
        <v>0</v>
      </c>
      <c r="C36" s="23">
        <f>'Annual Raw'!D11</f>
        <v>0</v>
      </c>
      <c r="D36" s="23">
        <f>'Annual Raw'!E11</f>
        <v>-24.256</v>
      </c>
      <c r="E36" s="23">
        <f>'Annual Raw'!F11</f>
        <v>-117.81</v>
      </c>
      <c r="F36" s="23">
        <f>'Annual Raw'!G11</f>
        <v>398.84500000000003</v>
      </c>
      <c r="G36" s="23">
        <f>'Annual Raw'!H11</f>
        <v>437.714</v>
      </c>
      <c r="H36" s="23">
        <f>'Annual Raw'!I11</f>
        <v>423.76600000000002</v>
      </c>
      <c r="I36" s="23">
        <f>'Annual Raw'!J11</f>
        <v>-119.31699999999999</v>
      </c>
      <c r="J36" s="23">
        <f>'Annual Raw'!K11</f>
        <v>51.079000000000001</v>
      </c>
      <c r="K36" s="23">
        <f>'Annual Raw'!L11</f>
        <v>-295.94299999999998</v>
      </c>
      <c r="L36" s="23">
        <f>'Annual Raw'!M11</f>
        <v>-93.965000000000003</v>
      </c>
      <c r="M36" s="23">
        <f>'Annual Raw'!N11</f>
        <v>-2.2949999999999999</v>
      </c>
      <c r="N36" s="23">
        <f>'Annual Raw'!O11</f>
        <v>-18.015000000000001</v>
      </c>
      <c r="O36" s="23">
        <f>'Annual Raw'!P11</f>
        <v>-101.879</v>
      </c>
      <c r="P36" s="23">
        <f>'Annual Raw'!Q11</f>
        <v>-172.66300000000001</v>
      </c>
      <c r="Q36" s="23">
        <f>'Annual Raw'!R11</f>
        <v>-468.07600000000002</v>
      </c>
      <c r="R36" s="23">
        <f>'Annual Raw'!S11</f>
        <v>-294.37400000000002</v>
      </c>
      <c r="S36" s="23">
        <f>'Annual Raw'!T11</f>
        <v>-217.02500000000001</v>
      </c>
      <c r="T36" s="23">
        <f>'Annual Raw'!U11</f>
        <v>35.295000000000002</v>
      </c>
      <c r="U36" s="23">
        <f>'Annual Raw'!V11</f>
        <v>469.74900000000002</v>
      </c>
      <c r="V36" s="23">
        <f>'Annual Raw'!W11</f>
        <v>-945.1</v>
      </c>
      <c r="W36" s="23">
        <f>'Annual Raw'!X11</f>
        <v>-1756.86</v>
      </c>
      <c r="X36" s="23">
        <f>'Annual Raw'!Y11</f>
        <v>1238.67</v>
      </c>
      <c r="Y36" s="23">
        <f>'Annual Raw'!Z11</f>
        <v>24.11</v>
      </c>
      <c r="Z36" s="23">
        <f>'Annual Raw'!AA11</f>
        <v>-843</v>
      </c>
      <c r="AA36" s="23">
        <f>'Annual Raw'!AB11</f>
        <v>-266.26</v>
      </c>
      <c r="AB36" s="76">
        <f>+SUM(CM36:CP36)</f>
        <v>0</v>
      </c>
      <c r="AC36" s="76">
        <f>+SUM(CQ36:CT36)</f>
        <v>0</v>
      </c>
      <c r="AD36" s="76">
        <f>+SUM(CU36:CX36)</f>
        <v>0</v>
      </c>
      <c r="AE36" s="76">
        <f>+SUM(CY36:DB36)</f>
        <v>0</v>
      </c>
      <c r="AI36" s="23">
        <f>'QTR Raw'!C10</f>
        <v>0</v>
      </c>
      <c r="AJ36" s="23">
        <f>'QTR Raw'!D10</f>
        <v>0</v>
      </c>
      <c r="AK36" s="23">
        <f>'QTR Raw'!E10</f>
        <v>0</v>
      </c>
      <c r="AL36" s="23">
        <f>'QTR Raw'!F10</f>
        <v>0</v>
      </c>
      <c r="AM36" s="23">
        <f>'QTR Raw'!G10</f>
        <v>0</v>
      </c>
      <c r="AN36" s="23">
        <f>'QTR Raw'!H10</f>
        <v>0</v>
      </c>
      <c r="AO36" s="23">
        <f>'QTR Raw'!I10</f>
        <v>0</v>
      </c>
      <c r="AP36" s="23">
        <f>'QTR Raw'!J10</f>
        <v>0</v>
      </c>
      <c r="AQ36" s="23">
        <f>'QTR Raw'!K10</f>
        <v>0</v>
      </c>
      <c r="AR36" s="23">
        <f>'QTR Raw'!L10</f>
        <v>0</v>
      </c>
      <c r="AS36" s="23">
        <f>'QTR Raw'!M10</f>
        <v>0</v>
      </c>
      <c r="AT36" s="23">
        <f>'QTR Raw'!N10</f>
        <v>0</v>
      </c>
      <c r="AU36" s="23">
        <f>'QTR Raw'!O10</f>
        <v>0</v>
      </c>
      <c r="AV36" s="23">
        <f>'QTR Raw'!P10</f>
        <v>0</v>
      </c>
      <c r="AW36" s="23">
        <f>'QTR Raw'!Q10</f>
        <v>0</v>
      </c>
      <c r="AX36" s="23">
        <f>'QTR Raw'!R10</f>
        <v>0</v>
      </c>
      <c r="AY36" s="23">
        <f>'QTR Raw'!S10</f>
        <v>0</v>
      </c>
      <c r="AZ36" s="23">
        <f>'QTR Raw'!T10</f>
        <v>0</v>
      </c>
      <c r="BA36" s="23">
        <f>'QTR Raw'!U10</f>
        <v>0</v>
      </c>
      <c r="BB36" s="23">
        <f>'QTR Raw'!V10</f>
        <v>0</v>
      </c>
      <c r="BC36" s="23">
        <f>'QTR Raw'!W10</f>
        <v>0</v>
      </c>
      <c r="BD36" s="23">
        <f>'QTR Raw'!X10</f>
        <v>0</v>
      </c>
      <c r="BE36" s="23">
        <f>'QTR Raw'!Y10</f>
        <v>0</v>
      </c>
      <c r="BF36" s="23">
        <f>'QTR Raw'!Z10</f>
        <v>0</v>
      </c>
      <c r="BG36" s="23">
        <f>'QTR Raw'!AA10</f>
        <v>0</v>
      </c>
      <c r="BH36" s="23">
        <f>'QTR Raw'!AB10</f>
        <v>0</v>
      </c>
      <c r="BI36" s="23">
        <f>'QTR Raw'!AC10</f>
        <v>0</v>
      </c>
      <c r="BJ36" s="23">
        <f>'QTR Raw'!AD10</f>
        <v>0</v>
      </c>
      <c r="BK36" s="23">
        <f>'QTR Raw'!AE10</f>
        <v>0</v>
      </c>
      <c r="BL36" s="23">
        <f>'QTR Raw'!AF10</f>
        <v>0</v>
      </c>
      <c r="BM36" s="23">
        <f>'QTR Raw'!AG10</f>
        <v>0</v>
      </c>
      <c r="BN36" s="23">
        <f>'QTR Raw'!AH10</f>
        <v>0</v>
      </c>
      <c r="BO36" s="23">
        <f>'QTR Raw'!AI10</f>
        <v>0</v>
      </c>
      <c r="BP36" s="23">
        <f>'QTR Raw'!AJ10</f>
        <v>0</v>
      </c>
      <c r="BQ36" s="23">
        <f>'QTR Raw'!AK10</f>
        <v>-59.84</v>
      </c>
      <c r="BR36" s="23">
        <f>'QTR Raw'!AL10</f>
        <v>-486.87</v>
      </c>
      <c r="BS36" s="23">
        <f>'QTR Raw'!AM10</f>
        <v>-21.1</v>
      </c>
      <c r="BT36" s="23">
        <f>'QTR Raw'!AN10</f>
        <v>-653.16</v>
      </c>
      <c r="BU36" s="23">
        <f>'QTR Raw'!AO10</f>
        <v>-212.28</v>
      </c>
      <c r="BV36" s="23">
        <f>'QTR Raw'!AP10</f>
        <v>-870.31</v>
      </c>
      <c r="BW36" s="23">
        <f>'QTR Raw'!AQ10</f>
        <v>899.21</v>
      </c>
      <c r="BX36" s="23">
        <f>'QTR Raw'!AR10</f>
        <v>86.87</v>
      </c>
      <c r="BY36" s="23">
        <f>'QTR Raw'!AS10</f>
        <v>517.55999999999995</v>
      </c>
      <c r="BZ36" s="23">
        <f>'QTR Raw'!AT10</f>
        <v>-264.97000000000003</v>
      </c>
      <c r="CA36" s="23">
        <f>'QTR Raw'!AU10</f>
        <v>342.35</v>
      </c>
      <c r="CB36" s="23">
        <f>'QTR Raw'!AV10</f>
        <v>-471.05</v>
      </c>
      <c r="CC36" s="23">
        <f>'QTR Raw'!AW10</f>
        <v>105.73</v>
      </c>
      <c r="CD36" s="23">
        <f>'QTR Raw'!AX10</f>
        <v>47.08</v>
      </c>
      <c r="CE36" s="23">
        <f>'QTR Raw'!AY10</f>
        <v>-243.6</v>
      </c>
      <c r="CF36" s="23">
        <f>'QTR Raw'!AZ10</f>
        <v>-264.83</v>
      </c>
      <c r="CG36" s="23">
        <f>'QTR Raw'!BA10</f>
        <v>-469.44</v>
      </c>
      <c r="CH36" s="23">
        <f>'QTR Raw'!BB10</f>
        <v>134.87</v>
      </c>
      <c r="CI36" s="23">
        <f>'QTR Raw'!BC10</f>
        <v>-335.68</v>
      </c>
      <c r="CJ36" s="23">
        <f>'QTR Raw'!BD10</f>
        <v>-521.53</v>
      </c>
      <c r="CK36" s="23">
        <f>'QTR Raw'!BE10</f>
        <v>493.79</v>
      </c>
      <c r="CL36" s="23">
        <f>'QTR Raw'!BF10</f>
        <v>97.16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-266.26</v>
      </c>
    </row>
    <row r="37" spans="1:110" s="23" customFormat="1" outlineLevel="1" x14ac:dyDescent="0.2">
      <c r="A37" s="23" t="s">
        <v>3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76">
        <f>+SUM(CM37:CP37)</f>
        <v>0</v>
      </c>
      <c r="AC37" s="76">
        <f>+SUM(CQ37:CT37)</f>
        <v>0</v>
      </c>
      <c r="AD37" s="76">
        <f>+SUM(CU37:CX37)</f>
        <v>0</v>
      </c>
      <c r="AE37" s="76">
        <f>+SUM(CY37:DB37)</f>
        <v>0</v>
      </c>
      <c r="AI37" s="23">
        <f>'QTR Raw'!C12</f>
        <v>0</v>
      </c>
      <c r="AJ37" s="23">
        <f>'QTR Raw'!D12</f>
        <v>0</v>
      </c>
      <c r="AK37" s="23">
        <f>'QTR Raw'!E12</f>
        <v>0</v>
      </c>
      <c r="AL37" s="23">
        <f>'QTR Raw'!F12</f>
        <v>0</v>
      </c>
      <c r="AM37" s="23">
        <f>'QTR Raw'!G12</f>
        <v>0</v>
      </c>
      <c r="AN37" s="23">
        <f>'QTR Raw'!H12</f>
        <v>0</v>
      </c>
      <c r="AO37" s="23">
        <f>'QTR Raw'!I12</f>
        <v>0</v>
      </c>
      <c r="AP37" s="23">
        <f>'QTR Raw'!J12</f>
        <v>0</v>
      </c>
      <c r="AQ37" s="23">
        <f>'QTR Raw'!K12</f>
        <v>0</v>
      </c>
      <c r="AR37" s="23">
        <f>'QTR Raw'!L12</f>
        <v>0</v>
      </c>
      <c r="AS37" s="23">
        <f>'QTR Raw'!M12</f>
        <v>0</v>
      </c>
      <c r="AT37" s="23">
        <f>'QTR Raw'!N12</f>
        <v>0</v>
      </c>
      <c r="AU37" s="23">
        <f>'QTR Raw'!O12</f>
        <v>0</v>
      </c>
      <c r="AV37" s="23">
        <f>'QTR Raw'!P12</f>
        <v>0</v>
      </c>
      <c r="AW37" s="23">
        <f>'QTR Raw'!Q12</f>
        <v>0</v>
      </c>
      <c r="AX37" s="23">
        <f>'QTR Raw'!R12</f>
        <v>0</v>
      </c>
      <c r="AY37" s="23">
        <f>'QTR Raw'!S12</f>
        <v>0</v>
      </c>
      <c r="AZ37" s="23">
        <f>'QTR Raw'!T12</f>
        <v>0</v>
      </c>
      <c r="BA37" s="23">
        <f>'QTR Raw'!U12</f>
        <v>0</v>
      </c>
      <c r="BB37" s="23">
        <f>'QTR Raw'!V12</f>
        <v>0</v>
      </c>
      <c r="BC37" s="23">
        <f>'QTR Raw'!W12</f>
        <v>0</v>
      </c>
      <c r="BD37" s="23">
        <f>'QTR Raw'!X12</f>
        <v>0</v>
      </c>
      <c r="BE37" s="23">
        <f>'QTR Raw'!Y12</f>
        <v>0</v>
      </c>
      <c r="BF37" s="23">
        <f>'QTR Raw'!Z12</f>
        <v>0</v>
      </c>
      <c r="BG37" s="23">
        <f>'QTR Raw'!AA12</f>
        <v>0</v>
      </c>
      <c r="BH37" s="23">
        <f>'QTR Raw'!AB12</f>
        <v>0</v>
      </c>
      <c r="BI37" s="23">
        <f>'QTR Raw'!AC12</f>
        <v>0</v>
      </c>
      <c r="BJ37" s="23">
        <f>'QTR Raw'!AD12</f>
        <v>0</v>
      </c>
      <c r="BK37" s="23">
        <f>'QTR Raw'!AE12</f>
        <v>0</v>
      </c>
      <c r="BL37" s="23">
        <f>'QTR Raw'!AF12</f>
        <v>0</v>
      </c>
      <c r="BM37" s="23">
        <f>'QTR Raw'!AG12</f>
        <v>0</v>
      </c>
      <c r="BN37" s="23">
        <f>'QTR Raw'!AH12</f>
        <v>0</v>
      </c>
      <c r="BO37" s="23">
        <f>'QTR Raw'!AI12</f>
        <v>0</v>
      </c>
      <c r="BP37" s="23">
        <f>'QTR Raw'!AJ12</f>
        <v>0</v>
      </c>
      <c r="BQ37" s="23">
        <f>'QTR Raw'!AK12</f>
        <v>227.79</v>
      </c>
      <c r="BR37" s="23">
        <f>'QTR Raw'!AL12</f>
        <v>217.13</v>
      </c>
      <c r="BS37" s="23">
        <f>'QTR Raw'!AM12</f>
        <v>289.45</v>
      </c>
      <c r="BT37" s="23">
        <f>'QTR Raw'!AN12</f>
        <v>773.64</v>
      </c>
      <c r="BU37" s="23">
        <f>'QTR Raw'!AO12</f>
        <v>606.61</v>
      </c>
      <c r="BV37" s="23">
        <f>'QTR Raw'!AP12</f>
        <v>664.91</v>
      </c>
      <c r="BW37" s="23">
        <f>'QTR Raw'!AQ12</f>
        <v>557</v>
      </c>
      <c r="BX37" s="23">
        <f>'QTR Raw'!AR12</f>
        <v>493.19</v>
      </c>
      <c r="BY37" s="23">
        <f>'QTR Raw'!AS12</f>
        <v>851.88</v>
      </c>
      <c r="BZ37" s="23">
        <f>'QTR Raw'!AT12</f>
        <v>834.34</v>
      </c>
      <c r="CA37" s="23">
        <f>'QTR Raw'!AU12</f>
        <v>443.43</v>
      </c>
      <c r="CB37" s="23">
        <f>'QTR Raw'!AV12</f>
        <v>590.38</v>
      </c>
      <c r="CC37" s="23">
        <f>'QTR Raw'!AW12</f>
        <v>533.34</v>
      </c>
      <c r="CD37" s="23">
        <f>'QTR Raw'!AX12</f>
        <v>392.61</v>
      </c>
      <c r="CE37" s="23">
        <f>'QTR Raw'!AY12</f>
        <v>1035.46</v>
      </c>
      <c r="CF37" s="23">
        <f>'QTR Raw'!AZ12</f>
        <v>589.29999999999995</v>
      </c>
      <c r="CG37" s="23">
        <f>'QTR Raw'!BA12</f>
        <v>1011.64</v>
      </c>
      <c r="CH37" s="23">
        <f>'QTR Raw'!BB12</f>
        <v>729.61</v>
      </c>
      <c r="CI37" s="23">
        <f>'QTR Raw'!BC12</f>
        <v>839.46</v>
      </c>
      <c r="CJ37" s="23">
        <f>'QTR Raw'!BD12</f>
        <v>836.7</v>
      </c>
      <c r="CK37" s="23">
        <f>'QTR Raw'!BE12</f>
        <v>587.15</v>
      </c>
      <c r="CL37" s="23">
        <f>'QTR Raw'!BF12</f>
        <v>725.31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2988.62</v>
      </c>
    </row>
    <row r="38" spans="1:110" s="23" customFormat="1" outlineLevel="1" x14ac:dyDescent="0.2">
      <c r="A38" s="23" t="s">
        <v>4</v>
      </c>
      <c r="B38" s="23">
        <f>'Annual Raw'!C12</f>
        <v>0</v>
      </c>
      <c r="C38" s="23">
        <f>'Annual Raw'!D12</f>
        <v>0</v>
      </c>
      <c r="D38" s="23">
        <f>'Annual Raw'!E12</f>
        <v>1121.8630000000001</v>
      </c>
      <c r="E38" s="23">
        <f>'Annual Raw'!F12</f>
        <v>1733.261</v>
      </c>
      <c r="F38" s="23">
        <f>'Annual Raw'!G12</f>
        <v>1395.7940000000001</v>
      </c>
      <c r="G38" s="23">
        <f>'Annual Raw'!H12</f>
        <v>1866.6020000000001</v>
      </c>
      <c r="H38" s="23">
        <f>'Annual Raw'!I12</f>
        <v>1813.4380000000001</v>
      </c>
      <c r="I38" s="23">
        <f>'Annual Raw'!J12</f>
        <v>3025.895</v>
      </c>
      <c r="J38" s="23">
        <f>'Annual Raw'!K12</f>
        <v>4982.9769999999999</v>
      </c>
      <c r="K38" s="23">
        <f>'Annual Raw'!L12</f>
        <v>5538.2489999999998</v>
      </c>
      <c r="L38" s="23">
        <f>'Annual Raw'!M12</f>
        <v>7510.7489999999998</v>
      </c>
      <c r="M38" s="23">
        <f>'Annual Raw'!N12</f>
        <v>10586.062</v>
      </c>
      <c r="N38" s="23">
        <f>'Annual Raw'!O12</f>
        <v>12393.588</v>
      </c>
      <c r="O38" s="23">
        <f>'Annual Raw'!P12</f>
        <v>15015.401</v>
      </c>
      <c r="P38" s="23">
        <f>'Annual Raw'!Q12</f>
        <v>14659.249</v>
      </c>
      <c r="Q38" s="23">
        <f>'Annual Raw'!R12</f>
        <v>16381.642</v>
      </c>
      <c r="R38" s="23">
        <f>'Annual Raw'!S12</f>
        <v>20021.030999999999</v>
      </c>
      <c r="S38" s="23">
        <f>'Annual Raw'!T12</f>
        <v>22365.659</v>
      </c>
      <c r="T38" s="23">
        <f>'Annual Raw'!U12</f>
        <v>24154.951000000001</v>
      </c>
      <c r="U38" s="23">
        <f>'Annual Raw'!V12</f>
        <v>23981.476999999999</v>
      </c>
      <c r="V38" s="23">
        <f>'Annual Raw'!W12</f>
        <v>32463.52</v>
      </c>
      <c r="W38" s="23">
        <f>'Annual Raw'!X12</f>
        <v>50528.32</v>
      </c>
      <c r="X38" s="23">
        <f>'Annual Raw'!Y12</f>
        <v>51646.66</v>
      </c>
      <c r="Y38" s="23">
        <f>'Annual Raw'!Z12</f>
        <v>45250.7</v>
      </c>
      <c r="Z38" s="23">
        <f>'Annual Raw'!AA12</f>
        <v>56980.41</v>
      </c>
      <c r="AA38" s="23">
        <f>'Annual Raw'!AB12</f>
        <v>67174.100000000006</v>
      </c>
      <c r="AB38" s="24">
        <f>+SUM(CM38:CP38)</f>
        <v>72166.915947276939</v>
      </c>
      <c r="AC38" s="24">
        <f>+SUM(CQ38:CT38)</f>
        <v>74935.112402149083</v>
      </c>
      <c r="AD38" s="24">
        <f>+SUM(CU38:CX38)</f>
        <v>81052.545064989841</v>
      </c>
      <c r="AE38" s="24">
        <f>+SUM(CY38:DB38)</f>
        <v>87734.179869808344</v>
      </c>
      <c r="AI38" s="23">
        <f>'QTR Raw'!C11</f>
        <v>0</v>
      </c>
      <c r="AJ38" s="23">
        <f>'QTR Raw'!D11</f>
        <v>0</v>
      </c>
      <c r="AK38" s="23">
        <f>'QTR Raw'!E11</f>
        <v>0</v>
      </c>
      <c r="AL38" s="23">
        <f>'QTR Raw'!F11</f>
        <v>0</v>
      </c>
      <c r="AM38" s="23">
        <f>'QTR Raw'!G11</f>
        <v>0</v>
      </c>
      <c r="AN38" s="23">
        <f>'QTR Raw'!H11</f>
        <v>0</v>
      </c>
      <c r="AO38" s="23">
        <f>'QTR Raw'!I11</f>
        <v>0</v>
      </c>
      <c r="AP38" s="23">
        <f>'QTR Raw'!J11</f>
        <v>0</v>
      </c>
      <c r="AQ38" s="23">
        <f>'QTR Raw'!K11</f>
        <v>0</v>
      </c>
      <c r="AR38" s="23">
        <f>'QTR Raw'!L11</f>
        <v>0</v>
      </c>
      <c r="AS38" s="23">
        <f>'QTR Raw'!M11</f>
        <v>0</v>
      </c>
      <c r="AT38" s="23">
        <f>'QTR Raw'!N11</f>
        <v>0</v>
      </c>
      <c r="AU38" s="23">
        <f>'QTR Raw'!O11</f>
        <v>0</v>
      </c>
      <c r="AV38" s="23">
        <f>'QTR Raw'!P11</f>
        <v>0</v>
      </c>
      <c r="AW38" s="23">
        <f>'QTR Raw'!Q11</f>
        <v>0</v>
      </c>
      <c r="AX38" s="23">
        <f>'QTR Raw'!R11</f>
        <v>0</v>
      </c>
      <c r="AY38" s="23">
        <f>'QTR Raw'!S11</f>
        <v>0</v>
      </c>
      <c r="AZ38" s="23">
        <f>'QTR Raw'!T11</f>
        <v>0</v>
      </c>
      <c r="BA38" s="23">
        <f>'QTR Raw'!U11</f>
        <v>0</v>
      </c>
      <c r="BB38" s="23">
        <f>'QTR Raw'!V11</f>
        <v>0</v>
      </c>
      <c r="BC38" s="23">
        <f>'QTR Raw'!W11</f>
        <v>0</v>
      </c>
      <c r="BD38" s="23">
        <f>'QTR Raw'!X11</f>
        <v>0</v>
      </c>
      <c r="BE38" s="23">
        <f>'QTR Raw'!Y11</f>
        <v>0</v>
      </c>
      <c r="BF38" s="23">
        <f>'QTR Raw'!Z11</f>
        <v>0</v>
      </c>
      <c r="BG38" s="23">
        <f>'QTR Raw'!AA11</f>
        <v>0</v>
      </c>
      <c r="BH38" s="23">
        <f>'QTR Raw'!AB11</f>
        <v>0</v>
      </c>
      <c r="BI38" s="23">
        <f>'QTR Raw'!AC11</f>
        <v>0</v>
      </c>
      <c r="BJ38" s="23">
        <f>'QTR Raw'!AD11</f>
        <v>0</v>
      </c>
      <c r="BK38" s="23">
        <f>'QTR Raw'!AE11</f>
        <v>0</v>
      </c>
      <c r="BL38" s="23">
        <f>'QTR Raw'!AF11</f>
        <v>0</v>
      </c>
      <c r="BM38" s="23">
        <f>'QTR Raw'!AG11</f>
        <v>0</v>
      </c>
      <c r="BN38" s="23">
        <f>'QTR Raw'!AH11</f>
        <v>0</v>
      </c>
      <c r="BO38" s="23">
        <f>'QTR Raw'!AI11</f>
        <v>0</v>
      </c>
      <c r="BP38" s="23">
        <f>'QTR Raw'!AJ11</f>
        <v>0</v>
      </c>
      <c r="BQ38" s="23">
        <f>'QTR Raw'!AK11</f>
        <v>8950.3799999999992</v>
      </c>
      <c r="BR38" s="23">
        <f>'QTR Raw'!AL11</f>
        <v>9751.89</v>
      </c>
      <c r="BS38" s="23">
        <f>'QTR Raw'!AM11</f>
        <v>9923.07</v>
      </c>
      <c r="BT38" s="23">
        <f>'QTR Raw'!AN11</f>
        <v>12037.88</v>
      </c>
      <c r="BU38" s="23">
        <f>'QTR Raw'!AO11</f>
        <v>12574.65</v>
      </c>
      <c r="BV38" s="23">
        <f>'QTR Raw'!AP11</f>
        <v>13661.91</v>
      </c>
      <c r="BW38" s="23">
        <f>'QTR Raw'!AQ11</f>
        <v>11775.52</v>
      </c>
      <c r="BX38" s="23">
        <f>'QTR Raw'!AR11</f>
        <v>12222.19</v>
      </c>
      <c r="BY38" s="23">
        <f>'QTR Raw'!AS11</f>
        <v>12383.15</v>
      </c>
      <c r="BZ38" s="23">
        <f>'QTR Raw'!AT11</f>
        <v>12104.46</v>
      </c>
      <c r="CA38" s="23">
        <f>'QTR Raw'!AU11</f>
        <v>10897.34</v>
      </c>
      <c r="CB38" s="23">
        <f>'QTR Raw'!AV11</f>
        <v>10713.77</v>
      </c>
      <c r="CC38" s="23">
        <f>'QTR Raw'!AW11</f>
        <v>10666.5</v>
      </c>
      <c r="CD38" s="23">
        <f>'QTR Raw'!AX11</f>
        <v>11013.33</v>
      </c>
      <c r="CE38" s="23">
        <f>'QTR Raw'!AY11</f>
        <v>11563.56</v>
      </c>
      <c r="CF38" s="23">
        <f>'QTR Raw'!AZ11</f>
        <v>12364.42</v>
      </c>
      <c r="CG38" s="23">
        <f>'QTR Raw'!BA11</f>
        <v>14076.58</v>
      </c>
      <c r="CH38" s="23">
        <f>'QTR Raw'!BB11</f>
        <v>15609.84</v>
      </c>
      <c r="CI38" s="23">
        <f>'QTR Raw'!BC11</f>
        <v>14951.34</v>
      </c>
      <c r="CJ38" s="23">
        <f>'QTR Raw'!BD11</f>
        <v>15239.9</v>
      </c>
      <c r="CK38" s="23">
        <f>'QTR Raw'!BE11</f>
        <v>15587.55</v>
      </c>
      <c r="CL38" s="23">
        <f>'QTR Raw'!BF11</f>
        <v>18406.689999999999</v>
      </c>
      <c r="CM38" s="24">
        <f t="shared" ref="CM38:DB38" si="134">+CM33-CM39</f>
        <v>16154.542355385402</v>
      </c>
      <c r="CN38" s="24">
        <f t="shared" si="134"/>
        <v>16891.162771916417</v>
      </c>
      <c r="CO38" s="24">
        <f t="shared" si="134"/>
        <v>18091.100234275844</v>
      </c>
      <c r="CP38" s="24">
        <f t="shared" si="134"/>
        <v>21030.11058569928</v>
      </c>
      <c r="CQ38" s="24">
        <f t="shared" si="134"/>
        <v>16714.28411328559</v>
      </c>
      <c r="CR38" s="24">
        <f t="shared" si="134"/>
        <v>17567.687101497268</v>
      </c>
      <c r="CS38" s="24">
        <f t="shared" si="134"/>
        <v>18802.666986788001</v>
      </c>
      <c r="CT38" s="24">
        <f t="shared" si="134"/>
        <v>21850.474200578235</v>
      </c>
      <c r="CU38" s="24">
        <f t="shared" si="134"/>
        <v>18077.635125883138</v>
      </c>
      <c r="CV38" s="24">
        <f t="shared" si="134"/>
        <v>18996.310653505836</v>
      </c>
      <c r="CW38" s="24">
        <f t="shared" si="134"/>
        <v>20335.161526052438</v>
      </c>
      <c r="CX38" s="24">
        <f t="shared" si="134"/>
        <v>23643.437759548429</v>
      </c>
      <c r="CY38" s="24">
        <f t="shared" si="134"/>
        <v>19575.946081712525</v>
      </c>
      <c r="CZ38" s="24">
        <f t="shared" si="134"/>
        <v>20549.5064186165</v>
      </c>
      <c r="DA38" s="24">
        <f t="shared" si="134"/>
        <v>22006.395732281002</v>
      </c>
      <c r="DB38" s="24">
        <f t="shared" si="134"/>
        <v>25602.331637198313</v>
      </c>
      <c r="DE38" s="123"/>
      <c r="DF38" s="23">
        <v>19399.5634278287</v>
      </c>
    </row>
    <row r="39" spans="1:110" s="31" customFormat="1" x14ac:dyDescent="0.2">
      <c r="A39" s="31" t="s">
        <v>5</v>
      </c>
      <c r="B39" s="31">
        <f t="shared" ref="B39:T39" si="135">B33-B36-B38-B37</f>
        <v>0</v>
      </c>
      <c r="C39" s="31">
        <f t="shared" si="135"/>
        <v>0</v>
      </c>
      <c r="D39" s="31">
        <f t="shared" si="135"/>
        <v>157.26199999999994</v>
      </c>
      <c r="E39" s="31">
        <f t="shared" si="135"/>
        <v>209.92800000000011</v>
      </c>
      <c r="F39" s="31">
        <f t="shared" si="135"/>
        <v>240.74599999999987</v>
      </c>
      <c r="G39" s="31">
        <f t="shared" si="135"/>
        <v>375.89499999999975</v>
      </c>
      <c r="H39" s="31">
        <f t="shared" si="135"/>
        <v>404.22799999999961</v>
      </c>
      <c r="I39" s="31">
        <f t="shared" si="135"/>
        <v>485.99499999999989</v>
      </c>
      <c r="J39" s="31">
        <f t="shared" si="135"/>
        <v>765.15900000000056</v>
      </c>
      <c r="K39" s="31">
        <f t="shared" si="135"/>
        <v>866.99300000000039</v>
      </c>
      <c r="L39" s="31">
        <f t="shared" si="135"/>
        <v>1123.4650000000001</v>
      </c>
      <c r="M39" s="31">
        <f t="shared" si="135"/>
        <v>1458.9609999999993</v>
      </c>
      <c r="N39" s="31">
        <f t="shared" si="135"/>
        <v>1877.9249999999993</v>
      </c>
      <c r="O39" s="31">
        <f t="shared" si="135"/>
        <v>2406.1099999999988</v>
      </c>
      <c r="P39" s="31">
        <f t="shared" si="135"/>
        <v>2779.8159999999989</v>
      </c>
      <c r="Q39" s="31">
        <f t="shared" si="135"/>
        <v>3121.4010000000017</v>
      </c>
      <c r="R39" s="31">
        <f t="shared" si="135"/>
        <v>3471.7060000000019</v>
      </c>
      <c r="S39" s="31">
        <f t="shared" si="135"/>
        <v>4323.2750000000015</v>
      </c>
      <c r="T39" s="31">
        <f t="shared" si="135"/>
        <v>4607.2119999999995</v>
      </c>
      <c r="U39" s="31">
        <f t="shared" ref="U39:Z39" si="136">U33-U36-U38-U37</f>
        <v>5205.8100000000013</v>
      </c>
      <c r="V39" s="31">
        <f t="shared" si="136"/>
        <v>5571.9999999999964</v>
      </c>
      <c r="W39" s="31">
        <f t="shared" si="136"/>
        <v>5383.3600000000006</v>
      </c>
      <c r="X39" s="31">
        <f t="shared" si="136"/>
        <v>5299.4800000000032</v>
      </c>
      <c r="Y39" s="31">
        <f t="shared" si="136"/>
        <v>5950.2900000000081</v>
      </c>
      <c r="Z39" s="31">
        <f t="shared" si="136"/>
        <v>7534.8300000000017</v>
      </c>
      <c r="AA39" s="31">
        <f t="shared" ref="AA39" si="137">AA33-AA36-AA38-AA37</f>
        <v>7822.8299999999872</v>
      </c>
      <c r="AB39" s="32">
        <f t="shared" ref="AA39:AD39" si="138">AB33-AB36-AB38-AB37</f>
        <v>8515.2507416102308</v>
      </c>
      <c r="AC39" s="32">
        <f t="shared" si="138"/>
        <v>8843.4609896768379</v>
      </c>
      <c r="AD39" s="32">
        <f t="shared" si="138"/>
        <v>9563.8931239826488</v>
      </c>
      <c r="AE39" s="32">
        <f t="shared" ref="AE39" si="139">AE33-AE36-AE38-AE37</f>
        <v>10351.800489444286</v>
      </c>
      <c r="AI39" s="31">
        <f t="shared" ref="AI39" si="140">AI33-AI36-AI38-AI37</f>
        <v>0</v>
      </c>
      <c r="AJ39" s="31">
        <f t="shared" ref="AJ39" si="141">AJ33-AJ36-AJ38-AJ37</f>
        <v>0</v>
      </c>
      <c r="AK39" s="31">
        <f t="shared" ref="AK39:AM39" si="142">AK33-AK36-AK38-AK37</f>
        <v>0</v>
      </c>
      <c r="AL39" s="31">
        <f t="shared" si="142"/>
        <v>0</v>
      </c>
      <c r="AM39" s="31">
        <f t="shared" si="142"/>
        <v>0</v>
      </c>
      <c r="AN39" s="31">
        <f t="shared" ref="AN39:AO39" si="143">AN33-AN36-AN38-AN37</f>
        <v>0</v>
      </c>
      <c r="AO39" s="31">
        <f t="shared" si="143"/>
        <v>0</v>
      </c>
      <c r="AP39" s="31">
        <f t="shared" ref="AP39:CD39" si="144">AP33-AP36-AP38-AP37</f>
        <v>0</v>
      </c>
      <c r="AQ39" s="31">
        <f t="shared" si="144"/>
        <v>0</v>
      </c>
      <c r="AR39" s="31">
        <f t="shared" si="144"/>
        <v>0</v>
      </c>
      <c r="AS39" s="31">
        <f t="shared" si="144"/>
        <v>0</v>
      </c>
      <c r="AT39" s="31">
        <f t="shared" si="144"/>
        <v>0</v>
      </c>
      <c r="AU39" s="31">
        <f t="shared" si="144"/>
        <v>0</v>
      </c>
      <c r="AV39" s="31">
        <f t="shared" si="144"/>
        <v>0</v>
      </c>
      <c r="AW39" s="31">
        <f t="shared" si="144"/>
        <v>0</v>
      </c>
      <c r="AX39" s="31">
        <f t="shared" si="144"/>
        <v>0</v>
      </c>
      <c r="AY39" s="31">
        <f t="shared" si="144"/>
        <v>0</v>
      </c>
      <c r="AZ39" s="31">
        <f t="shared" si="144"/>
        <v>0</v>
      </c>
      <c r="BA39" s="31">
        <f t="shared" si="144"/>
        <v>0</v>
      </c>
      <c r="BB39" s="31">
        <f t="shared" si="144"/>
        <v>0</v>
      </c>
      <c r="BC39" s="31">
        <f t="shared" si="144"/>
        <v>0</v>
      </c>
      <c r="BD39" s="31">
        <f t="shared" si="144"/>
        <v>0</v>
      </c>
      <c r="BE39" s="31">
        <f t="shared" si="144"/>
        <v>0</v>
      </c>
      <c r="BF39" s="31">
        <f t="shared" si="144"/>
        <v>0</v>
      </c>
      <c r="BG39" s="31">
        <f t="shared" si="144"/>
        <v>0</v>
      </c>
      <c r="BH39" s="31">
        <f t="shared" si="144"/>
        <v>0</v>
      </c>
      <c r="BI39" s="31">
        <f t="shared" si="144"/>
        <v>0</v>
      </c>
      <c r="BJ39" s="31">
        <f t="shared" si="144"/>
        <v>0</v>
      </c>
      <c r="BK39" s="31">
        <f t="shared" si="144"/>
        <v>0</v>
      </c>
      <c r="BL39" s="31">
        <f t="shared" si="144"/>
        <v>0</v>
      </c>
      <c r="BM39" s="31">
        <f t="shared" si="144"/>
        <v>0</v>
      </c>
      <c r="BN39" s="31">
        <f t="shared" si="144"/>
        <v>0</v>
      </c>
      <c r="BO39" s="31">
        <f t="shared" si="144"/>
        <v>0</v>
      </c>
      <c r="BP39" s="31">
        <f t="shared" si="144"/>
        <v>0</v>
      </c>
      <c r="BQ39" s="31">
        <f t="shared" si="144"/>
        <v>1111.1600000000008</v>
      </c>
      <c r="BR39" s="31">
        <f t="shared" si="144"/>
        <v>1190.1900000000014</v>
      </c>
      <c r="BS39" s="31">
        <f t="shared" si="144"/>
        <v>1120.55</v>
      </c>
      <c r="BT39" s="31">
        <f t="shared" si="144"/>
        <v>1400.1100000000001</v>
      </c>
      <c r="BU39" s="31">
        <f t="shared" si="144"/>
        <v>1401.940000000001</v>
      </c>
      <c r="BV39" s="31">
        <f t="shared" si="144"/>
        <v>1460.75</v>
      </c>
      <c r="BW39" s="31">
        <f t="shared" si="144"/>
        <v>1492.3600000000006</v>
      </c>
      <c r="BX39" s="31">
        <f t="shared" si="144"/>
        <v>1347.7799999999993</v>
      </c>
      <c r="BY39" s="31">
        <f t="shared" si="144"/>
        <v>1685.46</v>
      </c>
      <c r="BZ39" s="31">
        <f t="shared" si="144"/>
        <v>1198.8099999999995</v>
      </c>
      <c r="CA39" s="31">
        <f t="shared" si="144"/>
        <v>1244.9599999999994</v>
      </c>
      <c r="CB39" s="31">
        <f t="shared" si="144"/>
        <v>1434.0499999999984</v>
      </c>
      <c r="CC39" s="31">
        <f t="shared" si="144"/>
        <v>1522.7900000000009</v>
      </c>
      <c r="CD39" s="31">
        <f t="shared" si="144"/>
        <v>1769.81</v>
      </c>
      <c r="CE39" s="31">
        <f t="shared" ref="CE39:CF39" si="145">CE33-CE36-CE38-CE37</f>
        <v>1798.4300000000012</v>
      </c>
      <c r="CF39" s="31">
        <f t="shared" si="145"/>
        <v>1761.0500000000004</v>
      </c>
      <c r="CG39" s="31">
        <f t="shared" ref="CG39:CH39" si="146">CG33-CG36-CG38-CG37</f>
        <v>2220.0799999999995</v>
      </c>
      <c r="CH39" s="31">
        <f t="shared" si="146"/>
        <v>1755.2700000000009</v>
      </c>
      <c r="CI39" s="31">
        <f t="shared" ref="CI39:CJ39" si="147">CI33-CI36-CI38-CI37</f>
        <v>1603.5300000000016</v>
      </c>
      <c r="CJ39" s="31">
        <f t="shared" si="147"/>
        <v>2049.4999999999991</v>
      </c>
      <c r="CK39" s="31">
        <f t="shared" ref="CK39:CL39" si="148">CK33-CK36-CK38-CK37</f>
        <v>1934.179999999998</v>
      </c>
      <c r="CL39" s="31">
        <f t="shared" si="148"/>
        <v>2235.6200000000003</v>
      </c>
      <c r="CM39" s="32">
        <f t="shared" ref="CM39:DB39" si="149">+CM40*CM33</f>
        <v>1887.8968544000643</v>
      </c>
      <c r="CN39" s="32">
        <f t="shared" si="149"/>
        <v>2030.1704966754694</v>
      </c>
      <c r="CO39" s="32">
        <f t="shared" si="149"/>
        <v>2122.7468560647085</v>
      </c>
      <c r="CP39" s="32">
        <f t="shared" si="149"/>
        <v>2474.4365344699877</v>
      </c>
      <c r="CQ39" s="32">
        <f t="shared" si="149"/>
        <v>1972.4871136144518</v>
      </c>
      <c r="CR39" s="32">
        <f t="shared" si="149"/>
        <v>2078.2442484578492</v>
      </c>
      <c r="CS39" s="32">
        <f t="shared" si="149"/>
        <v>2215.466416823313</v>
      </c>
      <c r="CT39" s="32">
        <f t="shared" si="149"/>
        <v>2577.2632107812196</v>
      </c>
      <c r="CU39" s="32">
        <f t="shared" si="149"/>
        <v>2133.5606361822829</v>
      </c>
      <c r="CV39" s="32">
        <f t="shared" si="149"/>
        <v>2242.0323835266172</v>
      </c>
      <c r="CW39" s="32">
        <f t="shared" si="149"/>
        <v>2398.6540171849256</v>
      </c>
      <c r="CX39" s="32">
        <f t="shared" si="149"/>
        <v>2789.6460870888181</v>
      </c>
      <c r="CY39" s="32">
        <f t="shared" si="149"/>
        <v>2309.9170531745513</v>
      </c>
      <c r="CZ39" s="32">
        <f t="shared" si="149"/>
        <v>2424.6696726848777</v>
      </c>
      <c r="DA39" s="32">
        <f t="shared" si="149"/>
        <v>2596.3888867962446</v>
      </c>
      <c r="DB39" s="32">
        <f t="shared" si="149"/>
        <v>3020.8248767886284</v>
      </c>
      <c r="DE39" s="124"/>
      <c r="DF39" s="31">
        <v>2219.6424221712991</v>
      </c>
    </row>
    <row r="40" spans="1:110" s="41" customFormat="1" x14ac:dyDescent="0.2">
      <c r="A40" s="41" t="s">
        <v>6</v>
      </c>
      <c r="B40" s="41" t="e">
        <f>B39/B33</f>
        <v>#DIV/0!</v>
      </c>
      <c r="C40" s="41" t="e">
        <f t="shared" ref="C40:U40" si="150">C39/C33</f>
        <v>#DIV/0!</v>
      </c>
      <c r="D40" s="41">
        <f t="shared" si="150"/>
        <v>0.12532144789615485</v>
      </c>
      <c r="E40" s="41">
        <f t="shared" si="150"/>
        <v>0.1150051578329761</v>
      </c>
      <c r="F40" s="41">
        <f t="shared" si="150"/>
        <v>0.1182803253438538</v>
      </c>
      <c r="G40" s="41">
        <f t="shared" si="150"/>
        <v>0.14024828642222564</v>
      </c>
      <c r="H40" s="41">
        <f t="shared" si="150"/>
        <v>0.15303365750093118</v>
      </c>
      <c r="I40" s="41">
        <f t="shared" si="150"/>
        <v>0.1432526286096128</v>
      </c>
      <c r="J40" s="41">
        <f t="shared" si="150"/>
        <v>0.13194182316054856</v>
      </c>
      <c r="K40" s="41">
        <f t="shared" si="150"/>
        <v>0.14191366308966061</v>
      </c>
      <c r="L40" s="41">
        <f t="shared" si="150"/>
        <v>0.13154944311342681</v>
      </c>
      <c r="M40" s="41">
        <f t="shared" si="150"/>
        <v>0.1211487131487151</v>
      </c>
      <c r="N40" s="41">
        <f t="shared" si="150"/>
        <v>0.13175186890965288</v>
      </c>
      <c r="O40" s="41">
        <f t="shared" si="150"/>
        <v>0.13892385242365421</v>
      </c>
      <c r="P40" s="41">
        <f t="shared" si="150"/>
        <v>0.16099567240470825</v>
      </c>
      <c r="Q40" s="41">
        <f t="shared" si="150"/>
        <v>0.16398247498931842</v>
      </c>
      <c r="R40" s="41">
        <f t="shared" si="150"/>
        <v>0.14965305957148795</v>
      </c>
      <c r="S40" s="41">
        <f t="shared" si="150"/>
        <v>0.16331557350095158</v>
      </c>
      <c r="T40" s="41">
        <f t="shared" si="150"/>
        <v>0.15998675994249215</v>
      </c>
      <c r="U40" s="41">
        <f t="shared" si="150"/>
        <v>0.17553372494810343</v>
      </c>
      <c r="V40" s="41">
        <f>V39/V33</f>
        <v>0.15022747113675167</v>
      </c>
      <c r="W40" s="41">
        <f>W39/W33</f>
        <v>9.9406848734794065E-2</v>
      </c>
      <c r="X40" s="41">
        <f>X39/X33</f>
        <v>9.108012898899219E-2</v>
      </c>
      <c r="Y40" s="41">
        <f>Y39/Y33</f>
        <v>0.11615965610608876</v>
      </c>
      <c r="Z40" s="41">
        <f>Z39/Z33</f>
        <v>0.11833775598282707</v>
      </c>
      <c r="AA40" s="41">
        <f>AA39/AA33</f>
        <v>0.10468031398621191</v>
      </c>
      <c r="AB40" s="42">
        <f t="shared" ref="AA40:AD40" si="151">AB39/AB33</f>
        <v>0.10554068006682679</v>
      </c>
      <c r="AC40" s="42">
        <f t="shared" si="151"/>
        <v>0.10555755047673888</v>
      </c>
      <c r="AD40" s="42">
        <f t="shared" si="151"/>
        <v>0.10554258493407127</v>
      </c>
      <c r="AE40" s="42">
        <f t="shared" ref="AE40" si="152">AE39/AE33</f>
        <v>0.10553802339059541</v>
      </c>
      <c r="AI40" s="41" t="e">
        <f t="shared" ref="AI40" si="153">AI39/AI33</f>
        <v>#DIV/0!</v>
      </c>
      <c r="AJ40" s="41" t="e">
        <f t="shared" ref="AJ40" si="154">AJ39/AJ33</f>
        <v>#DIV/0!</v>
      </c>
      <c r="AK40" s="41" t="e">
        <f t="shared" ref="AK40:AM40" si="155">AK39/AK33</f>
        <v>#DIV/0!</v>
      </c>
      <c r="AL40" s="41" t="e">
        <f t="shared" si="155"/>
        <v>#DIV/0!</v>
      </c>
      <c r="AM40" s="41" t="e">
        <f t="shared" si="155"/>
        <v>#DIV/0!</v>
      </c>
      <c r="AN40" s="41" t="e">
        <f t="shared" ref="AN40:AO40" si="156">AN39/AN33</f>
        <v>#DIV/0!</v>
      </c>
      <c r="AO40" s="41" t="e">
        <f t="shared" si="156"/>
        <v>#DIV/0!</v>
      </c>
      <c r="AP40" s="41" t="e">
        <f t="shared" ref="AP40:CD40" si="157">AP39/AP33</f>
        <v>#DIV/0!</v>
      </c>
      <c r="AQ40" s="41" t="e">
        <f t="shared" si="157"/>
        <v>#DIV/0!</v>
      </c>
      <c r="AR40" s="41" t="e">
        <f t="shared" si="157"/>
        <v>#DIV/0!</v>
      </c>
      <c r="AS40" s="41" t="e">
        <f t="shared" si="157"/>
        <v>#DIV/0!</v>
      </c>
      <c r="AT40" s="41" t="e">
        <f t="shared" si="157"/>
        <v>#DIV/0!</v>
      </c>
      <c r="AU40" s="41" t="e">
        <f t="shared" si="157"/>
        <v>#DIV/0!</v>
      </c>
      <c r="AV40" s="41" t="e">
        <f t="shared" si="157"/>
        <v>#DIV/0!</v>
      </c>
      <c r="AW40" s="41" t="e">
        <f t="shared" si="157"/>
        <v>#DIV/0!</v>
      </c>
      <c r="AX40" s="41" t="e">
        <f t="shared" si="157"/>
        <v>#DIV/0!</v>
      </c>
      <c r="AY40" s="41" t="e">
        <f t="shared" si="157"/>
        <v>#DIV/0!</v>
      </c>
      <c r="AZ40" s="41" t="e">
        <f t="shared" si="157"/>
        <v>#DIV/0!</v>
      </c>
      <c r="BA40" s="41" t="e">
        <f t="shared" si="157"/>
        <v>#DIV/0!</v>
      </c>
      <c r="BB40" s="41" t="e">
        <f t="shared" si="157"/>
        <v>#DIV/0!</v>
      </c>
      <c r="BC40" s="41" t="e">
        <f t="shared" si="157"/>
        <v>#DIV/0!</v>
      </c>
      <c r="BD40" s="41" t="e">
        <f t="shared" si="157"/>
        <v>#DIV/0!</v>
      </c>
      <c r="BE40" s="41" t="e">
        <f t="shared" si="157"/>
        <v>#DIV/0!</v>
      </c>
      <c r="BF40" s="41" t="e">
        <f t="shared" si="157"/>
        <v>#DIV/0!</v>
      </c>
      <c r="BG40" s="41" t="e">
        <f t="shared" si="157"/>
        <v>#DIV/0!</v>
      </c>
      <c r="BH40" s="41" t="e">
        <f t="shared" si="157"/>
        <v>#DIV/0!</v>
      </c>
      <c r="BI40" s="41" t="e">
        <f t="shared" si="157"/>
        <v>#DIV/0!</v>
      </c>
      <c r="BJ40" s="41" t="e">
        <f t="shared" si="157"/>
        <v>#DIV/0!</v>
      </c>
      <c r="BK40" s="41" t="e">
        <f t="shared" si="157"/>
        <v>#DIV/0!</v>
      </c>
      <c r="BL40" s="41" t="e">
        <f t="shared" si="157"/>
        <v>#DIV/0!</v>
      </c>
      <c r="BM40" s="41" t="e">
        <f t="shared" si="157"/>
        <v>#DIV/0!</v>
      </c>
      <c r="BN40" s="41" t="e">
        <f t="shared" si="157"/>
        <v>#DIV/0!</v>
      </c>
      <c r="BO40" s="41" t="e">
        <f t="shared" si="157"/>
        <v>#DIV/0!</v>
      </c>
      <c r="BP40" s="41" t="e">
        <f t="shared" si="157"/>
        <v>#DIV/0!</v>
      </c>
      <c r="BQ40" s="41">
        <f t="shared" si="157"/>
        <v>0.10862320604448519</v>
      </c>
      <c r="BR40" s="41">
        <f t="shared" si="157"/>
        <v>0.11152099726957737</v>
      </c>
      <c r="BS40" s="41">
        <f t="shared" si="157"/>
        <v>9.9058784632561792E-2</v>
      </c>
      <c r="BT40" s="41">
        <f t="shared" si="157"/>
        <v>0.10326460138938982</v>
      </c>
      <c r="BU40" s="41">
        <f t="shared" si="157"/>
        <v>9.7553949225241035E-2</v>
      </c>
      <c r="BV40" s="41">
        <f t="shared" si="157"/>
        <v>9.7923479244847914E-2</v>
      </c>
      <c r="BW40" s="41">
        <f t="shared" si="157"/>
        <v>0.10135499035933633</v>
      </c>
      <c r="BX40" s="41">
        <f t="shared" si="157"/>
        <v>9.5249268022753256E-2</v>
      </c>
      <c r="BY40" s="41">
        <f t="shared" si="157"/>
        <v>0.10917570548093834</v>
      </c>
      <c r="BZ40" s="41">
        <f t="shared" si="157"/>
        <v>8.641541912714519E-2</v>
      </c>
      <c r="CA40" s="41">
        <f t="shared" si="157"/>
        <v>9.6298909041404396E-2</v>
      </c>
      <c r="CB40" s="41">
        <f t="shared" si="157"/>
        <v>0.11690164382109931</v>
      </c>
      <c r="CC40" s="41">
        <f t="shared" si="157"/>
        <v>0.1187049630662065</v>
      </c>
      <c r="CD40" s="41">
        <f t="shared" si="157"/>
        <v>0.1338450240984721</v>
      </c>
      <c r="CE40" s="41">
        <f t="shared" ref="CE40:CF40" si="158">CE39/CE33</f>
        <v>0.12706295460245806</v>
      </c>
      <c r="CF40" s="41">
        <f t="shared" si="158"/>
        <v>0.12187247836323198</v>
      </c>
      <c r="CG40" s="41">
        <f t="shared" ref="CG40:CH40" si="159">CG39/CG33</f>
        <v>0.13184265443147572</v>
      </c>
      <c r="CH40" s="41">
        <f t="shared" si="159"/>
        <v>9.6286861086837441E-2</v>
      </c>
      <c r="CI40" s="41">
        <f t="shared" ref="CI40:CJ40" si="160">CI39/CI33</f>
        <v>9.400099069973307E-2</v>
      </c>
      <c r="CJ40" s="41">
        <f t="shared" si="160"/>
        <v>0.11641863447956974</v>
      </c>
      <c r="CK40" s="41">
        <f t="shared" ref="CK40:CL40" si="161">CK39/CK33</f>
        <v>0.10397324685112397</v>
      </c>
      <c r="CL40" s="41">
        <f t="shared" si="161"/>
        <v>0.10415294263439925</v>
      </c>
      <c r="CM40" s="42">
        <f t="shared" ref="CM40:DB40" si="162">AVERAGE(CI40:CL40)</f>
        <v>0.1046364536662065</v>
      </c>
      <c r="CN40" s="42">
        <f t="shared" si="162"/>
        <v>0.10729531940782487</v>
      </c>
      <c r="CO40" s="42">
        <f t="shared" si="162"/>
        <v>0.10501449063988866</v>
      </c>
      <c r="CP40" s="42">
        <f t="shared" si="162"/>
        <v>0.10527480158707982</v>
      </c>
      <c r="CQ40" s="42">
        <f t="shared" si="162"/>
        <v>0.10555526632524996</v>
      </c>
      <c r="CR40" s="42">
        <f t="shared" si="162"/>
        <v>0.10578496949001083</v>
      </c>
      <c r="CS40" s="42">
        <f t="shared" si="162"/>
        <v>0.10540738201055731</v>
      </c>
      <c r="CT40" s="42">
        <f t="shared" si="162"/>
        <v>0.10550560485322448</v>
      </c>
      <c r="CU40" s="42">
        <f t="shared" si="162"/>
        <v>0.10556330566976065</v>
      </c>
      <c r="CV40" s="42">
        <f t="shared" si="162"/>
        <v>0.10556531550588831</v>
      </c>
      <c r="CW40" s="42">
        <f t="shared" si="162"/>
        <v>0.10551040200985769</v>
      </c>
      <c r="CX40" s="42">
        <f t="shared" si="162"/>
        <v>0.10553615700968277</v>
      </c>
      <c r="CY40" s="42">
        <f t="shared" si="162"/>
        <v>0.10554379504879735</v>
      </c>
      <c r="CZ40" s="42">
        <f t="shared" si="162"/>
        <v>0.10553891739355653</v>
      </c>
      <c r="DA40" s="42">
        <f t="shared" si="162"/>
        <v>0.10553231786547358</v>
      </c>
      <c r="DB40" s="42">
        <f t="shared" si="162"/>
        <v>0.10553779682937756</v>
      </c>
      <c r="DE40" s="125"/>
      <c r="DF40" s="41">
        <v>0.10266993327931606</v>
      </c>
    </row>
    <row r="41" spans="1:110" s="39" customFormat="1" x14ac:dyDescent="0.2">
      <c r="A41" s="39" t="s">
        <v>447</v>
      </c>
      <c r="C41" s="39" t="e">
        <f t="shared" ref="C41:AE41" si="163">+IF(B39&lt;0,1-C39/B39,C39/B39-1)</f>
        <v>#DIV/0!</v>
      </c>
      <c r="D41" s="39" t="e">
        <f t="shared" si="163"/>
        <v>#DIV/0!</v>
      </c>
      <c r="E41" s="39">
        <f t="shared" si="163"/>
        <v>0.33489336266866876</v>
      </c>
      <c r="F41" s="39">
        <f t="shared" si="163"/>
        <v>0.14680271331122929</v>
      </c>
      <c r="G41" s="39">
        <f t="shared" si="163"/>
        <v>0.56137588994209642</v>
      </c>
      <c r="H41" s="39">
        <f t="shared" si="163"/>
        <v>7.5374772210324403E-2</v>
      </c>
      <c r="I41" s="39">
        <f t="shared" si="163"/>
        <v>0.20227940667148325</v>
      </c>
      <c r="J41" s="39">
        <f t="shared" si="163"/>
        <v>0.57441743227811126</v>
      </c>
      <c r="K41" s="39">
        <f t="shared" si="163"/>
        <v>0.13308867830084958</v>
      </c>
      <c r="L41" s="39">
        <f t="shared" si="163"/>
        <v>0.29581784397336497</v>
      </c>
      <c r="M41" s="39">
        <f t="shared" si="163"/>
        <v>0.29862612542446731</v>
      </c>
      <c r="N41" s="39">
        <f t="shared" si="163"/>
        <v>0.2871660037519852</v>
      </c>
      <c r="O41" s="39">
        <f t="shared" si="163"/>
        <v>0.28125990122076217</v>
      </c>
      <c r="P41" s="39">
        <f t="shared" si="163"/>
        <v>0.1553154261442744</v>
      </c>
      <c r="Q41" s="39">
        <f t="shared" si="163"/>
        <v>0.12288043525183068</v>
      </c>
      <c r="R41" s="39">
        <f t="shared" si="163"/>
        <v>0.1122268494179377</v>
      </c>
      <c r="S41" s="39">
        <f t="shared" si="163"/>
        <v>0.24528833950801099</v>
      </c>
      <c r="T41" s="39">
        <f t="shared" si="163"/>
        <v>6.5676368031179599E-2</v>
      </c>
      <c r="U41" s="39">
        <f t="shared" si="163"/>
        <v>0.12992629816036283</v>
      </c>
      <c r="V41" s="39">
        <f t="shared" si="163"/>
        <v>7.0342559563256302E-2</v>
      </c>
      <c r="W41" s="39">
        <f t="shared" si="163"/>
        <v>-3.3854989231872912E-2</v>
      </c>
      <c r="X41" s="39">
        <f t="shared" si="163"/>
        <v>-1.5581346965463427E-2</v>
      </c>
      <c r="Y41" s="39">
        <f t="shared" si="163"/>
        <v>0.12280638855133041</v>
      </c>
      <c r="Z41" s="39">
        <f t="shared" si="163"/>
        <v>0.26629626455181032</v>
      </c>
      <c r="AA41" s="39">
        <f t="shared" si="163"/>
        <v>3.8222494734451162E-2</v>
      </c>
      <c r="AB41" s="40">
        <f t="shared" si="163"/>
        <v>8.8512819735344417E-2</v>
      </c>
      <c r="AC41" s="40">
        <f t="shared" si="163"/>
        <v>3.8543814859472114E-2</v>
      </c>
      <c r="AD41" s="40">
        <f t="shared" si="163"/>
        <v>8.146495304799628E-2</v>
      </c>
      <c r="AE41" s="40">
        <f t="shared" si="163"/>
        <v>8.2383539344021095E-2</v>
      </c>
      <c r="AM41" s="39" t="e">
        <f>+IF(AI39&lt;0,1-AM39/AI39,AM39/AI39-1)</f>
        <v>#DIV/0!</v>
      </c>
      <c r="AN41" s="39" t="e">
        <f t="shared" ref="AN41" si="164">+IF(AJ39&lt;0,1-AN39/AJ39,AN39/AJ39-1)</f>
        <v>#DIV/0!</v>
      </c>
      <c r="AO41" s="39" t="e">
        <f t="shared" ref="AO41" si="165">+IF(AK39&lt;0,1-AO39/AK39,AO39/AK39-1)</f>
        <v>#DIV/0!</v>
      </c>
      <c r="AP41" s="39" t="e">
        <f t="shared" ref="AP41" si="166">+IF(AL39&lt;0,1-AP39/AL39,AP39/AL39-1)</f>
        <v>#DIV/0!</v>
      </c>
      <c r="AQ41" s="39" t="e">
        <f t="shared" ref="AQ41" si="167">+IF(AM39&lt;0,1-AQ39/AM39,AQ39/AM39-1)</f>
        <v>#DIV/0!</v>
      </c>
      <c r="AR41" s="39" t="e">
        <f t="shared" ref="AR41" si="168">+IF(AN39&lt;0,1-AR39/AN39,AR39/AN39-1)</f>
        <v>#DIV/0!</v>
      </c>
      <c r="AS41" s="39" t="e">
        <f t="shared" ref="AS41" si="169">+IF(AO39&lt;0,1-AS39/AO39,AS39/AO39-1)</f>
        <v>#DIV/0!</v>
      </c>
      <c r="AT41" s="39" t="e">
        <f t="shared" ref="AT41" si="170">+IF(AP39&lt;0,1-AT39/AP39,AT39/AP39-1)</f>
        <v>#DIV/0!</v>
      </c>
      <c r="AU41" s="39" t="e">
        <f t="shared" ref="AU41" si="171">+IF(AQ39&lt;0,1-AU39/AQ39,AU39/AQ39-1)</f>
        <v>#DIV/0!</v>
      </c>
      <c r="AV41" s="39" t="e">
        <f t="shared" ref="AV41" si="172">+IF(AR39&lt;0,1-AV39/AR39,AV39/AR39-1)</f>
        <v>#DIV/0!</v>
      </c>
      <c r="AW41" s="39" t="e">
        <f t="shared" ref="AW41" si="173">+IF(AS39&lt;0,1-AW39/AS39,AW39/AS39-1)</f>
        <v>#DIV/0!</v>
      </c>
      <c r="AX41" s="39" t="e">
        <f t="shared" ref="AX41" si="174">+IF(AT39&lt;0,1-AX39/AT39,AX39/AT39-1)</f>
        <v>#DIV/0!</v>
      </c>
      <c r="AY41" s="39" t="e">
        <f t="shared" ref="AY41" si="175">+IF(AU39&lt;0,1-AY39/AU39,AY39/AU39-1)</f>
        <v>#DIV/0!</v>
      </c>
      <c r="AZ41" s="39" t="e">
        <f t="shared" ref="AZ41" si="176">+IF(AV39&lt;0,1-AZ39/AV39,AZ39/AV39-1)</f>
        <v>#DIV/0!</v>
      </c>
      <c r="BA41" s="39" t="e">
        <f t="shared" ref="BA41" si="177">+IF(AW39&lt;0,1-BA39/AW39,BA39/AW39-1)</f>
        <v>#DIV/0!</v>
      </c>
      <c r="BB41" s="39" t="e">
        <f t="shared" ref="BB41" si="178">+IF(AX39&lt;0,1-BB39/AX39,BB39/AX39-1)</f>
        <v>#DIV/0!</v>
      </c>
      <c r="BC41" s="39" t="e">
        <f t="shared" ref="BC41" si="179">+IF(AY39&lt;0,1-BC39/AY39,BC39/AY39-1)</f>
        <v>#DIV/0!</v>
      </c>
      <c r="BD41" s="39" t="e">
        <f t="shared" ref="BD41" si="180">+IF(AZ39&lt;0,1-BD39/AZ39,BD39/AZ39-1)</f>
        <v>#DIV/0!</v>
      </c>
      <c r="BE41" s="39" t="e">
        <f t="shared" ref="BE41" si="181">+IF(BA39&lt;0,1-BE39/BA39,BE39/BA39-1)</f>
        <v>#DIV/0!</v>
      </c>
      <c r="BF41" s="39" t="e">
        <f t="shared" ref="BF41" si="182">+IF(BB39&lt;0,1-BF39/BB39,BF39/BB39-1)</f>
        <v>#DIV/0!</v>
      </c>
      <c r="BG41" s="39" t="e">
        <f t="shared" ref="BG41" si="183">+IF(BC39&lt;0,1-BG39/BC39,BG39/BC39-1)</f>
        <v>#DIV/0!</v>
      </c>
      <c r="BH41" s="39" t="e">
        <f t="shared" ref="BH41" si="184">+IF(BD39&lt;0,1-BH39/BD39,BH39/BD39-1)</f>
        <v>#DIV/0!</v>
      </c>
      <c r="BI41" s="39" t="e">
        <f t="shared" ref="BI41" si="185">+IF(BE39&lt;0,1-BI39/BE39,BI39/BE39-1)</f>
        <v>#DIV/0!</v>
      </c>
      <c r="BJ41" s="39" t="e">
        <f t="shared" ref="BJ41" si="186">+IF(BF39&lt;0,1-BJ39/BF39,BJ39/BF39-1)</f>
        <v>#DIV/0!</v>
      </c>
      <c r="BK41" s="39" t="e">
        <f t="shared" ref="BK41" si="187">+IF(BG39&lt;0,1-BK39/BG39,BK39/BG39-1)</f>
        <v>#DIV/0!</v>
      </c>
      <c r="BL41" s="39" t="e">
        <f t="shared" ref="BL41" si="188">+IF(BH39&lt;0,1-BL39/BH39,BL39/BH39-1)</f>
        <v>#DIV/0!</v>
      </c>
      <c r="BM41" s="39" t="e">
        <f t="shared" ref="BM41" si="189">+IF(BI39&lt;0,1-BM39/BI39,BM39/BI39-1)</f>
        <v>#DIV/0!</v>
      </c>
      <c r="BN41" s="39" t="e">
        <f t="shared" ref="BN41" si="190">+IF(BJ39&lt;0,1-BN39/BJ39,BN39/BJ39-1)</f>
        <v>#DIV/0!</v>
      </c>
      <c r="BO41" s="39" t="e">
        <f t="shared" ref="BO41" si="191">+IF(BK39&lt;0,1-BO39/BK39,BO39/BK39-1)</f>
        <v>#DIV/0!</v>
      </c>
      <c r="BP41" s="39" t="e">
        <f t="shared" ref="BP41" si="192">+IF(BL39&lt;0,1-BP39/BL39,BP39/BL39-1)</f>
        <v>#DIV/0!</v>
      </c>
      <c r="BQ41" s="39" t="e">
        <f t="shared" ref="BQ41" si="193">+IF(BM39&lt;0,1-BQ39/BM39,BQ39/BM39-1)</f>
        <v>#DIV/0!</v>
      </c>
      <c r="BR41" s="39" t="e">
        <f t="shared" ref="BR41" si="194">+IF(BN39&lt;0,1-BR39/BN39,BR39/BN39-1)</f>
        <v>#DIV/0!</v>
      </c>
      <c r="BS41" s="39" t="e">
        <f t="shared" ref="BS41" si="195">+IF(BO39&lt;0,1-BS39/BO39,BS39/BO39-1)</f>
        <v>#DIV/0!</v>
      </c>
      <c r="BT41" s="39" t="e">
        <f t="shared" ref="BT41" si="196">+IF(BP39&lt;0,1-BT39/BP39,BT39/BP39-1)</f>
        <v>#DIV/0!</v>
      </c>
      <c r="BU41" s="39">
        <f t="shared" ref="BU41" si="197">+IF(BQ39&lt;0,1-BU39/BQ39,BU39/BQ39-1)</f>
        <v>0.26169048561863284</v>
      </c>
      <c r="BV41" s="39">
        <f t="shared" ref="BV41" si="198">+IF(BR39&lt;0,1-BV39/BR39,BV39/BR39-1)</f>
        <v>0.2273250489417642</v>
      </c>
      <c r="BW41" s="39">
        <f t="shared" ref="BW41" si="199">+IF(BS39&lt;0,1-BW39/BS39,BW39/BS39-1)</f>
        <v>0.33181027174155608</v>
      </c>
      <c r="BX41" s="39">
        <f t="shared" ref="BX41" si="200">+IF(BT39&lt;0,1-BX39/BT39,BX39/BT39-1)</f>
        <v>-3.7375634771554256E-2</v>
      </c>
      <c r="BY41" s="39">
        <f t="shared" ref="BY41" si="201">+IF(BU39&lt;0,1-BY39/BU39,BY39/BU39-1)</f>
        <v>0.20223404710615211</v>
      </c>
      <c r="BZ41" s="39">
        <f t="shared" ref="BZ41" si="202">+IF(BV39&lt;0,1-BZ39/BV39,BZ39/BV39-1)</f>
        <v>-0.17931884306007217</v>
      </c>
      <c r="CA41" s="39">
        <f t="shared" ref="CA41" si="203">+IF(BW39&lt;0,1-CA39/BW39,CA39/BW39-1)</f>
        <v>-0.16577769439009427</v>
      </c>
      <c r="CB41" s="39">
        <f t="shared" ref="CB41" si="204">+IF(BX39&lt;0,1-CB39/BX39,CB39/BX39-1)</f>
        <v>6.4008962887117438E-2</v>
      </c>
      <c r="CC41" s="39">
        <f t="shared" ref="CC41" si="205">+IF(BY39&lt;0,1-CC39/BY39,CC39/BY39-1)</f>
        <v>-9.65137113903618E-2</v>
      </c>
      <c r="CD41" s="39">
        <f t="shared" ref="CD41" si="206">+IF(BZ39&lt;0,1-CD39/BZ39,CD39/BZ39-1)</f>
        <v>0.4763056697892083</v>
      </c>
      <c r="CE41" s="39">
        <f t="shared" ref="CE41" si="207">+IF(CA39&lt;0,1-CE39/CA39,CE39/CA39-1)</f>
        <v>0.44456850019277905</v>
      </c>
      <c r="CF41" s="39">
        <f t="shared" ref="CF41" si="208">+IF(CB39&lt;0,1-CF39/CB39,CF39/CB39-1)</f>
        <v>0.22802552212266125</v>
      </c>
      <c r="CG41" s="39">
        <f t="shared" ref="CG41" si="209">+IF(CC39&lt;0,1-CG39/CC39,CG39/CC39-1)</f>
        <v>0.45790292817788281</v>
      </c>
      <c r="CH41" s="39">
        <f t="shared" ref="CH41:CL41" si="210">+IF(CD39&lt;0,1-CH39/CD39,CH39/CD39-1)</f>
        <v>-8.2155711630056416E-3</v>
      </c>
      <c r="CI41" s="39">
        <f t="shared" si="210"/>
        <v>-0.10837230250829866</v>
      </c>
      <c r="CJ41" s="39">
        <f t="shared" si="210"/>
        <v>0.16379432724794785</v>
      </c>
      <c r="CK41" s="39">
        <f t="shared" si="210"/>
        <v>-0.12877914309394323</v>
      </c>
      <c r="CL41" s="39">
        <f t="shared" si="210"/>
        <v>0.27366160191879274</v>
      </c>
      <c r="CM41" s="40">
        <f t="shared" ref="CM41" si="211">+CM39/CI39-1</f>
        <v>0.1773380319670117</v>
      </c>
      <c r="CN41" s="40">
        <f t="shared" ref="CN41" si="212">+CN39/CJ39-1</f>
        <v>-9.4313263354621757E-3</v>
      </c>
      <c r="CO41" s="40">
        <f t="shared" ref="CO41" si="213">+CO39/CK39-1</f>
        <v>9.7491886000636185E-2</v>
      </c>
      <c r="CP41" s="40">
        <f t="shared" ref="CP41" si="214">+CP39/CL39-1</f>
        <v>0.10682340221951292</v>
      </c>
      <c r="CQ41" s="40">
        <f t="shared" ref="CQ41" si="215">+CQ39/CM39-1</f>
        <v>4.4806610603347119E-2</v>
      </c>
      <c r="CR41" s="40">
        <f t="shared" ref="CR41" si="216">+CR39/CN39-1</f>
        <v>2.3679662304768812E-2</v>
      </c>
      <c r="CS41" s="40">
        <f t="shared" ref="CS41" si="217">+CS39/CO39-1</f>
        <v>4.3679047500979173E-2</v>
      </c>
      <c r="CT41" s="40">
        <f t="shared" ref="CT41" si="218">+CT39/CP39-1</f>
        <v>4.1555592507147132E-2</v>
      </c>
      <c r="CU41" s="40">
        <f t="shared" ref="CU41" si="219">+CU39/CQ39-1</f>
        <v>8.1660114003317741E-2</v>
      </c>
      <c r="CV41" s="40">
        <f t="shared" ref="CV41" si="220">+CV39/CR39-1</f>
        <v>7.8810820811993754E-2</v>
      </c>
      <c r="CW41" s="40">
        <f t="shared" ref="CW41" si="221">+CW39/CS39-1</f>
        <v>8.2685794273640756E-2</v>
      </c>
      <c r="CX41" s="40">
        <f t="shared" ref="CX41" si="222">+CX39/CT39-1</f>
        <v>8.240635858190859E-2</v>
      </c>
      <c r="CY41" s="40">
        <f t="shared" ref="CY41" si="223">+CY39/CU39-1</f>
        <v>8.2658263375084751E-2</v>
      </c>
      <c r="CZ41" s="40">
        <f t="shared" ref="CZ41" si="224">+CZ39/CV39-1</f>
        <v>8.1460593745296572E-2</v>
      </c>
      <c r="DA41" s="40">
        <f t="shared" ref="DA41" si="225">+DA39/CW39-1</f>
        <v>8.24357611371489E-2</v>
      </c>
      <c r="DB41" s="40">
        <f t="shared" ref="DB41" si="226">+DB39/CX39-1</f>
        <v>8.2870293393044969E-2</v>
      </c>
      <c r="DE41" s="122"/>
      <c r="DF41" s="39">
        <v>0.26455896937297285</v>
      </c>
    </row>
    <row r="42" spans="1:110" s="39" customFormat="1" x14ac:dyDescent="0.2">
      <c r="A42" s="39" t="s">
        <v>448</v>
      </c>
      <c r="AB42" s="40"/>
      <c r="AC42" s="40"/>
      <c r="AD42" s="40"/>
      <c r="AE42" s="40"/>
      <c r="AJ42" s="39" t="e">
        <f>+IF(AI39&lt;0,1-AJ39/AI39,AJ39/AI39-1)</f>
        <v>#DIV/0!</v>
      </c>
      <c r="AK42" s="39" t="e">
        <f t="shared" ref="AK42" si="227">+IF(AJ39&lt;0,1-AK39/AJ39,AK39/AJ39-1)</f>
        <v>#DIV/0!</v>
      </c>
      <c r="AL42" s="39" t="e">
        <f t="shared" ref="AL42" si="228">+IF(AK39&lt;0,1-AL39/AK39,AL39/AK39-1)</f>
        <v>#DIV/0!</v>
      </c>
      <c r="AM42" s="39" t="e">
        <f t="shared" ref="AM42" si="229">+IF(AL39&lt;0,1-AM39/AL39,AM39/AL39-1)</f>
        <v>#DIV/0!</v>
      </c>
      <c r="AN42" s="39" t="e">
        <f t="shared" ref="AN42" si="230">+IF(AM39&lt;0,1-AN39/AM39,AN39/AM39-1)</f>
        <v>#DIV/0!</v>
      </c>
      <c r="AO42" s="39" t="e">
        <f t="shared" ref="AO42" si="231">+IF(AN39&lt;0,1-AO39/AN39,AO39/AN39-1)</f>
        <v>#DIV/0!</v>
      </c>
      <c r="AP42" s="39" t="e">
        <f t="shared" ref="AP42" si="232">+IF(AO39&lt;0,1-AP39/AO39,AP39/AO39-1)</f>
        <v>#DIV/0!</v>
      </c>
      <c r="AQ42" s="39" t="e">
        <f t="shared" ref="AQ42" si="233">+IF(AP39&lt;0,1-AQ39/AP39,AQ39/AP39-1)</f>
        <v>#DIV/0!</v>
      </c>
      <c r="AR42" s="39" t="e">
        <f t="shared" ref="AR42" si="234">+IF(AQ39&lt;0,1-AR39/AQ39,AR39/AQ39-1)</f>
        <v>#DIV/0!</v>
      </c>
      <c r="AS42" s="39" t="e">
        <f t="shared" ref="AS42" si="235">+IF(AR39&lt;0,1-AS39/AR39,AS39/AR39-1)</f>
        <v>#DIV/0!</v>
      </c>
      <c r="AT42" s="39" t="e">
        <f t="shared" ref="AT42" si="236">+IF(AS39&lt;0,1-AT39/AS39,AT39/AS39-1)</f>
        <v>#DIV/0!</v>
      </c>
      <c r="AU42" s="39" t="e">
        <f t="shared" ref="AU42" si="237">+IF(AT39&lt;0,1-AU39/AT39,AU39/AT39-1)</f>
        <v>#DIV/0!</v>
      </c>
      <c r="AV42" s="39" t="e">
        <f t="shared" ref="AV42" si="238">+IF(AU39&lt;0,1-AV39/AU39,AV39/AU39-1)</f>
        <v>#DIV/0!</v>
      </c>
      <c r="AW42" s="39" t="e">
        <f t="shared" ref="AW42" si="239">+IF(AV39&lt;0,1-AW39/AV39,AW39/AV39-1)</f>
        <v>#DIV/0!</v>
      </c>
      <c r="AX42" s="39" t="e">
        <f t="shared" ref="AX42" si="240">+IF(AW39&lt;0,1-AX39/AW39,AX39/AW39-1)</f>
        <v>#DIV/0!</v>
      </c>
      <c r="AY42" s="39" t="e">
        <f t="shared" ref="AY42" si="241">+IF(AX39&lt;0,1-AY39/AX39,AY39/AX39-1)</f>
        <v>#DIV/0!</v>
      </c>
      <c r="AZ42" s="39" t="e">
        <f t="shared" ref="AZ42" si="242">+IF(AY39&lt;0,1-AZ39/AY39,AZ39/AY39-1)</f>
        <v>#DIV/0!</v>
      </c>
      <c r="BA42" s="39" t="e">
        <f t="shared" ref="BA42" si="243">+IF(AZ39&lt;0,1-BA39/AZ39,BA39/AZ39-1)</f>
        <v>#DIV/0!</v>
      </c>
      <c r="BB42" s="39" t="e">
        <f t="shared" ref="BB42" si="244">+IF(BA39&lt;0,1-BB39/BA39,BB39/BA39-1)</f>
        <v>#DIV/0!</v>
      </c>
      <c r="BC42" s="39" t="e">
        <f t="shared" ref="BC42" si="245">+IF(BB39&lt;0,1-BC39/BB39,BC39/BB39-1)</f>
        <v>#DIV/0!</v>
      </c>
      <c r="BD42" s="39" t="e">
        <f t="shared" ref="BD42" si="246">+IF(BC39&lt;0,1-BD39/BC39,BD39/BC39-1)</f>
        <v>#DIV/0!</v>
      </c>
      <c r="BE42" s="39" t="e">
        <f t="shared" ref="BE42" si="247">+IF(BD39&lt;0,1-BE39/BD39,BE39/BD39-1)</f>
        <v>#DIV/0!</v>
      </c>
      <c r="BF42" s="39" t="e">
        <f t="shared" ref="BF42" si="248">+IF(BE39&lt;0,1-BF39/BE39,BF39/BE39-1)</f>
        <v>#DIV/0!</v>
      </c>
      <c r="BG42" s="39" t="e">
        <f t="shared" ref="BG42" si="249">+IF(BF39&lt;0,1-BG39/BF39,BG39/BF39-1)</f>
        <v>#DIV/0!</v>
      </c>
      <c r="BH42" s="39" t="e">
        <f t="shared" ref="BH42" si="250">+IF(BG39&lt;0,1-BH39/BG39,BH39/BG39-1)</f>
        <v>#DIV/0!</v>
      </c>
      <c r="BI42" s="39" t="e">
        <f t="shared" ref="BI42" si="251">+IF(BH39&lt;0,1-BI39/BH39,BI39/BH39-1)</f>
        <v>#DIV/0!</v>
      </c>
      <c r="BJ42" s="39" t="e">
        <f t="shared" ref="BJ42" si="252">+IF(BI39&lt;0,1-BJ39/BI39,BJ39/BI39-1)</f>
        <v>#DIV/0!</v>
      </c>
      <c r="BK42" s="39" t="e">
        <f t="shared" ref="BK42" si="253">+IF(BJ39&lt;0,1-BK39/BJ39,BK39/BJ39-1)</f>
        <v>#DIV/0!</v>
      </c>
      <c r="BL42" s="39" t="e">
        <f t="shared" ref="BL42" si="254">+IF(BK39&lt;0,1-BL39/BK39,BL39/BK39-1)</f>
        <v>#DIV/0!</v>
      </c>
      <c r="BM42" s="39" t="e">
        <f t="shared" ref="BM42" si="255">+IF(BL39&lt;0,1-BM39/BL39,BM39/BL39-1)</f>
        <v>#DIV/0!</v>
      </c>
      <c r="BN42" s="39" t="e">
        <f t="shared" ref="BN42" si="256">+IF(BM39&lt;0,1-BN39/BM39,BN39/BM39-1)</f>
        <v>#DIV/0!</v>
      </c>
      <c r="BO42" s="39" t="e">
        <f t="shared" ref="BO42" si="257">+IF(BN39&lt;0,1-BO39/BN39,BO39/BN39-1)</f>
        <v>#DIV/0!</v>
      </c>
      <c r="BP42" s="39" t="e">
        <f t="shared" ref="BP42" si="258">+IF(BO39&lt;0,1-BP39/BO39,BP39/BO39-1)</f>
        <v>#DIV/0!</v>
      </c>
      <c r="BQ42" s="39" t="e">
        <f t="shared" ref="BQ42" si="259">+IF(BP39&lt;0,1-BQ39/BP39,BQ39/BP39-1)</f>
        <v>#DIV/0!</v>
      </c>
      <c r="BR42" s="39">
        <f t="shared" ref="BR42" si="260">+IF(BQ39&lt;0,1-BR39/BQ39,BR39/BQ39-1)</f>
        <v>7.1123870549696377E-2</v>
      </c>
      <c r="BS42" s="39">
        <f t="shared" ref="BS42" si="261">+IF(BR39&lt;0,1-BS39/BR39,BS39/BR39-1)</f>
        <v>-5.8511666204556723E-2</v>
      </c>
      <c r="BT42" s="39">
        <f t="shared" ref="BT42" si="262">+IF(BS39&lt;0,1-BT39/BS39,BT39/BS39-1)</f>
        <v>0.24948462808442295</v>
      </c>
      <c r="BU42" s="39">
        <f t="shared" ref="BU42" si="263">+IF(BT39&lt;0,1-BU39/BT39,BU39/BT39-1)</f>
        <v>1.3070401611308125E-3</v>
      </c>
      <c r="BV42" s="39">
        <f t="shared" ref="BV42" si="264">+IF(BU39&lt;0,1-BV39/BU39,BV39/BU39-1)</f>
        <v>4.194901350984992E-2</v>
      </c>
      <c r="BW42" s="39">
        <f t="shared" ref="BW42" si="265">+IF(BV39&lt;0,1-BW39/BV39,BW39/BV39-1)</f>
        <v>2.163956871470174E-2</v>
      </c>
      <c r="BX42" s="39">
        <f t="shared" ref="BX42" si="266">+IF(BW39&lt;0,1-BX39/BW39,BX39/BW39-1)</f>
        <v>-9.6880109356992428E-2</v>
      </c>
      <c r="BY42" s="39">
        <f t="shared" ref="BY42" si="267">+IF(BX39&lt;0,1-BY39/BX39,BY39/BX39-1)</f>
        <v>0.25054534122779759</v>
      </c>
      <c r="BZ42" s="39">
        <f t="shared" ref="BZ42" si="268">+IF(BY39&lt;0,1-BZ39/BY39,BZ39/BY39-1)</f>
        <v>-0.28873423279104848</v>
      </c>
      <c r="CA42" s="39">
        <f t="shared" ref="CA42" si="269">+IF(BZ39&lt;0,1-CA39/BZ39,CA39/BZ39-1)</f>
        <v>3.849650903812929E-2</v>
      </c>
      <c r="CB42" s="39">
        <f t="shared" ref="CB42" si="270">+IF(CA39&lt;0,1-CB39/CA39,CB39/CA39-1)</f>
        <v>0.15188439789230102</v>
      </c>
      <c r="CC42" s="39">
        <f t="shared" ref="CC42" si="271">+IF(CB39&lt;0,1-CC39/CB39,CC39/CB39-1)</f>
        <v>6.1880687563196979E-2</v>
      </c>
      <c r="CD42" s="39">
        <f t="shared" ref="CD42" si="272">+IF(CC39&lt;0,1-CD39/CC39,CD39/CC39-1)</f>
        <v>0.16221540724590966</v>
      </c>
      <c r="CE42" s="39">
        <f t="shared" ref="CE42" si="273">+IF(CD39&lt;0,1-CE39/CD39,CE39/CD39-1)</f>
        <v>1.6171227419893297E-2</v>
      </c>
      <c r="CF42" s="39">
        <f t="shared" ref="CF42" si="274">+IF(CE39&lt;0,1-CF39/CE39,CF39/CE39-1)</f>
        <v>-2.0784795627297514E-2</v>
      </c>
      <c r="CG42" s="39">
        <f t="shared" ref="CG42" si="275">+IF(CF39&lt;0,1-CG39/CF39,CG39/CF39-1)</f>
        <v>0.26065699440674539</v>
      </c>
      <c r="CH42" s="39">
        <f t="shared" ref="CH42:CL42" si="276">+IF(CG39&lt;0,1-CH39/CG39,CH39/CG39-1)</f>
        <v>-0.20936632914129161</v>
      </c>
      <c r="CI42" s="39">
        <f t="shared" si="276"/>
        <v>-8.6448238732502292E-2</v>
      </c>
      <c r="CJ42" s="39">
        <f t="shared" si="276"/>
        <v>0.27811765292822521</v>
      </c>
      <c r="CK42" s="39">
        <f t="shared" si="276"/>
        <v>-5.6267382288363588E-2</v>
      </c>
      <c r="CL42" s="39">
        <f t="shared" si="276"/>
        <v>0.15584899026977972</v>
      </c>
      <c r="CM42" s="40">
        <f t="shared" ref="CM42" si="277">+CM39/CL39-1</f>
        <v>-0.15553767885415948</v>
      </c>
      <c r="CN42" s="40">
        <f t="shared" ref="CN42" si="278">+CN39/CM39-1</f>
        <v>7.5360919185712971E-2</v>
      </c>
      <c r="CO42" s="40">
        <f t="shared" ref="CO42" si="279">+CO39/CN39-1</f>
        <v>4.5600288025482882E-2</v>
      </c>
      <c r="CP42" s="40">
        <f t="shared" ref="CP42" si="280">+CP39/CO39-1</f>
        <v>0.1656766926308233</v>
      </c>
      <c r="CQ42" s="40">
        <f t="shared" ref="CQ42" si="281">+CQ39/CP39-1</f>
        <v>-0.20285402913477879</v>
      </c>
      <c r="CR42" s="40">
        <f t="shared" ref="CR42" si="282">+CR39/CQ39-1</f>
        <v>5.3616134733374565E-2</v>
      </c>
      <c r="CS42" s="40">
        <f t="shared" ref="CS42" si="283">+CS39/CR39-1</f>
        <v>6.6027931253647809E-2</v>
      </c>
      <c r="CT42" s="40">
        <f t="shared" ref="CT42" si="284">+CT39/CS39-1</f>
        <v>0.16330502291101112</v>
      </c>
      <c r="CU42" s="40">
        <f t="shared" ref="CU42" si="285">+CU39/CT39-1</f>
        <v>-0.17216036481754682</v>
      </c>
      <c r="CV42" s="40">
        <f t="shared" ref="CV42" si="286">+CV39/CU39-1</f>
        <v>5.0840714580500324E-2</v>
      </c>
      <c r="CW42" s="40">
        <f t="shared" ref="CW42" si="287">+CW39/CV39-1</f>
        <v>6.9856989938722247E-2</v>
      </c>
      <c r="CX42" s="40">
        <f t="shared" ref="CX42" si="288">+CX39/CW39-1</f>
        <v>0.1630047798067864</v>
      </c>
      <c r="CY42" s="40">
        <f t="shared" ref="CY42" si="289">+CY39/CX39-1</f>
        <v>-0.17196770448214671</v>
      </c>
      <c r="CZ42" s="40">
        <f t="shared" ref="CZ42" si="290">+CZ39/CY39-1</f>
        <v>4.967824249473396E-2</v>
      </c>
      <c r="DA42" s="40">
        <f t="shared" ref="DA42" si="291">+DA39/CZ39-1</f>
        <v>7.0821694206790298E-2</v>
      </c>
      <c r="DB42" s="40">
        <f t="shared" ref="DB42" si="292">+DB39/DA39-1</f>
        <v>0.16347165563326183</v>
      </c>
      <c r="DE42" s="122"/>
      <c r="DF42" s="39">
        <v>0.14758834346922289</v>
      </c>
    </row>
    <row r="43" spans="1:110" s="23" customFormat="1" outlineLevel="1" x14ac:dyDescent="0.2">
      <c r="A43" s="23" t="s">
        <v>8</v>
      </c>
      <c r="B43" s="23">
        <f>'Annual Raw'!C14</f>
        <v>0</v>
      </c>
      <c r="C43" s="23">
        <f>'Annual Raw'!D14</f>
        <v>0</v>
      </c>
      <c r="D43" s="23">
        <f>'Annual Raw'!E14</f>
        <v>5.23</v>
      </c>
      <c r="E43" s="23">
        <f>'Annual Raw'!F14</f>
        <v>7.2990000000000004</v>
      </c>
      <c r="F43" s="23">
        <f>'Annual Raw'!G14</f>
        <v>9.9469999999999992</v>
      </c>
      <c r="G43" s="23">
        <f>'Annual Raw'!H14</f>
        <v>13.311</v>
      </c>
      <c r="H43" s="23">
        <f>'Annual Raw'!I14</f>
        <v>18.07</v>
      </c>
      <c r="I43" s="23">
        <f>'Annual Raw'!J14</f>
        <v>21.902999999999999</v>
      </c>
      <c r="J43" s="23">
        <f>'Annual Raw'!K14</f>
        <v>31.074999999999999</v>
      </c>
      <c r="K43" s="23">
        <f>'Annual Raw'!L14</f>
        <v>42.292000000000002</v>
      </c>
      <c r="L43" s="23">
        <f>'Annual Raw'!M14</f>
        <v>53.21</v>
      </c>
      <c r="M43" s="23">
        <f>'Annual Raw'!N14</f>
        <v>63.228000000000002</v>
      </c>
      <c r="N43" s="23">
        <f>'Annual Raw'!O14</f>
        <v>83.302000000000007</v>
      </c>
      <c r="O43" s="23">
        <f>'Annual Raw'!P14</f>
        <v>103.6</v>
      </c>
      <c r="P43" s="23">
        <f>'Annual Raw'!Q14</f>
        <v>140.58500000000001</v>
      </c>
      <c r="Q43" s="23">
        <f>'Annual Raw'!R14</f>
        <v>167.43799999999999</v>
      </c>
      <c r="R43" s="23">
        <f>'Annual Raw'!S14</f>
        <v>178.982</v>
      </c>
      <c r="S43" s="23">
        <f>'Annual Raw'!T14</f>
        <v>255.88</v>
      </c>
      <c r="T43" s="23">
        <f>'Annual Raw'!U14</f>
        <v>206.88499999999999</v>
      </c>
      <c r="U43" s="23">
        <f>'Annual Raw'!V14</f>
        <v>223.934</v>
      </c>
      <c r="V43" s="23">
        <f>'Annual Raw'!W14</f>
        <v>321.72000000000003</v>
      </c>
      <c r="W43" s="23">
        <f>'Annual Raw'!X14</f>
        <v>392.16</v>
      </c>
      <c r="X43" s="23">
        <f>'Annual Raw'!Y14</f>
        <v>393.82</v>
      </c>
      <c r="Y43" s="23">
        <f>'Annual Raw'!Z14</f>
        <v>420.76</v>
      </c>
      <c r="Z43" s="23">
        <f>'Annual Raw'!AA14</f>
        <v>566.03</v>
      </c>
      <c r="AA43" s="23">
        <f>'Annual Raw'!AB14</f>
        <v>676.02</v>
      </c>
      <c r="AB43" s="76">
        <f t="shared" ref="AB43:AB48" si="293">+SUM(CM43:CP43)</f>
        <v>723.34140000000002</v>
      </c>
      <c r="AC43" s="76">
        <f t="shared" ref="AC43:AC48" si="294">+SUM(CQ43:CT43)</f>
        <v>773.97529800000007</v>
      </c>
      <c r="AD43" s="76">
        <f t="shared" ref="AD43:AD48" si="295">+SUM(CU43:CX43)</f>
        <v>828.15356886000018</v>
      </c>
      <c r="AE43" s="76">
        <f t="shared" ref="AE43:AE48" si="296">+SUM(CY43:DB43)</f>
        <v>886.1243186802003</v>
      </c>
      <c r="AI43" s="23">
        <f>'QTR Raw'!C16</f>
        <v>0</v>
      </c>
      <c r="AJ43" s="23">
        <f>'QTR Raw'!D16</f>
        <v>0</v>
      </c>
      <c r="AK43" s="23">
        <f>'QTR Raw'!E16</f>
        <v>0</v>
      </c>
      <c r="AL43" s="23">
        <f>'QTR Raw'!F16</f>
        <v>0</v>
      </c>
      <c r="AM43" s="23">
        <f>'QTR Raw'!G16</f>
        <v>0</v>
      </c>
      <c r="AN43" s="23">
        <f>'QTR Raw'!H16</f>
        <v>0</v>
      </c>
      <c r="AO43" s="23">
        <f>'QTR Raw'!I16</f>
        <v>0</v>
      </c>
      <c r="AP43" s="23">
        <f>'QTR Raw'!J16</f>
        <v>0</v>
      </c>
      <c r="AQ43" s="23">
        <f>'QTR Raw'!K16</f>
        <v>0</v>
      </c>
      <c r="AR43" s="23">
        <f>'QTR Raw'!L16</f>
        <v>0</v>
      </c>
      <c r="AS43" s="23">
        <f>'QTR Raw'!M16</f>
        <v>0</v>
      </c>
      <c r="AT43" s="23">
        <f>'QTR Raw'!N16</f>
        <v>0</v>
      </c>
      <c r="AU43" s="23">
        <f>'QTR Raw'!O16</f>
        <v>0</v>
      </c>
      <c r="AV43" s="23">
        <f>'QTR Raw'!P16</f>
        <v>0</v>
      </c>
      <c r="AW43" s="23">
        <f>'QTR Raw'!Q16</f>
        <v>0</v>
      </c>
      <c r="AX43" s="23">
        <f>'QTR Raw'!R16</f>
        <v>0</v>
      </c>
      <c r="AY43" s="23">
        <f>'QTR Raw'!S16</f>
        <v>0</v>
      </c>
      <c r="AZ43" s="23">
        <f>'QTR Raw'!T16</f>
        <v>0</v>
      </c>
      <c r="BA43" s="23">
        <f>'QTR Raw'!U16</f>
        <v>0</v>
      </c>
      <c r="BB43" s="23">
        <f>'QTR Raw'!V16</f>
        <v>0</v>
      </c>
      <c r="BC43" s="23">
        <f>'QTR Raw'!W16</f>
        <v>0</v>
      </c>
      <c r="BD43" s="23">
        <f>'QTR Raw'!X16</f>
        <v>0</v>
      </c>
      <c r="BE43" s="23">
        <f>'QTR Raw'!Y16</f>
        <v>0</v>
      </c>
      <c r="BF43" s="23">
        <f>'QTR Raw'!Z16</f>
        <v>0</v>
      </c>
      <c r="BG43" s="23">
        <f>'QTR Raw'!AA16</f>
        <v>0</v>
      </c>
      <c r="BH43" s="23">
        <f>'QTR Raw'!AB16</f>
        <v>0</v>
      </c>
      <c r="BI43" s="23">
        <f>'QTR Raw'!AC16</f>
        <v>0</v>
      </c>
      <c r="BJ43" s="23">
        <f>'QTR Raw'!AD16</f>
        <v>0</v>
      </c>
      <c r="BK43" s="23">
        <f>'QTR Raw'!AE16</f>
        <v>0</v>
      </c>
      <c r="BL43" s="23">
        <f>'QTR Raw'!AF16</f>
        <v>0</v>
      </c>
      <c r="BM43" s="23">
        <f>'QTR Raw'!AG16</f>
        <v>0</v>
      </c>
      <c r="BN43" s="23">
        <f>'QTR Raw'!AH16</f>
        <v>0</v>
      </c>
      <c r="BO43" s="23">
        <f>'QTR Raw'!AI16</f>
        <v>0</v>
      </c>
      <c r="BP43" s="23">
        <f>'QTR Raw'!AJ16</f>
        <v>0</v>
      </c>
      <c r="BQ43" s="23">
        <f>'QTR Raw'!AK16</f>
        <v>74.8</v>
      </c>
      <c r="BR43" s="23">
        <f>'QTR Raw'!AL16</f>
        <v>94.11</v>
      </c>
      <c r="BS43" s="23">
        <f>'QTR Raw'!AM16</f>
        <v>64.98</v>
      </c>
      <c r="BT43" s="23">
        <f>'QTR Raw'!AN16</f>
        <v>105.68</v>
      </c>
      <c r="BU43" s="23">
        <f>'QTR Raw'!AO16</f>
        <v>83.54</v>
      </c>
      <c r="BV43" s="23">
        <f>'QTR Raw'!AP16</f>
        <v>137.97999999999999</v>
      </c>
      <c r="BW43" s="23">
        <f>'QTR Raw'!AQ16</f>
        <v>113.37</v>
      </c>
      <c r="BX43" s="23">
        <f>'QTR Raw'!AR16</f>
        <v>81.08</v>
      </c>
      <c r="BY43" s="23">
        <f>'QTR Raw'!AS16</f>
        <v>92.14</v>
      </c>
      <c r="BZ43" s="23">
        <f>'QTR Raw'!AT16</f>
        <v>107.23</v>
      </c>
      <c r="CA43" s="23">
        <f>'QTR Raw'!AU16</f>
        <v>104.26</v>
      </c>
      <c r="CB43" s="23">
        <f>'QTR Raw'!AV16</f>
        <v>101.18</v>
      </c>
      <c r="CC43" s="23">
        <f>'QTR Raw'!AW16</f>
        <v>99.62</v>
      </c>
      <c r="CD43" s="23">
        <f>'QTR Raw'!AX16</f>
        <v>115.7</v>
      </c>
      <c r="CE43" s="23">
        <f>'QTR Raw'!AY16</f>
        <v>119.04</v>
      </c>
      <c r="CF43" s="23">
        <f>'QTR Raw'!AZ16</f>
        <v>113.58</v>
      </c>
      <c r="CG43" s="23">
        <f>'QTR Raw'!BA16</f>
        <v>187.85</v>
      </c>
      <c r="CH43" s="23">
        <f>'QTR Raw'!BB16</f>
        <v>145.56</v>
      </c>
      <c r="CI43" s="23">
        <f>'QTR Raw'!BC16</f>
        <v>149.83000000000001</v>
      </c>
      <c r="CJ43" s="23">
        <f>'QTR Raw'!BD16</f>
        <v>147.74</v>
      </c>
      <c r="CK43" s="23">
        <f>'QTR Raw'!BE16</f>
        <v>163.52000000000001</v>
      </c>
      <c r="CL43" s="23">
        <f>'QTR Raw'!BF16</f>
        <v>214.93</v>
      </c>
      <c r="CM43" s="24">
        <f t="shared" ref="CM43:DB43" si="297">CI43*107%</f>
        <v>160.31810000000002</v>
      </c>
      <c r="CN43" s="24">
        <f t="shared" si="297"/>
        <v>158.08180000000002</v>
      </c>
      <c r="CO43" s="24">
        <f t="shared" si="297"/>
        <v>174.96640000000002</v>
      </c>
      <c r="CP43" s="24">
        <f t="shared" si="297"/>
        <v>229.97510000000003</v>
      </c>
      <c r="CQ43" s="24">
        <f t="shared" si="297"/>
        <v>171.54036700000003</v>
      </c>
      <c r="CR43" s="24">
        <f t="shared" si="297"/>
        <v>169.14752600000003</v>
      </c>
      <c r="CS43" s="24">
        <f t="shared" si="297"/>
        <v>187.21404800000005</v>
      </c>
      <c r="CT43" s="24">
        <f t="shared" si="297"/>
        <v>246.07335700000004</v>
      </c>
      <c r="CU43" s="24">
        <f t="shared" si="297"/>
        <v>183.54819269000004</v>
      </c>
      <c r="CV43" s="24">
        <f t="shared" si="297"/>
        <v>180.98785282000003</v>
      </c>
      <c r="CW43" s="24">
        <f t="shared" si="297"/>
        <v>200.31903136000005</v>
      </c>
      <c r="CX43" s="24">
        <f t="shared" si="297"/>
        <v>263.29849199000006</v>
      </c>
      <c r="CY43" s="24">
        <f t="shared" si="297"/>
        <v>196.39656617830005</v>
      </c>
      <c r="CZ43" s="24">
        <f t="shared" si="297"/>
        <v>193.65700251740003</v>
      </c>
      <c r="DA43" s="24">
        <f t="shared" si="297"/>
        <v>214.34136355520008</v>
      </c>
      <c r="DB43" s="24">
        <f t="shared" si="297"/>
        <v>281.72938642930006</v>
      </c>
      <c r="DE43" s="123"/>
      <c r="DF43" s="23">
        <v>155.7492</v>
      </c>
    </row>
    <row r="44" spans="1:110" s="23" customFormat="1" outlineLevel="1" x14ac:dyDescent="0.2">
      <c r="A44" s="23" t="s">
        <v>10</v>
      </c>
      <c r="B44" s="23">
        <f>'Annual Raw'!C17</f>
        <v>0</v>
      </c>
      <c r="C44" s="23">
        <f>'Annual Raw'!D17</f>
        <v>0</v>
      </c>
      <c r="D44" s="23">
        <f>'Annual Raw'!E17</f>
        <v>8.9420000000000002</v>
      </c>
      <c r="E44" s="23">
        <f>'Annual Raw'!F17</f>
        <v>11.381</v>
      </c>
      <c r="F44" s="23">
        <f>'Annual Raw'!G17</f>
        <v>15.526999999999999</v>
      </c>
      <c r="G44" s="23">
        <f>'Annual Raw'!H17</f>
        <v>20.364999999999998</v>
      </c>
      <c r="H44" s="23">
        <f>'Annual Raw'!I17</f>
        <v>22.395</v>
      </c>
      <c r="I44" s="23">
        <f>'Annual Raw'!J17</f>
        <v>21.091999999999999</v>
      </c>
      <c r="J44" s="23">
        <f>'Annual Raw'!K17</f>
        <v>28.815000000000001</v>
      </c>
      <c r="K44" s="23">
        <f>'Annual Raw'!L17</f>
        <v>35.932000000000002</v>
      </c>
      <c r="L44" s="23">
        <f>'Annual Raw'!M17</f>
        <v>29.869</v>
      </c>
      <c r="M44" s="23">
        <f>'Annual Raw'!N17</f>
        <v>51.831000000000003</v>
      </c>
      <c r="N44" s="23">
        <f>'Annual Raw'!O17</f>
        <v>67.284000000000006</v>
      </c>
      <c r="O44" s="23">
        <f>'Annual Raw'!P17</f>
        <v>79.778999999999996</v>
      </c>
      <c r="P44" s="23">
        <f>'Annual Raw'!Q17</f>
        <v>97.944000000000003</v>
      </c>
      <c r="Q44" s="23">
        <f>'Annual Raw'!R17</f>
        <v>114.29900000000001</v>
      </c>
      <c r="R44" s="23">
        <f>'Annual Raw'!S17</f>
        <v>145.94399999999999</v>
      </c>
      <c r="S44" s="23">
        <f>'Annual Raw'!T17</f>
        <v>164.49100000000001</v>
      </c>
      <c r="T44" s="23">
        <f>'Annual Raw'!U17</f>
        <v>163.35599999999999</v>
      </c>
      <c r="U44" s="23">
        <f>'Annual Raw'!V17</f>
        <v>353.42599999999999</v>
      </c>
      <c r="V44" s="23">
        <f>'Annual Raw'!W17</f>
        <v>562.51</v>
      </c>
      <c r="W44" s="23">
        <f>'Annual Raw'!X17</f>
        <v>278</v>
      </c>
      <c r="X44" s="23">
        <f>'Annual Raw'!Y17</f>
        <v>254.52</v>
      </c>
      <c r="Y44" s="23">
        <f>'Annual Raw'!Z17</f>
        <v>248.15</v>
      </c>
      <c r="Z44" s="23">
        <f>'Annual Raw'!AA17</f>
        <v>330.7</v>
      </c>
      <c r="AA44" s="23">
        <f>'Annual Raw'!AB17</f>
        <v>352.87</v>
      </c>
      <c r="AB44" s="76">
        <f t="shared" si="293"/>
        <v>0</v>
      </c>
      <c r="AC44" s="76">
        <f t="shared" si="294"/>
        <v>0</v>
      </c>
      <c r="AD44" s="76">
        <f t="shared" si="295"/>
        <v>0</v>
      </c>
      <c r="AE44" s="76">
        <f t="shared" si="296"/>
        <v>0</v>
      </c>
      <c r="AI44" s="23">
        <f>'QTR Raw'!C17</f>
        <v>0</v>
      </c>
      <c r="AJ44" s="23">
        <f>'QTR Raw'!D17</f>
        <v>0</v>
      </c>
      <c r="AK44" s="23">
        <f>'QTR Raw'!E17</f>
        <v>0</v>
      </c>
      <c r="AL44" s="23">
        <f>'QTR Raw'!F17</f>
        <v>0</v>
      </c>
      <c r="AM44" s="23">
        <f>'QTR Raw'!G17</f>
        <v>0</v>
      </c>
      <c r="AN44" s="23">
        <f>'QTR Raw'!H17</f>
        <v>0</v>
      </c>
      <c r="AO44" s="23">
        <f>'QTR Raw'!I17</f>
        <v>0</v>
      </c>
      <c r="AP44" s="23">
        <f>'QTR Raw'!J17</f>
        <v>0</v>
      </c>
      <c r="AQ44" s="23">
        <f>'QTR Raw'!K17</f>
        <v>0</v>
      </c>
      <c r="AR44" s="23">
        <f>'QTR Raw'!L17</f>
        <v>0</v>
      </c>
      <c r="AS44" s="23">
        <f>'QTR Raw'!M17</f>
        <v>0</v>
      </c>
      <c r="AT44" s="23">
        <f>'QTR Raw'!N17</f>
        <v>0</v>
      </c>
      <c r="AU44" s="23">
        <f>'QTR Raw'!O17</f>
        <v>0</v>
      </c>
      <c r="AV44" s="23">
        <f>'QTR Raw'!P17</f>
        <v>0</v>
      </c>
      <c r="AW44" s="23">
        <f>'QTR Raw'!Q17</f>
        <v>0</v>
      </c>
      <c r="AX44" s="23">
        <f>'QTR Raw'!R17</f>
        <v>0</v>
      </c>
      <c r="AY44" s="23">
        <f>'QTR Raw'!S17</f>
        <v>0</v>
      </c>
      <c r="AZ44" s="23">
        <f>'QTR Raw'!T17</f>
        <v>0</v>
      </c>
      <c r="BA44" s="23">
        <f>'QTR Raw'!U17</f>
        <v>0</v>
      </c>
      <c r="BB44" s="23">
        <f>'QTR Raw'!V17</f>
        <v>0</v>
      </c>
      <c r="BC44" s="23">
        <f>'QTR Raw'!W17</f>
        <v>0</v>
      </c>
      <c r="BD44" s="23">
        <f>'QTR Raw'!X17</f>
        <v>0</v>
      </c>
      <c r="BE44" s="23">
        <f>'QTR Raw'!Y17</f>
        <v>0</v>
      </c>
      <c r="BF44" s="23">
        <f>'QTR Raw'!Z17</f>
        <v>0</v>
      </c>
      <c r="BG44" s="23">
        <f>'QTR Raw'!AA17</f>
        <v>0</v>
      </c>
      <c r="BH44" s="23">
        <f>'QTR Raw'!AB17</f>
        <v>0</v>
      </c>
      <c r="BI44" s="23">
        <f>'QTR Raw'!AC17</f>
        <v>0</v>
      </c>
      <c r="BJ44" s="23">
        <f>'QTR Raw'!AD17</f>
        <v>0</v>
      </c>
      <c r="BK44" s="23">
        <f>'QTR Raw'!AE17</f>
        <v>0</v>
      </c>
      <c r="BL44" s="23">
        <f>'QTR Raw'!AF17</f>
        <v>0</v>
      </c>
      <c r="BM44" s="23">
        <f>'QTR Raw'!AG17</f>
        <v>0</v>
      </c>
      <c r="BN44" s="23">
        <f>'QTR Raw'!AH17</f>
        <v>0</v>
      </c>
      <c r="BO44" s="23">
        <f>'QTR Raw'!AI17</f>
        <v>0</v>
      </c>
      <c r="BP44" s="23">
        <f>'QTR Raw'!AJ17</f>
        <v>0</v>
      </c>
      <c r="BQ44" s="23">
        <f>'QTR Raw'!AK17</f>
        <v>0</v>
      </c>
      <c r="BR44" s="23">
        <f>'QTR Raw'!AL17</f>
        <v>0</v>
      </c>
      <c r="BS44" s="23">
        <f>'QTR Raw'!AM17</f>
        <v>0</v>
      </c>
      <c r="BT44" s="23">
        <f>'QTR Raw'!AN17</f>
        <v>0</v>
      </c>
      <c r="BU44" s="23">
        <f>'QTR Raw'!AO17</f>
        <v>0</v>
      </c>
      <c r="BV44" s="23">
        <f>'QTR Raw'!AP17</f>
        <v>0</v>
      </c>
      <c r="BW44" s="23">
        <f>'QTR Raw'!AQ17</f>
        <v>0</v>
      </c>
      <c r="BX44" s="23">
        <f>'QTR Raw'!AR17</f>
        <v>0</v>
      </c>
      <c r="BY44" s="23">
        <f>'QTR Raw'!AS17</f>
        <v>0</v>
      </c>
      <c r="BZ44" s="23">
        <f>'QTR Raw'!AT17</f>
        <v>0</v>
      </c>
      <c r="CA44" s="23">
        <f>'QTR Raw'!AU17</f>
        <v>0</v>
      </c>
      <c r="CB44" s="23">
        <f>'QTR Raw'!AV17</f>
        <v>0</v>
      </c>
      <c r="CC44" s="23">
        <f>'QTR Raw'!AW17</f>
        <v>0</v>
      </c>
      <c r="CD44" s="23">
        <f>'QTR Raw'!AX17</f>
        <v>0</v>
      </c>
      <c r="CE44" s="23">
        <f>'QTR Raw'!AY17</f>
        <v>0</v>
      </c>
      <c r="CF44" s="23">
        <f>'QTR Raw'!AZ17</f>
        <v>0</v>
      </c>
      <c r="CG44" s="23">
        <f>'QTR Raw'!BA17</f>
        <v>0</v>
      </c>
      <c r="CH44" s="23">
        <f>'QTR Raw'!BB17</f>
        <v>0</v>
      </c>
      <c r="CI44" s="23">
        <f>'QTR Raw'!BC17</f>
        <v>0</v>
      </c>
      <c r="CJ44" s="23">
        <f>'QTR Raw'!BD17</f>
        <v>0</v>
      </c>
      <c r="CK44" s="23">
        <f>'QTR Raw'!BE17</f>
        <v>0</v>
      </c>
      <c r="CL44" s="23">
        <f>'QTR Raw'!BF17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3" customFormat="1" outlineLevel="1" x14ac:dyDescent="0.2">
      <c r="A45" s="23" t="s">
        <v>12</v>
      </c>
      <c r="B45" s="23">
        <f>'Annual Raw'!C19-'Annual Raw'!C20</f>
        <v>0</v>
      </c>
      <c r="C45" s="23">
        <f>'Annual Raw'!D19-'Annual Raw'!D20</f>
        <v>0</v>
      </c>
      <c r="D45" s="23">
        <f>'Annual Raw'!E19-'Annual Raw'!E20</f>
        <v>2.67</v>
      </c>
      <c r="E45" s="23">
        <f>'Annual Raw'!F19-'Annual Raw'!F20</f>
        <v>1.556</v>
      </c>
      <c r="F45" s="23">
        <f>'Annual Raw'!G19-'Annual Raw'!G20</f>
        <v>7.9939999999999998</v>
      </c>
      <c r="G45" s="23">
        <f>'Annual Raw'!H19-'Annual Raw'!H20</f>
        <v>7.0140000000000002</v>
      </c>
      <c r="H45" s="23">
        <f>'Annual Raw'!I19-'Annual Raw'!I20</f>
        <v>9.8879999999999999</v>
      </c>
      <c r="I45" s="23">
        <f>'Annual Raw'!J19-'Annual Raw'!J20</f>
        <v>14.512</v>
      </c>
      <c r="J45" s="23">
        <f>'Annual Raw'!K19-'Annual Raw'!K20</f>
        <v>3.3479999999999999</v>
      </c>
      <c r="K45" s="23">
        <f>'Annual Raw'!L19-'Annual Raw'!L20</f>
        <v>4.266</v>
      </c>
      <c r="L45" s="23">
        <f>'Annual Raw'!M19-'Annual Raw'!M20</f>
        <v>78.724000000000004</v>
      </c>
      <c r="M45" s="23">
        <f>'Annual Raw'!N19-'Annual Raw'!N20</f>
        <v>137.94999999999999</v>
      </c>
      <c r="N45" s="23">
        <f>'Annual Raw'!O19-'Annual Raw'!O20</f>
        <v>65.301000000000002</v>
      </c>
      <c r="O45" s="23">
        <f>'Annual Raw'!P19-'Annual Raw'!P20</f>
        <v>297.13099999999997</v>
      </c>
      <c r="P45" s="23">
        <f>'Annual Raw'!Q19-'Annual Raw'!Q20</f>
        <v>164.328</v>
      </c>
      <c r="Q45" s="23">
        <f>'Annual Raw'!R19-'Annual Raw'!R20</f>
        <v>61.353999999999999</v>
      </c>
      <c r="R45" s="23">
        <f>'Annual Raw'!S19-'Annual Raw'!S20</f>
        <v>7.3159999999999998</v>
      </c>
      <c r="S45" s="23">
        <f>'Annual Raw'!T19-'Annual Raw'!T20</f>
        <v>51.732999999999997</v>
      </c>
      <c r="T45" s="23">
        <f>'Annual Raw'!U19-'Annual Raw'!U20</f>
        <v>140.613</v>
      </c>
      <c r="U45" s="23">
        <f>'Annual Raw'!V19-'Annual Raw'!V20</f>
        <v>187.26599999999999</v>
      </c>
      <c r="V45" s="23">
        <f>'Annual Raw'!W19-'Annual Raw'!W20</f>
        <v>22.09</v>
      </c>
      <c r="W45" s="23">
        <f>'Annual Raw'!X19-'Annual Raw'!X20</f>
        <v>132.66</v>
      </c>
      <c r="X45" s="23">
        <f>'Annual Raw'!Y19-'Annual Raw'!Y20</f>
        <v>230.67</v>
      </c>
      <c r="Y45" s="23">
        <f>'Annual Raw'!Z19-'Annual Raw'!Z20</f>
        <v>427.46</v>
      </c>
      <c r="Z45" s="23">
        <f>'Annual Raw'!AA19-'Annual Raw'!AA20</f>
        <v>126.82</v>
      </c>
      <c r="AA45" s="23">
        <f>'Annual Raw'!AB19-'Annual Raw'!AB20</f>
        <v>235.45</v>
      </c>
      <c r="AB45" s="76">
        <f t="shared" si="293"/>
        <v>0</v>
      </c>
      <c r="AC45" s="76">
        <f t="shared" si="294"/>
        <v>0</v>
      </c>
      <c r="AD45" s="76">
        <f t="shared" si="295"/>
        <v>0</v>
      </c>
      <c r="AE45" s="76">
        <f t="shared" si="296"/>
        <v>0</v>
      </c>
      <c r="AI45" s="23">
        <f>+'QTR Raw'!C21</f>
        <v>0</v>
      </c>
      <c r="AJ45" s="23">
        <f>+'QTR Raw'!D21</f>
        <v>0</v>
      </c>
      <c r="AK45" s="23">
        <f>+'QTR Raw'!E21</f>
        <v>0</v>
      </c>
      <c r="AL45" s="23">
        <f>+'QTR Raw'!F21</f>
        <v>0</v>
      </c>
      <c r="AM45" s="23">
        <f>+'QTR Raw'!G21</f>
        <v>0</v>
      </c>
      <c r="AN45" s="23">
        <f>+'QTR Raw'!H21</f>
        <v>0</v>
      </c>
      <c r="AO45" s="23">
        <f>+'QTR Raw'!I21</f>
        <v>0</v>
      </c>
      <c r="AP45" s="23">
        <f>+'QTR Raw'!J21</f>
        <v>0</v>
      </c>
      <c r="AQ45" s="23">
        <f>+'QTR Raw'!K21</f>
        <v>0</v>
      </c>
      <c r="AR45" s="23">
        <f>+'QTR Raw'!L21</f>
        <v>0</v>
      </c>
      <c r="AS45" s="23">
        <f>+'QTR Raw'!M21</f>
        <v>0</v>
      </c>
      <c r="AT45" s="23">
        <f>+'QTR Raw'!N21</f>
        <v>0</v>
      </c>
      <c r="AU45" s="23">
        <f>+'QTR Raw'!O21</f>
        <v>0</v>
      </c>
      <c r="AV45" s="23">
        <f>+'QTR Raw'!P21</f>
        <v>0</v>
      </c>
      <c r="AW45" s="23">
        <f>+'QTR Raw'!Q21</f>
        <v>0</v>
      </c>
      <c r="AX45" s="23">
        <f>+'QTR Raw'!R21</f>
        <v>0</v>
      </c>
      <c r="AY45" s="23">
        <f>+'QTR Raw'!S21</f>
        <v>0</v>
      </c>
      <c r="AZ45" s="23">
        <f>+'QTR Raw'!T21</f>
        <v>0</v>
      </c>
      <c r="BA45" s="23">
        <f>+'QTR Raw'!U21</f>
        <v>0</v>
      </c>
      <c r="BB45" s="23">
        <f>+'QTR Raw'!V21</f>
        <v>0</v>
      </c>
      <c r="BC45" s="23">
        <f>+'QTR Raw'!W21</f>
        <v>0</v>
      </c>
      <c r="BD45" s="23">
        <f>+'QTR Raw'!X21</f>
        <v>0</v>
      </c>
      <c r="BE45" s="23">
        <f>+'QTR Raw'!Y21</f>
        <v>0</v>
      </c>
      <c r="BF45" s="23">
        <f>+'QTR Raw'!Z21</f>
        <v>0</v>
      </c>
      <c r="BG45" s="23">
        <f>+'QTR Raw'!AA21</f>
        <v>0</v>
      </c>
      <c r="BH45" s="23">
        <f>+'QTR Raw'!AB21</f>
        <v>0</v>
      </c>
      <c r="BI45" s="23">
        <f>+'QTR Raw'!AC21</f>
        <v>0</v>
      </c>
      <c r="BJ45" s="23">
        <f>+'QTR Raw'!AD21</f>
        <v>0</v>
      </c>
      <c r="BK45" s="23">
        <f>+'QTR Raw'!AE21</f>
        <v>0</v>
      </c>
      <c r="BL45" s="23">
        <f>+'QTR Raw'!AF21</f>
        <v>0</v>
      </c>
      <c r="BM45" s="23">
        <f>+'QTR Raw'!AG21</f>
        <v>0</v>
      </c>
      <c r="BN45" s="23">
        <f>+'QTR Raw'!AH21</f>
        <v>0</v>
      </c>
      <c r="BO45" s="23">
        <f>+'QTR Raw'!AI21</f>
        <v>0</v>
      </c>
      <c r="BP45" s="23">
        <f>+'QTR Raw'!AJ21</f>
        <v>0</v>
      </c>
      <c r="BQ45" s="23">
        <f>+'QTR Raw'!AK21</f>
        <v>0</v>
      </c>
      <c r="BR45" s="23">
        <f>+'QTR Raw'!AL21</f>
        <v>0</v>
      </c>
      <c r="BS45" s="23">
        <f>+'QTR Raw'!AM21</f>
        <v>0</v>
      </c>
      <c r="BT45" s="23">
        <f>+'QTR Raw'!AN21</f>
        <v>0</v>
      </c>
      <c r="BU45" s="23">
        <f>+'QTR Raw'!AO21</f>
        <v>0</v>
      </c>
      <c r="BV45" s="23">
        <f>+'QTR Raw'!AP21</f>
        <v>0</v>
      </c>
      <c r="BW45" s="23">
        <f>+'QTR Raw'!AQ21</f>
        <v>0</v>
      </c>
      <c r="BX45" s="23">
        <f>+'QTR Raw'!AR21</f>
        <v>0</v>
      </c>
      <c r="BY45" s="23">
        <f>+'QTR Raw'!AS21</f>
        <v>0</v>
      </c>
      <c r="BZ45" s="23">
        <f>+'QTR Raw'!AT21</f>
        <v>0</v>
      </c>
      <c r="CA45" s="23">
        <f>+'QTR Raw'!AU21</f>
        <v>0</v>
      </c>
      <c r="CB45" s="23">
        <f>+'QTR Raw'!AV21</f>
        <v>0</v>
      </c>
      <c r="CC45" s="23">
        <f>+'QTR Raw'!AW21</f>
        <v>0</v>
      </c>
      <c r="CD45" s="23">
        <f>+'QTR Raw'!AX21</f>
        <v>0</v>
      </c>
      <c r="CE45" s="23">
        <f>+'QTR Raw'!AY21</f>
        <v>0</v>
      </c>
      <c r="CF45" s="23">
        <f>+'QTR Raw'!AZ21</f>
        <v>0</v>
      </c>
      <c r="CG45" s="23">
        <f>+'QTR Raw'!BA21</f>
        <v>0</v>
      </c>
      <c r="CH45" s="23">
        <f>+'QTR Raw'!BB21</f>
        <v>0</v>
      </c>
      <c r="CI45" s="23">
        <f>+'QTR Raw'!BC21</f>
        <v>0</v>
      </c>
      <c r="CJ45" s="23">
        <f>+'QTR Raw'!BD21</f>
        <v>0</v>
      </c>
      <c r="CK45" s="23">
        <f>+'QTR Raw'!BE21</f>
        <v>0</v>
      </c>
      <c r="CL45" s="23">
        <f>+'QTR Raw'!BF21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0</v>
      </c>
    </row>
    <row r="46" spans="1:110" s="23" customFormat="1" outlineLevel="1" x14ac:dyDescent="0.2">
      <c r="A46" s="23" t="s">
        <v>9</v>
      </c>
      <c r="B46" s="23">
        <f>'Annual Raw'!C15+'Annual Raw'!C16</f>
        <v>0</v>
      </c>
      <c r="C46" s="23">
        <f>'Annual Raw'!D15+'Annual Raw'!D16</f>
        <v>0</v>
      </c>
      <c r="D46" s="23">
        <f>'Annual Raw'!E15+'Annual Raw'!E16</f>
        <v>58.658999999999999</v>
      </c>
      <c r="E46" s="23">
        <f>'Annual Raw'!F15+'Annual Raw'!F16</f>
        <v>74.480999999999995</v>
      </c>
      <c r="F46" s="23">
        <f>'Annual Raw'!G15+'Annual Raw'!G16</f>
        <v>98.046000000000006</v>
      </c>
      <c r="G46" s="23">
        <f>'Annual Raw'!H15+'Annual Raw'!H16</f>
        <v>138.65199999999999</v>
      </c>
      <c r="H46" s="23">
        <f>'Annual Raw'!I15+'Annual Raw'!I16</f>
        <v>140.97399999999999</v>
      </c>
      <c r="I46" s="23">
        <f>'Annual Raw'!J15+'Annual Raw'!J16</f>
        <v>146.31</v>
      </c>
      <c r="J46" s="23">
        <f>'Annual Raw'!K15+'Annual Raw'!K16</f>
        <v>240.79499999999999</v>
      </c>
      <c r="K46" s="23">
        <f>'Annual Raw'!L15+'Annual Raw'!L16</f>
        <v>308.89800000000002</v>
      </c>
      <c r="L46" s="23">
        <f>'Annual Raw'!M15+'Annual Raw'!M16</f>
        <v>336.339</v>
      </c>
      <c r="M46" s="23">
        <f>'Annual Raw'!N15+'Annual Raw'!N16</f>
        <v>451.48099999999999</v>
      </c>
      <c r="N46" s="23">
        <f>'Annual Raw'!O15+'Annual Raw'!O16</f>
        <v>576.12300000000005</v>
      </c>
      <c r="O46" s="23">
        <f>'Annual Raw'!P15+'Annual Raw'!P16</f>
        <v>787.48599999999999</v>
      </c>
      <c r="P46" s="23">
        <f>'Annual Raw'!Q15+'Annual Raw'!Q16</f>
        <v>964.62400000000002</v>
      </c>
      <c r="Q46" s="23">
        <f>'Annual Raw'!R15+'Annual Raw'!R16</f>
        <v>1077.356</v>
      </c>
      <c r="R46" s="23">
        <f>'Annual Raw'!S15+'Annual Raw'!S16</f>
        <v>1254.2170000000001</v>
      </c>
      <c r="S46" s="23">
        <f>'Annual Raw'!T15+'Annual Raw'!T16</f>
        <v>1354.5039999999999</v>
      </c>
      <c r="T46" s="23">
        <f>'Annual Raw'!U15+'Annual Raw'!U16</f>
        <v>1452.8910000000001</v>
      </c>
      <c r="U46" s="23">
        <f>'Annual Raw'!V15+'Annual Raw'!V16</f>
        <v>1504.23</v>
      </c>
      <c r="V46" s="23">
        <f>'Annual Raw'!W15+'Annual Raw'!W16</f>
        <v>1592.4</v>
      </c>
      <c r="W46" s="23">
        <f>'Annual Raw'!X15+'Annual Raw'!X16</f>
        <v>730.32</v>
      </c>
      <c r="X46" s="23">
        <f>'Annual Raw'!Y15+'Annual Raw'!Y16</f>
        <v>943.89</v>
      </c>
      <c r="Y46" s="23">
        <f>'Annual Raw'!Z15+'Annual Raw'!Z16</f>
        <v>1036.54</v>
      </c>
      <c r="Z46" s="23">
        <f>'Annual Raw'!AA15+'Annual Raw'!AA16</f>
        <v>1140.3599999999999</v>
      </c>
      <c r="AA46" s="23">
        <f>'Annual Raw'!AB15+'Annual Raw'!AB16</f>
        <v>1253.6500000000001</v>
      </c>
      <c r="AB46" s="76">
        <f t="shared" si="293"/>
        <v>5372.8079873789975</v>
      </c>
      <c r="AC46" s="76">
        <f t="shared" si="294"/>
        <v>5287.1594666954379</v>
      </c>
      <c r="AD46" s="76">
        <f t="shared" si="295"/>
        <v>5711.1650222622156</v>
      </c>
      <c r="AE46" s="76">
        <f t="shared" si="296"/>
        <v>6188.0508244998509</v>
      </c>
      <c r="AI46" s="23">
        <f>'QTR Raw'!C14</f>
        <v>0</v>
      </c>
      <c r="AJ46" s="23">
        <f>'QTR Raw'!D14</f>
        <v>0</v>
      </c>
      <c r="AK46" s="23">
        <f>'QTR Raw'!E14</f>
        <v>0</v>
      </c>
      <c r="AL46" s="23">
        <f>'QTR Raw'!F14</f>
        <v>0</v>
      </c>
      <c r="AM46" s="23">
        <f>'QTR Raw'!G14</f>
        <v>0</v>
      </c>
      <c r="AN46" s="23">
        <f>'QTR Raw'!H14</f>
        <v>0</v>
      </c>
      <c r="AO46" s="23">
        <f>'QTR Raw'!I14</f>
        <v>0</v>
      </c>
      <c r="AP46" s="23">
        <f>'QTR Raw'!J14</f>
        <v>0</v>
      </c>
      <c r="AQ46" s="23">
        <f>'QTR Raw'!K14</f>
        <v>0</v>
      </c>
      <c r="AR46" s="23">
        <f>'QTR Raw'!L14</f>
        <v>0</v>
      </c>
      <c r="AS46" s="23">
        <f>'QTR Raw'!M14</f>
        <v>0</v>
      </c>
      <c r="AT46" s="23">
        <f>'QTR Raw'!N14</f>
        <v>0</v>
      </c>
      <c r="AU46" s="23">
        <f>'QTR Raw'!O14</f>
        <v>0</v>
      </c>
      <c r="AV46" s="23">
        <f>'QTR Raw'!P14</f>
        <v>0</v>
      </c>
      <c r="AW46" s="23">
        <f>'QTR Raw'!Q14</f>
        <v>0</v>
      </c>
      <c r="AX46" s="23">
        <f>'QTR Raw'!R14</f>
        <v>0</v>
      </c>
      <c r="AY46" s="23">
        <f>'QTR Raw'!S14</f>
        <v>0</v>
      </c>
      <c r="AZ46" s="23">
        <f>'QTR Raw'!T14</f>
        <v>0</v>
      </c>
      <c r="BA46" s="23">
        <f>'QTR Raw'!U14</f>
        <v>0</v>
      </c>
      <c r="BB46" s="23">
        <f>'QTR Raw'!V14</f>
        <v>0</v>
      </c>
      <c r="BC46" s="23">
        <f>'QTR Raw'!W14</f>
        <v>0</v>
      </c>
      <c r="BD46" s="23">
        <f>'QTR Raw'!X14</f>
        <v>0</v>
      </c>
      <c r="BE46" s="23">
        <f>'QTR Raw'!Y14</f>
        <v>0</v>
      </c>
      <c r="BF46" s="23">
        <f>'QTR Raw'!Z14</f>
        <v>0</v>
      </c>
      <c r="BG46" s="23">
        <f>'QTR Raw'!AA14</f>
        <v>0</v>
      </c>
      <c r="BH46" s="23">
        <f>'QTR Raw'!AB14</f>
        <v>0</v>
      </c>
      <c r="BI46" s="23">
        <f>'QTR Raw'!AC14</f>
        <v>0</v>
      </c>
      <c r="BJ46" s="23">
        <f>'QTR Raw'!AD14</f>
        <v>0</v>
      </c>
      <c r="BK46" s="23">
        <f>'QTR Raw'!AE14</f>
        <v>0</v>
      </c>
      <c r="BL46" s="23">
        <f>'QTR Raw'!AF14</f>
        <v>0</v>
      </c>
      <c r="BM46" s="23">
        <f>'QTR Raw'!AG14</f>
        <v>0</v>
      </c>
      <c r="BN46" s="23">
        <f>'QTR Raw'!AH14</f>
        <v>0</v>
      </c>
      <c r="BO46" s="23">
        <f>'QTR Raw'!AI14</f>
        <v>0</v>
      </c>
      <c r="BP46" s="23">
        <f>'QTR Raw'!AJ14</f>
        <v>0</v>
      </c>
      <c r="BQ46" s="23">
        <f>'QTR Raw'!AK14</f>
        <v>722.08</v>
      </c>
      <c r="BR46" s="23">
        <f>'QTR Raw'!AL14</f>
        <v>742.81</v>
      </c>
      <c r="BS46" s="23">
        <f>'QTR Raw'!AM14</f>
        <v>678.21</v>
      </c>
      <c r="BT46" s="23">
        <f>'QTR Raw'!AN14</f>
        <v>864.9</v>
      </c>
      <c r="BU46" s="23">
        <f>'QTR Raw'!AO14</f>
        <v>814.75</v>
      </c>
      <c r="BV46" s="23">
        <f>'QTR Raw'!AP14</f>
        <v>897.05</v>
      </c>
      <c r="BW46" s="23">
        <f>'QTR Raw'!AQ14</f>
        <v>935.9</v>
      </c>
      <c r="BX46" s="23">
        <f>'QTR Raw'!AR14</f>
        <v>1012.83</v>
      </c>
      <c r="BY46" s="23">
        <f>'QTR Raw'!AS14</f>
        <v>988.1</v>
      </c>
      <c r="BZ46" s="23">
        <f>'QTR Raw'!AT14</f>
        <v>973.47</v>
      </c>
      <c r="CA46" s="23">
        <f>'QTR Raw'!AU14</f>
        <v>1010.3</v>
      </c>
      <c r="CB46" s="23">
        <f>'QTR Raw'!AV14</f>
        <v>1189.2</v>
      </c>
      <c r="CC46" s="23">
        <f>'QTR Raw'!AW14</f>
        <v>918.59</v>
      </c>
      <c r="CD46" s="23">
        <f>'QTR Raw'!AX14</f>
        <v>1297.1099999999999</v>
      </c>
      <c r="CE46" s="23">
        <f>'QTR Raw'!AY14</f>
        <v>1053.22</v>
      </c>
      <c r="CF46" s="23">
        <f>'QTR Raw'!AZ14</f>
        <v>1078.53</v>
      </c>
      <c r="CG46" s="23">
        <f>'QTR Raw'!BA14</f>
        <v>1240.6400000000001</v>
      </c>
      <c r="CH46" s="23">
        <f>'QTR Raw'!BB14</f>
        <v>1161.45</v>
      </c>
      <c r="CI46" s="23">
        <f>'QTR Raw'!BC14</f>
        <v>1087.81</v>
      </c>
      <c r="CJ46" s="23">
        <f>'QTR Raw'!BD14</f>
        <v>1213.58</v>
      </c>
      <c r="CK46" s="23">
        <f>'QTR Raw'!BE14</f>
        <v>1217.6600000000001</v>
      </c>
      <c r="CL46" s="23">
        <f>'QTR Raw'!BF14</f>
        <v>1496.95</v>
      </c>
      <c r="CM46" s="24">
        <f t="shared" ref="CM46:DB46" si="298">CM49-CM43-CM44-CM45-CM47-CM48</f>
        <v>1192.3190578693343</v>
      </c>
      <c r="CN46" s="24">
        <f t="shared" si="298"/>
        <v>1271.8823605720709</v>
      </c>
      <c r="CO46" s="24">
        <f t="shared" si="298"/>
        <v>1343.8173182834184</v>
      </c>
      <c r="CP46" s="24">
        <f t="shared" si="298"/>
        <v>1564.7892506541743</v>
      </c>
      <c r="CQ46" s="24">
        <f t="shared" si="298"/>
        <v>1197.1571098208265</v>
      </c>
      <c r="CR46" s="24">
        <f t="shared" si="298"/>
        <v>1261.5820670156115</v>
      </c>
      <c r="CS46" s="24">
        <f t="shared" si="298"/>
        <v>1329.4387159355379</v>
      </c>
      <c r="CT46" s="24">
        <f t="shared" si="298"/>
        <v>1498.9815739234621</v>
      </c>
      <c r="CU46" s="24">
        <f t="shared" si="298"/>
        <v>1280.0790250620755</v>
      </c>
      <c r="CV46" s="24">
        <f t="shared" si="298"/>
        <v>1352.6280597155942</v>
      </c>
      <c r="CW46" s="24">
        <f t="shared" si="298"/>
        <v>1437.7837553471784</v>
      </c>
      <c r="CX46" s="24">
        <f t="shared" si="298"/>
        <v>1640.6741821373678</v>
      </c>
      <c r="CY46" s="24">
        <f t="shared" si="298"/>
        <v>1383.2819107103198</v>
      </c>
      <c r="CZ46" s="24">
        <f t="shared" si="298"/>
        <v>1463.2031958703012</v>
      </c>
      <c r="DA46" s="24">
        <f t="shared" si="298"/>
        <v>1559.4092626332626</v>
      </c>
      <c r="DB46" s="24">
        <f t="shared" si="298"/>
        <v>1782.1564552859672</v>
      </c>
      <c r="DE46" s="123"/>
      <c r="DF46" s="23">
        <v>1443.1164499430793</v>
      </c>
    </row>
    <row r="47" spans="1:110" s="23" customFormat="1" outlineLevel="1" x14ac:dyDescent="0.2">
      <c r="A47" s="23" t="s">
        <v>7</v>
      </c>
      <c r="B47" s="23">
        <f>'Annual Raw'!C13</f>
        <v>0</v>
      </c>
      <c r="C47" s="23">
        <f>'Annual Raw'!D13</f>
        <v>0</v>
      </c>
      <c r="D47" s="23">
        <f>'Annual Raw'!E13</f>
        <v>7.2679999999999998</v>
      </c>
      <c r="E47" s="23">
        <f>'Annual Raw'!F13</f>
        <v>9.1150000000000002</v>
      </c>
      <c r="F47" s="23">
        <f>'Annual Raw'!G13</f>
        <v>17.497</v>
      </c>
      <c r="G47" s="23">
        <f>'Annual Raw'!H13</f>
        <v>26.105</v>
      </c>
      <c r="H47" s="23">
        <f>'Annual Raw'!I13</f>
        <v>27.125</v>
      </c>
      <c r="I47" s="23">
        <f>'Annual Raw'!J13</f>
        <v>32.962000000000003</v>
      </c>
      <c r="J47" s="23">
        <f>'Annual Raw'!K13</f>
        <v>62.174999999999997</v>
      </c>
      <c r="K47" s="23">
        <f>'Annual Raw'!L13</f>
        <v>79.228999999999999</v>
      </c>
      <c r="L47" s="23">
        <f>'Annual Raw'!M13</f>
        <v>122.06</v>
      </c>
      <c r="M47" s="23">
        <f>'Annual Raw'!N13</f>
        <v>151.91300000000001</v>
      </c>
      <c r="N47" s="23">
        <f>'Annual Raw'!O13</f>
        <v>203.25399999999999</v>
      </c>
      <c r="O47" s="23">
        <f>'Annual Raw'!P13</f>
        <v>247.96100000000001</v>
      </c>
      <c r="P47" s="23">
        <f>'Annual Raw'!Q13</f>
        <v>263.65800000000002</v>
      </c>
      <c r="Q47" s="23">
        <f>'Annual Raw'!R13</f>
        <v>253.858</v>
      </c>
      <c r="R47" s="23">
        <f>'Annual Raw'!S13</f>
        <v>251.28200000000001</v>
      </c>
      <c r="S47" s="23">
        <f>'Annual Raw'!T13</f>
        <v>306.637</v>
      </c>
      <c r="T47" s="23">
        <f>'Annual Raw'!U13</f>
        <v>352.30500000000001</v>
      </c>
      <c r="U47" s="23">
        <f>'Annual Raw'!V13</f>
        <v>367.46</v>
      </c>
      <c r="V47" s="23">
        <f>'Annual Raw'!W13</f>
        <v>397.44</v>
      </c>
      <c r="W47" s="23">
        <f>'Annual Raw'!X13</f>
        <v>516.09</v>
      </c>
      <c r="X47" s="23">
        <f>'Annual Raw'!Y13</f>
        <v>638.91999999999996</v>
      </c>
      <c r="Y47" s="23">
        <f>'Annual Raw'!Z13</f>
        <v>632.94000000000005</v>
      </c>
      <c r="Z47" s="23">
        <f>'Annual Raw'!AA13</f>
        <v>634.13</v>
      </c>
      <c r="AA47" s="23">
        <f>'Annual Raw'!AB13</f>
        <v>652.65</v>
      </c>
      <c r="AB47" s="76">
        <f t="shared" si="293"/>
        <v>0</v>
      </c>
      <c r="AC47" s="76">
        <f t="shared" si="294"/>
        <v>0</v>
      </c>
      <c r="AD47" s="76">
        <f t="shared" si="295"/>
        <v>0</v>
      </c>
      <c r="AE47" s="76">
        <f t="shared" si="296"/>
        <v>0</v>
      </c>
      <c r="AI47" s="23">
        <f>'QTR Raw'!C15</f>
        <v>0</v>
      </c>
      <c r="AJ47" s="23">
        <f>'QTR Raw'!D15</f>
        <v>0</v>
      </c>
      <c r="AK47" s="23">
        <f>'QTR Raw'!E15</f>
        <v>0</v>
      </c>
      <c r="AL47" s="23">
        <f>'QTR Raw'!F15</f>
        <v>0</v>
      </c>
      <c r="AM47" s="23">
        <f>'QTR Raw'!G15</f>
        <v>0</v>
      </c>
      <c r="AN47" s="23">
        <f>'QTR Raw'!H15</f>
        <v>0</v>
      </c>
      <c r="AO47" s="23">
        <f>'QTR Raw'!I15</f>
        <v>0</v>
      </c>
      <c r="AP47" s="23">
        <f>'QTR Raw'!J15</f>
        <v>0</v>
      </c>
      <c r="AQ47" s="23">
        <f>'QTR Raw'!K15</f>
        <v>0</v>
      </c>
      <c r="AR47" s="23">
        <f>'QTR Raw'!L15</f>
        <v>0</v>
      </c>
      <c r="AS47" s="23">
        <f>'QTR Raw'!M15</f>
        <v>0</v>
      </c>
      <c r="AT47" s="23">
        <f>'QTR Raw'!N15</f>
        <v>0</v>
      </c>
      <c r="AU47" s="23">
        <f>'QTR Raw'!O15</f>
        <v>0</v>
      </c>
      <c r="AV47" s="23">
        <f>'QTR Raw'!P15</f>
        <v>0</v>
      </c>
      <c r="AW47" s="23">
        <f>'QTR Raw'!Q15</f>
        <v>0</v>
      </c>
      <c r="AX47" s="23">
        <f>'QTR Raw'!R15</f>
        <v>0</v>
      </c>
      <c r="AY47" s="23">
        <f>'QTR Raw'!S15</f>
        <v>0</v>
      </c>
      <c r="AZ47" s="23">
        <f>'QTR Raw'!T15</f>
        <v>0</v>
      </c>
      <c r="BA47" s="23">
        <f>'QTR Raw'!U15</f>
        <v>0</v>
      </c>
      <c r="BB47" s="23">
        <f>'QTR Raw'!V15</f>
        <v>0</v>
      </c>
      <c r="BC47" s="23">
        <f>'QTR Raw'!W15</f>
        <v>0</v>
      </c>
      <c r="BD47" s="23">
        <f>'QTR Raw'!X15</f>
        <v>0</v>
      </c>
      <c r="BE47" s="23">
        <f>'QTR Raw'!Y15</f>
        <v>0</v>
      </c>
      <c r="BF47" s="23">
        <f>'QTR Raw'!Z15</f>
        <v>0</v>
      </c>
      <c r="BG47" s="23">
        <f>'QTR Raw'!AA15</f>
        <v>0</v>
      </c>
      <c r="BH47" s="23">
        <f>'QTR Raw'!AB15</f>
        <v>0</v>
      </c>
      <c r="BI47" s="23">
        <f>'QTR Raw'!AC15</f>
        <v>0</v>
      </c>
      <c r="BJ47" s="23">
        <f>'QTR Raw'!AD15</f>
        <v>0</v>
      </c>
      <c r="BK47" s="23">
        <f>'QTR Raw'!AE15</f>
        <v>0</v>
      </c>
      <c r="BL47" s="23">
        <f>'QTR Raw'!AF15</f>
        <v>0</v>
      </c>
      <c r="BM47" s="23">
        <f>'QTR Raw'!AG15</f>
        <v>0</v>
      </c>
      <c r="BN47" s="23">
        <f>'QTR Raw'!AH15</f>
        <v>0</v>
      </c>
      <c r="BO47" s="23">
        <f>'QTR Raw'!AI15</f>
        <v>0</v>
      </c>
      <c r="BP47" s="23">
        <f>'QTR Raw'!AJ15</f>
        <v>0</v>
      </c>
      <c r="BQ47" s="23">
        <f>'QTR Raw'!AK15</f>
        <v>0</v>
      </c>
      <c r="BR47" s="23">
        <f>'QTR Raw'!AL15</f>
        <v>0</v>
      </c>
      <c r="BS47" s="23">
        <f>'QTR Raw'!AM15</f>
        <v>0</v>
      </c>
      <c r="BT47" s="23">
        <f>'QTR Raw'!AN15</f>
        <v>0</v>
      </c>
      <c r="BU47" s="23">
        <f>'QTR Raw'!AO15</f>
        <v>0</v>
      </c>
      <c r="BV47" s="23">
        <f>'QTR Raw'!AP15</f>
        <v>0</v>
      </c>
      <c r="BW47" s="23">
        <f>'QTR Raw'!AQ15</f>
        <v>0</v>
      </c>
      <c r="BX47" s="23">
        <f>'QTR Raw'!AR15</f>
        <v>0</v>
      </c>
      <c r="BY47" s="23">
        <f>'QTR Raw'!AS15</f>
        <v>0</v>
      </c>
      <c r="BZ47" s="23">
        <f>'QTR Raw'!AT15</f>
        <v>0</v>
      </c>
      <c r="CA47" s="23">
        <f>'QTR Raw'!AU15</f>
        <v>0</v>
      </c>
      <c r="CB47" s="23">
        <f>'QTR Raw'!AV15</f>
        <v>0</v>
      </c>
      <c r="CC47" s="23">
        <f>'QTR Raw'!AW15</f>
        <v>0</v>
      </c>
      <c r="CD47" s="23">
        <f>'QTR Raw'!AX15</f>
        <v>0</v>
      </c>
      <c r="CE47" s="23">
        <f>'QTR Raw'!AY15</f>
        <v>0</v>
      </c>
      <c r="CF47" s="23">
        <f>'QTR Raw'!AZ15</f>
        <v>0</v>
      </c>
      <c r="CG47" s="23">
        <f>'QTR Raw'!BA15</f>
        <v>0</v>
      </c>
      <c r="CH47" s="23">
        <f>'QTR Raw'!BB15</f>
        <v>0</v>
      </c>
      <c r="CI47" s="23">
        <f>'QTR Raw'!BC15</f>
        <v>0</v>
      </c>
      <c r="CJ47" s="23">
        <f>'QTR Raw'!BD15</f>
        <v>0</v>
      </c>
      <c r="CK47" s="23">
        <f>'QTR Raw'!BE15</f>
        <v>0</v>
      </c>
      <c r="CL47" s="23">
        <f>'QTR Raw'!BF15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3" customFormat="1" outlineLevel="1" x14ac:dyDescent="0.2">
      <c r="A48" s="23" t="s">
        <v>11</v>
      </c>
      <c r="B48" s="23">
        <f>'Annual Raw'!C18</f>
        <v>0</v>
      </c>
      <c r="C48" s="23">
        <f>'Annual Raw'!D18</f>
        <v>0</v>
      </c>
      <c r="D48" s="23">
        <f>'Annual Raw'!E18</f>
        <v>42.968000000000004</v>
      </c>
      <c r="E48" s="23">
        <f>'Annual Raw'!F18</f>
        <v>59.966000000000001</v>
      </c>
      <c r="F48" s="23">
        <f>'Annual Raw'!G18</f>
        <v>73.037999999999997</v>
      </c>
      <c r="G48" s="23">
        <f>'Annual Raw'!H18</f>
        <v>123.952</v>
      </c>
      <c r="H48" s="23">
        <f>'Annual Raw'!I18</f>
        <v>122.01</v>
      </c>
      <c r="I48" s="23">
        <f>'Annual Raw'!J18</f>
        <v>137.37799999999999</v>
      </c>
      <c r="J48" s="23">
        <f>'Annual Raw'!K18</f>
        <v>258.82900000000001</v>
      </c>
      <c r="K48" s="23">
        <f>'Annual Raw'!L18</f>
        <v>302.18799999999999</v>
      </c>
      <c r="L48" s="23">
        <f>'Annual Raw'!M18</f>
        <v>420.78500000000003</v>
      </c>
      <c r="M48" s="23">
        <f>'Annual Raw'!N18</f>
        <v>461.767</v>
      </c>
      <c r="N48" s="23">
        <f>'Annual Raw'!O18</f>
        <v>579.83900000000006</v>
      </c>
      <c r="O48" s="23">
        <f>'Annual Raw'!P18</f>
        <v>695.36099999999999</v>
      </c>
      <c r="P48" s="23">
        <f>'Annual Raw'!Q18</f>
        <v>769.34799999999996</v>
      </c>
      <c r="Q48" s="23">
        <f>'Annual Raw'!R18</f>
        <v>930.06700000000001</v>
      </c>
      <c r="R48" s="23">
        <f>'Annual Raw'!S18</f>
        <v>980.38199999999995</v>
      </c>
      <c r="S48" s="23">
        <f>'Annual Raw'!T18</f>
        <v>1261.759</v>
      </c>
      <c r="T48" s="23">
        <f>'Annual Raw'!U18</f>
        <v>1190.6369999999999</v>
      </c>
      <c r="U48" s="23">
        <f>'Annual Raw'!V18</f>
        <v>1259.9690000000001</v>
      </c>
      <c r="V48" s="23">
        <f>'Annual Raw'!W18</f>
        <v>1350.52</v>
      </c>
      <c r="W48" s="23">
        <f>'Annual Raw'!X18</f>
        <v>1597.86</v>
      </c>
      <c r="X48" s="23">
        <f>'Annual Raw'!Y18</f>
        <v>1878.87</v>
      </c>
      <c r="Y48" s="23">
        <f>'Annual Raw'!Z18</f>
        <v>2051.75</v>
      </c>
      <c r="Z48" s="23">
        <f>'Annual Raw'!AA18</f>
        <v>2255.0500000000002</v>
      </c>
      <c r="AA48" s="23">
        <f>'Annual Raw'!AB18</f>
        <v>2536.8200000000002</v>
      </c>
      <c r="AB48" s="76">
        <f t="shared" si="293"/>
        <v>0</v>
      </c>
      <c r="AC48" s="76">
        <f t="shared" si="294"/>
        <v>0</v>
      </c>
      <c r="AD48" s="76">
        <f t="shared" si="295"/>
        <v>0</v>
      </c>
      <c r="AE48" s="76">
        <f t="shared" si="296"/>
        <v>0</v>
      </c>
      <c r="AI48" s="23">
        <f>'QTR Raw'!C18</f>
        <v>0</v>
      </c>
      <c r="AJ48" s="23">
        <f>'QTR Raw'!D18</f>
        <v>0</v>
      </c>
      <c r="AK48" s="23">
        <f>'QTR Raw'!E18</f>
        <v>0</v>
      </c>
      <c r="AL48" s="23">
        <f>'QTR Raw'!F18</f>
        <v>0</v>
      </c>
      <c r="AM48" s="23">
        <f>'QTR Raw'!G18</f>
        <v>0</v>
      </c>
      <c r="AN48" s="23">
        <f>'QTR Raw'!H18</f>
        <v>0</v>
      </c>
      <c r="AO48" s="23">
        <f>'QTR Raw'!I18</f>
        <v>0</v>
      </c>
      <c r="AP48" s="23">
        <f>'QTR Raw'!J18</f>
        <v>0</v>
      </c>
      <c r="AQ48" s="23">
        <f>'QTR Raw'!K18</f>
        <v>0</v>
      </c>
      <c r="AR48" s="23">
        <f>'QTR Raw'!L18</f>
        <v>0</v>
      </c>
      <c r="AS48" s="23">
        <f>'QTR Raw'!M18</f>
        <v>0</v>
      </c>
      <c r="AT48" s="23">
        <f>'QTR Raw'!N18</f>
        <v>0</v>
      </c>
      <c r="AU48" s="23">
        <f>'QTR Raw'!O18</f>
        <v>0</v>
      </c>
      <c r="AV48" s="23">
        <f>'QTR Raw'!P18</f>
        <v>0</v>
      </c>
      <c r="AW48" s="23">
        <f>'QTR Raw'!Q18</f>
        <v>0</v>
      </c>
      <c r="AX48" s="23">
        <f>'QTR Raw'!R18</f>
        <v>0</v>
      </c>
      <c r="AY48" s="23">
        <f>'QTR Raw'!S18</f>
        <v>0</v>
      </c>
      <c r="AZ48" s="23">
        <f>'QTR Raw'!T18</f>
        <v>0</v>
      </c>
      <c r="BA48" s="23">
        <f>'QTR Raw'!U18</f>
        <v>0</v>
      </c>
      <c r="BB48" s="23">
        <f>'QTR Raw'!V18</f>
        <v>0</v>
      </c>
      <c r="BC48" s="23">
        <f>'QTR Raw'!W18</f>
        <v>0</v>
      </c>
      <c r="BD48" s="23">
        <f>'QTR Raw'!X18</f>
        <v>0</v>
      </c>
      <c r="BE48" s="23">
        <f>'QTR Raw'!Y18</f>
        <v>0</v>
      </c>
      <c r="BF48" s="23">
        <f>'QTR Raw'!Z18</f>
        <v>0</v>
      </c>
      <c r="BG48" s="23">
        <f>'QTR Raw'!AA18</f>
        <v>0</v>
      </c>
      <c r="BH48" s="23">
        <f>'QTR Raw'!AB18</f>
        <v>0</v>
      </c>
      <c r="BI48" s="23">
        <f>'QTR Raw'!AC18</f>
        <v>0</v>
      </c>
      <c r="BJ48" s="23">
        <f>'QTR Raw'!AD18</f>
        <v>0</v>
      </c>
      <c r="BK48" s="23">
        <f>'QTR Raw'!AE18</f>
        <v>0</v>
      </c>
      <c r="BL48" s="23">
        <f>'QTR Raw'!AF18</f>
        <v>0</v>
      </c>
      <c r="BM48" s="23">
        <f>'QTR Raw'!AG18</f>
        <v>0</v>
      </c>
      <c r="BN48" s="23">
        <f>'QTR Raw'!AH18</f>
        <v>0</v>
      </c>
      <c r="BO48" s="23">
        <f>'QTR Raw'!AI18</f>
        <v>0</v>
      </c>
      <c r="BP48" s="23">
        <f>'QTR Raw'!AJ18</f>
        <v>0</v>
      </c>
      <c r="BQ48" s="23">
        <f>'QTR Raw'!AK18</f>
        <v>0</v>
      </c>
      <c r="BR48" s="23">
        <f>'QTR Raw'!AL18</f>
        <v>0</v>
      </c>
      <c r="BS48" s="23">
        <f>'QTR Raw'!AM18</f>
        <v>0</v>
      </c>
      <c r="BT48" s="23">
        <f>'QTR Raw'!AN18</f>
        <v>0</v>
      </c>
      <c r="BU48" s="23">
        <f>'QTR Raw'!AO18</f>
        <v>0</v>
      </c>
      <c r="BV48" s="23">
        <f>'QTR Raw'!AP18</f>
        <v>0</v>
      </c>
      <c r="BW48" s="23">
        <f>'QTR Raw'!AQ18</f>
        <v>0</v>
      </c>
      <c r="BX48" s="23">
        <f>'QTR Raw'!AR18</f>
        <v>0</v>
      </c>
      <c r="BY48" s="23">
        <f>'QTR Raw'!AS18</f>
        <v>0</v>
      </c>
      <c r="BZ48" s="23">
        <f>'QTR Raw'!AT18</f>
        <v>0</v>
      </c>
      <c r="CA48" s="23">
        <f>'QTR Raw'!AU18</f>
        <v>0</v>
      </c>
      <c r="CB48" s="23">
        <f>'QTR Raw'!AV18</f>
        <v>0</v>
      </c>
      <c r="CC48" s="23">
        <f>'QTR Raw'!AW18</f>
        <v>0</v>
      </c>
      <c r="CD48" s="23">
        <f>'QTR Raw'!AX18</f>
        <v>0</v>
      </c>
      <c r="CE48" s="23">
        <f>'QTR Raw'!AY18</f>
        <v>0</v>
      </c>
      <c r="CF48" s="23">
        <f>'QTR Raw'!AZ18</f>
        <v>0</v>
      </c>
      <c r="CG48" s="23">
        <f>'QTR Raw'!BA18</f>
        <v>0</v>
      </c>
      <c r="CH48" s="23">
        <f>'QTR Raw'!BB18</f>
        <v>0</v>
      </c>
      <c r="CI48" s="23">
        <f>'QTR Raw'!BC18</f>
        <v>0</v>
      </c>
      <c r="CJ48" s="23">
        <f>'QTR Raw'!BD18</f>
        <v>0</v>
      </c>
      <c r="CK48" s="23">
        <f>'QTR Raw'!BE18</f>
        <v>0</v>
      </c>
      <c r="CL48" s="23">
        <f>'QTR Raw'!BF18</f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3"/>
      <c r="DF48" s="23">
        <v>0</v>
      </c>
    </row>
    <row r="49" spans="1:110" s="22" customFormat="1" x14ac:dyDescent="0.2">
      <c r="A49" s="33" t="s">
        <v>348</v>
      </c>
      <c r="B49" s="22">
        <f t="shared" ref="B49:E49" si="299">+SUM(B43:B48)</f>
        <v>0</v>
      </c>
      <c r="C49" s="22">
        <f t="shared" si="299"/>
        <v>0</v>
      </c>
      <c r="D49" s="22">
        <f t="shared" si="299"/>
        <v>125.73700000000001</v>
      </c>
      <c r="E49" s="22">
        <f t="shared" si="299"/>
        <v>163.798</v>
      </c>
      <c r="F49" s="22">
        <f t="shared" ref="F49:AE49" si="300">+SUM(F43:F48)</f>
        <v>222.04900000000004</v>
      </c>
      <c r="G49" s="22">
        <f t="shared" si="300"/>
        <v>329.399</v>
      </c>
      <c r="H49" s="22">
        <f t="shared" si="300"/>
        <v>340.46199999999999</v>
      </c>
      <c r="I49" s="22">
        <f t="shared" si="300"/>
        <v>374.15699999999998</v>
      </c>
      <c r="J49" s="22">
        <f t="shared" si="300"/>
        <v>625.03700000000003</v>
      </c>
      <c r="K49" s="22">
        <f t="shared" si="300"/>
        <v>772.80500000000006</v>
      </c>
      <c r="L49" s="22">
        <f t="shared" si="300"/>
        <v>1040.9870000000001</v>
      </c>
      <c r="M49" s="22">
        <f t="shared" si="300"/>
        <v>1318.17</v>
      </c>
      <c r="N49" s="22">
        <f t="shared" si="300"/>
        <v>1575.1030000000001</v>
      </c>
      <c r="O49" s="22">
        <f t="shared" si="300"/>
        <v>2211.3180000000002</v>
      </c>
      <c r="P49" s="22">
        <f t="shared" si="300"/>
        <v>2400.4870000000001</v>
      </c>
      <c r="Q49" s="22">
        <f t="shared" si="300"/>
        <v>2604.3719999999998</v>
      </c>
      <c r="R49" s="22">
        <f t="shared" si="300"/>
        <v>2818.123</v>
      </c>
      <c r="S49" s="22">
        <f t="shared" si="300"/>
        <v>3395.0039999999999</v>
      </c>
      <c r="T49" s="22">
        <f t="shared" si="300"/>
        <v>3506.6869999999999</v>
      </c>
      <c r="U49" s="22">
        <f t="shared" si="300"/>
        <v>3896.2849999999999</v>
      </c>
      <c r="V49" s="22">
        <f t="shared" si="300"/>
        <v>4246.68</v>
      </c>
      <c r="W49" s="22">
        <f t="shared" si="300"/>
        <v>3647.09</v>
      </c>
      <c r="X49" s="22">
        <f t="shared" si="300"/>
        <v>4340.6900000000005</v>
      </c>
      <c r="Y49" s="22">
        <f t="shared" si="300"/>
        <v>4817.6000000000004</v>
      </c>
      <c r="Z49" s="22">
        <f t="shared" ref="Z49:AA49" si="301">+SUM(Z43:Z48)</f>
        <v>5053.09</v>
      </c>
      <c r="AA49" s="22">
        <f t="shared" si="301"/>
        <v>5707.46</v>
      </c>
      <c r="AB49" s="21">
        <f t="shared" si="300"/>
        <v>6096.1493873789977</v>
      </c>
      <c r="AC49" s="21">
        <f t="shared" si="300"/>
        <v>6061.1347646954382</v>
      </c>
      <c r="AD49" s="21">
        <f t="shared" si="300"/>
        <v>6539.3185911222154</v>
      </c>
      <c r="AE49" s="21">
        <f t="shared" si="300"/>
        <v>7074.1751431800512</v>
      </c>
      <c r="AI49" s="22">
        <f t="shared" ref="AI49:BN49" si="302">+SUM(AI43:AI48)</f>
        <v>0</v>
      </c>
      <c r="AJ49" s="22">
        <f t="shared" si="302"/>
        <v>0</v>
      </c>
      <c r="AK49" s="22">
        <f t="shared" si="302"/>
        <v>0</v>
      </c>
      <c r="AL49" s="22">
        <f t="shared" si="302"/>
        <v>0</v>
      </c>
      <c r="AM49" s="22">
        <f t="shared" si="302"/>
        <v>0</v>
      </c>
      <c r="AN49" s="22">
        <f t="shared" si="302"/>
        <v>0</v>
      </c>
      <c r="AO49" s="22">
        <f t="shared" si="302"/>
        <v>0</v>
      </c>
      <c r="AP49" s="22">
        <f t="shared" si="302"/>
        <v>0</v>
      </c>
      <c r="AQ49" s="22">
        <f t="shared" si="302"/>
        <v>0</v>
      </c>
      <c r="AR49" s="22">
        <f t="shared" si="302"/>
        <v>0</v>
      </c>
      <c r="AS49" s="22">
        <f t="shared" si="302"/>
        <v>0</v>
      </c>
      <c r="AT49" s="22">
        <f t="shared" si="302"/>
        <v>0</v>
      </c>
      <c r="AU49" s="22">
        <f t="shared" si="302"/>
        <v>0</v>
      </c>
      <c r="AV49" s="22">
        <f t="shared" si="302"/>
        <v>0</v>
      </c>
      <c r="AW49" s="22">
        <f t="shared" si="302"/>
        <v>0</v>
      </c>
      <c r="AX49" s="22">
        <f t="shared" si="302"/>
        <v>0</v>
      </c>
      <c r="AY49" s="22">
        <f t="shared" si="302"/>
        <v>0</v>
      </c>
      <c r="AZ49" s="22">
        <f t="shared" si="302"/>
        <v>0</v>
      </c>
      <c r="BA49" s="22">
        <f t="shared" si="302"/>
        <v>0</v>
      </c>
      <c r="BB49" s="22">
        <f t="shared" si="302"/>
        <v>0</v>
      </c>
      <c r="BC49" s="22">
        <f t="shared" si="302"/>
        <v>0</v>
      </c>
      <c r="BD49" s="22">
        <f t="shared" si="302"/>
        <v>0</v>
      </c>
      <c r="BE49" s="22">
        <f t="shared" si="302"/>
        <v>0</v>
      </c>
      <c r="BF49" s="22">
        <f t="shared" si="302"/>
        <v>0</v>
      </c>
      <c r="BG49" s="22">
        <f t="shared" si="302"/>
        <v>0</v>
      </c>
      <c r="BH49" s="22">
        <f t="shared" si="302"/>
        <v>0</v>
      </c>
      <c r="BI49" s="22">
        <f t="shared" si="302"/>
        <v>0</v>
      </c>
      <c r="BJ49" s="22">
        <f t="shared" si="302"/>
        <v>0</v>
      </c>
      <c r="BK49" s="22">
        <f t="shared" si="302"/>
        <v>0</v>
      </c>
      <c r="BL49" s="22">
        <f t="shared" si="302"/>
        <v>0</v>
      </c>
      <c r="BM49" s="22">
        <f t="shared" si="302"/>
        <v>0</v>
      </c>
      <c r="BN49" s="22">
        <f t="shared" si="302"/>
        <v>0</v>
      </c>
      <c r="BO49" s="22">
        <f t="shared" ref="BO49:CH49" si="303">+SUM(BO43:BO48)</f>
        <v>0</v>
      </c>
      <c r="BP49" s="22">
        <f t="shared" si="303"/>
        <v>0</v>
      </c>
      <c r="BQ49" s="22">
        <f t="shared" si="303"/>
        <v>796.88</v>
      </c>
      <c r="BR49" s="22">
        <f t="shared" si="303"/>
        <v>836.92</v>
      </c>
      <c r="BS49" s="22">
        <f t="shared" si="303"/>
        <v>743.19</v>
      </c>
      <c r="BT49" s="22">
        <f t="shared" si="303"/>
        <v>970.57999999999993</v>
      </c>
      <c r="BU49" s="22">
        <f t="shared" si="303"/>
        <v>898.29</v>
      </c>
      <c r="BV49" s="22">
        <f t="shared" si="303"/>
        <v>1035.03</v>
      </c>
      <c r="BW49" s="22">
        <f t="shared" si="303"/>
        <v>1049.27</v>
      </c>
      <c r="BX49" s="22">
        <f t="shared" si="303"/>
        <v>1093.9100000000001</v>
      </c>
      <c r="BY49" s="22">
        <f t="shared" si="303"/>
        <v>1080.24</v>
      </c>
      <c r="BZ49" s="22">
        <f t="shared" si="303"/>
        <v>1080.7</v>
      </c>
      <c r="CA49" s="22">
        <f t="shared" si="303"/>
        <v>1114.56</v>
      </c>
      <c r="CB49" s="22">
        <f t="shared" si="303"/>
        <v>1290.3800000000001</v>
      </c>
      <c r="CC49" s="22">
        <f t="shared" si="303"/>
        <v>1018.21</v>
      </c>
      <c r="CD49" s="22">
        <f t="shared" si="303"/>
        <v>1412.81</v>
      </c>
      <c r="CE49" s="22">
        <f t="shared" si="303"/>
        <v>1172.26</v>
      </c>
      <c r="CF49" s="22">
        <f t="shared" si="303"/>
        <v>1192.1099999999999</v>
      </c>
      <c r="CG49" s="22">
        <f t="shared" si="303"/>
        <v>1428.49</v>
      </c>
      <c r="CH49" s="22">
        <f t="shared" si="303"/>
        <v>1307.01</v>
      </c>
      <c r="CI49" s="22">
        <f t="shared" ref="CI49:CJ49" si="304">+SUM(CI43:CI48)</f>
        <v>1237.6399999999999</v>
      </c>
      <c r="CJ49" s="22">
        <f t="shared" si="304"/>
        <v>1361.32</v>
      </c>
      <c r="CK49" s="22">
        <f t="shared" ref="CK49:CL49" si="305">+SUM(CK43:CK48)</f>
        <v>1381.18</v>
      </c>
      <c r="CL49" s="22">
        <f t="shared" si="305"/>
        <v>1711.88</v>
      </c>
      <c r="CM49" s="21">
        <f t="shared" ref="CM49:DB49" si="306">CM50*CM33</f>
        <v>1352.6371578693343</v>
      </c>
      <c r="CN49" s="21">
        <f t="shared" si="306"/>
        <v>1429.9641605720708</v>
      </c>
      <c r="CO49" s="21">
        <f t="shared" si="306"/>
        <v>1518.7837182834185</v>
      </c>
      <c r="CP49" s="21">
        <f t="shared" si="306"/>
        <v>1794.7643506541745</v>
      </c>
      <c r="CQ49" s="21">
        <f t="shared" si="306"/>
        <v>1368.6974768208265</v>
      </c>
      <c r="CR49" s="21">
        <f t="shared" si="306"/>
        <v>1430.7295930156115</v>
      </c>
      <c r="CS49" s="21">
        <f t="shared" si="306"/>
        <v>1516.6527639355379</v>
      </c>
      <c r="CT49" s="21">
        <f t="shared" si="306"/>
        <v>1745.0549309234621</v>
      </c>
      <c r="CU49" s="21">
        <f t="shared" si="306"/>
        <v>1463.6272177520755</v>
      </c>
      <c r="CV49" s="21">
        <f t="shared" si="306"/>
        <v>1533.6159125355941</v>
      </c>
      <c r="CW49" s="21">
        <f t="shared" si="306"/>
        <v>1638.1027867071784</v>
      </c>
      <c r="CX49" s="21">
        <f t="shared" si="306"/>
        <v>1903.9726741273678</v>
      </c>
      <c r="CY49" s="21">
        <f t="shared" si="306"/>
        <v>1579.6784768886198</v>
      </c>
      <c r="CZ49" s="21">
        <f t="shared" si="306"/>
        <v>1656.8601983877013</v>
      </c>
      <c r="DA49" s="21">
        <f t="shared" si="306"/>
        <v>1773.7506261884628</v>
      </c>
      <c r="DB49" s="21">
        <f t="shared" si="306"/>
        <v>2063.8858417152674</v>
      </c>
      <c r="DE49" s="126"/>
      <c r="DF49" s="22">
        <v>1598.8656499430792</v>
      </c>
    </row>
    <row r="50" spans="1:110" s="44" customFormat="1" x14ac:dyDescent="0.2">
      <c r="A50" s="43" t="s">
        <v>349</v>
      </c>
      <c r="B50" s="44" t="e">
        <f t="shared" ref="B50:E50" si="307">B49/B33</f>
        <v>#DIV/0!</v>
      </c>
      <c r="C50" s="44" t="e">
        <f t="shared" si="307"/>
        <v>#DIV/0!</v>
      </c>
      <c r="D50" s="44">
        <f t="shared" si="307"/>
        <v>0.10019930367233554</v>
      </c>
      <c r="E50" s="44">
        <f t="shared" si="307"/>
        <v>8.9733693660330266E-2</v>
      </c>
      <c r="F50" s="44">
        <f t="shared" ref="F50:AE50" si="308">F49/F33</f>
        <v>0.10909434824369839</v>
      </c>
      <c r="G50" s="44">
        <f t="shared" si="308"/>
        <v>0.12290039851340064</v>
      </c>
      <c r="H50" s="44">
        <f t="shared" si="308"/>
        <v>0.12889296411946247</v>
      </c>
      <c r="I50" s="44">
        <f t="shared" si="308"/>
        <v>0.11028708888504389</v>
      </c>
      <c r="J50" s="44">
        <f t="shared" si="308"/>
        <v>0.10777958740967528</v>
      </c>
      <c r="K50" s="44">
        <f t="shared" si="308"/>
        <v>0.12649650966502049</v>
      </c>
      <c r="L50" s="44">
        <f t="shared" si="308"/>
        <v>0.12189187926487859</v>
      </c>
      <c r="M50" s="44">
        <f t="shared" si="308"/>
        <v>0.10945775741177581</v>
      </c>
      <c r="N50" s="44">
        <f t="shared" si="308"/>
        <v>0.11050641744223068</v>
      </c>
      <c r="O50" s="44">
        <f t="shared" si="308"/>
        <v>0.1276769621894969</v>
      </c>
      <c r="P50" s="44">
        <f t="shared" si="308"/>
        <v>0.13902647465291265</v>
      </c>
      <c r="Q50" s="44">
        <f t="shared" si="308"/>
        <v>0.1368204105633595</v>
      </c>
      <c r="R50" s="44">
        <f t="shared" si="308"/>
        <v>0.12147939059320693</v>
      </c>
      <c r="S50" s="44">
        <f t="shared" si="308"/>
        <v>0.12824930759621453</v>
      </c>
      <c r="T50" s="44">
        <f t="shared" si="308"/>
        <v>0.12177071323448063</v>
      </c>
      <c r="U50" s="44">
        <f t="shared" si="308"/>
        <v>0.13137809860702196</v>
      </c>
      <c r="V50" s="44">
        <f t="shared" si="308"/>
        <v>0.11449533329630672</v>
      </c>
      <c r="W50" s="44">
        <f t="shared" si="308"/>
        <v>6.7345621313116735E-2</v>
      </c>
      <c r="X50" s="44">
        <f t="shared" si="308"/>
        <v>7.4601773211943126E-2</v>
      </c>
      <c r="Y50" s="44">
        <f t="shared" si="308"/>
        <v>9.4047644611723547E-2</v>
      </c>
      <c r="Z50" s="44">
        <f t="shared" ref="Z50:AA50" si="309">Z49/Z33</f>
        <v>7.9360958559020381E-2</v>
      </c>
      <c r="AA50" s="44">
        <f t="shared" si="309"/>
        <v>7.6373729822039604E-2</v>
      </c>
      <c r="AB50" s="52">
        <f t="shared" si="308"/>
        <v>7.5557581527104137E-2</v>
      </c>
      <c r="AC50" s="52">
        <f t="shared" si="308"/>
        <v>7.2347075383439374E-2</v>
      </c>
      <c r="AD50" s="52">
        <f t="shared" si="308"/>
        <v>7.2164816029129844E-2</v>
      </c>
      <c r="AE50" s="52">
        <f t="shared" si="308"/>
        <v>7.2122184202777675E-2</v>
      </c>
      <c r="AI50" s="44" t="e">
        <f t="shared" ref="AI50:BN50" si="310">AI49/AI33</f>
        <v>#DIV/0!</v>
      </c>
      <c r="AJ50" s="44" t="e">
        <f t="shared" si="310"/>
        <v>#DIV/0!</v>
      </c>
      <c r="AK50" s="44" t="e">
        <f t="shared" si="310"/>
        <v>#DIV/0!</v>
      </c>
      <c r="AL50" s="44" t="e">
        <f t="shared" si="310"/>
        <v>#DIV/0!</v>
      </c>
      <c r="AM50" s="44" t="e">
        <f t="shared" si="310"/>
        <v>#DIV/0!</v>
      </c>
      <c r="AN50" s="44" t="e">
        <f t="shared" si="310"/>
        <v>#DIV/0!</v>
      </c>
      <c r="AO50" s="44" t="e">
        <f t="shared" si="310"/>
        <v>#DIV/0!</v>
      </c>
      <c r="AP50" s="44" t="e">
        <f t="shared" si="310"/>
        <v>#DIV/0!</v>
      </c>
      <c r="AQ50" s="44" t="e">
        <f t="shared" si="310"/>
        <v>#DIV/0!</v>
      </c>
      <c r="AR50" s="44" t="e">
        <f t="shared" si="310"/>
        <v>#DIV/0!</v>
      </c>
      <c r="AS50" s="44" t="e">
        <f t="shared" si="310"/>
        <v>#DIV/0!</v>
      </c>
      <c r="AT50" s="44" t="e">
        <f t="shared" si="310"/>
        <v>#DIV/0!</v>
      </c>
      <c r="AU50" s="44" t="e">
        <f t="shared" si="310"/>
        <v>#DIV/0!</v>
      </c>
      <c r="AV50" s="44" t="e">
        <f t="shared" si="310"/>
        <v>#DIV/0!</v>
      </c>
      <c r="AW50" s="44" t="e">
        <f t="shared" si="310"/>
        <v>#DIV/0!</v>
      </c>
      <c r="AX50" s="44" t="e">
        <f t="shared" si="310"/>
        <v>#DIV/0!</v>
      </c>
      <c r="AY50" s="44" t="e">
        <f t="shared" si="310"/>
        <v>#DIV/0!</v>
      </c>
      <c r="AZ50" s="44" t="e">
        <f t="shared" si="310"/>
        <v>#DIV/0!</v>
      </c>
      <c r="BA50" s="44" t="e">
        <f t="shared" si="310"/>
        <v>#DIV/0!</v>
      </c>
      <c r="BB50" s="44" t="e">
        <f t="shared" si="310"/>
        <v>#DIV/0!</v>
      </c>
      <c r="BC50" s="44" t="e">
        <f t="shared" si="310"/>
        <v>#DIV/0!</v>
      </c>
      <c r="BD50" s="44" t="e">
        <f t="shared" si="310"/>
        <v>#DIV/0!</v>
      </c>
      <c r="BE50" s="44" t="e">
        <f t="shared" si="310"/>
        <v>#DIV/0!</v>
      </c>
      <c r="BF50" s="44" t="e">
        <f t="shared" si="310"/>
        <v>#DIV/0!</v>
      </c>
      <c r="BG50" s="44" t="e">
        <f t="shared" si="310"/>
        <v>#DIV/0!</v>
      </c>
      <c r="BH50" s="44" t="e">
        <f t="shared" si="310"/>
        <v>#DIV/0!</v>
      </c>
      <c r="BI50" s="44" t="e">
        <f t="shared" si="310"/>
        <v>#DIV/0!</v>
      </c>
      <c r="BJ50" s="44" t="e">
        <f t="shared" si="310"/>
        <v>#DIV/0!</v>
      </c>
      <c r="BK50" s="44" t="e">
        <f t="shared" si="310"/>
        <v>#DIV/0!</v>
      </c>
      <c r="BL50" s="44" t="e">
        <f t="shared" si="310"/>
        <v>#DIV/0!</v>
      </c>
      <c r="BM50" s="44" t="e">
        <f t="shared" si="310"/>
        <v>#DIV/0!</v>
      </c>
      <c r="BN50" s="44" t="e">
        <f t="shared" si="310"/>
        <v>#DIV/0!</v>
      </c>
      <c r="BO50" s="44" t="e">
        <f t="shared" ref="BO50:CH50" si="311">BO49/BO33</f>
        <v>#DIV/0!</v>
      </c>
      <c r="BP50" s="44" t="e">
        <f t="shared" si="311"/>
        <v>#DIV/0!</v>
      </c>
      <c r="BQ50" s="44">
        <f t="shared" si="311"/>
        <v>7.790026677771815E-2</v>
      </c>
      <c r="BR50" s="44">
        <f t="shared" si="311"/>
        <v>7.8419540606839727E-2</v>
      </c>
      <c r="BS50" s="44">
        <f t="shared" si="311"/>
        <v>6.5699431663980734E-2</v>
      </c>
      <c r="BT50" s="44">
        <f t="shared" si="311"/>
        <v>7.1584773208186472E-2</v>
      </c>
      <c r="BU50" s="44">
        <f t="shared" si="311"/>
        <v>6.2507480383997685E-2</v>
      </c>
      <c r="BV50" s="44">
        <f t="shared" si="311"/>
        <v>6.9384726149440315E-2</v>
      </c>
      <c r="BW50" s="44">
        <f t="shared" si="311"/>
        <v>7.1262128932925564E-2</v>
      </c>
      <c r="BX50" s="44">
        <f t="shared" si="311"/>
        <v>7.7307963304671434E-2</v>
      </c>
      <c r="BY50" s="44">
        <f t="shared" si="311"/>
        <v>6.9972567778961728E-2</v>
      </c>
      <c r="BZ50" s="44">
        <f t="shared" si="311"/>
        <v>7.7901538568001485E-2</v>
      </c>
      <c r="CA50" s="44">
        <f t="shared" si="311"/>
        <v>8.6212337794939378E-2</v>
      </c>
      <c r="CB50" s="44">
        <f t="shared" si="311"/>
        <v>0.10518987702930184</v>
      </c>
      <c r="CC50" s="44">
        <f t="shared" si="311"/>
        <v>7.9371798109812944E-2</v>
      </c>
      <c r="CD50" s="44">
        <f t="shared" si="311"/>
        <v>0.10684626513386317</v>
      </c>
      <c r="CE50" s="44">
        <f t="shared" si="311"/>
        <v>8.2822694885137257E-2</v>
      </c>
      <c r="CF50" s="44">
        <f t="shared" si="311"/>
        <v>8.2499304495381981E-2</v>
      </c>
      <c r="CG50" s="44">
        <f t="shared" si="311"/>
        <v>8.4832939997125698E-2</v>
      </c>
      <c r="CH50" s="44">
        <f t="shared" si="311"/>
        <v>7.1697169272594716E-2</v>
      </c>
      <c r="CI50" s="44">
        <f t="shared" ref="CI50:CJ50" si="312">CI49/CI33</f>
        <v>7.2552048374285166E-2</v>
      </c>
      <c r="CJ50" s="44">
        <f t="shared" si="312"/>
        <v>7.7327648445829691E-2</v>
      </c>
      <c r="CK50" s="44">
        <f t="shared" ref="CK50:CL50" si="313">CK49/CK33</f>
        <v>7.4246331306204977E-2</v>
      </c>
      <c r="CL50" s="44">
        <f t="shared" si="313"/>
        <v>7.975297207798078E-2</v>
      </c>
      <c r="CM50" s="52">
        <f>AVERAGE(CI50:CL50)-0.1%</f>
        <v>7.496975005107516E-2</v>
      </c>
      <c r="CN50" s="52">
        <f t="shared" ref="CN50:CO50" si="314">AVERAGE(CJ50:CM50)-0.1%</f>
        <v>7.5574175470272648E-2</v>
      </c>
      <c r="CO50" s="52">
        <f t="shared" si="314"/>
        <v>7.5135807226383383E-2</v>
      </c>
      <c r="CP50" s="52">
        <f>AVERAGE(CL50:CO50)</f>
        <v>7.6358176206427986E-2</v>
      </c>
      <c r="CQ50" s="52">
        <f>AVERAGE(CM50:CP50)*0.97</f>
        <v>7.3244192921383594E-2</v>
      </c>
      <c r="CR50" s="52">
        <f t="shared" ref="CR50:CT50" si="315">AVERAGE(CN50:CQ50)*0.97</f>
        <v>7.2825745317433382E-2</v>
      </c>
      <c r="CS50" s="52">
        <f t="shared" si="315"/>
        <v>7.2159251005369879E-2</v>
      </c>
      <c r="CT50" s="52">
        <f t="shared" si="315"/>
        <v>7.1437436121774084E-2</v>
      </c>
      <c r="CU50" s="52">
        <f t="shared" ref="CU50:DB50" si="316">AVERAGE(CQ50:CT50)</f>
        <v>7.2416656341490235E-2</v>
      </c>
      <c r="CV50" s="52">
        <f t="shared" si="316"/>
        <v>7.2209772196516891E-2</v>
      </c>
      <c r="CW50" s="52">
        <f t="shared" si="316"/>
        <v>7.2055778916287783E-2</v>
      </c>
      <c r="CX50" s="52">
        <f t="shared" si="316"/>
        <v>7.2029910894017252E-2</v>
      </c>
      <c r="CY50" s="52">
        <f t="shared" si="316"/>
        <v>7.217802958707803E-2</v>
      </c>
      <c r="CZ50" s="52">
        <f t="shared" si="316"/>
        <v>7.2118372898474989E-2</v>
      </c>
      <c r="DA50" s="52">
        <f t="shared" si="316"/>
        <v>7.209552307396451E-2</v>
      </c>
      <c r="DB50" s="52">
        <f t="shared" si="316"/>
        <v>7.2105459113383688E-2</v>
      </c>
      <c r="DE50" s="128"/>
      <c r="DF50" s="44">
        <v>7.3955799349728624E-2</v>
      </c>
    </row>
    <row r="51" spans="1:110" s="26" customFormat="1" x14ac:dyDescent="0.2">
      <c r="A51" s="34" t="s">
        <v>13</v>
      </c>
      <c r="B51" s="26">
        <f t="shared" ref="B51:E51" si="317">B39-B49</f>
        <v>0</v>
      </c>
      <c r="C51" s="26">
        <f t="shared" si="317"/>
        <v>0</v>
      </c>
      <c r="D51" s="26">
        <f t="shared" si="317"/>
        <v>31.524999999999935</v>
      </c>
      <c r="E51" s="26">
        <f t="shared" si="317"/>
        <v>46.130000000000109</v>
      </c>
      <c r="F51" s="26">
        <f t="shared" ref="F51:AE51" si="318">F39-F49</f>
        <v>18.696999999999832</v>
      </c>
      <c r="G51" s="26">
        <f t="shared" si="318"/>
        <v>46.495999999999754</v>
      </c>
      <c r="H51" s="26">
        <f t="shared" si="318"/>
        <v>63.765999999999622</v>
      </c>
      <c r="I51" s="26">
        <f t="shared" si="318"/>
        <v>111.83799999999991</v>
      </c>
      <c r="J51" s="26">
        <f t="shared" si="318"/>
        <v>140.12200000000053</v>
      </c>
      <c r="K51" s="26">
        <f t="shared" si="318"/>
        <v>94.188000000000329</v>
      </c>
      <c r="L51" s="26">
        <f t="shared" si="318"/>
        <v>82.478000000000065</v>
      </c>
      <c r="M51" s="26">
        <f t="shared" si="318"/>
        <v>140.79099999999926</v>
      </c>
      <c r="N51" s="26">
        <f t="shared" si="318"/>
        <v>302.82199999999921</v>
      </c>
      <c r="O51" s="26">
        <f t="shared" si="318"/>
        <v>194.79199999999855</v>
      </c>
      <c r="P51" s="26">
        <f t="shared" si="318"/>
        <v>379.32899999999881</v>
      </c>
      <c r="Q51" s="26">
        <f t="shared" si="318"/>
        <v>517.02900000000182</v>
      </c>
      <c r="R51" s="26">
        <f t="shared" si="318"/>
        <v>653.5830000000019</v>
      </c>
      <c r="S51" s="26">
        <f t="shared" si="318"/>
        <v>928.27100000000155</v>
      </c>
      <c r="T51" s="26">
        <f t="shared" si="318"/>
        <v>1100.5249999999996</v>
      </c>
      <c r="U51" s="26">
        <f t="shared" si="318"/>
        <v>1309.5250000000015</v>
      </c>
      <c r="V51" s="26">
        <f t="shared" si="318"/>
        <v>1325.3199999999961</v>
      </c>
      <c r="W51" s="26">
        <f t="shared" si="318"/>
        <v>1736.2700000000004</v>
      </c>
      <c r="X51" s="26">
        <f t="shared" si="318"/>
        <v>958.79000000000269</v>
      </c>
      <c r="Y51" s="26">
        <f t="shared" si="318"/>
        <v>1132.6900000000078</v>
      </c>
      <c r="Z51" s="26">
        <f t="shared" ref="Z51:AA51" si="319">Z39-Z49</f>
        <v>2481.7400000000016</v>
      </c>
      <c r="AA51" s="26">
        <f t="shared" si="319"/>
        <v>2115.3699999999872</v>
      </c>
      <c r="AB51" s="27">
        <f t="shared" si="318"/>
        <v>2419.101354231233</v>
      </c>
      <c r="AC51" s="27">
        <f t="shared" si="318"/>
        <v>2782.3262249813997</v>
      </c>
      <c r="AD51" s="27">
        <f t="shared" si="318"/>
        <v>3024.5745328604335</v>
      </c>
      <c r="AE51" s="27">
        <f t="shared" si="318"/>
        <v>3277.6253462642344</v>
      </c>
      <c r="AI51" s="26">
        <f t="shared" ref="AI51:BN51" si="320">AI39-AI49</f>
        <v>0</v>
      </c>
      <c r="AJ51" s="26">
        <f t="shared" si="320"/>
        <v>0</v>
      </c>
      <c r="AK51" s="26">
        <f t="shared" si="320"/>
        <v>0</v>
      </c>
      <c r="AL51" s="26">
        <f t="shared" si="320"/>
        <v>0</v>
      </c>
      <c r="AM51" s="26">
        <f t="shared" si="320"/>
        <v>0</v>
      </c>
      <c r="AN51" s="26">
        <f t="shared" si="320"/>
        <v>0</v>
      </c>
      <c r="AO51" s="26">
        <f t="shared" si="320"/>
        <v>0</v>
      </c>
      <c r="AP51" s="26">
        <f t="shared" si="320"/>
        <v>0</v>
      </c>
      <c r="AQ51" s="26">
        <f t="shared" si="320"/>
        <v>0</v>
      </c>
      <c r="AR51" s="26">
        <f t="shared" si="320"/>
        <v>0</v>
      </c>
      <c r="AS51" s="26">
        <f t="shared" si="320"/>
        <v>0</v>
      </c>
      <c r="AT51" s="26">
        <f t="shared" si="320"/>
        <v>0</v>
      </c>
      <c r="AU51" s="26">
        <f t="shared" si="320"/>
        <v>0</v>
      </c>
      <c r="AV51" s="26">
        <f t="shared" si="320"/>
        <v>0</v>
      </c>
      <c r="AW51" s="26">
        <f t="shared" si="320"/>
        <v>0</v>
      </c>
      <c r="AX51" s="26">
        <f t="shared" si="320"/>
        <v>0</v>
      </c>
      <c r="AY51" s="26">
        <f t="shared" si="320"/>
        <v>0</v>
      </c>
      <c r="AZ51" s="26">
        <f t="shared" si="320"/>
        <v>0</v>
      </c>
      <c r="BA51" s="26">
        <f t="shared" si="320"/>
        <v>0</v>
      </c>
      <c r="BB51" s="26">
        <f t="shared" si="320"/>
        <v>0</v>
      </c>
      <c r="BC51" s="26">
        <f t="shared" si="320"/>
        <v>0</v>
      </c>
      <c r="BD51" s="26">
        <f t="shared" si="320"/>
        <v>0</v>
      </c>
      <c r="BE51" s="26">
        <f t="shared" si="320"/>
        <v>0</v>
      </c>
      <c r="BF51" s="26">
        <f t="shared" si="320"/>
        <v>0</v>
      </c>
      <c r="BG51" s="26">
        <f t="shared" si="320"/>
        <v>0</v>
      </c>
      <c r="BH51" s="26">
        <f t="shared" si="320"/>
        <v>0</v>
      </c>
      <c r="BI51" s="26">
        <f t="shared" si="320"/>
        <v>0</v>
      </c>
      <c r="BJ51" s="26">
        <f t="shared" si="320"/>
        <v>0</v>
      </c>
      <c r="BK51" s="26">
        <f t="shared" si="320"/>
        <v>0</v>
      </c>
      <c r="BL51" s="26">
        <f t="shared" si="320"/>
        <v>0</v>
      </c>
      <c r="BM51" s="26">
        <f t="shared" si="320"/>
        <v>0</v>
      </c>
      <c r="BN51" s="26">
        <f t="shared" si="320"/>
        <v>0</v>
      </c>
      <c r="BO51" s="26">
        <f t="shared" ref="BO51:CT51" si="321">BO39-BO49</f>
        <v>0</v>
      </c>
      <c r="BP51" s="26">
        <f t="shared" si="321"/>
        <v>0</v>
      </c>
      <c r="BQ51" s="26">
        <f t="shared" si="321"/>
        <v>314.28000000000077</v>
      </c>
      <c r="BR51" s="26">
        <f t="shared" si="321"/>
        <v>353.27000000000146</v>
      </c>
      <c r="BS51" s="26">
        <f t="shared" si="321"/>
        <v>377.3599999999999</v>
      </c>
      <c r="BT51" s="26">
        <f t="shared" si="321"/>
        <v>429.5300000000002</v>
      </c>
      <c r="BU51" s="26">
        <f t="shared" si="321"/>
        <v>503.650000000001</v>
      </c>
      <c r="BV51" s="26">
        <f t="shared" si="321"/>
        <v>425.72</v>
      </c>
      <c r="BW51" s="26">
        <f t="shared" si="321"/>
        <v>443.0900000000006</v>
      </c>
      <c r="BX51" s="26">
        <f t="shared" si="321"/>
        <v>253.86999999999921</v>
      </c>
      <c r="BY51" s="26">
        <f t="shared" si="321"/>
        <v>605.22</v>
      </c>
      <c r="BZ51" s="26">
        <f t="shared" si="321"/>
        <v>118.10999999999945</v>
      </c>
      <c r="CA51" s="26">
        <f t="shared" si="321"/>
        <v>130.39999999999941</v>
      </c>
      <c r="CB51" s="26">
        <f t="shared" si="321"/>
        <v>143.66999999999825</v>
      </c>
      <c r="CC51" s="26">
        <f t="shared" si="321"/>
        <v>504.58000000000084</v>
      </c>
      <c r="CD51" s="26">
        <f t="shared" si="321"/>
        <v>357</v>
      </c>
      <c r="CE51" s="26">
        <f t="shared" si="321"/>
        <v>626.17000000000121</v>
      </c>
      <c r="CF51" s="26">
        <f t="shared" si="321"/>
        <v>568.94000000000051</v>
      </c>
      <c r="CG51" s="26">
        <f t="shared" si="321"/>
        <v>791.58999999999946</v>
      </c>
      <c r="CH51" s="26">
        <f t="shared" si="321"/>
        <v>448.2600000000009</v>
      </c>
      <c r="CI51" s="26">
        <f t="shared" ref="CI51:CJ51" si="322">CI39-CI49</f>
        <v>365.89000000000169</v>
      </c>
      <c r="CJ51" s="26">
        <f t="shared" si="322"/>
        <v>688.17999999999915</v>
      </c>
      <c r="CK51" s="26">
        <f t="shared" ref="CK51:CL51" si="323">CK39-CK49</f>
        <v>552.99999999999795</v>
      </c>
      <c r="CL51" s="26">
        <f t="shared" si="323"/>
        <v>523.74000000000024</v>
      </c>
      <c r="CM51" s="27">
        <f t="shared" si="321"/>
        <v>535.25969653073003</v>
      </c>
      <c r="CN51" s="27">
        <f t="shared" si="321"/>
        <v>600.2063361033986</v>
      </c>
      <c r="CO51" s="27">
        <f t="shared" si="321"/>
        <v>603.96313778129002</v>
      </c>
      <c r="CP51" s="27">
        <f t="shared" si="321"/>
        <v>679.67218381581324</v>
      </c>
      <c r="CQ51" s="27">
        <f t="shared" si="321"/>
        <v>603.78963679362528</v>
      </c>
      <c r="CR51" s="27">
        <f t="shared" si="321"/>
        <v>647.51465544223765</v>
      </c>
      <c r="CS51" s="27">
        <f t="shared" si="321"/>
        <v>698.81365288777511</v>
      </c>
      <c r="CT51" s="27">
        <f t="shared" si="321"/>
        <v>832.20827985775759</v>
      </c>
      <c r="CU51" s="27">
        <f t="shared" ref="CU51:DB51" si="324">CU39-CU49</f>
        <v>669.93341843020744</v>
      </c>
      <c r="CV51" s="27">
        <f t="shared" si="324"/>
        <v>708.41647099102306</v>
      </c>
      <c r="CW51" s="27">
        <f t="shared" si="324"/>
        <v>760.55123047774714</v>
      </c>
      <c r="CX51" s="27">
        <f t="shared" si="324"/>
        <v>885.67341296145037</v>
      </c>
      <c r="CY51" s="27">
        <f t="shared" si="324"/>
        <v>730.23857628593146</v>
      </c>
      <c r="CZ51" s="27">
        <f t="shared" si="324"/>
        <v>767.80947429717639</v>
      </c>
      <c r="DA51" s="27">
        <f t="shared" si="324"/>
        <v>822.63826060778183</v>
      </c>
      <c r="DB51" s="27">
        <f t="shared" si="324"/>
        <v>956.93903507336108</v>
      </c>
      <c r="DE51" s="121"/>
      <c r="DF51" s="26">
        <v>620.7767722282199</v>
      </c>
    </row>
    <row r="52" spans="1:110" s="163" customFormat="1" x14ac:dyDescent="0.2">
      <c r="A52" s="160" t="s">
        <v>14</v>
      </c>
      <c r="B52" s="161" t="e">
        <f t="shared" ref="B52:E52" si="325">B51/B33</f>
        <v>#DIV/0!</v>
      </c>
      <c r="C52" s="161" t="e">
        <f t="shared" si="325"/>
        <v>#DIV/0!</v>
      </c>
      <c r="D52" s="161">
        <f t="shared" si="325"/>
        <v>2.5122144223819327E-2</v>
      </c>
      <c r="E52" s="161">
        <f t="shared" si="325"/>
        <v>2.5271464172645849E-2</v>
      </c>
      <c r="F52" s="161">
        <f t="shared" ref="F52:AE52" si="326">F51/F33</f>
        <v>9.1859771001554166E-3</v>
      </c>
      <c r="G52" s="161">
        <f t="shared" si="326"/>
        <v>1.7347887908824997E-2</v>
      </c>
      <c r="H52" s="161">
        <f t="shared" si="326"/>
        <v>2.4140693381468698E-2</v>
      </c>
      <c r="I52" s="161">
        <f t="shared" si="326"/>
        <v>3.2965539724568907E-2</v>
      </c>
      <c r="J52" s="161">
        <f t="shared" si="326"/>
        <v>2.4162235750873267E-2</v>
      </c>
      <c r="K52" s="161">
        <f t="shared" si="326"/>
        <v>1.5417153424640099E-2</v>
      </c>
      <c r="L52" s="161">
        <f t="shared" si="326"/>
        <v>9.657563848548217E-3</v>
      </c>
      <c r="M52" s="161">
        <f t="shared" si="326"/>
        <v>1.1690955736939276E-2</v>
      </c>
      <c r="N52" s="161">
        <f t="shared" si="326"/>
        <v>2.1245451467422186E-2</v>
      </c>
      <c r="O52" s="161">
        <f t="shared" si="326"/>
        <v>1.1246890234157318E-2</v>
      </c>
      <c r="P52" s="161">
        <f t="shared" si="326"/>
        <v>2.1969197751795587E-2</v>
      </c>
      <c r="Q52" s="161">
        <f t="shared" si="326"/>
        <v>2.716206442595891E-2</v>
      </c>
      <c r="R52" s="161">
        <f t="shared" si="326"/>
        <v>2.8173668978281004E-2</v>
      </c>
      <c r="S52" s="161">
        <f t="shared" si="326"/>
        <v>3.5066265904737041E-2</v>
      </c>
      <c r="T52" s="161">
        <f t="shared" si="326"/>
        <v>3.8216046708011507E-2</v>
      </c>
      <c r="U52" s="161">
        <f t="shared" si="326"/>
        <v>4.4155626341081472E-2</v>
      </c>
      <c r="V52" s="161">
        <f t="shared" si="326"/>
        <v>3.5732137840444947E-2</v>
      </c>
      <c r="W52" s="161">
        <f t="shared" si="326"/>
        <v>3.2061227421677337E-2</v>
      </c>
      <c r="X52" s="161">
        <f t="shared" si="326"/>
        <v>1.6478355777049071E-2</v>
      </c>
      <c r="Y52" s="161">
        <f t="shared" si="326"/>
        <v>2.2112011494365216E-2</v>
      </c>
      <c r="Z52" s="161">
        <f t="shared" ref="Z52:AA52" si="327">Z51/Z33</f>
        <v>3.8976797423806692E-2</v>
      </c>
      <c r="AA52" s="161">
        <f t="shared" si="327"/>
        <v>2.8306584164172317E-2</v>
      </c>
      <c r="AB52" s="162">
        <f t="shared" si="326"/>
        <v>2.9983098539722659E-2</v>
      </c>
      <c r="AC52" s="162">
        <f t="shared" si="326"/>
        <v>3.321047509329951E-2</v>
      </c>
      <c r="AD52" s="162">
        <f t="shared" si="326"/>
        <v>3.3377768904941436E-2</v>
      </c>
      <c r="AE52" s="162">
        <f t="shared" si="326"/>
        <v>3.3415839187817729E-2</v>
      </c>
      <c r="AI52" s="161" t="e">
        <f t="shared" ref="AI52:BN52" si="328">AI51/AI33</f>
        <v>#DIV/0!</v>
      </c>
      <c r="AJ52" s="161" t="e">
        <f t="shared" si="328"/>
        <v>#DIV/0!</v>
      </c>
      <c r="AK52" s="161" t="e">
        <f t="shared" si="328"/>
        <v>#DIV/0!</v>
      </c>
      <c r="AL52" s="161" t="e">
        <f t="shared" si="328"/>
        <v>#DIV/0!</v>
      </c>
      <c r="AM52" s="161" t="e">
        <f t="shared" si="328"/>
        <v>#DIV/0!</v>
      </c>
      <c r="AN52" s="161" t="e">
        <f t="shared" si="328"/>
        <v>#DIV/0!</v>
      </c>
      <c r="AO52" s="161" t="e">
        <f t="shared" si="328"/>
        <v>#DIV/0!</v>
      </c>
      <c r="AP52" s="161" t="e">
        <f t="shared" si="328"/>
        <v>#DIV/0!</v>
      </c>
      <c r="AQ52" s="161" t="e">
        <f t="shared" si="328"/>
        <v>#DIV/0!</v>
      </c>
      <c r="AR52" s="161" t="e">
        <f t="shared" si="328"/>
        <v>#DIV/0!</v>
      </c>
      <c r="AS52" s="161" t="e">
        <f t="shared" si="328"/>
        <v>#DIV/0!</v>
      </c>
      <c r="AT52" s="161" t="e">
        <f t="shared" si="328"/>
        <v>#DIV/0!</v>
      </c>
      <c r="AU52" s="161" t="e">
        <f t="shared" si="328"/>
        <v>#DIV/0!</v>
      </c>
      <c r="AV52" s="161" t="e">
        <f t="shared" si="328"/>
        <v>#DIV/0!</v>
      </c>
      <c r="AW52" s="161" t="e">
        <f t="shared" si="328"/>
        <v>#DIV/0!</v>
      </c>
      <c r="AX52" s="161" t="e">
        <f t="shared" si="328"/>
        <v>#DIV/0!</v>
      </c>
      <c r="AY52" s="161" t="e">
        <f t="shared" si="328"/>
        <v>#DIV/0!</v>
      </c>
      <c r="AZ52" s="161" t="e">
        <f t="shared" si="328"/>
        <v>#DIV/0!</v>
      </c>
      <c r="BA52" s="161" t="e">
        <f t="shared" si="328"/>
        <v>#DIV/0!</v>
      </c>
      <c r="BB52" s="161" t="e">
        <f t="shared" si="328"/>
        <v>#DIV/0!</v>
      </c>
      <c r="BC52" s="161" t="e">
        <f t="shared" si="328"/>
        <v>#DIV/0!</v>
      </c>
      <c r="BD52" s="161" t="e">
        <f t="shared" si="328"/>
        <v>#DIV/0!</v>
      </c>
      <c r="BE52" s="161" t="e">
        <f t="shared" si="328"/>
        <v>#DIV/0!</v>
      </c>
      <c r="BF52" s="161" t="e">
        <f t="shared" si="328"/>
        <v>#DIV/0!</v>
      </c>
      <c r="BG52" s="161" t="e">
        <f t="shared" si="328"/>
        <v>#DIV/0!</v>
      </c>
      <c r="BH52" s="161" t="e">
        <f t="shared" si="328"/>
        <v>#DIV/0!</v>
      </c>
      <c r="BI52" s="161" t="e">
        <f t="shared" si="328"/>
        <v>#DIV/0!</v>
      </c>
      <c r="BJ52" s="161" t="e">
        <f t="shared" si="328"/>
        <v>#DIV/0!</v>
      </c>
      <c r="BK52" s="161" t="e">
        <f t="shared" si="328"/>
        <v>#DIV/0!</v>
      </c>
      <c r="BL52" s="161" t="e">
        <f t="shared" si="328"/>
        <v>#DIV/0!</v>
      </c>
      <c r="BM52" s="161" t="e">
        <f t="shared" si="328"/>
        <v>#DIV/0!</v>
      </c>
      <c r="BN52" s="161" t="e">
        <f t="shared" si="328"/>
        <v>#DIV/0!</v>
      </c>
      <c r="BO52" s="161" t="e">
        <f t="shared" ref="BO52:CT52" si="329">BO51/BO33</f>
        <v>#DIV/0!</v>
      </c>
      <c r="BP52" s="161" t="e">
        <f t="shared" si="329"/>
        <v>#DIV/0!</v>
      </c>
      <c r="BQ52" s="161">
        <f t="shared" si="329"/>
        <v>3.072293926676704E-2</v>
      </c>
      <c r="BR52" s="161">
        <f t="shared" si="329"/>
        <v>3.3101456662737644E-2</v>
      </c>
      <c r="BS52" s="161">
        <f t="shared" si="329"/>
        <v>3.3359352968581064E-2</v>
      </c>
      <c r="BT52" s="161">
        <f t="shared" si="329"/>
        <v>3.1679828181203351E-2</v>
      </c>
      <c r="BU52" s="161">
        <f t="shared" si="329"/>
        <v>3.5046468841243357E-2</v>
      </c>
      <c r="BV52" s="161">
        <f t="shared" si="329"/>
        <v>2.8538753095407602E-2</v>
      </c>
      <c r="BW52" s="161">
        <f t="shared" si="329"/>
        <v>3.0092861426410773E-2</v>
      </c>
      <c r="BX52" s="161">
        <f t="shared" si="329"/>
        <v>1.7941304718081814E-2</v>
      </c>
      <c r="BY52" s="161">
        <f t="shared" si="329"/>
        <v>3.9203137701976615E-2</v>
      </c>
      <c r="BZ52" s="161">
        <f t="shared" si="329"/>
        <v>8.5138805591437137E-3</v>
      </c>
      <c r="CA52" s="161">
        <f t="shared" si="329"/>
        <v>1.0086571246465014E-2</v>
      </c>
      <c r="CB52" s="161">
        <f t="shared" si="329"/>
        <v>1.1711766791797465E-2</v>
      </c>
      <c r="CC52" s="161">
        <f t="shared" si="329"/>
        <v>3.9333164956393551E-2</v>
      </c>
      <c r="CD52" s="161">
        <f t="shared" si="329"/>
        <v>2.6998758964608939E-2</v>
      </c>
      <c r="CE52" s="161">
        <f t="shared" si="329"/>
        <v>4.4240259717320811E-2</v>
      </c>
      <c r="CF52" s="161">
        <f t="shared" si="329"/>
        <v>3.9373173867850005E-2</v>
      </c>
      <c r="CG52" s="161">
        <f t="shared" si="329"/>
        <v>4.7009714434350036E-2</v>
      </c>
      <c r="CH52" s="161">
        <f t="shared" si="329"/>
        <v>2.4589691814242719E-2</v>
      </c>
      <c r="CI52" s="161">
        <f t="shared" ref="CI52:CJ52" si="330">CI51/CI33</f>
        <v>2.1448942325447889E-2</v>
      </c>
      <c r="CJ52" s="161">
        <f t="shared" si="330"/>
        <v>3.9090986033740054E-2</v>
      </c>
      <c r="CK52" s="161">
        <f t="shared" ref="CK52:CL52" si="331">CK51/CK33</f>
        <v>2.9726915544918981E-2</v>
      </c>
      <c r="CL52" s="161">
        <f t="shared" si="331"/>
        <v>2.4399970556418481E-2</v>
      </c>
      <c r="CM52" s="162">
        <f t="shared" si="329"/>
        <v>2.9666703615131348E-2</v>
      </c>
      <c r="CN52" s="162">
        <f t="shared" si="329"/>
        <v>3.1721143937552217E-2</v>
      </c>
      <c r="CO52" s="162">
        <f t="shared" si="329"/>
        <v>2.9878683413505268E-2</v>
      </c>
      <c r="CP52" s="162">
        <f t="shared" si="329"/>
        <v>2.8916625380651817E-2</v>
      </c>
      <c r="CQ52" s="162">
        <f t="shared" si="329"/>
        <v>3.2311073403866374E-2</v>
      </c>
      <c r="CR52" s="162">
        <f t="shared" si="329"/>
        <v>3.2959224172577441E-2</v>
      </c>
      <c r="CS52" s="162">
        <f t="shared" si="329"/>
        <v>3.3248131005187434E-2</v>
      </c>
      <c r="CT52" s="162">
        <f t="shared" si="329"/>
        <v>3.406816873145041E-2</v>
      </c>
      <c r="CU52" s="162">
        <f t="shared" ref="CU52:DB52" si="332">CU51/CU33</f>
        <v>3.3146649328270404E-2</v>
      </c>
      <c r="CV52" s="162">
        <f t="shared" si="332"/>
        <v>3.3355543309371426E-2</v>
      </c>
      <c r="CW52" s="162">
        <f t="shared" si="332"/>
        <v>3.3454623093569905E-2</v>
      </c>
      <c r="CX52" s="162">
        <f t="shared" si="332"/>
        <v>3.3506246115665522E-2</v>
      </c>
      <c r="CY52" s="162">
        <f t="shared" si="332"/>
        <v>3.3365765461719328E-2</v>
      </c>
      <c r="CZ52" s="162">
        <f t="shared" si="332"/>
        <v>3.3420544495081549E-2</v>
      </c>
      <c r="DA52" s="162">
        <f t="shared" si="332"/>
        <v>3.3436794791509079E-2</v>
      </c>
      <c r="DB52" s="162">
        <f t="shared" si="332"/>
        <v>3.3432337715993861E-2</v>
      </c>
      <c r="DE52" s="164"/>
      <c r="DF52" s="163">
        <v>2.8714133929587424E-2</v>
      </c>
    </row>
    <row r="53" spans="1:110" s="38" customFormat="1" x14ac:dyDescent="0.2">
      <c r="A53" s="39" t="s">
        <v>449</v>
      </c>
      <c r="B53" s="39"/>
      <c r="C53" s="39" t="e">
        <f t="shared" ref="C53:E53" si="333">+IF(B51&lt;0,1-C51/B51,C51/B51-1)</f>
        <v>#DIV/0!</v>
      </c>
      <c r="D53" s="39" t="e">
        <f t="shared" si="333"/>
        <v>#DIV/0!</v>
      </c>
      <c r="E53" s="39">
        <f t="shared" si="333"/>
        <v>0.46328310864393996</v>
      </c>
      <c r="F53" s="39">
        <f t="shared" ref="F53:Y53" si="334">+IF(E51&lt;0,1-F51/E51,F51/E51-1)</f>
        <v>-0.59468892261001982</v>
      </c>
      <c r="G53" s="39">
        <f t="shared" si="334"/>
        <v>1.4868160667486854</v>
      </c>
      <c r="H53" s="39">
        <f t="shared" si="334"/>
        <v>0.37142980041293794</v>
      </c>
      <c r="I53" s="39">
        <f t="shared" si="334"/>
        <v>0.75388137879121442</v>
      </c>
      <c r="J53" s="39">
        <f t="shared" si="334"/>
        <v>0.25290151826749985</v>
      </c>
      <c r="K53" s="39">
        <f t="shared" si="334"/>
        <v>-0.32781433322390507</v>
      </c>
      <c r="L53" s="39">
        <f t="shared" si="334"/>
        <v>-0.12432581645220431</v>
      </c>
      <c r="M53" s="39">
        <f t="shared" si="334"/>
        <v>0.70701277916534289</v>
      </c>
      <c r="N53" s="39">
        <f t="shared" si="334"/>
        <v>1.1508619158895157</v>
      </c>
      <c r="O53" s="39">
        <f t="shared" si="334"/>
        <v>-0.35674422598094235</v>
      </c>
      <c r="P53" s="39">
        <f t="shared" si="334"/>
        <v>0.94735410078443483</v>
      </c>
      <c r="Q53" s="39">
        <f t="shared" si="334"/>
        <v>0.36300941926402519</v>
      </c>
      <c r="R53" s="39">
        <f t="shared" si="334"/>
        <v>0.26411284473404706</v>
      </c>
      <c r="S53" s="39">
        <f t="shared" si="334"/>
        <v>0.42028020924656673</v>
      </c>
      <c r="T53" s="39">
        <f t="shared" si="334"/>
        <v>0.18556434489496909</v>
      </c>
      <c r="U53" s="39">
        <f t="shared" si="334"/>
        <v>0.18990936144113202</v>
      </c>
      <c r="V53" s="39">
        <f t="shared" si="334"/>
        <v>1.2061625398518183E-2</v>
      </c>
      <c r="W53" s="39">
        <f t="shared" si="334"/>
        <v>0.31007605710319441</v>
      </c>
      <c r="X53" s="39">
        <f t="shared" si="334"/>
        <v>-0.44778749848813693</v>
      </c>
      <c r="Y53" s="39">
        <f t="shared" si="334"/>
        <v>0.18137444070130537</v>
      </c>
      <c r="Z53" s="39">
        <f t="shared" ref="Z53:AE53" si="335">+IF(Y51&lt;0,1-Z51/Y51,Z51/Y51-1)</f>
        <v>1.1910143110647966</v>
      </c>
      <c r="AA53" s="39">
        <f t="shared" si="335"/>
        <v>-0.14762626221925512</v>
      </c>
      <c r="AB53" s="40">
        <f t="shared" si="335"/>
        <v>0.14358308675609832</v>
      </c>
      <c r="AC53" s="40">
        <f t="shared" si="335"/>
        <v>0.15014867819194633</v>
      </c>
      <c r="AD53" s="40">
        <f t="shared" si="335"/>
        <v>8.7066824049596647E-2</v>
      </c>
      <c r="AE53" s="40">
        <f t="shared" si="335"/>
        <v>8.3664928952662532E-2</v>
      </c>
      <c r="AI53" s="39"/>
      <c r="AJ53" s="39"/>
      <c r="AK53" s="39"/>
      <c r="AL53" s="39"/>
      <c r="AM53" s="39" t="e">
        <f>+IF(AI51&lt;0,1-AM51/AI51,AM51/AI51-1)</f>
        <v>#DIV/0!</v>
      </c>
      <c r="AN53" s="39" t="e">
        <f t="shared" ref="AN53" si="336">+IF(AJ51&lt;0,1-AN51/AJ51,AN51/AJ51-1)</f>
        <v>#DIV/0!</v>
      </c>
      <c r="AO53" s="39" t="e">
        <f t="shared" ref="AO53" si="337">+IF(AK51&lt;0,1-AO51/AK51,AO51/AK51-1)</f>
        <v>#DIV/0!</v>
      </c>
      <c r="AP53" s="39" t="e">
        <f t="shared" ref="AP53" si="338">+IF(AL51&lt;0,1-AP51/AL51,AP51/AL51-1)</f>
        <v>#DIV/0!</v>
      </c>
      <c r="AQ53" s="39" t="e">
        <f t="shared" ref="AQ53" si="339">+IF(AM51&lt;0,1-AQ51/AM51,AQ51/AM51-1)</f>
        <v>#DIV/0!</v>
      </c>
      <c r="AR53" s="39" t="e">
        <f t="shared" ref="AR53" si="340">+IF(AN51&lt;0,1-AR51/AN51,AR51/AN51-1)</f>
        <v>#DIV/0!</v>
      </c>
      <c r="AS53" s="39" t="e">
        <f t="shared" ref="AS53" si="341">+IF(AO51&lt;0,1-AS51/AO51,AS51/AO51-1)</f>
        <v>#DIV/0!</v>
      </c>
      <c r="AT53" s="39" t="e">
        <f t="shared" ref="AT53" si="342">+IF(AP51&lt;0,1-AT51/AP51,AT51/AP51-1)</f>
        <v>#DIV/0!</v>
      </c>
      <c r="AU53" s="39" t="e">
        <f t="shared" ref="AU53" si="343">+IF(AQ51&lt;0,1-AU51/AQ51,AU51/AQ51-1)</f>
        <v>#DIV/0!</v>
      </c>
      <c r="AV53" s="39" t="e">
        <f t="shared" ref="AV53" si="344">+IF(AR51&lt;0,1-AV51/AR51,AV51/AR51-1)</f>
        <v>#DIV/0!</v>
      </c>
      <c r="AW53" s="39" t="e">
        <f t="shared" ref="AW53" si="345">+IF(AS51&lt;0,1-AW51/AS51,AW51/AS51-1)</f>
        <v>#DIV/0!</v>
      </c>
      <c r="AX53" s="39" t="e">
        <f t="shared" ref="AX53" si="346">+IF(AT51&lt;0,1-AX51/AT51,AX51/AT51-1)</f>
        <v>#DIV/0!</v>
      </c>
      <c r="AY53" s="39" t="e">
        <f t="shared" ref="AY53" si="347">+IF(AU51&lt;0,1-AY51/AU51,AY51/AU51-1)</f>
        <v>#DIV/0!</v>
      </c>
      <c r="AZ53" s="39" t="e">
        <f t="shared" ref="AZ53" si="348">+IF(AV51&lt;0,1-AZ51/AV51,AZ51/AV51-1)</f>
        <v>#DIV/0!</v>
      </c>
      <c r="BA53" s="39" t="e">
        <f t="shared" ref="BA53" si="349">+IF(AW51&lt;0,1-BA51/AW51,BA51/AW51-1)</f>
        <v>#DIV/0!</v>
      </c>
      <c r="BB53" s="39" t="e">
        <f t="shared" ref="BB53" si="350">+IF(AX51&lt;0,1-BB51/AX51,BB51/AX51-1)</f>
        <v>#DIV/0!</v>
      </c>
      <c r="BC53" s="39" t="e">
        <f t="shared" ref="BC53" si="351">+IF(AY51&lt;0,1-BC51/AY51,BC51/AY51-1)</f>
        <v>#DIV/0!</v>
      </c>
      <c r="BD53" s="39" t="e">
        <f t="shared" ref="BD53" si="352">+IF(AZ51&lt;0,1-BD51/AZ51,BD51/AZ51-1)</f>
        <v>#DIV/0!</v>
      </c>
      <c r="BE53" s="39" t="e">
        <f t="shared" ref="BE53" si="353">+IF(BA51&lt;0,1-BE51/BA51,BE51/BA51-1)</f>
        <v>#DIV/0!</v>
      </c>
      <c r="BF53" s="39" t="e">
        <f t="shared" ref="BF53" si="354">+IF(BB51&lt;0,1-BF51/BB51,BF51/BB51-1)</f>
        <v>#DIV/0!</v>
      </c>
      <c r="BG53" s="39" t="e">
        <f t="shared" ref="BG53" si="355">+IF(BC51&lt;0,1-BG51/BC51,BG51/BC51-1)</f>
        <v>#DIV/0!</v>
      </c>
      <c r="BH53" s="39" t="e">
        <f t="shared" ref="BH53" si="356">+IF(BD51&lt;0,1-BH51/BD51,BH51/BD51-1)</f>
        <v>#DIV/0!</v>
      </c>
      <c r="BI53" s="39" t="e">
        <f t="shared" ref="BI53" si="357">+IF(BE51&lt;0,1-BI51/BE51,BI51/BE51-1)</f>
        <v>#DIV/0!</v>
      </c>
      <c r="BJ53" s="39" t="e">
        <f t="shared" ref="BJ53" si="358">+IF(BF51&lt;0,1-BJ51/BF51,BJ51/BF51-1)</f>
        <v>#DIV/0!</v>
      </c>
      <c r="BK53" s="39" t="e">
        <f t="shared" ref="BK53" si="359">+IF(BG51&lt;0,1-BK51/BG51,BK51/BG51-1)</f>
        <v>#DIV/0!</v>
      </c>
      <c r="BL53" s="39" t="e">
        <f t="shared" ref="BL53" si="360">+IF(BH51&lt;0,1-BL51/BH51,BL51/BH51-1)</f>
        <v>#DIV/0!</v>
      </c>
      <c r="BM53" s="39" t="e">
        <f t="shared" ref="BM53" si="361">+IF(BI51&lt;0,1-BM51/BI51,BM51/BI51-1)</f>
        <v>#DIV/0!</v>
      </c>
      <c r="BN53" s="39" t="e">
        <f t="shared" ref="BN53" si="362">+IF(BJ51&lt;0,1-BN51/BJ51,BN51/BJ51-1)</f>
        <v>#DIV/0!</v>
      </c>
      <c r="BO53" s="39" t="e">
        <f t="shared" ref="BO53" si="363">+IF(BK51&lt;0,1-BO51/BK51,BO51/BK51-1)</f>
        <v>#DIV/0!</v>
      </c>
      <c r="BP53" s="39" t="e">
        <f t="shared" ref="BP53" si="364">+IF(BL51&lt;0,1-BP51/BL51,BP51/BL51-1)</f>
        <v>#DIV/0!</v>
      </c>
      <c r="BQ53" s="39" t="e">
        <f t="shared" ref="BQ53" si="365">+IF(BM51&lt;0,1-BQ51/BM51,BQ51/BM51-1)</f>
        <v>#DIV/0!</v>
      </c>
      <c r="BR53" s="39" t="e">
        <f t="shared" ref="BR53" si="366">+IF(BN51&lt;0,1-BR51/BN51,BR51/BN51-1)</f>
        <v>#DIV/0!</v>
      </c>
      <c r="BS53" s="39" t="e">
        <f t="shared" ref="BS53" si="367">+IF(BO51&lt;0,1-BS51/BO51,BS51/BO51-1)</f>
        <v>#DIV/0!</v>
      </c>
      <c r="BT53" s="39" t="e">
        <f t="shared" ref="BT53" si="368">+IF(BP51&lt;0,1-BT51/BP51,BT51/BP51-1)</f>
        <v>#DIV/0!</v>
      </c>
      <c r="BU53" s="39">
        <f t="shared" ref="BU53" si="369">+IF(BQ51&lt;0,1-BU51/BQ51,BU51/BQ51-1)</f>
        <v>0.60255186457935528</v>
      </c>
      <c r="BV53" s="39">
        <f t="shared" ref="BV53" si="370">+IF(BR51&lt;0,1-BV51/BR51,BV51/BR51-1)</f>
        <v>0.20508393013841619</v>
      </c>
      <c r="BW53" s="39">
        <f t="shared" ref="BW53" si="371">+IF(BS51&lt;0,1-BW51/BS51,BW51/BS51-1)</f>
        <v>0.17418380326478888</v>
      </c>
      <c r="BX53" s="39">
        <f t="shared" ref="BX53" si="372">+IF(BT51&lt;0,1-BX51/BT51,BX51/BT51-1)</f>
        <v>-0.40895862919935955</v>
      </c>
      <c r="BY53" s="39">
        <f t="shared" ref="BY53" si="373">+IF(BU51&lt;0,1-BY51/BU51,BY51/BU51-1)</f>
        <v>0.20166782487838542</v>
      </c>
      <c r="BZ53" s="39">
        <f t="shared" ref="BZ53" si="374">+IF(BV51&lt;0,1-BZ51/BV51,BZ51/BV51-1)</f>
        <v>-0.72256412665601943</v>
      </c>
      <c r="CA53" s="39">
        <f t="shared" ref="CA53" si="375">+IF(BW51&lt;0,1-CA51/BW51,CA51/BW51-1)</f>
        <v>-0.70570313028955911</v>
      </c>
      <c r="CB53" s="39">
        <f t="shared" ref="CB53" si="376">+IF(BX51&lt;0,1-CB51/BX51,CB51/BX51-1)</f>
        <v>-0.43408043486824477</v>
      </c>
      <c r="CC53" s="39">
        <f t="shared" ref="CC53" si="377">+IF(BY51&lt;0,1-CC51/BY51,CC51/BY51-1)</f>
        <v>-0.16628663956908096</v>
      </c>
      <c r="CD53" s="39">
        <f t="shared" ref="CD53" si="378">+IF(BZ51&lt;0,1-CD51/BZ51,CD51/BZ51-1)</f>
        <v>2.0226060452121044</v>
      </c>
      <c r="CE53" s="39">
        <f t="shared" ref="CE53" si="379">+IF(CA51&lt;0,1-CE51/CA51,CE51/CA51-1)</f>
        <v>3.8019171779141416</v>
      </c>
      <c r="CF53" s="39">
        <f t="shared" ref="CF53" si="380">+IF(CB51&lt;0,1-CF51/CB51,CF51/CB51-1)</f>
        <v>2.9600473306884347</v>
      </c>
      <c r="CG53" s="39">
        <f t="shared" ref="CG53" si="381">+IF(CC51&lt;0,1-CG51/CC51,CG51/CC51-1)</f>
        <v>0.56880970311942236</v>
      </c>
      <c r="CH53" s="39">
        <f t="shared" ref="CH53:CL53" si="382">+IF(CD51&lt;0,1-CH51/CD51,CH51/CD51-1)</f>
        <v>0.25563025210084289</v>
      </c>
      <c r="CI53" s="39">
        <f t="shared" si="382"/>
        <v>-0.41566986601082612</v>
      </c>
      <c r="CJ53" s="39">
        <f t="shared" si="382"/>
        <v>0.20958273280134732</v>
      </c>
      <c r="CK53" s="39">
        <f t="shared" si="382"/>
        <v>-0.30140603089983664</v>
      </c>
      <c r="CL53" s="39">
        <f t="shared" si="382"/>
        <v>0.16838441975638951</v>
      </c>
      <c r="CM53" s="40">
        <f t="shared" ref="CM53" si="383">+CM51/CI51-1</f>
        <v>0.46289785599695965</v>
      </c>
      <c r="CN53" s="40">
        <f t="shared" ref="CN53" si="384">+CN51/CJ51-1</f>
        <v>-0.12783525225464365</v>
      </c>
      <c r="CO53" s="40">
        <f t="shared" ref="CO53" si="385">+CO51/CK51-1</f>
        <v>9.2157572841396584E-2</v>
      </c>
      <c r="CP53" s="40">
        <f t="shared" ref="CP53" si="386">+CP51/CL51-1</f>
        <v>0.29772823121360403</v>
      </c>
      <c r="CQ53" s="40">
        <f t="shared" ref="CQ53" si="387">+CQ51/CM51-1</f>
        <v>0.12803119814002439</v>
      </c>
      <c r="CR53" s="40">
        <f t="shared" ref="CR53" si="388">+CR51/CN51-1</f>
        <v>7.8820093179904571E-2</v>
      </c>
      <c r="CS53" s="40">
        <f t="shared" ref="CS53" si="389">+CS51/CO51-1</f>
        <v>0.15704686126197465</v>
      </c>
      <c r="CT53" s="40">
        <f t="shared" ref="CT53" si="390">+CT51/CP51-1</f>
        <v>0.22442598016234339</v>
      </c>
      <c r="CU53" s="40">
        <f t="shared" ref="CU53" si="391">+CU51/CQ51-1</f>
        <v>0.10954772590638218</v>
      </c>
      <c r="CV53" s="40">
        <f t="shared" ref="CV53" si="392">+CV51/CR51-1</f>
        <v>9.4054729166231477E-2</v>
      </c>
      <c r="CW53" s="40">
        <f t="shared" ref="CW53" si="393">+CW51/CS51-1</f>
        <v>8.83462670410744E-2</v>
      </c>
      <c r="CX53" s="40">
        <f t="shared" ref="CX53" si="394">+CX51/CT51-1</f>
        <v>6.4244894454584367E-2</v>
      </c>
      <c r="CY53" s="40">
        <f t="shared" ref="CY53" si="395">+CY51/CU51-1</f>
        <v>9.0016643739062152E-2</v>
      </c>
      <c r="CZ53" s="40">
        <f t="shared" ref="CZ53" si="396">+CZ51/CV51-1</f>
        <v>8.3839105580177709E-2</v>
      </c>
      <c r="DA53" s="40">
        <f t="shared" ref="DA53" si="397">+DA51/CW51-1</f>
        <v>8.163425110894118E-2</v>
      </c>
      <c r="DB53" s="40">
        <f t="shared" ref="DB53" si="398">+DB51/CX51-1</f>
        <v>8.0464899441452076E-2</v>
      </c>
      <c r="DE53" s="122"/>
      <c r="DF53" s="38">
        <v>0.38485872535630805</v>
      </c>
    </row>
    <row r="54" spans="1:110" s="38" customFormat="1" x14ac:dyDescent="0.2">
      <c r="A54" s="39" t="s">
        <v>450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0"/>
      <c r="AC54" s="40"/>
      <c r="AD54" s="40"/>
      <c r="AE54" s="40"/>
      <c r="AI54" s="39"/>
      <c r="AJ54" s="39" t="e">
        <f>+IF(AI51&lt;0,1-AJ51/AI51,AJ51/AI51-1)</f>
        <v>#DIV/0!</v>
      </c>
      <c r="AK54" s="39" t="e">
        <f t="shared" ref="AK54:AM54" si="399">+IF(AJ51&lt;0,1-AK51/AJ51,AK51/AJ51-1)</f>
        <v>#DIV/0!</v>
      </c>
      <c r="AL54" s="39" t="e">
        <f t="shared" si="399"/>
        <v>#DIV/0!</v>
      </c>
      <c r="AM54" s="39" t="e">
        <f t="shared" si="399"/>
        <v>#DIV/0!</v>
      </c>
      <c r="AN54" s="39" t="e">
        <f t="shared" ref="AN54" si="400">+IF(AM51&lt;0,1-AN51/AM51,AN51/AM51-1)</f>
        <v>#DIV/0!</v>
      </c>
      <c r="AO54" s="39" t="e">
        <f t="shared" ref="AO54" si="401">+IF(AN51&lt;0,1-AO51/AN51,AO51/AN51-1)</f>
        <v>#DIV/0!</v>
      </c>
      <c r="AP54" s="39" t="e">
        <f t="shared" ref="AP54" si="402">+IF(AO51&lt;0,1-AP51/AO51,AP51/AO51-1)</f>
        <v>#DIV/0!</v>
      </c>
      <c r="AQ54" s="39" t="e">
        <f t="shared" ref="AQ54" si="403">+IF(AP51&lt;0,1-AQ51/AP51,AQ51/AP51-1)</f>
        <v>#DIV/0!</v>
      </c>
      <c r="AR54" s="39" t="e">
        <f t="shared" ref="AR54" si="404">+IF(AQ51&lt;0,1-AR51/AQ51,AR51/AQ51-1)</f>
        <v>#DIV/0!</v>
      </c>
      <c r="AS54" s="39" t="e">
        <f t="shared" ref="AS54" si="405">+IF(AR51&lt;0,1-AS51/AR51,AS51/AR51-1)</f>
        <v>#DIV/0!</v>
      </c>
      <c r="AT54" s="39" t="e">
        <f t="shared" ref="AT54" si="406">+IF(AS51&lt;0,1-AT51/AS51,AT51/AS51-1)</f>
        <v>#DIV/0!</v>
      </c>
      <c r="AU54" s="39" t="e">
        <f t="shared" ref="AU54" si="407">+IF(AT51&lt;0,1-AU51/AT51,AU51/AT51-1)</f>
        <v>#DIV/0!</v>
      </c>
      <c r="AV54" s="39" t="e">
        <f t="shared" ref="AV54" si="408">+IF(AU51&lt;0,1-AV51/AU51,AV51/AU51-1)</f>
        <v>#DIV/0!</v>
      </c>
      <c r="AW54" s="39" t="e">
        <f t="shared" ref="AW54" si="409">+IF(AV51&lt;0,1-AW51/AV51,AW51/AV51-1)</f>
        <v>#DIV/0!</v>
      </c>
      <c r="AX54" s="39" t="e">
        <f t="shared" ref="AX54" si="410">+IF(AW51&lt;0,1-AX51/AW51,AX51/AW51-1)</f>
        <v>#DIV/0!</v>
      </c>
      <c r="AY54" s="39" t="e">
        <f t="shared" ref="AY54" si="411">+IF(AX51&lt;0,1-AY51/AX51,AY51/AX51-1)</f>
        <v>#DIV/0!</v>
      </c>
      <c r="AZ54" s="39" t="e">
        <f t="shared" ref="AZ54" si="412">+IF(AY51&lt;0,1-AZ51/AY51,AZ51/AY51-1)</f>
        <v>#DIV/0!</v>
      </c>
      <c r="BA54" s="39" t="e">
        <f t="shared" ref="BA54" si="413">+IF(AZ51&lt;0,1-BA51/AZ51,BA51/AZ51-1)</f>
        <v>#DIV/0!</v>
      </c>
      <c r="BB54" s="39" t="e">
        <f t="shared" ref="BB54" si="414">+IF(BA51&lt;0,1-BB51/BA51,BB51/BA51-1)</f>
        <v>#DIV/0!</v>
      </c>
      <c r="BC54" s="39" t="e">
        <f t="shared" ref="BC54" si="415">+IF(BB51&lt;0,1-BC51/BB51,BC51/BB51-1)</f>
        <v>#DIV/0!</v>
      </c>
      <c r="BD54" s="39" t="e">
        <f t="shared" ref="BD54" si="416">+IF(BC51&lt;0,1-BD51/BC51,BD51/BC51-1)</f>
        <v>#DIV/0!</v>
      </c>
      <c r="BE54" s="39" t="e">
        <f t="shared" ref="BE54" si="417">+IF(BD51&lt;0,1-BE51/BD51,BE51/BD51-1)</f>
        <v>#DIV/0!</v>
      </c>
      <c r="BF54" s="39" t="e">
        <f t="shared" ref="BF54" si="418">+IF(BE51&lt;0,1-BF51/BE51,BF51/BE51-1)</f>
        <v>#DIV/0!</v>
      </c>
      <c r="BG54" s="39" t="e">
        <f t="shared" ref="BG54" si="419">+IF(BF51&lt;0,1-BG51/BF51,BG51/BF51-1)</f>
        <v>#DIV/0!</v>
      </c>
      <c r="BH54" s="39" t="e">
        <f t="shared" ref="BH54" si="420">+IF(BG51&lt;0,1-BH51/BG51,BH51/BG51-1)</f>
        <v>#DIV/0!</v>
      </c>
      <c r="BI54" s="39" t="e">
        <f t="shared" ref="BI54" si="421">+IF(BH51&lt;0,1-BI51/BH51,BI51/BH51-1)</f>
        <v>#DIV/0!</v>
      </c>
      <c r="BJ54" s="39" t="e">
        <f t="shared" ref="BJ54" si="422">+IF(BI51&lt;0,1-BJ51/BI51,BJ51/BI51-1)</f>
        <v>#DIV/0!</v>
      </c>
      <c r="BK54" s="39" t="e">
        <f t="shared" ref="BK54" si="423">+IF(BJ51&lt;0,1-BK51/BJ51,BK51/BJ51-1)</f>
        <v>#DIV/0!</v>
      </c>
      <c r="BL54" s="39" t="e">
        <f t="shared" ref="BL54" si="424">+IF(BK51&lt;0,1-BL51/BK51,BL51/BK51-1)</f>
        <v>#DIV/0!</v>
      </c>
      <c r="BM54" s="39" t="e">
        <f t="shared" ref="BM54" si="425">+IF(BL51&lt;0,1-BM51/BL51,BM51/BL51-1)</f>
        <v>#DIV/0!</v>
      </c>
      <c r="BN54" s="39" t="e">
        <f t="shared" ref="BN54" si="426">+IF(BM51&lt;0,1-BN51/BM51,BN51/BM51-1)</f>
        <v>#DIV/0!</v>
      </c>
      <c r="BO54" s="39" t="e">
        <f t="shared" ref="BO54" si="427">+IF(BN51&lt;0,1-BO51/BN51,BO51/BN51-1)</f>
        <v>#DIV/0!</v>
      </c>
      <c r="BP54" s="39" t="e">
        <f t="shared" ref="BP54" si="428">+IF(BO51&lt;0,1-BP51/BO51,BP51/BO51-1)</f>
        <v>#DIV/0!</v>
      </c>
      <c r="BQ54" s="39" t="e">
        <f t="shared" ref="BQ54" si="429">+IF(BP51&lt;0,1-BQ51/BP51,BQ51/BP51-1)</f>
        <v>#DIV/0!</v>
      </c>
      <c r="BR54" s="39">
        <f t="shared" ref="BR54" si="430">+IF(BQ51&lt;0,1-BR51/BQ51,BR51/BQ51-1)</f>
        <v>0.12406134656993961</v>
      </c>
      <c r="BS54" s="39">
        <f t="shared" ref="BS54" si="431">+IF(BR51&lt;0,1-BS51/BR51,BS51/BR51-1)</f>
        <v>6.8191468282045919E-2</v>
      </c>
      <c r="BT54" s="39">
        <f t="shared" ref="BT54" si="432">+IF(BS51&lt;0,1-BT51/BS51,BT51/BS51-1)</f>
        <v>0.13824994700021276</v>
      </c>
      <c r="BU54" s="39">
        <f t="shared" ref="BU54" si="433">+IF(BT51&lt;0,1-BU51/BT51,BU51/BT51-1)</f>
        <v>0.17256070588783268</v>
      </c>
      <c r="BV54" s="39">
        <f t="shared" ref="BV54" si="434">+IF(BU51&lt;0,1-BV51/BU51,BV51/BU51-1)</f>
        <v>-0.15473046758661935</v>
      </c>
      <c r="BW54" s="39">
        <f t="shared" ref="BW54" si="435">+IF(BV51&lt;0,1-BW51/BV51,BW51/BV51-1)</f>
        <v>4.0801465752138943E-2</v>
      </c>
      <c r="BX54" s="39">
        <f t="shared" ref="BX54" si="436">+IF(BW51&lt;0,1-BX51/BW51,BX51/BW51-1)</f>
        <v>-0.42704642397707271</v>
      </c>
      <c r="BY54" s="39">
        <f t="shared" ref="BY54" si="437">+IF(BX51&lt;0,1-BY51/BX51,BY51/BX51-1)</f>
        <v>1.3839760507346357</v>
      </c>
      <c r="BZ54" s="39">
        <f t="shared" ref="BZ54" si="438">+IF(BY51&lt;0,1-BZ51/BY51,BZ51/BY51-1)</f>
        <v>-0.80484782393179433</v>
      </c>
      <c r="CA54" s="39">
        <f t="shared" ref="CA54" si="439">+IF(BZ51&lt;0,1-CA51/BZ51,CA51/BZ51-1)</f>
        <v>0.10405554144441642</v>
      </c>
      <c r="CB54" s="39">
        <f t="shared" ref="CB54" si="440">+IF(CA51&lt;0,1-CB51/CA51,CB51/CA51-1)</f>
        <v>0.10176380368097315</v>
      </c>
      <c r="CC54" s="39">
        <f t="shared" ref="CC54" si="441">+IF(CB51&lt;0,1-CC51/CB51,CC51/CB51-1)</f>
        <v>2.5120762859330896</v>
      </c>
      <c r="CD54" s="39">
        <f t="shared" ref="CD54" si="442">+IF(CC51&lt;0,1-CD51/CC51,CD51/CC51-1)</f>
        <v>-0.292480875183322</v>
      </c>
      <c r="CE54" s="39">
        <f t="shared" ref="CE54" si="443">+IF(CD51&lt;0,1-CE51/CD51,CE51/CD51-1)</f>
        <v>0.75397759103641793</v>
      </c>
      <c r="CF54" s="39">
        <f t="shared" ref="CF54" si="444">+IF(CE51&lt;0,1-CF51/CE51,CF51/CE51-1)</f>
        <v>-9.1396904993852446E-2</v>
      </c>
      <c r="CG54" s="39">
        <f t="shared" ref="CG54" si="445">+IF(CF51&lt;0,1-CG51/CF51,CG51/CF51-1)</f>
        <v>0.39134179351073706</v>
      </c>
      <c r="CH54" s="39">
        <f t="shared" ref="CH54:CI54" si="446">+IF(CG51&lt;0,1-CH51/CG51,CH51/CG51-1)</f>
        <v>-0.43372200255182458</v>
      </c>
      <c r="CI54" s="39">
        <f t="shared" si="446"/>
        <v>-0.1837549636371727</v>
      </c>
      <c r="CJ54" s="39">
        <f>+IF(CI51&gt;1,CJ51/CI51-1,1-CJ51/CI51)</f>
        <v>0.88083850337532033</v>
      </c>
      <c r="CK54" s="39">
        <f>+IF(CJ51&gt;1,CK51/CJ51-1,1-CK51/CJ51)</f>
        <v>-0.19643116626464208</v>
      </c>
      <c r="CL54" s="39">
        <f>+IF(CK51&gt;1,CL51/CK51-1,1-CL51/CK51)</f>
        <v>-5.2911392405059376E-2</v>
      </c>
      <c r="CM54" s="40">
        <f t="shared" ref="CM54" si="447">+CM51/CL51-1</f>
        <v>2.1995067267594148E-2</v>
      </c>
      <c r="CN54" s="40">
        <f t="shared" ref="CN54" si="448">+CN51/CM51-1</f>
        <v>0.12133668944928666</v>
      </c>
      <c r="CO54" s="40">
        <f t="shared" ref="CO54" si="449">+CO51/CN51-1</f>
        <v>6.2591836372154486E-3</v>
      </c>
      <c r="CP54" s="40">
        <f t="shared" ref="CP54" si="450">+CP51/CO51-1</f>
        <v>0.12535375306620011</v>
      </c>
      <c r="CQ54" s="40">
        <f t="shared" ref="CQ54" si="451">+CQ51/CP51-1</f>
        <v>-0.11164580341683017</v>
      </c>
      <c r="CR54" s="40">
        <f t="shared" ref="CR54" si="452">+CR51/CQ51-1</f>
        <v>7.2417636845856448E-2</v>
      </c>
      <c r="CS54" s="40">
        <f t="shared" ref="CS54" si="453">+CS51/CR51-1</f>
        <v>7.9224457723665598E-2</v>
      </c>
      <c r="CT54" s="40">
        <f t="shared" ref="CT54" si="454">+CT51/CS51-1</f>
        <v>0.1908872650365987</v>
      </c>
      <c r="CU54" s="40">
        <f t="shared" ref="CU54" si="455">+CU51/CT51-1</f>
        <v>-0.19499308689320716</v>
      </c>
      <c r="CV54" s="40">
        <f t="shared" ref="CV54" si="456">+CV51/CU51-1</f>
        <v>5.7443100317326135E-2</v>
      </c>
      <c r="CW54" s="40">
        <f t="shared" ref="CW54" si="457">+CW51/CV51-1</f>
        <v>7.3593375678845163E-2</v>
      </c>
      <c r="CX54" s="40">
        <f t="shared" ref="CX54" si="458">+CX51/CW51-1</f>
        <v>0.16451512727828543</v>
      </c>
      <c r="CY54" s="40">
        <f t="shared" ref="CY54" si="459">+CY51/CX51-1</f>
        <v>-0.17549904332770605</v>
      </c>
      <c r="CZ54" s="40">
        <f t="shared" ref="CZ54" si="460">+CZ51/CY51-1</f>
        <v>5.1450168795976747E-2</v>
      </c>
      <c r="DA54" s="40">
        <f t="shared" ref="DA54" si="461">+DA51/CZ51-1</f>
        <v>7.140936410141796E-2</v>
      </c>
      <c r="DB54" s="40">
        <f t="shared" ref="DB54" si="462">+DB51/DA51-1</f>
        <v>0.16325617333474751</v>
      </c>
      <c r="DE54" s="122"/>
      <c r="DF54" s="38">
        <v>0.12256197509624256</v>
      </c>
    </row>
    <row r="55" spans="1:110" s="23" customFormat="1" x14ac:dyDescent="0.2">
      <c r="A55" s="23" t="s">
        <v>15</v>
      </c>
      <c r="B55" s="23">
        <f>'Annual Raw'!C27</f>
        <v>0</v>
      </c>
      <c r="C55" s="23">
        <f>'Annual Raw'!D27</f>
        <v>0</v>
      </c>
      <c r="D55" s="23">
        <f>'Annual Raw'!E27</f>
        <v>4.1020000000000003</v>
      </c>
      <c r="E55" s="23">
        <f>'Annual Raw'!F27</f>
        <v>4.4180000000000001</v>
      </c>
      <c r="F55" s="23">
        <f>'Annual Raw'!G27</f>
        <v>7.6219999999999999</v>
      </c>
      <c r="G55" s="23">
        <f>'Annual Raw'!H27</f>
        <v>13.702999999999999</v>
      </c>
      <c r="H55" s="23">
        <f>'Annual Raw'!I27</f>
        <v>15.38</v>
      </c>
      <c r="I55" s="23">
        <f>'Annual Raw'!J27</f>
        <v>15.343999999999999</v>
      </c>
      <c r="J55" s="23">
        <f>'Annual Raw'!K27</f>
        <v>16.946999999999999</v>
      </c>
      <c r="K55" s="23">
        <f>'Annual Raw'!L27</f>
        <v>21.741</v>
      </c>
      <c r="L55" s="23">
        <f>'Annual Raw'!M27</f>
        <v>30.645</v>
      </c>
      <c r="M55" s="23">
        <f>'Annual Raw'!N27</f>
        <v>36.360999999999997</v>
      </c>
      <c r="N55" s="23">
        <f>'Annual Raw'!O27</f>
        <v>54.94</v>
      </c>
      <c r="O55" s="23">
        <f>'Annual Raw'!P27</f>
        <v>92.176000000000002</v>
      </c>
      <c r="P55" s="23">
        <f>'Annual Raw'!Q27</f>
        <v>106.72199999999999</v>
      </c>
      <c r="Q55" s="23">
        <f>'Annual Raw'!R27</f>
        <v>114.971</v>
      </c>
      <c r="R55" s="23">
        <f>'Annual Raw'!S27</f>
        <v>118.845</v>
      </c>
      <c r="S55" s="23">
        <f>'Annual Raw'!T27</f>
        <v>145.71100000000001</v>
      </c>
      <c r="T55" s="23">
        <f>'Annual Raw'!U27</f>
        <v>181.88399999999999</v>
      </c>
      <c r="U55" s="23">
        <f>'Annual Raw'!V27</f>
        <v>241.26900000000001</v>
      </c>
      <c r="V55" s="23">
        <f>'Annual Raw'!W27</f>
        <v>267.77</v>
      </c>
      <c r="W55" s="23">
        <f>'Annual Raw'!X27</f>
        <v>309.06</v>
      </c>
      <c r="X55" s="23">
        <f>'Annual Raw'!Y27</f>
        <v>358.46</v>
      </c>
      <c r="Y55" s="23">
        <f>'Annual Raw'!Z27</f>
        <v>363.85</v>
      </c>
      <c r="Z55" s="23">
        <f>'Annual Raw'!AA27</f>
        <v>395.1</v>
      </c>
      <c r="AA55" s="23">
        <f>'Annual Raw'!AB27</f>
        <v>448.83</v>
      </c>
      <c r="AB55" s="76">
        <f>+SUM(CM55:CP55)</f>
        <v>541.57347920655207</v>
      </c>
      <c r="AC55" s="76">
        <f>+SUM(CQ55:CT55)</f>
        <v>384.23135847987203</v>
      </c>
      <c r="AD55" s="76">
        <f>+SUM(CU55:CX55)</f>
        <v>358.76236445557521</v>
      </c>
      <c r="AE55" s="76">
        <f>+SUM(CY55:DB55)</f>
        <v>334.98159717876729</v>
      </c>
      <c r="AI55" s="23">
        <f>'QTR Raw'!C28</f>
        <v>0</v>
      </c>
      <c r="AJ55" s="23">
        <f>'QTR Raw'!D28</f>
        <v>0</v>
      </c>
      <c r="AK55" s="23">
        <f>'QTR Raw'!E28</f>
        <v>0</v>
      </c>
      <c r="AL55" s="23">
        <f>'QTR Raw'!F28</f>
        <v>0</v>
      </c>
      <c r="AM55" s="23">
        <f>'QTR Raw'!G28</f>
        <v>0</v>
      </c>
      <c r="AN55" s="23">
        <f>'QTR Raw'!H28</f>
        <v>0</v>
      </c>
      <c r="AO55" s="23">
        <f>'QTR Raw'!I28</f>
        <v>0</v>
      </c>
      <c r="AP55" s="23">
        <f>'QTR Raw'!J28</f>
        <v>0</v>
      </c>
      <c r="AQ55" s="23">
        <f>'QTR Raw'!K28</f>
        <v>0</v>
      </c>
      <c r="AR55" s="23">
        <f>'QTR Raw'!L28</f>
        <v>0</v>
      </c>
      <c r="AS55" s="23">
        <f>'QTR Raw'!M28</f>
        <v>0</v>
      </c>
      <c r="AT55" s="23">
        <f>'QTR Raw'!N28</f>
        <v>0</v>
      </c>
      <c r="AU55" s="23">
        <f>'QTR Raw'!O28</f>
        <v>0</v>
      </c>
      <c r="AV55" s="23">
        <f>'QTR Raw'!P28</f>
        <v>0</v>
      </c>
      <c r="AW55" s="23">
        <f>'QTR Raw'!Q28</f>
        <v>0</v>
      </c>
      <c r="AX55" s="23">
        <f>'QTR Raw'!R28</f>
        <v>0</v>
      </c>
      <c r="AY55" s="23">
        <f>'QTR Raw'!S28</f>
        <v>0</v>
      </c>
      <c r="AZ55" s="23">
        <f>'QTR Raw'!T28</f>
        <v>0</v>
      </c>
      <c r="BA55" s="23">
        <f>'QTR Raw'!U28</f>
        <v>0</v>
      </c>
      <c r="BB55" s="23">
        <f>'QTR Raw'!V28</f>
        <v>0</v>
      </c>
      <c r="BC55" s="23">
        <f>'QTR Raw'!W28</f>
        <v>0</v>
      </c>
      <c r="BD55" s="23">
        <f>'QTR Raw'!X28</f>
        <v>0</v>
      </c>
      <c r="BE55" s="23">
        <f>'QTR Raw'!Y28</f>
        <v>0</v>
      </c>
      <c r="BF55" s="23">
        <f>'QTR Raw'!Z28</f>
        <v>0</v>
      </c>
      <c r="BG55" s="23">
        <f>'QTR Raw'!AA28</f>
        <v>0</v>
      </c>
      <c r="BH55" s="23">
        <f>'QTR Raw'!AB28</f>
        <v>0</v>
      </c>
      <c r="BI55" s="23">
        <f>'QTR Raw'!AC28</f>
        <v>0</v>
      </c>
      <c r="BJ55" s="23">
        <f>'QTR Raw'!AD28</f>
        <v>0</v>
      </c>
      <c r="BK55" s="23">
        <f>'QTR Raw'!AE28</f>
        <v>0</v>
      </c>
      <c r="BL55" s="23">
        <f>'QTR Raw'!AF28</f>
        <v>0</v>
      </c>
      <c r="BM55" s="23">
        <f>'QTR Raw'!AG28</f>
        <v>0</v>
      </c>
      <c r="BN55" s="23">
        <f>'QTR Raw'!AH28</f>
        <v>0</v>
      </c>
      <c r="BO55" s="23">
        <f>'QTR Raw'!AI28</f>
        <v>0</v>
      </c>
      <c r="BP55" s="23">
        <f>'QTR Raw'!AJ28</f>
        <v>0</v>
      </c>
      <c r="BQ55" s="23">
        <f>'QTR Raw'!AK28</f>
        <v>68.16</v>
      </c>
      <c r="BR55" s="23">
        <f>'QTR Raw'!AL28</f>
        <v>66.599999999999994</v>
      </c>
      <c r="BS55" s="23">
        <f>'QTR Raw'!AM28</f>
        <v>67.790000000000006</v>
      </c>
      <c r="BT55" s="23">
        <f>'QTR Raw'!AN28</f>
        <v>76.489999999999995</v>
      </c>
      <c r="BU55" s="23">
        <f>'QTR Raw'!AO28</f>
        <v>81.3</v>
      </c>
      <c r="BV55" s="23">
        <f>'QTR Raw'!AP28</f>
        <v>83.48</v>
      </c>
      <c r="BW55" s="23">
        <f>'QTR Raw'!AQ28</f>
        <v>85.58</v>
      </c>
      <c r="BX55" s="23">
        <f>'QTR Raw'!AR28</f>
        <v>90.1</v>
      </c>
      <c r="BY55" s="23">
        <f>'QTR Raw'!AS28</f>
        <v>90.96</v>
      </c>
      <c r="BZ55" s="23">
        <f>'QTR Raw'!AT28</f>
        <v>91.82</v>
      </c>
      <c r="CA55" s="23">
        <f>'QTR Raw'!AU28</f>
        <v>93.51</v>
      </c>
      <c r="CB55" s="23">
        <f>'QTR Raw'!AV28</f>
        <v>95.74</v>
      </c>
      <c r="CC55" s="23">
        <f>'QTR Raw'!AW28</f>
        <v>95.4</v>
      </c>
      <c r="CD55" s="23">
        <f>'QTR Raw'!AX28</f>
        <v>79.2</v>
      </c>
      <c r="CE55" s="23">
        <f>'QTR Raw'!AY28</f>
        <v>96.42</v>
      </c>
      <c r="CF55" s="23">
        <f>'QTR Raw'!AZ28</f>
        <v>92.43</v>
      </c>
      <c r="CG55" s="23">
        <f>'QTR Raw'!BA28</f>
        <v>108.44</v>
      </c>
      <c r="CH55" s="23">
        <f>'QTR Raw'!BB28</f>
        <v>97.81</v>
      </c>
      <c r="CI55" s="23">
        <f>'QTR Raw'!BC28</f>
        <v>102.75</v>
      </c>
      <c r="CJ55" s="23">
        <f>'QTR Raw'!BD28</f>
        <v>107.03</v>
      </c>
      <c r="CK55" s="23">
        <f>'QTR Raw'!BE28</f>
        <v>111.16</v>
      </c>
      <c r="CL55" s="23">
        <f>'QTR Raw'!BF28</f>
        <v>127.89</v>
      </c>
      <c r="CM55" s="24">
        <f t="shared" ref="CM55:DB55" si="463">CM56*CL157</f>
        <v>139.96150236898086</v>
      </c>
      <c r="CN55" s="24">
        <f t="shared" si="463"/>
        <v>136.8708324692017</v>
      </c>
      <c r="CO55" s="24">
        <f t="shared" si="463"/>
        <v>133.84841162553954</v>
      </c>
      <c r="CP55" s="24">
        <f t="shared" si="463"/>
        <v>130.89273274282996</v>
      </c>
      <c r="CQ55" s="24">
        <f t="shared" si="463"/>
        <v>98.54231085348863</v>
      </c>
      <c r="CR55" s="24">
        <f t="shared" si="463"/>
        <v>96.867091568979319</v>
      </c>
      <c r="CS55" s="24">
        <f t="shared" si="463"/>
        <v>95.220351012306651</v>
      </c>
      <c r="CT55" s="24">
        <f t="shared" si="463"/>
        <v>93.601605045097443</v>
      </c>
      <c r="CU55" s="24">
        <f t="shared" si="463"/>
        <v>92.010377759330794</v>
      </c>
      <c r="CV55" s="24">
        <f t="shared" si="463"/>
        <v>90.446201337422167</v>
      </c>
      <c r="CW55" s="24">
        <f t="shared" si="463"/>
        <v>88.908615914685981</v>
      </c>
      <c r="CX55" s="24">
        <f t="shared" si="463"/>
        <v>87.39716944413631</v>
      </c>
      <c r="CY55" s="24">
        <f t="shared" si="463"/>
        <v>85.911417563586014</v>
      </c>
      <c r="CZ55" s="24">
        <f t="shared" si="463"/>
        <v>84.450923465005062</v>
      </c>
      <c r="DA55" s="24">
        <f t="shared" si="463"/>
        <v>83.015257766099964</v>
      </c>
      <c r="DB55" s="24">
        <f t="shared" si="463"/>
        <v>81.603998384076249</v>
      </c>
      <c r="DE55" s="123"/>
      <c r="DF55" s="23">
        <v>109.06662112802998</v>
      </c>
    </row>
    <row r="56" spans="1:110" s="46" customFormat="1" x14ac:dyDescent="0.2">
      <c r="A56" s="46" t="s">
        <v>483</v>
      </c>
      <c r="B56" s="46" t="e">
        <f t="shared" ref="B56:D56" si="464">+B55/B157</f>
        <v>#DIV/0!</v>
      </c>
      <c r="C56" s="46" t="e">
        <f t="shared" si="464"/>
        <v>#DIV/0!</v>
      </c>
      <c r="D56" s="46">
        <f t="shared" si="464"/>
        <v>5.1063723842601237E-2</v>
      </c>
      <c r="E56" s="46">
        <f t="shared" ref="E56:AE56" si="465">+E55/E157</f>
        <v>5.1016166281755204E-2</v>
      </c>
      <c r="F56" s="46">
        <f t="shared" si="465"/>
        <v>3.5380073526681273E-2</v>
      </c>
      <c r="G56" s="46">
        <f t="shared" si="465"/>
        <v>4.906527833973668E-2</v>
      </c>
      <c r="H56" s="46">
        <f t="shared" si="465"/>
        <v>5.7806727079332022E-2</v>
      </c>
      <c r="I56" s="46">
        <f t="shared" si="465"/>
        <v>5.8929936207883178E-2</v>
      </c>
      <c r="J56" s="46">
        <f t="shared" si="465"/>
        <v>4.8680230604172585E-2</v>
      </c>
      <c r="K56" s="46">
        <f t="shared" si="465"/>
        <v>4.8458277425365646E-2</v>
      </c>
      <c r="L56" s="46">
        <f t="shared" si="465"/>
        <v>4.9437944852775105E-2</v>
      </c>
      <c r="M56" s="46">
        <f t="shared" si="465"/>
        <v>5.3971373397119521E-2</v>
      </c>
      <c r="N56" s="46">
        <f t="shared" si="465"/>
        <v>4.4697191577988217E-2</v>
      </c>
      <c r="O56" s="46">
        <f t="shared" si="465"/>
        <v>5.651436310674493E-2</v>
      </c>
      <c r="P56" s="46">
        <f t="shared" si="465"/>
        <v>6.4876674622096786E-2</v>
      </c>
      <c r="Q56" s="46">
        <f t="shared" si="465"/>
        <v>5.9549145875751219E-2</v>
      </c>
      <c r="R56" s="46">
        <f t="shared" si="465"/>
        <v>6.0942122290371555E-2</v>
      </c>
      <c r="S56" s="46">
        <f t="shared" si="465"/>
        <v>6.4113270841180056E-2</v>
      </c>
      <c r="T56" s="46">
        <f t="shared" si="465"/>
        <v>6.1579339211478124E-2</v>
      </c>
      <c r="U56" s="46">
        <f t="shared" si="465"/>
        <v>6.4203794604485206E-2</v>
      </c>
      <c r="V56" s="46">
        <f t="shared" si="465"/>
        <v>7.2321404456448343E-2</v>
      </c>
      <c r="W56" s="46">
        <f t="shared" si="465"/>
        <v>6.8012869321807876E-2</v>
      </c>
      <c r="X56" s="46">
        <f t="shared" si="465"/>
        <v>7.556612404767625E-2</v>
      </c>
      <c r="Y56" s="46">
        <f t="shared" si="465"/>
        <v>7.4679556253399434E-2</v>
      </c>
      <c r="Z56" s="46">
        <f t="shared" si="465"/>
        <v>7.2805202319594767E-2</v>
      </c>
      <c r="AA56" s="46">
        <f t="shared" ref="AA56" si="466">+AA55/AA157</f>
        <v>6.5837494352553219E-2</v>
      </c>
      <c r="AB56" s="110">
        <f t="shared" si="465"/>
        <v>9.3429401713542679E-2</v>
      </c>
      <c r="AC56" s="110">
        <f t="shared" si="465"/>
        <v>7.0991264824966122E-2</v>
      </c>
      <c r="AD56" s="110">
        <f t="shared" si="465"/>
        <v>7.0991264824966108E-2</v>
      </c>
      <c r="AE56" s="110">
        <f t="shared" si="465"/>
        <v>7.0991264824966135E-2</v>
      </c>
      <c r="AI56" s="46" t="e">
        <f t="shared" ref="AI56:BN56" si="467">+AI55/AH157</f>
        <v>#DIV/0!</v>
      </c>
      <c r="AJ56" s="46" t="e">
        <f t="shared" si="467"/>
        <v>#DIV/0!</v>
      </c>
      <c r="AK56" s="46" t="e">
        <f t="shared" si="467"/>
        <v>#DIV/0!</v>
      </c>
      <c r="AL56" s="46" t="e">
        <f t="shared" si="467"/>
        <v>#DIV/0!</v>
      </c>
      <c r="AM56" s="46" t="e">
        <f t="shared" si="467"/>
        <v>#DIV/0!</v>
      </c>
      <c r="AN56" s="46" t="e">
        <f t="shared" si="467"/>
        <v>#DIV/0!</v>
      </c>
      <c r="AO56" s="46" t="e">
        <f t="shared" si="467"/>
        <v>#DIV/0!</v>
      </c>
      <c r="AP56" s="46" t="e">
        <f t="shared" si="467"/>
        <v>#DIV/0!</v>
      </c>
      <c r="AQ56" s="46" t="e">
        <f t="shared" si="467"/>
        <v>#DIV/0!</v>
      </c>
      <c r="AR56" s="46" t="e">
        <f t="shared" si="467"/>
        <v>#DIV/0!</v>
      </c>
      <c r="AS56" s="46" t="e">
        <f t="shared" si="467"/>
        <v>#DIV/0!</v>
      </c>
      <c r="AT56" s="46" t="e">
        <f t="shared" si="467"/>
        <v>#DIV/0!</v>
      </c>
      <c r="AU56" s="46" t="e">
        <f t="shared" si="467"/>
        <v>#DIV/0!</v>
      </c>
      <c r="AV56" s="46" t="e">
        <f t="shared" si="467"/>
        <v>#DIV/0!</v>
      </c>
      <c r="AW56" s="46" t="e">
        <f t="shared" si="467"/>
        <v>#DIV/0!</v>
      </c>
      <c r="AX56" s="46" t="e">
        <f t="shared" si="467"/>
        <v>#DIV/0!</v>
      </c>
      <c r="AY56" s="46" t="e">
        <f t="shared" si="467"/>
        <v>#DIV/0!</v>
      </c>
      <c r="AZ56" s="46" t="e">
        <f t="shared" si="467"/>
        <v>#DIV/0!</v>
      </c>
      <c r="BA56" s="46" t="e">
        <f t="shared" si="467"/>
        <v>#DIV/0!</v>
      </c>
      <c r="BB56" s="46" t="e">
        <f t="shared" si="467"/>
        <v>#DIV/0!</v>
      </c>
      <c r="BC56" s="46" t="e">
        <f t="shared" si="467"/>
        <v>#DIV/0!</v>
      </c>
      <c r="BD56" s="46" t="e">
        <f t="shared" si="467"/>
        <v>#DIV/0!</v>
      </c>
      <c r="BE56" s="46" t="e">
        <f t="shared" si="467"/>
        <v>#DIV/0!</v>
      </c>
      <c r="BF56" s="46" t="e">
        <f t="shared" si="467"/>
        <v>#DIV/0!</v>
      </c>
      <c r="BG56" s="46" t="e">
        <f t="shared" si="467"/>
        <v>#DIV/0!</v>
      </c>
      <c r="BH56" s="46" t="e">
        <f t="shared" si="467"/>
        <v>#DIV/0!</v>
      </c>
      <c r="BI56" s="46" t="e">
        <f t="shared" si="467"/>
        <v>#DIV/0!</v>
      </c>
      <c r="BJ56" s="46" t="e">
        <f t="shared" si="467"/>
        <v>#DIV/0!</v>
      </c>
      <c r="BK56" s="46" t="e">
        <f t="shared" si="467"/>
        <v>#DIV/0!</v>
      </c>
      <c r="BL56" s="46" t="e">
        <f t="shared" si="467"/>
        <v>#DIV/0!</v>
      </c>
      <c r="BM56" s="46" t="e">
        <f t="shared" si="467"/>
        <v>#DIV/0!</v>
      </c>
      <c r="BN56" s="46" t="e">
        <f t="shared" si="467"/>
        <v>#DIV/0!</v>
      </c>
      <c r="BO56" s="46" t="e">
        <f t="shared" ref="BO56:CL56" si="468">+BO55/BN157</f>
        <v>#DIV/0!</v>
      </c>
      <c r="BP56" s="46" t="e">
        <f t="shared" si="468"/>
        <v>#DIV/0!</v>
      </c>
      <c r="BQ56" s="46" t="e">
        <f t="shared" si="468"/>
        <v>#DIV/0!</v>
      </c>
      <c r="BR56" s="46" t="e">
        <f t="shared" si="468"/>
        <v>#DIV/0!</v>
      </c>
      <c r="BS56" s="46">
        <f t="shared" si="468"/>
        <v>1.9476247252668326E-2</v>
      </c>
      <c r="BT56" s="46">
        <f t="shared" si="468"/>
        <v>2.1975780385847469E-2</v>
      </c>
      <c r="BU56" s="46" t="e">
        <f t="shared" si="468"/>
        <v>#DIV/0!</v>
      </c>
      <c r="BV56" s="46" t="e">
        <f t="shared" si="468"/>
        <v>#DIV/0!</v>
      </c>
      <c r="BW56" s="46">
        <f t="shared" si="468"/>
        <v>1.9908668575802056E-2</v>
      </c>
      <c r="BX56" s="46">
        <f t="shared" si="468"/>
        <v>2.0960166378590387E-2</v>
      </c>
      <c r="BY56" s="46">
        <f t="shared" si="468"/>
        <v>2.0585240002715732E-2</v>
      </c>
      <c r="BZ56" s="46">
        <f t="shared" si="468"/>
        <v>2.077986738180913E-2</v>
      </c>
      <c r="CA56" s="46">
        <f t="shared" si="468"/>
        <v>2.0956876033724633E-2</v>
      </c>
      <c r="CB56" s="46">
        <f t="shared" si="468"/>
        <v>2.1456649678845006E-2</v>
      </c>
      <c r="CC56" s="46">
        <f t="shared" si="468"/>
        <v>2.1836659952389672E-2</v>
      </c>
      <c r="CD56" s="46">
        <f t="shared" si="468"/>
        <v>1.8128547885002746E-2</v>
      </c>
      <c r="CE56" s="46">
        <f t="shared" si="468"/>
        <v>2.1107151300753923E-2</v>
      </c>
      <c r="CF56" s="46">
        <f t="shared" si="468"/>
        <v>2.0233706645184455E-2</v>
      </c>
      <c r="CG56" s="46">
        <f t="shared" si="468"/>
        <v>2.3045127562134074E-2</v>
      </c>
      <c r="CH56" s="46">
        <f t="shared" si="468"/>
        <v>2.0786093017819383E-2</v>
      </c>
      <c r="CI56" s="46">
        <f t="shared" si="468"/>
        <v>1.8933775090707067E-2</v>
      </c>
      <c r="CJ56" s="46">
        <f t="shared" si="468"/>
        <v>2.0103079229009443E-2</v>
      </c>
      <c r="CK56" s="46">
        <f t="shared" si="468"/>
        <v>1.8832123713296331E-2</v>
      </c>
      <c r="CL56" s="46">
        <f t="shared" si="468"/>
        <v>2.208228582479211E-2</v>
      </c>
      <c r="CM56" s="47">
        <f t="shared" ref="CM56" si="469">CL56</f>
        <v>2.208228582479211E-2</v>
      </c>
      <c r="CN56" s="47">
        <f t="shared" ref="CN56" si="470">CM56</f>
        <v>2.208228582479211E-2</v>
      </c>
      <c r="CO56" s="47">
        <f t="shared" ref="CO56" si="471">CN56</f>
        <v>2.208228582479211E-2</v>
      </c>
      <c r="CP56" s="47">
        <f t="shared" ref="CP56" si="472">CO56</f>
        <v>2.208228582479211E-2</v>
      </c>
      <c r="CQ56" s="47">
        <v>1.7000000000000001E-2</v>
      </c>
      <c r="CR56" s="47">
        <f t="shared" ref="CR56" si="473">CQ56</f>
        <v>1.7000000000000001E-2</v>
      </c>
      <c r="CS56" s="47">
        <f t="shared" ref="CS56" si="474">CR56</f>
        <v>1.7000000000000001E-2</v>
      </c>
      <c r="CT56" s="47">
        <f t="shared" ref="CT56" si="475">CS56</f>
        <v>1.7000000000000001E-2</v>
      </c>
      <c r="CU56" s="47">
        <f t="shared" ref="CU56" si="476">CT56</f>
        <v>1.7000000000000001E-2</v>
      </c>
      <c r="CV56" s="47">
        <f t="shared" ref="CV56" si="477">CU56</f>
        <v>1.7000000000000001E-2</v>
      </c>
      <c r="CW56" s="47">
        <f t="shared" ref="CW56" si="478">CV56</f>
        <v>1.7000000000000001E-2</v>
      </c>
      <c r="CX56" s="47">
        <f t="shared" ref="CX56" si="479">CW56</f>
        <v>1.7000000000000001E-2</v>
      </c>
      <c r="CY56" s="47">
        <f t="shared" ref="CY56" si="480">CX56</f>
        <v>1.7000000000000001E-2</v>
      </c>
      <c r="CZ56" s="47">
        <f t="shared" ref="CZ56" si="481">CY56</f>
        <v>1.7000000000000001E-2</v>
      </c>
      <c r="DA56" s="47">
        <f t="shared" ref="DA56" si="482">CZ56</f>
        <v>1.7000000000000001E-2</v>
      </c>
      <c r="DB56" s="47">
        <f t="shared" ref="DB56" si="483">DA56</f>
        <v>1.7000000000000001E-2</v>
      </c>
      <c r="DE56" s="130"/>
      <c r="DF56" s="46">
        <v>1.8832123713296331E-2</v>
      </c>
    </row>
    <row r="57" spans="1:110" s="26" customFormat="1" x14ac:dyDescent="0.2">
      <c r="A57" s="34" t="s">
        <v>16</v>
      </c>
      <c r="B57" s="26">
        <f>B51-B55</f>
        <v>0</v>
      </c>
      <c r="C57" s="26">
        <f t="shared" ref="C57:T57" si="484">C51-C55</f>
        <v>0</v>
      </c>
      <c r="D57" s="26">
        <f>D51-D55</f>
        <v>27.422999999999934</v>
      </c>
      <c r="E57" s="26">
        <f t="shared" si="484"/>
        <v>41.71200000000011</v>
      </c>
      <c r="F57" s="26">
        <f t="shared" si="484"/>
        <v>11.074999999999832</v>
      </c>
      <c r="G57" s="26">
        <f t="shared" si="484"/>
        <v>32.792999999999751</v>
      </c>
      <c r="H57" s="26">
        <f t="shared" si="484"/>
        <v>48.385999999999619</v>
      </c>
      <c r="I57" s="26">
        <f t="shared" si="484"/>
        <v>96.493999999999915</v>
      </c>
      <c r="J57" s="26">
        <f t="shared" si="484"/>
        <v>123.17500000000052</v>
      </c>
      <c r="K57" s="26">
        <f t="shared" si="484"/>
        <v>72.44700000000033</v>
      </c>
      <c r="L57" s="26">
        <f t="shared" si="484"/>
        <v>51.833000000000069</v>
      </c>
      <c r="M57" s="26">
        <f t="shared" si="484"/>
        <v>104.42999999999927</v>
      </c>
      <c r="N57" s="26">
        <f t="shared" si="484"/>
        <v>247.88199999999921</v>
      </c>
      <c r="O57" s="26">
        <f t="shared" si="484"/>
        <v>102.61599999999855</v>
      </c>
      <c r="P57" s="26">
        <f t="shared" si="484"/>
        <v>272.60699999999883</v>
      </c>
      <c r="Q57" s="26">
        <f t="shared" si="484"/>
        <v>402.05800000000181</v>
      </c>
      <c r="R57" s="26">
        <f t="shared" si="484"/>
        <v>534.73800000000188</v>
      </c>
      <c r="S57" s="26">
        <f t="shared" si="484"/>
        <v>782.56000000000154</v>
      </c>
      <c r="T57" s="26">
        <f t="shared" si="484"/>
        <v>918.64099999999962</v>
      </c>
      <c r="U57" s="26">
        <f t="shared" ref="U57:Z57" si="485">U51-U55</f>
        <v>1068.2560000000014</v>
      </c>
      <c r="V57" s="26">
        <f t="shared" si="485"/>
        <v>1057.5499999999961</v>
      </c>
      <c r="W57" s="26">
        <f t="shared" si="485"/>
        <v>1427.2100000000005</v>
      </c>
      <c r="X57" s="26">
        <f t="shared" si="485"/>
        <v>600.33000000000266</v>
      </c>
      <c r="Y57" s="26">
        <f t="shared" si="485"/>
        <v>768.84000000000776</v>
      </c>
      <c r="Z57" s="26">
        <f t="shared" si="485"/>
        <v>2086.6400000000017</v>
      </c>
      <c r="AA57" s="26">
        <f t="shared" ref="AA57" si="486">AA51-AA55</f>
        <v>1666.5399999999872</v>
      </c>
      <c r="AB57" s="27">
        <f t="shared" ref="AA57:AD57" si="487">AB51-AB55</f>
        <v>1877.527875024681</v>
      </c>
      <c r="AC57" s="27">
        <f t="shared" si="487"/>
        <v>2398.0948665015276</v>
      </c>
      <c r="AD57" s="27">
        <f t="shared" si="487"/>
        <v>2665.8121684048583</v>
      </c>
      <c r="AE57" s="27">
        <f t="shared" ref="AE57" si="488">AE51-AE55</f>
        <v>2942.6437490854669</v>
      </c>
      <c r="AI57" s="26">
        <f t="shared" ref="AI57" si="489">AI51-AI55</f>
        <v>0</v>
      </c>
      <c r="AJ57" s="26">
        <f t="shared" ref="AJ57" si="490">AJ51-AJ55</f>
        <v>0</v>
      </c>
      <c r="AK57" s="26">
        <f t="shared" ref="AK57:AM57" si="491">AK51-AK55</f>
        <v>0</v>
      </c>
      <c r="AL57" s="26">
        <f t="shared" si="491"/>
        <v>0</v>
      </c>
      <c r="AM57" s="26">
        <f t="shared" si="491"/>
        <v>0</v>
      </c>
      <c r="AN57" s="26">
        <f t="shared" ref="AN57:AO57" si="492">AN51-AN55</f>
        <v>0</v>
      </c>
      <c r="AO57" s="26">
        <f t="shared" si="492"/>
        <v>0</v>
      </c>
      <c r="AP57" s="26">
        <f t="shared" ref="AP57:CD57" si="493">AP51-AP55</f>
        <v>0</v>
      </c>
      <c r="AQ57" s="26">
        <f t="shared" si="493"/>
        <v>0</v>
      </c>
      <c r="AR57" s="26">
        <f t="shared" si="493"/>
        <v>0</v>
      </c>
      <c r="AS57" s="26">
        <f t="shared" si="493"/>
        <v>0</v>
      </c>
      <c r="AT57" s="26">
        <f t="shared" si="493"/>
        <v>0</v>
      </c>
      <c r="AU57" s="26">
        <f t="shared" si="493"/>
        <v>0</v>
      </c>
      <c r="AV57" s="26">
        <f t="shared" si="493"/>
        <v>0</v>
      </c>
      <c r="AW57" s="26">
        <f t="shared" si="493"/>
        <v>0</v>
      </c>
      <c r="AX57" s="26">
        <f t="shared" si="493"/>
        <v>0</v>
      </c>
      <c r="AY57" s="26">
        <f t="shared" si="493"/>
        <v>0</v>
      </c>
      <c r="AZ57" s="26">
        <f t="shared" si="493"/>
        <v>0</v>
      </c>
      <c r="BA57" s="26">
        <f t="shared" si="493"/>
        <v>0</v>
      </c>
      <c r="BB57" s="26">
        <f t="shared" si="493"/>
        <v>0</v>
      </c>
      <c r="BC57" s="26">
        <f t="shared" si="493"/>
        <v>0</v>
      </c>
      <c r="BD57" s="26">
        <f t="shared" si="493"/>
        <v>0</v>
      </c>
      <c r="BE57" s="26">
        <f t="shared" si="493"/>
        <v>0</v>
      </c>
      <c r="BF57" s="26">
        <f t="shared" si="493"/>
        <v>0</v>
      </c>
      <c r="BG57" s="26">
        <f t="shared" si="493"/>
        <v>0</v>
      </c>
      <c r="BH57" s="26">
        <f t="shared" si="493"/>
        <v>0</v>
      </c>
      <c r="BI57" s="26">
        <f t="shared" si="493"/>
        <v>0</v>
      </c>
      <c r="BJ57" s="26">
        <f t="shared" si="493"/>
        <v>0</v>
      </c>
      <c r="BK57" s="26">
        <f t="shared" si="493"/>
        <v>0</v>
      </c>
      <c r="BL57" s="26">
        <f t="shared" si="493"/>
        <v>0</v>
      </c>
      <c r="BM57" s="26">
        <f t="shared" si="493"/>
        <v>0</v>
      </c>
      <c r="BN57" s="26">
        <f t="shared" si="493"/>
        <v>0</v>
      </c>
      <c r="BO57" s="26">
        <f t="shared" si="493"/>
        <v>0</v>
      </c>
      <c r="BP57" s="26">
        <f t="shared" si="493"/>
        <v>0</v>
      </c>
      <c r="BQ57" s="26">
        <f t="shared" si="493"/>
        <v>246.12000000000077</v>
      </c>
      <c r="BR57" s="26">
        <f t="shared" si="493"/>
        <v>286.67000000000144</v>
      </c>
      <c r="BS57" s="26">
        <f t="shared" si="493"/>
        <v>309.56999999999988</v>
      </c>
      <c r="BT57" s="26">
        <f t="shared" si="493"/>
        <v>353.04000000000019</v>
      </c>
      <c r="BU57" s="26">
        <f t="shared" si="493"/>
        <v>422.35000000000099</v>
      </c>
      <c r="BV57" s="26">
        <f t="shared" si="493"/>
        <v>342.24</v>
      </c>
      <c r="BW57" s="26">
        <f t="shared" si="493"/>
        <v>357.51000000000062</v>
      </c>
      <c r="BX57" s="26">
        <f t="shared" si="493"/>
        <v>163.76999999999921</v>
      </c>
      <c r="BY57" s="26">
        <f t="shared" si="493"/>
        <v>514.26</v>
      </c>
      <c r="BZ57" s="26">
        <f t="shared" si="493"/>
        <v>26.289999999999452</v>
      </c>
      <c r="CA57" s="26">
        <f t="shared" si="493"/>
        <v>36.889999999999404</v>
      </c>
      <c r="CB57" s="26">
        <f t="shared" si="493"/>
        <v>47.929999999998259</v>
      </c>
      <c r="CC57" s="26">
        <f t="shared" si="493"/>
        <v>409.18000000000086</v>
      </c>
      <c r="CD57" s="26">
        <f t="shared" si="493"/>
        <v>277.8</v>
      </c>
      <c r="CE57" s="26">
        <f t="shared" ref="CE57:CF57" si="494">CE51-CE55</f>
        <v>529.75000000000125</v>
      </c>
      <c r="CF57" s="26">
        <f t="shared" si="494"/>
        <v>476.5100000000005</v>
      </c>
      <c r="CG57" s="26">
        <f t="shared" ref="CG57:CH57" si="495">CG51-CG55</f>
        <v>683.14999999999941</v>
      </c>
      <c r="CH57" s="26">
        <f t="shared" si="495"/>
        <v>350.4500000000009</v>
      </c>
      <c r="CI57" s="26">
        <f t="shared" ref="CI57:CJ57" si="496">CI51-CI55</f>
        <v>263.14000000000169</v>
      </c>
      <c r="CJ57" s="26">
        <f t="shared" si="496"/>
        <v>581.14999999999918</v>
      </c>
      <c r="CK57" s="26">
        <f t="shared" ref="CK57:CL57" si="497">CK51-CK55</f>
        <v>441.83999999999799</v>
      </c>
      <c r="CL57" s="26">
        <f t="shared" si="497"/>
        <v>395.85000000000025</v>
      </c>
      <c r="CM57" s="27">
        <f t="shared" ref="CM57:DB57" si="498">CM51-CM55</f>
        <v>395.29819416174917</v>
      </c>
      <c r="CN57" s="27">
        <f t="shared" si="498"/>
        <v>463.33550363419693</v>
      </c>
      <c r="CO57" s="27">
        <f t="shared" si="498"/>
        <v>470.11472615575047</v>
      </c>
      <c r="CP57" s="27">
        <f t="shared" si="498"/>
        <v>548.77945107298331</v>
      </c>
      <c r="CQ57" s="27">
        <f t="shared" si="498"/>
        <v>505.24732594013665</v>
      </c>
      <c r="CR57" s="27">
        <f t="shared" si="498"/>
        <v>550.64756387325838</v>
      </c>
      <c r="CS57" s="27">
        <f t="shared" si="498"/>
        <v>603.59330187546846</v>
      </c>
      <c r="CT57" s="27">
        <f t="shared" si="498"/>
        <v>738.60667481266012</v>
      </c>
      <c r="CU57" s="27">
        <f t="shared" si="498"/>
        <v>577.92304067087662</v>
      </c>
      <c r="CV57" s="27">
        <f t="shared" si="498"/>
        <v>617.97026965360089</v>
      </c>
      <c r="CW57" s="27">
        <f t="shared" si="498"/>
        <v>671.64261456306122</v>
      </c>
      <c r="CX57" s="27">
        <f t="shared" si="498"/>
        <v>798.27624351731401</v>
      </c>
      <c r="CY57" s="27">
        <f t="shared" si="498"/>
        <v>644.32715872234542</v>
      </c>
      <c r="CZ57" s="27">
        <f t="shared" si="498"/>
        <v>683.35855083217132</v>
      </c>
      <c r="DA57" s="27">
        <f t="shared" si="498"/>
        <v>739.62300284168191</v>
      </c>
      <c r="DB57" s="27">
        <f t="shared" si="498"/>
        <v>875.33503668928483</v>
      </c>
      <c r="DE57" s="121"/>
      <c r="DF57" s="26">
        <v>511.71015110018993</v>
      </c>
    </row>
    <row r="58" spans="1:110" s="23" customFormat="1" x14ac:dyDescent="0.2">
      <c r="A58" s="23" t="s">
        <v>17</v>
      </c>
      <c r="B58" s="23">
        <f>'Annual Raw'!C23</f>
        <v>0</v>
      </c>
      <c r="C58" s="23">
        <f>'Annual Raw'!D23</f>
        <v>0</v>
      </c>
      <c r="D58" s="23">
        <f>'Annual Raw'!E23</f>
        <v>4.8150000000000004</v>
      </c>
      <c r="E58" s="23">
        <f>'Annual Raw'!F23</f>
        <v>6.5149999999999997</v>
      </c>
      <c r="F58" s="23">
        <f>'Annual Raw'!G23</f>
        <v>25.366</v>
      </c>
      <c r="G58" s="23">
        <f>'Annual Raw'!H23</f>
        <v>36.015999999999998</v>
      </c>
      <c r="H58" s="23">
        <f>'Annual Raw'!I23</f>
        <v>47.774000000000001</v>
      </c>
      <c r="I58" s="23">
        <f>'Annual Raw'!J23</f>
        <v>55.308</v>
      </c>
      <c r="J58" s="23">
        <f>'Annual Raw'!K23</f>
        <v>62.523000000000003</v>
      </c>
      <c r="K58" s="23">
        <f>'Annual Raw'!L23</f>
        <v>21.346</v>
      </c>
      <c r="L58" s="23">
        <f>'Annual Raw'!M23</f>
        <v>60.69</v>
      </c>
      <c r="M58" s="23">
        <f>'Annual Raw'!N23</f>
        <v>91.536000000000001</v>
      </c>
      <c r="N58" s="23">
        <f>'Annual Raw'!O23</f>
        <v>113.236</v>
      </c>
      <c r="O58" s="23">
        <f>'Annual Raw'!P23</f>
        <v>298.488</v>
      </c>
      <c r="P58" s="23">
        <f>'Annual Raw'!Q23</f>
        <v>175.19300000000001</v>
      </c>
      <c r="Q58" s="23">
        <f>'Annual Raw'!R23</f>
        <v>108.636</v>
      </c>
      <c r="R58" s="23">
        <f>'Annual Raw'!S23</f>
        <v>134.084</v>
      </c>
      <c r="S58" s="23">
        <f>'Annual Raw'!T23</f>
        <v>89.197000000000003</v>
      </c>
      <c r="T58" s="23">
        <f>'Annual Raw'!U23</f>
        <v>122.22199999999999</v>
      </c>
      <c r="U58" s="23">
        <f>'Annual Raw'!V23</f>
        <v>109.95</v>
      </c>
      <c r="V58" s="23">
        <f>'Annual Raw'!W23</f>
        <v>104.27</v>
      </c>
      <c r="W58" s="23">
        <f>'Annual Raw'!X23</f>
        <v>172.34</v>
      </c>
      <c r="X58" s="23">
        <f>'Annual Raw'!Y23</f>
        <v>963.51</v>
      </c>
      <c r="Y58" s="23">
        <f>'Annual Raw'!Z23</f>
        <v>296.18</v>
      </c>
      <c r="Z58" s="23">
        <f>'Annual Raw'!AA23</f>
        <v>238.04</v>
      </c>
      <c r="AA58" s="23">
        <f>'Annual Raw'!AB23</f>
        <v>433.24</v>
      </c>
      <c r="AB58" s="76">
        <f t="shared" ref="AB58:AB59" si="499">+SUM(CM58:CP58)</f>
        <v>0</v>
      </c>
      <c r="AC58" s="76">
        <f t="shared" ref="AC58:AC59" si="500">+SUM(CQ58:CT58)</f>
        <v>0</v>
      </c>
      <c r="AD58" s="76">
        <f t="shared" ref="AD58:AD59" si="501">+SUM(CU58:CX58)</f>
        <v>0</v>
      </c>
      <c r="AE58" s="76">
        <f t="shared" ref="AE58:AE59" si="502">+SUM(CY58:DB58)</f>
        <v>0</v>
      </c>
      <c r="AI58" s="23">
        <f>'QTR Raw'!C23</f>
        <v>0</v>
      </c>
      <c r="AJ58" s="23">
        <f>'QTR Raw'!D23</f>
        <v>0</v>
      </c>
      <c r="AK58" s="23">
        <f>'QTR Raw'!E23</f>
        <v>0</v>
      </c>
      <c r="AL58" s="23">
        <f>'QTR Raw'!F23</f>
        <v>0</v>
      </c>
      <c r="AM58" s="23">
        <f>'QTR Raw'!G23</f>
        <v>0</v>
      </c>
      <c r="AN58" s="23">
        <f>'QTR Raw'!H23</f>
        <v>0</v>
      </c>
      <c r="AO58" s="23">
        <f>'QTR Raw'!I23</f>
        <v>0</v>
      </c>
      <c r="AP58" s="23">
        <f>'QTR Raw'!J23</f>
        <v>0</v>
      </c>
      <c r="AQ58" s="23">
        <f>'QTR Raw'!K23</f>
        <v>0</v>
      </c>
      <c r="AR58" s="23">
        <f>'QTR Raw'!L23</f>
        <v>0</v>
      </c>
      <c r="AS58" s="23">
        <f>'QTR Raw'!M23</f>
        <v>0</v>
      </c>
      <c r="AT58" s="23">
        <f>'QTR Raw'!N23</f>
        <v>0</v>
      </c>
      <c r="AU58" s="23">
        <f>'QTR Raw'!O23</f>
        <v>0</v>
      </c>
      <c r="AV58" s="23">
        <f>'QTR Raw'!P23</f>
        <v>0</v>
      </c>
      <c r="AW58" s="23">
        <f>'QTR Raw'!Q23</f>
        <v>0</v>
      </c>
      <c r="AX58" s="23">
        <f>'QTR Raw'!R23</f>
        <v>0</v>
      </c>
      <c r="AY58" s="23">
        <f>'QTR Raw'!S23</f>
        <v>0</v>
      </c>
      <c r="AZ58" s="23">
        <f>'QTR Raw'!T23</f>
        <v>0</v>
      </c>
      <c r="BA58" s="23">
        <f>'QTR Raw'!U23</f>
        <v>0</v>
      </c>
      <c r="BB58" s="23">
        <f>'QTR Raw'!V23</f>
        <v>0</v>
      </c>
      <c r="BC58" s="23">
        <f>'QTR Raw'!W23</f>
        <v>0</v>
      </c>
      <c r="BD58" s="23">
        <f>'QTR Raw'!X23</f>
        <v>0</v>
      </c>
      <c r="BE58" s="23">
        <f>'QTR Raw'!Y23</f>
        <v>0</v>
      </c>
      <c r="BF58" s="23">
        <f>'QTR Raw'!Z23</f>
        <v>0</v>
      </c>
      <c r="BG58" s="23">
        <f>'QTR Raw'!AA23</f>
        <v>0</v>
      </c>
      <c r="BH58" s="23">
        <f>'QTR Raw'!AB23</f>
        <v>0</v>
      </c>
      <c r="BI58" s="23">
        <f>'QTR Raw'!AC23</f>
        <v>0</v>
      </c>
      <c r="BJ58" s="23">
        <f>'QTR Raw'!AD23</f>
        <v>0</v>
      </c>
      <c r="BK58" s="23">
        <f>'QTR Raw'!AE23</f>
        <v>0</v>
      </c>
      <c r="BL58" s="23">
        <f>'QTR Raw'!AF23</f>
        <v>0</v>
      </c>
      <c r="BM58" s="23">
        <f>'QTR Raw'!AG23</f>
        <v>0</v>
      </c>
      <c r="BN58" s="23">
        <f>'QTR Raw'!AH23</f>
        <v>0</v>
      </c>
      <c r="BO58" s="23">
        <f>'QTR Raw'!AI23</f>
        <v>0</v>
      </c>
      <c r="BP58" s="23">
        <f>'QTR Raw'!AJ23</f>
        <v>0</v>
      </c>
      <c r="BQ58" s="23">
        <f>'QTR Raw'!AK23</f>
        <v>8.74</v>
      </c>
      <c r="BR58" s="23">
        <f>'QTR Raw'!AL23</f>
        <v>26.17</v>
      </c>
      <c r="BS58" s="23">
        <f>'QTR Raw'!AM23</f>
        <v>57.44</v>
      </c>
      <c r="BT58" s="23">
        <f>'QTR Raw'!AN23</f>
        <v>25.17</v>
      </c>
      <c r="BU58" s="23">
        <f>'QTR Raw'!AO23</f>
        <v>27.16</v>
      </c>
      <c r="BV58" s="23">
        <f>'QTR Raw'!AP23</f>
        <v>62.57</v>
      </c>
      <c r="BW58" s="23">
        <f>'QTR Raw'!AQ23</f>
        <v>52.3</v>
      </c>
      <c r="BX58" s="23">
        <f>'QTR Raw'!AR23</f>
        <v>59.17</v>
      </c>
      <c r="BY58" s="23">
        <f>'QTR Raw'!AS23</f>
        <v>77.5</v>
      </c>
      <c r="BZ58" s="23">
        <f>'QTR Raw'!AT23</f>
        <v>313.04000000000002</v>
      </c>
      <c r="CA58" s="23">
        <f>'QTR Raw'!AU23</f>
        <v>66.099999999999994</v>
      </c>
      <c r="CB58" s="23">
        <f>'QTR Raw'!AV23</f>
        <v>64.05</v>
      </c>
      <c r="CC58" s="23">
        <f>'QTR Raw'!AW23</f>
        <v>58.85</v>
      </c>
      <c r="CD58" s="23">
        <f>'QTR Raw'!AX23</f>
        <v>104.22</v>
      </c>
      <c r="CE58" s="23">
        <f>'QTR Raw'!AY23</f>
        <v>53.99</v>
      </c>
      <c r="CF58" s="23">
        <f>'QTR Raw'!AZ23</f>
        <v>102.1</v>
      </c>
      <c r="CG58" s="23">
        <f>'QTR Raw'!BA23</f>
        <v>66.69</v>
      </c>
      <c r="CH58" s="23">
        <f>'QTR Raw'!BB23</f>
        <v>62.04</v>
      </c>
      <c r="CI58" s="23">
        <f>'QTR Raw'!BC23</f>
        <v>206.09</v>
      </c>
      <c r="CJ58" s="23">
        <f>'QTR Raw'!BD23</f>
        <v>-78.959999999999994</v>
      </c>
      <c r="CK58" s="23">
        <f>'QTR Raw'!BE23</f>
        <v>132.15</v>
      </c>
      <c r="CL58" s="23">
        <f>'QTR Raw'!BF23</f>
        <v>158.52000000000001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417.80000000000007</v>
      </c>
    </row>
    <row r="59" spans="1:110" s="23" customFormat="1" x14ac:dyDescent="0.2">
      <c r="A59" s="23" t="s">
        <v>18</v>
      </c>
      <c r="B59" s="23">
        <f>'Annual Raw'!C25</f>
        <v>0</v>
      </c>
      <c r="C59" s="23">
        <f>'Annual Raw'!D25</f>
        <v>0</v>
      </c>
      <c r="D59" s="23">
        <f>'Annual Raw'!E25</f>
        <v>9.8239999999999998</v>
      </c>
      <c r="E59" s="23">
        <f>'Annual Raw'!F25</f>
        <v>19.54</v>
      </c>
      <c r="F59" s="23">
        <f>'Annual Raw'!G25</f>
        <v>36.152000000000001</v>
      </c>
      <c r="G59" s="23">
        <f>'Annual Raw'!H25</f>
        <v>65.438000000000002</v>
      </c>
      <c r="H59" s="23">
        <f>'Annual Raw'!I25</f>
        <v>88.745999999999995</v>
      </c>
      <c r="I59" s="23">
        <f>'Annual Raw'!J25</f>
        <v>95.218999999999994</v>
      </c>
      <c r="J59" s="23">
        <f>'Annual Raw'!K25</f>
        <v>102.154</v>
      </c>
      <c r="K59" s="23">
        <f>'Annual Raw'!L25</f>
        <v>69.438999999999993</v>
      </c>
      <c r="L59" s="23">
        <f>'Annual Raw'!M25</f>
        <v>103.497</v>
      </c>
      <c r="M59" s="23">
        <f>'Annual Raw'!N25</f>
        <v>182.423</v>
      </c>
      <c r="N59" s="23">
        <f>'Annual Raw'!O25</f>
        <v>238.17500000000001</v>
      </c>
      <c r="O59" s="23">
        <f>'Annual Raw'!P25</f>
        <v>379.94200000000001</v>
      </c>
      <c r="P59" s="23">
        <f>'Annual Raw'!Q25</f>
        <v>330.971</v>
      </c>
      <c r="Q59" s="23">
        <f>'Annual Raw'!R25</f>
        <v>332.50299999999999</v>
      </c>
      <c r="R59" s="23">
        <f>'Annual Raw'!S25</f>
        <v>327.73500000000001</v>
      </c>
      <c r="S59" s="23">
        <f>'Annual Raw'!T25</f>
        <v>298.40199999999999</v>
      </c>
      <c r="T59" s="23">
        <f>'Annual Raw'!U25</f>
        <v>470.101</v>
      </c>
      <c r="U59" s="23">
        <f>'Annual Raw'!V25</f>
        <v>569.19299999999998</v>
      </c>
      <c r="V59" s="23">
        <f>'Annual Raw'!W25</f>
        <v>406.61</v>
      </c>
      <c r="W59" s="23">
        <f>'Annual Raw'!X25</f>
        <v>540.79</v>
      </c>
      <c r="X59" s="23">
        <f>'Annual Raw'!Y25</f>
        <v>774.92</v>
      </c>
      <c r="Y59" s="23">
        <f>'Annual Raw'!Z25</f>
        <v>749.11</v>
      </c>
      <c r="Z59" s="23">
        <f>'Annual Raw'!AA25</f>
        <v>724.06</v>
      </c>
      <c r="AA59" s="23">
        <f>'Annual Raw'!AB25</f>
        <v>706.91</v>
      </c>
      <c r="AB59" s="76">
        <f t="shared" si="499"/>
        <v>123.25403099785815</v>
      </c>
      <c r="AC59" s="76">
        <f t="shared" si="500"/>
        <v>660.94447253137776</v>
      </c>
      <c r="AD59" s="76">
        <f t="shared" si="501"/>
        <v>922.08032098628098</v>
      </c>
      <c r="AE59" s="76">
        <f t="shared" si="502"/>
        <v>1174.7305818833913</v>
      </c>
      <c r="AI59" s="23">
        <f>'QTR Raw'!C25</f>
        <v>0</v>
      </c>
      <c r="AJ59" s="23">
        <f>'QTR Raw'!D25</f>
        <v>0</v>
      </c>
      <c r="AK59" s="23">
        <f>'QTR Raw'!E25</f>
        <v>0</v>
      </c>
      <c r="AL59" s="23">
        <f>'QTR Raw'!F25</f>
        <v>0</v>
      </c>
      <c r="AM59" s="23">
        <f>'QTR Raw'!G25</f>
        <v>0</v>
      </c>
      <c r="AN59" s="23">
        <f>'QTR Raw'!H25</f>
        <v>0</v>
      </c>
      <c r="AO59" s="23">
        <f>'QTR Raw'!I25</f>
        <v>0</v>
      </c>
      <c r="AP59" s="23">
        <f>'QTR Raw'!J25</f>
        <v>0</v>
      </c>
      <c r="AQ59" s="23">
        <f>'QTR Raw'!K25</f>
        <v>0</v>
      </c>
      <c r="AR59" s="23">
        <f>'QTR Raw'!L25</f>
        <v>0</v>
      </c>
      <c r="AS59" s="23">
        <f>'QTR Raw'!M25</f>
        <v>0</v>
      </c>
      <c r="AT59" s="23">
        <f>'QTR Raw'!N25</f>
        <v>0</v>
      </c>
      <c r="AU59" s="23">
        <f>'QTR Raw'!O25</f>
        <v>0</v>
      </c>
      <c r="AV59" s="23">
        <f>'QTR Raw'!P25</f>
        <v>0</v>
      </c>
      <c r="AW59" s="23">
        <f>'QTR Raw'!Q25</f>
        <v>0</v>
      </c>
      <c r="AX59" s="23">
        <f>'QTR Raw'!R25</f>
        <v>0</v>
      </c>
      <c r="AY59" s="23">
        <f>'QTR Raw'!S25</f>
        <v>0</v>
      </c>
      <c r="AZ59" s="23">
        <f>'QTR Raw'!T25</f>
        <v>0</v>
      </c>
      <c r="BA59" s="23">
        <f>'QTR Raw'!U25</f>
        <v>0</v>
      </c>
      <c r="BB59" s="23">
        <f>'QTR Raw'!V25</f>
        <v>0</v>
      </c>
      <c r="BC59" s="23">
        <f>'QTR Raw'!W25</f>
        <v>0</v>
      </c>
      <c r="BD59" s="23">
        <f>'QTR Raw'!X25</f>
        <v>0</v>
      </c>
      <c r="BE59" s="23">
        <f>'QTR Raw'!Y25</f>
        <v>0</v>
      </c>
      <c r="BF59" s="23">
        <f>'QTR Raw'!Z25</f>
        <v>0</v>
      </c>
      <c r="BG59" s="23">
        <f>'QTR Raw'!AA25</f>
        <v>0</v>
      </c>
      <c r="BH59" s="23">
        <f>'QTR Raw'!AB25</f>
        <v>0</v>
      </c>
      <c r="BI59" s="23">
        <f>'QTR Raw'!AC25</f>
        <v>0</v>
      </c>
      <c r="BJ59" s="23">
        <f>'QTR Raw'!AD25</f>
        <v>0</v>
      </c>
      <c r="BK59" s="23">
        <f>'QTR Raw'!AE25</f>
        <v>0</v>
      </c>
      <c r="BL59" s="23">
        <f>'QTR Raw'!AF25</f>
        <v>0</v>
      </c>
      <c r="BM59" s="23">
        <f>'QTR Raw'!AG25</f>
        <v>0</v>
      </c>
      <c r="BN59" s="23">
        <f>'QTR Raw'!AH25</f>
        <v>0</v>
      </c>
      <c r="BO59" s="23">
        <f>'QTR Raw'!AI25</f>
        <v>0</v>
      </c>
      <c r="BP59" s="23">
        <f>'QTR Raw'!AJ25</f>
        <v>0</v>
      </c>
      <c r="BQ59" s="23">
        <f>'QTR Raw'!AK25</f>
        <v>83.53</v>
      </c>
      <c r="BR59" s="23">
        <f>'QTR Raw'!AL25</f>
        <v>110.64</v>
      </c>
      <c r="BS59" s="23">
        <f>'QTR Raw'!AM25</f>
        <v>142.30000000000001</v>
      </c>
      <c r="BT59" s="23">
        <f>'QTR Raw'!AN25</f>
        <v>148.74</v>
      </c>
      <c r="BU59" s="23">
        <f>'QTR Raw'!AO25</f>
        <v>143.22</v>
      </c>
      <c r="BV59" s="23">
        <f>'QTR Raw'!AP25</f>
        <v>106.53</v>
      </c>
      <c r="BW59" s="23">
        <f>'QTR Raw'!AQ25</f>
        <v>149.55000000000001</v>
      </c>
      <c r="BX59" s="23">
        <f>'QTR Raw'!AR25</f>
        <v>163.36000000000001</v>
      </c>
      <c r="BY59" s="23">
        <f>'QTR Raw'!AS25</f>
        <v>251.92</v>
      </c>
      <c r="BZ59" s="23">
        <f>'QTR Raw'!AT25</f>
        <v>210.09</v>
      </c>
      <c r="CA59" s="23">
        <f>'QTR Raw'!AU25</f>
        <v>170.67</v>
      </c>
      <c r="CB59" s="23">
        <f>'QTR Raw'!AV25</f>
        <v>220.23</v>
      </c>
      <c r="CC59" s="23">
        <f>'QTR Raw'!AW25</f>
        <v>187.08</v>
      </c>
      <c r="CD59" s="23">
        <f>'QTR Raw'!AX25</f>
        <v>171.13</v>
      </c>
      <c r="CE59" s="23">
        <f>'QTR Raw'!AY25</f>
        <v>165.57</v>
      </c>
      <c r="CF59" s="23">
        <f>'QTR Raw'!AZ25</f>
        <v>176.74</v>
      </c>
      <c r="CG59" s="23">
        <f>'QTR Raw'!BA25</f>
        <v>203.6</v>
      </c>
      <c r="CH59" s="23">
        <f>'QTR Raw'!BB25</f>
        <v>178.15</v>
      </c>
      <c r="CI59" s="23">
        <f>'QTR Raw'!BC25</f>
        <v>158.63</v>
      </c>
      <c r="CJ59" s="23">
        <f>'QTR Raw'!BD25</f>
        <v>189.27</v>
      </c>
      <c r="CK59" s="23">
        <f>'QTR Raw'!BE25</f>
        <v>184.73</v>
      </c>
      <c r="CL59" s="23">
        <f>'QTR Raw'!BF25</f>
        <v>174.28</v>
      </c>
      <c r="CM59" s="24">
        <f t="shared" ref="CM59:DB59" si="503">CM60*CL191</f>
        <v>20.052234184677761</v>
      </c>
      <c r="CN59" s="24">
        <f t="shared" si="503"/>
        <v>29.38182930420313</v>
      </c>
      <c r="CO59" s="24">
        <f t="shared" si="503"/>
        <v>34.557909652638095</v>
      </c>
      <c r="CP59" s="24">
        <f t="shared" si="503"/>
        <v>39.262057856339155</v>
      </c>
      <c r="CQ59" s="24">
        <f t="shared" si="503"/>
        <v>131.60104811569406</v>
      </c>
      <c r="CR59" s="24">
        <f t="shared" si="503"/>
        <v>163.56219015747706</v>
      </c>
      <c r="CS59" s="24">
        <f t="shared" si="503"/>
        <v>176.52575337484407</v>
      </c>
      <c r="CT59" s="24">
        <f t="shared" si="503"/>
        <v>189.25548088336254</v>
      </c>
      <c r="CU59" s="24">
        <f t="shared" si="503"/>
        <v>198.77089288863314</v>
      </c>
      <c r="CV59" s="24">
        <f t="shared" si="503"/>
        <v>228.65935563744438</v>
      </c>
      <c r="CW59" s="24">
        <f t="shared" si="503"/>
        <v>241.23885433526644</v>
      </c>
      <c r="CX59" s="24">
        <f t="shared" si="503"/>
        <v>253.41121812493702</v>
      </c>
      <c r="CY59" s="24">
        <f t="shared" si="503"/>
        <v>261.52810896264384</v>
      </c>
      <c r="CZ59" s="24">
        <f t="shared" si="503"/>
        <v>292.39961876645748</v>
      </c>
      <c r="DA59" s="24">
        <f t="shared" si="503"/>
        <v>304.58865746678174</v>
      </c>
      <c r="DB59" s="24">
        <f t="shared" si="503"/>
        <v>316.21419668750832</v>
      </c>
      <c r="DE59" s="123"/>
      <c r="DF59" s="23">
        <v>67.242310029174803</v>
      </c>
    </row>
    <row r="60" spans="1:110" s="46" customFormat="1" x14ac:dyDescent="0.2">
      <c r="A60" s="46" t="s">
        <v>482</v>
      </c>
      <c r="B60" s="46" t="e">
        <f t="shared" ref="B60:D60" si="504">+B59/B151</f>
        <v>#DIV/0!</v>
      </c>
      <c r="C60" s="46" t="e">
        <f t="shared" si="504"/>
        <v>#DIV/0!</v>
      </c>
      <c r="D60" s="46">
        <f t="shared" si="504"/>
        <v>0.24776172101586338</v>
      </c>
      <c r="E60" s="46">
        <f t="shared" ref="E60:AE60" si="505">+E59/E151</f>
        <v>0.17606617348915579</v>
      </c>
      <c r="F60" s="46">
        <f t="shared" si="505"/>
        <v>0.21850974324258982</v>
      </c>
      <c r="G60" s="46">
        <f t="shared" si="505"/>
        <v>0.36954127818657212</v>
      </c>
      <c r="H60" s="46">
        <f t="shared" si="505"/>
        <v>0.69397330330541673</v>
      </c>
      <c r="I60" s="46">
        <f t="shared" si="505"/>
        <v>0.76824210933970172</v>
      </c>
      <c r="J60" s="46">
        <f t="shared" si="505"/>
        <v>0.30531736519787317</v>
      </c>
      <c r="K60" s="46">
        <f t="shared" si="505"/>
        <v>0.13507378200364922</v>
      </c>
      <c r="L60" s="46">
        <f t="shared" si="505"/>
        <v>9.8379214863581629E-2</v>
      </c>
      <c r="M60" s="46">
        <f t="shared" si="505"/>
        <v>0.1658478356131505</v>
      </c>
      <c r="N60" s="46">
        <f t="shared" si="505"/>
        <v>8.9385435024754323E-2</v>
      </c>
      <c r="O60" s="46">
        <f t="shared" si="505"/>
        <v>0.12379908772211072</v>
      </c>
      <c r="P60" s="46">
        <f t="shared" si="505"/>
        <v>0.14504337659013897</v>
      </c>
      <c r="Q60" s="46">
        <f t="shared" si="505"/>
        <v>0.12948652145095249</v>
      </c>
      <c r="R60" s="46">
        <f t="shared" si="505"/>
        <v>0.1250090113594623</v>
      </c>
      <c r="S60" s="46">
        <f t="shared" si="505"/>
        <v>0.13297671096074584</v>
      </c>
      <c r="T60" s="46">
        <f t="shared" si="505"/>
        <v>0.25696217892094697</v>
      </c>
      <c r="U60" s="46">
        <f t="shared" si="505"/>
        <v>0.24744552392843294</v>
      </c>
      <c r="V60" s="46">
        <f t="shared" si="505"/>
        <v>0.13783763627488202</v>
      </c>
      <c r="W60" s="46">
        <f t="shared" si="505"/>
        <v>0.21057898610262019</v>
      </c>
      <c r="X60" s="46">
        <f t="shared" si="505"/>
        <v>0.34816755102866048</v>
      </c>
      <c r="Y60" s="46">
        <f t="shared" si="505"/>
        <v>0.3101403914067708</v>
      </c>
      <c r="Z60" s="46">
        <f t="shared" si="505"/>
        <v>0.42297424393777416</v>
      </c>
      <c r="AA60" s="46">
        <f t="shared" ref="AA60" si="506">+AA59/AA151</f>
        <v>0.86401359130742983</v>
      </c>
      <c r="AB60" s="110">
        <f t="shared" si="505"/>
        <v>0.15064599166170617</v>
      </c>
      <c r="AC60" s="110">
        <f t="shared" si="505"/>
        <v>0.80783269067721586</v>
      </c>
      <c r="AD60" s="110">
        <f t="shared" si="505"/>
        <v>1.1270033379203355</v>
      </c>
      <c r="AE60" s="110">
        <f t="shared" si="505"/>
        <v>1.4358025616722578</v>
      </c>
      <c r="AI60" s="46" t="e">
        <f t="shared" ref="AI60:BN60" si="507">(AI59-AI58)/AH191</f>
        <v>#DIV/0!</v>
      </c>
      <c r="AJ60" s="46" t="e">
        <f t="shared" si="507"/>
        <v>#DIV/0!</v>
      </c>
      <c r="AK60" s="46" t="e">
        <f t="shared" si="507"/>
        <v>#DIV/0!</v>
      </c>
      <c r="AL60" s="46" t="e">
        <f t="shared" si="507"/>
        <v>#DIV/0!</v>
      </c>
      <c r="AM60" s="46" t="e">
        <f t="shared" si="507"/>
        <v>#DIV/0!</v>
      </c>
      <c r="AN60" s="46" t="e">
        <f t="shared" si="507"/>
        <v>#DIV/0!</v>
      </c>
      <c r="AO60" s="46" t="e">
        <f t="shared" si="507"/>
        <v>#DIV/0!</v>
      </c>
      <c r="AP60" s="46" t="e">
        <f t="shared" si="507"/>
        <v>#DIV/0!</v>
      </c>
      <c r="AQ60" s="46" t="e">
        <f t="shared" si="507"/>
        <v>#DIV/0!</v>
      </c>
      <c r="AR60" s="46" t="e">
        <f t="shared" si="507"/>
        <v>#DIV/0!</v>
      </c>
      <c r="AS60" s="46" t="e">
        <f t="shared" si="507"/>
        <v>#DIV/0!</v>
      </c>
      <c r="AT60" s="46" t="e">
        <f t="shared" si="507"/>
        <v>#DIV/0!</v>
      </c>
      <c r="AU60" s="46" t="e">
        <f t="shared" si="507"/>
        <v>#DIV/0!</v>
      </c>
      <c r="AV60" s="46" t="e">
        <f t="shared" si="507"/>
        <v>#DIV/0!</v>
      </c>
      <c r="AW60" s="46" t="e">
        <f t="shared" si="507"/>
        <v>#DIV/0!</v>
      </c>
      <c r="AX60" s="46" t="e">
        <f t="shared" si="507"/>
        <v>#DIV/0!</v>
      </c>
      <c r="AY60" s="46" t="e">
        <f t="shared" si="507"/>
        <v>#DIV/0!</v>
      </c>
      <c r="AZ60" s="46" t="e">
        <f t="shared" si="507"/>
        <v>#DIV/0!</v>
      </c>
      <c r="BA60" s="46" t="e">
        <f t="shared" si="507"/>
        <v>#DIV/0!</v>
      </c>
      <c r="BB60" s="46" t="e">
        <f t="shared" si="507"/>
        <v>#DIV/0!</v>
      </c>
      <c r="BC60" s="46" t="e">
        <f t="shared" si="507"/>
        <v>#DIV/0!</v>
      </c>
      <c r="BD60" s="46" t="e">
        <f t="shared" si="507"/>
        <v>#DIV/0!</v>
      </c>
      <c r="BE60" s="46" t="e">
        <f t="shared" si="507"/>
        <v>#DIV/0!</v>
      </c>
      <c r="BF60" s="46" t="e">
        <f t="shared" si="507"/>
        <v>#DIV/0!</v>
      </c>
      <c r="BG60" s="46" t="e">
        <f t="shared" si="507"/>
        <v>#DIV/0!</v>
      </c>
      <c r="BH60" s="46" t="e">
        <f t="shared" si="507"/>
        <v>#DIV/0!</v>
      </c>
      <c r="BI60" s="46" t="e">
        <f t="shared" si="507"/>
        <v>#DIV/0!</v>
      </c>
      <c r="BJ60" s="46" t="e">
        <f t="shared" si="507"/>
        <v>#DIV/0!</v>
      </c>
      <c r="BK60" s="46" t="e">
        <f t="shared" si="507"/>
        <v>#DIV/0!</v>
      </c>
      <c r="BL60" s="46" t="e">
        <f t="shared" si="507"/>
        <v>#DIV/0!</v>
      </c>
      <c r="BM60" s="46" t="e">
        <f t="shared" si="507"/>
        <v>#DIV/0!</v>
      </c>
      <c r="BN60" s="46" t="e">
        <f t="shared" si="507"/>
        <v>#DIV/0!</v>
      </c>
      <c r="BO60" s="46" t="e">
        <f t="shared" ref="BO60:CL60" si="508">(BO59-BO58)/BN191</f>
        <v>#DIV/0!</v>
      </c>
      <c r="BP60" s="46" t="e">
        <f t="shared" si="508"/>
        <v>#DIV/0!</v>
      </c>
      <c r="BQ60" s="46" t="e">
        <f t="shared" si="508"/>
        <v>#DIV/0!</v>
      </c>
      <c r="BR60" s="46" t="e">
        <f t="shared" si="508"/>
        <v>#DIV/0!</v>
      </c>
      <c r="BS60" s="46">
        <f t="shared" si="508"/>
        <v>4.9583396632115279E-2</v>
      </c>
      <c r="BT60" s="46">
        <f t="shared" si="508"/>
        <v>7.7149338347200336E-2</v>
      </c>
      <c r="BU60" s="46" t="e">
        <f t="shared" si="508"/>
        <v>#DIV/0!</v>
      </c>
      <c r="BV60" s="46">
        <f t="shared" si="508"/>
        <v>-0.20793718367153774</v>
      </c>
      <c r="BW60" s="46">
        <f t="shared" si="508"/>
        <v>-4.9218326931155076E-2</v>
      </c>
      <c r="BX60" s="46">
        <f t="shared" si="508"/>
        <v>-4.58113857108087E-2</v>
      </c>
      <c r="BY60" s="46">
        <f t="shared" si="508"/>
        <v>-0.11699444608408681</v>
      </c>
      <c r="BZ60" s="46">
        <f t="shared" si="508"/>
        <v>0.10082462197507129</v>
      </c>
      <c r="CA60" s="46">
        <f t="shared" si="508"/>
        <v>-6.7534228881425976E-2</v>
      </c>
      <c r="CB60" s="46">
        <f t="shared" si="508"/>
        <v>-7.870391354571625E-2</v>
      </c>
      <c r="CC60" s="46">
        <f t="shared" si="508"/>
        <v>0.17806754429817259</v>
      </c>
      <c r="CD60" s="46">
        <f t="shared" si="508"/>
        <v>7.5439658215048583E-2</v>
      </c>
      <c r="CE60" s="46">
        <f t="shared" si="508"/>
        <v>-0.28306146782008668</v>
      </c>
      <c r="CF60" s="46">
        <f t="shared" si="508"/>
        <v>-0.2762614452262262</v>
      </c>
      <c r="CG60" s="46">
        <f t="shared" si="508"/>
        <v>-0.10095565354609407</v>
      </c>
      <c r="CH60" s="46">
        <f t="shared" si="508"/>
        <v>-0.19647207110886816</v>
      </c>
      <c r="CI60" s="46">
        <f t="shared" si="508"/>
        <v>-0.10810933940774489</v>
      </c>
      <c r="CJ60" s="46">
        <f t="shared" si="508"/>
        <v>-2.4258032880193783</v>
      </c>
      <c r="CK60" s="46">
        <f t="shared" si="508"/>
        <v>-5.5040301475976119E-2</v>
      </c>
      <c r="CL60" s="46">
        <f t="shared" si="508"/>
        <v>-1.2900139077390771E-2</v>
      </c>
      <c r="CM60" s="47">
        <f t="shared" ref="CM60" si="509">+CL60</f>
        <v>-1.2900139077390771E-2</v>
      </c>
      <c r="CN60" s="47">
        <f t="shared" ref="CN60" si="510">+CM60</f>
        <v>-1.2900139077390771E-2</v>
      </c>
      <c r="CO60" s="47">
        <f t="shared" ref="CO60" si="511">+CN60</f>
        <v>-1.2900139077390771E-2</v>
      </c>
      <c r="CP60" s="47">
        <f t="shared" ref="CP60" si="512">+CO60</f>
        <v>-1.2900139077390771E-2</v>
      </c>
      <c r="CQ60" s="47">
        <v>-0.04</v>
      </c>
      <c r="CR60" s="47">
        <f t="shared" ref="CR60" si="513">+CQ60</f>
        <v>-0.04</v>
      </c>
      <c r="CS60" s="47">
        <f t="shared" ref="CS60" si="514">+CR60</f>
        <v>-0.04</v>
      </c>
      <c r="CT60" s="47">
        <f t="shared" ref="CT60" si="515">+CS60</f>
        <v>-0.04</v>
      </c>
      <c r="CU60" s="47">
        <f t="shared" ref="CU60" si="516">+CT60</f>
        <v>-0.04</v>
      </c>
      <c r="CV60" s="47">
        <f t="shared" ref="CV60" si="517">+CU60</f>
        <v>-0.04</v>
      </c>
      <c r="CW60" s="47">
        <f t="shared" ref="CW60" si="518">+CV60</f>
        <v>-0.04</v>
      </c>
      <c r="CX60" s="47">
        <f t="shared" ref="CX60" si="519">+CW60</f>
        <v>-0.04</v>
      </c>
      <c r="CY60" s="47">
        <f t="shared" ref="CY60" si="520">+CX60</f>
        <v>-0.04</v>
      </c>
      <c r="CZ60" s="47">
        <f t="shared" ref="CZ60" si="521">+CY60</f>
        <v>-0.04</v>
      </c>
      <c r="DA60" s="47">
        <f t="shared" ref="DA60" si="522">+CZ60</f>
        <v>-0.04</v>
      </c>
      <c r="DB60" s="47">
        <f t="shared" ref="DB60" si="523">+DA60</f>
        <v>-0.04</v>
      </c>
      <c r="DE60" s="130"/>
      <c r="DF60" s="46">
        <v>-5.5040301475976119E-2</v>
      </c>
    </row>
    <row r="61" spans="1:110" s="26" customFormat="1" x14ac:dyDescent="0.2">
      <c r="A61" s="26" t="s">
        <v>20</v>
      </c>
      <c r="B61" s="26">
        <f>B57+B58-B59</f>
        <v>0</v>
      </c>
      <c r="C61" s="26">
        <f t="shared" ref="C61:T61" si="524">C57+C58-C59</f>
        <v>0</v>
      </c>
      <c r="D61" s="26">
        <f>D57+D58-D59</f>
        <v>22.413999999999938</v>
      </c>
      <c r="E61" s="26">
        <f t="shared" si="524"/>
        <v>28.687000000000111</v>
      </c>
      <c r="F61" s="26">
        <f t="shared" si="524"/>
        <v>0.28899999999983095</v>
      </c>
      <c r="G61" s="26">
        <f t="shared" si="524"/>
        <v>3.3709999999997393</v>
      </c>
      <c r="H61" s="26">
        <f t="shared" si="524"/>
        <v>7.413999999999632</v>
      </c>
      <c r="I61" s="26">
        <f t="shared" si="524"/>
        <v>56.582999999999913</v>
      </c>
      <c r="J61" s="26">
        <f t="shared" si="524"/>
        <v>83.544000000000523</v>
      </c>
      <c r="K61" s="26">
        <f t="shared" si="524"/>
        <v>24.35400000000034</v>
      </c>
      <c r="L61" s="26">
        <f t="shared" si="524"/>
        <v>9.0260000000000673</v>
      </c>
      <c r="M61" s="26">
        <f t="shared" si="524"/>
        <v>13.542999999999267</v>
      </c>
      <c r="N61" s="26">
        <f t="shared" si="524"/>
        <v>122.94299999999919</v>
      </c>
      <c r="O61" s="26">
        <f t="shared" si="524"/>
        <v>21.161999999998557</v>
      </c>
      <c r="P61" s="26">
        <f t="shared" si="524"/>
        <v>116.82899999999881</v>
      </c>
      <c r="Q61" s="26">
        <f t="shared" si="524"/>
        <v>178.19100000000179</v>
      </c>
      <c r="R61" s="26">
        <f t="shared" si="524"/>
        <v>341.08700000000192</v>
      </c>
      <c r="S61" s="26">
        <f t="shared" si="524"/>
        <v>573.35500000000161</v>
      </c>
      <c r="T61" s="26">
        <f t="shared" si="524"/>
        <v>570.7619999999996</v>
      </c>
      <c r="U61" s="26">
        <f t="shared" ref="U61:Z61" si="525">U57+U58-U59</f>
        <v>609.01300000000151</v>
      </c>
      <c r="V61" s="26">
        <f t="shared" si="525"/>
        <v>755.20999999999606</v>
      </c>
      <c r="W61" s="26">
        <f t="shared" si="525"/>
        <v>1058.7600000000004</v>
      </c>
      <c r="X61" s="26">
        <f t="shared" si="525"/>
        <v>788.92000000000269</v>
      </c>
      <c r="Y61" s="26">
        <f t="shared" si="525"/>
        <v>315.9100000000077</v>
      </c>
      <c r="Z61" s="26">
        <f t="shared" si="525"/>
        <v>1600.6200000000017</v>
      </c>
      <c r="AA61" s="26">
        <f t="shared" ref="AA61" si="526">AA57+AA58-AA59</f>
        <v>1392.8699999999872</v>
      </c>
      <c r="AB61" s="27">
        <f t="shared" ref="AB61:AD61" si="527">AB57+AB58-AB59</f>
        <v>1754.2738440268229</v>
      </c>
      <c r="AC61" s="27">
        <f t="shared" si="527"/>
        <v>1737.1503939701497</v>
      </c>
      <c r="AD61" s="27">
        <f t="shared" si="527"/>
        <v>1743.7318474185772</v>
      </c>
      <c r="AE61" s="27">
        <f t="shared" ref="AE61" si="528">AE57+AE58-AE59</f>
        <v>1767.9131672020756</v>
      </c>
      <c r="AI61" s="26">
        <f>AI57+AI58-AI59</f>
        <v>0</v>
      </c>
      <c r="AJ61" s="26">
        <f t="shared" ref="AJ61" si="529">AJ57+AJ58-AJ59</f>
        <v>0</v>
      </c>
      <c r="AK61" s="26">
        <f t="shared" ref="AK61:AM61" si="530">AK57+AK58-AK59</f>
        <v>0</v>
      </c>
      <c r="AL61" s="26">
        <f t="shared" si="530"/>
        <v>0</v>
      </c>
      <c r="AM61" s="26">
        <f t="shared" si="530"/>
        <v>0</v>
      </c>
      <c r="AN61" s="26">
        <f t="shared" ref="AN61:AO61" si="531">AN57+AN58-AN59</f>
        <v>0</v>
      </c>
      <c r="AO61" s="26">
        <f t="shared" si="531"/>
        <v>0</v>
      </c>
      <c r="AP61" s="26">
        <f t="shared" ref="AP61:CD61" si="532">AP57+AP58-AP59</f>
        <v>0</v>
      </c>
      <c r="AQ61" s="26">
        <f t="shared" si="532"/>
        <v>0</v>
      </c>
      <c r="AR61" s="26">
        <f t="shared" si="532"/>
        <v>0</v>
      </c>
      <c r="AS61" s="26">
        <f t="shared" si="532"/>
        <v>0</v>
      </c>
      <c r="AT61" s="26">
        <f t="shared" si="532"/>
        <v>0</v>
      </c>
      <c r="AU61" s="26">
        <f t="shared" si="532"/>
        <v>0</v>
      </c>
      <c r="AV61" s="26">
        <f t="shared" si="532"/>
        <v>0</v>
      </c>
      <c r="AW61" s="26">
        <f t="shared" si="532"/>
        <v>0</v>
      </c>
      <c r="AX61" s="26">
        <f t="shared" si="532"/>
        <v>0</v>
      </c>
      <c r="AY61" s="26">
        <f t="shared" si="532"/>
        <v>0</v>
      </c>
      <c r="AZ61" s="26">
        <f t="shared" si="532"/>
        <v>0</v>
      </c>
      <c r="BA61" s="26">
        <f t="shared" si="532"/>
        <v>0</v>
      </c>
      <c r="BB61" s="26">
        <f t="shared" si="532"/>
        <v>0</v>
      </c>
      <c r="BC61" s="26">
        <f t="shared" si="532"/>
        <v>0</v>
      </c>
      <c r="BD61" s="26">
        <f t="shared" si="532"/>
        <v>0</v>
      </c>
      <c r="BE61" s="26">
        <f t="shared" si="532"/>
        <v>0</v>
      </c>
      <c r="BF61" s="26">
        <f t="shared" si="532"/>
        <v>0</v>
      </c>
      <c r="BG61" s="26">
        <f t="shared" si="532"/>
        <v>0</v>
      </c>
      <c r="BH61" s="26">
        <f t="shared" si="532"/>
        <v>0</v>
      </c>
      <c r="BI61" s="26">
        <f t="shared" si="532"/>
        <v>0</v>
      </c>
      <c r="BJ61" s="26">
        <f t="shared" si="532"/>
        <v>0</v>
      </c>
      <c r="BK61" s="26">
        <f t="shared" si="532"/>
        <v>0</v>
      </c>
      <c r="BL61" s="26">
        <f t="shared" si="532"/>
        <v>0</v>
      </c>
      <c r="BM61" s="26">
        <f t="shared" si="532"/>
        <v>0</v>
      </c>
      <c r="BN61" s="26">
        <f t="shared" si="532"/>
        <v>0</v>
      </c>
      <c r="BO61" s="26">
        <f t="shared" si="532"/>
        <v>0</v>
      </c>
      <c r="BP61" s="26">
        <f t="shared" si="532"/>
        <v>0</v>
      </c>
      <c r="BQ61" s="26">
        <f t="shared" si="532"/>
        <v>171.33000000000078</v>
      </c>
      <c r="BR61" s="26">
        <f t="shared" si="532"/>
        <v>202.20000000000147</v>
      </c>
      <c r="BS61" s="26">
        <f t="shared" si="532"/>
        <v>224.70999999999987</v>
      </c>
      <c r="BT61" s="26">
        <f t="shared" si="532"/>
        <v>229.4700000000002</v>
      </c>
      <c r="BU61" s="26">
        <f t="shared" si="532"/>
        <v>306.29000000000099</v>
      </c>
      <c r="BV61" s="26">
        <f t="shared" si="532"/>
        <v>298.27999999999997</v>
      </c>
      <c r="BW61" s="26">
        <f t="shared" si="532"/>
        <v>260.26000000000062</v>
      </c>
      <c r="BX61" s="26">
        <f t="shared" si="532"/>
        <v>59.579999999999188</v>
      </c>
      <c r="BY61" s="26">
        <f t="shared" si="532"/>
        <v>339.84000000000003</v>
      </c>
      <c r="BZ61" s="26">
        <f t="shared" si="532"/>
        <v>129.23999999999947</v>
      </c>
      <c r="CA61" s="26">
        <f t="shared" si="532"/>
        <v>-67.680000000000589</v>
      </c>
      <c r="CB61" s="26">
        <f t="shared" si="532"/>
        <v>-108.25000000000173</v>
      </c>
      <c r="CC61" s="26">
        <f t="shared" si="532"/>
        <v>280.95000000000084</v>
      </c>
      <c r="CD61" s="26">
        <f t="shared" si="532"/>
        <v>210.89</v>
      </c>
      <c r="CE61" s="26">
        <f t="shared" ref="CE61:CF61" si="533">CE57+CE58-CE59</f>
        <v>418.17000000000127</v>
      </c>
      <c r="CF61" s="26">
        <f t="shared" si="533"/>
        <v>401.87000000000046</v>
      </c>
      <c r="CG61" s="26">
        <f t="shared" ref="CG61:CH61" si="534">CG57+CG58-CG59</f>
        <v>546.23999999999944</v>
      </c>
      <c r="CH61" s="26">
        <f t="shared" si="534"/>
        <v>234.34000000000091</v>
      </c>
      <c r="CI61" s="26">
        <f t="shared" ref="CI61:CJ61" si="535">CI57+CI58-CI59</f>
        <v>310.60000000000173</v>
      </c>
      <c r="CJ61" s="26">
        <f t="shared" si="535"/>
        <v>312.91999999999916</v>
      </c>
      <c r="CK61" s="26">
        <f t="shared" ref="CK61:CL61" si="536">CK57+CK58-CK59</f>
        <v>389.25999999999794</v>
      </c>
      <c r="CL61" s="26">
        <f t="shared" si="536"/>
        <v>380.09000000000026</v>
      </c>
      <c r="CM61" s="27">
        <f t="shared" ref="CM61:DB61" si="537">CM57+CM58-CM59</f>
        <v>375.24595997707138</v>
      </c>
      <c r="CN61" s="27">
        <f t="shared" si="537"/>
        <v>433.95367432999382</v>
      </c>
      <c r="CO61" s="27">
        <f t="shared" si="537"/>
        <v>435.55681650311237</v>
      </c>
      <c r="CP61" s="27">
        <f t="shared" si="537"/>
        <v>509.51739321664417</v>
      </c>
      <c r="CQ61" s="27">
        <f t="shared" si="537"/>
        <v>373.64627782444256</v>
      </c>
      <c r="CR61" s="27">
        <f t="shared" si="537"/>
        <v>387.08537371578132</v>
      </c>
      <c r="CS61" s="27">
        <f t="shared" si="537"/>
        <v>427.06754850062441</v>
      </c>
      <c r="CT61" s="27">
        <f t="shared" si="537"/>
        <v>549.35119392929755</v>
      </c>
      <c r="CU61" s="27">
        <f t="shared" si="537"/>
        <v>379.15214778224345</v>
      </c>
      <c r="CV61" s="27">
        <f t="shared" si="537"/>
        <v>389.31091401615652</v>
      </c>
      <c r="CW61" s="27">
        <f t="shared" si="537"/>
        <v>430.40376022779481</v>
      </c>
      <c r="CX61" s="27">
        <f t="shared" si="537"/>
        <v>544.86502539237699</v>
      </c>
      <c r="CY61" s="27">
        <f t="shared" si="537"/>
        <v>382.79904975970157</v>
      </c>
      <c r="CZ61" s="27">
        <f t="shared" si="537"/>
        <v>390.95893206571384</v>
      </c>
      <c r="DA61" s="27">
        <f t="shared" si="537"/>
        <v>435.03434537490017</v>
      </c>
      <c r="DB61" s="27">
        <f t="shared" si="537"/>
        <v>559.12084000177651</v>
      </c>
      <c r="DE61" s="121"/>
      <c r="DF61" s="26">
        <v>444.46784107101513</v>
      </c>
    </row>
    <row r="62" spans="1:110" s="23" customFormat="1" x14ac:dyDescent="0.2">
      <c r="A62" s="23" t="s">
        <v>21</v>
      </c>
      <c r="B62" s="23">
        <f>'Annual Raw'!C30</f>
        <v>0</v>
      </c>
      <c r="C62" s="23">
        <f>'Annual Raw'!D30</f>
        <v>0</v>
      </c>
      <c r="D62" s="23">
        <f>'Annual Raw'!E30</f>
        <v>8.1259999999999994</v>
      </c>
      <c r="E62" s="23">
        <f>'Annual Raw'!F30</f>
        <v>11.01</v>
      </c>
      <c r="F62" s="23">
        <f>'Annual Raw'!G30</f>
        <v>-0.93899999999999995</v>
      </c>
      <c r="G62" s="23">
        <f>'Annual Raw'!H30</f>
        <v>1.948</v>
      </c>
      <c r="H62" s="23">
        <f>'Annual Raw'!I30</f>
        <v>3.47</v>
      </c>
      <c r="I62" s="23">
        <f>'Annual Raw'!J30</f>
        <v>25.498000000000001</v>
      </c>
      <c r="J62" s="23">
        <f>'Annual Raw'!K30</f>
        <v>22.888000000000002</v>
      </c>
      <c r="K62" s="23">
        <f>'Annual Raw'!L30</f>
        <v>7.6879999999999997</v>
      </c>
      <c r="L62" s="23">
        <f>'Annual Raw'!M30</f>
        <v>1.998</v>
      </c>
      <c r="M62" s="23">
        <f>'Annual Raw'!N30</f>
        <v>5.141</v>
      </c>
      <c r="N62" s="23">
        <f>'Annual Raw'!O30</f>
        <v>47.521999999999998</v>
      </c>
      <c r="O62" s="23">
        <f>'Annual Raw'!P30</f>
        <v>8.3170000000000002</v>
      </c>
      <c r="P62" s="23">
        <f>'Annual Raw'!Q30</f>
        <v>31.834</v>
      </c>
      <c r="Q62" s="23">
        <f>'Annual Raw'!R30</f>
        <v>29.664999999999999</v>
      </c>
      <c r="R62" s="23">
        <f>'Annual Raw'!S30</f>
        <v>119.027</v>
      </c>
      <c r="S62" s="23">
        <f>'Annual Raw'!T30</f>
        <v>191.66900000000001</v>
      </c>
      <c r="T62" s="23">
        <f>'Annual Raw'!U30</f>
        <v>205.215</v>
      </c>
      <c r="U62" s="23">
        <f>'Annual Raw'!V30</f>
        <v>205.977</v>
      </c>
      <c r="V62" s="23">
        <f>'Annual Raw'!W30</f>
        <v>103.26</v>
      </c>
      <c r="W62" s="23">
        <f>'Annual Raw'!X30</f>
        <v>284.41000000000003</v>
      </c>
      <c r="X62" s="23">
        <f>'Annual Raw'!Y30</f>
        <v>235.35</v>
      </c>
      <c r="Y62" s="23">
        <f>'Annual Raw'!Z30</f>
        <v>91.75</v>
      </c>
      <c r="Z62" s="23">
        <f>'Annual Raw'!AA30</f>
        <v>437.39</v>
      </c>
      <c r="AA62" s="23">
        <f>'Annual Raw'!AB30</f>
        <v>376.6</v>
      </c>
      <c r="AB62" s="24">
        <f>+SUM(CM62:CP62)</f>
        <v>480.66995975564868</v>
      </c>
      <c r="AC62" s="24">
        <f>+SUM(CQ62:CT62)</f>
        <v>456.02340518565705</v>
      </c>
      <c r="AD62" s="24">
        <f>+SUM(CU62:CX62)</f>
        <v>456.87370552650248</v>
      </c>
      <c r="AE62" s="24">
        <f>+SUM(CY62:DB62)</f>
        <v>462.97120847421741</v>
      </c>
      <c r="AI62" s="23">
        <f>'QTR Raw'!C29</f>
        <v>0</v>
      </c>
      <c r="AJ62" s="23">
        <f>'QTR Raw'!D29</f>
        <v>0</v>
      </c>
      <c r="AK62" s="23">
        <f>'QTR Raw'!E29</f>
        <v>0</v>
      </c>
      <c r="AL62" s="23">
        <f>'QTR Raw'!F29</f>
        <v>0</v>
      </c>
      <c r="AM62" s="23">
        <f>'QTR Raw'!G29</f>
        <v>0</v>
      </c>
      <c r="AN62" s="23">
        <f>'QTR Raw'!H29</f>
        <v>0</v>
      </c>
      <c r="AO62" s="23">
        <f>'QTR Raw'!I29</f>
        <v>0</v>
      </c>
      <c r="AP62" s="23">
        <f>'QTR Raw'!J29</f>
        <v>0</v>
      </c>
      <c r="AQ62" s="23">
        <f>'QTR Raw'!K29</f>
        <v>0</v>
      </c>
      <c r="AR62" s="23">
        <f>'QTR Raw'!L29</f>
        <v>0</v>
      </c>
      <c r="AS62" s="23">
        <f>'QTR Raw'!M29</f>
        <v>0</v>
      </c>
      <c r="AT62" s="23">
        <f>'QTR Raw'!N29</f>
        <v>0</v>
      </c>
      <c r="AU62" s="23">
        <f>'QTR Raw'!O29</f>
        <v>0</v>
      </c>
      <c r="AV62" s="23">
        <f>'QTR Raw'!P29</f>
        <v>0</v>
      </c>
      <c r="AW62" s="23">
        <f>'QTR Raw'!Q29</f>
        <v>0</v>
      </c>
      <c r="AX62" s="23">
        <f>'QTR Raw'!R29</f>
        <v>0</v>
      </c>
      <c r="AY62" s="23">
        <f>'QTR Raw'!S29</f>
        <v>0</v>
      </c>
      <c r="AZ62" s="23">
        <f>'QTR Raw'!T29</f>
        <v>0</v>
      </c>
      <c r="BA62" s="23">
        <f>'QTR Raw'!U29</f>
        <v>0</v>
      </c>
      <c r="BB62" s="23">
        <f>'QTR Raw'!V29</f>
        <v>0</v>
      </c>
      <c r="BC62" s="23">
        <f>'QTR Raw'!W29</f>
        <v>0</v>
      </c>
      <c r="BD62" s="23">
        <f>'QTR Raw'!X29</f>
        <v>0</v>
      </c>
      <c r="BE62" s="23">
        <f>'QTR Raw'!Y29</f>
        <v>0</v>
      </c>
      <c r="BF62" s="23">
        <f>'QTR Raw'!Z29</f>
        <v>0</v>
      </c>
      <c r="BG62" s="23">
        <f>'QTR Raw'!AA29</f>
        <v>0</v>
      </c>
      <c r="BH62" s="23">
        <f>'QTR Raw'!AB29</f>
        <v>0</v>
      </c>
      <c r="BI62" s="23">
        <f>'QTR Raw'!AC29</f>
        <v>0</v>
      </c>
      <c r="BJ62" s="23">
        <f>'QTR Raw'!AD29</f>
        <v>0</v>
      </c>
      <c r="BK62" s="23">
        <f>'QTR Raw'!AE29</f>
        <v>0</v>
      </c>
      <c r="BL62" s="23">
        <f>'QTR Raw'!AF29</f>
        <v>0</v>
      </c>
      <c r="BM62" s="23">
        <f>'QTR Raw'!AG29</f>
        <v>0</v>
      </c>
      <c r="BN62" s="23">
        <f>'QTR Raw'!AH29</f>
        <v>0</v>
      </c>
      <c r="BO62" s="23">
        <f>'QTR Raw'!AI29</f>
        <v>0</v>
      </c>
      <c r="BP62" s="23">
        <f>'QTR Raw'!AJ29</f>
        <v>0</v>
      </c>
      <c r="BQ62" s="23">
        <f>'QTR Raw'!AK29</f>
        <v>61.31</v>
      </c>
      <c r="BR62" s="23">
        <f>'QTR Raw'!AL29</f>
        <v>-93.25</v>
      </c>
      <c r="BS62" s="23">
        <f>'QTR Raw'!AM29</f>
        <v>58.36</v>
      </c>
      <c r="BT62" s="23">
        <f>'QTR Raw'!AN29</f>
        <v>61.23</v>
      </c>
      <c r="BU62" s="23">
        <f>'QTR Raw'!AO29</f>
        <v>85.77</v>
      </c>
      <c r="BV62" s="23">
        <f>'QTR Raw'!AP29</f>
        <v>79.05</v>
      </c>
      <c r="BW62" s="23">
        <f>'QTR Raw'!AQ29</f>
        <v>62.43</v>
      </c>
      <c r="BX62" s="23">
        <f>'QTR Raw'!AR29</f>
        <v>27.71</v>
      </c>
      <c r="BY62" s="23">
        <f>'QTR Raw'!AS29</f>
        <v>108.38</v>
      </c>
      <c r="BZ62" s="23">
        <f>'QTR Raw'!AT29</f>
        <v>36.83</v>
      </c>
      <c r="CA62" s="23">
        <f>'QTR Raw'!AU29</f>
        <v>-7.97</v>
      </c>
      <c r="CB62" s="23">
        <f>'QTR Raw'!AV29</f>
        <v>-31.53</v>
      </c>
      <c r="CC62" s="23">
        <f>'QTR Raw'!AW29</f>
        <v>74.92</v>
      </c>
      <c r="CD62" s="23">
        <f>'QTR Raw'!AX29</f>
        <v>56.33</v>
      </c>
      <c r="CE62" s="23">
        <f>'QTR Raw'!AY29</f>
        <v>106.54</v>
      </c>
      <c r="CF62" s="23">
        <f>'QTR Raw'!AZ29</f>
        <v>119.95</v>
      </c>
      <c r="CG62" s="23">
        <f>'QTR Raw'!BA29</f>
        <v>153.08000000000001</v>
      </c>
      <c r="CH62" s="23">
        <f>'QTR Raw'!BB29</f>
        <v>57.82</v>
      </c>
      <c r="CI62" s="23">
        <f>'QTR Raw'!BC29</f>
        <v>78.83</v>
      </c>
      <c r="CJ62" s="23">
        <f>'QTR Raw'!BD29</f>
        <v>85.37</v>
      </c>
      <c r="CK62" s="23">
        <f>'QTR Raw'!BE29</f>
        <v>101.6</v>
      </c>
      <c r="CL62" s="23">
        <f>'QTR Raw'!BF29</f>
        <v>110.8</v>
      </c>
      <c r="CM62" s="24">
        <f t="shared" ref="CM62:DB62" si="538">+CM61*CM63</f>
        <v>101.23520635826387</v>
      </c>
      <c r="CN62" s="24">
        <f t="shared" si="538"/>
        <v>118.80771834552719</v>
      </c>
      <c r="CO62" s="24">
        <f t="shared" si="538"/>
        <v>119.35142039742833</v>
      </c>
      <c r="CP62" s="24">
        <f t="shared" si="538"/>
        <v>141.27561465442926</v>
      </c>
      <c r="CQ62" s="24">
        <f t="shared" si="538"/>
        <v>99.204145205122231</v>
      </c>
      <c r="CR62" s="24">
        <f t="shared" si="538"/>
        <v>102.37043520542565</v>
      </c>
      <c r="CS62" s="24">
        <f t="shared" si="538"/>
        <v>111.9796154206725</v>
      </c>
      <c r="CT62" s="24">
        <f t="shared" si="538"/>
        <v>142.46920935443671</v>
      </c>
      <c r="CU62" s="24">
        <f t="shared" si="538"/>
        <v>99.670976293705593</v>
      </c>
      <c r="CV62" s="24">
        <f t="shared" si="538"/>
        <v>102.0860852335414</v>
      </c>
      <c r="CW62" s="24">
        <f t="shared" si="538"/>
        <v>112.62028783530764</v>
      </c>
      <c r="CX62" s="24">
        <f t="shared" si="538"/>
        <v>142.49635616394781</v>
      </c>
      <c r="CY62" s="24">
        <f t="shared" si="538"/>
        <v>100.32100926148136</v>
      </c>
      <c r="CZ62" s="24">
        <f t="shared" si="538"/>
        <v>102.38067826771653</v>
      </c>
      <c r="DA62" s="24">
        <f t="shared" si="538"/>
        <v>113.88447091441409</v>
      </c>
      <c r="DB62" s="24">
        <f t="shared" si="538"/>
        <v>146.38505003060538</v>
      </c>
      <c r="DE62" s="123"/>
      <c r="DF62" s="23">
        <v>114.93494025749118</v>
      </c>
    </row>
    <row r="63" spans="1:110" s="90" customFormat="1" x14ac:dyDescent="0.2">
      <c r="A63" s="90" t="s">
        <v>106</v>
      </c>
      <c r="B63" s="90" t="e">
        <f t="shared" ref="B63:E63" si="539">B62/B61</f>
        <v>#DIV/0!</v>
      </c>
      <c r="C63" s="90" t="e">
        <f t="shared" si="539"/>
        <v>#DIV/0!</v>
      </c>
      <c r="D63" s="90">
        <f t="shared" si="539"/>
        <v>0.36254126884982701</v>
      </c>
      <c r="E63" s="90">
        <f t="shared" si="539"/>
        <v>0.3837975389549258</v>
      </c>
      <c r="F63" s="90">
        <f t="shared" ref="F63:T63" si="540">F62/F61</f>
        <v>-3.2491349480987863</v>
      </c>
      <c r="G63" s="90">
        <f t="shared" si="540"/>
        <v>0.57787006822905684</v>
      </c>
      <c r="H63" s="90">
        <f t="shared" si="540"/>
        <v>0.46803345022931919</v>
      </c>
      <c r="I63" s="90">
        <f t="shared" si="540"/>
        <v>0.45063004789424455</v>
      </c>
      <c r="J63" s="90">
        <f t="shared" si="540"/>
        <v>0.27396342047304245</v>
      </c>
      <c r="K63" s="90">
        <f t="shared" si="540"/>
        <v>0.31567709616489664</v>
      </c>
      <c r="L63" s="90">
        <f t="shared" si="540"/>
        <v>0.22136051407046145</v>
      </c>
      <c r="M63" s="90">
        <f t="shared" si="540"/>
        <v>0.37960570036183106</v>
      </c>
      <c r="N63" s="90">
        <f t="shared" si="540"/>
        <v>0.38653685041035529</v>
      </c>
      <c r="O63" s="90">
        <f t="shared" si="540"/>
        <v>0.393015783007304</v>
      </c>
      <c r="P63" s="90">
        <f t="shared" si="540"/>
        <v>0.27248371551584216</v>
      </c>
      <c r="Q63" s="90">
        <f t="shared" si="540"/>
        <v>0.16647866615036505</v>
      </c>
      <c r="R63" s="90">
        <f t="shared" si="540"/>
        <v>0.34896375411551694</v>
      </c>
      <c r="S63" s="90">
        <f t="shared" si="540"/>
        <v>0.33429376215433626</v>
      </c>
      <c r="T63" s="90">
        <f t="shared" si="540"/>
        <v>0.35954566001240473</v>
      </c>
      <c r="U63" s="90">
        <f t="shared" ref="U63:Z63" si="541">U62/U61</f>
        <v>0.33821445519225285</v>
      </c>
      <c r="V63" s="90">
        <f t="shared" si="541"/>
        <v>0.13673018100925644</v>
      </c>
      <c r="W63" s="90">
        <f t="shared" si="541"/>
        <v>0.26862556197816306</v>
      </c>
      <c r="X63" s="90">
        <f t="shared" si="541"/>
        <v>0.29831922121381027</v>
      </c>
      <c r="Y63" s="90">
        <f t="shared" si="541"/>
        <v>0.29043081890411121</v>
      </c>
      <c r="Z63" s="90">
        <f t="shared" si="541"/>
        <v>0.27326286064150113</v>
      </c>
      <c r="AA63" s="90">
        <f t="shared" ref="AA63" si="542">AA62/AA61</f>
        <v>0.27037699139187682</v>
      </c>
      <c r="AB63" s="91">
        <f t="shared" ref="AA63:AD63" si="543">AB62/AB61</f>
        <v>0.27399938806150226</v>
      </c>
      <c r="AC63" s="91">
        <f t="shared" si="543"/>
        <v>0.26251233443492694</v>
      </c>
      <c r="AD63" s="91">
        <f t="shared" si="543"/>
        <v>0.26200915364530325</v>
      </c>
      <c r="AE63" s="91">
        <f t="shared" ref="AE63" si="544">AE62/AE61</f>
        <v>0.26187440484247437</v>
      </c>
      <c r="AI63" s="90" t="e">
        <f t="shared" ref="AI63" si="545">AI62/AI61</f>
        <v>#DIV/0!</v>
      </c>
      <c r="AJ63" s="90" t="e">
        <f t="shared" ref="AJ63" si="546">AJ62/AJ61</f>
        <v>#DIV/0!</v>
      </c>
      <c r="AK63" s="90" t="e">
        <f t="shared" ref="AK63:AM63" si="547">AK62/AK61</f>
        <v>#DIV/0!</v>
      </c>
      <c r="AL63" s="90" t="e">
        <f t="shared" si="547"/>
        <v>#DIV/0!</v>
      </c>
      <c r="AM63" s="90" t="e">
        <f t="shared" si="547"/>
        <v>#DIV/0!</v>
      </c>
      <c r="AN63" s="90" t="e">
        <f t="shared" ref="AN63:AO63" si="548">AN62/AN61</f>
        <v>#DIV/0!</v>
      </c>
      <c r="AO63" s="90" t="e">
        <f t="shared" si="548"/>
        <v>#DIV/0!</v>
      </c>
      <c r="AP63" s="90" t="e">
        <f t="shared" ref="AP63:CD63" si="549">AP62/AP61</f>
        <v>#DIV/0!</v>
      </c>
      <c r="AQ63" s="90" t="e">
        <f t="shared" si="549"/>
        <v>#DIV/0!</v>
      </c>
      <c r="AR63" s="90" t="e">
        <f t="shared" si="549"/>
        <v>#DIV/0!</v>
      </c>
      <c r="AS63" s="90" t="e">
        <f t="shared" si="549"/>
        <v>#DIV/0!</v>
      </c>
      <c r="AT63" s="90" t="e">
        <f t="shared" si="549"/>
        <v>#DIV/0!</v>
      </c>
      <c r="AU63" s="90" t="e">
        <f t="shared" si="549"/>
        <v>#DIV/0!</v>
      </c>
      <c r="AV63" s="90" t="e">
        <f t="shared" si="549"/>
        <v>#DIV/0!</v>
      </c>
      <c r="AW63" s="90" t="e">
        <f t="shared" si="549"/>
        <v>#DIV/0!</v>
      </c>
      <c r="AX63" s="90" t="e">
        <f t="shared" si="549"/>
        <v>#DIV/0!</v>
      </c>
      <c r="AY63" s="90" t="e">
        <f t="shared" si="549"/>
        <v>#DIV/0!</v>
      </c>
      <c r="AZ63" s="90" t="e">
        <f t="shared" si="549"/>
        <v>#DIV/0!</v>
      </c>
      <c r="BA63" s="90" t="e">
        <f t="shared" si="549"/>
        <v>#DIV/0!</v>
      </c>
      <c r="BB63" s="90" t="e">
        <f t="shared" si="549"/>
        <v>#DIV/0!</v>
      </c>
      <c r="BC63" s="90" t="e">
        <f t="shared" si="549"/>
        <v>#DIV/0!</v>
      </c>
      <c r="BD63" s="90" t="e">
        <f t="shared" si="549"/>
        <v>#DIV/0!</v>
      </c>
      <c r="BE63" s="90" t="e">
        <f t="shared" si="549"/>
        <v>#DIV/0!</v>
      </c>
      <c r="BF63" s="90" t="e">
        <f t="shared" si="549"/>
        <v>#DIV/0!</v>
      </c>
      <c r="BG63" s="90" t="e">
        <f t="shared" si="549"/>
        <v>#DIV/0!</v>
      </c>
      <c r="BH63" s="90" t="e">
        <f t="shared" si="549"/>
        <v>#DIV/0!</v>
      </c>
      <c r="BI63" s="90" t="e">
        <f t="shared" si="549"/>
        <v>#DIV/0!</v>
      </c>
      <c r="BJ63" s="90" t="e">
        <f t="shared" si="549"/>
        <v>#DIV/0!</v>
      </c>
      <c r="BK63" s="90" t="e">
        <f t="shared" si="549"/>
        <v>#DIV/0!</v>
      </c>
      <c r="BL63" s="90" t="e">
        <f t="shared" si="549"/>
        <v>#DIV/0!</v>
      </c>
      <c r="BM63" s="90" t="e">
        <f t="shared" si="549"/>
        <v>#DIV/0!</v>
      </c>
      <c r="BN63" s="90" t="e">
        <f t="shared" si="549"/>
        <v>#DIV/0!</v>
      </c>
      <c r="BO63" s="90" t="e">
        <f t="shared" si="549"/>
        <v>#DIV/0!</v>
      </c>
      <c r="BP63" s="90" t="e">
        <f t="shared" si="549"/>
        <v>#DIV/0!</v>
      </c>
      <c r="BQ63" s="90">
        <f t="shared" si="549"/>
        <v>0.35784742893830457</v>
      </c>
      <c r="BR63" s="90">
        <f t="shared" si="549"/>
        <v>-0.46117705242333989</v>
      </c>
      <c r="BS63" s="90">
        <f t="shared" si="549"/>
        <v>0.2597125183569936</v>
      </c>
      <c r="BT63" s="90">
        <f t="shared" si="549"/>
        <v>0.266832265655641</v>
      </c>
      <c r="BU63" s="90">
        <f t="shared" si="549"/>
        <v>0.2800287309412639</v>
      </c>
      <c r="BV63" s="90">
        <f t="shared" si="549"/>
        <v>0.26501944481695056</v>
      </c>
      <c r="BW63" s="90">
        <f t="shared" si="549"/>
        <v>0.23987550910627778</v>
      </c>
      <c r="BX63" s="90">
        <f t="shared" si="549"/>
        <v>0.46508895602551825</v>
      </c>
      <c r="BY63" s="90">
        <f t="shared" si="549"/>
        <v>0.31891478342749524</v>
      </c>
      <c r="BZ63" s="90">
        <f t="shared" si="549"/>
        <v>0.28497369235530912</v>
      </c>
      <c r="CA63" s="90">
        <f t="shared" si="549"/>
        <v>0.11776004728132285</v>
      </c>
      <c r="CB63" s="90">
        <f t="shared" si="549"/>
        <v>0.29127020785218932</v>
      </c>
      <c r="CC63" s="90">
        <f t="shared" si="549"/>
        <v>0.26666666666666589</v>
      </c>
      <c r="CD63" s="90">
        <f t="shared" si="549"/>
        <v>0.2671060742567215</v>
      </c>
      <c r="CE63" s="90">
        <f t="shared" ref="CE63:CF63" si="550">CE62/CE61</f>
        <v>0.25477676543032662</v>
      </c>
      <c r="CF63" s="90">
        <f t="shared" si="550"/>
        <v>0.29847960783337862</v>
      </c>
      <c r="CG63" s="90">
        <f t="shared" ref="CG63:CH63" si="551">CG62/CG61</f>
        <v>0.28024311657879353</v>
      </c>
      <c r="CH63" s="90">
        <f t="shared" si="551"/>
        <v>0.24673551250319953</v>
      </c>
      <c r="CI63" s="90">
        <f t="shared" ref="CI63:CJ63" si="552">CI62/CI61</f>
        <v>0.25379909851899407</v>
      </c>
      <c r="CJ63" s="90">
        <f t="shared" si="552"/>
        <v>0.27281733350377169</v>
      </c>
      <c r="CK63" s="90">
        <f t="shared" ref="CK63:CL63" si="553">CK62/CK61</f>
        <v>0.26100806658788606</v>
      </c>
      <c r="CL63" s="90">
        <f t="shared" si="553"/>
        <v>0.29150990554868561</v>
      </c>
      <c r="CM63" s="91">
        <f t="shared" ref="CM63:DB63" si="554">AVERAGE(CI63:CL63)</f>
        <v>0.26978360103983434</v>
      </c>
      <c r="CN63" s="91">
        <f t="shared" si="554"/>
        <v>0.27377972667004447</v>
      </c>
      <c r="CO63" s="91">
        <f t="shared" si="554"/>
        <v>0.2740203249616126</v>
      </c>
      <c r="CP63" s="91">
        <f t="shared" si="554"/>
        <v>0.27727338955504427</v>
      </c>
      <c r="CQ63" s="91">
        <f>AVERAGE(CM63:CP63)*0.97</f>
        <v>0.26550283273993491</v>
      </c>
      <c r="CR63" s="91">
        <f t="shared" ref="CR63:CT63" si="555">AVERAGE(CN63:CQ63)*0.97</f>
        <v>0.2644647464272093</v>
      </c>
      <c r="CS63" s="91">
        <f t="shared" si="555"/>
        <v>0.26220586371832177</v>
      </c>
      <c r="CT63" s="91">
        <f t="shared" si="555"/>
        <v>0.25934085686682379</v>
      </c>
      <c r="CU63" s="91">
        <f t="shared" si="554"/>
        <v>0.26287857493807243</v>
      </c>
      <c r="CV63" s="91">
        <f t="shared" si="554"/>
        <v>0.26222251048760681</v>
      </c>
      <c r="CW63" s="91">
        <f t="shared" si="554"/>
        <v>0.26166195150270621</v>
      </c>
      <c r="CX63" s="91">
        <f t="shared" si="554"/>
        <v>0.26152597344880235</v>
      </c>
      <c r="CY63" s="91">
        <f t="shared" si="554"/>
        <v>0.26207225259429695</v>
      </c>
      <c r="CZ63" s="91">
        <f t="shared" si="554"/>
        <v>0.26187067200835307</v>
      </c>
      <c r="DA63" s="91">
        <f t="shared" si="554"/>
        <v>0.26178271238853962</v>
      </c>
      <c r="DB63" s="91">
        <f t="shared" si="554"/>
        <v>0.26181290260999801</v>
      </c>
      <c r="DE63" s="127"/>
      <c r="DF63" s="90">
        <v>0.25859000277846284</v>
      </c>
    </row>
    <row r="64" spans="1:110" s="26" customFormat="1" x14ac:dyDescent="0.2">
      <c r="A64" s="26" t="s">
        <v>22</v>
      </c>
      <c r="B64" s="26">
        <f t="shared" ref="B64:E64" si="556">B61-B62</f>
        <v>0</v>
      </c>
      <c r="C64" s="26">
        <f t="shared" si="556"/>
        <v>0</v>
      </c>
      <c r="D64" s="26">
        <f t="shared" si="556"/>
        <v>14.287999999999938</v>
      </c>
      <c r="E64" s="26">
        <f t="shared" si="556"/>
        <v>17.677000000000113</v>
      </c>
      <c r="F64" s="26">
        <f t="shared" ref="F64:T64" si="557">F61-F62</f>
        <v>1.227999999999831</v>
      </c>
      <c r="G64" s="26">
        <f t="shared" si="557"/>
        <v>1.4229999999997394</v>
      </c>
      <c r="H64" s="26">
        <f t="shared" si="557"/>
        <v>3.9439999999996318</v>
      </c>
      <c r="I64" s="26">
        <f t="shared" si="557"/>
        <v>31.084999999999912</v>
      </c>
      <c r="J64" s="26">
        <f t="shared" si="557"/>
        <v>60.656000000000518</v>
      </c>
      <c r="K64" s="26">
        <f t="shared" si="557"/>
        <v>16.666000000000341</v>
      </c>
      <c r="L64" s="26">
        <f t="shared" si="557"/>
        <v>7.0280000000000671</v>
      </c>
      <c r="M64" s="26">
        <f t="shared" si="557"/>
        <v>8.4019999999992674</v>
      </c>
      <c r="N64" s="26">
        <f t="shared" si="557"/>
        <v>75.420999999999196</v>
      </c>
      <c r="O64" s="26">
        <f t="shared" si="557"/>
        <v>12.844999999998556</v>
      </c>
      <c r="P64" s="26">
        <f t="shared" si="557"/>
        <v>84.994999999998811</v>
      </c>
      <c r="Q64" s="26">
        <f t="shared" si="557"/>
        <v>148.5260000000018</v>
      </c>
      <c r="R64" s="26">
        <f t="shared" si="557"/>
        <v>222.06000000000193</v>
      </c>
      <c r="S64" s="26">
        <f t="shared" si="557"/>
        <v>381.68600000000163</v>
      </c>
      <c r="T64" s="26">
        <f t="shared" si="557"/>
        <v>365.54699999999957</v>
      </c>
      <c r="U64" s="26">
        <f t="shared" ref="U64:Z64" si="558">U61-U62</f>
        <v>403.03600000000154</v>
      </c>
      <c r="V64" s="26">
        <f t="shared" si="558"/>
        <v>651.94999999999607</v>
      </c>
      <c r="W64" s="26">
        <f t="shared" si="558"/>
        <v>774.35000000000036</v>
      </c>
      <c r="X64" s="26">
        <f t="shared" si="558"/>
        <v>553.57000000000266</v>
      </c>
      <c r="Y64" s="26">
        <f t="shared" si="558"/>
        <v>224.1600000000077</v>
      </c>
      <c r="Z64" s="26">
        <f t="shared" si="558"/>
        <v>1163.2300000000018</v>
      </c>
      <c r="AA64" s="26">
        <f t="shared" ref="AA64" si="559">AA61-AA62</f>
        <v>1016.2699999999871</v>
      </c>
      <c r="AB64" s="27">
        <f t="shared" ref="AA64:AD64" si="560">AB61-AB62</f>
        <v>1273.6038842711741</v>
      </c>
      <c r="AC64" s="27">
        <f t="shared" si="560"/>
        <v>1281.1269887844926</v>
      </c>
      <c r="AD64" s="27">
        <f t="shared" si="560"/>
        <v>1286.8581418920749</v>
      </c>
      <c r="AE64" s="27">
        <f t="shared" ref="AE64" si="561">AE61-AE62</f>
        <v>1304.941958727858</v>
      </c>
      <c r="AI64" s="26">
        <f>AI61-AI62</f>
        <v>0</v>
      </c>
      <c r="AJ64" s="26">
        <f t="shared" ref="AJ64" si="562">AJ61-AJ62</f>
        <v>0</v>
      </c>
      <c r="AK64" s="26">
        <f t="shared" ref="AK64:AM64" si="563">AK61-AK62</f>
        <v>0</v>
      </c>
      <c r="AL64" s="26">
        <f t="shared" si="563"/>
        <v>0</v>
      </c>
      <c r="AM64" s="26">
        <f t="shared" si="563"/>
        <v>0</v>
      </c>
      <c r="AN64" s="26">
        <f t="shared" ref="AN64:AO64" si="564">AN61-AN62</f>
        <v>0</v>
      </c>
      <c r="AO64" s="26">
        <f t="shared" si="564"/>
        <v>0</v>
      </c>
      <c r="AP64" s="26">
        <f t="shared" ref="AP64:CD64" si="565">AP61-AP62</f>
        <v>0</v>
      </c>
      <c r="AQ64" s="26">
        <f t="shared" si="565"/>
        <v>0</v>
      </c>
      <c r="AR64" s="26">
        <f t="shared" si="565"/>
        <v>0</v>
      </c>
      <c r="AS64" s="26">
        <f t="shared" si="565"/>
        <v>0</v>
      </c>
      <c r="AT64" s="26">
        <f t="shared" si="565"/>
        <v>0</v>
      </c>
      <c r="AU64" s="26">
        <f t="shared" si="565"/>
        <v>0</v>
      </c>
      <c r="AV64" s="26">
        <f t="shared" si="565"/>
        <v>0</v>
      </c>
      <c r="AW64" s="26">
        <f t="shared" si="565"/>
        <v>0</v>
      </c>
      <c r="AX64" s="26">
        <f t="shared" si="565"/>
        <v>0</v>
      </c>
      <c r="AY64" s="26">
        <f t="shared" si="565"/>
        <v>0</v>
      </c>
      <c r="AZ64" s="26">
        <f t="shared" si="565"/>
        <v>0</v>
      </c>
      <c r="BA64" s="26">
        <f t="shared" si="565"/>
        <v>0</v>
      </c>
      <c r="BB64" s="26">
        <f t="shared" si="565"/>
        <v>0</v>
      </c>
      <c r="BC64" s="26">
        <f t="shared" si="565"/>
        <v>0</v>
      </c>
      <c r="BD64" s="26">
        <f t="shared" si="565"/>
        <v>0</v>
      </c>
      <c r="BE64" s="26">
        <f t="shared" si="565"/>
        <v>0</v>
      </c>
      <c r="BF64" s="26">
        <f t="shared" si="565"/>
        <v>0</v>
      </c>
      <c r="BG64" s="26">
        <f t="shared" si="565"/>
        <v>0</v>
      </c>
      <c r="BH64" s="26">
        <f t="shared" si="565"/>
        <v>0</v>
      </c>
      <c r="BI64" s="26">
        <f t="shared" si="565"/>
        <v>0</v>
      </c>
      <c r="BJ64" s="26">
        <f t="shared" si="565"/>
        <v>0</v>
      </c>
      <c r="BK64" s="26">
        <f t="shared" si="565"/>
        <v>0</v>
      </c>
      <c r="BL64" s="26">
        <f t="shared" si="565"/>
        <v>0</v>
      </c>
      <c r="BM64" s="26">
        <f t="shared" si="565"/>
        <v>0</v>
      </c>
      <c r="BN64" s="26">
        <f t="shared" si="565"/>
        <v>0</v>
      </c>
      <c r="BO64" s="26">
        <f t="shared" si="565"/>
        <v>0</v>
      </c>
      <c r="BP64" s="26">
        <f t="shared" si="565"/>
        <v>0</v>
      </c>
      <c r="BQ64" s="26">
        <f t="shared" si="565"/>
        <v>110.02000000000078</v>
      </c>
      <c r="BR64" s="26">
        <f t="shared" si="565"/>
        <v>295.45000000000147</v>
      </c>
      <c r="BS64" s="26">
        <f t="shared" si="565"/>
        <v>166.34999999999985</v>
      </c>
      <c r="BT64" s="26">
        <f t="shared" si="565"/>
        <v>168.24000000000021</v>
      </c>
      <c r="BU64" s="26">
        <f t="shared" si="565"/>
        <v>220.520000000001</v>
      </c>
      <c r="BV64" s="26">
        <f t="shared" si="565"/>
        <v>219.22999999999996</v>
      </c>
      <c r="BW64" s="26">
        <f t="shared" si="565"/>
        <v>197.83000000000061</v>
      </c>
      <c r="BX64" s="26">
        <f t="shared" si="565"/>
        <v>31.869999999999187</v>
      </c>
      <c r="BY64" s="26">
        <f t="shared" si="565"/>
        <v>231.46000000000004</v>
      </c>
      <c r="BZ64" s="26">
        <f t="shared" si="565"/>
        <v>92.409999999999471</v>
      </c>
      <c r="CA64" s="26">
        <f t="shared" si="565"/>
        <v>-59.710000000000591</v>
      </c>
      <c r="CB64" s="26">
        <f t="shared" si="565"/>
        <v>-76.720000000001733</v>
      </c>
      <c r="CC64" s="26">
        <f t="shared" si="565"/>
        <v>206.03000000000083</v>
      </c>
      <c r="CD64" s="26">
        <f t="shared" si="565"/>
        <v>154.56</v>
      </c>
      <c r="CE64" s="26">
        <f t="shared" ref="CE64:CF64" si="566">CE61-CE62</f>
        <v>311.63000000000125</v>
      </c>
      <c r="CF64" s="26">
        <f t="shared" si="566"/>
        <v>281.92000000000047</v>
      </c>
      <c r="CG64" s="26">
        <f t="shared" ref="CG64:CH64" si="567">CG61-CG62</f>
        <v>393.1599999999994</v>
      </c>
      <c r="CH64" s="26">
        <f t="shared" si="567"/>
        <v>176.52000000000092</v>
      </c>
      <c r="CI64" s="26">
        <f t="shared" ref="CI64:CJ64" si="568">CI61-CI62</f>
        <v>231.77000000000174</v>
      </c>
      <c r="CJ64" s="26">
        <f t="shared" si="568"/>
        <v>227.54999999999916</v>
      </c>
      <c r="CK64" s="26">
        <f t="shared" ref="CK64:CL64" si="569">CK61-CK62</f>
        <v>287.65999999999792</v>
      </c>
      <c r="CL64" s="26">
        <f t="shared" si="569"/>
        <v>269.29000000000025</v>
      </c>
      <c r="CM64" s="27">
        <f t="shared" ref="CM64:DB64" si="570">CM61-CM62</f>
        <v>274.01075361880748</v>
      </c>
      <c r="CN64" s="27">
        <f t="shared" si="570"/>
        <v>315.14595598446664</v>
      </c>
      <c r="CO64" s="27">
        <f t="shared" si="570"/>
        <v>316.20539610568403</v>
      </c>
      <c r="CP64" s="27">
        <f t="shared" si="570"/>
        <v>368.2417785622149</v>
      </c>
      <c r="CQ64" s="27">
        <f t="shared" si="570"/>
        <v>274.44213261932032</v>
      </c>
      <c r="CR64" s="27">
        <f t="shared" si="570"/>
        <v>284.71493851035564</v>
      </c>
      <c r="CS64" s="27">
        <f t="shared" si="570"/>
        <v>315.08793307995188</v>
      </c>
      <c r="CT64" s="27">
        <f t="shared" si="570"/>
        <v>406.88198457486084</v>
      </c>
      <c r="CU64" s="27">
        <f t="shared" si="570"/>
        <v>279.48117148853783</v>
      </c>
      <c r="CV64" s="27">
        <f t="shared" si="570"/>
        <v>287.22482878261513</v>
      </c>
      <c r="CW64" s="27">
        <f t="shared" si="570"/>
        <v>317.78347239248717</v>
      </c>
      <c r="CX64" s="27">
        <f t="shared" si="570"/>
        <v>402.36866922842921</v>
      </c>
      <c r="CY64" s="27">
        <f t="shared" si="570"/>
        <v>282.4780404982202</v>
      </c>
      <c r="CZ64" s="27">
        <f t="shared" si="570"/>
        <v>288.57825379799732</v>
      </c>
      <c r="DA64" s="27">
        <f t="shared" si="570"/>
        <v>321.1498744604861</v>
      </c>
      <c r="DB64" s="27">
        <f t="shared" si="570"/>
        <v>412.73578997117113</v>
      </c>
      <c r="DE64" s="121"/>
      <c r="DF64" s="26">
        <v>329.53290081352395</v>
      </c>
    </row>
    <row r="65" spans="1:110" s="45" customFormat="1" x14ac:dyDescent="0.2">
      <c r="A65" s="45" t="s">
        <v>107</v>
      </c>
      <c r="B65" s="45" t="e">
        <f t="shared" ref="B65:E65" si="571">+B64/B33</f>
        <v>#DIV/0!</v>
      </c>
      <c r="C65" s="45" t="e">
        <f t="shared" si="571"/>
        <v>#DIV/0!</v>
      </c>
      <c r="D65" s="45">
        <f t="shared" si="571"/>
        <v>1.1386049061694837E-2</v>
      </c>
      <c r="E65" s="45">
        <f t="shared" si="571"/>
        <v>9.6840163056549425E-3</v>
      </c>
      <c r="F65" s="45">
        <f t="shared" ref="F65:AE65" si="572">+F64/F33</f>
        <v>6.033256607471466E-4</v>
      </c>
      <c r="G65" s="45">
        <f t="shared" si="572"/>
        <v>5.3092834855156539E-4</v>
      </c>
      <c r="H65" s="45">
        <f t="shared" si="572"/>
        <v>1.4931294843098864E-3</v>
      </c>
      <c r="I65" s="45">
        <f t="shared" si="572"/>
        <v>9.1626620856794863E-3</v>
      </c>
      <c r="J65" s="45">
        <f t="shared" si="572"/>
        <v>1.0459346652952256E-2</v>
      </c>
      <c r="K65" s="45">
        <f t="shared" si="572"/>
        <v>2.7279725546253903E-3</v>
      </c>
      <c r="L65" s="45">
        <f t="shared" si="572"/>
        <v>8.2292682566984486E-4</v>
      </c>
      <c r="M65" s="45">
        <f t="shared" si="572"/>
        <v>6.9768245201579473E-4</v>
      </c>
      <c r="N65" s="45">
        <f t="shared" si="572"/>
        <v>5.2914028542326384E-3</v>
      </c>
      <c r="O65" s="45">
        <f t="shared" si="572"/>
        <v>7.4164393331212566E-4</v>
      </c>
      <c r="P65" s="45">
        <f t="shared" si="572"/>
        <v>4.9225658014911749E-3</v>
      </c>
      <c r="Q65" s="45">
        <f t="shared" si="572"/>
        <v>7.8027978719375658E-3</v>
      </c>
      <c r="R65" s="45">
        <f t="shared" si="572"/>
        <v>9.5722271437860482E-3</v>
      </c>
      <c r="S65" s="45">
        <f t="shared" si="572"/>
        <v>1.4418529468350833E-2</v>
      </c>
      <c r="T65" s="45">
        <f t="shared" si="572"/>
        <v>1.2693724564161169E-2</v>
      </c>
      <c r="U65" s="45">
        <f t="shared" si="572"/>
        <v>1.3589894822935156E-2</v>
      </c>
      <c r="V65" s="45">
        <f t="shared" si="572"/>
        <v>1.7577315112635449E-2</v>
      </c>
      <c r="W65" s="45">
        <f t="shared" si="572"/>
        <v>1.4298819569523089E-2</v>
      </c>
      <c r="X65" s="45">
        <f t="shared" si="572"/>
        <v>9.5139951475308182E-3</v>
      </c>
      <c r="Y65" s="45">
        <f t="shared" si="572"/>
        <v>4.3759797443051881E-3</v>
      </c>
      <c r="Z65" s="45">
        <f t="shared" ref="Z65:AA65" si="573">+Z64/Z33</f>
        <v>1.826902901484229E-2</v>
      </c>
      <c r="AA65" s="45">
        <f t="shared" si="573"/>
        <v>1.3599101948369888E-2</v>
      </c>
      <c r="AB65" s="48">
        <f t="shared" si="572"/>
        <v>1.578544474620059E-2</v>
      </c>
      <c r="AC65" s="48">
        <f t="shared" si="572"/>
        <v>1.5291821487491326E-2</v>
      </c>
      <c r="AD65" s="48">
        <f t="shared" si="572"/>
        <v>1.4201155635895191E-2</v>
      </c>
      <c r="AE65" s="48">
        <f t="shared" si="572"/>
        <v>1.330406194594109E-2</v>
      </c>
      <c r="AI65" s="45" t="e">
        <f t="shared" ref="AI65:BN65" si="574">+AI64/AI33</f>
        <v>#DIV/0!</v>
      </c>
      <c r="AJ65" s="45" t="e">
        <f t="shared" si="574"/>
        <v>#DIV/0!</v>
      </c>
      <c r="AK65" s="45" t="e">
        <f t="shared" si="574"/>
        <v>#DIV/0!</v>
      </c>
      <c r="AL65" s="45" t="e">
        <f t="shared" si="574"/>
        <v>#DIV/0!</v>
      </c>
      <c r="AM65" s="45" t="e">
        <f t="shared" si="574"/>
        <v>#DIV/0!</v>
      </c>
      <c r="AN65" s="45" t="e">
        <f t="shared" si="574"/>
        <v>#DIV/0!</v>
      </c>
      <c r="AO65" s="45" t="e">
        <f t="shared" si="574"/>
        <v>#DIV/0!</v>
      </c>
      <c r="AP65" s="45" t="e">
        <f t="shared" si="574"/>
        <v>#DIV/0!</v>
      </c>
      <c r="AQ65" s="45" t="e">
        <f t="shared" si="574"/>
        <v>#DIV/0!</v>
      </c>
      <c r="AR65" s="45" t="e">
        <f t="shared" si="574"/>
        <v>#DIV/0!</v>
      </c>
      <c r="AS65" s="45" t="e">
        <f t="shared" si="574"/>
        <v>#DIV/0!</v>
      </c>
      <c r="AT65" s="45" t="e">
        <f t="shared" si="574"/>
        <v>#DIV/0!</v>
      </c>
      <c r="AU65" s="45" t="e">
        <f t="shared" si="574"/>
        <v>#DIV/0!</v>
      </c>
      <c r="AV65" s="45" t="e">
        <f t="shared" si="574"/>
        <v>#DIV/0!</v>
      </c>
      <c r="AW65" s="45" t="e">
        <f t="shared" si="574"/>
        <v>#DIV/0!</v>
      </c>
      <c r="AX65" s="45" t="e">
        <f t="shared" si="574"/>
        <v>#DIV/0!</v>
      </c>
      <c r="AY65" s="45" t="e">
        <f t="shared" si="574"/>
        <v>#DIV/0!</v>
      </c>
      <c r="AZ65" s="45" t="e">
        <f t="shared" si="574"/>
        <v>#DIV/0!</v>
      </c>
      <c r="BA65" s="45" t="e">
        <f t="shared" si="574"/>
        <v>#DIV/0!</v>
      </c>
      <c r="BB65" s="45" t="e">
        <f t="shared" si="574"/>
        <v>#DIV/0!</v>
      </c>
      <c r="BC65" s="45" t="e">
        <f t="shared" si="574"/>
        <v>#DIV/0!</v>
      </c>
      <c r="BD65" s="45" t="e">
        <f t="shared" si="574"/>
        <v>#DIV/0!</v>
      </c>
      <c r="BE65" s="45" t="e">
        <f t="shared" si="574"/>
        <v>#DIV/0!</v>
      </c>
      <c r="BF65" s="45" t="e">
        <f t="shared" si="574"/>
        <v>#DIV/0!</v>
      </c>
      <c r="BG65" s="45" t="e">
        <f t="shared" si="574"/>
        <v>#DIV/0!</v>
      </c>
      <c r="BH65" s="45" t="e">
        <f t="shared" si="574"/>
        <v>#DIV/0!</v>
      </c>
      <c r="BI65" s="45" t="e">
        <f t="shared" si="574"/>
        <v>#DIV/0!</v>
      </c>
      <c r="BJ65" s="45" t="e">
        <f t="shared" si="574"/>
        <v>#DIV/0!</v>
      </c>
      <c r="BK65" s="45" t="e">
        <f t="shared" si="574"/>
        <v>#DIV/0!</v>
      </c>
      <c r="BL65" s="45" t="e">
        <f t="shared" si="574"/>
        <v>#DIV/0!</v>
      </c>
      <c r="BM65" s="45" t="e">
        <f t="shared" si="574"/>
        <v>#DIV/0!</v>
      </c>
      <c r="BN65" s="45" t="e">
        <f t="shared" si="574"/>
        <v>#DIV/0!</v>
      </c>
      <c r="BO65" s="45" t="e">
        <f t="shared" ref="BO65:CT65" si="575">+BO64/BO33</f>
        <v>#DIV/0!</v>
      </c>
      <c r="BP65" s="45" t="e">
        <f t="shared" si="575"/>
        <v>#DIV/0!</v>
      </c>
      <c r="BQ65" s="45">
        <f t="shared" si="575"/>
        <v>1.0755179388219821E-2</v>
      </c>
      <c r="BR65" s="45">
        <f t="shared" si="575"/>
        <v>2.7683713225028574E-2</v>
      </c>
      <c r="BS65" s="45">
        <f t="shared" si="575"/>
        <v>1.4705661348111767E-2</v>
      </c>
      <c r="BT65" s="45">
        <f t="shared" si="575"/>
        <v>1.2408479717844286E-2</v>
      </c>
      <c r="BU65" s="45">
        <f t="shared" si="575"/>
        <v>1.5344877015528651E-2</v>
      </c>
      <c r="BV65" s="45">
        <f t="shared" si="575"/>
        <v>1.469639866838816E-2</v>
      </c>
      <c r="BW65" s="45">
        <f t="shared" si="575"/>
        <v>1.3435804861285186E-2</v>
      </c>
      <c r="BX65" s="45">
        <f t="shared" si="575"/>
        <v>2.2522920446104485E-3</v>
      </c>
      <c r="BY65" s="45">
        <f t="shared" si="575"/>
        <v>1.4992826166517148E-2</v>
      </c>
      <c r="BZ65" s="45">
        <f t="shared" si="575"/>
        <v>6.6613132035430516E-3</v>
      </c>
      <c r="CA65" s="45">
        <f t="shared" si="575"/>
        <v>-4.6186285975953574E-3</v>
      </c>
      <c r="CB65" s="45">
        <f t="shared" si="575"/>
        <v>-6.2541014008960297E-3</v>
      </c>
      <c r="CC65" s="45">
        <f t="shared" si="575"/>
        <v>1.6060509683233151E-2</v>
      </c>
      <c r="CD65" s="45">
        <f t="shared" si="575"/>
        <v>1.1688874469383635E-2</v>
      </c>
      <c r="CE65" s="45">
        <f t="shared" si="575"/>
        <v>2.2017330973551453E-2</v>
      </c>
      <c r="CF65" s="45">
        <f t="shared" si="575"/>
        <v>1.9510115612936835E-2</v>
      </c>
      <c r="CG65" s="45">
        <f t="shared" si="575"/>
        <v>2.3348373939803491E-2</v>
      </c>
      <c r="CH65" s="45">
        <f t="shared" si="575"/>
        <v>9.683157986548294E-3</v>
      </c>
      <c r="CI65" s="45">
        <f t="shared" ref="CI65:CJ65" si="576">+CI64/CI33</f>
        <v>1.3586655450460719E-2</v>
      </c>
      <c r="CJ65" s="45">
        <f t="shared" si="576"/>
        <v>1.2925621017724327E-2</v>
      </c>
      <c r="CK65" s="45">
        <f t="shared" ref="CK65:CL65" si="577">+CK64/CK33</f>
        <v>1.5463371655789086E-2</v>
      </c>
      <c r="CL65" s="45">
        <f t="shared" si="577"/>
        <v>1.254566783353942E-2</v>
      </c>
      <c r="CM65" s="48">
        <f t="shared" si="575"/>
        <v>1.5187012711130295E-2</v>
      </c>
      <c r="CN65" s="48">
        <f t="shared" si="575"/>
        <v>1.6655589302873666E-2</v>
      </c>
      <c r="CO65" s="48">
        <f t="shared" si="575"/>
        <v>1.5643009205149615E-2</v>
      </c>
      <c r="CP65" s="48">
        <f t="shared" si="575"/>
        <v>1.5666831472205919E-2</v>
      </c>
      <c r="CQ65" s="48">
        <f t="shared" si="575"/>
        <v>1.4686439368629638E-2</v>
      </c>
      <c r="CR65" s="48">
        <f t="shared" si="575"/>
        <v>1.4492310567450196E-2</v>
      </c>
      <c r="CS65" s="48">
        <f t="shared" si="575"/>
        <v>1.4991242420500281E-2</v>
      </c>
      <c r="CT65" s="48">
        <f t="shared" si="575"/>
        <v>1.6656556345069087E-2</v>
      </c>
      <c r="CU65" s="48">
        <f t="shared" ref="CU65:DB65" si="578">+CU64/CU33</f>
        <v>1.3828037429289492E-2</v>
      </c>
      <c r="CV65" s="48">
        <f t="shared" si="578"/>
        <v>1.3523881231308517E-2</v>
      </c>
      <c r="CW65" s="48">
        <f t="shared" si="578"/>
        <v>1.3978448614932056E-2</v>
      </c>
      <c r="CX65" s="48">
        <f t="shared" si="578"/>
        <v>1.5222161423273265E-2</v>
      </c>
      <c r="CY65" s="48">
        <f t="shared" si="578"/>
        <v>1.2906872292732982E-2</v>
      </c>
      <c r="CZ65" s="48">
        <f t="shared" si="578"/>
        <v>1.2560983804214009E-2</v>
      </c>
      <c r="DA65" s="48">
        <f t="shared" si="578"/>
        <v>1.3053395354746278E-2</v>
      </c>
      <c r="DB65" s="48">
        <f t="shared" si="578"/>
        <v>1.4419646196934442E-2</v>
      </c>
      <c r="DE65" s="129"/>
      <c r="DF65" s="45">
        <v>1.5242599709717088E-2</v>
      </c>
    </row>
    <row r="66" spans="1:110" s="39" customFormat="1" x14ac:dyDescent="0.2">
      <c r="A66" s="39" t="s">
        <v>451</v>
      </c>
      <c r="C66" s="39" t="e">
        <f t="shared" ref="C66:E66" si="579">+IF(B64&lt;0,1-C64/B64,C64/B64-1)</f>
        <v>#DIV/0!</v>
      </c>
      <c r="D66" s="39" t="e">
        <f t="shared" si="579"/>
        <v>#DIV/0!</v>
      </c>
      <c r="E66" s="39">
        <f t="shared" si="579"/>
        <v>0.23719204927212978</v>
      </c>
      <c r="F66" s="39">
        <f t="shared" ref="F66:AE66" si="580">+IF(E64&lt;0,1-F64/E64,F64/E64-1)</f>
        <v>-0.93053119873282664</v>
      </c>
      <c r="G66" s="39">
        <f t="shared" si="580"/>
        <v>0.15879478827356297</v>
      </c>
      <c r="H66" s="39">
        <f t="shared" si="580"/>
        <v>1.7716092761773394</v>
      </c>
      <c r="I66" s="39">
        <f t="shared" si="580"/>
        <v>6.8815922920899633</v>
      </c>
      <c r="J66" s="39">
        <f t="shared" si="580"/>
        <v>0.95129483673799875</v>
      </c>
      <c r="K66" s="39">
        <f t="shared" si="580"/>
        <v>-0.72523740437878859</v>
      </c>
      <c r="L66" s="39">
        <f t="shared" si="580"/>
        <v>-0.57830313212528961</v>
      </c>
      <c r="M66" s="39">
        <f t="shared" si="580"/>
        <v>0.19550369948764756</v>
      </c>
      <c r="N66" s="39">
        <f t="shared" si="580"/>
        <v>7.9765532016193497</v>
      </c>
      <c r="O66" s="39">
        <f t="shared" si="580"/>
        <v>-0.82968934381672621</v>
      </c>
      <c r="P66" s="39">
        <f t="shared" si="580"/>
        <v>5.6169715842746877</v>
      </c>
      <c r="Q66" s="39">
        <f t="shared" si="580"/>
        <v>0.74746749808816837</v>
      </c>
      <c r="R66" s="39">
        <f t="shared" si="580"/>
        <v>0.49509176844457703</v>
      </c>
      <c r="S66" s="39">
        <f t="shared" si="580"/>
        <v>0.71884175448076326</v>
      </c>
      <c r="T66" s="39">
        <f t="shared" si="580"/>
        <v>-4.2283447650691919E-2</v>
      </c>
      <c r="U66" s="39">
        <f t="shared" si="580"/>
        <v>0.10255589568510204</v>
      </c>
      <c r="V66" s="39">
        <f t="shared" si="580"/>
        <v>0.61759743546480617</v>
      </c>
      <c r="W66" s="39">
        <f t="shared" si="580"/>
        <v>0.18774445893090741</v>
      </c>
      <c r="X66" s="39">
        <f t="shared" si="580"/>
        <v>-0.28511654936397957</v>
      </c>
      <c r="Y66" s="39">
        <f t="shared" si="580"/>
        <v>-0.59506476145743692</v>
      </c>
      <c r="Z66" s="39">
        <f t="shared" ref="Z66:AA66" si="581">+IF(Y64&lt;0,1-Z64/Y64,Z64/Y64-1)</f>
        <v>4.1892844396857685</v>
      </c>
      <c r="AA66" s="39">
        <f t="shared" si="581"/>
        <v>-0.12633786955289539</v>
      </c>
      <c r="AB66" s="40">
        <f t="shared" si="580"/>
        <v>0.25321409101045034</v>
      </c>
      <c r="AC66" s="40">
        <f t="shared" si="580"/>
        <v>5.9069421868351846E-3</v>
      </c>
      <c r="AD66" s="40">
        <f t="shared" si="580"/>
        <v>4.473524605878243E-3</v>
      </c>
      <c r="AE66" s="40">
        <f t="shared" si="580"/>
        <v>1.4052688674133451E-2</v>
      </c>
      <c r="AM66" s="39" t="e">
        <f>+IF(AI64&lt;0,1-AM64/AI64,AM64/AI64-1)</f>
        <v>#DIV/0!</v>
      </c>
      <c r="AN66" s="39" t="e">
        <f t="shared" ref="AN66" si="582">+IF(AJ64&lt;0,1-AN64/AJ64,AN64/AJ64-1)</f>
        <v>#DIV/0!</v>
      </c>
      <c r="AO66" s="39" t="e">
        <f t="shared" ref="AO66" si="583">+IF(AK64&lt;0,1-AO64/AK64,AO64/AK64-1)</f>
        <v>#DIV/0!</v>
      </c>
      <c r="AP66" s="39" t="e">
        <f t="shared" ref="AP66" si="584">+IF(AL64&lt;0,1-AP64/AL64,AP64/AL64-1)</f>
        <v>#DIV/0!</v>
      </c>
      <c r="AQ66" s="39" t="e">
        <f t="shared" ref="AQ66" si="585">+IF(AM64&lt;0,1-AQ64/AM64,AQ64/AM64-1)</f>
        <v>#DIV/0!</v>
      </c>
      <c r="AR66" s="39" t="e">
        <f t="shared" ref="AR66" si="586">+IF(AN64&lt;0,1-AR64/AN64,AR64/AN64-1)</f>
        <v>#DIV/0!</v>
      </c>
      <c r="AS66" s="39" t="e">
        <f t="shared" ref="AS66" si="587">+IF(AO64&lt;0,1-AS64/AO64,AS64/AO64-1)</f>
        <v>#DIV/0!</v>
      </c>
      <c r="AT66" s="39" t="e">
        <f t="shared" ref="AT66" si="588">+IF(AP64&lt;0,1-AT64/AP64,AT64/AP64-1)</f>
        <v>#DIV/0!</v>
      </c>
      <c r="AU66" s="39" t="e">
        <f t="shared" ref="AU66" si="589">+IF(AQ64&lt;0,1-AU64/AQ64,AU64/AQ64-1)</f>
        <v>#DIV/0!</v>
      </c>
      <c r="AV66" s="39" t="e">
        <f t="shared" ref="AV66" si="590">+IF(AR64&lt;0,1-AV64/AR64,AV64/AR64-1)</f>
        <v>#DIV/0!</v>
      </c>
      <c r="AW66" s="39" t="e">
        <f t="shared" ref="AW66" si="591">+IF(AS64&lt;0,1-AW64/AS64,AW64/AS64-1)</f>
        <v>#DIV/0!</v>
      </c>
      <c r="AX66" s="39" t="e">
        <f t="shared" ref="AX66" si="592">+IF(AT64&lt;0,1-AX64/AT64,AX64/AT64-1)</f>
        <v>#DIV/0!</v>
      </c>
      <c r="AY66" s="39" t="e">
        <f t="shared" ref="AY66" si="593">+IF(AU64&lt;0,1-AY64/AU64,AY64/AU64-1)</f>
        <v>#DIV/0!</v>
      </c>
      <c r="AZ66" s="39" t="e">
        <f t="shared" ref="AZ66" si="594">+IF(AV64&lt;0,1-AZ64/AV64,AZ64/AV64-1)</f>
        <v>#DIV/0!</v>
      </c>
      <c r="BA66" s="39" t="e">
        <f t="shared" ref="BA66" si="595">+IF(AW64&lt;0,1-BA64/AW64,BA64/AW64-1)</f>
        <v>#DIV/0!</v>
      </c>
      <c r="BB66" s="39" t="e">
        <f t="shared" ref="BB66" si="596">+IF(AX64&lt;0,1-BB64/AX64,BB64/AX64-1)</f>
        <v>#DIV/0!</v>
      </c>
      <c r="BC66" s="39" t="e">
        <f t="shared" ref="BC66" si="597">+IF(AY64&lt;0,1-BC64/AY64,BC64/AY64-1)</f>
        <v>#DIV/0!</v>
      </c>
      <c r="BD66" s="39" t="e">
        <f t="shared" ref="BD66" si="598">+IF(AZ64&lt;0,1-BD64/AZ64,BD64/AZ64-1)</f>
        <v>#DIV/0!</v>
      </c>
      <c r="BE66" s="39" t="e">
        <f t="shared" ref="BE66" si="599">+IF(BA64&lt;0,1-BE64/BA64,BE64/BA64-1)</f>
        <v>#DIV/0!</v>
      </c>
      <c r="BF66" s="39" t="e">
        <f t="shared" ref="BF66" si="600">+IF(BB64&lt;0,1-BF64/BB64,BF64/BB64-1)</f>
        <v>#DIV/0!</v>
      </c>
      <c r="BG66" s="39" t="e">
        <f t="shared" ref="BG66" si="601">+IF(BC64&lt;0,1-BG64/BC64,BG64/BC64-1)</f>
        <v>#DIV/0!</v>
      </c>
      <c r="BH66" s="39" t="e">
        <f t="shared" ref="BH66" si="602">+IF(BD64&lt;0,1-BH64/BD64,BH64/BD64-1)</f>
        <v>#DIV/0!</v>
      </c>
      <c r="BI66" s="39" t="e">
        <f t="shared" ref="BI66" si="603">+IF(BE64&lt;0,1-BI64/BE64,BI64/BE64-1)</f>
        <v>#DIV/0!</v>
      </c>
      <c r="BJ66" s="39" t="e">
        <f t="shared" ref="BJ66" si="604">+IF(BF64&lt;0,1-BJ64/BF64,BJ64/BF64-1)</f>
        <v>#DIV/0!</v>
      </c>
      <c r="BK66" s="39" t="e">
        <f t="shared" ref="BK66" si="605">+IF(BG64&lt;0,1-BK64/BG64,BK64/BG64-1)</f>
        <v>#DIV/0!</v>
      </c>
      <c r="BL66" s="39" t="e">
        <f t="shared" ref="BL66" si="606">+IF(BH64&lt;0,1-BL64/BH64,BL64/BH64-1)</f>
        <v>#DIV/0!</v>
      </c>
      <c r="BM66" s="39" t="e">
        <f t="shared" ref="BM66" si="607">+IF(BI64&lt;0,1-BM64/BI64,BM64/BI64-1)</f>
        <v>#DIV/0!</v>
      </c>
      <c r="BN66" s="39" t="e">
        <f t="shared" ref="BN66" si="608">+IF(BJ64&lt;0,1-BN64/BJ64,BN64/BJ64-1)</f>
        <v>#DIV/0!</v>
      </c>
      <c r="BO66" s="39" t="e">
        <f t="shared" ref="BO66" si="609">+IF(BK64&lt;0,1-BO64/BK64,BO64/BK64-1)</f>
        <v>#DIV/0!</v>
      </c>
      <c r="BP66" s="39" t="e">
        <f t="shared" ref="BP66" si="610">+IF(BL64&lt;0,1-BP64/BL64,BP64/BL64-1)</f>
        <v>#DIV/0!</v>
      </c>
      <c r="BQ66" s="39" t="e">
        <f t="shared" ref="BQ66" si="611">+IF(BM64&lt;0,1-BQ64/BM64,BQ64/BM64-1)</f>
        <v>#DIV/0!</v>
      </c>
      <c r="BR66" s="39" t="e">
        <f t="shared" ref="BR66" si="612">+IF(BN64&lt;0,1-BR64/BN64,BR64/BN64-1)</f>
        <v>#DIV/0!</v>
      </c>
      <c r="BS66" s="39" t="e">
        <f t="shared" ref="BS66" si="613">+IF(BO64&lt;0,1-BS64/BO64,BS64/BO64-1)</f>
        <v>#DIV/0!</v>
      </c>
      <c r="BT66" s="39" t="e">
        <f t="shared" ref="BT66" si="614">+IF(BP64&lt;0,1-BT64/BP64,BT64/BP64-1)</f>
        <v>#DIV/0!</v>
      </c>
      <c r="BU66" s="39">
        <f t="shared" ref="BU66" si="615">+IF(BQ64&lt;0,1-BU64/BQ64,BU64/BQ64-1)</f>
        <v>1.0043628431194276</v>
      </c>
      <c r="BV66" s="39">
        <f t="shared" ref="BV66" si="616">+IF(BR64&lt;0,1-BV64/BR64,BV64/BR64-1)</f>
        <v>-0.25797935352851964</v>
      </c>
      <c r="BW66" s="39">
        <f t="shared" ref="BW66" si="617">+IF(BS64&lt;0,1-BW64/BS64,BW64/BS64-1)</f>
        <v>0.18923955515479873</v>
      </c>
      <c r="BX66" s="39">
        <f t="shared" ref="BX66" si="618">+IF(BT64&lt;0,1-BX64/BT64,BX64/BT64-1)</f>
        <v>-0.81056823585354765</v>
      </c>
      <c r="BY66" s="39">
        <f t="shared" ref="BY66" si="619">+IF(BU64&lt;0,1-BY64/BU64,BY64/BU64-1)</f>
        <v>4.9610012697256511E-2</v>
      </c>
      <c r="BZ66" s="39">
        <f t="shared" ref="BZ66" si="620">+IF(BV64&lt;0,1-BZ64/BV64,BZ64/BV64-1)</f>
        <v>-0.57847922273411712</v>
      </c>
      <c r="CA66" s="39">
        <f t="shared" ref="CA66" si="621">+IF(BW64&lt;0,1-CA64/BW64,CA64/BW64-1)</f>
        <v>-1.3018247990699106</v>
      </c>
      <c r="CB66" s="39">
        <f t="shared" ref="CB66" si="622">+IF(BX64&lt;0,1-CB64/BX64,CB64/BX64-1)</f>
        <v>-3.4072795732665107</v>
      </c>
      <c r="CC66" s="39">
        <f t="shared" ref="CC66" si="623">+IF(BY64&lt;0,1-CC64/BY64,CC64/BY64-1)</f>
        <v>-0.10986779573144045</v>
      </c>
      <c r="CD66" s="39">
        <f t="shared" ref="CD66" si="624">+IF(BZ64&lt;0,1-CD64/BZ64,CD64/BZ64-1)</f>
        <v>0.67254626122714956</v>
      </c>
      <c r="CE66" s="39">
        <f t="shared" ref="CE66" si="625">+IF(CA64&lt;0,1-CE64/CA64,CE64/CA64-1)</f>
        <v>6.2190587841232317</v>
      </c>
      <c r="CF66" s="39">
        <f t="shared" ref="CF66" si="626">+IF(CB64&lt;0,1-CF64/CB64,CF64/CB64-1)</f>
        <v>4.6746611053179628</v>
      </c>
      <c r="CG66" s="39">
        <f t="shared" ref="CG66" si="627">+IF(CC64&lt;0,1-CG64/CC64,CG64/CC64-1)</f>
        <v>0.90826578653593071</v>
      </c>
      <c r="CH66" s="39">
        <f t="shared" ref="CH66:CL66" si="628">+IF(CD64&lt;0,1-CH64/CD64,CH64/CD64-1)</f>
        <v>0.14208074534162085</v>
      </c>
      <c r="CI66" s="39">
        <f t="shared" si="628"/>
        <v>-0.25626544299329068</v>
      </c>
      <c r="CJ66" s="39">
        <f t="shared" si="628"/>
        <v>-0.19285612939841523</v>
      </c>
      <c r="CK66" s="39">
        <f t="shared" si="628"/>
        <v>-0.26833858988707304</v>
      </c>
      <c r="CL66" s="39">
        <f t="shared" si="628"/>
        <v>0.52554951280307516</v>
      </c>
      <c r="CM66" s="40">
        <f t="shared" ref="CM66" si="629">+CM64/CI64-1</f>
        <v>0.1822528956241336</v>
      </c>
      <c r="CN66" s="40">
        <f t="shared" ref="CN66" si="630">+CN64/CJ64-1</f>
        <v>0.38495256420333024</v>
      </c>
      <c r="CO66" s="40">
        <f t="shared" ref="CO66" si="631">+CO64/CK64-1</f>
        <v>9.9233108898304723E-2</v>
      </c>
      <c r="CP66" s="40">
        <f t="shared" ref="CP66" si="632">+CP64/CL64-1</f>
        <v>0.36745433756253321</v>
      </c>
      <c r="CQ66" s="40">
        <f t="shared" ref="CQ66" si="633">+CQ64/CM64-1</f>
        <v>1.5743141275139649E-3</v>
      </c>
      <c r="CR66" s="40">
        <f t="shared" ref="CR66" si="634">+CR64/CN64-1</f>
        <v>-9.6561662608200871E-2</v>
      </c>
      <c r="CS66" s="40">
        <f t="shared" ref="CS66" si="635">+CS64/CO64-1</f>
        <v>-3.5339783555075055E-3</v>
      </c>
      <c r="CT66" s="40">
        <f t="shared" ref="CT66" si="636">+CT64/CP64-1</f>
        <v>0.10493161901269077</v>
      </c>
      <c r="CU66" s="40">
        <f t="shared" ref="CU66" si="637">+CU64/CQ64-1</f>
        <v>1.8361025040594559E-2</v>
      </c>
      <c r="CV66" s="40">
        <f t="shared" ref="CV66" si="638">+CV64/CR64-1</f>
        <v>8.8154498860908426E-3</v>
      </c>
      <c r="CW66" s="40">
        <f t="shared" ref="CW66" si="639">+CW64/CS64-1</f>
        <v>8.5548795416781065E-3</v>
      </c>
      <c r="CX66" s="40">
        <f t="shared" ref="CX66" si="640">+CX64/CT64-1</f>
        <v>-1.109244330674275E-2</v>
      </c>
      <c r="CY66" s="40">
        <f t="shared" ref="CY66" si="641">+CY64/CU64-1</f>
        <v>1.0722972834702249E-2</v>
      </c>
      <c r="CZ66" s="40">
        <f t="shared" ref="CZ66" si="642">+CZ64/CV64-1</f>
        <v>4.7120752795593024E-3</v>
      </c>
      <c r="DA66" s="40">
        <f t="shared" ref="DA66" si="643">+DA64/CW64-1</f>
        <v>1.0593383106598964E-2</v>
      </c>
      <c r="DB66" s="40">
        <f t="shared" ref="DB66" si="644">+DB64/CX64-1</f>
        <v>2.5765228596504874E-2</v>
      </c>
      <c r="DE66" s="122"/>
      <c r="DF66" s="39">
        <v>0.86683039210017121</v>
      </c>
    </row>
    <row r="67" spans="1:110" s="39" customFormat="1" x14ac:dyDescent="0.2">
      <c r="A67" s="39" t="s">
        <v>452</v>
      </c>
      <c r="AB67" s="40"/>
      <c r="AC67" s="40"/>
      <c r="AD67" s="40"/>
      <c r="AE67" s="40"/>
      <c r="AJ67" s="39" t="e">
        <f>+IF(AI64&lt;0,1-AJ64/AI64,AJ64/AI64-1)</f>
        <v>#DIV/0!</v>
      </c>
      <c r="AK67" s="39" t="e">
        <f t="shared" ref="AK67:AM67" si="645">+IF(AJ64&lt;0,1-AK64/AJ64,AK64/AJ64-1)</f>
        <v>#DIV/0!</v>
      </c>
      <c r="AL67" s="39" t="e">
        <f t="shared" si="645"/>
        <v>#DIV/0!</v>
      </c>
      <c r="AM67" s="39" t="e">
        <f t="shared" si="645"/>
        <v>#DIV/0!</v>
      </c>
      <c r="AN67" s="39" t="e">
        <f t="shared" ref="AN67" si="646">+IF(AM64&lt;0,1-AN64/AM64,AN64/AM64-1)</f>
        <v>#DIV/0!</v>
      </c>
      <c r="AO67" s="39" t="e">
        <f t="shared" ref="AO67" si="647">+IF(AN64&lt;0,1-AO64/AN64,AO64/AN64-1)</f>
        <v>#DIV/0!</v>
      </c>
      <c r="AP67" s="39" t="e">
        <f t="shared" ref="AP67" si="648">+IF(AO64&lt;0,1-AP64/AO64,AP64/AO64-1)</f>
        <v>#DIV/0!</v>
      </c>
      <c r="AQ67" s="39" t="e">
        <f t="shared" ref="AQ67" si="649">+IF(AP64&lt;0,1-AQ64/AP64,AQ64/AP64-1)</f>
        <v>#DIV/0!</v>
      </c>
      <c r="AR67" s="39" t="e">
        <f t="shared" ref="AR67" si="650">+IF(AQ64&lt;0,1-AR64/AQ64,AR64/AQ64-1)</f>
        <v>#DIV/0!</v>
      </c>
      <c r="AS67" s="39" t="e">
        <f t="shared" ref="AS67" si="651">+IF(AR64&lt;0,1-AS64/AR64,AS64/AR64-1)</f>
        <v>#DIV/0!</v>
      </c>
      <c r="AT67" s="39" t="e">
        <f t="shared" ref="AT67" si="652">+IF(AS64&lt;0,1-AT64/AS64,AT64/AS64-1)</f>
        <v>#DIV/0!</v>
      </c>
      <c r="AU67" s="39" t="e">
        <f t="shared" ref="AU67" si="653">+IF(AT64&lt;0,1-AU64/AT64,AU64/AT64-1)</f>
        <v>#DIV/0!</v>
      </c>
      <c r="AV67" s="39" t="e">
        <f t="shared" ref="AV67" si="654">+IF(AU64&lt;0,1-AV64/AU64,AV64/AU64-1)</f>
        <v>#DIV/0!</v>
      </c>
      <c r="AW67" s="39" t="e">
        <f t="shared" ref="AW67" si="655">+IF(AV64&lt;0,1-AW64/AV64,AW64/AV64-1)</f>
        <v>#DIV/0!</v>
      </c>
      <c r="AX67" s="39" t="e">
        <f t="shared" ref="AX67" si="656">+IF(AW64&lt;0,1-AX64/AW64,AX64/AW64-1)</f>
        <v>#DIV/0!</v>
      </c>
      <c r="AY67" s="39" t="e">
        <f t="shared" ref="AY67" si="657">+IF(AX64&lt;0,1-AY64/AX64,AY64/AX64-1)</f>
        <v>#DIV/0!</v>
      </c>
      <c r="AZ67" s="39" t="e">
        <f t="shared" ref="AZ67" si="658">+IF(AY64&lt;0,1-AZ64/AY64,AZ64/AY64-1)</f>
        <v>#DIV/0!</v>
      </c>
      <c r="BA67" s="39" t="e">
        <f t="shared" ref="BA67" si="659">+IF(AZ64&lt;0,1-BA64/AZ64,BA64/AZ64-1)</f>
        <v>#DIV/0!</v>
      </c>
      <c r="BB67" s="39" t="e">
        <f t="shared" ref="BB67" si="660">+IF(BA64&lt;0,1-BB64/BA64,BB64/BA64-1)</f>
        <v>#DIV/0!</v>
      </c>
      <c r="BC67" s="39" t="e">
        <f t="shared" ref="BC67" si="661">+IF(BB64&lt;0,1-BC64/BB64,BC64/BB64-1)</f>
        <v>#DIV/0!</v>
      </c>
      <c r="BD67" s="39" t="e">
        <f t="shared" ref="BD67" si="662">+IF(BC64&lt;0,1-BD64/BC64,BD64/BC64-1)</f>
        <v>#DIV/0!</v>
      </c>
      <c r="BE67" s="39" t="e">
        <f t="shared" ref="BE67" si="663">+IF(BD64&lt;0,1-BE64/BD64,BE64/BD64-1)</f>
        <v>#DIV/0!</v>
      </c>
      <c r="BF67" s="39" t="e">
        <f t="shared" ref="BF67" si="664">+IF(BE64&lt;0,1-BF64/BE64,BF64/BE64-1)</f>
        <v>#DIV/0!</v>
      </c>
      <c r="BG67" s="39" t="e">
        <f t="shared" ref="BG67" si="665">+IF(BF64&lt;0,1-BG64/BF64,BG64/BF64-1)</f>
        <v>#DIV/0!</v>
      </c>
      <c r="BH67" s="39" t="e">
        <f t="shared" ref="BH67" si="666">+IF(BG64&lt;0,1-BH64/BG64,BH64/BG64-1)</f>
        <v>#DIV/0!</v>
      </c>
      <c r="BI67" s="39" t="e">
        <f t="shared" ref="BI67" si="667">+IF(BH64&lt;0,1-BI64/BH64,BI64/BH64-1)</f>
        <v>#DIV/0!</v>
      </c>
      <c r="BJ67" s="39" t="e">
        <f t="shared" ref="BJ67" si="668">+IF(BI64&lt;0,1-BJ64/BI64,BJ64/BI64-1)</f>
        <v>#DIV/0!</v>
      </c>
      <c r="BK67" s="39" t="e">
        <f t="shared" ref="BK67" si="669">+IF(BJ64&lt;0,1-BK64/BJ64,BK64/BJ64-1)</f>
        <v>#DIV/0!</v>
      </c>
      <c r="BL67" s="39" t="e">
        <f t="shared" ref="BL67" si="670">+IF(BK64&lt;0,1-BL64/BK64,BL64/BK64-1)</f>
        <v>#DIV/0!</v>
      </c>
      <c r="BM67" s="39" t="e">
        <f t="shared" ref="BM67" si="671">+IF(BL64&lt;0,1-BM64/BL64,BM64/BL64-1)</f>
        <v>#DIV/0!</v>
      </c>
      <c r="BN67" s="39" t="e">
        <f t="shared" ref="BN67" si="672">+IF(BM64&lt;0,1-BN64/BM64,BN64/BM64-1)</f>
        <v>#DIV/0!</v>
      </c>
      <c r="BO67" s="39" t="e">
        <f t="shared" ref="BO67" si="673">+IF(BN64&lt;0,1-BO64/BN64,BO64/BN64-1)</f>
        <v>#DIV/0!</v>
      </c>
      <c r="BP67" s="39" t="e">
        <f t="shared" ref="BP67" si="674">+IF(BO64&lt;0,1-BP64/BO64,BP64/BO64-1)</f>
        <v>#DIV/0!</v>
      </c>
      <c r="BQ67" s="39" t="e">
        <f t="shared" ref="BQ67" si="675">+IF(BP64&lt;0,1-BQ64/BP64,BQ64/BP64-1)</f>
        <v>#DIV/0!</v>
      </c>
      <c r="BR67" s="39">
        <f t="shared" ref="BR67" si="676">+IF(BQ64&lt;0,1-BR64/BQ64,BR64/BQ64-1)</f>
        <v>1.6854208325758897</v>
      </c>
      <c r="BS67" s="39">
        <f t="shared" ref="BS67" si="677">+IF(BR64&lt;0,1-BS64/BR64,BS64/BR64-1)</f>
        <v>-0.43696056862413601</v>
      </c>
      <c r="BT67" s="39">
        <f t="shared" ref="BT67" si="678">+IF(BS64&lt;0,1-BT64/BS64,BT64/BS64-1)</f>
        <v>1.1361587015331187E-2</v>
      </c>
      <c r="BU67" s="39">
        <f t="shared" ref="BU67" si="679">+IF(BT64&lt;0,1-BU64/BT64,BU64/BT64-1)</f>
        <v>0.3107465525439892</v>
      </c>
      <c r="BV67" s="39">
        <f t="shared" ref="BV67" si="680">+IF(BU64&lt;0,1-BV64/BU64,BV64/BU64-1)</f>
        <v>-5.8498095410893791E-3</v>
      </c>
      <c r="BW67" s="39">
        <f t="shared" ref="BW67" si="681">+IF(BV64&lt;0,1-BW64/BV64,BW64/BV64-1)</f>
        <v>-9.7614377594304358E-2</v>
      </c>
      <c r="BX67" s="39">
        <f t="shared" ref="BX67" si="682">+IF(BW64&lt;0,1-BX64/BW64,BX64/BW64-1)</f>
        <v>-0.83890208765101804</v>
      </c>
      <c r="BY67" s="39">
        <f t="shared" ref="BY67" si="683">+IF(BX64&lt;0,1-BY64/BX64,BY64/BX64-1)</f>
        <v>6.2626294320679614</v>
      </c>
      <c r="BZ67" s="39">
        <f t="shared" ref="BZ67" si="684">+IF(BY64&lt;0,1-BZ64/BY64,BZ64/BY64-1)</f>
        <v>-0.60075174976238022</v>
      </c>
      <c r="CA67" s="39">
        <f t="shared" ref="CA67" si="685">+IF(BZ64&lt;0,1-CA64/BZ64,CA64/BZ64-1)</f>
        <v>-1.6461421924034296</v>
      </c>
      <c r="CB67" s="39">
        <f t="shared" ref="CB67" si="686">+IF(CA64&lt;0,1-CB64/CA64,CB64/CA64-1)</f>
        <v>-0.28487690504104801</v>
      </c>
      <c r="CC67" s="39">
        <f t="shared" ref="CC67" si="687">+IF(CB64&lt;0,1-CC64/CB64,CC64/CB64-1)</f>
        <v>3.6854796663190323</v>
      </c>
      <c r="CD67" s="39">
        <f t="shared" ref="CD67" si="688">+IF(CC64&lt;0,1-CD64/CC64,CD64/CC64-1)</f>
        <v>-0.24981798767170127</v>
      </c>
      <c r="CE67" s="39">
        <f t="shared" ref="CE67" si="689">+IF(CD64&lt;0,1-CE64/CD64,CE64/CD64-1)</f>
        <v>1.0162396480331344</v>
      </c>
      <c r="CF67" s="39">
        <f t="shared" ref="CF67" si="690">+IF(CE64&lt;0,1-CF64/CE64,CF64/CE64-1)</f>
        <v>-9.5337419375543631E-2</v>
      </c>
      <c r="CG67" s="39">
        <f t="shared" ref="CG67" si="691">+IF(CF64&lt;0,1-CG64/CF64,CG64/CF64-1)</f>
        <v>0.39458002270147108</v>
      </c>
      <c r="CH67" s="39">
        <f t="shared" ref="CH67:CL67" si="692">+IF(CG64&lt;0,1-CH64/CG64,CH64/CG64-1)</f>
        <v>-0.55102248448468516</v>
      </c>
      <c r="CI67" s="39">
        <f t="shared" si="692"/>
        <v>0.31299569453886544</v>
      </c>
      <c r="CJ67" s="39">
        <f t="shared" si="692"/>
        <v>-1.8207705915358141E-2</v>
      </c>
      <c r="CK67" s="39">
        <f t="shared" si="692"/>
        <v>0.26416172269830351</v>
      </c>
      <c r="CL67" s="39">
        <f t="shared" si="692"/>
        <v>-6.3860112632961874E-2</v>
      </c>
      <c r="CM67" s="40">
        <f t="shared" ref="CM67" si="693">+CM64/CL64-1</f>
        <v>1.7530371045368254E-2</v>
      </c>
      <c r="CN67" s="40">
        <f t="shared" ref="CN67" si="694">+CN64/CM64-1</f>
        <v>0.15012258395845568</v>
      </c>
      <c r="CO67" s="40">
        <f t="shared" ref="CO67" si="695">+CO64/CN64-1</f>
        <v>3.3617443000588665E-3</v>
      </c>
      <c r="CP67" s="40">
        <f t="shared" ref="CP67" si="696">+CP64/CO64-1</f>
        <v>0.16456513107429371</v>
      </c>
      <c r="CQ67" s="40">
        <f t="shared" ref="CQ67" si="697">+CQ64/CP64-1</f>
        <v>-0.25472298745984634</v>
      </c>
      <c r="CR67" s="40">
        <f t="shared" ref="CR67" si="698">+CR64/CQ64-1</f>
        <v>3.7431591836829092E-2</v>
      </c>
      <c r="CS67" s="40">
        <f t="shared" ref="CS67" si="699">+CS64/CR64-1</f>
        <v>0.10667861239915766</v>
      </c>
      <c r="CT67" s="40">
        <f t="shared" ref="CT67" si="700">+CT64/CS64-1</f>
        <v>0.29132836220553293</v>
      </c>
      <c r="CU67" s="40">
        <f t="shared" ref="CU67" si="701">+CU64/CT64-1</f>
        <v>-0.31311490288625199</v>
      </c>
      <c r="CV67" s="40">
        <f t="shared" ref="CV67" si="702">+CV64/CU64-1</f>
        <v>2.7707259322100386E-2</v>
      </c>
      <c r="CW67" s="40">
        <f t="shared" ref="CW67" si="703">+CW64/CV64-1</f>
        <v>0.10639276464849146</v>
      </c>
      <c r="CX67" s="40">
        <f t="shared" ref="CX67" si="704">+CX64/CW64-1</f>
        <v>0.26617242299962274</v>
      </c>
      <c r="CY67" s="40">
        <f t="shared" ref="CY67" si="705">+CY64/CX64-1</f>
        <v>-0.29796213745992672</v>
      </c>
      <c r="CZ67" s="40">
        <f t="shared" ref="CZ67" si="706">+CZ64/CY64-1</f>
        <v>2.1595354063692396E-2</v>
      </c>
      <c r="DA67" s="40">
        <f t="shared" ref="DA67" si="707">+DA64/CZ64-1</f>
        <v>0.1128692832318845</v>
      </c>
      <c r="DB67" s="40">
        <f t="shared" ref="DB67" si="708">+DB64/DA64-1</f>
        <v>0.28518122781316446</v>
      </c>
      <c r="DE67" s="122"/>
      <c r="DF67" s="39">
        <v>0.14556386294071588</v>
      </c>
    </row>
    <row r="68" spans="1:110" s="75" customFormat="1" x14ac:dyDescent="0.2">
      <c r="A68" s="23" t="s">
        <v>23</v>
      </c>
      <c r="B68" s="75">
        <f>'Annual Raw'!C32</f>
        <v>0</v>
      </c>
      <c r="C68" s="75">
        <f>'Annual Raw'!D32</f>
        <v>0</v>
      </c>
      <c r="D68" s="75">
        <f>'Annual Raw'!E32</f>
        <v>0</v>
      </c>
      <c r="E68" s="75">
        <f>'Annual Raw'!F32</f>
        <v>0</v>
      </c>
      <c r="F68" s="75">
        <f>'Annual Raw'!G32</f>
        <v>0</v>
      </c>
      <c r="G68" s="75">
        <f>'Annual Raw'!H32</f>
        <v>0</v>
      </c>
      <c r="H68" s="75">
        <f>'Annual Raw'!I32</f>
        <v>0</v>
      </c>
      <c r="I68" s="75">
        <f>'Annual Raw'!J32</f>
        <v>0</v>
      </c>
      <c r="J68" s="75">
        <f>'Annual Raw'!K32</f>
        <v>0</v>
      </c>
      <c r="K68" s="75">
        <f>'Annual Raw'!L32</f>
        <v>0</v>
      </c>
      <c r="L68" s="75">
        <f>'Annual Raw'!M32</f>
        <v>0</v>
      </c>
      <c r="M68" s="75">
        <f>'Annual Raw'!N32</f>
        <v>0</v>
      </c>
      <c r="N68" s="75">
        <f>'Annual Raw'!O32</f>
        <v>0</v>
      </c>
      <c r="O68" s="75">
        <f>'Annual Raw'!P32</f>
        <v>0</v>
      </c>
      <c r="P68" s="75">
        <f>'Annual Raw'!Q32</f>
        <v>0</v>
      </c>
      <c r="Q68" s="75">
        <f>'Annual Raw'!R32</f>
        <v>0</v>
      </c>
      <c r="R68" s="75">
        <f>'Annual Raw'!S32</f>
        <v>0</v>
      </c>
      <c r="S68" s="75">
        <f>'Annual Raw'!T32</f>
        <v>0</v>
      </c>
      <c r="T68" s="75">
        <f>'Annual Raw'!U32</f>
        <v>0</v>
      </c>
      <c r="U68" s="75">
        <f>'Annual Raw'!V32</f>
        <v>0</v>
      </c>
      <c r="V68" s="75">
        <f>'Annual Raw'!W32</f>
        <v>0</v>
      </c>
      <c r="W68" s="75">
        <f>'Annual Raw'!X32</f>
        <v>0</v>
      </c>
      <c r="X68" s="75">
        <f>'Annual Raw'!Y32</f>
        <v>0</v>
      </c>
      <c r="Y68" s="75">
        <f>'Annual Raw'!Z32</f>
        <v>0</v>
      </c>
      <c r="Z68" s="75">
        <f>'Annual Raw'!AA32</f>
        <v>-0.73</v>
      </c>
      <c r="AA68" s="75">
        <f>'Annual Raw'!AB32</f>
        <v>-2.84</v>
      </c>
      <c r="AB68" s="76">
        <f t="shared" ref="AB68:AB69" si="709">+SUM(CM68:CP68)</f>
        <v>-3.92</v>
      </c>
      <c r="AC68" s="76">
        <f t="shared" ref="AC68:AC69" si="710">+SUM(CQ68:CT68)</f>
        <v>-3.92</v>
      </c>
      <c r="AD68" s="76">
        <f t="shared" ref="AD68:AD69" si="711">+SUM(CU68:CX68)</f>
        <v>-3.92</v>
      </c>
      <c r="AE68" s="76">
        <f t="shared" ref="AE68:AE69" si="712">+SUM(CY68:DB68)</f>
        <v>-3.92</v>
      </c>
      <c r="AI68" s="75">
        <f>'QTR Raw'!C34</f>
        <v>0</v>
      </c>
      <c r="AJ68" s="75">
        <f>'QTR Raw'!D34</f>
        <v>0</v>
      </c>
      <c r="AK68" s="75">
        <f>'QTR Raw'!E34</f>
        <v>0</v>
      </c>
      <c r="AL68" s="75">
        <f>'QTR Raw'!F34</f>
        <v>0</v>
      </c>
      <c r="AM68" s="75">
        <f>'QTR Raw'!G34</f>
        <v>0</v>
      </c>
      <c r="AN68" s="75">
        <f>'QTR Raw'!H34</f>
        <v>0</v>
      </c>
      <c r="AO68" s="75">
        <f>'QTR Raw'!I34</f>
        <v>0</v>
      </c>
      <c r="AP68" s="75">
        <f>'QTR Raw'!J34</f>
        <v>0</v>
      </c>
      <c r="AQ68" s="75">
        <f>'QTR Raw'!K34</f>
        <v>0</v>
      </c>
      <c r="AR68" s="75">
        <f>'QTR Raw'!L34</f>
        <v>0</v>
      </c>
      <c r="AS68" s="75">
        <f>'QTR Raw'!M34</f>
        <v>0</v>
      </c>
      <c r="AT68" s="75">
        <f>'QTR Raw'!N34</f>
        <v>0</v>
      </c>
      <c r="AU68" s="75">
        <f>'QTR Raw'!O34</f>
        <v>0</v>
      </c>
      <c r="AV68" s="75">
        <f>'QTR Raw'!P34</f>
        <v>0</v>
      </c>
      <c r="AW68" s="75">
        <f>'QTR Raw'!Q34</f>
        <v>0</v>
      </c>
      <c r="AX68" s="75">
        <f>'QTR Raw'!R34</f>
        <v>0</v>
      </c>
      <c r="AY68" s="75">
        <f>'QTR Raw'!S34</f>
        <v>0</v>
      </c>
      <c r="AZ68" s="75">
        <f>'QTR Raw'!T34</f>
        <v>0</v>
      </c>
      <c r="BA68" s="75">
        <f>'QTR Raw'!U34</f>
        <v>0</v>
      </c>
      <c r="BB68" s="75">
        <f>'QTR Raw'!V34</f>
        <v>0</v>
      </c>
      <c r="BC68" s="75">
        <f>'QTR Raw'!W34</f>
        <v>0</v>
      </c>
      <c r="BD68" s="75">
        <f>'QTR Raw'!X34</f>
        <v>0</v>
      </c>
      <c r="BE68" s="75">
        <f>'QTR Raw'!Y34</f>
        <v>0</v>
      </c>
      <c r="BF68" s="75">
        <f>'QTR Raw'!Z34</f>
        <v>0</v>
      </c>
      <c r="BG68" s="75">
        <f>'QTR Raw'!AA34</f>
        <v>0</v>
      </c>
      <c r="BH68" s="75">
        <f>'QTR Raw'!AB34</f>
        <v>0</v>
      </c>
      <c r="BI68" s="75">
        <f>'QTR Raw'!AC34</f>
        <v>0</v>
      </c>
      <c r="BJ68" s="75">
        <f>'QTR Raw'!AD34</f>
        <v>0</v>
      </c>
      <c r="BK68" s="75">
        <f>'QTR Raw'!AE34</f>
        <v>0</v>
      </c>
      <c r="BL68" s="75">
        <f>'QTR Raw'!AF34</f>
        <v>0</v>
      </c>
      <c r="BM68" s="75">
        <f>'QTR Raw'!AG34</f>
        <v>0</v>
      </c>
      <c r="BN68" s="75">
        <f>'QTR Raw'!AH34</f>
        <v>0</v>
      </c>
      <c r="BO68" s="75">
        <f>'QTR Raw'!AI34</f>
        <v>0</v>
      </c>
      <c r="BP68" s="75">
        <f>'QTR Raw'!AJ34</f>
        <v>0</v>
      </c>
      <c r="BQ68" s="75">
        <f>'QTR Raw'!AK34</f>
        <v>0</v>
      </c>
      <c r="BR68" s="75">
        <f>'QTR Raw'!AL34</f>
        <v>0</v>
      </c>
      <c r="BS68" s="75">
        <f>'QTR Raw'!AM34</f>
        <v>0</v>
      </c>
      <c r="BT68" s="75">
        <f>'QTR Raw'!AN34</f>
        <v>0</v>
      </c>
      <c r="BU68" s="75">
        <f>'QTR Raw'!AO34</f>
        <v>0</v>
      </c>
      <c r="BV68" s="75">
        <f>'QTR Raw'!AP34</f>
        <v>0</v>
      </c>
      <c r="BW68" s="75">
        <f>'QTR Raw'!AQ34</f>
        <v>0</v>
      </c>
      <c r="BX68" s="75">
        <f>'QTR Raw'!AR34</f>
        <v>0</v>
      </c>
      <c r="BY68" s="75">
        <f>'QTR Raw'!AS34</f>
        <v>0</v>
      </c>
      <c r="BZ68" s="75">
        <f>'QTR Raw'!AT34</f>
        <v>0</v>
      </c>
      <c r="CA68" s="75">
        <f>'QTR Raw'!AU34</f>
        <v>0</v>
      </c>
      <c r="CB68" s="75">
        <f>'QTR Raw'!AV34</f>
        <v>0</v>
      </c>
      <c r="CC68" s="75">
        <f>'QTR Raw'!AW34</f>
        <v>0</v>
      </c>
      <c r="CD68" s="75">
        <f>'QTR Raw'!AX34</f>
        <v>0</v>
      </c>
      <c r="CE68" s="75">
        <f>'QTR Raw'!AY34</f>
        <v>0</v>
      </c>
      <c r="CF68" s="75">
        <f>'QTR Raw'!AZ34</f>
        <v>0.01</v>
      </c>
      <c r="CG68" s="75">
        <f>'QTR Raw'!BA34</f>
        <v>-0.36</v>
      </c>
      <c r="CH68" s="75">
        <f>'QTR Raw'!BB34</f>
        <v>-0.38</v>
      </c>
      <c r="CI68" s="75">
        <f>'QTR Raw'!BC34</f>
        <v>-1.52</v>
      </c>
      <c r="CJ68" s="75">
        <f>'QTR Raw'!BD34</f>
        <v>-0.13</v>
      </c>
      <c r="CK68" s="75">
        <f>'QTR Raw'!BE34</f>
        <v>-0.21</v>
      </c>
      <c r="CL68" s="75">
        <f>'QTR Raw'!BF34</f>
        <v>-0.98</v>
      </c>
      <c r="CM68" s="76">
        <f t="shared" ref="CM68:CM69" si="713">+CL68</f>
        <v>-0.98</v>
      </c>
      <c r="CN68" s="76">
        <f t="shared" ref="CN68:CN69" si="714">+CM68</f>
        <v>-0.98</v>
      </c>
      <c r="CO68" s="76">
        <f t="shared" ref="CO68:CO69" si="715">+CN68</f>
        <v>-0.98</v>
      </c>
      <c r="CP68" s="76">
        <f t="shared" ref="CP68:CP69" si="716">+CO68</f>
        <v>-0.98</v>
      </c>
      <c r="CQ68" s="76">
        <f t="shared" ref="CQ68:CQ69" si="717">+CP68</f>
        <v>-0.98</v>
      </c>
      <c r="CR68" s="76">
        <f t="shared" ref="CR68:CR69" si="718">+CQ68</f>
        <v>-0.98</v>
      </c>
      <c r="CS68" s="76">
        <f t="shared" ref="CS68:CS69" si="719">+CR68</f>
        <v>-0.98</v>
      </c>
      <c r="CT68" s="76">
        <f t="shared" ref="CT68:CT69" si="720">+CS68</f>
        <v>-0.98</v>
      </c>
      <c r="CU68" s="76">
        <f t="shared" ref="CU68:CU69" si="721">+CT68</f>
        <v>-0.98</v>
      </c>
      <c r="CV68" s="76">
        <f t="shared" ref="CV68:CV69" si="722">+CU68</f>
        <v>-0.98</v>
      </c>
      <c r="CW68" s="76">
        <f t="shared" ref="CW68:CW69" si="723">+CV68</f>
        <v>-0.98</v>
      </c>
      <c r="CX68" s="76">
        <f t="shared" ref="CX68:CX69" si="724">+CW68</f>
        <v>-0.98</v>
      </c>
      <c r="CY68" s="76">
        <f t="shared" ref="CY68:CY69" si="725">+CX68</f>
        <v>-0.98</v>
      </c>
      <c r="CZ68" s="76">
        <f t="shared" ref="CZ68:CZ69" si="726">+CY68</f>
        <v>-0.98</v>
      </c>
      <c r="DA68" s="76">
        <f t="shared" ref="DA68:DA69" si="727">+CZ68</f>
        <v>-0.98</v>
      </c>
      <c r="DB68" s="76">
        <f t="shared" ref="DB68:DB69" si="728">+DA68</f>
        <v>-0.98</v>
      </c>
      <c r="DE68" s="131"/>
      <c r="DF68" s="75">
        <v>-0.21</v>
      </c>
    </row>
    <row r="69" spans="1:110" s="75" customFormat="1" x14ac:dyDescent="0.2">
      <c r="A69" s="23" t="s">
        <v>24</v>
      </c>
      <c r="B69" s="75">
        <f>'Annual Raw'!C33+'Annual Raw'!C28</f>
        <v>0</v>
      </c>
      <c r="C69" s="75">
        <f>'Annual Raw'!D33+'Annual Raw'!D28</f>
        <v>0</v>
      </c>
      <c r="D69" s="75">
        <f>'Annual Raw'!E33+'Annual Raw'!E28</f>
        <v>0</v>
      </c>
      <c r="E69" s="75">
        <f>'Annual Raw'!F33+'Annual Raw'!F28</f>
        <v>0</v>
      </c>
      <c r="F69" s="75">
        <f>'Annual Raw'!G33+'Annual Raw'!G28</f>
        <v>0</v>
      </c>
      <c r="G69" s="75">
        <f>'Annual Raw'!H33+'Annual Raw'!H28</f>
        <v>0</v>
      </c>
      <c r="H69" s="75">
        <f>'Annual Raw'!I33+'Annual Raw'!I28</f>
        <v>0</v>
      </c>
      <c r="I69" s="75">
        <f>'Annual Raw'!J33+'Annual Raw'!J28</f>
        <v>0</v>
      </c>
      <c r="J69" s="75">
        <f>'Annual Raw'!K33+'Annual Raw'!K28</f>
        <v>0</v>
      </c>
      <c r="K69" s="75">
        <f>'Annual Raw'!L33+'Annual Raw'!L28</f>
        <v>0</v>
      </c>
      <c r="L69" s="75">
        <f>'Annual Raw'!M33+'Annual Raw'!M28</f>
        <v>0</v>
      </c>
      <c r="M69" s="75">
        <f>'Annual Raw'!N33+'Annual Raw'!N28</f>
        <v>0</v>
      </c>
      <c r="N69" s="75">
        <f>'Annual Raw'!O33+'Annual Raw'!O28</f>
        <v>0</v>
      </c>
      <c r="O69" s="75">
        <f>'Annual Raw'!P33+'Annual Raw'!P28</f>
        <v>0</v>
      </c>
      <c r="P69" s="75">
        <f>'Annual Raw'!Q33+'Annual Raw'!Q28</f>
        <v>0</v>
      </c>
      <c r="Q69" s="75">
        <f>'Annual Raw'!R33+'Annual Raw'!R28</f>
        <v>0</v>
      </c>
      <c r="R69" s="75">
        <f>'Annual Raw'!S33+'Annual Raw'!S28</f>
        <v>0</v>
      </c>
      <c r="S69" s="75">
        <f>'Annual Raw'!T33+'Annual Raw'!T28</f>
        <v>26.489000000000001</v>
      </c>
      <c r="T69" s="75">
        <f>'Annual Raw'!U33+'Annual Raw'!U28</f>
        <v>21.382000000000001</v>
      </c>
      <c r="U69" s="75">
        <f>'Annual Raw'!V33+'Annual Raw'!V28</f>
        <v>57.835999999999999</v>
      </c>
      <c r="V69" s="75">
        <f>'Annual Raw'!W33+'Annual Raw'!W28</f>
        <v>76.56</v>
      </c>
      <c r="W69" s="75">
        <f>'Annual Raw'!X33+'Annual Raw'!X28</f>
        <v>29.38</v>
      </c>
      <c r="X69" s="75">
        <f>'Annual Raw'!Y33+'Annual Raw'!Y28</f>
        <v>28.55</v>
      </c>
      <c r="Y69" s="75">
        <f>'Annual Raw'!Z33+'Annual Raw'!Z28</f>
        <v>-22.66</v>
      </c>
      <c r="Z69" s="75">
        <f>'Annual Raw'!AA33+'Annual Raw'!AA28</f>
        <v>62.58</v>
      </c>
      <c r="AA69" s="75">
        <f>'Annual Raw'!AB33+'Annual Raw'!AB28</f>
        <v>54.45</v>
      </c>
      <c r="AB69" s="76">
        <f t="shared" si="709"/>
        <v>95.08</v>
      </c>
      <c r="AC69" s="76">
        <f t="shared" si="710"/>
        <v>95.08</v>
      </c>
      <c r="AD69" s="76">
        <f t="shared" si="711"/>
        <v>95.08</v>
      </c>
      <c r="AE69" s="76">
        <f t="shared" si="712"/>
        <v>95.08</v>
      </c>
      <c r="AI69" s="75">
        <f>'QTR Raw'!C35</f>
        <v>0</v>
      </c>
      <c r="AJ69" s="75">
        <f>'QTR Raw'!D35</f>
        <v>0</v>
      </c>
      <c r="AK69" s="75">
        <f>'QTR Raw'!E35</f>
        <v>0</v>
      </c>
      <c r="AL69" s="75">
        <f>'QTR Raw'!F35</f>
        <v>0</v>
      </c>
      <c r="AM69" s="75">
        <f>'QTR Raw'!G35</f>
        <v>0</v>
      </c>
      <c r="AN69" s="75">
        <f>'QTR Raw'!H35</f>
        <v>0</v>
      </c>
      <c r="AO69" s="75">
        <f>'QTR Raw'!I35</f>
        <v>0</v>
      </c>
      <c r="AP69" s="75">
        <f>'QTR Raw'!J35</f>
        <v>0</v>
      </c>
      <c r="AQ69" s="75">
        <f>'QTR Raw'!K35</f>
        <v>0</v>
      </c>
      <c r="AR69" s="75">
        <f>'QTR Raw'!L35</f>
        <v>0</v>
      </c>
      <c r="AS69" s="75">
        <f>'QTR Raw'!M35</f>
        <v>0</v>
      </c>
      <c r="AT69" s="75">
        <f>'QTR Raw'!N35</f>
        <v>0</v>
      </c>
      <c r="AU69" s="75">
        <f>'QTR Raw'!O35</f>
        <v>0</v>
      </c>
      <c r="AV69" s="75">
        <f>'QTR Raw'!P35</f>
        <v>0</v>
      </c>
      <c r="AW69" s="75">
        <f>'QTR Raw'!Q35</f>
        <v>0</v>
      </c>
      <c r="AX69" s="75">
        <f>'QTR Raw'!R35</f>
        <v>0</v>
      </c>
      <c r="AY69" s="75">
        <f>'QTR Raw'!S35</f>
        <v>0</v>
      </c>
      <c r="AZ69" s="75">
        <f>'QTR Raw'!T35</f>
        <v>0</v>
      </c>
      <c r="BA69" s="75">
        <f>'QTR Raw'!U35</f>
        <v>0</v>
      </c>
      <c r="BB69" s="75">
        <f>'QTR Raw'!V35</f>
        <v>0</v>
      </c>
      <c r="BC69" s="75">
        <f>'QTR Raw'!W35</f>
        <v>0</v>
      </c>
      <c r="BD69" s="75">
        <f>'QTR Raw'!X35</f>
        <v>0</v>
      </c>
      <c r="BE69" s="75">
        <f>'QTR Raw'!Y35</f>
        <v>0</v>
      </c>
      <c r="BF69" s="75">
        <f>'QTR Raw'!Z35</f>
        <v>0</v>
      </c>
      <c r="BG69" s="75">
        <f>'QTR Raw'!AA35</f>
        <v>0</v>
      </c>
      <c r="BH69" s="75">
        <f>'QTR Raw'!AB35</f>
        <v>0</v>
      </c>
      <c r="BI69" s="75">
        <f>'QTR Raw'!AC35</f>
        <v>0</v>
      </c>
      <c r="BJ69" s="75">
        <f>'QTR Raw'!AD35</f>
        <v>0</v>
      </c>
      <c r="BK69" s="75">
        <f>'QTR Raw'!AE35</f>
        <v>0</v>
      </c>
      <c r="BL69" s="75">
        <f>'QTR Raw'!AF35</f>
        <v>0</v>
      </c>
      <c r="BM69" s="75">
        <f>'QTR Raw'!AG35</f>
        <v>0</v>
      </c>
      <c r="BN69" s="75">
        <f>'QTR Raw'!AH35</f>
        <v>0</v>
      </c>
      <c r="BO69" s="75">
        <f>'QTR Raw'!AI35</f>
        <v>0</v>
      </c>
      <c r="BP69" s="75">
        <f>'QTR Raw'!AJ35</f>
        <v>0</v>
      </c>
      <c r="BQ69" s="75">
        <f>'QTR Raw'!AK35</f>
        <v>17.37</v>
      </c>
      <c r="BR69" s="75">
        <f>'QTR Raw'!AL35</f>
        <v>19.55</v>
      </c>
      <c r="BS69" s="75">
        <f>'QTR Raw'!AM35</f>
        <v>9.35</v>
      </c>
      <c r="BT69" s="75">
        <f>'QTR Raw'!AN35</f>
        <v>14.09</v>
      </c>
      <c r="BU69" s="75">
        <f>'QTR Raw'!AO35</f>
        <v>-9.11</v>
      </c>
      <c r="BV69" s="75">
        <f>'QTR Raw'!AP35</f>
        <v>15.06</v>
      </c>
      <c r="BW69" s="75">
        <f>'QTR Raw'!AQ35</f>
        <v>-4.24</v>
      </c>
      <c r="BX69" s="75">
        <f>'QTR Raw'!AR35</f>
        <v>16.89</v>
      </c>
      <c r="BY69" s="75">
        <f>'QTR Raw'!AS35</f>
        <v>14.7</v>
      </c>
      <c r="BZ69" s="75">
        <f>'QTR Raw'!AT35</f>
        <v>1.2</v>
      </c>
      <c r="CA69" s="75">
        <f>'QTR Raw'!AU35</f>
        <v>-19.21</v>
      </c>
      <c r="CB69" s="75">
        <f>'QTR Raw'!AV35</f>
        <v>-0.5</v>
      </c>
      <c r="CC69" s="75">
        <f>'QTR Raw'!AW35</f>
        <v>-5.14</v>
      </c>
      <c r="CD69" s="75">
        <f>'QTR Raw'!AX35</f>
        <v>2.19</v>
      </c>
      <c r="CE69" s="75">
        <f>'QTR Raw'!AY35</f>
        <v>1.57</v>
      </c>
      <c r="CF69" s="75">
        <f>'QTR Raw'!AZ35</f>
        <v>29.1</v>
      </c>
      <c r="CG69" s="75">
        <f>'QTR Raw'!BA35</f>
        <v>17.77</v>
      </c>
      <c r="CH69" s="75">
        <f>'QTR Raw'!BB35</f>
        <v>14.14</v>
      </c>
      <c r="CI69" s="75">
        <f>'QTR Raw'!BC35</f>
        <v>6.18</v>
      </c>
      <c r="CJ69" s="75">
        <f>'QTR Raw'!BD35</f>
        <v>17.3</v>
      </c>
      <c r="CK69" s="75">
        <f>'QTR Raw'!BE35</f>
        <v>7.2</v>
      </c>
      <c r="CL69" s="75">
        <f>'QTR Raw'!BF35</f>
        <v>23.77</v>
      </c>
      <c r="CM69" s="76">
        <f t="shared" si="713"/>
        <v>23.77</v>
      </c>
      <c r="CN69" s="76">
        <f t="shared" si="714"/>
        <v>23.77</v>
      </c>
      <c r="CO69" s="76">
        <f t="shared" si="715"/>
        <v>23.77</v>
      </c>
      <c r="CP69" s="76">
        <f t="shared" si="716"/>
        <v>23.77</v>
      </c>
      <c r="CQ69" s="76">
        <f t="shared" si="717"/>
        <v>23.77</v>
      </c>
      <c r="CR69" s="76">
        <f t="shared" si="718"/>
        <v>23.77</v>
      </c>
      <c r="CS69" s="76">
        <f t="shared" si="719"/>
        <v>23.77</v>
      </c>
      <c r="CT69" s="76">
        <f t="shared" si="720"/>
        <v>23.77</v>
      </c>
      <c r="CU69" s="76">
        <f t="shared" si="721"/>
        <v>23.77</v>
      </c>
      <c r="CV69" s="76">
        <f t="shared" si="722"/>
        <v>23.77</v>
      </c>
      <c r="CW69" s="76">
        <f t="shared" si="723"/>
        <v>23.77</v>
      </c>
      <c r="CX69" s="76">
        <f t="shared" si="724"/>
        <v>23.77</v>
      </c>
      <c r="CY69" s="76">
        <f t="shared" si="725"/>
        <v>23.77</v>
      </c>
      <c r="CZ69" s="76">
        <f t="shared" si="726"/>
        <v>23.77</v>
      </c>
      <c r="DA69" s="76">
        <f t="shared" si="727"/>
        <v>23.77</v>
      </c>
      <c r="DB69" s="76">
        <f t="shared" si="728"/>
        <v>23.77</v>
      </c>
      <c r="DE69" s="131"/>
      <c r="DF69" s="75">
        <v>7.2</v>
      </c>
    </row>
    <row r="70" spans="1:110" s="23" customFormat="1" x14ac:dyDescent="0.2">
      <c r="A70" s="23" t="s">
        <v>19</v>
      </c>
      <c r="B70" s="75">
        <f>'Annual Raw'!C29+'Annual Raw'!C31+'Annual Raw'!C34+'Annual Raw'!C36</f>
        <v>0</v>
      </c>
      <c r="C70" s="75">
        <f>'Annual Raw'!D29+'Annual Raw'!D31+'Annual Raw'!D34+'Annual Raw'!D36</f>
        <v>0</v>
      </c>
      <c r="D70" s="75">
        <f>'Annual Raw'!E29+'Annual Raw'!E31+'Annual Raw'!E34+'Annual Raw'!E36</f>
        <v>0</v>
      </c>
      <c r="E70" s="75">
        <f>'Annual Raw'!F29+'Annual Raw'!F31+'Annual Raw'!F34+'Annual Raw'!F36</f>
        <v>0</v>
      </c>
      <c r="F70" s="75">
        <f>'Annual Raw'!G29+'Annual Raw'!G31+'Annual Raw'!G34+'Annual Raw'!G36</f>
        <v>0</v>
      </c>
      <c r="G70" s="75">
        <f>'Annual Raw'!H29+'Annual Raw'!H31+'Annual Raw'!H34+'Annual Raw'!H36</f>
        <v>0</v>
      </c>
      <c r="H70" s="75">
        <f>'Annual Raw'!I29+'Annual Raw'!I31+'Annual Raw'!I34+'Annual Raw'!I36</f>
        <v>0</v>
      </c>
      <c r="I70" s="75">
        <f>'Annual Raw'!J29+'Annual Raw'!J31+'Annual Raw'!J34+'Annual Raw'!J36</f>
        <v>0</v>
      </c>
      <c r="J70" s="75">
        <f>'Annual Raw'!K29+'Annual Raw'!K31+'Annual Raw'!K34+'Annual Raw'!K36</f>
        <v>0</v>
      </c>
      <c r="K70" s="75">
        <f>'Annual Raw'!L29+'Annual Raw'!L31+'Annual Raw'!L34+'Annual Raw'!L36</f>
        <v>-0.95499999999999996</v>
      </c>
      <c r="L70" s="75">
        <f>'Annual Raw'!M29+'Annual Raw'!M31+'Annual Raw'!M34+'Annual Raw'!M36</f>
        <v>0</v>
      </c>
      <c r="M70" s="75">
        <f>'Annual Raw'!N29+'Annual Raw'!N31+'Annual Raw'!N34+'Annual Raw'!N36</f>
        <v>0</v>
      </c>
      <c r="N70" s="75">
        <f>'Annual Raw'!O29+'Annual Raw'!O31+'Annual Raw'!O34+'Annual Raw'!O36</f>
        <v>0</v>
      </c>
      <c r="O70" s="75">
        <f>'Annual Raw'!P29+'Annual Raw'!P31+'Annual Raw'!P34+'Annual Raw'!P36</f>
        <v>0</v>
      </c>
      <c r="P70" s="75">
        <f>'Annual Raw'!Q29+'Annual Raw'!Q31+'Annual Raw'!Q34+'Annual Raw'!Q36</f>
        <v>0</v>
      </c>
      <c r="Q70" s="75">
        <f>'Annual Raw'!R29+'Annual Raw'!R31+'Annual Raw'!R34+'Annual Raw'!R36</f>
        <v>0</v>
      </c>
      <c r="R70" s="75">
        <f>'Annual Raw'!S29+'Annual Raw'!S31+'Annual Raw'!S34+'Annual Raw'!S36</f>
        <v>11</v>
      </c>
      <c r="S70" s="75">
        <f>'Annual Raw'!T29+'Annual Raw'!T31+'Annual Raw'!T34+'Annual Raw'!T36</f>
        <v>0</v>
      </c>
      <c r="T70" s="75">
        <f>'Annual Raw'!U29+'Annual Raw'!U31+'Annual Raw'!U34+'Annual Raw'!U36</f>
        <v>0</v>
      </c>
      <c r="U70" s="75">
        <f>'Annual Raw'!V29+'Annual Raw'!V31+'Annual Raw'!V34+'Annual Raw'!V36</f>
        <v>0</v>
      </c>
      <c r="V70" s="75">
        <f>'Annual Raw'!W29+'Annual Raw'!W31+'Annual Raw'!W34+'Annual Raw'!W36</f>
        <v>0</v>
      </c>
      <c r="W70" s="75">
        <f>'Annual Raw'!X29+'Annual Raw'!X31+'Annual Raw'!X34+'Annual Raw'!X36</f>
        <v>0</v>
      </c>
      <c r="X70" s="75">
        <f>'Annual Raw'!Y29+'Annual Raw'!Y31+'Annual Raw'!Y34+'Annual Raw'!Y36</f>
        <v>0</v>
      </c>
      <c r="Y70" s="75">
        <f>'Annual Raw'!Z29+'Annual Raw'!Z31+'Annual Raw'!Z34+'Annual Raw'!Z36</f>
        <v>-53.51</v>
      </c>
      <c r="Z70" s="75">
        <f>'Annual Raw'!AA29+'Annual Raw'!AA31+'Annual Raw'!AA34+'Annual Raw'!AA36</f>
        <v>0</v>
      </c>
      <c r="AA70" s="75">
        <f>'Annual Raw'!AB29+'Annual Raw'!AB31+'Annual Raw'!AB34+'Annual Raw'!AB36</f>
        <v>-25.83</v>
      </c>
      <c r="AB70" s="76">
        <f>+SUM(CM70:CP70)</f>
        <v>0</v>
      </c>
      <c r="AC70" s="76">
        <f>+SUM(CQ70:CT70)</f>
        <v>0</v>
      </c>
      <c r="AD70" s="76">
        <f>+SUM(CU70:CX70)</f>
        <v>0</v>
      </c>
      <c r="AE70" s="76">
        <f>+SUM(CY70:DB70)</f>
        <v>0</v>
      </c>
      <c r="AI70" s="75">
        <f>'QTR Raw'!C26+'QTR Raw'!C31+'QTR Raw'!C32+'QTR Raw'!C33+'QTR Raw'!C36+'QTR Raw'!C37+'QTR Raw'!C39</f>
        <v>0</v>
      </c>
      <c r="AJ70" s="75">
        <f>'QTR Raw'!D26+'QTR Raw'!D31+'QTR Raw'!D32+'QTR Raw'!D33+'QTR Raw'!D36+'QTR Raw'!D37+'QTR Raw'!D39</f>
        <v>0</v>
      </c>
      <c r="AK70" s="75">
        <f>'QTR Raw'!E26+'QTR Raw'!E31+'QTR Raw'!E32+'QTR Raw'!E33+'QTR Raw'!E36+'QTR Raw'!E37+'QTR Raw'!E39</f>
        <v>0</v>
      </c>
      <c r="AL70" s="75">
        <f>'QTR Raw'!F26+'QTR Raw'!F31+'QTR Raw'!F32+'QTR Raw'!F33+'QTR Raw'!F36+'QTR Raw'!F37+'QTR Raw'!F39</f>
        <v>0</v>
      </c>
      <c r="AM70" s="75">
        <f>'QTR Raw'!G26+'QTR Raw'!G31+'QTR Raw'!G32+'QTR Raw'!G33+'QTR Raw'!G36+'QTR Raw'!G37+'QTR Raw'!G39</f>
        <v>0</v>
      </c>
      <c r="AN70" s="75">
        <f>'QTR Raw'!H26+'QTR Raw'!H31+'QTR Raw'!H32+'QTR Raw'!H33+'QTR Raw'!H36+'QTR Raw'!H37+'QTR Raw'!H39</f>
        <v>0</v>
      </c>
      <c r="AO70" s="75">
        <f>'QTR Raw'!I26+'QTR Raw'!I31+'QTR Raw'!I32+'QTR Raw'!I33+'QTR Raw'!I36+'QTR Raw'!I37+'QTR Raw'!I39</f>
        <v>0</v>
      </c>
      <c r="AP70" s="75">
        <f>'QTR Raw'!J26+'QTR Raw'!J31+'QTR Raw'!J32+'QTR Raw'!J33+'QTR Raw'!J36+'QTR Raw'!J37+'QTR Raw'!J39</f>
        <v>0</v>
      </c>
      <c r="AQ70" s="75">
        <f>'QTR Raw'!K26+'QTR Raw'!K31+'QTR Raw'!K32+'QTR Raw'!K33+'QTR Raw'!K36+'QTR Raw'!K37+'QTR Raw'!K39</f>
        <v>0</v>
      </c>
      <c r="AR70" s="75">
        <f>'QTR Raw'!L26+'QTR Raw'!L31+'QTR Raw'!L32+'QTR Raw'!L33+'QTR Raw'!L36+'QTR Raw'!L37+'QTR Raw'!L39</f>
        <v>0</v>
      </c>
      <c r="AS70" s="75">
        <f>'QTR Raw'!M26+'QTR Raw'!M31+'QTR Raw'!M32+'QTR Raw'!M33+'QTR Raw'!M36+'QTR Raw'!M37+'QTR Raw'!M39</f>
        <v>0</v>
      </c>
      <c r="AT70" s="75">
        <f>'QTR Raw'!N26+'QTR Raw'!N31+'QTR Raw'!N32+'QTR Raw'!N33+'QTR Raw'!N36+'QTR Raw'!N37+'QTR Raw'!N39</f>
        <v>0</v>
      </c>
      <c r="AU70" s="75">
        <f>'QTR Raw'!O26+'QTR Raw'!O31+'QTR Raw'!O32+'QTR Raw'!O33+'QTR Raw'!O36+'QTR Raw'!O37+'QTR Raw'!O39</f>
        <v>0</v>
      </c>
      <c r="AV70" s="75">
        <f>'QTR Raw'!P26+'QTR Raw'!P31+'QTR Raw'!P32+'QTR Raw'!P33+'QTR Raw'!P36+'QTR Raw'!P37+'QTR Raw'!P39</f>
        <v>0</v>
      </c>
      <c r="AW70" s="75">
        <f>'QTR Raw'!Q26+'QTR Raw'!Q31+'QTR Raw'!Q32+'QTR Raw'!Q33+'QTR Raw'!Q36+'QTR Raw'!Q37+'QTR Raw'!Q39</f>
        <v>0</v>
      </c>
      <c r="AX70" s="75">
        <f>'QTR Raw'!R26+'QTR Raw'!R31+'QTR Raw'!R32+'QTR Raw'!R33+'QTR Raw'!R36+'QTR Raw'!R37+'QTR Raw'!R39</f>
        <v>0</v>
      </c>
      <c r="AY70" s="75">
        <f>'QTR Raw'!S26+'QTR Raw'!S31+'QTR Raw'!S32+'QTR Raw'!S33+'QTR Raw'!S36+'QTR Raw'!S37+'QTR Raw'!S39</f>
        <v>0</v>
      </c>
      <c r="AZ70" s="75">
        <f>'QTR Raw'!T26+'QTR Raw'!T31+'QTR Raw'!T32+'QTR Raw'!T33+'QTR Raw'!T36+'QTR Raw'!T37+'QTR Raw'!T39</f>
        <v>0</v>
      </c>
      <c r="BA70" s="75">
        <f>'QTR Raw'!U26+'QTR Raw'!U31+'QTR Raw'!U32+'QTR Raw'!U33+'QTR Raw'!U36+'QTR Raw'!U37+'QTR Raw'!U39</f>
        <v>0</v>
      </c>
      <c r="BB70" s="75">
        <f>'QTR Raw'!V26+'QTR Raw'!V31+'QTR Raw'!V32+'QTR Raw'!V33+'QTR Raw'!V36+'QTR Raw'!V37+'QTR Raw'!V39</f>
        <v>0</v>
      </c>
      <c r="BC70" s="75">
        <f>'QTR Raw'!W26+'QTR Raw'!W31+'QTR Raw'!W32+'QTR Raw'!W33+'QTR Raw'!W36+'QTR Raw'!W37+'QTR Raw'!W39</f>
        <v>0</v>
      </c>
      <c r="BD70" s="75">
        <f>'QTR Raw'!X26+'QTR Raw'!X31+'QTR Raw'!X32+'QTR Raw'!X33+'QTR Raw'!X36+'QTR Raw'!X37+'QTR Raw'!X39</f>
        <v>0</v>
      </c>
      <c r="BE70" s="75">
        <f>'QTR Raw'!Y26+'QTR Raw'!Y31+'QTR Raw'!Y32+'QTR Raw'!Y33+'QTR Raw'!Y36+'QTR Raw'!Y37+'QTR Raw'!Y39</f>
        <v>0</v>
      </c>
      <c r="BF70" s="75">
        <f>'QTR Raw'!Z26+'QTR Raw'!Z31+'QTR Raw'!Z32+'QTR Raw'!Z33+'QTR Raw'!Z36+'QTR Raw'!Z37+'QTR Raw'!Z39</f>
        <v>0</v>
      </c>
      <c r="BG70" s="75">
        <f>'QTR Raw'!AA26+'QTR Raw'!AA31+'QTR Raw'!AA32+'QTR Raw'!AA33+'QTR Raw'!AA36+'QTR Raw'!AA37+'QTR Raw'!AA39</f>
        <v>0</v>
      </c>
      <c r="BH70" s="75">
        <f>'QTR Raw'!AB26+'QTR Raw'!AB31+'QTR Raw'!AB32+'QTR Raw'!AB33+'QTR Raw'!AB36+'QTR Raw'!AB37+'QTR Raw'!AB39</f>
        <v>0</v>
      </c>
      <c r="BI70" s="75">
        <f>'QTR Raw'!AC26+'QTR Raw'!AC31+'QTR Raw'!AC32+'QTR Raw'!AC33+'QTR Raw'!AC36+'QTR Raw'!AC37+'QTR Raw'!AC39</f>
        <v>0</v>
      </c>
      <c r="BJ70" s="75">
        <f>'QTR Raw'!AD26+'QTR Raw'!AD31+'QTR Raw'!AD32+'QTR Raw'!AD33+'QTR Raw'!AD36+'QTR Raw'!AD37+'QTR Raw'!AD39</f>
        <v>0</v>
      </c>
      <c r="BK70" s="75">
        <f>'QTR Raw'!AE26+'QTR Raw'!AE31+'QTR Raw'!AE32+'QTR Raw'!AE33+'QTR Raw'!AE36+'QTR Raw'!AE37+'QTR Raw'!AE39</f>
        <v>0</v>
      </c>
      <c r="BL70" s="75">
        <f>'QTR Raw'!AF26+'QTR Raw'!AF31+'QTR Raw'!AF32+'QTR Raw'!AF33+'QTR Raw'!AF36+'QTR Raw'!AF37+'QTR Raw'!AF39</f>
        <v>0</v>
      </c>
      <c r="BM70" s="75">
        <f>'QTR Raw'!AG26+'QTR Raw'!AG31+'QTR Raw'!AG32+'QTR Raw'!AG33+'QTR Raw'!AG36+'QTR Raw'!AG37+'QTR Raw'!AG39</f>
        <v>0</v>
      </c>
      <c r="BN70" s="75">
        <f>'QTR Raw'!AH26+'QTR Raw'!AH31+'QTR Raw'!AH32+'QTR Raw'!AH33+'QTR Raw'!AH36+'QTR Raw'!AH37+'QTR Raw'!AH39</f>
        <v>0</v>
      </c>
      <c r="BO70" s="75">
        <f>'QTR Raw'!AI26+'QTR Raw'!AI31+'QTR Raw'!AI32+'QTR Raw'!AI33+'QTR Raw'!AI36+'QTR Raw'!AI37+'QTR Raw'!AI39</f>
        <v>0</v>
      </c>
      <c r="BP70" s="75">
        <f>'QTR Raw'!AJ26+'QTR Raw'!AJ31+'QTR Raw'!AJ32+'QTR Raw'!AJ33+'QTR Raw'!AJ36+'QTR Raw'!AJ37+'QTR Raw'!AJ39</f>
        <v>0</v>
      </c>
      <c r="BQ70" s="75">
        <f>'QTR Raw'!AK26+'QTR Raw'!AK31+'QTR Raw'!AK32+'QTR Raw'!AK33+'QTR Raw'!AK36+'QTR Raw'!AK37+'QTR Raw'!AK39</f>
        <v>0</v>
      </c>
      <c r="BR70" s="75">
        <f>'QTR Raw'!AL26+'QTR Raw'!AL31+'QTR Raw'!AL32+'QTR Raw'!AL33+'QTR Raw'!AL36+'QTR Raw'!AL37+'QTR Raw'!AL39</f>
        <v>0</v>
      </c>
      <c r="BS70" s="75">
        <f>'QTR Raw'!AM26+'QTR Raw'!AM31+'QTR Raw'!AM32+'QTR Raw'!AM33+'QTR Raw'!AM36+'QTR Raw'!AM37+'QTR Raw'!AM39</f>
        <v>0</v>
      </c>
      <c r="BT70" s="75">
        <f>'QTR Raw'!AN26+'QTR Raw'!AN31+'QTR Raw'!AN32+'QTR Raw'!AN33+'QTR Raw'!AN36+'QTR Raw'!AN37+'QTR Raw'!AN39</f>
        <v>0</v>
      </c>
      <c r="BU70" s="75">
        <f>'QTR Raw'!AO26+'QTR Raw'!AO31+'QTR Raw'!AO32+'QTR Raw'!AO33+'QTR Raw'!AO36+'QTR Raw'!AO37+'QTR Raw'!AO39</f>
        <v>0</v>
      </c>
      <c r="BV70" s="75">
        <f>'QTR Raw'!AP26+'QTR Raw'!AP31+'QTR Raw'!AP32+'QTR Raw'!AP33+'QTR Raw'!AP36+'QTR Raw'!AP37+'QTR Raw'!AP39</f>
        <v>0</v>
      </c>
      <c r="BW70" s="75">
        <f>'QTR Raw'!AQ26+'QTR Raw'!AQ31+'QTR Raw'!AQ32+'QTR Raw'!AQ33+'QTR Raw'!AQ36+'QTR Raw'!AQ37+'QTR Raw'!AQ39</f>
        <v>0</v>
      </c>
      <c r="BX70" s="75">
        <f>'QTR Raw'!AR26+'QTR Raw'!AR31+'QTR Raw'!AR32+'QTR Raw'!AR33+'QTR Raw'!AR36+'QTR Raw'!AR37+'QTR Raw'!AR39</f>
        <v>0</v>
      </c>
      <c r="BY70" s="75">
        <f>'QTR Raw'!AS26+'QTR Raw'!AS31+'QTR Raw'!AS32+'QTR Raw'!AS33+'QTR Raw'!AS36+'QTR Raw'!AS37+'QTR Raw'!AS39</f>
        <v>0</v>
      </c>
      <c r="BZ70" s="75">
        <f>'QTR Raw'!AT26+'QTR Raw'!AT31+'QTR Raw'!AT32+'QTR Raw'!AT33+'QTR Raw'!AT36+'QTR Raw'!AT37+'QTR Raw'!AT39</f>
        <v>0</v>
      </c>
      <c r="CA70" s="75">
        <f>'QTR Raw'!AU26+'QTR Raw'!AU31+'QTR Raw'!AU32+'QTR Raw'!AU33+'QTR Raw'!AU36+'QTR Raw'!AU37+'QTR Raw'!AU39</f>
        <v>0</v>
      </c>
      <c r="CB70" s="75">
        <f>'QTR Raw'!AV26+'QTR Raw'!AV31+'QTR Raw'!AV32+'QTR Raw'!AV33+'QTR Raw'!AV36+'QTR Raw'!AV37+'QTR Raw'!AV39</f>
        <v>-53.51</v>
      </c>
      <c r="CC70" s="75">
        <f>'QTR Raw'!AW26+'QTR Raw'!AW31+'QTR Raw'!AW32+'QTR Raw'!AW33+'QTR Raw'!AW36+'QTR Raw'!AW37+'QTR Raw'!AW39</f>
        <v>0</v>
      </c>
      <c r="CD70" s="75">
        <f>'QTR Raw'!AX26+'QTR Raw'!AX31+'QTR Raw'!AX32+'QTR Raw'!AX33+'QTR Raw'!AX36+'QTR Raw'!AX37+'QTR Raw'!AX39</f>
        <v>0</v>
      </c>
      <c r="CE70" s="75">
        <f>'QTR Raw'!AY26+'QTR Raw'!AY31+'QTR Raw'!AY32+'QTR Raw'!AY33+'QTR Raw'!AY36+'QTR Raw'!AY37+'QTR Raw'!AY39</f>
        <v>0</v>
      </c>
      <c r="CF70" s="75">
        <f>'QTR Raw'!AZ26+'QTR Raw'!AZ31+'QTR Raw'!AZ32+'QTR Raw'!AZ33+'QTR Raw'!AZ36+'QTR Raw'!AZ37+'QTR Raw'!AZ39</f>
        <v>0</v>
      </c>
      <c r="CG70" s="75">
        <f>'QTR Raw'!BA26+'QTR Raw'!BA31+'QTR Raw'!BA32+'QTR Raw'!BA33+'QTR Raw'!BA36+'QTR Raw'!BA37+'QTR Raw'!BA39</f>
        <v>0</v>
      </c>
      <c r="CH70" s="75">
        <f>'QTR Raw'!BB26+'QTR Raw'!BB31+'QTR Raw'!BB32+'QTR Raw'!BB33+'QTR Raw'!BB36+'QTR Raw'!BB37+'QTR Raw'!BB39</f>
        <v>0</v>
      </c>
      <c r="CI70" s="75">
        <f>'QTR Raw'!BC26+'QTR Raw'!BC31+'QTR Raw'!BC32+'QTR Raw'!BC33+'QTR Raw'!BC36+'QTR Raw'!BC37+'QTR Raw'!BC39</f>
        <v>0</v>
      </c>
      <c r="CJ70" s="75">
        <f>'QTR Raw'!BD26+'QTR Raw'!BD31+'QTR Raw'!BD32+'QTR Raw'!BD33+'QTR Raw'!BD36+'QTR Raw'!BD37+'QTR Raw'!BD39</f>
        <v>0</v>
      </c>
      <c r="CK70" s="75">
        <f>'QTR Raw'!BE26+'QTR Raw'!BE31+'QTR Raw'!BE32+'QTR Raw'!BE33+'QTR Raw'!BE36+'QTR Raw'!BE37+'QTR Raw'!BE39</f>
        <v>-25.83</v>
      </c>
      <c r="CL70" s="75">
        <f>'QTR Raw'!BF26+'QTR Raw'!BF31+'QTR Raw'!BF32+'QTR Raw'!BF33+'QTR Raw'!BF36+'QTR Raw'!BF37+'QTR Raw'!BF39</f>
        <v>0</v>
      </c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E70" s="123"/>
      <c r="DF70" s="23">
        <v>-25.83</v>
      </c>
    </row>
    <row r="71" spans="1:110" s="26" customFormat="1" x14ac:dyDescent="0.2">
      <c r="A71" s="35" t="s">
        <v>25</v>
      </c>
      <c r="B71" s="26">
        <f>B64+B68+B69+B70</f>
        <v>0</v>
      </c>
      <c r="C71" s="26">
        <f>C64+C68+C69+C70</f>
        <v>0</v>
      </c>
      <c r="D71" s="26">
        <f>D64+D68+D69+D70</f>
        <v>14.287999999999938</v>
      </c>
      <c r="E71" s="26">
        <f t="shared" ref="E71:U71" si="729">E64+E68+E69+E70</f>
        <v>17.677000000000113</v>
      </c>
      <c r="F71" s="26">
        <f t="shared" si="729"/>
        <v>1.227999999999831</v>
      </c>
      <c r="G71" s="26">
        <f t="shared" si="729"/>
        <v>1.4229999999997394</v>
      </c>
      <c r="H71" s="26">
        <f t="shared" si="729"/>
        <v>3.9439999999996318</v>
      </c>
      <c r="I71" s="26">
        <f t="shared" si="729"/>
        <v>31.084999999999912</v>
      </c>
      <c r="J71" s="26">
        <f t="shared" si="729"/>
        <v>60.656000000000518</v>
      </c>
      <c r="K71" s="26">
        <f t="shared" si="729"/>
        <v>15.711000000000341</v>
      </c>
      <c r="L71" s="26">
        <f t="shared" si="729"/>
        <v>7.0280000000000671</v>
      </c>
      <c r="M71" s="26">
        <f t="shared" si="729"/>
        <v>8.4019999999992674</v>
      </c>
      <c r="N71" s="26">
        <f t="shared" si="729"/>
        <v>75.420999999999196</v>
      </c>
      <c r="O71" s="26">
        <f t="shared" si="729"/>
        <v>12.844999999998556</v>
      </c>
      <c r="P71" s="26">
        <f t="shared" si="729"/>
        <v>84.994999999998811</v>
      </c>
      <c r="Q71" s="26">
        <f t="shared" si="729"/>
        <v>148.5260000000018</v>
      </c>
      <c r="R71" s="26">
        <f t="shared" si="729"/>
        <v>233.06000000000193</v>
      </c>
      <c r="S71" s="26">
        <f t="shared" si="729"/>
        <v>408.1750000000016</v>
      </c>
      <c r="T71" s="26">
        <f t="shared" si="729"/>
        <v>386.92899999999958</v>
      </c>
      <c r="U71" s="26">
        <f t="shared" si="729"/>
        <v>460.87200000000155</v>
      </c>
      <c r="V71" s="26">
        <f>V64+V68+V69+V70</f>
        <v>728.50999999999613</v>
      </c>
      <c r="W71" s="26">
        <f>W64+W68+W69+W70</f>
        <v>803.73000000000036</v>
      </c>
      <c r="X71" s="26">
        <f>X64+X68+X69+X70</f>
        <v>582.12000000000262</v>
      </c>
      <c r="Y71" s="26">
        <f>Y64+Y68+Y69+Y70</f>
        <v>147.99000000000771</v>
      </c>
      <c r="Z71" s="26">
        <f>Z64+Z68+Z69+Z70</f>
        <v>1225.0800000000017</v>
      </c>
      <c r="AA71" s="26">
        <f>AA64+AA68+AA69+AA70</f>
        <v>1042.0499999999872</v>
      </c>
      <c r="AB71" s="27">
        <f t="shared" ref="AA71:AD71" si="730">AB64+AB68+AB69+AB70</f>
        <v>1364.763884271174</v>
      </c>
      <c r="AC71" s="27">
        <f t="shared" si="730"/>
        <v>1372.2869887844925</v>
      </c>
      <c r="AD71" s="27">
        <f t="shared" si="730"/>
        <v>1378.0181418920747</v>
      </c>
      <c r="AE71" s="27">
        <f t="shared" ref="AE71" si="731">AE64+AE68+AE69+AE70</f>
        <v>1396.1019587278579</v>
      </c>
      <c r="AI71" s="26">
        <f t="shared" ref="AI71" si="732">AI64+AI68+AI69+AI70</f>
        <v>0</v>
      </c>
      <c r="AJ71" s="26">
        <f t="shared" ref="AJ71" si="733">AJ64+AJ68+AJ69+AJ70</f>
        <v>0</v>
      </c>
      <c r="AK71" s="26">
        <f t="shared" ref="AK71:AM71" si="734">AK64+AK68+AK69+AK70</f>
        <v>0</v>
      </c>
      <c r="AL71" s="26">
        <f t="shared" si="734"/>
        <v>0</v>
      </c>
      <c r="AM71" s="26">
        <f t="shared" si="734"/>
        <v>0</v>
      </c>
      <c r="AN71" s="26">
        <f t="shared" ref="AN71:AO71" si="735">AN64+AN68+AN69+AN70</f>
        <v>0</v>
      </c>
      <c r="AO71" s="26">
        <f t="shared" si="735"/>
        <v>0</v>
      </c>
      <c r="AP71" s="26">
        <f t="shared" ref="AP71:CD71" si="736">AP64+AP68+AP69+AP70</f>
        <v>0</v>
      </c>
      <c r="AQ71" s="26">
        <f t="shared" si="736"/>
        <v>0</v>
      </c>
      <c r="AR71" s="26">
        <f t="shared" si="736"/>
        <v>0</v>
      </c>
      <c r="AS71" s="26">
        <f t="shared" si="736"/>
        <v>0</v>
      </c>
      <c r="AT71" s="26">
        <f t="shared" si="736"/>
        <v>0</v>
      </c>
      <c r="AU71" s="26">
        <f t="shared" si="736"/>
        <v>0</v>
      </c>
      <c r="AV71" s="26">
        <f t="shared" si="736"/>
        <v>0</v>
      </c>
      <c r="AW71" s="26">
        <f t="shared" si="736"/>
        <v>0</v>
      </c>
      <c r="AX71" s="26">
        <f t="shared" si="736"/>
        <v>0</v>
      </c>
      <c r="AY71" s="26">
        <f t="shared" si="736"/>
        <v>0</v>
      </c>
      <c r="AZ71" s="26">
        <f t="shared" si="736"/>
        <v>0</v>
      </c>
      <c r="BA71" s="26">
        <f t="shared" si="736"/>
        <v>0</v>
      </c>
      <c r="BB71" s="26">
        <f t="shared" si="736"/>
        <v>0</v>
      </c>
      <c r="BC71" s="26">
        <f t="shared" si="736"/>
        <v>0</v>
      </c>
      <c r="BD71" s="26">
        <f t="shared" si="736"/>
        <v>0</v>
      </c>
      <c r="BE71" s="26">
        <f t="shared" si="736"/>
        <v>0</v>
      </c>
      <c r="BF71" s="26">
        <f t="shared" si="736"/>
        <v>0</v>
      </c>
      <c r="BG71" s="26">
        <f t="shared" si="736"/>
        <v>0</v>
      </c>
      <c r="BH71" s="26">
        <f t="shared" si="736"/>
        <v>0</v>
      </c>
      <c r="BI71" s="26">
        <f t="shared" si="736"/>
        <v>0</v>
      </c>
      <c r="BJ71" s="26">
        <f t="shared" si="736"/>
        <v>0</v>
      </c>
      <c r="BK71" s="26">
        <f t="shared" si="736"/>
        <v>0</v>
      </c>
      <c r="BL71" s="26">
        <f t="shared" si="736"/>
        <v>0</v>
      </c>
      <c r="BM71" s="26">
        <f t="shared" si="736"/>
        <v>0</v>
      </c>
      <c r="BN71" s="26">
        <f t="shared" si="736"/>
        <v>0</v>
      </c>
      <c r="BO71" s="26">
        <f t="shared" si="736"/>
        <v>0</v>
      </c>
      <c r="BP71" s="26">
        <f t="shared" si="736"/>
        <v>0</v>
      </c>
      <c r="BQ71" s="26">
        <f t="shared" si="736"/>
        <v>127.39000000000078</v>
      </c>
      <c r="BR71" s="26">
        <f t="shared" si="736"/>
        <v>315.00000000000148</v>
      </c>
      <c r="BS71" s="26">
        <f t="shared" si="736"/>
        <v>175.69999999999985</v>
      </c>
      <c r="BT71" s="26">
        <f t="shared" si="736"/>
        <v>182.33000000000021</v>
      </c>
      <c r="BU71" s="26">
        <f t="shared" si="736"/>
        <v>211.41000000000099</v>
      </c>
      <c r="BV71" s="26">
        <f t="shared" si="736"/>
        <v>234.28999999999996</v>
      </c>
      <c r="BW71" s="26">
        <f t="shared" si="736"/>
        <v>193.5900000000006</v>
      </c>
      <c r="BX71" s="26">
        <f t="shared" si="736"/>
        <v>48.759999999999188</v>
      </c>
      <c r="BY71" s="26">
        <f t="shared" si="736"/>
        <v>246.16000000000003</v>
      </c>
      <c r="BZ71" s="26">
        <f t="shared" si="736"/>
        <v>93.609999999999474</v>
      </c>
      <c r="CA71" s="26">
        <f t="shared" si="736"/>
        <v>-78.920000000000584</v>
      </c>
      <c r="CB71" s="26">
        <f t="shared" si="736"/>
        <v>-130.73000000000172</v>
      </c>
      <c r="CC71" s="26">
        <f t="shared" si="736"/>
        <v>200.89000000000084</v>
      </c>
      <c r="CD71" s="26">
        <f t="shared" si="736"/>
        <v>156.75</v>
      </c>
      <c r="CE71" s="26">
        <f t="shared" ref="CE71:CF71" si="737">CE64+CE68+CE69+CE70</f>
        <v>313.20000000000124</v>
      </c>
      <c r="CF71" s="26">
        <f t="shared" si="737"/>
        <v>311.03000000000048</v>
      </c>
      <c r="CG71" s="26">
        <f t="shared" ref="CG71:CH71" si="738">CG64+CG68+CG69+CG70</f>
        <v>410.56999999999937</v>
      </c>
      <c r="CH71" s="26">
        <f t="shared" si="738"/>
        <v>190.28000000000094</v>
      </c>
      <c r="CI71" s="26">
        <f t="shared" ref="CI71:CJ71" si="739">CI64+CI68+CI69+CI70</f>
        <v>236.43000000000174</v>
      </c>
      <c r="CJ71" s="26">
        <f t="shared" si="739"/>
        <v>244.71999999999917</v>
      </c>
      <c r="CK71" s="26">
        <f t="shared" ref="CK71:CL71" si="740">CK64+CK68+CK69+CK70</f>
        <v>268.81999999999795</v>
      </c>
      <c r="CL71" s="26">
        <f t="shared" si="740"/>
        <v>292.08000000000021</v>
      </c>
      <c r="CM71" s="27">
        <f t="shared" ref="CM71:DB71" si="741">CM64+CM68+CM69+CM70</f>
        <v>296.80075361880745</v>
      </c>
      <c r="CN71" s="27">
        <f t="shared" si="741"/>
        <v>337.9359559844666</v>
      </c>
      <c r="CO71" s="27">
        <f t="shared" si="741"/>
        <v>338.99539610568399</v>
      </c>
      <c r="CP71" s="27">
        <f t="shared" si="741"/>
        <v>391.03177856221487</v>
      </c>
      <c r="CQ71" s="27">
        <f t="shared" si="741"/>
        <v>297.23213261932028</v>
      </c>
      <c r="CR71" s="27">
        <f t="shared" si="741"/>
        <v>307.5049385103556</v>
      </c>
      <c r="CS71" s="27">
        <f t="shared" si="741"/>
        <v>337.87793307995184</v>
      </c>
      <c r="CT71" s="27">
        <f t="shared" si="741"/>
        <v>429.6719845748608</v>
      </c>
      <c r="CU71" s="27">
        <f t="shared" si="741"/>
        <v>302.27117148853779</v>
      </c>
      <c r="CV71" s="27">
        <f t="shared" si="741"/>
        <v>310.0148287826151</v>
      </c>
      <c r="CW71" s="27">
        <f t="shared" si="741"/>
        <v>340.57347239248713</v>
      </c>
      <c r="CX71" s="27">
        <f t="shared" si="741"/>
        <v>425.15866922842918</v>
      </c>
      <c r="CY71" s="27">
        <f t="shared" si="741"/>
        <v>305.26804049822016</v>
      </c>
      <c r="CZ71" s="27">
        <f t="shared" si="741"/>
        <v>311.36825379799728</v>
      </c>
      <c r="DA71" s="27">
        <f t="shared" si="741"/>
        <v>343.93987446048607</v>
      </c>
      <c r="DB71" s="27">
        <f t="shared" si="741"/>
        <v>435.52578997117109</v>
      </c>
      <c r="DE71" s="121"/>
      <c r="DF71" s="26">
        <v>336.52290081352396</v>
      </c>
    </row>
    <row r="72" spans="1:110" s="25" customFormat="1" x14ac:dyDescent="0.2">
      <c r="A72" s="151" t="s">
        <v>486</v>
      </c>
      <c r="AB72" s="17"/>
      <c r="AC72" s="17"/>
      <c r="AD72" s="17"/>
      <c r="AE72" s="17"/>
      <c r="CL72" s="198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1" customFormat="1" x14ac:dyDescent="0.2">
      <c r="AB73" s="20"/>
      <c r="AC73" s="20"/>
      <c r="AD73" s="20"/>
      <c r="AE73" s="20"/>
      <c r="BV73" s="178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22" customFormat="1" x14ac:dyDescent="0.2">
      <c r="A74" s="22" t="s">
        <v>434</v>
      </c>
      <c r="B74" s="22">
        <f>'Annual Raw'!C35</f>
        <v>0</v>
      </c>
      <c r="C74" s="22">
        <f>'Annual Raw'!D35</f>
        <v>0</v>
      </c>
      <c r="D74" s="22">
        <f>'Annual Raw'!E35</f>
        <v>14.288</v>
      </c>
      <c r="E74" s="22">
        <f>'Annual Raw'!F35</f>
        <v>17.677</v>
      </c>
      <c r="F74" s="22">
        <f>'Annual Raw'!G35</f>
        <v>1.228</v>
      </c>
      <c r="G74" s="22">
        <f>'Annual Raw'!H35</f>
        <v>1.423</v>
      </c>
      <c r="H74" s="22">
        <f>'Annual Raw'!I35</f>
        <v>3.944</v>
      </c>
      <c r="I74" s="22">
        <f>'Annual Raw'!J35</f>
        <v>31.085000000000001</v>
      </c>
      <c r="J74" s="22">
        <f>'Annual Raw'!K35</f>
        <v>60.655999999999999</v>
      </c>
      <c r="K74" s="22">
        <f>'Annual Raw'!L35</f>
        <v>15.711</v>
      </c>
      <c r="L74" s="22">
        <f>'Annual Raw'!M35</f>
        <v>7.0279999999999996</v>
      </c>
      <c r="M74" s="22">
        <f>'Annual Raw'!N35</f>
        <v>8.4019999999999992</v>
      </c>
      <c r="N74" s="22">
        <f>'Annual Raw'!O35</f>
        <v>75.421000000000006</v>
      </c>
      <c r="O74" s="22">
        <f>'Annual Raw'!P35</f>
        <v>12.845000000000001</v>
      </c>
      <c r="P74" s="22">
        <f>'Annual Raw'!Q35</f>
        <v>84.995000000000005</v>
      </c>
      <c r="Q74" s="22">
        <f>'Annual Raw'!R35</f>
        <v>148.52600000000001</v>
      </c>
      <c r="R74" s="22">
        <f>'Annual Raw'!S35</f>
        <v>233.06</v>
      </c>
      <c r="S74" s="22">
        <f>'Annual Raw'!T35</f>
        <v>408.17500000000001</v>
      </c>
      <c r="T74" s="22">
        <f>'Annual Raw'!U35</f>
        <v>386.92899999999997</v>
      </c>
      <c r="U74" s="22">
        <f>'Annual Raw'!V35</f>
        <v>460.87200000000001</v>
      </c>
      <c r="V74" s="22">
        <f>'Annual Raw'!W35</f>
        <v>728.51</v>
      </c>
      <c r="W74" s="22">
        <f>'Annual Raw'!X35</f>
        <v>803.73</v>
      </c>
      <c r="X74" s="22">
        <f>'Annual Raw'!Y35</f>
        <v>582.12</v>
      </c>
      <c r="Y74" s="22">
        <f>'Annual Raw'!Z35</f>
        <v>147.99</v>
      </c>
      <c r="Z74" s="22">
        <f>'Annual Raw'!AA35</f>
        <v>1225.08</v>
      </c>
      <c r="AA74" s="22">
        <f>'Annual Raw'!AB35</f>
        <v>1042.05</v>
      </c>
      <c r="AB74" s="21">
        <f t="shared" ref="AA74:AD74" si="742">+AB71</f>
        <v>1364.763884271174</v>
      </c>
      <c r="AC74" s="21">
        <f t="shared" si="742"/>
        <v>1372.2869887844925</v>
      </c>
      <c r="AD74" s="21">
        <f t="shared" si="742"/>
        <v>1378.0181418920747</v>
      </c>
      <c r="AE74" s="21">
        <f t="shared" ref="AE74" si="743">+AE71</f>
        <v>1396.1019587278579</v>
      </c>
      <c r="AI74" s="22">
        <f>'QTR Raw'!C42</f>
        <v>0</v>
      </c>
      <c r="AJ74" s="22">
        <f>'QTR Raw'!D42</f>
        <v>0</v>
      </c>
      <c r="AK74" s="22">
        <f>'QTR Raw'!E42</f>
        <v>0</v>
      </c>
      <c r="AL74" s="22">
        <f>'QTR Raw'!F42</f>
        <v>0</v>
      </c>
      <c r="AM74" s="22">
        <f>'QTR Raw'!G42</f>
        <v>0</v>
      </c>
      <c r="AN74" s="22">
        <f>'QTR Raw'!H42</f>
        <v>0</v>
      </c>
      <c r="AO74" s="22">
        <f>'QTR Raw'!I42</f>
        <v>0</v>
      </c>
      <c r="AP74" s="22">
        <f>'QTR Raw'!J42</f>
        <v>0</v>
      </c>
      <c r="AQ74" s="22">
        <f>'QTR Raw'!K42</f>
        <v>0</v>
      </c>
      <c r="AR74" s="22">
        <f>'QTR Raw'!L42</f>
        <v>0</v>
      </c>
      <c r="AS74" s="22">
        <f>'QTR Raw'!M42</f>
        <v>0</v>
      </c>
      <c r="AT74" s="22">
        <f>'QTR Raw'!N42</f>
        <v>0</v>
      </c>
      <c r="AU74" s="22">
        <f>'QTR Raw'!O42</f>
        <v>0</v>
      </c>
      <c r="AV74" s="22">
        <f>'QTR Raw'!P42</f>
        <v>0</v>
      </c>
      <c r="AW74" s="22">
        <f>'QTR Raw'!Q42</f>
        <v>0</v>
      </c>
      <c r="AX74" s="22">
        <f>'QTR Raw'!R42</f>
        <v>0</v>
      </c>
      <c r="AY74" s="22">
        <f>'QTR Raw'!S42</f>
        <v>0</v>
      </c>
      <c r="AZ74" s="22">
        <f>'QTR Raw'!T42</f>
        <v>0</v>
      </c>
      <c r="BA74" s="22">
        <f>'QTR Raw'!U42</f>
        <v>0</v>
      </c>
      <c r="BB74" s="22">
        <f>'QTR Raw'!V42</f>
        <v>0</v>
      </c>
      <c r="BC74" s="22">
        <f>'QTR Raw'!W42</f>
        <v>0</v>
      </c>
      <c r="BD74" s="22">
        <f>'QTR Raw'!X42</f>
        <v>0</v>
      </c>
      <c r="BE74" s="22">
        <f>'QTR Raw'!Y42</f>
        <v>0</v>
      </c>
      <c r="BF74" s="22">
        <f>'QTR Raw'!Z42</f>
        <v>0</v>
      </c>
      <c r="BG74" s="22">
        <f>'QTR Raw'!AA42</f>
        <v>0</v>
      </c>
      <c r="BH74" s="22">
        <f>'QTR Raw'!AB42</f>
        <v>0</v>
      </c>
      <c r="BI74" s="22">
        <f>'QTR Raw'!AC42</f>
        <v>0</v>
      </c>
      <c r="BJ74" s="22">
        <f>'QTR Raw'!AD42</f>
        <v>0</v>
      </c>
      <c r="BK74" s="22">
        <f>'QTR Raw'!AE42</f>
        <v>0</v>
      </c>
      <c r="BL74" s="22">
        <f>'QTR Raw'!AF42</f>
        <v>0</v>
      </c>
      <c r="BM74" s="22">
        <f>'QTR Raw'!AG42</f>
        <v>0</v>
      </c>
      <c r="BN74" s="22">
        <f>'QTR Raw'!AH42</f>
        <v>0</v>
      </c>
      <c r="BO74" s="22">
        <f>'QTR Raw'!AI42</f>
        <v>0</v>
      </c>
      <c r="BP74" s="22">
        <f>'QTR Raw'!AJ42</f>
        <v>0</v>
      </c>
      <c r="BQ74" s="22">
        <f>'QTR Raw'!AK42</f>
        <v>127.39</v>
      </c>
      <c r="BR74" s="22">
        <f>'QTR Raw'!AL42</f>
        <v>315</v>
      </c>
      <c r="BS74" s="22">
        <f>'QTR Raw'!AM42</f>
        <v>175.7</v>
      </c>
      <c r="BT74" s="22">
        <f>'QTR Raw'!AN42</f>
        <v>182.33</v>
      </c>
      <c r="BU74" s="22">
        <f>'QTR Raw'!AO42</f>
        <v>211.41</v>
      </c>
      <c r="BV74" s="22">
        <f>'QTR Raw'!AP42</f>
        <v>234.29</v>
      </c>
      <c r="BW74" s="22">
        <f>'QTR Raw'!AQ42</f>
        <v>193.59</v>
      </c>
      <c r="BX74" s="22">
        <f>'QTR Raw'!AR42</f>
        <v>48.76</v>
      </c>
      <c r="BY74" s="22">
        <f>'QTR Raw'!AS42</f>
        <v>246.16</v>
      </c>
      <c r="BZ74" s="22">
        <f>'QTR Raw'!AT42</f>
        <v>93.61</v>
      </c>
      <c r="CA74" s="22">
        <f>'QTR Raw'!AU42</f>
        <v>-78.92</v>
      </c>
      <c r="CB74" s="22">
        <f>'QTR Raw'!AV42</f>
        <v>-130.72999999999999</v>
      </c>
      <c r="CC74" s="22">
        <f>'QTR Raw'!AW42</f>
        <v>200.89</v>
      </c>
      <c r="CD74" s="22">
        <f>'QTR Raw'!AX42</f>
        <v>156.75</v>
      </c>
      <c r="CE74" s="22">
        <f>'QTR Raw'!AY42</f>
        <v>313.2</v>
      </c>
      <c r="CF74" s="22">
        <f>'QTR Raw'!AZ42</f>
        <v>311.02999999999997</v>
      </c>
      <c r="CG74" s="22">
        <f>'QTR Raw'!BA42</f>
        <v>410.57</v>
      </c>
      <c r="CH74" s="22">
        <f>'QTR Raw'!BB42</f>
        <v>190.28</v>
      </c>
      <c r="CI74" s="22">
        <f>'QTR Raw'!BC42</f>
        <v>236.43</v>
      </c>
      <c r="CJ74" s="22">
        <f>'QTR Raw'!BD42</f>
        <v>244.72</v>
      </c>
      <c r="CK74" s="22">
        <f>'QTR Raw'!BE42</f>
        <v>268.82</v>
      </c>
      <c r="CL74" s="22">
        <f>'QTR Raw'!BF42</f>
        <v>292.08</v>
      </c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  <c r="DF74" s="22">
        <v>1042.0499999999972</v>
      </c>
    </row>
    <row r="75" spans="1:110" s="25" customFormat="1" x14ac:dyDescent="0.2">
      <c r="A75" s="36" t="s">
        <v>435</v>
      </c>
      <c r="B75" s="25">
        <f t="shared" ref="B75:V75" si="744">B74-B71</f>
        <v>0</v>
      </c>
      <c r="C75" s="25">
        <f>C74-C71</f>
        <v>0</v>
      </c>
      <c r="D75" s="25">
        <f t="shared" si="744"/>
        <v>6.2172489379008766E-14</v>
      </c>
      <c r="E75" s="25">
        <f t="shared" si="744"/>
        <v>-1.1368683772161603E-13</v>
      </c>
      <c r="F75" s="25">
        <f t="shared" si="744"/>
        <v>1.6897594434794883E-13</v>
      </c>
      <c r="G75" s="25">
        <f t="shared" si="744"/>
        <v>2.6068036618198676E-13</v>
      </c>
      <c r="H75" s="25">
        <f t="shared" si="744"/>
        <v>3.6814995496570191E-13</v>
      </c>
      <c r="I75" s="25">
        <f t="shared" si="744"/>
        <v>8.8817841970012523E-14</v>
      </c>
      <c r="J75" s="25">
        <f t="shared" si="744"/>
        <v>-5.1869619710487314E-13</v>
      </c>
      <c r="K75" s="25">
        <f t="shared" si="744"/>
        <v>-3.4106051316484809E-13</v>
      </c>
      <c r="L75" s="25">
        <f t="shared" si="744"/>
        <v>-6.7501559897209518E-14</v>
      </c>
      <c r="M75" s="25">
        <f t="shared" si="744"/>
        <v>7.3185901783290319E-13</v>
      </c>
      <c r="N75" s="25">
        <f t="shared" si="744"/>
        <v>8.1001871876651421E-13</v>
      </c>
      <c r="O75" s="25">
        <f t="shared" si="744"/>
        <v>1.4441781104324036E-12</v>
      </c>
      <c r="P75" s="25">
        <f t="shared" si="744"/>
        <v>1.1937117960769683E-12</v>
      </c>
      <c r="Q75" s="25">
        <f t="shared" si="744"/>
        <v>-1.7905676941154525E-12</v>
      </c>
      <c r="R75" s="25">
        <f t="shared" si="744"/>
        <v>-1.9326762412674725E-12</v>
      </c>
      <c r="S75" s="25">
        <f t="shared" si="744"/>
        <v>-1.5916157281026244E-12</v>
      </c>
      <c r="T75" s="25">
        <f t="shared" si="744"/>
        <v>0</v>
      </c>
      <c r="U75" s="25">
        <f t="shared" si="744"/>
        <v>-1.5347723092418164E-12</v>
      </c>
      <c r="V75" s="25">
        <f t="shared" si="744"/>
        <v>3.865352482534945E-12</v>
      </c>
      <c r="W75" s="25">
        <f t="shared" ref="W75" si="745">W74-W71</f>
        <v>0</v>
      </c>
      <c r="X75" s="25">
        <f t="shared" ref="X75:Y75" si="746">X74-X71</f>
        <v>-2.6147972675971687E-12</v>
      </c>
      <c r="Y75" s="25">
        <f t="shared" si="746"/>
        <v>-7.702283255639486E-12</v>
      </c>
      <c r="Z75" s="25">
        <f t="shared" ref="Z75:AA75" si="747">Z74-Z71</f>
        <v>-1.8189894035458565E-12</v>
      </c>
      <c r="AA75" s="25">
        <f t="shared" si="747"/>
        <v>1.2732925824820995E-11</v>
      </c>
      <c r="AB75" s="17">
        <f t="shared" ref="AA75:AD75" si="748">AB74-AB71</f>
        <v>0</v>
      </c>
      <c r="AC75" s="17">
        <f t="shared" si="748"/>
        <v>0</v>
      </c>
      <c r="AD75" s="17">
        <f t="shared" si="748"/>
        <v>0</v>
      </c>
      <c r="AE75" s="17">
        <f t="shared" ref="AE75" si="749">AE74-AE71</f>
        <v>0</v>
      </c>
      <c r="AI75" s="25">
        <f t="shared" ref="AI75" si="750">AI74-AI71</f>
        <v>0</v>
      </c>
      <c r="AJ75" s="25">
        <f t="shared" ref="AJ75" si="751">AJ74-AJ71</f>
        <v>0</v>
      </c>
      <c r="AK75" s="25">
        <f t="shared" ref="AK75:AM75" si="752">AK74-AK71</f>
        <v>0</v>
      </c>
      <c r="AL75" s="25">
        <f t="shared" si="752"/>
        <v>0</v>
      </c>
      <c r="AM75" s="25">
        <f t="shared" si="752"/>
        <v>0</v>
      </c>
      <c r="AN75" s="25">
        <f t="shared" ref="AN75:AO75" si="753">AN74-AN71</f>
        <v>0</v>
      </c>
      <c r="AO75" s="25">
        <f t="shared" si="753"/>
        <v>0</v>
      </c>
      <c r="AP75" s="25">
        <f t="shared" ref="AP75:CD75" si="754">AP74-AP71</f>
        <v>0</v>
      </c>
      <c r="AQ75" s="25">
        <f t="shared" si="754"/>
        <v>0</v>
      </c>
      <c r="AR75" s="25">
        <f t="shared" si="754"/>
        <v>0</v>
      </c>
      <c r="AS75" s="25">
        <f t="shared" si="754"/>
        <v>0</v>
      </c>
      <c r="AT75" s="25">
        <f t="shared" si="754"/>
        <v>0</v>
      </c>
      <c r="AU75" s="25">
        <f t="shared" si="754"/>
        <v>0</v>
      </c>
      <c r="AV75" s="25">
        <f t="shared" si="754"/>
        <v>0</v>
      </c>
      <c r="AW75" s="25">
        <f t="shared" si="754"/>
        <v>0</v>
      </c>
      <c r="AX75" s="25">
        <f t="shared" si="754"/>
        <v>0</v>
      </c>
      <c r="AY75" s="25">
        <f t="shared" si="754"/>
        <v>0</v>
      </c>
      <c r="AZ75" s="25">
        <f t="shared" si="754"/>
        <v>0</v>
      </c>
      <c r="BA75" s="25">
        <f t="shared" si="754"/>
        <v>0</v>
      </c>
      <c r="BB75" s="25">
        <f t="shared" si="754"/>
        <v>0</v>
      </c>
      <c r="BC75" s="25">
        <f t="shared" si="754"/>
        <v>0</v>
      </c>
      <c r="BD75" s="25">
        <f t="shared" si="754"/>
        <v>0</v>
      </c>
      <c r="BE75" s="25">
        <f t="shared" si="754"/>
        <v>0</v>
      </c>
      <c r="BF75" s="25">
        <f t="shared" si="754"/>
        <v>0</v>
      </c>
      <c r="BG75" s="25">
        <f t="shared" si="754"/>
        <v>0</v>
      </c>
      <c r="BH75" s="25">
        <f t="shared" si="754"/>
        <v>0</v>
      </c>
      <c r="BI75" s="25">
        <f t="shared" si="754"/>
        <v>0</v>
      </c>
      <c r="BJ75" s="25">
        <f t="shared" si="754"/>
        <v>0</v>
      </c>
      <c r="BK75" s="25">
        <f t="shared" si="754"/>
        <v>0</v>
      </c>
      <c r="BL75" s="25">
        <f t="shared" si="754"/>
        <v>0</v>
      </c>
      <c r="BM75" s="25">
        <f t="shared" si="754"/>
        <v>0</v>
      </c>
      <c r="BN75" s="25">
        <f t="shared" si="754"/>
        <v>0</v>
      </c>
      <c r="BO75" s="25">
        <f t="shared" si="754"/>
        <v>0</v>
      </c>
      <c r="BP75" s="25">
        <f t="shared" si="754"/>
        <v>0</v>
      </c>
      <c r="BQ75" s="25">
        <f t="shared" si="754"/>
        <v>-7.815970093361102E-13</v>
      </c>
      <c r="BR75" s="25">
        <f t="shared" si="754"/>
        <v>-1.4779288903810084E-12</v>
      </c>
      <c r="BS75" s="25">
        <f t="shared" si="754"/>
        <v>0</v>
      </c>
      <c r="BT75" s="25">
        <f t="shared" si="754"/>
        <v>0</v>
      </c>
      <c r="BU75" s="25">
        <f t="shared" si="754"/>
        <v>-9.9475983006414026E-13</v>
      </c>
      <c r="BV75" s="25">
        <f t="shared" si="754"/>
        <v>0</v>
      </c>
      <c r="BW75" s="25">
        <f t="shared" si="754"/>
        <v>-5.9685589803848416E-13</v>
      </c>
      <c r="BX75" s="25">
        <f t="shared" si="754"/>
        <v>8.1001871876651421E-13</v>
      </c>
      <c r="BY75" s="25">
        <f t="shared" si="754"/>
        <v>0</v>
      </c>
      <c r="BZ75" s="25">
        <f t="shared" si="754"/>
        <v>5.2580162446247414E-13</v>
      </c>
      <c r="CA75" s="25">
        <f t="shared" si="754"/>
        <v>5.8264504332328215E-13</v>
      </c>
      <c r="CB75" s="25">
        <f t="shared" si="754"/>
        <v>1.7337242752546445E-12</v>
      </c>
      <c r="CC75" s="25">
        <f t="shared" si="754"/>
        <v>-8.5265128291212022E-13</v>
      </c>
      <c r="CD75" s="25">
        <f t="shared" si="754"/>
        <v>0</v>
      </c>
      <c r="CE75" s="25">
        <f t="shared" ref="CE75:CF75" si="755">CE74-CE71</f>
        <v>-1.2505552149377763E-12</v>
      </c>
      <c r="CF75" s="25">
        <f t="shared" si="755"/>
        <v>-5.1159076974727213E-13</v>
      </c>
      <c r="CG75" s="25">
        <f t="shared" ref="CG75:CH75" si="756">CG74-CG71</f>
        <v>6.2527760746888816E-13</v>
      </c>
      <c r="CH75" s="25">
        <f t="shared" si="756"/>
        <v>-9.3791641120333225E-13</v>
      </c>
      <c r="CI75" s="25">
        <f t="shared" ref="CI75:CJ75" si="757">CI74-CI71</f>
        <v>-1.7337242752546445E-12</v>
      </c>
      <c r="CJ75" s="25">
        <f t="shared" si="757"/>
        <v>8.2422957348171622E-13</v>
      </c>
      <c r="CK75" s="25">
        <f t="shared" ref="CK75:CL75" si="758">CK74-CK71</f>
        <v>2.0463630789890885E-12</v>
      </c>
      <c r="CL75" s="25">
        <f t="shared" si="758"/>
        <v>0</v>
      </c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  <c r="DF75" s="25">
        <v>0</v>
      </c>
    </row>
    <row r="76" spans="1:110" s="1" customFormat="1" x14ac:dyDescent="0.2">
      <c r="A76" s="150" t="s">
        <v>487</v>
      </c>
      <c r="AB76" s="20"/>
      <c r="AC76" s="20"/>
      <c r="AD76" s="20"/>
      <c r="AE76" s="20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38" customFormat="1" x14ac:dyDescent="0.2">
      <c r="A77" s="38" t="s">
        <v>350</v>
      </c>
      <c r="B77" s="39" t="e">
        <f t="shared" ref="B77:AE77" si="759">(B71-B70)/B143</f>
        <v>#DIV/0!</v>
      </c>
      <c r="C77" s="39" t="e">
        <f t="shared" si="759"/>
        <v>#DIV/0!</v>
      </c>
      <c r="D77" s="39">
        <f t="shared" si="759"/>
        <v>0.22152281430719761</v>
      </c>
      <c r="E77" s="39">
        <f t="shared" si="759"/>
        <v>0.16658813329312533</v>
      </c>
      <c r="F77" s="39">
        <f t="shared" si="759"/>
        <v>6.8390538937486752E-3</v>
      </c>
      <c r="G77" s="39">
        <f t="shared" si="759"/>
        <v>7.8627472648897072E-3</v>
      </c>
      <c r="H77" s="39">
        <f t="shared" si="759"/>
        <v>2.1327680560660766E-2</v>
      </c>
      <c r="I77" s="39">
        <f t="shared" si="759"/>
        <v>0.12265665999818458</v>
      </c>
      <c r="J77" s="39">
        <f t="shared" si="759"/>
        <v>0.14528452830911887</v>
      </c>
      <c r="K77" s="39">
        <f t="shared" si="759"/>
        <v>3.8470949424067633E-2</v>
      </c>
      <c r="L77" s="39">
        <f t="shared" si="759"/>
        <v>1.0433367774729616E-2</v>
      </c>
      <c r="M77" s="39">
        <f t="shared" si="759"/>
        <v>1.2319449393043904E-2</v>
      </c>
      <c r="N77" s="39">
        <f t="shared" si="759"/>
        <v>9.7772344612479745E-2</v>
      </c>
      <c r="O77" s="39">
        <f t="shared" si="759"/>
        <v>1.8153013866667643E-2</v>
      </c>
      <c r="P77" s="39">
        <f t="shared" si="759"/>
        <v>9.9652485479191116E-2</v>
      </c>
      <c r="Q77" s="39">
        <f t="shared" si="759"/>
        <v>0.13878029272376793</v>
      </c>
      <c r="R77" s="39">
        <f t="shared" si="759"/>
        <v>0.16809636131861092</v>
      </c>
      <c r="S77" s="39">
        <f t="shared" si="759"/>
        <v>0.23435867226130444</v>
      </c>
      <c r="T77" s="39">
        <f t="shared" si="759"/>
        <v>0.18185377307722478</v>
      </c>
      <c r="U77" s="39">
        <f t="shared" si="759"/>
        <v>0.17927900487688808</v>
      </c>
      <c r="V77" s="39">
        <f t="shared" si="759"/>
        <v>0.2208288622543926</v>
      </c>
      <c r="W77" s="39">
        <f t="shared" si="759"/>
        <v>0.10566538309338099</v>
      </c>
      <c r="X77" s="39">
        <f t="shared" si="759"/>
        <v>7.128800171447848E-2</v>
      </c>
      <c r="Y77" s="39">
        <f t="shared" si="759"/>
        <v>2.4230428367519406E-2</v>
      </c>
      <c r="Z77" s="39">
        <f t="shared" si="759"/>
        <v>0.12999851439971155</v>
      </c>
      <c r="AA77" s="39">
        <f t="shared" ref="AA77" si="760">(AA71-AA70)/AA143</f>
        <v>0.10228030250787178</v>
      </c>
      <c r="AB77" s="40">
        <f t="shared" si="759"/>
        <v>0.11560423085151918</v>
      </c>
      <c r="AC77" s="40">
        <f t="shared" si="759"/>
        <v>0.10413650396596148</v>
      </c>
      <c r="AD77" s="40">
        <f t="shared" si="759"/>
        <v>9.4671483660346473E-2</v>
      </c>
      <c r="AE77" s="40">
        <f t="shared" si="759"/>
        <v>8.7519527373385184E-2</v>
      </c>
      <c r="AF77" s="39"/>
      <c r="AG77" s="39"/>
      <c r="AH77" s="39"/>
      <c r="AI77" s="39"/>
      <c r="AJ77" s="39"/>
      <c r="AK77" s="39"/>
      <c r="AL77" s="39" t="e">
        <f t="shared" ref="AL77:BQ77" si="761">(SUM(AI71:AL71)-SUM(AI70:AL70))/AL143</f>
        <v>#DIV/0!</v>
      </c>
      <c r="AM77" s="39" t="e">
        <f t="shared" si="761"/>
        <v>#DIV/0!</v>
      </c>
      <c r="AN77" s="39" t="e">
        <f t="shared" si="761"/>
        <v>#DIV/0!</v>
      </c>
      <c r="AO77" s="39" t="e">
        <f t="shared" si="761"/>
        <v>#DIV/0!</v>
      </c>
      <c r="AP77" s="39" t="e">
        <f t="shared" si="761"/>
        <v>#DIV/0!</v>
      </c>
      <c r="AQ77" s="39" t="e">
        <f t="shared" si="761"/>
        <v>#DIV/0!</v>
      </c>
      <c r="AR77" s="39" t="e">
        <f t="shared" si="761"/>
        <v>#DIV/0!</v>
      </c>
      <c r="AS77" s="39" t="e">
        <f t="shared" si="761"/>
        <v>#DIV/0!</v>
      </c>
      <c r="AT77" s="39" t="e">
        <f t="shared" si="761"/>
        <v>#DIV/0!</v>
      </c>
      <c r="AU77" s="39" t="e">
        <f t="shared" si="761"/>
        <v>#DIV/0!</v>
      </c>
      <c r="AV77" s="39" t="e">
        <f t="shared" si="761"/>
        <v>#DIV/0!</v>
      </c>
      <c r="AW77" s="39" t="e">
        <f t="shared" si="761"/>
        <v>#DIV/0!</v>
      </c>
      <c r="AX77" s="39" t="e">
        <f t="shared" si="761"/>
        <v>#DIV/0!</v>
      </c>
      <c r="AY77" s="39" t="e">
        <f t="shared" si="761"/>
        <v>#DIV/0!</v>
      </c>
      <c r="AZ77" s="39" t="e">
        <f t="shared" si="761"/>
        <v>#DIV/0!</v>
      </c>
      <c r="BA77" s="39" t="e">
        <f t="shared" si="761"/>
        <v>#DIV/0!</v>
      </c>
      <c r="BB77" s="39" t="e">
        <f t="shared" si="761"/>
        <v>#DIV/0!</v>
      </c>
      <c r="BC77" s="39" t="e">
        <f t="shared" si="761"/>
        <v>#DIV/0!</v>
      </c>
      <c r="BD77" s="39" t="e">
        <f t="shared" si="761"/>
        <v>#DIV/0!</v>
      </c>
      <c r="BE77" s="39" t="e">
        <f t="shared" si="761"/>
        <v>#DIV/0!</v>
      </c>
      <c r="BF77" s="39" t="e">
        <f t="shared" si="761"/>
        <v>#DIV/0!</v>
      </c>
      <c r="BG77" s="39" t="e">
        <f t="shared" si="761"/>
        <v>#DIV/0!</v>
      </c>
      <c r="BH77" s="39" t="e">
        <f t="shared" si="761"/>
        <v>#DIV/0!</v>
      </c>
      <c r="BI77" s="39" t="e">
        <f t="shared" si="761"/>
        <v>#DIV/0!</v>
      </c>
      <c r="BJ77" s="39" t="e">
        <f t="shared" si="761"/>
        <v>#DIV/0!</v>
      </c>
      <c r="BK77" s="39" t="e">
        <f t="shared" si="761"/>
        <v>#DIV/0!</v>
      </c>
      <c r="BL77" s="39" t="e">
        <f t="shared" si="761"/>
        <v>#DIV/0!</v>
      </c>
      <c r="BM77" s="39" t="e">
        <f t="shared" si="761"/>
        <v>#DIV/0!</v>
      </c>
      <c r="BN77" s="39" t="e">
        <f t="shared" si="761"/>
        <v>#DIV/0!</v>
      </c>
      <c r="BO77" s="39" t="e">
        <f t="shared" si="761"/>
        <v>#DIV/0!</v>
      </c>
      <c r="BP77" s="39" t="e">
        <f t="shared" si="761"/>
        <v>#DIV/0!</v>
      </c>
      <c r="BQ77" s="39">
        <f t="shared" si="761"/>
        <v>1</v>
      </c>
      <c r="BR77" s="39">
        <f t="shared" ref="BR77:CW77" si="762">(SUM(BO71:BR71)-SUM(BO70:BR70))/BR143</f>
        <v>0.13409902454698186</v>
      </c>
      <c r="BS77" s="39">
        <f t="shared" si="762"/>
        <v>0.17788400658477962</v>
      </c>
      <c r="BT77" s="39" t="e">
        <f t="shared" si="762"/>
        <v>#DIV/0!</v>
      </c>
      <c r="BU77" s="39">
        <f t="shared" si="762"/>
        <v>4.1835296343597674</v>
      </c>
      <c r="BV77" s="39">
        <f t="shared" si="762"/>
        <v>0.10566538309338108</v>
      </c>
      <c r="BW77" s="39">
        <f t="shared" si="762"/>
        <v>0.10533643762275725</v>
      </c>
      <c r="BX77" s="39">
        <f t="shared" si="762"/>
        <v>8.7857629906198456E-2</v>
      </c>
      <c r="BY77" s="39">
        <f t="shared" si="762"/>
        <v>8.9482245920188941E-2</v>
      </c>
      <c r="BZ77" s="39">
        <f t="shared" si="762"/>
        <v>7.1288001714478078E-2</v>
      </c>
      <c r="CA77" s="39">
        <f t="shared" si="762"/>
        <v>3.8285706512935003E-2</v>
      </c>
      <c r="CB77" s="39">
        <f t="shared" si="762"/>
        <v>2.3063677251700568E-2</v>
      </c>
      <c r="CC77" s="39">
        <f t="shared" si="762"/>
        <v>1.6950149214236113E-2</v>
      </c>
      <c r="CD77" s="39">
        <f t="shared" si="762"/>
        <v>2.4230428367518302E-2</v>
      </c>
      <c r="CE77" s="39">
        <f t="shared" si="762"/>
        <v>6.8792088249302691E-2</v>
      </c>
      <c r="CF77" s="39">
        <f t="shared" si="762"/>
        <v>0.10979164779722339</v>
      </c>
      <c r="CG77" s="39">
        <f t="shared" si="762"/>
        <v>0.12738945432774559</v>
      </c>
      <c r="CH77" s="39">
        <f t="shared" si="762"/>
        <v>0.12999851439971158</v>
      </c>
      <c r="CI77" s="39">
        <f t="shared" si="762"/>
        <v>0.11886984057315429</v>
      </c>
      <c r="CJ77" s="39">
        <f t="shared" si="762"/>
        <v>0.10923511192055936</v>
      </c>
      <c r="CK77" s="39">
        <f t="shared" si="762"/>
        <v>9.495520962133111E-2</v>
      </c>
      <c r="CL77" s="39">
        <f t="shared" si="762"/>
        <v>0.10228030250787293</v>
      </c>
      <c r="CM77" s="40">
        <f t="shared" si="762"/>
        <v>0.10507553647694294</v>
      </c>
      <c r="CN77" s="40">
        <f t="shared" si="762"/>
        <v>0.11028589986218505</v>
      </c>
      <c r="CO77" s="40">
        <f t="shared" si="762"/>
        <v>0.11089556414852887</v>
      </c>
      <c r="CP77" s="40">
        <f t="shared" si="762"/>
        <v>0.11560423085151909</v>
      </c>
      <c r="CQ77" s="40">
        <f t="shared" si="762"/>
        <v>0.1128007350884236</v>
      </c>
      <c r="CR77" s="40">
        <f t="shared" si="762"/>
        <v>0.10755362459656241</v>
      </c>
      <c r="CS77" s="40">
        <f t="shared" si="762"/>
        <v>0.10461534652644777</v>
      </c>
      <c r="CT77" s="40">
        <f t="shared" si="762"/>
        <v>0.10413650396596119</v>
      </c>
      <c r="CU77" s="40">
        <f t="shared" si="762"/>
        <v>0.10217520265162332</v>
      </c>
      <c r="CV77" s="40">
        <f t="shared" si="762"/>
        <v>0.10006020501589737</v>
      </c>
      <c r="CW77" s="40">
        <f t="shared" si="762"/>
        <v>9.7839333661241923E-2</v>
      </c>
      <c r="CX77" s="40">
        <f t="shared" ref="CX77:DB77" si="763">(SUM(CU71:CX71)-SUM(CU70:CX70))/CX143</f>
        <v>9.4671483660346098E-2</v>
      </c>
      <c r="CY77" s="40">
        <f t="shared" si="763"/>
        <v>9.2928450900177928E-2</v>
      </c>
      <c r="CZ77" s="40">
        <f t="shared" si="763"/>
        <v>9.111057775811969E-2</v>
      </c>
      <c r="DA77" s="40">
        <f t="shared" si="763"/>
        <v>8.9307954638787226E-2</v>
      </c>
      <c r="DB77" s="40">
        <f t="shared" si="763"/>
        <v>8.7519527373386238E-2</v>
      </c>
      <c r="DE77" s="122"/>
      <c r="DF77" s="38">
        <v>0.10582884996106434</v>
      </c>
    </row>
    <row r="78" spans="1:110" s="38" customFormat="1" x14ac:dyDescent="0.2">
      <c r="A78" s="38" t="s">
        <v>351</v>
      </c>
      <c r="B78" s="39" t="e">
        <f t="shared" ref="B78:AE78" si="764">+B57/B152</f>
        <v>#DIV/0!</v>
      </c>
      <c r="C78" s="39" t="e">
        <f t="shared" si="764"/>
        <v>#DIV/0!</v>
      </c>
      <c r="D78" s="39">
        <f t="shared" si="764"/>
        <v>0.2633029284685543</v>
      </c>
      <c r="E78" s="39">
        <f t="shared" si="764"/>
        <v>0.19213885293399655</v>
      </c>
      <c r="F78" s="39">
        <f t="shared" si="764"/>
        <v>3.2100984043709029E-2</v>
      </c>
      <c r="G78" s="39">
        <f t="shared" si="764"/>
        <v>9.1585464965270383E-2</v>
      </c>
      <c r="H78" s="39">
        <f t="shared" si="764"/>
        <v>0.15468422819328215</v>
      </c>
      <c r="I78" s="39">
        <f t="shared" si="764"/>
        <v>0.25569791321629654</v>
      </c>
      <c r="J78" s="39">
        <f t="shared" si="764"/>
        <v>0.16377890147470886</v>
      </c>
      <c r="K78" s="39">
        <f t="shared" si="764"/>
        <v>7.6478002558873423E-2</v>
      </c>
      <c r="L78" s="39">
        <f t="shared" si="764"/>
        <v>3.0037163260469124E-2</v>
      </c>
      <c r="M78" s="39">
        <f t="shared" si="764"/>
        <v>5.8604239281282541E-2</v>
      </c>
      <c r="N78" s="39">
        <f t="shared" si="764"/>
        <v>7.2143069600561827E-2</v>
      </c>
      <c r="O78" s="39">
        <f t="shared" si="764"/>
        <v>2.7171407638105358E-2</v>
      </c>
      <c r="P78" s="39">
        <f t="shared" si="764"/>
        <v>8.6961806053993673E-2</v>
      </c>
      <c r="Q78" s="39">
        <f t="shared" si="764"/>
        <v>0.11051372673843024</v>
      </c>
      <c r="R78" s="39">
        <f t="shared" si="764"/>
        <v>0.13562670837054375</v>
      </c>
      <c r="S78" s="39">
        <f t="shared" si="764"/>
        <v>0.19634266129912462</v>
      </c>
      <c r="T78" s="39">
        <f t="shared" si="764"/>
        <v>0.23214718475346763</v>
      </c>
      <c r="U78" s="39">
        <f t="shared" si="764"/>
        <v>0.21931059769783193</v>
      </c>
      <c r="V78" s="39">
        <f t="shared" si="764"/>
        <v>0.16923778585030905</v>
      </c>
      <c r="W78" s="39">
        <f t="shared" si="764"/>
        <v>0.14027350783528991</v>
      </c>
      <c r="X78" s="39">
        <f t="shared" si="764"/>
        <v>5.77714777326769E-2</v>
      </c>
      <c r="Y78" s="39">
        <f t="shared" si="764"/>
        <v>7.1644094235784009E-2</v>
      </c>
      <c r="Z78" s="39">
        <f t="shared" si="764"/>
        <v>0.18738208023707445</v>
      </c>
      <c r="AA78" s="39">
        <f t="shared" ref="AA78" si="765">+AA57/AA152</f>
        <v>0.14798101555250578</v>
      </c>
      <c r="AB78" s="40">
        <f t="shared" si="764"/>
        <v>0.14869607103164023</v>
      </c>
      <c r="AC78" s="40">
        <f t="shared" si="764"/>
        <v>0.17130593953395679</v>
      </c>
      <c r="AD78" s="40">
        <f t="shared" si="764"/>
        <v>0.17336451897896141</v>
      </c>
      <c r="AE78" s="40">
        <f t="shared" si="764"/>
        <v>0.17543910269377208</v>
      </c>
      <c r="AF78" s="39"/>
      <c r="AG78" s="39"/>
      <c r="AH78" s="39"/>
      <c r="AI78" s="39"/>
      <c r="AJ78" s="39"/>
      <c r="AK78" s="39"/>
      <c r="AL78" s="39" t="e">
        <f t="shared" ref="AL78:BQ78" si="766">+SUM(AI57:AL57)/AL152</f>
        <v>#DIV/0!</v>
      </c>
      <c r="AM78" s="39" t="e">
        <f t="shared" si="766"/>
        <v>#DIV/0!</v>
      </c>
      <c r="AN78" s="39" t="e">
        <f t="shared" si="766"/>
        <v>#DIV/0!</v>
      </c>
      <c r="AO78" s="39" t="e">
        <f t="shared" si="766"/>
        <v>#DIV/0!</v>
      </c>
      <c r="AP78" s="39" t="e">
        <f t="shared" si="766"/>
        <v>#DIV/0!</v>
      </c>
      <c r="AQ78" s="39" t="e">
        <f t="shared" si="766"/>
        <v>#DIV/0!</v>
      </c>
      <c r="AR78" s="39" t="e">
        <f t="shared" si="766"/>
        <v>#DIV/0!</v>
      </c>
      <c r="AS78" s="39" t="e">
        <f t="shared" si="766"/>
        <v>#DIV/0!</v>
      </c>
      <c r="AT78" s="39" t="e">
        <f t="shared" si="766"/>
        <v>#DIV/0!</v>
      </c>
      <c r="AU78" s="39" t="e">
        <f t="shared" si="766"/>
        <v>#DIV/0!</v>
      </c>
      <c r="AV78" s="39" t="e">
        <f t="shared" si="766"/>
        <v>#DIV/0!</v>
      </c>
      <c r="AW78" s="39" t="e">
        <f t="shared" si="766"/>
        <v>#DIV/0!</v>
      </c>
      <c r="AX78" s="39" t="e">
        <f t="shared" si="766"/>
        <v>#DIV/0!</v>
      </c>
      <c r="AY78" s="39" t="e">
        <f t="shared" si="766"/>
        <v>#DIV/0!</v>
      </c>
      <c r="AZ78" s="39" t="e">
        <f t="shared" si="766"/>
        <v>#DIV/0!</v>
      </c>
      <c r="BA78" s="39" t="e">
        <f t="shared" si="766"/>
        <v>#DIV/0!</v>
      </c>
      <c r="BB78" s="39" t="e">
        <f t="shared" si="766"/>
        <v>#DIV/0!</v>
      </c>
      <c r="BC78" s="39" t="e">
        <f t="shared" si="766"/>
        <v>#DIV/0!</v>
      </c>
      <c r="BD78" s="39" t="e">
        <f t="shared" si="766"/>
        <v>#DIV/0!</v>
      </c>
      <c r="BE78" s="39" t="e">
        <f t="shared" si="766"/>
        <v>#DIV/0!</v>
      </c>
      <c r="BF78" s="39" t="e">
        <f t="shared" si="766"/>
        <v>#DIV/0!</v>
      </c>
      <c r="BG78" s="39" t="e">
        <f t="shared" si="766"/>
        <v>#DIV/0!</v>
      </c>
      <c r="BH78" s="39" t="e">
        <f t="shared" si="766"/>
        <v>#DIV/0!</v>
      </c>
      <c r="BI78" s="39" t="e">
        <f t="shared" si="766"/>
        <v>#DIV/0!</v>
      </c>
      <c r="BJ78" s="39" t="e">
        <f t="shared" si="766"/>
        <v>#DIV/0!</v>
      </c>
      <c r="BK78" s="39" t="e">
        <f t="shared" si="766"/>
        <v>#DIV/0!</v>
      </c>
      <c r="BL78" s="39" t="e">
        <f t="shared" si="766"/>
        <v>#DIV/0!</v>
      </c>
      <c r="BM78" s="39" t="e">
        <f t="shared" si="766"/>
        <v>#DIV/0!</v>
      </c>
      <c r="BN78" s="39" t="e">
        <f t="shared" si="766"/>
        <v>#DIV/0!</v>
      </c>
      <c r="BO78" s="39" t="e">
        <f t="shared" si="766"/>
        <v>#DIV/0!</v>
      </c>
      <c r="BP78" s="39" t="e">
        <f t="shared" si="766"/>
        <v>#DIV/0!</v>
      </c>
      <c r="BQ78" s="39">
        <f t="shared" si="766"/>
        <v>1.9320197817725038</v>
      </c>
      <c r="BR78" s="39">
        <f t="shared" ref="BR78:CW78" si="767">+SUM(BO57:BR57)/BR152</f>
        <v>8.5261406007457671E-2</v>
      </c>
      <c r="BS78" s="39">
        <f t="shared" si="767"/>
        <v>0.13111477757370141</v>
      </c>
      <c r="BT78" s="39" t="e">
        <f t="shared" si="767"/>
        <v>#DIV/0!</v>
      </c>
      <c r="BU78" s="39">
        <f t="shared" si="767"/>
        <v>6.4880090818787952</v>
      </c>
      <c r="BV78" s="39">
        <f t="shared" si="767"/>
        <v>0.14027252498407794</v>
      </c>
      <c r="BW78" s="39">
        <f t="shared" si="767"/>
        <v>0.14227720298956334</v>
      </c>
      <c r="BX78" s="39">
        <f t="shared" si="767"/>
        <v>0.11925195682012103</v>
      </c>
      <c r="BY78" s="39">
        <f t="shared" si="767"/>
        <v>0.1249238368803586</v>
      </c>
      <c r="BZ78" s="39">
        <f t="shared" si="767"/>
        <v>0.10218294638097049</v>
      </c>
      <c r="CA78" s="39">
        <f t="shared" si="767"/>
        <v>7.1874630304464088E-2</v>
      </c>
      <c r="CB78" s="39">
        <f t="shared" si="767"/>
        <v>5.3888908038052977E-2</v>
      </c>
      <c r="CC78" s="39">
        <f t="shared" si="767"/>
        <v>4.4071121637108704E-2</v>
      </c>
      <c r="CD78" s="39">
        <f t="shared" si="767"/>
        <v>7.191992083031247E-2</v>
      </c>
      <c r="CE78" s="39">
        <f t="shared" si="767"/>
        <v>0.11450503323802266</v>
      </c>
      <c r="CF78" s="39">
        <f t="shared" si="767"/>
        <v>0.15557491161142867</v>
      </c>
      <c r="CG78" s="39">
        <f t="shared" si="767"/>
        <v>0.17417677719705388</v>
      </c>
      <c r="CH78" s="39">
        <f t="shared" si="767"/>
        <v>0.18318119569853869</v>
      </c>
      <c r="CI78" s="39">
        <f t="shared" si="767"/>
        <v>0.15592876651618268</v>
      </c>
      <c r="CJ78" s="39">
        <f t="shared" si="767"/>
        <v>0.17479605931872097</v>
      </c>
      <c r="CK78" s="39">
        <f t="shared" si="767"/>
        <v>0.14861598199804946</v>
      </c>
      <c r="CL78" s="39">
        <f t="shared" si="767"/>
        <v>0.1493520158766099</v>
      </c>
      <c r="CM78" s="40">
        <f t="shared" si="767"/>
        <v>0.15695068852164881</v>
      </c>
      <c r="CN78" s="40">
        <f t="shared" si="767"/>
        <v>0.14258910889344606</v>
      </c>
      <c r="CO78" s="40">
        <f t="shared" si="767"/>
        <v>0.14094943820834013</v>
      </c>
      <c r="CP78" s="40">
        <f t="shared" si="767"/>
        <v>0.14869607103164015</v>
      </c>
      <c r="CQ78" s="40">
        <f t="shared" si="767"/>
        <v>0.15378371145907999</v>
      </c>
      <c r="CR78" s="40">
        <f t="shared" si="767"/>
        <v>0.15680855825196213</v>
      </c>
      <c r="CS78" s="40">
        <f t="shared" si="767"/>
        <v>0.16274083523172722</v>
      </c>
      <c r="CT78" s="40">
        <f t="shared" si="767"/>
        <v>0.17130593953395648</v>
      </c>
      <c r="CU78" s="40">
        <f t="shared" si="767"/>
        <v>0.172766999343585</v>
      </c>
      <c r="CV78" s="40">
        <f t="shared" si="767"/>
        <v>0.17370890599215977</v>
      </c>
      <c r="CW78" s="40">
        <f t="shared" si="767"/>
        <v>0.17430339568319389</v>
      </c>
      <c r="CX78" s="40">
        <f t="shared" ref="CX78:DB78" si="768">+SUM(CU57:CX57)/CX152</f>
        <v>0.17336451897896107</v>
      </c>
      <c r="CY78" s="40">
        <f t="shared" si="768"/>
        <v>0.17422418676657128</v>
      </c>
      <c r="CZ78" s="40">
        <f t="shared" si="768"/>
        <v>0.17492074235788799</v>
      </c>
      <c r="DA78" s="40">
        <f t="shared" si="768"/>
        <v>0.17539928389828957</v>
      </c>
      <c r="DB78" s="40">
        <f t="shared" si="768"/>
        <v>0.17543910269377308</v>
      </c>
      <c r="DE78" s="122"/>
      <c r="DF78" s="38">
        <v>0.15841867599850123</v>
      </c>
    </row>
    <row r="79" spans="1:110" s="1" customFormat="1" x14ac:dyDescent="0.2">
      <c r="A79" s="150" t="s">
        <v>488</v>
      </c>
      <c r="AB79" s="20"/>
      <c r="AC79" s="20"/>
      <c r="AD79" s="20"/>
      <c r="AE79" s="20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E79" s="119"/>
    </row>
    <row r="80" spans="1:110" s="8" customFormat="1" x14ac:dyDescent="0.2">
      <c r="A80" s="12" t="s">
        <v>26</v>
      </c>
      <c r="AB80" s="58"/>
      <c r="AC80" s="58"/>
      <c r="AD80" s="58"/>
      <c r="AE80" s="58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E80" s="132"/>
    </row>
    <row r="81" spans="1:110" s="9" customFormat="1" x14ac:dyDescent="0.2">
      <c r="A81" s="9" t="s">
        <v>453</v>
      </c>
      <c r="N81" s="9">
        <f>N33-SUM(AI33:AL33)</f>
        <v>14253.498</v>
      </c>
      <c r="O81" s="9">
        <f>O33-SUM(AM33:AP33)</f>
        <v>17319.631999999998</v>
      </c>
      <c r="P81" s="9">
        <f>P33-SUM(AQ33:AT33)</f>
        <v>17266.401999999998</v>
      </c>
      <c r="Q81" s="9">
        <f>Q33-SUM(AU33:AX33)</f>
        <v>19034.967000000001</v>
      </c>
      <c r="R81" s="9">
        <f>R33-SUM(AY33:BB33)</f>
        <v>23198.363000000001</v>
      </c>
      <c r="S81" s="9">
        <f>S33-SUM(BC33:BF33)</f>
        <v>26471.909</v>
      </c>
      <c r="T81" s="9">
        <f>T33-SUM(BG33:BJ33)</f>
        <v>28797.457999999999</v>
      </c>
      <c r="U81" s="9">
        <f>U33-SUM(BK33:BN33)</f>
        <v>29657.036</v>
      </c>
      <c r="V81" s="9">
        <f>V33-SUM(BO33:BR33)</f>
        <v>16188.589999999997</v>
      </c>
      <c r="W81" s="9">
        <f>W33-SUM(BS33:BV33)</f>
        <v>-3.8000000000029104</v>
      </c>
      <c r="X81" s="9">
        <f>X33-SUM(BW33:BZ33)</f>
        <v>0</v>
      </c>
      <c r="Y81" s="9">
        <f>Y33-SUM(CA33:CD33)</f>
        <v>-21.319999999992433</v>
      </c>
      <c r="Z81" s="9">
        <f>Z33-SUM(CE33:CH33)</f>
        <v>0</v>
      </c>
      <c r="AA81" s="9">
        <f>AA33-SUM(CF33:CI33)</f>
        <v>8153.6299999999901</v>
      </c>
      <c r="AB81" s="15">
        <f>AB33-SUM(CM33:CP33)</f>
        <v>0</v>
      </c>
      <c r="AC81" s="15">
        <f>AC33-SUM(CQ33:CT33)</f>
        <v>0</v>
      </c>
      <c r="AD81" s="15">
        <f>AD33-SUM(CU33:CX33)</f>
        <v>0</v>
      </c>
      <c r="AE81" s="15">
        <f>AE33-SUM(CY33:DB33)</f>
        <v>0</v>
      </c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E81" s="133"/>
      <c r="DF81" s="9">
        <v>0</v>
      </c>
    </row>
    <row r="82" spans="1:110" s="9" customFormat="1" x14ac:dyDescent="0.2">
      <c r="A82" s="9" t="s">
        <v>454</v>
      </c>
      <c r="N82" s="9">
        <f>N39-SUM(AI39:AL39)</f>
        <v>1877.9249999999993</v>
      </c>
      <c r="O82" s="9">
        <f>O39-SUM(AM39:AP39)</f>
        <v>2406.1099999999988</v>
      </c>
      <c r="P82" s="9">
        <f>P39-SUM(AQ39:AT39)</f>
        <v>2779.8159999999989</v>
      </c>
      <c r="Q82" s="9">
        <f>Q39-SUM(AU39:AX39)</f>
        <v>3121.4010000000017</v>
      </c>
      <c r="R82" s="9">
        <f>R39-SUM(AY39:BB39)</f>
        <v>3471.7060000000019</v>
      </c>
      <c r="S82" s="9">
        <f>S39-SUM(BC39:BF39)</f>
        <v>4323.2750000000015</v>
      </c>
      <c r="T82" s="9">
        <f>T39-SUM(BG39:BJ39)</f>
        <v>4607.2119999999995</v>
      </c>
      <c r="U82" s="9">
        <f>U39-SUM(BK39:BN39)</f>
        <v>5205.8100000000013</v>
      </c>
      <c r="V82" s="9">
        <f>V39-SUM(BO39:BR39)</f>
        <v>3270.6499999999942</v>
      </c>
      <c r="W82" s="9">
        <f>W39-SUM(BS39:BV39)</f>
        <v>1.0000000000218279E-2</v>
      </c>
      <c r="X82" s="9">
        <f>X39-SUM(BW39:BZ39)</f>
        <v>-424.92999999999665</v>
      </c>
      <c r="Y82" s="9">
        <f>Y39-SUM(CA39:CD39)</f>
        <v>-21.319999999990614</v>
      </c>
      <c r="Z82" s="9">
        <f>Z39-SUM(CE39:CH39)</f>
        <v>0</v>
      </c>
      <c r="AA82" s="9">
        <f>AA39-SUM(CF39:CI39)</f>
        <v>482.89999999998417</v>
      </c>
      <c r="AB82" s="15">
        <f>AB39-SUM(CM39:CP39)</f>
        <v>0</v>
      </c>
      <c r="AC82" s="15">
        <f>AC39-SUM(CQ39:CT39)</f>
        <v>0</v>
      </c>
      <c r="AD82" s="15">
        <f>AD39-SUM(CU39:CX39)</f>
        <v>0</v>
      </c>
      <c r="AE82" s="15">
        <f>AE39-SUM(CY39:DB39)</f>
        <v>-1.6370904631912708E-11</v>
      </c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E82" s="133"/>
      <c r="DF82" s="9">
        <v>0</v>
      </c>
    </row>
    <row r="83" spans="1:110" s="9" customFormat="1" x14ac:dyDescent="0.2">
      <c r="A83" s="9" t="s">
        <v>455</v>
      </c>
      <c r="N83" s="9">
        <f>N51-SUM(AI51:AL51)</f>
        <v>302.82199999999921</v>
      </c>
      <c r="O83" s="9">
        <f>O51-SUM(AM51:AP51)</f>
        <v>194.79199999999855</v>
      </c>
      <c r="P83" s="9">
        <f>P51-SUM(AQ51:AT51)</f>
        <v>379.32899999999881</v>
      </c>
      <c r="Q83" s="9">
        <f>Q51-SUM(AU51:AX51)</f>
        <v>517.02900000000182</v>
      </c>
      <c r="R83" s="9">
        <f>R51-SUM(AY51:BB51)</f>
        <v>653.5830000000019</v>
      </c>
      <c r="S83" s="9">
        <f>S51-SUM(BC51:BF51)</f>
        <v>928.27100000000155</v>
      </c>
      <c r="T83" s="9">
        <f>T51-SUM(BG51:BJ51)</f>
        <v>1100.5249999999996</v>
      </c>
      <c r="U83" s="9">
        <f>U51-SUM(BK51:BN51)</f>
        <v>1309.5250000000015</v>
      </c>
      <c r="V83" s="9">
        <f>V51-SUM(BO51:BR51)</f>
        <v>657.76999999999384</v>
      </c>
      <c r="W83" s="9">
        <f>W51-SUM(BS51:BV51)</f>
        <v>9.999999999308784E-3</v>
      </c>
      <c r="X83" s="9">
        <f>X51-SUM(BW51:BZ51)</f>
        <v>-461.49999999999659</v>
      </c>
      <c r="Y83" s="9">
        <f>Y51-SUM(CA51:CD51)</f>
        <v>-2.9599999999907141</v>
      </c>
      <c r="Z83" s="9">
        <f>Z51-SUM(CE51:CH51)</f>
        <v>46.779999999999745</v>
      </c>
      <c r="AA83" s="9">
        <f>AA51-SUM(CF51:CI51)</f>
        <v>-59.310000000015407</v>
      </c>
      <c r="AB83" s="15">
        <f>AB51-SUM(CM51:CP51)</f>
        <v>0</v>
      </c>
      <c r="AC83" s="15">
        <f>AC51-SUM(CQ51:CT51)</f>
        <v>4.0927261579781771E-12</v>
      </c>
      <c r="AD83" s="15">
        <f>AD51-SUM(CU51:CX51)</f>
        <v>5.4569682106375694E-12</v>
      </c>
      <c r="AE83" s="15">
        <f>AE51-SUM(CY51:DB51)</f>
        <v>-1.6370904631912708E-11</v>
      </c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E83" s="133"/>
      <c r="DF83" s="9">
        <v>0</v>
      </c>
    </row>
    <row r="84" spans="1:110" s="9" customFormat="1" x14ac:dyDescent="0.2">
      <c r="A84" s="9" t="s">
        <v>456</v>
      </c>
      <c r="N84" s="9">
        <f>N71-SUM(AI71:AL71)</f>
        <v>75.420999999999196</v>
      </c>
      <c r="O84" s="9">
        <f>O71-SUM(AM71:AP71)</f>
        <v>12.844999999998556</v>
      </c>
      <c r="P84" s="9">
        <f>P71-SUM(AQ71:AT71)</f>
        <v>84.994999999998811</v>
      </c>
      <c r="Q84" s="9">
        <f>Q71-SUM(AU71:AX71)</f>
        <v>148.5260000000018</v>
      </c>
      <c r="R84" s="9">
        <f>R71-SUM(AY71:BB71)</f>
        <v>233.06000000000193</v>
      </c>
      <c r="S84" s="9">
        <f>S71-SUM(BC71:BF71)</f>
        <v>408.1750000000016</v>
      </c>
      <c r="T84" s="9">
        <f>T71-SUM(BG71:BJ71)</f>
        <v>386.92899999999958</v>
      </c>
      <c r="U84" s="9">
        <f>U71-SUM(BK71:BN71)</f>
        <v>460.87200000000155</v>
      </c>
      <c r="V84" s="9">
        <f>V71-SUM(BO71:BR71)</f>
        <v>286.11999999999387</v>
      </c>
      <c r="W84" s="9">
        <f>W64-SUM(BS64:BV64)</f>
        <v>9.999999999308784E-3</v>
      </c>
      <c r="X84" s="9">
        <f>X64-SUM(BW64:BZ64)</f>
        <v>3.2969182939268649E-12</v>
      </c>
      <c r="Y84" s="9">
        <f>Y64-SUM(CA64:CD64)</f>
        <v>9.2086338554508984E-12</v>
      </c>
      <c r="Z84" s="9">
        <f>Z64-SUM(CE64:CH64)</f>
        <v>0</v>
      </c>
      <c r="AA84" s="9">
        <f>AA64-SUM(CF64:CI64)</f>
        <v>-67.100000000015484</v>
      </c>
      <c r="AB84" s="15">
        <f>AB64-SUM(CM64:CP64)</f>
        <v>0</v>
      </c>
      <c r="AC84" s="15">
        <f>AC64-SUM(CQ64:CT64)</f>
        <v>3.865352482534945E-12</v>
      </c>
      <c r="AD84" s="15">
        <f>AD64-SUM(CU64:CX64)</f>
        <v>5.4569682106375694E-12</v>
      </c>
      <c r="AE84" s="15">
        <f>AE64-SUM(CY64:DB64)</f>
        <v>-1.6825651982799172E-11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E84" s="133"/>
      <c r="DF84" s="9">
        <v>-1.8189894035458565E-12</v>
      </c>
    </row>
    <row r="85" spans="1:110" s="8" customFormat="1" x14ac:dyDescent="0.2">
      <c r="A85" s="149" t="s">
        <v>489</v>
      </c>
      <c r="AB85" s="58"/>
      <c r="AC85" s="58"/>
      <c r="AD85" s="58"/>
      <c r="AE85" s="58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E85" s="132"/>
    </row>
    <row r="86" spans="1:110" s="3" customFormat="1" x14ac:dyDescent="0.2">
      <c r="A86" s="3" t="s">
        <v>27</v>
      </c>
      <c r="B86" s="3">
        <f>'Annual Raw'!C104</f>
        <v>0</v>
      </c>
      <c r="C86" s="3">
        <f>'Annual Raw'!D104</f>
        <v>0</v>
      </c>
      <c r="D86" s="3">
        <f>'Annual Raw'!E104</f>
        <v>25.782</v>
      </c>
      <c r="E86" s="3">
        <f t="shared" ref="E86:Y86" ca="1" si="769">+F86</f>
        <v>0</v>
      </c>
      <c r="F86" s="3">
        <f t="shared" ca="1" si="769"/>
        <v>0</v>
      </c>
      <c r="G86" s="3">
        <f t="shared" ca="1" si="769"/>
        <v>0</v>
      </c>
      <c r="H86" s="3">
        <f t="shared" ca="1" si="769"/>
        <v>0</v>
      </c>
      <c r="I86" s="3">
        <f t="shared" ca="1" si="769"/>
        <v>0</v>
      </c>
      <c r="J86" s="3">
        <f t="shared" ca="1" si="769"/>
        <v>0</v>
      </c>
      <c r="K86" s="3">
        <f t="shared" ca="1" si="769"/>
        <v>0</v>
      </c>
      <c r="L86" s="3">
        <f t="shared" ca="1" si="769"/>
        <v>0</v>
      </c>
      <c r="M86" s="3">
        <f t="shared" ca="1" si="769"/>
        <v>0</v>
      </c>
      <c r="N86" s="3">
        <f t="shared" ca="1" si="769"/>
        <v>0</v>
      </c>
      <c r="O86" s="3">
        <f t="shared" ca="1" si="769"/>
        <v>0</v>
      </c>
      <c r="P86" s="3">
        <f t="shared" ca="1" si="769"/>
        <v>0</v>
      </c>
      <c r="Q86" s="3">
        <f t="shared" ca="1" si="769"/>
        <v>0</v>
      </c>
      <c r="R86" s="3">
        <f t="shared" ca="1" si="769"/>
        <v>0</v>
      </c>
      <c r="S86" s="3">
        <f t="shared" ca="1" si="769"/>
        <v>0</v>
      </c>
      <c r="T86" s="3">
        <f t="shared" ca="1" si="769"/>
        <v>0</v>
      </c>
      <c r="U86" s="3">
        <f t="shared" ca="1" si="769"/>
        <v>0</v>
      </c>
      <c r="V86" s="3">
        <f t="shared" ca="1" si="769"/>
        <v>0</v>
      </c>
      <c r="W86" s="3">
        <f t="shared" ca="1" si="769"/>
        <v>0</v>
      </c>
      <c r="X86" s="3">
        <f t="shared" ca="1" si="769"/>
        <v>0</v>
      </c>
      <c r="Y86" s="3">
        <f t="shared" ca="1" si="769"/>
        <v>0</v>
      </c>
      <c r="Z86" s="3">
        <f ca="1">+AA86</f>
        <v>0</v>
      </c>
      <c r="AA86" s="3">
        <f ca="1">+AB86</f>
        <v>0</v>
      </c>
      <c r="AB86" s="37">
        <f t="shared" ref="AB86:AB87" ca="1" si="770">AA86</f>
        <v>0</v>
      </c>
      <c r="AC86" s="37">
        <f t="shared" ref="AC86:AC87" ca="1" si="771">AB86</f>
        <v>0</v>
      </c>
      <c r="AD86" s="37">
        <f t="shared" ref="AD86:AD87" ca="1" si="772">AC86</f>
        <v>0</v>
      </c>
      <c r="AE86" s="37">
        <f t="shared" ref="AE86:AE87" ca="1" si="773">AD86</f>
        <v>0</v>
      </c>
      <c r="AI86" s="3">
        <f t="shared" ref="AI86:CH86" si="774">+AJ86</f>
        <v>129.53</v>
      </c>
      <c r="AJ86" s="3">
        <f t="shared" si="774"/>
        <v>129.53</v>
      </c>
      <c r="AK86" s="3">
        <f t="shared" si="774"/>
        <v>129.53</v>
      </c>
      <c r="AL86" s="3">
        <f t="shared" si="774"/>
        <v>129.53</v>
      </c>
      <c r="AM86" s="3">
        <f t="shared" si="774"/>
        <v>129.53</v>
      </c>
      <c r="AN86" s="3">
        <f t="shared" si="774"/>
        <v>129.53</v>
      </c>
      <c r="AO86" s="3">
        <f t="shared" si="774"/>
        <v>129.53</v>
      </c>
      <c r="AP86" s="3">
        <f t="shared" si="774"/>
        <v>129.53</v>
      </c>
      <c r="AQ86" s="3">
        <f t="shared" si="774"/>
        <v>129.53</v>
      </c>
      <c r="AR86" s="3">
        <f t="shared" si="774"/>
        <v>129.53</v>
      </c>
      <c r="AS86" s="3">
        <f t="shared" si="774"/>
        <v>129.53</v>
      </c>
      <c r="AT86" s="3">
        <f t="shared" si="774"/>
        <v>129.53</v>
      </c>
      <c r="AU86" s="3">
        <f t="shared" si="774"/>
        <v>129.53</v>
      </c>
      <c r="AV86" s="3">
        <f t="shared" si="774"/>
        <v>129.53</v>
      </c>
      <c r="AW86" s="3">
        <f t="shared" si="774"/>
        <v>129.53</v>
      </c>
      <c r="AX86" s="3">
        <f t="shared" si="774"/>
        <v>129.53</v>
      </c>
      <c r="AY86" s="3">
        <f t="shared" si="774"/>
        <v>129.53</v>
      </c>
      <c r="AZ86" s="3">
        <f t="shared" si="774"/>
        <v>129.53</v>
      </c>
      <c r="BA86" s="3">
        <f t="shared" si="774"/>
        <v>129.53</v>
      </c>
      <c r="BB86" s="3">
        <f t="shared" si="774"/>
        <v>129.53</v>
      </c>
      <c r="BC86" s="3">
        <f t="shared" si="774"/>
        <v>129.53</v>
      </c>
      <c r="BD86" s="3">
        <f t="shared" si="774"/>
        <v>129.53</v>
      </c>
      <c r="BE86" s="3">
        <f t="shared" si="774"/>
        <v>129.53</v>
      </c>
      <c r="BF86" s="3">
        <f t="shared" si="774"/>
        <v>129.53</v>
      </c>
      <c r="BG86" s="3">
        <f t="shared" si="774"/>
        <v>129.53</v>
      </c>
      <c r="BH86" s="3">
        <f t="shared" si="774"/>
        <v>129.53</v>
      </c>
      <c r="BI86" s="3">
        <f t="shared" si="774"/>
        <v>129.53</v>
      </c>
      <c r="BJ86" s="3">
        <f t="shared" si="774"/>
        <v>129.53</v>
      </c>
      <c r="BK86" s="3">
        <f t="shared" si="774"/>
        <v>129.53</v>
      </c>
      <c r="BL86" s="3">
        <f t="shared" si="774"/>
        <v>129.53</v>
      </c>
      <c r="BM86" s="3">
        <f t="shared" si="774"/>
        <v>129.53</v>
      </c>
      <c r="BN86" s="3">
        <f t="shared" si="774"/>
        <v>129.53</v>
      </c>
      <c r="BO86" s="3">
        <f t="shared" si="774"/>
        <v>129.53</v>
      </c>
      <c r="BP86" s="3">
        <f t="shared" si="774"/>
        <v>129.53</v>
      </c>
      <c r="BQ86" s="3">
        <f t="shared" si="774"/>
        <v>129.53</v>
      </c>
      <c r="BR86" s="3">
        <f t="shared" si="774"/>
        <v>129.53</v>
      </c>
      <c r="BS86" s="3">
        <f t="shared" si="774"/>
        <v>129.53</v>
      </c>
      <c r="BT86" s="3">
        <f t="shared" si="774"/>
        <v>129.53</v>
      </c>
      <c r="BU86" s="3">
        <f t="shared" si="774"/>
        <v>129.53</v>
      </c>
      <c r="BV86" s="3">
        <f t="shared" si="774"/>
        <v>129.53</v>
      </c>
      <c r="BW86" s="3">
        <f t="shared" si="774"/>
        <v>129.53</v>
      </c>
      <c r="BX86" s="3">
        <f t="shared" si="774"/>
        <v>129.53</v>
      </c>
      <c r="BY86" s="3">
        <f t="shared" si="774"/>
        <v>129.53</v>
      </c>
      <c r="BZ86" s="3">
        <f t="shared" si="774"/>
        <v>129.53</v>
      </c>
      <c r="CA86" s="3">
        <f t="shared" si="774"/>
        <v>129.53</v>
      </c>
      <c r="CB86" s="3">
        <f t="shared" si="774"/>
        <v>129.53</v>
      </c>
      <c r="CC86" s="3">
        <f t="shared" si="774"/>
        <v>129.53</v>
      </c>
      <c r="CD86" s="3">
        <f t="shared" si="774"/>
        <v>129.53</v>
      </c>
      <c r="CE86" s="3">
        <f t="shared" si="774"/>
        <v>129.53</v>
      </c>
      <c r="CF86" s="3">
        <f t="shared" si="774"/>
        <v>129.53</v>
      </c>
      <c r="CG86" s="3">
        <f t="shared" si="774"/>
        <v>129.53</v>
      </c>
      <c r="CH86" s="3">
        <f t="shared" si="774"/>
        <v>129.53</v>
      </c>
      <c r="CI86" s="3">
        <f>+CJ86</f>
        <v>129.53</v>
      </c>
      <c r="CJ86" s="3">
        <f>'QTR Raw'!BD45</f>
        <v>129.53</v>
      </c>
      <c r="CK86" s="3">
        <f>'QTR Raw'!BE45</f>
        <v>129.53</v>
      </c>
      <c r="CL86" s="3">
        <f>'QTR Raw'!BF45</f>
        <v>129.33000000000001</v>
      </c>
      <c r="CM86" s="37">
        <f t="shared" ref="CM86:CM87" si="775">+CL86</f>
        <v>129.33000000000001</v>
      </c>
      <c r="CN86" s="37">
        <f t="shared" ref="CN86:CN87" si="776">+CM86</f>
        <v>129.33000000000001</v>
      </c>
      <c r="CO86" s="37">
        <f t="shared" ref="CO86:CO87" si="777">+CN86</f>
        <v>129.33000000000001</v>
      </c>
      <c r="CP86" s="37">
        <f t="shared" ref="CP86:CP87" si="778">+CO86</f>
        <v>129.33000000000001</v>
      </c>
      <c r="CQ86" s="37">
        <f t="shared" ref="CQ86:CQ87" si="779">+CP86</f>
        <v>129.33000000000001</v>
      </c>
      <c r="CR86" s="37">
        <f t="shared" ref="CR86:CR87" si="780">+CQ86</f>
        <v>129.33000000000001</v>
      </c>
      <c r="CS86" s="37">
        <f t="shared" ref="CS86:CS87" si="781">+CR86</f>
        <v>129.33000000000001</v>
      </c>
      <c r="CT86" s="37">
        <f t="shared" ref="CT86:CT87" si="782">+CS86</f>
        <v>129.33000000000001</v>
      </c>
      <c r="CU86" s="37">
        <f t="shared" ref="CU86:CU87" si="783">+CT86</f>
        <v>129.33000000000001</v>
      </c>
      <c r="CV86" s="37">
        <f t="shared" ref="CV86:CV87" si="784">+CU86</f>
        <v>129.33000000000001</v>
      </c>
      <c r="CW86" s="37">
        <f t="shared" ref="CW86:CW87" si="785">+CV86</f>
        <v>129.33000000000001</v>
      </c>
      <c r="CX86" s="37">
        <f t="shared" ref="CX86:CX87" si="786">+CW86</f>
        <v>129.33000000000001</v>
      </c>
      <c r="CY86" s="37">
        <f t="shared" ref="CY86:CY87" si="787">+CX86</f>
        <v>129.33000000000001</v>
      </c>
      <c r="CZ86" s="37">
        <f t="shared" ref="CZ86:CZ87" si="788">+CY86</f>
        <v>129.33000000000001</v>
      </c>
      <c r="DA86" s="37">
        <f t="shared" ref="DA86:DA87" si="789">+CZ86</f>
        <v>129.33000000000001</v>
      </c>
      <c r="DB86" s="37">
        <f t="shared" ref="DB86:DB87" si="790">+DA86</f>
        <v>129.33000000000001</v>
      </c>
      <c r="DE86" s="134"/>
      <c r="DF86" s="3">
        <v>129.53</v>
      </c>
    </row>
    <row r="87" spans="1:110" s="3" customFormat="1" x14ac:dyDescent="0.2">
      <c r="A87" s="3" t="s">
        <v>28</v>
      </c>
      <c r="B87" s="3">
        <f>'Annual Raw'!C105</f>
        <v>0</v>
      </c>
      <c r="C87" s="3">
        <f>'Annual Raw'!D105</f>
        <v>0</v>
      </c>
      <c r="D87" s="3">
        <f>'Annual Raw'!E105</f>
        <v>10</v>
      </c>
      <c r="E87" s="3">
        <f t="shared" ref="E87:Y87" ca="1" si="791">+F87</f>
        <v>0</v>
      </c>
      <c r="F87" s="3">
        <f t="shared" ca="1" si="791"/>
        <v>0</v>
      </c>
      <c r="G87" s="3">
        <f t="shared" ca="1" si="791"/>
        <v>0</v>
      </c>
      <c r="H87" s="3">
        <f t="shared" ca="1" si="791"/>
        <v>0</v>
      </c>
      <c r="I87" s="3">
        <f t="shared" ca="1" si="791"/>
        <v>0</v>
      </c>
      <c r="J87" s="3">
        <f t="shared" ca="1" si="791"/>
        <v>0</v>
      </c>
      <c r="K87" s="3">
        <f t="shared" ca="1" si="791"/>
        <v>0</v>
      </c>
      <c r="L87" s="3">
        <f t="shared" ca="1" si="791"/>
        <v>0</v>
      </c>
      <c r="M87" s="3">
        <f t="shared" ca="1" si="791"/>
        <v>0</v>
      </c>
      <c r="N87" s="3">
        <f t="shared" ca="1" si="791"/>
        <v>0</v>
      </c>
      <c r="O87" s="3">
        <f t="shared" ca="1" si="791"/>
        <v>0</v>
      </c>
      <c r="P87" s="3">
        <f t="shared" ca="1" si="791"/>
        <v>0</v>
      </c>
      <c r="Q87" s="3">
        <f t="shared" ca="1" si="791"/>
        <v>0</v>
      </c>
      <c r="R87" s="3">
        <f t="shared" ca="1" si="791"/>
        <v>0</v>
      </c>
      <c r="S87" s="3">
        <f t="shared" ca="1" si="791"/>
        <v>0</v>
      </c>
      <c r="T87" s="3">
        <f t="shared" ca="1" si="791"/>
        <v>0</v>
      </c>
      <c r="U87" s="3">
        <f t="shared" ca="1" si="791"/>
        <v>0</v>
      </c>
      <c r="V87" s="3">
        <f t="shared" ca="1" si="791"/>
        <v>0</v>
      </c>
      <c r="W87" s="3">
        <f t="shared" ca="1" si="791"/>
        <v>0</v>
      </c>
      <c r="X87" s="3">
        <f t="shared" ca="1" si="791"/>
        <v>0</v>
      </c>
      <c r="Y87" s="3">
        <f t="shared" ca="1" si="791"/>
        <v>0</v>
      </c>
      <c r="Z87" s="3">
        <f ca="1">+AA87</f>
        <v>0</v>
      </c>
      <c r="AA87" s="3">
        <f ca="1">+AB87</f>
        <v>0</v>
      </c>
      <c r="AB87" s="37">
        <f t="shared" ca="1" si="770"/>
        <v>0</v>
      </c>
      <c r="AC87" s="37">
        <f t="shared" ca="1" si="771"/>
        <v>0</v>
      </c>
      <c r="AD87" s="37">
        <f t="shared" ca="1" si="772"/>
        <v>0</v>
      </c>
      <c r="AE87" s="37">
        <f t="shared" ca="1" si="773"/>
        <v>0</v>
      </c>
      <c r="AI87" s="3">
        <f t="shared" ref="AI87:CH87" si="792">AJ87</f>
        <v>1</v>
      </c>
      <c r="AJ87" s="3">
        <f t="shared" si="792"/>
        <v>1</v>
      </c>
      <c r="AK87" s="3">
        <f t="shared" si="792"/>
        <v>1</v>
      </c>
      <c r="AL87" s="3">
        <f t="shared" si="792"/>
        <v>1</v>
      </c>
      <c r="AM87" s="3">
        <f t="shared" si="792"/>
        <v>1</v>
      </c>
      <c r="AN87" s="3">
        <f t="shared" si="792"/>
        <v>1</v>
      </c>
      <c r="AO87" s="3">
        <f t="shared" si="792"/>
        <v>1</v>
      </c>
      <c r="AP87" s="3">
        <f t="shared" si="792"/>
        <v>1</v>
      </c>
      <c r="AQ87" s="3">
        <f t="shared" si="792"/>
        <v>1</v>
      </c>
      <c r="AR87" s="3">
        <f t="shared" si="792"/>
        <v>1</v>
      </c>
      <c r="AS87" s="3">
        <f t="shared" si="792"/>
        <v>1</v>
      </c>
      <c r="AT87" s="3">
        <f t="shared" si="792"/>
        <v>1</v>
      </c>
      <c r="AU87" s="3">
        <f t="shared" si="792"/>
        <v>1</v>
      </c>
      <c r="AV87" s="3">
        <f t="shared" si="792"/>
        <v>1</v>
      </c>
      <c r="AW87" s="3">
        <f t="shared" si="792"/>
        <v>1</v>
      </c>
      <c r="AX87" s="3">
        <f t="shared" si="792"/>
        <v>1</v>
      </c>
      <c r="AY87" s="3">
        <f t="shared" si="792"/>
        <v>1</v>
      </c>
      <c r="AZ87" s="3">
        <f t="shared" si="792"/>
        <v>1</v>
      </c>
      <c r="BA87" s="3">
        <f t="shared" si="792"/>
        <v>1</v>
      </c>
      <c r="BB87" s="3">
        <f t="shared" si="792"/>
        <v>1</v>
      </c>
      <c r="BC87" s="3">
        <f t="shared" si="792"/>
        <v>1</v>
      </c>
      <c r="BD87" s="3">
        <f t="shared" si="792"/>
        <v>1</v>
      </c>
      <c r="BE87" s="3">
        <f t="shared" si="792"/>
        <v>1</v>
      </c>
      <c r="BF87" s="3">
        <f t="shared" si="792"/>
        <v>1</v>
      </c>
      <c r="BG87" s="3">
        <f t="shared" si="792"/>
        <v>1</v>
      </c>
      <c r="BH87" s="3">
        <f t="shared" si="792"/>
        <v>1</v>
      </c>
      <c r="BI87" s="3">
        <f t="shared" si="792"/>
        <v>1</v>
      </c>
      <c r="BJ87" s="3">
        <f t="shared" si="792"/>
        <v>1</v>
      </c>
      <c r="BK87" s="3">
        <f t="shared" si="792"/>
        <v>1</v>
      </c>
      <c r="BL87" s="3">
        <f t="shared" si="792"/>
        <v>1</v>
      </c>
      <c r="BM87" s="3">
        <f t="shared" si="792"/>
        <v>1</v>
      </c>
      <c r="BN87" s="3">
        <f t="shared" si="792"/>
        <v>1</v>
      </c>
      <c r="BO87" s="3">
        <f t="shared" si="792"/>
        <v>1</v>
      </c>
      <c r="BP87" s="3">
        <f t="shared" si="792"/>
        <v>1</v>
      </c>
      <c r="BQ87" s="3">
        <f t="shared" si="792"/>
        <v>1</v>
      </c>
      <c r="BR87" s="3">
        <f t="shared" si="792"/>
        <v>1</v>
      </c>
      <c r="BS87" s="3">
        <f t="shared" si="792"/>
        <v>1</v>
      </c>
      <c r="BT87" s="3">
        <f t="shared" si="792"/>
        <v>1</v>
      </c>
      <c r="BU87" s="3">
        <f t="shared" si="792"/>
        <v>1</v>
      </c>
      <c r="BV87" s="3">
        <f t="shared" si="792"/>
        <v>1</v>
      </c>
      <c r="BW87" s="3">
        <f t="shared" si="792"/>
        <v>1</v>
      </c>
      <c r="BX87" s="3">
        <f t="shared" si="792"/>
        <v>1</v>
      </c>
      <c r="BY87" s="3">
        <f t="shared" si="792"/>
        <v>1</v>
      </c>
      <c r="BZ87" s="3">
        <f t="shared" si="792"/>
        <v>1</v>
      </c>
      <c r="CA87" s="3">
        <f t="shared" si="792"/>
        <v>1</v>
      </c>
      <c r="CB87" s="3">
        <f t="shared" si="792"/>
        <v>1</v>
      </c>
      <c r="CC87" s="3">
        <f t="shared" si="792"/>
        <v>1</v>
      </c>
      <c r="CD87" s="3">
        <f t="shared" si="792"/>
        <v>1</v>
      </c>
      <c r="CE87" s="3">
        <f t="shared" si="792"/>
        <v>1</v>
      </c>
      <c r="CF87" s="3">
        <f t="shared" si="792"/>
        <v>1</v>
      </c>
      <c r="CG87" s="3">
        <f t="shared" si="792"/>
        <v>1</v>
      </c>
      <c r="CH87" s="3">
        <f t="shared" si="792"/>
        <v>1</v>
      </c>
      <c r="CI87" s="3">
        <f>CJ87</f>
        <v>1</v>
      </c>
      <c r="CJ87" s="3">
        <f>'QTR Raw'!BD46</f>
        <v>1</v>
      </c>
      <c r="CK87" s="3">
        <f>'QTR Raw'!BE46</f>
        <v>1</v>
      </c>
      <c r="CL87" s="3">
        <f>'QTR Raw'!BF46</f>
        <v>1</v>
      </c>
      <c r="CM87" s="37">
        <f t="shared" si="775"/>
        <v>1</v>
      </c>
      <c r="CN87" s="37">
        <f t="shared" si="776"/>
        <v>1</v>
      </c>
      <c r="CO87" s="37">
        <f t="shared" si="777"/>
        <v>1</v>
      </c>
      <c r="CP87" s="37">
        <f t="shared" si="778"/>
        <v>1</v>
      </c>
      <c r="CQ87" s="37">
        <f t="shared" si="779"/>
        <v>1</v>
      </c>
      <c r="CR87" s="37">
        <f t="shared" si="780"/>
        <v>1</v>
      </c>
      <c r="CS87" s="37">
        <f t="shared" si="781"/>
        <v>1</v>
      </c>
      <c r="CT87" s="37">
        <f t="shared" si="782"/>
        <v>1</v>
      </c>
      <c r="CU87" s="37">
        <f t="shared" si="783"/>
        <v>1</v>
      </c>
      <c r="CV87" s="37">
        <f t="shared" si="784"/>
        <v>1</v>
      </c>
      <c r="CW87" s="37">
        <f t="shared" si="785"/>
        <v>1</v>
      </c>
      <c r="CX87" s="37">
        <f t="shared" si="786"/>
        <v>1</v>
      </c>
      <c r="CY87" s="37">
        <f t="shared" si="787"/>
        <v>1</v>
      </c>
      <c r="CZ87" s="37">
        <f t="shared" si="788"/>
        <v>1</v>
      </c>
      <c r="DA87" s="37">
        <f t="shared" si="789"/>
        <v>1</v>
      </c>
      <c r="DB87" s="37">
        <f t="shared" si="790"/>
        <v>1</v>
      </c>
      <c r="DE87" s="134"/>
      <c r="DF87" s="3">
        <v>1</v>
      </c>
    </row>
    <row r="88" spans="1:110" s="3" customFormat="1" x14ac:dyDescent="0.2">
      <c r="A88" s="3" t="s">
        <v>29</v>
      </c>
      <c r="B88" s="3" t="e">
        <f>B86/B87</f>
        <v>#DIV/0!</v>
      </c>
      <c r="C88" s="3" t="e">
        <f t="shared" ref="C88:W88" si="793">C86/C87</f>
        <v>#DIV/0!</v>
      </c>
      <c r="D88" s="3">
        <f t="shared" si="793"/>
        <v>2.5781999999999998</v>
      </c>
      <c r="E88" s="3" t="e">
        <f t="shared" ca="1" si="793"/>
        <v>#DIV/0!</v>
      </c>
      <c r="F88" s="3" t="e">
        <f t="shared" ca="1" si="793"/>
        <v>#DIV/0!</v>
      </c>
      <c r="G88" s="3" t="e">
        <f t="shared" ca="1" si="793"/>
        <v>#DIV/0!</v>
      </c>
      <c r="H88" s="3" t="e">
        <f t="shared" ca="1" si="793"/>
        <v>#DIV/0!</v>
      </c>
      <c r="I88" s="3" t="e">
        <f t="shared" ca="1" si="793"/>
        <v>#DIV/0!</v>
      </c>
      <c r="J88" s="3" t="e">
        <f t="shared" ca="1" si="793"/>
        <v>#DIV/0!</v>
      </c>
      <c r="K88" s="3" t="e">
        <f t="shared" ca="1" si="793"/>
        <v>#DIV/0!</v>
      </c>
      <c r="L88" s="3" t="e">
        <f t="shared" ca="1" si="793"/>
        <v>#DIV/0!</v>
      </c>
      <c r="M88" s="3" t="e">
        <f t="shared" ca="1" si="793"/>
        <v>#DIV/0!</v>
      </c>
      <c r="N88" s="3" t="e">
        <f t="shared" ca="1" si="793"/>
        <v>#DIV/0!</v>
      </c>
      <c r="O88" s="3" t="e">
        <f t="shared" ca="1" si="793"/>
        <v>#DIV/0!</v>
      </c>
      <c r="P88" s="3" t="e">
        <f t="shared" ca="1" si="793"/>
        <v>#DIV/0!</v>
      </c>
      <c r="Q88" s="3" t="e">
        <f t="shared" ca="1" si="793"/>
        <v>#DIV/0!</v>
      </c>
      <c r="R88" s="3" t="e">
        <f t="shared" ca="1" si="793"/>
        <v>#DIV/0!</v>
      </c>
      <c r="S88" s="3" t="e">
        <f t="shared" ca="1" si="793"/>
        <v>#DIV/0!</v>
      </c>
      <c r="T88" s="3" t="e">
        <f t="shared" ca="1" si="793"/>
        <v>#DIV/0!</v>
      </c>
      <c r="U88" s="3" t="e">
        <f t="shared" ca="1" si="793"/>
        <v>#DIV/0!</v>
      </c>
      <c r="V88" s="3" t="e">
        <f ca="1">V86/V87</f>
        <v>#DIV/0!</v>
      </c>
      <c r="W88" s="3" t="e">
        <f t="shared" ca="1" si="793"/>
        <v>#DIV/0!</v>
      </c>
      <c r="X88" s="3" t="e">
        <f t="shared" ref="X88:Y88" ca="1" si="794">X86/X87</f>
        <v>#DIV/0!</v>
      </c>
      <c r="Y88" s="3" t="e">
        <f t="shared" ca="1" si="794"/>
        <v>#DIV/0!</v>
      </c>
      <c r="Z88" s="3" t="e">
        <f t="shared" ref="Z88:AA88" ca="1" si="795">Z86/Z87</f>
        <v>#DIV/0!</v>
      </c>
      <c r="AA88" s="3" t="e">
        <f t="shared" ca="1" si="795"/>
        <v>#DIV/0!</v>
      </c>
      <c r="AB88" s="37" t="e">
        <f t="shared" ref="AA88:AD88" ca="1" si="796">AB86/AB87</f>
        <v>#DIV/0!</v>
      </c>
      <c r="AC88" s="37" t="e">
        <f t="shared" ca="1" si="796"/>
        <v>#DIV/0!</v>
      </c>
      <c r="AD88" s="37" t="e">
        <f t="shared" ca="1" si="796"/>
        <v>#DIV/0!</v>
      </c>
      <c r="AE88" s="37" t="e">
        <f t="shared" ref="AE88" ca="1" si="797">AE86/AE87</f>
        <v>#DIV/0!</v>
      </c>
      <c r="AI88" s="3">
        <f t="shared" ref="AI88" si="798">AI86/AI87</f>
        <v>129.53</v>
      </c>
      <c r="AJ88" s="3">
        <f t="shared" ref="AJ88" si="799">AJ86/AJ87</f>
        <v>129.53</v>
      </c>
      <c r="AK88" s="3">
        <f t="shared" ref="AK88:AM88" si="800">AK86/AK87</f>
        <v>129.53</v>
      </c>
      <c r="AL88" s="3">
        <f t="shared" si="800"/>
        <v>129.53</v>
      </c>
      <c r="AM88" s="3">
        <f t="shared" si="800"/>
        <v>129.53</v>
      </c>
      <c r="AN88" s="3">
        <f t="shared" ref="AN88:AO88" si="801">AN86/AN87</f>
        <v>129.53</v>
      </c>
      <c r="AO88" s="3">
        <f t="shared" si="801"/>
        <v>129.53</v>
      </c>
      <c r="AP88" s="3">
        <f t="shared" ref="AP88:CD88" si="802">AP86/AP87</f>
        <v>129.53</v>
      </c>
      <c r="AQ88" s="3">
        <f t="shared" si="802"/>
        <v>129.53</v>
      </c>
      <c r="AR88" s="3">
        <f t="shared" si="802"/>
        <v>129.53</v>
      </c>
      <c r="AS88" s="3">
        <f t="shared" si="802"/>
        <v>129.53</v>
      </c>
      <c r="AT88" s="3">
        <f t="shared" si="802"/>
        <v>129.53</v>
      </c>
      <c r="AU88" s="3">
        <f t="shared" si="802"/>
        <v>129.53</v>
      </c>
      <c r="AV88" s="3">
        <f t="shared" si="802"/>
        <v>129.53</v>
      </c>
      <c r="AW88" s="3">
        <f t="shared" si="802"/>
        <v>129.53</v>
      </c>
      <c r="AX88" s="3">
        <f t="shared" si="802"/>
        <v>129.53</v>
      </c>
      <c r="AY88" s="3">
        <f t="shared" si="802"/>
        <v>129.53</v>
      </c>
      <c r="AZ88" s="3">
        <f t="shared" si="802"/>
        <v>129.53</v>
      </c>
      <c r="BA88" s="3">
        <f t="shared" si="802"/>
        <v>129.53</v>
      </c>
      <c r="BB88" s="3">
        <f t="shared" si="802"/>
        <v>129.53</v>
      </c>
      <c r="BC88" s="3">
        <f t="shared" si="802"/>
        <v>129.53</v>
      </c>
      <c r="BD88" s="3">
        <f t="shared" si="802"/>
        <v>129.53</v>
      </c>
      <c r="BE88" s="3">
        <f t="shared" si="802"/>
        <v>129.53</v>
      </c>
      <c r="BF88" s="3">
        <f t="shared" si="802"/>
        <v>129.53</v>
      </c>
      <c r="BG88" s="3">
        <f t="shared" si="802"/>
        <v>129.53</v>
      </c>
      <c r="BH88" s="3">
        <f t="shared" si="802"/>
        <v>129.53</v>
      </c>
      <c r="BI88" s="3">
        <f t="shared" si="802"/>
        <v>129.53</v>
      </c>
      <c r="BJ88" s="3">
        <f t="shared" si="802"/>
        <v>129.53</v>
      </c>
      <c r="BK88" s="3">
        <f t="shared" si="802"/>
        <v>129.53</v>
      </c>
      <c r="BL88" s="3">
        <f t="shared" si="802"/>
        <v>129.53</v>
      </c>
      <c r="BM88" s="3">
        <f t="shared" si="802"/>
        <v>129.53</v>
      </c>
      <c r="BN88" s="3">
        <f t="shared" si="802"/>
        <v>129.53</v>
      </c>
      <c r="BO88" s="3">
        <f t="shared" si="802"/>
        <v>129.53</v>
      </c>
      <c r="BP88" s="3">
        <f t="shared" si="802"/>
        <v>129.53</v>
      </c>
      <c r="BQ88" s="3">
        <f t="shared" si="802"/>
        <v>129.53</v>
      </c>
      <c r="BR88" s="3">
        <f t="shared" si="802"/>
        <v>129.53</v>
      </c>
      <c r="BS88" s="3">
        <f t="shared" si="802"/>
        <v>129.53</v>
      </c>
      <c r="BT88" s="3">
        <f t="shared" si="802"/>
        <v>129.53</v>
      </c>
      <c r="BU88" s="3">
        <f t="shared" si="802"/>
        <v>129.53</v>
      </c>
      <c r="BV88" s="3">
        <f t="shared" si="802"/>
        <v>129.53</v>
      </c>
      <c r="BW88" s="3">
        <f t="shared" si="802"/>
        <v>129.53</v>
      </c>
      <c r="BX88" s="3">
        <f t="shared" si="802"/>
        <v>129.53</v>
      </c>
      <c r="BY88" s="3">
        <f t="shared" si="802"/>
        <v>129.53</v>
      </c>
      <c r="BZ88" s="3">
        <f t="shared" si="802"/>
        <v>129.53</v>
      </c>
      <c r="CA88" s="3">
        <f t="shared" si="802"/>
        <v>129.53</v>
      </c>
      <c r="CB88" s="3">
        <f t="shared" si="802"/>
        <v>129.53</v>
      </c>
      <c r="CC88" s="3">
        <f t="shared" si="802"/>
        <v>129.53</v>
      </c>
      <c r="CD88" s="3">
        <f t="shared" si="802"/>
        <v>129.53</v>
      </c>
      <c r="CE88" s="3">
        <f t="shared" ref="CE88:CF88" si="803">CE86/CE87</f>
        <v>129.53</v>
      </c>
      <c r="CF88" s="3">
        <f t="shared" si="803"/>
        <v>129.53</v>
      </c>
      <c r="CG88" s="3">
        <f t="shared" ref="CG88:CH88" si="804">CG86/CG87</f>
        <v>129.53</v>
      </c>
      <c r="CH88" s="3">
        <f t="shared" si="804"/>
        <v>129.53</v>
      </c>
      <c r="CI88" s="3">
        <f t="shared" ref="CI88:CJ88" si="805">CI86/CI87</f>
        <v>129.53</v>
      </c>
      <c r="CJ88" s="3">
        <f t="shared" si="805"/>
        <v>129.53</v>
      </c>
      <c r="CK88" s="3">
        <f t="shared" ref="CK88:CL88" si="806">CK86/CK87</f>
        <v>129.53</v>
      </c>
      <c r="CL88" s="3">
        <f t="shared" si="806"/>
        <v>129.33000000000001</v>
      </c>
      <c r="CM88" s="37">
        <f t="shared" ref="CM88:DB88" si="807">CM86/CM87</f>
        <v>129.33000000000001</v>
      </c>
      <c r="CN88" s="37">
        <f t="shared" si="807"/>
        <v>129.33000000000001</v>
      </c>
      <c r="CO88" s="37">
        <f t="shared" si="807"/>
        <v>129.33000000000001</v>
      </c>
      <c r="CP88" s="37">
        <f t="shared" si="807"/>
        <v>129.33000000000001</v>
      </c>
      <c r="CQ88" s="37">
        <f t="shared" si="807"/>
        <v>129.33000000000001</v>
      </c>
      <c r="CR88" s="37">
        <f t="shared" si="807"/>
        <v>129.33000000000001</v>
      </c>
      <c r="CS88" s="37">
        <f t="shared" si="807"/>
        <v>129.33000000000001</v>
      </c>
      <c r="CT88" s="37">
        <f t="shared" si="807"/>
        <v>129.33000000000001</v>
      </c>
      <c r="CU88" s="37">
        <f t="shared" si="807"/>
        <v>129.33000000000001</v>
      </c>
      <c r="CV88" s="37">
        <f t="shared" si="807"/>
        <v>129.33000000000001</v>
      </c>
      <c r="CW88" s="37">
        <f t="shared" si="807"/>
        <v>129.33000000000001</v>
      </c>
      <c r="CX88" s="37">
        <f t="shared" si="807"/>
        <v>129.33000000000001</v>
      </c>
      <c r="CY88" s="37">
        <f t="shared" si="807"/>
        <v>129.33000000000001</v>
      </c>
      <c r="CZ88" s="37">
        <f t="shared" si="807"/>
        <v>129.33000000000001</v>
      </c>
      <c r="DA88" s="37">
        <f t="shared" si="807"/>
        <v>129.33000000000001</v>
      </c>
      <c r="DB88" s="37">
        <f t="shared" si="807"/>
        <v>129.33000000000001</v>
      </c>
      <c r="DE88" s="134"/>
      <c r="DF88" s="3">
        <v>129.53</v>
      </c>
    </row>
    <row r="89" spans="1:110" s="53" customFormat="1" x14ac:dyDescent="0.2">
      <c r="A89" s="53" t="s">
        <v>30</v>
      </c>
      <c r="B89" s="53" t="e">
        <f t="shared" ref="B89:AE89" si="808">(B71-B70)/B88</f>
        <v>#DIV/0!</v>
      </c>
      <c r="C89" s="53" t="e">
        <f t="shared" si="808"/>
        <v>#DIV/0!</v>
      </c>
      <c r="D89" s="53">
        <f t="shared" si="808"/>
        <v>5.5418509037312615</v>
      </c>
      <c r="E89" s="53" t="e">
        <f t="shared" ca="1" si="808"/>
        <v>#DIV/0!</v>
      </c>
      <c r="F89" s="53" t="e">
        <f t="shared" ca="1" si="808"/>
        <v>#DIV/0!</v>
      </c>
      <c r="G89" s="53" t="e">
        <f t="shared" ca="1" si="808"/>
        <v>#DIV/0!</v>
      </c>
      <c r="H89" s="53" t="e">
        <f t="shared" ca="1" si="808"/>
        <v>#DIV/0!</v>
      </c>
      <c r="I89" s="53" t="e">
        <f t="shared" ca="1" si="808"/>
        <v>#DIV/0!</v>
      </c>
      <c r="J89" s="53" t="e">
        <f t="shared" ca="1" si="808"/>
        <v>#DIV/0!</v>
      </c>
      <c r="K89" s="53" t="e">
        <f t="shared" ca="1" si="808"/>
        <v>#DIV/0!</v>
      </c>
      <c r="L89" s="53" t="e">
        <f t="shared" ca="1" si="808"/>
        <v>#DIV/0!</v>
      </c>
      <c r="M89" s="53" t="e">
        <f t="shared" ca="1" si="808"/>
        <v>#DIV/0!</v>
      </c>
      <c r="N89" s="53" t="e">
        <f t="shared" ca="1" si="808"/>
        <v>#DIV/0!</v>
      </c>
      <c r="O89" s="53" t="e">
        <f t="shared" ca="1" si="808"/>
        <v>#DIV/0!</v>
      </c>
      <c r="P89" s="53" t="e">
        <f t="shared" ca="1" si="808"/>
        <v>#DIV/0!</v>
      </c>
      <c r="Q89" s="53" t="e">
        <f t="shared" ca="1" si="808"/>
        <v>#DIV/0!</v>
      </c>
      <c r="R89" s="53" t="e">
        <f t="shared" ca="1" si="808"/>
        <v>#DIV/0!</v>
      </c>
      <c r="S89" s="53" t="e">
        <f t="shared" ca="1" si="808"/>
        <v>#DIV/0!</v>
      </c>
      <c r="T89" s="53" t="e">
        <f t="shared" ca="1" si="808"/>
        <v>#DIV/0!</v>
      </c>
      <c r="U89" s="53" t="e">
        <f t="shared" ca="1" si="808"/>
        <v>#DIV/0!</v>
      </c>
      <c r="V89" s="53" t="e">
        <f t="shared" ca="1" si="808"/>
        <v>#DIV/0!</v>
      </c>
      <c r="W89" s="53" t="e">
        <f t="shared" ca="1" si="808"/>
        <v>#DIV/0!</v>
      </c>
      <c r="X89" s="53" t="e">
        <f t="shared" ca="1" si="808"/>
        <v>#DIV/0!</v>
      </c>
      <c r="Y89" s="53" t="e">
        <f t="shared" ca="1" si="808"/>
        <v>#DIV/0!</v>
      </c>
      <c r="Z89" s="53" t="e">
        <f t="shared" ca="1" si="808"/>
        <v>#DIV/0!</v>
      </c>
      <c r="AA89" s="53" t="e">
        <f t="shared" ref="AA89" ca="1" si="809">(AA71-AA70)/AA88</f>
        <v>#DIV/0!</v>
      </c>
      <c r="AB89" s="54" t="e">
        <f t="shared" ca="1" si="808"/>
        <v>#DIV/0!</v>
      </c>
      <c r="AC89" s="54" t="e">
        <f t="shared" ca="1" si="808"/>
        <v>#DIV/0!</v>
      </c>
      <c r="AD89" s="54" t="e">
        <f t="shared" ca="1" si="808"/>
        <v>#DIV/0!</v>
      </c>
      <c r="AE89" s="54" t="e">
        <f t="shared" ca="1" si="808"/>
        <v>#DIV/0!</v>
      </c>
      <c r="AI89" s="53">
        <f t="shared" ref="AI89:BN89" si="810">(AI71-AI70)/AI88</f>
        <v>0</v>
      </c>
      <c r="AJ89" s="53">
        <f t="shared" si="810"/>
        <v>0</v>
      </c>
      <c r="AK89" s="53">
        <f t="shared" si="810"/>
        <v>0</v>
      </c>
      <c r="AL89" s="53">
        <f t="shared" si="810"/>
        <v>0</v>
      </c>
      <c r="AM89" s="53">
        <f t="shared" si="810"/>
        <v>0</v>
      </c>
      <c r="AN89" s="53">
        <f t="shared" si="810"/>
        <v>0</v>
      </c>
      <c r="AO89" s="53">
        <f t="shared" si="810"/>
        <v>0</v>
      </c>
      <c r="AP89" s="53">
        <f t="shared" si="810"/>
        <v>0</v>
      </c>
      <c r="AQ89" s="53">
        <f t="shared" si="810"/>
        <v>0</v>
      </c>
      <c r="AR89" s="53">
        <f t="shared" si="810"/>
        <v>0</v>
      </c>
      <c r="AS89" s="53">
        <f t="shared" si="810"/>
        <v>0</v>
      </c>
      <c r="AT89" s="53">
        <f t="shared" si="810"/>
        <v>0</v>
      </c>
      <c r="AU89" s="53">
        <f t="shared" si="810"/>
        <v>0</v>
      </c>
      <c r="AV89" s="53">
        <f t="shared" si="810"/>
        <v>0</v>
      </c>
      <c r="AW89" s="53">
        <f t="shared" si="810"/>
        <v>0</v>
      </c>
      <c r="AX89" s="53">
        <f t="shared" si="810"/>
        <v>0</v>
      </c>
      <c r="AY89" s="53">
        <f t="shared" si="810"/>
        <v>0</v>
      </c>
      <c r="AZ89" s="53">
        <f t="shared" si="810"/>
        <v>0</v>
      </c>
      <c r="BA89" s="53">
        <f t="shared" si="810"/>
        <v>0</v>
      </c>
      <c r="BB89" s="53">
        <f t="shared" si="810"/>
        <v>0</v>
      </c>
      <c r="BC89" s="53">
        <f t="shared" si="810"/>
        <v>0</v>
      </c>
      <c r="BD89" s="53">
        <f t="shared" si="810"/>
        <v>0</v>
      </c>
      <c r="BE89" s="53">
        <f t="shared" si="810"/>
        <v>0</v>
      </c>
      <c r="BF89" s="53">
        <f t="shared" si="810"/>
        <v>0</v>
      </c>
      <c r="BG89" s="53">
        <f t="shared" si="810"/>
        <v>0</v>
      </c>
      <c r="BH89" s="53">
        <f t="shared" si="810"/>
        <v>0</v>
      </c>
      <c r="BI89" s="53">
        <f t="shared" si="810"/>
        <v>0</v>
      </c>
      <c r="BJ89" s="53">
        <f t="shared" si="810"/>
        <v>0</v>
      </c>
      <c r="BK89" s="53">
        <f t="shared" si="810"/>
        <v>0</v>
      </c>
      <c r="BL89" s="53">
        <f t="shared" si="810"/>
        <v>0</v>
      </c>
      <c r="BM89" s="53">
        <f t="shared" si="810"/>
        <v>0</v>
      </c>
      <c r="BN89" s="53">
        <f t="shared" si="810"/>
        <v>0</v>
      </c>
      <c r="BO89" s="53">
        <f t="shared" ref="BO89:CT89" si="811">(BO71-BO70)/BO88</f>
        <v>0</v>
      </c>
      <c r="BP89" s="53">
        <f t="shared" si="811"/>
        <v>0</v>
      </c>
      <c r="BQ89" s="53">
        <f t="shared" si="811"/>
        <v>0.9834787307959606</v>
      </c>
      <c r="BR89" s="53">
        <f t="shared" si="811"/>
        <v>2.4318690650814596</v>
      </c>
      <c r="BS89" s="53">
        <f t="shared" si="811"/>
        <v>1.3564425229676511</v>
      </c>
      <c r="BT89" s="53">
        <f t="shared" si="811"/>
        <v>1.4076275766231776</v>
      </c>
      <c r="BU89" s="53">
        <f t="shared" si="811"/>
        <v>1.6321315525360998</v>
      </c>
      <c r="BV89" s="53">
        <f t="shared" si="811"/>
        <v>1.8087701690728013</v>
      </c>
      <c r="BW89" s="53">
        <f t="shared" si="811"/>
        <v>1.4945572454257747</v>
      </c>
      <c r="BX89" s="53">
        <f t="shared" si="811"/>
        <v>0.37643789083609347</v>
      </c>
      <c r="BY89" s="53">
        <f t="shared" si="811"/>
        <v>1.9004091716204743</v>
      </c>
      <c r="BZ89" s="53">
        <f t="shared" si="811"/>
        <v>0.72268972438816859</v>
      </c>
      <c r="CA89" s="53">
        <f t="shared" si="811"/>
        <v>-0.60927970354358518</v>
      </c>
      <c r="CB89" s="53">
        <f t="shared" si="811"/>
        <v>-0.59615533081140837</v>
      </c>
      <c r="CC89" s="53">
        <f t="shared" si="811"/>
        <v>1.5509148459816324</v>
      </c>
      <c r="CD89" s="53">
        <f t="shared" si="811"/>
        <v>1.2101443681000541</v>
      </c>
      <c r="CE89" s="53">
        <f t="shared" si="811"/>
        <v>2.4179726704238496</v>
      </c>
      <c r="CF89" s="53">
        <f t="shared" si="811"/>
        <v>2.4012197946421714</v>
      </c>
      <c r="CG89" s="53">
        <f t="shared" si="811"/>
        <v>3.1696904192079005</v>
      </c>
      <c r="CH89" s="53">
        <f t="shared" si="811"/>
        <v>1.4690033196942867</v>
      </c>
      <c r="CI89" s="53">
        <f t="shared" si="811"/>
        <v>1.8252914382768606</v>
      </c>
      <c r="CJ89" s="53">
        <f t="shared" si="811"/>
        <v>1.8892920558943811</v>
      </c>
      <c r="CK89" s="53">
        <f t="shared" ref="CK89:CL89" si="812">(CK71-CK70)/CK88</f>
        <v>2.2747626032579165</v>
      </c>
      <c r="CL89" s="53">
        <f t="shared" si="812"/>
        <v>2.2584087218742765</v>
      </c>
      <c r="CM89" s="54">
        <f t="shared" si="811"/>
        <v>2.2949103349478652</v>
      </c>
      <c r="CN89" s="54">
        <f t="shared" si="811"/>
        <v>2.6129742208649698</v>
      </c>
      <c r="CO89" s="54">
        <f t="shared" si="811"/>
        <v>2.6211659793217659</v>
      </c>
      <c r="CP89" s="54">
        <f t="shared" si="811"/>
        <v>3.0235195125818821</v>
      </c>
      <c r="CQ89" s="54">
        <f t="shared" si="811"/>
        <v>2.2982458255572586</v>
      </c>
      <c r="CR89" s="54">
        <f t="shared" si="811"/>
        <v>2.3776767842755397</v>
      </c>
      <c r="CS89" s="54">
        <f t="shared" si="811"/>
        <v>2.6125255785970141</v>
      </c>
      <c r="CT89" s="54">
        <f t="shared" si="811"/>
        <v>3.3222916923750154</v>
      </c>
      <c r="CU89" s="54">
        <f t="shared" ref="CU89:DB89" si="813">(CU71-CU70)/CU88</f>
        <v>2.3372084704905109</v>
      </c>
      <c r="CV89" s="54">
        <f t="shared" si="813"/>
        <v>2.3970836525370376</v>
      </c>
      <c r="CW89" s="54">
        <f t="shared" si="813"/>
        <v>2.6333679145788844</v>
      </c>
      <c r="CX89" s="54">
        <f t="shared" si="813"/>
        <v>3.2873940248080813</v>
      </c>
      <c r="CY89" s="54">
        <f t="shared" si="813"/>
        <v>2.3603807353144677</v>
      </c>
      <c r="CZ89" s="54">
        <f t="shared" si="813"/>
        <v>2.4075485486584491</v>
      </c>
      <c r="DA89" s="54">
        <f t="shared" si="813"/>
        <v>2.6593974674127119</v>
      </c>
      <c r="DB89" s="54">
        <f t="shared" si="813"/>
        <v>3.3675542408657777</v>
      </c>
      <c r="DE89" s="132"/>
      <c r="DF89" s="53">
        <v>2.5980305783488302</v>
      </c>
    </row>
    <row r="90" spans="1:110" s="3" customFormat="1" x14ac:dyDescent="0.2">
      <c r="A90" s="3" t="s">
        <v>31</v>
      </c>
      <c r="B90" s="3">
        <f>'Annual Raw'!C110</f>
        <v>0</v>
      </c>
      <c r="C90" s="3">
        <f>'Annual Raw'!D110</f>
        <v>0</v>
      </c>
      <c r="D90" s="3">
        <f>'Annual Raw'!E110</f>
        <v>0</v>
      </c>
      <c r="E90" s="3">
        <f>'Annual Raw'!F110</f>
        <v>0</v>
      </c>
      <c r="F90" s="3">
        <f>'Annual Raw'!G110</f>
        <v>0</v>
      </c>
      <c r="G90" s="3">
        <f>'Annual Raw'!H110</f>
        <v>0</v>
      </c>
      <c r="H90" s="3">
        <f>'Annual Raw'!I110</f>
        <v>0</v>
      </c>
      <c r="I90" s="3">
        <f>'Annual Raw'!J110</f>
        <v>0</v>
      </c>
      <c r="J90" s="3">
        <f>'Annual Raw'!K110</f>
        <v>0</v>
      </c>
      <c r="K90" s="3">
        <f>'Annual Raw'!L110</f>
        <v>0</v>
      </c>
      <c r="L90" s="3">
        <f>'Annual Raw'!M110</f>
        <v>0</v>
      </c>
      <c r="M90" s="3">
        <f>'Annual Raw'!N110</f>
        <v>0</v>
      </c>
      <c r="N90" s="3">
        <f>'Annual Raw'!O110</f>
        <v>0</v>
      </c>
      <c r="O90" s="3">
        <f>'Annual Raw'!P110</f>
        <v>0</v>
      </c>
      <c r="P90" s="3">
        <f>'Annual Raw'!Q110</f>
        <v>0</v>
      </c>
      <c r="Q90" s="3">
        <f>'Annual Raw'!R110</f>
        <v>0</v>
      </c>
      <c r="R90" s="3">
        <f>'Annual Raw'!S110</f>
        <v>0</v>
      </c>
      <c r="S90" s="3">
        <f>'Annual Raw'!T110</f>
        <v>0</v>
      </c>
      <c r="T90" s="3">
        <f>'Annual Raw'!U110</f>
        <v>0</v>
      </c>
      <c r="U90" s="3">
        <f>'Annual Raw'!V110</f>
        <v>0</v>
      </c>
      <c r="V90" s="3">
        <f>'Annual Raw'!W110</f>
        <v>0</v>
      </c>
      <c r="W90" s="3">
        <f>'Annual Raw'!X110</f>
        <v>0</v>
      </c>
      <c r="X90" s="3">
        <f>'Annual Raw'!Y110</f>
        <v>0</v>
      </c>
      <c r="Y90" s="3">
        <f>'Annual Raw'!Z110</f>
        <v>0</v>
      </c>
      <c r="Z90" s="3">
        <f>'Annual Raw'!AA110</f>
        <v>0</v>
      </c>
      <c r="AA90" s="3">
        <f>'Annual Raw'!AB110</f>
        <v>1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91" s="3" t="s">
        <v>32</v>
      </c>
      <c r="B91" s="3" t="e">
        <f>B90/B89</f>
        <v>#DIV/0!</v>
      </c>
      <c r="C91" s="3" t="e">
        <f t="shared" ref="C91:U91" si="814">C90/C89</f>
        <v>#DIV/0!</v>
      </c>
      <c r="D91" s="3">
        <f t="shared" si="814"/>
        <v>0</v>
      </c>
      <c r="E91" s="3" t="e">
        <f t="shared" ca="1" si="814"/>
        <v>#DIV/0!</v>
      </c>
      <c r="F91" s="3" t="e">
        <f t="shared" ca="1" si="814"/>
        <v>#DIV/0!</v>
      </c>
      <c r="G91" s="3" t="e">
        <f t="shared" ca="1" si="814"/>
        <v>#DIV/0!</v>
      </c>
      <c r="H91" s="3" t="e">
        <f t="shared" ca="1" si="814"/>
        <v>#DIV/0!</v>
      </c>
      <c r="I91" s="3" t="e">
        <f t="shared" ca="1" si="814"/>
        <v>#DIV/0!</v>
      </c>
      <c r="J91" s="3" t="e">
        <f t="shared" ca="1" si="814"/>
        <v>#DIV/0!</v>
      </c>
      <c r="K91" s="3" t="e">
        <f t="shared" ca="1" si="814"/>
        <v>#DIV/0!</v>
      </c>
      <c r="L91" s="3" t="e">
        <f t="shared" ca="1" si="814"/>
        <v>#DIV/0!</v>
      </c>
      <c r="M91" s="3" t="e">
        <f t="shared" ca="1" si="814"/>
        <v>#DIV/0!</v>
      </c>
      <c r="N91" s="3" t="e">
        <f t="shared" ca="1" si="814"/>
        <v>#DIV/0!</v>
      </c>
      <c r="O91" s="3" t="e">
        <f t="shared" ca="1" si="814"/>
        <v>#DIV/0!</v>
      </c>
      <c r="P91" s="3" t="e">
        <f t="shared" ca="1" si="814"/>
        <v>#DIV/0!</v>
      </c>
      <c r="Q91" s="3" t="e">
        <f t="shared" ca="1" si="814"/>
        <v>#DIV/0!</v>
      </c>
      <c r="R91" s="3" t="e">
        <f t="shared" ca="1" si="814"/>
        <v>#DIV/0!</v>
      </c>
      <c r="S91" s="3" t="e">
        <f t="shared" ca="1" si="814"/>
        <v>#DIV/0!</v>
      </c>
      <c r="T91" s="3" t="e">
        <f t="shared" ca="1" si="814"/>
        <v>#DIV/0!</v>
      </c>
      <c r="U91" s="3" t="e">
        <f t="shared" ca="1" si="814"/>
        <v>#DIV/0!</v>
      </c>
      <c r="V91" s="3" t="e">
        <f ca="1">V90/V89</f>
        <v>#DIV/0!</v>
      </c>
      <c r="W91" s="3" t="e">
        <f t="shared" ref="W91" ca="1" si="815">W90/W89</f>
        <v>#DIV/0!</v>
      </c>
      <c r="X91" s="3" t="e">
        <f t="shared" ref="X91:Y91" ca="1" si="816">X90/X89</f>
        <v>#DIV/0!</v>
      </c>
      <c r="Y91" s="3" t="e">
        <f t="shared" ca="1" si="816"/>
        <v>#DIV/0!</v>
      </c>
      <c r="Z91" s="3" t="e">
        <f t="shared" ref="Z91:AA91" ca="1" si="817">Z90/Z89</f>
        <v>#DIV/0!</v>
      </c>
      <c r="AA91" s="3" t="e">
        <f t="shared" ca="1" si="817"/>
        <v>#DIV/0!</v>
      </c>
      <c r="AB91" s="37" t="e">
        <f t="shared" ref="AA91:AD91" ca="1" si="818">AB90/AB89</f>
        <v>#DIV/0!</v>
      </c>
      <c r="AC91" s="37" t="e">
        <f t="shared" ca="1" si="818"/>
        <v>#DIV/0!</v>
      </c>
      <c r="AD91" s="37" t="e">
        <f t="shared" ca="1" si="818"/>
        <v>#DIV/0!</v>
      </c>
      <c r="AE91" s="37" t="e">
        <f t="shared" ref="AE91" ca="1" si="819">AE90/AE89</f>
        <v>#DIV/0!</v>
      </c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  <c r="DF91" s="3">
        <v>0</v>
      </c>
    </row>
    <row r="92" spans="1:110" s="3" customFormat="1" x14ac:dyDescent="0.2">
      <c r="A92" s="3" t="s">
        <v>33</v>
      </c>
      <c r="B92" s="3" t="e">
        <f>+B89</f>
        <v>#DIV/0!</v>
      </c>
      <c r="C92" s="3" t="e">
        <f t="shared" ref="C92:U92" si="820">+C89</f>
        <v>#DIV/0!</v>
      </c>
      <c r="D92" s="3">
        <f t="shared" si="820"/>
        <v>5.5418509037312615</v>
      </c>
      <c r="E92" s="3" t="e">
        <f t="shared" ca="1" si="820"/>
        <v>#DIV/0!</v>
      </c>
      <c r="F92" s="3" t="e">
        <f t="shared" ca="1" si="820"/>
        <v>#DIV/0!</v>
      </c>
      <c r="G92" s="3" t="e">
        <f t="shared" ca="1" si="820"/>
        <v>#DIV/0!</v>
      </c>
      <c r="H92" s="3" t="e">
        <f t="shared" ca="1" si="820"/>
        <v>#DIV/0!</v>
      </c>
      <c r="I92" s="3" t="e">
        <f t="shared" ca="1" si="820"/>
        <v>#DIV/0!</v>
      </c>
      <c r="J92" s="3" t="e">
        <f t="shared" ca="1" si="820"/>
        <v>#DIV/0!</v>
      </c>
      <c r="K92" s="3" t="e">
        <f t="shared" ca="1" si="820"/>
        <v>#DIV/0!</v>
      </c>
      <c r="L92" s="3" t="e">
        <f t="shared" ca="1" si="820"/>
        <v>#DIV/0!</v>
      </c>
      <c r="M92" s="3" t="e">
        <f t="shared" ca="1" si="820"/>
        <v>#DIV/0!</v>
      </c>
      <c r="N92" s="3" t="e">
        <f t="shared" ca="1" si="820"/>
        <v>#DIV/0!</v>
      </c>
      <c r="O92" s="3" t="e">
        <f t="shared" ca="1" si="820"/>
        <v>#DIV/0!</v>
      </c>
      <c r="P92" s="3" t="e">
        <f t="shared" ca="1" si="820"/>
        <v>#DIV/0!</v>
      </c>
      <c r="Q92" s="3" t="e">
        <f t="shared" ca="1" si="820"/>
        <v>#DIV/0!</v>
      </c>
      <c r="R92" s="3" t="e">
        <f t="shared" ca="1" si="820"/>
        <v>#DIV/0!</v>
      </c>
      <c r="S92" s="3" t="e">
        <f t="shared" ca="1" si="820"/>
        <v>#DIV/0!</v>
      </c>
      <c r="T92" s="3" t="e">
        <f ca="1">+T89</f>
        <v>#DIV/0!</v>
      </c>
      <c r="U92" s="3" t="e">
        <f t="shared" ca="1" si="820"/>
        <v>#DIV/0!</v>
      </c>
      <c r="V92" s="3" t="e">
        <f ca="1">+V89</f>
        <v>#DIV/0!</v>
      </c>
      <c r="W92" s="3" t="e">
        <f t="shared" ref="W92" ca="1" si="821">+W89</f>
        <v>#DIV/0!</v>
      </c>
      <c r="X92" s="3" t="e">
        <f t="shared" ref="X92:Y92" ca="1" si="822">+X89</f>
        <v>#DIV/0!</v>
      </c>
      <c r="Y92" s="3" t="e">
        <f t="shared" ca="1" si="822"/>
        <v>#DIV/0!</v>
      </c>
      <c r="Z92" s="3" t="e">
        <f t="shared" ref="Z92:AA92" ca="1" si="823">+Z89</f>
        <v>#DIV/0!</v>
      </c>
      <c r="AA92" s="3" t="e">
        <f t="shared" ca="1" si="823"/>
        <v>#DIV/0!</v>
      </c>
      <c r="AB92" s="37" t="e">
        <f t="shared" ref="AA92:AD92" ca="1" si="824">+AB89</f>
        <v>#DIV/0!</v>
      </c>
      <c r="AC92" s="37" t="e">
        <f t="shared" ca="1" si="824"/>
        <v>#DIV/0!</v>
      </c>
      <c r="AD92" s="37" t="e">
        <f t="shared" ca="1" si="824"/>
        <v>#DIV/0!</v>
      </c>
      <c r="AE92" s="37" t="e">
        <f t="shared" ref="AE92" ca="1" si="825">+AE89</f>
        <v>#DIV/0!</v>
      </c>
      <c r="AL92" s="3">
        <f>SUM(AI89:AL89)</f>
        <v>0</v>
      </c>
      <c r="AM92" s="3">
        <f t="shared" ref="AM92" si="826">SUM(AJ89:AM89)</f>
        <v>0</v>
      </c>
      <c r="AN92" s="3">
        <f t="shared" ref="AN92" si="827">SUM(AK89:AN89)</f>
        <v>0</v>
      </c>
      <c r="AO92" s="3">
        <f t="shared" ref="AO92" si="828">SUM(AL89:AO89)</f>
        <v>0</v>
      </c>
      <c r="AP92" s="3">
        <f t="shared" ref="AP92" si="829">SUM(AM89:AP89)</f>
        <v>0</v>
      </c>
      <c r="AQ92" s="3">
        <f t="shared" ref="AQ92" si="830">SUM(AN89:AQ89)</f>
        <v>0</v>
      </c>
      <c r="AR92" s="3">
        <f t="shared" ref="AR92" si="831">SUM(AO89:AR89)</f>
        <v>0</v>
      </c>
      <c r="AS92" s="3">
        <f t="shared" ref="AS92" si="832">SUM(AP89:AS89)</f>
        <v>0</v>
      </c>
      <c r="AT92" s="3">
        <f t="shared" ref="AT92" si="833">SUM(AQ89:AT89)</f>
        <v>0</v>
      </c>
      <c r="AU92" s="3">
        <f t="shared" ref="AU92" si="834">SUM(AR89:AU89)</f>
        <v>0</v>
      </c>
      <c r="AV92" s="3">
        <f t="shared" ref="AV92" si="835">SUM(AS89:AV89)</f>
        <v>0</v>
      </c>
      <c r="AW92" s="3">
        <f t="shared" ref="AW92" si="836">SUM(AT89:AW89)</f>
        <v>0</v>
      </c>
      <c r="AX92" s="3">
        <f t="shared" ref="AX92" si="837">SUM(AU89:AX89)</f>
        <v>0</v>
      </c>
      <c r="AY92" s="3">
        <f t="shared" ref="AY92" si="838">SUM(AV89:AY89)</f>
        <v>0</v>
      </c>
      <c r="AZ92" s="3">
        <f t="shared" ref="AZ92" si="839">SUM(AW89:AZ89)</f>
        <v>0</v>
      </c>
      <c r="BA92" s="3">
        <f t="shared" ref="BA92" si="840">SUM(AX89:BA89)</f>
        <v>0</v>
      </c>
      <c r="BB92" s="3">
        <f t="shared" ref="BB92" si="841">SUM(AY89:BB89)</f>
        <v>0</v>
      </c>
      <c r="BC92" s="3">
        <f t="shared" ref="BC92" si="842">SUM(AZ89:BC89)</f>
        <v>0</v>
      </c>
      <c r="BD92" s="3">
        <f t="shared" ref="BD92" si="843">SUM(BA89:BD89)</f>
        <v>0</v>
      </c>
      <c r="BE92" s="3">
        <f t="shared" ref="BE92" si="844">SUM(BB89:BE89)</f>
        <v>0</v>
      </c>
      <c r="BF92" s="3">
        <f t="shared" ref="BF92" si="845">SUM(BC89:BF89)</f>
        <v>0</v>
      </c>
      <c r="BG92" s="3">
        <f t="shared" ref="BG92" si="846">SUM(BD89:BG89)</f>
        <v>0</v>
      </c>
      <c r="BH92" s="3">
        <f t="shared" ref="BH92" si="847">SUM(BE89:BH89)</f>
        <v>0</v>
      </c>
      <c r="BI92" s="3">
        <f t="shared" ref="BI92" si="848">SUM(BF89:BI89)</f>
        <v>0</v>
      </c>
      <c r="BJ92" s="3">
        <f t="shared" ref="BJ92" si="849">SUM(BG89:BJ89)</f>
        <v>0</v>
      </c>
      <c r="BK92" s="3">
        <f t="shared" ref="BK92" si="850">SUM(BH89:BK89)</f>
        <v>0</v>
      </c>
      <c r="BL92" s="3">
        <f t="shared" ref="BL92" si="851">SUM(BI89:BL89)</f>
        <v>0</v>
      </c>
      <c r="BM92" s="3">
        <f t="shared" ref="BM92" si="852">SUM(BJ89:BM89)</f>
        <v>0</v>
      </c>
      <c r="BN92" s="3">
        <f t="shared" ref="BN92" si="853">SUM(BK89:BN89)</f>
        <v>0</v>
      </c>
      <c r="BO92" s="3">
        <f t="shared" ref="BO92" si="854">SUM(BL89:BO89)</f>
        <v>0</v>
      </c>
      <c r="BP92" s="3">
        <f t="shared" ref="BP92" si="855">SUM(BM89:BP89)</f>
        <v>0</v>
      </c>
      <c r="BQ92" s="3">
        <f t="shared" ref="BQ92" si="856">SUM(BN89:BQ89)</f>
        <v>0.9834787307959606</v>
      </c>
      <c r="BR92" s="3">
        <f t="shared" ref="BR92" si="857">SUM(BO89:BR89)</f>
        <v>3.4153477958774201</v>
      </c>
      <c r="BS92" s="3">
        <f t="shared" ref="BS92" si="858">SUM(BP89:BS89)</f>
        <v>4.7717903188450714</v>
      </c>
      <c r="BT92" s="3">
        <f t="shared" ref="BT92" si="859">SUM(BQ89:BT89)</f>
        <v>6.1794178954682488</v>
      </c>
      <c r="BU92" s="3">
        <f t="shared" ref="BU92" si="860">SUM(BR89:BU89)</f>
        <v>6.8280707172083881</v>
      </c>
      <c r="BV92" s="3">
        <f t="shared" ref="BV92" si="861">SUM(BS89:BV89)</f>
        <v>6.2049718211997291</v>
      </c>
      <c r="BW92" s="3">
        <f t="shared" ref="BW92" si="862">SUM(BT89:BW89)</f>
        <v>6.3430865436578525</v>
      </c>
      <c r="BX92" s="3">
        <f t="shared" ref="BX92" si="863">SUM(BU89:BX89)</f>
        <v>5.311896857870769</v>
      </c>
      <c r="BY92" s="3">
        <f t="shared" ref="BY92" si="864">SUM(BV89:BY89)</f>
        <v>5.5801744769551442</v>
      </c>
      <c r="BZ92" s="3">
        <f t="shared" ref="BZ92" si="865">SUM(BW89:BZ89)</f>
        <v>4.4940940322705112</v>
      </c>
      <c r="CA92" s="3">
        <f t="shared" ref="CA92" si="866">SUM(BX89:CA89)</f>
        <v>2.3902570833011514</v>
      </c>
      <c r="CB92" s="3">
        <f t="shared" ref="CB92" si="867">SUM(BY89:CB89)</f>
        <v>1.4176638616536494</v>
      </c>
      <c r="CC92" s="3">
        <f t="shared" ref="CC92" si="868">SUM(BZ89:CC89)</f>
        <v>1.0681695360148074</v>
      </c>
      <c r="CD92" s="3">
        <f t="shared" ref="CD92" si="869">SUM(CA89:CD89)</f>
        <v>1.555624179726693</v>
      </c>
      <c r="CE92" s="3">
        <f t="shared" ref="CE92" si="870">SUM(CB89:CE89)</f>
        <v>4.5828765536941276</v>
      </c>
      <c r="CF92" s="3">
        <f t="shared" ref="CF92" si="871">SUM(CC89:CF89)</f>
        <v>7.5802516791477075</v>
      </c>
      <c r="CG92" s="3">
        <f t="shared" ref="CG92" si="872">SUM(CD89:CG89)</f>
        <v>9.1990272523739769</v>
      </c>
      <c r="CH92" s="3">
        <f t="shared" ref="CH92:CL92" si="873">SUM(CE89:CH89)</f>
        <v>9.4578862039682079</v>
      </c>
      <c r="CI92" s="3">
        <f t="shared" si="873"/>
        <v>8.8652049718212194</v>
      </c>
      <c r="CJ92" s="3">
        <f t="shared" si="873"/>
        <v>8.3532772330734293</v>
      </c>
      <c r="CK92" s="3">
        <f t="shared" si="873"/>
        <v>7.4583494171234443</v>
      </c>
      <c r="CL92" s="3">
        <f t="shared" si="873"/>
        <v>8.2477548193034345</v>
      </c>
      <c r="CM92" s="37">
        <f t="shared" ref="CM92" si="874">SUM(CJ89:CM89)</f>
        <v>8.7173737159744391</v>
      </c>
      <c r="CN92" s="37">
        <f t="shared" ref="CN92" si="875">SUM(CK89:CN89)</f>
        <v>9.4410558809450276</v>
      </c>
      <c r="CO92" s="37">
        <f t="shared" ref="CO92" si="876">SUM(CL89:CO89)</f>
        <v>9.7874592570088783</v>
      </c>
      <c r="CP92" s="37">
        <f t="shared" ref="CP92" si="877">SUM(CM89:CP89)</f>
        <v>10.552570047716483</v>
      </c>
      <c r="CQ92" s="37">
        <f t="shared" ref="CQ92" si="878">SUM(CN89:CQ89)</f>
        <v>10.555905538325877</v>
      </c>
      <c r="CR92" s="37">
        <f t="shared" ref="CR92" si="879">SUM(CO89:CR89)</f>
        <v>10.320608101736447</v>
      </c>
      <c r="CS92" s="37">
        <f t="shared" ref="CS92" si="880">SUM(CP89:CS89)</f>
        <v>10.311967701011694</v>
      </c>
      <c r="CT92" s="37">
        <f t="shared" ref="CT92" si="881">SUM(CQ89:CT89)</f>
        <v>10.610739880804829</v>
      </c>
      <c r="CU92" s="37">
        <f t="shared" ref="CU92" si="882">SUM(CR89:CU89)</f>
        <v>10.64970252573808</v>
      </c>
      <c r="CV92" s="37">
        <f t="shared" ref="CV92" si="883">SUM(CS89:CV89)</f>
        <v>10.669109393999578</v>
      </c>
      <c r="CW92" s="37">
        <f t="shared" ref="CW92" si="884">SUM(CT89:CW89)</f>
        <v>10.689951729981448</v>
      </c>
      <c r="CX92" s="37">
        <f t="shared" ref="CX92" si="885">SUM(CU89:CX89)</f>
        <v>10.655054062414514</v>
      </c>
      <c r="CY92" s="37">
        <f t="shared" ref="CY92" si="886">SUM(CV89:CY89)</f>
        <v>10.678226327238471</v>
      </c>
      <c r="CZ92" s="37">
        <f t="shared" ref="CZ92" si="887">SUM(CW89:CZ89)</f>
        <v>10.688691223359882</v>
      </c>
      <c r="DA92" s="37">
        <f t="shared" ref="DA92" si="888">SUM(CX89:DA89)</f>
        <v>10.71472077619371</v>
      </c>
      <c r="DB92" s="37">
        <f t="shared" ref="DB92" si="889">SUM(CY89:DB89)</f>
        <v>10.794880992251406</v>
      </c>
      <c r="DE92" s="134"/>
      <c r="DF92" s="3">
        <v>8.587376675777989</v>
      </c>
    </row>
    <row r="93" spans="1:110" s="97" customFormat="1" x14ac:dyDescent="0.2">
      <c r="A93" s="97" t="s">
        <v>425</v>
      </c>
      <c r="C93" s="101" t="e">
        <f t="shared" ref="C93:AA93" si="890">+C92/B92-1</f>
        <v>#DIV/0!</v>
      </c>
      <c r="D93" s="101" t="e">
        <f t="shared" si="890"/>
        <v>#DIV/0!</v>
      </c>
      <c r="E93" s="101" t="e">
        <f t="shared" ca="1" si="890"/>
        <v>#DIV/0!</v>
      </c>
      <c r="F93" s="101" t="e">
        <f t="shared" ca="1" si="890"/>
        <v>#DIV/0!</v>
      </c>
      <c r="G93" s="101" t="e">
        <f t="shared" ca="1" si="890"/>
        <v>#DIV/0!</v>
      </c>
      <c r="H93" s="101" t="e">
        <f t="shared" ca="1" si="890"/>
        <v>#DIV/0!</v>
      </c>
      <c r="I93" s="101" t="e">
        <f t="shared" ca="1" si="890"/>
        <v>#DIV/0!</v>
      </c>
      <c r="J93" s="101" t="e">
        <f t="shared" ca="1" si="890"/>
        <v>#DIV/0!</v>
      </c>
      <c r="K93" s="101" t="e">
        <f t="shared" ca="1" si="890"/>
        <v>#DIV/0!</v>
      </c>
      <c r="L93" s="101" t="e">
        <f t="shared" ca="1" si="890"/>
        <v>#DIV/0!</v>
      </c>
      <c r="M93" s="101" t="e">
        <f t="shared" ca="1" si="890"/>
        <v>#DIV/0!</v>
      </c>
      <c r="N93" s="101" t="e">
        <f t="shared" ca="1" si="890"/>
        <v>#DIV/0!</v>
      </c>
      <c r="O93" s="101" t="e">
        <f t="shared" ca="1" si="890"/>
        <v>#DIV/0!</v>
      </c>
      <c r="P93" s="101" t="e">
        <f t="shared" ca="1" si="890"/>
        <v>#DIV/0!</v>
      </c>
      <c r="Q93" s="101" t="e">
        <f t="shared" ca="1" si="890"/>
        <v>#DIV/0!</v>
      </c>
      <c r="R93" s="101" t="e">
        <f t="shared" ca="1" si="890"/>
        <v>#DIV/0!</v>
      </c>
      <c r="S93" s="101" t="e">
        <f t="shared" ca="1" si="890"/>
        <v>#DIV/0!</v>
      </c>
      <c r="T93" s="101" t="e">
        <f t="shared" ca="1" si="890"/>
        <v>#DIV/0!</v>
      </c>
      <c r="U93" s="101" t="e">
        <f t="shared" ca="1" si="890"/>
        <v>#DIV/0!</v>
      </c>
      <c r="V93" s="101" t="e">
        <f t="shared" ca="1" si="890"/>
        <v>#DIV/0!</v>
      </c>
      <c r="W93" s="101" t="e">
        <f t="shared" ca="1" si="890"/>
        <v>#DIV/0!</v>
      </c>
      <c r="X93" s="101" t="e">
        <f t="shared" ca="1" si="890"/>
        <v>#DIV/0!</v>
      </c>
      <c r="Y93" s="101" t="e">
        <f t="shared" ca="1" si="890"/>
        <v>#DIV/0!</v>
      </c>
      <c r="Z93" s="101" t="e">
        <f t="shared" ca="1" si="890"/>
        <v>#DIV/0!</v>
      </c>
      <c r="AA93" s="101" t="e">
        <f t="shared" ca="1" si="890"/>
        <v>#DIV/0!</v>
      </c>
      <c r="AB93" s="169" t="e">
        <f t="shared" ref="AB93" ca="1" si="891">+AB92/AA92-1</f>
        <v>#DIV/0!</v>
      </c>
      <c r="AC93" s="169" t="e">
        <f t="shared" ref="AC93" ca="1" si="892">+AC92/AB92-1</f>
        <v>#DIV/0!</v>
      </c>
      <c r="AD93" s="169" t="e">
        <f t="shared" ref="AD93" ca="1" si="893">+AD92/AC92-1</f>
        <v>#DIV/0!</v>
      </c>
      <c r="AE93" s="169" t="e">
        <f t="shared" ref="AE93" ca="1" si="894">+AE92/AD92-1</f>
        <v>#DIV/0!</v>
      </c>
      <c r="AL93" s="171"/>
      <c r="AM93" s="171"/>
      <c r="AN93" s="171"/>
      <c r="AO93" s="171"/>
      <c r="AP93" s="171" t="e">
        <f t="shared" ref="AP93:CL93" si="895">+IF(AL92&lt;0,1-AP92/AL92,AP92/AL92-1)</f>
        <v>#DIV/0!</v>
      </c>
      <c r="AQ93" s="171" t="e">
        <f t="shared" si="895"/>
        <v>#DIV/0!</v>
      </c>
      <c r="AR93" s="171" t="e">
        <f t="shared" si="895"/>
        <v>#DIV/0!</v>
      </c>
      <c r="AS93" s="171" t="e">
        <f t="shared" si="895"/>
        <v>#DIV/0!</v>
      </c>
      <c r="AT93" s="171" t="e">
        <f t="shared" si="895"/>
        <v>#DIV/0!</v>
      </c>
      <c r="AU93" s="171" t="e">
        <f t="shared" si="895"/>
        <v>#DIV/0!</v>
      </c>
      <c r="AV93" s="171" t="e">
        <f t="shared" si="895"/>
        <v>#DIV/0!</v>
      </c>
      <c r="AW93" s="171" t="e">
        <f t="shared" si="895"/>
        <v>#DIV/0!</v>
      </c>
      <c r="AX93" s="171" t="e">
        <f t="shared" si="895"/>
        <v>#DIV/0!</v>
      </c>
      <c r="AY93" s="171" t="e">
        <f t="shared" si="895"/>
        <v>#DIV/0!</v>
      </c>
      <c r="AZ93" s="171" t="e">
        <f t="shared" si="895"/>
        <v>#DIV/0!</v>
      </c>
      <c r="BA93" s="171" t="e">
        <f t="shared" si="895"/>
        <v>#DIV/0!</v>
      </c>
      <c r="BB93" s="171" t="e">
        <f t="shared" si="895"/>
        <v>#DIV/0!</v>
      </c>
      <c r="BC93" s="171" t="e">
        <f t="shared" si="895"/>
        <v>#DIV/0!</v>
      </c>
      <c r="BD93" s="171" t="e">
        <f t="shared" si="895"/>
        <v>#DIV/0!</v>
      </c>
      <c r="BE93" s="171" t="e">
        <f t="shared" si="895"/>
        <v>#DIV/0!</v>
      </c>
      <c r="BF93" s="171" t="e">
        <f t="shared" si="895"/>
        <v>#DIV/0!</v>
      </c>
      <c r="BG93" s="171" t="e">
        <f t="shared" si="895"/>
        <v>#DIV/0!</v>
      </c>
      <c r="BH93" s="171" t="e">
        <f t="shared" si="895"/>
        <v>#DIV/0!</v>
      </c>
      <c r="BI93" s="171" t="e">
        <f t="shared" si="895"/>
        <v>#DIV/0!</v>
      </c>
      <c r="BJ93" s="171" t="e">
        <f t="shared" si="895"/>
        <v>#DIV/0!</v>
      </c>
      <c r="BK93" s="171" t="e">
        <f t="shared" si="895"/>
        <v>#DIV/0!</v>
      </c>
      <c r="BL93" s="171" t="e">
        <f t="shared" si="895"/>
        <v>#DIV/0!</v>
      </c>
      <c r="BM93" s="171" t="e">
        <f t="shared" si="895"/>
        <v>#DIV/0!</v>
      </c>
      <c r="BN93" s="171" t="e">
        <f t="shared" si="895"/>
        <v>#DIV/0!</v>
      </c>
      <c r="BO93" s="171" t="e">
        <f t="shared" si="895"/>
        <v>#DIV/0!</v>
      </c>
      <c r="BP93" s="171" t="e">
        <f t="shared" si="895"/>
        <v>#DIV/0!</v>
      </c>
      <c r="BQ93" s="171" t="e">
        <f t="shared" si="895"/>
        <v>#DIV/0!</v>
      </c>
      <c r="BR93" s="171" t="e">
        <f t="shared" si="895"/>
        <v>#DIV/0!</v>
      </c>
      <c r="BS93" s="171" t="e">
        <f t="shared" si="895"/>
        <v>#DIV/0!</v>
      </c>
      <c r="BT93" s="171" t="e">
        <f t="shared" si="895"/>
        <v>#DIV/0!</v>
      </c>
      <c r="BU93" s="171">
        <f t="shared" si="895"/>
        <v>5.9427741580971594</v>
      </c>
      <c r="BV93" s="171">
        <f t="shared" si="895"/>
        <v>0.81679061461605573</v>
      </c>
      <c r="BW93" s="171">
        <f t="shared" si="895"/>
        <v>0.32928861492662698</v>
      </c>
      <c r="BX93" s="171">
        <f t="shared" si="895"/>
        <v>-0.14038879588216346</v>
      </c>
      <c r="BY93" s="171">
        <f t="shared" si="895"/>
        <v>-0.18275971236036614</v>
      </c>
      <c r="BZ93" s="171">
        <f t="shared" si="895"/>
        <v>-0.2757269232204862</v>
      </c>
      <c r="CA93" s="171">
        <f t="shared" si="895"/>
        <v>-0.62317129573282348</v>
      </c>
      <c r="CB93" s="171">
        <f t="shared" si="895"/>
        <v>-0.73311532592108564</v>
      </c>
      <c r="CC93" s="171">
        <f t="shared" si="895"/>
        <v>-0.80857775318207248</v>
      </c>
      <c r="CD93" s="171">
        <f t="shared" si="895"/>
        <v>-0.65385143956572733</v>
      </c>
      <c r="CE93" s="171">
        <f t="shared" si="895"/>
        <v>0.91731533219212524</v>
      </c>
      <c r="CF93" s="171">
        <f t="shared" si="895"/>
        <v>4.3470021238360692</v>
      </c>
      <c r="CG93" s="171">
        <f t="shared" si="895"/>
        <v>7.6119543220585317</v>
      </c>
      <c r="CH93" s="171">
        <f t="shared" si="895"/>
        <v>5.0798014888338008</v>
      </c>
      <c r="CI93" s="171">
        <f t="shared" si="895"/>
        <v>0.9344193254944273</v>
      </c>
      <c r="CJ93" s="171">
        <f t="shared" si="895"/>
        <v>0.10197887704074726</v>
      </c>
      <c r="CK93" s="171">
        <f t="shared" si="895"/>
        <v>-0.18922411984390186</v>
      </c>
      <c r="CL93" s="171">
        <f t="shared" si="895"/>
        <v>-0.12794945493814924</v>
      </c>
      <c r="CM93" s="102">
        <f t="shared" ref="CM93:DB93" si="896">+IF(CI92&lt;0,1-CM92/CI92,CM92/CI92-1)</f>
        <v>-1.6675447022000522E-2</v>
      </c>
      <c r="CN93" s="102">
        <f t="shared" si="896"/>
        <v>0.13022178212459146</v>
      </c>
      <c r="CO93" s="102">
        <f t="shared" si="896"/>
        <v>0.31228221012789859</v>
      </c>
      <c r="CP93" s="102">
        <f t="shared" si="896"/>
        <v>0.27944759257619411</v>
      </c>
      <c r="CQ93" s="102">
        <f t="shared" si="896"/>
        <v>0.21090432534541459</v>
      </c>
      <c r="CR93" s="102">
        <f t="shared" si="896"/>
        <v>9.3162484353749964E-2</v>
      </c>
      <c r="CS93" s="102">
        <f t="shared" si="896"/>
        <v>5.3589846989882561E-2</v>
      </c>
      <c r="CT93" s="102">
        <f t="shared" si="896"/>
        <v>5.5123854023535479E-3</v>
      </c>
      <c r="CU93" s="102">
        <f t="shared" si="896"/>
        <v>8.8857357686320526E-3</v>
      </c>
      <c r="CV93" s="102">
        <f t="shared" si="896"/>
        <v>3.3767515327366882E-2</v>
      </c>
      <c r="CW93" s="102">
        <f t="shared" si="896"/>
        <v>3.6654888759268589E-2</v>
      </c>
      <c r="CX93" s="102">
        <f t="shared" si="896"/>
        <v>4.1763517066186751E-3</v>
      </c>
      <c r="CY93" s="102">
        <f t="shared" si="896"/>
        <v>2.6783660324272152E-3</v>
      </c>
      <c r="CZ93" s="102">
        <f t="shared" si="896"/>
        <v>1.8353761909422062E-3</v>
      </c>
      <c r="DA93" s="102">
        <f t="shared" si="896"/>
        <v>2.3170400426404392E-3</v>
      </c>
      <c r="DB93" s="102">
        <f t="shared" si="896"/>
        <v>1.3123061508446776E-2</v>
      </c>
      <c r="DE93" s="135"/>
      <c r="DF93" s="97">
        <v>-9.2040600766055136E-2</v>
      </c>
    </row>
    <row r="94" spans="1:110" s="144" customFormat="1" x14ac:dyDescent="0.2">
      <c r="A94" s="144" t="s">
        <v>424</v>
      </c>
      <c r="AB94" s="145"/>
      <c r="AC94" s="145"/>
      <c r="AD94" s="145"/>
      <c r="AE94" s="145"/>
      <c r="CM94" s="145"/>
      <c r="CN94" s="145"/>
      <c r="CO94" s="145"/>
      <c r="CP94" s="145">
        <v>9.5</v>
      </c>
      <c r="CQ94" s="145"/>
      <c r="CR94" s="145"/>
      <c r="CS94" s="145"/>
      <c r="CT94" s="145">
        <v>10.6</v>
      </c>
      <c r="CU94" s="145"/>
      <c r="CV94" s="145"/>
      <c r="CW94" s="145"/>
      <c r="CX94" s="145"/>
      <c r="CY94" s="145"/>
      <c r="CZ94" s="145"/>
      <c r="DA94" s="145"/>
      <c r="DB94" s="145"/>
      <c r="DE94" s="146"/>
      <c r="DF94" s="144">
        <v>8.2200000000000006</v>
      </c>
    </row>
    <row r="95" spans="1:110" s="144" customFormat="1" x14ac:dyDescent="0.2">
      <c r="A95" s="144" t="s">
        <v>436</v>
      </c>
      <c r="AB95" s="145"/>
      <c r="AC95" s="145"/>
      <c r="AD95" s="145"/>
      <c r="AE95" s="145"/>
      <c r="CM95" s="145"/>
      <c r="CN95" s="145"/>
      <c r="CO95" s="145"/>
      <c r="CP95" s="145">
        <f>CP92/CP94-1</f>
        <v>0.11079684712805071</v>
      </c>
      <c r="CQ95" s="145"/>
      <c r="CR95" s="145"/>
      <c r="CS95" s="145"/>
      <c r="CT95" s="145">
        <f>CT92/CT94-1</f>
        <v>1.0131963023423118E-3</v>
      </c>
      <c r="CU95" s="145"/>
      <c r="CV95" s="145"/>
      <c r="CW95" s="145"/>
      <c r="CX95" s="145"/>
      <c r="CY95" s="145"/>
      <c r="CZ95" s="145"/>
      <c r="DA95" s="145"/>
      <c r="DB95" s="145"/>
      <c r="DE95" s="146"/>
      <c r="DF95" s="144">
        <v>4.4693026250363532E-2</v>
      </c>
    </row>
    <row r="96" spans="1:110" s="3" customFormat="1" x14ac:dyDescent="0.2">
      <c r="A96" s="3" t="s">
        <v>34</v>
      </c>
      <c r="B96" s="3">
        <f>'Annual Raw'!C112</f>
        <v>0</v>
      </c>
      <c r="C96" s="3">
        <f>'Annual Raw'!D112</f>
        <v>0</v>
      </c>
      <c r="D96" s="3">
        <f>'Annual Raw'!E112</f>
        <v>0</v>
      </c>
      <c r="E96" s="3">
        <f>'Annual Raw'!F112</f>
        <v>0</v>
      </c>
      <c r="F96" s="3">
        <f>'Annual Raw'!G112</f>
        <v>0</v>
      </c>
      <c r="G96" s="3">
        <f>'Annual Raw'!H112</f>
        <v>0</v>
      </c>
      <c r="H96" s="3">
        <f>'Annual Raw'!I112</f>
        <v>0</v>
      </c>
      <c r="I96" s="3">
        <f>'Annual Raw'!J112</f>
        <v>0</v>
      </c>
      <c r="J96" s="3">
        <f>'Annual Raw'!K112</f>
        <v>0</v>
      </c>
      <c r="K96" s="3">
        <f>'Annual Raw'!L112</f>
        <v>0</v>
      </c>
      <c r="L96" s="3">
        <f>'Annual Raw'!M112</f>
        <v>0</v>
      </c>
      <c r="M96" s="3">
        <f>'Annual Raw'!N112</f>
        <v>0</v>
      </c>
      <c r="N96" s="3">
        <f>'Annual Raw'!O112</f>
        <v>100</v>
      </c>
      <c r="O96" s="3">
        <f>'Annual Raw'!P112</f>
        <v>0</v>
      </c>
      <c r="P96" s="3">
        <f>'Annual Raw'!Q112</f>
        <v>0</v>
      </c>
      <c r="Q96" s="3">
        <f>'Annual Raw'!R112</f>
        <v>0</v>
      </c>
      <c r="R96" s="3">
        <f>'Annual Raw'!S112</f>
        <v>0</v>
      </c>
      <c r="S96" s="3">
        <f>'Annual Raw'!T112</f>
        <v>0</v>
      </c>
      <c r="T96" s="3">
        <f>'Annual Raw'!U112</f>
        <v>0</v>
      </c>
      <c r="U96" s="3">
        <f>'Annual Raw'!V112</f>
        <v>100</v>
      </c>
      <c r="V96" s="3">
        <f>'Annual Raw'!W112</f>
        <v>0</v>
      </c>
      <c r="W96" s="3">
        <f>'Annual Raw'!X112</f>
        <v>87.94</v>
      </c>
      <c r="X96" s="3">
        <f>'Annual Raw'!Y112</f>
        <v>87.94</v>
      </c>
      <c r="Y96" s="3">
        <f>'Annual Raw'!Z112</f>
        <v>87.87</v>
      </c>
      <c r="Z96" s="3">
        <f>'Annual Raw'!AA112</f>
        <v>74.36</v>
      </c>
      <c r="AA96" s="3">
        <f>'Annual Raw'!AB112</f>
        <v>56.94</v>
      </c>
      <c r="AB96" s="37"/>
      <c r="AC96" s="37"/>
      <c r="AD96" s="37"/>
      <c r="AE96" s="37"/>
      <c r="AI96" s="3">
        <f>'QTR Raw'!C49</f>
        <v>0</v>
      </c>
      <c r="AJ96" s="3">
        <f>'QTR Raw'!D49</f>
        <v>0</v>
      </c>
      <c r="AK96" s="3">
        <f>'QTR Raw'!E49</f>
        <v>0</v>
      </c>
      <c r="AL96" s="3">
        <f>'QTR Raw'!F49</f>
        <v>0</v>
      </c>
      <c r="AM96" s="3">
        <f>'QTR Raw'!G49</f>
        <v>0</v>
      </c>
      <c r="AN96" s="3">
        <f>'QTR Raw'!H49</f>
        <v>0</v>
      </c>
      <c r="AO96" s="3">
        <f>'QTR Raw'!I49</f>
        <v>0</v>
      </c>
      <c r="AP96" s="3">
        <f>'QTR Raw'!J49</f>
        <v>0</v>
      </c>
      <c r="AQ96" s="3">
        <f>'QTR Raw'!K49</f>
        <v>0</v>
      </c>
      <c r="AR96" s="3">
        <f>'QTR Raw'!L49</f>
        <v>0</v>
      </c>
      <c r="AS96" s="3">
        <f>'QTR Raw'!M49</f>
        <v>0</v>
      </c>
      <c r="AT96" s="3">
        <f>'QTR Raw'!N49</f>
        <v>0</v>
      </c>
      <c r="AU96" s="3">
        <f>'QTR Raw'!O49</f>
        <v>0</v>
      </c>
      <c r="AV96" s="3">
        <f>'QTR Raw'!P49</f>
        <v>0</v>
      </c>
      <c r="AW96" s="3">
        <f>'QTR Raw'!Q49</f>
        <v>0</v>
      </c>
      <c r="AX96" s="3">
        <f>'QTR Raw'!R49</f>
        <v>0</v>
      </c>
      <c r="AY96" s="3">
        <f>'QTR Raw'!S49</f>
        <v>0</v>
      </c>
      <c r="AZ96" s="3">
        <f>'QTR Raw'!T49</f>
        <v>0</v>
      </c>
      <c r="BA96" s="3">
        <f>'QTR Raw'!U49</f>
        <v>0</v>
      </c>
      <c r="BB96" s="3">
        <f>'QTR Raw'!V49</f>
        <v>0</v>
      </c>
      <c r="BC96" s="3">
        <f>'QTR Raw'!W49</f>
        <v>0</v>
      </c>
      <c r="BD96" s="3">
        <f>'QTR Raw'!X49</f>
        <v>0</v>
      </c>
      <c r="BE96" s="3">
        <f>'QTR Raw'!Y49</f>
        <v>0</v>
      </c>
      <c r="BF96" s="3">
        <f>'QTR Raw'!Z49</f>
        <v>0</v>
      </c>
      <c r="BG96" s="3">
        <f>'QTR Raw'!AA49</f>
        <v>0</v>
      </c>
      <c r="BH96" s="3">
        <f>'QTR Raw'!AB49</f>
        <v>0</v>
      </c>
      <c r="BI96" s="3">
        <f>'QTR Raw'!AC49</f>
        <v>0</v>
      </c>
      <c r="BJ96" s="3">
        <f>'QTR Raw'!AD49</f>
        <v>0</v>
      </c>
      <c r="BK96" s="3">
        <f>'QTR Raw'!AE49</f>
        <v>0</v>
      </c>
      <c r="BL96" s="3">
        <f>'QTR Raw'!AF49</f>
        <v>0</v>
      </c>
      <c r="BM96" s="3">
        <f>'QTR Raw'!AG49</f>
        <v>0</v>
      </c>
      <c r="BN96" s="3">
        <f>'QTR Raw'!AH49</f>
        <v>0</v>
      </c>
      <c r="BO96" s="3">
        <f>'QTR Raw'!AI49</f>
        <v>0</v>
      </c>
      <c r="BP96" s="3">
        <f>'QTR Raw'!AJ49</f>
        <v>0</v>
      </c>
      <c r="BQ96" s="3">
        <f>'QTR Raw'!AK49</f>
        <v>0</v>
      </c>
      <c r="BR96" s="3">
        <f>'QTR Raw'!AL49</f>
        <v>0</v>
      </c>
      <c r="BS96" s="3">
        <f>'QTR Raw'!AM49</f>
        <v>0</v>
      </c>
      <c r="BT96" s="3">
        <f>'QTR Raw'!AN49</f>
        <v>0</v>
      </c>
      <c r="BU96" s="3">
        <f>'QTR Raw'!AO49</f>
        <v>0</v>
      </c>
      <c r="BV96" s="3">
        <f>'QTR Raw'!AP49</f>
        <v>87.94</v>
      </c>
      <c r="BW96" s="3">
        <f>'QTR Raw'!AQ49</f>
        <v>87.94</v>
      </c>
      <c r="BX96" s="3">
        <f>'QTR Raw'!AR49</f>
        <v>87.94</v>
      </c>
      <c r="BY96" s="3">
        <f>'QTR Raw'!AS49</f>
        <v>87.94</v>
      </c>
      <c r="BZ96" s="3">
        <f>'QTR Raw'!AT49</f>
        <v>87.94</v>
      </c>
      <c r="CA96" s="3">
        <f>'QTR Raw'!AU49</f>
        <v>87.94</v>
      </c>
      <c r="CB96" s="3">
        <f>'QTR Raw'!AV49</f>
        <v>87.94</v>
      </c>
      <c r="CC96" s="3">
        <f>'QTR Raw'!AW49</f>
        <v>87.87</v>
      </c>
      <c r="CD96" s="3">
        <f>'QTR Raw'!AX49</f>
        <v>87.87</v>
      </c>
      <c r="CE96" s="3">
        <f>'QTR Raw'!AY49</f>
        <v>87.87</v>
      </c>
      <c r="CF96" s="3">
        <f>'QTR Raw'!AZ49</f>
        <v>87.87</v>
      </c>
      <c r="CG96" s="3">
        <f>'QTR Raw'!BA49</f>
        <v>87.87</v>
      </c>
      <c r="CH96" s="3">
        <f>'QTR Raw'!BB49</f>
        <v>74.36</v>
      </c>
      <c r="CI96" s="3">
        <f>'QTR Raw'!BC49</f>
        <v>74.36</v>
      </c>
      <c r="CJ96" s="3">
        <f>'QTR Raw'!BD49</f>
        <v>63.94</v>
      </c>
      <c r="CK96" s="3">
        <f>'QTR Raw'!BE49</f>
        <v>56.94</v>
      </c>
      <c r="CL96" s="3">
        <f>'QTR Raw'!BF49</f>
        <v>56.94</v>
      </c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3" customFormat="1" x14ac:dyDescent="0.2">
      <c r="A97" s="3" t="s">
        <v>35</v>
      </c>
      <c r="B97" s="3">
        <f>'Annual Raw'!C113</f>
        <v>0</v>
      </c>
      <c r="C97" s="3">
        <f>'Annual Raw'!D113</f>
        <v>0</v>
      </c>
      <c r="D97" s="3">
        <f>'Annual Raw'!E113</f>
        <v>0</v>
      </c>
      <c r="E97" s="3">
        <f>'Annual Raw'!F113</f>
        <v>0</v>
      </c>
      <c r="F97" s="3">
        <f>'Annual Raw'!G113</f>
        <v>0</v>
      </c>
      <c r="G97" s="3">
        <f>'Annual Raw'!H113</f>
        <v>0</v>
      </c>
      <c r="H97" s="3">
        <f>'Annual Raw'!I113</f>
        <v>0</v>
      </c>
      <c r="I97" s="3">
        <f>'Annual Raw'!J113</f>
        <v>0</v>
      </c>
      <c r="J97" s="3">
        <f>'Annual Raw'!K113</f>
        <v>0</v>
      </c>
      <c r="K97" s="3">
        <f>'Annual Raw'!L113</f>
        <v>0</v>
      </c>
      <c r="L97" s="3">
        <f>'Annual Raw'!M113</f>
        <v>0</v>
      </c>
      <c r="M97" s="3">
        <f>'Annual Raw'!N113</f>
        <v>0</v>
      </c>
      <c r="N97" s="3">
        <f>'Annual Raw'!O113</f>
        <v>0</v>
      </c>
      <c r="O97" s="3">
        <f>'Annual Raw'!P113</f>
        <v>0</v>
      </c>
      <c r="P97" s="3">
        <f>'Annual Raw'!Q113</f>
        <v>0</v>
      </c>
      <c r="Q97" s="3">
        <f>'Annual Raw'!R113</f>
        <v>0</v>
      </c>
      <c r="R97" s="3">
        <f>'Annual Raw'!S113</f>
        <v>0</v>
      </c>
      <c r="S97" s="3">
        <f>'Annual Raw'!T113</f>
        <v>0</v>
      </c>
      <c r="T97" s="3">
        <f>'Annual Raw'!U113</f>
        <v>0</v>
      </c>
      <c r="U97" s="3">
        <f>'Annual Raw'!V113</f>
        <v>0</v>
      </c>
      <c r="V97" s="3">
        <f>'Annual Raw'!W113</f>
        <v>0</v>
      </c>
      <c r="W97" s="3">
        <f>'Annual Raw'!X113</f>
        <v>0</v>
      </c>
      <c r="X97" s="3">
        <f>'Annual Raw'!Y113</f>
        <v>0</v>
      </c>
      <c r="Y97" s="3">
        <f>'Annual Raw'!Z113</f>
        <v>0</v>
      </c>
      <c r="Z97" s="3">
        <f>'Annual Raw'!AA113</f>
        <v>0</v>
      </c>
      <c r="AA97" s="3">
        <f>'Annual Raw'!AB113</f>
        <v>0</v>
      </c>
      <c r="AB97" s="37"/>
      <c r="AC97" s="37"/>
      <c r="AD97" s="37"/>
      <c r="AE97" s="37"/>
      <c r="AI97" s="3">
        <f>'QTR Raw'!C50</f>
        <v>0</v>
      </c>
      <c r="AJ97" s="3">
        <f>'QTR Raw'!D50</f>
        <v>0</v>
      </c>
      <c r="AK97" s="3">
        <f>'QTR Raw'!E50</f>
        <v>0</v>
      </c>
      <c r="AL97" s="3">
        <f>'QTR Raw'!F50</f>
        <v>0</v>
      </c>
      <c r="AM97" s="3">
        <f>'QTR Raw'!G50</f>
        <v>0</v>
      </c>
      <c r="AN97" s="3">
        <f>'QTR Raw'!H50</f>
        <v>0</v>
      </c>
      <c r="AO97" s="3">
        <f>'QTR Raw'!I50</f>
        <v>0</v>
      </c>
      <c r="AP97" s="3">
        <f>'QTR Raw'!J50</f>
        <v>0</v>
      </c>
      <c r="AQ97" s="3">
        <f>'QTR Raw'!K50</f>
        <v>0</v>
      </c>
      <c r="AR97" s="3">
        <f>'QTR Raw'!L50</f>
        <v>0</v>
      </c>
      <c r="AS97" s="3">
        <f>'QTR Raw'!M50</f>
        <v>0</v>
      </c>
      <c r="AT97" s="3">
        <f>'QTR Raw'!N50</f>
        <v>0</v>
      </c>
      <c r="AU97" s="3">
        <f>'QTR Raw'!O50</f>
        <v>0</v>
      </c>
      <c r="AV97" s="3">
        <f>'QTR Raw'!P50</f>
        <v>0</v>
      </c>
      <c r="AW97" s="3">
        <f>'QTR Raw'!Q50</f>
        <v>0</v>
      </c>
      <c r="AX97" s="3">
        <f>'QTR Raw'!R50</f>
        <v>0</v>
      </c>
      <c r="AY97" s="3">
        <f>'QTR Raw'!S50</f>
        <v>0</v>
      </c>
      <c r="AZ97" s="3">
        <f>'QTR Raw'!T50</f>
        <v>0</v>
      </c>
      <c r="BA97" s="3">
        <f>'QTR Raw'!U50</f>
        <v>0</v>
      </c>
      <c r="BB97" s="3">
        <f>'QTR Raw'!V50</f>
        <v>0</v>
      </c>
      <c r="BC97" s="3">
        <f>'QTR Raw'!W50</f>
        <v>0</v>
      </c>
      <c r="BD97" s="3">
        <f>'QTR Raw'!X50</f>
        <v>0</v>
      </c>
      <c r="BE97" s="3">
        <f>'QTR Raw'!Y50</f>
        <v>0</v>
      </c>
      <c r="BF97" s="3">
        <f>'QTR Raw'!Z50</f>
        <v>0</v>
      </c>
      <c r="BG97" s="3">
        <f>'QTR Raw'!AA50</f>
        <v>0</v>
      </c>
      <c r="BH97" s="3">
        <f>'QTR Raw'!AB50</f>
        <v>0</v>
      </c>
      <c r="BI97" s="3">
        <f>'QTR Raw'!AC50</f>
        <v>0</v>
      </c>
      <c r="BJ97" s="3">
        <f>'QTR Raw'!AD50</f>
        <v>0</v>
      </c>
      <c r="BK97" s="3">
        <f>'QTR Raw'!AE50</f>
        <v>0</v>
      </c>
      <c r="BL97" s="3">
        <f>'QTR Raw'!AF50</f>
        <v>0</v>
      </c>
      <c r="BM97" s="3">
        <f>'QTR Raw'!AG50</f>
        <v>0</v>
      </c>
      <c r="BN97" s="3">
        <f>'QTR Raw'!AH50</f>
        <v>0</v>
      </c>
      <c r="BO97" s="3">
        <f>'QTR Raw'!AI50</f>
        <v>0</v>
      </c>
      <c r="BP97" s="3">
        <f>'QTR Raw'!AJ50</f>
        <v>0</v>
      </c>
      <c r="BQ97" s="3">
        <f>'QTR Raw'!AK50</f>
        <v>0</v>
      </c>
      <c r="BR97" s="3">
        <f>'QTR Raw'!AL50</f>
        <v>0</v>
      </c>
      <c r="BS97" s="3">
        <f>'QTR Raw'!AM50</f>
        <v>0</v>
      </c>
      <c r="BT97" s="3">
        <f>'QTR Raw'!AN50</f>
        <v>0</v>
      </c>
      <c r="BU97" s="3">
        <f>'QTR Raw'!AO50</f>
        <v>0</v>
      </c>
      <c r="BV97" s="3">
        <f>'QTR Raw'!AP50</f>
        <v>0</v>
      </c>
      <c r="BW97" s="3">
        <f>'QTR Raw'!AQ50</f>
        <v>0</v>
      </c>
      <c r="BX97" s="3">
        <f>'QTR Raw'!AR50</f>
        <v>0</v>
      </c>
      <c r="BY97" s="3">
        <f>'QTR Raw'!AS50</f>
        <v>0</v>
      </c>
      <c r="BZ97" s="3">
        <f>'QTR Raw'!AT50</f>
        <v>0</v>
      </c>
      <c r="CA97" s="3">
        <f>'QTR Raw'!AU50</f>
        <v>0</v>
      </c>
      <c r="CB97" s="3">
        <f>'QTR Raw'!AV50</f>
        <v>0</v>
      </c>
      <c r="CC97" s="3">
        <f>'QTR Raw'!AW50</f>
        <v>0</v>
      </c>
      <c r="CD97" s="3">
        <f>'QTR Raw'!AX50</f>
        <v>0</v>
      </c>
      <c r="CE97" s="3">
        <f>'QTR Raw'!AY50</f>
        <v>0</v>
      </c>
      <c r="CF97" s="3">
        <f>'QTR Raw'!AZ50</f>
        <v>0</v>
      </c>
      <c r="CG97" s="3">
        <f>'QTR Raw'!BA50</f>
        <v>0</v>
      </c>
      <c r="CH97" s="3">
        <f>'QTR Raw'!BB50</f>
        <v>0</v>
      </c>
      <c r="CI97" s="3">
        <f>'QTR Raw'!BC50</f>
        <v>0</v>
      </c>
      <c r="CJ97" s="3">
        <f>'QTR Raw'!BD50</f>
        <v>0</v>
      </c>
      <c r="CK97" s="3">
        <f>'QTR Raw'!BE50</f>
        <v>0</v>
      </c>
      <c r="CL97" s="3">
        <f>'QTR Raw'!BF50</f>
        <v>0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3" customFormat="1" x14ac:dyDescent="0.2"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36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457</v>
      </c>
      <c r="B100" s="13">
        <f>'Annual Raw'!C106</f>
        <v>0</v>
      </c>
      <c r="C100" s="13">
        <f>'Annual Raw'!D106</f>
        <v>0</v>
      </c>
      <c r="D100" s="13">
        <f>'Annual Raw'!E106</f>
        <v>0</v>
      </c>
      <c r="E100" s="13">
        <f>'Annual Raw'!F106</f>
        <v>0</v>
      </c>
      <c r="F100" s="13">
        <f>'Annual Raw'!G106</f>
        <v>0</v>
      </c>
      <c r="G100" s="13">
        <f>'Annual Raw'!H106</f>
        <v>0</v>
      </c>
      <c r="H100" s="13">
        <f>'Annual Raw'!I106</f>
        <v>0</v>
      </c>
      <c r="I100" s="13">
        <f>'Annual Raw'!J106</f>
        <v>0</v>
      </c>
      <c r="J100" s="13">
        <f>'Annual Raw'!K106</f>
        <v>0</v>
      </c>
      <c r="K100" s="13">
        <f>'Annual Raw'!L106</f>
        <v>0</v>
      </c>
      <c r="L100" s="13">
        <f>'Annual Raw'!M106</f>
        <v>0</v>
      </c>
      <c r="M100" s="13">
        <f>'Annual Raw'!N106</f>
        <v>0</v>
      </c>
      <c r="N100" s="13">
        <f>'Annual Raw'!O106</f>
        <v>0</v>
      </c>
      <c r="O100" s="13">
        <f>'Annual Raw'!P106</f>
        <v>0</v>
      </c>
      <c r="P100" s="13">
        <f>'Annual Raw'!Q106</f>
        <v>0</v>
      </c>
      <c r="Q100" s="13">
        <f>'Annual Raw'!R106</f>
        <v>0</v>
      </c>
      <c r="R100" s="13">
        <f>'Annual Raw'!S106</f>
        <v>0</v>
      </c>
      <c r="S100" s="13">
        <f>'Annual Raw'!T106</f>
        <v>0</v>
      </c>
      <c r="T100" s="13">
        <f>'Annual Raw'!U106</f>
        <v>0</v>
      </c>
      <c r="U100" s="13">
        <f>'Annual Raw'!V106</f>
        <v>0</v>
      </c>
      <c r="V100" s="13">
        <f>'Annual Raw'!W106</f>
        <v>0</v>
      </c>
      <c r="W100" s="13">
        <f>'Annual Raw'!X106</f>
        <v>517.5</v>
      </c>
      <c r="X100" s="13">
        <f>'Annual Raw'!Y106</f>
        <v>406</v>
      </c>
      <c r="Y100" s="13">
        <f>'Annual Raw'!Z106</f>
        <v>321.10000000000002</v>
      </c>
      <c r="Z100" s="13">
        <f>'Annual Raw'!AA106</f>
        <v>258.25</v>
      </c>
      <c r="AA100" s="13">
        <f>'Annual Raw'!AB106</f>
        <v>177.9</v>
      </c>
      <c r="AB100" s="37">
        <f>+CP100</f>
        <v>205</v>
      </c>
      <c r="AC100" s="37">
        <f>+CT100</f>
        <v>205</v>
      </c>
      <c r="AD100" s="37">
        <f>+CX100</f>
        <v>205</v>
      </c>
      <c r="AE100" s="37">
        <f>+DB100</f>
        <v>205</v>
      </c>
      <c r="AJ100" s="13">
        <f>'QTR Share Price'!HP21</f>
        <v>0</v>
      </c>
      <c r="AK100" s="13">
        <f>'QTR Share Price'!HQ21</f>
        <v>0</v>
      </c>
      <c r="AL100" s="13">
        <f>'QTR Share Price'!HR21</f>
        <v>0</v>
      </c>
      <c r="AM100" s="13">
        <f>'QTR Share Price'!HS21</f>
        <v>0</v>
      </c>
      <c r="AN100" s="13">
        <f>'QTR Share Price'!HT21</f>
        <v>0</v>
      </c>
      <c r="AO100" s="13">
        <f>'QTR Share Price'!HU21</f>
        <v>0</v>
      </c>
      <c r="AP100" s="13">
        <f>'QTR Share Price'!HV21</f>
        <v>0</v>
      </c>
      <c r="AQ100" s="13">
        <f>'QTR Share Price'!HW21</f>
        <v>0</v>
      </c>
      <c r="AR100" s="13">
        <f>'QTR Share Price'!HX21</f>
        <v>0</v>
      </c>
      <c r="AS100" s="13">
        <f>'QTR Share Price'!HY21</f>
        <v>0</v>
      </c>
      <c r="AT100" s="13">
        <f>'QTR Share Price'!HZ21</f>
        <v>0</v>
      </c>
      <c r="AU100" s="13">
        <f>'QTR Share Price'!IA21</f>
        <v>0</v>
      </c>
      <c r="AV100" s="13">
        <f>'QTR Share Price'!IB21</f>
        <v>0</v>
      </c>
      <c r="AW100" s="13">
        <f>'QTR Share Price'!IC21</f>
        <v>0</v>
      </c>
      <c r="AX100" s="13">
        <f>'QTR Share Price'!ID21</f>
        <v>0</v>
      </c>
      <c r="AY100" s="13">
        <f>'QTR Share Price'!IE21</f>
        <v>0</v>
      </c>
      <c r="AZ100" s="13">
        <f>'QTR Share Price'!IF21</f>
        <v>0</v>
      </c>
      <c r="BA100" s="13">
        <f>'QTR Share Price'!IG21</f>
        <v>0</v>
      </c>
      <c r="BB100" s="13">
        <f>'QTR Share Price'!IH21</f>
        <v>0</v>
      </c>
      <c r="BC100" s="13">
        <f>'QTR Share Price'!II21</f>
        <v>0</v>
      </c>
      <c r="BD100" s="13">
        <f>'QTR Share Price'!IJ21</f>
        <v>0</v>
      </c>
      <c r="BE100" s="13">
        <f>'QTR Share Price'!IK21</f>
        <v>0</v>
      </c>
      <c r="BF100" s="13">
        <f>'QTR Share Price'!IL21</f>
        <v>0</v>
      </c>
      <c r="BG100" s="13">
        <f>'QTR Share Price'!IM21</f>
        <v>0</v>
      </c>
      <c r="BH100" s="13">
        <f>'QTR Share Price'!IN21</f>
        <v>0</v>
      </c>
      <c r="BI100" s="13">
        <f>'QTR Share Price'!IO21</f>
        <v>0</v>
      </c>
      <c r="BJ100" s="13">
        <f>'QTR Share Price'!IP21</f>
        <v>0</v>
      </c>
      <c r="BK100" s="13">
        <f>'QTR Share Price'!IQ21</f>
        <v>0</v>
      </c>
      <c r="BL100" s="13">
        <f>'QTR Share Price'!IR21</f>
        <v>0</v>
      </c>
      <c r="BM100" s="13">
        <f>'QTR Share Price'!IS21</f>
        <v>0</v>
      </c>
      <c r="BN100" s="13">
        <f>'QTR Share Price'!IT21</f>
        <v>0</v>
      </c>
      <c r="BO100" s="13">
        <f>'QTR Share Price'!IU21</f>
        <v>0</v>
      </c>
      <c r="BP100" s="13">
        <f>'QTR Share Price'!IV21</f>
        <v>0</v>
      </c>
      <c r="BQ100" s="13">
        <f>'QTR Share Price'!IW21</f>
        <v>0</v>
      </c>
      <c r="BR100" s="13">
        <f>'QTR Share Price'!IX21</f>
        <v>0</v>
      </c>
      <c r="BS100" s="13">
        <f>'QTR Share Price'!IY21</f>
        <v>0</v>
      </c>
      <c r="BT100" s="13">
        <f>'QTR Share Price'!IZ21</f>
        <v>0</v>
      </c>
      <c r="BU100" s="13">
        <f>'QTR Share Price'!JA21</f>
        <v>0</v>
      </c>
      <c r="BV100" s="13">
        <f>'QTR Share Price'!JB21</f>
        <v>517.5</v>
      </c>
      <c r="BW100" s="13">
        <f>'QTR Share Price'!JC21</f>
        <v>574.95000000000005</v>
      </c>
      <c r="BX100" s="13">
        <f>'QTR Share Price'!JD21</f>
        <v>755.3</v>
      </c>
      <c r="BY100" s="13">
        <f>'QTR Share Price'!JE21</f>
        <v>617.6</v>
      </c>
      <c r="BZ100" s="13">
        <f>'QTR Share Price'!JF21</f>
        <v>406</v>
      </c>
      <c r="CA100" s="13">
        <f>'QTR Share Price'!JG21</f>
        <v>410.2</v>
      </c>
      <c r="CB100" s="13">
        <f>'QTR Share Price'!JH21</f>
        <v>337.55</v>
      </c>
      <c r="CC100" s="13">
        <f>'QTR Share Price'!JI21</f>
        <v>354.9</v>
      </c>
      <c r="CD100" s="13">
        <f>'QTR Share Price'!JJ21</f>
        <v>321.10000000000002</v>
      </c>
      <c r="CE100" s="13">
        <f>'QTR Share Price'!JK21</f>
        <v>331.55</v>
      </c>
      <c r="CF100" s="13">
        <f>'QTR Share Price'!JL21</f>
        <v>348.4</v>
      </c>
      <c r="CG100" s="13">
        <f>'QTR Share Price'!JM21</f>
        <v>308.25</v>
      </c>
      <c r="CH100" s="13">
        <f>'QTR Share Price'!JN21</f>
        <v>258.25</v>
      </c>
      <c r="CI100" s="13">
        <f>'QTR Share Price'!JO21</f>
        <v>259.60000000000002</v>
      </c>
      <c r="CJ100" s="13">
        <f>'QTR Share Price'!JP21</f>
        <v>261.55</v>
      </c>
      <c r="CK100" s="13">
        <f>'QTR Share Price'!JQ21</f>
        <v>237.5</v>
      </c>
      <c r="CL100" s="13">
        <f>'QTR Share Price'!JR21</f>
        <v>177.9</v>
      </c>
      <c r="CM100" s="37">
        <v>205</v>
      </c>
      <c r="CN100" s="37">
        <f t="shared" ref="CN100" si="897">+CM100</f>
        <v>205</v>
      </c>
      <c r="CO100" s="37">
        <f t="shared" ref="CO100" si="898">+CN100</f>
        <v>205</v>
      </c>
      <c r="CP100" s="37">
        <f t="shared" ref="CP100" si="899">+CO100</f>
        <v>205</v>
      </c>
      <c r="CQ100" s="37">
        <f t="shared" ref="CQ100" si="900">+CP100</f>
        <v>205</v>
      </c>
      <c r="CR100" s="37">
        <f t="shared" ref="CR100" si="901">+CQ100</f>
        <v>205</v>
      </c>
      <c r="CS100" s="37">
        <f t="shared" ref="CS100" si="902">+CR100</f>
        <v>205</v>
      </c>
      <c r="CT100" s="37">
        <f t="shared" ref="CT100" si="903">+CS100</f>
        <v>205</v>
      </c>
      <c r="CU100" s="37">
        <f t="shared" ref="CU100" si="904">+CT100</f>
        <v>205</v>
      </c>
      <c r="CV100" s="37">
        <f t="shared" ref="CV100" si="905">+CU100</f>
        <v>205</v>
      </c>
      <c r="CW100" s="37">
        <f t="shared" ref="CW100" si="906">+CV100</f>
        <v>205</v>
      </c>
      <c r="CX100" s="37">
        <f t="shared" ref="CX100" si="907">+CW100</f>
        <v>205</v>
      </c>
      <c r="CY100" s="37">
        <f t="shared" ref="CY100" si="908">+CX100</f>
        <v>205</v>
      </c>
      <c r="CZ100" s="37">
        <f t="shared" ref="CZ100" si="909">+CY100</f>
        <v>205</v>
      </c>
      <c r="DA100" s="37">
        <f t="shared" ref="DA100" si="910">+CZ100</f>
        <v>205</v>
      </c>
      <c r="DB100" s="37">
        <f t="shared" ref="DB100" si="911">+DA100</f>
        <v>205</v>
      </c>
      <c r="DE100" s="134"/>
      <c r="DF100" s="13">
        <v>177.9</v>
      </c>
    </row>
    <row r="101" spans="1:110" s="13" customFormat="1" x14ac:dyDescent="0.2">
      <c r="A101" s="13" t="s">
        <v>458</v>
      </c>
      <c r="B101" s="13">
        <f>'Annual Raw'!C107</f>
        <v>0</v>
      </c>
      <c r="C101" s="13">
        <f>'Annual Raw'!D107</f>
        <v>0</v>
      </c>
      <c r="D101" s="13">
        <f>'Annual Raw'!E107</f>
        <v>0</v>
      </c>
      <c r="E101" s="13">
        <f>'Annual Raw'!F107</f>
        <v>0</v>
      </c>
      <c r="F101" s="13">
        <f>'Annual Raw'!G107</f>
        <v>0</v>
      </c>
      <c r="G101" s="13">
        <f>'Annual Raw'!H107</f>
        <v>0</v>
      </c>
      <c r="H101" s="13">
        <f>'Annual Raw'!I107</f>
        <v>0</v>
      </c>
      <c r="I101" s="13">
        <f>'Annual Raw'!J107</f>
        <v>0</v>
      </c>
      <c r="J101" s="13">
        <f>'Annual Raw'!K107</f>
        <v>0</v>
      </c>
      <c r="K101" s="13">
        <f>'Annual Raw'!L107</f>
        <v>0</v>
      </c>
      <c r="L101" s="13">
        <f>'Annual Raw'!M107</f>
        <v>0</v>
      </c>
      <c r="M101" s="13">
        <f>'Annual Raw'!N107</f>
        <v>0</v>
      </c>
      <c r="N101" s="13">
        <f>'Annual Raw'!O107</f>
        <v>0</v>
      </c>
      <c r="O101" s="13">
        <f>'Annual Raw'!P107</f>
        <v>0</v>
      </c>
      <c r="P101" s="13">
        <f>'Annual Raw'!Q107</f>
        <v>0</v>
      </c>
      <c r="Q101" s="13">
        <f>'Annual Raw'!R107</f>
        <v>0</v>
      </c>
      <c r="R101" s="13">
        <f>'Annual Raw'!S107</f>
        <v>0</v>
      </c>
      <c r="S101" s="13">
        <f>'Annual Raw'!T107</f>
        <v>0</v>
      </c>
      <c r="T101" s="13">
        <f>'Annual Raw'!U107</f>
        <v>0</v>
      </c>
      <c r="U101" s="13">
        <f>'Annual Raw'!V107</f>
        <v>0</v>
      </c>
      <c r="V101" s="13">
        <f>'Annual Raw'!W107</f>
        <v>0</v>
      </c>
      <c r="W101" s="13">
        <f>'Annual Raw'!X107</f>
        <v>517.5</v>
      </c>
      <c r="X101" s="13">
        <f>'Annual Raw'!Y107</f>
        <v>878.35</v>
      </c>
      <c r="Y101" s="13">
        <f>'Annual Raw'!Z107</f>
        <v>509.4</v>
      </c>
      <c r="Z101" s="13">
        <f>'Annual Raw'!AA107</f>
        <v>404</v>
      </c>
      <c r="AA101" s="13">
        <f>'Annual Raw'!AB107</f>
        <v>291.25</v>
      </c>
      <c r="AB101" s="37">
        <f>+MAX(CM101:CP101)</f>
        <v>309.88220692195421</v>
      </c>
      <c r="AC101" s="37">
        <f>+MAX(CQ101:CT101)</f>
        <v>311.59039707583992</v>
      </c>
      <c r="AD101" s="37">
        <f>+MAX(CU101:CX101)</f>
        <v>313.91649797128309</v>
      </c>
      <c r="AE101" s="37">
        <f>+MAX(CY101:DB101)</f>
        <v>316.99780529413215</v>
      </c>
      <c r="AJ101" s="13">
        <f>'QTR Share Price'!HP19</f>
        <v>0</v>
      </c>
      <c r="AK101" s="13">
        <f>'QTR Share Price'!HQ19</f>
        <v>0</v>
      </c>
      <c r="AL101" s="13">
        <f>'QTR Share Price'!HR19</f>
        <v>0</v>
      </c>
      <c r="AM101" s="13">
        <f>'QTR Share Price'!HS19</f>
        <v>0</v>
      </c>
      <c r="AN101" s="13">
        <f>'QTR Share Price'!HT19</f>
        <v>0</v>
      </c>
      <c r="AO101" s="13">
        <f>'QTR Share Price'!HU19</f>
        <v>0</v>
      </c>
      <c r="AP101" s="13">
        <f>'QTR Share Price'!HV19</f>
        <v>0</v>
      </c>
      <c r="AQ101" s="13">
        <f>'QTR Share Price'!HW19</f>
        <v>0</v>
      </c>
      <c r="AR101" s="13">
        <f>'QTR Share Price'!HX19</f>
        <v>0</v>
      </c>
      <c r="AS101" s="13">
        <f>'QTR Share Price'!HY19</f>
        <v>0</v>
      </c>
      <c r="AT101" s="13">
        <f>'QTR Share Price'!HZ19</f>
        <v>0</v>
      </c>
      <c r="AU101" s="13">
        <f>'QTR Share Price'!IA19</f>
        <v>0</v>
      </c>
      <c r="AV101" s="13">
        <f>'QTR Share Price'!IB19</f>
        <v>0</v>
      </c>
      <c r="AW101" s="13">
        <f>'QTR Share Price'!IC19</f>
        <v>0</v>
      </c>
      <c r="AX101" s="13">
        <f>'QTR Share Price'!ID19</f>
        <v>0</v>
      </c>
      <c r="AY101" s="13">
        <f>'QTR Share Price'!IE19</f>
        <v>0</v>
      </c>
      <c r="AZ101" s="13">
        <f>'QTR Share Price'!IF19</f>
        <v>0</v>
      </c>
      <c r="BA101" s="13">
        <f>'QTR Share Price'!IG19</f>
        <v>0</v>
      </c>
      <c r="BB101" s="13">
        <f>'QTR Share Price'!IH19</f>
        <v>0</v>
      </c>
      <c r="BC101" s="13">
        <f>'QTR Share Price'!II19</f>
        <v>0</v>
      </c>
      <c r="BD101" s="13">
        <f>'QTR Share Price'!IJ19</f>
        <v>0</v>
      </c>
      <c r="BE101" s="13">
        <f>'QTR Share Price'!IK19</f>
        <v>0</v>
      </c>
      <c r="BF101" s="13">
        <f>'QTR Share Price'!IL19</f>
        <v>0</v>
      </c>
      <c r="BG101" s="13">
        <f>'QTR Share Price'!IM19</f>
        <v>0</v>
      </c>
      <c r="BH101" s="13">
        <f>'QTR Share Price'!IN19</f>
        <v>0</v>
      </c>
      <c r="BI101" s="13">
        <f>'QTR Share Price'!IO19</f>
        <v>0</v>
      </c>
      <c r="BJ101" s="13">
        <f>'QTR Share Price'!IP19</f>
        <v>0</v>
      </c>
      <c r="BK101" s="13">
        <f>'QTR Share Price'!IQ19</f>
        <v>0</v>
      </c>
      <c r="BL101" s="13">
        <f>'QTR Share Price'!IR19</f>
        <v>0</v>
      </c>
      <c r="BM101" s="13">
        <f>'QTR Share Price'!IS19</f>
        <v>0</v>
      </c>
      <c r="BN101" s="13">
        <f>'QTR Share Price'!IT19</f>
        <v>0</v>
      </c>
      <c r="BO101" s="13">
        <f>'QTR Share Price'!IU19</f>
        <v>0</v>
      </c>
      <c r="BP101" s="13">
        <f>'QTR Share Price'!IV19</f>
        <v>0</v>
      </c>
      <c r="BQ101" s="13">
        <f>'QTR Share Price'!IW19</f>
        <v>0</v>
      </c>
      <c r="BR101" s="13">
        <f>'QTR Share Price'!IX19</f>
        <v>0</v>
      </c>
      <c r="BS101" s="13">
        <f>'QTR Share Price'!IY19</f>
        <v>0</v>
      </c>
      <c r="BT101" s="13">
        <f>'QTR Share Price'!IZ19</f>
        <v>0</v>
      </c>
      <c r="BU101" s="13">
        <f>'QTR Share Price'!JA19</f>
        <v>0</v>
      </c>
      <c r="BV101" s="13">
        <f>'QTR Share Price'!JB19</f>
        <v>517.5</v>
      </c>
      <c r="BW101" s="13">
        <f>'QTR Share Price'!JC19</f>
        <v>878.35</v>
      </c>
      <c r="BX101" s="13">
        <f>'QTR Share Price'!JD19</f>
        <v>841.9</v>
      </c>
      <c r="BY101" s="13">
        <f>'QTR Share Price'!JE19</f>
        <v>765</v>
      </c>
      <c r="BZ101" s="13">
        <f>'QTR Share Price'!JF19</f>
        <v>622.70000000000005</v>
      </c>
      <c r="CA101" s="13">
        <f>'QTR Share Price'!JG19</f>
        <v>509.4</v>
      </c>
      <c r="CB101" s="13">
        <f>'QTR Share Price'!JH19</f>
        <v>422.55</v>
      </c>
      <c r="CC101" s="13">
        <f>'QTR Share Price'!JI19</f>
        <v>410</v>
      </c>
      <c r="CD101" s="13">
        <f>'QTR Share Price'!JJ19</f>
        <v>408.7</v>
      </c>
      <c r="CE101" s="13">
        <f>'QTR Share Price'!JK19</f>
        <v>382</v>
      </c>
      <c r="CF101" s="13">
        <f>'QTR Share Price'!JL19</f>
        <v>404</v>
      </c>
      <c r="CG101" s="13">
        <f>'QTR Share Price'!JM19</f>
        <v>355.6</v>
      </c>
      <c r="CH101" s="13">
        <f>'QTR Share Price'!JN19</f>
        <v>332.6</v>
      </c>
      <c r="CI101" s="13">
        <f>'QTR Share Price'!JO19</f>
        <v>291.25</v>
      </c>
      <c r="CJ101" s="13">
        <f>'QTR Share Price'!JP19</f>
        <v>285.39999999999998</v>
      </c>
      <c r="CK101" s="13">
        <f>'QTR Share Price'!JQ19</f>
        <v>282.89999999999998</v>
      </c>
      <c r="CL101" s="13">
        <f>'QTR Share Price'!JR19</f>
        <v>242.2</v>
      </c>
      <c r="CM101" s="37">
        <f t="shared" ref="CM101:DB101" si="912">+CM92*CM109</f>
        <v>255.99062535994776</v>
      </c>
      <c r="CN101" s="37">
        <f t="shared" si="912"/>
        <v>277.24196274762721</v>
      </c>
      <c r="CO101" s="37">
        <f t="shared" si="912"/>
        <v>287.41429443313075</v>
      </c>
      <c r="CP101" s="37">
        <f t="shared" si="912"/>
        <v>309.88220692195421</v>
      </c>
      <c r="CQ101" s="37">
        <f t="shared" si="912"/>
        <v>309.9801554962383</v>
      </c>
      <c r="CR101" s="37">
        <f t="shared" si="912"/>
        <v>303.07051276430593</v>
      </c>
      <c r="CS101" s="37">
        <f t="shared" si="912"/>
        <v>302.81678249450727</v>
      </c>
      <c r="CT101" s="37">
        <f t="shared" si="912"/>
        <v>311.59039707583992</v>
      </c>
      <c r="CU101" s="37">
        <f t="shared" si="912"/>
        <v>312.73455725149734</v>
      </c>
      <c r="CV101" s="37">
        <f t="shared" si="912"/>
        <v>313.3044509493476</v>
      </c>
      <c r="CW101" s="37">
        <f t="shared" si="912"/>
        <v>313.91649797128309</v>
      </c>
      <c r="CX101" s="37">
        <f t="shared" si="912"/>
        <v>312.89170816243359</v>
      </c>
      <c r="CY101" s="37">
        <f t="shared" si="912"/>
        <v>313.57217486680594</v>
      </c>
      <c r="CZ101" s="37">
        <f t="shared" si="912"/>
        <v>313.87948247913619</v>
      </c>
      <c r="DA101" s="37">
        <f t="shared" si="912"/>
        <v>314.64385506712802</v>
      </c>
      <c r="DB101" s="37">
        <f t="shared" si="912"/>
        <v>316.99780529413215</v>
      </c>
      <c r="DE101" s="134"/>
      <c r="DF101" s="13">
        <v>242.2</v>
      </c>
    </row>
    <row r="102" spans="1:110" s="13" customFormat="1" x14ac:dyDescent="0.2">
      <c r="A102" s="13" t="s">
        <v>459</v>
      </c>
      <c r="B102" s="13">
        <f>'Annual Raw'!C108</f>
        <v>0</v>
      </c>
      <c r="C102" s="13">
        <f>'Annual Raw'!D108</f>
        <v>0</v>
      </c>
      <c r="D102" s="13">
        <f>'Annual Raw'!E108</f>
        <v>0</v>
      </c>
      <c r="E102" s="13">
        <f>'Annual Raw'!F108</f>
        <v>0</v>
      </c>
      <c r="F102" s="13">
        <f>'Annual Raw'!G108</f>
        <v>0</v>
      </c>
      <c r="G102" s="13">
        <f>'Annual Raw'!H108</f>
        <v>0</v>
      </c>
      <c r="H102" s="13">
        <f>'Annual Raw'!I108</f>
        <v>0</v>
      </c>
      <c r="I102" s="13">
        <f>'Annual Raw'!J108</f>
        <v>0</v>
      </c>
      <c r="J102" s="13">
        <f>'Annual Raw'!K108</f>
        <v>0</v>
      </c>
      <c r="K102" s="13">
        <f>'Annual Raw'!L108</f>
        <v>0</v>
      </c>
      <c r="L102" s="13">
        <f>'Annual Raw'!M108</f>
        <v>0</v>
      </c>
      <c r="M102" s="13">
        <f>'Annual Raw'!N108</f>
        <v>0</v>
      </c>
      <c r="N102" s="13">
        <f>'Annual Raw'!O108</f>
        <v>0</v>
      </c>
      <c r="O102" s="13">
        <f>'Annual Raw'!P108</f>
        <v>0</v>
      </c>
      <c r="P102" s="13">
        <f>'Annual Raw'!Q108</f>
        <v>0</v>
      </c>
      <c r="Q102" s="13">
        <f>'Annual Raw'!R108</f>
        <v>0</v>
      </c>
      <c r="R102" s="13">
        <f>'Annual Raw'!S108</f>
        <v>0</v>
      </c>
      <c r="S102" s="13">
        <f>'Annual Raw'!T108</f>
        <v>0</v>
      </c>
      <c r="T102" s="13">
        <f>'Annual Raw'!U108</f>
        <v>0</v>
      </c>
      <c r="U102" s="13">
        <f>'Annual Raw'!V108</f>
        <v>0</v>
      </c>
      <c r="V102" s="13">
        <f>'Annual Raw'!W108</f>
        <v>0</v>
      </c>
      <c r="W102" s="13">
        <f>'Annual Raw'!X108</f>
        <v>221</v>
      </c>
      <c r="X102" s="13">
        <f>'Annual Raw'!Y108</f>
        <v>327</v>
      </c>
      <c r="Y102" s="13">
        <f>'Annual Raw'!Z108</f>
        <v>285.85000000000002</v>
      </c>
      <c r="Z102" s="13">
        <f>'Annual Raw'!AA108</f>
        <v>231.55</v>
      </c>
      <c r="AA102" s="13">
        <f>'Annual Raw'!AB108</f>
        <v>171.2</v>
      </c>
      <c r="AB102" s="37">
        <f>+MIN(CM102:CP102)</f>
        <v>180.94795648894737</v>
      </c>
      <c r="AC102" s="37">
        <f>+MIN(CQ102:CT102)</f>
        <v>214.04720546267399</v>
      </c>
      <c r="AD102" s="37">
        <f>+MIN(CU102:CX102)</f>
        <v>221.05762263194194</v>
      </c>
      <c r="AE102" s="37">
        <f>+MIN(CY102:DB102)</f>
        <v>221.64969585960844</v>
      </c>
      <c r="AJ102" s="13">
        <f>+'QTR Share Price'!HP20</f>
        <v>0</v>
      </c>
      <c r="AK102" s="13">
        <f>+'QTR Share Price'!HQ20</f>
        <v>0</v>
      </c>
      <c r="AL102" s="13">
        <f>+'QTR Share Price'!HR20</f>
        <v>0</v>
      </c>
      <c r="AM102" s="13">
        <f>+'QTR Share Price'!HS20</f>
        <v>0</v>
      </c>
      <c r="AN102" s="13">
        <f>+'QTR Share Price'!HT20</f>
        <v>0</v>
      </c>
      <c r="AO102" s="13">
        <f>+'QTR Share Price'!HU20</f>
        <v>0</v>
      </c>
      <c r="AP102" s="13">
        <f>+'QTR Share Price'!HV20</f>
        <v>0</v>
      </c>
      <c r="AQ102" s="13">
        <f>+'QTR Share Price'!HW20</f>
        <v>0</v>
      </c>
      <c r="AR102" s="13">
        <f>+'QTR Share Price'!HX20</f>
        <v>0</v>
      </c>
      <c r="AS102" s="13">
        <f>+'QTR Share Price'!HY20</f>
        <v>0</v>
      </c>
      <c r="AT102" s="13">
        <f>+'QTR Share Price'!HZ20</f>
        <v>0</v>
      </c>
      <c r="AU102" s="13">
        <f>+'QTR Share Price'!IA20</f>
        <v>0</v>
      </c>
      <c r="AV102" s="13">
        <f>+'QTR Share Price'!IB20</f>
        <v>0</v>
      </c>
      <c r="AW102" s="13">
        <f>+'QTR Share Price'!IC20</f>
        <v>0</v>
      </c>
      <c r="AX102" s="13">
        <f>+'QTR Share Price'!ID20</f>
        <v>0</v>
      </c>
      <c r="AY102" s="13">
        <f>+'QTR Share Price'!IE20</f>
        <v>0</v>
      </c>
      <c r="AZ102" s="13">
        <f>+'QTR Share Price'!IF20</f>
        <v>0</v>
      </c>
      <c r="BA102" s="13">
        <f>+'QTR Share Price'!IG20</f>
        <v>0</v>
      </c>
      <c r="BB102" s="13">
        <f>+'QTR Share Price'!IH20</f>
        <v>0</v>
      </c>
      <c r="BC102" s="13">
        <f>+'QTR Share Price'!II20</f>
        <v>0</v>
      </c>
      <c r="BD102" s="13">
        <f>+'QTR Share Price'!IJ20</f>
        <v>0</v>
      </c>
      <c r="BE102" s="13">
        <f>+'QTR Share Price'!IK20</f>
        <v>0</v>
      </c>
      <c r="BF102" s="13">
        <f>+'QTR Share Price'!IL20</f>
        <v>0</v>
      </c>
      <c r="BG102" s="13">
        <f>+'QTR Share Price'!IM20</f>
        <v>0</v>
      </c>
      <c r="BH102" s="13">
        <f>+'QTR Share Price'!IN20</f>
        <v>0</v>
      </c>
      <c r="BI102" s="13">
        <f>+'QTR Share Price'!IO20</f>
        <v>0</v>
      </c>
      <c r="BJ102" s="13">
        <f>+'QTR Share Price'!IP20</f>
        <v>0</v>
      </c>
      <c r="BK102" s="13">
        <f>+'QTR Share Price'!IQ20</f>
        <v>0</v>
      </c>
      <c r="BL102" s="13">
        <f>+'QTR Share Price'!IR20</f>
        <v>0</v>
      </c>
      <c r="BM102" s="13">
        <f>+'QTR Share Price'!IS20</f>
        <v>0</v>
      </c>
      <c r="BN102" s="13">
        <f>+'QTR Share Price'!IT20</f>
        <v>0</v>
      </c>
      <c r="BO102" s="13">
        <f>+'QTR Share Price'!IU20</f>
        <v>0</v>
      </c>
      <c r="BP102" s="13">
        <f>+'QTR Share Price'!IV20</f>
        <v>0</v>
      </c>
      <c r="BQ102" s="13">
        <f>+'QTR Share Price'!IW20</f>
        <v>0</v>
      </c>
      <c r="BR102" s="13">
        <f>+'QTR Share Price'!IX20</f>
        <v>0</v>
      </c>
      <c r="BS102" s="13">
        <f>+'QTR Share Price'!IY20</f>
        <v>0</v>
      </c>
      <c r="BT102" s="13">
        <f>+'QTR Share Price'!IZ20</f>
        <v>0</v>
      </c>
      <c r="BU102" s="13">
        <f>+'QTR Share Price'!JA20</f>
        <v>0</v>
      </c>
      <c r="BV102" s="13">
        <f>+'QTR Share Price'!JB20</f>
        <v>0</v>
      </c>
      <c r="BW102" s="13">
        <f>+'QTR Share Price'!JC20</f>
        <v>520.65</v>
      </c>
      <c r="BX102" s="13">
        <f>+'QTR Share Price'!JD20</f>
        <v>553.35</v>
      </c>
      <c r="BY102" s="13">
        <f>+'QTR Share Price'!JE20</f>
        <v>492.3</v>
      </c>
      <c r="BZ102" s="13">
        <f>+'QTR Share Price'!JF20</f>
        <v>327</v>
      </c>
      <c r="CA102" s="13">
        <f>+'QTR Share Price'!JG20</f>
        <v>366</v>
      </c>
      <c r="CB102" s="13">
        <f>+'QTR Share Price'!JH20</f>
        <v>337</v>
      </c>
      <c r="CC102" s="13">
        <f>+'QTR Share Price'!JI20</f>
        <v>285.85000000000002</v>
      </c>
      <c r="CD102" s="13">
        <f>+'QTR Share Price'!JJ20</f>
        <v>320</v>
      </c>
      <c r="CE102" s="13">
        <f>+'QTR Share Price'!JK20</f>
        <v>315.60000000000002</v>
      </c>
      <c r="CF102" s="13">
        <f>+'QTR Share Price'!JL20</f>
        <v>315.60000000000002</v>
      </c>
      <c r="CG102" s="13">
        <f>+'QTR Share Price'!JM20</f>
        <v>279.2</v>
      </c>
      <c r="CH102" s="13">
        <f>+'QTR Share Price'!JN20</f>
        <v>231.55</v>
      </c>
      <c r="CI102" s="13">
        <f>+'QTR Share Price'!JO20</f>
        <v>245.05</v>
      </c>
      <c r="CJ102" s="13">
        <f>+'QTR Share Price'!JP20</f>
        <v>247.25</v>
      </c>
      <c r="CK102" s="13">
        <f>+'QTR Share Price'!JQ20</f>
        <v>235</v>
      </c>
      <c r="CL102" s="13">
        <f>+'QTR Share Price'!JR20</f>
        <v>171.2</v>
      </c>
      <c r="CM102" s="37">
        <f t="shared" ref="CM102:DB102" si="913">+CM110*CM92</f>
        <v>180.94795648894737</v>
      </c>
      <c r="CN102" s="37">
        <f t="shared" si="913"/>
        <v>195.96954592235249</v>
      </c>
      <c r="CO102" s="37">
        <f t="shared" si="913"/>
        <v>203.15989763398835</v>
      </c>
      <c r="CP102" s="37">
        <f t="shared" si="913"/>
        <v>219.04142784904442</v>
      </c>
      <c r="CQ102" s="37">
        <f t="shared" si="913"/>
        <v>219.11066317488022</v>
      </c>
      <c r="CR102" s="37">
        <f t="shared" si="913"/>
        <v>214.22655567815514</v>
      </c>
      <c r="CS102" s="37">
        <f t="shared" si="913"/>
        <v>214.04720546267399</v>
      </c>
      <c r="CT102" s="37">
        <f t="shared" si="913"/>
        <v>220.24886861843018</v>
      </c>
      <c r="CU102" s="37">
        <f t="shared" si="913"/>
        <v>221.05762263194194</v>
      </c>
      <c r="CV102" s="37">
        <f t="shared" si="913"/>
        <v>221.46045418054624</v>
      </c>
      <c r="CW102" s="37">
        <f t="shared" si="913"/>
        <v>221.89308196814062</v>
      </c>
      <c r="CX102" s="37">
        <f t="shared" si="913"/>
        <v>221.16870535676557</v>
      </c>
      <c r="CY102" s="37">
        <f t="shared" si="913"/>
        <v>221.64969585960844</v>
      </c>
      <c r="CZ102" s="37">
        <f t="shared" si="913"/>
        <v>221.86691742538443</v>
      </c>
      <c r="DA102" s="37">
        <f t="shared" si="913"/>
        <v>222.4072171242457</v>
      </c>
      <c r="DB102" s="37">
        <f t="shared" si="913"/>
        <v>224.07111588090595</v>
      </c>
      <c r="DE102" s="134"/>
      <c r="DF102" s="13">
        <v>171.2</v>
      </c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51" customFormat="1" x14ac:dyDescent="0.2">
      <c r="A104" s="51" t="s">
        <v>346</v>
      </c>
      <c r="AB104" s="48">
        <f t="shared" ref="AB104:AD104" si="914">+AB101/AB100-1</f>
        <v>0.5116205215705083</v>
      </c>
      <c r="AC104" s="48">
        <f t="shared" si="914"/>
        <v>0.51995315646751172</v>
      </c>
      <c r="AD104" s="48">
        <f t="shared" si="914"/>
        <v>0.53129999010382001</v>
      </c>
      <c r="AE104" s="48">
        <f t="shared" ref="AE104" si="915">+AE101/AE100-1</f>
        <v>0.54633075753235194</v>
      </c>
      <c r="CM104" s="48">
        <f t="shared" ref="CM104:DB104" si="916">+CM101/CM100-1</f>
        <v>0.2487347578534036</v>
      </c>
      <c r="CN104" s="48">
        <f t="shared" si="916"/>
        <v>0.35239981828110833</v>
      </c>
      <c r="CO104" s="48">
        <f t="shared" si="916"/>
        <v>0.40202094845429626</v>
      </c>
      <c r="CP104" s="48">
        <f t="shared" si="916"/>
        <v>0.5116205215705083</v>
      </c>
      <c r="CQ104" s="48">
        <f t="shared" si="916"/>
        <v>0.51209831949384532</v>
      </c>
      <c r="CR104" s="48">
        <f t="shared" si="916"/>
        <v>0.47839274519173625</v>
      </c>
      <c r="CS104" s="48">
        <f t="shared" si="916"/>
        <v>0.47715503655857194</v>
      </c>
      <c r="CT104" s="48">
        <f t="shared" si="916"/>
        <v>0.51995315646751172</v>
      </c>
      <c r="CU104" s="48">
        <f t="shared" si="916"/>
        <v>0.52553442561706021</v>
      </c>
      <c r="CV104" s="48">
        <f t="shared" si="916"/>
        <v>0.52831439487486631</v>
      </c>
      <c r="CW104" s="48">
        <f t="shared" si="916"/>
        <v>0.53129999010382001</v>
      </c>
      <c r="CX104" s="48">
        <f t="shared" si="916"/>
        <v>0.52630101542650531</v>
      </c>
      <c r="CY104" s="48">
        <f t="shared" si="916"/>
        <v>0.5296203652039313</v>
      </c>
      <c r="CZ104" s="48">
        <f t="shared" si="916"/>
        <v>0.53111942672749368</v>
      </c>
      <c r="DA104" s="48">
        <f t="shared" si="916"/>
        <v>0.53484807349818553</v>
      </c>
      <c r="DB104" s="48">
        <f t="shared" si="916"/>
        <v>0.54633075753235194</v>
      </c>
      <c r="DE104" s="129"/>
      <c r="DF104" s="51">
        <v>0.63715570545250144</v>
      </c>
    </row>
    <row r="105" spans="1:110" s="51" customFormat="1" x14ac:dyDescent="0.2">
      <c r="A105" s="51" t="s">
        <v>347</v>
      </c>
      <c r="AB105" s="48">
        <f t="shared" ref="AB105:AD105" si="917">+AB102/AB100-1</f>
        <v>-0.11732704151732987</v>
      </c>
      <c r="AC105" s="48">
        <f t="shared" si="917"/>
        <v>4.413270957401938E-2</v>
      </c>
      <c r="AD105" s="48">
        <f t="shared" si="917"/>
        <v>7.83298664972778E-2</v>
      </c>
      <c r="AE105" s="48">
        <f t="shared" ref="AE105" si="918">+AE102/AE100-1</f>
        <v>8.1218028583455837E-2</v>
      </c>
      <c r="CM105" s="48">
        <f t="shared" ref="CM105:DB105" si="919">+CM102/CM100-1</f>
        <v>-0.11732704151732987</v>
      </c>
      <c r="CN105" s="48">
        <f t="shared" si="919"/>
        <v>-4.4050995500719559E-2</v>
      </c>
      <c r="CO105" s="48">
        <f t="shared" si="919"/>
        <v>-8.9761091024957995E-3</v>
      </c>
      <c r="CP105" s="48">
        <f t="shared" si="919"/>
        <v>6.8494769995338656E-2</v>
      </c>
      <c r="CQ105" s="48">
        <f t="shared" si="919"/>
        <v>6.8832503292098668E-2</v>
      </c>
      <c r="CR105" s="48">
        <f t="shared" si="919"/>
        <v>4.5007588673927401E-2</v>
      </c>
      <c r="CS105" s="48">
        <f t="shared" si="919"/>
        <v>4.413270957401938E-2</v>
      </c>
      <c r="CT105" s="48">
        <f t="shared" si="919"/>
        <v>7.4384724967952121E-2</v>
      </c>
      <c r="CU105" s="48">
        <f t="shared" si="919"/>
        <v>7.83298664972778E-2</v>
      </c>
      <c r="CV105" s="48">
        <f t="shared" si="919"/>
        <v>8.0294898441688911E-2</v>
      </c>
      <c r="CW105" s="48">
        <f t="shared" si="919"/>
        <v>8.2405277893368822E-2</v>
      </c>
      <c r="CX105" s="48">
        <f t="shared" si="919"/>
        <v>7.8871733447636982E-2</v>
      </c>
      <c r="CY105" s="48">
        <f t="shared" si="919"/>
        <v>8.1218028583455837E-2</v>
      </c>
      <c r="CZ105" s="48">
        <f t="shared" si="919"/>
        <v>8.2277645977484992E-2</v>
      </c>
      <c r="DA105" s="48">
        <f t="shared" si="919"/>
        <v>8.4913254264613158E-2</v>
      </c>
      <c r="DB105" s="48">
        <f t="shared" si="919"/>
        <v>9.3029833565394959E-2</v>
      </c>
      <c r="DE105" s="129"/>
      <c r="DF105" s="51">
        <v>-3.7661607644744355E-2</v>
      </c>
    </row>
    <row r="106" spans="1:110" s="14" customFormat="1" x14ac:dyDescent="0.2">
      <c r="AB106" s="16"/>
      <c r="AC106" s="16"/>
      <c r="AD106" s="16"/>
      <c r="AE106" s="16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E106" s="134"/>
    </row>
    <row r="107" spans="1:110" s="13" customFormat="1" x14ac:dyDescent="0.2">
      <c r="A107" s="13" t="s">
        <v>40</v>
      </c>
      <c r="AB107" s="37"/>
      <c r="AC107" s="37"/>
      <c r="AD107" s="37"/>
      <c r="AE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</row>
    <row r="108" spans="1:110" s="13" customFormat="1" x14ac:dyDescent="0.2">
      <c r="A108" s="13" t="s">
        <v>460</v>
      </c>
      <c r="B108" s="13" t="e">
        <f t="shared" ref="B108:D108" si="920">+B100/B92</f>
        <v>#DIV/0!</v>
      </c>
      <c r="C108" s="13" t="e">
        <f t="shared" si="920"/>
        <v>#DIV/0!</v>
      </c>
      <c r="D108" s="13">
        <f t="shared" si="920"/>
        <v>0</v>
      </c>
      <c r="E108" s="13" t="e">
        <f t="shared" ref="E108:AE108" ca="1" si="921">+E100/E92</f>
        <v>#DIV/0!</v>
      </c>
      <c r="F108" s="13" t="e">
        <f t="shared" ca="1" si="921"/>
        <v>#DIV/0!</v>
      </c>
      <c r="G108" s="13" t="e">
        <f t="shared" ca="1" si="921"/>
        <v>#DIV/0!</v>
      </c>
      <c r="H108" s="13" t="e">
        <f t="shared" ca="1" si="921"/>
        <v>#DIV/0!</v>
      </c>
      <c r="I108" s="13" t="e">
        <f t="shared" ca="1" si="921"/>
        <v>#DIV/0!</v>
      </c>
      <c r="J108" s="13" t="e">
        <f t="shared" ca="1" si="921"/>
        <v>#DIV/0!</v>
      </c>
      <c r="K108" s="13" t="e">
        <f t="shared" ca="1" si="921"/>
        <v>#DIV/0!</v>
      </c>
      <c r="L108" s="13" t="e">
        <f t="shared" ca="1" si="921"/>
        <v>#DIV/0!</v>
      </c>
      <c r="M108" s="13" t="e">
        <f t="shared" ca="1" si="921"/>
        <v>#DIV/0!</v>
      </c>
      <c r="N108" s="13" t="e">
        <f t="shared" ca="1" si="921"/>
        <v>#DIV/0!</v>
      </c>
      <c r="O108" s="13" t="e">
        <f t="shared" ca="1" si="921"/>
        <v>#DIV/0!</v>
      </c>
      <c r="P108" s="13" t="e">
        <f t="shared" ca="1" si="921"/>
        <v>#DIV/0!</v>
      </c>
      <c r="Q108" s="13" t="e">
        <f t="shared" ca="1" si="921"/>
        <v>#DIV/0!</v>
      </c>
      <c r="R108" s="13" t="e">
        <f t="shared" ca="1" si="921"/>
        <v>#DIV/0!</v>
      </c>
      <c r="S108" s="13" t="e">
        <f t="shared" ca="1" si="921"/>
        <v>#DIV/0!</v>
      </c>
      <c r="T108" s="13" t="e">
        <f t="shared" ca="1" si="921"/>
        <v>#DIV/0!</v>
      </c>
      <c r="U108" s="13" t="e">
        <f t="shared" ca="1" si="921"/>
        <v>#DIV/0!</v>
      </c>
      <c r="V108" s="13" t="e">
        <f t="shared" ca="1" si="921"/>
        <v>#DIV/0!</v>
      </c>
      <c r="W108" s="13" t="e">
        <f t="shared" ca="1" si="921"/>
        <v>#DIV/0!</v>
      </c>
      <c r="X108" s="13" t="e">
        <f t="shared" ca="1" si="921"/>
        <v>#DIV/0!</v>
      </c>
      <c r="Y108" s="13" t="e">
        <f t="shared" ca="1" si="921"/>
        <v>#DIV/0!</v>
      </c>
      <c r="Z108" s="13" t="e">
        <f t="shared" ref="Z108:AA108" ca="1" si="922">+Z100/Z92</f>
        <v>#DIV/0!</v>
      </c>
      <c r="AA108" s="13" t="e">
        <f t="shared" ca="1" si="922"/>
        <v>#DIV/0!</v>
      </c>
      <c r="AB108" s="37" t="e">
        <f t="shared" ca="1" si="921"/>
        <v>#DIV/0!</v>
      </c>
      <c r="AC108" s="37" t="e">
        <f t="shared" ca="1" si="921"/>
        <v>#DIV/0!</v>
      </c>
      <c r="AD108" s="37" t="e">
        <f t="shared" ca="1" si="921"/>
        <v>#DIV/0!</v>
      </c>
      <c r="AE108" s="37" t="e">
        <f t="shared" ca="1" si="921"/>
        <v>#DIV/0!</v>
      </c>
      <c r="AL108" s="13" t="e">
        <f t="shared" ref="AL108:BQ108" si="923">+AL100/AL92</f>
        <v>#DIV/0!</v>
      </c>
      <c r="AM108" s="13" t="e">
        <f t="shared" si="923"/>
        <v>#DIV/0!</v>
      </c>
      <c r="AN108" s="13" t="e">
        <f t="shared" si="923"/>
        <v>#DIV/0!</v>
      </c>
      <c r="AO108" s="13" t="e">
        <f t="shared" si="923"/>
        <v>#DIV/0!</v>
      </c>
      <c r="AP108" s="13" t="e">
        <f t="shared" si="923"/>
        <v>#DIV/0!</v>
      </c>
      <c r="AQ108" s="13" t="e">
        <f t="shared" si="923"/>
        <v>#DIV/0!</v>
      </c>
      <c r="AR108" s="13" t="e">
        <f t="shared" si="923"/>
        <v>#DIV/0!</v>
      </c>
      <c r="AS108" s="13" t="e">
        <f t="shared" si="923"/>
        <v>#DIV/0!</v>
      </c>
      <c r="AT108" s="13" t="e">
        <f t="shared" si="923"/>
        <v>#DIV/0!</v>
      </c>
      <c r="AU108" s="13" t="e">
        <f t="shared" si="923"/>
        <v>#DIV/0!</v>
      </c>
      <c r="AV108" s="13" t="e">
        <f t="shared" si="923"/>
        <v>#DIV/0!</v>
      </c>
      <c r="AW108" s="13" t="e">
        <f t="shared" si="923"/>
        <v>#DIV/0!</v>
      </c>
      <c r="AX108" s="13" t="e">
        <f t="shared" si="923"/>
        <v>#DIV/0!</v>
      </c>
      <c r="AY108" s="13" t="e">
        <f t="shared" si="923"/>
        <v>#DIV/0!</v>
      </c>
      <c r="AZ108" s="13" t="e">
        <f t="shared" si="923"/>
        <v>#DIV/0!</v>
      </c>
      <c r="BA108" s="13" t="e">
        <f t="shared" si="923"/>
        <v>#DIV/0!</v>
      </c>
      <c r="BB108" s="13" t="e">
        <f t="shared" si="923"/>
        <v>#DIV/0!</v>
      </c>
      <c r="BC108" s="13" t="e">
        <f t="shared" si="923"/>
        <v>#DIV/0!</v>
      </c>
      <c r="BD108" s="13" t="e">
        <f t="shared" si="923"/>
        <v>#DIV/0!</v>
      </c>
      <c r="BE108" s="13" t="e">
        <f t="shared" si="923"/>
        <v>#DIV/0!</v>
      </c>
      <c r="BF108" s="13" t="e">
        <f t="shared" si="923"/>
        <v>#DIV/0!</v>
      </c>
      <c r="BG108" s="13" t="e">
        <f t="shared" si="923"/>
        <v>#DIV/0!</v>
      </c>
      <c r="BH108" s="13" t="e">
        <f t="shared" si="923"/>
        <v>#DIV/0!</v>
      </c>
      <c r="BI108" s="13" t="e">
        <f t="shared" si="923"/>
        <v>#DIV/0!</v>
      </c>
      <c r="BJ108" s="13" t="e">
        <f t="shared" si="923"/>
        <v>#DIV/0!</v>
      </c>
      <c r="BK108" s="13" t="e">
        <f t="shared" si="923"/>
        <v>#DIV/0!</v>
      </c>
      <c r="BL108" s="13" t="e">
        <f t="shared" si="923"/>
        <v>#DIV/0!</v>
      </c>
      <c r="BM108" s="13" t="e">
        <f t="shared" si="923"/>
        <v>#DIV/0!</v>
      </c>
      <c r="BN108" s="13" t="e">
        <f t="shared" si="923"/>
        <v>#DIV/0!</v>
      </c>
      <c r="BO108" s="13" t="e">
        <f t="shared" si="923"/>
        <v>#DIV/0!</v>
      </c>
      <c r="BP108" s="13" t="e">
        <f t="shared" si="923"/>
        <v>#DIV/0!</v>
      </c>
      <c r="BQ108" s="13">
        <f t="shared" si="923"/>
        <v>0</v>
      </c>
      <c r="BR108" s="13">
        <f t="shared" ref="BR108:DB108" si="924">+BR100/BR92</f>
        <v>0</v>
      </c>
      <c r="BS108" s="13">
        <f t="shared" si="924"/>
        <v>0</v>
      </c>
      <c r="BT108" s="13">
        <f t="shared" si="924"/>
        <v>0</v>
      </c>
      <c r="BU108" s="13">
        <f t="shared" si="924"/>
        <v>0</v>
      </c>
      <c r="BV108" s="13">
        <f t="shared" si="924"/>
        <v>83.400862229853217</v>
      </c>
      <c r="BW108" s="13">
        <f t="shared" si="924"/>
        <v>90.641992040115696</v>
      </c>
      <c r="BX108" s="13">
        <f t="shared" si="924"/>
        <v>142.19026088220318</v>
      </c>
      <c r="BY108" s="13">
        <f t="shared" si="924"/>
        <v>110.67754288876594</v>
      </c>
      <c r="BZ108" s="13">
        <f t="shared" si="924"/>
        <v>90.340788840788946</v>
      </c>
      <c r="CA108" s="13">
        <f t="shared" si="924"/>
        <v>171.61333936242471</v>
      </c>
      <c r="CB108" s="13">
        <f t="shared" si="924"/>
        <v>238.10298698470112</v>
      </c>
      <c r="CC108" s="13">
        <f t="shared" si="924"/>
        <v>332.25062879445403</v>
      </c>
      <c r="CD108" s="13">
        <f t="shared" si="924"/>
        <v>206.41232258064667</v>
      </c>
      <c r="CE108" s="13">
        <f t="shared" si="924"/>
        <v>72.345391833159226</v>
      </c>
      <c r="CF108" s="13">
        <f t="shared" si="924"/>
        <v>45.961534622709607</v>
      </c>
      <c r="CG108" s="13">
        <f t="shared" si="924"/>
        <v>33.508977802022542</v>
      </c>
      <c r="CH108" s="13">
        <f t="shared" si="924"/>
        <v>27.30525557514607</v>
      </c>
      <c r="CI108" s="13">
        <f t="shared" ref="CI108:CJ108" si="925">+CI100/CI92</f>
        <v>29.283022877097586</v>
      </c>
      <c r="CJ108" s="13">
        <f t="shared" si="925"/>
        <v>31.311064232901998</v>
      </c>
      <c r="CK108" s="13">
        <f t="shared" ref="CK108:CL108" si="926">+CK100/CK92</f>
        <v>31.843506748923492</v>
      </c>
      <c r="CL108" s="13">
        <f t="shared" si="926"/>
        <v>21.569506356279462</v>
      </c>
      <c r="CM108" s="37">
        <f t="shared" si="924"/>
        <v>23.51625692315347</v>
      </c>
      <c r="CN108" s="37">
        <f t="shared" si="924"/>
        <v>21.713672981615694</v>
      </c>
      <c r="CO108" s="37">
        <f t="shared" si="924"/>
        <v>20.94517020371736</v>
      </c>
      <c r="CP108" s="37">
        <f t="shared" si="924"/>
        <v>19.426547189266074</v>
      </c>
      <c r="CQ108" s="37">
        <f t="shared" si="924"/>
        <v>19.420408723410397</v>
      </c>
      <c r="CR108" s="37">
        <f t="shared" si="924"/>
        <v>19.863170656146576</v>
      </c>
      <c r="CS108" s="37">
        <f t="shared" si="924"/>
        <v>19.879814012595066</v>
      </c>
      <c r="CT108" s="37">
        <f t="shared" si="924"/>
        <v>19.320047640678819</v>
      </c>
      <c r="CU108" s="37">
        <f t="shared" si="924"/>
        <v>19.24936396153398</v>
      </c>
      <c r="CV108" s="37">
        <f t="shared" si="924"/>
        <v>19.214349804613889</v>
      </c>
      <c r="CW108" s="37">
        <f t="shared" si="924"/>
        <v>19.176887340384255</v>
      </c>
      <c r="CX108" s="37">
        <f t="shared" si="924"/>
        <v>19.239695903855928</v>
      </c>
      <c r="CY108" s="37">
        <f t="shared" si="924"/>
        <v>19.197944838186967</v>
      </c>
      <c r="CZ108" s="37">
        <f t="shared" si="924"/>
        <v>19.179148851449405</v>
      </c>
      <c r="DA108" s="37">
        <f t="shared" si="924"/>
        <v>19.132556440992396</v>
      </c>
      <c r="DB108" s="37">
        <f t="shared" si="924"/>
        <v>18.990482632198496</v>
      </c>
      <c r="DE108" s="134"/>
      <c r="DF108" s="13">
        <v>20.716454712158395</v>
      </c>
    </row>
    <row r="109" spans="1:110" s="13" customFormat="1" x14ac:dyDescent="0.2">
      <c r="A109" s="13" t="s">
        <v>461</v>
      </c>
      <c r="B109" s="13" t="e">
        <f t="shared" ref="B109:D109" si="927">+B101/B92</f>
        <v>#DIV/0!</v>
      </c>
      <c r="C109" s="13" t="e">
        <f t="shared" si="927"/>
        <v>#DIV/0!</v>
      </c>
      <c r="D109" s="13">
        <f t="shared" si="927"/>
        <v>0</v>
      </c>
      <c r="E109" s="13" t="e">
        <f t="shared" ref="E109:AE109" ca="1" si="928">+E101/E92</f>
        <v>#DIV/0!</v>
      </c>
      <c r="F109" s="13" t="e">
        <f t="shared" ca="1" si="928"/>
        <v>#DIV/0!</v>
      </c>
      <c r="G109" s="13" t="e">
        <f t="shared" ca="1" si="928"/>
        <v>#DIV/0!</v>
      </c>
      <c r="H109" s="13" t="e">
        <f t="shared" ca="1" si="928"/>
        <v>#DIV/0!</v>
      </c>
      <c r="I109" s="13" t="e">
        <f t="shared" ca="1" si="928"/>
        <v>#DIV/0!</v>
      </c>
      <c r="J109" s="13" t="e">
        <f t="shared" ca="1" si="928"/>
        <v>#DIV/0!</v>
      </c>
      <c r="K109" s="13" t="e">
        <f t="shared" ca="1" si="928"/>
        <v>#DIV/0!</v>
      </c>
      <c r="L109" s="13" t="e">
        <f t="shared" ca="1" si="928"/>
        <v>#DIV/0!</v>
      </c>
      <c r="M109" s="13" t="e">
        <f t="shared" ca="1" si="928"/>
        <v>#DIV/0!</v>
      </c>
      <c r="N109" s="13" t="e">
        <f t="shared" ca="1" si="928"/>
        <v>#DIV/0!</v>
      </c>
      <c r="O109" s="13" t="e">
        <f t="shared" ca="1" si="928"/>
        <v>#DIV/0!</v>
      </c>
      <c r="P109" s="13" t="e">
        <f t="shared" ca="1" si="928"/>
        <v>#DIV/0!</v>
      </c>
      <c r="Q109" s="13" t="e">
        <f t="shared" ca="1" si="928"/>
        <v>#DIV/0!</v>
      </c>
      <c r="R109" s="13" t="e">
        <f t="shared" ca="1" si="928"/>
        <v>#DIV/0!</v>
      </c>
      <c r="S109" s="13" t="e">
        <f t="shared" ca="1" si="928"/>
        <v>#DIV/0!</v>
      </c>
      <c r="T109" s="13" t="e">
        <f t="shared" ca="1" si="928"/>
        <v>#DIV/0!</v>
      </c>
      <c r="U109" s="13" t="e">
        <f t="shared" ca="1" si="928"/>
        <v>#DIV/0!</v>
      </c>
      <c r="V109" s="13" t="e">
        <f t="shared" ca="1" si="928"/>
        <v>#DIV/0!</v>
      </c>
      <c r="W109" s="13" t="e">
        <f t="shared" ca="1" si="928"/>
        <v>#DIV/0!</v>
      </c>
      <c r="X109" s="13" t="e">
        <f t="shared" ca="1" si="928"/>
        <v>#DIV/0!</v>
      </c>
      <c r="Y109" s="13" t="e">
        <f t="shared" ca="1" si="928"/>
        <v>#DIV/0!</v>
      </c>
      <c r="Z109" s="13" t="e">
        <f t="shared" ref="Z109:AA109" ca="1" si="929">+Z101/Z92</f>
        <v>#DIV/0!</v>
      </c>
      <c r="AA109" s="13" t="e">
        <f t="shared" ca="1" si="929"/>
        <v>#DIV/0!</v>
      </c>
      <c r="AB109" s="60" t="e">
        <f t="shared" ca="1" si="928"/>
        <v>#DIV/0!</v>
      </c>
      <c r="AC109" s="60" t="e">
        <f t="shared" ca="1" si="928"/>
        <v>#DIV/0!</v>
      </c>
      <c r="AD109" s="60" t="e">
        <f t="shared" ca="1" si="928"/>
        <v>#DIV/0!</v>
      </c>
      <c r="AE109" s="60" t="e">
        <f t="shared" ca="1" si="928"/>
        <v>#DIV/0!</v>
      </c>
      <c r="AL109" s="13" t="e">
        <f t="shared" ref="AL109:BQ109" si="930">+AL101/AL92</f>
        <v>#DIV/0!</v>
      </c>
      <c r="AM109" s="13" t="e">
        <f t="shared" si="930"/>
        <v>#DIV/0!</v>
      </c>
      <c r="AN109" s="13" t="e">
        <f t="shared" si="930"/>
        <v>#DIV/0!</v>
      </c>
      <c r="AO109" s="13" t="e">
        <f t="shared" si="930"/>
        <v>#DIV/0!</v>
      </c>
      <c r="AP109" s="13" t="e">
        <f t="shared" si="930"/>
        <v>#DIV/0!</v>
      </c>
      <c r="AQ109" s="13" t="e">
        <f t="shared" si="930"/>
        <v>#DIV/0!</v>
      </c>
      <c r="AR109" s="13" t="e">
        <f t="shared" si="930"/>
        <v>#DIV/0!</v>
      </c>
      <c r="AS109" s="13" t="e">
        <f t="shared" si="930"/>
        <v>#DIV/0!</v>
      </c>
      <c r="AT109" s="13" t="e">
        <f t="shared" si="930"/>
        <v>#DIV/0!</v>
      </c>
      <c r="AU109" s="13" t="e">
        <f t="shared" si="930"/>
        <v>#DIV/0!</v>
      </c>
      <c r="AV109" s="13" t="e">
        <f t="shared" si="930"/>
        <v>#DIV/0!</v>
      </c>
      <c r="AW109" s="13" t="e">
        <f t="shared" si="930"/>
        <v>#DIV/0!</v>
      </c>
      <c r="AX109" s="13" t="e">
        <f t="shared" si="930"/>
        <v>#DIV/0!</v>
      </c>
      <c r="AY109" s="13" t="e">
        <f t="shared" si="930"/>
        <v>#DIV/0!</v>
      </c>
      <c r="AZ109" s="13" t="e">
        <f t="shared" si="930"/>
        <v>#DIV/0!</v>
      </c>
      <c r="BA109" s="13" t="e">
        <f t="shared" si="930"/>
        <v>#DIV/0!</v>
      </c>
      <c r="BB109" s="13" t="e">
        <f t="shared" si="930"/>
        <v>#DIV/0!</v>
      </c>
      <c r="BC109" s="13" t="e">
        <f t="shared" si="930"/>
        <v>#DIV/0!</v>
      </c>
      <c r="BD109" s="13" t="e">
        <f t="shared" si="930"/>
        <v>#DIV/0!</v>
      </c>
      <c r="BE109" s="13" t="e">
        <f t="shared" si="930"/>
        <v>#DIV/0!</v>
      </c>
      <c r="BF109" s="13" t="e">
        <f t="shared" si="930"/>
        <v>#DIV/0!</v>
      </c>
      <c r="BG109" s="13" t="e">
        <f t="shared" si="930"/>
        <v>#DIV/0!</v>
      </c>
      <c r="BH109" s="13" t="e">
        <f t="shared" si="930"/>
        <v>#DIV/0!</v>
      </c>
      <c r="BI109" s="13" t="e">
        <f t="shared" si="930"/>
        <v>#DIV/0!</v>
      </c>
      <c r="BJ109" s="13" t="e">
        <f t="shared" si="930"/>
        <v>#DIV/0!</v>
      </c>
      <c r="BK109" s="13" t="e">
        <f t="shared" si="930"/>
        <v>#DIV/0!</v>
      </c>
      <c r="BL109" s="13" t="e">
        <f t="shared" si="930"/>
        <v>#DIV/0!</v>
      </c>
      <c r="BM109" s="13" t="e">
        <f t="shared" si="930"/>
        <v>#DIV/0!</v>
      </c>
      <c r="BN109" s="13" t="e">
        <f t="shared" si="930"/>
        <v>#DIV/0!</v>
      </c>
      <c r="BO109" s="13" t="e">
        <f t="shared" si="930"/>
        <v>#DIV/0!</v>
      </c>
      <c r="BP109" s="13" t="e">
        <f t="shared" si="930"/>
        <v>#DIV/0!</v>
      </c>
      <c r="BQ109" s="13">
        <f t="shared" si="930"/>
        <v>0</v>
      </c>
      <c r="BR109" s="13">
        <f t="shared" ref="BR109:CH109" si="931">+BR101/BR92</f>
        <v>0</v>
      </c>
      <c r="BS109" s="13">
        <f t="shared" si="931"/>
        <v>0</v>
      </c>
      <c r="BT109" s="13">
        <f t="shared" si="931"/>
        <v>0</v>
      </c>
      <c r="BU109" s="13">
        <f t="shared" si="931"/>
        <v>0</v>
      </c>
      <c r="BV109" s="13">
        <f t="shared" si="931"/>
        <v>83.400862229853217</v>
      </c>
      <c r="BW109" s="13">
        <f t="shared" si="931"/>
        <v>138.47359545775393</v>
      </c>
      <c r="BX109" s="13">
        <f t="shared" si="931"/>
        <v>158.49328827846796</v>
      </c>
      <c r="BY109" s="13">
        <f t="shared" si="931"/>
        <v>137.09248754842284</v>
      </c>
      <c r="BZ109" s="13">
        <f t="shared" si="931"/>
        <v>138.55962859891449</v>
      </c>
      <c r="CA109" s="13">
        <f t="shared" si="931"/>
        <v>213.11515131940311</v>
      </c>
      <c r="CB109" s="13">
        <f t="shared" si="931"/>
        <v>298.06078255187515</v>
      </c>
      <c r="CC109" s="13">
        <f t="shared" si="931"/>
        <v>383.8342006360275</v>
      </c>
      <c r="CD109" s="13">
        <f t="shared" si="931"/>
        <v>262.72412406948081</v>
      </c>
      <c r="CE109" s="13">
        <f t="shared" si="931"/>
        <v>83.353761665712028</v>
      </c>
      <c r="CF109" s="13">
        <f t="shared" si="931"/>
        <v>53.296383431615048</v>
      </c>
      <c r="CG109" s="13">
        <f t="shared" si="931"/>
        <v>38.65626117242244</v>
      </c>
      <c r="CH109" s="13">
        <f t="shared" si="931"/>
        <v>35.166420152153272</v>
      </c>
      <c r="CI109" s="13">
        <f t="shared" ref="CI109:CJ109" si="932">+CI101/CI92</f>
        <v>32.853160296435561</v>
      </c>
      <c r="CJ109" s="13">
        <f t="shared" si="932"/>
        <v>34.166231053604392</v>
      </c>
      <c r="CK109" s="13">
        <f t="shared" ref="CK109:CL109" si="933">+CK101/CK92</f>
        <v>37.930644460086128</v>
      </c>
      <c r="CL109" s="13">
        <f t="shared" si="933"/>
        <v>29.365567394552478</v>
      </c>
      <c r="CM109" s="60">
        <f t="shared" ref="CM109:CM110" si="934">+CL109</f>
        <v>29.365567394552478</v>
      </c>
      <c r="CN109" s="60">
        <f t="shared" ref="CN109:CN110" si="935">+CM109</f>
        <v>29.365567394552478</v>
      </c>
      <c r="CO109" s="60">
        <f t="shared" ref="CO109:CO110" si="936">+CN109</f>
        <v>29.365567394552478</v>
      </c>
      <c r="CP109" s="60">
        <f t="shared" ref="CP109:CP110" si="937">+CO109</f>
        <v>29.365567394552478</v>
      </c>
      <c r="CQ109" s="60">
        <f t="shared" ref="CQ109:CQ110" si="938">+CP109</f>
        <v>29.365567394552478</v>
      </c>
      <c r="CR109" s="60">
        <f t="shared" ref="CR109:CR110" si="939">+CQ109</f>
        <v>29.365567394552478</v>
      </c>
      <c r="CS109" s="60">
        <f t="shared" ref="CS109:CS110" si="940">+CR109</f>
        <v>29.365567394552478</v>
      </c>
      <c r="CT109" s="60">
        <f t="shared" ref="CT109:CT110" si="941">+CS109</f>
        <v>29.365567394552478</v>
      </c>
      <c r="CU109" s="60">
        <f t="shared" ref="CU109:CU110" si="942">+CT109</f>
        <v>29.365567394552478</v>
      </c>
      <c r="CV109" s="60">
        <f t="shared" ref="CV109:CV110" si="943">+CU109</f>
        <v>29.365567394552478</v>
      </c>
      <c r="CW109" s="60">
        <f t="shared" ref="CW109:CW110" si="944">+CV109</f>
        <v>29.365567394552478</v>
      </c>
      <c r="CX109" s="60">
        <f t="shared" ref="CX109:CX110" si="945">+CW109</f>
        <v>29.365567394552478</v>
      </c>
      <c r="CY109" s="60">
        <f t="shared" ref="CY109:CY110" si="946">+CX109</f>
        <v>29.365567394552478</v>
      </c>
      <c r="CZ109" s="60">
        <f t="shared" ref="CZ109:CZ110" si="947">+CY109</f>
        <v>29.365567394552478</v>
      </c>
      <c r="DA109" s="60">
        <f t="shared" ref="DA109:DA110" si="948">+CZ109</f>
        <v>29.365567394552478</v>
      </c>
      <c r="DB109" s="60">
        <f t="shared" ref="DB109:DB110" si="949">+DA109</f>
        <v>29.365567394552478</v>
      </c>
      <c r="DE109" s="136"/>
      <c r="DF109" s="13">
        <v>28.204189608121208</v>
      </c>
    </row>
    <row r="110" spans="1:110" s="13" customFormat="1" x14ac:dyDescent="0.2">
      <c r="A110" s="13" t="s">
        <v>462</v>
      </c>
      <c r="B110" s="13" t="e">
        <f t="shared" ref="B110:D110" si="950">+B102/B92</f>
        <v>#DIV/0!</v>
      </c>
      <c r="C110" s="13" t="e">
        <f t="shared" si="950"/>
        <v>#DIV/0!</v>
      </c>
      <c r="D110" s="13">
        <f t="shared" si="950"/>
        <v>0</v>
      </c>
      <c r="E110" s="13" t="e">
        <f t="shared" ref="E110:AE110" ca="1" si="951">+E102/E92</f>
        <v>#DIV/0!</v>
      </c>
      <c r="F110" s="13" t="e">
        <f t="shared" ca="1" si="951"/>
        <v>#DIV/0!</v>
      </c>
      <c r="G110" s="13" t="e">
        <f t="shared" ca="1" si="951"/>
        <v>#DIV/0!</v>
      </c>
      <c r="H110" s="13" t="e">
        <f t="shared" ca="1" si="951"/>
        <v>#DIV/0!</v>
      </c>
      <c r="I110" s="13" t="e">
        <f t="shared" ca="1" si="951"/>
        <v>#DIV/0!</v>
      </c>
      <c r="J110" s="13" t="e">
        <f t="shared" ca="1" si="951"/>
        <v>#DIV/0!</v>
      </c>
      <c r="K110" s="13" t="e">
        <f t="shared" ca="1" si="951"/>
        <v>#DIV/0!</v>
      </c>
      <c r="L110" s="13" t="e">
        <f t="shared" ca="1" si="951"/>
        <v>#DIV/0!</v>
      </c>
      <c r="M110" s="13" t="e">
        <f t="shared" ca="1" si="951"/>
        <v>#DIV/0!</v>
      </c>
      <c r="N110" s="13" t="e">
        <f t="shared" ca="1" si="951"/>
        <v>#DIV/0!</v>
      </c>
      <c r="O110" s="13" t="e">
        <f t="shared" ca="1" si="951"/>
        <v>#DIV/0!</v>
      </c>
      <c r="P110" s="13" t="e">
        <f t="shared" ca="1" si="951"/>
        <v>#DIV/0!</v>
      </c>
      <c r="Q110" s="13" t="e">
        <f t="shared" ca="1" si="951"/>
        <v>#DIV/0!</v>
      </c>
      <c r="R110" s="13" t="e">
        <f t="shared" ca="1" si="951"/>
        <v>#DIV/0!</v>
      </c>
      <c r="S110" s="13" t="e">
        <f t="shared" ca="1" si="951"/>
        <v>#DIV/0!</v>
      </c>
      <c r="T110" s="13" t="e">
        <f t="shared" ca="1" si="951"/>
        <v>#DIV/0!</v>
      </c>
      <c r="U110" s="13" t="e">
        <f t="shared" ca="1" si="951"/>
        <v>#DIV/0!</v>
      </c>
      <c r="V110" s="13" t="e">
        <f t="shared" ca="1" si="951"/>
        <v>#DIV/0!</v>
      </c>
      <c r="W110" s="13" t="e">
        <f t="shared" ca="1" si="951"/>
        <v>#DIV/0!</v>
      </c>
      <c r="X110" s="13" t="e">
        <f t="shared" ca="1" si="951"/>
        <v>#DIV/0!</v>
      </c>
      <c r="Y110" s="13" t="e">
        <f t="shared" ca="1" si="951"/>
        <v>#DIV/0!</v>
      </c>
      <c r="Z110" s="13" t="e">
        <f t="shared" ref="Z110:AA110" ca="1" si="952">+Z102/Z92</f>
        <v>#DIV/0!</v>
      </c>
      <c r="AA110" s="13" t="e">
        <f t="shared" ca="1" si="952"/>
        <v>#DIV/0!</v>
      </c>
      <c r="AB110" s="60" t="e">
        <f t="shared" ca="1" si="951"/>
        <v>#DIV/0!</v>
      </c>
      <c r="AC110" s="60" t="e">
        <f t="shared" ca="1" si="951"/>
        <v>#DIV/0!</v>
      </c>
      <c r="AD110" s="60" t="e">
        <f t="shared" ca="1" si="951"/>
        <v>#DIV/0!</v>
      </c>
      <c r="AE110" s="60" t="e">
        <f t="shared" ca="1" si="951"/>
        <v>#DIV/0!</v>
      </c>
      <c r="AL110" s="13" t="e">
        <f t="shared" ref="AL110:BQ110" si="953">+AL102/AL92</f>
        <v>#DIV/0!</v>
      </c>
      <c r="AM110" s="13" t="e">
        <f t="shared" si="953"/>
        <v>#DIV/0!</v>
      </c>
      <c r="AN110" s="13" t="e">
        <f t="shared" si="953"/>
        <v>#DIV/0!</v>
      </c>
      <c r="AO110" s="13" t="e">
        <f t="shared" si="953"/>
        <v>#DIV/0!</v>
      </c>
      <c r="AP110" s="13" t="e">
        <f t="shared" si="953"/>
        <v>#DIV/0!</v>
      </c>
      <c r="AQ110" s="13" t="e">
        <f t="shared" si="953"/>
        <v>#DIV/0!</v>
      </c>
      <c r="AR110" s="13" t="e">
        <f t="shared" si="953"/>
        <v>#DIV/0!</v>
      </c>
      <c r="AS110" s="13" t="e">
        <f t="shared" si="953"/>
        <v>#DIV/0!</v>
      </c>
      <c r="AT110" s="13" t="e">
        <f t="shared" si="953"/>
        <v>#DIV/0!</v>
      </c>
      <c r="AU110" s="13" t="e">
        <f t="shared" si="953"/>
        <v>#DIV/0!</v>
      </c>
      <c r="AV110" s="13" t="e">
        <f t="shared" si="953"/>
        <v>#DIV/0!</v>
      </c>
      <c r="AW110" s="13" t="e">
        <f t="shared" si="953"/>
        <v>#DIV/0!</v>
      </c>
      <c r="AX110" s="13" t="e">
        <f t="shared" si="953"/>
        <v>#DIV/0!</v>
      </c>
      <c r="AY110" s="13" t="e">
        <f t="shared" si="953"/>
        <v>#DIV/0!</v>
      </c>
      <c r="AZ110" s="13" t="e">
        <f t="shared" si="953"/>
        <v>#DIV/0!</v>
      </c>
      <c r="BA110" s="13" t="e">
        <f t="shared" si="953"/>
        <v>#DIV/0!</v>
      </c>
      <c r="BB110" s="13" t="e">
        <f t="shared" si="953"/>
        <v>#DIV/0!</v>
      </c>
      <c r="BC110" s="13" t="e">
        <f t="shared" si="953"/>
        <v>#DIV/0!</v>
      </c>
      <c r="BD110" s="13" t="e">
        <f t="shared" si="953"/>
        <v>#DIV/0!</v>
      </c>
      <c r="BE110" s="13" t="e">
        <f t="shared" si="953"/>
        <v>#DIV/0!</v>
      </c>
      <c r="BF110" s="13" t="e">
        <f t="shared" si="953"/>
        <v>#DIV/0!</v>
      </c>
      <c r="BG110" s="13" t="e">
        <f t="shared" si="953"/>
        <v>#DIV/0!</v>
      </c>
      <c r="BH110" s="13" t="e">
        <f t="shared" si="953"/>
        <v>#DIV/0!</v>
      </c>
      <c r="BI110" s="13" t="e">
        <f t="shared" si="953"/>
        <v>#DIV/0!</v>
      </c>
      <c r="BJ110" s="13" t="e">
        <f t="shared" si="953"/>
        <v>#DIV/0!</v>
      </c>
      <c r="BK110" s="13" t="e">
        <f t="shared" si="953"/>
        <v>#DIV/0!</v>
      </c>
      <c r="BL110" s="13" t="e">
        <f t="shared" si="953"/>
        <v>#DIV/0!</v>
      </c>
      <c r="BM110" s="13" t="e">
        <f t="shared" si="953"/>
        <v>#DIV/0!</v>
      </c>
      <c r="BN110" s="13" t="e">
        <f t="shared" si="953"/>
        <v>#DIV/0!</v>
      </c>
      <c r="BO110" s="13" t="e">
        <f t="shared" si="953"/>
        <v>#DIV/0!</v>
      </c>
      <c r="BP110" s="13" t="e">
        <f t="shared" si="953"/>
        <v>#DIV/0!</v>
      </c>
      <c r="BQ110" s="13">
        <f t="shared" si="953"/>
        <v>0</v>
      </c>
      <c r="BR110" s="13">
        <f t="shared" ref="BR110:CH110" si="954">+BR102/BR92</f>
        <v>0</v>
      </c>
      <c r="BS110" s="13">
        <f t="shared" si="954"/>
        <v>0</v>
      </c>
      <c r="BT110" s="13">
        <f t="shared" si="954"/>
        <v>0</v>
      </c>
      <c r="BU110" s="13">
        <f t="shared" si="954"/>
        <v>0</v>
      </c>
      <c r="BV110" s="13">
        <f t="shared" si="954"/>
        <v>0</v>
      </c>
      <c r="BW110" s="13">
        <f t="shared" si="954"/>
        <v>82.08149083517911</v>
      </c>
      <c r="BX110" s="13">
        <f t="shared" si="954"/>
        <v>104.17182690211457</v>
      </c>
      <c r="BY110" s="13">
        <f t="shared" si="954"/>
        <v>88.223047869396808</v>
      </c>
      <c r="BZ110" s="13">
        <f t="shared" si="954"/>
        <v>72.76216244073396</v>
      </c>
      <c r="CA110" s="13">
        <f t="shared" si="954"/>
        <v>153.12160459933557</v>
      </c>
      <c r="CB110" s="13">
        <f t="shared" si="954"/>
        <v>237.71502477808997</v>
      </c>
      <c r="CC110" s="13">
        <f t="shared" si="954"/>
        <v>267.60733232148408</v>
      </c>
      <c r="CD110" s="13">
        <f t="shared" si="954"/>
        <v>205.70521091811563</v>
      </c>
      <c r="CE110" s="13">
        <f t="shared" si="954"/>
        <v>68.865044978268884</v>
      </c>
      <c r="CF110" s="13">
        <f t="shared" si="954"/>
        <v>41.634501512420073</v>
      </c>
      <c r="CG110" s="13">
        <f t="shared" si="954"/>
        <v>30.351035206243935</v>
      </c>
      <c r="CH110" s="13">
        <f t="shared" si="954"/>
        <v>24.482214630881209</v>
      </c>
      <c r="CI110" s="13">
        <f t="shared" ref="CI110:CJ110" si="955">+CI102/CI92</f>
        <v>27.641774869155483</v>
      </c>
      <c r="CJ110" s="13">
        <f t="shared" si="955"/>
        <v>29.59916127541586</v>
      </c>
      <c r="CK110" s="13">
        <f t="shared" ref="CK110:CL110" si="956">+CK102/CK92</f>
        <v>31.508311941040088</v>
      </c>
      <c r="CL110" s="13">
        <f t="shared" si="956"/>
        <v>20.757164070798446</v>
      </c>
      <c r="CM110" s="60">
        <f t="shared" si="934"/>
        <v>20.757164070798446</v>
      </c>
      <c r="CN110" s="60">
        <f t="shared" si="935"/>
        <v>20.757164070798446</v>
      </c>
      <c r="CO110" s="60">
        <f t="shared" si="936"/>
        <v>20.757164070798446</v>
      </c>
      <c r="CP110" s="60">
        <f t="shared" si="937"/>
        <v>20.757164070798446</v>
      </c>
      <c r="CQ110" s="60">
        <f t="shared" si="938"/>
        <v>20.757164070798446</v>
      </c>
      <c r="CR110" s="60">
        <f t="shared" si="939"/>
        <v>20.757164070798446</v>
      </c>
      <c r="CS110" s="60">
        <f t="shared" si="940"/>
        <v>20.757164070798446</v>
      </c>
      <c r="CT110" s="60">
        <f t="shared" si="941"/>
        <v>20.757164070798446</v>
      </c>
      <c r="CU110" s="60">
        <f t="shared" si="942"/>
        <v>20.757164070798446</v>
      </c>
      <c r="CV110" s="60">
        <f t="shared" si="943"/>
        <v>20.757164070798446</v>
      </c>
      <c r="CW110" s="60">
        <f t="shared" si="944"/>
        <v>20.757164070798446</v>
      </c>
      <c r="CX110" s="60">
        <f t="shared" si="945"/>
        <v>20.757164070798446</v>
      </c>
      <c r="CY110" s="60">
        <f t="shared" si="946"/>
        <v>20.757164070798446</v>
      </c>
      <c r="CZ110" s="60">
        <f t="shared" si="947"/>
        <v>20.757164070798446</v>
      </c>
      <c r="DA110" s="60">
        <f t="shared" si="948"/>
        <v>20.757164070798446</v>
      </c>
      <c r="DB110" s="60">
        <f t="shared" si="949"/>
        <v>20.757164070798446</v>
      </c>
      <c r="DE110" s="136"/>
      <c r="DF110" s="13">
        <v>19.93623972299897</v>
      </c>
    </row>
    <row r="111" spans="1:110" s="13" customFormat="1" x14ac:dyDescent="0.2">
      <c r="AB111" s="60"/>
      <c r="AC111" s="60"/>
      <c r="AD111" s="60"/>
      <c r="AE111" s="60"/>
      <c r="CM111" s="6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E111" s="136"/>
    </row>
    <row r="112" spans="1:110" s="13" customFormat="1" x14ac:dyDescent="0.2">
      <c r="A112" s="13" t="s">
        <v>463</v>
      </c>
      <c r="B112" s="13" t="e">
        <f t="shared" ref="B112:AD112" si="957">+B101/C92</f>
        <v>#DIV/0!</v>
      </c>
      <c r="C112" s="13">
        <f t="shared" si="957"/>
        <v>0</v>
      </c>
      <c r="D112" s="13" t="e">
        <f t="shared" ca="1" si="957"/>
        <v>#DIV/0!</v>
      </c>
      <c r="E112" s="13" t="e">
        <f t="shared" ca="1" si="957"/>
        <v>#DIV/0!</v>
      </c>
      <c r="F112" s="13" t="e">
        <f t="shared" ca="1" si="957"/>
        <v>#DIV/0!</v>
      </c>
      <c r="G112" s="13" t="e">
        <f t="shared" ca="1" si="957"/>
        <v>#DIV/0!</v>
      </c>
      <c r="H112" s="13" t="e">
        <f t="shared" ca="1" si="957"/>
        <v>#DIV/0!</v>
      </c>
      <c r="I112" s="13" t="e">
        <f t="shared" ca="1" si="957"/>
        <v>#DIV/0!</v>
      </c>
      <c r="J112" s="13" t="e">
        <f t="shared" ca="1" si="957"/>
        <v>#DIV/0!</v>
      </c>
      <c r="K112" s="13" t="e">
        <f t="shared" ca="1" si="957"/>
        <v>#DIV/0!</v>
      </c>
      <c r="L112" s="13" t="e">
        <f t="shared" ca="1" si="957"/>
        <v>#DIV/0!</v>
      </c>
      <c r="M112" s="13" t="e">
        <f t="shared" ca="1" si="957"/>
        <v>#DIV/0!</v>
      </c>
      <c r="N112" s="13" t="e">
        <f t="shared" ca="1" si="957"/>
        <v>#DIV/0!</v>
      </c>
      <c r="O112" s="13" t="e">
        <f t="shared" ca="1" si="957"/>
        <v>#DIV/0!</v>
      </c>
      <c r="P112" s="13" t="e">
        <f t="shared" ca="1" si="957"/>
        <v>#DIV/0!</v>
      </c>
      <c r="Q112" s="13" t="e">
        <f t="shared" ca="1" si="957"/>
        <v>#DIV/0!</v>
      </c>
      <c r="R112" s="13" t="e">
        <f t="shared" ca="1" si="957"/>
        <v>#DIV/0!</v>
      </c>
      <c r="S112" s="13" t="e">
        <f t="shared" ca="1" si="957"/>
        <v>#DIV/0!</v>
      </c>
      <c r="T112" s="13" t="e">
        <f t="shared" ca="1" si="957"/>
        <v>#DIV/0!</v>
      </c>
      <c r="U112" s="13" t="e">
        <f t="shared" ca="1" si="957"/>
        <v>#DIV/0!</v>
      </c>
      <c r="V112" s="13" t="e">
        <f t="shared" ca="1" si="957"/>
        <v>#DIV/0!</v>
      </c>
      <c r="W112" s="13" t="e">
        <f t="shared" ca="1" si="957"/>
        <v>#DIV/0!</v>
      </c>
      <c r="X112" s="13" t="e">
        <f t="shared" ca="1" si="957"/>
        <v>#DIV/0!</v>
      </c>
      <c r="Y112" s="13" t="e">
        <f t="shared" ca="1" si="957"/>
        <v>#DIV/0!</v>
      </c>
      <c r="Z112" s="13" t="e">
        <f t="shared" ref="Z112:AA112" ca="1" si="958">+Z101/AA92</f>
        <v>#DIV/0!</v>
      </c>
      <c r="AA112" s="13" t="e">
        <f t="shared" ca="1" si="958"/>
        <v>#DIV/0!</v>
      </c>
      <c r="AB112" s="37" t="e">
        <f t="shared" ca="1" si="957"/>
        <v>#DIV/0!</v>
      </c>
      <c r="AC112" s="37" t="e">
        <f t="shared" ca="1" si="957"/>
        <v>#DIV/0!</v>
      </c>
      <c r="AD112" s="37" t="e">
        <f t="shared" ca="1" si="957"/>
        <v>#DIV/0!</v>
      </c>
      <c r="AE112" s="37"/>
      <c r="AL112" s="13" t="e">
        <f t="shared" ref="AL112:BQ112" si="959">+AL101/AP92</f>
        <v>#DIV/0!</v>
      </c>
      <c r="AM112" s="13" t="e">
        <f t="shared" si="959"/>
        <v>#DIV/0!</v>
      </c>
      <c r="AN112" s="13" t="e">
        <f t="shared" si="959"/>
        <v>#DIV/0!</v>
      </c>
      <c r="AO112" s="13" t="e">
        <f t="shared" si="959"/>
        <v>#DIV/0!</v>
      </c>
      <c r="AP112" s="13" t="e">
        <f t="shared" si="959"/>
        <v>#DIV/0!</v>
      </c>
      <c r="AQ112" s="13" t="e">
        <f t="shared" si="959"/>
        <v>#DIV/0!</v>
      </c>
      <c r="AR112" s="13" t="e">
        <f t="shared" si="959"/>
        <v>#DIV/0!</v>
      </c>
      <c r="AS112" s="13" t="e">
        <f t="shared" si="959"/>
        <v>#DIV/0!</v>
      </c>
      <c r="AT112" s="13" t="e">
        <f t="shared" si="959"/>
        <v>#DIV/0!</v>
      </c>
      <c r="AU112" s="13" t="e">
        <f t="shared" si="959"/>
        <v>#DIV/0!</v>
      </c>
      <c r="AV112" s="13" t="e">
        <f t="shared" si="959"/>
        <v>#DIV/0!</v>
      </c>
      <c r="AW112" s="13" t="e">
        <f t="shared" si="959"/>
        <v>#DIV/0!</v>
      </c>
      <c r="AX112" s="13" t="e">
        <f t="shared" si="959"/>
        <v>#DIV/0!</v>
      </c>
      <c r="AY112" s="13" t="e">
        <f t="shared" si="959"/>
        <v>#DIV/0!</v>
      </c>
      <c r="AZ112" s="13" t="e">
        <f t="shared" si="959"/>
        <v>#DIV/0!</v>
      </c>
      <c r="BA112" s="13" t="e">
        <f t="shared" si="959"/>
        <v>#DIV/0!</v>
      </c>
      <c r="BB112" s="13" t="e">
        <f t="shared" si="959"/>
        <v>#DIV/0!</v>
      </c>
      <c r="BC112" s="13" t="e">
        <f t="shared" si="959"/>
        <v>#DIV/0!</v>
      </c>
      <c r="BD112" s="13" t="e">
        <f t="shared" si="959"/>
        <v>#DIV/0!</v>
      </c>
      <c r="BE112" s="13" t="e">
        <f t="shared" si="959"/>
        <v>#DIV/0!</v>
      </c>
      <c r="BF112" s="13" t="e">
        <f t="shared" si="959"/>
        <v>#DIV/0!</v>
      </c>
      <c r="BG112" s="13" t="e">
        <f t="shared" si="959"/>
        <v>#DIV/0!</v>
      </c>
      <c r="BH112" s="13" t="e">
        <f t="shared" si="959"/>
        <v>#DIV/0!</v>
      </c>
      <c r="BI112" s="13" t="e">
        <f t="shared" si="959"/>
        <v>#DIV/0!</v>
      </c>
      <c r="BJ112" s="13" t="e">
        <f t="shared" si="959"/>
        <v>#DIV/0!</v>
      </c>
      <c r="BK112" s="13" t="e">
        <f t="shared" si="959"/>
        <v>#DIV/0!</v>
      </c>
      <c r="BL112" s="13" t="e">
        <f t="shared" si="959"/>
        <v>#DIV/0!</v>
      </c>
      <c r="BM112" s="13">
        <f t="shared" si="959"/>
        <v>0</v>
      </c>
      <c r="BN112" s="13">
        <f t="shared" si="959"/>
        <v>0</v>
      </c>
      <c r="BO112" s="13">
        <f t="shared" si="959"/>
        <v>0</v>
      </c>
      <c r="BP112" s="13">
        <f t="shared" si="959"/>
        <v>0</v>
      </c>
      <c r="BQ112" s="13">
        <f t="shared" si="959"/>
        <v>0</v>
      </c>
      <c r="BR112" s="13">
        <f t="shared" ref="BR112:CL112" si="960">+BR101/BV92</f>
        <v>0</v>
      </c>
      <c r="BS112" s="13">
        <f t="shared" si="960"/>
        <v>0</v>
      </c>
      <c r="BT112" s="13">
        <f t="shared" si="960"/>
        <v>0</v>
      </c>
      <c r="BU112" s="13">
        <f t="shared" si="960"/>
        <v>0</v>
      </c>
      <c r="BV112" s="13">
        <f t="shared" si="960"/>
        <v>115.15112863327163</v>
      </c>
      <c r="BW112" s="13">
        <f t="shared" si="960"/>
        <v>367.47093278641091</v>
      </c>
      <c r="BX112" s="13">
        <f t="shared" si="960"/>
        <v>593.86433044710373</v>
      </c>
      <c r="BY112" s="13">
        <f t="shared" si="960"/>
        <v>716.17844752819769</v>
      </c>
      <c r="BZ112" s="13">
        <f t="shared" si="960"/>
        <v>400.28948387097068</v>
      </c>
      <c r="CA112" s="13">
        <f t="shared" si="960"/>
        <v>111.15289579192068</v>
      </c>
      <c r="CB112" s="13">
        <f t="shared" si="960"/>
        <v>55.743531730269645</v>
      </c>
      <c r="CC112" s="13">
        <f t="shared" si="960"/>
        <v>44.569929923209216</v>
      </c>
      <c r="CD112" s="13">
        <f t="shared" si="960"/>
        <v>43.212615502660981</v>
      </c>
      <c r="CE112" s="13">
        <f t="shared" si="960"/>
        <v>43.089810242878571</v>
      </c>
      <c r="CF112" s="13">
        <f t="shared" si="960"/>
        <v>48.36425138632157</v>
      </c>
      <c r="CG112" s="13">
        <f t="shared" si="960"/>
        <v>47.67810947333556</v>
      </c>
      <c r="CH112" s="13">
        <f t="shared" si="960"/>
        <v>40.326125992684375</v>
      </c>
      <c r="CI112" s="13">
        <f t="shared" si="960"/>
        <v>33.410291848138769</v>
      </c>
      <c r="CJ112" s="13">
        <f t="shared" si="960"/>
        <v>30.229669604649359</v>
      </c>
      <c r="CK112" s="13">
        <f t="shared" si="960"/>
        <v>28.904334881129952</v>
      </c>
      <c r="CL112" s="13">
        <f t="shared" si="960"/>
        <v>22.951754776781673</v>
      </c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E112" s="134"/>
      <c r="DF112" s="13">
        <v>25.032544066497007</v>
      </c>
    </row>
    <row r="113" spans="1:110" s="98" customFormat="1" x14ac:dyDescent="0.2">
      <c r="A113" s="98" t="s">
        <v>426</v>
      </c>
      <c r="AB113" s="99"/>
      <c r="AC113" s="99"/>
      <c r="AD113" s="99"/>
      <c r="AE113" s="99"/>
      <c r="AL113" s="170"/>
      <c r="AM113" s="170"/>
      <c r="AN113" s="170"/>
      <c r="AO113" s="170" t="e">
        <f t="shared" ref="AO113:CI113" si="961">+CORREL(AL92:AO92,AL109:AO109)</f>
        <v>#DIV/0!</v>
      </c>
      <c r="AP113" s="170" t="e">
        <f t="shared" si="961"/>
        <v>#DIV/0!</v>
      </c>
      <c r="AQ113" s="170" t="e">
        <f t="shared" si="961"/>
        <v>#DIV/0!</v>
      </c>
      <c r="AR113" s="170" t="e">
        <f t="shared" si="961"/>
        <v>#DIV/0!</v>
      </c>
      <c r="AS113" s="170" t="e">
        <f t="shared" si="961"/>
        <v>#DIV/0!</v>
      </c>
      <c r="AT113" s="170" t="e">
        <f t="shared" si="961"/>
        <v>#DIV/0!</v>
      </c>
      <c r="AU113" s="170" t="e">
        <f t="shared" si="961"/>
        <v>#DIV/0!</v>
      </c>
      <c r="AV113" s="170" t="e">
        <f t="shared" si="961"/>
        <v>#DIV/0!</v>
      </c>
      <c r="AW113" s="170" t="e">
        <f t="shared" si="961"/>
        <v>#DIV/0!</v>
      </c>
      <c r="AX113" s="170" t="e">
        <f t="shared" si="961"/>
        <v>#DIV/0!</v>
      </c>
      <c r="AY113" s="170" t="e">
        <f t="shared" si="961"/>
        <v>#DIV/0!</v>
      </c>
      <c r="AZ113" s="170" t="e">
        <f t="shared" si="961"/>
        <v>#DIV/0!</v>
      </c>
      <c r="BA113" s="170" t="e">
        <f t="shared" si="961"/>
        <v>#DIV/0!</v>
      </c>
      <c r="BB113" s="170" t="e">
        <f t="shared" si="961"/>
        <v>#DIV/0!</v>
      </c>
      <c r="BC113" s="170" t="e">
        <f t="shared" si="961"/>
        <v>#DIV/0!</v>
      </c>
      <c r="BD113" s="170" t="e">
        <f t="shared" si="961"/>
        <v>#DIV/0!</v>
      </c>
      <c r="BE113" s="170" t="e">
        <f t="shared" si="961"/>
        <v>#DIV/0!</v>
      </c>
      <c r="BF113" s="170" t="e">
        <f t="shared" si="961"/>
        <v>#DIV/0!</v>
      </c>
      <c r="BG113" s="170" t="e">
        <f t="shared" si="961"/>
        <v>#DIV/0!</v>
      </c>
      <c r="BH113" s="170" t="e">
        <f t="shared" si="961"/>
        <v>#DIV/0!</v>
      </c>
      <c r="BI113" s="170" t="e">
        <f t="shared" si="961"/>
        <v>#DIV/0!</v>
      </c>
      <c r="BJ113" s="170" t="e">
        <f t="shared" si="961"/>
        <v>#DIV/0!</v>
      </c>
      <c r="BK113" s="170" t="e">
        <f t="shared" si="961"/>
        <v>#DIV/0!</v>
      </c>
      <c r="BL113" s="170" t="e">
        <f t="shared" si="961"/>
        <v>#DIV/0!</v>
      </c>
      <c r="BM113" s="170" t="e">
        <f t="shared" si="961"/>
        <v>#DIV/0!</v>
      </c>
      <c r="BN113" s="170" t="e">
        <f t="shared" si="961"/>
        <v>#DIV/0!</v>
      </c>
      <c r="BO113" s="170" t="e">
        <f t="shared" si="961"/>
        <v>#DIV/0!</v>
      </c>
      <c r="BP113" s="170" t="e">
        <f t="shared" si="961"/>
        <v>#DIV/0!</v>
      </c>
      <c r="BQ113" s="170" t="e">
        <f t="shared" si="961"/>
        <v>#DIV/0!</v>
      </c>
      <c r="BR113" s="170" t="e">
        <f t="shared" si="961"/>
        <v>#DIV/0!</v>
      </c>
      <c r="BS113" s="170" t="e">
        <f t="shared" si="961"/>
        <v>#DIV/0!</v>
      </c>
      <c r="BT113" s="170" t="e">
        <f t="shared" si="961"/>
        <v>#DIV/0!</v>
      </c>
      <c r="BU113" s="170" t="e">
        <f t="shared" si="961"/>
        <v>#DIV/0!</v>
      </c>
      <c r="BV113" s="170">
        <f t="shared" si="961"/>
        <v>0.16016679830352065</v>
      </c>
      <c r="BW113" s="170">
        <f t="shared" si="961"/>
        <v>-0.35313150966488088</v>
      </c>
      <c r="BX113" s="170">
        <f t="shared" si="961"/>
        <v>-0.81662310002266358</v>
      </c>
      <c r="BY113" s="170">
        <f t="shared" si="961"/>
        <v>-0.62103471274386979</v>
      </c>
      <c r="BZ113" s="170">
        <f t="shared" si="961"/>
        <v>-0.11492954951191854</v>
      </c>
      <c r="CA113" s="170">
        <f t="shared" si="961"/>
        <v>-0.89176275317396647</v>
      </c>
      <c r="CB113" s="170">
        <f t="shared" si="961"/>
        <v>-0.94272204827519546</v>
      </c>
      <c r="CC113" s="170">
        <f t="shared" si="961"/>
        <v>-0.93233938824605622</v>
      </c>
      <c r="CD113" s="170">
        <f t="shared" si="961"/>
        <v>-0.9169606271220041</v>
      </c>
      <c r="CE113" s="170">
        <f t="shared" si="961"/>
        <v>-0.9588740241971847</v>
      </c>
      <c r="CF113" s="170">
        <f t="shared" si="961"/>
        <v>-0.91454405616447643</v>
      </c>
      <c r="CG113" s="170">
        <f t="shared" si="961"/>
        <v>-0.91225883965475529</v>
      </c>
      <c r="CH113" s="170">
        <f t="shared" si="961"/>
        <v>-0.99970569648581598</v>
      </c>
      <c r="CI113" s="170">
        <f t="shared" si="961"/>
        <v>-0.88889391398616324</v>
      </c>
      <c r="CJ113" s="170">
        <f>+CORREL(CG92:CJ92,CG109:CJ109)</f>
        <v>0.46675709412896882</v>
      </c>
      <c r="CK113" s="170">
        <f>+CORREL(CH92:CK92,CH109:CK109)</f>
        <v>-0.65017133416290041</v>
      </c>
      <c r="CL113" s="170">
        <f>+CORREL(CI92:CL92,CI109:CL109)</f>
        <v>-0.61907163739188009</v>
      </c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E113" s="137"/>
      <c r="DF113" s="98">
        <v>-0.75913686655998125</v>
      </c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57" customFormat="1" x14ac:dyDescent="0.2">
      <c r="A115" s="49" t="s">
        <v>505</v>
      </c>
      <c r="E115" s="157" t="e">
        <f t="shared" ref="E115:AE115" ca="1" si="962">+E$143/E$88</f>
        <v>#DIV/0!</v>
      </c>
      <c r="F115" s="157" t="e">
        <f t="shared" ca="1" si="962"/>
        <v>#DIV/0!</v>
      </c>
      <c r="G115" s="157" t="e">
        <f t="shared" ca="1" si="962"/>
        <v>#DIV/0!</v>
      </c>
      <c r="H115" s="157" t="e">
        <f t="shared" ca="1" si="962"/>
        <v>#DIV/0!</v>
      </c>
      <c r="I115" s="157" t="e">
        <f t="shared" ca="1" si="962"/>
        <v>#DIV/0!</v>
      </c>
      <c r="J115" s="157" t="e">
        <f t="shared" ca="1" si="962"/>
        <v>#DIV/0!</v>
      </c>
      <c r="K115" s="157" t="e">
        <f t="shared" ca="1" si="962"/>
        <v>#DIV/0!</v>
      </c>
      <c r="L115" s="157" t="e">
        <f t="shared" ca="1" si="962"/>
        <v>#DIV/0!</v>
      </c>
      <c r="M115" s="157" t="e">
        <f t="shared" ca="1" si="962"/>
        <v>#DIV/0!</v>
      </c>
      <c r="N115" s="157" t="e">
        <f t="shared" ca="1" si="962"/>
        <v>#DIV/0!</v>
      </c>
      <c r="O115" s="157" t="e">
        <f t="shared" ca="1" si="962"/>
        <v>#DIV/0!</v>
      </c>
      <c r="P115" s="157" t="e">
        <f t="shared" ca="1" si="962"/>
        <v>#DIV/0!</v>
      </c>
      <c r="Q115" s="157" t="e">
        <f t="shared" ca="1" si="962"/>
        <v>#DIV/0!</v>
      </c>
      <c r="R115" s="157" t="e">
        <f t="shared" ca="1" si="962"/>
        <v>#DIV/0!</v>
      </c>
      <c r="S115" s="157" t="e">
        <f t="shared" ca="1" si="962"/>
        <v>#DIV/0!</v>
      </c>
      <c r="T115" s="157" t="e">
        <f t="shared" ca="1" si="962"/>
        <v>#DIV/0!</v>
      </c>
      <c r="U115" s="157" t="e">
        <f t="shared" ca="1" si="962"/>
        <v>#DIV/0!</v>
      </c>
      <c r="V115" s="157" t="e">
        <f t="shared" ca="1" si="962"/>
        <v>#DIV/0!</v>
      </c>
      <c r="W115" s="157" t="e">
        <f t="shared" ca="1" si="962"/>
        <v>#DIV/0!</v>
      </c>
      <c r="X115" s="157" t="e">
        <f t="shared" ca="1" si="962"/>
        <v>#DIV/0!</v>
      </c>
      <c r="Y115" s="157" t="e">
        <f t="shared" ca="1" si="962"/>
        <v>#DIV/0!</v>
      </c>
      <c r="Z115" s="157" t="e">
        <f t="shared" ca="1" si="962"/>
        <v>#DIV/0!</v>
      </c>
      <c r="AA115" s="157" t="e">
        <f t="shared" ca="1" si="962"/>
        <v>#DIV/0!</v>
      </c>
      <c r="AB115" s="21" t="e">
        <f t="shared" ca="1" si="962"/>
        <v>#DIV/0!</v>
      </c>
      <c r="AC115" s="21" t="e">
        <f t="shared" ca="1" si="962"/>
        <v>#DIV/0!</v>
      </c>
      <c r="AD115" s="21" t="e">
        <f t="shared" ca="1" si="962"/>
        <v>#DIV/0!</v>
      </c>
      <c r="AE115" s="21" t="e">
        <f t="shared" ca="1" si="962"/>
        <v>#DIV/0!</v>
      </c>
      <c r="AL115" s="157">
        <f t="shared" ref="AL115:BQ115" si="963">+AL$143/AL$88</f>
        <v>0</v>
      </c>
      <c r="AM115" s="157">
        <f t="shared" si="963"/>
        <v>0</v>
      </c>
      <c r="AN115" s="157">
        <f t="shared" si="963"/>
        <v>0</v>
      </c>
      <c r="AO115" s="157">
        <f t="shared" si="963"/>
        <v>0</v>
      </c>
      <c r="AP115" s="157">
        <f t="shared" si="963"/>
        <v>0</v>
      </c>
      <c r="AQ115" s="157">
        <f t="shared" si="963"/>
        <v>0</v>
      </c>
      <c r="AR115" s="157">
        <f t="shared" si="963"/>
        <v>0</v>
      </c>
      <c r="AS115" s="157">
        <f t="shared" si="963"/>
        <v>0</v>
      </c>
      <c r="AT115" s="157">
        <f t="shared" si="963"/>
        <v>0</v>
      </c>
      <c r="AU115" s="157">
        <f t="shared" si="963"/>
        <v>0</v>
      </c>
      <c r="AV115" s="157">
        <f t="shared" si="963"/>
        <v>0</v>
      </c>
      <c r="AW115" s="157">
        <f t="shared" si="963"/>
        <v>0</v>
      </c>
      <c r="AX115" s="157">
        <f t="shared" si="963"/>
        <v>0</v>
      </c>
      <c r="AY115" s="157">
        <f t="shared" si="963"/>
        <v>0</v>
      </c>
      <c r="AZ115" s="157">
        <f t="shared" si="963"/>
        <v>0</v>
      </c>
      <c r="BA115" s="157">
        <f t="shared" si="963"/>
        <v>0</v>
      </c>
      <c r="BB115" s="157">
        <f t="shared" si="963"/>
        <v>0</v>
      </c>
      <c r="BC115" s="157">
        <f t="shared" si="963"/>
        <v>0</v>
      </c>
      <c r="BD115" s="157">
        <f t="shared" si="963"/>
        <v>0</v>
      </c>
      <c r="BE115" s="157">
        <f t="shared" si="963"/>
        <v>0</v>
      </c>
      <c r="BF115" s="157">
        <f t="shared" si="963"/>
        <v>0</v>
      </c>
      <c r="BG115" s="157">
        <f t="shared" si="963"/>
        <v>0</v>
      </c>
      <c r="BH115" s="157">
        <f t="shared" si="963"/>
        <v>0</v>
      </c>
      <c r="BI115" s="157">
        <f t="shared" si="963"/>
        <v>0</v>
      </c>
      <c r="BJ115" s="157">
        <f t="shared" si="963"/>
        <v>0</v>
      </c>
      <c r="BK115" s="157">
        <f t="shared" si="963"/>
        <v>0</v>
      </c>
      <c r="BL115" s="157">
        <f t="shared" si="963"/>
        <v>0</v>
      </c>
      <c r="BM115" s="157">
        <f t="shared" si="963"/>
        <v>0</v>
      </c>
      <c r="BN115" s="157">
        <f t="shared" si="963"/>
        <v>0</v>
      </c>
      <c r="BO115" s="157">
        <f t="shared" si="963"/>
        <v>0</v>
      </c>
      <c r="BP115" s="157">
        <f t="shared" si="963"/>
        <v>0</v>
      </c>
      <c r="BQ115" s="157">
        <f t="shared" si="963"/>
        <v>0.9834787307959606</v>
      </c>
      <c r="BR115" s="157">
        <f t="shared" ref="BR115:DB115" si="964">+BR$143/BR$88</f>
        <v>25.468848915309195</v>
      </c>
      <c r="BS115" s="157">
        <f t="shared" si="964"/>
        <v>26.825291438276846</v>
      </c>
      <c r="BT115" s="157">
        <f t="shared" si="964"/>
        <v>0</v>
      </c>
      <c r="BU115" s="157">
        <f t="shared" si="964"/>
        <v>1.6321315525360998</v>
      </c>
      <c r="BV115" s="157">
        <f t="shared" si="964"/>
        <v>58.722844128773254</v>
      </c>
      <c r="BW115" s="157">
        <f t="shared" si="964"/>
        <v>60.217401374199028</v>
      </c>
      <c r="BX115" s="157">
        <f t="shared" si="964"/>
        <v>60.460279471937</v>
      </c>
      <c r="BY115" s="157">
        <f t="shared" si="964"/>
        <v>62.360688643557474</v>
      </c>
      <c r="BZ115" s="157">
        <f t="shared" si="964"/>
        <v>63.041380375202657</v>
      </c>
      <c r="CA115" s="157">
        <f t="shared" si="964"/>
        <v>62.432100671659065</v>
      </c>
      <c r="CB115" s="157">
        <f t="shared" si="964"/>
        <v>61.467382073650889</v>
      </c>
      <c r="CC115" s="157">
        <f t="shared" si="964"/>
        <v>63.018296919632526</v>
      </c>
      <c r="CD115" s="157">
        <f t="shared" si="964"/>
        <v>64.201266115957694</v>
      </c>
      <c r="CE115" s="157">
        <f t="shared" si="964"/>
        <v>66.61923878638153</v>
      </c>
      <c r="CF115" s="157">
        <f t="shared" si="964"/>
        <v>69.042152397128064</v>
      </c>
      <c r="CG115" s="157">
        <f t="shared" si="964"/>
        <v>72.211842816335974</v>
      </c>
      <c r="CH115" s="157">
        <f t="shared" si="964"/>
        <v>72.753802207982702</v>
      </c>
      <c r="CI115" s="157">
        <f t="shared" si="964"/>
        <v>74.579093646259565</v>
      </c>
      <c r="CJ115" s="157">
        <f t="shared" si="964"/>
        <v>76.470624565737666</v>
      </c>
      <c r="CK115" s="157">
        <f t="shared" si="964"/>
        <v>78.545973905658897</v>
      </c>
      <c r="CL115" s="157">
        <f t="shared" si="964"/>
        <v>80.729297146833673</v>
      </c>
      <c r="CM115" s="21">
        <f t="shared" si="964"/>
        <v>83.024207481781531</v>
      </c>
      <c r="CN115" s="21">
        <f t="shared" si="964"/>
        <v>85.637181702646501</v>
      </c>
      <c r="CO115" s="21">
        <f t="shared" si="964"/>
        <v>88.25834768196826</v>
      </c>
      <c r="CP115" s="21">
        <f t="shared" si="964"/>
        <v>91.281867194550159</v>
      </c>
      <c r="CQ115" s="21">
        <f t="shared" si="964"/>
        <v>93.580113020107405</v>
      </c>
      <c r="CR115" s="21">
        <f t="shared" si="964"/>
        <v>95.957789804382941</v>
      </c>
      <c r="CS115" s="21">
        <f t="shared" si="964"/>
        <v>98.570315382979956</v>
      </c>
      <c r="CT115" s="21">
        <f t="shared" si="964"/>
        <v>101.89260707535497</v>
      </c>
      <c r="CU115" s="21">
        <f t="shared" si="964"/>
        <v>104.22981554584548</v>
      </c>
      <c r="CV115" s="21">
        <f t="shared" si="964"/>
        <v>106.62689919838253</v>
      </c>
      <c r="CW115" s="21">
        <f t="shared" si="964"/>
        <v>109.26026711296142</v>
      </c>
      <c r="CX115" s="21">
        <f t="shared" si="964"/>
        <v>112.5476611377695</v>
      </c>
      <c r="CY115" s="21">
        <f t="shared" si="964"/>
        <v>114.90804187308396</v>
      </c>
      <c r="CZ115" s="21">
        <f t="shared" si="964"/>
        <v>117.3155904217424</v>
      </c>
      <c r="DA115" s="21">
        <f t="shared" si="964"/>
        <v>119.97498788915512</v>
      </c>
      <c r="DB115" s="21">
        <f t="shared" si="964"/>
        <v>123.34254213002089</v>
      </c>
      <c r="DE115" s="22"/>
      <c r="DF115" s="157">
        <v>81.144004484007738</v>
      </c>
    </row>
    <row r="116" spans="1:110" s="157" customFormat="1" x14ac:dyDescent="0.2">
      <c r="A116" s="49" t="s">
        <v>501</v>
      </c>
      <c r="AB116" s="21"/>
      <c r="AC116" s="21"/>
      <c r="AD116" s="21"/>
      <c r="AE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E116" s="22"/>
    </row>
    <row r="117" spans="1:110" s="157" customFormat="1" x14ac:dyDescent="0.2">
      <c r="A117" s="49" t="s">
        <v>502</v>
      </c>
      <c r="E117" s="157" t="e">
        <f t="shared" ref="E117:AE119" ca="1" si="965">+E100/E$115</f>
        <v>#DIV/0!</v>
      </c>
      <c r="F117" s="157" t="e">
        <f t="shared" ca="1" si="965"/>
        <v>#DIV/0!</v>
      </c>
      <c r="G117" s="157" t="e">
        <f t="shared" ca="1" si="965"/>
        <v>#DIV/0!</v>
      </c>
      <c r="H117" s="157" t="e">
        <f t="shared" ca="1" si="965"/>
        <v>#DIV/0!</v>
      </c>
      <c r="I117" s="157" t="e">
        <f t="shared" ca="1" si="965"/>
        <v>#DIV/0!</v>
      </c>
      <c r="J117" s="157" t="e">
        <f t="shared" ca="1" si="965"/>
        <v>#DIV/0!</v>
      </c>
      <c r="K117" s="157" t="e">
        <f t="shared" ca="1" si="965"/>
        <v>#DIV/0!</v>
      </c>
      <c r="L117" s="157" t="e">
        <f t="shared" ca="1" si="965"/>
        <v>#DIV/0!</v>
      </c>
      <c r="M117" s="157" t="e">
        <f t="shared" ca="1" si="965"/>
        <v>#DIV/0!</v>
      </c>
      <c r="N117" s="157" t="e">
        <f t="shared" ca="1" si="965"/>
        <v>#DIV/0!</v>
      </c>
      <c r="O117" s="157" t="e">
        <f t="shared" ca="1" si="965"/>
        <v>#DIV/0!</v>
      </c>
      <c r="P117" s="157" t="e">
        <f t="shared" ca="1" si="965"/>
        <v>#DIV/0!</v>
      </c>
      <c r="Q117" s="157" t="e">
        <f t="shared" ca="1" si="965"/>
        <v>#DIV/0!</v>
      </c>
      <c r="R117" s="157" t="e">
        <f t="shared" ca="1" si="965"/>
        <v>#DIV/0!</v>
      </c>
      <c r="S117" s="157" t="e">
        <f t="shared" ca="1" si="965"/>
        <v>#DIV/0!</v>
      </c>
      <c r="T117" s="157" t="e">
        <f t="shared" ca="1" si="965"/>
        <v>#DIV/0!</v>
      </c>
      <c r="U117" s="157" t="e">
        <f t="shared" ca="1" si="965"/>
        <v>#DIV/0!</v>
      </c>
      <c r="V117" s="157" t="e">
        <f t="shared" ca="1" si="965"/>
        <v>#DIV/0!</v>
      </c>
      <c r="W117" s="157" t="e">
        <f t="shared" ca="1" si="965"/>
        <v>#DIV/0!</v>
      </c>
      <c r="X117" s="157" t="e">
        <f t="shared" ca="1" si="965"/>
        <v>#DIV/0!</v>
      </c>
      <c r="Y117" s="157" t="e">
        <f t="shared" ca="1" si="965"/>
        <v>#DIV/0!</v>
      </c>
      <c r="Z117" s="157" t="e">
        <f t="shared" ca="1" si="965"/>
        <v>#DIV/0!</v>
      </c>
      <c r="AA117" s="157" t="e">
        <f t="shared" ref="AA117" ca="1" si="966">+AA100/AA$115</f>
        <v>#DIV/0!</v>
      </c>
      <c r="AB117" s="21" t="e">
        <f t="shared" ca="1" si="965"/>
        <v>#DIV/0!</v>
      </c>
      <c r="AC117" s="21" t="e">
        <f t="shared" ca="1" si="965"/>
        <v>#DIV/0!</v>
      </c>
      <c r="AD117" s="21" t="e">
        <f t="shared" ca="1" si="965"/>
        <v>#DIV/0!</v>
      </c>
      <c r="AE117" s="21" t="e">
        <f t="shared" ca="1" si="965"/>
        <v>#DIV/0!</v>
      </c>
      <c r="AL117" s="157" t="e">
        <f t="shared" ref="AL117:CI119" si="967">+AL100/AL$115</f>
        <v>#DIV/0!</v>
      </c>
      <c r="AM117" s="157" t="e">
        <f t="shared" si="967"/>
        <v>#DIV/0!</v>
      </c>
      <c r="AN117" s="157" t="e">
        <f t="shared" si="967"/>
        <v>#DIV/0!</v>
      </c>
      <c r="AO117" s="157" t="e">
        <f t="shared" si="967"/>
        <v>#DIV/0!</v>
      </c>
      <c r="AP117" s="157" t="e">
        <f t="shared" si="967"/>
        <v>#DIV/0!</v>
      </c>
      <c r="AQ117" s="157" t="e">
        <f t="shared" si="967"/>
        <v>#DIV/0!</v>
      </c>
      <c r="AR117" s="157" t="e">
        <f t="shared" si="967"/>
        <v>#DIV/0!</v>
      </c>
      <c r="AS117" s="157" t="e">
        <f t="shared" si="967"/>
        <v>#DIV/0!</v>
      </c>
      <c r="AT117" s="157" t="e">
        <f t="shared" si="967"/>
        <v>#DIV/0!</v>
      </c>
      <c r="AU117" s="157" t="e">
        <f t="shared" si="967"/>
        <v>#DIV/0!</v>
      </c>
      <c r="AV117" s="157" t="e">
        <f t="shared" si="967"/>
        <v>#DIV/0!</v>
      </c>
      <c r="AW117" s="157" t="e">
        <f t="shared" si="967"/>
        <v>#DIV/0!</v>
      </c>
      <c r="AX117" s="157" t="e">
        <f t="shared" si="967"/>
        <v>#DIV/0!</v>
      </c>
      <c r="AY117" s="157" t="e">
        <f t="shared" si="967"/>
        <v>#DIV/0!</v>
      </c>
      <c r="AZ117" s="157" t="e">
        <f t="shared" si="967"/>
        <v>#DIV/0!</v>
      </c>
      <c r="BA117" s="157" t="e">
        <f t="shared" si="967"/>
        <v>#DIV/0!</v>
      </c>
      <c r="BB117" s="157" t="e">
        <f t="shared" si="967"/>
        <v>#DIV/0!</v>
      </c>
      <c r="BC117" s="157" t="e">
        <f t="shared" si="967"/>
        <v>#DIV/0!</v>
      </c>
      <c r="BD117" s="157" t="e">
        <f t="shared" si="967"/>
        <v>#DIV/0!</v>
      </c>
      <c r="BE117" s="157" t="e">
        <f t="shared" si="967"/>
        <v>#DIV/0!</v>
      </c>
      <c r="BF117" s="157" t="e">
        <f t="shared" si="967"/>
        <v>#DIV/0!</v>
      </c>
      <c r="BG117" s="157" t="e">
        <f t="shared" si="967"/>
        <v>#DIV/0!</v>
      </c>
      <c r="BH117" s="157" t="e">
        <f t="shared" si="967"/>
        <v>#DIV/0!</v>
      </c>
      <c r="BI117" s="157" t="e">
        <f t="shared" si="967"/>
        <v>#DIV/0!</v>
      </c>
      <c r="BJ117" s="157" t="e">
        <f t="shared" si="967"/>
        <v>#DIV/0!</v>
      </c>
      <c r="BK117" s="157" t="e">
        <f t="shared" si="967"/>
        <v>#DIV/0!</v>
      </c>
      <c r="BL117" s="157" t="e">
        <f t="shared" si="967"/>
        <v>#DIV/0!</v>
      </c>
      <c r="BM117" s="157" t="e">
        <f t="shared" si="967"/>
        <v>#DIV/0!</v>
      </c>
      <c r="BN117" s="157" t="e">
        <f t="shared" si="967"/>
        <v>#DIV/0!</v>
      </c>
      <c r="BO117" s="157" t="e">
        <f t="shared" si="967"/>
        <v>#DIV/0!</v>
      </c>
      <c r="BP117" s="157" t="e">
        <f t="shared" si="967"/>
        <v>#DIV/0!</v>
      </c>
      <c r="BQ117" s="157">
        <f t="shared" si="967"/>
        <v>0</v>
      </c>
      <c r="BR117" s="157">
        <f t="shared" si="967"/>
        <v>0</v>
      </c>
      <c r="BS117" s="157">
        <f t="shared" si="967"/>
        <v>0</v>
      </c>
      <c r="BT117" s="157" t="e">
        <f t="shared" si="967"/>
        <v>#DIV/0!</v>
      </c>
      <c r="BU117" s="157">
        <f t="shared" si="967"/>
        <v>0</v>
      </c>
      <c r="BV117" s="157">
        <f t="shared" si="967"/>
        <v>8.8125840578357355</v>
      </c>
      <c r="BW117" s="157">
        <f t="shared" si="967"/>
        <v>9.5479045405361056</v>
      </c>
      <c r="BX117" s="157">
        <f t="shared" si="967"/>
        <v>12.492499316854415</v>
      </c>
      <c r="BY117" s="157">
        <f t="shared" si="967"/>
        <v>9.9036751106148131</v>
      </c>
      <c r="BZ117" s="157">
        <f t="shared" si="967"/>
        <v>6.4402143097694635</v>
      </c>
      <c r="CA117" s="157">
        <f t="shared" si="967"/>
        <v>6.5703379445345096</v>
      </c>
      <c r="CB117" s="157">
        <f t="shared" si="967"/>
        <v>5.4915304444810085</v>
      </c>
      <c r="CC117" s="157">
        <f t="shared" si="967"/>
        <v>5.6316977345897703</v>
      </c>
      <c r="CD117" s="157">
        <f t="shared" si="967"/>
        <v>5.0014589964634402</v>
      </c>
      <c r="CE117" s="157">
        <f t="shared" si="967"/>
        <v>4.9767905794170719</v>
      </c>
      <c r="CF117" s="157">
        <f t="shared" si="967"/>
        <v>5.0461926215164219</v>
      </c>
      <c r="CG117" s="157">
        <f t="shared" si="967"/>
        <v>4.2686903972801922</v>
      </c>
      <c r="CH117" s="157">
        <f t="shared" si="967"/>
        <v>3.5496426600734314</v>
      </c>
      <c r="CI117" s="157">
        <f t="shared" si="967"/>
        <v>3.4808682609006203</v>
      </c>
      <c r="CJ117" s="157">
        <f>+CJ100/CJ$115</f>
        <v>3.4202676058328727</v>
      </c>
      <c r="CK117" s="157">
        <f>+CK100/CK$115</f>
        <v>3.0237068584223024</v>
      </c>
      <c r="CL117" s="157">
        <f>+CL100/CL$115</f>
        <v>2.2036609544169372</v>
      </c>
      <c r="CM117" s="21">
        <f t="shared" ref="CM117:DB117" si="968">+CM100/CM$115</f>
        <v>2.4691593719215486</v>
      </c>
      <c r="CN117" s="21">
        <f t="shared" si="968"/>
        <v>2.3938200198111463</v>
      </c>
      <c r="CO117" s="21">
        <f t="shared" si="968"/>
        <v>2.3227264659281945</v>
      </c>
      <c r="CP117" s="21">
        <f t="shared" si="968"/>
        <v>2.2457910459158441</v>
      </c>
      <c r="CQ117" s="21">
        <f t="shared" si="968"/>
        <v>2.1906363797183275</v>
      </c>
      <c r="CR117" s="21">
        <f t="shared" si="968"/>
        <v>2.136356000048643</v>
      </c>
      <c r="CS117" s="21">
        <f t="shared" si="968"/>
        <v>2.0797336318089652</v>
      </c>
      <c r="CT117" s="21">
        <f t="shared" si="968"/>
        <v>2.0119222177561094</v>
      </c>
      <c r="CU117" s="21">
        <f t="shared" si="968"/>
        <v>1.9668076636845888</v>
      </c>
      <c r="CV117" s="21">
        <f t="shared" si="968"/>
        <v>1.9225917806968331</v>
      </c>
      <c r="CW117" s="21">
        <f t="shared" si="968"/>
        <v>1.876253879079901</v>
      </c>
      <c r="CX117" s="21">
        <f t="shared" si="968"/>
        <v>1.8214505563919243</v>
      </c>
      <c r="CY117" s="21">
        <f t="shared" si="968"/>
        <v>1.7840352742797818</v>
      </c>
      <c r="CZ117" s="21">
        <f t="shared" si="968"/>
        <v>1.7474233327645328</v>
      </c>
      <c r="DA117" s="21">
        <f t="shared" si="968"/>
        <v>1.7086894827561849</v>
      </c>
      <c r="DB117" s="21">
        <f t="shared" si="968"/>
        <v>1.6620380645625119</v>
      </c>
      <c r="DE117" s="22"/>
      <c r="DF117" s="157">
        <v>2.1923985774581958</v>
      </c>
    </row>
    <row r="118" spans="1:110" s="157" customFormat="1" x14ac:dyDescent="0.2">
      <c r="A118" s="49" t="s">
        <v>503</v>
      </c>
      <c r="E118" s="157" t="e">
        <f t="shared" ca="1" si="965"/>
        <v>#DIV/0!</v>
      </c>
      <c r="F118" s="157" t="e">
        <f t="shared" ca="1" si="965"/>
        <v>#DIV/0!</v>
      </c>
      <c r="G118" s="157" t="e">
        <f t="shared" ca="1" si="965"/>
        <v>#DIV/0!</v>
      </c>
      <c r="H118" s="157" t="e">
        <f t="shared" ca="1" si="965"/>
        <v>#DIV/0!</v>
      </c>
      <c r="I118" s="157" t="e">
        <f t="shared" ca="1" si="965"/>
        <v>#DIV/0!</v>
      </c>
      <c r="J118" s="157" t="e">
        <f t="shared" ca="1" si="965"/>
        <v>#DIV/0!</v>
      </c>
      <c r="K118" s="157" t="e">
        <f t="shared" ca="1" si="965"/>
        <v>#DIV/0!</v>
      </c>
      <c r="L118" s="157" t="e">
        <f t="shared" ca="1" si="965"/>
        <v>#DIV/0!</v>
      </c>
      <c r="M118" s="157" t="e">
        <f t="shared" ca="1" si="965"/>
        <v>#DIV/0!</v>
      </c>
      <c r="N118" s="157" t="e">
        <f t="shared" ca="1" si="965"/>
        <v>#DIV/0!</v>
      </c>
      <c r="O118" s="157" t="e">
        <f t="shared" ca="1" si="965"/>
        <v>#DIV/0!</v>
      </c>
      <c r="P118" s="157" t="e">
        <f t="shared" ca="1" si="965"/>
        <v>#DIV/0!</v>
      </c>
      <c r="Q118" s="157" t="e">
        <f t="shared" ca="1" si="965"/>
        <v>#DIV/0!</v>
      </c>
      <c r="R118" s="157" t="e">
        <f t="shared" ca="1" si="965"/>
        <v>#DIV/0!</v>
      </c>
      <c r="S118" s="157" t="e">
        <f t="shared" ca="1" si="965"/>
        <v>#DIV/0!</v>
      </c>
      <c r="T118" s="157" t="e">
        <f t="shared" ca="1" si="965"/>
        <v>#DIV/0!</v>
      </c>
      <c r="U118" s="157" t="e">
        <f t="shared" ca="1" si="965"/>
        <v>#DIV/0!</v>
      </c>
      <c r="V118" s="157" t="e">
        <f t="shared" ca="1" si="965"/>
        <v>#DIV/0!</v>
      </c>
      <c r="W118" s="157" t="e">
        <f t="shared" ca="1" si="965"/>
        <v>#DIV/0!</v>
      </c>
      <c r="X118" s="157" t="e">
        <f t="shared" ca="1" si="965"/>
        <v>#DIV/0!</v>
      </c>
      <c r="Y118" s="157" t="e">
        <f t="shared" ca="1" si="965"/>
        <v>#DIV/0!</v>
      </c>
      <c r="Z118" s="157" t="e">
        <f t="shared" ca="1" si="965"/>
        <v>#DIV/0!</v>
      </c>
      <c r="AA118" s="157" t="e">
        <f t="shared" ref="AA118" ca="1" si="969">+AA101/AA$115</f>
        <v>#DIV/0!</v>
      </c>
      <c r="AB118" s="21" t="e">
        <f t="shared" ca="1" si="965"/>
        <v>#DIV/0!</v>
      </c>
      <c r="AC118" s="21" t="e">
        <f t="shared" ca="1" si="965"/>
        <v>#DIV/0!</v>
      </c>
      <c r="AD118" s="21" t="e">
        <f t="shared" ca="1" si="965"/>
        <v>#DIV/0!</v>
      </c>
      <c r="AE118" s="21" t="e">
        <f t="shared" ca="1" si="965"/>
        <v>#DIV/0!</v>
      </c>
      <c r="AL118" s="157" t="e">
        <f t="shared" si="967"/>
        <v>#DIV/0!</v>
      </c>
      <c r="AM118" s="157" t="e">
        <f t="shared" si="967"/>
        <v>#DIV/0!</v>
      </c>
      <c r="AN118" s="157" t="e">
        <f t="shared" si="967"/>
        <v>#DIV/0!</v>
      </c>
      <c r="AO118" s="157" t="e">
        <f t="shared" si="967"/>
        <v>#DIV/0!</v>
      </c>
      <c r="AP118" s="157" t="e">
        <f t="shared" si="967"/>
        <v>#DIV/0!</v>
      </c>
      <c r="AQ118" s="157" t="e">
        <f t="shared" si="967"/>
        <v>#DIV/0!</v>
      </c>
      <c r="AR118" s="157" t="e">
        <f t="shared" si="967"/>
        <v>#DIV/0!</v>
      </c>
      <c r="AS118" s="157" t="e">
        <f t="shared" si="967"/>
        <v>#DIV/0!</v>
      </c>
      <c r="AT118" s="157" t="e">
        <f t="shared" si="967"/>
        <v>#DIV/0!</v>
      </c>
      <c r="AU118" s="157" t="e">
        <f t="shared" si="967"/>
        <v>#DIV/0!</v>
      </c>
      <c r="AV118" s="157" t="e">
        <f t="shared" si="967"/>
        <v>#DIV/0!</v>
      </c>
      <c r="AW118" s="157" t="e">
        <f t="shared" si="967"/>
        <v>#DIV/0!</v>
      </c>
      <c r="AX118" s="157" t="e">
        <f t="shared" si="967"/>
        <v>#DIV/0!</v>
      </c>
      <c r="AY118" s="157" t="e">
        <f t="shared" si="967"/>
        <v>#DIV/0!</v>
      </c>
      <c r="AZ118" s="157" t="e">
        <f t="shared" si="967"/>
        <v>#DIV/0!</v>
      </c>
      <c r="BA118" s="157" t="e">
        <f t="shared" si="967"/>
        <v>#DIV/0!</v>
      </c>
      <c r="BB118" s="157" t="e">
        <f t="shared" si="967"/>
        <v>#DIV/0!</v>
      </c>
      <c r="BC118" s="157" t="e">
        <f t="shared" si="967"/>
        <v>#DIV/0!</v>
      </c>
      <c r="BD118" s="157" t="e">
        <f t="shared" si="967"/>
        <v>#DIV/0!</v>
      </c>
      <c r="BE118" s="157" t="e">
        <f t="shared" si="967"/>
        <v>#DIV/0!</v>
      </c>
      <c r="BF118" s="157" t="e">
        <f t="shared" si="967"/>
        <v>#DIV/0!</v>
      </c>
      <c r="BG118" s="157" t="e">
        <f t="shared" si="967"/>
        <v>#DIV/0!</v>
      </c>
      <c r="BH118" s="157" t="e">
        <f t="shared" si="967"/>
        <v>#DIV/0!</v>
      </c>
      <c r="BI118" s="157" t="e">
        <f t="shared" si="967"/>
        <v>#DIV/0!</v>
      </c>
      <c r="BJ118" s="157" t="e">
        <f t="shared" si="967"/>
        <v>#DIV/0!</v>
      </c>
      <c r="BK118" s="157" t="e">
        <f t="shared" si="967"/>
        <v>#DIV/0!</v>
      </c>
      <c r="BL118" s="157" t="e">
        <f t="shared" si="967"/>
        <v>#DIV/0!</v>
      </c>
      <c r="BM118" s="157" t="e">
        <f t="shared" si="967"/>
        <v>#DIV/0!</v>
      </c>
      <c r="BN118" s="157" t="e">
        <f t="shared" si="967"/>
        <v>#DIV/0!</v>
      </c>
      <c r="BO118" s="157" t="e">
        <f t="shared" si="967"/>
        <v>#DIV/0!</v>
      </c>
      <c r="BP118" s="157" t="e">
        <f t="shared" si="967"/>
        <v>#DIV/0!</v>
      </c>
      <c r="BQ118" s="157">
        <f t="shared" si="967"/>
        <v>0</v>
      </c>
      <c r="BR118" s="157">
        <f t="shared" si="967"/>
        <v>0</v>
      </c>
      <c r="BS118" s="157">
        <f t="shared" si="967"/>
        <v>0</v>
      </c>
      <c r="BT118" s="157" t="e">
        <f t="shared" si="967"/>
        <v>#DIV/0!</v>
      </c>
      <c r="BU118" s="157">
        <f t="shared" si="967"/>
        <v>0</v>
      </c>
      <c r="BV118" s="157">
        <f t="shared" si="967"/>
        <v>8.8125840578357355</v>
      </c>
      <c r="BW118" s="157">
        <f t="shared" si="967"/>
        <v>14.586315250334618</v>
      </c>
      <c r="BX118" s="157">
        <f t="shared" si="967"/>
        <v>13.924844664186061</v>
      </c>
      <c r="BY118" s="157">
        <f t="shared" si="967"/>
        <v>12.267343684618414</v>
      </c>
      <c r="BZ118" s="157">
        <f t="shared" si="967"/>
        <v>9.8776390411168613</v>
      </c>
      <c r="CA118" s="157">
        <f t="shared" si="967"/>
        <v>8.1592641368744001</v>
      </c>
      <c r="CB118" s="157">
        <f t="shared" si="967"/>
        <v>6.874377690165753</v>
      </c>
      <c r="CC118" s="157">
        <f t="shared" si="967"/>
        <v>6.5060469743077087</v>
      </c>
      <c r="CD118" s="157">
        <f t="shared" si="967"/>
        <v>6.3659180686845458</v>
      </c>
      <c r="CE118" s="157">
        <f t="shared" si="967"/>
        <v>5.7340793284190061</v>
      </c>
      <c r="CF118" s="157">
        <f t="shared" si="967"/>
        <v>5.8514977585896517</v>
      </c>
      <c r="CG118" s="157">
        <f t="shared" si="967"/>
        <v>4.9244000171057145</v>
      </c>
      <c r="CH118" s="157">
        <f t="shared" si="967"/>
        <v>4.5715823765360053</v>
      </c>
      <c r="CI118" s="157">
        <f t="shared" si="967"/>
        <v>3.9052499267615777</v>
      </c>
      <c r="CJ118" s="157">
        <f t="shared" ref="CJ118:CL119" si="970">+CJ101/CJ$115</f>
        <v>3.7321520730441664</v>
      </c>
      <c r="CK118" s="157">
        <f t="shared" ref="CK118" si="971">+CK101/CK$115</f>
        <v>3.6017122957796599</v>
      </c>
      <c r="CL118" s="157">
        <f t="shared" si="970"/>
        <v>3.0001499896558861</v>
      </c>
      <c r="CM118" s="94">
        <f t="shared" ref="CM118:DB118" si="972">+CL118</f>
        <v>3.0001499896558861</v>
      </c>
      <c r="CN118" s="94">
        <f t="shared" si="972"/>
        <v>3.0001499896558861</v>
      </c>
      <c r="CO118" s="94">
        <f t="shared" si="972"/>
        <v>3.0001499896558861</v>
      </c>
      <c r="CP118" s="94">
        <f t="shared" si="972"/>
        <v>3.0001499896558861</v>
      </c>
      <c r="CQ118" s="94">
        <f t="shared" si="972"/>
        <v>3.0001499896558861</v>
      </c>
      <c r="CR118" s="94">
        <f t="shared" si="972"/>
        <v>3.0001499896558861</v>
      </c>
      <c r="CS118" s="94">
        <f t="shared" si="972"/>
        <v>3.0001499896558861</v>
      </c>
      <c r="CT118" s="94">
        <f t="shared" si="972"/>
        <v>3.0001499896558861</v>
      </c>
      <c r="CU118" s="94">
        <f t="shared" si="972"/>
        <v>3.0001499896558861</v>
      </c>
      <c r="CV118" s="94">
        <f t="shared" si="972"/>
        <v>3.0001499896558861</v>
      </c>
      <c r="CW118" s="94">
        <f t="shared" si="972"/>
        <v>3.0001499896558861</v>
      </c>
      <c r="CX118" s="94">
        <f t="shared" si="972"/>
        <v>3.0001499896558861</v>
      </c>
      <c r="CY118" s="94">
        <f t="shared" si="972"/>
        <v>3.0001499896558861</v>
      </c>
      <c r="CZ118" s="94">
        <f t="shared" si="972"/>
        <v>3.0001499896558861</v>
      </c>
      <c r="DA118" s="94">
        <f t="shared" si="972"/>
        <v>3.0001499896558861</v>
      </c>
      <c r="DB118" s="94">
        <f t="shared" si="972"/>
        <v>3.0001499896558861</v>
      </c>
      <c r="DC118" s="94"/>
      <c r="DE118" s="22"/>
      <c r="DF118" s="157">
        <v>2.98481695031127</v>
      </c>
    </row>
    <row r="119" spans="1:110" s="157" customFormat="1" x14ac:dyDescent="0.2">
      <c r="A119" s="49" t="s">
        <v>504</v>
      </c>
      <c r="E119" s="157" t="e">
        <f t="shared" ca="1" si="965"/>
        <v>#DIV/0!</v>
      </c>
      <c r="F119" s="157" t="e">
        <f t="shared" ca="1" si="965"/>
        <v>#DIV/0!</v>
      </c>
      <c r="G119" s="157" t="e">
        <f t="shared" ca="1" si="965"/>
        <v>#DIV/0!</v>
      </c>
      <c r="H119" s="157" t="e">
        <f t="shared" ca="1" si="965"/>
        <v>#DIV/0!</v>
      </c>
      <c r="I119" s="157" t="e">
        <f t="shared" ca="1" si="965"/>
        <v>#DIV/0!</v>
      </c>
      <c r="J119" s="157" t="e">
        <f t="shared" ca="1" si="965"/>
        <v>#DIV/0!</v>
      </c>
      <c r="K119" s="157" t="e">
        <f t="shared" ca="1" si="965"/>
        <v>#DIV/0!</v>
      </c>
      <c r="L119" s="157" t="e">
        <f t="shared" ca="1" si="965"/>
        <v>#DIV/0!</v>
      </c>
      <c r="M119" s="157" t="e">
        <f t="shared" ca="1" si="965"/>
        <v>#DIV/0!</v>
      </c>
      <c r="N119" s="157" t="e">
        <f t="shared" ca="1" si="965"/>
        <v>#DIV/0!</v>
      </c>
      <c r="O119" s="157" t="e">
        <f t="shared" ca="1" si="965"/>
        <v>#DIV/0!</v>
      </c>
      <c r="P119" s="157" t="e">
        <f t="shared" ca="1" si="965"/>
        <v>#DIV/0!</v>
      </c>
      <c r="Q119" s="157" t="e">
        <f t="shared" ca="1" si="965"/>
        <v>#DIV/0!</v>
      </c>
      <c r="R119" s="157" t="e">
        <f t="shared" ca="1" si="965"/>
        <v>#DIV/0!</v>
      </c>
      <c r="S119" s="157" t="e">
        <f t="shared" ca="1" si="965"/>
        <v>#DIV/0!</v>
      </c>
      <c r="T119" s="157" t="e">
        <f t="shared" ca="1" si="965"/>
        <v>#DIV/0!</v>
      </c>
      <c r="U119" s="157" t="e">
        <f t="shared" ca="1" si="965"/>
        <v>#DIV/0!</v>
      </c>
      <c r="V119" s="157" t="e">
        <f t="shared" ca="1" si="965"/>
        <v>#DIV/0!</v>
      </c>
      <c r="W119" s="157" t="e">
        <f t="shared" ca="1" si="965"/>
        <v>#DIV/0!</v>
      </c>
      <c r="X119" s="157" t="e">
        <f t="shared" ca="1" si="965"/>
        <v>#DIV/0!</v>
      </c>
      <c r="Y119" s="157" t="e">
        <f t="shared" ca="1" si="965"/>
        <v>#DIV/0!</v>
      </c>
      <c r="Z119" s="157" t="e">
        <f t="shared" ca="1" si="965"/>
        <v>#DIV/0!</v>
      </c>
      <c r="AA119" s="157" t="e">
        <f t="shared" ref="AA119" ca="1" si="973">+AA102/AA$115</f>
        <v>#DIV/0!</v>
      </c>
      <c r="AB119" s="21" t="e">
        <f t="shared" ca="1" si="965"/>
        <v>#DIV/0!</v>
      </c>
      <c r="AC119" s="21" t="e">
        <f t="shared" ca="1" si="965"/>
        <v>#DIV/0!</v>
      </c>
      <c r="AD119" s="21" t="e">
        <f t="shared" ca="1" si="965"/>
        <v>#DIV/0!</v>
      </c>
      <c r="AE119" s="21" t="e">
        <f t="shared" ca="1" si="965"/>
        <v>#DIV/0!</v>
      </c>
      <c r="AL119" s="157" t="e">
        <f t="shared" si="967"/>
        <v>#DIV/0!</v>
      </c>
      <c r="AM119" s="157" t="e">
        <f t="shared" si="967"/>
        <v>#DIV/0!</v>
      </c>
      <c r="AN119" s="157" t="e">
        <f t="shared" si="967"/>
        <v>#DIV/0!</v>
      </c>
      <c r="AO119" s="157" t="e">
        <f t="shared" si="967"/>
        <v>#DIV/0!</v>
      </c>
      <c r="AP119" s="157" t="e">
        <f t="shared" si="967"/>
        <v>#DIV/0!</v>
      </c>
      <c r="AQ119" s="157" t="e">
        <f t="shared" si="967"/>
        <v>#DIV/0!</v>
      </c>
      <c r="AR119" s="157" t="e">
        <f t="shared" si="967"/>
        <v>#DIV/0!</v>
      </c>
      <c r="AS119" s="157" t="e">
        <f t="shared" si="967"/>
        <v>#DIV/0!</v>
      </c>
      <c r="AT119" s="157" t="e">
        <f t="shared" si="967"/>
        <v>#DIV/0!</v>
      </c>
      <c r="AU119" s="157" t="e">
        <f t="shared" si="967"/>
        <v>#DIV/0!</v>
      </c>
      <c r="AV119" s="157" t="e">
        <f t="shared" si="967"/>
        <v>#DIV/0!</v>
      </c>
      <c r="AW119" s="157" t="e">
        <f t="shared" si="967"/>
        <v>#DIV/0!</v>
      </c>
      <c r="AX119" s="157" t="e">
        <f t="shared" si="967"/>
        <v>#DIV/0!</v>
      </c>
      <c r="AY119" s="157" t="e">
        <f t="shared" si="967"/>
        <v>#DIV/0!</v>
      </c>
      <c r="AZ119" s="157" t="e">
        <f t="shared" si="967"/>
        <v>#DIV/0!</v>
      </c>
      <c r="BA119" s="157" t="e">
        <f t="shared" si="967"/>
        <v>#DIV/0!</v>
      </c>
      <c r="BB119" s="157" t="e">
        <f t="shared" si="967"/>
        <v>#DIV/0!</v>
      </c>
      <c r="BC119" s="157" t="e">
        <f t="shared" si="967"/>
        <v>#DIV/0!</v>
      </c>
      <c r="BD119" s="157" t="e">
        <f t="shared" si="967"/>
        <v>#DIV/0!</v>
      </c>
      <c r="BE119" s="157" t="e">
        <f t="shared" si="967"/>
        <v>#DIV/0!</v>
      </c>
      <c r="BF119" s="157" t="e">
        <f t="shared" si="967"/>
        <v>#DIV/0!</v>
      </c>
      <c r="BG119" s="157" t="e">
        <f t="shared" si="967"/>
        <v>#DIV/0!</v>
      </c>
      <c r="BH119" s="157" t="e">
        <f t="shared" si="967"/>
        <v>#DIV/0!</v>
      </c>
      <c r="BI119" s="157" t="e">
        <f t="shared" si="967"/>
        <v>#DIV/0!</v>
      </c>
      <c r="BJ119" s="157" t="e">
        <f t="shared" si="967"/>
        <v>#DIV/0!</v>
      </c>
      <c r="BK119" s="157" t="e">
        <f t="shared" si="967"/>
        <v>#DIV/0!</v>
      </c>
      <c r="BL119" s="157" t="e">
        <f t="shared" si="967"/>
        <v>#DIV/0!</v>
      </c>
      <c r="BM119" s="157" t="e">
        <f t="shared" si="967"/>
        <v>#DIV/0!</v>
      </c>
      <c r="BN119" s="157" t="e">
        <f t="shared" si="967"/>
        <v>#DIV/0!</v>
      </c>
      <c r="BO119" s="157" t="e">
        <f t="shared" si="967"/>
        <v>#DIV/0!</v>
      </c>
      <c r="BP119" s="157" t="e">
        <f t="shared" si="967"/>
        <v>#DIV/0!</v>
      </c>
      <c r="BQ119" s="157">
        <f t="shared" si="967"/>
        <v>0</v>
      </c>
      <c r="BR119" s="157">
        <f t="shared" si="967"/>
        <v>0</v>
      </c>
      <c r="BS119" s="157">
        <f t="shared" si="967"/>
        <v>0</v>
      </c>
      <c r="BT119" s="157" t="e">
        <f t="shared" si="967"/>
        <v>#DIV/0!</v>
      </c>
      <c r="BU119" s="157">
        <f t="shared" si="967"/>
        <v>0</v>
      </c>
      <c r="BV119" s="157">
        <f t="shared" si="967"/>
        <v>0</v>
      </c>
      <c r="BW119" s="157">
        <f t="shared" si="967"/>
        <v>8.6461718393427649</v>
      </c>
      <c r="BX119" s="157">
        <f t="shared" si="967"/>
        <v>9.1522898146185501</v>
      </c>
      <c r="BY119" s="157">
        <f t="shared" si="967"/>
        <v>7.8943964652779677</v>
      </c>
      <c r="BZ119" s="157">
        <f t="shared" si="967"/>
        <v>5.1870691608241737</v>
      </c>
      <c r="CA119" s="157">
        <f t="shared" si="967"/>
        <v>5.86236881447984</v>
      </c>
      <c r="CB119" s="157">
        <f t="shared" si="967"/>
        <v>5.482582609361871</v>
      </c>
      <c r="CC119" s="157">
        <f t="shared" si="967"/>
        <v>4.5359842136728261</v>
      </c>
      <c r="CD119" s="157">
        <f t="shared" si="967"/>
        <v>4.9843253779766448</v>
      </c>
      <c r="CE119" s="157">
        <f t="shared" si="967"/>
        <v>4.7373702514372731</v>
      </c>
      <c r="CF119" s="157">
        <f t="shared" si="967"/>
        <v>4.5711205262645898</v>
      </c>
      <c r="CG119" s="157">
        <f t="shared" si="967"/>
        <v>3.866401813205611</v>
      </c>
      <c r="CH119" s="157">
        <f t="shared" si="967"/>
        <v>3.1826515312294408</v>
      </c>
      <c r="CI119" s="157">
        <f t="shared" si="967"/>
        <v>3.2857733718555351</v>
      </c>
      <c r="CJ119" s="157">
        <f t="shared" si="970"/>
        <v>3.2332676946747378</v>
      </c>
      <c r="CK119" s="157">
        <f t="shared" ref="CK119" si="974">+CK102/CK$115</f>
        <v>2.9918783651757517</v>
      </c>
      <c r="CL119" s="157">
        <f t="shared" si="970"/>
        <v>2.1206675401696438</v>
      </c>
      <c r="CM119" s="94">
        <f t="shared" ref="CM119:DB119" si="975">+CL119</f>
        <v>2.1206675401696438</v>
      </c>
      <c r="CN119" s="94">
        <f t="shared" si="975"/>
        <v>2.1206675401696438</v>
      </c>
      <c r="CO119" s="94">
        <f t="shared" si="975"/>
        <v>2.1206675401696438</v>
      </c>
      <c r="CP119" s="94">
        <f t="shared" si="975"/>
        <v>2.1206675401696438</v>
      </c>
      <c r="CQ119" s="94">
        <f t="shared" si="975"/>
        <v>2.1206675401696438</v>
      </c>
      <c r="CR119" s="94">
        <f t="shared" si="975"/>
        <v>2.1206675401696438</v>
      </c>
      <c r="CS119" s="94">
        <f t="shared" si="975"/>
        <v>2.1206675401696438</v>
      </c>
      <c r="CT119" s="94">
        <f t="shared" si="975"/>
        <v>2.1206675401696438</v>
      </c>
      <c r="CU119" s="94">
        <f t="shared" si="975"/>
        <v>2.1206675401696438</v>
      </c>
      <c r="CV119" s="94">
        <f t="shared" si="975"/>
        <v>2.1206675401696438</v>
      </c>
      <c r="CW119" s="94">
        <f t="shared" si="975"/>
        <v>2.1206675401696438</v>
      </c>
      <c r="CX119" s="94">
        <f t="shared" si="975"/>
        <v>2.1206675401696438</v>
      </c>
      <c r="CY119" s="94">
        <f t="shared" si="975"/>
        <v>2.1206675401696438</v>
      </c>
      <c r="CZ119" s="94">
        <f t="shared" si="975"/>
        <v>2.1206675401696438</v>
      </c>
      <c r="DA119" s="94">
        <f t="shared" si="975"/>
        <v>2.1206675401696438</v>
      </c>
      <c r="DB119" s="94">
        <f t="shared" si="975"/>
        <v>2.1206675401696438</v>
      </c>
      <c r="DC119" s="94"/>
      <c r="DE119" s="22"/>
      <c r="DF119" s="157">
        <v>2.1098293224330695</v>
      </c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172" customFormat="1" x14ac:dyDescent="0.2">
      <c r="A121" s="172" t="s">
        <v>510</v>
      </c>
      <c r="E121" s="172">
        <f t="shared" ref="E121:Y121" si="976">+E33</f>
        <v>1825.3790000000001</v>
      </c>
      <c r="F121" s="172">
        <f t="shared" si="976"/>
        <v>2035.385</v>
      </c>
      <c r="G121" s="172">
        <f t="shared" si="976"/>
        <v>2680.2109999999998</v>
      </c>
      <c r="H121" s="172">
        <f t="shared" si="976"/>
        <v>2641.4319999999998</v>
      </c>
      <c r="I121" s="172">
        <f t="shared" si="976"/>
        <v>3392.5729999999999</v>
      </c>
      <c r="J121" s="172">
        <f t="shared" si="976"/>
        <v>5799.2150000000001</v>
      </c>
      <c r="K121" s="172">
        <f t="shared" si="976"/>
        <v>6109.299</v>
      </c>
      <c r="L121" s="172">
        <f t="shared" si="976"/>
        <v>8540.2489999999998</v>
      </c>
      <c r="M121" s="172">
        <f t="shared" si="976"/>
        <v>12042.727999999999</v>
      </c>
      <c r="N121" s="172">
        <f t="shared" si="976"/>
        <v>14253.498</v>
      </c>
      <c r="O121" s="172">
        <f t="shared" si="976"/>
        <v>17319.631999999998</v>
      </c>
      <c r="P121" s="172">
        <f t="shared" si="976"/>
        <v>17266.401999999998</v>
      </c>
      <c r="Q121" s="172">
        <f t="shared" si="976"/>
        <v>19034.967000000001</v>
      </c>
      <c r="R121" s="172">
        <f t="shared" si="976"/>
        <v>23198.363000000001</v>
      </c>
      <c r="S121" s="172">
        <f t="shared" si="976"/>
        <v>26471.909</v>
      </c>
      <c r="T121" s="172">
        <f t="shared" si="976"/>
        <v>28797.457999999999</v>
      </c>
      <c r="U121" s="172">
        <f t="shared" si="976"/>
        <v>29657.036</v>
      </c>
      <c r="V121" s="172">
        <f t="shared" si="976"/>
        <v>37090.42</v>
      </c>
      <c r="W121" s="172">
        <f t="shared" si="976"/>
        <v>54154.82</v>
      </c>
      <c r="X121" s="172">
        <f t="shared" si="976"/>
        <v>58184.810000000005</v>
      </c>
      <c r="Y121" s="172">
        <f t="shared" si="976"/>
        <v>51225.100000000006</v>
      </c>
      <c r="Z121" s="172">
        <f>+Z33</f>
        <v>63672.240000000005</v>
      </c>
      <c r="AA121" s="172">
        <f>+AA33</f>
        <v>74730.67</v>
      </c>
      <c r="AB121" s="173">
        <f t="shared" ref="AA121:AE121" si="977">+AB33</f>
        <v>80682.16668888717</v>
      </c>
      <c r="AC121" s="173">
        <f t="shared" si="977"/>
        <v>83778.573391825921</v>
      </c>
      <c r="AD121" s="173">
        <f t="shared" si="977"/>
        <v>90616.43818897249</v>
      </c>
      <c r="AE121" s="173">
        <f t="shared" si="977"/>
        <v>98085.98035925263</v>
      </c>
      <c r="AL121" s="172">
        <f t="shared" ref="AL121:BQ121" si="978">+SUM(AI31:AL31)</f>
        <v>0</v>
      </c>
      <c r="AM121" s="172">
        <f t="shared" si="978"/>
        <v>0</v>
      </c>
      <c r="AN121" s="172">
        <f t="shared" si="978"/>
        <v>0</v>
      </c>
      <c r="AO121" s="172">
        <f t="shared" si="978"/>
        <v>0</v>
      </c>
      <c r="AP121" s="172">
        <f t="shared" si="978"/>
        <v>0</v>
      </c>
      <c r="AQ121" s="172">
        <f t="shared" si="978"/>
        <v>0</v>
      </c>
      <c r="AR121" s="172">
        <f t="shared" si="978"/>
        <v>0</v>
      </c>
      <c r="AS121" s="172">
        <f t="shared" si="978"/>
        <v>0</v>
      </c>
      <c r="AT121" s="172">
        <f t="shared" si="978"/>
        <v>0</v>
      </c>
      <c r="AU121" s="172">
        <f t="shared" si="978"/>
        <v>0</v>
      </c>
      <c r="AV121" s="172">
        <f t="shared" si="978"/>
        <v>0</v>
      </c>
      <c r="AW121" s="172">
        <f t="shared" si="978"/>
        <v>0</v>
      </c>
      <c r="AX121" s="172">
        <f t="shared" si="978"/>
        <v>0</v>
      </c>
      <c r="AY121" s="172">
        <f t="shared" si="978"/>
        <v>0</v>
      </c>
      <c r="AZ121" s="172">
        <f t="shared" si="978"/>
        <v>0</v>
      </c>
      <c r="BA121" s="172">
        <f t="shared" si="978"/>
        <v>0</v>
      </c>
      <c r="BB121" s="172">
        <f t="shared" si="978"/>
        <v>0</v>
      </c>
      <c r="BC121" s="172">
        <f t="shared" si="978"/>
        <v>0</v>
      </c>
      <c r="BD121" s="172">
        <f t="shared" si="978"/>
        <v>0</v>
      </c>
      <c r="BE121" s="172">
        <f t="shared" si="978"/>
        <v>0</v>
      </c>
      <c r="BF121" s="172">
        <f t="shared" si="978"/>
        <v>0</v>
      </c>
      <c r="BG121" s="172">
        <f t="shared" si="978"/>
        <v>0</v>
      </c>
      <c r="BH121" s="172">
        <f t="shared" si="978"/>
        <v>0</v>
      </c>
      <c r="BI121" s="172">
        <f t="shared" si="978"/>
        <v>0</v>
      </c>
      <c r="BJ121" s="172">
        <f t="shared" si="978"/>
        <v>0</v>
      </c>
      <c r="BK121" s="172">
        <f t="shared" si="978"/>
        <v>0</v>
      </c>
      <c r="BL121" s="172">
        <f t="shared" si="978"/>
        <v>0</v>
      </c>
      <c r="BM121" s="172">
        <f t="shared" si="978"/>
        <v>0</v>
      </c>
      <c r="BN121" s="172">
        <f t="shared" si="978"/>
        <v>0</v>
      </c>
      <c r="BO121" s="172">
        <f t="shared" si="978"/>
        <v>0</v>
      </c>
      <c r="BP121" s="172">
        <f t="shared" si="978"/>
        <v>0</v>
      </c>
      <c r="BQ121" s="172">
        <f t="shared" si="978"/>
        <v>10229.49</v>
      </c>
      <c r="BR121" s="172">
        <f t="shared" ref="BR121:CW121" si="979">+SUM(BO31:BR31)</f>
        <v>20901.830000000002</v>
      </c>
      <c r="BS121" s="172">
        <f t="shared" si="979"/>
        <v>32213.800000000003</v>
      </c>
      <c r="BT121" s="172">
        <f t="shared" si="979"/>
        <v>45772.270000000004</v>
      </c>
      <c r="BU121" s="172">
        <f t="shared" si="979"/>
        <v>49913.7</v>
      </c>
      <c r="BV121" s="172">
        <f t="shared" si="979"/>
        <v>54158.62</v>
      </c>
      <c r="BW121" s="172">
        <f t="shared" si="979"/>
        <v>57570.740000000005</v>
      </c>
      <c r="BX121" s="172">
        <f t="shared" si="979"/>
        <v>58162.3</v>
      </c>
      <c r="BY121" s="172">
        <f t="shared" si="979"/>
        <v>59229.429999999993</v>
      </c>
      <c r="BZ121" s="172">
        <f t="shared" si="979"/>
        <v>58184.81</v>
      </c>
      <c r="CA121" s="172">
        <f t="shared" si="979"/>
        <v>56388.800000000003</v>
      </c>
      <c r="CB121" s="172">
        <f t="shared" si="979"/>
        <v>54505.919999999998</v>
      </c>
      <c r="CC121" s="172">
        <f t="shared" si="979"/>
        <v>51896.23</v>
      </c>
      <c r="CD121" s="172">
        <f t="shared" si="979"/>
        <v>51246.42</v>
      </c>
      <c r="CE121" s="172">
        <f t="shared" si="979"/>
        <v>52472.19</v>
      </c>
      <c r="CF121" s="172">
        <f t="shared" si="979"/>
        <v>54654.98</v>
      </c>
      <c r="CG121" s="172">
        <f t="shared" si="979"/>
        <v>58665.48</v>
      </c>
      <c r="CH121" s="172">
        <f t="shared" si="979"/>
        <v>63672.240000000005</v>
      </c>
      <c r="CI121" s="172">
        <f t="shared" si="979"/>
        <v>66577.040000000008</v>
      </c>
      <c r="CJ121" s="172">
        <f t="shared" si="979"/>
        <v>69731.67</v>
      </c>
      <c r="CK121" s="172">
        <f t="shared" si="979"/>
        <v>71495.48000000001</v>
      </c>
      <c r="CL121" s="172">
        <f t="shared" si="979"/>
        <v>74730.67</v>
      </c>
      <c r="CM121" s="173">
        <f t="shared" si="979"/>
        <v>75714.459209785462</v>
      </c>
      <c r="CN121" s="173">
        <f t="shared" si="979"/>
        <v>77031.222478377342</v>
      </c>
      <c r="CO121" s="173">
        <f t="shared" si="979"/>
        <v>78642.399568717898</v>
      </c>
      <c r="CP121" s="173">
        <f t="shared" si="979"/>
        <v>80682.16668888717</v>
      </c>
      <c r="CQ121" s="173">
        <f t="shared" si="979"/>
        <v>81326.498706001759</v>
      </c>
      <c r="CR121" s="173">
        <f t="shared" si="979"/>
        <v>82051.096787364979</v>
      </c>
      <c r="CS121" s="173">
        <f t="shared" si="979"/>
        <v>82855.383100635736</v>
      </c>
      <c r="CT121" s="173">
        <f t="shared" si="979"/>
        <v>83778.573391825921</v>
      </c>
      <c r="CU121" s="173">
        <f t="shared" si="979"/>
        <v>85302.997926991316</v>
      </c>
      <c r="CV121" s="173">
        <f t="shared" si="979"/>
        <v>86895.409614068645</v>
      </c>
      <c r="CW121" s="173">
        <f t="shared" si="979"/>
        <v>88611.091753694694</v>
      </c>
      <c r="CX121" s="173">
        <f t="shared" ref="CX121:DB121" si="980">+SUM(CU31:CX31)</f>
        <v>90616.43818897249</v>
      </c>
      <c r="CY121" s="173">
        <f t="shared" si="980"/>
        <v>92291.105561794131</v>
      </c>
      <c r="CZ121" s="173">
        <f t="shared" si="980"/>
        <v>94026.938616063067</v>
      </c>
      <c r="DA121" s="173">
        <f t="shared" si="980"/>
        <v>95895.907691902947</v>
      </c>
      <c r="DB121" s="173">
        <f t="shared" si="980"/>
        <v>98085.98035925263</v>
      </c>
      <c r="DE121" s="174"/>
      <c r="DF121" s="172">
        <v>74885.095849999998</v>
      </c>
    </row>
    <row r="122" spans="1:110" s="158" customFormat="1" x14ac:dyDescent="0.2">
      <c r="A122" s="158" t="s">
        <v>511</v>
      </c>
      <c r="E122" s="158" t="e">
        <f t="shared" ref="E122:AE122" ca="1" si="981">+E121/E88</f>
        <v>#DIV/0!</v>
      </c>
      <c r="F122" s="158" t="e">
        <f t="shared" ca="1" si="981"/>
        <v>#DIV/0!</v>
      </c>
      <c r="G122" s="158" t="e">
        <f t="shared" ca="1" si="981"/>
        <v>#DIV/0!</v>
      </c>
      <c r="H122" s="158" t="e">
        <f t="shared" ca="1" si="981"/>
        <v>#DIV/0!</v>
      </c>
      <c r="I122" s="158" t="e">
        <f t="shared" ca="1" si="981"/>
        <v>#DIV/0!</v>
      </c>
      <c r="J122" s="158" t="e">
        <f t="shared" ca="1" si="981"/>
        <v>#DIV/0!</v>
      </c>
      <c r="K122" s="158" t="e">
        <f t="shared" ca="1" si="981"/>
        <v>#DIV/0!</v>
      </c>
      <c r="L122" s="158" t="e">
        <f t="shared" ca="1" si="981"/>
        <v>#DIV/0!</v>
      </c>
      <c r="M122" s="158" t="e">
        <f t="shared" ca="1" si="981"/>
        <v>#DIV/0!</v>
      </c>
      <c r="N122" s="158" t="e">
        <f t="shared" ca="1" si="981"/>
        <v>#DIV/0!</v>
      </c>
      <c r="O122" s="158" t="e">
        <f t="shared" ca="1" si="981"/>
        <v>#DIV/0!</v>
      </c>
      <c r="P122" s="158" t="e">
        <f t="shared" ca="1" si="981"/>
        <v>#DIV/0!</v>
      </c>
      <c r="Q122" s="158" t="e">
        <f t="shared" ca="1" si="981"/>
        <v>#DIV/0!</v>
      </c>
      <c r="R122" s="158" t="e">
        <f t="shared" ca="1" si="981"/>
        <v>#DIV/0!</v>
      </c>
      <c r="S122" s="158" t="e">
        <f t="shared" ca="1" si="981"/>
        <v>#DIV/0!</v>
      </c>
      <c r="T122" s="158" t="e">
        <f t="shared" ca="1" si="981"/>
        <v>#DIV/0!</v>
      </c>
      <c r="U122" s="158" t="e">
        <f t="shared" ca="1" si="981"/>
        <v>#DIV/0!</v>
      </c>
      <c r="V122" s="158" t="e">
        <f t="shared" ca="1" si="981"/>
        <v>#DIV/0!</v>
      </c>
      <c r="W122" s="158" t="e">
        <f t="shared" ca="1" si="981"/>
        <v>#DIV/0!</v>
      </c>
      <c r="X122" s="158" t="e">
        <f t="shared" ca="1" si="981"/>
        <v>#DIV/0!</v>
      </c>
      <c r="Y122" s="158" t="e">
        <f t="shared" ca="1" si="981"/>
        <v>#DIV/0!</v>
      </c>
      <c r="Z122" s="158" t="e">
        <f t="shared" ref="Z122:AA122" ca="1" si="982">+Z121/Z88</f>
        <v>#DIV/0!</v>
      </c>
      <c r="AA122" s="158" t="e">
        <f t="shared" ca="1" si="982"/>
        <v>#DIV/0!</v>
      </c>
      <c r="AB122" s="94" t="e">
        <f t="shared" ca="1" si="981"/>
        <v>#DIV/0!</v>
      </c>
      <c r="AC122" s="94" t="e">
        <f t="shared" ca="1" si="981"/>
        <v>#DIV/0!</v>
      </c>
      <c r="AD122" s="94" t="e">
        <f t="shared" ca="1" si="981"/>
        <v>#DIV/0!</v>
      </c>
      <c r="AE122" s="94" t="e">
        <f t="shared" ca="1" si="981"/>
        <v>#DIV/0!</v>
      </c>
      <c r="AL122" s="158">
        <f t="shared" ref="AL122:BQ122" si="983">+AL121/AL88</f>
        <v>0</v>
      </c>
      <c r="AM122" s="158">
        <f t="shared" si="983"/>
        <v>0</v>
      </c>
      <c r="AN122" s="158">
        <f t="shared" si="983"/>
        <v>0</v>
      </c>
      <c r="AO122" s="158">
        <f t="shared" si="983"/>
        <v>0</v>
      </c>
      <c r="AP122" s="158">
        <f t="shared" si="983"/>
        <v>0</v>
      </c>
      <c r="AQ122" s="158">
        <f t="shared" si="983"/>
        <v>0</v>
      </c>
      <c r="AR122" s="158">
        <f t="shared" si="983"/>
        <v>0</v>
      </c>
      <c r="AS122" s="158">
        <f t="shared" si="983"/>
        <v>0</v>
      </c>
      <c r="AT122" s="158">
        <f t="shared" si="983"/>
        <v>0</v>
      </c>
      <c r="AU122" s="158">
        <f t="shared" si="983"/>
        <v>0</v>
      </c>
      <c r="AV122" s="158">
        <f t="shared" si="983"/>
        <v>0</v>
      </c>
      <c r="AW122" s="158">
        <f t="shared" si="983"/>
        <v>0</v>
      </c>
      <c r="AX122" s="158">
        <f t="shared" si="983"/>
        <v>0</v>
      </c>
      <c r="AY122" s="158">
        <f t="shared" si="983"/>
        <v>0</v>
      </c>
      <c r="AZ122" s="158">
        <f t="shared" si="983"/>
        <v>0</v>
      </c>
      <c r="BA122" s="158">
        <f t="shared" si="983"/>
        <v>0</v>
      </c>
      <c r="BB122" s="158">
        <f t="shared" si="983"/>
        <v>0</v>
      </c>
      <c r="BC122" s="158">
        <f t="shared" si="983"/>
        <v>0</v>
      </c>
      <c r="BD122" s="158">
        <f t="shared" si="983"/>
        <v>0</v>
      </c>
      <c r="BE122" s="158">
        <f t="shared" si="983"/>
        <v>0</v>
      </c>
      <c r="BF122" s="158">
        <f t="shared" si="983"/>
        <v>0</v>
      </c>
      <c r="BG122" s="158">
        <f t="shared" si="983"/>
        <v>0</v>
      </c>
      <c r="BH122" s="158">
        <f t="shared" si="983"/>
        <v>0</v>
      </c>
      <c r="BI122" s="158">
        <f t="shared" si="983"/>
        <v>0</v>
      </c>
      <c r="BJ122" s="158">
        <f t="shared" si="983"/>
        <v>0</v>
      </c>
      <c r="BK122" s="158">
        <f t="shared" si="983"/>
        <v>0</v>
      </c>
      <c r="BL122" s="158">
        <f t="shared" si="983"/>
        <v>0</v>
      </c>
      <c r="BM122" s="158">
        <f t="shared" si="983"/>
        <v>0</v>
      </c>
      <c r="BN122" s="158">
        <f t="shared" si="983"/>
        <v>0</v>
      </c>
      <c r="BO122" s="158">
        <f t="shared" si="983"/>
        <v>0</v>
      </c>
      <c r="BP122" s="158">
        <f t="shared" si="983"/>
        <v>0</v>
      </c>
      <c r="BQ122" s="158">
        <f t="shared" si="983"/>
        <v>78.973905658920714</v>
      </c>
      <c r="BR122" s="158">
        <f t="shared" ref="BR122:CW122" si="984">+BR121/BR88</f>
        <v>161.36671041457578</v>
      </c>
      <c r="BS122" s="158">
        <f t="shared" si="984"/>
        <v>248.69759901181195</v>
      </c>
      <c r="BT122" s="158">
        <f t="shared" si="984"/>
        <v>353.37196016366869</v>
      </c>
      <c r="BU122" s="158">
        <f t="shared" si="984"/>
        <v>385.3447077897012</v>
      </c>
      <c r="BV122" s="158">
        <f t="shared" si="984"/>
        <v>418.11642090635377</v>
      </c>
      <c r="BW122" s="158">
        <f t="shared" si="984"/>
        <v>444.45873542808619</v>
      </c>
      <c r="BX122" s="158">
        <f t="shared" si="984"/>
        <v>449.02570833011657</v>
      </c>
      <c r="BY122" s="158">
        <f t="shared" si="984"/>
        <v>457.2641859028796</v>
      </c>
      <c r="BZ122" s="158">
        <f t="shared" si="984"/>
        <v>449.19949046552921</v>
      </c>
      <c r="CA122" s="158">
        <f t="shared" si="984"/>
        <v>435.33389948274532</v>
      </c>
      <c r="CB122" s="158">
        <f t="shared" si="984"/>
        <v>420.79765305334672</v>
      </c>
      <c r="CC122" s="158">
        <f t="shared" si="984"/>
        <v>400.65027406778353</v>
      </c>
      <c r="CD122" s="158">
        <f t="shared" si="984"/>
        <v>395.63359839419439</v>
      </c>
      <c r="CE122" s="158">
        <f t="shared" si="984"/>
        <v>405.09681154944803</v>
      </c>
      <c r="CF122" s="158">
        <f t="shared" si="984"/>
        <v>421.9484289353818</v>
      </c>
      <c r="CG122" s="158">
        <f t="shared" si="984"/>
        <v>452.91036825445843</v>
      </c>
      <c r="CH122" s="158">
        <f t="shared" si="984"/>
        <v>491.56365320775114</v>
      </c>
      <c r="CI122" s="158">
        <f t="shared" si="984"/>
        <v>513.98934609742923</v>
      </c>
      <c r="CJ122" s="158">
        <f t="shared" si="984"/>
        <v>538.34378136339069</v>
      </c>
      <c r="CK122" s="158">
        <f t="shared" ref="CK122:CL122" si="985">+CK121/CK88</f>
        <v>551.96078128618865</v>
      </c>
      <c r="CL122" s="158">
        <f t="shared" si="985"/>
        <v>577.82935127193991</v>
      </c>
      <c r="CM122" s="50">
        <f t="shared" si="984"/>
        <v>585.43616492527224</v>
      </c>
      <c r="CN122" s="50">
        <f t="shared" si="984"/>
        <v>595.61758662628415</v>
      </c>
      <c r="CO122" s="50">
        <f t="shared" si="984"/>
        <v>608.07546252778081</v>
      </c>
      <c r="CP122" s="50">
        <f t="shared" si="984"/>
        <v>623.84726427655733</v>
      </c>
      <c r="CQ122" s="50">
        <f t="shared" si="984"/>
        <v>628.82934126654106</v>
      </c>
      <c r="CR122" s="50">
        <f t="shared" si="984"/>
        <v>634.4320481509701</v>
      </c>
      <c r="CS122" s="50">
        <f t="shared" si="984"/>
        <v>640.65091703885969</v>
      </c>
      <c r="CT122" s="50">
        <f t="shared" si="984"/>
        <v>647.78917027623845</v>
      </c>
      <c r="CU122" s="50">
        <f t="shared" si="984"/>
        <v>659.57626171028619</v>
      </c>
      <c r="CV122" s="50">
        <f t="shared" si="984"/>
        <v>671.88904054796751</v>
      </c>
      <c r="CW122" s="50">
        <f t="shared" si="984"/>
        <v>685.15496600707252</v>
      </c>
      <c r="CX122" s="50">
        <f t="shared" ref="CX122:DB122" si="986">+CX121/CX88</f>
        <v>700.66062158024033</v>
      </c>
      <c r="CY122" s="50">
        <f t="shared" si="986"/>
        <v>713.60941438022212</v>
      </c>
      <c r="CZ122" s="50">
        <f t="shared" si="986"/>
        <v>727.03114989610344</v>
      </c>
      <c r="DA122" s="50">
        <f t="shared" si="986"/>
        <v>741.48231417229522</v>
      </c>
      <c r="DB122" s="50">
        <f t="shared" si="986"/>
        <v>758.41630216695751</v>
      </c>
      <c r="DE122" s="159"/>
      <c r="DF122" s="158">
        <v>578.12935883579087</v>
      </c>
    </row>
    <row r="123" spans="1:110" s="158" customFormat="1" x14ac:dyDescent="0.2">
      <c r="AB123" s="94"/>
      <c r="AC123" s="94"/>
      <c r="AD123" s="94"/>
      <c r="AE123" s="94"/>
      <c r="CM123" s="94"/>
      <c r="CN123" s="94"/>
      <c r="CO123" s="94"/>
      <c r="CP123" s="94"/>
      <c r="CQ123" s="94"/>
      <c r="CR123" s="94"/>
      <c r="CS123" s="94"/>
      <c r="CT123" s="94"/>
      <c r="CU123" s="94"/>
      <c r="CV123" s="94"/>
      <c r="CW123" s="94"/>
      <c r="CX123" s="94"/>
      <c r="CY123" s="94"/>
      <c r="CZ123" s="94"/>
      <c r="DA123" s="94"/>
      <c r="DB123" s="94"/>
      <c r="DE123" s="159"/>
    </row>
    <row r="124" spans="1:110" s="158" customFormat="1" x14ac:dyDescent="0.2">
      <c r="A124" s="158" t="s">
        <v>506</v>
      </c>
      <c r="AB124" s="94"/>
      <c r="AC124" s="94"/>
      <c r="AD124" s="94"/>
      <c r="AE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E124" s="159"/>
    </row>
    <row r="125" spans="1:110" s="158" customFormat="1" x14ac:dyDescent="0.2">
      <c r="A125" s="158" t="s">
        <v>507</v>
      </c>
      <c r="E125" s="158" t="e">
        <f t="shared" ref="E125:AE127" ca="1" si="987">+E100/E$122</f>
        <v>#DIV/0!</v>
      </c>
      <c r="F125" s="158" t="e">
        <f t="shared" ca="1" si="987"/>
        <v>#DIV/0!</v>
      </c>
      <c r="G125" s="158" t="e">
        <f t="shared" ca="1" si="987"/>
        <v>#DIV/0!</v>
      </c>
      <c r="H125" s="158" t="e">
        <f t="shared" ca="1" si="987"/>
        <v>#DIV/0!</v>
      </c>
      <c r="I125" s="158" t="e">
        <f t="shared" ca="1" si="987"/>
        <v>#DIV/0!</v>
      </c>
      <c r="J125" s="158" t="e">
        <f t="shared" ca="1" si="987"/>
        <v>#DIV/0!</v>
      </c>
      <c r="K125" s="158" t="e">
        <f t="shared" ca="1" si="987"/>
        <v>#DIV/0!</v>
      </c>
      <c r="L125" s="158" t="e">
        <f t="shared" ca="1" si="987"/>
        <v>#DIV/0!</v>
      </c>
      <c r="M125" s="158" t="e">
        <f t="shared" ca="1" si="987"/>
        <v>#DIV/0!</v>
      </c>
      <c r="N125" s="158" t="e">
        <f t="shared" ca="1" si="987"/>
        <v>#DIV/0!</v>
      </c>
      <c r="O125" s="158" t="e">
        <f t="shared" ca="1" si="987"/>
        <v>#DIV/0!</v>
      </c>
      <c r="P125" s="158" t="e">
        <f t="shared" ca="1" si="987"/>
        <v>#DIV/0!</v>
      </c>
      <c r="Q125" s="158" t="e">
        <f t="shared" ca="1" si="987"/>
        <v>#DIV/0!</v>
      </c>
      <c r="R125" s="158" t="e">
        <f t="shared" ca="1" si="987"/>
        <v>#DIV/0!</v>
      </c>
      <c r="S125" s="158" t="e">
        <f t="shared" ca="1" si="987"/>
        <v>#DIV/0!</v>
      </c>
      <c r="T125" s="158" t="e">
        <f t="shared" ca="1" si="987"/>
        <v>#DIV/0!</v>
      </c>
      <c r="U125" s="158" t="e">
        <f t="shared" ca="1" si="987"/>
        <v>#DIV/0!</v>
      </c>
      <c r="V125" s="158" t="e">
        <f t="shared" ca="1" si="987"/>
        <v>#DIV/0!</v>
      </c>
      <c r="W125" s="158" t="e">
        <f t="shared" ca="1" si="987"/>
        <v>#DIV/0!</v>
      </c>
      <c r="X125" s="158" t="e">
        <f t="shared" ca="1" si="987"/>
        <v>#DIV/0!</v>
      </c>
      <c r="Y125" s="158" t="e">
        <f t="shared" ca="1" si="987"/>
        <v>#DIV/0!</v>
      </c>
      <c r="Z125" s="158" t="e">
        <f ca="1">+Z100/Z$122</f>
        <v>#DIV/0!</v>
      </c>
      <c r="AA125" s="158" t="e">
        <f ca="1">+AA100/AA$122</f>
        <v>#DIV/0!</v>
      </c>
      <c r="AB125" s="50" t="e">
        <f t="shared" ref="AA125:AE125" ca="1" si="988">+AB100/AB$122</f>
        <v>#DIV/0!</v>
      </c>
      <c r="AC125" s="50" t="e">
        <f t="shared" ca="1" si="988"/>
        <v>#DIV/0!</v>
      </c>
      <c r="AD125" s="50" t="e">
        <f t="shared" ca="1" si="988"/>
        <v>#DIV/0!</v>
      </c>
      <c r="AE125" s="50" t="e">
        <f t="shared" ca="1" si="988"/>
        <v>#DIV/0!</v>
      </c>
      <c r="AL125" s="158" t="e">
        <f t="shared" ref="AL125:BQ125" si="989">+AL100/AL122</f>
        <v>#DIV/0!</v>
      </c>
      <c r="AM125" s="158" t="e">
        <f t="shared" si="989"/>
        <v>#DIV/0!</v>
      </c>
      <c r="AN125" s="158" t="e">
        <f t="shared" si="989"/>
        <v>#DIV/0!</v>
      </c>
      <c r="AO125" s="158" t="e">
        <f t="shared" si="989"/>
        <v>#DIV/0!</v>
      </c>
      <c r="AP125" s="158" t="e">
        <f t="shared" si="989"/>
        <v>#DIV/0!</v>
      </c>
      <c r="AQ125" s="158" t="e">
        <f t="shared" si="989"/>
        <v>#DIV/0!</v>
      </c>
      <c r="AR125" s="158" t="e">
        <f t="shared" si="989"/>
        <v>#DIV/0!</v>
      </c>
      <c r="AS125" s="158" t="e">
        <f t="shared" si="989"/>
        <v>#DIV/0!</v>
      </c>
      <c r="AT125" s="158" t="e">
        <f t="shared" si="989"/>
        <v>#DIV/0!</v>
      </c>
      <c r="AU125" s="158" t="e">
        <f t="shared" si="989"/>
        <v>#DIV/0!</v>
      </c>
      <c r="AV125" s="158" t="e">
        <f t="shared" si="989"/>
        <v>#DIV/0!</v>
      </c>
      <c r="AW125" s="158" t="e">
        <f t="shared" si="989"/>
        <v>#DIV/0!</v>
      </c>
      <c r="AX125" s="158" t="e">
        <f t="shared" si="989"/>
        <v>#DIV/0!</v>
      </c>
      <c r="AY125" s="158" t="e">
        <f t="shared" si="989"/>
        <v>#DIV/0!</v>
      </c>
      <c r="AZ125" s="158" t="e">
        <f t="shared" si="989"/>
        <v>#DIV/0!</v>
      </c>
      <c r="BA125" s="158" t="e">
        <f t="shared" si="989"/>
        <v>#DIV/0!</v>
      </c>
      <c r="BB125" s="158" t="e">
        <f t="shared" si="989"/>
        <v>#DIV/0!</v>
      </c>
      <c r="BC125" s="158" t="e">
        <f t="shared" si="989"/>
        <v>#DIV/0!</v>
      </c>
      <c r="BD125" s="158" t="e">
        <f t="shared" si="989"/>
        <v>#DIV/0!</v>
      </c>
      <c r="BE125" s="158" t="e">
        <f t="shared" si="989"/>
        <v>#DIV/0!</v>
      </c>
      <c r="BF125" s="158" t="e">
        <f t="shared" si="989"/>
        <v>#DIV/0!</v>
      </c>
      <c r="BG125" s="158" t="e">
        <f t="shared" si="989"/>
        <v>#DIV/0!</v>
      </c>
      <c r="BH125" s="158" t="e">
        <f t="shared" si="989"/>
        <v>#DIV/0!</v>
      </c>
      <c r="BI125" s="158" t="e">
        <f t="shared" si="989"/>
        <v>#DIV/0!</v>
      </c>
      <c r="BJ125" s="158" t="e">
        <f t="shared" si="989"/>
        <v>#DIV/0!</v>
      </c>
      <c r="BK125" s="158" t="e">
        <f t="shared" si="989"/>
        <v>#DIV/0!</v>
      </c>
      <c r="BL125" s="158" t="e">
        <f t="shared" si="989"/>
        <v>#DIV/0!</v>
      </c>
      <c r="BM125" s="158" t="e">
        <f t="shared" si="989"/>
        <v>#DIV/0!</v>
      </c>
      <c r="BN125" s="158" t="e">
        <f t="shared" si="989"/>
        <v>#DIV/0!</v>
      </c>
      <c r="BO125" s="158" t="e">
        <f t="shared" si="989"/>
        <v>#DIV/0!</v>
      </c>
      <c r="BP125" s="158" t="e">
        <f t="shared" si="989"/>
        <v>#DIV/0!</v>
      </c>
      <c r="BQ125" s="158">
        <f t="shared" si="989"/>
        <v>0</v>
      </c>
      <c r="BR125" s="158">
        <f t="shared" ref="BR125:DB125" si="990">+BR100/BR122</f>
        <v>0</v>
      </c>
      <c r="BS125" s="158">
        <f t="shared" si="990"/>
        <v>0</v>
      </c>
      <c r="BT125" s="158">
        <f t="shared" si="990"/>
        <v>0</v>
      </c>
      <c r="BU125" s="158">
        <f t="shared" si="990"/>
        <v>0</v>
      </c>
      <c r="BV125" s="158">
        <f t="shared" si="990"/>
        <v>1.237693556445862</v>
      </c>
      <c r="BW125" s="158">
        <f t="shared" si="990"/>
        <v>1.2935959047946926</v>
      </c>
      <c r="BX125" s="158">
        <f t="shared" si="990"/>
        <v>1.6820863170816833</v>
      </c>
      <c r="BY125" s="158">
        <f t="shared" si="990"/>
        <v>1.3506415307390263</v>
      </c>
      <c r="BZ125" s="158">
        <f t="shared" si="990"/>
        <v>0.90383005461391042</v>
      </c>
      <c r="CA125" s="158">
        <f t="shared" si="990"/>
        <v>0.94226523706835397</v>
      </c>
      <c r="CB125" s="158">
        <f t="shared" si="990"/>
        <v>0.80216702149050967</v>
      </c>
      <c r="CC125" s="158">
        <f t="shared" si="990"/>
        <v>0.88580995189823997</v>
      </c>
      <c r="CD125" s="158">
        <f t="shared" si="990"/>
        <v>0.81160953291956794</v>
      </c>
      <c r="CE125" s="158">
        <f t="shared" si="990"/>
        <v>0.81844633319097215</v>
      </c>
      <c r="CF125" s="158">
        <f t="shared" si="990"/>
        <v>0.82569332199920287</v>
      </c>
      <c r="CG125" s="158">
        <f t="shared" si="990"/>
        <v>0.68059824107805811</v>
      </c>
      <c r="CH125" s="158">
        <f t="shared" si="990"/>
        <v>0.5253643110404157</v>
      </c>
      <c r="CI125" s="158">
        <f t="shared" si="990"/>
        <v>0.50506883454115714</v>
      </c>
      <c r="CJ125" s="158">
        <f t="shared" si="990"/>
        <v>0.48584196391682577</v>
      </c>
      <c r="CK125" s="158">
        <f t="shared" ref="CK125:CL125" si="991">+CK100/CK122</f>
        <v>0.43028419418961861</v>
      </c>
      <c r="CL125" s="158">
        <f t="shared" si="991"/>
        <v>0.30787636455019074</v>
      </c>
      <c r="CM125" s="50">
        <f t="shared" si="990"/>
        <v>0.35016627308319281</v>
      </c>
      <c r="CN125" s="50">
        <f t="shared" si="990"/>
        <v>0.34418056921584106</v>
      </c>
      <c r="CO125" s="50">
        <f t="shared" si="990"/>
        <v>0.33712920950273384</v>
      </c>
      <c r="CP125" s="50">
        <f t="shared" si="990"/>
        <v>0.32860607353584803</v>
      </c>
      <c r="CQ125" s="50">
        <f t="shared" si="990"/>
        <v>0.32600259966735062</v>
      </c>
      <c r="CR125" s="50">
        <f t="shared" si="990"/>
        <v>0.32312365145718175</v>
      </c>
      <c r="CS125" s="50">
        <f t="shared" si="990"/>
        <v>0.3199870546467436</v>
      </c>
      <c r="CT125" s="50">
        <f t="shared" si="990"/>
        <v>0.31646098670124617</v>
      </c>
      <c r="CU125" s="50">
        <f t="shared" si="990"/>
        <v>0.31080560641832905</v>
      </c>
      <c r="CV125" s="50">
        <f t="shared" si="990"/>
        <v>0.30510990301733404</v>
      </c>
      <c r="CW125" s="50">
        <f t="shared" si="990"/>
        <v>0.29920238511105512</v>
      </c>
      <c r="CX125" s="50">
        <f t="shared" si="990"/>
        <v>0.29258102094798999</v>
      </c>
      <c r="CY125" s="50">
        <f t="shared" si="990"/>
        <v>0.28727199483213772</v>
      </c>
      <c r="CZ125" s="50">
        <f t="shared" si="990"/>
        <v>0.28196866121801739</v>
      </c>
      <c r="DA125" s="50">
        <f t="shared" si="990"/>
        <v>0.2764732159914538</v>
      </c>
      <c r="DB125" s="50">
        <f t="shared" si="990"/>
        <v>0.27030009694447649</v>
      </c>
      <c r="DE125" s="106"/>
      <c r="DF125" s="158">
        <v>0.30771659885643327</v>
      </c>
    </row>
    <row r="126" spans="1:110" s="158" customFormat="1" x14ac:dyDescent="0.2">
      <c r="A126" s="158" t="s">
        <v>508</v>
      </c>
      <c r="E126" s="158" t="e">
        <f t="shared" ca="1" si="987"/>
        <v>#DIV/0!</v>
      </c>
      <c r="F126" s="158" t="e">
        <f t="shared" ca="1" si="987"/>
        <v>#DIV/0!</v>
      </c>
      <c r="G126" s="158" t="e">
        <f t="shared" ca="1" si="987"/>
        <v>#DIV/0!</v>
      </c>
      <c r="H126" s="158" t="e">
        <f t="shared" ca="1" si="987"/>
        <v>#DIV/0!</v>
      </c>
      <c r="I126" s="158" t="e">
        <f t="shared" ca="1" si="987"/>
        <v>#DIV/0!</v>
      </c>
      <c r="J126" s="158" t="e">
        <f t="shared" ca="1" si="987"/>
        <v>#DIV/0!</v>
      </c>
      <c r="K126" s="158" t="e">
        <f t="shared" ca="1" si="987"/>
        <v>#DIV/0!</v>
      </c>
      <c r="L126" s="158" t="e">
        <f t="shared" ca="1" si="987"/>
        <v>#DIV/0!</v>
      </c>
      <c r="M126" s="158" t="e">
        <f t="shared" ca="1" si="987"/>
        <v>#DIV/0!</v>
      </c>
      <c r="N126" s="158" t="e">
        <f t="shared" ca="1" si="987"/>
        <v>#DIV/0!</v>
      </c>
      <c r="O126" s="158" t="e">
        <f t="shared" ca="1" si="987"/>
        <v>#DIV/0!</v>
      </c>
      <c r="P126" s="158" t="e">
        <f t="shared" ca="1" si="987"/>
        <v>#DIV/0!</v>
      </c>
      <c r="Q126" s="158" t="e">
        <f t="shared" ca="1" si="987"/>
        <v>#DIV/0!</v>
      </c>
      <c r="R126" s="158" t="e">
        <f t="shared" ca="1" si="987"/>
        <v>#DIV/0!</v>
      </c>
      <c r="S126" s="158" t="e">
        <f t="shared" ca="1" si="987"/>
        <v>#DIV/0!</v>
      </c>
      <c r="T126" s="158" t="e">
        <f t="shared" ca="1" si="987"/>
        <v>#DIV/0!</v>
      </c>
      <c r="U126" s="158" t="e">
        <f t="shared" ca="1" si="987"/>
        <v>#DIV/0!</v>
      </c>
      <c r="V126" s="158" t="e">
        <f t="shared" ca="1" si="987"/>
        <v>#DIV/0!</v>
      </c>
      <c r="W126" s="158" t="e">
        <f t="shared" ca="1" si="987"/>
        <v>#DIV/0!</v>
      </c>
      <c r="X126" s="158" t="e">
        <f t="shared" ca="1" si="987"/>
        <v>#DIV/0!</v>
      </c>
      <c r="Y126" s="158" t="e">
        <f t="shared" ca="1" si="987"/>
        <v>#DIV/0!</v>
      </c>
      <c r="Z126" s="158" t="e">
        <f t="shared" ref="Z126:AA127" ca="1" si="992">+Z101/Z$122</f>
        <v>#DIV/0!</v>
      </c>
      <c r="AA126" s="158" t="e">
        <f t="shared" ca="1" si="992"/>
        <v>#DIV/0!</v>
      </c>
      <c r="AB126" s="94" t="e">
        <f t="shared" ca="1" si="987"/>
        <v>#DIV/0!</v>
      </c>
      <c r="AC126" s="94" t="e">
        <f t="shared" ca="1" si="987"/>
        <v>#DIV/0!</v>
      </c>
      <c r="AD126" s="94" t="e">
        <f t="shared" ca="1" si="987"/>
        <v>#DIV/0!</v>
      </c>
      <c r="AE126" s="94" t="e">
        <f t="shared" ca="1" si="987"/>
        <v>#DIV/0!</v>
      </c>
      <c r="AL126" s="158" t="e">
        <f t="shared" ref="AL126:BQ126" si="993">+AL101/AL122</f>
        <v>#DIV/0!</v>
      </c>
      <c r="AM126" s="158" t="e">
        <f t="shared" si="993"/>
        <v>#DIV/0!</v>
      </c>
      <c r="AN126" s="158" t="e">
        <f t="shared" si="993"/>
        <v>#DIV/0!</v>
      </c>
      <c r="AO126" s="158" t="e">
        <f t="shared" si="993"/>
        <v>#DIV/0!</v>
      </c>
      <c r="AP126" s="158" t="e">
        <f t="shared" si="993"/>
        <v>#DIV/0!</v>
      </c>
      <c r="AQ126" s="158" t="e">
        <f t="shared" si="993"/>
        <v>#DIV/0!</v>
      </c>
      <c r="AR126" s="158" t="e">
        <f t="shared" si="993"/>
        <v>#DIV/0!</v>
      </c>
      <c r="AS126" s="158" t="e">
        <f t="shared" si="993"/>
        <v>#DIV/0!</v>
      </c>
      <c r="AT126" s="158" t="e">
        <f t="shared" si="993"/>
        <v>#DIV/0!</v>
      </c>
      <c r="AU126" s="158" t="e">
        <f t="shared" si="993"/>
        <v>#DIV/0!</v>
      </c>
      <c r="AV126" s="158" t="e">
        <f t="shared" si="993"/>
        <v>#DIV/0!</v>
      </c>
      <c r="AW126" s="158" t="e">
        <f t="shared" si="993"/>
        <v>#DIV/0!</v>
      </c>
      <c r="AX126" s="158" t="e">
        <f t="shared" si="993"/>
        <v>#DIV/0!</v>
      </c>
      <c r="AY126" s="158" t="e">
        <f t="shared" si="993"/>
        <v>#DIV/0!</v>
      </c>
      <c r="AZ126" s="158" t="e">
        <f t="shared" si="993"/>
        <v>#DIV/0!</v>
      </c>
      <c r="BA126" s="158" t="e">
        <f t="shared" si="993"/>
        <v>#DIV/0!</v>
      </c>
      <c r="BB126" s="158" t="e">
        <f t="shared" si="993"/>
        <v>#DIV/0!</v>
      </c>
      <c r="BC126" s="158" t="e">
        <f t="shared" si="993"/>
        <v>#DIV/0!</v>
      </c>
      <c r="BD126" s="158" t="e">
        <f t="shared" si="993"/>
        <v>#DIV/0!</v>
      </c>
      <c r="BE126" s="158" t="e">
        <f t="shared" si="993"/>
        <v>#DIV/0!</v>
      </c>
      <c r="BF126" s="158" t="e">
        <f t="shared" si="993"/>
        <v>#DIV/0!</v>
      </c>
      <c r="BG126" s="158" t="e">
        <f t="shared" si="993"/>
        <v>#DIV/0!</v>
      </c>
      <c r="BH126" s="158" t="e">
        <f t="shared" si="993"/>
        <v>#DIV/0!</v>
      </c>
      <c r="BI126" s="158" t="e">
        <f t="shared" si="993"/>
        <v>#DIV/0!</v>
      </c>
      <c r="BJ126" s="158" t="e">
        <f t="shared" si="993"/>
        <v>#DIV/0!</v>
      </c>
      <c r="BK126" s="158" t="e">
        <f t="shared" si="993"/>
        <v>#DIV/0!</v>
      </c>
      <c r="BL126" s="158" t="e">
        <f t="shared" si="993"/>
        <v>#DIV/0!</v>
      </c>
      <c r="BM126" s="158" t="e">
        <f t="shared" si="993"/>
        <v>#DIV/0!</v>
      </c>
      <c r="BN126" s="158" t="e">
        <f t="shared" si="993"/>
        <v>#DIV/0!</v>
      </c>
      <c r="BO126" s="158" t="e">
        <f t="shared" si="993"/>
        <v>#DIV/0!</v>
      </c>
      <c r="BP126" s="158" t="e">
        <f t="shared" si="993"/>
        <v>#DIV/0!</v>
      </c>
      <c r="BQ126" s="158">
        <f t="shared" si="993"/>
        <v>0</v>
      </c>
      <c r="BR126" s="158">
        <f t="shared" ref="BR126:CJ126" si="994">+BR101/BR122</f>
        <v>0</v>
      </c>
      <c r="BS126" s="158">
        <f t="shared" si="994"/>
        <v>0</v>
      </c>
      <c r="BT126" s="158">
        <f t="shared" si="994"/>
        <v>0</v>
      </c>
      <c r="BU126" s="158">
        <f t="shared" si="994"/>
        <v>0</v>
      </c>
      <c r="BV126" s="158">
        <f t="shared" si="994"/>
        <v>1.237693556445862</v>
      </c>
      <c r="BW126" s="158">
        <f t="shared" si="994"/>
        <v>1.9762239550855174</v>
      </c>
      <c r="BX126" s="158">
        <f t="shared" si="994"/>
        <v>1.8749483256336148</v>
      </c>
      <c r="BY126" s="158">
        <f t="shared" si="994"/>
        <v>1.6729934763849661</v>
      </c>
      <c r="BZ126" s="158">
        <f t="shared" si="994"/>
        <v>1.3862437808080839</v>
      </c>
      <c r="CA126" s="158">
        <f t="shared" si="994"/>
        <v>1.1701363036631387</v>
      </c>
      <c r="CB126" s="158">
        <f t="shared" si="994"/>
        <v>1.0041643458178489</v>
      </c>
      <c r="CC126" s="158">
        <f t="shared" si="994"/>
        <v>1.0233363772281725</v>
      </c>
      <c r="CD126" s="158">
        <f t="shared" si="994"/>
        <v>1.0330265216575127</v>
      </c>
      <c r="CE126" s="158">
        <f t="shared" si="994"/>
        <v>0.94298446472312281</v>
      </c>
      <c r="CF126" s="158">
        <f t="shared" si="994"/>
        <v>0.95746297958575766</v>
      </c>
      <c r="CG126" s="158">
        <f t="shared" si="994"/>
        <v>0.78514431314633415</v>
      </c>
      <c r="CH126" s="158">
        <f t="shared" si="994"/>
        <v>0.67661634018215788</v>
      </c>
      <c r="CI126" s="158">
        <f t="shared" si="994"/>
        <v>0.56664598636406782</v>
      </c>
      <c r="CJ126" s="158">
        <f t="shared" si="994"/>
        <v>0.53014450966110516</v>
      </c>
      <c r="CK126" s="158">
        <f t="shared" ref="CK126:CL126" si="995">+CK101/CK122</f>
        <v>0.51253641488944457</v>
      </c>
      <c r="CL126" s="158">
        <f t="shared" si="995"/>
        <v>0.41915489316501514</v>
      </c>
      <c r="CM126" s="94">
        <f t="shared" ref="CM126:DB126" si="996">+CL126</f>
        <v>0.41915489316501514</v>
      </c>
      <c r="CN126" s="94">
        <f t="shared" si="996"/>
        <v>0.41915489316501514</v>
      </c>
      <c r="CO126" s="94">
        <f t="shared" si="996"/>
        <v>0.41915489316501514</v>
      </c>
      <c r="CP126" s="94">
        <f t="shared" si="996"/>
        <v>0.41915489316501514</v>
      </c>
      <c r="CQ126" s="94">
        <f t="shared" si="996"/>
        <v>0.41915489316501514</v>
      </c>
      <c r="CR126" s="94">
        <f t="shared" si="996"/>
        <v>0.41915489316501514</v>
      </c>
      <c r="CS126" s="94">
        <f t="shared" si="996"/>
        <v>0.41915489316501514</v>
      </c>
      <c r="CT126" s="94">
        <f t="shared" si="996"/>
        <v>0.41915489316501514</v>
      </c>
      <c r="CU126" s="94">
        <f t="shared" si="996"/>
        <v>0.41915489316501514</v>
      </c>
      <c r="CV126" s="94">
        <f t="shared" si="996"/>
        <v>0.41915489316501514</v>
      </c>
      <c r="CW126" s="94">
        <f t="shared" si="996"/>
        <v>0.41915489316501514</v>
      </c>
      <c r="CX126" s="94">
        <f t="shared" si="996"/>
        <v>0.41915489316501514</v>
      </c>
      <c r="CY126" s="94">
        <f t="shared" si="996"/>
        <v>0.41915489316501514</v>
      </c>
      <c r="CZ126" s="94">
        <f t="shared" si="996"/>
        <v>0.41915489316501514</v>
      </c>
      <c r="DA126" s="94">
        <f t="shared" si="996"/>
        <v>0.41915489316501514</v>
      </c>
      <c r="DB126" s="94">
        <f t="shared" si="996"/>
        <v>0.41915489316501514</v>
      </c>
      <c r="DE126" s="159"/>
      <c r="DF126" s="158">
        <v>0.41893738191696528</v>
      </c>
    </row>
    <row r="127" spans="1:110" s="158" customFormat="1" x14ac:dyDescent="0.2">
      <c r="A127" s="158" t="s">
        <v>509</v>
      </c>
      <c r="E127" s="158" t="e">
        <f t="shared" ca="1" si="987"/>
        <v>#DIV/0!</v>
      </c>
      <c r="F127" s="158" t="e">
        <f t="shared" ca="1" si="987"/>
        <v>#DIV/0!</v>
      </c>
      <c r="G127" s="158" t="e">
        <f t="shared" ca="1" si="987"/>
        <v>#DIV/0!</v>
      </c>
      <c r="H127" s="158" t="e">
        <f t="shared" ca="1" si="987"/>
        <v>#DIV/0!</v>
      </c>
      <c r="I127" s="158" t="e">
        <f t="shared" ca="1" si="987"/>
        <v>#DIV/0!</v>
      </c>
      <c r="J127" s="158" t="e">
        <f t="shared" ca="1" si="987"/>
        <v>#DIV/0!</v>
      </c>
      <c r="K127" s="158" t="e">
        <f t="shared" ca="1" si="987"/>
        <v>#DIV/0!</v>
      </c>
      <c r="L127" s="158" t="e">
        <f t="shared" ca="1" si="987"/>
        <v>#DIV/0!</v>
      </c>
      <c r="M127" s="158" t="e">
        <f t="shared" ca="1" si="987"/>
        <v>#DIV/0!</v>
      </c>
      <c r="N127" s="158" t="e">
        <f t="shared" ca="1" si="987"/>
        <v>#DIV/0!</v>
      </c>
      <c r="O127" s="158" t="e">
        <f t="shared" ca="1" si="987"/>
        <v>#DIV/0!</v>
      </c>
      <c r="P127" s="158" t="e">
        <f t="shared" ca="1" si="987"/>
        <v>#DIV/0!</v>
      </c>
      <c r="Q127" s="158" t="e">
        <f t="shared" ca="1" si="987"/>
        <v>#DIV/0!</v>
      </c>
      <c r="R127" s="158" t="e">
        <f t="shared" ca="1" si="987"/>
        <v>#DIV/0!</v>
      </c>
      <c r="S127" s="158" t="e">
        <f t="shared" ca="1" si="987"/>
        <v>#DIV/0!</v>
      </c>
      <c r="T127" s="158" t="e">
        <f t="shared" ca="1" si="987"/>
        <v>#DIV/0!</v>
      </c>
      <c r="U127" s="158" t="e">
        <f t="shared" ca="1" si="987"/>
        <v>#DIV/0!</v>
      </c>
      <c r="V127" s="158" t="e">
        <f t="shared" ca="1" si="987"/>
        <v>#DIV/0!</v>
      </c>
      <c r="W127" s="158" t="e">
        <f t="shared" ca="1" si="987"/>
        <v>#DIV/0!</v>
      </c>
      <c r="X127" s="158" t="e">
        <f t="shared" ca="1" si="987"/>
        <v>#DIV/0!</v>
      </c>
      <c r="Y127" s="158" t="e">
        <f t="shared" ca="1" si="987"/>
        <v>#DIV/0!</v>
      </c>
      <c r="Z127" s="158" t="e">
        <f t="shared" ca="1" si="992"/>
        <v>#DIV/0!</v>
      </c>
      <c r="AA127" s="158" t="e">
        <f t="shared" ca="1" si="992"/>
        <v>#DIV/0!</v>
      </c>
      <c r="AB127" s="94" t="e">
        <f t="shared" ca="1" si="987"/>
        <v>#DIV/0!</v>
      </c>
      <c r="AC127" s="94" t="e">
        <f t="shared" ca="1" si="987"/>
        <v>#DIV/0!</v>
      </c>
      <c r="AD127" s="94" t="e">
        <f t="shared" ca="1" si="987"/>
        <v>#DIV/0!</v>
      </c>
      <c r="AE127" s="94" t="e">
        <f t="shared" ca="1" si="987"/>
        <v>#DIV/0!</v>
      </c>
      <c r="AL127" s="158" t="e">
        <f t="shared" ref="AL127:BQ127" si="997">+AL102/AL122</f>
        <v>#DIV/0!</v>
      </c>
      <c r="AM127" s="158" t="e">
        <f t="shared" si="997"/>
        <v>#DIV/0!</v>
      </c>
      <c r="AN127" s="158" t="e">
        <f t="shared" si="997"/>
        <v>#DIV/0!</v>
      </c>
      <c r="AO127" s="158" t="e">
        <f t="shared" si="997"/>
        <v>#DIV/0!</v>
      </c>
      <c r="AP127" s="158" t="e">
        <f t="shared" si="997"/>
        <v>#DIV/0!</v>
      </c>
      <c r="AQ127" s="158" t="e">
        <f t="shared" si="997"/>
        <v>#DIV/0!</v>
      </c>
      <c r="AR127" s="158" t="e">
        <f t="shared" si="997"/>
        <v>#DIV/0!</v>
      </c>
      <c r="AS127" s="158" t="e">
        <f t="shared" si="997"/>
        <v>#DIV/0!</v>
      </c>
      <c r="AT127" s="158" t="e">
        <f t="shared" si="997"/>
        <v>#DIV/0!</v>
      </c>
      <c r="AU127" s="158" t="e">
        <f t="shared" si="997"/>
        <v>#DIV/0!</v>
      </c>
      <c r="AV127" s="158" t="e">
        <f t="shared" si="997"/>
        <v>#DIV/0!</v>
      </c>
      <c r="AW127" s="158" t="e">
        <f t="shared" si="997"/>
        <v>#DIV/0!</v>
      </c>
      <c r="AX127" s="158" t="e">
        <f t="shared" si="997"/>
        <v>#DIV/0!</v>
      </c>
      <c r="AY127" s="158" t="e">
        <f t="shared" si="997"/>
        <v>#DIV/0!</v>
      </c>
      <c r="AZ127" s="158" t="e">
        <f t="shared" si="997"/>
        <v>#DIV/0!</v>
      </c>
      <c r="BA127" s="158" t="e">
        <f t="shared" si="997"/>
        <v>#DIV/0!</v>
      </c>
      <c r="BB127" s="158" t="e">
        <f t="shared" si="997"/>
        <v>#DIV/0!</v>
      </c>
      <c r="BC127" s="158" t="e">
        <f t="shared" si="997"/>
        <v>#DIV/0!</v>
      </c>
      <c r="BD127" s="158" t="e">
        <f t="shared" si="997"/>
        <v>#DIV/0!</v>
      </c>
      <c r="BE127" s="158" t="e">
        <f t="shared" si="997"/>
        <v>#DIV/0!</v>
      </c>
      <c r="BF127" s="158" t="e">
        <f t="shared" si="997"/>
        <v>#DIV/0!</v>
      </c>
      <c r="BG127" s="158" t="e">
        <f t="shared" si="997"/>
        <v>#DIV/0!</v>
      </c>
      <c r="BH127" s="158" t="e">
        <f t="shared" si="997"/>
        <v>#DIV/0!</v>
      </c>
      <c r="BI127" s="158" t="e">
        <f t="shared" si="997"/>
        <v>#DIV/0!</v>
      </c>
      <c r="BJ127" s="158" t="e">
        <f t="shared" si="997"/>
        <v>#DIV/0!</v>
      </c>
      <c r="BK127" s="158" t="e">
        <f t="shared" si="997"/>
        <v>#DIV/0!</v>
      </c>
      <c r="BL127" s="158" t="e">
        <f t="shared" si="997"/>
        <v>#DIV/0!</v>
      </c>
      <c r="BM127" s="158" t="e">
        <f t="shared" si="997"/>
        <v>#DIV/0!</v>
      </c>
      <c r="BN127" s="158" t="e">
        <f t="shared" si="997"/>
        <v>#DIV/0!</v>
      </c>
      <c r="BO127" s="158" t="e">
        <f t="shared" si="997"/>
        <v>#DIV/0!</v>
      </c>
      <c r="BP127" s="158" t="e">
        <f t="shared" si="997"/>
        <v>#DIV/0!</v>
      </c>
      <c r="BQ127" s="158">
        <f t="shared" si="997"/>
        <v>0</v>
      </c>
      <c r="BR127" s="158">
        <f t="shared" ref="BR127:CJ127" si="998">+BR102/BR122</f>
        <v>0</v>
      </c>
      <c r="BS127" s="158">
        <f t="shared" si="998"/>
        <v>0</v>
      </c>
      <c r="BT127" s="158">
        <f t="shared" si="998"/>
        <v>0</v>
      </c>
      <c r="BU127" s="158">
        <f t="shared" si="998"/>
        <v>0</v>
      </c>
      <c r="BV127" s="158">
        <f t="shared" si="998"/>
        <v>0</v>
      </c>
      <c r="BW127" s="158">
        <f t="shared" si="998"/>
        <v>1.1714248331704611</v>
      </c>
      <c r="BX127" s="158">
        <f t="shared" si="998"/>
        <v>1.232334785591354</v>
      </c>
      <c r="BY127" s="158">
        <f t="shared" si="998"/>
        <v>1.0766205077442077</v>
      </c>
      <c r="BZ127" s="158">
        <f t="shared" si="998"/>
        <v>0.72796164497228744</v>
      </c>
      <c r="CA127" s="158">
        <f t="shared" si="998"/>
        <v>0.84073397554124218</v>
      </c>
      <c r="CB127" s="158">
        <f t="shared" si="998"/>
        <v>0.80085997998015623</v>
      </c>
      <c r="CC127" s="158">
        <f t="shared" si="998"/>
        <v>0.71346513031871495</v>
      </c>
      <c r="CD127" s="158">
        <f t="shared" si="998"/>
        <v>0.80882918260436532</v>
      </c>
      <c r="CE127" s="158">
        <f t="shared" si="998"/>
        <v>0.77907302897020303</v>
      </c>
      <c r="CF127" s="158">
        <f t="shared" si="998"/>
        <v>0.74795870385461671</v>
      </c>
      <c r="CG127" s="158">
        <f t="shared" si="998"/>
        <v>0.61645751470882026</v>
      </c>
      <c r="CH127" s="158">
        <f t="shared" si="998"/>
        <v>0.471047845968667</v>
      </c>
      <c r="CI127" s="158">
        <f t="shared" si="998"/>
        <v>0.47676085479318392</v>
      </c>
      <c r="CJ127" s="158">
        <f t="shared" si="998"/>
        <v>0.45927901196113619</v>
      </c>
      <c r="CK127" s="158">
        <f t="shared" ref="CK127:CL127" si="999">+CK102/CK122</f>
        <v>0.42575488688235946</v>
      </c>
      <c r="CL127" s="158">
        <f t="shared" si="999"/>
        <v>0.2962812457054112</v>
      </c>
      <c r="CM127" s="94">
        <f t="shared" ref="CM127:DB127" si="1000">+CL127</f>
        <v>0.2962812457054112</v>
      </c>
      <c r="CN127" s="94">
        <f t="shared" si="1000"/>
        <v>0.2962812457054112</v>
      </c>
      <c r="CO127" s="94">
        <f t="shared" si="1000"/>
        <v>0.2962812457054112</v>
      </c>
      <c r="CP127" s="94">
        <f t="shared" si="1000"/>
        <v>0.2962812457054112</v>
      </c>
      <c r="CQ127" s="94">
        <f t="shared" si="1000"/>
        <v>0.2962812457054112</v>
      </c>
      <c r="CR127" s="94">
        <f t="shared" si="1000"/>
        <v>0.2962812457054112</v>
      </c>
      <c r="CS127" s="94">
        <f t="shared" si="1000"/>
        <v>0.2962812457054112</v>
      </c>
      <c r="CT127" s="94">
        <f t="shared" si="1000"/>
        <v>0.2962812457054112</v>
      </c>
      <c r="CU127" s="94">
        <f t="shared" si="1000"/>
        <v>0.2962812457054112</v>
      </c>
      <c r="CV127" s="94">
        <f t="shared" si="1000"/>
        <v>0.2962812457054112</v>
      </c>
      <c r="CW127" s="94">
        <f t="shared" si="1000"/>
        <v>0.2962812457054112</v>
      </c>
      <c r="CX127" s="94">
        <f t="shared" si="1000"/>
        <v>0.2962812457054112</v>
      </c>
      <c r="CY127" s="94">
        <f t="shared" si="1000"/>
        <v>0.2962812457054112</v>
      </c>
      <c r="CZ127" s="94">
        <f t="shared" si="1000"/>
        <v>0.2962812457054112</v>
      </c>
      <c r="DA127" s="94">
        <f t="shared" si="1000"/>
        <v>0.2962812457054112</v>
      </c>
      <c r="DB127" s="94">
        <f t="shared" si="1000"/>
        <v>0.2962812457054112</v>
      </c>
      <c r="DE127" s="159"/>
      <c r="DF127" s="158">
        <v>0.29612749704452707</v>
      </c>
    </row>
    <row r="128" spans="1:110" s="4" customFormat="1" x14ac:dyDescent="0.2">
      <c r="A128" s="3"/>
      <c r="AB128" s="17"/>
      <c r="AC128" s="17"/>
      <c r="AD128" s="17"/>
      <c r="AE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E128" s="119"/>
    </row>
    <row r="129" spans="1:110" s="4" customFormat="1" x14ac:dyDescent="0.2">
      <c r="A129" s="3"/>
      <c r="AB129" s="17"/>
      <c r="AC129" s="17"/>
      <c r="AD129" s="17"/>
      <c r="AE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E129" s="119"/>
    </row>
    <row r="130" spans="1:110" s="157" customFormat="1" x14ac:dyDescent="0.2">
      <c r="A130" s="49" t="s">
        <v>340</v>
      </c>
      <c r="B130" s="157" t="e">
        <f t="shared" ref="B130:AE130" si="1001">+B101*B88</f>
        <v>#DIV/0!</v>
      </c>
      <c r="C130" s="157" t="e">
        <f t="shared" si="1001"/>
        <v>#DIV/0!</v>
      </c>
      <c r="D130" s="157">
        <f t="shared" si="1001"/>
        <v>0</v>
      </c>
      <c r="E130" s="157" t="e">
        <f t="shared" ca="1" si="1001"/>
        <v>#DIV/0!</v>
      </c>
      <c r="F130" s="157" t="e">
        <f t="shared" ca="1" si="1001"/>
        <v>#DIV/0!</v>
      </c>
      <c r="G130" s="157" t="e">
        <f t="shared" ca="1" si="1001"/>
        <v>#DIV/0!</v>
      </c>
      <c r="H130" s="157" t="e">
        <f t="shared" ca="1" si="1001"/>
        <v>#DIV/0!</v>
      </c>
      <c r="I130" s="157" t="e">
        <f t="shared" ca="1" si="1001"/>
        <v>#DIV/0!</v>
      </c>
      <c r="J130" s="157" t="e">
        <f t="shared" ca="1" si="1001"/>
        <v>#DIV/0!</v>
      </c>
      <c r="K130" s="157" t="e">
        <f t="shared" ca="1" si="1001"/>
        <v>#DIV/0!</v>
      </c>
      <c r="L130" s="157" t="e">
        <f t="shared" ca="1" si="1001"/>
        <v>#DIV/0!</v>
      </c>
      <c r="M130" s="157" t="e">
        <f t="shared" ca="1" si="1001"/>
        <v>#DIV/0!</v>
      </c>
      <c r="N130" s="157" t="e">
        <f t="shared" ca="1" si="1001"/>
        <v>#DIV/0!</v>
      </c>
      <c r="O130" s="157" t="e">
        <f t="shared" ca="1" si="1001"/>
        <v>#DIV/0!</v>
      </c>
      <c r="P130" s="157" t="e">
        <f t="shared" ca="1" si="1001"/>
        <v>#DIV/0!</v>
      </c>
      <c r="Q130" s="157" t="e">
        <f t="shared" ca="1" si="1001"/>
        <v>#DIV/0!</v>
      </c>
      <c r="R130" s="157" t="e">
        <f t="shared" ca="1" si="1001"/>
        <v>#DIV/0!</v>
      </c>
      <c r="S130" s="157" t="e">
        <f t="shared" ca="1" si="1001"/>
        <v>#DIV/0!</v>
      </c>
      <c r="T130" s="157" t="e">
        <f t="shared" ca="1" si="1001"/>
        <v>#DIV/0!</v>
      </c>
      <c r="U130" s="157" t="e">
        <f t="shared" ca="1" si="1001"/>
        <v>#DIV/0!</v>
      </c>
      <c r="V130" s="157" t="e">
        <f t="shared" ca="1" si="1001"/>
        <v>#DIV/0!</v>
      </c>
      <c r="W130" s="157" t="e">
        <f t="shared" ca="1" si="1001"/>
        <v>#DIV/0!</v>
      </c>
      <c r="X130" s="157" t="e">
        <f t="shared" ca="1" si="1001"/>
        <v>#DIV/0!</v>
      </c>
      <c r="Y130" s="157" t="e">
        <f t="shared" ca="1" si="1001"/>
        <v>#DIV/0!</v>
      </c>
      <c r="Z130" s="157" t="e">
        <f t="shared" ca="1" si="1001"/>
        <v>#DIV/0!</v>
      </c>
      <c r="AA130" s="157" t="e">
        <f t="shared" ref="AA130" ca="1" si="1002">+AA101*AA88</f>
        <v>#DIV/0!</v>
      </c>
      <c r="AB130" s="21" t="e">
        <f t="shared" ca="1" si="1001"/>
        <v>#DIV/0!</v>
      </c>
      <c r="AC130" s="21" t="e">
        <f t="shared" ca="1" si="1001"/>
        <v>#DIV/0!</v>
      </c>
      <c r="AD130" s="21" t="e">
        <f t="shared" ca="1" si="1001"/>
        <v>#DIV/0!</v>
      </c>
      <c r="AE130" s="21" t="e">
        <f t="shared" ca="1" si="1001"/>
        <v>#DIV/0!</v>
      </c>
      <c r="AL130" s="157">
        <f t="shared" ref="AL130:BQ130" si="1003">+AL101*AL88</f>
        <v>0</v>
      </c>
      <c r="AM130" s="157">
        <f t="shared" si="1003"/>
        <v>0</v>
      </c>
      <c r="AN130" s="157">
        <f t="shared" si="1003"/>
        <v>0</v>
      </c>
      <c r="AO130" s="157">
        <f t="shared" si="1003"/>
        <v>0</v>
      </c>
      <c r="AP130" s="157">
        <f t="shared" si="1003"/>
        <v>0</v>
      </c>
      <c r="AQ130" s="157">
        <f t="shared" si="1003"/>
        <v>0</v>
      </c>
      <c r="AR130" s="157">
        <f t="shared" si="1003"/>
        <v>0</v>
      </c>
      <c r="AS130" s="157">
        <f t="shared" si="1003"/>
        <v>0</v>
      </c>
      <c r="AT130" s="157">
        <f t="shared" si="1003"/>
        <v>0</v>
      </c>
      <c r="AU130" s="157">
        <f t="shared" si="1003"/>
        <v>0</v>
      </c>
      <c r="AV130" s="157">
        <f t="shared" si="1003"/>
        <v>0</v>
      </c>
      <c r="AW130" s="157">
        <f t="shared" si="1003"/>
        <v>0</v>
      </c>
      <c r="AX130" s="157">
        <f t="shared" si="1003"/>
        <v>0</v>
      </c>
      <c r="AY130" s="157">
        <f t="shared" si="1003"/>
        <v>0</v>
      </c>
      <c r="AZ130" s="157">
        <f t="shared" si="1003"/>
        <v>0</v>
      </c>
      <c r="BA130" s="157">
        <f t="shared" si="1003"/>
        <v>0</v>
      </c>
      <c r="BB130" s="157">
        <f t="shared" si="1003"/>
        <v>0</v>
      </c>
      <c r="BC130" s="157">
        <f t="shared" si="1003"/>
        <v>0</v>
      </c>
      <c r="BD130" s="157">
        <f t="shared" si="1003"/>
        <v>0</v>
      </c>
      <c r="BE130" s="157">
        <f t="shared" si="1003"/>
        <v>0</v>
      </c>
      <c r="BF130" s="157">
        <f t="shared" si="1003"/>
        <v>0</v>
      </c>
      <c r="BG130" s="157">
        <f t="shared" si="1003"/>
        <v>0</v>
      </c>
      <c r="BH130" s="157">
        <f t="shared" si="1003"/>
        <v>0</v>
      </c>
      <c r="BI130" s="157">
        <f t="shared" si="1003"/>
        <v>0</v>
      </c>
      <c r="BJ130" s="157">
        <f t="shared" si="1003"/>
        <v>0</v>
      </c>
      <c r="BK130" s="157">
        <f t="shared" si="1003"/>
        <v>0</v>
      </c>
      <c r="BL130" s="157">
        <f t="shared" si="1003"/>
        <v>0</v>
      </c>
      <c r="BM130" s="157">
        <f t="shared" si="1003"/>
        <v>0</v>
      </c>
      <c r="BN130" s="157">
        <f t="shared" si="1003"/>
        <v>0</v>
      </c>
      <c r="BO130" s="157">
        <f t="shared" si="1003"/>
        <v>0</v>
      </c>
      <c r="BP130" s="157">
        <f t="shared" si="1003"/>
        <v>0</v>
      </c>
      <c r="BQ130" s="157">
        <f t="shared" si="1003"/>
        <v>0</v>
      </c>
      <c r="BR130" s="157">
        <f t="shared" ref="BR130:CJ130" si="1004">+BR101*BR88</f>
        <v>0</v>
      </c>
      <c r="BS130" s="157">
        <f t="shared" si="1004"/>
        <v>0</v>
      </c>
      <c r="BT130" s="157">
        <f t="shared" si="1004"/>
        <v>0</v>
      </c>
      <c r="BU130" s="157">
        <f t="shared" si="1004"/>
        <v>0</v>
      </c>
      <c r="BV130" s="157">
        <f t="shared" si="1004"/>
        <v>67031.774999999994</v>
      </c>
      <c r="BW130" s="157">
        <f t="shared" si="1004"/>
        <v>113772.6755</v>
      </c>
      <c r="BX130" s="157">
        <f t="shared" si="1004"/>
        <v>109051.307</v>
      </c>
      <c r="BY130" s="157">
        <f t="shared" si="1004"/>
        <v>99090.45</v>
      </c>
      <c r="BZ130" s="157">
        <f t="shared" si="1004"/>
        <v>80658.331000000006</v>
      </c>
      <c r="CA130" s="157">
        <f t="shared" si="1004"/>
        <v>65982.581999999995</v>
      </c>
      <c r="CB130" s="157">
        <f t="shared" si="1004"/>
        <v>54732.9015</v>
      </c>
      <c r="CC130" s="157">
        <f t="shared" si="1004"/>
        <v>53107.3</v>
      </c>
      <c r="CD130" s="157">
        <f t="shared" si="1004"/>
        <v>52938.911</v>
      </c>
      <c r="CE130" s="157">
        <f t="shared" si="1004"/>
        <v>49480.46</v>
      </c>
      <c r="CF130" s="157">
        <f t="shared" si="1004"/>
        <v>52330.12</v>
      </c>
      <c r="CG130" s="157">
        <f t="shared" si="1004"/>
        <v>46060.868000000002</v>
      </c>
      <c r="CH130" s="157">
        <f t="shared" si="1004"/>
        <v>43081.678</v>
      </c>
      <c r="CI130" s="157">
        <f t="shared" si="1004"/>
        <v>37725.612500000003</v>
      </c>
      <c r="CJ130" s="157">
        <f t="shared" si="1004"/>
        <v>36967.862000000001</v>
      </c>
      <c r="CK130" s="157">
        <f t="shared" ref="CK130:CL130" si="1005">+CK101*CK88</f>
        <v>36644.036999999997</v>
      </c>
      <c r="CL130" s="157">
        <f t="shared" si="1005"/>
        <v>31323.726000000002</v>
      </c>
      <c r="CM130" s="21">
        <f t="shared" ref="CM130:DB130" si="1006">+CM101*CM88</f>
        <v>33107.267577802049</v>
      </c>
      <c r="CN130" s="21">
        <f t="shared" si="1006"/>
        <v>35855.703042150628</v>
      </c>
      <c r="CO130" s="21">
        <f t="shared" si="1006"/>
        <v>37171.290699036806</v>
      </c>
      <c r="CP130" s="21">
        <f t="shared" si="1006"/>
        <v>40077.06582121634</v>
      </c>
      <c r="CQ130" s="21">
        <f t="shared" si="1006"/>
        <v>40089.7335103285</v>
      </c>
      <c r="CR130" s="21">
        <f t="shared" si="1006"/>
        <v>39196.109415807688</v>
      </c>
      <c r="CS130" s="21">
        <f t="shared" si="1006"/>
        <v>39163.294480014629</v>
      </c>
      <c r="CT130" s="21">
        <f t="shared" si="1006"/>
        <v>40297.986053818378</v>
      </c>
      <c r="CU130" s="21">
        <f t="shared" si="1006"/>
        <v>40445.960289336152</v>
      </c>
      <c r="CV130" s="21">
        <f t="shared" si="1006"/>
        <v>40519.664641279131</v>
      </c>
      <c r="CW130" s="21">
        <f t="shared" si="1006"/>
        <v>40598.820682626043</v>
      </c>
      <c r="CX130" s="21">
        <f t="shared" si="1006"/>
        <v>40466.284616647543</v>
      </c>
      <c r="CY130" s="21">
        <f t="shared" si="1006"/>
        <v>40554.289375524015</v>
      </c>
      <c r="CZ130" s="21">
        <f t="shared" si="1006"/>
        <v>40594.03346902669</v>
      </c>
      <c r="DA130" s="21">
        <f t="shared" si="1006"/>
        <v>40692.889775831667</v>
      </c>
      <c r="DB130" s="21">
        <f t="shared" si="1006"/>
        <v>40997.326158690114</v>
      </c>
      <c r="DE130" s="22"/>
      <c r="DF130" s="157">
        <v>31372.165999999997</v>
      </c>
    </row>
    <row r="131" spans="1:110" s="157" customFormat="1" x14ac:dyDescent="0.2">
      <c r="A131" s="49" t="s">
        <v>341</v>
      </c>
      <c r="B131" s="157" t="e">
        <f t="shared" ref="B131:AE131" si="1007">+B102*B88</f>
        <v>#DIV/0!</v>
      </c>
      <c r="C131" s="157" t="e">
        <f t="shared" si="1007"/>
        <v>#DIV/0!</v>
      </c>
      <c r="D131" s="157">
        <f t="shared" si="1007"/>
        <v>0</v>
      </c>
      <c r="E131" s="157" t="e">
        <f t="shared" ca="1" si="1007"/>
        <v>#DIV/0!</v>
      </c>
      <c r="F131" s="157" t="e">
        <f t="shared" ca="1" si="1007"/>
        <v>#DIV/0!</v>
      </c>
      <c r="G131" s="157" t="e">
        <f t="shared" ca="1" si="1007"/>
        <v>#DIV/0!</v>
      </c>
      <c r="H131" s="157" t="e">
        <f t="shared" ca="1" si="1007"/>
        <v>#DIV/0!</v>
      </c>
      <c r="I131" s="157" t="e">
        <f t="shared" ca="1" si="1007"/>
        <v>#DIV/0!</v>
      </c>
      <c r="J131" s="157" t="e">
        <f t="shared" ca="1" si="1007"/>
        <v>#DIV/0!</v>
      </c>
      <c r="K131" s="157" t="e">
        <f t="shared" ca="1" si="1007"/>
        <v>#DIV/0!</v>
      </c>
      <c r="L131" s="157" t="e">
        <f t="shared" ca="1" si="1007"/>
        <v>#DIV/0!</v>
      </c>
      <c r="M131" s="157" t="e">
        <f t="shared" ca="1" si="1007"/>
        <v>#DIV/0!</v>
      </c>
      <c r="N131" s="157" t="e">
        <f t="shared" ca="1" si="1007"/>
        <v>#DIV/0!</v>
      </c>
      <c r="O131" s="157" t="e">
        <f t="shared" ca="1" si="1007"/>
        <v>#DIV/0!</v>
      </c>
      <c r="P131" s="157" t="e">
        <f t="shared" ca="1" si="1007"/>
        <v>#DIV/0!</v>
      </c>
      <c r="Q131" s="157" t="e">
        <f t="shared" ca="1" si="1007"/>
        <v>#DIV/0!</v>
      </c>
      <c r="R131" s="157" t="e">
        <f t="shared" ca="1" si="1007"/>
        <v>#DIV/0!</v>
      </c>
      <c r="S131" s="157" t="e">
        <f t="shared" ca="1" si="1007"/>
        <v>#DIV/0!</v>
      </c>
      <c r="T131" s="157" t="e">
        <f t="shared" ca="1" si="1007"/>
        <v>#DIV/0!</v>
      </c>
      <c r="U131" s="157" t="e">
        <f t="shared" ca="1" si="1007"/>
        <v>#DIV/0!</v>
      </c>
      <c r="V131" s="157" t="e">
        <f t="shared" ca="1" si="1007"/>
        <v>#DIV/0!</v>
      </c>
      <c r="W131" s="157" t="e">
        <f t="shared" ca="1" si="1007"/>
        <v>#DIV/0!</v>
      </c>
      <c r="X131" s="157" t="e">
        <f t="shared" ca="1" si="1007"/>
        <v>#DIV/0!</v>
      </c>
      <c r="Y131" s="157" t="e">
        <f t="shared" ca="1" si="1007"/>
        <v>#DIV/0!</v>
      </c>
      <c r="Z131" s="157" t="e">
        <f t="shared" ca="1" si="1007"/>
        <v>#DIV/0!</v>
      </c>
      <c r="AA131" s="157" t="e">
        <f t="shared" ref="AA131" ca="1" si="1008">+AA102*AA88</f>
        <v>#DIV/0!</v>
      </c>
      <c r="AB131" s="21" t="e">
        <f t="shared" ca="1" si="1007"/>
        <v>#DIV/0!</v>
      </c>
      <c r="AC131" s="21" t="e">
        <f t="shared" ca="1" si="1007"/>
        <v>#DIV/0!</v>
      </c>
      <c r="AD131" s="21" t="e">
        <f t="shared" ca="1" si="1007"/>
        <v>#DIV/0!</v>
      </c>
      <c r="AE131" s="21" t="e">
        <f t="shared" ca="1" si="1007"/>
        <v>#DIV/0!</v>
      </c>
      <c r="AL131" s="157">
        <f t="shared" ref="AL131:BQ131" si="1009">+AL102*AL88</f>
        <v>0</v>
      </c>
      <c r="AM131" s="157">
        <f t="shared" si="1009"/>
        <v>0</v>
      </c>
      <c r="AN131" s="157">
        <f t="shared" si="1009"/>
        <v>0</v>
      </c>
      <c r="AO131" s="157">
        <f t="shared" si="1009"/>
        <v>0</v>
      </c>
      <c r="AP131" s="157">
        <f t="shared" si="1009"/>
        <v>0</v>
      </c>
      <c r="AQ131" s="157">
        <f t="shared" si="1009"/>
        <v>0</v>
      </c>
      <c r="AR131" s="157">
        <f t="shared" si="1009"/>
        <v>0</v>
      </c>
      <c r="AS131" s="157">
        <f t="shared" si="1009"/>
        <v>0</v>
      </c>
      <c r="AT131" s="157">
        <f t="shared" si="1009"/>
        <v>0</v>
      </c>
      <c r="AU131" s="157">
        <f t="shared" si="1009"/>
        <v>0</v>
      </c>
      <c r="AV131" s="157">
        <f t="shared" si="1009"/>
        <v>0</v>
      </c>
      <c r="AW131" s="157">
        <f t="shared" si="1009"/>
        <v>0</v>
      </c>
      <c r="AX131" s="157">
        <f t="shared" si="1009"/>
        <v>0</v>
      </c>
      <c r="AY131" s="157">
        <f t="shared" si="1009"/>
        <v>0</v>
      </c>
      <c r="AZ131" s="157">
        <f t="shared" si="1009"/>
        <v>0</v>
      </c>
      <c r="BA131" s="157">
        <f t="shared" si="1009"/>
        <v>0</v>
      </c>
      <c r="BB131" s="157">
        <f t="shared" si="1009"/>
        <v>0</v>
      </c>
      <c r="BC131" s="157">
        <f t="shared" si="1009"/>
        <v>0</v>
      </c>
      <c r="BD131" s="157">
        <f t="shared" si="1009"/>
        <v>0</v>
      </c>
      <c r="BE131" s="157">
        <f t="shared" si="1009"/>
        <v>0</v>
      </c>
      <c r="BF131" s="157">
        <f t="shared" si="1009"/>
        <v>0</v>
      </c>
      <c r="BG131" s="157">
        <f t="shared" si="1009"/>
        <v>0</v>
      </c>
      <c r="BH131" s="157">
        <f t="shared" si="1009"/>
        <v>0</v>
      </c>
      <c r="BI131" s="157">
        <f t="shared" si="1009"/>
        <v>0</v>
      </c>
      <c r="BJ131" s="157">
        <f t="shared" si="1009"/>
        <v>0</v>
      </c>
      <c r="BK131" s="157">
        <f t="shared" si="1009"/>
        <v>0</v>
      </c>
      <c r="BL131" s="157">
        <f t="shared" si="1009"/>
        <v>0</v>
      </c>
      <c r="BM131" s="157">
        <f t="shared" si="1009"/>
        <v>0</v>
      </c>
      <c r="BN131" s="157">
        <f t="shared" si="1009"/>
        <v>0</v>
      </c>
      <c r="BO131" s="157">
        <f t="shared" si="1009"/>
        <v>0</v>
      </c>
      <c r="BP131" s="157">
        <f t="shared" si="1009"/>
        <v>0</v>
      </c>
      <c r="BQ131" s="157">
        <f t="shared" si="1009"/>
        <v>0</v>
      </c>
      <c r="BR131" s="157">
        <f t="shared" ref="BR131:CJ131" si="1010">+BR102*BR88</f>
        <v>0</v>
      </c>
      <c r="BS131" s="157">
        <f t="shared" si="1010"/>
        <v>0</v>
      </c>
      <c r="BT131" s="157">
        <f t="shared" si="1010"/>
        <v>0</v>
      </c>
      <c r="BU131" s="157">
        <f t="shared" si="1010"/>
        <v>0</v>
      </c>
      <c r="BV131" s="157">
        <f t="shared" si="1010"/>
        <v>0</v>
      </c>
      <c r="BW131" s="157">
        <f t="shared" si="1010"/>
        <v>67439.794500000004</v>
      </c>
      <c r="BX131" s="157">
        <f t="shared" si="1010"/>
        <v>71675.425499999998</v>
      </c>
      <c r="BY131" s="157">
        <f t="shared" si="1010"/>
        <v>63767.618999999999</v>
      </c>
      <c r="BZ131" s="157">
        <f t="shared" si="1010"/>
        <v>42356.31</v>
      </c>
      <c r="CA131" s="157">
        <f t="shared" si="1010"/>
        <v>47407.98</v>
      </c>
      <c r="CB131" s="157">
        <f t="shared" si="1010"/>
        <v>43651.61</v>
      </c>
      <c r="CC131" s="157">
        <f t="shared" si="1010"/>
        <v>37026.150500000003</v>
      </c>
      <c r="CD131" s="157">
        <f t="shared" si="1010"/>
        <v>41449.599999999999</v>
      </c>
      <c r="CE131" s="157">
        <f t="shared" si="1010"/>
        <v>40879.668000000005</v>
      </c>
      <c r="CF131" s="157">
        <f t="shared" si="1010"/>
        <v>40879.668000000005</v>
      </c>
      <c r="CG131" s="157">
        <f t="shared" si="1010"/>
        <v>36164.775999999998</v>
      </c>
      <c r="CH131" s="157">
        <f t="shared" si="1010"/>
        <v>29992.6715</v>
      </c>
      <c r="CI131" s="157">
        <f t="shared" si="1010"/>
        <v>31741.326500000003</v>
      </c>
      <c r="CJ131" s="157">
        <f t="shared" si="1010"/>
        <v>32026.2925</v>
      </c>
      <c r="CK131" s="157">
        <f t="shared" ref="CK131:CL131" si="1011">+CK102*CK88</f>
        <v>30439.55</v>
      </c>
      <c r="CL131" s="157">
        <f t="shared" si="1011"/>
        <v>22141.296000000002</v>
      </c>
      <c r="CM131" s="21">
        <f t="shared" ref="CM131:DB131" si="1012">+CM102*CM88</f>
        <v>23401.999212715564</v>
      </c>
      <c r="CN131" s="21">
        <f t="shared" si="1012"/>
        <v>25344.741374137851</v>
      </c>
      <c r="CO131" s="21">
        <f t="shared" si="1012"/>
        <v>26274.669561003717</v>
      </c>
      <c r="CP131" s="21">
        <f t="shared" si="1012"/>
        <v>28328.62786371692</v>
      </c>
      <c r="CQ131" s="21">
        <f t="shared" si="1012"/>
        <v>28337.582068407261</v>
      </c>
      <c r="CR131" s="21">
        <f t="shared" si="1012"/>
        <v>27705.920445855805</v>
      </c>
      <c r="CS131" s="21">
        <f t="shared" si="1012"/>
        <v>27682.725082487628</v>
      </c>
      <c r="CT131" s="21">
        <f t="shared" si="1012"/>
        <v>28484.786178421578</v>
      </c>
      <c r="CU131" s="21">
        <f t="shared" si="1012"/>
        <v>28589.382334989055</v>
      </c>
      <c r="CV131" s="21">
        <f t="shared" si="1012"/>
        <v>28641.480539170047</v>
      </c>
      <c r="CW131" s="21">
        <f t="shared" si="1012"/>
        <v>28697.432290939629</v>
      </c>
      <c r="CX131" s="21">
        <f t="shared" si="1012"/>
        <v>28603.748663790495</v>
      </c>
      <c r="CY131" s="21">
        <f t="shared" si="1012"/>
        <v>28665.955165523163</v>
      </c>
      <c r="CZ131" s="21">
        <f t="shared" si="1012"/>
        <v>28694.048430624971</v>
      </c>
      <c r="DA131" s="21">
        <f t="shared" si="1012"/>
        <v>28763.925390678698</v>
      </c>
      <c r="DB131" s="21">
        <f t="shared" si="1012"/>
        <v>28979.117416877569</v>
      </c>
      <c r="DE131" s="22"/>
      <c r="DF131" s="157">
        <v>22175.536</v>
      </c>
    </row>
    <row r="132" spans="1:110" s="157" customFormat="1" x14ac:dyDescent="0.2">
      <c r="A132" s="49" t="s">
        <v>80</v>
      </c>
      <c r="B132" s="157">
        <f>+B191</f>
        <v>0</v>
      </c>
      <c r="C132" s="157">
        <f t="shared" ref="C132:W132" si="1013">+C191</f>
        <v>0</v>
      </c>
      <c r="D132" s="157">
        <f t="shared" si="1013"/>
        <v>-2.7379999999999995</v>
      </c>
      <c r="E132" s="157">
        <f t="shared" si="1013"/>
        <v>-5.9770000000000039</v>
      </c>
      <c r="F132" s="157">
        <f t="shared" si="1013"/>
        <v>6.0500000000000114</v>
      </c>
      <c r="G132" s="157">
        <f t="shared" si="1013"/>
        <v>25.304000000000002</v>
      </c>
      <c r="H132" s="157">
        <f t="shared" si="1013"/>
        <v>19.927999999999997</v>
      </c>
      <c r="I132" s="157">
        <f t="shared" si="1013"/>
        <v>-39.239999999999995</v>
      </c>
      <c r="J132" s="157">
        <f t="shared" si="1013"/>
        <v>154.48399999999998</v>
      </c>
      <c r="K132" s="157">
        <f t="shared" si="1013"/>
        <v>383.81</v>
      </c>
      <c r="L132" s="157">
        <f t="shared" si="1013"/>
        <v>875.52699999999993</v>
      </c>
      <c r="M132" s="157">
        <f t="shared" si="1013"/>
        <v>365.96199999999999</v>
      </c>
      <c r="N132" s="157">
        <f t="shared" si="1013"/>
        <v>1049.1620000000003</v>
      </c>
      <c r="O132" s="157">
        <f t="shared" si="1013"/>
        <v>1098.0780000000002</v>
      </c>
      <c r="P132" s="157">
        <f t="shared" si="1013"/>
        <v>1125.0190000000002</v>
      </c>
      <c r="Q132" s="157">
        <f t="shared" si="1013"/>
        <v>1638.6970000000001</v>
      </c>
      <c r="R132" s="157">
        <f t="shared" si="1013"/>
        <v>1712.2079999999999</v>
      </c>
      <c r="S132" s="157">
        <f t="shared" si="1013"/>
        <v>1152.8019999999999</v>
      </c>
      <c r="T132" s="157">
        <f t="shared" si="1013"/>
        <v>613.99500000000012</v>
      </c>
      <c r="U132" s="157">
        <f t="shared" si="1013"/>
        <v>868.17499999999973</v>
      </c>
      <c r="V132" s="157">
        <f t="shared" si="1013"/>
        <v>1711.46</v>
      </c>
      <c r="W132" s="157">
        <f t="shared" si="1013"/>
        <v>-1975.8899999999999</v>
      </c>
      <c r="X132" s="157">
        <f t="shared" ref="X132:Y132" si="1014">+X191</f>
        <v>-1548.4</v>
      </c>
      <c r="Y132" s="157">
        <f t="shared" si="1014"/>
        <v>-394.19000000000005</v>
      </c>
      <c r="Z132" s="157">
        <f t="shared" ref="Z132:AA132" si="1015">+Z191</f>
        <v>439</v>
      </c>
      <c r="AA132" s="157">
        <f t="shared" si="1015"/>
        <v>-1554.42</v>
      </c>
      <c r="AB132" s="21">
        <f t="shared" ref="AA132:AD132" si="1016">+AB191</f>
        <v>-3290.0262028923516</v>
      </c>
      <c r="AC132" s="21">
        <f t="shared" si="1016"/>
        <v>-4969.2723222158284</v>
      </c>
      <c r="AD132" s="21">
        <f t="shared" si="1016"/>
        <v>-6538.2027240660964</v>
      </c>
      <c r="AE132" s="21">
        <f t="shared" ref="AE132" si="1017">+AE191</f>
        <v>-8085.9743496226238</v>
      </c>
      <c r="AL132" s="157">
        <f t="shared" ref="AL132:AM132" si="1018">+AL191</f>
        <v>0</v>
      </c>
      <c r="AM132" s="157" t="e">
        <f t="shared" si="1018"/>
        <v>#DIV/0!</v>
      </c>
      <c r="AN132" s="157">
        <f t="shared" ref="AN132:AO132" si="1019">+AN191</f>
        <v>0</v>
      </c>
      <c r="AO132" s="157" t="e">
        <f t="shared" si="1019"/>
        <v>#DIV/0!</v>
      </c>
      <c r="AP132" s="157">
        <f t="shared" ref="AP132:CD132" si="1020">+AP191</f>
        <v>0</v>
      </c>
      <c r="AQ132" s="157" t="e">
        <f t="shared" si="1020"/>
        <v>#DIV/0!</v>
      </c>
      <c r="AR132" s="157">
        <f t="shared" si="1020"/>
        <v>0</v>
      </c>
      <c r="AS132" s="157" t="e">
        <f t="shared" si="1020"/>
        <v>#DIV/0!</v>
      </c>
      <c r="AT132" s="157">
        <f t="shared" si="1020"/>
        <v>0</v>
      </c>
      <c r="AU132" s="157" t="e">
        <f t="shared" si="1020"/>
        <v>#DIV/0!</v>
      </c>
      <c r="AV132" s="157">
        <f t="shared" si="1020"/>
        <v>0</v>
      </c>
      <c r="AW132" s="157" t="e">
        <f t="shared" si="1020"/>
        <v>#DIV/0!</v>
      </c>
      <c r="AX132" s="157">
        <f t="shared" si="1020"/>
        <v>0</v>
      </c>
      <c r="AY132" s="157" t="e">
        <f t="shared" si="1020"/>
        <v>#DIV/0!</v>
      </c>
      <c r="AZ132" s="157">
        <f t="shared" si="1020"/>
        <v>0</v>
      </c>
      <c r="BA132" s="157" t="e">
        <f t="shared" si="1020"/>
        <v>#DIV/0!</v>
      </c>
      <c r="BB132" s="157">
        <f t="shared" si="1020"/>
        <v>0</v>
      </c>
      <c r="BC132" s="157" t="e">
        <f t="shared" si="1020"/>
        <v>#DIV/0!</v>
      </c>
      <c r="BD132" s="157">
        <f t="shared" si="1020"/>
        <v>0</v>
      </c>
      <c r="BE132" s="157" t="e">
        <f t="shared" si="1020"/>
        <v>#DIV/0!</v>
      </c>
      <c r="BF132" s="157">
        <f t="shared" si="1020"/>
        <v>0</v>
      </c>
      <c r="BG132" s="157" t="e">
        <f t="shared" si="1020"/>
        <v>#DIV/0!</v>
      </c>
      <c r="BH132" s="157">
        <f t="shared" si="1020"/>
        <v>0</v>
      </c>
      <c r="BI132" s="157" t="e">
        <f t="shared" si="1020"/>
        <v>#DIV/0!</v>
      </c>
      <c r="BJ132" s="157">
        <f t="shared" si="1020"/>
        <v>0</v>
      </c>
      <c r="BK132" s="157" t="e">
        <f t="shared" si="1020"/>
        <v>#DIV/0!</v>
      </c>
      <c r="BL132" s="157">
        <f t="shared" si="1020"/>
        <v>0</v>
      </c>
      <c r="BM132" s="157" t="e">
        <f t="shared" si="1020"/>
        <v>#DIV/0!</v>
      </c>
      <c r="BN132" s="157">
        <f t="shared" si="1020"/>
        <v>0</v>
      </c>
      <c r="BO132" s="157" t="e">
        <f t="shared" si="1020"/>
        <v>#DIV/0!</v>
      </c>
      <c r="BP132" s="157">
        <f t="shared" si="1020"/>
        <v>0</v>
      </c>
      <c r="BQ132" s="157" t="e">
        <f t="shared" si="1020"/>
        <v>#DIV/0!</v>
      </c>
      <c r="BR132" s="157">
        <f t="shared" si="1020"/>
        <v>1711.46</v>
      </c>
      <c r="BS132" s="157">
        <f t="shared" si="1020"/>
        <v>1601.6987656315296</v>
      </c>
      <c r="BT132" s="157">
        <f t="shared" si="1020"/>
        <v>0</v>
      </c>
      <c r="BU132" s="157">
        <f t="shared" si="1020"/>
        <v>-211.41000000000099</v>
      </c>
      <c r="BV132" s="157">
        <f t="shared" si="1020"/>
        <v>-1975.8900000000003</v>
      </c>
      <c r="BW132" s="157">
        <f t="shared" si="1020"/>
        <v>-2274.3254407914037</v>
      </c>
      <c r="BX132" s="157">
        <f t="shared" si="1020"/>
        <v>-1490.8400000000001</v>
      </c>
      <c r="BY132" s="157">
        <f t="shared" si="1020"/>
        <v>-1021.0799503463968</v>
      </c>
      <c r="BZ132" s="157">
        <f t="shared" si="1020"/>
        <v>-1548.4</v>
      </c>
      <c r="CA132" s="157">
        <f t="shared" si="1020"/>
        <v>-1984.3994150212202</v>
      </c>
      <c r="CB132" s="157">
        <f t="shared" si="1020"/>
        <v>720.11999999999989</v>
      </c>
      <c r="CC132" s="157">
        <f t="shared" si="1020"/>
        <v>886.93402890646848</v>
      </c>
      <c r="CD132" s="157">
        <f t="shared" si="1020"/>
        <v>-394.19000000000005</v>
      </c>
      <c r="CE132" s="157">
        <f t="shared" ref="CE132:CF132" si="1021">+CE191</f>
        <v>-270.17885155447038</v>
      </c>
      <c r="CF132" s="157">
        <f t="shared" si="1021"/>
        <v>-1356.1399999999999</v>
      </c>
      <c r="CG132" s="157">
        <f t="shared" ref="CG132:CH132" si="1022">+CG191</f>
        <v>-590.97458149999193</v>
      </c>
      <c r="CH132" s="157">
        <f t="shared" si="1022"/>
        <v>439</v>
      </c>
      <c r="CI132" s="157">
        <f t="shared" ref="CI132:CJ132" si="1023">+CI191</f>
        <v>-110.57368143770827</v>
      </c>
      <c r="CJ132" s="157">
        <f t="shared" si="1023"/>
        <v>-955.3</v>
      </c>
      <c r="CK132" s="157">
        <f t="shared" ref="CK132:CL132" si="1024">+CK191</f>
        <v>-1221.6922550564987</v>
      </c>
      <c r="CL132" s="157">
        <f t="shared" si="1024"/>
        <v>-1554.42</v>
      </c>
      <c r="CM132" s="21">
        <f t="shared" ref="CM132:DB132" si="1025">+CM191</f>
        <v>-2277.6366307320468</v>
      </c>
      <c r="CN132" s="21">
        <f t="shared" si="1025"/>
        <v>-2678.8788435006472</v>
      </c>
      <c r="CO132" s="21">
        <f t="shared" si="1025"/>
        <v>-3043.5375634942725</v>
      </c>
      <c r="CP132" s="21">
        <f t="shared" si="1025"/>
        <v>-3290.0262028923516</v>
      </c>
      <c r="CQ132" s="21">
        <f t="shared" si="1025"/>
        <v>-4089.0547539369263</v>
      </c>
      <c r="CR132" s="21">
        <f t="shared" si="1025"/>
        <v>-4413.1438343711015</v>
      </c>
      <c r="CS132" s="21">
        <f t="shared" si="1025"/>
        <v>-4731.3870220840636</v>
      </c>
      <c r="CT132" s="21">
        <f t="shared" si="1025"/>
        <v>-4969.2723222158284</v>
      </c>
      <c r="CU132" s="21">
        <f t="shared" si="1025"/>
        <v>-5716.4838909361097</v>
      </c>
      <c r="CV132" s="21">
        <f t="shared" si="1025"/>
        <v>-6030.971358381661</v>
      </c>
      <c r="CW132" s="21">
        <f t="shared" si="1025"/>
        <v>-6335.2804531234251</v>
      </c>
      <c r="CX132" s="21">
        <f t="shared" si="1025"/>
        <v>-6538.2027240660964</v>
      </c>
      <c r="CY132" s="21">
        <f t="shared" si="1025"/>
        <v>-7309.9904691614365</v>
      </c>
      <c r="CZ132" s="21">
        <f t="shared" si="1025"/>
        <v>-7614.7164366695433</v>
      </c>
      <c r="DA132" s="21">
        <f t="shared" si="1025"/>
        <v>-7905.3549171877075</v>
      </c>
      <c r="DB132" s="21">
        <f t="shared" si="1025"/>
        <v>-8085.9743496226238</v>
      </c>
      <c r="DE132" s="22"/>
      <c r="DF132" s="157">
        <v>-1323.9880141058334</v>
      </c>
    </row>
    <row r="133" spans="1:110" s="157" customFormat="1" x14ac:dyDescent="0.2">
      <c r="A133" s="49" t="s">
        <v>342</v>
      </c>
      <c r="B133" s="157" t="e">
        <f>+B130+B132</f>
        <v>#DIV/0!</v>
      </c>
      <c r="C133" s="157" t="e">
        <f t="shared" ref="C133:W133" si="1026">+C130+C132</f>
        <v>#DIV/0!</v>
      </c>
      <c r="D133" s="157">
        <f t="shared" si="1026"/>
        <v>-2.7379999999999995</v>
      </c>
      <c r="E133" s="157" t="e">
        <f t="shared" ca="1" si="1026"/>
        <v>#DIV/0!</v>
      </c>
      <c r="F133" s="157" t="e">
        <f t="shared" ca="1" si="1026"/>
        <v>#DIV/0!</v>
      </c>
      <c r="G133" s="157" t="e">
        <f t="shared" ca="1" si="1026"/>
        <v>#DIV/0!</v>
      </c>
      <c r="H133" s="157" t="e">
        <f t="shared" ca="1" si="1026"/>
        <v>#DIV/0!</v>
      </c>
      <c r="I133" s="157" t="e">
        <f t="shared" ca="1" si="1026"/>
        <v>#DIV/0!</v>
      </c>
      <c r="J133" s="157" t="e">
        <f t="shared" ca="1" si="1026"/>
        <v>#DIV/0!</v>
      </c>
      <c r="K133" s="157" t="e">
        <f t="shared" ca="1" si="1026"/>
        <v>#DIV/0!</v>
      </c>
      <c r="L133" s="157" t="e">
        <f t="shared" ca="1" si="1026"/>
        <v>#DIV/0!</v>
      </c>
      <c r="M133" s="157" t="e">
        <f t="shared" ca="1" si="1026"/>
        <v>#DIV/0!</v>
      </c>
      <c r="N133" s="157" t="e">
        <f t="shared" ca="1" si="1026"/>
        <v>#DIV/0!</v>
      </c>
      <c r="O133" s="157" t="e">
        <f t="shared" ca="1" si="1026"/>
        <v>#DIV/0!</v>
      </c>
      <c r="P133" s="157" t="e">
        <f t="shared" ca="1" si="1026"/>
        <v>#DIV/0!</v>
      </c>
      <c r="Q133" s="157" t="e">
        <f t="shared" ca="1" si="1026"/>
        <v>#DIV/0!</v>
      </c>
      <c r="R133" s="157" t="e">
        <f t="shared" ca="1" si="1026"/>
        <v>#DIV/0!</v>
      </c>
      <c r="S133" s="157" t="e">
        <f t="shared" ca="1" si="1026"/>
        <v>#DIV/0!</v>
      </c>
      <c r="T133" s="157" t="e">
        <f t="shared" ca="1" si="1026"/>
        <v>#DIV/0!</v>
      </c>
      <c r="U133" s="157" t="e">
        <f t="shared" ca="1" si="1026"/>
        <v>#DIV/0!</v>
      </c>
      <c r="V133" s="157" t="e">
        <f t="shared" ca="1" si="1026"/>
        <v>#DIV/0!</v>
      </c>
      <c r="W133" s="157" t="e">
        <f t="shared" ca="1" si="1026"/>
        <v>#DIV/0!</v>
      </c>
      <c r="X133" s="157" t="e">
        <f t="shared" ref="X133:Y133" ca="1" si="1027">+X130+X132</f>
        <v>#DIV/0!</v>
      </c>
      <c r="Y133" s="157" t="e">
        <f t="shared" ca="1" si="1027"/>
        <v>#DIV/0!</v>
      </c>
      <c r="Z133" s="157" t="e">
        <f t="shared" ref="Z133:AA133" ca="1" si="1028">+Z130+Z132</f>
        <v>#DIV/0!</v>
      </c>
      <c r="AA133" s="157" t="e">
        <f t="shared" ca="1" si="1028"/>
        <v>#DIV/0!</v>
      </c>
      <c r="AB133" s="21" t="e">
        <f t="shared" ref="AA133:AD133" ca="1" si="1029">+AB130+AB132</f>
        <v>#DIV/0!</v>
      </c>
      <c r="AC133" s="21" t="e">
        <f t="shared" ca="1" si="1029"/>
        <v>#DIV/0!</v>
      </c>
      <c r="AD133" s="21" t="e">
        <f t="shared" ca="1" si="1029"/>
        <v>#DIV/0!</v>
      </c>
      <c r="AE133" s="21" t="e">
        <f t="shared" ref="AE133" ca="1" si="1030">+AE130+AE132</f>
        <v>#DIV/0!</v>
      </c>
      <c r="AL133" s="157">
        <f t="shared" ref="AL133" si="1031">+AL130+AL132</f>
        <v>0</v>
      </c>
      <c r="AM133" s="157" t="e">
        <f t="shared" ref="AM133:AO133" si="1032">+AM130+AM132</f>
        <v>#DIV/0!</v>
      </c>
      <c r="AN133" s="157">
        <f t="shared" si="1032"/>
        <v>0</v>
      </c>
      <c r="AO133" s="157" t="e">
        <f t="shared" si="1032"/>
        <v>#DIV/0!</v>
      </c>
      <c r="AP133" s="157">
        <f t="shared" ref="AP133:CD133" si="1033">+AP130+AP132</f>
        <v>0</v>
      </c>
      <c r="AQ133" s="157" t="e">
        <f t="shared" si="1033"/>
        <v>#DIV/0!</v>
      </c>
      <c r="AR133" s="157">
        <f t="shared" si="1033"/>
        <v>0</v>
      </c>
      <c r="AS133" s="157" t="e">
        <f t="shared" si="1033"/>
        <v>#DIV/0!</v>
      </c>
      <c r="AT133" s="157">
        <f t="shared" si="1033"/>
        <v>0</v>
      </c>
      <c r="AU133" s="157" t="e">
        <f t="shared" si="1033"/>
        <v>#DIV/0!</v>
      </c>
      <c r="AV133" s="157">
        <f t="shared" si="1033"/>
        <v>0</v>
      </c>
      <c r="AW133" s="157" t="e">
        <f t="shared" si="1033"/>
        <v>#DIV/0!</v>
      </c>
      <c r="AX133" s="157">
        <f t="shared" si="1033"/>
        <v>0</v>
      </c>
      <c r="AY133" s="157" t="e">
        <f t="shared" si="1033"/>
        <v>#DIV/0!</v>
      </c>
      <c r="AZ133" s="157">
        <f t="shared" si="1033"/>
        <v>0</v>
      </c>
      <c r="BA133" s="157" t="e">
        <f t="shared" si="1033"/>
        <v>#DIV/0!</v>
      </c>
      <c r="BB133" s="157">
        <f t="shared" si="1033"/>
        <v>0</v>
      </c>
      <c r="BC133" s="157" t="e">
        <f t="shared" si="1033"/>
        <v>#DIV/0!</v>
      </c>
      <c r="BD133" s="157">
        <f t="shared" si="1033"/>
        <v>0</v>
      </c>
      <c r="BE133" s="157" t="e">
        <f t="shared" si="1033"/>
        <v>#DIV/0!</v>
      </c>
      <c r="BF133" s="157">
        <f t="shared" si="1033"/>
        <v>0</v>
      </c>
      <c r="BG133" s="157" t="e">
        <f t="shared" si="1033"/>
        <v>#DIV/0!</v>
      </c>
      <c r="BH133" s="157">
        <f t="shared" si="1033"/>
        <v>0</v>
      </c>
      <c r="BI133" s="157" t="e">
        <f t="shared" si="1033"/>
        <v>#DIV/0!</v>
      </c>
      <c r="BJ133" s="157">
        <f t="shared" si="1033"/>
        <v>0</v>
      </c>
      <c r="BK133" s="157" t="e">
        <f t="shared" si="1033"/>
        <v>#DIV/0!</v>
      </c>
      <c r="BL133" s="157">
        <f t="shared" si="1033"/>
        <v>0</v>
      </c>
      <c r="BM133" s="157" t="e">
        <f t="shared" si="1033"/>
        <v>#DIV/0!</v>
      </c>
      <c r="BN133" s="157">
        <f t="shared" si="1033"/>
        <v>0</v>
      </c>
      <c r="BO133" s="157" t="e">
        <f t="shared" si="1033"/>
        <v>#DIV/0!</v>
      </c>
      <c r="BP133" s="157">
        <f t="shared" si="1033"/>
        <v>0</v>
      </c>
      <c r="BQ133" s="157" t="e">
        <f t="shared" si="1033"/>
        <v>#DIV/0!</v>
      </c>
      <c r="BR133" s="157">
        <f t="shared" si="1033"/>
        <v>1711.46</v>
      </c>
      <c r="BS133" s="157">
        <f t="shared" si="1033"/>
        <v>1601.6987656315296</v>
      </c>
      <c r="BT133" s="157">
        <f t="shared" si="1033"/>
        <v>0</v>
      </c>
      <c r="BU133" s="157">
        <f t="shared" si="1033"/>
        <v>-211.41000000000099</v>
      </c>
      <c r="BV133" s="157">
        <f t="shared" si="1033"/>
        <v>65055.884999999995</v>
      </c>
      <c r="BW133" s="157">
        <f t="shared" si="1033"/>
        <v>111498.35005920859</v>
      </c>
      <c r="BX133" s="157">
        <f t="shared" si="1033"/>
        <v>107560.467</v>
      </c>
      <c r="BY133" s="157">
        <f t="shared" si="1033"/>
        <v>98069.370049653604</v>
      </c>
      <c r="BZ133" s="157">
        <f t="shared" si="1033"/>
        <v>79109.931000000011</v>
      </c>
      <c r="CA133" s="157">
        <f t="shared" si="1033"/>
        <v>63998.182584978771</v>
      </c>
      <c r="CB133" s="157">
        <f t="shared" si="1033"/>
        <v>55453.021500000003</v>
      </c>
      <c r="CC133" s="157">
        <f t="shared" si="1033"/>
        <v>53994.234028906474</v>
      </c>
      <c r="CD133" s="157">
        <f t="shared" si="1033"/>
        <v>52544.720999999998</v>
      </c>
      <c r="CE133" s="157">
        <f t="shared" ref="CE133:CF133" si="1034">+CE130+CE132</f>
        <v>49210.281148445531</v>
      </c>
      <c r="CF133" s="157">
        <f t="shared" si="1034"/>
        <v>50973.98</v>
      </c>
      <c r="CG133" s="157">
        <f t="shared" ref="CG133:CH133" si="1035">+CG130+CG132</f>
        <v>45469.893418500011</v>
      </c>
      <c r="CH133" s="157">
        <f t="shared" si="1035"/>
        <v>43520.678</v>
      </c>
      <c r="CI133" s="157">
        <f t="shared" ref="CI133:CJ133" si="1036">+CI130+CI132</f>
        <v>37615.038818562294</v>
      </c>
      <c r="CJ133" s="157">
        <f t="shared" si="1036"/>
        <v>36012.561999999998</v>
      </c>
      <c r="CK133" s="157">
        <f t="shared" ref="CK133:CL133" si="1037">+CK130+CK132</f>
        <v>35422.344744943497</v>
      </c>
      <c r="CL133" s="157">
        <f t="shared" si="1037"/>
        <v>29769.306000000004</v>
      </c>
      <c r="CM133" s="21">
        <f t="shared" ref="CM133:DB133" si="1038">+CM130+CM132</f>
        <v>30829.630947070003</v>
      </c>
      <c r="CN133" s="21">
        <f t="shared" si="1038"/>
        <v>33176.824198649978</v>
      </c>
      <c r="CO133" s="21">
        <f t="shared" si="1038"/>
        <v>34127.753135542531</v>
      </c>
      <c r="CP133" s="21">
        <f t="shared" si="1038"/>
        <v>36787.039618323986</v>
      </c>
      <c r="CQ133" s="21">
        <f t="shared" si="1038"/>
        <v>36000.678756391571</v>
      </c>
      <c r="CR133" s="21">
        <f t="shared" si="1038"/>
        <v>34782.965581436583</v>
      </c>
      <c r="CS133" s="21">
        <f t="shared" si="1038"/>
        <v>34431.907457930567</v>
      </c>
      <c r="CT133" s="21">
        <f t="shared" si="1038"/>
        <v>35328.713731602547</v>
      </c>
      <c r="CU133" s="21">
        <f t="shared" si="1038"/>
        <v>34729.476398400046</v>
      </c>
      <c r="CV133" s="21">
        <f t="shared" si="1038"/>
        <v>34488.693282897468</v>
      </c>
      <c r="CW133" s="21">
        <f t="shared" si="1038"/>
        <v>34263.540229502614</v>
      </c>
      <c r="CX133" s="21">
        <f t="shared" si="1038"/>
        <v>33928.081892581446</v>
      </c>
      <c r="CY133" s="21">
        <f t="shared" si="1038"/>
        <v>33244.298906362579</v>
      </c>
      <c r="CZ133" s="21">
        <f t="shared" si="1038"/>
        <v>32979.317032357147</v>
      </c>
      <c r="DA133" s="21">
        <f t="shared" si="1038"/>
        <v>32787.534858643958</v>
      </c>
      <c r="DB133" s="21">
        <f t="shared" si="1038"/>
        <v>32911.351809067492</v>
      </c>
      <c r="DE133" s="22"/>
      <c r="DF133" s="157">
        <v>30048.177985894163</v>
      </c>
    </row>
    <row r="134" spans="1:110" s="157" customFormat="1" x14ac:dyDescent="0.2">
      <c r="A134" s="49" t="s">
        <v>345</v>
      </c>
      <c r="B134" s="157" t="e">
        <f>+B131+B132</f>
        <v>#DIV/0!</v>
      </c>
      <c r="C134" s="157" t="e">
        <f t="shared" ref="C134:W134" si="1039">+C131+C132</f>
        <v>#DIV/0!</v>
      </c>
      <c r="D134" s="157">
        <f t="shared" si="1039"/>
        <v>-2.7379999999999995</v>
      </c>
      <c r="E134" s="157" t="e">
        <f t="shared" ca="1" si="1039"/>
        <v>#DIV/0!</v>
      </c>
      <c r="F134" s="157" t="e">
        <f t="shared" ca="1" si="1039"/>
        <v>#DIV/0!</v>
      </c>
      <c r="G134" s="157" t="e">
        <f t="shared" ca="1" si="1039"/>
        <v>#DIV/0!</v>
      </c>
      <c r="H134" s="157" t="e">
        <f t="shared" ca="1" si="1039"/>
        <v>#DIV/0!</v>
      </c>
      <c r="I134" s="157" t="e">
        <f t="shared" ca="1" si="1039"/>
        <v>#DIV/0!</v>
      </c>
      <c r="J134" s="157" t="e">
        <f t="shared" ca="1" si="1039"/>
        <v>#DIV/0!</v>
      </c>
      <c r="K134" s="157" t="e">
        <f t="shared" ca="1" si="1039"/>
        <v>#DIV/0!</v>
      </c>
      <c r="L134" s="157" t="e">
        <f t="shared" ca="1" si="1039"/>
        <v>#DIV/0!</v>
      </c>
      <c r="M134" s="157" t="e">
        <f t="shared" ca="1" si="1039"/>
        <v>#DIV/0!</v>
      </c>
      <c r="N134" s="157" t="e">
        <f t="shared" ca="1" si="1039"/>
        <v>#DIV/0!</v>
      </c>
      <c r="O134" s="157" t="e">
        <f t="shared" ca="1" si="1039"/>
        <v>#DIV/0!</v>
      </c>
      <c r="P134" s="157" t="e">
        <f t="shared" ca="1" si="1039"/>
        <v>#DIV/0!</v>
      </c>
      <c r="Q134" s="157" t="e">
        <f t="shared" ca="1" si="1039"/>
        <v>#DIV/0!</v>
      </c>
      <c r="R134" s="157" t="e">
        <f t="shared" ca="1" si="1039"/>
        <v>#DIV/0!</v>
      </c>
      <c r="S134" s="157" t="e">
        <f t="shared" ca="1" si="1039"/>
        <v>#DIV/0!</v>
      </c>
      <c r="T134" s="157" t="e">
        <f t="shared" ca="1" si="1039"/>
        <v>#DIV/0!</v>
      </c>
      <c r="U134" s="157" t="e">
        <f t="shared" ca="1" si="1039"/>
        <v>#DIV/0!</v>
      </c>
      <c r="V134" s="157" t="e">
        <f t="shared" ca="1" si="1039"/>
        <v>#DIV/0!</v>
      </c>
      <c r="W134" s="157" t="e">
        <f t="shared" ca="1" si="1039"/>
        <v>#DIV/0!</v>
      </c>
      <c r="X134" s="157" t="e">
        <f t="shared" ref="X134:Y134" ca="1" si="1040">+X131+X132</f>
        <v>#DIV/0!</v>
      </c>
      <c r="Y134" s="157" t="e">
        <f t="shared" ca="1" si="1040"/>
        <v>#DIV/0!</v>
      </c>
      <c r="Z134" s="157" t="e">
        <f t="shared" ref="Z134:AA134" ca="1" si="1041">+Z131+Z132</f>
        <v>#DIV/0!</v>
      </c>
      <c r="AA134" s="157" t="e">
        <f t="shared" ca="1" si="1041"/>
        <v>#DIV/0!</v>
      </c>
      <c r="AB134" s="21" t="e">
        <f t="shared" ref="AA134:AD134" ca="1" si="1042">+AB131+AB132</f>
        <v>#DIV/0!</v>
      </c>
      <c r="AC134" s="21" t="e">
        <f t="shared" ca="1" si="1042"/>
        <v>#DIV/0!</v>
      </c>
      <c r="AD134" s="21" t="e">
        <f t="shared" ca="1" si="1042"/>
        <v>#DIV/0!</v>
      </c>
      <c r="AE134" s="21" t="e">
        <f t="shared" ref="AE134" ca="1" si="1043">+AE131+AE132</f>
        <v>#DIV/0!</v>
      </c>
      <c r="AL134" s="157">
        <f t="shared" ref="AL134:AM134" si="1044">+AL131+AL132</f>
        <v>0</v>
      </c>
      <c r="AM134" s="157" t="e">
        <f t="shared" si="1044"/>
        <v>#DIV/0!</v>
      </c>
      <c r="AN134" s="157">
        <f t="shared" ref="AN134:AO134" si="1045">+AN131+AN132</f>
        <v>0</v>
      </c>
      <c r="AO134" s="157" t="e">
        <f t="shared" si="1045"/>
        <v>#DIV/0!</v>
      </c>
      <c r="AP134" s="157">
        <f t="shared" ref="AP134:CD134" si="1046">+AP131+AP132</f>
        <v>0</v>
      </c>
      <c r="AQ134" s="157" t="e">
        <f t="shared" si="1046"/>
        <v>#DIV/0!</v>
      </c>
      <c r="AR134" s="157">
        <f t="shared" si="1046"/>
        <v>0</v>
      </c>
      <c r="AS134" s="157" t="e">
        <f t="shared" si="1046"/>
        <v>#DIV/0!</v>
      </c>
      <c r="AT134" s="157">
        <f t="shared" si="1046"/>
        <v>0</v>
      </c>
      <c r="AU134" s="157" t="e">
        <f t="shared" si="1046"/>
        <v>#DIV/0!</v>
      </c>
      <c r="AV134" s="157">
        <f t="shared" si="1046"/>
        <v>0</v>
      </c>
      <c r="AW134" s="157" t="e">
        <f t="shared" si="1046"/>
        <v>#DIV/0!</v>
      </c>
      <c r="AX134" s="157">
        <f t="shared" si="1046"/>
        <v>0</v>
      </c>
      <c r="AY134" s="157" t="e">
        <f t="shared" si="1046"/>
        <v>#DIV/0!</v>
      </c>
      <c r="AZ134" s="157">
        <f t="shared" si="1046"/>
        <v>0</v>
      </c>
      <c r="BA134" s="157" t="e">
        <f t="shared" si="1046"/>
        <v>#DIV/0!</v>
      </c>
      <c r="BB134" s="157">
        <f t="shared" si="1046"/>
        <v>0</v>
      </c>
      <c r="BC134" s="157" t="e">
        <f t="shared" si="1046"/>
        <v>#DIV/0!</v>
      </c>
      <c r="BD134" s="157">
        <f t="shared" si="1046"/>
        <v>0</v>
      </c>
      <c r="BE134" s="157" t="e">
        <f t="shared" si="1046"/>
        <v>#DIV/0!</v>
      </c>
      <c r="BF134" s="157">
        <f t="shared" si="1046"/>
        <v>0</v>
      </c>
      <c r="BG134" s="157" t="e">
        <f t="shared" si="1046"/>
        <v>#DIV/0!</v>
      </c>
      <c r="BH134" s="157">
        <f t="shared" si="1046"/>
        <v>0</v>
      </c>
      <c r="BI134" s="157" t="e">
        <f t="shared" si="1046"/>
        <v>#DIV/0!</v>
      </c>
      <c r="BJ134" s="157">
        <f t="shared" si="1046"/>
        <v>0</v>
      </c>
      <c r="BK134" s="157" t="e">
        <f t="shared" si="1046"/>
        <v>#DIV/0!</v>
      </c>
      <c r="BL134" s="157">
        <f t="shared" si="1046"/>
        <v>0</v>
      </c>
      <c r="BM134" s="157" t="e">
        <f t="shared" si="1046"/>
        <v>#DIV/0!</v>
      </c>
      <c r="BN134" s="157">
        <f t="shared" si="1046"/>
        <v>0</v>
      </c>
      <c r="BO134" s="157" t="e">
        <f t="shared" si="1046"/>
        <v>#DIV/0!</v>
      </c>
      <c r="BP134" s="157">
        <f t="shared" si="1046"/>
        <v>0</v>
      </c>
      <c r="BQ134" s="157" t="e">
        <f t="shared" si="1046"/>
        <v>#DIV/0!</v>
      </c>
      <c r="BR134" s="157">
        <f t="shared" si="1046"/>
        <v>1711.46</v>
      </c>
      <c r="BS134" s="157">
        <f t="shared" si="1046"/>
        <v>1601.6987656315296</v>
      </c>
      <c r="BT134" s="157">
        <f t="shared" si="1046"/>
        <v>0</v>
      </c>
      <c r="BU134" s="157">
        <f t="shared" si="1046"/>
        <v>-211.41000000000099</v>
      </c>
      <c r="BV134" s="157">
        <f t="shared" si="1046"/>
        <v>-1975.8900000000003</v>
      </c>
      <c r="BW134" s="157">
        <f t="shared" si="1046"/>
        <v>65165.469059208597</v>
      </c>
      <c r="BX134" s="157">
        <f t="shared" si="1046"/>
        <v>70184.585500000001</v>
      </c>
      <c r="BY134" s="157">
        <f t="shared" si="1046"/>
        <v>62746.539049653598</v>
      </c>
      <c r="BZ134" s="157">
        <f t="shared" si="1046"/>
        <v>40807.909999999996</v>
      </c>
      <c r="CA134" s="157">
        <f t="shared" si="1046"/>
        <v>45423.580584978787</v>
      </c>
      <c r="CB134" s="157">
        <f t="shared" si="1046"/>
        <v>44371.73</v>
      </c>
      <c r="CC134" s="157">
        <f t="shared" si="1046"/>
        <v>37913.084528906475</v>
      </c>
      <c r="CD134" s="157">
        <f t="shared" si="1046"/>
        <v>41055.409999999996</v>
      </c>
      <c r="CE134" s="157">
        <f t="shared" ref="CE134:CF134" si="1047">+CE131+CE132</f>
        <v>40609.489148445537</v>
      </c>
      <c r="CF134" s="157">
        <f t="shared" si="1047"/>
        <v>39523.528000000006</v>
      </c>
      <c r="CG134" s="157">
        <f t="shared" ref="CG134:CH134" si="1048">+CG131+CG132</f>
        <v>35573.801418500007</v>
      </c>
      <c r="CH134" s="157">
        <f t="shared" si="1048"/>
        <v>30431.6715</v>
      </c>
      <c r="CI134" s="157">
        <f t="shared" ref="CI134:CJ134" si="1049">+CI131+CI132</f>
        <v>31630.752818562294</v>
      </c>
      <c r="CJ134" s="157">
        <f t="shared" si="1049"/>
        <v>31070.9925</v>
      </c>
      <c r="CK134" s="157">
        <f t="shared" ref="CK134:CL134" si="1050">+CK131+CK132</f>
        <v>29217.8577449435</v>
      </c>
      <c r="CL134" s="157">
        <f t="shared" si="1050"/>
        <v>20586.876000000004</v>
      </c>
      <c r="CM134" s="21">
        <f t="shared" ref="CM134:DB134" si="1051">+CM131+CM132</f>
        <v>21124.362581983518</v>
      </c>
      <c r="CN134" s="21">
        <f t="shared" si="1051"/>
        <v>22665.862530637205</v>
      </c>
      <c r="CO134" s="21">
        <f t="shared" si="1051"/>
        <v>23231.131997509445</v>
      </c>
      <c r="CP134" s="21">
        <f t="shared" si="1051"/>
        <v>25038.60166082457</v>
      </c>
      <c r="CQ134" s="21">
        <f t="shared" si="1051"/>
        <v>24248.527314470335</v>
      </c>
      <c r="CR134" s="21">
        <f t="shared" si="1051"/>
        <v>23292.776611484704</v>
      </c>
      <c r="CS134" s="21">
        <f t="shared" si="1051"/>
        <v>22951.338060403563</v>
      </c>
      <c r="CT134" s="21">
        <f t="shared" si="1051"/>
        <v>23515.513856205751</v>
      </c>
      <c r="CU134" s="21">
        <f t="shared" si="1051"/>
        <v>22872.898444052946</v>
      </c>
      <c r="CV134" s="21">
        <f t="shared" si="1051"/>
        <v>22610.509180788387</v>
      </c>
      <c r="CW134" s="21">
        <f t="shared" si="1051"/>
        <v>22362.151837816204</v>
      </c>
      <c r="CX134" s="21">
        <f t="shared" si="1051"/>
        <v>22065.545939724398</v>
      </c>
      <c r="CY134" s="21">
        <f t="shared" si="1051"/>
        <v>21355.964696361727</v>
      </c>
      <c r="CZ134" s="21">
        <f t="shared" si="1051"/>
        <v>21079.331993955428</v>
      </c>
      <c r="DA134" s="21">
        <f t="shared" si="1051"/>
        <v>20858.570473490989</v>
      </c>
      <c r="DB134" s="21">
        <f t="shared" si="1051"/>
        <v>20893.143067254947</v>
      </c>
      <c r="DE134" s="22"/>
      <c r="DF134" s="157">
        <v>20851.547985894165</v>
      </c>
    </row>
    <row r="135" spans="1:110" s="157" customFormat="1" x14ac:dyDescent="0.2">
      <c r="A135" s="49" t="s">
        <v>13</v>
      </c>
      <c r="B135" s="157">
        <f t="shared" ref="B135:AE135" si="1052">+B51</f>
        <v>0</v>
      </c>
      <c r="C135" s="157">
        <f t="shared" si="1052"/>
        <v>0</v>
      </c>
      <c r="D135" s="157">
        <f t="shared" si="1052"/>
        <v>31.524999999999935</v>
      </c>
      <c r="E135" s="157">
        <f t="shared" si="1052"/>
        <v>46.130000000000109</v>
      </c>
      <c r="F135" s="157">
        <f t="shared" si="1052"/>
        <v>18.696999999999832</v>
      </c>
      <c r="G135" s="157">
        <f t="shared" si="1052"/>
        <v>46.495999999999754</v>
      </c>
      <c r="H135" s="157">
        <f t="shared" si="1052"/>
        <v>63.765999999999622</v>
      </c>
      <c r="I135" s="157">
        <f t="shared" si="1052"/>
        <v>111.83799999999991</v>
      </c>
      <c r="J135" s="157">
        <f t="shared" si="1052"/>
        <v>140.12200000000053</v>
      </c>
      <c r="K135" s="157">
        <f t="shared" si="1052"/>
        <v>94.188000000000329</v>
      </c>
      <c r="L135" s="157">
        <f t="shared" si="1052"/>
        <v>82.478000000000065</v>
      </c>
      <c r="M135" s="157">
        <f t="shared" si="1052"/>
        <v>140.79099999999926</v>
      </c>
      <c r="N135" s="157">
        <f t="shared" si="1052"/>
        <v>302.82199999999921</v>
      </c>
      <c r="O135" s="157">
        <f t="shared" si="1052"/>
        <v>194.79199999999855</v>
      </c>
      <c r="P135" s="157">
        <f t="shared" si="1052"/>
        <v>379.32899999999881</v>
      </c>
      <c r="Q135" s="157">
        <f t="shared" si="1052"/>
        <v>517.02900000000182</v>
      </c>
      <c r="R135" s="157">
        <f t="shared" si="1052"/>
        <v>653.5830000000019</v>
      </c>
      <c r="S135" s="157">
        <f t="shared" si="1052"/>
        <v>928.27100000000155</v>
      </c>
      <c r="T135" s="157">
        <f t="shared" si="1052"/>
        <v>1100.5249999999996</v>
      </c>
      <c r="U135" s="157">
        <f t="shared" si="1052"/>
        <v>1309.5250000000015</v>
      </c>
      <c r="V135" s="157">
        <f t="shared" si="1052"/>
        <v>1325.3199999999961</v>
      </c>
      <c r="W135" s="157">
        <f t="shared" si="1052"/>
        <v>1736.2700000000004</v>
      </c>
      <c r="X135" s="157">
        <f t="shared" si="1052"/>
        <v>958.79000000000269</v>
      </c>
      <c r="Y135" s="157">
        <f t="shared" si="1052"/>
        <v>1132.6900000000078</v>
      </c>
      <c r="Z135" s="157">
        <f t="shared" si="1052"/>
        <v>2481.7400000000016</v>
      </c>
      <c r="AA135" s="157">
        <f t="shared" ref="AA135" si="1053">+AA51</f>
        <v>2115.3699999999872</v>
      </c>
      <c r="AB135" s="21">
        <f t="shared" si="1052"/>
        <v>2419.101354231233</v>
      </c>
      <c r="AC135" s="21">
        <f t="shared" si="1052"/>
        <v>2782.3262249813997</v>
      </c>
      <c r="AD135" s="21">
        <f t="shared" si="1052"/>
        <v>3024.5745328604335</v>
      </c>
      <c r="AE135" s="21">
        <f t="shared" si="1052"/>
        <v>3277.6253462642344</v>
      </c>
      <c r="AL135" s="157">
        <f t="shared" ref="AL135:BQ135" si="1054">+SUM(AI51:AL51)</f>
        <v>0</v>
      </c>
      <c r="AM135" s="157">
        <f t="shared" si="1054"/>
        <v>0</v>
      </c>
      <c r="AN135" s="157">
        <f t="shared" si="1054"/>
        <v>0</v>
      </c>
      <c r="AO135" s="157">
        <f t="shared" si="1054"/>
        <v>0</v>
      </c>
      <c r="AP135" s="157">
        <f t="shared" si="1054"/>
        <v>0</v>
      </c>
      <c r="AQ135" s="157">
        <f t="shared" si="1054"/>
        <v>0</v>
      </c>
      <c r="AR135" s="157">
        <f t="shared" si="1054"/>
        <v>0</v>
      </c>
      <c r="AS135" s="157">
        <f t="shared" si="1054"/>
        <v>0</v>
      </c>
      <c r="AT135" s="157">
        <f t="shared" si="1054"/>
        <v>0</v>
      </c>
      <c r="AU135" s="157">
        <f t="shared" si="1054"/>
        <v>0</v>
      </c>
      <c r="AV135" s="157">
        <f t="shared" si="1054"/>
        <v>0</v>
      </c>
      <c r="AW135" s="157">
        <f t="shared" si="1054"/>
        <v>0</v>
      </c>
      <c r="AX135" s="157">
        <f t="shared" si="1054"/>
        <v>0</v>
      </c>
      <c r="AY135" s="157">
        <f t="shared" si="1054"/>
        <v>0</v>
      </c>
      <c r="AZ135" s="157">
        <f t="shared" si="1054"/>
        <v>0</v>
      </c>
      <c r="BA135" s="157">
        <f t="shared" si="1054"/>
        <v>0</v>
      </c>
      <c r="BB135" s="157">
        <f t="shared" si="1054"/>
        <v>0</v>
      </c>
      <c r="BC135" s="157">
        <f t="shared" si="1054"/>
        <v>0</v>
      </c>
      <c r="BD135" s="157">
        <f t="shared" si="1054"/>
        <v>0</v>
      </c>
      <c r="BE135" s="157">
        <f t="shared" si="1054"/>
        <v>0</v>
      </c>
      <c r="BF135" s="157">
        <f t="shared" si="1054"/>
        <v>0</v>
      </c>
      <c r="BG135" s="157">
        <f t="shared" si="1054"/>
        <v>0</v>
      </c>
      <c r="BH135" s="157">
        <f t="shared" si="1054"/>
        <v>0</v>
      </c>
      <c r="BI135" s="157">
        <f t="shared" si="1054"/>
        <v>0</v>
      </c>
      <c r="BJ135" s="157">
        <f t="shared" si="1054"/>
        <v>0</v>
      </c>
      <c r="BK135" s="157">
        <f t="shared" si="1054"/>
        <v>0</v>
      </c>
      <c r="BL135" s="157">
        <f t="shared" si="1054"/>
        <v>0</v>
      </c>
      <c r="BM135" s="157">
        <f t="shared" si="1054"/>
        <v>0</v>
      </c>
      <c r="BN135" s="157">
        <f t="shared" si="1054"/>
        <v>0</v>
      </c>
      <c r="BO135" s="157">
        <f t="shared" si="1054"/>
        <v>0</v>
      </c>
      <c r="BP135" s="157">
        <f t="shared" si="1054"/>
        <v>0</v>
      </c>
      <c r="BQ135" s="157">
        <f t="shared" si="1054"/>
        <v>314.28000000000077</v>
      </c>
      <c r="BR135" s="157">
        <f t="shared" ref="BR135:CW135" si="1055">+SUM(BO51:BR51)</f>
        <v>667.55000000000223</v>
      </c>
      <c r="BS135" s="157">
        <f t="shared" si="1055"/>
        <v>1044.9100000000021</v>
      </c>
      <c r="BT135" s="157">
        <f t="shared" si="1055"/>
        <v>1474.4400000000023</v>
      </c>
      <c r="BU135" s="157">
        <f t="shared" si="1055"/>
        <v>1663.8100000000027</v>
      </c>
      <c r="BV135" s="157">
        <f t="shared" si="1055"/>
        <v>1736.2600000000011</v>
      </c>
      <c r="BW135" s="157">
        <f t="shared" si="1055"/>
        <v>1801.9900000000018</v>
      </c>
      <c r="BX135" s="157">
        <f t="shared" si="1055"/>
        <v>1626.3300000000008</v>
      </c>
      <c r="BY135" s="157">
        <f t="shared" si="1055"/>
        <v>1727.8999999999999</v>
      </c>
      <c r="BZ135" s="157">
        <f t="shared" si="1055"/>
        <v>1420.2899999999993</v>
      </c>
      <c r="CA135" s="157">
        <f t="shared" si="1055"/>
        <v>1107.5999999999981</v>
      </c>
      <c r="CB135" s="157">
        <f t="shared" si="1055"/>
        <v>997.39999999999714</v>
      </c>
      <c r="CC135" s="157">
        <f t="shared" si="1055"/>
        <v>896.75999999999794</v>
      </c>
      <c r="CD135" s="157">
        <f t="shared" si="1055"/>
        <v>1135.6499999999985</v>
      </c>
      <c r="CE135" s="157">
        <f t="shared" si="1055"/>
        <v>1631.4200000000003</v>
      </c>
      <c r="CF135" s="157">
        <f t="shared" si="1055"/>
        <v>2056.6900000000023</v>
      </c>
      <c r="CG135" s="157">
        <f t="shared" si="1055"/>
        <v>2343.7000000000012</v>
      </c>
      <c r="CH135" s="157">
        <f t="shared" si="1055"/>
        <v>2434.9600000000019</v>
      </c>
      <c r="CI135" s="157">
        <f t="shared" si="1055"/>
        <v>2174.6800000000026</v>
      </c>
      <c r="CJ135" s="157">
        <f t="shared" si="1055"/>
        <v>2293.920000000001</v>
      </c>
      <c r="CK135" s="157">
        <f t="shared" si="1055"/>
        <v>2055.33</v>
      </c>
      <c r="CL135" s="157">
        <f t="shared" si="1055"/>
        <v>2130.809999999999</v>
      </c>
      <c r="CM135" s="21">
        <f t="shared" si="1055"/>
        <v>2300.1796965307276</v>
      </c>
      <c r="CN135" s="21">
        <f t="shared" si="1055"/>
        <v>2212.206032634127</v>
      </c>
      <c r="CO135" s="21">
        <f t="shared" si="1055"/>
        <v>2263.1691704154191</v>
      </c>
      <c r="CP135" s="21">
        <f t="shared" si="1055"/>
        <v>2419.1013542312321</v>
      </c>
      <c r="CQ135" s="21">
        <f t="shared" si="1055"/>
        <v>2487.6312944941274</v>
      </c>
      <c r="CR135" s="21">
        <f t="shared" si="1055"/>
        <v>2534.9396138329662</v>
      </c>
      <c r="CS135" s="21">
        <f t="shared" si="1055"/>
        <v>2629.7901289394513</v>
      </c>
      <c r="CT135" s="21">
        <f t="shared" si="1055"/>
        <v>2782.3262249813956</v>
      </c>
      <c r="CU135" s="21">
        <f t="shared" si="1055"/>
        <v>2848.470006617978</v>
      </c>
      <c r="CV135" s="21">
        <f t="shared" si="1055"/>
        <v>2909.3718221667632</v>
      </c>
      <c r="CW135" s="21">
        <f t="shared" si="1055"/>
        <v>2971.1093997567355</v>
      </c>
      <c r="CX135" s="21">
        <f t="shared" ref="CX135:DB135" si="1056">+SUM(CU51:CX51)</f>
        <v>3024.574532860428</v>
      </c>
      <c r="CY135" s="21">
        <f t="shared" si="1056"/>
        <v>3084.8796907161523</v>
      </c>
      <c r="CZ135" s="21">
        <f t="shared" si="1056"/>
        <v>3144.2726940223056</v>
      </c>
      <c r="DA135" s="21">
        <f t="shared" si="1056"/>
        <v>3206.3597241523398</v>
      </c>
      <c r="DB135" s="21">
        <f t="shared" si="1056"/>
        <v>3277.6253462642508</v>
      </c>
      <c r="DE135" s="22"/>
      <c r="DF135" s="157">
        <v>2227.8467722282185</v>
      </c>
    </row>
    <row r="136" spans="1:110" s="157" customFormat="1" x14ac:dyDescent="0.2">
      <c r="A136" s="49" t="s">
        <v>343</v>
      </c>
      <c r="B136" s="157" t="e">
        <f>+B133/B135</f>
        <v>#DIV/0!</v>
      </c>
      <c r="C136" s="157" t="e">
        <f t="shared" ref="C136:W136" si="1057">+C133/C135</f>
        <v>#DIV/0!</v>
      </c>
      <c r="D136" s="157">
        <f t="shared" si="1057"/>
        <v>-8.6851704996035062E-2</v>
      </c>
      <c r="E136" s="157" t="e">
        <f t="shared" ca="1" si="1057"/>
        <v>#DIV/0!</v>
      </c>
      <c r="F136" s="157" t="e">
        <f t="shared" ca="1" si="1057"/>
        <v>#DIV/0!</v>
      </c>
      <c r="G136" s="157" t="e">
        <f t="shared" ca="1" si="1057"/>
        <v>#DIV/0!</v>
      </c>
      <c r="H136" s="157" t="e">
        <f t="shared" ca="1" si="1057"/>
        <v>#DIV/0!</v>
      </c>
      <c r="I136" s="157" t="e">
        <f t="shared" ca="1" si="1057"/>
        <v>#DIV/0!</v>
      </c>
      <c r="J136" s="157" t="e">
        <f t="shared" ca="1" si="1057"/>
        <v>#DIV/0!</v>
      </c>
      <c r="K136" s="157" t="e">
        <f t="shared" ca="1" si="1057"/>
        <v>#DIV/0!</v>
      </c>
      <c r="L136" s="157" t="e">
        <f t="shared" ca="1" si="1057"/>
        <v>#DIV/0!</v>
      </c>
      <c r="M136" s="157" t="e">
        <f t="shared" ca="1" si="1057"/>
        <v>#DIV/0!</v>
      </c>
      <c r="N136" s="157" t="e">
        <f t="shared" ca="1" si="1057"/>
        <v>#DIV/0!</v>
      </c>
      <c r="O136" s="157" t="e">
        <f t="shared" ca="1" si="1057"/>
        <v>#DIV/0!</v>
      </c>
      <c r="P136" s="157" t="e">
        <f t="shared" ca="1" si="1057"/>
        <v>#DIV/0!</v>
      </c>
      <c r="Q136" s="157" t="e">
        <f t="shared" ca="1" si="1057"/>
        <v>#DIV/0!</v>
      </c>
      <c r="R136" s="157" t="e">
        <f t="shared" ca="1" si="1057"/>
        <v>#DIV/0!</v>
      </c>
      <c r="S136" s="157" t="e">
        <f t="shared" ca="1" si="1057"/>
        <v>#DIV/0!</v>
      </c>
      <c r="T136" s="157" t="e">
        <f t="shared" ca="1" si="1057"/>
        <v>#DIV/0!</v>
      </c>
      <c r="U136" s="157" t="e">
        <f t="shared" ca="1" si="1057"/>
        <v>#DIV/0!</v>
      </c>
      <c r="V136" s="157" t="e">
        <f t="shared" ca="1" si="1057"/>
        <v>#DIV/0!</v>
      </c>
      <c r="W136" s="157" t="e">
        <f t="shared" ca="1" si="1057"/>
        <v>#DIV/0!</v>
      </c>
      <c r="X136" s="157" t="e">
        <f t="shared" ref="X136:Y136" ca="1" si="1058">+X133/X135</f>
        <v>#DIV/0!</v>
      </c>
      <c r="Y136" s="157" t="e">
        <f t="shared" ca="1" si="1058"/>
        <v>#DIV/0!</v>
      </c>
      <c r="Z136" s="157" t="e">
        <f t="shared" ref="Z136:AA136" ca="1" si="1059">+Z133/Z135</f>
        <v>#DIV/0!</v>
      </c>
      <c r="AA136" s="157" t="e">
        <f t="shared" ca="1" si="1059"/>
        <v>#DIV/0!</v>
      </c>
      <c r="AB136" s="21" t="e">
        <f t="shared" ref="AA136:AD136" ca="1" si="1060">+AB133/AB135</f>
        <v>#DIV/0!</v>
      </c>
      <c r="AC136" s="21" t="e">
        <f t="shared" ca="1" si="1060"/>
        <v>#DIV/0!</v>
      </c>
      <c r="AD136" s="21" t="e">
        <f t="shared" ca="1" si="1060"/>
        <v>#DIV/0!</v>
      </c>
      <c r="AE136" s="21" t="e">
        <f t="shared" ref="AE136" ca="1" si="1061">+AE133/AE135</f>
        <v>#DIV/0!</v>
      </c>
      <c r="AL136" s="157" t="e">
        <f t="shared" ref="AL136" si="1062">+AL133/AL135</f>
        <v>#DIV/0!</v>
      </c>
      <c r="AM136" s="157" t="e">
        <f t="shared" ref="AM136:AO136" si="1063">+AM133/AM135</f>
        <v>#DIV/0!</v>
      </c>
      <c r="AN136" s="157" t="e">
        <f t="shared" si="1063"/>
        <v>#DIV/0!</v>
      </c>
      <c r="AO136" s="157" t="e">
        <f t="shared" si="1063"/>
        <v>#DIV/0!</v>
      </c>
      <c r="AP136" s="157" t="e">
        <f t="shared" ref="AP136:CD136" si="1064">+AP133/AP135</f>
        <v>#DIV/0!</v>
      </c>
      <c r="AQ136" s="157" t="e">
        <f t="shared" si="1064"/>
        <v>#DIV/0!</v>
      </c>
      <c r="AR136" s="157" t="e">
        <f t="shared" si="1064"/>
        <v>#DIV/0!</v>
      </c>
      <c r="AS136" s="157" t="e">
        <f t="shared" si="1064"/>
        <v>#DIV/0!</v>
      </c>
      <c r="AT136" s="157" t="e">
        <f t="shared" si="1064"/>
        <v>#DIV/0!</v>
      </c>
      <c r="AU136" s="157" t="e">
        <f t="shared" si="1064"/>
        <v>#DIV/0!</v>
      </c>
      <c r="AV136" s="157" t="e">
        <f t="shared" si="1064"/>
        <v>#DIV/0!</v>
      </c>
      <c r="AW136" s="157" t="e">
        <f t="shared" si="1064"/>
        <v>#DIV/0!</v>
      </c>
      <c r="AX136" s="157" t="e">
        <f t="shared" si="1064"/>
        <v>#DIV/0!</v>
      </c>
      <c r="AY136" s="157" t="e">
        <f t="shared" si="1064"/>
        <v>#DIV/0!</v>
      </c>
      <c r="AZ136" s="157" t="e">
        <f t="shared" si="1064"/>
        <v>#DIV/0!</v>
      </c>
      <c r="BA136" s="157" t="e">
        <f t="shared" si="1064"/>
        <v>#DIV/0!</v>
      </c>
      <c r="BB136" s="157" t="e">
        <f t="shared" si="1064"/>
        <v>#DIV/0!</v>
      </c>
      <c r="BC136" s="157" t="e">
        <f t="shared" si="1064"/>
        <v>#DIV/0!</v>
      </c>
      <c r="BD136" s="157" t="e">
        <f t="shared" si="1064"/>
        <v>#DIV/0!</v>
      </c>
      <c r="BE136" s="157" t="e">
        <f t="shared" si="1064"/>
        <v>#DIV/0!</v>
      </c>
      <c r="BF136" s="157" t="e">
        <f t="shared" si="1064"/>
        <v>#DIV/0!</v>
      </c>
      <c r="BG136" s="157" t="e">
        <f t="shared" si="1064"/>
        <v>#DIV/0!</v>
      </c>
      <c r="BH136" s="157" t="e">
        <f t="shared" si="1064"/>
        <v>#DIV/0!</v>
      </c>
      <c r="BI136" s="157" t="e">
        <f t="shared" si="1064"/>
        <v>#DIV/0!</v>
      </c>
      <c r="BJ136" s="157" t="e">
        <f t="shared" si="1064"/>
        <v>#DIV/0!</v>
      </c>
      <c r="BK136" s="157" t="e">
        <f t="shared" si="1064"/>
        <v>#DIV/0!</v>
      </c>
      <c r="BL136" s="157" t="e">
        <f t="shared" si="1064"/>
        <v>#DIV/0!</v>
      </c>
      <c r="BM136" s="157" t="e">
        <f t="shared" si="1064"/>
        <v>#DIV/0!</v>
      </c>
      <c r="BN136" s="157" t="e">
        <f t="shared" si="1064"/>
        <v>#DIV/0!</v>
      </c>
      <c r="BO136" s="157" t="e">
        <f t="shared" si="1064"/>
        <v>#DIV/0!</v>
      </c>
      <c r="BP136" s="157" t="e">
        <f t="shared" si="1064"/>
        <v>#DIV/0!</v>
      </c>
      <c r="BQ136" s="157" t="e">
        <f t="shared" si="1064"/>
        <v>#DIV/0!</v>
      </c>
      <c r="BR136" s="157">
        <f t="shared" si="1064"/>
        <v>2.563792974309032</v>
      </c>
      <c r="BS136" s="157">
        <f t="shared" si="1064"/>
        <v>1.5328581080011927</v>
      </c>
      <c r="BT136" s="157">
        <f t="shared" si="1064"/>
        <v>0</v>
      </c>
      <c r="BU136" s="157">
        <f t="shared" si="1064"/>
        <v>-0.12706378733148657</v>
      </c>
      <c r="BV136" s="157">
        <f t="shared" si="1064"/>
        <v>37.468976420582145</v>
      </c>
      <c r="BW136" s="157">
        <f t="shared" si="1064"/>
        <v>61.875121426427718</v>
      </c>
      <c r="BX136" s="157">
        <f t="shared" si="1064"/>
        <v>66.136926085111853</v>
      </c>
      <c r="BY136" s="157">
        <f t="shared" si="1064"/>
        <v>56.756392181060022</v>
      </c>
      <c r="BZ136" s="157">
        <f t="shared" si="1064"/>
        <v>55.699843693893534</v>
      </c>
      <c r="CA136" s="157">
        <f t="shared" si="1064"/>
        <v>57.780952135228311</v>
      </c>
      <c r="CB136" s="157">
        <f t="shared" si="1064"/>
        <v>55.597575195508483</v>
      </c>
      <c r="CC136" s="157">
        <f t="shared" si="1064"/>
        <v>60.210350627711534</v>
      </c>
      <c r="CD136" s="157">
        <f t="shared" si="1064"/>
        <v>46.268411042134517</v>
      </c>
      <c r="CE136" s="157">
        <f t="shared" ref="CE136:CF136" si="1065">+CE133/CE135</f>
        <v>30.164078623803508</v>
      </c>
      <c r="CF136" s="157">
        <f t="shared" si="1065"/>
        <v>24.784474082141667</v>
      </c>
      <c r="CG136" s="157">
        <f t="shared" ref="CG136:CH136" si="1066">+CG133/CG135</f>
        <v>19.400901744463876</v>
      </c>
      <c r="CH136" s="157">
        <f t="shared" si="1066"/>
        <v>17.873261983769741</v>
      </c>
      <c r="CI136" s="157">
        <f t="shared" ref="CI136:CJ136" si="1067">+CI133/CI135</f>
        <v>17.296815540016116</v>
      </c>
      <c r="CJ136" s="157">
        <f t="shared" si="1067"/>
        <v>15.699135976843126</v>
      </c>
      <c r="CK136" s="157">
        <f t="shared" ref="CK136:CL136" si="1068">+CK133/CK135</f>
        <v>17.234383162287077</v>
      </c>
      <c r="CL136" s="157">
        <f t="shared" si="1068"/>
        <v>13.970887127430421</v>
      </c>
      <c r="CM136" s="21">
        <f t="shared" ref="CM136:DB136" si="1069">+CM133/CM135</f>
        <v>13.403140195337411</v>
      </c>
      <c r="CN136" s="21">
        <f t="shared" si="1069"/>
        <v>14.997167401783789</v>
      </c>
      <c r="CO136" s="21">
        <f t="shared" si="1069"/>
        <v>15.079629742958263</v>
      </c>
      <c r="CP136" s="21">
        <f t="shared" si="1069"/>
        <v>15.206902990641566</v>
      </c>
      <c r="CQ136" s="21">
        <f t="shared" si="1069"/>
        <v>14.471870825902476</v>
      </c>
      <c r="CR136" s="21">
        <f t="shared" si="1069"/>
        <v>13.721417816672506</v>
      </c>
      <c r="CS136" s="21">
        <f t="shared" si="1069"/>
        <v>13.09302483077475</v>
      </c>
      <c r="CT136" s="21">
        <f t="shared" si="1069"/>
        <v>12.697545461923243</v>
      </c>
      <c r="CU136" s="21">
        <f t="shared" si="1069"/>
        <v>12.192326518345462</v>
      </c>
      <c r="CV136" s="21">
        <f t="shared" si="1069"/>
        <v>11.854343614702335</v>
      </c>
      <c r="CW136" s="21">
        <f t="shared" si="1069"/>
        <v>11.532237834227175</v>
      </c>
      <c r="CX136" s="21">
        <f t="shared" si="1069"/>
        <v>11.217472581340118</v>
      </c>
      <c r="CY136" s="21">
        <f t="shared" si="1069"/>
        <v>10.776530120902363</v>
      </c>
      <c r="CZ136" s="21">
        <f t="shared" si="1069"/>
        <v>10.488694919831655</v>
      </c>
      <c r="DA136" s="21">
        <f t="shared" si="1069"/>
        <v>10.225781783518363</v>
      </c>
      <c r="DB136" s="21">
        <f t="shared" si="1069"/>
        <v>10.04121836151254</v>
      </c>
      <c r="DE136" s="22"/>
      <c r="DF136" s="157">
        <v>13.487542482933407</v>
      </c>
    </row>
    <row r="137" spans="1:110" s="157" customFormat="1" x14ac:dyDescent="0.2">
      <c r="A137" s="49" t="s">
        <v>344</v>
      </c>
      <c r="B137" s="157" t="e">
        <f>+B134/B135</f>
        <v>#DIV/0!</v>
      </c>
      <c r="C137" s="157" t="e">
        <f t="shared" ref="C137:W137" si="1070">+C134/C135</f>
        <v>#DIV/0!</v>
      </c>
      <c r="D137" s="157">
        <f t="shared" si="1070"/>
        <v>-8.6851704996035062E-2</v>
      </c>
      <c r="E137" s="157" t="e">
        <f t="shared" ca="1" si="1070"/>
        <v>#DIV/0!</v>
      </c>
      <c r="F137" s="157" t="e">
        <f t="shared" ca="1" si="1070"/>
        <v>#DIV/0!</v>
      </c>
      <c r="G137" s="157" t="e">
        <f t="shared" ca="1" si="1070"/>
        <v>#DIV/0!</v>
      </c>
      <c r="H137" s="157" t="e">
        <f t="shared" ca="1" si="1070"/>
        <v>#DIV/0!</v>
      </c>
      <c r="I137" s="157" t="e">
        <f t="shared" ca="1" si="1070"/>
        <v>#DIV/0!</v>
      </c>
      <c r="J137" s="157" t="e">
        <f t="shared" ca="1" si="1070"/>
        <v>#DIV/0!</v>
      </c>
      <c r="K137" s="157" t="e">
        <f t="shared" ca="1" si="1070"/>
        <v>#DIV/0!</v>
      </c>
      <c r="L137" s="157" t="e">
        <f t="shared" ca="1" si="1070"/>
        <v>#DIV/0!</v>
      </c>
      <c r="M137" s="157" t="e">
        <f t="shared" ca="1" si="1070"/>
        <v>#DIV/0!</v>
      </c>
      <c r="N137" s="157" t="e">
        <f t="shared" ca="1" si="1070"/>
        <v>#DIV/0!</v>
      </c>
      <c r="O137" s="157" t="e">
        <f t="shared" ca="1" si="1070"/>
        <v>#DIV/0!</v>
      </c>
      <c r="P137" s="157" t="e">
        <f t="shared" ca="1" si="1070"/>
        <v>#DIV/0!</v>
      </c>
      <c r="Q137" s="157" t="e">
        <f t="shared" ca="1" si="1070"/>
        <v>#DIV/0!</v>
      </c>
      <c r="R137" s="157" t="e">
        <f t="shared" ca="1" si="1070"/>
        <v>#DIV/0!</v>
      </c>
      <c r="S137" s="157" t="e">
        <f t="shared" ca="1" si="1070"/>
        <v>#DIV/0!</v>
      </c>
      <c r="T137" s="157" t="e">
        <f t="shared" ca="1" si="1070"/>
        <v>#DIV/0!</v>
      </c>
      <c r="U137" s="157" t="e">
        <f t="shared" ca="1" si="1070"/>
        <v>#DIV/0!</v>
      </c>
      <c r="V137" s="157" t="e">
        <f t="shared" ca="1" si="1070"/>
        <v>#DIV/0!</v>
      </c>
      <c r="W137" s="157" t="e">
        <f t="shared" ca="1" si="1070"/>
        <v>#DIV/0!</v>
      </c>
      <c r="X137" s="157" t="e">
        <f t="shared" ref="X137:Y137" ca="1" si="1071">+X134/X135</f>
        <v>#DIV/0!</v>
      </c>
      <c r="Y137" s="157" t="e">
        <f t="shared" ca="1" si="1071"/>
        <v>#DIV/0!</v>
      </c>
      <c r="Z137" s="157" t="e">
        <f t="shared" ref="Z137:AA137" ca="1" si="1072">+Z134/Z135</f>
        <v>#DIV/0!</v>
      </c>
      <c r="AA137" s="157" t="e">
        <f t="shared" ca="1" si="1072"/>
        <v>#DIV/0!</v>
      </c>
      <c r="AB137" s="21" t="e">
        <f t="shared" ref="AA137:AD137" ca="1" si="1073">+AB134/AB135</f>
        <v>#DIV/0!</v>
      </c>
      <c r="AC137" s="21" t="e">
        <f t="shared" ca="1" si="1073"/>
        <v>#DIV/0!</v>
      </c>
      <c r="AD137" s="21" t="e">
        <f t="shared" ca="1" si="1073"/>
        <v>#DIV/0!</v>
      </c>
      <c r="AE137" s="21" t="e">
        <f t="shared" ref="AE137" ca="1" si="1074">+AE134/AE135</f>
        <v>#DIV/0!</v>
      </c>
      <c r="AL137" s="157" t="e">
        <f t="shared" ref="AL137:AM137" si="1075">+AL134/AL135</f>
        <v>#DIV/0!</v>
      </c>
      <c r="AM137" s="157" t="e">
        <f t="shared" si="1075"/>
        <v>#DIV/0!</v>
      </c>
      <c r="AN137" s="157" t="e">
        <f t="shared" ref="AN137:AO137" si="1076">+AN134/AN135</f>
        <v>#DIV/0!</v>
      </c>
      <c r="AO137" s="157" t="e">
        <f t="shared" si="1076"/>
        <v>#DIV/0!</v>
      </c>
      <c r="AP137" s="157" t="e">
        <f t="shared" ref="AP137:CD137" si="1077">+AP134/AP135</f>
        <v>#DIV/0!</v>
      </c>
      <c r="AQ137" s="157" t="e">
        <f t="shared" si="1077"/>
        <v>#DIV/0!</v>
      </c>
      <c r="AR137" s="157" t="e">
        <f t="shared" si="1077"/>
        <v>#DIV/0!</v>
      </c>
      <c r="AS137" s="157" t="e">
        <f t="shared" si="1077"/>
        <v>#DIV/0!</v>
      </c>
      <c r="AT137" s="157" t="e">
        <f t="shared" si="1077"/>
        <v>#DIV/0!</v>
      </c>
      <c r="AU137" s="157" t="e">
        <f t="shared" si="1077"/>
        <v>#DIV/0!</v>
      </c>
      <c r="AV137" s="157" t="e">
        <f t="shared" si="1077"/>
        <v>#DIV/0!</v>
      </c>
      <c r="AW137" s="157" t="e">
        <f t="shared" si="1077"/>
        <v>#DIV/0!</v>
      </c>
      <c r="AX137" s="157" t="e">
        <f t="shared" si="1077"/>
        <v>#DIV/0!</v>
      </c>
      <c r="AY137" s="157" t="e">
        <f t="shared" si="1077"/>
        <v>#DIV/0!</v>
      </c>
      <c r="AZ137" s="157" t="e">
        <f t="shared" si="1077"/>
        <v>#DIV/0!</v>
      </c>
      <c r="BA137" s="157" t="e">
        <f t="shared" si="1077"/>
        <v>#DIV/0!</v>
      </c>
      <c r="BB137" s="157" t="e">
        <f t="shared" si="1077"/>
        <v>#DIV/0!</v>
      </c>
      <c r="BC137" s="157" t="e">
        <f t="shared" si="1077"/>
        <v>#DIV/0!</v>
      </c>
      <c r="BD137" s="157" t="e">
        <f t="shared" si="1077"/>
        <v>#DIV/0!</v>
      </c>
      <c r="BE137" s="157" t="e">
        <f t="shared" si="1077"/>
        <v>#DIV/0!</v>
      </c>
      <c r="BF137" s="157" t="e">
        <f t="shared" si="1077"/>
        <v>#DIV/0!</v>
      </c>
      <c r="BG137" s="157" t="e">
        <f t="shared" si="1077"/>
        <v>#DIV/0!</v>
      </c>
      <c r="BH137" s="157" t="e">
        <f t="shared" si="1077"/>
        <v>#DIV/0!</v>
      </c>
      <c r="BI137" s="157" t="e">
        <f t="shared" si="1077"/>
        <v>#DIV/0!</v>
      </c>
      <c r="BJ137" s="157" t="e">
        <f t="shared" si="1077"/>
        <v>#DIV/0!</v>
      </c>
      <c r="BK137" s="157" t="e">
        <f t="shared" si="1077"/>
        <v>#DIV/0!</v>
      </c>
      <c r="BL137" s="157" t="e">
        <f t="shared" si="1077"/>
        <v>#DIV/0!</v>
      </c>
      <c r="BM137" s="157" t="e">
        <f t="shared" si="1077"/>
        <v>#DIV/0!</v>
      </c>
      <c r="BN137" s="157" t="e">
        <f t="shared" si="1077"/>
        <v>#DIV/0!</v>
      </c>
      <c r="BO137" s="157" t="e">
        <f t="shared" si="1077"/>
        <v>#DIV/0!</v>
      </c>
      <c r="BP137" s="157" t="e">
        <f t="shared" si="1077"/>
        <v>#DIV/0!</v>
      </c>
      <c r="BQ137" s="157" t="e">
        <f t="shared" si="1077"/>
        <v>#DIV/0!</v>
      </c>
      <c r="BR137" s="157">
        <f t="shared" si="1077"/>
        <v>2.563792974309032</v>
      </c>
      <c r="BS137" s="157">
        <f t="shared" si="1077"/>
        <v>1.5328581080011927</v>
      </c>
      <c r="BT137" s="157">
        <f t="shared" si="1077"/>
        <v>0</v>
      </c>
      <c r="BU137" s="157">
        <f t="shared" si="1077"/>
        <v>-0.12706378733148657</v>
      </c>
      <c r="BV137" s="157">
        <f t="shared" si="1077"/>
        <v>-1.1380150438298406</v>
      </c>
      <c r="BW137" s="157">
        <f t="shared" si="1077"/>
        <v>36.163058096442562</v>
      </c>
      <c r="BX137" s="157">
        <f t="shared" si="1077"/>
        <v>43.155193287955065</v>
      </c>
      <c r="BY137" s="157">
        <f t="shared" si="1077"/>
        <v>36.313756033134787</v>
      </c>
      <c r="BZ137" s="157">
        <f t="shared" si="1077"/>
        <v>28.732096966112568</v>
      </c>
      <c r="CA137" s="157">
        <f t="shared" si="1077"/>
        <v>41.010816707275971</v>
      </c>
      <c r="CB137" s="157">
        <f t="shared" si="1077"/>
        <v>44.487397232805428</v>
      </c>
      <c r="CC137" s="157">
        <f t="shared" si="1077"/>
        <v>42.277849735611049</v>
      </c>
      <c r="CD137" s="157">
        <f t="shared" si="1077"/>
        <v>36.151463919341388</v>
      </c>
      <c r="CE137" s="157">
        <f t="shared" ref="CE137:CF137" si="1078">+CE134/CE135</f>
        <v>24.892111870913393</v>
      </c>
      <c r="CF137" s="157">
        <f t="shared" si="1078"/>
        <v>19.217056532583889</v>
      </c>
      <c r="CG137" s="157">
        <f t="shared" ref="CG137:CH137" si="1079">+CG134/CG135</f>
        <v>15.178479079447023</v>
      </c>
      <c r="CH137" s="157">
        <f t="shared" si="1079"/>
        <v>12.497811668364152</v>
      </c>
      <c r="CI137" s="157">
        <f t="shared" ref="CI137:CJ137" si="1080">+CI134/CI135</f>
        <v>14.545014815311797</v>
      </c>
      <c r="CJ137" s="157">
        <f t="shared" si="1080"/>
        <v>13.544932909604514</v>
      </c>
      <c r="CK137" s="157">
        <f t="shared" ref="CK137:CL137" si="1081">+CK134/CK135</f>
        <v>14.215652836743248</v>
      </c>
      <c r="CL137" s="157">
        <f t="shared" si="1081"/>
        <v>9.6615258986019459</v>
      </c>
      <c r="CM137" s="21">
        <f t="shared" ref="CM137:DB137" si="1082">+CM134/CM135</f>
        <v>9.1837879509346951</v>
      </c>
      <c r="CN137" s="21">
        <f t="shared" si="1082"/>
        <v>10.245818968158412</v>
      </c>
      <c r="CO137" s="21">
        <f t="shared" si="1082"/>
        <v>10.264867647187515</v>
      </c>
      <c r="CP137" s="21">
        <f t="shared" si="1082"/>
        <v>10.35037313216734</v>
      </c>
      <c r="CQ137" s="21">
        <f t="shared" si="1082"/>
        <v>9.747637187287193</v>
      </c>
      <c r="CR137" s="21">
        <f t="shared" si="1082"/>
        <v>9.1886909196486783</v>
      </c>
      <c r="CS137" s="21">
        <f t="shared" si="1082"/>
        <v>8.7274409496926051</v>
      </c>
      <c r="CT137" s="21">
        <f t="shared" si="1082"/>
        <v>8.4517457532726912</v>
      </c>
      <c r="CU137" s="21">
        <f t="shared" si="1082"/>
        <v>8.0298891653804727</v>
      </c>
      <c r="CV137" s="21">
        <f t="shared" si="1082"/>
        <v>7.7716120739593695</v>
      </c>
      <c r="CW137" s="21">
        <f t="shared" si="1082"/>
        <v>7.5265326277272528</v>
      </c>
      <c r="CX137" s="21">
        <f t="shared" si="1082"/>
        <v>7.2954214551480634</v>
      </c>
      <c r="CY137" s="21">
        <f t="shared" si="1082"/>
        <v>6.922786895265908</v>
      </c>
      <c r="CZ137" s="21">
        <f t="shared" si="1082"/>
        <v>6.7040406622587581</v>
      </c>
      <c r="DA137" s="21">
        <f t="shared" si="1082"/>
        <v>6.5053744021205651</v>
      </c>
      <c r="DB137" s="21">
        <f t="shared" si="1082"/>
        <v>6.3744756828502043</v>
      </c>
      <c r="DE137" s="22"/>
      <c r="DF137" s="157">
        <v>9.3595072362356131</v>
      </c>
    </row>
    <row r="138" spans="1:110" s="10" customFormat="1" x14ac:dyDescent="0.2">
      <c r="A138" s="149" t="s">
        <v>490</v>
      </c>
      <c r="AB138" s="20"/>
      <c r="AC138" s="20"/>
      <c r="AD138" s="20"/>
      <c r="AE138" s="20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E138" s="126"/>
    </row>
    <row r="139" spans="1:110" x14ac:dyDescent="0.2">
      <c r="A139" s="152" t="s">
        <v>491</v>
      </c>
      <c r="AA139" s="2"/>
      <c r="CL139" s="2"/>
    </row>
    <row r="140" spans="1:110" s="23" customFormat="1" outlineLevel="1" x14ac:dyDescent="0.2">
      <c r="A140" s="23" t="s">
        <v>41</v>
      </c>
      <c r="B140" s="23">
        <f>'Annual Raw'!C41</f>
        <v>0</v>
      </c>
      <c r="C140" s="23">
        <f>'Annual Raw'!D41</f>
        <v>0</v>
      </c>
      <c r="D140" s="23">
        <f>'Annual Raw'!E41</f>
        <v>25.782</v>
      </c>
      <c r="E140" s="23">
        <f>'Annual Raw'!F41</f>
        <v>45.722000000000001</v>
      </c>
      <c r="F140" s="23">
        <f>'Annual Raw'!G41</f>
        <v>59.718000000000004</v>
      </c>
      <c r="G140" s="23">
        <f>'Annual Raw'!H41</f>
        <v>131.935</v>
      </c>
      <c r="H140" s="23">
        <f>'Annual Raw'!I41</f>
        <v>131.935</v>
      </c>
      <c r="I140" s="23">
        <f>'Annual Raw'!J41</f>
        <v>131.935</v>
      </c>
      <c r="J140" s="23">
        <f>'Annual Raw'!K41</f>
        <v>147.62100000000001</v>
      </c>
      <c r="K140" s="23">
        <f>'Annual Raw'!L41</f>
        <v>147.62100000000001</v>
      </c>
      <c r="L140" s="23">
        <f>'Annual Raw'!M41</f>
        <v>101.34699999999999</v>
      </c>
      <c r="M140" s="23">
        <f>'Annual Raw'!N41</f>
        <v>109.35899999999999</v>
      </c>
      <c r="N140" s="23">
        <f>'Annual Raw'!O41</f>
        <v>109.35899999999999</v>
      </c>
      <c r="O140" s="23">
        <f>'Annual Raw'!P41</f>
        <v>109.35899999999999</v>
      </c>
      <c r="P140" s="23">
        <f>'Annual Raw'!Q41</f>
        <v>114.295</v>
      </c>
      <c r="Q140" s="23">
        <f>'Annual Raw'!R41</f>
        <v>114.295</v>
      </c>
      <c r="R140" s="23">
        <f>'Annual Raw'!S41</f>
        <v>114.295</v>
      </c>
      <c r="S140" s="23">
        <f>'Annual Raw'!T41</f>
        <v>114.295</v>
      </c>
      <c r="T140" s="23">
        <f>'Annual Raw'!U41</f>
        <v>114.295</v>
      </c>
      <c r="U140" s="23">
        <f>'Annual Raw'!V41</f>
        <v>114.295</v>
      </c>
      <c r="V140" s="23">
        <f>'Annual Raw'!W41</f>
        <v>114.29</v>
      </c>
      <c r="W140" s="23">
        <f>'Annual Raw'!X41</f>
        <v>129.97</v>
      </c>
      <c r="X140" s="23">
        <f>'Annual Raw'!Y41</f>
        <v>129.97</v>
      </c>
      <c r="Y140" s="23">
        <f>'Annual Raw'!Z41</f>
        <v>129.97</v>
      </c>
      <c r="Z140" s="23">
        <f>'Annual Raw'!AA41</f>
        <v>129.53</v>
      </c>
      <c r="AA140" s="23">
        <f>'Annual Raw'!AB41</f>
        <v>129.34</v>
      </c>
      <c r="AB140" s="24">
        <f>+CP140</f>
        <v>129.34</v>
      </c>
      <c r="AC140" s="24">
        <f>+CT140</f>
        <v>129.34</v>
      </c>
      <c r="AD140" s="24">
        <f>+CX140</f>
        <v>129.34</v>
      </c>
      <c r="AE140" s="24">
        <f>+DB140</f>
        <v>129.34</v>
      </c>
      <c r="AJ140" s="23">
        <f>+'QTR Raw'!D56</f>
        <v>0</v>
      </c>
      <c r="AK140" s="23">
        <f t="shared" ref="AK140:CE140" si="1083">+AJ140</f>
        <v>0</v>
      </c>
      <c r="AL140" s="23">
        <f>+'QTR Raw'!F56</f>
        <v>0</v>
      </c>
      <c r="AM140" s="23">
        <f t="shared" si="1083"/>
        <v>0</v>
      </c>
      <c r="AN140" s="23">
        <f>+'QTR Raw'!H56</f>
        <v>0</v>
      </c>
      <c r="AO140" s="23">
        <f t="shared" si="1083"/>
        <v>0</v>
      </c>
      <c r="AP140" s="23">
        <f>+'QTR Raw'!J56</f>
        <v>0</v>
      </c>
      <c r="AQ140" s="23">
        <f t="shared" si="1083"/>
        <v>0</v>
      </c>
      <c r="AR140" s="23">
        <f>+'QTR Raw'!L56</f>
        <v>0</v>
      </c>
      <c r="AS140" s="23">
        <f t="shared" si="1083"/>
        <v>0</v>
      </c>
      <c r="AT140" s="23">
        <f>+'QTR Raw'!N56</f>
        <v>0</v>
      </c>
      <c r="AU140" s="23">
        <f t="shared" si="1083"/>
        <v>0</v>
      </c>
      <c r="AV140" s="23">
        <f>+'QTR Raw'!P56</f>
        <v>0</v>
      </c>
      <c r="AW140" s="23">
        <f t="shared" si="1083"/>
        <v>0</v>
      </c>
      <c r="AX140" s="23">
        <f>+'QTR Raw'!R56</f>
        <v>0</v>
      </c>
      <c r="AY140" s="23">
        <f t="shared" si="1083"/>
        <v>0</v>
      </c>
      <c r="AZ140" s="23">
        <f>+'QTR Raw'!T56</f>
        <v>0</v>
      </c>
      <c r="BA140" s="23">
        <f t="shared" si="1083"/>
        <v>0</v>
      </c>
      <c r="BB140" s="23">
        <f>+'QTR Raw'!V56</f>
        <v>0</v>
      </c>
      <c r="BC140" s="23">
        <f t="shared" si="1083"/>
        <v>0</v>
      </c>
      <c r="BD140" s="23">
        <f>+'QTR Raw'!X56</f>
        <v>0</v>
      </c>
      <c r="BE140" s="23">
        <f t="shared" si="1083"/>
        <v>0</v>
      </c>
      <c r="BF140" s="23">
        <f>+'QTR Raw'!Z56</f>
        <v>0</v>
      </c>
      <c r="BG140" s="23">
        <f t="shared" si="1083"/>
        <v>0</v>
      </c>
      <c r="BH140" s="23">
        <f>+'QTR Raw'!AB56</f>
        <v>0</v>
      </c>
      <c r="BI140" s="23">
        <f t="shared" si="1083"/>
        <v>0</v>
      </c>
      <c r="BJ140" s="23">
        <f>+'QTR Raw'!AD56</f>
        <v>0</v>
      </c>
      <c r="BK140" s="23">
        <f t="shared" si="1083"/>
        <v>0</v>
      </c>
      <c r="BL140" s="23">
        <f>+'QTR Raw'!AF56</f>
        <v>0</v>
      </c>
      <c r="BM140" s="23">
        <f t="shared" si="1083"/>
        <v>0</v>
      </c>
      <c r="BN140" s="23">
        <f>+'QTR Raw'!AH56</f>
        <v>0</v>
      </c>
      <c r="BO140" s="23">
        <f t="shared" si="1083"/>
        <v>0</v>
      </c>
      <c r="BP140" s="23">
        <f>+'QTR Raw'!AJ56</f>
        <v>0</v>
      </c>
      <c r="BQ140" s="23">
        <f t="shared" si="1083"/>
        <v>0</v>
      </c>
      <c r="BR140" s="23">
        <f>+'QTR Raw'!AL56</f>
        <v>114.29</v>
      </c>
      <c r="BS140" s="23">
        <f t="shared" si="1083"/>
        <v>114.29</v>
      </c>
      <c r="BT140" s="23">
        <f>+'QTR Raw'!AN56</f>
        <v>0</v>
      </c>
      <c r="BU140" s="23">
        <f t="shared" si="1083"/>
        <v>0</v>
      </c>
      <c r="BV140" s="23">
        <f>+'QTR Raw'!AP56</f>
        <v>129.97</v>
      </c>
      <c r="BW140" s="23">
        <f t="shared" si="1083"/>
        <v>129.97</v>
      </c>
      <c r="BX140" s="23">
        <f>+'QTR Raw'!AR56</f>
        <v>129.97</v>
      </c>
      <c r="BY140" s="23">
        <f t="shared" si="1083"/>
        <v>129.97</v>
      </c>
      <c r="BZ140" s="23">
        <f>+'QTR Raw'!AT56</f>
        <v>129.97</v>
      </c>
      <c r="CA140" s="23">
        <f t="shared" si="1083"/>
        <v>129.97</v>
      </c>
      <c r="CB140" s="23">
        <f>+'QTR Raw'!AV56</f>
        <v>129.97</v>
      </c>
      <c r="CC140" s="23">
        <f t="shared" si="1083"/>
        <v>129.97</v>
      </c>
      <c r="CD140" s="23">
        <f>+'QTR Raw'!AX56</f>
        <v>129.97</v>
      </c>
      <c r="CE140" s="23">
        <f t="shared" si="1083"/>
        <v>129.97</v>
      </c>
      <c r="CF140" s="23">
        <f>+'QTR Raw'!AZ56</f>
        <v>129.97</v>
      </c>
      <c r="CG140" s="23">
        <f t="shared" ref="CG140:CG141" si="1084">+CF140</f>
        <v>129.97</v>
      </c>
      <c r="CH140" s="23">
        <f>Z140</f>
        <v>129.53</v>
      </c>
      <c r="CI140" s="23">
        <f>CH140</f>
        <v>129.53</v>
      </c>
      <c r="CJ140" s="23">
        <f>+'QTR Raw'!BD56</f>
        <v>129.53</v>
      </c>
      <c r="CK140" s="23">
        <f t="shared" ref="CK140:DB140" si="1085">CJ140</f>
        <v>129.53</v>
      </c>
      <c r="CL140" s="23">
        <f>+'QTR Raw'!BF56</f>
        <v>129.34</v>
      </c>
      <c r="CM140" s="24">
        <f t="shared" si="1085"/>
        <v>129.34</v>
      </c>
      <c r="CN140" s="24">
        <f t="shared" si="1085"/>
        <v>129.34</v>
      </c>
      <c r="CO140" s="24">
        <f t="shared" si="1085"/>
        <v>129.34</v>
      </c>
      <c r="CP140" s="24">
        <f t="shared" si="1085"/>
        <v>129.34</v>
      </c>
      <c r="CQ140" s="24">
        <f t="shared" si="1085"/>
        <v>129.34</v>
      </c>
      <c r="CR140" s="24">
        <f t="shared" si="1085"/>
        <v>129.34</v>
      </c>
      <c r="CS140" s="24">
        <f t="shared" si="1085"/>
        <v>129.34</v>
      </c>
      <c r="CT140" s="24">
        <f t="shared" si="1085"/>
        <v>129.34</v>
      </c>
      <c r="CU140" s="24">
        <f t="shared" si="1085"/>
        <v>129.34</v>
      </c>
      <c r="CV140" s="24">
        <f t="shared" si="1085"/>
        <v>129.34</v>
      </c>
      <c r="CW140" s="24">
        <f t="shared" si="1085"/>
        <v>129.34</v>
      </c>
      <c r="CX140" s="24">
        <f t="shared" si="1085"/>
        <v>129.34</v>
      </c>
      <c r="CY140" s="24">
        <f t="shared" si="1085"/>
        <v>129.34</v>
      </c>
      <c r="CZ140" s="24">
        <f t="shared" si="1085"/>
        <v>129.34</v>
      </c>
      <c r="DA140" s="24">
        <f t="shared" si="1085"/>
        <v>129.34</v>
      </c>
      <c r="DB140" s="24">
        <f t="shared" si="1085"/>
        <v>129.34</v>
      </c>
      <c r="DE140" s="123"/>
      <c r="DF140" s="23">
        <v>129.53</v>
      </c>
    </row>
    <row r="141" spans="1:110" s="23" customFormat="1" outlineLevel="1" x14ac:dyDescent="0.2">
      <c r="A141" s="23" t="s">
        <v>42</v>
      </c>
      <c r="B141" s="23">
        <f>'Annual Raw'!C42</f>
        <v>0</v>
      </c>
      <c r="C141" s="23">
        <f>'Annual Raw'!D42</f>
        <v>0</v>
      </c>
      <c r="D141" s="23">
        <f>'Annual Raw'!E42</f>
        <v>10</v>
      </c>
      <c r="E141" s="23">
        <f>'Annual Raw'!F42</f>
        <v>13.996</v>
      </c>
      <c r="F141" s="23">
        <f>'Annual Raw'!G42</f>
        <v>72.216999999999999</v>
      </c>
      <c r="G141" s="23">
        <f>'Annual Raw'!H42</f>
        <v>0</v>
      </c>
      <c r="H141" s="23">
        <f>'Annual Raw'!I42</f>
        <v>0</v>
      </c>
      <c r="I141" s="23">
        <f>'Annual Raw'!J42</f>
        <v>37.765000000000001</v>
      </c>
      <c r="J141" s="23">
        <f>'Annual Raw'!K42</f>
        <v>0</v>
      </c>
      <c r="K141" s="23">
        <f>'Annual Raw'!L42</f>
        <v>0</v>
      </c>
      <c r="L141" s="23">
        <f>'Annual Raw'!M42</f>
        <v>72.105000000000004</v>
      </c>
      <c r="M141" s="23">
        <f>'Annual Raw'!N42</f>
        <v>0</v>
      </c>
      <c r="N141" s="23">
        <f>'Annual Raw'!O42</f>
        <v>0</v>
      </c>
      <c r="O141" s="23">
        <f>'Annual Raw'!P42</f>
        <v>0</v>
      </c>
      <c r="P141" s="23">
        <f>'Annual Raw'!Q42</f>
        <v>0</v>
      </c>
      <c r="Q141" s="23">
        <f>'Annual Raw'!R42</f>
        <v>1.25</v>
      </c>
      <c r="R141" s="23">
        <f>'Annual Raw'!S42</f>
        <v>0</v>
      </c>
      <c r="S141" s="23">
        <f>'Annual Raw'!T42</f>
        <v>0</v>
      </c>
      <c r="T141" s="23">
        <f>'Annual Raw'!U42</f>
        <v>0</v>
      </c>
      <c r="U141" s="23">
        <f>'Annual Raw'!V42</f>
        <v>0</v>
      </c>
      <c r="V141" s="23">
        <f>'Annual Raw'!W42</f>
        <v>0</v>
      </c>
      <c r="W141" s="23">
        <f>'Annual Raw'!X42</f>
        <v>0</v>
      </c>
      <c r="X141" s="23">
        <f>'Annual Raw'!Y42</f>
        <v>0</v>
      </c>
      <c r="Y141" s="23">
        <f>'Annual Raw'!Z42</f>
        <v>0</v>
      </c>
      <c r="Z141" s="23">
        <f>'Annual Raw'!AA42</f>
        <v>7.03</v>
      </c>
      <c r="AA141" s="23">
        <f>'Annual Raw'!AB42</f>
        <v>33.18</v>
      </c>
      <c r="AB141" s="24">
        <f t="shared" ref="AB141:AB142" si="1086">+CP141</f>
        <v>0</v>
      </c>
      <c r="AC141" s="24">
        <f t="shared" ref="AC141:AC142" si="1087">+CT141</f>
        <v>0</v>
      </c>
      <c r="AD141" s="24">
        <f t="shared" ref="AD141:AD142" si="1088">+CX141</f>
        <v>0</v>
      </c>
      <c r="AE141" s="24">
        <f t="shared" ref="AE141:AE142" si="1089">+DB141</f>
        <v>0</v>
      </c>
      <c r="AJ141" s="23">
        <f>+'QTR Raw'!D57</f>
        <v>0</v>
      </c>
      <c r="AK141" s="23">
        <f t="shared" ref="AK141:CE141" si="1090">+AJ141</f>
        <v>0</v>
      </c>
      <c r="AL141" s="23">
        <f>+'QTR Raw'!F57</f>
        <v>0</v>
      </c>
      <c r="AM141" s="23">
        <f t="shared" si="1090"/>
        <v>0</v>
      </c>
      <c r="AN141" s="23">
        <f>+'QTR Raw'!H57</f>
        <v>0</v>
      </c>
      <c r="AO141" s="23">
        <f t="shared" si="1090"/>
        <v>0</v>
      </c>
      <c r="AP141" s="23">
        <f>+'QTR Raw'!J57</f>
        <v>0</v>
      </c>
      <c r="AQ141" s="23">
        <f t="shared" si="1090"/>
        <v>0</v>
      </c>
      <c r="AR141" s="23">
        <f>+'QTR Raw'!L57</f>
        <v>0</v>
      </c>
      <c r="AS141" s="23">
        <f t="shared" si="1090"/>
        <v>0</v>
      </c>
      <c r="AT141" s="23">
        <f>+'QTR Raw'!N57</f>
        <v>0</v>
      </c>
      <c r="AU141" s="23">
        <f t="shared" si="1090"/>
        <v>0</v>
      </c>
      <c r="AV141" s="23">
        <f>+'QTR Raw'!P57</f>
        <v>0</v>
      </c>
      <c r="AW141" s="23">
        <f t="shared" si="1090"/>
        <v>0</v>
      </c>
      <c r="AX141" s="23">
        <f>+'QTR Raw'!R57</f>
        <v>0</v>
      </c>
      <c r="AY141" s="23">
        <f t="shared" si="1090"/>
        <v>0</v>
      </c>
      <c r="AZ141" s="23">
        <f>+'QTR Raw'!T57</f>
        <v>0</v>
      </c>
      <c r="BA141" s="23">
        <f t="shared" si="1090"/>
        <v>0</v>
      </c>
      <c r="BB141" s="23">
        <f>+'QTR Raw'!V57</f>
        <v>0</v>
      </c>
      <c r="BC141" s="23">
        <f t="shared" si="1090"/>
        <v>0</v>
      </c>
      <c r="BD141" s="23">
        <f>+'QTR Raw'!X57</f>
        <v>0</v>
      </c>
      <c r="BE141" s="23">
        <f t="shared" si="1090"/>
        <v>0</v>
      </c>
      <c r="BF141" s="23">
        <f>+'QTR Raw'!Z57</f>
        <v>0</v>
      </c>
      <c r="BG141" s="23">
        <f t="shared" si="1090"/>
        <v>0</v>
      </c>
      <c r="BH141" s="23">
        <f>+'QTR Raw'!AB57</f>
        <v>0</v>
      </c>
      <c r="BI141" s="23">
        <f t="shared" si="1090"/>
        <v>0</v>
      </c>
      <c r="BJ141" s="23">
        <f>+'QTR Raw'!AD57</f>
        <v>0</v>
      </c>
      <c r="BK141" s="23">
        <f t="shared" si="1090"/>
        <v>0</v>
      </c>
      <c r="BL141" s="23">
        <f>+'QTR Raw'!AF57</f>
        <v>0</v>
      </c>
      <c r="BM141" s="23">
        <f t="shared" si="1090"/>
        <v>0</v>
      </c>
      <c r="BN141" s="23">
        <f>+'QTR Raw'!AH57</f>
        <v>0</v>
      </c>
      <c r="BO141" s="23">
        <f t="shared" si="1090"/>
        <v>0</v>
      </c>
      <c r="BP141" s="23">
        <f>+'QTR Raw'!AJ57</f>
        <v>0</v>
      </c>
      <c r="BQ141" s="23">
        <f t="shared" si="1090"/>
        <v>0</v>
      </c>
      <c r="BR141" s="23">
        <f>+'QTR Raw'!AL57</f>
        <v>0</v>
      </c>
      <c r="BS141" s="23">
        <f t="shared" si="1090"/>
        <v>0</v>
      </c>
      <c r="BT141" s="23">
        <f>+'QTR Raw'!AN57</f>
        <v>0</v>
      </c>
      <c r="BU141" s="23">
        <f t="shared" si="1090"/>
        <v>0</v>
      </c>
      <c r="BV141" s="23">
        <f>+'QTR Raw'!AP57</f>
        <v>0</v>
      </c>
      <c r="BW141" s="23">
        <f t="shared" si="1090"/>
        <v>0</v>
      </c>
      <c r="BX141" s="23">
        <f>+'QTR Raw'!AR57</f>
        <v>0</v>
      </c>
      <c r="BY141" s="23">
        <f t="shared" si="1090"/>
        <v>0</v>
      </c>
      <c r="BZ141" s="23">
        <f>+'QTR Raw'!AT57</f>
        <v>0</v>
      </c>
      <c r="CA141" s="23">
        <f t="shared" si="1090"/>
        <v>0</v>
      </c>
      <c r="CB141" s="23">
        <f>+'QTR Raw'!AV57</f>
        <v>0</v>
      </c>
      <c r="CC141" s="23">
        <f t="shared" si="1090"/>
        <v>0</v>
      </c>
      <c r="CD141" s="23">
        <f>+'QTR Raw'!AX57</f>
        <v>0</v>
      </c>
      <c r="CE141" s="23">
        <f t="shared" si="1090"/>
        <v>0</v>
      </c>
      <c r="CF141" s="23">
        <f>+'QTR Raw'!AZ57</f>
        <v>0</v>
      </c>
      <c r="CG141" s="23">
        <f t="shared" si="1084"/>
        <v>0</v>
      </c>
      <c r="CH141" s="23">
        <f t="shared" ref="CH141:CH142" si="1091">Z141</f>
        <v>7.03</v>
      </c>
      <c r="CI141" s="23">
        <f>CH141</f>
        <v>7.03</v>
      </c>
      <c r="CJ141" s="23">
        <f>+'QTR Raw'!BD57</f>
        <v>0</v>
      </c>
      <c r="CK141" s="23">
        <f t="shared" ref="CK141:DB141" si="1092">CJ141</f>
        <v>0</v>
      </c>
      <c r="CL141" s="23">
        <f>+'QTR Raw'!BF57</f>
        <v>0</v>
      </c>
      <c r="CM141" s="24">
        <f t="shared" si="1092"/>
        <v>0</v>
      </c>
      <c r="CN141" s="24">
        <f t="shared" si="1092"/>
        <v>0</v>
      </c>
      <c r="CO141" s="24">
        <f t="shared" si="1092"/>
        <v>0</v>
      </c>
      <c r="CP141" s="24">
        <f t="shared" si="1092"/>
        <v>0</v>
      </c>
      <c r="CQ141" s="24">
        <f t="shared" si="1092"/>
        <v>0</v>
      </c>
      <c r="CR141" s="24">
        <f t="shared" si="1092"/>
        <v>0</v>
      </c>
      <c r="CS141" s="24">
        <f t="shared" si="1092"/>
        <v>0</v>
      </c>
      <c r="CT141" s="24">
        <f t="shared" si="1092"/>
        <v>0</v>
      </c>
      <c r="CU141" s="24">
        <f t="shared" si="1092"/>
        <v>0</v>
      </c>
      <c r="CV141" s="24">
        <f t="shared" si="1092"/>
        <v>0</v>
      </c>
      <c r="CW141" s="24">
        <f t="shared" si="1092"/>
        <v>0</v>
      </c>
      <c r="CX141" s="24">
        <f t="shared" si="1092"/>
        <v>0</v>
      </c>
      <c r="CY141" s="24">
        <f t="shared" si="1092"/>
        <v>0</v>
      </c>
      <c r="CZ141" s="24">
        <f t="shared" si="1092"/>
        <v>0</v>
      </c>
      <c r="DA141" s="24">
        <f t="shared" si="1092"/>
        <v>0</v>
      </c>
      <c r="DB141" s="24">
        <f t="shared" si="1092"/>
        <v>0</v>
      </c>
      <c r="DE141" s="123"/>
      <c r="DF141" s="23">
        <v>0</v>
      </c>
    </row>
    <row r="142" spans="1:110" s="23" customFormat="1" outlineLevel="1" x14ac:dyDescent="0.2">
      <c r="A142" s="23" t="s">
        <v>43</v>
      </c>
      <c r="B142" s="23">
        <f>'Annual Raw'!C43</f>
        <v>0</v>
      </c>
      <c r="C142" s="23">
        <f>'Annual Raw'!D43</f>
        <v>0</v>
      </c>
      <c r="D142" s="23">
        <f>'Annual Raw'!E43</f>
        <v>28.716999999999999</v>
      </c>
      <c r="E142" s="23">
        <f>'Annual Raw'!F43</f>
        <v>46.393999999999998</v>
      </c>
      <c r="F142" s="23">
        <f>'Annual Raw'!G43</f>
        <v>47.622</v>
      </c>
      <c r="G142" s="23">
        <f>'Annual Raw'!H43</f>
        <v>49.045000000000002</v>
      </c>
      <c r="H142" s="23">
        <f>'Annual Raw'!I43</f>
        <v>52.988999999999997</v>
      </c>
      <c r="I142" s="23">
        <f>'Annual Raw'!J43</f>
        <v>83.730999999999995</v>
      </c>
      <c r="J142" s="23">
        <f>'Annual Raw'!K43</f>
        <v>269.87700000000001</v>
      </c>
      <c r="K142" s="23">
        <f>'Annual Raw'!L43</f>
        <v>285.589</v>
      </c>
      <c r="L142" s="23">
        <f>'Annual Raw'!M43</f>
        <v>500.15600000000001</v>
      </c>
      <c r="M142" s="23">
        <f>'Annual Raw'!N43</f>
        <v>572.65200000000004</v>
      </c>
      <c r="N142" s="23">
        <f>'Annual Raw'!O43</f>
        <v>662.03499999999997</v>
      </c>
      <c r="O142" s="23">
        <f>'Annual Raw'!P43</f>
        <v>598.23699999999997</v>
      </c>
      <c r="P142" s="23">
        <f>'Annual Raw'!Q43</f>
        <v>738.61900000000003</v>
      </c>
      <c r="Q142" s="23">
        <f>'Annual Raw'!R43</f>
        <v>954.67899999999997</v>
      </c>
      <c r="R142" s="23">
        <f>'Annual Raw'!S43</f>
        <v>1206.7329999999999</v>
      </c>
      <c r="S142" s="23">
        <f>'Annual Raw'!T43</f>
        <v>1627.373</v>
      </c>
      <c r="T142" s="23">
        <f>'Annual Raw'!U43</f>
        <v>2013.3979999999999</v>
      </c>
      <c r="U142" s="23">
        <f>'Annual Raw'!V43</f>
        <v>2456.402</v>
      </c>
      <c r="V142" s="23">
        <f>'Annual Raw'!W43</f>
        <v>3184.69</v>
      </c>
      <c r="W142" s="23">
        <f>'Annual Raw'!X43</f>
        <v>7476.4</v>
      </c>
      <c r="X142" s="23">
        <f>'Annual Raw'!Y43</f>
        <v>8035.78</v>
      </c>
      <c r="Y142" s="23">
        <f>'Annual Raw'!Z43</f>
        <v>8186.02</v>
      </c>
      <c r="Z142" s="23">
        <f>'Annual Raw'!AA43</f>
        <v>9287.24</v>
      </c>
      <c r="AA142" s="23">
        <f>'Annual Raw'!AB43</f>
        <v>10278.200000000001</v>
      </c>
      <c r="AB142" s="24">
        <f t="shared" si="1086"/>
        <v>11676.143884271172</v>
      </c>
      <c r="AC142" s="24">
        <f t="shared" si="1087"/>
        <v>13048.43087305566</v>
      </c>
      <c r="AD142" s="24">
        <f t="shared" si="1088"/>
        <v>14426.44901494773</v>
      </c>
      <c r="AE142" s="24">
        <f t="shared" si="1089"/>
        <v>15822.550973675603</v>
      </c>
      <c r="AJ142" s="23">
        <f>+'QTR Raw'!D58</f>
        <v>0</v>
      </c>
      <c r="AK142" s="23">
        <f>+AJ142+AK71</f>
        <v>0</v>
      </c>
      <c r="AL142" s="23">
        <f>+'QTR Raw'!F58</f>
        <v>0</v>
      </c>
      <c r="AM142" s="23">
        <f>+AL142+AM71</f>
        <v>0</v>
      </c>
      <c r="AN142" s="23">
        <f>+'QTR Raw'!H58</f>
        <v>0</v>
      </c>
      <c r="AO142" s="23">
        <f>+AN142+AO71</f>
        <v>0</v>
      </c>
      <c r="AP142" s="23">
        <f>+'QTR Raw'!J58</f>
        <v>0</v>
      </c>
      <c r="AQ142" s="23">
        <f>+AP142+AQ71</f>
        <v>0</v>
      </c>
      <c r="AR142" s="23">
        <f>+'QTR Raw'!L58</f>
        <v>0</v>
      </c>
      <c r="AS142" s="23">
        <f>+AR142+AS71</f>
        <v>0</v>
      </c>
      <c r="AT142" s="23">
        <f>+'QTR Raw'!N58</f>
        <v>0</v>
      </c>
      <c r="AU142" s="23">
        <f>+AT142+AU71</f>
        <v>0</v>
      </c>
      <c r="AV142" s="23">
        <f>+'QTR Raw'!P58</f>
        <v>0</v>
      </c>
      <c r="AW142" s="23">
        <f>+AV142+AW71</f>
        <v>0</v>
      </c>
      <c r="AX142" s="23">
        <f>+'QTR Raw'!R58</f>
        <v>0</v>
      </c>
      <c r="AY142" s="23">
        <f>+AX142+AY71</f>
        <v>0</v>
      </c>
      <c r="AZ142" s="23">
        <f>+'QTR Raw'!T58</f>
        <v>0</v>
      </c>
      <c r="BA142" s="23">
        <f>+AZ142+BA71</f>
        <v>0</v>
      </c>
      <c r="BB142" s="23">
        <f>+'QTR Raw'!V58</f>
        <v>0</v>
      </c>
      <c r="BC142" s="23">
        <f>+BB142+BC71</f>
        <v>0</v>
      </c>
      <c r="BD142" s="23">
        <f>+'QTR Raw'!X58</f>
        <v>0</v>
      </c>
      <c r="BE142" s="23">
        <f>+BD142+BE71</f>
        <v>0</v>
      </c>
      <c r="BF142" s="23">
        <f>+'QTR Raw'!Z58</f>
        <v>0</v>
      </c>
      <c r="BG142" s="23">
        <f>+BF142+BG71</f>
        <v>0</v>
      </c>
      <c r="BH142" s="23">
        <f>+'QTR Raw'!AB58</f>
        <v>0</v>
      </c>
      <c r="BI142" s="23">
        <f>+BH142+BI71</f>
        <v>0</v>
      </c>
      <c r="BJ142" s="23">
        <f>+'QTR Raw'!AD58</f>
        <v>0</v>
      </c>
      <c r="BK142" s="23">
        <f>+BJ142+BK71</f>
        <v>0</v>
      </c>
      <c r="BL142" s="23">
        <f>+'QTR Raw'!AF58</f>
        <v>0</v>
      </c>
      <c r="BM142" s="23">
        <f>+BL142+BM71</f>
        <v>0</v>
      </c>
      <c r="BN142" s="23">
        <f>+'QTR Raw'!AH58</f>
        <v>0</v>
      </c>
      <c r="BO142" s="23">
        <f>+BN142+BO71</f>
        <v>0</v>
      </c>
      <c r="BP142" s="23">
        <f>+'QTR Raw'!AJ58</f>
        <v>0</v>
      </c>
      <c r="BQ142" s="23">
        <f>+BP142+BQ71</f>
        <v>127.39000000000078</v>
      </c>
      <c r="BR142" s="23">
        <f>+'QTR Raw'!AL58</f>
        <v>3184.69</v>
      </c>
      <c r="BS142" s="23">
        <f>+BR142+BS71</f>
        <v>3360.39</v>
      </c>
      <c r="BT142" s="23">
        <f>+'QTR Raw'!AN58</f>
        <v>0</v>
      </c>
      <c r="BU142" s="23">
        <f>+BT142+BU71</f>
        <v>211.41000000000099</v>
      </c>
      <c r="BV142" s="23">
        <f>+'QTR Raw'!AP58</f>
        <v>7476.4</v>
      </c>
      <c r="BW142" s="23">
        <f>+BV142+BW71</f>
        <v>7669.99</v>
      </c>
      <c r="BX142" s="23">
        <f>+'QTR Raw'!AR58</f>
        <v>7701.45</v>
      </c>
      <c r="BY142" s="23">
        <f>+BX142+BY71</f>
        <v>7947.61</v>
      </c>
      <c r="BZ142" s="23">
        <f>+'QTR Raw'!AT58</f>
        <v>8035.78</v>
      </c>
      <c r="CA142" s="23">
        <f>+BZ142+CA71</f>
        <v>7956.8599999999988</v>
      </c>
      <c r="CB142" s="23">
        <f>+'QTR Raw'!AV58</f>
        <v>7831.9</v>
      </c>
      <c r="CC142" s="23">
        <f>+CB142+CC71</f>
        <v>8032.7900000000009</v>
      </c>
      <c r="CD142" s="23">
        <f>+'QTR Raw'!AX58</f>
        <v>8186.02</v>
      </c>
      <c r="CE142" s="23">
        <f>+CD142+CE71</f>
        <v>8499.2200000000012</v>
      </c>
      <c r="CF142" s="23">
        <f>+'QTR Raw'!AZ58</f>
        <v>8813.06</v>
      </c>
      <c r="CG142" s="23">
        <f>+CF142+CG71</f>
        <v>9223.6299999999992</v>
      </c>
      <c r="CH142" s="23">
        <f t="shared" si="1091"/>
        <v>9287.24</v>
      </c>
      <c r="CI142" s="23">
        <f>CH142+CI71</f>
        <v>9523.6700000000019</v>
      </c>
      <c r="CJ142" s="23">
        <f>+'QTR Raw'!BD58</f>
        <v>9775.7099999999991</v>
      </c>
      <c r="CK142" s="23">
        <f t="shared" ref="CK142:DB142" si="1093">CJ142+CK71</f>
        <v>10044.529999999997</v>
      </c>
      <c r="CL142" s="23">
        <f>+'QTR Raw'!BF58</f>
        <v>10311.379999999999</v>
      </c>
      <c r="CM142" s="24">
        <f t="shared" si="1093"/>
        <v>10608.180753618806</v>
      </c>
      <c r="CN142" s="24">
        <f t="shared" si="1093"/>
        <v>10946.116709603273</v>
      </c>
      <c r="CO142" s="24">
        <f t="shared" si="1093"/>
        <v>11285.112105708957</v>
      </c>
      <c r="CP142" s="24">
        <f t="shared" si="1093"/>
        <v>11676.143884271172</v>
      </c>
      <c r="CQ142" s="24">
        <f t="shared" si="1093"/>
        <v>11973.376016890492</v>
      </c>
      <c r="CR142" s="24">
        <f t="shared" si="1093"/>
        <v>12280.880955400848</v>
      </c>
      <c r="CS142" s="24">
        <f t="shared" si="1093"/>
        <v>12618.758888480799</v>
      </c>
      <c r="CT142" s="24">
        <f t="shared" si="1093"/>
        <v>13048.43087305566</v>
      </c>
      <c r="CU142" s="24">
        <f t="shared" si="1093"/>
        <v>13350.702044544198</v>
      </c>
      <c r="CV142" s="24">
        <f t="shared" si="1093"/>
        <v>13660.716873326814</v>
      </c>
      <c r="CW142" s="24">
        <f t="shared" si="1093"/>
        <v>14001.290345719301</v>
      </c>
      <c r="CX142" s="24">
        <f t="shared" si="1093"/>
        <v>14426.44901494773</v>
      </c>
      <c r="CY142" s="24">
        <f t="shared" si="1093"/>
        <v>14731.71705544595</v>
      </c>
      <c r="CZ142" s="24">
        <f t="shared" si="1093"/>
        <v>15043.085309243947</v>
      </c>
      <c r="DA142" s="24">
        <f t="shared" si="1093"/>
        <v>15387.025183704432</v>
      </c>
      <c r="DB142" s="24">
        <f t="shared" si="1093"/>
        <v>15822.550973675603</v>
      </c>
      <c r="DE142" s="123"/>
      <c r="DF142" s="23">
        <v>10381.052900813522</v>
      </c>
    </row>
    <row r="143" spans="1:110" s="22" customFormat="1" x14ac:dyDescent="0.2">
      <c r="A143" s="22" t="s">
        <v>44</v>
      </c>
      <c r="B143" s="22">
        <f>B140+B141+B142</f>
        <v>0</v>
      </c>
      <c r="C143" s="22">
        <f t="shared" ref="C143:V143" si="1094">C140+C141+C142</f>
        <v>0</v>
      </c>
      <c r="D143" s="22">
        <f t="shared" si="1094"/>
        <v>64.498999999999995</v>
      </c>
      <c r="E143" s="22">
        <f t="shared" si="1094"/>
        <v>106.11199999999999</v>
      </c>
      <c r="F143" s="22">
        <f t="shared" si="1094"/>
        <v>179.55700000000002</v>
      </c>
      <c r="G143" s="22">
        <f t="shared" si="1094"/>
        <v>180.98000000000002</v>
      </c>
      <c r="H143" s="22">
        <f t="shared" si="1094"/>
        <v>184.92400000000001</v>
      </c>
      <c r="I143" s="22">
        <f t="shared" si="1094"/>
        <v>253.43099999999998</v>
      </c>
      <c r="J143" s="22">
        <f t="shared" si="1094"/>
        <v>417.49800000000005</v>
      </c>
      <c r="K143" s="22">
        <f t="shared" si="1094"/>
        <v>433.21000000000004</v>
      </c>
      <c r="L143" s="22">
        <f t="shared" si="1094"/>
        <v>673.60799999999995</v>
      </c>
      <c r="M143" s="22">
        <f>M140+M141+M142</f>
        <v>682.01100000000008</v>
      </c>
      <c r="N143" s="22">
        <f t="shared" si="1094"/>
        <v>771.39400000000001</v>
      </c>
      <c r="O143" s="22">
        <f t="shared" si="1094"/>
        <v>707.596</v>
      </c>
      <c r="P143" s="22">
        <f t="shared" si="1094"/>
        <v>852.91399999999999</v>
      </c>
      <c r="Q143" s="22">
        <f t="shared" si="1094"/>
        <v>1070.2239999999999</v>
      </c>
      <c r="R143" s="22">
        <f t="shared" si="1094"/>
        <v>1321.028</v>
      </c>
      <c r="S143" s="22">
        <f t="shared" si="1094"/>
        <v>1741.6680000000001</v>
      </c>
      <c r="T143" s="22">
        <f t="shared" si="1094"/>
        <v>2127.6929999999998</v>
      </c>
      <c r="U143" s="22">
        <f t="shared" si="1094"/>
        <v>2570.6970000000001</v>
      </c>
      <c r="V143" s="22">
        <f t="shared" si="1094"/>
        <v>3298.98</v>
      </c>
      <c r="W143" s="22">
        <f t="shared" ref="W143" si="1095">W140+W141+W142</f>
        <v>7606.37</v>
      </c>
      <c r="X143" s="22">
        <f t="shared" ref="X143:Y143" si="1096">X140+X141+X142</f>
        <v>8165.75</v>
      </c>
      <c r="Y143" s="22">
        <f t="shared" si="1096"/>
        <v>8315.99</v>
      </c>
      <c r="Z143" s="22">
        <f t="shared" ref="Z143:AA143" si="1097">Z140+Z141+Z142</f>
        <v>9423.7999999999993</v>
      </c>
      <c r="AA143" s="22">
        <f t="shared" si="1097"/>
        <v>10440.720000000001</v>
      </c>
      <c r="AB143" s="21">
        <f t="shared" ref="AA143:AD143" si="1098">AB140+AB141+AB142</f>
        <v>11805.483884271172</v>
      </c>
      <c r="AC143" s="21">
        <f t="shared" si="1098"/>
        <v>13177.770873055661</v>
      </c>
      <c r="AD143" s="21">
        <f t="shared" si="1098"/>
        <v>14555.78901494773</v>
      </c>
      <c r="AE143" s="21">
        <f t="shared" ref="AE143" si="1099">AE140+AE141+AE142</f>
        <v>15951.890973675603</v>
      </c>
      <c r="AJ143" s="22">
        <f t="shared" ref="AJ143" si="1100">AJ140+AJ141+AJ142</f>
        <v>0</v>
      </c>
      <c r="AK143" s="22">
        <f t="shared" ref="AK143" si="1101">AK140+AK141+AK142</f>
        <v>0</v>
      </c>
      <c r="AL143" s="22">
        <f t="shared" ref="AL143:AM143" si="1102">AL140+AL141+AL142</f>
        <v>0</v>
      </c>
      <c r="AM143" s="22">
        <f t="shared" si="1102"/>
        <v>0</v>
      </c>
      <c r="AN143" s="22">
        <f t="shared" ref="AN143:AO143" si="1103">AN140+AN141+AN142</f>
        <v>0</v>
      </c>
      <c r="AO143" s="22">
        <f t="shared" si="1103"/>
        <v>0</v>
      </c>
      <c r="AP143" s="22">
        <f t="shared" ref="AP143:CE143" si="1104">AP140+AP141+AP142</f>
        <v>0</v>
      </c>
      <c r="AQ143" s="22">
        <f t="shared" si="1104"/>
        <v>0</v>
      </c>
      <c r="AR143" s="22">
        <f t="shared" si="1104"/>
        <v>0</v>
      </c>
      <c r="AS143" s="22">
        <f t="shared" si="1104"/>
        <v>0</v>
      </c>
      <c r="AT143" s="22">
        <f t="shared" si="1104"/>
        <v>0</v>
      </c>
      <c r="AU143" s="22">
        <f t="shared" si="1104"/>
        <v>0</v>
      </c>
      <c r="AV143" s="22">
        <f t="shared" si="1104"/>
        <v>0</v>
      </c>
      <c r="AW143" s="22">
        <f t="shared" si="1104"/>
        <v>0</v>
      </c>
      <c r="AX143" s="22">
        <f t="shared" si="1104"/>
        <v>0</v>
      </c>
      <c r="AY143" s="22">
        <f t="shared" si="1104"/>
        <v>0</v>
      </c>
      <c r="AZ143" s="22">
        <f t="shared" si="1104"/>
        <v>0</v>
      </c>
      <c r="BA143" s="22">
        <f t="shared" si="1104"/>
        <v>0</v>
      </c>
      <c r="BB143" s="22">
        <f t="shared" si="1104"/>
        <v>0</v>
      </c>
      <c r="BC143" s="22">
        <f t="shared" si="1104"/>
        <v>0</v>
      </c>
      <c r="BD143" s="22">
        <f t="shared" si="1104"/>
        <v>0</v>
      </c>
      <c r="BE143" s="22">
        <f t="shared" si="1104"/>
        <v>0</v>
      </c>
      <c r="BF143" s="22">
        <f t="shared" si="1104"/>
        <v>0</v>
      </c>
      <c r="BG143" s="22">
        <f t="shared" si="1104"/>
        <v>0</v>
      </c>
      <c r="BH143" s="22">
        <f t="shared" si="1104"/>
        <v>0</v>
      </c>
      <c r="BI143" s="22">
        <f t="shared" si="1104"/>
        <v>0</v>
      </c>
      <c r="BJ143" s="22">
        <f t="shared" si="1104"/>
        <v>0</v>
      </c>
      <c r="BK143" s="22">
        <f t="shared" si="1104"/>
        <v>0</v>
      </c>
      <c r="BL143" s="22">
        <f t="shared" si="1104"/>
        <v>0</v>
      </c>
      <c r="BM143" s="22">
        <f t="shared" si="1104"/>
        <v>0</v>
      </c>
      <c r="BN143" s="22">
        <f t="shared" si="1104"/>
        <v>0</v>
      </c>
      <c r="BO143" s="22">
        <f t="shared" si="1104"/>
        <v>0</v>
      </c>
      <c r="BP143" s="22">
        <f t="shared" si="1104"/>
        <v>0</v>
      </c>
      <c r="BQ143" s="22">
        <f t="shared" si="1104"/>
        <v>127.39000000000078</v>
      </c>
      <c r="BR143" s="22">
        <f t="shared" si="1104"/>
        <v>3298.98</v>
      </c>
      <c r="BS143" s="22">
        <f t="shared" si="1104"/>
        <v>3474.68</v>
      </c>
      <c r="BT143" s="22">
        <f t="shared" si="1104"/>
        <v>0</v>
      </c>
      <c r="BU143" s="22">
        <f t="shared" si="1104"/>
        <v>211.41000000000099</v>
      </c>
      <c r="BV143" s="22">
        <f t="shared" si="1104"/>
        <v>7606.37</v>
      </c>
      <c r="BW143" s="22">
        <f t="shared" si="1104"/>
        <v>7799.96</v>
      </c>
      <c r="BX143" s="22">
        <f t="shared" si="1104"/>
        <v>7831.42</v>
      </c>
      <c r="BY143" s="22">
        <f t="shared" si="1104"/>
        <v>8077.58</v>
      </c>
      <c r="BZ143" s="22">
        <f t="shared" si="1104"/>
        <v>8165.75</v>
      </c>
      <c r="CA143" s="22">
        <f t="shared" si="1104"/>
        <v>8086.829999999999</v>
      </c>
      <c r="CB143" s="22">
        <f t="shared" si="1104"/>
        <v>7961.87</v>
      </c>
      <c r="CC143" s="22">
        <f t="shared" si="1104"/>
        <v>8162.7600000000011</v>
      </c>
      <c r="CD143" s="22">
        <f t="shared" si="1104"/>
        <v>8315.99</v>
      </c>
      <c r="CE143" s="22">
        <f t="shared" si="1104"/>
        <v>8629.19</v>
      </c>
      <c r="CF143" s="22">
        <f t="shared" ref="CF143:CG143" si="1105">CF140+CF141+CF142</f>
        <v>8943.0299999999988</v>
      </c>
      <c r="CG143" s="22">
        <f t="shared" si="1105"/>
        <v>9353.5999999999985</v>
      </c>
      <c r="CH143" s="22">
        <f t="shared" ref="CH143:CI143" si="1106">CH140+CH141+CH142</f>
        <v>9423.7999999999993</v>
      </c>
      <c r="CI143" s="22">
        <f t="shared" si="1106"/>
        <v>9660.2300000000014</v>
      </c>
      <c r="CJ143" s="22">
        <f t="shared" ref="CJ143:DB143" si="1107">CJ140+CJ141+CJ142</f>
        <v>9905.24</v>
      </c>
      <c r="CK143" s="22">
        <f t="shared" si="1107"/>
        <v>10174.059999999998</v>
      </c>
      <c r="CL143" s="22">
        <f t="shared" ref="CL143" si="1108">CL140+CL141+CL142</f>
        <v>10440.719999999999</v>
      </c>
      <c r="CM143" s="21">
        <f t="shared" si="1107"/>
        <v>10737.520753618806</v>
      </c>
      <c r="CN143" s="21">
        <f t="shared" si="1107"/>
        <v>11075.456709603273</v>
      </c>
      <c r="CO143" s="21">
        <f t="shared" si="1107"/>
        <v>11414.452105708957</v>
      </c>
      <c r="CP143" s="21">
        <f t="shared" si="1107"/>
        <v>11805.483884271172</v>
      </c>
      <c r="CQ143" s="21">
        <f t="shared" si="1107"/>
        <v>12102.716016890492</v>
      </c>
      <c r="CR143" s="21">
        <f t="shared" si="1107"/>
        <v>12410.220955400848</v>
      </c>
      <c r="CS143" s="21">
        <f t="shared" si="1107"/>
        <v>12748.098888480799</v>
      </c>
      <c r="CT143" s="21">
        <f t="shared" si="1107"/>
        <v>13177.770873055661</v>
      </c>
      <c r="CU143" s="21">
        <f t="shared" si="1107"/>
        <v>13480.042044544198</v>
      </c>
      <c r="CV143" s="21">
        <f t="shared" si="1107"/>
        <v>13790.056873326814</v>
      </c>
      <c r="CW143" s="21">
        <f t="shared" si="1107"/>
        <v>14130.630345719301</v>
      </c>
      <c r="CX143" s="21">
        <f t="shared" si="1107"/>
        <v>14555.78901494773</v>
      </c>
      <c r="CY143" s="21">
        <f t="shared" si="1107"/>
        <v>14861.05705544595</v>
      </c>
      <c r="CZ143" s="21">
        <f t="shared" si="1107"/>
        <v>15172.425309243947</v>
      </c>
      <c r="DA143" s="21">
        <f t="shared" si="1107"/>
        <v>15516.365183704433</v>
      </c>
      <c r="DB143" s="21">
        <f t="shared" si="1107"/>
        <v>15951.890973675603</v>
      </c>
      <c r="DE143" s="126"/>
      <c r="DF143" s="22">
        <v>10510.582900813522</v>
      </c>
    </row>
    <row r="144" spans="1:110" s="22" customFormat="1" x14ac:dyDescent="0.2">
      <c r="AB144" s="21"/>
      <c r="AC144" s="21"/>
      <c r="AD144" s="21"/>
      <c r="AE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E144" s="126"/>
    </row>
    <row r="145" spans="1:110" s="23" customFormat="1" x14ac:dyDescent="0.2">
      <c r="A145" s="23" t="s">
        <v>23</v>
      </c>
      <c r="B145" s="23">
        <f>'Annual Raw'!C45</f>
        <v>0</v>
      </c>
      <c r="C145" s="23">
        <f>'Annual Raw'!D45</f>
        <v>0</v>
      </c>
      <c r="D145" s="23">
        <f>'Annual Raw'!E45</f>
        <v>0</v>
      </c>
      <c r="E145" s="23">
        <f>'Annual Raw'!F45</f>
        <v>0</v>
      </c>
      <c r="F145" s="23">
        <f>'Annual Raw'!G45</f>
        <v>0</v>
      </c>
      <c r="G145" s="23">
        <f>'Annual Raw'!H45</f>
        <v>0</v>
      </c>
      <c r="H145" s="23">
        <f>'Annual Raw'!I45</f>
        <v>0</v>
      </c>
      <c r="I145" s="23">
        <f>'Annual Raw'!J45</f>
        <v>0</v>
      </c>
      <c r="J145" s="23">
        <f>'Annual Raw'!K45</f>
        <v>0</v>
      </c>
      <c r="K145" s="23">
        <f>'Annual Raw'!L45</f>
        <v>0</v>
      </c>
      <c r="L145" s="23">
        <f>'Annual Raw'!M45</f>
        <v>0</v>
      </c>
      <c r="M145" s="23">
        <f>'Annual Raw'!N45</f>
        <v>0</v>
      </c>
      <c r="N145" s="23">
        <f>'Annual Raw'!O45</f>
        <v>0</v>
      </c>
      <c r="O145" s="23">
        <f>'Annual Raw'!P45</f>
        <v>0</v>
      </c>
      <c r="P145" s="23">
        <f>'Annual Raw'!Q45</f>
        <v>0</v>
      </c>
      <c r="Q145" s="23">
        <f>'Annual Raw'!R45</f>
        <v>0</v>
      </c>
      <c r="R145" s="23">
        <f>'Annual Raw'!S45</f>
        <v>0</v>
      </c>
      <c r="S145" s="23">
        <f>'Annual Raw'!T45</f>
        <v>0</v>
      </c>
      <c r="T145" s="23">
        <f>'Annual Raw'!U45</f>
        <v>0</v>
      </c>
      <c r="U145" s="23">
        <f>'Annual Raw'!V45</f>
        <v>0</v>
      </c>
      <c r="V145" s="23">
        <f>'Annual Raw'!W45</f>
        <v>0</v>
      </c>
      <c r="W145" s="23">
        <f>'Annual Raw'!X45</f>
        <v>0</v>
      </c>
      <c r="X145" s="23">
        <f>'Annual Raw'!Y45</f>
        <v>0</v>
      </c>
      <c r="Y145" s="23">
        <f>'Annual Raw'!Z45</f>
        <v>0</v>
      </c>
      <c r="Z145" s="23">
        <f>'Annual Raw'!AA45</f>
        <v>0.12</v>
      </c>
      <c r="AA145" s="23">
        <f>'Annual Raw'!AB45</f>
        <v>2.96</v>
      </c>
      <c r="AB145" s="24">
        <f>+CP145</f>
        <v>2.96</v>
      </c>
      <c r="AC145" s="24">
        <f>+CT145</f>
        <v>2.96</v>
      </c>
      <c r="AD145" s="24">
        <f>+CX145</f>
        <v>2.96</v>
      </c>
      <c r="AE145" s="24">
        <f>+DB145</f>
        <v>2.96</v>
      </c>
      <c r="AJ145" s="23">
        <f>+'QTR Raw'!D60</f>
        <v>0</v>
      </c>
      <c r="AK145" s="23">
        <f t="shared" ref="AK145:CE145" si="1109">+AJ145</f>
        <v>0</v>
      </c>
      <c r="AL145" s="23">
        <f>+'QTR Raw'!F60</f>
        <v>0</v>
      </c>
      <c r="AM145" s="23">
        <f t="shared" si="1109"/>
        <v>0</v>
      </c>
      <c r="AN145" s="23">
        <f>+'QTR Raw'!H60</f>
        <v>0</v>
      </c>
      <c r="AO145" s="23">
        <f t="shared" si="1109"/>
        <v>0</v>
      </c>
      <c r="AP145" s="23">
        <f>+'QTR Raw'!J60</f>
        <v>0</v>
      </c>
      <c r="AQ145" s="23">
        <f t="shared" si="1109"/>
        <v>0</v>
      </c>
      <c r="AR145" s="23">
        <f>+'QTR Raw'!L60</f>
        <v>0</v>
      </c>
      <c r="AS145" s="23">
        <f t="shared" si="1109"/>
        <v>0</v>
      </c>
      <c r="AT145" s="23">
        <f>+'QTR Raw'!N60</f>
        <v>0</v>
      </c>
      <c r="AU145" s="23">
        <f t="shared" si="1109"/>
        <v>0</v>
      </c>
      <c r="AV145" s="23">
        <f>+'QTR Raw'!P60</f>
        <v>0</v>
      </c>
      <c r="AW145" s="23">
        <f t="shared" si="1109"/>
        <v>0</v>
      </c>
      <c r="AX145" s="23">
        <f>+'QTR Raw'!R60</f>
        <v>0</v>
      </c>
      <c r="AY145" s="23">
        <f t="shared" si="1109"/>
        <v>0</v>
      </c>
      <c r="AZ145" s="23">
        <f>+'QTR Raw'!T60</f>
        <v>0</v>
      </c>
      <c r="BA145" s="23">
        <f t="shared" si="1109"/>
        <v>0</v>
      </c>
      <c r="BB145" s="23">
        <f>+'QTR Raw'!V60</f>
        <v>0</v>
      </c>
      <c r="BC145" s="23">
        <f t="shared" si="1109"/>
        <v>0</v>
      </c>
      <c r="BD145" s="23">
        <f>+'QTR Raw'!X60</f>
        <v>0</v>
      </c>
      <c r="BE145" s="23">
        <f t="shared" si="1109"/>
        <v>0</v>
      </c>
      <c r="BF145" s="23">
        <f>+'QTR Raw'!Z60</f>
        <v>0</v>
      </c>
      <c r="BG145" s="23">
        <f t="shared" si="1109"/>
        <v>0</v>
      </c>
      <c r="BH145" s="22">
        <f>+'QTR Raw'!AB60</f>
        <v>0</v>
      </c>
      <c r="BI145" s="23">
        <f t="shared" si="1109"/>
        <v>0</v>
      </c>
      <c r="BJ145" s="23">
        <f>+'QTR Raw'!AD60</f>
        <v>0</v>
      </c>
      <c r="BK145" s="23">
        <f t="shared" si="1109"/>
        <v>0</v>
      </c>
      <c r="BL145" s="23">
        <f>+'QTR Raw'!AF60</f>
        <v>0</v>
      </c>
      <c r="BM145" s="23">
        <f t="shared" si="1109"/>
        <v>0</v>
      </c>
      <c r="BN145" s="23">
        <f>+'QTR Raw'!AH60</f>
        <v>0</v>
      </c>
      <c r="BO145" s="23">
        <f t="shared" si="1109"/>
        <v>0</v>
      </c>
      <c r="BP145" s="23">
        <f>+'QTR Raw'!AJ60</f>
        <v>0</v>
      </c>
      <c r="BQ145" s="23">
        <f t="shared" si="1109"/>
        <v>0</v>
      </c>
      <c r="BR145" s="23">
        <f>+'QTR Raw'!AL60</f>
        <v>0</v>
      </c>
      <c r="BS145" s="23">
        <f t="shared" si="1109"/>
        <v>0</v>
      </c>
      <c r="BT145" s="23">
        <f>+'QTR Raw'!AN60</f>
        <v>0</v>
      </c>
      <c r="BU145" s="23">
        <f t="shared" si="1109"/>
        <v>0</v>
      </c>
      <c r="BV145" s="23">
        <f>+'QTR Raw'!AP60</f>
        <v>0</v>
      </c>
      <c r="BW145" s="23">
        <f t="shared" si="1109"/>
        <v>0</v>
      </c>
      <c r="BX145" s="23">
        <f>+'QTR Raw'!AR60</f>
        <v>0</v>
      </c>
      <c r="BY145" s="23">
        <f t="shared" si="1109"/>
        <v>0</v>
      </c>
      <c r="BZ145" s="23">
        <f>+'QTR Raw'!AT60</f>
        <v>0</v>
      </c>
      <c r="CA145" s="23">
        <f t="shared" si="1109"/>
        <v>0</v>
      </c>
      <c r="CB145" s="23">
        <f>+'QTR Raw'!AV60</f>
        <v>0</v>
      </c>
      <c r="CC145" s="23">
        <f t="shared" si="1109"/>
        <v>0</v>
      </c>
      <c r="CD145" s="23">
        <f>+'QTR Raw'!AX60</f>
        <v>0</v>
      </c>
      <c r="CE145" s="23">
        <f t="shared" si="1109"/>
        <v>0</v>
      </c>
      <c r="CF145" s="23">
        <f>+'QTR Raw'!AZ60</f>
        <v>-1.0900000000000001</v>
      </c>
      <c r="CG145" s="23">
        <f t="shared" ref="CG145:CI145" si="1110">+CF145</f>
        <v>-1.0900000000000001</v>
      </c>
      <c r="CH145" s="23">
        <f t="shared" ref="CH145:CH150" si="1111">Z145</f>
        <v>0.12</v>
      </c>
      <c r="CI145" s="23">
        <f t="shared" si="1110"/>
        <v>0.12</v>
      </c>
      <c r="CJ145" s="23">
        <f>+'QTR Raw'!BD60</f>
        <v>1.77</v>
      </c>
      <c r="CK145" s="23">
        <f t="shared" ref="CK145" si="1112">+CJ145</f>
        <v>1.77</v>
      </c>
      <c r="CL145" s="23">
        <f>+'QTR Raw'!BF60</f>
        <v>2.96</v>
      </c>
      <c r="CM145" s="24">
        <f t="shared" ref="CM145" si="1113">+CL145</f>
        <v>2.96</v>
      </c>
      <c r="CN145" s="24">
        <f t="shared" ref="CN145" si="1114">+CM145</f>
        <v>2.96</v>
      </c>
      <c r="CO145" s="24">
        <f t="shared" ref="CO145" si="1115">+CN145</f>
        <v>2.96</v>
      </c>
      <c r="CP145" s="24">
        <f t="shared" ref="CP145" si="1116">+CO145</f>
        <v>2.96</v>
      </c>
      <c r="CQ145" s="24">
        <f t="shared" ref="CQ145" si="1117">+CP145</f>
        <v>2.96</v>
      </c>
      <c r="CR145" s="24">
        <f t="shared" ref="CR145" si="1118">+CQ145</f>
        <v>2.96</v>
      </c>
      <c r="CS145" s="24">
        <f t="shared" ref="CS145" si="1119">+CR145</f>
        <v>2.96</v>
      </c>
      <c r="CT145" s="24">
        <f t="shared" ref="CT145" si="1120">+CS145</f>
        <v>2.96</v>
      </c>
      <c r="CU145" s="24">
        <f t="shared" ref="CU145" si="1121">+CT145</f>
        <v>2.96</v>
      </c>
      <c r="CV145" s="24">
        <f t="shared" ref="CV145" si="1122">+CU145</f>
        <v>2.96</v>
      </c>
      <c r="CW145" s="24">
        <f t="shared" ref="CW145" si="1123">+CV145</f>
        <v>2.96</v>
      </c>
      <c r="CX145" s="24">
        <f t="shared" ref="CX145" si="1124">+CW145</f>
        <v>2.96</v>
      </c>
      <c r="CY145" s="24">
        <f t="shared" ref="CY145" si="1125">+CX145</f>
        <v>2.96</v>
      </c>
      <c r="CZ145" s="24">
        <f t="shared" ref="CZ145" si="1126">+CY145</f>
        <v>2.96</v>
      </c>
      <c r="DA145" s="24">
        <f t="shared" ref="DA145" si="1127">+CZ145</f>
        <v>2.96</v>
      </c>
      <c r="DB145" s="24">
        <f t="shared" ref="DB145" si="1128">+DA145</f>
        <v>2.96</v>
      </c>
      <c r="DE145" s="123"/>
      <c r="DF145" s="23">
        <v>1.77</v>
      </c>
    </row>
    <row r="146" spans="1:110" s="23" customFormat="1" x14ac:dyDescent="0.2">
      <c r="AB146" s="24"/>
      <c r="AC146" s="24"/>
      <c r="AD146" s="24"/>
      <c r="AE146" s="24"/>
      <c r="BH146" s="22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45</v>
      </c>
      <c r="B147" s="23">
        <f>'Annual Raw'!C47</f>
        <v>0</v>
      </c>
      <c r="C147" s="23">
        <f>'Annual Raw'!D47</f>
        <v>0</v>
      </c>
      <c r="D147" s="23">
        <f>'Annual Raw'!E47</f>
        <v>39.651000000000003</v>
      </c>
      <c r="E147" s="23">
        <f>'Annual Raw'!F47</f>
        <v>110.98099999999999</v>
      </c>
      <c r="F147" s="23">
        <f>'Annual Raw'!G47</f>
        <v>165.44800000000001</v>
      </c>
      <c r="G147" s="23">
        <f>'Annual Raw'!H47</f>
        <v>177.07900000000001</v>
      </c>
      <c r="H147" s="23">
        <f>'Annual Raw'!I47</f>
        <v>127.881</v>
      </c>
      <c r="I147" s="23">
        <f>'Annual Raw'!J47</f>
        <v>100.623</v>
      </c>
      <c r="J147" s="23">
        <f>'Annual Raw'!K47</f>
        <v>331.89</v>
      </c>
      <c r="K147" s="23">
        <f>'Annual Raw'!L47</f>
        <v>291.029</v>
      </c>
      <c r="L147" s="23">
        <f>'Annual Raw'!M47</f>
        <v>360.95400000000001</v>
      </c>
      <c r="M147" s="23">
        <f>'Annual Raw'!N47</f>
        <v>279.11599999999999</v>
      </c>
      <c r="N147" s="23">
        <f>'Annual Raw'!O47</f>
        <v>241.59200000000001</v>
      </c>
      <c r="O147" s="23">
        <f>'Annual Raw'!P47</f>
        <v>217.34399999999999</v>
      </c>
      <c r="P147" s="23">
        <f>'Annual Raw'!Q47</f>
        <v>719.33199999999999</v>
      </c>
      <c r="Q147" s="23">
        <f>'Annual Raw'!R47</f>
        <v>618.43200000000002</v>
      </c>
      <c r="R147" s="23">
        <f>'Annual Raw'!S47</f>
        <v>463.12599999999998</v>
      </c>
      <c r="S147" s="23">
        <f>'Annual Raw'!T47</f>
        <v>189.51599999999999</v>
      </c>
      <c r="T147" s="23">
        <f>'Annual Raw'!U47</f>
        <v>964.53200000000004</v>
      </c>
      <c r="U147" s="23">
        <f>'Annual Raw'!V47</f>
        <v>1146.306</v>
      </c>
      <c r="V147" s="23">
        <f>'Annual Raw'!W47</f>
        <v>1024.0899999999999</v>
      </c>
      <c r="W147" s="23">
        <f>'Annual Raw'!X47</f>
        <v>44.97</v>
      </c>
      <c r="X147" s="23">
        <f>'Annual Raw'!Y47</f>
        <v>0</v>
      </c>
      <c r="Y147" s="23">
        <f>'Annual Raw'!Z47</f>
        <v>0</v>
      </c>
      <c r="Z147" s="23">
        <f>'Annual Raw'!AA47</f>
        <v>179.35</v>
      </c>
      <c r="AA147" s="23">
        <f>'Annual Raw'!AB47</f>
        <v>385.35</v>
      </c>
      <c r="AB147" s="24">
        <f t="shared" ref="AB147:AB150" si="1129">+CP147</f>
        <v>0</v>
      </c>
      <c r="AC147" s="24">
        <f t="shared" ref="AC147:AC150" si="1130">+CT147</f>
        <v>0</v>
      </c>
      <c r="AD147" s="24">
        <f t="shared" ref="AD147:AD150" si="1131">+CX147</f>
        <v>0</v>
      </c>
      <c r="AE147" s="24">
        <f t="shared" ref="AE147:AE150" si="1132">+DB147</f>
        <v>0</v>
      </c>
      <c r="AJ147" s="23">
        <f>+'QTR Raw'!D62</f>
        <v>0</v>
      </c>
      <c r="AK147" s="23">
        <f t="shared" ref="AK147:CC150" si="1133">+AJ147</f>
        <v>0</v>
      </c>
      <c r="AL147" s="23">
        <f>+'QTR Raw'!F62</f>
        <v>0</v>
      </c>
      <c r="AM147" s="23">
        <f t="shared" si="1133"/>
        <v>0</v>
      </c>
      <c r="AN147" s="23">
        <f>+'QTR Raw'!H62</f>
        <v>0</v>
      </c>
      <c r="AO147" s="23">
        <f t="shared" si="1133"/>
        <v>0</v>
      </c>
      <c r="AP147" s="23">
        <f>+'QTR Raw'!J62</f>
        <v>0</v>
      </c>
      <c r="AQ147" s="23">
        <f t="shared" si="1133"/>
        <v>0</v>
      </c>
      <c r="AR147" s="23">
        <f>+'QTR Raw'!L62</f>
        <v>0</v>
      </c>
      <c r="AS147" s="23">
        <f t="shared" si="1133"/>
        <v>0</v>
      </c>
      <c r="AT147" s="23">
        <f>+'QTR Raw'!N62</f>
        <v>0</v>
      </c>
      <c r="AU147" s="23">
        <f t="shared" si="1133"/>
        <v>0</v>
      </c>
      <c r="AV147" s="23">
        <f>+'QTR Raw'!P62</f>
        <v>0</v>
      </c>
      <c r="AW147" s="23">
        <f t="shared" si="1133"/>
        <v>0</v>
      </c>
      <c r="AX147" s="23">
        <f>+'QTR Raw'!R62</f>
        <v>0</v>
      </c>
      <c r="AY147" s="23">
        <f t="shared" si="1133"/>
        <v>0</v>
      </c>
      <c r="AZ147" s="23">
        <f>+'QTR Raw'!T62</f>
        <v>0</v>
      </c>
      <c r="BA147" s="23">
        <f t="shared" si="1133"/>
        <v>0</v>
      </c>
      <c r="BB147" s="23">
        <f>+'QTR Raw'!V62</f>
        <v>0</v>
      </c>
      <c r="BC147" s="23">
        <f t="shared" si="1133"/>
        <v>0</v>
      </c>
      <c r="BD147" s="23">
        <f>+'QTR Raw'!X62</f>
        <v>0</v>
      </c>
      <c r="BE147" s="23">
        <f t="shared" si="1133"/>
        <v>0</v>
      </c>
      <c r="BF147" s="23">
        <f>+'QTR Raw'!Z62</f>
        <v>0</v>
      </c>
      <c r="BG147" s="23">
        <f t="shared" si="1133"/>
        <v>0</v>
      </c>
      <c r="BH147" s="22">
        <f>+'QTR Raw'!AB62</f>
        <v>0</v>
      </c>
      <c r="BI147" s="23">
        <f t="shared" si="1133"/>
        <v>0</v>
      </c>
      <c r="BJ147" s="23">
        <f>+'QTR Raw'!AD62</f>
        <v>0</v>
      </c>
      <c r="BK147" s="23">
        <f t="shared" si="1133"/>
        <v>0</v>
      </c>
      <c r="BL147" s="23">
        <f>+'QTR Raw'!AF62</f>
        <v>0</v>
      </c>
      <c r="BM147" s="23">
        <f t="shared" si="1133"/>
        <v>0</v>
      </c>
      <c r="BN147" s="23">
        <f>+'QTR Raw'!AH62</f>
        <v>0</v>
      </c>
      <c r="BO147" s="23">
        <f t="shared" si="1133"/>
        <v>0</v>
      </c>
      <c r="BP147" s="23">
        <f>+'QTR Raw'!AJ62</f>
        <v>0</v>
      </c>
      <c r="BQ147" s="23">
        <f t="shared" si="1133"/>
        <v>0</v>
      </c>
      <c r="BR147" s="23">
        <f>+'QTR Raw'!AL62</f>
        <v>0</v>
      </c>
      <c r="BS147" s="23">
        <f t="shared" si="1133"/>
        <v>0</v>
      </c>
      <c r="BT147" s="23">
        <f>+'QTR Raw'!AN62</f>
        <v>0</v>
      </c>
      <c r="BU147" s="23">
        <f t="shared" si="1133"/>
        <v>0</v>
      </c>
      <c r="BV147" s="23">
        <f>+'QTR Raw'!AP62</f>
        <v>0</v>
      </c>
      <c r="BW147" s="23">
        <f t="shared" si="1133"/>
        <v>0</v>
      </c>
      <c r="BX147" s="23">
        <f>+'QTR Raw'!AR62</f>
        <v>0</v>
      </c>
      <c r="BY147" s="23">
        <f t="shared" si="1133"/>
        <v>0</v>
      </c>
      <c r="BZ147" s="23">
        <f>+'QTR Raw'!AT62</f>
        <v>0</v>
      </c>
      <c r="CA147" s="23">
        <f t="shared" si="1133"/>
        <v>0</v>
      </c>
      <c r="CB147" s="23">
        <f>+'QTR Raw'!AV62</f>
        <v>0</v>
      </c>
      <c r="CC147" s="23">
        <f t="shared" si="1133"/>
        <v>0</v>
      </c>
      <c r="CD147" s="23">
        <f>+'QTR Raw'!AX62</f>
        <v>0</v>
      </c>
      <c r="CE147" s="23">
        <f t="shared" ref="CE147:CE150" si="1134">+CD147</f>
        <v>0</v>
      </c>
      <c r="CF147" s="23">
        <f>+'QTR Raw'!AZ62</f>
        <v>0</v>
      </c>
      <c r="CG147" s="23">
        <f t="shared" ref="CG147:CI150" si="1135">+CF147</f>
        <v>0</v>
      </c>
      <c r="CH147" s="23">
        <f t="shared" si="1111"/>
        <v>179.35</v>
      </c>
      <c r="CI147" s="23">
        <f t="shared" si="1135"/>
        <v>179.35</v>
      </c>
      <c r="CJ147" s="23">
        <f>+'QTR Raw'!BD62</f>
        <v>0</v>
      </c>
      <c r="CK147" s="23">
        <f t="shared" ref="CK147:CK150" si="1136">+CJ147</f>
        <v>0</v>
      </c>
      <c r="CL147" s="23">
        <f>+'QTR Raw'!BF62</f>
        <v>0</v>
      </c>
      <c r="CM147" s="24">
        <f t="shared" ref="CM147:CM150" si="1137">+CL147</f>
        <v>0</v>
      </c>
      <c r="CN147" s="24">
        <f t="shared" ref="CN147:CN150" si="1138">+CM147</f>
        <v>0</v>
      </c>
      <c r="CO147" s="24">
        <f t="shared" ref="CO147:CO150" si="1139">+CN147</f>
        <v>0</v>
      </c>
      <c r="CP147" s="24">
        <f t="shared" ref="CP147:CP150" si="1140">+CO147</f>
        <v>0</v>
      </c>
      <c r="CQ147" s="24">
        <f t="shared" ref="CQ147:CQ150" si="1141">+CP147</f>
        <v>0</v>
      </c>
      <c r="CR147" s="24">
        <f t="shared" ref="CR147:CR150" si="1142">+CQ147</f>
        <v>0</v>
      </c>
      <c r="CS147" s="24">
        <f t="shared" ref="CS147:CS150" si="1143">+CR147</f>
        <v>0</v>
      </c>
      <c r="CT147" s="24">
        <f t="shared" ref="CT147:CT150" si="1144">+CS147</f>
        <v>0</v>
      </c>
      <c r="CU147" s="24">
        <f t="shared" ref="CU147:CU150" si="1145">+CT147</f>
        <v>0</v>
      </c>
      <c r="CV147" s="24">
        <f t="shared" ref="CV147:CV150" si="1146">+CU147</f>
        <v>0</v>
      </c>
      <c r="CW147" s="24">
        <f t="shared" ref="CW147:CW150" si="1147">+CV147</f>
        <v>0</v>
      </c>
      <c r="CX147" s="24">
        <f t="shared" ref="CX147:CX150" si="1148">+CW147</f>
        <v>0</v>
      </c>
      <c r="CY147" s="24">
        <f t="shared" ref="CY147:CY150" si="1149">+CX147</f>
        <v>0</v>
      </c>
      <c r="CZ147" s="24">
        <f t="shared" ref="CZ147:CZ150" si="1150">+CY147</f>
        <v>0</v>
      </c>
      <c r="DA147" s="24">
        <f t="shared" ref="DA147:DA150" si="1151">+CZ147</f>
        <v>0</v>
      </c>
      <c r="DB147" s="24">
        <f t="shared" ref="DB147:DB150" si="1152">+DA147</f>
        <v>0</v>
      </c>
      <c r="DE147" s="123"/>
      <c r="DF147" s="23">
        <v>0</v>
      </c>
    </row>
    <row r="148" spans="1:110" s="23" customFormat="1" outlineLevel="1" x14ac:dyDescent="0.2">
      <c r="A148" s="23" t="s">
        <v>46</v>
      </c>
      <c r="B148" s="23">
        <f>'Annual Raw'!C48</f>
        <v>0</v>
      </c>
      <c r="C148" s="23">
        <f>'Annual Raw'!D48</f>
        <v>0</v>
      </c>
      <c r="D148" s="23">
        <f>'Annual Raw'!E48</f>
        <v>0</v>
      </c>
      <c r="E148" s="23">
        <f>'Annual Raw'!F48</f>
        <v>0</v>
      </c>
      <c r="F148" s="23">
        <f>'Annual Raw'!G48</f>
        <v>0</v>
      </c>
      <c r="G148" s="23">
        <f>'Annual Raw'!H48</f>
        <v>0</v>
      </c>
      <c r="H148" s="23">
        <f>'Annual Raw'!I48</f>
        <v>0</v>
      </c>
      <c r="I148" s="23">
        <f>'Annual Raw'!J48</f>
        <v>23.321000000000002</v>
      </c>
      <c r="J148" s="23">
        <f>'Annual Raw'!K48</f>
        <v>2.6930000000000001</v>
      </c>
      <c r="K148" s="23">
        <f>'Annual Raw'!L48</f>
        <v>223.053</v>
      </c>
      <c r="L148" s="23">
        <f>'Annual Raw'!M48</f>
        <v>0</v>
      </c>
      <c r="M148" s="23">
        <f>'Annual Raw'!N48</f>
        <v>0</v>
      </c>
      <c r="N148" s="23">
        <f>'Annual Raw'!O48</f>
        <v>0</v>
      </c>
      <c r="O148" s="23">
        <f>'Annual Raw'!P48</f>
        <v>16.382999999999999</v>
      </c>
      <c r="P148" s="23">
        <f>'Annual Raw'!Q48</f>
        <v>6.8769999999999998</v>
      </c>
      <c r="Q148" s="23">
        <f>'Annual Raw'!R48</f>
        <v>10.743</v>
      </c>
      <c r="R148" s="23">
        <f>'Annual Raw'!S48</f>
        <v>0</v>
      </c>
      <c r="S148" s="23">
        <f>'Annual Raw'!T48</f>
        <v>0</v>
      </c>
      <c r="T148" s="23">
        <f>'Annual Raw'!U48</f>
        <v>0.161</v>
      </c>
      <c r="U148" s="23">
        <f>'Annual Raw'!V48</f>
        <v>8.4000000000000005E-2</v>
      </c>
      <c r="V148" s="23">
        <f>'Annual Raw'!W48</f>
        <v>0</v>
      </c>
      <c r="W148" s="23">
        <f>'Annual Raw'!X48</f>
        <v>0</v>
      </c>
      <c r="X148" s="23">
        <f>'Annual Raw'!Y48</f>
        <v>0</v>
      </c>
      <c r="Y148" s="23">
        <f>'Annual Raw'!Z48</f>
        <v>0</v>
      </c>
      <c r="Z148" s="23">
        <f>'Annual Raw'!AA48</f>
        <v>6.89</v>
      </c>
      <c r="AA148" s="23">
        <f>'Annual Raw'!AB48</f>
        <v>6.89</v>
      </c>
      <c r="AB148" s="24">
        <f t="shared" si="1129"/>
        <v>392.24</v>
      </c>
      <c r="AC148" s="24">
        <f t="shared" si="1130"/>
        <v>392.24</v>
      </c>
      <c r="AD148" s="24">
        <f t="shared" si="1131"/>
        <v>392.24</v>
      </c>
      <c r="AE148" s="24">
        <f t="shared" si="1132"/>
        <v>392.24</v>
      </c>
      <c r="AJ148" s="23">
        <f>+'QTR Raw'!D63</f>
        <v>0</v>
      </c>
      <c r="AK148" s="23">
        <f t="shared" si="1133"/>
        <v>0</v>
      </c>
      <c r="AL148" s="23">
        <f>+'QTR Raw'!F63</f>
        <v>0</v>
      </c>
      <c r="AM148" s="23">
        <f t="shared" si="1133"/>
        <v>0</v>
      </c>
      <c r="AN148" s="23">
        <f>+'QTR Raw'!H63</f>
        <v>0</v>
      </c>
      <c r="AO148" s="23">
        <f t="shared" si="1133"/>
        <v>0</v>
      </c>
      <c r="AP148" s="23">
        <f>+'QTR Raw'!J63</f>
        <v>0</v>
      </c>
      <c r="AQ148" s="23">
        <f t="shared" si="1133"/>
        <v>0</v>
      </c>
      <c r="AR148" s="23">
        <f>+'QTR Raw'!L63</f>
        <v>0</v>
      </c>
      <c r="AS148" s="23">
        <f t="shared" si="1133"/>
        <v>0</v>
      </c>
      <c r="AT148" s="23">
        <f>+'QTR Raw'!N63</f>
        <v>0</v>
      </c>
      <c r="AU148" s="23">
        <f t="shared" si="1133"/>
        <v>0</v>
      </c>
      <c r="AV148" s="23">
        <f>+'QTR Raw'!P63</f>
        <v>0</v>
      </c>
      <c r="AW148" s="23">
        <f t="shared" si="1133"/>
        <v>0</v>
      </c>
      <c r="AX148" s="23">
        <f>+'QTR Raw'!R63</f>
        <v>0</v>
      </c>
      <c r="AY148" s="23">
        <f t="shared" si="1133"/>
        <v>0</v>
      </c>
      <c r="AZ148" s="23">
        <f>+'QTR Raw'!T63</f>
        <v>0</v>
      </c>
      <c r="BA148" s="23">
        <f t="shared" si="1133"/>
        <v>0</v>
      </c>
      <c r="BB148" s="23">
        <f>+'QTR Raw'!V63</f>
        <v>0</v>
      </c>
      <c r="BC148" s="23">
        <f t="shared" si="1133"/>
        <v>0</v>
      </c>
      <c r="BD148" s="23">
        <f>+'QTR Raw'!X63</f>
        <v>0</v>
      </c>
      <c r="BE148" s="23">
        <f t="shared" si="1133"/>
        <v>0</v>
      </c>
      <c r="BF148" s="23">
        <f>+'QTR Raw'!Z63</f>
        <v>0</v>
      </c>
      <c r="BG148" s="23">
        <f t="shared" si="1133"/>
        <v>0</v>
      </c>
      <c r="BH148" s="23">
        <f>+'QTR Raw'!AB63</f>
        <v>0</v>
      </c>
      <c r="BI148" s="23">
        <f t="shared" si="1133"/>
        <v>0</v>
      </c>
      <c r="BJ148" s="23">
        <f>+'QTR Raw'!AD63</f>
        <v>0</v>
      </c>
      <c r="BK148" s="23">
        <f t="shared" si="1133"/>
        <v>0</v>
      </c>
      <c r="BL148" s="23">
        <f>+'QTR Raw'!AF63</f>
        <v>0</v>
      </c>
      <c r="BM148" s="23">
        <f t="shared" si="1133"/>
        <v>0</v>
      </c>
      <c r="BN148" s="23">
        <f>+'QTR Raw'!AH63</f>
        <v>0</v>
      </c>
      <c r="BO148" s="23">
        <f t="shared" si="1133"/>
        <v>0</v>
      </c>
      <c r="BP148" s="23">
        <f>+'QTR Raw'!AJ63</f>
        <v>0</v>
      </c>
      <c r="BQ148" s="23">
        <f t="shared" si="1133"/>
        <v>0</v>
      </c>
      <c r="BR148" s="23">
        <f>+'QTR Raw'!AL63</f>
        <v>1024.0899999999999</v>
      </c>
      <c r="BS148" s="23">
        <f t="shared" si="1133"/>
        <v>1024.0899999999999</v>
      </c>
      <c r="BT148" s="23">
        <f>+'QTR Raw'!AN63</f>
        <v>0</v>
      </c>
      <c r="BU148" s="23">
        <f t="shared" si="1133"/>
        <v>0</v>
      </c>
      <c r="BV148" s="23">
        <f>+'QTR Raw'!AP63</f>
        <v>44.97</v>
      </c>
      <c r="BW148" s="23">
        <f t="shared" si="1133"/>
        <v>44.97</v>
      </c>
      <c r="BX148" s="23">
        <f>+'QTR Raw'!AR63</f>
        <v>34.06</v>
      </c>
      <c r="BY148" s="23">
        <f t="shared" si="1133"/>
        <v>34.06</v>
      </c>
      <c r="BZ148" s="23">
        <f>+'QTR Raw'!AT63</f>
        <v>0</v>
      </c>
      <c r="CA148" s="23">
        <f t="shared" si="1133"/>
        <v>0</v>
      </c>
      <c r="CB148" s="23">
        <f>+'QTR Raw'!AV63</f>
        <v>0</v>
      </c>
      <c r="CC148" s="23">
        <f t="shared" si="1133"/>
        <v>0</v>
      </c>
      <c r="CD148" s="23">
        <f>+'QTR Raw'!AX63</f>
        <v>0</v>
      </c>
      <c r="CE148" s="23">
        <f t="shared" si="1134"/>
        <v>0</v>
      </c>
      <c r="CF148" s="23">
        <f>+'QTR Raw'!AZ63</f>
        <v>74.42</v>
      </c>
      <c r="CG148" s="23">
        <f t="shared" si="1135"/>
        <v>74.42</v>
      </c>
      <c r="CH148" s="23">
        <f t="shared" si="1111"/>
        <v>6.89</v>
      </c>
      <c r="CI148" s="23">
        <f t="shared" si="1135"/>
        <v>6.89</v>
      </c>
      <c r="CJ148" s="23">
        <f>+'QTR Raw'!BD63</f>
        <v>293.70999999999998</v>
      </c>
      <c r="CK148" s="23">
        <f t="shared" si="1136"/>
        <v>293.70999999999998</v>
      </c>
      <c r="CL148" s="23">
        <f>+'QTR Raw'!BF63</f>
        <v>392.24</v>
      </c>
      <c r="CM148" s="24">
        <f t="shared" si="1137"/>
        <v>392.24</v>
      </c>
      <c r="CN148" s="24">
        <f t="shared" si="1138"/>
        <v>392.24</v>
      </c>
      <c r="CO148" s="24">
        <f t="shared" si="1139"/>
        <v>392.24</v>
      </c>
      <c r="CP148" s="24">
        <f t="shared" si="1140"/>
        <v>392.24</v>
      </c>
      <c r="CQ148" s="24">
        <f t="shared" si="1141"/>
        <v>392.24</v>
      </c>
      <c r="CR148" s="24">
        <f t="shared" si="1142"/>
        <v>392.24</v>
      </c>
      <c r="CS148" s="24">
        <f t="shared" si="1143"/>
        <v>392.24</v>
      </c>
      <c r="CT148" s="24">
        <f t="shared" si="1144"/>
        <v>392.24</v>
      </c>
      <c r="CU148" s="24">
        <f t="shared" si="1145"/>
        <v>392.24</v>
      </c>
      <c r="CV148" s="24">
        <f t="shared" si="1146"/>
        <v>392.24</v>
      </c>
      <c r="CW148" s="24">
        <f t="shared" si="1147"/>
        <v>392.24</v>
      </c>
      <c r="CX148" s="24">
        <f t="shared" si="1148"/>
        <v>392.24</v>
      </c>
      <c r="CY148" s="24">
        <f t="shared" si="1149"/>
        <v>392.24</v>
      </c>
      <c r="CZ148" s="24">
        <f t="shared" si="1150"/>
        <v>392.24</v>
      </c>
      <c r="DA148" s="24">
        <f t="shared" si="1151"/>
        <v>392.24</v>
      </c>
      <c r="DB148" s="24">
        <f t="shared" si="1152"/>
        <v>392.24</v>
      </c>
      <c r="DE148" s="123"/>
      <c r="DF148" s="23">
        <v>293.70999999999998</v>
      </c>
    </row>
    <row r="149" spans="1:110" s="23" customFormat="1" outlineLevel="1" x14ac:dyDescent="0.2">
      <c r="A149" s="23" t="s">
        <v>47</v>
      </c>
      <c r="B149" s="23">
        <f>'Annual Raw'!C87+'Annual Raw'!C88+'Annual Raw'!C89+'Annual Raw'!C90</f>
        <v>0</v>
      </c>
      <c r="C149" s="23">
        <f>'Annual Raw'!D87+'Annual Raw'!D88+'Annual Raw'!D89+'Annual Raw'!D90</f>
        <v>0</v>
      </c>
      <c r="D149" s="23">
        <f>'Annual Raw'!E87+'Annual Raw'!E88+'Annual Raw'!E89+'Annual Raw'!E90</f>
        <v>0</v>
      </c>
      <c r="E149" s="23">
        <f>'Annual Raw'!F87+'Annual Raw'!F88+'Annual Raw'!F89+'Annual Raw'!F90</f>
        <v>0</v>
      </c>
      <c r="F149" s="23">
        <f>'Annual Raw'!G87+'Annual Raw'!G88+'Annual Raw'!G89+'Annual Raw'!G90</f>
        <v>0</v>
      </c>
      <c r="G149" s="23">
        <f>'Annual Raw'!H87+'Annual Raw'!H88+'Annual Raw'!H89+'Annual Raw'!H90</f>
        <v>0</v>
      </c>
      <c r="H149" s="23">
        <f>'Annual Raw'!I87+'Annual Raw'!I88+'Annual Raw'!I89+'Annual Raw'!I90</f>
        <v>0</v>
      </c>
      <c r="I149" s="23">
        <f>'Annual Raw'!J87+'Annual Raw'!J88+'Annual Raw'!J89+'Annual Raw'!J90</f>
        <v>0</v>
      </c>
      <c r="J149" s="23">
        <f>'Annual Raw'!K87+'Annual Raw'!K88+'Annual Raw'!K89+'Annual Raw'!K90</f>
        <v>0</v>
      </c>
      <c r="K149" s="23">
        <f>'Annual Raw'!L87+'Annual Raw'!L88+'Annual Raw'!L89+'Annual Raw'!L90</f>
        <v>0</v>
      </c>
      <c r="L149" s="23">
        <f>'Annual Raw'!M87+'Annual Raw'!M88+'Annual Raw'!M89+'Annual Raw'!M90</f>
        <v>38.020000000000003</v>
      </c>
      <c r="M149" s="23">
        <f>'Annual Raw'!N87+'Annual Raw'!N88+'Annual Raw'!N89+'Annual Raw'!N90</f>
        <v>76.850999999999999</v>
      </c>
      <c r="N149" s="23">
        <f>'Annual Raw'!O87+'Annual Raw'!O88+'Annual Raw'!O89+'Annual Raw'!O90</f>
        <v>80.212000000000003</v>
      </c>
      <c r="O149" s="23">
        <f>'Annual Raw'!P87+'Annual Raw'!P88+'Annual Raw'!P89+'Annual Raw'!P90</f>
        <v>73.462999999999994</v>
      </c>
      <c r="P149" s="23">
        <f>'Annual Raw'!Q87+'Annual Raw'!Q88+'Annual Raw'!Q89+'Annual Raw'!Q90</f>
        <v>55.716999999999999</v>
      </c>
      <c r="Q149" s="23">
        <f>'Annual Raw'!R87+'Annual Raw'!R88+'Annual Raw'!R89+'Annual Raw'!R90</f>
        <v>220.916</v>
      </c>
      <c r="R149" s="23">
        <f>'Annual Raw'!S87+'Annual Raw'!S88+'Annual Raw'!S89+'Annual Raw'!S90</f>
        <v>233.50299999999999</v>
      </c>
      <c r="S149" s="23">
        <f>'Annual Raw'!T87+'Annual Raw'!T88+'Annual Raw'!T89+'Annual Raw'!T90</f>
        <v>219.03399999999999</v>
      </c>
      <c r="T149" s="23">
        <f>'Annual Raw'!U87+'Annual Raw'!U88+'Annual Raw'!U89+'Annual Raw'!U90</f>
        <v>88.537999999999997</v>
      </c>
      <c r="U149" s="23">
        <f>'Annual Raw'!V87+'Annual Raw'!V88+'Annual Raw'!V89+'Annual Raw'!V90</f>
        <v>139.05699999999999</v>
      </c>
      <c r="V149" s="23">
        <f>'Annual Raw'!W87+'Annual Raw'!W88+'Annual Raw'!W89+'Annual Raw'!W90</f>
        <v>274.56</v>
      </c>
      <c r="W149" s="23">
        <f>'Annual Raw'!X87+'Annual Raw'!X88+'Annual Raw'!X89+'Annual Raw'!X90</f>
        <v>137.66</v>
      </c>
      <c r="X149" s="23">
        <f>'Annual Raw'!Y87+'Annual Raw'!Y88+'Annual Raw'!Y89+'Annual Raw'!Y90</f>
        <v>0</v>
      </c>
      <c r="Y149" s="23">
        <f>'Annual Raw'!Z87+'Annual Raw'!Z88+'Annual Raw'!Z89+'Annual Raw'!Z90</f>
        <v>0</v>
      </c>
      <c r="Z149" s="23">
        <f>'Annual Raw'!AA87+'Annual Raw'!AA88+'Annual Raw'!AA89+'Annual Raw'!AA90</f>
        <v>2.89</v>
      </c>
      <c r="AA149" s="23">
        <f>'Annual Raw'!AB87+'Annual Raw'!AB88+'Annual Raw'!AB89+'Annual Raw'!AB90</f>
        <v>95.33</v>
      </c>
      <c r="AB149" s="24">
        <f t="shared" si="1129"/>
        <v>0</v>
      </c>
      <c r="AC149" s="24">
        <f t="shared" si="1130"/>
        <v>0</v>
      </c>
      <c r="AD149" s="24">
        <f t="shared" si="1131"/>
        <v>0</v>
      </c>
      <c r="AE149" s="24">
        <f t="shared" si="1132"/>
        <v>0</v>
      </c>
      <c r="AJ149" s="23">
        <f>+'QTR Raw'!D90</f>
        <v>0</v>
      </c>
      <c r="AK149" s="23">
        <f t="shared" si="1133"/>
        <v>0</v>
      </c>
      <c r="AL149" s="23">
        <f>+'QTR Raw'!F90</f>
        <v>0</v>
      </c>
      <c r="AM149" s="23">
        <f t="shared" si="1133"/>
        <v>0</v>
      </c>
      <c r="AN149" s="23">
        <f>+'QTR Raw'!H90</f>
        <v>0</v>
      </c>
      <c r="AO149" s="23">
        <f t="shared" si="1133"/>
        <v>0</v>
      </c>
      <c r="AP149" s="23">
        <f>+'QTR Raw'!J90</f>
        <v>0</v>
      </c>
      <c r="AQ149" s="23">
        <f t="shared" si="1133"/>
        <v>0</v>
      </c>
      <c r="AR149" s="23">
        <f>+'QTR Raw'!L90</f>
        <v>0</v>
      </c>
      <c r="AS149" s="23">
        <f t="shared" si="1133"/>
        <v>0</v>
      </c>
      <c r="AT149" s="23">
        <f>+'QTR Raw'!N90</f>
        <v>0</v>
      </c>
      <c r="AU149" s="23">
        <f t="shared" si="1133"/>
        <v>0</v>
      </c>
      <c r="AV149" s="23">
        <f>+'QTR Raw'!P90</f>
        <v>0</v>
      </c>
      <c r="AW149" s="23">
        <f t="shared" si="1133"/>
        <v>0</v>
      </c>
      <c r="AX149" s="23">
        <f>+'QTR Raw'!R90</f>
        <v>0</v>
      </c>
      <c r="AY149" s="23">
        <f t="shared" si="1133"/>
        <v>0</v>
      </c>
      <c r="AZ149" s="23">
        <f>+'QTR Raw'!T90</f>
        <v>0</v>
      </c>
      <c r="BA149" s="23">
        <f t="shared" si="1133"/>
        <v>0</v>
      </c>
      <c r="BB149" s="23">
        <f>+'QTR Raw'!V90</f>
        <v>0</v>
      </c>
      <c r="BC149" s="23">
        <f t="shared" si="1133"/>
        <v>0</v>
      </c>
      <c r="BD149" s="23">
        <f>+'QTR Raw'!X90</f>
        <v>0</v>
      </c>
      <c r="BE149" s="23">
        <f t="shared" si="1133"/>
        <v>0</v>
      </c>
      <c r="BF149" s="23">
        <f>+'QTR Raw'!Z90</f>
        <v>0</v>
      </c>
      <c r="BG149" s="23">
        <f t="shared" si="1133"/>
        <v>0</v>
      </c>
      <c r="BH149" s="22">
        <f>+'QTR Raw'!AB90</f>
        <v>0</v>
      </c>
      <c r="BI149" s="23">
        <f t="shared" si="1133"/>
        <v>0</v>
      </c>
      <c r="BJ149" s="23">
        <f>+'QTR Raw'!AD90</f>
        <v>0</v>
      </c>
      <c r="BK149" s="23">
        <f t="shared" si="1133"/>
        <v>0</v>
      </c>
      <c r="BL149" s="23">
        <f>+'QTR Raw'!AF90</f>
        <v>0</v>
      </c>
      <c r="BM149" s="23">
        <f t="shared" si="1133"/>
        <v>0</v>
      </c>
      <c r="BN149" s="23">
        <f>+'QTR Raw'!AH90</f>
        <v>0</v>
      </c>
      <c r="BO149" s="23">
        <f t="shared" si="1133"/>
        <v>0</v>
      </c>
      <c r="BP149" s="23">
        <f>+'QTR Raw'!AJ90</f>
        <v>0</v>
      </c>
      <c r="BQ149" s="23">
        <f t="shared" si="1133"/>
        <v>0</v>
      </c>
      <c r="BR149" s="23">
        <f>+'QTR Raw'!AL90</f>
        <v>0</v>
      </c>
      <c r="BS149" s="23">
        <f t="shared" si="1133"/>
        <v>0</v>
      </c>
      <c r="BT149" s="23">
        <f>+'QTR Raw'!AN90</f>
        <v>0</v>
      </c>
      <c r="BU149" s="23">
        <f t="shared" si="1133"/>
        <v>0</v>
      </c>
      <c r="BV149" s="23">
        <f>+'QTR Raw'!AP90</f>
        <v>0</v>
      </c>
      <c r="BW149" s="23">
        <f t="shared" si="1133"/>
        <v>0</v>
      </c>
      <c r="BX149" s="23">
        <f>+'QTR Raw'!AR90</f>
        <v>0</v>
      </c>
      <c r="BY149" s="23">
        <f t="shared" si="1133"/>
        <v>0</v>
      </c>
      <c r="BZ149" s="23">
        <f>+'QTR Raw'!AT90</f>
        <v>0</v>
      </c>
      <c r="CA149" s="23">
        <f t="shared" si="1133"/>
        <v>0</v>
      </c>
      <c r="CB149" s="23">
        <f>+'QTR Raw'!AV90</f>
        <v>0</v>
      </c>
      <c r="CC149" s="23">
        <f t="shared" si="1133"/>
        <v>0</v>
      </c>
      <c r="CD149" s="23">
        <f>+'QTR Raw'!AX90</f>
        <v>0</v>
      </c>
      <c r="CE149" s="23">
        <f t="shared" si="1134"/>
        <v>0</v>
      </c>
      <c r="CF149" s="23">
        <f>+'QTR Raw'!AZ90</f>
        <v>0</v>
      </c>
      <c r="CG149" s="23">
        <f t="shared" si="1135"/>
        <v>0</v>
      </c>
      <c r="CH149" s="23">
        <f>+Z149</f>
        <v>2.89</v>
      </c>
      <c r="CI149" s="23">
        <f t="shared" si="1135"/>
        <v>2.89</v>
      </c>
      <c r="CJ149" s="23">
        <f>+'QTR Raw'!BD90</f>
        <v>0</v>
      </c>
      <c r="CK149" s="23">
        <f t="shared" si="1136"/>
        <v>0</v>
      </c>
      <c r="CL149" s="23">
        <f>+'QTR Raw'!BF90</f>
        <v>0</v>
      </c>
      <c r="CM149" s="24">
        <f t="shared" si="1137"/>
        <v>0</v>
      </c>
      <c r="CN149" s="24">
        <f t="shared" si="1138"/>
        <v>0</v>
      </c>
      <c r="CO149" s="24">
        <f t="shared" si="1139"/>
        <v>0</v>
      </c>
      <c r="CP149" s="24">
        <f t="shared" si="1140"/>
        <v>0</v>
      </c>
      <c r="CQ149" s="24">
        <f t="shared" si="1141"/>
        <v>0</v>
      </c>
      <c r="CR149" s="24">
        <f t="shared" si="1142"/>
        <v>0</v>
      </c>
      <c r="CS149" s="24">
        <f t="shared" si="1143"/>
        <v>0</v>
      </c>
      <c r="CT149" s="24">
        <f t="shared" si="1144"/>
        <v>0</v>
      </c>
      <c r="CU149" s="24">
        <f t="shared" si="1145"/>
        <v>0</v>
      </c>
      <c r="CV149" s="24">
        <f t="shared" si="1146"/>
        <v>0</v>
      </c>
      <c r="CW149" s="24">
        <f t="shared" si="1147"/>
        <v>0</v>
      </c>
      <c r="CX149" s="24">
        <f t="shared" si="1148"/>
        <v>0</v>
      </c>
      <c r="CY149" s="24">
        <f t="shared" si="1149"/>
        <v>0</v>
      </c>
      <c r="CZ149" s="24">
        <f t="shared" si="1150"/>
        <v>0</v>
      </c>
      <c r="DA149" s="24">
        <f t="shared" si="1151"/>
        <v>0</v>
      </c>
      <c r="DB149" s="24">
        <f t="shared" si="1152"/>
        <v>0</v>
      </c>
      <c r="DE149" s="123"/>
      <c r="DF149" s="23">
        <v>0</v>
      </c>
    </row>
    <row r="150" spans="1:110" s="23" customFormat="1" outlineLevel="1" x14ac:dyDescent="0.2">
      <c r="A150" s="23" t="s">
        <v>48</v>
      </c>
      <c r="B150" s="23">
        <f>'Annual Raw'!C56</f>
        <v>0</v>
      </c>
      <c r="C150" s="23">
        <f>'Annual Raw'!D56</f>
        <v>0</v>
      </c>
      <c r="D150" s="23">
        <f>'Annual Raw'!E56</f>
        <v>0</v>
      </c>
      <c r="E150" s="23">
        <f>'Annual Raw'!F56</f>
        <v>0</v>
      </c>
      <c r="F150" s="23">
        <f>'Annual Raw'!G56</f>
        <v>0</v>
      </c>
      <c r="G150" s="23">
        <f>'Annual Raw'!H56</f>
        <v>0</v>
      </c>
      <c r="H150" s="23">
        <f>'Annual Raw'!I56</f>
        <v>0</v>
      </c>
      <c r="I150" s="23">
        <f>'Annual Raw'!J56</f>
        <v>0</v>
      </c>
      <c r="J150" s="23">
        <f>'Annual Raw'!K56</f>
        <v>0</v>
      </c>
      <c r="K150" s="23">
        <f>'Annual Raw'!L56</f>
        <v>0</v>
      </c>
      <c r="L150" s="23">
        <f>'Annual Raw'!M56</f>
        <v>653.04700000000003</v>
      </c>
      <c r="M150" s="23">
        <f>'Annual Raw'!N56</f>
        <v>743.97500000000002</v>
      </c>
      <c r="N150" s="23">
        <f>'Annual Raw'!O56</f>
        <v>2342.7800000000002</v>
      </c>
      <c r="O150" s="23">
        <f>'Annual Raw'!P56</f>
        <v>2761.8310000000001</v>
      </c>
      <c r="P150" s="23">
        <f>'Annual Raw'!Q56</f>
        <v>1499.95</v>
      </c>
      <c r="Q150" s="23">
        <f>'Annual Raw'!R56</f>
        <v>1717.7670000000001</v>
      </c>
      <c r="R150" s="23">
        <f>'Annual Raw'!S56</f>
        <v>1925.0619999999999</v>
      </c>
      <c r="S150" s="23">
        <f>'Annual Raw'!T56</f>
        <v>1835.4670000000001</v>
      </c>
      <c r="T150" s="23">
        <f>'Annual Raw'!U56</f>
        <v>776.22500000000002</v>
      </c>
      <c r="U150" s="23">
        <f>'Annual Raw'!V56</f>
        <v>1014.829</v>
      </c>
      <c r="V150" s="23">
        <f>'Annual Raw'!W56</f>
        <v>1651.27</v>
      </c>
      <c r="W150" s="23">
        <f>'Annual Raw'!X56</f>
        <v>2385.48</v>
      </c>
      <c r="X150" s="23">
        <f>'Annual Raw'!Y56</f>
        <v>2225.71</v>
      </c>
      <c r="Y150" s="23">
        <f>'Annual Raw'!Z56</f>
        <v>2415.39</v>
      </c>
      <c r="Z150" s="23">
        <f>'Annual Raw'!AA56</f>
        <v>1522.7</v>
      </c>
      <c r="AA150" s="23">
        <f>'Annual Raw'!AB56</f>
        <v>330.6</v>
      </c>
      <c r="AB150" s="24">
        <f t="shared" si="1129"/>
        <v>425.93</v>
      </c>
      <c r="AC150" s="24">
        <f t="shared" si="1130"/>
        <v>425.93</v>
      </c>
      <c r="AD150" s="24">
        <f t="shared" si="1131"/>
        <v>425.93</v>
      </c>
      <c r="AE150" s="24">
        <f t="shared" si="1132"/>
        <v>425.93</v>
      </c>
      <c r="AJ150" s="23">
        <f>+'QTR Raw'!D88</f>
        <v>0</v>
      </c>
      <c r="AK150" s="23">
        <f t="shared" si="1133"/>
        <v>0</v>
      </c>
      <c r="AL150" s="23">
        <f>+'QTR Raw'!F88</f>
        <v>0</v>
      </c>
      <c r="AM150" s="23">
        <f t="shared" si="1133"/>
        <v>0</v>
      </c>
      <c r="AN150" s="23">
        <f>+'QTR Raw'!H88</f>
        <v>0</v>
      </c>
      <c r="AO150" s="23">
        <f t="shared" si="1133"/>
        <v>0</v>
      </c>
      <c r="AP150" s="23">
        <f>+'QTR Raw'!J88</f>
        <v>0</v>
      </c>
      <c r="AQ150" s="23">
        <f t="shared" si="1133"/>
        <v>0</v>
      </c>
      <c r="AR150" s="23">
        <f>+'QTR Raw'!L88</f>
        <v>0</v>
      </c>
      <c r="AS150" s="23">
        <f t="shared" si="1133"/>
        <v>0</v>
      </c>
      <c r="AT150" s="23">
        <f>+'QTR Raw'!N88</f>
        <v>0</v>
      </c>
      <c r="AU150" s="23">
        <f t="shared" si="1133"/>
        <v>0</v>
      </c>
      <c r="AV150" s="23">
        <f>+'QTR Raw'!P88</f>
        <v>0</v>
      </c>
      <c r="AW150" s="23">
        <f t="shared" si="1133"/>
        <v>0</v>
      </c>
      <c r="AX150" s="23">
        <f>+'QTR Raw'!R88</f>
        <v>0</v>
      </c>
      <c r="AY150" s="23">
        <f t="shared" si="1133"/>
        <v>0</v>
      </c>
      <c r="AZ150" s="23">
        <f>+'QTR Raw'!T88</f>
        <v>0</v>
      </c>
      <c r="BA150" s="23">
        <f t="shared" si="1133"/>
        <v>0</v>
      </c>
      <c r="BB150" s="23">
        <f>+'QTR Raw'!V88</f>
        <v>0</v>
      </c>
      <c r="BC150" s="23">
        <f t="shared" si="1133"/>
        <v>0</v>
      </c>
      <c r="BD150" s="23">
        <f>+'QTR Raw'!X88</f>
        <v>0</v>
      </c>
      <c r="BE150" s="23">
        <f t="shared" si="1133"/>
        <v>0</v>
      </c>
      <c r="BF150" s="23">
        <f>+'QTR Raw'!Z88</f>
        <v>0</v>
      </c>
      <c r="BG150" s="23">
        <f t="shared" si="1133"/>
        <v>0</v>
      </c>
      <c r="BH150" s="23">
        <f>+'QTR Raw'!AB88</f>
        <v>0</v>
      </c>
      <c r="BI150" s="23">
        <f t="shared" si="1133"/>
        <v>0</v>
      </c>
      <c r="BJ150" s="23">
        <f>+'QTR Raw'!AD88</f>
        <v>0</v>
      </c>
      <c r="BK150" s="23">
        <f t="shared" si="1133"/>
        <v>0</v>
      </c>
      <c r="BL150" s="23">
        <f>+'QTR Raw'!AF88</f>
        <v>0</v>
      </c>
      <c r="BM150" s="23">
        <f t="shared" si="1133"/>
        <v>0</v>
      </c>
      <c r="BN150" s="23">
        <f>+'QTR Raw'!AH88</f>
        <v>0</v>
      </c>
      <c r="BO150" s="23">
        <f t="shared" si="1133"/>
        <v>0</v>
      </c>
      <c r="BP150" s="23">
        <f>+'QTR Raw'!AJ88</f>
        <v>0</v>
      </c>
      <c r="BQ150" s="23">
        <f t="shared" si="1133"/>
        <v>0</v>
      </c>
      <c r="BR150" s="23">
        <f>+'QTR Raw'!AL88</f>
        <v>1925.83</v>
      </c>
      <c r="BS150" s="23">
        <f t="shared" si="1133"/>
        <v>1925.83</v>
      </c>
      <c r="BT150" s="23">
        <f>+'QTR Raw'!AN88</f>
        <v>0</v>
      </c>
      <c r="BU150" s="23">
        <f t="shared" si="1133"/>
        <v>0</v>
      </c>
      <c r="BV150" s="23">
        <f>+'QTR Raw'!AP88</f>
        <v>2523.14</v>
      </c>
      <c r="BW150" s="23">
        <f t="shared" si="1133"/>
        <v>2523.14</v>
      </c>
      <c r="BX150" s="23">
        <f>+'QTR Raw'!AR88</f>
        <v>2917.32</v>
      </c>
      <c r="BY150" s="23">
        <f t="shared" si="1133"/>
        <v>2917.32</v>
      </c>
      <c r="BZ150" s="23">
        <f>+'QTR Raw'!AT88</f>
        <v>2225.71</v>
      </c>
      <c r="CA150" s="23">
        <f t="shared" si="1133"/>
        <v>2225.71</v>
      </c>
      <c r="CB150" s="23">
        <f>+'QTR Raw'!AV88</f>
        <v>3642.93</v>
      </c>
      <c r="CC150" s="23">
        <f t="shared" si="1133"/>
        <v>3642.93</v>
      </c>
      <c r="CD150" s="23">
        <f>+'QTR Raw'!AX88</f>
        <v>2415.39</v>
      </c>
      <c r="CE150" s="23">
        <f t="shared" si="1134"/>
        <v>2415.39</v>
      </c>
      <c r="CF150" s="23">
        <f>+'QTR Raw'!AZ88</f>
        <v>1867.4</v>
      </c>
      <c r="CG150" s="23">
        <f t="shared" si="1135"/>
        <v>1867.4</v>
      </c>
      <c r="CH150" s="23">
        <f t="shared" si="1111"/>
        <v>1522.7</v>
      </c>
      <c r="CI150" s="23">
        <f t="shared" si="1135"/>
        <v>1522.7</v>
      </c>
      <c r="CJ150" s="23">
        <f>+'QTR Raw'!BD88</f>
        <v>542.6</v>
      </c>
      <c r="CK150" s="23">
        <f t="shared" si="1136"/>
        <v>542.6</v>
      </c>
      <c r="CL150" s="23">
        <f>+'QTR Raw'!BF88</f>
        <v>425.93</v>
      </c>
      <c r="CM150" s="24">
        <f t="shared" si="1137"/>
        <v>425.93</v>
      </c>
      <c r="CN150" s="24">
        <f t="shared" si="1138"/>
        <v>425.93</v>
      </c>
      <c r="CO150" s="24">
        <f t="shared" si="1139"/>
        <v>425.93</v>
      </c>
      <c r="CP150" s="24">
        <f t="shared" si="1140"/>
        <v>425.93</v>
      </c>
      <c r="CQ150" s="24">
        <f t="shared" si="1141"/>
        <v>425.93</v>
      </c>
      <c r="CR150" s="24">
        <f t="shared" si="1142"/>
        <v>425.93</v>
      </c>
      <c r="CS150" s="24">
        <f t="shared" si="1143"/>
        <v>425.93</v>
      </c>
      <c r="CT150" s="24">
        <f t="shared" si="1144"/>
        <v>425.93</v>
      </c>
      <c r="CU150" s="24">
        <f t="shared" si="1145"/>
        <v>425.93</v>
      </c>
      <c r="CV150" s="24">
        <f t="shared" si="1146"/>
        <v>425.93</v>
      </c>
      <c r="CW150" s="24">
        <f t="shared" si="1147"/>
        <v>425.93</v>
      </c>
      <c r="CX150" s="24">
        <f t="shared" si="1148"/>
        <v>425.93</v>
      </c>
      <c r="CY150" s="24">
        <f t="shared" si="1149"/>
        <v>425.93</v>
      </c>
      <c r="CZ150" s="24">
        <f t="shared" si="1150"/>
        <v>425.93</v>
      </c>
      <c r="DA150" s="24">
        <f t="shared" si="1151"/>
        <v>425.93</v>
      </c>
      <c r="DB150" s="24">
        <f t="shared" si="1152"/>
        <v>425.93</v>
      </c>
      <c r="DE150" s="123"/>
      <c r="DF150" s="23">
        <v>542.6</v>
      </c>
    </row>
    <row r="151" spans="1:110" s="22" customFormat="1" x14ac:dyDescent="0.2">
      <c r="A151" s="22" t="s">
        <v>49</v>
      </c>
      <c r="B151" s="22">
        <f>SUM(B147:B150)</f>
        <v>0</v>
      </c>
      <c r="C151" s="22">
        <f t="shared" ref="C151:V151" si="1153">SUM(C147:C150)</f>
        <v>0</v>
      </c>
      <c r="D151" s="22">
        <f t="shared" si="1153"/>
        <v>39.651000000000003</v>
      </c>
      <c r="E151" s="22">
        <f t="shared" si="1153"/>
        <v>110.98099999999999</v>
      </c>
      <c r="F151" s="22">
        <f t="shared" si="1153"/>
        <v>165.44800000000001</v>
      </c>
      <c r="G151" s="22">
        <f t="shared" si="1153"/>
        <v>177.07900000000001</v>
      </c>
      <c r="H151" s="22">
        <f t="shared" si="1153"/>
        <v>127.881</v>
      </c>
      <c r="I151" s="22">
        <f t="shared" si="1153"/>
        <v>123.944</v>
      </c>
      <c r="J151" s="22">
        <f t="shared" si="1153"/>
        <v>334.58299999999997</v>
      </c>
      <c r="K151" s="22">
        <f t="shared" si="1153"/>
        <v>514.08199999999999</v>
      </c>
      <c r="L151" s="22">
        <f t="shared" si="1153"/>
        <v>1052.021</v>
      </c>
      <c r="M151" s="22">
        <f t="shared" si="1153"/>
        <v>1099.942</v>
      </c>
      <c r="N151" s="22">
        <f t="shared" si="1153"/>
        <v>2664.5840000000003</v>
      </c>
      <c r="O151" s="22">
        <f t="shared" si="1153"/>
        <v>3069.0210000000002</v>
      </c>
      <c r="P151" s="22">
        <f t="shared" si="1153"/>
        <v>2281.8760000000002</v>
      </c>
      <c r="Q151" s="22">
        <f t="shared" si="1153"/>
        <v>2567.8580000000002</v>
      </c>
      <c r="R151" s="22">
        <f t="shared" si="1153"/>
        <v>2621.6909999999998</v>
      </c>
      <c r="S151" s="22">
        <f t="shared" si="1153"/>
        <v>2244.0169999999998</v>
      </c>
      <c r="T151" s="22">
        <f t="shared" si="1153"/>
        <v>1829.4560000000001</v>
      </c>
      <c r="U151" s="22">
        <f t="shared" si="1153"/>
        <v>2300.2759999999998</v>
      </c>
      <c r="V151" s="22">
        <f t="shared" si="1153"/>
        <v>2949.92</v>
      </c>
      <c r="W151" s="22">
        <f t="shared" ref="W151" si="1154">SUM(W147:W150)</f>
        <v>2568.11</v>
      </c>
      <c r="X151" s="22">
        <f t="shared" ref="X151:Y151" si="1155">SUM(X147:X150)</f>
        <v>2225.71</v>
      </c>
      <c r="Y151" s="22">
        <f t="shared" si="1155"/>
        <v>2415.39</v>
      </c>
      <c r="Z151" s="22">
        <f t="shared" ref="Z151:AA151" si="1156">SUM(Z147:Z150)</f>
        <v>1711.83</v>
      </c>
      <c r="AA151" s="22">
        <f t="shared" si="1156"/>
        <v>818.17000000000007</v>
      </c>
      <c r="AB151" s="21">
        <f t="shared" ref="AA151:AD151" si="1157">SUM(AB147:AB150)</f>
        <v>818.17000000000007</v>
      </c>
      <c r="AC151" s="21">
        <f t="shared" si="1157"/>
        <v>818.17000000000007</v>
      </c>
      <c r="AD151" s="21">
        <f t="shared" si="1157"/>
        <v>818.17000000000007</v>
      </c>
      <c r="AE151" s="21">
        <f t="shared" ref="AE151" si="1158">SUM(AE147:AE150)</f>
        <v>818.17000000000007</v>
      </c>
      <c r="AJ151" s="22">
        <f t="shared" ref="AJ151" si="1159">SUM(AJ147:AJ150)</f>
        <v>0</v>
      </c>
      <c r="AK151" s="22">
        <f t="shared" ref="AK151" si="1160">SUM(AK147:AK150)</f>
        <v>0</v>
      </c>
      <c r="AL151" s="22">
        <f t="shared" ref="AL151:AM151" si="1161">SUM(AL147:AL150)</f>
        <v>0</v>
      </c>
      <c r="AM151" s="22">
        <f t="shared" si="1161"/>
        <v>0</v>
      </c>
      <c r="AN151" s="22">
        <f t="shared" ref="AN151:AO151" si="1162">SUM(AN147:AN150)</f>
        <v>0</v>
      </c>
      <c r="AO151" s="22">
        <f t="shared" si="1162"/>
        <v>0</v>
      </c>
      <c r="AP151" s="22">
        <f t="shared" ref="AP151:CE151" si="1163">SUM(AP147:AP150)</f>
        <v>0</v>
      </c>
      <c r="AQ151" s="22">
        <f t="shared" si="1163"/>
        <v>0</v>
      </c>
      <c r="AR151" s="22">
        <f t="shared" si="1163"/>
        <v>0</v>
      </c>
      <c r="AS151" s="22">
        <f t="shared" si="1163"/>
        <v>0</v>
      </c>
      <c r="AT151" s="22">
        <f t="shared" si="1163"/>
        <v>0</v>
      </c>
      <c r="AU151" s="22">
        <f t="shared" si="1163"/>
        <v>0</v>
      </c>
      <c r="AV151" s="22">
        <f t="shared" si="1163"/>
        <v>0</v>
      </c>
      <c r="AW151" s="22">
        <f t="shared" si="1163"/>
        <v>0</v>
      </c>
      <c r="AX151" s="22">
        <f t="shared" si="1163"/>
        <v>0</v>
      </c>
      <c r="AY151" s="22">
        <f t="shared" si="1163"/>
        <v>0</v>
      </c>
      <c r="AZ151" s="22">
        <f t="shared" si="1163"/>
        <v>0</v>
      </c>
      <c r="BA151" s="22">
        <f t="shared" si="1163"/>
        <v>0</v>
      </c>
      <c r="BB151" s="22">
        <f t="shared" si="1163"/>
        <v>0</v>
      </c>
      <c r="BC151" s="22">
        <f t="shared" si="1163"/>
        <v>0</v>
      </c>
      <c r="BD151" s="22">
        <f t="shared" si="1163"/>
        <v>0</v>
      </c>
      <c r="BE151" s="22">
        <f t="shared" si="1163"/>
        <v>0</v>
      </c>
      <c r="BF151" s="22">
        <f t="shared" si="1163"/>
        <v>0</v>
      </c>
      <c r="BG151" s="22">
        <f t="shared" si="1163"/>
        <v>0</v>
      </c>
      <c r="BH151" s="22">
        <f t="shared" ref="BH151" si="1164">SUM(BH147:BH150)</f>
        <v>0</v>
      </c>
      <c r="BI151" s="22">
        <f t="shared" si="1163"/>
        <v>0</v>
      </c>
      <c r="BJ151" s="22">
        <f t="shared" si="1163"/>
        <v>0</v>
      </c>
      <c r="BK151" s="22">
        <f t="shared" si="1163"/>
        <v>0</v>
      </c>
      <c r="BL151" s="22">
        <f t="shared" si="1163"/>
        <v>0</v>
      </c>
      <c r="BM151" s="22">
        <f t="shared" si="1163"/>
        <v>0</v>
      </c>
      <c r="BN151" s="22">
        <f t="shared" si="1163"/>
        <v>0</v>
      </c>
      <c r="BO151" s="22">
        <f t="shared" si="1163"/>
        <v>0</v>
      </c>
      <c r="BP151" s="22">
        <f t="shared" si="1163"/>
        <v>0</v>
      </c>
      <c r="BQ151" s="22">
        <f t="shared" si="1163"/>
        <v>0</v>
      </c>
      <c r="BR151" s="22">
        <f t="shared" si="1163"/>
        <v>2949.92</v>
      </c>
      <c r="BS151" s="22">
        <f t="shared" si="1163"/>
        <v>2949.92</v>
      </c>
      <c r="BT151" s="22">
        <f t="shared" si="1163"/>
        <v>0</v>
      </c>
      <c r="BU151" s="22">
        <f t="shared" si="1163"/>
        <v>0</v>
      </c>
      <c r="BV151" s="22">
        <f t="shared" si="1163"/>
        <v>2568.1099999999997</v>
      </c>
      <c r="BW151" s="22">
        <f t="shared" si="1163"/>
        <v>2568.1099999999997</v>
      </c>
      <c r="BX151" s="22">
        <f t="shared" si="1163"/>
        <v>2951.38</v>
      </c>
      <c r="BY151" s="22">
        <f t="shared" si="1163"/>
        <v>2951.38</v>
      </c>
      <c r="BZ151" s="22">
        <f t="shared" si="1163"/>
        <v>2225.71</v>
      </c>
      <c r="CA151" s="22">
        <f t="shared" si="1163"/>
        <v>2225.71</v>
      </c>
      <c r="CB151" s="22">
        <f t="shared" si="1163"/>
        <v>3642.93</v>
      </c>
      <c r="CC151" s="22">
        <f t="shared" si="1163"/>
        <v>3642.93</v>
      </c>
      <c r="CD151" s="22">
        <f t="shared" si="1163"/>
        <v>2415.39</v>
      </c>
      <c r="CE151" s="22">
        <f t="shared" si="1163"/>
        <v>2415.39</v>
      </c>
      <c r="CF151" s="22">
        <f t="shared" ref="CF151:CG151" si="1165">SUM(CF147:CF150)</f>
        <v>1941.8200000000002</v>
      </c>
      <c r="CG151" s="22">
        <f t="shared" si="1165"/>
        <v>1941.8200000000002</v>
      </c>
      <c r="CH151" s="22">
        <f t="shared" ref="CH151:CI151" si="1166">SUM(CH147:CH150)</f>
        <v>1711.83</v>
      </c>
      <c r="CI151" s="22">
        <f t="shared" si="1166"/>
        <v>1711.83</v>
      </c>
      <c r="CJ151" s="22">
        <f t="shared" ref="CJ151:DB151" si="1167">SUM(CJ147:CJ150)</f>
        <v>836.31</v>
      </c>
      <c r="CK151" s="22">
        <f t="shared" si="1167"/>
        <v>836.31</v>
      </c>
      <c r="CL151" s="22">
        <f t="shared" ref="CL151" si="1168">SUM(CL147:CL150)</f>
        <v>818.17000000000007</v>
      </c>
      <c r="CM151" s="21">
        <f t="shared" si="1167"/>
        <v>818.17000000000007</v>
      </c>
      <c r="CN151" s="21">
        <f t="shared" si="1167"/>
        <v>818.17000000000007</v>
      </c>
      <c r="CO151" s="21">
        <f t="shared" si="1167"/>
        <v>818.17000000000007</v>
      </c>
      <c r="CP151" s="21">
        <f t="shared" si="1167"/>
        <v>818.17000000000007</v>
      </c>
      <c r="CQ151" s="21">
        <f t="shared" si="1167"/>
        <v>818.17000000000007</v>
      </c>
      <c r="CR151" s="21">
        <f t="shared" si="1167"/>
        <v>818.17000000000007</v>
      </c>
      <c r="CS151" s="21">
        <f t="shared" si="1167"/>
        <v>818.17000000000007</v>
      </c>
      <c r="CT151" s="21">
        <f t="shared" si="1167"/>
        <v>818.17000000000007</v>
      </c>
      <c r="CU151" s="21">
        <f t="shared" si="1167"/>
        <v>818.17000000000007</v>
      </c>
      <c r="CV151" s="21">
        <f t="shared" si="1167"/>
        <v>818.17000000000007</v>
      </c>
      <c r="CW151" s="21">
        <f t="shared" si="1167"/>
        <v>818.17000000000007</v>
      </c>
      <c r="CX151" s="21">
        <f t="shared" si="1167"/>
        <v>818.17000000000007</v>
      </c>
      <c r="CY151" s="21">
        <f t="shared" si="1167"/>
        <v>818.17000000000007</v>
      </c>
      <c r="CZ151" s="21">
        <f t="shared" si="1167"/>
        <v>818.17000000000007</v>
      </c>
      <c r="DA151" s="21">
        <f t="shared" si="1167"/>
        <v>818.17000000000007</v>
      </c>
      <c r="DB151" s="21">
        <f t="shared" si="1167"/>
        <v>818.17000000000007</v>
      </c>
      <c r="DE151" s="126"/>
      <c r="DF151" s="22">
        <v>836.31</v>
      </c>
    </row>
    <row r="152" spans="1:110" s="26" customFormat="1" x14ac:dyDescent="0.2">
      <c r="A152" s="26" t="s">
        <v>437</v>
      </c>
      <c r="B152" s="26">
        <f>B151+B143+B145</f>
        <v>0</v>
      </c>
      <c r="C152" s="26">
        <f t="shared" ref="C152:V152" si="1169">C151+C143+C145</f>
        <v>0</v>
      </c>
      <c r="D152" s="26">
        <f>D151+D143+D145</f>
        <v>104.15</v>
      </c>
      <c r="E152" s="26">
        <f t="shared" si="1169"/>
        <v>217.09299999999999</v>
      </c>
      <c r="F152" s="26">
        <f t="shared" si="1169"/>
        <v>345.005</v>
      </c>
      <c r="G152" s="26">
        <f t="shared" si="1169"/>
        <v>358.05900000000003</v>
      </c>
      <c r="H152" s="26">
        <f t="shared" si="1169"/>
        <v>312.80500000000001</v>
      </c>
      <c r="I152" s="26">
        <f t="shared" si="1169"/>
        <v>377.375</v>
      </c>
      <c r="J152" s="26">
        <f t="shared" si="1169"/>
        <v>752.08100000000002</v>
      </c>
      <c r="K152" s="26">
        <f t="shared" si="1169"/>
        <v>947.29200000000003</v>
      </c>
      <c r="L152" s="26">
        <f t="shared" si="1169"/>
        <v>1725.6289999999999</v>
      </c>
      <c r="M152" s="26">
        <f t="shared" si="1169"/>
        <v>1781.953</v>
      </c>
      <c r="N152" s="26">
        <f t="shared" si="1169"/>
        <v>3435.9780000000001</v>
      </c>
      <c r="O152" s="26">
        <f t="shared" si="1169"/>
        <v>3776.6170000000002</v>
      </c>
      <c r="P152" s="26">
        <f t="shared" si="1169"/>
        <v>3134.79</v>
      </c>
      <c r="Q152" s="26">
        <f t="shared" si="1169"/>
        <v>3638.0820000000003</v>
      </c>
      <c r="R152" s="26">
        <f t="shared" si="1169"/>
        <v>3942.7190000000001</v>
      </c>
      <c r="S152" s="26">
        <f t="shared" si="1169"/>
        <v>3985.6849999999999</v>
      </c>
      <c r="T152" s="26">
        <f t="shared" si="1169"/>
        <v>3957.1489999999999</v>
      </c>
      <c r="U152" s="26">
        <f t="shared" si="1169"/>
        <v>4870.973</v>
      </c>
      <c r="V152" s="26">
        <f t="shared" si="1169"/>
        <v>6248.9</v>
      </c>
      <c r="W152" s="26">
        <f t="shared" ref="W152" si="1170">W151+W143+W145</f>
        <v>10174.48</v>
      </c>
      <c r="X152" s="26">
        <f t="shared" ref="X152:Y152" si="1171">X151+X143+X145</f>
        <v>10391.459999999999</v>
      </c>
      <c r="Y152" s="26">
        <f t="shared" si="1171"/>
        <v>10731.38</v>
      </c>
      <c r="Z152" s="26">
        <f t="shared" ref="Z152:AA152" si="1172">Z151+Z143+Z145</f>
        <v>11135.75</v>
      </c>
      <c r="AA152" s="26">
        <f t="shared" si="1172"/>
        <v>11261.85</v>
      </c>
      <c r="AB152" s="27">
        <f t="shared" ref="AA152:AD152" si="1173">AB151+AB143+AB145</f>
        <v>12626.613884271172</v>
      </c>
      <c r="AC152" s="27">
        <f t="shared" si="1173"/>
        <v>13998.90087305566</v>
      </c>
      <c r="AD152" s="27">
        <f t="shared" si="1173"/>
        <v>15376.919014947729</v>
      </c>
      <c r="AE152" s="27">
        <f t="shared" ref="AE152" si="1174">AE151+AE143+AE145</f>
        <v>16773.020973675601</v>
      </c>
      <c r="AJ152" s="26">
        <f t="shared" ref="AJ152" si="1175">AJ151+AJ143+AJ145</f>
        <v>0</v>
      </c>
      <c r="AK152" s="26">
        <f t="shared" ref="AK152" si="1176">AK151+AK143+AK145</f>
        <v>0</v>
      </c>
      <c r="AL152" s="26">
        <f t="shared" ref="AL152" si="1177">AL151+AL143+AL145</f>
        <v>0</v>
      </c>
      <c r="AM152" s="26">
        <f t="shared" ref="AM152:AO152" si="1178">AM151+AM143+AM145</f>
        <v>0</v>
      </c>
      <c r="AN152" s="26">
        <f t="shared" si="1178"/>
        <v>0</v>
      </c>
      <c r="AO152" s="26">
        <f t="shared" si="1178"/>
        <v>0</v>
      </c>
      <c r="AP152" s="26">
        <f t="shared" ref="AP152:CE152" si="1179">AP151+AP143+AP145</f>
        <v>0</v>
      </c>
      <c r="AQ152" s="26">
        <f t="shared" si="1179"/>
        <v>0</v>
      </c>
      <c r="AR152" s="26">
        <f t="shared" si="1179"/>
        <v>0</v>
      </c>
      <c r="AS152" s="26">
        <f t="shared" si="1179"/>
        <v>0</v>
      </c>
      <c r="AT152" s="26">
        <f t="shared" si="1179"/>
        <v>0</v>
      </c>
      <c r="AU152" s="26">
        <f t="shared" si="1179"/>
        <v>0</v>
      </c>
      <c r="AV152" s="26">
        <f t="shared" si="1179"/>
        <v>0</v>
      </c>
      <c r="AW152" s="26">
        <f t="shared" si="1179"/>
        <v>0</v>
      </c>
      <c r="AX152" s="26">
        <f t="shared" si="1179"/>
        <v>0</v>
      </c>
      <c r="AY152" s="26">
        <f t="shared" si="1179"/>
        <v>0</v>
      </c>
      <c r="AZ152" s="26">
        <f t="shared" si="1179"/>
        <v>0</v>
      </c>
      <c r="BA152" s="26">
        <f t="shared" si="1179"/>
        <v>0</v>
      </c>
      <c r="BB152" s="26">
        <f t="shared" si="1179"/>
        <v>0</v>
      </c>
      <c r="BC152" s="26">
        <f t="shared" si="1179"/>
        <v>0</v>
      </c>
      <c r="BD152" s="26">
        <f t="shared" si="1179"/>
        <v>0</v>
      </c>
      <c r="BE152" s="26">
        <f t="shared" si="1179"/>
        <v>0</v>
      </c>
      <c r="BF152" s="26">
        <f t="shared" si="1179"/>
        <v>0</v>
      </c>
      <c r="BG152" s="26">
        <f t="shared" si="1179"/>
        <v>0</v>
      </c>
      <c r="BH152" s="26">
        <f t="shared" ref="BH152" si="1180">BH151+BH143+BH145</f>
        <v>0</v>
      </c>
      <c r="BI152" s="26">
        <f t="shared" si="1179"/>
        <v>0</v>
      </c>
      <c r="BJ152" s="26">
        <f t="shared" si="1179"/>
        <v>0</v>
      </c>
      <c r="BK152" s="26">
        <f t="shared" si="1179"/>
        <v>0</v>
      </c>
      <c r="BL152" s="26">
        <f t="shared" si="1179"/>
        <v>0</v>
      </c>
      <c r="BM152" s="26">
        <f t="shared" si="1179"/>
        <v>0</v>
      </c>
      <c r="BN152" s="26">
        <f t="shared" si="1179"/>
        <v>0</v>
      </c>
      <c r="BO152" s="26">
        <f t="shared" si="1179"/>
        <v>0</v>
      </c>
      <c r="BP152" s="26">
        <f t="shared" si="1179"/>
        <v>0</v>
      </c>
      <c r="BQ152" s="26">
        <f t="shared" si="1179"/>
        <v>127.39000000000078</v>
      </c>
      <c r="BR152" s="26">
        <f t="shared" si="1179"/>
        <v>6248.9</v>
      </c>
      <c r="BS152" s="26">
        <f t="shared" si="1179"/>
        <v>6424.6</v>
      </c>
      <c r="BT152" s="26">
        <f t="shared" si="1179"/>
        <v>0</v>
      </c>
      <c r="BU152" s="26">
        <f t="shared" si="1179"/>
        <v>211.41000000000099</v>
      </c>
      <c r="BV152" s="26">
        <f t="shared" si="1179"/>
        <v>10174.48</v>
      </c>
      <c r="BW152" s="26">
        <f t="shared" si="1179"/>
        <v>10368.07</v>
      </c>
      <c r="BX152" s="26">
        <f t="shared" si="1179"/>
        <v>10782.8</v>
      </c>
      <c r="BY152" s="26">
        <f t="shared" si="1179"/>
        <v>11028.96</v>
      </c>
      <c r="BZ152" s="26">
        <f t="shared" si="1179"/>
        <v>10391.459999999999</v>
      </c>
      <c r="CA152" s="26">
        <f t="shared" si="1179"/>
        <v>10312.539999999999</v>
      </c>
      <c r="CB152" s="26">
        <f t="shared" si="1179"/>
        <v>11604.8</v>
      </c>
      <c r="CC152" s="26">
        <f t="shared" si="1179"/>
        <v>11805.69</v>
      </c>
      <c r="CD152" s="26">
        <f t="shared" si="1179"/>
        <v>10731.38</v>
      </c>
      <c r="CE152" s="26">
        <f t="shared" si="1179"/>
        <v>11044.58</v>
      </c>
      <c r="CF152" s="26">
        <f t="shared" ref="CF152:CG152" si="1181">CF151+CF143+CF145</f>
        <v>10883.759999999998</v>
      </c>
      <c r="CG152" s="26">
        <f t="shared" si="1181"/>
        <v>11294.329999999998</v>
      </c>
      <c r="CH152" s="26">
        <f t="shared" ref="CH152:CI152" si="1182">CH151+CH143+CH145</f>
        <v>11135.75</v>
      </c>
      <c r="CI152" s="26">
        <f t="shared" si="1182"/>
        <v>11372.180000000002</v>
      </c>
      <c r="CJ152" s="26">
        <f t="shared" ref="CJ152:DB152" si="1183">CJ151+CJ143+CJ145</f>
        <v>10743.32</v>
      </c>
      <c r="CK152" s="26">
        <f t="shared" si="1183"/>
        <v>11012.139999999998</v>
      </c>
      <c r="CL152" s="26">
        <f t="shared" ref="CL152" si="1184">CL151+CL143+CL145</f>
        <v>11261.849999999999</v>
      </c>
      <c r="CM152" s="27">
        <f t="shared" si="1183"/>
        <v>11558.650753618806</v>
      </c>
      <c r="CN152" s="27">
        <f t="shared" si="1183"/>
        <v>11896.586709603273</v>
      </c>
      <c r="CO152" s="27">
        <f t="shared" si="1183"/>
        <v>12235.582105708956</v>
      </c>
      <c r="CP152" s="27">
        <f t="shared" si="1183"/>
        <v>12626.613884271172</v>
      </c>
      <c r="CQ152" s="27">
        <f t="shared" si="1183"/>
        <v>12923.846016890491</v>
      </c>
      <c r="CR152" s="27">
        <f t="shared" si="1183"/>
        <v>13231.350955400847</v>
      </c>
      <c r="CS152" s="27">
        <f t="shared" si="1183"/>
        <v>13569.228888480799</v>
      </c>
      <c r="CT152" s="27">
        <f t="shared" si="1183"/>
        <v>13998.90087305566</v>
      </c>
      <c r="CU152" s="27">
        <f t="shared" si="1183"/>
        <v>14301.172044544197</v>
      </c>
      <c r="CV152" s="27">
        <f t="shared" si="1183"/>
        <v>14611.186873326813</v>
      </c>
      <c r="CW152" s="27">
        <f t="shared" si="1183"/>
        <v>14951.7603457193</v>
      </c>
      <c r="CX152" s="27">
        <f t="shared" si="1183"/>
        <v>15376.919014947729</v>
      </c>
      <c r="CY152" s="27">
        <f t="shared" si="1183"/>
        <v>15682.187055445949</v>
      </c>
      <c r="CZ152" s="27">
        <f t="shared" si="1183"/>
        <v>15993.555309243946</v>
      </c>
      <c r="DA152" s="27">
        <f t="shared" si="1183"/>
        <v>16337.495183704432</v>
      </c>
      <c r="DB152" s="27">
        <f t="shared" si="1183"/>
        <v>16773.020973675601</v>
      </c>
      <c r="DE152" s="121"/>
      <c r="DF152" s="26">
        <v>11348.662900813522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50</v>
      </c>
      <c r="B154" s="23">
        <f>'Annual Raw'!C62</f>
        <v>0</v>
      </c>
      <c r="C154" s="23">
        <f>'Annual Raw'!D62</f>
        <v>0</v>
      </c>
      <c r="D154" s="23">
        <f>'Annual Raw'!E62</f>
        <v>89.462000000000003</v>
      </c>
      <c r="E154" s="23">
        <f>'Annual Raw'!F62-E158</f>
        <v>100.131</v>
      </c>
      <c r="F154" s="23">
        <f>'Annual Raw'!G62-F158</f>
        <v>236.37100000000001</v>
      </c>
      <c r="G154" s="23">
        <f>'Annual Raw'!H62-G158</f>
        <v>313.899</v>
      </c>
      <c r="H154" s="23">
        <f>'Annual Raw'!I62-H158</f>
        <v>314.69200000000001</v>
      </c>
      <c r="I154" s="23">
        <f>'Annual Raw'!J62-I158</f>
        <v>324.33199999999999</v>
      </c>
      <c r="J154" s="23">
        <f>'Annual Raw'!K62-J158</f>
        <v>429.029</v>
      </c>
      <c r="K154" s="23">
        <f>'Annual Raw'!L62-K158</f>
        <v>551.28899999999999</v>
      </c>
      <c r="L154" s="23">
        <f>'Annual Raw'!M62-L158</f>
        <v>753.02300000000002</v>
      </c>
      <c r="M154" s="23">
        <f>'Annual Raw'!N62-M158</f>
        <v>843.11099999999999</v>
      </c>
      <c r="N154" s="23">
        <f>'Annual Raw'!O62-N158</f>
        <v>1463.067</v>
      </c>
      <c r="O154" s="23">
        <f>'Annual Raw'!P62-O158</f>
        <v>2018.1989999999998</v>
      </c>
      <c r="P154" s="23">
        <f>'Annual Raw'!Q62-P158</f>
        <v>2136.4950000000003</v>
      </c>
      <c r="Q154" s="23">
        <f>'Annual Raw'!R62-Q158</f>
        <v>2497.0830000000001</v>
      </c>
      <c r="R154" s="23">
        <f>'Annual Raw'!S62-R158</f>
        <v>2172.0230000000001</v>
      </c>
      <c r="S154" s="23">
        <f>'Annual Raw'!T62-S158</f>
        <v>2636.3429999999998</v>
      </c>
      <c r="T154" s="23">
        <f>'Annual Raw'!U62-T158</f>
        <v>3499.1439999999998</v>
      </c>
      <c r="U154" s="23">
        <f>'Annual Raw'!V62-U158</f>
        <v>4561.04</v>
      </c>
      <c r="V154" s="23">
        <f>'Annual Raw'!W62-V158</f>
        <v>4753.38</v>
      </c>
      <c r="W154" s="23">
        <f>'Annual Raw'!X62-W158</f>
        <v>5892.24</v>
      </c>
      <c r="X154" s="23">
        <f>'Annual Raw'!Y62-X158</f>
        <v>6355.4900000000007</v>
      </c>
      <c r="Y154" s="23">
        <f>'Annual Raw'!Z62-Y158</f>
        <v>6790.6799999999994</v>
      </c>
      <c r="Z154" s="23">
        <f>'Annual Raw'!AA62-Z158</f>
        <v>7651.29</v>
      </c>
      <c r="AA154" s="23">
        <f>'Annual Raw'!AB62-AA158</f>
        <v>9437.3200000000015</v>
      </c>
      <c r="AB154" s="24">
        <f t="shared" ref="AB154:AB160" si="1185">+CP154</f>
        <v>9011.49</v>
      </c>
      <c r="AC154" s="24">
        <f t="shared" ref="AC154:AC160" si="1186">+CT154</f>
        <v>9011.49</v>
      </c>
      <c r="AD154" s="24">
        <f t="shared" ref="AD154:AD160" si="1187">+CX154</f>
        <v>9011.49</v>
      </c>
      <c r="AE154" s="24">
        <f t="shared" ref="AE154:AE160" si="1188">+DB154</f>
        <v>9011.49</v>
      </c>
      <c r="AJ154" s="23">
        <f>+'QTR Raw'!D68</f>
        <v>0</v>
      </c>
      <c r="AL154" s="23">
        <f>+'QTR Raw'!F68</f>
        <v>0</v>
      </c>
      <c r="AN154" s="23">
        <f>+'QTR Raw'!H68</f>
        <v>0</v>
      </c>
      <c r="AP154" s="23">
        <f>+'QTR Raw'!J68</f>
        <v>0</v>
      </c>
      <c r="AR154" s="23">
        <f>+'QTR Raw'!L68</f>
        <v>0</v>
      </c>
      <c r="AT154" s="23">
        <f>+'QTR Raw'!N68</f>
        <v>0</v>
      </c>
      <c r="AV154" s="23">
        <f>+'QTR Raw'!P68</f>
        <v>0</v>
      </c>
      <c r="AX154" s="23">
        <f>+'QTR Raw'!R68</f>
        <v>0</v>
      </c>
      <c r="AZ154" s="23">
        <f>+'QTR Raw'!T68</f>
        <v>0</v>
      </c>
      <c r="BB154" s="23">
        <f>+'QTR Raw'!V68</f>
        <v>0</v>
      </c>
      <c r="BD154" s="23">
        <f>+'QTR Raw'!X68</f>
        <v>0</v>
      </c>
      <c r="BF154" s="23">
        <f>+'QTR Raw'!Z68</f>
        <v>0</v>
      </c>
      <c r="BH154" s="23">
        <f>+'QTR Raw'!AB68</f>
        <v>0</v>
      </c>
      <c r="BJ154" s="23">
        <f>+'QTR Raw'!AD68</f>
        <v>0</v>
      </c>
      <c r="BL154" s="23">
        <f>+'QTR Raw'!AF68</f>
        <v>0</v>
      </c>
      <c r="BN154" s="23">
        <f>+'QTR Raw'!AH68</f>
        <v>0</v>
      </c>
      <c r="BP154" s="23">
        <f>+'QTR Raw'!AJ68</f>
        <v>0</v>
      </c>
      <c r="BR154" s="23">
        <f>+'QTR Raw'!AL68</f>
        <v>3480.65</v>
      </c>
      <c r="BT154" s="23">
        <f>+'QTR Raw'!AN68</f>
        <v>0</v>
      </c>
      <c r="BV154" s="23">
        <f>+'QTR Raw'!AP68</f>
        <v>4298.63</v>
      </c>
      <c r="BX154" s="23">
        <f>+'QTR Raw'!AR68</f>
        <v>4418.7</v>
      </c>
      <c r="BZ154" s="23">
        <f>+'QTR Raw'!AT68</f>
        <v>4462.0200000000004</v>
      </c>
      <c r="CB154" s="23">
        <f>+'QTR Raw'!AV68</f>
        <v>4368.8</v>
      </c>
      <c r="CD154" s="23">
        <f>+'QTR Raw'!AX68</f>
        <v>4568.12</v>
      </c>
      <c r="CF154" s="23">
        <f>+'QTR Raw'!AZ68</f>
        <v>4705.55</v>
      </c>
      <c r="CH154" s="23">
        <f t="shared" ref="CH154:CH160" si="1189">Z154</f>
        <v>7651.29</v>
      </c>
      <c r="CI154" s="23">
        <f>CH154</f>
        <v>7651.29</v>
      </c>
      <c r="CJ154" s="23">
        <f>+CJ155+CJ157</f>
        <v>8336.94</v>
      </c>
      <c r="CK154" s="23">
        <f>+CJ154</f>
        <v>8336.94</v>
      </c>
      <c r="CL154" s="23">
        <f>+CL155+CL157</f>
        <v>9011.49</v>
      </c>
      <c r="CM154" s="24">
        <f t="shared" ref="CM154:DB154" si="1190">+CL154</f>
        <v>9011.49</v>
      </c>
      <c r="CN154" s="24">
        <f t="shared" si="1190"/>
        <v>9011.49</v>
      </c>
      <c r="CO154" s="24">
        <f t="shared" si="1190"/>
        <v>9011.49</v>
      </c>
      <c r="CP154" s="24">
        <f t="shared" si="1190"/>
        <v>9011.49</v>
      </c>
      <c r="CQ154" s="24">
        <f t="shared" si="1190"/>
        <v>9011.49</v>
      </c>
      <c r="CR154" s="24">
        <f t="shared" si="1190"/>
        <v>9011.49</v>
      </c>
      <c r="CS154" s="24">
        <f t="shared" si="1190"/>
        <v>9011.49</v>
      </c>
      <c r="CT154" s="24">
        <f t="shared" si="1190"/>
        <v>9011.49</v>
      </c>
      <c r="CU154" s="24">
        <f t="shared" si="1190"/>
        <v>9011.49</v>
      </c>
      <c r="CV154" s="24">
        <f t="shared" si="1190"/>
        <v>9011.49</v>
      </c>
      <c r="CW154" s="24">
        <f t="shared" si="1190"/>
        <v>9011.49</v>
      </c>
      <c r="CX154" s="24">
        <f t="shared" si="1190"/>
        <v>9011.49</v>
      </c>
      <c r="CY154" s="24">
        <f t="shared" si="1190"/>
        <v>9011.49</v>
      </c>
      <c r="CZ154" s="24">
        <f t="shared" si="1190"/>
        <v>9011.49</v>
      </c>
      <c r="DA154" s="24">
        <f t="shared" si="1190"/>
        <v>9011.49</v>
      </c>
      <c r="DB154" s="24">
        <f t="shared" si="1190"/>
        <v>9011.49</v>
      </c>
      <c r="DE154" s="123"/>
      <c r="DF154" s="23">
        <v>8336.94</v>
      </c>
    </row>
    <row r="155" spans="1:110" s="23" customFormat="1" outlineLevel="1" x14ac:dyDescent="0.2">
      <c r="A155" s="23" t="s">
        <v>51</v>
      </c>
      <c r="B155" s="23">
        <f>'Annual Raw'!C63</f>
        <v>0</v>
      </c>
      <c r="C155" s="23">
        <f>'Annual Raw'!D63</f>
        <v>0</v>
      </c>
      <c r="D155" s="23">
        <f>'Annual Raw'!E63</f>
        <v>9.1310000000000002</v>
      </c>
      <c r="E155" s="23">
        <f>'Annual Raw'!F63</f>
        <v>13.531000000000001</v>
      </c>
      <c r="F155" s="23">
        <f>'Annual Raw'!G63</f>
        <v>20.939</v>
      </c>
      <c r="G155" s="23">
        <f>'Annual Raw'!H63</f>
        <v>34.618000000000002</v>
      </c>
      <c r="H155" s="23">
        <f>'Annual Raw'!I63</f>
        <v>48.633000000000003</v>
      </c>
      <c r="I155" s="23">
        <f>'Annual Raw'!J63</f>
        <v>63.954999999999998</v>
      </c>
      <c r="J155" s="23">
        <f>'Annual Raw'!K63</f>
        <v>80.900000000000006</v>
      </c>
      <c r="K155" s="23">
        <f>'Annual Raw'!L63</f>
        <v>102.63500000000001</v>
      </c>
      <c r="L155" s="23">
        <f>'Annual Raw'!M63</f>
        <v>133.155</v>
      </c>
      <c r="M155" s="23">
        <f>'Annual Raw'!N63</f>
        <v>169.40199999999999</v>
      </c>
      <c r="N155" s="23">
        <f>'Annual Raw'!O63</f>
        <v>233.90700000000001</v>
      </c>
      <c r="O155" s="23">
        <f>'Annual Raw'!P63</f>
        <v>387.18</v>
      </c>
      <c r="P155" s="23">
        <f>'Annual Raw'!Q63</f>
        <v>491.49700000000001</v>
      </c>
      <c r="Q155" s="23">
        <f>'Annual Raw'!R63</f>
        <v>566.39200000000005</v>
      </c>
      <c r="R155" s="23">
        <f>'Annual Raw'!S63</f>
        <v>221.89400000000001</v>
      </c>
      <c r="S155" s="23">
        <f>'Annual Raw'!T63</f>
        <v>363.63099999999997</v>
      </c>
      <c r="T155" s="23">
        <f>'Annual Raw'!U63</f>
        <v>545.49099999999999</v>
      </c>
      <c r="U155" s="23">
        <f>'Annual Raw'!V63</f>
        <v>803.178</v>
      </c>
      <c r="V155" s="23">
        <f>'Annual Raw'!W63</f>
        <v>1050.8800000000001</v>
      </c>
      <c r="W155" s="23">
        <f>'Annual Raw'!X63</f>
        <v>1348.1</v>
      </c>
      <c r="X155" s="23">
        <f>'Annual Raw'!Y63</f>
        <v>1611.83</v>
      </c>
      <c r="Y155" s="23">
        <f>'Annual Raw'!Z63</f>
        <v>1918.53</v>
      </c>
      <c r="Z155" s="23">
        <f>'Annual Raw'!AA63</f>
        <v>2224.48</v>
      </c>
      <c r="AA155" s="23">
        <f>'Annual Raw'!AB63</f>
        <v>2620.08</v>
      </c>
      <c r="AB155" s="24">
        <f t="shared" si="1185"/>
        <v>3214.8834792065518</v>
      </c>
      <c r="AC155" s="24">
        <f t="shared" si="1186"/>
        <v>3599.1148376864244</v>
      </c>
      <c r="AD155" s="24">
        <f t="shared" si="1187"/>
        <v>3957.8772021419995</v>
      </c>
      <c r="AE155" s="24">
        <f t="shared" si="1188"/>
        <v>4292.8587993207675</v>
      </c>
      <c r="AJ155" s="23">
        <f>+'QTR Raw'!D69</f>
        <v>0</v>
      </c>
      <c r="AL155" s="23">
        <f>+'QTR Raw'!F69</f>
        <v>0</v>
      </c>
      <c r="AN155" s="23">
        <f>+'QTR Raw'!H69</f>
        <v>0</v>
      </c>
      <c r="AP155" s="23">
        <f>+'QTR Raw'!J69</f>
        <v>0</v>
      </c>
      <c r="AR155" s="23">
        <f>+'QTR Raw'!L69</f>
        <v>0</v>
      </c>
      <c r="AT155" s="23">
        <f>+'QTR Raw'!N69</f>
        <v>0</v>
      </c>
      <c r="AV155" s="23">
        <f>+'QTR Raw'!P69</f>
        <v>0</v>
      </c>
      <c r="AX155" s="23">
        <f>+'QTR Raw'!R69</f>
        <v>0</v>
      </c>
      <c r="AZ155" s="23">
        <f>+'QTR Raw'!T69</f>
        <v>0</v>
      </c>
      <c r="BB155" s="23">
        <f>+'QTR Raw'!V69</f>
        <v>0</v>
      </c>
      <c r="BD155" s="23">
        <f>+'QTR Raw'!X69</f>
        <v>0</v>
      </c>
      <c r="BF155" s="23">
        <f>+'QTR Raw'!Z69</f>
        <v>0</v>
      </c>
      <c r="BH155" s="23">
        <f>+'QTR Raw'!AB69</f>
        <v>0</v>
      </c>
      <c r="BJ155" s="23">
        <f>+'QTR Raw'!AD69</f>
        <v>0</v>
      </c>
      <c r="BL155" s="23">
        <f>+'QTR Raw'!AF69</f>
        <v>0</v>
      </c>
      <c r="BN155" s="23">
        <f>+'QTR Raw'!AH69</f>
        <v>0</v>
      </c>
      <c r="BP155" s="23">
        <f>+'QTR Raw'!AJ69</f>
        <v>0</v>
      </c>
      <c r="BR155" s="23">
        <f>+'QTR Raw'!AL69</f>
        <v>0</v>
      </c>
      <c r="BT155" s="23">
        <f>+'QTR Raw'!AN69</f>
        <v>0</v>
      </c>
      <c r="BV155" s="23">
        <f>+'QTR Raw'!AP69</f>
        <v>0</v>
      </c>
      <c r="BX155" s="23">
        <f>+'QTR Raw'!AR69</f>
        <v>0</v>
      </c>
      <c r="BZ155" s="23">
        <f>+'QTR Raw'!AT69</f>
        <v>0</v>
      </c>
      <c r="CB155" s="23">
        <f>+'QTR Raw'!AV69</f>
        <v>0</v>
      </c>
      <c r="CD155" s="23">
        <f>+'QTR Raw'!AX69</f>
        <v>0</v>
      </c>
      <c r="CF155" s="23">
        <f>+'QTR Raw'!AZ69</f>
        <v>0</v>
      </c>
      <c r="CH155" s="23">
        <f t="shared" si="1189"/>
        <v>2224.48</v>
      </c>
      <c r="CI155" s="23">
        <f t="shared" ref="CI155:DB155" si="1191">CH155+CI55</f>
        <v>2327.23</v>
      </c>
      <c r="CJ155" s="23">
        <f t="shared" si="1191"/>
        <v>2434.2600000000002</v>
      </c>
      <c r="CK155" s="23">
        <f t="shared" si="1191"/>
        <v>2545.42</v>
      </c>
      <c r="CL155" s="23">
        <f t="shared" si="1191"/>
        <v>2673.31</v>
      </c>
      <c r="CM155" s="24">
        <f t="shared" si="1191"/>
        <v>2813.2715023689807</v>
      </c>
      <c r="CN155" s="24">
        <f t="shared" si="1191"/>
        <v>2950.1423348381823</v>
      </c>
      <c r="CO155" s="24">
        <f t="shared" si="1191"/>
        <v>3083.9907464637217</v>
      </c>
      <c r="CP155" s="24">
        <f t="shared" si="1191"/>
        <v>3214.8834792065518</v>
      </c>
      <c r="CQ155" s="24">
        <f t="shared" si="1191"/>
        <v>3313.4257900600405</v>
      </c>
      <c r="CR155" s="24">
        <f t="shared" si="1191"/>
        <v>3410.29288162902</v>
      </c>
      <c r="CS155" s="24">
        <f t="shared" si="1191"/>
        <v>3505.5132326413268</v>
      </c>
      <c r="CT155" s="24">
        <f t="shared" si="1191"/>
        <v>3599.1148376864244</v>
      </c>
      <c r="CU155" s="24">
        <f t="shared" si="1191"/>
        <v>3691.1252154457552</v>
      </c>
      <c r="CV155" s="24">
        <f t="shared" si="1191"/>
        <v>3781.5714167831775</v>
      </c>
      <c r="CW155" s="24">
        <f t="shared" si="1191"/>
        <v>3870.4800326978634</v>
      </c>
      <c r="CX155" s="24">
        <f t="shared" si="1191"/>
        <v>3957.8772021419995</v>
      </c>
      <c r="CY155" s="24">
        <f t="shared" si="1191"/>
        <v>4043.7886197055855</v>
      </c>
      <c r="CZ155" s="24">
        <f t="shared" si="1191"/>
        <v>4128.2395431705909</v>
      </c>
      <c r="DA155" s="24">
        <f t="shared" si="1191"/>
        <v>4211.254800936691</v>
      </c>
      <c r="DB155" s="24">
        <f t="shared" si="1191"/>
        <v>4292.8587993207675</v>
      </c>
      <c r="DE155" s="123"/>
      <c r="DF155" s="23">
        <v>2654.48662112803</v>
      </c>
    </row>
    <row r="156" spans="1:110" s="23" customFormat="1" outlineLevel="1" x14ac:dyDescent="0.2">
      <c r="A156" s="23" t="s">
        <v>52</v>
      </c>
      <c r="B156" s="23">
        <f>'Annual Raw'!C64</f>
        <v>0</v>
      </c>
      <c r="C156" s="23">
        <f>'Annual Raw'!D64</f>
        <v>0</v>
      </c>
      <c r="D156" s="23">
        <f>'Annual Raw'!E64</f>
        <v>0</v>
      </c>
      <c r="E156" s="23">
        <f>'Annual Raw'!F64</f>
        <v>0</v>
      </c>
      <c r="F156" s="23">
        <f>'Annual Raw'!G64</f>
        <v>0</v>
      </c>
      <c r="G156" s="23">
        <f>'Annual Raw'!H64</f>
        <v>0</v>
      </c>
      <c r="H156" s="23">
        <f>'Annual Raw'!I64</f>
        <v>0</v>
      </c>
      <c r="I156" s="23">
        <f>'Annual Raw'!J64</f>
        <v>0</v>
      </c>
      <c r="J156" s="23">
        <f>'Annual Raw'!K64</f>
        <v>0</v>
      </c>
      <c r="K156" s="23">
        <f>'Annual Raw'!L64</f>
        <v>0</v>
      </c>
      <c r="L156" s="23">
        <f>'Annual Raw'!M64</f>
        <v>0</v>
      </c>
      <c r="M156" s="23">
        <f>'Annual Raw'!N64</f>
        <v>0</v>
      </c>
      <c r="N156" s="23">
        <f>'Annual Raw'!O64</f>
        <v>0</v>
      </c>
      <c r="O156" s="23">
        <f>'Annual Raw'!P64</f>
        <v>0</v>
      </c>
      <c r="P156" s="23">
        <f>'Annual Raw'!Q64</f>
        <v>0</v>
      </c>
      <c r="Q156" s="23">
        <f>'Annual Raw'!R64</f>
        <v>0</v>
      </c>
      <c r="R156" s="23">
        <f>'Annual Raw'!S64</f>
        <v>0</v>
      </c>
      <c r="S156" s="23">
        <f>'Annual Raw'!T64</f>
        <v>0</v>
      </c>
      <c r="T156" s="23">
        <f>'Annual Raw'!U64</f>
        <v>0</v>
      </c>
      <c r="U156" s="23">
        <f>'Annual Raw'!V64</f>
        <v>0</v>
      </c>
      <c r="V156" s="23">
        <f>'Annual Raw'!W64</f>
        <v>0</v>
      </c>
      <c r="W156" s="23">
        <f>'Annual Raw'!X64</f>
        <v>0</v>
      </c>
      <c r="X156" s="23">
        <f>'Annual Raw'!Y64</f>
        <v>0</v>
      </c>
      <c r="Y156" s="23">
        <f>'Annual Raw'!Z64</f>
        <v>0</v>
      </c>
      <c r="Z156" s="23">
        <f>'Annual Raw'!AA64</f>
        <v>0</v>
      </c>
      <c r="AA156" s="23">
        <f>'Annual Raw'!AB64</f>
        <v>0</v>
      </c>
      <c r="AB156" s="24">
        <f t="shared" si="1185"/>
        <v>0</v>
      </c>
      <c r="AC156" s="24">
        <f t="shared" si="1186"/>
        <v>0</v>
      </c>
      <c r="AD156" s="24">
        <f t="shared" si="1187"/>
        <v>0</v>
      </c>
      <c r="AE156" s="24">
        <f t="shared" si="1188"/>
        <v>0</v>
      </c>
      <c r="AJ156" s="23">
        <f>+'QTR Raw'!D70</f>
        <v>0</v>
      </c>
      <c r="AL156" s="23">
        <f>+'QTR Raw'!F70</f>
        <v>0</v>
      </c>
      <c r="AN156" s="23">
        <f>+'QTR Raw'!H70</f>
        <v>0</v>
      </c>
      <c r="AP156" s="23">
        <f>+'QTR Raw'!J70</f>
        <v>0</v>
      </c>
      <c r="AR156" s="23">
        <f>+'QTR Raw'!L70</f>
        <v>0</v>
      </c>
      <c r="AT156" s="23">
        <f>+'QTR Raw'!N70</f>
        <v>0</v>
      </c>
      <c r="AV156" s="23">
        <f>+'QTR Raw'!P70</f>
        <v>0</v>
      </c>
      <c r="AX156" s="23">
        <f>+'QTR Raw'!R70</f>
        <v>0</v>
      </c>
      <c r="AZ156" s="23">
        <f>+'QTR Raw'!T70</f>
        <v>0</v>
      </c>
      <c r="BB156" s="23">
        <f>+'QTR Raw'!V70</f>
        <v>0</v>
      </c>
      <c r="BD156" s="23">
        <f>+'QTR Raw'!X70</f>
        <v>0</v>
      </c>
      <c r="BF156" s="23">
        <f>+'QTR Raw'!Z70</f>
        <v>0</v>
      </c>
      <c r="BH156" s="23">
        <f>+'QTR Raw'!AB70</f>
        <v>0</v>
      </c>
      <c r="BJ156" s="23">
        <f>+'QTR Raw'!AD70</f>
        <v>0</v>
      </c>
      <c r="BL156" s="23">
        <f>+'QTR Raw'!AF70</f>
        <v>0</v>
      </c>
      <c r="BN156" s="23">
        <f>+'QTR Raw'!AH70</f>
        <v>0</v>
      </c>
      <c r="BP156" s="23">
        <f>+'QTR Raw'!AJ70</f>
        <v>0</v>
      </c>
      <c r="BR156" s="23">
        <f>+'QTR Raw'!AL70</f>
        <v>0</v>
      </c>
      <c r="BT156" s="23">
        <f>+'QTR Raw'!AN70</f>
        <v>0</v>
      </c>
      <c r="BV156" s="23">
        <f>+'QTR Raw'!AP70</f>
        <v>0</v>
      </c>
      <c r="BX156" s="23">
        <f>+'QTR Raw'!AR70</f>
        <v>0</v>
      </c>
      <c r="BZ156" s="23">
        <f>+'QTR Raw'!AT70</f>
        <v>0</v>
      </c>
      <c r="CB156" s="23">
        <f>+'QTR Raw'!AV70</f>
        <v>0</v>
      </c>
      <c r="CD156" s="23">
        <f>+'QTR Raw'!AX70</f>
        <v>0</v>
      </c>
      <c r="CF156" s="23">
        <f>+'QTR Raw'!AZ70</f>
        <v>0</v>
      </c>
      <c r="CH156" s="23">
        <f t="shared" si="1189"/>
        <v>0</v>
      </c>
      <c r="CI156" s="23">
        <f>CH156</f>
        <v>0</v>
      </c>
      <c r="CJ156" s="23">
        <f>+'QTR Raw'!BD70</f>
        <v>0</v>
      </c>
      <c r="CK156" s="23">
        <f t="shared" ref="CK156:DB156" si="1192">CJ156</f>
        <v>0</v>
      </c>
      <c r="CL156" s="23">
        <f>+'QTR Raw'!BF70</f>
        <v>0</v>
      </c>
      <c r="CM156" s="24">
        <f t="shared" si="1192"/>
        <v>0</v>
      </c>
      <c r="CN156" s="24">
        <f t="shared" si="1192"/>
        <v>0</v>
      </c>
      <c r="CO156" s="24">
        <f t="shared" si="1192"/>
        <v>0</v>
      </c>
      <c r="CP156" s="24">
        <f t="shared" si="1192"/>
        <v>0</v>
      </c>
      <c r="CQ156" s="24">
        <f t="shared" si="1192"/>
        <v>0</v>
      </c>
      <c r="CR156" s="24">
        <f t="shared" si="1192"/>
        <v>0</v>
      </c>
      <c r="CS156" s="24">
        <f t="shared" si="1192"/>
        <v>0</v>
      </c>
      <c r="CT156" s="24">
        <f t="shared" si="1192"/>
        <v>0</v>
      </c>
      <c r="CU156" s="24">
        <f t="shared" si="1192"/>
        <v>0</v>
      </c>
      <c r="CV156" s="24">
        <f t="shared" si="1192"/>
        <v>0</v>
      </c>
      <c r="CW156" s="24">
        <f t="shared" si="1192"/>
        <v>0</v>
      </c>
      <c r="CX156" s="24">
        <f t="shared" si="1192"/>
        <v>0</v>
      </c>
      <c r="CY156" s="24">
        <f t="shared" si="1192"/>
        <v>0</v>
      </c>
      <c r="CZ156" s="24">
        <f t="shared" si="1192"/>
        <v>0</v>
      </c>
      <c r="DA156" s="24">
        <f t="shared" si="1192"/>
        <v>0</v>
      </c>
      <c r="DB156" s="24">
        <f t="shared" si="1192"/>
        <v>0</v>
      </c>
      <c r="DE156" s="123"/>
      <c r="DF156" s="23">
        <v>0</v>
      </c>
    </row>
    <row r="157" spans="1:110" s="22" customFormat="1" outlineLevel="1" x14ac:dyDescent="0.2">
      <c r="A157" s="22" t="s">
        <v>53</v>
      </c>
      <c r="B157" s="22">
        <f>+B154-B155-B156</f>
        <v>0</v>
      </c>
      <c r="C157" s="22">
        <f t="shared" ref="C157:W157" si="1193">+C154-C155-C156</f>
        <v>0</v>
      </c>
      <c r="D157" s="22">
        <f t="shared" si="1193"/>
        <v>80.331000000000003</v>
      </c>
      <c r="E157" s="22">
        <f t="shared" si="1193"/>
        <v>86.6</v>
      </c>
      <c r="F157" s="22">
        <f t="shared" si="1193"/>
        <v>215.43200000000002</v>
      </c>
      <c r="G157" s="22">
        <f t="shared" si="1193"/>
        <v>279.28100000000001</v>
      </c>
      <c r="H157" s="22">
        <f t="shared" si="1193"/>
        <v>266.05900000000003</v>
      </c>
      <c r="I157" s="22">
        <f t="shared" si="1193"/>
        <v>260.37700000000001</v>
      </c>
      <c r="J157" s="22">
        <f t="shared" si="1193"/>
        <v>348.12900000000002</v>
      </c>
      <c r="K157" s="22">
        <f t="shared" si="1193"/>
        <v>448.654</v>
      </c>
      <c r="L157" s="22">
        <f t="shared" si="1193"/>
        <v>619.86800000000005</v>
      </c>
      <c r="M157" s="22">
        <f t="shared" si="1193"/>
        <v>673.70900000000006</v>
      </c>
      <c r="N157" s="22">
        <f t="shared" si="1193"/>
        <v>1229.1600000000001</v>
      </c>
      <c r="O157" s="22">
        <f t="shared" si="1193"/>
        <v>1631.0189999999998</v>
      </c>
      <c r="P157" s="22">
        <f t="shared" si="1193"/>
        <v>1644.9980000000003</v>
      </c>
      <c r="Q157" s="22">
        <f t="shared" si="1193"/>
        <v>1930.691</v>
      </c>
      <c r="R157" s="22">
        <f t="shared" si="1193"/>
        <v>1950.1290000000001</v>
      </c>
      <c r="S157" s="22">
        <f t="shared" si="1193"/>
        <v>2272.712</v>
      </c>
      <c r="T157" s="22">
        <f t="shared" si="1193"/>
        <v>2953.6529999999998</v>
      </c>
      <c r="U157" s="22">
        <f t="shared" si="1193"/>
        <v>3757.8620000000001</v>
      </c>
      <c r="V157" s="22">
        <f t="shared" si="1193"/>
        <v>3702.5</v>
      </c>
      <c r="W157" s="22">
        <f t="shared" si="1193"/>
        <v>4544.1399999999994</v>
      </c>
      <c r="X157" s="22">
        <f t="shared" ref="X157:Y157" si="1194">+X154-X155-X156</f>
        <v>4743.6600000000008</v>
      </c>
      <c r="Y157" s="22">
        <f t="shared" si="1194"/>
        <v>4872.1499999999996</v>
      </c>
      <c r="Z157" s="22">
        <f t="shared" ref="Z157:AE157" si="1195">+Z154-Z155-Z156</f>
        <v>5426.8099999999995</v>
      </c>
      <c r="AA157" s="22">
        <f t="shared" ref="AA157" si="1196">+AA154-AA155-AA156</f>
        <v>6817.2400000000016</v>
      </c>
      <c r="AB157" s="21">
        <f t="shared" si="1195"/>
        <v>5796.606520793448</v>
      </c>
      <c r="AC157" s="21">
        <f t="shared" si="1195"/>
        <v>5412.3751623135759</v>
      </c>
      <c r="AD157" s="21">
        <f t="shared" si="1195"/>
        <v>5053.6127978580007</v>
      </c>
      <c r="AE157" s="21">
        <f t="shared" si="1195"/>
        <v>4718.6312006792323</v>
      </c>
      <c r="AJ157" s="22">
        <f t="shared" ref="AJ157:AL157" si="1197">+AJ154-AJ155-AJ156</f>
        <v>0</v>
      </c>
      <c r="AK157" s="22">
        <f t="shared" ref="AK157:CE157" si="1198">+AJ157</f>
        <v>0</v>
      </c>
      <c r="AL157" s="22">
        <f t="shared" si="1197"/>
        <v>0</v>
      </c>
      <c r="AM157" s="22">
        <f t="shared" si="1198"/>
        <v>0</v>
      </c>
      <c r="AN157" s="22">
        <f t="shared" ref="AN157" si="1199">+AN154-AN155-AN156</f>
        <v>0</v>
      </c>
      <c r="AO157" s="22">
        <f t="shared" si="1198"/>
        <v>0</v>
      </c>
      <c r="AP157" s="22">
        <f t="shared" ref="AP157:CD157" si="1200">+AP154-AP155-AP156</f>
        <v>0</v>
      </c>
      <c r="AQ157" s="22">
        <f t="shared" si="1198"/>
        <v>0</v>
      </c>
      <c r="AR157" s="22">
        <f t="shared" si="1200"/>
        <v>0</v>
      </c>
      <c r="AS157" s="22">
        <f t="shared" si="1198"/>
        <v>0</v>
      </c>
      <c r="AT157" s="22">
        <f t="shared" si="1200"/>
        <v>0</v>
      </c>
      <c r="AU157" s="22">
        <f t="shared" si="1198"/>
        <v>0</v>
      </c>
      <c r="AV157" s="22">
        <f t="shared" si="1200"/>
        <v>0</v>
      </c>
      <c r="AW157" s="22">
        <f t="shared" si="1198"/>
        <v>0</v>
      </c>
      <c r="AX157" s="22">
        <f t="shared" si="1200"/>
        <v>0</v>
      </c>
      <c r="AY157" s="22">
        <f t="shared" si="1198"/>
        <v>0</v>
      </c>
      <c r="AZ157" s="22">
        <f t="shared" si="1200"/>
        <v>0</v>
      </c>
      <c r="BA157" s="22">
        <f t="shared" si="1198"/>
        <v>0</v>
      </c>
      <c r="BB157" s="22">
        <f t="shared" si="1200"/>
        <v>0</v>
      </c>
      <c r="BC157" s="22">
        <f t="shared" si="1198"/>
        <v>0</v>
      </c>
      <c r="BD157" s="22">
        <f t="shared" si="1200"/>
        <v>0</v>
      </c>
      <c r="BE157" s="22">
        <f t="shared" si="1198"/>
        <v>0</v>
      </c>
      <c r="BF157" s="22">
        <f t="shared" si="1200"/>
        <v>0</v>
      </c>
      <c r="BG157" s="22">
        <f t="shared" si="1198"/>
        <v>0</v>
      </c>
      <c r="BH157" s="22">
        <f t="shared" si="1200"/>
        <v>0</v>
      </c>
      <c r="BI157" s="22">
        <f t="shared" si="1198"/>
        <v>0</v>
      </c>
      <c r="BJ157" s="22">
        <f t="shared" si="1200"/>
        <v>0</v>
      </c>
      <c r="BK157" s="22">
        <f t="shared" si="1198"/>
        <v>0</v>
      </c>
      <c r="BL157" s="22">
        <f t="shared" si="1200"/>
        <v>0</v>
      </c>
      <c r="BM157" s="22">
        <f t="shared" si="1198"/>
        <v>0</v>
      </c>
      <c r="BN157" s="22">
        <f t="shared" si="1200"/>
        <v>0</v>
      </c>
      <c r="BO157" s="22">
        <f t="shared" si="1198"/>
        <v>0</v>
      </c>
      <c r="BP157" s="22">
        <f t="shared" si="1200"/>
        <v>0</v>
      </c>
      <c r="BQ157" s="22">
        <f t="shared" si="1198"/>
        <v>0</v>
      </c>
      <c r="BR157" s="22">
        <f t="shared" si="1200"/>
        <v>3480.65</v>
      </c>
      <c r="BS157" s="22">
        <f t="shared" si="1198"/>
        <v>3480.65</v>
      </c>
      <c r="BT157" s="22">
        <f t="shared" si="1200"/>
        <v>0</v>
      </c>
      <c r="BU157" s="22">
        <f t="shared" si="1198"/>
        <v>0</v>
      </c>
      <c r="BV157" s="22">
        <f t="shared" si="1200"/>
        <v>4298.63</v>
      </c>
      <c r="BW157" s="22">
        <f t="shared" si="1198"/>
        <v>4298.63</v>
      </c>
      <c r="BX157" s="22">
        <f t="shared" si="1200"/>
        <v>4418.7</v>
      </c>
      <c r="BY157" s="22">
        <f t="shared" si="1198"/>
        <v>4418.7</v>
      </c>
      <c r="BZ157" s="22">
        <f t="shared" si="1200"/>
        <v>4462.0200000000004</v>
      </c>
      <c r="CA157" s="22">
        <f t="shared" si="1198"/>
        <v>4462.0200000000004</v>
      </c>
      <c r="CB157" s="22">
        <f t="shared" si="1200"/>
        <v>4368.8</v>
      </c>
      <c r="CC157" s="22">
        <f t="shared" si="1198"/>
        <v>4368.8</v>
      </c>
      <c r="CD157" s="22">
        <f t="shared" si="1200"/>
        <v>4568.12</v>
      </c>
      <c r="CE157" s="22">
        <f t="shared" si="1198"/>
        <v>4568.12</v>
      </c>
      <c r="CF157" s="22">
        <f t="shared" ref="CF157:CI157" si="1201">+CF154-CF155-CF156</f>
        <v>4705.55</v>
      </c>
      <c r="CG157" s="22">
        <f t="shared" ref="CG157:CI160" si="1202">+CF157</f>
        <v>4705.55</v>
      </c>
      <c r="CH157" s="22">
        <f t="shared" si="1201"/>
        <v>5426.8099999999995</v>
      </c>
      <c r="CI157" s="22">
        <f t="shared" si="1201"/>
        <v>5324.0599999999995</v>
      </c>
      <c r="CJ157" s="23">
        <f>+'QTR Raw'!BD68</f>
        <v>5902.68</v>
      </c>
      <c r="CK157" s="23">
        <f t="shared" ref="CK157:DB157" si="1203">+CK154-CK155-CK156</f>
        <v>5791.52</v>
      </c>
      <c r="CL157" s="23">
        <f>+'QTR Raw'!BF68</f>
        <v>6338.18</v>
      </c>
      <c r="CM157" s="21">
        <f t="shared" si="1203"/>
        <v>6198.2184976310191</v>
      </c>
      <c r="CN157" s="21">
        <f t="shared" si="1203"/>
        <v>6061.3476651618175</v>
      </c>
      <c r="CO157" s="21">
        <f t="shared" si="1203"/>
        <v>5927.499253536278</v>
      </c>
      <c r="CP157" s="21">
        <f t="shared" si="1203"/>
        <v>5796.606520793448</v>
      </c>
      <c r="CQ157" s="21">
        <f t="shared" si="1203"/>
        <v>5698.0642099399593</v>
      </c>
      <c r="CR157" s="21">
        <f t="shared" si="1203"/>
        <v>5601.1971183709793</v>
      </c>
      <c r="CS157" s="21">
        <f t="shared" si="1203"/>
        <v>5505.976767358673</v>
      </c>
      <c r="CT157" s="21">
        <f t="shared" si="1203"/>
        <v>5412.3751623135759</v>
      </c>
      <c r="CU157" s="21">
        <f t="shared" si="1203"/>
        <v>5320.3647845542446</v>
      </c>
      <c r="CV157" s="21">
        <f t="shared" si="1203"/>
        <v>5229.9185832168223</v>
      </c>
      <c r="CW157" s="21">
        <f t="shared" si="1203"/>
        <v>5141.0099673021359</v>
      </c>
      <c r="CX157" s="21">
        <f t="shared" si="1203"/>
        <v>5053.6127978580007</v>
      </c>
      <c r="CY157" s="21">
        <f t="shared" si="1203"/>
        <v>4967.7013802944148</v>
      </c>
      <c r="CZ157" s="21">
        <f t="shared" si="1203"/>
        <v>4883.2504568294089</v>
      </c>
      <c r="DA157" s="21">
        <f t="shared" si="1203"/>
        <v>4800.2351990633088</v>
      </c>
      <c r="DB157" s="21">
        <f t="shared" si="1203"/>
        <v>4718.6312006792323</v>
      </c>
      <c r="DE157" s="126"/>
      <c r="DF157" s="22">
        <v>5682.4533788719709</v>
      </c>
    </row>
    <row r="158" spans="1:110" s="23" customFormat="1" outlineLevel="1" x14ac:dyDescent="0.2">
      <c r="A158" s="23" t="s">
        <v>54</v>
      </c>
      <c r="B158" s="23">
        <f>'Annual Raw'!C86</f>
        <v>0</v>
      </c>
      <c r="C158" s="23">
        <f>'Annual Raw'!D86</f>
        <v>0</v>
      </c>
      <c r="D158" s="23">
        <f>'Annual Raw'!E86</f>
        <v>0</v>
      </c>
      <c r="E158" s="23">
        <f>'Annual Raw'!F86</f>
        <v>0</v>
      </c>
      <c r="F158" s="23">
        <f>'Annual Raw'!G86</f>
        <v>0</v>
      </c>
      <c r="G158" s="23">
        <f>'Annual Raw'!H86</f>
        <v>0</v>
      </c>
      <c r="H158" s="23">
        <f>'Annual Raw'!I86</f>
        <v>0</v>
      </c>
      <c r="I158" s="23">
        <f>'Annual Raw'!J86</f>
        <v>0</v>
      </c>
      <c r="J158" s="23">
        <f>'Annual Raw'!K86</f>
        <v>0</v>
      </c>
      <c r="K158" s="23">
        <f>'Annual Raw'!L86</f>
        <v>0</v>
      </c>
      <c r="L158" s="23">
        <f>'Annual Raw'!M86</f>
        <v>0</v>
      </c>
      <c r="M158" s="23">
        <f>'Annual Raw'!N86</f>
        <v>0</v>
      </c>
      <c r="N158" s="23">
        <f>'Annual Raw'!O86</f>
        <v>0</v>
      </c>
      <c r="O158" s="23">
        <f>'Annual Raw'!P86</f>
        <v>43.209000000000003</v>
      </c>
      <c r="P158" s="23">
        <f>'Annual Raw'!Q86</f>
        <v>43.209000000000003</v>
      </c>
      <c r="Q158" s="23">
        <f>'Annual Raw'!R86</f>
        <v>9.0190000000000001</v>
      </c>
      <c r="R158" s="23">
        <f>'Annual Raw'!S86</f>
        <v>0</v>
      </c>
      <c r="S158" s="23">
        <f>'Annual Raw'!T86</f>
        <v>0</v>
      </c>
      <c r="T158" s="23">
        <f>'Annual Raw'!U86</f>
        <v>0</v>
      </c>
      <c r="U158" s="23">
        <f>'Annual Raw'!V86</f>
        <v>0</v>
      </c>
      <c r="V158" s="23">
        <f>'Annual Raw'!W86</f>
        <v>0</v>
      </c>
      <c r="W158" s="23">
        <f>'Annual Raw'!X86</f>
        <v>56.71</v>
      </c>
      <c r="X158" s="23">
        <f>'Annual Raw'!Y86</f>
        <v>49.69</v>
      </c>
      <c r="Y158" s="23">
        <f>'Annual Raw'!Z86</f>
        <v>48.8</v>
      </c>
      <c r="Z158" s="23">
        <f>'Annual Raw'!AA86</f>
        <v>53.84</v>
      </c>
      <c r="AA158" s="23">
        <f>'Annual Raw'!AB86</f>
        <v>325.38</v>
      </c>
      <c r="AB158" s="24">
        <f t="shared" si="1185"/>
        <v>325.38</v>
      </c>
      <c r="AC158" s="24">
        <f t="shared" si="1186"/>
        <v>325.38</v>
      </c>
      <c r="AD158" s="24">
        <f t="shared" si="1187"/>
        <v>325.38</v>
      </c>
      <c r="AE158" s="24">
        <f t="shared" si="1188"/>
        <v>325.38</v>
      </c>
      <c r="AJ158" s="23">
        <f>+'QTR Raw'!D72</f>
        <v>0</v>
      </c>
      <c r="AK158" s="23">
        <f>+AJ158</f>
        <v>0</v>
      </c>
      <c r="AL158" s="23">
        <f>+'QTR Raw'!F72</f>
        <v>0</v>
      </c>
      <c r="AM158" s="23">
        <f t="shared" ref="AK158:CE160" si="1204">+AL158</f>
        <v>0</v>
      </c>
      <c r="AN158" s="23">
        <f>+'QTR Raw'!H72</f>
        <v>0</v>
      </c>
      <c r="AO158" s="23">
        <f t="shared" si="1204"/>
        <v>0</v>
      </c>
      <c r="AP158" s="23">
        <f>+'QTR Raw'!J72</f>
        <v>0</v>
      </c>
      <c r="AQ158" s="23">
        <f t="shared" si="1204"/>
        <v>0</v>
      </c>
      <c r="AR158" s="23">
        <f>+'QTR Raw'!L72</f>
        <v>0</v>
      </c>
      <c r="AS158" s="23">
        <f t="shared" si="1204"/>
        <v>0</v>
      </c>
      <c r="AT158" s="23">
        <f>+'QTR Raw'!N72</f>
        <v>0</v>
      </c>
      <c r="AU158" s="23">
        <f t="shared" si="1204"/>
        <v>0</v>
      </c>
      <c r="AV158" s="23">
        <f>+'QTR Raw'!P72</f>
        <v>0</v>
      </c>
      <c r="AW158" s="23">
        <f t="shared" si="1204"/>
        <v>0</v>
      </c>
      <c r="AX158" s="23">
        <f>+'QTR Raw'!R72</f>
        <v>0</v>
      </c>
      <c r="AY158" s="23">
        <f t="shared" si="1204"/>
        <v>0</v>
      </c>
      <c r="AZ158" s="23">
        <f>+'QTR Raw'!T72</f>
        <v>0</v>
      </c>
      <c r="BA158" s="23">
        <f t="shared" si="1204"/>
        <v>0</v>
      </c>
      <c r="BB158" s="23">
        <f>+'QTR Raw'!V72</f>
        <v>0</v>
      </c>
      <c r="BC158" s="23">
        <f t="shared" si="1204"/>
        <v>0</v>
      </c>
      <c r="BD158" s="23">
        <f>+'QTR Raw'!X72</f>
        <v>0</v>
      </c>
      <c r="BE158" s="23">
        <f t="shared" si="1204"/>
        <v>0</v>
      </c>
      <c r="BF158" s="23">
        <f>+'QTR Raw'!Z72</f>
        <v>0</v>
      </c>
      <c r="BG158" s="23">
        <f t="shared" si="1204"/>
        <v>0</v>
      </c>
      <c r="BH158" s="23">
        <f>+'QTR Raw'!AB72</f>
        <v>0</v>
      </c>
      <c r="BI158" s="23">
        <f t="shared" si="1204"/>
        <v>0</v>
      </c>
      <c r="BJ158" s="23">
        <f>+'QTR Raw'!AD72</f>
        <v>0</v>
      </c>
      <c r="BK158" s="23">
        <f t="shared" si="1204"/>
        <v>0</v>
      </c>
      <c r="BL158" s="23">
        <f>+'QTR Raw'!AF72</f>
        <v>0</v>
      </c>
      <c r="BM158" s="23">
        <f t="shared" si="1204"/>
        <v>0</v>
      </c>
      <c r="BN158" s="23">
        <f>+'QTR Raw'!AH72</f>
        <v>0</v>
      </c>
      <c r="BO158" s="23">
        <f t="shared" si="1204"/>
        <v>0</v>
      </c>
      <c r="BP158" s="23">
        <f>+'QTR Raw'!AJ72</f>
        <v>0</v>
      </c>
      <c r="BQ158" s="23">
        <f t="shared" si="1204"/>
        <v>0</v>
      </c>
      <c r="BR158" s="23">
        <f>+'QTR Raw'!AL72</f>
        <v>0</v>
      </c>
      <c r="BS158" s="23">
        <f t="shared" si="1204"/>
        <v>0</v>
      </c>
      <c r="BT158" s="23">
        <f>+'QTR Raw'!AN72</f>
        <v>0</v>
      </c>
      <c r="BU158" s="23">
        <f t="shared" si="1204"/>
        <v>0</v>
      </c>
      <c r="BV158" s="23">
        <f>+'QTR Raw'!AP72</f>
        <v>56.71</v>
      </c>
      <c r="BW158" s="23">
        <f t="shared" si="1204"/>
        <v>56.71</v>
      </c>
      <c r="BX158" s="23">
        <f>+'QTR Raw'!AR72</f>
        <v>51.54</v>
      </c>
      <c r="BY158" s="23">
        <f t="shared" si="1204"/>
        <v>51.54</v>
      </c>
      <c r="BZ158" s="23">
        <f>+'QTR Raw'!AT72</f>
        <v>49.69</v>
      </c>
      <c r="CA158" s="23">
        <f t="shared" si="1204"/>
        <v>49.69</v>
      </c>
      <c r="CB158" s="23">
        <f>+'QTR Raw'!AV72</f>
        <v>48.41</v>
      </c>
      <c r="CC158" s="23">
        <f t="shared" si="1204"/>
        <v>48.41</v>
      </c>
      <c r="CD158" s="23">
        <f>+'QTR Raw'!AX72</f>
        <v>48.8</v>
      </c>
      <c r="CE158" s="23">
        <f t="shared" si="1204"/>
        <v>48.8</v>
      </c>
      <c r="CF158" s="23">
        <f>+'QTR Raw'!AZ72</f>
        <v>54.56</v>
      </c>
      <c r="CG158" s="23">
        <f t="shared" si="1202"/>
        <v>54.56</v>
      </c>
      <c r="CH158" s="23">
        <f t="shared" si="1189"/>
        <v>53.84</v>
      </c>
      <c r="CI158" s="23">
        <f t="shared" si="1202"/>
        <v>53.84</v>
      </c>
      <c r="CJ158" s="23">
        <f>+'QTR Raw'!BD72</f>
        <v>314.95999999999998</v>
      </c>
      <c r="CK158" s="23">
        <f t="shared" ref="CK158:CK160" si="1205">+CJ158</f>
        <v>314.95999999999998</v>
      </c>
      <c r="CL158" s="23">
        <f>+'QTR Raw'!BF72</f>
        <v>325.38</v>
      </c>
      <c r="CM158" s="24">
        <f t="shared" ref="CM158:CM160" si="1206">+CL158</f>
        <v>325.38</v>
      </c>
      <c r="CN158" s="24">
        <f t="shared" ref="CN158:CN160" si="1207">+CM158</f>
        <v>325.38</v>
      </c>
      <c r="CO158" s="24">
        <f t="shared" ref="CO158:CO160" si="1208">+CN158</f>
        <v>325.38</v>
      </c>
      <c r="CP158" s="24">
        <f t="shared" ref="CP158:CP160" si="1209">+CO158</f>
        <v>325.38</v>
      </c>
      <c r="CQ158" s="24">
        <f t="shared" ref="CQ158:CQ160" si="1210">+CP158</f>
        <v>325.38</v>
      </c>
      <c r="CR158" s="24">
        <f t="shared" ref="CR158:CR160" si="1211">+CQ158</f>
        <v>325.38</v>
      </c>
      <c r="CS158" s="24">
        <f t="shared" ref="CS158:CS160" si="1212">+CR158</f>
        <v>325.38</v>
      </c>
      <c r="CT158" s="24">
        <f t="shared" ref="CT158:CT160" si="1213">+CS158</f>
        <v>325.38</v>
      </c>
      <c r="CU158" s="24">
        <f t="shared" ref="CU158:CU160" si="1214">+CT158</f>
        <v>325.38</v>
      </c>
      <c r="CV158" s="24">
        <f t="shared" ref="CV158:CV160" si="1215">+CU158</f>
        <v>325.38</v>
      </c>
      <c r="CW158" s="24">
        <f t="shared" ref="CW158:CW160" si="1216">+CV158</f>
        <v>325.38</v>
      </c>
      <c r="CX158" s="24">
        <f t="shared" ref="CX158:CX160" si="1217">+CW158</f>
        <v>325.38</v>
      </c>
      <c r="CY158" s="24">
        <f t="shared" ref="CY158:CY160" si="1218">+CX158</f>
        <v>325.38</v>
      </c>
      <c r="CZ158" s="24">
        <f t="shared" ref="CZ158:CZ160" si="1219">+CY158</f>
        <v>325.38</v>
      </c>
      <c r="DA158" s="24">
        <f t="shared" ref="DA158:DA160" si="1220">+CZ158</f>
        <v>325.38</v>
      </c>
      <c r="DB158" s="24">
        <f t="shared" ref="DB158:DB160" si="1221">+DA158</f>
        <v>325.38</v>
      </c>
      <c r="DE158" s="123"/>
      <c r="DF158" s="23">
        <v>314.95999999999998</v>
      </c>
    </row>
    <row r="159" spans="1:110" s="23" customFormat="1" outlineLevel="1" x14ac:dyDescent="0.2">
      <c r="A159" s="23" t="s">
        <v>55</v>
      </c>
      <c r="B159" s="23">
        <f>'Annual Raw'!C68</f>
        <v>0</v>
      </c>
      <c r="C159" s="23">
        <f>'Annual Raw'!D68</f>
        <v>0</v>
      </c>
      <c r="D159" s="23">
        <f>'Annual Raw'!E68</f>
        <v>0</v>
      </c>
      <c r="E159" s="23">
        <f>'Annual Raw'!F68</f>
        <v>0</v>
      </c>
      <c r="F159" s="23">
        <f>'Annual Raw'!G68</f>
        <v>0</v>
      </c>
      <c r="G159" s="23">
        <f>'Annual Raw'!H68</f>
        <v>0</v>
      </c>
      <c r="H159" s="23">
        <f>'Annual Raw'!I68</f>
        <v>0</v>
      </c>
      <c r="I159" s="23">
        <f>'Annual Raw'!J68</f>
        <v>0</v>
      </c>
      <c r="J159" s="23">
        <f>'Annual Raw'!K68</f>
        <v>0</v>
      </c>
      <c r="K159" s="23">
        <f>'Annual Raw'!L68</f>
        <v>0</v>
      </c>
      <c r="L159" s="23">
        <f>'Annual Raw'!M68</f>
        <v>0</v>
      </c>
      <c r="M159" s="23">
        <f>'Annual Raw'!N68</f>
        <v>0</v>
      </c>
      <c r="N159" s="23">
        <f>'Annual Raw'!O68</f>
        <v>0</v>
      </c>
      <c r="O159" s="23">
        <f>'Annual Raw'!P68</f>
        <v>0</v>
      </c>
      <c r="P159" s="23">
        <f>'Annual Raw'!Q68</f>
        <v>0</v>
      </c>
      <c r="Q159" s="23">
        <f>'Annual Raw'!R68</f>
        <v>0</v>
      </c>
      <c r="R159" s="23">
        <f>'Annual Raw'!S68</f>
        <v>0</v>
      </c>
      <c r="S159" s="23">
        <f>'Annual Raw'!T68</f>
        <v>0</v>
      </c>
      <c r="T159" s="23">
        <f>'Annual Raw'!U68</f>
        <v>0</v>
      </c>
      <c r="U159" s="23">
        <f>'Annual Raw'!V68</f>
        <v>0</v>
      </c>
      <c r="V159" s="23">
        <f>'Annual Raw'!W68</f>
        <v>0</v>
      </c>
      <c r="W159" s="23">
        <f>'Annual Raw'!X68</f>
        <v>0</v>
      </c>
      <c r="X159" s="23">
        <f>'Annual Raw'!Y68</f>
        <v>0</v>
      </c>
      <c r="Y159" s="23">
        <f>'Annual Raw'!Z68</f>
        <v>9.32</v>
      </c>
      <c r="Z159" s="23">
        <f>'Annual Raw'!AA68</f>
        <v>3.18</v>
      </c>
      <c r="AA159" s="23">
        <f>'Annual Raw'!AB68</f>
        <v>0</v>
      </c>
      <c r="AB159" s="24">
        <f t="shared" si="1185"/>
        <v>0</v>
      </c>
      <c r="AC159" s="24">
        <f t="shared" si="1186"/>
        <v>0</v>
      </c>
      <c r="AD159" s="24">
        <f t="shared" si="1187"/>
        <v>0</v>
      </c>
      <c r="AE159" s="24">
        <f t="shared" si="1188"/>
        <v>0</v>
      </c>
      <c r="AK159" s="23">
        <f t="shared" si="1204"/>
        <v>0</v>
      </c>
      <c r="AM159" s="23">
        <f t="shared" si="1204"/>
        <v>0</v>
      </c>
      <c r="AO159" s="23">
        <f t="shared" si="1204"/>
        <v>0</v>
      </c>
      <c r="AQ159" s="23">
        <f t="shared" si="1204"/>
        <v>0</v>
      </c>
      <c r="AS159" s="23">
        <f t="shared" si="1204"/>
        <v>0</v>
      </c>
      <c r="AU159" s="23">
        <f t="shared" si="1204"/>
        <v>0</v>
      </c>
      <c r="AW159" s="23">
        <f t="shared" si="1204"/>
        <v>0</v>
      </c>
      <c r="AY159" s="23">
        <f t="shared" si="1204"/>
        <v>0</v>
      </c>
      <c r="BA159" s="23">
        <f t="shared" si="1204"/>
        <v>0</v>
      </c>
      <c r="BC159" s="23">
        <f t="shared" si="1204"/>
        <v>0</v>
      </c>
      <c r="BE159" s="23">
        <f t="shared" si="1204"/>
        <v>0</v>
      </c>
      <c r="BG159" s="23">
        <f t="shared" si="1204"/>
        <v>0</v>
      </c>
      <c r="BI159" s="23">
        <f t="shared" si="1204"/>
        <v>0</v>
      </c>
      <c r="BK159" s="23">
        <f t="shared" si="1204"/>
        <v>0</v>
      </c>
      <c r="BM159" s="23">
        <f t="shared" si="1204"/>
        <v>0</v>
      </c>
      <c r="BO159" s="23">
        <f t="shared" si="1204"/>
        <v>0</v>
      </c>
      <c r="BQ159" s="23">
        <f t="shared" si="1204"/>
        <v>0</v>
      </c>
      <c r="BS159" s="23">
        <f t="shared" si="1204"/>
        <v>0</v>
      </c>
      <c r="BU159" s="23">
        <f t="shared" si="1204"/>
        <v>0</v>
      </c>
      <c r="BW159" s="23">
        <f t="shared" si="1204"/>
        <v>0</v>
      </c>
      <c r="BY159" s="23">
        <f t="shared" si="1204"/>
        <v>0</v>
      </c>
      <c r="CA159" s="23">
        <f t="shared" si="1204"/>
        <v>0</v>
      </c>
      <c r="CC159" s="23">
        <f t="shared" si="1204"/>
        <v>0</v>
      </c>
      <c r="CE159" s="23">
        <f t="shared" si="1204"/>
        <v>0</v>
      </c>
      <c r="CG159" s="23">
        <f t="shared" si="1202"/>
        <v>0</v>
      </c>
      <c r="CH159" s="23">
        <f t="shared" si="1189"/>
        <v>3.18</v>
      </c>
      <c r="CI159" s="23">
        <f t="shared" si="1202"/>
        <v>3.18</v>
      </c>
      <c r="CK159" s="23">
        <f t="shared" si="1205"/>
        <v>0</v>
      </c>
      <c r="CM159" s="24">
        <f t="shared" si="1206"/>
        <v>0</v>
      </c>
      <c r="CN159" s="24">
        <f t="shared" si="1207"/>
        <v>0</v>
      </c>
      <c r="CO159" s="24">
        <f t="shared" si="1208"/>
        <v>0</v>
      </c>
      <c r="CP159" s="24">
        <f t="shared" si="1209"/>
        <v>0</v>
      </c>
      <c r="CQ159" s="24">
        <f t="shared" si="1210"/>
        <v>0</v>
      </c>
      <c r="CR159" s="24">
        <f t="shared" si="1211"/>
        <v>0</v>
      </c>
      <c r="CS159" s="24">
        <f t="shared" si="1212"/>
        <v>0</v>
      </c>
      <c r="CT159" s="24">
        <f t="shared" si="1213"/>
        <v>0</v>
      </c>
      <c r="CU159" s="24">
        <f t="shared" si="1214"/>
        <v>0</v>
      </c>
      <c r="CV159" s="24">
        <f t="shared" si="1215"/>
        <v>0</v>
      </c>
      <c r="CW159" s="24">
        <f t="shared" si="1216"/>
        <v>0</v>
      </c>
      <c r="CX159" s="24">
        <f t="shared" si="1217"/>
        <v>0</v>
      </c>
      <c r="CY159" s="24">
        <f t="shared" si="1218"/>
        <v>0</v>
      </c>
      <c r="CZ159" s="24">
        <f t="shared" si="1219"/>
        <v>0</v>
      </c>
      <c r="DA159" s="24">
        <f t="shared" si="1220"/>
        <v>0</v>
      </c>
      <c r="DB159" s="24">
        <f t="shared" si="1221"/>
        <v>0</v>
      </c>
      <c r="DE159" s="123"/>
      <c r="DF159" s="23">
        <v>0</v>
      </c>
    </row>
    <row r="160" spans="1:110" s="23" customFormat="1" outlineLevel="1" x14ac:dyDescent="0.2">
      <c r="A160" s="23" t="s">
        <v>56</v>
      </c>
      <c r="B160" s="23">
        <f>'Annual Raw'!C67+'Annual Raw'!C66+'Annual Raw'!C69+'Annual Raw'!C70</f>
        <v>0</v>
      </c>
      <c r="C160" s="23">
        <f>'Annual Raw'!D67+'Annual Raw'!D66+'Annual Raw'!D69+'Annual Raw'!D70</f>
        <v>0</v>
      </c>
      <c r="D160" s="23">
        <f>'Annual Raw'!E67+'Annual Raw'!E66+'Annual Raw'!E69+'Annual Raw'!E70</f>
        <v>0.18</v>
      </c>
      <c r="E160" s="23">
        <f>'Annual Raw'!F67+'Annual Raw'!F66+'Annual Raw'!F69+'Annual Raw'!F70</f>
        <v>62.527000000000001</v>
      </c>
      <c r="F160" s="23">
        <f>'Annual Raw'!G67+'Annual Raw'!G66+'Annual Raw'!G69+'Annual Raw'!G70</f>
        <v>30.244</v>
      </c>
      <c r="G160" s="23">
        <f>'Annual Raw'!H67+'Annual Raw'!H66+'Annual Raw'!H69+'Annual Raw'!H70</f>
        <v>1.381</v>
      </c>
      <c r="H160" s="23">
        <f>'Annual Raw'!I67+'Annual Raw'!I66+'Annual Raw'!I69+'Annual Raw'!I70</f>
        <v>1.1359999999999999</v>
      </c>
      <c r="I160" s="23">
        <f>'Annual Raw'!J67+'Annual Raw'!J66+'Annual Raw'!J69+'Annual Raw'!J70</f>
        <v>17.852</v>
      </c>
      <c r="J160" s="23">
        <f>'Annual Raw'!K67+'Annual Raw'!K66+'Annual Raw'!K69+'Annual Raw'!K70</f>
        <v>62.481999999999999</v>
      </c>
      <c r="K160" s="23">
        <f>'Annual Raw'!L67+'Annual Raw'!L66+'Annual Raw'!L69+'Annual Raw'!L70</f>
        <v>140.19399999999999</v>
      </c>
      <c r="L160" s="23">
        <f>'Annual Raw'!M67+'Annual Raw'!M66+'Annual Raw'!M69+'Annual Raw'!M70</f>
        <v>37.723999999999997</v>
      </c>
      <c r="M160" s="23">
        <f>'Annual Raw'!N67+'Annual Raw'!N66+'Annual Raw'!N69+'Annual Raw'!N70</f>
        <v>207.79900000000001</v>
      </c>
      <c r="N160" s="23">
        <f>'Annual Raw'!O67+'Annual Raw'!O66+'Annual Raw'!O69+'Annual Raw'!O70</f>
        <v>102.89400000000001</v>
      </c>
      <c r="O160" s="23">
        <f>'Annual Raw'!P67+'Annual Raw'!P66+'Annual Raw'!P69+'Annual Raw'!P70</f>
        <v>59.125</v>
      </c>
      <c r="P160" s="23">
        <f>'Annual Raw'!Q67+'Annual Raw'!Q66+'Annual Raw'!Q69+'Annual Raw'!Q70</f>
        <v>107.56</v>
      </c>
      <c r="Q160" s="23">
        <f>'Annual Raw'!R67+'Annual Raw'!R66+'Annual Raw'!R69+'Annual Raw'!R70</f>
        <v>138.97800000000001</v>
      </c>
      <c r="R160" s="23">
        <f>'Annual Raw'!S67+'Annual Raw'!S66+'Annual Raw'!S69+'Annual Raw'!S70</f>
        <v>70.418999999999997</v>
      </c>
      <c r="S160" s="23">
        <f>'Annual Raw'!T67+'Annual Raw'!T66+'Annual Raw'!T69+'Annual Raw'!T70</f>
        <v>443.08499999999998</v>
      </c>
      <c r="T160" s="23">
        <f>'Annual Raw'!U67+'Annual Raw'!U66+'Annual Raw'!U69+'Annual Raw'!U70</f>
        <v>570.38699999999994</v>
      </c>
      <c r="U160" s="23">
        <f>'Annual Raw'!V67+'Annual Raw'!V66+'Annual Raw'!V69+'Annual Raw'!V70</f>
        <v>324.89299999999997</v>
      </c>
      <c r="V160" s="23">
        <f>'Annual Raw'!W67+'Annual Raw'!W66+'Annual Raw'!W69+'Annual Raw'!W70</f>
        <v>530.53</v>
      </c>
      <c r="W160" s="23">
        <f>'Annual Raw'!X67+'Annual Raw'!X66+'Annual Raw'!X69+'Annual Raw'!X70</f>
        <v>275.18</v>
      </c>
      <c r="X160" s="23">
        <f>'Annual Raw'!Y67+'Annual Raw'!Y66+'Annual Raw'!Y69+'Annual Raw'!Y70</f>
        <v>323.95999999999998</v>
      </c>
      <c r="Y160" s="23">
        <f>'Annual Raw'!Z67+'Annual Raw'!Z66+'Annual Raw'!Z69+'Annual Raw'!Z70</f>
        <v>869.53</v>
      </c>
      <c r="Z160" s="23">
        <f>'Annual Raw'!AA67+'Annual Raw'!AA66+'Annual Raw'!AA69+'Annual Raw'!AA70</f>
        <v>1056.3399999999999</v>
      </c>
      <c r="AA160" s="23">
        <f>'Annual Raw'!AB67+'Annual Raw'!AB66+'Annual Raw'!AB69+'Annual Raw'!AB70</f>
        <v>442.83</v>
      </c>
      <c r="AB160" s="24">
        <f t="shared" si="1185"/>
        <v>442.83</v>
      </c>
      <c r="AC160" s="24">
        <f t="shared" si="1186"/>
        <v>442.83</v>
      </c>
      <c r="AD160" s="24">
        <f t="shared" si="1187"/>
        <v>442.83</v>
      </c>
      <c r="AE160" s="24">
        <f t="shared" si="1188"/>
        <v>442.83</v>
      </c>
      <c r="AJ160" s="23">
        <f>+'QTR Raw'!D74+'QTR Raw'!D75</f>
        <v>0</v>
      </c>
      <c r="AK160" s="23">
        <f t="shared" si="1204"/>
        <v>0</v>
      </c>
      <c r="AL160" s="23">
        <f>+'QTR Raw'!F74+'QTR Raw'!F75</f>
        <v>0</v>
      </c>
      <c r="AM160" s="23">
        <f t="shared" si="1204"/>
        <v>0</v>
      </c>
      <c r="AN160" s="23">
        <f>+'QTR Raw'!H74+'QTR Raw'!H75</f>
        <v>0</v>
      </c>
      <c r="AO160" s="23">
        <f t="shared" si="1204"/>
        <v>0</v>
      </c>
      <c r="AP160" s="23">
        <f>+'QTR Raw'!J74+'QTR Raw'!J75</f>
        <v>0</v>
      </c>
      <c r="AQ160" s="23">
        <f t="shared" si="1204"/>
        <v>0</v>
      </c>
      <c r="AR160" s="23">
        <f>+'QTR Raw'!L74+'QTR Raw'!L75</f>
        <v>0</v>
      </c>
      <c r="AS160" s="23">
        <f t="shared" si="1204"/>
        <v>0</v>
      </c>
      <c r="AT160" s="23">
        <f>+'QTR Raw'!N74+'QTR Raw'!N75</f>
        <v>0</v>
      </c>
      <c r="AU160" s="23">
        <f t="shared" si="1204"/>
        <v>0</v>
      </c>
      <c r="AV160" s="23">
        <f>+'QTR Raw'!P74+'QTR Raw'!P75</f>
        <v>0</v>
      </c>
      <c r="AW160" s="23">
        <f t="shared" si="1204"/>
        <v>0</v>
      </c>
      <c r="AX160" s="23">
        <f>+'QTR Raw'!R74+'QTR Raw'!R75</f>
        <v>0</v>
      </c>
      <c r="AY160" s="23">
        <f t="shared" si="1204"/>
        <v>0</v>
      </c>
      <c r="AZ160" s="23">
        <f>+'QTR Raw'!T74+'QTR Raw'!T75</f>
        <v>0</v>
      </c>
      <c r="BA160" s="23">
        <f t="shared" si="1204"/>
        <v>0</v>
      </c>
      <c r="BB160" s="23">
        <f>+'QTR Raw'!V74+'QTR Raw'!V75</f>
        <v>0</v>
      </c>
      <c r="BC160" s="23">
        <f t="shared" si="1204"/>
        <v>0</v>
      </c>
      <c r="BD160" s="23">
        <f>+'QTR Raw'!X74+'QTR Raw'!X75</f>
        <v>0</v>
      </c>
      <c r="BE160" s="23">
        <f t="shared" si="1204"/>
        <v>0</v>
      </c>
      <c r="BF160" s="23">
        <f>+'QTR Raw'!Z74+'QTR Raw'!Z75</f>
        <v>0</v>
      </c>
      <c r="BG160" s="23">
        <f t="shared" si="1204"/>
        <v>0</v>
      </c>
      <c r="BH160" s="23">
        <f>+'QTR Raw'!AB74+'QTR Raw'!AB75</f>
        <v>0</v>
      </c>
      <c r="BI160" s="23">
        <f t="shared" si="1204"/>
        <v>0</v>
      </c>
      <c r="BJ160" s="23">
        <f>+'QTR Raw'!AD74+'QTR Raw'!AD75</f>
        <v>0</v>
      </c>
      <c r="BK160" s="23">
        <f t="shared" si="1204"/>
        <v>0</v>
      </c>
      <c r="BL160" s="23">
        <f>+'QTR Raw'!AF74+'QTR Raw'!AF75</f>
        <v>0</v>
      </c>
      <c r="BM160" s="23">
        <f t="shared" si="1204"/>
        <v>0</v>
      </c>
      <c r="BN160" s="23">
        <f>+'QTR Raw'!AH74+'QTR Raw'!AH75</f>
        <v>0</v>
      </c>
      <c r="BO160" s="23">
        <f t="shared" si="1204"/>
        <v>0</v>
      </c>
      <c r="BP160" s="23">
        <f>+'QTR Raw'!AJ74+'QTR Raw'!AJ75</f>
        <v>0</v>
      </c>
      <c r="BQ160" s="23">
        <f t="shared" si="1204"/>
        <v>0</v>
      </c>
      <c r="BR160" s="23">
        <f>+'QTR Raw'!AL74+'QTR Raw'!AL75</f>
        <v>530.53</v>
      </c>
      <c r="BS160" s="23">
        <f t="shared" si="1204"/>
        <v>530.53</v>
      </c>
      <c r="BT160" s="23">
        <f>+'QTR Raw'!AN74+'QTR Raw'!AN75</f>
        <v>0</v>
      </c>
      <c r="BU160" s="23">
        <f t="shared" si="1204"/>
        <v>0</v>
      </c>
      <c r="BV160" s="23">
        <f>+'QTR Raw'!AP74+'QTR Raw'!AP75</f>
        <v>275.18</v>
      </c>
      <c r="BW160" s="23">
        <f t="shared" si="1204"/>
        <v>275.18</v>
      </c>
      <c r="BX160" s="23">
        <f>+'QTR Raw'!AR74+'QTR Raw'!AR75</f>
        <v>257.41000000000003</v>
      </c>
      <c r="BY160" s="23">
        <f t="shared" si="1204"/>
        <v>257.41000000000003</v>
      </c>
      <c r="BZ160" s="23">
        <f>+'QTR Raw'!AT74+'QTR Raw'!AT75</f>
        <v>323.95999999999998</v>
      </c>
      <c r="CA160" s="23">
        <f t="shared" si="1204"/>
        <v>323.95999999999998</v>
      </c>
      <c r="CB160" s="23">
        <f>+'QTR Raw'!AV74+'QTR Raw'!AV75</f>
        <v>724.27</v>
      </c>
      <c r="CC160" s="23">
        <f t="shared" si="1204"/>
        <v>724.27</v>
      </c>
      <c r="CD160" s="23">
        <f>+'QTR Raw'!AX74+'QTR Raw'!AX75</f>
        <v>869.53</v>
      </c>
      <c r="CE160" s="23">
        <f t="shared" si="1204"/>
        <v>869.53</v>
      </c>
      <c r="CF160" s="23">
        <f>+'QTR Raw'!AZ74+'QTR Raw'!AZ75</f>
        <v>1091.6600000000001</v>
      </c>
      <c r="CG160" s="23">
        <f t="shared" si="1202"/>
        <v>1091.6600000000001</v>
      </c>
      <c r="CH160" s="23">
        <f t="shared" si="1189"/>
        <v>1056.3399999999999</v>
      </c>
      <c r="CI160" s="23">
        <f t="shared" si="1202"/>
        <v>1056.3399999999999</v>
      </c>
      <c r="CJ160" s="23">
        <f>+'QTR Raw'!BD74+'QTR Raw'!BD75</f>
        <v>746.36</v>
      </c>
      <c r="CK160" s="23">
        <f t="shared" si="1205"/>
        <v>746.36</v>
      </c>
      <c r="CL160" s="23">
        <f>+'QTR Raw'!BF74+'QTR Raw'!BF75</f>
        <v>442.83</v>
      </c>
      <c r="CM160" s="24">
        <f t="shared" si="1206"/>
        <v>442.83</v>
      </c>
      <c r="CN160" s="24">
        <f t="shared" si="1207"/>
        <v>442.83</v>
      </c>
      <c r="CO160" s="24">
        <f t="shared" si="1208"/>
        <v>442.83</v>
      </c>
      <c r="CP160" s="24">
        <f t="shared" si="1209"/>
        <v>442.83</v>
      </c>
      <c r="CQ160" s="24">
        <f t="shared" si="1210"/>
        <v>442.83</v>
      </c>
      <c r="CR160" s="24">
        <f t="shared" si="1211"/>
        <v>442.83</v>
      </c>
      <c r="CS160" s="24">
        <f t="shared" si="1212"/>
        <v>442.83</v>
      </c>
      <c r="CT160" s="24">
        <f t="shared" si="1213"/>
        <v>442.83</v>
      </c>
      <c r="CU160" s="24">
        <f t="shared" si="1214"/>
        <v>442.83</v>
      </c>
      <c r="CV160" s="24">
        <f t="shared" si="1215"/>
        <v>442.83</v>
      </c>
      <c r="CW160" s="24">
        <f t="shared" si="1216"/>
        <v>442.83</v>
      </c>
      <c r="CX160" s="24">
        <f t="shared" si="1217"/>
        <v>442.83</v>
      </c>
      <c r="CY160" s="24">
        <f t="shared" si="1218"/>
        <v>442.83</v>
      </c>
      <c r="CZ160" s="24">
        <f t="shared" si="1219"/>
        <v>442.83</v>
      </c>
      <c r="DA160" s="24">
        <f t="shared" si="1220"/>
        <v>442.83</v>
      </c>
      <c r="DB160" s="24">
        <f t="shared" si="1221"/>
        <v>442.83</v>
      </c>
      <c r="DE160" s="123"/>
      <c r="DF160" s="23">
        <v>746.36</v>
      </c>
    </row>
    <row r="161" spans="1:110" s="22" customFormat="1" x14ac:dyDescent="0.2">
      <c r="A161" s="22" t="s">
        <v>57</v>
      </c>
      <c r="B161" s="22">
        <f>B157+B160+B159</f>
        <v>0</v>
      </c>
      <c r="C161" s="22">
        <f t="shared" ref="C161:D161" si="1222">C157+C160+C159</f>
        <v>0</v>
      </c>
      <c r="D161" s="22">
        <f t="shared" si="1222"/>
        <v>80.51100000000001</v>
      </c>
      <c r="E161" s="22">
        <f t="shared" ref="E161:Y161" si="1223">E157+E160+E159+E158</f>
        <v>149.12700000000001</v>
      </c>
      <c r="F161" s="22">
        <f t="shared" si="1223"/>
        <v>245.67600000000002</v>
      </c>
      <c r="G161" s="22">
        <f t="shared" si="1223"/>
        <v>280.66199999999998</v>
      </c>
      <c r="H161" s="22">
        <f t="shared" si="1223"/>
        <v>267.19500000000005</v>
      </c>
      <c r="I161" s="22">
        <f t="shared" si="1223"/>
        <v>278.22899999999998</v>
      </c>
      <c r="J161" s="22">
        <f t="shared" si="1223"/>
        <v>410.61099999999999</v>
      </c>
      <c r="K161" s="22">
        <f t="shared" si="1223"/>
        <v>588.84799999999996</v>
      </c>
      <c r="L161" s="22">
        <f t="shared" si="1223"/>
        <v>657.5920000000001</v>
      </c>
      <c r="M161" s="22">
        <f t="shared" si="1223"/>
        <v>881.50800000000004</v>
      </c>
      <c r="N161" s="22">
        <f t="shared" si="1223"/>
        <v>1332.0540000000001</v>
      </c>
      <c r="O161" s="22">
        <f t="shared" si="1223"/>
        <v>1733.3529999999998</v>
      </c>
      <c r="P161" s="22">
        <f t="shared" si="1223"/>
        <v>1795.7670000000003</v>
      </c>
      <c r="Q161" s="22">
        <f t="shared" si="1223"/>
        <v>2078.6879999999996</v>
      </c>
      <c r="R161" s="22">
        <f t="shared" si="1223"/>
        <v>2020.5480000000002</v>
      </c>
      <c r="S161" s="22">
        <f t="shared" si="1223"/>
        <v>2715.797</v>
      </c>
      <c r="T161" s="22">
        <f t="shared" si="1223"/>
        <v>3524.04</v>
      </c>
      <c r="U161" s="22">
        <f t="shared" si="1223"/>
        <v>4082.7550000000001</v>
      </c>
      <c r="V161" s="22">
        <f t="shared" si="1223"/>
        <v>4233.03</v>
      </c>
      <c r="W161" s="22">
        <f t="shared" si="1223"/>
        <v>4876.03</v>
      </c>
      <c r="X161" s="22">
        <f t="shared" si="1223"/>
        <v>5117.3100000000004</v>
      </c>
      <c r="Y161" s="22">
        <f t="shared" si="1223"/>
        <v>5799.7999999999993</v>
      </c>
      <c r="Z161" s="22">
        <f>Z157+Z160+Z159+Z158</f>
        <v>6540.17</v>
      </c>
      <c r="AA161" s="22">
        <f>AA157+AA160+AA159+AA158</f>
        <v>7585.4500000000016</v>
      </c>
      <c r="AB161" s="156">
        <f t="shared" ref="AB161:AE161" si="1224">AB157+AB160+AB159+AB158</f>
        <v>6564.816520793448</v>
      </c>
      <c r="AC161" s="156">
        <f t="shared" si="1224"/>
        <v>6180.5851623135759</v>
      </c>
      <c r="AD161" s="156">
        <f t="shared" si="1224"/>
        <v>5821.8227978580007</v>
      </c>
      <c r="AE161" s="156">
        <f t="shared" si="1224"/>
        <v>5486.8412006792323</v>
      </c>
      <c r="AJ161" s="22">
        <f t="shared" ref="AJ161" si="1225">AJ157+AJ160+AJ158+AJ159</f>
        <v>0</v>
      </c>
      <c r="AK161" s="22">
        <f t="shared" ref="AK161" si="1226">AK157+AK160+AK158+AK159</f>
        <v>0</v>
      </c>
      <c r="AL161" s="22">
        <f t="shared" ref="AL161:AM161" si="1227">AL157+AL160+AL158+AL159</f>
        <v>0</v>
      </c>
      <c r="AM161" s="22">
        <f t="shared" si="1227"/>
        <v>0</v>
      </c>
      <c r="AN161" s="22">
        <f t="shared" ref="AN161:AO161" si="1228">AN157+AN160+AN158+AN159</f>
        <v>0</v>
      </c>
      <c r="AO161" s="22">
        <f t="shared" si="1228"/>
        <v>0</v>
      </c>
      <c r="AP161" s="22">
        <f t="shared" ref="AP161:CE161" si="1229">AP157+AP160+AP158+AP159</f>
        <v>0</v>
      </c>
      <c r="AQ161" s="22">
        <f t="shared" si="1229"/>
        <v>0</v>
      </c>
      <c r="AR161" s="22">
        <f t="shared" si="1229"/>
        <v>0</v>
      </c>
      <c r="AS161" s="22">
        <f t="shared" si="1229"/>
        <v>0</v>
      </c>
      <c r="AT161" s="22">
        <f t="shared" si="1229"/>
        <v>0</v>
      </c>
      <c r="AU161" s="22">
        <f t="shared" si="1229"/>
        <v>0</v>
      </c>
      <c r="AV161" s="22">
        <f t="shared" si="1229"/>
        <v>0</v>
      </c>
      <c r="AW161" s="22">
        <f t="shared" si="1229"/>
        <v>0</v>
      </c>
      <c r="AX161" s="22">
        <f t="shared" si="1229"/>
        <v>0</v>
      </c>
      <c r="AY161" s="22">
        <f t="shared" si="1229"/>
        <v>0</v>
      </c>
      <c r="AZ161" s="22">
        <f t="shared" si="1229"/>
        <v>0</v>
      </c>
      <c r="BA161" s="22">
        <f t="shared" si="1229"/>
        <v>0</v>
      </c>
      <c r="BB161" s="22">
        <f t="shared" si="1229"/>
        <v>0</v>
      </c>
      <c r="BC161" s="22">
        <f t="shared" si="1229"/>
        <v>0</v>
      </c>
      <c r="BD161" s="22">
        <f t="shared" si="1229"/>
        <v>0</v>
      </c>
      <c r="BE161" s="22">
        <f t="shared" si="1229"/>
        <v>0</v>
      </c>
      <c r="BF161" s="22">
        <f t="shared" si="1229"/>
        <v>0</v>
      </c>
      <c r="BG161" s="22">
        <f t="shared" si="1229"/>
        <v>0</v>
      </c>
      <c r="BH161" s="22">
        <f t="shared" si="1229"/>
        <v>0</v>
      </c>
      <c r="BI161" s="22">
        <f t="shared" si="1229"/>
        <v>0</v>
      </c>
      <c r="BJ161" s="22">
        <f t="shared" si="1229"/>
        <v>0</v>
      </c>
      <c r="BK161" s="22">
        <f t="shared" si="1229"/>
        <v>0</v>
      </c>
      <c r="BL161" s="22">
        <f t="shared" si="1229"/>
        <v>0</v>
      </c>
      <c r="BM161" s="22">
        <f t="shared" si="1229"/>
        <v>0</v>
      </c>
      <c r="BN161" s="22">
        <f t="shared" si="1229"/>
        <v>0</v>
      </c>
      <c r="BO161" s="22">
        <f t="shared" si="1229"/>
        <v>0</v>
      </c>
      <c r="BP161" s="22">
        <f t="shared" si="1229"/>
        <v>0</v>
      </c>
      <c r="BQ161" s="22">
        <f t="shared" si="1229"/>
        <v>0</v>
      </c>
      <c r="BR161" s="22">
        <f t="shared" si="1229"/>
        <v>4011.1800000000003</v>
      </c>
      <c r="BS161" s="22">
        <f t="shared" si="1229"/>
        <v>4011.1800000000003</v>
      </c>
      <c r="BT161" s="22">
        <f t="shared" si="1229"/>
        <v>0</v>
      </c>
      <c r="BU161" s="22">
        <f t="shared" si="1229"/>
        <v>0</v>
      </c>
      <c r="BV161" s="22">
        <f t="shared" si="1229"/>
        <v>4630.5200000000004</v>
      </c>
      <c r="BW161" s="22">
        <f t="shared" si="1229"/>
        <v>4630.5200000000004</v>
      </c>
      <c r="BX161" s="22">
        <f t="shared" si="1229"/>
        <v>4727.6499999999996</v>
      </c>
      <c r="BY161" s="22">
        <f t="shared" si="1229"/>
        <v>4727.6499999999996</v>
      </c>
      <c r="BZ161" s="22">
        <f t="shared" si="1229"/>
        <v>4835.67</v>
      </c>
      <c r="CA161" s="22">
        <f t="shared" si="1229"/>
        <v>4835.67</v>
      </c>
      <c r="CB161" s="22">
        <f t="shared" si="1229"/>
        <v>5141.4799999999996</v>
      </c>
      <c r="CC161" s="22">
        <f t="shared" si="1229"/>
        <v>5141.4799999999996</v>
      </c>
      <c r="CD161" s="22">
        <f t="shared" si="1229"/>
        <v>5486.45</v>
      </c>
      <c r="CE161" s="22">
        <f t="shared" si="1229"/>
        <v>5486.45</v>
      </c>
      <c r="CF161" s="22">
        <f t="shared" ref="CF161:CG161" si="1230">CF157+CF160+CF158+CF159</f>
        <v>5851.77</v>
      </c>
      <c r="CG161" s="22">
        <f t="shared" si="1230"/>
        <v>5851.77</v>
      </c>
      <c r="CH161" s="22">
        <f t="shared" ref="CH161:CJ161" si="1231">CH157+CH160+CH158+CH159</f>
        <v>6540.17</v>
      </c>
      <c r="CI161" s="22">
        <f t="shared" si="1231"/>
        <v>6437.42</v>
      </c>
      <c r="CJ161" s="22">
        <f t="shared" si="1231"/>
        <v>6964</v>
      </c>
      <c r="CK161" s="22">
        <f t="shared" ref="CK161:DB161" si="1232">CK157+CK160+CK158+CK159</f>
        <v>6852.84</v>
      </c>
      <c r="CL161" s="22">
        <f t="shared" si="1232"/>
        <v>7106.39</v>
      </c>
      <c r="CM161" s="21">
        <f t="shared" si="1232"/>
        <v>6966.4284976310191</v>
      </c>
      <c r="CN161" s="21">
        <f t="shared" si="1232"/>
        <v>6829.5576651618176</v>
      </c>
      <c r="CO161" s="21">
        <f t="shared" si="1232"/>
        <v>6695.7092535362781</v>
      </c>
      <c r="CP161" s="21">
        <f t="shared" si="1232"/>
        <v>6564.816520793448</v>
      </c>
      <c r="CQ161" s="21">
        <f t="shared" si="1232"/>
        <v>6466.2742099399593</v>
      </c>
      <c r="CR161" s="21">
        <f t="shared" si="1232"/>
        <v>6369.4071183709793</v>
      </c>
      <c r="CS161" s="21">
        <f t="shared" si="1232"/>
        <v>6274.186767358673</v>
      </c>
      <c r="CT161" s="21">
        <f t="shared" si="1232"/>
        <v>6180.5851623135759</v>
      </c>
      <c r="CU161" s="21">
        <f t="shared" si="1232"/>
        <v>6088.5747845542446</v>
      </c>
      <c r="CV161" s="21">
        <f t="shared" si="1232"/>
        <v>5998.1285832168223</v>
      </c>
      <c r="CW161" s="21">
        <f t="shared" si="1232"/>
        <v>5909.219967302136</v>
      </c>
      <c r="CX161" s="21">
        <f t="shared" si="1232"/>
        <v>5821.8227978580007</v>
      </c>
      <c r="CY161" s="21">
        <f t="shared" si="1232"/>
        <v>5735.9113802944148</v>
      </c>
      <c r="CZ161" s="21">
        <f t="shared" si="1232"/>
        <v>5651.4604568294089</v>
      </c>
      <c r="DA161" s="21">
        <f t="shared" si="1232"/>
        <v>5568.4451990633088</v>
      </c>
      <c r="DB161" s="21">
        <f t="shared" si="1232"/>
        <v>5486.8412006792323</v>
      </c>
      <c r="DE161" s="126"/>
      <c r="DF161" s="22">
        <v>6743.7733788719706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58</v>
      </c>
      <c r="B163" s="23">
        <f>'Annual Raw'!C71</f>
        <v>0</v>
      </c>
      <c r="C163" s="23">
        <f>'Annual Raw'!D71</f>
        <v>0</v>
      </c>
      <c r="D163" s="23">
        <f>'Annual Raw'!E71</f>
        <v>2.0129999999999999</v>
      </c>
      <c r="E163" s="23">
        <f>'Annual Raw'!F71</f>
        <v>2.0139999999999998</v>
      </c>
      <c r="F163" s="23">
        <f>'Annual Raw'!G71</f>
        <v>2.0169999999999999</v>
      </c>
      <c r="G163" s="23">
        <f>'Annual Raw'!H71</f>
        <v>2.0110000000000001</v>
      </c>
      <c r="H163" s="23">
        <f>'Annual Raw'!I71</f>
        <v>2.0110000000000001</v>
      </c>
      <c r="I163" s="23">
        <f>'Annual Raw'!J71</f>
        <v>2.0089999999999999</v>
      </c>
      <c r="J163" s="23">
        <f>'Annual Raw'!K71</f>
        <v>2.0070000000000001</v>
      </c>
      <c r="K163" s="23">
        <f>'Annual Raw'!L71</f>
        <v>24.792999999999999</v>
      </c>
      <c r="L163" s="23">
        <f>'Annual Raw'!M71</f>
        <v>107.158</v>
      </c>
      <c r="M163" s="23">
        <f>'Annual Raw'!N71</f>
        <v>156.90199999999999</v>
      </c>
      <c r="N163" s="23">
        <f>'Annual Raw'!O71</f>
        <v>132.63300000000001</v>
      </c>
      <c r="O163" s="23">
        <f>'Annual Raw'!P71</f>
        <v>2.7E-2</v>
      </c>
      <c r="P163" s="23">
        <f>'Annual Raw'!Q71</f>
        <v>3.9140000000000001</v>
      </c>
      <c r="Q163" s="23">
        <f>'Annual Raw'!R71</f>
        <v>5.2160000000000002</v>
      </c>
      <c r="R163" s="23">
        <f>'Annual Raw'!S71</f>
        <v>85.724999999999994</v>
      </c>
      <c r="S163" s="23">
        <f>'Annual Raw'!T71</f>
        <v>125.943</v>
      </c>
      <c r="T163" s="23">
        <f>'Annual Raw'!U71</f>
        <v>147.821</v>
      </c>
      <c r="U163" s="23">
        <f>'Annual Raw'!V71</f>
        <v>206.01599999999999</v>
      </c>
      <c r="V163" s="23">
        <f>'Annual Raw'!W71</f>
        <v>282.07</v>
      </c>
      <c r="W163" s="23">
        <f>'Annual Raw'!X71</f>
        <v>312.05</v>
      </c>
      <c r="X163" s="23">
        <f>'Annual Raw'!Y71</f>
        <v>342.09</v>
      </c>
      <c r="Y163" s="23">
        <f>'Annual Raw'!Z71</f>
        <v>311.58999999999997</v>
      </c>
      <c r="Z163" s="23">
        <f>'Annual Raw'!AA71</f>
        <v>373.72</v>
      </c>
      <c r="AA163" s="23">
        <f>'Annual Raw'!AB71</f>
        <v>428.22</v>
      </c>
      <c r="AB163" s="24">
        <f>+CP163</f>
        <v>428.22</v>
      </c>
      <c r="AC163" s="24">
        <f>+CT163</f>
        <v>428.22</v>
      </c>
      <c r="AD163" s="24">
        <f>+CX163</f>
        <v>428.22</v>
      </c>
      <c r="AE163" s="24">
        <f>+DB163</f>
        <v>428.22</v>
      </c>
      <c r="AJ163" s="23">
        <f>+'QTR Raw'!D77</f>
        <v>0</v>
      </c>
      <c r="AK163" s="23">
        <f t="shared" ref="AK163:CE163" si="1233">+AJ163</f>
        <v>0</v>
      </c>
      <c r="AL163" s="23">
        <f>+'QTR Raw'!F77</f>
        <v>0</v>
      </c>
      <c r="AM163" s="23">
        <f t="shared" si="1233"/>
        <v>0</v>
      </c>
      <c r="AN163" s="23">
        <f>+'QTR Raw'!H77</f>
        <v>0</v>
      </c>
      <c r="AO163" s="23">
        <f t="shared" si="1233"/>
        <v>0</v>
      </c>
      <c r="AP163" s="23">
        <f>+'QTR Raw'!J77</f>
        <v>0</v>
      </c>
      <c r="AQ163" s="23">
        <f t="shared" si="1233"/>
        <v>0</v>
      </c>
      <c r="AR163" s="23">
        <f>+'QTR Raw'!L77</f>
        <v>0</v>
      </c>
      <c r="AS163" s="23">
        <f t="shared" si="1233"/>
        <v>0</v>
      </c>
      <c r="AT163" s="23">
        <f>+'QTR Raw'!N77</f>
        <v>0</v>
      </c>
      <c r="AU163" s="23">
        <f t="shared" si="1233"/>
        <v>0</v>
      </c>
      <c r="AV163" s="23">
        <f>+'QTR Raw'!P77</f>
        <v>0</v>
      </c>
      <c r="AW163" s="23">
        <f t="shared" si="1233"/>
        <v>0</v>
      </c>
      <c r="AX163" s="23">
        <f>+'QTR Raw'!R77</f>
        <v>0</v>
      </c>
      <c r="AY163" s="23">
        <f t="shared" si="1233"/>
        <v>0</v>
      </c>
      <c r="AZ163" s="23">
        <f>+'QTR Raw'!T77</f>
        <v>0</v>
      </c>
      <c r="BA163" s="23">
        <f t="shared" si="1233"/>
        <v>0</v>
      </c>
      <c r="BB163" s="23">
        <f>+'QTR Raw'!V77</f>
        <v>0</v>
      </c>
      <c r="BC163" s="23">
        <f t="shared" si="1233"/>
        <v>0</v>
      </c>
      <c r="BD163" s="23">
        <f>+'QTR Raw'!X77</f>
        <v>0</v>
      </c>
      <c r="BE163" s="23">
        <f t="shared" si="1233"/>
        <v>0</v>
      </c>
      <c r="BF163" s="23">
        <f>+'QTR Raw'!Z77</f>
        <v>0</v>
      </c>
      <c r="BG163" s="23">
        <f t="shared" si="1233"/>
        <v>0</v>
      </c>
      <c r="BH163" s="23">
        <f>+'QTR Raw'!AB77</f>
        <v>0</v>
      </c>
      <c r="BI163" s="23">
        <f t="shared" si="1233"/>
        <v>0</v>
      </c>
      <c r="BJ163" s="23">
        <f>+'QTR Raw'!AD77</f>
        <v>0</v>
      </c>
      <c r="BK163" s="23">
        <f t="shared" si="1233"/>
        <v>0</v>
      </c>
      <c r="BL163" s="23">
        <f>+'QTR Raw'!AF77</f>
        <v>0</v>
      </c>
      <c r="BM163" s="23">
        <f t="shared" si="1233"/>
        <v>0</v>
      </c>
      <c r="BN163" s="23">
        <f>+'QTR Raw'!AH77</f>
        <v>0</v>
      </c>
      <c r="BO163" s="23">
        <f t="shared" si="1233"/>
        <v>0</v>
      </c>
      <c r="BP163" s="23">
        <f>+'QTR Raw'!AJ77</f>
        <v>0</v>
      </c>
      <c r="BQ163" s="23">
        <f t="shared" si="1233"/>
        <v>0</v>
      </c>
      <c r="BR163" s="23">
        <f>+'QTR Raw'!AL77</f>
        <v>282.07</v>
      </c>
      <c r="BS163" s="23">
        <f t="shared" si="1233"/>
        <v>282.07</v>
      </c>
      <c r="BT163" s="23">
        <f>+'QTR Raw'!AN77</f>
        <v>0</v>
      </c>
      <c r="BU163" s="23">
        <f t="shared" si="1233"/>
        <v>0</v>
      </c>
      <c r="BV163" s="23">
        <f>+'QTR Raw'!AP77</f>
        <v>312.05</v>
      </c>
      <c r="BW163" s="23">
        <f t="shared" si="1233"/>
        <v>312.05</v>
      </c>
      <c r="BX163" s="23">
        <f>+'QTR Raw'!AR77</f>
        <v>322.62</v>
      </c>
      <c r="BY163" s="23">
        <f t="shared" si="1233"/>
        <v>322.62</v>
      </c>
      <c r="BZ163" s="23">
        <f>+'QTR Raw'!AT77</f>
        <v>342.09</v>
      </c>
      <c r="CA163" s="23">
        <f t="shared" si="1233"/>
        <v>342.09</v>
      </c>
      <c r="CB163" s="23">
        <f>+'QTR Raw'!AV77</f>
        <v>315.02</v>
      </c>
      <c r="CC163" s="23">
        <f t="shared" si="1233"/>
        <v>315.02</v>
      </c>
      <c r="CD163" s="23">
        <f>+'QTR Raw'!AX77</f>
        <v>311.58999999999997</v>
      </c>
      <c r="CE163" s="23">
        <f t="shared" si="1233"/>
        <v>311.58999999999997</v>
      </c>
      <c r="CF163" s="23">
        <f>+'QTR Raw'!AZ77</f>
        <v>342.26</v>
      </c>
      <c r="CG163" s="23">
        <f t="shared" ref="CG163:CI166" si="1234">+CF163</f>
        <v>342.26</v>
      </c>
      <c r="CH163" s="23">
        <f t="shared" ref="CH163:CH178" si="1235">Z163</f>
        <v>373.72</v>
      </c>
      <c r="CI163" s="23">
        <f t="shared" si="1234"/>
        <v>373.72</v>
      </c>
      <c r="CJ163" s="23">
        <f>+'QTR Raw'!BD77</f>
        <v>397.17</v>
      </c>
      <c r="CK163" s="23">
        <f t="shared" ref="CK163" si="1236">+CJ163</f>
        <v>397.17</v>
      </c>
      <c r="CL163" s="23">
        <f>+'QTR Raw'!BF77</f>
        <v>428.22</v>
      </c>
      <c r="CM163" s="24">
        <f t="shared" ref="CM163" si="1237">+CL163</f>
        <v>428.22</v>
      </c>
      <c r="CN163" s="24">
        <f t="shared" ref="CN163" si="1238">+CM163</f>
        <v>428.22</v>
      </c>
      <c r="CO163" s="24">
        <f t="shared" ref="CO163" si="1239">+CN163</f>
        <v>428.22</v>
      </c>
      <c r="CP163" s="24">
        <f t="shared" ref="CP163" si="1240">+CO163</f>
        <v>428.22</v>
      </c>
      <c r="CQ163" s="24">
        <f t="shared" ref="CQ163" si="1241">+CP163</f>
        <v>428.22</v>
      </c>
      <c r="CR163" s="24">
        <f t="shared" ref="CR163" si="1242">+CQ163</f>
        <v>428.22</v>
      </c>
      <c r="CS163" s="24">
        <f t="shared" ref="CS163" si="1243">+CR163</f>
        <v>428.22</v>
      </c>
      <c r="CT163" s="24">
        <f t="shared" ref="CT163" si="1244">+CS163</f>
        <v>428.22</v>
      </c>
      <c r="CU163" s="24">
        <f t="shared" ref="CU163" si="1245">+CT163</f>
        <v>428.22</v>
      </c>
      <c r="CV163" s="24">
        <f t="shared" ref="CV163" si="1246">+CU163</f>
        <v>428.22</v>
      </c>
      <c r="CW163" s="24">
        <f t="shared" ref="CW163" si="1247">+CV163</f>
        <v>428.22</v>
      </c>
      <c r="CX163" s="24">
        <f t="shared" ref="CX163" si="1248">+CW163</f>
        <v>428.22</v>
      </c>
      <c r="CY163" s="24">
        <f t="shared" ref="CY163" si="1249">+CX163</f>
        <v>428.22</v>
      </c>
      <c r="CZ163" s="24">
        <f t="shared" ref="CZ163" si="1250">+CY163</f>
        <v>428.22</v>
      </c>
      <c r="DA163" s="24">
        <f t="shared" ref="DA163" si="1251">+CZ163</f>
        <v>428.22</v>
      </c>
      <c r="DB163" s="24">
        <f t="shared" ref="DB163" si="1252">+DA163</f>
        <v>428.22</v>
      </c>
      <c r="DE163" s="123"/>
      <c r="DF163" s="23">
        <v>397.17</v>
      </c>
    </row>
    <row r="164" spans="1:110" s="23" customFormat="1" x14ac:dyDescent="0.2">
      <c r="AB164" s="24"/>
      <c r="AC164" s="24"/>
      <c r="AD164" s="24"/>
      <c r="AE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</row>
    <row r="165" spans="1:110" s="23" customFormat="1" outlineLevel="1" x14ac:dyDescent="0.2">
      <c r="A165" s="23" t="s">
        <v>59</v>
      </c>
      <c r="B165" s="23">
        <f>'Annual Raw'!C72</f>
        <v>0</v>
      </c>
      <c r="C165" s="23">
        <f>'Annual Raw'!D72</f>
        <v>0</v>
      </c>
      <c r="D165" s="23">
        <f>'Annual Raw'!E72</f>
        <v>0</v>
      </c>
      <c r="E165" s="23">
        <f>'Annual Raw'!F72+'Annual Raw'!F61</f>
        <v>0</v>
      </c>
      <c r="F165" s="23">
        <f>'Annual Raw'!G72+'Annual Raw'!G61</f>
        <v>0</v>
      </c>
      <c r="G165" s="23">
        <f>'Annual Raw'!H72+'Annual Raw'!H61</f>
        <v>0</v>
      </c>
      <c r="H165" s="23">
        <f>'Annual Raw'!I72+'Annual Raw'!I61</f>
        <v>0</v>
      </c>
      <c r="I165" s="23">
        <f>'Annual Raw'!J72+'Annual Raw'!J61</f>
        <v>0</v>
      </c>
      <c r="J165" s="23">
        <f>'Annual Raw'!K72+'Annual Raw'!K61</f>
        <v>0</v>
      </c>
      <c r="K165" s="23">
        <f>'Annual Raw'!L72+'Annual Raw'!L61</f>
        <v>0</v>
      </c>
      <c r="L165" s="23">
        <f>'Annual Raw'!M72+'Annual Raw'!M61</f>
        <v>133.744</v>
      </c>
      <c r="M165" s="23">
        <f>'Annual Raw'!N72+'Annual Raw'!N61</f>
        <v>151.96</v>
      </c>
      <c r="N165" s="23">
        <f>'Annual Raw'!O72+'Annual Raw'!O61</f>
        <v>108.39100000000001</v>
      </c>
      <c r="O165" s="23">
        <f>'Annual Raw'!P72+'Annual Raw'!P61</f>
        <v>129.98599999999999</v>
      </c>
      <c r="P165" s="23">
        <f>'Annual Raw'!Q72+'Annual Raw'!Q61</f>
        <v>156.489</v>
      </c>
      <c r="Q165" s="23">
        <f>'Annual Raw'!R72+'Annual Raw'!R61</f>
        <v>187.32599999999999</v>
      </c>
      <c r="R165" s="23">
        <f>'Annual Raw'!S72+'Annual Raw'!S61</f>
        <v>65.081000000000003</v>
      </c>
      <c r="S165" s="23">
        <f>'Annual Raw'!T72+'Annual Raw'!T61</f>
        <v>136.84200000000001</v>
      </c>
      <c r="T165" s="23">
        <f>'Annual Raw'!U72+'Annual Raw'!U61</f>
        <v>211.19900000000001</v>
      </c>
      <c r="U165" s="23">
        <f>'Annual Raw'!V72+'Annual Raw'!V61</f>
        <v>139.72999999999999</v>
      </c>
      <c r="V165" s="23">
        <f>'Annual Raw'!W72+'Annual Raw'!W61</f>
        <v>90</v>
      </c>
      <c r="W165" s="23">
        <f>'Annual Raw'!X72+'Annual Raw'!X61</f>
        <v>733.43</v>
      </c>
      <c r="X165" s="23">
        <f>'Annual Raw'!Y72+'Annual Raw'!Y61</f>
        <v>968.69</v>
      </c>
      <c r="Y165" s="23">
        <f>'Annual Raw'!Z72+'Annual Raw'!Z61</f>
        <v>886.41</v>
      </c>
      <c r="Z165" s="23">
        <f>'Annual Raw'!AA72+'Annual Raw'!AA61</f>
        <v>836.22</v>
      </c>
      <c r="AA165" s="23">
        <f>'Annual Raw'!AB72+'Annual Raw'!AB61</f>
        <v>1022.92</v>
      </c>
      <c r="AB165" s="24">
        <f t="shared" ref="AB165:AB170" si="1253">+CP165</f>
        <v>0</v>
      </c>
      <c r="AC165" s="24">
        <f t="shared" ref="AC165:AC170" si="1254">+CT165</f>
        <v>0</v>
      </c>
      <c r="AD165" s="24">
        <f t="shared" ref="AD165:AD170" si="1255">+CX165</f>
        <v>0</v>
      </c>
      <c r="AE165" s="24">
        <f t="shared" ref="AE165:AE170" si="1256">+DB165</f>
        <v>0</v>
      </c>
      <c r="AJ165" s="23">
        <f>+'QTR Raw'!D78</f>
        <v>0</v>
      </c>
      <c r="AK165" s="23">
        <f t="shared" ref="AK165:CE170" si="1257">+AJ165</f>
        <v>0</v>
      </c>
      <c r="AL165" s="23">
        <f>+'QTR Raw'!F78</f>
        <v>0</v>
      </c>
      <c r="AM165" s="23">
        <f t="shared" si="1257"/>
        <v>0</v>
      </c>
      <c r="AN165" s="23">
        <f>+'QTR Raw'!H78</f>
        <v>0</v>
      </c>
      <c r="AO165" s="23">
        <f t="shared" si="1257"/>
        <v>0</v>
      </c>
      <c r="AP165" s="23">
        <f>+'QTR Raw'!J78</f>
        <v>0</v>
      </c>
      <c r="AQ165" s="23">
        <f t="shared" si="1257"/>
        <v>0</v>
      </c>
      <c r="AR165" s="23">
        <f>+'QTR Raw'!L78</f>
        <v>0</v>
      </c>
      <c r="AS165" s="23">
        <f t="shared" si="1257"/>
        <v>0</v>
      </c>
      <c r="AT165" s="23">
        <f>+'QTR Raw'!N78</f>
        <v>0</v>
      </c>
      <c r="AU165" s="23">
        <f t="shared" si="1257"/>
        <v>0</v>
      </c>
      <c r="AV165" s="23">
        <f>+'QTR Raw'!P78</f>
        <v>0</v>
      </c>
      <c r="AW165" s="23">
        <f t="shared" si="1257"/>
        <v>0</v>
      </c>
      <c r="AX165" s="23">
        <f>+'QTR Raw'!R78</f>
        <v>0</v>
      </c>
      <c r="AY165" s="23">
        <f t="shared" si="1257"/>
        <v>0</v>
      </c>
      <c r="AZ165" s="23">
        <f>+'QTR Raw'!T78</f>
        <v>0</v>
      </c>
      <c r="BA165" s="23">
        <f t="shared" si="1257"/>
        <v>0</v>
      </c>
      <c r="BB165" s="23">
        <f>+'QTR Raw'!V78</f>
        <v>0</v>
      </c>
      <c r="BC165" s="23">
        <f t="shared" si="1257"/>
        <v>0</v>
      </c>
      <c r="BD165" s="23">
        <f>+'QTR Raw'!X78</f>
        <v>0</v>
      </c>
      <c r="BE165" s="23">
        <f t="shared" si="1257"/>
        <v>0</v>
      </c>
      <c r="BF165" s="23">
        <f>+'QTR Raw'!Z78</f>
        <v>0</v>
      </c>
      <c r="BG165" s="23">
        <f t="shared" si="1257"/>
        <v>0</v>
      </c>
      <c r="BH165" s="23">
        <f>+'QTR Raw'!AB78</f>
        <v>0</v>
      </c>
      <c r="BI165" s="23">
        <f t="shared" si="1257"/>
        <v>0</v>
      </c>
      <c r="BJ165" s="23">
        <f>+'QTR Raw'!AD78</f>
        <v>0</v>
      </c>
      <c r="BK165" s="23">
        <f t="shared" si="1257"/>
        <v>0</v>
      </c>
      <c r="BL165" s="23">
        <f>+'QTR Raw'!AF78</f>
        <v>0</v>
      </c>
      <c r="BM165" s="23">
        <f t="shared" si="1257"/>
        <v>0</v>
      </c>
      <c r="BN165" s="23">
        <f>+'QTR Raw'!AH78</f>
        <v>0</v>
      </c>
      <c r="BO165" s="23">
        <f t="shared" si="1257"/>
        <v>0</v>
      </c>
      <c r="BP165" s="23">
        <f>+'QTR Raw'!AJ78</f>
        <v>0</v>
      </c>
      <c r="BQ165" s="23">
        <f t="shared" si="1257"/>
        <v>0</v>
      </c>
      <c r="BR165" s="23">
        <f>+'QTR Raw'!AL78</f>
        <v>0</v>
      </c>
      <c r="BS165" s="23">
        <f t="shared" si="1257"/>
        <v>0</v>
      </c>
      <c r="BT165" s="23">
        <f>+'QTR Raw'!AN78</f>
        <v>0</v>
      </c>
      <c r="BU165" s="23">
        <f t="shared" si="1257"/>
        <v>0</v>
      </c>
      <c r="BV165" s="23">
        <f>+'QTR Raw'!AP78</f>
        <v>0</v>
      </c>
      <c r="BW165" s="23">
        <f t="shared" si="1257"/>
        <v>0</v>
      </c>
      <c r="BX165" s="23">
        <f>+'QTR Raw'!AR78</f>
        <v>0</v>
      </c>
      <c r="BY165" s="23">
        <f t="shared" si="1257"/>
        <v>0</v>
      </c>
      <c r="BZ165" s="23">
        <f>+'QTR Raw'!AT78</f>
        <v>49.05</v>
      </c>
      <c r="CA165" s="23">
        <f t="shared" si="1257"/>
        <v>49.05</v>
      </c>
      <c r="CB165" s="23">
        <f>+'QTR Raw'!AV78</f>
        <v>14.55</v>
      </c>
      <c r="CC165" s="23">
        <f t="shared" si="1257"/>
        <v>14.55</v>
      </c>
      <c r="CD165" s="23">
        <f>+'QTR Raw'!AX78</f>
        <v>0</v>
      </c>
      <c r="CE165" s="23">
        <f t="shared" si="1257"/>
        <v>0</v>
      </c>
      <c r="CF165" s="23">
        <f>+'QTR Raw'!AZ78</f>
        <v>34.5</v>
      </c>
      <c r="CG165" s="23">
        <f t="shared" si="1234"/>
        <v>34.5</v>
      </c>
      <c r="CH165" s="23">
        <f t="shared" si="1235"/>
        <v>836.22</v>
      </c>
      <c r="CJ165" s="23">
        <f>+'QTR Raw'!BD78</f>
        <v>32.5</v>
      </c>
      <c r="CL165" s="23">
        <f>+'QTR Raw'!BF78</f>
        <v>31.33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31.33</v>
      </c>
    </row>
    <row r="166" spans="1:110" s="23" customFormat="1" outlineLevel="1" x14ac:dyDescent="0.2">
      <c r="A166" s="23" t="s">
        <v>60</v>
      </c>
      <c r="B166" s="23">
        <f>'Annual Raw'!C73+'Annual Raw'!C81</f>
        <v>0</v>
      </c>
      <c r="C166" s="23">
        <f>'Annual Raw'!D73+'Annual Raw'!D81</f>
        <v>0</v>
      </c>
      <c r="D166" s="23">
        <f>'Annual Raw'!E73+'Annual Raw'!E81</f>
        <v>0</v>
      </c>
      <c r="E166" s="23">
        <f>'Annual Raw'!F73+'Annual Raw'!F81</f>
        <v>0</v>
      </c>
      <c r="F166" s="23">
        <f>'Annual Raw'!G73+'Annual Raw'!G81</f>
        <v>0</v>
      </c>
      <c r="G166" s="23">
        <f>'Annual Raw'!H73+'Annual Raw'!H81</f>
        <v>0</v>
      </c>
      <c r="H166" s="23">
        <f>'Annual Raw'!I73+'Annual Raw'!I81</f>
        <v>0</v>
      </c>
      <c r="I166" s="23">
        <f>'Annual Raw'!J73+'Annual Raw'!J81</f>
        <v>0</v>
      </c>
      <c r="J166" s="23">
        <f>'Annual Raw'!K73+'Annual Raw'!K81</f>
        <v>0</v>
      </c>
      <c r="K166" s="23">
        <f>'Annual Raw'!L73+'Annual Raw'!L81</f>
        <v>0</v>
      </c>
      <c r="L166" s="23">
        <f>'Annual Raw'!M73+'Annual Raw'!M81</f>
        <v>0.64900000000000002</v>
      </c>
      <c r="M166" s="23">
        <f>'Annual Raw'!N73+'Annual Raw'!N81</f>
        <v>1.0429999999999999</v>
      </c>
      <c r="N166" s="23">
        <f>'Annual Raw'!O73+'Annual Raw'!O81</f>
        <v>1.1279999999999999</v>
      </c>
      <c r="O166" s="23">
        <f>'Annual Raw'!P73+'Annual Raw'!P81</f>
        <v>67.197999999999993</v>
      </c>
      <c r="P166" s="23">
        <f>'Annual Raw'!Q73+'Annual Raw'!Q81</f>
        <v>53.802</v>
      </c>
      <c r="Q166" s="23">
        <f>'Annual Raw'!R73+'Annual Raw'!R81</f>
        <v>163.518</v>
      </c>
      <c r="R166" s="23">
        <f>'Annual Raw'!S73+'Annual Raw'!S81</f>
        <v>55.601999999999997</v>
      </c>
      <c r="S166" s="23">
        <f>'Annual Raw'!T73+'Annual Raw'!T81</f>
        <v>27.954999999999998</v>
      </c>
      <c r="T166" s="23">
        <f>'Annual Raw'!U73+'Annual Raw'!U81</f>
        <v>15.375999999999999</v>
      </c>
      <c r="U166" s="23">
        <f>'Annual Raw'!V73+'Annual Raw'!V81</f>
        <v>25.879000000000001</v>
      </c>
      <c r="V166" s="23">
        <f>'Annual Raw'!W73+'Annual Raw'!W81</f>
        <v>15.25</v>
      </c>
      <c r="W166" s="23">
        <f>'Annual Raw'!X73+'Annual Raw'!X81</f>
        <v>13.62</v>
      </c>
      <c r="X166" s="23">
        <f>'Annual Raw'!Y73+'Annual Raw'!Y81</f>
        <v>18.62</v>
      </c>
      <c r="Y166" s="23">
        <f>'Annual Raw'!Z73+'Annual Raw'!Z81</f>
        <v>60.91</v>
      </c>
      <c r="Z166" s="23">
        <f>'Annual Raw'!AA73+'Annual Raw'!AA81</f>
        <v>46.65</v>
      </c>
      <c r="AA166" s="23">
        <f>'Annual Raw'!AB73+'Annual Raw'!AB81</f>
        <v>43.29</v>
      </c>
      <c r="AB166" s="24">
        <f t="shared" si="1253"/>
        <v>0</v>
      </c>
      <c r="AC166" s="24">
        <f t="shared" si="1254"/>
        <v>0</v>
      </c>
      <c r="AD166" s="24">
        <f t="shared" si="1255"/>
        <v>0</v>
      </c>
      <c r="AE166" s="24">
        <f t="shared" si="1256"/>
        <v>0</v>
      </c>
      <c r="AJ166" s="23">
        <f>+'QTR Raw'!D79+'QTR Raw'!D76</f>
        <v>0</v>
      </c>
      <c r="AK166" s="23">
        <f t="shared" si="1257"/>
        <v>0</v>
      </c>
      <c r="AL166" s="23">
        <f>+'QTR Raw'!F79+'QTR Raw'!F76</f>
        <v>0</v>
      </c>
      <c r="AM166" s="23">
        <f t="shared" si="1257"/>
        <v>0</v>
      </c>
      <c r="AN166" s="23">
        <f>+'QTR Raw'!H79+'QTR Raw'!H76</f>
        <v>0</v>
      </c>
      <c r="AO166" s="23">
        <f t="shared" si="1257"/>
        <v>0</v>
      </c>
      <c r="AP166" s="23">
        <f>+'QTR Raw'!J79+'QTR Raw'!J76</f>
        <v>0</v>
      </c>
      <c r="AQ166" s="23">
        <f t="shared" si="1257"/>
        <v>0</v>
      </c>
      <c r="AR166" s="23">
        <f>+'QTR Raw'!L79+'QTR Raw'!L76</f>
        <v>0</v>
      </c>
      <c r="AS166" s="23">
        <f t="shared" si="1257"/>
        <v>0</v>
      </c>
      <c r="AT166" s="23">
        <f>+'QTR Raw'!N79+'QTR Raw'!N76</f>
        <v>0</v>
      </c>
      <c r="AU166" s="23">
        <f t="shared" si="1257"/>
        <v>0</v>
      </c>
      <c r="AV166" s="23">
        <f>+'QTR Raw'!P79+'QTR Raw'!P76</f>
        <v>0</v>
      </c>
      <c r="AW166" s="23">
        <f t="shared" si="1257"/>
        <v>0</v>
      </c>
      <c r="AX166" s="23">
        <f>+'QTR Raw'!R79+'QTR Raw'!R76</f>
        <v>0</v>
      </c>
      <c r="AY166" s="23">
        <f t="shared" si="1257"/>
        <v>0</v>
      </c>
      <c r="AZ166" s="23">
        <f>+'QTR Raw'!T79+'QTR Raw'!T76</f>
        <v>0</v>
      </c>
      <c r="BA166" s="23">
        <f t="shared" si="1257"/>
        <v>0</v>
      </c>
      <c r="BB166" s="23">
        <f>+'QTR Raw'!V79+'QTR Raw'!V76</f>
        <v>0</v>
      </c>
      <c r="BC166" s="23">
        <f t="shared" si="1257"/>
        <v>0</v>
      </c>
      <c r="BD166" s="23">
        <f>+'QTR Raw'!X79+'QTR Raw'!X76</f>
        <v>0</v>
      </c>
      <c r="BE166" s="23">
        <f t="shared" si="1257"/>
        <v>0</v>
      </c>
      <c r="BF166" s="23">
        <f>+'QTR Raw'!Z79+'QTR Raw'!Z76</f>
        <v>0</v>
      </c>
      <c r="BG166" s="23">
        <f t="shared" si="1257"/>
        <v>0</v>
      </c>
      <c r="BH166" s="23">
        <f>+'QTR Raw'!AB79+'QTR Raw'!AB76</f>
        <v>0</v>
      </c>
      <c r="BI166" s="23">
        <f t="shared" si="1257"/>
        <v>0</v>
      </c>
      <c r="BJ166" s="23">
        <f>+'QTR Raw'!AD79+'QTR Raw'!AD76</f>
        <v>0</v>
      </c>
      <c r="BK166" s="23">
        <f t="shared" si="1257"/>
        <v>0</v>
      </c>
      <c r="BL166" s="23">
        <f>+'QTR Raw'!AF79+'QTR Raw'!AF76</f>
        <v>0</v>
      </c>
      <c r="BM166" s="23">
        <f t="shared" si="1257"/>
        <v>0</v>
      </c>
      <c r="BN166" s="23">
        <f>+'QTR Raw'!AH79+'QTR Raw'!AH76</f>
        <v>0</v>
      </c>
      <c r="BO166" s="23">
        <f t="shared" si="1257"/>
        <v>0</v>
      </c>
      <c r="BP166" s="23">
        <f>+'QTR Raw'!AJ79+'QTR Raw'!AJ76</f>
        <v>0</v>
      </c>
      <c r="BQ166" s="23">
        <f t="shared" si="1257"/>
        <v>0</v>
      </c>
      <c r="BR166" s="23">
        <f>+'QTR Raw'!AL79+'QTR Raw'!AL76</f>
        <v>327.10000000000002</v>
      </c>
      <c r="BS166" s="23">
        <f t="shared" si="1257"/>
        <v>327.10000000000002</v>
      </c>
      <c r="BT166" s="23">
        <f>+'QTR Raw'!AN79+'QTR Raw'!AN76</f>
        <v>0</v>
      </c>
      <c r="BU166" s="23">
        <f t="shared" si="1257"/>
        <v>0</v>
      </c>
      <c r="BV166" s="23">
        <f>+'QTR Raw'!AP79+'QTR Raw'!AP76</f>
        <v>992.56</v>
      </c>
      <c r="BW166" s="23">
        <f t="shared" si="1257"/>
        <v>992.56</v>
      </c>
      <c r="BX166" s="23">
        <f>+'QTR Raw'!AR79+'QTR Raw'!AR76</f>
        <v>1182.4000000000001</v>
      </c>
      <c r="BY166" s="23">
        <f t="shared" si="1257"/>
        <v>1182.4000000000001</v>
      </c>
      <c r="BZ166" s="23">
        <f>+'QTR Raw'!AT79+'QTR Raw'!AT76</f>
        <v>1219.9000000000001</v>
      </c>
      <c r="CA166" s="23">
        <f t="shared" si="1257"/>
        <v>1219.9000000000001</v>
      </c>
      <c r="CB166" s="23">
        <f>+'QTR Raw'!AV79+'QTR Raw'!AV76</f>
        <v>1440.1</v>
      </c>
      <c r="CC166" s="23">
        <f t="shared" si="1257"/>
        <v>1440.1</v>
      </c>
      <c r="CD166" s="23">
        <f>+'QTR Raw'!AX79+'QTR Raw'!AX76</f>
        <v>1260.67</v>
      </c>
      <c r="CE166" s="23">
        <f t="shared" si="1257"/>
        <v>1260.67</v>
      </c>
      <c r="CF166" s="23">
        <f>+'QTR Raw'!AZ79+'QTR Raw'!AZ76</f>
        <v>1284.77</v>
      </c>
      <c r="CG166" s="23">
        <f t="shared" si="1234"/>
        <v>1284.77</v>
      </c>
      <c r="CH166" s="23">
        <f t="shared" si="1235"/>
        <v>46.65</v>
      </c>
      <c r="CJ166" s="23">
        <f>+'QTR Raw'!BD79+'QTR Raw'!BD76</f>
        <v>1368.17</v>
      </c>
      <c r="CL166" s="23">
        <f>+'QTR Raw'!BF79+'QTR Raw'!BF76</f>
        <v>1513.94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1513.94</v>
      </c>
    </row>
    <row r="167" spans="1:110" s="23" customFormat="1" outlineLevel="1" x14ac:dyDescent="0.2">
      <c r="A167" s="23" t="s">
        <v>61</v>
      </c>
      <c r="B167" s="23">
        <f>'Annual Raw'!C76</f>
        <v>0</v>
      </c>
      <c r="C167" s="23">
        <f>'Annual Raw'!D76</f>
        <v>0</v>
      </c>
      <c r="D167" s="23">
        <f>'Annual Raw'!E76</f>
        <v>191.83600000000001</v>
      </c>
      <c r="E167" s="23">
        <f>'Annual Raw'!F76</f>
        <v>255.315</v>
      </c>
      <c r="F167" s="23">
        <f>'Annual Raw'!G76</f>
        <v>196.54900000000001</v>
      </c>
      <c r="G167" s="23">
        <f>'Annual Raw'!H76</f>
        <v>370.13499999999999</v>
      </c>
      <c r="H167" s="23">
        <f>'Annual Raw'!I76</f>
        <v>310.87299999999999</v>
      </c>
      <c r="I167" s="23">
        <f>'Annual Raw'!J76</f>
        <v>785.53499999999997</v>
      </c>
      <c r="J167" s="23">
        <f>'Annual Raw'!K76</f>
        <v>595.93700000000001</v>
      </c>
      <c r="K167" s="23">
        <f>'Annual Raw'!L76</f>
        <v>937.03899999999999</v>
      </c>
      <c r="L167" s="23">
        <f>'Annual Raw'!M76</f>
        <v>1496.2919999999999</v>
      </c>
      <c r="M167" s="23">
        <f>'Annual Raw'!N76</f>
        <v>1124.721</v>
      </c>
      <c r="N167" s="23">
        <f>'Annual Raw'!O76</f>
        <v>1407.7560000000001</v>
      </c>
      <c r="O167" s="23">
        <f>'Annual Raw'!P76</f>
        <v>1631.0450000000001</v>
      </c>
      <c r="P167" s="23">
        <f>'Annual Raw'!Q76</f>
        <v>1939.7249999999999</v>
      </c>
      <c r="Q167" s="23">
        <f>'Annual Raw'!R76</f>
        <v>2817.9650000000001</v>
      </c>
      <c r="R167" s="23">
        <f>'Annual Raw'!S76</f>
        <v>2965.0940000000001</v>
      </c>
      <c r="S167" s="23">
        <f>'Annual Raw'!T76</f>
        <v>3753.4549999999999</v>
      </c>
      <c r="T167" s="23">
        <f>'Annual Raw'!U76</f>
        <v>4046.8870000000002</v>
      </c>
      <c r="U167" s="23">
        <f>'Annual Raw'!V76</f>
        <v>3826.43</v>
      </c>
      <c r="V167" s="23">
        <f>'Annual Raw'!W76</f>
        <v>4777.71</v>
      </c>
      <c r="W167" s="23">
        <f>'Annual Raw'!X76</f>
        <v>7716.52</v>
      </c>
      <c r="X167" s="23">
        <f>'Annual Raw'!Y76</f>
        <v>7681.24</v>
      </c>
      <c r="Y167" s="23">
        <f>'Annual Raw'!Z76</f>
        <v>7203.8</v>
      </c>
      <c r="Z167" s="23">
        <f>'Annual Raw'!AA76</f>
        <v>8641.2800000000007</v>
      </c>
      <c r="AA167" s="23">
        <f>'Annual Raw'!AB76</f>
        <v>8190.72</v>
      </c>
      <c r="AB167" s="24">
        <f t="shared" si="1253"/>
        <v>8969.0723216409788</v>
      </c>
      <c r="AC167" s="24">
        <f t="shared" si="1254"/>
        <v>9321.3514124053509</v>
      </c>
      <c r="AD167" s="24">
        <f t="shared" si="1255"/>
        <v>10086.569185630073</v>
      </c>
      <c r="AE167" s="24">
        <f t="shared" si="1256"/>
        <v>10922.276423156591</v>
      </c>
      <c r="AJ167" s="23">
        <f>+'QTR Raw'!D81</f>
        <v>0</v>
      </c>
      <c r="AK167" s="23" t="e">
        <f>+AK202*AK33/90</f>
        <v>#DIV/0!</v>
      </c>
      <c r="AL167" s="23">
        <f>+'QTR Raw'!F81</f>
        <v>0</v>
      </c>
      <c r="AM167" s="23" t="e">
        <f>+AM202*AM33/90</f>
        <v>#DIV/0!</v>
      </c>
      <c r="AN167" s="23">
        <f>+'QTR Raw'!H81</f>
        <v>0</v>
      </c>
      <c r="AO167" s="23" t="e">
        <f>+AO202*AO33/90</f>
        <v>#DIV/0!</v>
      </c>
      <c r="AP167" s="23">
        <f>+'QTR Raw'!J81</f>
        <v>0</v>
      </c>
      <c r="AQ167" s="23" t="e">
        <f>+AQ202*AQ33/90</f>
        <v>#DIV/0!</v>
      </c>
      <c r="AR167" s="23">
        <f>+'QTR Raw'!L81</f>
        <v>0</v>
      </c>
      <c r="AS167" s="23" t="e">
        <f>+AS202*AS33/90</f>
        <v>#DIV/0!</v>
      </c>
      <c r="AT167" s="23">
        <f>+'QTR Raw'!N81</f>
        <v>0</v>
      </c>
      <c r="AU167" s="23" t="e">
        <f>+AU202*AU33/90</f>
        <v>#DIV/0!</v>
      </c>
      <c r="AV167" s="23">
        <f>+'QTR Raw'!P81</f>
        <v>0</v>
      </c>
      <c r="AW167" s="23" t="e">
        <f>+AW202*AW33/90</f>
        <v>#DIV/0!</v>
      </c>
      <c r="AX167" s="23">
        <f>+'QTR Raw'!R81</f>
        <v>0</v>
      </c>
      <c r="AY167" s="23" t="e">
        <f>+AY202*AY33/90</f>
        <v>#DIV/0!</v>
      </c>
      <c r="AZ167" s="23">
        <f>+'QTR Raw'!T81</f>
        <v>0</v>
      </c>
      <c r="BA167" s="23" t="e">
        <f>+BA202*BA33/90</f>
        <v>#DIV/0!</v>
      </c>
      <c r="BB167" s="23">
        <f>+'QTR Raw'!V81</f>
        <v>0</v>
      </c>
      <c r="BC167" s="23" t="e">
        <f>+BC202*BC33/90</f>
        <v>#DIV/0!</v>
      </c>
      <c r="BD167" s="23">
        <f>+'QTR Raw'!X81</f>
        <v>0</v>
      </c>
      <c r="BE167" s="23" t="e">
        <f>+BE202*BE33/90</f>
        <v>#DIV/0!</v>
      </c>
      <c r="BF167" s="23">
        <f>+'QTR Raw'!Z81</f>
        <v>0</v>
      </c>
      <c r="BG167" s="23" t="e">
        <f>+BG202*BG33/90</f>
        <v>#DIV/0!</v>
      </c>
      <c r="BH167" s="23">
        <f>+'QTR Raw'!AB81</f>
        <v>0</v>
      </c>
      <c r="BI167" s="23" t="e">
        <f>+BI202*BI33/90</f>
        <v>#DIV/0!</v>
      </c>
      <c r="BJ167" s="23">
        <f>+'QTR Raw'!AD81</f>
        <v>0</v>
      </c>
      <c r="BK167" s="23" t="e">
        <f>+BK202*BK33/90</f>
        <v>#DIV/0!</v>
      </c>
      <c r="BL167" s="23">
        <f>+'QTR Raw'!AF81</f>
        <v>0</v>
      </c>
      <c r="BM167" s="23" t="e">
        <f>+BM202*BM33/90</f>
        <v>#DIV/0!</v>
      </c>
      <c r="BN167" s="23">
        <f>+'QTR Raw'!AH81</f>
        <v>0</v>
      </c>
      <c r="BO167" s="23" t="e">
        <f>+BO202*BO33/90</f>
        <v>#DIV/0!</v>
      </c>
      <c r="BP167" s="23">
        <f>+'QTR Raw'!AJ81</f>
        <v>0</v>
      </c>
      <c r="BQ167" s="23" t="e">
        <f>+BQ202*BQ33/90</f>
        <v>#DIV/0!</v>
      </c>
      <c r="BR167" s="23">
        <f>+'QTR Raw'!AL81</f>
        <v>4777.71</v>
      </c>
      <c r="BS167" s="23">
        <f>+BS202*BS33/90</f>
        <v>5064.0545736642571</v>
      </c>
      <c r="BT167" s="23">
        <f>+'QTR Raw'!AN81</f>
        <v>0</v>
      </c>
      <c r="BU167" s="23">
        <f>+BU202*BU33/90</f>
        <v>0</v>
      </c>
      <c r="BV167" s="23">
        <f>+'QTR Raw'!AP81</f>
        <v>7716.52</v>
      </c>
      <c r="BW167" s="23">
        <f>+BW202*BW33/90</f>
        <v>7616.5954717421309</v>
      </c>
      <c r="BX167" s="23">
        <f>+'QTR Raw'!AR81</f>
        <v>7206.98</v>
      </c>
      <c r="BY167" s="23">
        <f>+BY202*BY33/90</f>
        <v>7863.0022402072636</v>
      </c>
      <c r="BZ167" s="23">
        <f>+'QTR Raw'!AT81</f>
        <v>7681.24</v>
      </c>
      <c r="CA167" s="23">
        <f>+CA202*CA33/90</f>
        <v>7158.2399038106669</v>
      </c>
      <c r="CB167" s="23">
        <f>+'QTR Raw'!AV81</f>
        <v>7485.43</v>
      </c>
      <c r="CC167" s="23">
        <f>+CC202*CC33/90</f>
        <v>7827.8810314376205</v>
      </c>
      <c r="CD167" s="23">
        <f>+'QTR Raw'!AX81</f>
        <v>7203.8</v>
      </c>
      <c r="CE167" s="23">
        <f>+CE202*CE33/90</f>
        <v>7711.0198520286513</v>
      </c>
      <c r="CF167" s="23">
        <f>+'QTR Raw'!AZ81</f>
        <v>7977.77</v>
      </c>
      <c r="CG167" s="23">
        <f>+CG202*CG33/90</f>
        <v>9296.6858092282746</v>
      </c>
      <c r="CH167" s="23">
        <f t="shared" si="1235"/>
        <v>8641.2800000000007</v>
      </c>
      <c r="CI167" s="23">
        <f>+CI202*CI33/90</f>
        <v>8086.2252564100472</v>
      </c>
      <c r="CJ167" s="23">
        <f>+'QTR Raw'!BD81</f>
        <v>10900.8</v>
      </c>
      <c r="CK167" s="23">
        <f t="shared" ref="CK167:DB167" si="1258">+CK202*CK33/90</f>
        <v>11518.826369289338</v>
      </c>
      <c r="CL167" s="23">
        <f>+'QTR Raw'!BF81</f>
        <v>8190.72</v>
      </c>
      <c r="CM167" s="24">
        <f t="shared" si="1258"/>
        <v>6884.7930276655079</v>
      </c>
      <c r="CN167" s="24">
        <f t="shared" si="1258"/>
        <v>7220.1691715322004</v>
      </c>
      <c r="CO167" s="24">
        <f t="shared" si="1258"/>
        <v>7713.37799128592</v>
      </c>
      <c r="CP167" s="24">
        <f t="shared" si="1258"/>
        <v>8969.0723216409788</v>
      </c>
      <c r="CQ167" s="24">
        <f t="shared" si="1258"/>
        <v>7130.6629196103904</v>
      </c>
      <c r="CR167" s="24">
        <f t="shared" si="1258"/>
        <v>7496.6676959514334</v>
      </c>
      <c r="CS167" s="24">
        <f t="shared" si="1258"/>
        <v>8020.2846538202257</v>
      </c>
      <c r="CT167" s="24">
        <f t="shared" si="1258"/>
        <v>9321.3514124053509</v>
      </c>
      <c r="CU167" s="24">
        <f t="shared" si="1258"/>
        <v>7712.3662740668433</v>
      </c>
      <c r="CV167" s="24">
        <f t="shared" si="1258"/>
        <v>8104.3141872538399</v>
      </c>
      <c r="CW167" s="24">
        <f t="shared" si="1258"/>
        <v>8674.9697712394518</v>
      </c>
      <c r="CX167" s="24">
        <f t="shared" si="1258"/>
        <v>10086.569185630073</v>
      </c>
      <c r="CY167" s="24">
        <f t="shared" si="1258"/>
        <v>8351.400615155726</v>
      </c>
      <c r="CZ167" s="24">
        <f t="shared" si="1258"/>
        <v>8766.6886683461962</v>
      </c>
      <c r="DA167" s="24">
        <f t="shared" si="1258"/>
        <v>9388.147469257472</v>
      </c>
      <c r="DB167" s="24">
        <f t="shared" si="1258"/>
        <v>10922.276423156591</v>
      </c>
      <c r="DE167" s="123"/>
      <c r="DF167" s="23">
        <v>13386.673978954326</v>
      </c>
    </row>
    <row r="168" spans="1:110" s="23" customFormat="1" outlineLevel="1" x14ac:dyDescent="0.2">
      <c r="A168" s="23" t="s">
        <v>62</v>
      </c>
      <c r="B168" s="23">
        <f>'Annual Raw'!C77</f>
        <v>0</v>
      </c>
      <c r="C168" s="23">
        <f>'Annual Raw'!D77</f>
        <v>0</v>
      </c>
      <c r="D168" s="23">
        <f>'Annual Raw'!E77</f>
        <v>34.118000000000002</v>
      </c>
      <c r="E168" s="23">
        <f>'Annual Raw'!F77</f>
        <v>44.777000000000001</v>
      </c>
      <c r="F168" s="23">
        <f>'Annual Raw'!G77</f>
        <v>78.177000000000007</v>
      </c>
      <c r="G168" s="23">
        <f>'Annual Raw'!H77</f>
        <v>103.023</v>
      </c>
      <c r="H168" s="23">
        <f>'Annual Raw'!I77</f>
        <v>79.388000000000005</v>
      </c>
      <c r="I168" s="23">
        <f>'Annual Raw'!J77</f>
        <v>132.45099999999999</v>
      </c>
      <c r="J168" s="23">
        <f>'Annual Raw'!K77</f>
        <v>158.72999999999999</v>
      </c>
      <c r="K168" s="23">
        <f>'Annual Raw'!L77</f>
        <v>230.63200000000001</v>
      </c>
      <c r="L168" s="23">
        <f>'Annual Raw'!M77</f>
        <v>451.05</v>
      </c>
      <c r="M168" s="23">
        <f>'Annual Raw'!N77</f>
        <v>519.51</v>
      </c>
      <c r="N168" s="23">
        <f>'Annual Raw'!O77</f>
        <v>607.75599999999997</v>
      </c>
      <c r="O168" s="23">
        <f>'Annual Raw'!P77</f>
        <v>788.79600000000005</v>
      </c>
      <c r="P168" s="23">
        <f>'Annual Raw'!Q77</f>
        <v>693.01499999999999</v>
      </c>
      <c r="Q168" s="23">
        <f>'Annual Raw'!R77</f>
        <v>708.17600000000004</v>
      </c>
      <c r="R168" s="23">
        <f>'Annual Raw'!S77</f>
        <v>779.56899999999996</v>
      </c>
      <c r="S168" s="23">
        <f>'Annual Raw'!T77</f>
        <v>1070.2180000000001</v>
      </c>
      <c r="T168" s="23">
        <f>'Annual Raw'!U77</f>
        <v>1258.135</v>
      </c>
      <c r="U168" s="23">
        <f>'Annual Raw'!V77</f>
        <v>921.178</v>
      </c>
      <c r="V168" s="23">
        <f>'Annual Raw'!W77</f>
        <v>1515.14</v>
      </c>
      <c r="W168" s="23">
        <f>'Annual Raw'!X77</f>
        <v>2218.58</v>
      </c>
      <c r="X168" s="23">
        <f>'Annual Raw'!Y77</f>
        <v>1931.41</v>
      </c>
      <c r="Y168" s="23">
        <f>'Annual Raw'!Z77</f>
        <v>1782.91</v>
      </c>
      <c r="Z168" s="23">
        <f>'Annual Raw'!AA77</f>
        <v>2415.5500000000002</v>
      </c>
      <c r="AA168" s="23">
        <f>'Annual Raw'!AB77</f>
        <v>2624.32</v>
      </c>
      <c r="AB168" s="24">
        <f t="shared" si="1253"/>
        <v>2873.7053488739516</v>
      </c>
      <c r="AC168" s="24">
        <f t="shared" si="1254"/>
        <v>2986.5761420978388</v>
      </c>
      <c r="AD168" s="24">
        <f t="shared" si="1255"/>
        <v>3231.7531603122447</v>
      </c>
      <c r="AE168" s="24">
        <f t="shared" si="1256"/>
        <v>3499.5151174522271</v>
      </c>
      <c r="AJ168" s="23">
        <f>+'QTR Raw'!D82</f>
        <v>0</v>
      </c>
      <c r="AK168" s="23" t="e">
        <f>+AK203*AK33/90</f>
        <v>#DIV/0!</v>
      </c>
      <c r="AL168" s="23">
        <f>+'QTR Raw'!F82</f>
        <v>0</v>
      </c>
      <c r="AM168" s="23" t="e">
        <f>+AM203*AM33/90</f>
        <v>#DIV/0!</v>
      </c>
      <c r="AN168" s="23">
        <f>+'QTR Raw'!H82</f>
        <v>0</v>
      </c>
      <c r="AO168" s="23" t="e">
        <f>+AO203*AO33/90</f>
        <v>#DIV/0!</v>
      </c>
      <c r="AP168" s="23">
        <f>+'QTR Raw'!J82</f>
        <v>0</v>
      </c>
      <c r="AQ168" s="23" t="e">
        <f>+AQ203*AQ33/90</f>
        <v>#DIV/0!</v>
      </c>
      <c r="AR168" s="23">
        <f>+'QTR Raw'!L82</f>
        <v>0</v>
      </c>
      <c r="AS168" s="23" t="e">
        <f>+AS203*AS33/90</f>
        <v>#DIV/0!</v>
      </c>
      <c r="AT168" s="23">
        <f>+'QTR Raw'!N82</f>
        <v>0</v>
      </c>
      <c r="AU168" s="23" t="e">
        <f>+AU203*AU33/90</f>
        <v>#DIV/0!</v>
      </c>
      <c r="AV168" s="23">
        <f>+'QTR Raw'!P82</f>
        <v>0</v>
      </c>
      <c r="AW168" s="23" t="e">
        <f>+AW203*AW33/90</f>
        <v>#DIV/0!</v>
      </c>
      <c r="AX168" s="23">
        <f>+'QTR Raw'!R82</f>
        <v>0</v>
      </c>
      <c r="AY168" s="23" t="e">
        <f>+AY203*AY33/90</f>
        <v>#DIV/0!</v>
      </c>
      <c r="AZ168" s="23">
        <f>+'QTR Raw'!T82</f>
        <v>0</v>
      </c>
      <c r="BA168" s="23" t="e">
        <f>+BA203*BA33/90</f>
        <v>#DIV/0!</v>
      </c>
      <c r="BB168" s="23">
        <f>+'QTR Raw'!V82</f>
        <v>0</v>
      </c>
      <c r="BC168" s="23" t="e">
        <f>+BC203*BC33/90</f>
        <v>#DIV/0!</v>
      </c>
      <c r="BD168" s="23">
        <f>+'QTR Raw'!X82</f>
        <v>0</v>
      </c>
      <c r="BE168" s="23" t="e">
        <f>+BE203*BE33/90</f>
        <v>#DIV/0!</v>
      </c>
      <c r="BF168" s="23">
        <f>+'QTR Raw'!Z82</f>
        <v>0</v>
      </c>
      <c r="BG168" s="23" t="e">
        <f>+BG203*BG33/90</f>
        <v>#DIV/0!</v>
      </c>
      <c r="BH168" s="23">
        <f>+'QTR Raw'!AB82</f>
        <v>0</v>
      </c>
      <c r="BI168" s="23" t="e">
        <f>+BI203*BI33/90</f>
        <v>#DIV/0!</v>
      </c>
      <c r="BJ168" s="23">
        <f>+'QTR Raw'!AD82</f>
        <v>0</v>
      </c>
      <c r="BK168" s="23" t="e">
        <f>+BK203*BK33/90</f>
        <v>#DIV/0!</v>
      </c>
      <c r="BL168" s="23">
        <f>+'QTR Raw'!AF82</f>
        <v>0</v>
      </c>
      <c r="BM168" s="23" t="e">
        <f>+BM203*BM33/90</f>
        <v>#DIV/0!</v>
      </c>
      <c r="BN168" s="23">
        <f>+'QTR Raw'!AH82</f>
        <v>0</v>
      </c>
      <c r="BO168" s="23" t="e">
        <f>+BO203*BO33/90</f>
        <v>#DIV/0!</v>
      </c>
      <c r="BP168" s="23">
        <f>+'QTR Raw'!AJ82</f>
        <v>0</v>
      </c>
      <c r="BQ168" s="23" t="e">
        <f>+BQ203*BQ33/90</f>
        <v>#DIV/0!</v>
      </c>
      <c r="BR168" s="23">
        <f>+'QTR Raw'!AL82</f>
        <v>1515.14</v>
      </c>
      <c r="BS168" s="23">
        <f>+BS203*BS33/90</f>
        <v>1605.9475453180839</v>
      </c>
      <c r="BT168" s="23">
        <f>+'QTR Raw'!AN82</f>
        <v>0</v>
      </c>
      <c r="BU168" s="23">
        <f>+BU203*BU33/90</f>
        <v>0</v>
      </c>
      <c r="BV168" s="23">
        <f>+'QTR Raw'!AP82</f>
        <v>2218.58</v>
      </c>
      <c r="BW168" s="23">
        <f>+BW203*BW33/90</f>
        <v>2189.8506556968232</v>
      </c>
      <c r="BX168" s="23">
        <f>+'QTR Raw'!AR82</f>
        <v>2139.08</v>
      </c>
      <c r="BY168" s="23">
        <f>+BY203*BY33/90</f>
        <v>2333.7918007240969</v>
      </c>
      <c r="BZ168" s="23">
        <f>+'QTR Raw'!AT82</f>
        <v>1931.41</v>
      </c>
      <c r="CA168" s="23">
        <f>+CA203*CA33/90</f>
        <v>1799.9041994025652</v>
      </c>
      <c r="CB168" s="23">
        <f>+'QTR Raw'!AV82</f>
        <v>1912.16</v>
      </c>
      <c r="CC168" s="23">
        <f>+CC203*CC33/90</f>
        <v>1999.6394319462959</v>
      </c>
      <c r="CD168" s="23">
        <f>+'QTR Raw'!AX82</f>
        <v>1782.91</v>
      </c>
      <c r="CE168" s="23">
        <f>+CE203*CE33/90</f>
        <v>1908.4447658708461</v>
      </c>
      <c r="CF168" s="23">
        <f>+'QTR Raw'!AZ82</f>
        <v>2254.06</v>
      </c>
      <c r="CG168" s="23">
        <f>+CG203*CG33/90</f>
        <v>2626.7099220896416</v>
      </c>
      <c r="CH168" s="23">
        <f t="shared" si="1235"/>
        <v>2415.5500000000002</v>
      </c>
      <c r="CI168" s="23">
        <f>+CI203*CI33/90</f>
        <v>2260.3921430761743</v>
      </c>
      <c r="CJ168" s="23">
        <f>+'QTR Raw'!BD82</f>
        <v>2403.02</v>
      </c>
      <c r="CK168" s="23">
        <f t="shared" ref="CK168:DB168" si="1259">+CK203*CK33/90</f>
        <v>2539.2604342736004</v>
      </c>
      <c r="CL168" s="23">
        <f>+'QTR Raw'!BF82</f>
        <v>2624.32</v>
      </c>
      <c r="CM168" s="24">
        <f t="shared" si="1259"/>
        <v>2205.8988756010635</v>
      </c>
      <c r="CN168" s="24">
        <f t="shared" si="1259"/>
        <v>2313.3539371673537</v>
      </c>
      <c r="CO168" s="24">
        <f t="shared" si="1259"/>
        <v>2471.3788446060257</v>
      </c>
      <c r="CP168" s="24">
        <f t="shared" si="1259"/>
        <v>2873.7053488739516</v>
      </c>
      <c r="CQ168" s="24">
        <f t="shared" si="1259"/>
        <v>2284.6759885812162</v>
      </c>
      <c r="CR168" s="24">
        <f t="shared" si="1259"/>
        <v>2401.9445137715929</v>
      </c>
      <c r="CS168" s="24">
        <f t="shared" si="1259"/>
        <v>2569.7122380832811</v>
      </c>
      <c r="CT168" s="24">
        <f t="shared" si="1259"/>
        <v>2986.5761420978388</v>
      </c>
      <c r="CU168" s="24">
        <f t="shared" si="1259"/>
        <v>2471.0546887647361</v>
      </c>
      <c r="CV168" s="24">
        <f t="shared" si="1259"/>
        <v>2596.6354371647421</v>
      </c>
      <c r="CW168" s="24">
        <f t="shared" si="1259"/>
        <v>2779.4744137339721</v>
      </c>
      <c r="CX168" s="24">
        <f t="shared" si="1259"/>
        <v>3231.7531603122447</v>
      </c>
      <c r="CY168" s="24">
        <f t="shared" si="1259"/>
        <v>2675.8023302426977</v>
      </c>
      <c r="CZ168" s="24">
        <f t="shared" si="1259"/>
        <v>2808.8612974334719</v>
      </c>
      <c r="DA168" s="24">
        <f t="shared" si="1259"/>
        <v>3007.9777072738138</v>
      </c>
      <c r="DB168" s="24">
        <f t="shared" si="1259"/>
        <v>3499.5151174522271</v>
      </c>
      <c r="DE168" s="123"/>
      <c r="DF168" s="23">
        <v>2951.0169258134101</v>
      </c>
    </row>
    <row r="169" spans="1:110" s="23" customFormat="1" outlineLevel="1" x14ac:dyDescent="0.2">
      <c r="A169" s="23" t="s">
        <v>63</v>
      </c>
      <c r="B169" s="23">
        <f>'Annual Raw'!C79</f>
        <v>0</v>
      </c>
      <c r="C169" s="23">
        <f>'Annual Raw'!D79</f>
        <v>0</v>
      </c>
      <c r="D169" s="23">
        <f>'Annual Raw'!E79</f>
        <v>6.8000000000000005E-2</v>
      </c>
      <c r="E169" s="23">
        <f>'Annual Raw'!F79</f>
        <v>0.53</v>
      </c>
      <c r="F169" s="23">
        <f>'Annual Raw'!G79</f>
        <v>3.625</v>
      </c>
      <c r="G169" s="23">
        <f>'Annual Raw'!H79</f>
        <v>7.4749999999999996</v>
      </c>
      <c r="H169" s="23">
        <f>'Annual Raw'!I79</f>
        <v>6.9930000000000003</v>
      </c>
      <c r="I169" s="23">
        <f>'Annual Raw'!J79</f>
        <v>22.939</v>
      </c>
      <c r="J169" s="23">
        <f>'Annual Raw'!K79</f>
        <v>4.6130000000000004</v>
      </c>
      <c r="K169" s="23">
        <f>'Annual Raw'!L79</f>
        <v>10.983000000000001</v>
      </c>
      <c r="L169" s="23">
        <f>'Annual Raw'!M79</f>
        <v>81.790999999999997</v>
      </c>
      <c r="M169" s="23">
        <f>'Annual Raw'!N79</f>
        <v>101.518</v>
      </c>
      <c r="N169" s="23">
        <f>'Annual Raw'!O79</f>
        <v>171.29900000000001</v>
      </c>
      <c r="O169" s="23">
        <f>'Annual Raw'!P79</f>
        <v>166.233</v>
      </c>
      <c r="P169" s="23">
        <f>'Annual Raw'!Q79</f>
        <v>97.093000000000004</v>
      </c>
      <c r="Q169" s="23">
        <f>'Annual Raw'!R79</f>
        <v>86.626000000000005</v>
      </c>
      <c r="R169" s="23">
        <f>'Annual Raw'!S79</f>
        <v>154.024</v>
      </c>
      <c r="S169" s="23">
        <f>'Annual Raw'!T79</f>
        <v>179.40799999999999</v>
      </c>
      <c r="T169" s="23">
        <f>'Annual Raw'!U79</f>
        <v>301.387</v>
      </c>
      <c r="U169" s="23">
        <f>'Annual Raw'!V79</f>
        <v>402.56799999999998</v>
      </c>
      <c r="V169" s="23">
        <f>'Annual Raw'!W79</f>
        <v>162.07</v>
      </c>
      <c r="W169" s="23">
        <f>'Annual Raw'!X79</f>
        <v>325.57</v>
      </c>
      <c r="X169" s="23">
        <f>'Annual Raw'!Y79</f>
        <v>630.26</v>
      </c>
      <c r="Y169" s="23">
        <f>'Annual Raw'!Z79</f>
        <v>305.27</v>
      </c>
      <c r="Z169" s="23">
        <f>'Annual Raw'!AA79</f>
        <v>239.28</v>
      </c>
      <c r="AA169" s="23">
        <f>'Annual Raw'!AB79</f>
        <v>414.48</v>
      </c>
      <c r="AB169" s="24">
        <f t="shared" si="1253"/>
        <v>4394.7000178113958</v>
      </c>
      <c r="AC169" s="24">
        <f t="shared" si="1254"/>
        <v>4567.3110606191676</v>
      </c>
      <c r="AD169" s="24">
        <f t="shared" si="1255"/>
        <v>4942.2553626632161</v>
      </c>
      <c r="AE169" s="24">
        <f t="shared" si="1256"/>
        <v>5351.738359336272</v>
      </c>
      <c r="AJ169" s="23">
        <f>+'QTR Raw'!D84</f>
        <v>0</v>
      </c>
      <c r="AK169" s="23">
        <f t="shared" si="1257"/>
        <v>0</v>
      </c>
      <c r="AL169" s="23">
        <f>+'QTR Raw'!F84</f>
        <v>0</v>
      </c>
      <c r="AM169" s="23">
        <f t="shared" si="1257"/>
        <v>0</v>
      </c>
      <c r="AN169" s="23">
        <f>+'QTR Raw'!H84</f>
        <v>0</v>
      </c>
      <c r="AO169" s="23">
        <f t="shared" si="1257"/>
        <v>0</v>
      </c>
      <c r="AP169" s="23">
        <f>+'QTR Raw'!J84</f>
        <v>0</v>
      </c>
      <c r="AQ169" s="23">
        <f t="shared" si="1257"/>
        <v>0</v>
      </c>
      <c r="AR169" s="23">
        <f>+'QTR Raw'!L84</f>
        <v>0</v>
      </c>
      <c r="AS169" s="23">
        <f t="shared" si="1257"/>
        <v>0</v>
      </c>
      <c r="AT169" s="23">
        <f>+'QTR Raw'!N84</f>
        <v>0</v>
      </c>
      <c r="AU169" s="23">
        <f t="shared" si="1257"/>
        <v>0</v>
      </c>
      <c r="AV169" s="23">
        <f>+'QTR Raw'!P84</f>
        <v>0</v>
      </c>
      <c r="AW169" s="23">
        <f t="shared" si="1257"/>
        <v>0</v>
      </c>
      <c r="AX169" s="23">
        <f>+'QTR Raw'!R84</f>
        <v>0</v>
      </c>
      <c r="AY169" s="23">
        <f t="shared" si="1257"/>
        <v>0</v>
      </c>
      <c r="AZ169" s="23">
        <f>+'QTR Raw'!T84</f>
        <v>0</v>
      </c>
      <c r="BA169" s="23">
        <f t="shared" si="1257"/>
        <v>0</v>
      </c>
      <c r="BB169" s="23">
        <f>+'QTR Raw'!V84</f>
        <v>0</v>
      </c>
      <c r="BC169" s="23">
        <f t="shared" si="1257"/>
        <v>0</v>
      </c>
      <c r="BD169" s="23">
        <f>+'QTR Raw'!X84</f>
        <v>0</v>
      </c>
      <c r="BE169" s="23">
        <f t="shared" si="1257"/>
        <v>0</v>
      </c>
      <c r="BF169" s="23">
        <f>+'QTR Raw'!Z84</f>
        <v>0</v>
      </c>
      <c r="BG169" s="23">
        <f t="shared" si="1257"/>
        <v>0</v>
      </c>
      <c r="BH169" s="23">
        <f>+'QTR Raw'!AB84</f>
        <v>0</v>
      </c>
      <c r="BI169" s="23">
        <f t="shared" si="1257"/>
        <v>0</v>
      </c>
      <c r="BJ169" s="23">
        <f>+'QTR Raw'!AD84</f>
        <v>0</v>
      </c>
      <c r="BK169" s="23">
        <f t="shared" si="1257"/>
        <v>0</v>
      </c>
      <c r="BL169" s="23">
        <f>+'QTR Raw'!AF84</f>
        <v>0</v>
      </c>
      <c r="BM169" s="23">
        <f t="shared" si="1257"/>
        <v>0</v>
      </c>
      <c r="BN169" s="23">
        <f>+'QTR Raw'!AH84</f>
        <v>0</v>
      </c>
      <c r="BO169" s="23">
        <f t="shared" si="1257"/>
        <v>0</v>
      </c>
      <c r="BP169" s="23">
        <f>+'QTR Raw'!AJ84</f>
        <v>0</v>
      </c>
      <c r="BQ169" s="23">
        <f t="shared" si="1257"/>
        <v>0</v>
      </c>
      <c r="BR169" s="23">
        <f>+'QTR Raw'!AL84</f>
        <v>1133.08</v>
      </c>
      <c r="BS169" s="23">
        <f t="shared" si="1257"/>
        <v>1133.08</v>
      </c>
      <c r="BT169" s="23">
        <f>+'QTR Raw'!AN84</f>
        <v>0</v>
      </c>
      <c r="BU169" s="23">
        <f t="shared" si="1257"/>
        <v>0</v>
      </c>
      <c r="BV169" s="23">
        <f>+'QTR Raw'!AP84</f>
        <v>859.56</v>
      </c>
      <c r="BW169" s="23">
        <f t="shared" si="1257"/>
        <v>859.56</v>
      </c>
      <c r="BX169" s="23">
        <f>+'QTR Raw'!AR84</f>
        <v>953.29</v>
      </c>
      <c r="BY169" s="23">
        <f t="shared" si="1257"/>
        <v>953.29</v>
      </c>
      <c r="BZ169" s="23">
        <f>+'QTR Raw'!AT84</f>
        <v>1142.43</v>
      </c>
      <c r="CA169" s="23">
        <f t="shared" si="1257"/>
        <v>1142.43</v>
      </c>
      <c r="CB169" s="23">
        <f>+'QTR Raw'!AV84</f>
        <v>1250.46</v>
      </c>
      <c r="CC169" s="23">
        <f t="shared" si="1257"/>
        <v>1250.46</v>
      </c>
      <c r="CD169" s="23">
        <f>+'QTR Raw'!AX84</f>
        <v>869.43</v>
      </c>
      <c r="CE169" s="23">
        <f t="shared" si="1257"/>
        <v>869.43</v>
      </c>
      <c r="CF169" s="23">
        <f>+'QTR Raw'!AZ84</f>
        <v>785.2</v>
      </c>
      <c r="CG169" s="23">
        <f t="shared" ref="CG169:CG170" si="1260">+CF169</f>
        <v>785.2</v>
      </c>
      <c r="CH169" s="23">
        <f t="shared" si="1235"/>
        <v>239.28</v>
      </c>
      <c r="CI169" s="23">
        <f>CI33/90*CI204</f>
        <v>2965.3522643679867</v>
      </c>
      <c r="CJ169" s="23">
        <f>+'QTR Raw'!BD84</f>
        <v>1119.5</v>
      </c>
      <c r="CK169" s="23">
        <f t="shared" ref="CK169:DB169" si="1261">CK33/90*CK204</f>
        <v>2681.7346893164663</v>
      </c>
      <c r="CL169" s="23">
        <f>+'QTR Raw'!BF84</f>
        <v>2464.59</v>
      </c>
      <c r="CM169" s="24">
        <f t="shared" si="1261"/>
        <v>3373.4369571650009</v>
      </c>
      <c r="CN169" s="24">
        <f t="shared" si="1261"/>
        <v>3537.7658300483467</v>
      </c>
      <c r="CO169" s="24">
        <f t="shared" si="1261"/>
        <v>3779.4301551008452</v>
      </c>
      <c r="CP169" s="24">
        <f t="shared" si="1261"/>
        <v>4394.7000178113958</v>
      </c>
      <c r="CQ169" s="24">
        <f t="shared" si="1261"/>
        <v>3493.9092178136666</v>
      </c>
      <c r="CR169" s="24">
        <f t="shared" si="1261"/>
        <v>3673.2456240130032</v>
      </c>
      <c r="CS169" s="24">
        <f t="shared" si="1261"/>
        <v>3929.8094437204259</v>
      </c>
      <c r="CT169" s="24">
        <f t="shared" si="1261"/>
        <v>4567.3110606191676</v>
      </c>
      <c r="CU169" s="24">
        <f t="shared" si="1261"/>
        <v>3778.934430066945</v>
      </c>
      <c r="CV169" s="24">
        <f t="shared" si="1261"/>
        <v>3970.9825526925056</v>
      </c>
      <c r="CW169" s="24">
        <f t="shared" si="1261"/>
        <v>4250.5945365377765</v>
      </c>
      <c r="CX169" s="24">
        <f t="shared" si="1261"/>
        <v>4942.2553626632161</v>
      </c>
      <c r="CY169" s="24">
        <f t="shared" si="1261"/>
        <v>4092.0508962358322</v>
      </c>
      <c r="CZ169" s="24">
        <f t="shared" si="1261"/>
        <v>4295.535309038416</v>
      </c>
      <c r="DA169" s="24">
        <f t="shared" si="1261"/>
        <v>4600.040045480785</v>
      </c>
      <c r="DB169" s="24">
        <f t="shared" si="1261"/>
        <v>5351.738359336272</v>
      </c>
      <c r="DE169" s="123"/>
      <c r="DF169" s="23">
        <v>3116.594246063521</v>
      </c>
    </row>
    <row r="170" spans="1:110" s="23" customFormat="1" outlineLevel="1" x14ac:dyDescent="0.2">
      <c r="A170" s="23" t="s">
        <v>64</v>
      </c>
      <c r="B170" s="23">
        <f>'Annual Raw'!C80</f>
        <v>0</v>
      </c>
      <c r="C170" s="23">
        <f>'Annual Raw'!D80</f>
        <v>0</v>
      </c>
      <c r="D170" s="23">
        <f>'Annual Raw'!E80</f>
        <v>12.715999999999999</v>
      </c>
      <c r="E170" s="23">
        <f>'Annual Raw'!F80</f>
        <v>40.738999999999997</v>
      </c>
      <c r="F170" s="23">
        <f>'Annual Raw'!G80</f>
        <v>16.713999999999999</v>
      </c>
      <c r="G170" s="23">
        <f>'Annual Raw'!H80</f>
        <v>54.261000000000003</v>
      </c>
      <c r="H170" s="23">
        <f>'Annual Raw'!I80</f>
        <v>30.866</v>
      </c>
      <c r="I170" s="23">
        <f>'Annual Raw'!J80</f>
        <v>49.323999999999998</v>
      </c>
      <c r="J170" s="23">
        <f>'Annual Raw'!K80</f>
        <v>67.933000000000007</v>
      </c>
      <c r="K170" s="23">
        <f>'Annual Raw'!L80</f>
        <v>169.61</v>
      </c>
      <c r="L170" s="23">
        <f>'Annual Raw'!M80</f>
        <v>135.41399999999999</v>
      </c>
      <c r="M170" s="23">
        <f>'Annual Raw'!N80</f>
        <v>353.45299999999997</v>
      </c>
      <c r="N170" s="23">
        <f>'Annual Raw'!O80</f>
        <v>412.46899999999999</v>
      </c>
      <c r="O170" s="23">
        <f>'Annual Raw'!P80</f>
        <v>176.613</v>
      </c>
      <c r="P170" s="23">
        <f>'Annual Raw'!Q80</f>
        <v>190.55600000000001</v>
      </c>
      <c r="Q170" s="23">
        <f>'Annual Raw'!R80</f>
        <v>353.53399999999999</v>
      </c>
      <c r="R170" s="23">
        <f>'Annual Raw'!S80</f>
        <v>390.42899999999997</v>
      </c>
      <c r="S170" s="23">
        <f>'Annual Raw'!T80</f>
        <v>528.42499999999995</v>
      </c>
      <c r="T170" s="23">
        <f>'Annual Raw'!U80</f>
        <v>774.69799999999998</v>
      </c>
      <c r="U170" s="23">
        <f>'Annual Raw'!V80</f>
        <v>749.18499999999995</v>
      </c>
      <c r="V170" s="23">
        <f>'Annual Raw'!W80</f>
        <v>1014.07</v>
      </c>
      <c r="W170" s="23">
        <f>'Annual Raw'!X80</f>
        <v>577.47</v>
      </c>
      <c r="X170" s="23">
        <f>'Annual Raw'!Y80</f>
        <v>514.85</v>
      </c>
      <c r="Y170" s="23">
        <f>'Annual Raw'!Z80</f>
        <v>616.24</v>
      </c>
      <c r="Z170" s="23">
        <f>'Annual Raw'!AA80</f>
        <v>2046.75</v>
      </c>
      <c r="AA170" s="23">
        <f>'Annual Raw'!AB80</f>
        <v>2053.5700000000002</v>
      </c>
      <c r="AB170" s="24">
        <f t="shared" si="1253"/>
        <v>0</v>
      </c>
      <c r="AC170" s="24">
        <f t="shared" si="1254"/>
        <v>0</v>
      </c>
      <c r="AD170" s="24">
        <f t="shared" si="1255"/>
        <v>0</v>
      </c>
      <c r="AE170" s="24">
        <f t="shared" si="1256"/>
        <v>0</v>
      </c>
      <c r="AJ170" s="23">
        <f>+'QTR Raw'!D85</f>
        <v>0</v>
      </c>
      <c r="AK170" s="23">
        <f t="shared" si="1257"/>
        <v>0</v>
      </c>
      <c r="AL170" s="23">
        <f>+'QTR Raw'!F85</f>
        <v>0</v>
      </c>
      <c r="AM170" s="23">
        <f t="shared" si="1257"/>
        <v>0</v>
      </c>
      <c r="AN170" s="23">
        <f>+'QTR Raw'!H85</f>
        <v>0</v>
      </c>
      <c r="AO170" s="23">
        <f t="shared" si="1257"/>
        <v>0</v>
      </c>
      <c r="AP170" s="23">
        <f>+'QTR Raw'!J85</f>
        <v>0</v>
      </c>
      <c r="AQ170" s="23">
        <f t="shared" si="1257"/>
        <v>0</v>
      </c>
      <c r="AR170" s="23">
        <f>+'QTR Raw'!L85</f>
        <v>0</v>
      </c>
      <c r="AS170" s="23">
        <f t="shared" si="1257"/>
        <v>0</v>
      </c>
      <c r="AT170" s="23">
        <f>+'QTR Raw'!N85</f>
        <v>0</v>
      </c>
      <c r="AU170" s="23">
        <f t="shared" si="1257"/>
        <v>0</v>
      </c>
      <c r="AV170" s="23">
        <f>+'QTR Raw'!P85</f>
        <v>0</v>
      </c>
      <c r="AW170" s="23">
        <f t="shared" si="1257"/>
        <v>0</v>
      </c>
      <c r="AX170" s="23">
        <f>+'QTR Raw'!R85</f>
        <v>0</v>
      </c>
      <c r="AY170" s="23">
        <f t="shared" si="1257"/>
        <v>0</v>
      </c>
      <c r="AZ170" s="23">
        <f>+'QTR Raw'!T85</f>
        <v>0</v>
      </c>
      <c r="BA170" s="23">
        <f t="shared" si="1257"/>
        <v>0</v>
      </c>
      <c r="BB170" s="23">
        <f>+'QTR Raw'!V85</f>
        <v>0</v>
      </c>
      <c r="BC170" s="23">
        <f t="shared" si="1257"/>
        <v>0</v>
      </c>
      <c r="BD170" s="23">
        <f>+'QTR Raw'!X85</f>
        <v>0</v>
      </c>
      <c r="BE170" s="23">
        <f t="shared" si="1257"/>
        <v>0</v>
      </c>
      <c r="BF170" s="23">
        <f>+'QTR Raw'!Z85</f>
        <v>0</v>
      </c>
      <c r="BG170" s="23">
        <f t="shared" si="1257"/>
        <v>0</v>
      </c>
      <c r="BH170" s="23">
        <f>+'QTR Raw'!AB85</f>
        <v>0</v>
      </c>
      <c r="BI170" s="23">
        <f t="shared" si="1257"/>
        <v>0</v>
      </c>
      <c r="BJ170" s="23">
        <f>+'QTR Raw'!AD85</f>
        <v>0</v>
      </c>
      <c r="BK170" s="23">
        <f t="shared" si="1257"/>
        <v>0</v>
      </c>
      <c r="BL170" s="23">
        <f>+'QTR Raw'!AF85</f>
        <v>0</v>
      </c>
      <c r="BM170" s="23">
        <f t="shared" si="1257"/>
        <v>0</v>
      </c>
      <c r="BN170" s="23">
        <f>+'QTR Raw'!AH85</f>
        <v>0</v>
      </c>
      <c r="BO170" s="23">
        <f t="shared" si="1257"/>
        <v>0</v>
      </c>
      <c r="BP170" s="23">
        <f>+'QTR Raw'!AJ85</f>
        <v>0</v>
      </c>
      <c r="BQ170" s="23">
        <f t="shared" si="1257"/>
        <v>0</v>
      </c>
      <c r="BR170" s="23">
        <f>+'QTR Raw'!AL85</f>
        <v>43.06</v>
      </c>
      <c r="BS170" s="23">
        <f t="shared" si="1257"/>
        <v>43.06</v>
      </c>
      <c r="BT170" s="23">
        <f>+'QTR Raw'!AN85</f>
        <v>0</v>
      </c>
      <c r="BU170" s="23">
        <f t="shared" si="1257"/>
        <v>0</v>
      </c>
      <c r="BV170" s="23">
        <f>+'QTR Raw'!AP85</f>
        <v>43.48</v>
      </c>
      <c r="BW170" s="23">
        <f t="shared" si="1257"/>
        <v>43.48</v>
      </c>
      <c r="BX170" s="23">
        <f>+'QTR Raw'!AR85</f>
        <v>43.35</v>
      </c>
      <c r="BY170" s="23">
        <f t="shared" si="1257"/>
        <v>43.35</v>
      </c>
      <c r="BZ170" s="23">
        <f>+'QTR Raw'!AT85</f>
        <v>2.68</v>
      </c>
      <c r="CA170" s="23">
        <f t="shared" si="1257"/>
        <v>2.68</v>
      </c>
      <c r="CB170" s="23">
        <f>+'QTR Raw'!AV85</f>
        <v>37.24</v>
      </c>
      <c r="CC170" s="23">
        <f t="shared" si="1257"/>
        <v>37.24</v>
      </c>
      <c r="CD170" s="23">
        <f>+'QTR Raw'!AX85</f>
        <v>52.08</v>
      </c>
      <c r="CE170" s="23">
        <f t="shared" si="1257"/>
        <v>52.08</v>
      </c>
      <c r="CF170" s="23">
        <f>+'QTR Raw'!AZ85</f>
        <v>17.34</v>
      </c>
      <c r="CG170" s="23">
        <f t="shared" si="1260"/>
        <v>17.34</v>
      </c>
      <c r="CH170" s="23">
        <f t="shared" si="1235"/>
        <v>2046.75</v>
      </c>
      <c r="CJ170" s="23">
        <f>+'QTR Raw'!BD85</f>
        <v>17.68</v>
      </c>
      <c r="CL170" s="23">
        <f>+'QTR Raw'!BF85</f>
        <v>3.46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3.46</v>
      </c>
    </row>
    <row r="171" spans="1:110" s="22" customFormat="1" x14ac:dyDescent="0.2">
      <c r="A171" s="22" t="s">
        <v>65</v>
      </c>
      <c r="B171" s="22">
        <f>SUM(B165:B170)</f>
        <v>0</v>
      </c>
      <c r="C171" s="22">
        <f t="shared" ref="C171:V171" si="1262">SUM(C165:C170)</f>
        <v>0</v>
      </c>
      <c r="D171" s="22">
        <f t="shared" si="1262"/>
        <v>238.73800000000003</v>
      </c>
      <c r="E171" s="22">
        <f t="shared" si="1262"/>
        <v>341.36099999999993</v>
      </c>
      <c r="F171" s="22">
        <f t="shared" si="1262"/>
        <v>295.065</v>
      </c>
      <c r="G171" s="22">
        <f t="shared" si="1262"/>
        <v>534.89400000000001</v>
      </c>
      <c r="H171" s="22">
        <f t="shared" si="1262"/>
        <v>428.11999999999995</v>
      </c>
      <c r="I171" s="22">
        <f t="shared" si="1262"/>
        <v>990.24899999999991</v>
      </c>
      <c r="J171" s="22">
        <f t="shared" si="1262"/>
        <v>827.21300000000008</v>
      </c>
      <c r="K171" s="22">
        <f t="shared" si="1262"/>
        <v>1348.2640000000001</v>
      </c>
      <c r="L171" s="22">
        <f>SUM(L165:L170)</f>
        <v>2298.9400000000005</v>
      </c>
      <c r="M171" s="22">
        <f>SUM(M165:M170)</f>
        <v>2252.2049999999999</v>
      </c>
      <c r="N171" s="22">
        <f t="shared" si="1262"/>
        <v>2708.799</v>
      </c>
      <c r="O171" s="22">
        <f t="shared" si="1262"/>
        <v>2959.8710000000001</v>
      </c>
      <c r="P171" s="22">
        <f t="shared" si="1262"/>
        <v>3130.68</v>
      </c>
      <c r="Q171" s="22">
        <f t="shared" si="1262"/>
        <v>4317.1450000000004</v>
      </c>
      <c r="R171" s="22">
        <f t="shared" si="1262"/>
        <v>4409.799</v>
      </c>
      <c r="S171" s="22">
        <f t="shared" si="1262"/>
        <v>5696.3030000000008</v>
      </c>
      <c r="T171" s="22">
        <f t="shared" si="1262"/>
        <v>6607.6820000000007</v>
      </c>
      <c r="U171" s="22">
        <f t="shared" si="1262"/>
        <v>6064.9699999999993</v>
      </c>
      <c r="V171" s="22">
        <f t="shared" si="1262"/>
        <v>7574.24</v>
      </c>
      <c r="W171" s="22">
        <f t="shared" ref="W171" si="1263">SUM(W165:W170)</f>
        <v>11585.189999999999</v>
      </c>
      <c r="X171" s="22">
        <f t="shared" ref="X171:Y171" si="1264">SUM(X165:X170)</f>
        <v>11745.07</v>
      </c>
      <c r="Y171" s="22">
        <f t="shared" si="1264"/>
        <v>10855.54</v>
      </c>
      <c r="Z171" s="22">
        <f t="shared" ref="Z171:AA171" si="1265">SUM(Z165:Z170)</f>
        <v>14225.730000000001</v>
      </c>
      <c r="AA171" s="22">
        <f t="shared" si="1265"/>
        <v>14349.3</v>
      </c>
      <c r="AB171" s="21">
        <f t="shared" ref="AA171:AD171" si="1266">SUM(AB165:AB170)</f>
        <v>16237.477688326326</v>
      </c>
      <c r="AC171" s="21">
        <f t="shared" si="1266"/>
        <v>16875.238615122355</v>
      </c>
      <c r="AD171" s="21">
        <f t="shared" si="1266"/>
        <v>18260.577708605531</v>
      </c>
      <c r="AE171" s="21">
        <f t="shared" ref="AE171" si="1267">SUM(AE165:AE170)</f>
        <v>19773.52989994509</v>
      </c>
      <c r="AJ171" s="22">
        <f t="shared" ref="AJ171" si="1268">SUM(AJ165:AJ170)</f>
        <v>0</v>
      </c>
      <c r="AK171" s="22" t="e">
        <f t="shared" ref="AK171" si="1269">SUM(AK165:AK170)</f>
        <v>#DIV/0!</v>
      </c>
      <c r="AL171" s="22">
        <f t="shared" ref="AL171:AM171" si="1270">SUM(AL165:AL170)</f>
        <v>0</v>
      </c>
      <c r="AM171" s="22" t="e">
        <f t="shared" si="1270"/>
        <v>#DIV/0!</v>
      </c>
      <c r="AN171" s="22">
        <f t="shared" ref="AN171:AO171" si="1271">SUM(AN165:AN170)</f>
        <v>0</v>
      </c>
      <c r="AO171" s="22" t="e">
        <f t="shared" si="1271"/>
        <v>#DIV/0!</v>
      </c>
      <c r="AP171" s="22">
        <f t="shared" ref="AP171:CE171" si="1272">SUM(AP165:AP170)</f>
        <v>0</v>
      </c>
      <c r="AQ171" s="22" t="e">
        <f t="shared" si="1272"/>
        <v>#DIV/0!</v>
      </c>
      <c r="AR171" s="22">
        <f t="shared" si="1272"/>
        <v>0</v>
      </c>
      <c r="AS171" s="22" t="e">
        <f t="shared" si="1272"/>
        <v>#DIV/0!</v>
      </c>
      <c r="AT171" s="22">
        <f t="shared" si="1272"/>
        <v>0</v>
      </c>
      <c r="AU171" s="22" t="e">
        <f t="shared" si="1272"/>
        <v>#DIV/0!</v>
      </c>
      <c r="AV171" s="22">
        <f t="shared" si="1272"/>
        <v>0</v>
      </c>
      <c r="AW171" s="22" t="e">
        <f t="shared" si="1272"/>
        <v>#DIV/0!</v>
      </c>
      <c r="AX171" s="22">
        <f t="shared" si="1272"/>
        <v>0</v>
      </c>
      <c r="AY171" s="22" t="e">
        <f t="shared" si="1272"/>
        <v>#DIV/0!</v>
      </c>
      <c r="AZ171" s="22">
        <f t="shared" si="1272"/>
        <v>0</v>
      </c>
      <c r="BA171" s="22" t="e">
        <f t="shared" si="1272"/>
        <v>#DIV/0!</v>
      </c>
      <c r="BB171" s="22">
        <f t="shared" si="1272"/>
        <v>0</v>
      </c>
      <c r="BC171" s="22" t="e">
        <f t="shared" si="1272"/>
        <v>#DIV/0!</v>
      </c>
      <c r="BD171" s="22">
        <f t="shared" si="1272"/>
        <v>0</v>
      </c>
      <c r="BE171" s="22" t="e">
        <f t="shared" si="1272"/>
        <v>#DIV/0!</v>
      </c>
      <c r="BF171" s="22">
        <f t="shared" si="1272"/>
        <v>0</v>
      </c>
      <c r="BG171" s="22" t="e">
        <f t="shared" si="1272"/>
        <v>#DIV/0!</v>
      </c>
      <c r="BH171" s="22">
        <f t="shared" si="1272"/>
        <v>0</v>
      </c>
      <c r="BI171" s="22" t="e">
        <f t="shared" si="1272"/>
        <v>#DIV/0!</v>
      </c>
      <c r="BJ171" s="22">
        <f t="shared" si="1272"/>
        <v>0</v>
      </c>
      <c r="BK171" s="22" t="e">
        <f t="shared" si="1272"/>
        <v>#DIV/0!</v>
      </c>
      <c r="BL171" s="22">
        <f t="shared" si="1272"/>
        <v>0</v>
      </c>
      <c r="BM171" s="22" t="e">
        <f t="shared" si="1272"/>
        <v>#DIV/0!</v>
      </c>
      <c r="BN171" s="22">
        <f t="shared" si="1272"/>
        <v>0</v>
      </c>
      <c r="BO171" s="22" t="e">
        <f t="shared" si="1272"/>
        <v>#DIV/0!</v>
      </c>
      <c r="BP171" s="22">
        <f t="shared" si="1272"/>
        <v>0</v>
      </c>
      <c r="BQ171" s="22" t="e">
        <f t="shared" si="1272"/>
        <v>#DIV/0!</v>
      </c>
      <c r="BR171" s="22">
        <f t="shared" si="1272"/>
        <v>7796.0900000000011</v>
      </c>
      <c r="BS171" s="22">
        <f t="shared" si="1272"/>
        <v>8173.2421189823417</v>
      </c>
      <c r="BT171" s="22">
        <f t="shared" si="1272"/>
        <v>0</v>
      </c>
      <c r="BU171" s="22">
        <f t="shared" si="1272"/>
        <v>0</v>
      </c>
      <c r="BV171" s="22">
        <f t="shared" si="1272"/>
        <v>11830.699999999999</v>
      </c>
      <c r="BW171" s="22">
        <f t="shared" si="1272"/>
        <v>11702.046127438954</v>
      </c>
      <c r="BX171" s="22">
        <f t="shared" si="1272"/>
        <v>11525.1</v>
      </c>
      <c r="BY171" s="22">
        <f t="shared" si="1272"/>
        <v>12375.834040931362</v>
      </c>
      <c r="BZ171" s="22">
        <f t="shared" si="1272"/>
        <v>12026.710000000001</v>
      </c>
      <c r="CA171" s="22">
        <f t="shared" si="1272"/>
        <v>11372.204103213233</v>
      </c>
      <c r="CB171" s="22">
        <f t="shared" si="1272"/>
        <v>12139.94</v>
      </c>
      <c r="CC171" s="22">
        <f t="shared" si="1272"/>
        <v>12569.870463383917</v>
      </c>
      <c r="CD171" s="22">
        <f t="shared" si="1272"/>
        <v>11168.890000000001</v>
      </c>
      <c r="CE171" s="22">
        <f t="shared" si="1272"/>
        <v>11801.644617899499</v>
      </c>
      <c r="CF171" s="22">
        <f t="shared" ref="CF171:CG171" si="1273">SUM(CF165:CF170)</f>
        <v>12353.640000000001</v>
      </c>
      <c r="CG171" s="22">
        <f t="shared" si="1273"/>
        <v>14045.205731317918</v>
      </c>
      <c r="CH171" s="22">
        <f t="shared" ref="CH171:CI171" si="1274">SUM(CH165:CH170)</f>
        <v>14225.730000000001</v>
      </c>
      <c r="CI171" s="22">
        <f t="shared" si="1274"/>
        <v>13311.969663854208</v>
      </c>
      <c r="CJ171" s="22">
        <f t="shared" ref="CJ171:DB171" si="1275">SUM(CJ165:CJ170)</f>
        <v>15841.67</v>
      </c>
      <c r="CK171" s="22">
        <f t="shared" si="1275"/>
        <v>16739.821492879404</v>
      </c>
      <c r="CL171" s="22">
        <f t="shared" ref="CL171" si="1276">SUM(CL165:CL170)</f>
        <v>14828.359999999999</v>
      </c>
      <c r="CM171" s="21">
        <f t="shared" si="1275"/>
        <v>12464.128860431572</v>
      </c>
      <c r="CN171" s="21">
        <f t="shared" si="1275"/>
        <v>13071.288938747901</v>
      </c>
      <c r="CO171" s="21">
        <f t="shared" si="1275"/>
        <v>13964.18699099279</v>
      </c>
      <c r="CP171" s="21">
        <f t="shared" si="1275"/>
        <v>16237.477688326326</v>
      </c>
      <c r="CQ171" s="21">
        <f t="shared" si="1275"/>
        <v>12909.248126005274</v>
      </c>
      <c r="CR171" s="21">
        <f t="shared" si="1275"/>
        <v>13571.857833736029</v>
      </c>
      <c r="CS171" s="21">
        <f t="shared" si="1275"/>
        <v>14519.806335623933</v>
      </c>
      <c r="CT171" s="21">
        <f t="shared" si="1275"/>
        <v>16875.238615122355</v>
      </c>
      <c r="CU171" s="21">
        <f t="shared" si="1275"/>
        <v>13962.355392898526</v>
      </c>
      <c r="CV171" s="21">
        <f t="shared" si="1275"/>
        <v>14671.932177111088</v>
      </c>
      <c r="CW171" s="21">
        <f t="shared" si="1275"/>
        <v>15705.038721511202</v>
      </c>
      <c r="CX171" s="21">
        <f t="shared" si="1275"/>
        <v>18260.577708605531</v>
      </c>
      <c r="CY171" s="21">
        <f t="shared" si="1275"/>
        <v>15119.253841634256</v>
      </c>
      <c r="CZ171" s="21">
        <f t="shared" si="1275"/>
        <v>15871.085274818084</v>
      </c>
      <c r="DA171" s="21">
        <f t="shared" si="1275"/>
        <v>16996.16522201207</v>
      </c>
      <c r="DB171" s="21">
        <f t="shared" si="1275"/>
        <v>19773.52989994509</v>
      </c>
      <c r="DE171" s="126"/>
      <c r="DF171" s="22">
        <v>19454.285150831256</v>
      </c>
    </row>
    <row r="172" spans="1:110" s="23" customFormat="1" outlineLevel="1" x14ac:dyDescent="0.2">
      <c r="A172" s="23" t="s">
        <v>66</v>
      </c>
      <c r="B172" s="23">
        <f>'Annual Raw'!C50+'Annual Raw'!C58</f>
        <v>0</v>
      </c>
      <c r="C172" s="23">
        <f>'Annual Raw'!D50+'Annual Raw'!D58</f>
        <v>0</v>
      </c>
      <c r="D172" s="23">
        <f>'Annual Raw'!E50+'Annual Raw'!E58</f>
        <v>0</v>
      </c>
      <c r="E172" s="23">
        <f>'Annual Raw'!F50+'Annual Raw'!F58</f>
        <v>0</v>
      </c>
      <c r="F172" s="23">
        <f>'Annual Raw'!G50+'Annual Raw'!G58</f>
        <v>0</v>
      </c>
      <c r="G172" s="23">
        <f>'Annual Raw'!H50+'Annual Raw'!H58</f>
        <v>0</v>
      </c>
      <c r="H172" s="23">
        <f>'Annual Raw'!I50+'Annual Raw'!I58</f>
        <v>0</v>
      </c>
      <c r="I172" s="23">
        <f>'Annual Raw'!J50+'Annual Raw'!J58</f>
        <v>0</v>
      </c>
      <c r="J172" s="23">
        <f>'Annual Raw'!K50+'Annual Raw'!K58</f>
        <v>0</v>
      </c>
      <c r="K172" s="23">
        <f>'Annual Raw'!L50+'Annual Raw'!L58</f>
        <v>0</v>
      </c>
      <c r="L172" s="23">
        <f>'Annual Raw'!M50+'Annual Raw'!M58</f>
        <v>3.6309999999999998</v>
      </c>
      <c r="M172" s="23">
        <f>'Annual Raw'!N50+'Annual Raw'!N58</f>
        <v>11.16</v>
      </c>
      <c r="N172" s="23">
        <f>'Annual Raw'!O50+'Annual Raw'!O58</f>
        <v>20.896999999999998</v>
      </c>
      <c r="O172" s="23">
        <f>'Annual Raw'!P50+'Annual Raw'!P58</f>
        <v>87.084999999999994</v>
      </c>
      <c r="P172" s="23">
        <f>'Annual Raw'!Q50+'Annual Raw'!Q58</f>
        <v>96.001000000000005</v>
      </c>
      <c r="Q172" s="23">
        <f>'Annual Raw'!R50+'Annual Raw'!R58</f>
        <v>115.673</v>
      </c>
      <c r="R172" s="23">
        <f>'Annual Raw'!S50+'Annual Raw'!S58</f>
        <v>147.81</v>
      </c>
      <c r="S172" s="23">
        <f>'Annual Raw'!T50+'Annual Raw'!T58</f>
        <v>168.32300000000001</v>
      </c>
      <c r="T172" s="23">
        <f>'Annual Raw'!U50+'Annual Raw'!U58</f>
        <v>242.53100000000001</v>
      </c>
      <c r="U172" s="23">
        <f>'Annual Raw'!V50+'Annual Raw'!V58</f>
        <v>331.54899999999998</v>
      </c>
      <c r="V172" s="23">
        <f>'Annual Raw'!W50+'Annual Raw'!W58</f>
        <v>445.52</v>
      </c>
      <c r="W172" s="23">
        <f>'Annual Raw'!X50+'Annual Raw'!X58</f>
        <v>99.65</v>
      </c>
      <c r="X172" s="23">
        <f>'Annual Raw'!Y50+'Annual Raw'!Y58</f>
        <v>118.54</v>
      </c>
      <c r="Y172" s="23">
        <f>'Annual Raw'!Z50+'Annual Raw'!Z58</f>
        <v>135.35</v>
      </c>
      <c r="Z172" s="23">
        <f>'Annual Raw'!AA50+'Annual Raw'!AA58</f>
        <v>178.01</v>
      </c>
      <c r="AA172" s="23">
        <f>'Annual Raw'!AB50+'Annual Raw'!AB58</f>
        <v>381.55</v>
      </c>
      <c r="AB172" s="24">
        <f t="shared" ref="AB172:AB178" si="1277">+CP172</f>
        <v>0</v>
      </c>
      <c r="AC172" s="24">
        <f t="shared" ref="AC172:AC178" si="1278">+CT172</f>
        <v>0</v>
      </c>
      <c r="AD172" s="24">
        <f t="shared" ref="AD172:AD178" si="1279">+CX172</f>
        <v>0</v>
      </c>
      <c r="AE172" s="24">
        <f t="shared" ref="AE172:AE178" si="1280">+DB172</f>
        <v>0</v>
      </c>
      <c r="AJ172" s="23">
        <f>+'QTR Raw'!D64</f>
        <v>0</v>
      </c>
      <c r="AK172" s="23">
        <f t="shared" ref="AK172:CE178" si="1281">+AJ172</f>
        <v>0</v>
      </c>
      <c r="AL172" s="23">
        <f>+'QTR Raw'!F64</f>
        <v>0</v>
      </c>
      <c r="AM172" s="23">
        <f t="shared" si="1281"/>
        <v>0</v>
      </c>
      <c r="AN172" s="23">
        <f>+'QTR Raw'!H64</f>
        <v>0</v>
      </c>
      <c r="AO172" s="23">
        <f t="shared" si="1281"/>
        <v>0</v>
      </c>
      <c r="AP172" s="23">
        <f>+'QTR Raw'!J64</f>
        <v>0</v>
      </c>
      <c r="AQ172" s="23">
        <f t="shared" si="1281"/>
        <v>0</v>
      </c>
      <c r="AR172" s="23">
        <f>+'QTR Raw'!L64</f>
        <v>0</v>
      </c>
      <c r="AS172" s="23">
        <f t="shared" si="1281"/>
        <v>0</v>
      </c>
      <c r="AT172" s="23">
        <f>+'QTR Raw'!N64</f>
        <v>0</v>
      </c>
      <c r="AU172" s="23">
        <f t="shared" si="1281"/>
        <v>0</v>
      </c>
      <c r="AV172" s="23">
        <f>+'QTR Raw'!P64</f>
        <v>0</v>
      </c>
      <c r="AW172" s="23">
        <f t="shared" si="1281"/>
        <v>0</v>
      </c>
      <c r="AX172" s="23">
        <f>+'QTR Raw'!R64</f>
        <v>0</v>
      </c>
      <c r="AY172" s="23">
        <f t="shared" si="1281"/>
        <v>0</v>
      </c>
      <c r="AZ172" s="23">
        <f>+'QTR Raw'!T64</f>
        <v>0</v>
      </c>
      <c r="BA172" s="23">
        <f t="shared" si="1281"/>
        <v>0</v>
      </c>
      <c r="BB172" s="23">
        <f>+'QTR Raw'!V64</f>
        <v>0</v>
      </c>
      <c r="BC172" s="23">
        <f t="shared" si="1281"/>
        <v>0</v>
      </c>
      <c r="BD172" s="23">
        <f>+'QTR Raw'!X64</f>
        <v>0</v>
      </c>
      <c r="BE172" s="23">
        <f t="shared" si="1281"/>
        <v>0</v>
      </c>
      <c r="BF172" s="23">
        <f>+'QTR Raw'!Z64</f>
        <v>0</v>
      </c>
      <c r="BG172" s="23">
        <f t="shared" si="1281"/>
        <v>0</v>
      </c>
      <c r="BH172" s="23">
        <f>+'QTR Raw'!AB64</f>
        <v>0</v>
      </c>
      <c r="BI172" s="23">
        <f t="shared" si="1281"/>
        <v>0</v>
      </c>
      <c r="BJ172" s="23">
        <f>+'QTR Raw'!AD64</f>
        <v>0</v>
      </c>
      <c r="BK172" s="23">
        <f t="shared" si="1281"/>
        <v>0</v>
      </c>
      <c r="BL172" s="23">
        <f>+'QTR Raw'!AF64</f>
        <v>0</v>
      </c>
      <c r="BM172" s="23">
        <f t="shared" si="1281"/>
        <v>0</v>
      </c>
      <c r="BN172" s="23">
        <f>+'QTR Raw'!AH64</f>
        <v>0</v>
      </c>
      <c r="BO172" s="23">
        <f t="shared" si="1281"/>
        <v>0</v>
      </c>
      <c r="BP172" s="23">
        <f>+'QTR Raw'!AJ64</f>
        <v>0</v>
      </c>
      <c r="BQ172" s="23">
        <f t="shared" si="1281"/>
        <v>0</v>
      </c>
      <c r="BR172" s="23">
        <f>+'QTR Raw'!AL64</f>
        <v>445.52</v>
      </c>
      <c r="BS172" s="23">
        <f t="shared" si="1281"/>
        <v>445.52</v>
      </c>
      <c r="BT172" s="23">
        <f>+'QTR Raw'!AN64</f>
        <v>0</v>
      </c>
      <c r="BU172" s="23">
        <f t="shared" si="1281"/>
        <v>0</v>
      </c>
      <c r="BV172" s="23">
        <f>+'QTR Raw'!AP64</f>
        <v>99.65</v>
      </c>
      <c r="BW172" s="23">
        <f t="shared" si="1281"/>
        <v>99.65</v>
      </c>
      <c r="BX172" s="23">
        <f>+'QTR Raw'!AR64</f>
        <v>660.72</v>
      </c>
      <c r="BY172" s="23">
        <f t="shared" si="1281"/>
        <v>660.72</v>
      </c>
      <c r="BZ172" s="23">
        <f>+'QTR Raw'!AT64</f>
        <v>118.54</v>
      </c>
      <c r="CA172" s="23">
        <f t="shared" si="1281"/>
        <v>118.54</v>
      </c>
      <c r="CB172" s="23">
        <f>+'QTR Raw'!AV64</f>
        <v>131.49</v>
      </c>
      <c r="CC172" s="23">
        <f t="shared" si="1281"/>
        <v>131.49</v>
      </c>
      <c r="CD172" s="23">
        <f>+'QTR Raw'!AX64</f>
        <v>135.35</v>
      </c>
      <c r="CE172" s="23">
        <f t="shared" si="1281"/>
        <v>135.35</v>
      </c>
      <c r="CF172" s="23">
        <f>+'QTR Raw'!AZ64</f>
        <v>165.39</v>
      </c>
      <c r="CG172" s="23">
        <f t="shared" ref="CG172:CG175" si="1282">+CF172</f>
        <v>165.39</v>
      </c>
      <c r="CH172" s="23">
        <f t="shared" si="1235"/>
        <v>178.01</v>
      </c>
      <c r="CJ172" s="23">
        <f>+'QTR Raw'!BD64</f>
        <v>207.54</v>
      </c>
      <c r="CL172" s="23">
        <f>+'QTR Raw'!BF64</f>
        <v>381.55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  <c r="DF172" s="23">
        <v>381.55</v>
      </c>
    </row>
    <row r="173" spans="1:110" s="23" customFormat="1" outlineLevel="1" x14ac:dyDescent="0.2">
      <c r="A173" s="23" t="s">
        <v>67</v>
      </c>
      <c r="B173" s="23">
        <f>'Annual Raw'!C51</f>
        <v>0</v>
      </c>
      <c r="C173" s="23">
        <f>'Annual Raw'!D51</f>
        <v>0</v>
      </c>
      <c r="D173" s="23">
        <f>'Annual Raw'!E51</f>
        <v>0</v>
      </c>
      <c r="E173" s="23">
        <f>'Annual Raw'!F51</f>
        <v>0</v>
      </c>
      <c r="F173" s="23">
        <f>'Annual Raw'!G51</f>
        <v>0</v>
      </c>
      <c r="G173" s="23">
        <f>'Annual Raw'!H51</f>
        <v>0</v>
      </c>
      <c r="H173" s="23">
        <f>'Annual Raw'!I51</f>
        <v>0</v>
      </c>
      <c r="I173" s="23">
        <f>'Annual Raw'!J51</f>
        <v>0</v>
      </c>
      <c r="J173" s="23">
        <f>'Annual Raw'!K51</f>
        <v>0</v>
      </c>
      <c r="K173" s="23">
        <f>'Annual Raw'!L51</f>
        <v>0</v>
      </c>
      <c r="L173" s="23">
        <f>'Annual Raw'!M51</f>
        <v>0</v>
      </c>
      <c r="M173" s="23">
        <f>'Annual Raw'!N51</f>
        <v>3.0000000000000001E-3</v>
      </c>
      <c r="N173" s="23">
        <f>'Annual Raw'!O51</f>
        <v>0</v>
      </c>
      <c r="O173" s="23">
        <f>'Annual Raw'!P51</f>
        <v>0</v>
      </c>
      <c r="P173" s="23">
        <f>'Annual Raw'!Q51</f>
        <v>0</v>
      </c>
      <c r="Q173" s="23">
        <f>'Annual Raw'!R51</f>
        <v>0</v>
      </c>
      <c r="R173" s="23">
        <f>'Annual Raw'!S51</f>
        <v>0</v>
      </c>
      <c r="S173" s="23">
        <f>'Annual Raw'!T51</f>
        <v>0</v>
      </c>
      <c r="T173" s="23">
        <f>'Annual Raw'!U51</f>
        <v>0</v>
      </c>
      <c r="U173" s="23">
        <f>'Annual Raw'!V51</f>
        <v>0</v>
      </c>
      <c r="V173" s="23">
        <f>'Annual Raw'!W51</f>
        <v>0</v>
      </c>
      <c r="W173" s="23">
        <f>'Annual Raw'!X51</f>
        <v>0</v>
      </c>
      <c r="X173" s="23">
        <f>'Annual Raw'!Y51</f>
        <v>0</v>
      </c>
      <c r="Y173" s="23">
        <f>'Annual Raw'!Z51</f>
        <v>0</v>
      </c>
      <c r="Z173" s="23">
        <f>'Annual Raw'!AA51</f>
        <v>0</v>
      </c>
      <c r="AA173" s="23">
        <f>'Annual Raw'!AB51</f>
        <v>0</v>
      </c>
      <c r="AB173" s="24">
        <f t="shared" si="1277"/>
        <v>0</v>
      </c>
      <c r="AC173" s="24">
        <f t="shared" si="1278"/>
        <v>0</v>
      </c>
      <c r="AD173" s="24">
        <f t="shared" si="1279"/>
        <v>0</v>
      </c>
      <c r="AE173" s="24">
        <f t="shared" si="1280"/>
        <v>0</v>
      </c>
      <c r="AJ173" s="23">
        <f>+'QTR Raw'!D65</f>
        <v>0</v>
      </c>
      <c r="AK173" s="23">
        <f t="shared" si="1281"/>
        <v>0</v>
      </c>
      <c r="AL173" s="23">
        <f>+'QTR Raw'!F65</f>
        <v>0</v>
      </c>
      <c r="AM173" s="23">
        <f t="shared" si="1281"/>
        <v>0</v>
      </c>
      <c r="AN173" s="23">
        <f>+'QTR Raw'!H65</f>
        <v>0</v>
      </c>
      <c r="AO173" s="23">
        <f t="shared" si="1281"/>
        <v>0</v>
      </c>
      <c r="AP173" s="23">
        <f>+'QTR Raw'!J65</f>
        <v>0</v>
      </c>
      <c r="AQ173" s="23">
        <f t="shared" si="1281"/>
        <v>0</v>
      </c>
      <c r="AR173" s="23">
        <f>+'QTR Raw'!L65</f>
        <v>0</v>
      </c>
      <c r="AS173" s="23">
        <f t="shared" si="1281"/>
        <v>0</v>
      </c>
      <c r="AT173" s="23">
        <f>+'QTR Raw'!N65</f>
        <v>0</v>
      </c>
      <c r="AU173" s="23">
        <f t="shared" si="1281"/>
        <v>0</v>
      </c>
      <c r="AV173" s="23">
        <f>+'QTR Raw'!P65</f>
        <v>0</v>
      </c>
      <c r="AW173" s="23">
        <f t="shared" si="1281"/>
        <v>0</v>
      </c>
      <c r="AX173" s="23">
        <f>+'QTR Raw'!R65</f>
        <v>0</v>
      </c>
      <c r="AY173" s="23">
        <f t="shared" si="1281"/>
        <v>0</v>
      </c>
      <c r="AZ173" s="23">
        <f>+'QTR Raw'!T65</f>
        <v>0</v>
      </c>
      <c r="BA173" s="23">
        <f t="shared" si="1281"/>
        <v>0</v>
      </c>
      <c r="BB173" s="23">
        <f>+'QTR Raw'!V65</f>
        <v>0</v>
      </c>
      <c r="BC173" s="23">
        <f t="shared" si="1281"/>
        <v>0</v>
      </c>
      <c r="BD173" s="23">
        <f>+'QTR Raw'!X65</f>
        <v>0</v>
      </c>
      <c r="BE173" s="23">
        <f t="shared" si="1281"/>
        <v>0</v>
      </c>
      <c r="BF173" s="23">
        <f>+'QTR Raw'!Z65</f>
        <v>0</v>
      </c>
      <c r="BG173" s="23">
        <f t="shared" si="1281"/>
        <v>0</v>
      </c>
      <c r="BH173" s="23">
        <f>+'QTR Raw'!AB65</f>
        <v>0</v>
      </c>
      <c r="BI173" s="23">
        <f t="shared" si="1281"/>
        <v>0</v>
      </c>
      <c r="BJ173" s="23">
        <f>+'QTR Raw'!AD65</f>
        <v>0</v>
      </c>
      <c r="BK173" s="23">
        <f t="shared" si="1281"/>
        <v>0</v>
      </c>
      <c r="BL173" s="23">
        <f>+'QTR Raw'!AF65</f>
        <v>0</v>
      </c>
      <c r="BM173" s="23">
        <f t="shared" si="1281"/>
        <v>0</v>
      </c>
      <c r="BN173" s="23">
        <f>+'QTR Raw'!AH65</f>
        <v>0</v>
      </c>
      <c r="BO173" s="23">
        <f t="shared" si="1281"/>
        <v>0</v>
      </c>
      <c r="BP173" s="23">
        <f>+'QTR Raw'!AJ65</f>
        <v>0</v>
      </c>
      <c r="BQ173" s="23">
        <f t="shared" si="1281"/>
        <v>0</v>
      </c>
      <c r="BR173" s="23">
        <f>+'QTR Raw'!AL65</f>
        <v>0</v>
      </c>
      <c r="BS173" s="23">
        <f t="shared" si="1281"/>
        <v>0</v>
      </c>
      <c r="BT173" s="23">
        <f>+'QTR Raw'!AN65</f>
        <v>0</v>
      </c>
      <c r="BU173" s="23">
        <f t="shared" si="1281"/>
        <v>0</v>
      </c>
      <c r="BV173" s="23">
        <f>+'QTR Raw'!AP65</f>
        <v>0</v>
      </c>
      <c r="BW173" s="23">
        <f t="shared" si="1281"/>
        <v>0</v>
      </c>
      <c r="BX173" s="23">
        <f>+'QTR Raw'!AR65</f>
        <v>0</v>
      </c>
      <c r="BY173" s="23">
        <f t="shared" si="1281"/>
        <v>0</v>
      </c>
      <c r="BZ173" s="23">
        <f>+'QTR Raw'!AT65</f>
        <v>0</v>
      </c>
      <c r="CA173" s="23">
        <f t="shared" si="1281"/>
        <v>0</v>
      </c>
      <c r="CB173" s="23">
        <f>+'QTR Raw'!AV65</f>
        <v>0</v>
      </c>
      <c r="CC173" s="23">
        <f t="shared" si="1281"/>
        <v>0</v>
      </c>
      <c r="CD173" s="23">
        <f>+'QTR Raw'!AX65</f>
        <v>0</v>
      </c>
      <c r="CE173" s="23">
        <f t="shared" si="1281"/>
        <v>0</v>
      </c>
      <c r="CF173" s="23">
        <f>+'QTR Raw'!AZ65</f>
        <v>0</v>
      </c>
      <c r="CG173" s="23">
        <f t="shared" si="1282"/>
        <v>0</v>
      </c>
      <c r="CH173" s="23">
        <f t="shared" si="1235"/>
        <v>0</v>
      </c>
      <c r="CJ173" s="23">
        <f>+'QTR Raw'!BD65</f>
        <v>0</v>
      </c>
      <c r="CL173" s="23">
        <f>+'QTR Raw'!BF65</f>
        <v>0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0</v>
      </c>
    </row>
    <row r="174" spans="1:110" s="23" customFormat="1" outlineLevel="1" x14ac:dyDescent="0.2">
      <c r="A174" s="23" t="s">
        <v>68</v>
      </c>
      <c r="B174" s="23">
        <f>'Annual Raw'!C52</f>
        <v>0</v>
      </c>
      <c r="C174" s="23">
        <f>'Annual Raw'!D52</f>
        <v>0</v>
      </c>
      <c r="D174" s="23">
        <f>'Annual Raw'!E52</f>
        <v>0</v>
      </c>
      <c r="E174" s="23">
        <f>'Annual Raw'!F52</f>
        <v>0</v>
      </c>
      <c r="F174" s="23">
        <f>'Annual Raw'!G52</f>
        <v>0</v>
      </c>
      <c r="G174" s="23">
        <f>'Annual Raw'!H52</f>
        <v>0</v>
      </c>
      <c r="H174" s="23">
        <f>'Annual Raw'!I52</f>
        <v>0</v>
      </c>
      <c r="I174" s="23">
        <f>'Annual Raw'!J52</f>
        <v>0</v>
      </c>
      <c r="J174" s="23">
        <f>'Annual Raw'!K52</f>
        <v>0</v>
      </c>
      <c r="K174" s="23">
        <f>'Annual Raw'!L52</f>
        <v>0</v>
      </c>
      <c r="L174" s="23">
        <f>'Annual Raw'!M52</f>
        <v>2.6040000000000001</v>
      </c>
      <c r="M174" s="23">
        <f>'Annual Raw'!N52</f>
        <v>2.95</v>
      </c>
      <c r="N174" s="23">
        <f>'Annual Raw'!O52</f>
        <v>3.5390000000000001</v>
      </c>
      <c r="O174" s="23">
        <f>'Annual Raw'!P52</f>
        <v>3.7949999999999999</v>
      </c>
      <c r="P174" s="23">
        <f>'Annual Raw'!Q52</f>
        <v>6.9240000000000004</v>
      </c>
      <c r="Q174" s="23">
        <f>'Annual Raw'!R52</f>
        <v>9.452</v>
      </c>
      <c r="R174" s="23">
        <f>'Annual Raw'!S52</f>
        <v>8.0879999999999992</v>
      </c>
      <c r="S174" s="23">
        <f>'Annual Raw'!T52</f>
        <v>9.0609999999999999</v>
      </c>
      <c r="T174" s="23">
        <f>'Annual Raw'!U52</f>
        <v>9.4369999999999994</v>
      </c>
      <c r="U174" s="23">
        <f>'Annual Raw'!V52</f>
        <v>24.815000000000001</v>
      </c>
      <c r="V174" s="23">
        <f>'Annual Raw'!W52</f>
        <v>27.52</v>
      </c>
      <c r="W174" s="23">
        <f>'Annual Raw'!X52</f>
        <v>622.32000000000005</v>
      </c>
      <c r="X174" s="23">
        <f>'Annual Raw'!Y52</f>
        <v>612.96</v>
      </c>
      <c r="Y174" s="23">
        <f>'Annual Raw'!Z52</f>
        <v>592.94000000000005</v>
      </c>
      <c r="Z174" s="23">
        <f>'Annual Raw'!AA52</f>
        <v>570.87</v>
      </c>
      <c r="AA174" s="23">
        <f>'Annual Raw'!AB52</f>
        <v>647.80999999999995</v>
      </c>
      <c r="AB174" s="24">
        <f t="shared" si="1277"/>
        <v>0</v>
      </c>
      <c r="AC174" s="24">
        <f t="shared" si="1278"/>
        <v>0</v>
      </c>
      <c r="AD174" s="24">
        <f t="shared" si="1279"/>
        <v>0</v>
      </c>
      <c r="AE174" s="24">
        <f t="shared" si="1280"/>
        <v>0</v>
      </c>
      <c r="AJ174" s="23">
        <f>+'QTR Raw'!D66</f>
        <v>0</v>
      </c>
      <c r="AK174" s="23">
        <f t="shared" si="1281"/>
        <v>0</v>
      </c>
      <c r="AL174" s="23">
        <f>+'QTR Raw'!F66</f>
        <v>0</v>
      </c>
      <c r="AM174" s="23">
        <f t="shared" si="1281"/>
        <v>0</v>
      </c>
      <c r="AN174" s="23">
        <f>+'QTR Raw'!H66</f>
        <v>0</v>
      </c>
      <c r="AO174" s="23">
        <f t="shared" si="1281"/>
        <v>0</v>
      </c>
      <c r="AP174" s="23">
        <f>+'QTR Raw'!J66</f>
        <v>0</v>
      </c>
      <c r="AQ174" s="23">
        <f t="shared" si="1281"/>
        <v>0</v>
      </c>
      <c r="AR174" s="23">
        <f>+'QTR Raw'!L66</f>
        <v>0</v>
      </c>
      <c r="AS174" s="23">
        <f t="shared" si="1281"/>
        <v>0</v>
      </c>
      <c r="AT174" s="23">
        <f>+'QTR Raw'!N66</f>
        <v>0</v>
      </c>
      <c r="AU174" s="23">
        <f t="shared" si="1281"/>
        <v>0</v>
      </c>
      <c r="AV174" s="23">
        <f>+'QTR Raw'!P66</f>
        <v>0</v>
      </c>
      <c r="AW174" s="23">
        <f t="shared" si="1281"/>
        <v>0</v>
      </c>
      <c r="AX174" s="23">
        <f>+'QTR Raw'!R66</f>
        <v>0</v>
      </c>
      <c r="AY174" s="23">
        <f t="shared" si="1281"/>
        <v>0</v>
      </c>
      <c r="AZ174" s="23">
        <f>+'QTR Raw'!T66</f>
        <v>0</v>
      </c>
      <c r="BA174" s="23">
        <f t="shared" si="1281"/>
        <v>0</v>
      </c>
      <c r="BB174" s="23">
        <f>+'QTR Raw'!V66</f>
        <v>0</v>
      </c>
      <c r="BC174" s="23">
        <f t="shared" si="1281"/>
        <v>0</v>
      </c>
      <c r="BD174" s="23">
        <f>+'QTR Raw'!X66</f>
        <v>0</v>
      </c>
      <c r="BE174" s="23">
        <f t="shared" si="1281"/>
        <v>0</v>
      </c>
      <c r="BF174" s="23">
        <f>+'QTR Raw'!Z66</f>
        <v>0</v>
      </c>
      <c r="BG174" s="23">
        <f t="shared" si="1281"/>
        <v>0</v>
      </c>
      <c r="BH174" s="23">
        <f>+'QTR Raw'!AB66</f>
        <v>0</v>
      </c>
      <c r="BI174" s="23">
        <f t="shared" si="1281"/>
        <v>0</v>
      </c>
      <c r="BJ174" s="23">
        <f>+'QTR Raw'!AD66</f>
        <v>0</v>
      </c>
      <c r="BK174" s="23">
        <f t="shared" si="1281"/>
        <v>0</v>
      </c>
      <c r="BL174" s="23">
        <f>+'QTR Raw'!AF66</f>
        <v>0</v>
      </c>
      <c r="BM174" s="23">
        <f t="shared" si="1281"/>
        <v>0</v>
      </c>
      <c r="BN174" s="23">
        <f>+'QTR Raw'!AH66</f>
        <v>0</v>
      </c>
      <c r="BO174" s="23">
        <f t="shared" si="1281"/>
        <v>0</v>
      </c>
      <c r="BP174" s="23">
        <f>+'QTR Raw'!AJ66</f>
        <v>0</v>
      </c>
      <c r="BQ174" s="23">
        <f t="shared" si="1281"/>
        <v>0</v>
      </c>
      <c r="BR174" s="23">
        <f>+'QTR Raw'!AL66</f>
        <v>27.52</v>
      </c>
      <c r="BS174" s="23">
        <f t="shared" si="1281"/>
        <v>27.52</v>
      </c>
      <c r="BT174" s="23">
        <f>+'QTR Raw'!AN66</f>
        <v>0</v>
      </c>
      <c r="BU174" s="23">
        <f t="shared" si="1281"/>
        <v>0</v>
      </c>
      <c r="BV174" s="23">
        <f>+'QTR Raw'!AP66</f>
        <v>622.32000000000005</v>
      </c>
      <c r="BW174" s="23">
        <f t="shared" si="1281"/>
        <v>622.32000000000005</v>
      </c>
      <c r="BX174" s="23">
        <f>+'QTR Raw'!AR66</f>
        <v>53.02</v>
      </c>
      <c r="BY174" s="23">
        <f t="shared" si="1281"/>
        <v>53.02</v>
      </c>
      <c r="BZ174" s="23">
        <f>+'QTR Raw'!AT66</f>
        <v>612.96</v>
      </c>
      <c r="CA174" s="23">
        <f t="shared" si="1281"/>
        <v>612.96</v>
      </c>
      <c r="CB174" s="23">
        <f>+'QTR Raw'!AV66</f>
        <v>616.09</v>
      </c>
      <c r="CC174" s="23">
        <f t="shared" si="1281"/>
        <v>616.09</v>
      </c>
      <c r="CD174" s="23">
        <f>+'QTR Raw'!AX66</f>
        <v>592.94000000000005</v>
      </c>
      <c r="CE174" s="23">
        <f t="shared" si="1281"/>
        <v>592.94000000000005</v>
      </c>
      <c r="CF174" s="23">
        <f>+'QTR Raw'!AZ66</f>
        <v>593.13</v>
      </c>
      <c r="CG174" s="23">
        <f t="shared" si="1282"/>
        <v>593.13</v>
      </c>
      <c r="CH174" s="23">
        <f t="shared" si="1235"/>
        <v>570.87</v>
      </c>
      <c r="CJ174" s="23">
        <f>+'QTR Raw'!BD66</f>
        <v>602.23</v>
      </c>
      <c r="CL174" s="23">
        <f>+'QTR Raw'!BF66</f>
        <v>647.80999999999995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647.80999999999995</v>
      </c>
    </row>
    <row r="175" spans="1:110" s="23" customFormat="1" outlineLevel="1" x14ac:dyDescent="0.2">
      <c r="A175" s="23" t="s">
        <v>69</v>
      </c>
      <c r="B175" s="23">
        <v>0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4">
        <f t="shared" si="1277"/>
        <v>10690.468167225106</v>
      </c>
      <c r="AC175" s="24">
        <f t="shared" si="1278"/>
        <v>11110.358683294275</v>
      </c>
      <c r="AD175" s="24">
        <f t="shared" si="1279"/>
        <v>12022.44144417417</v>
      </c>
      <c r="AE175" s="24">
        <f t="shared" si="1280"/>
        <v>13018.542411978864</v>
      </c>
      <c r="AJ175" s="23">
        <f>+'QTR Raw'!D87</f>
        <v>0</v>
      </c>
      <c r="AK175" s="23">
        <f t="shared" si="1281"/>
        <v>0</v>
      </c>
      <c r="AL175" s="23">
        <f>+'QTR Raw'!F87</f>
        <v>0</v>
      </c>
      <c r="AM175" s="23">
        <f t="shared" si="1281"/>
        <v>0</v>
      </c>
      <c r="AN175" s="23">
        <f>+'QTR Raw'!H87</f>
        <v>0</v>
      </c>
      <c r="AO175" s="23">
        <f t="shared" si="1281"/>
        <v>0</v>
      </c>
      <c r="AP175" s="23">
        <f>+'QTR Raw'!J87</f>
        <v>0</v>
      </c>
      <c r="AQ175" s="23">
        <f t="shared" si="1281"/>
        <v>0</v>
      </c>
      <c r="AR175" s="23">
        <f>+'QTR Raw'!L87</f>
        <v>0</v>
      </c>
      <c r="AS175" s="23">
        <f t="shared" si="1281"/>
        <v>0</v>
      </c>
      <c r="AT175" s="23">
        <f>+'QTR Raw'!N87</f>
        <v>0</v>
      </c>
      <c r="AU175" s="23">
        <f t="shared" si="1281"/>
        <v>0</v>
      </c>
      <c r="AV175" s="23">
        <f>+'QTR Raw'!P87</f>
        <v>0</v>
      </c>
      <c r="AW175" s="23">
        <f t="shared" si="1281"/>
        <v>0</v>
      </c>
      <c r="AX175" s="23">
        <f>+'QTR Raw'!R87</f>
        <v>0</v>
      </c>
      <c r="AY175" s="23">
        <f t="shared" si="1281"/>
        <v>0</v>
      </c>
      <c r="AZ175" s="23">
        <f>+'QTR Raw'!T87</f>
        <v>0</v>
      </c>
      <c r="BA175" s="23">
        <f t="shared" si="1281"/>
        <v>0</v>
      </c>
      <c r="BB175" s="23">
        <f>+'QTR Raw'!V87</f>
        <v>0</v>
      </c>
      <c r="BC175" s="23">
        <f t="shared" si="1281"/>
        <v>0</v>
      </c>
      <c r="BD175" s="23">
        <f>+'QTR Raw'!X87</f>
        <v>0</v>
      </c>
      <c r="BE175" s="23">
        <f t="shared" si="1281"/>
        <v>0</v>
      </c>
      <c r="BF175" s="23">
        <f>+'QTR Raw'!Z87</f>
        <v>0</v>
      </c>
      <c r="BG175" s="23">
        <f t="shared" si="1281"/>
        <v>0</v>
      </c>
      <c r="BH175" s="23">
        <f>+'QTR Raw'!AB87</f>
        <v>0</v>
      </c>
      <c r="BI175" s="23">
        <f t="shared" si="1281"/>
        <v>0</v>
      </c>
      <c r="BJ175" s="23">
        <f>+'QTR Raw'!AD87</f>
        <v>0</v>
      </c>
      <c r="BK175" s="23">
        <f t="shared" si="1281"/>
        <v>0</v>
      </c>
      <c r="BL175" s="23">
        <f>+'QTR Raw'!AF87</f>
        <v>0</v>
      </c>
      <c r="BM175" s="23">
        <f t="shared" si="1281"/>
        <v>0</v>
      </c>
      <c r="BN175" s="23">
        <f>+'QTR Raw'!AH87</f>
        <v>0</v>
      </c>
      <c r="BO175" s="23">
        <f t="shared" si="1281"/>
        <v>0</v>
      </c>
      <c r="BP175" s="23">
        <f>+'QTR Raw'!AJ87</f>
        <v>0</v>
      </c>
      <c r="BQ175" s="23">
        <f t="shared" si="1281"/>
        <v>0</v>
      </c>
      <c r="BR175" s="23">
        <f>+'QTR Raw'!AL87</f>
        <v>0</v>
      </c>
      <c r="BS175" s="23">
        <f t="shared" si="1281"/>
        <v>0</v>
      </c>
      <c r="BT175" s="23">
        <f>+'QTR Raw'!AN87</f>
        <v>0</v>
      </c>
      <c r="BU175" s="23">
        <f t="shared" si="1281"/>
        <v>0</v>
      </c>
      <c r="BV175" s="23">
        <f>+'QTR Raw'!AP87</f>
        <v>0</v>
      </c>
      <c r="BW175" s="23">
        <f t="shared" si="1281"/>
        <v>0</v>
      </c>
      <c r="BX175" s="23">
        <f>+'QTR Raw'!AR87</f>
        <v>0</v>
      </c>
      <c r="BY175" s="23">
        <f t="shared" si="1281"/>
        <v>0</v>
      </c>
      <c r="BZ175" s="23">
        <f>+'QTR Raw'!AT87</f>
        <v>0</v>
      </c>
      <c r="CA175" s="23">
        <f t="shared" si="1281"/>
        <v>0</v>
      </c>
      <c r="CB175" s="23">
        <f>+'QTR Raw'!AV87</f>
        <v>0</v>
      </c>
      <c r="CC175" s="23">
        <f t="shared" si="1281"/>
        <v>0</v>
      </c>
      <c r="CD175" s="23">
        <f>+'QTR Raw'!AX87</f>
        <v>0</v>
      </c>
      <c r="CE175" s="23">
        <f t="shared" si="1281"/>
        <v>0</v>
      </c>
      <c r="CF175" s="23">
        <f>+'QTR Raw'!AZ87</f>
        <v>0</v>
      </c>
      <c r="CG175" s="23">
        <f t="shared" si="1282"/>
        <v>0</v>
      </c>
      <c r="CH175" s="23">
        <f t="shared" si="1235"/>
        <v>0</v>
      </c>
      <c r="CI175" s="23">
        <f>CI33/90*CI207</f>
        <v>2116.9951974509577</v>
      </c>
      <c r="CJ175" s="23">
        <f>+'QTR Raw'!BD87</f>
        <v>0</v>
      </c>
      <c r="CK175" s="23">
        <f t="shared" ref="CK175:DB175" si="1283">CK33/90*CK207</f>
        <v>11711.419692170839</v>
      </c>
      <c r="CL175" s="23">
        <f>+'QTR Raw'!BF87</f>
        <v>0</v>
      </c>
      <c r="CM175" s="24">
        <f t="shared" si="1283"/>
        <v>8206.1620266571008</v>
      </c>
      <c r="CN175" s="24">
        <f t="shared" si="1283"/>
        <v>8605.9054852311565</v>
      </c>
      <c r="CO175" s="24">
        <f t="shared" si="1283"/>
        <v>9193.7737728632874</v>
      </c>
      <c r="CP175" s="24">
        <f t="shared" si="1283"/>
        <v>10690.468167225106</v>
      </c>
      <c r="CQ175" s="24">
        <f t="shared" si="1283"/>
        <v>8499.2206796432947</v>
      </c>
      <c r="CR175" s="24">
        <f t="shared" si="1283"/>
        <v>8935.4711936552485</v>
      </c>
      <c r="CS175" s="24">
        <f t="shared" si="1283"/>
        <v>9559.5837238228505</v>
      </c>
      <c r="CT175" s="24">
        <f t="shared" si="1283"/>
        <v>11110.358683294275</v>
      </c>
      <c r="CU175" s="24">
        <f t="shared" si="1283"/>
        <v>9192.5678810679146</v>
      </c>
      <c r="CV175" s="24">
        <f t="shared" si="1283"/>
        <v>9659.7406876719815</v>
      </c>
      <c r="CW175" s="24">
        <f t="shared" si="1283"/>
        <v>10339.919767098927</v>
      </c>
      <c r="CX175" s="24">
        <f t="shared" si="1283"/>
        <v>12022.44144417417</v>
      </c>
      <c r="CY175" s="24">
        <f t="shared" si="1283"/>
        <v>9954.2493611793871</v>
      </c>
      <c r="CZ175" s="24">
        <f t="shared" si="1283"/>
        <v>10449.24188143697</v>
      </c>
      <c r="DA175" s="24">
        <f t="shared" si="1283"/>
        <v>11189.974622810203</v>
      </c>
      <c r="DB175" s="24">
        <f t="shared" si="1283"/>
        <v>13018.542411978864</v>
      </c>
      <c r="DE175" s="123"/>
      <c r="DF175" s="23">
        <v>13610.497478092391</v>
      </c>
    </row>
    <row r="176" spans="1:110" s="23" customFormat="1" outlineLevel="1" x14ac:dyDescent="0.2">
      <c r="A176" s="23" t="s">
        <v>70</v>
      </c>
      <c r="B176" s="23">
        <f>'Annual Raw'!C54</f>
        <v>0</v>
      </c>
      <c r="C176" s="23">
        <f>'Annual Raw'!D54</f>
        <v>0</v>
      </c>
      <c r="D176" s="23">
        <f>'Annual Raw'!E54</f>
        <v>214.815</v>
      </c>
      <c r="E176" s="23">
        <f>'Annual Raw'!F54</f>
        <v>312.96600000000001</v>
      </c>
      <c r="F176" s="23">
        <f>'Annual Raw'!G54</f>
        <v>316.012</v>
      </c>
      <c r="G176" s="23">
        <f>'Annual Raw'!H54</f>
        <v>550.26800000000003</v>
      </c>
      <c r="H176" s="23">
        <f>'Annual Raw'!I54</f>
        <v>418.93700000000001</v>
      </c>
      <c r="I176" s="23">
        <f>'Annual Raw'!J54</f>
        <v>915.798</v>
      </c>
      <c r="J176" s="23">
        <f>'Annual Raw'!K54</f>
        <v>492.04599999999999</v>
      </c>
      <c r="K176" s="23">
        <f>'Annual Raw'!L54</f>
        <v>956.87300000000005</v>
      </c>
      <c r="L176" s="23">
        <f>'Annual Raw'!M54</f>
        <v>1316.8209999999999</v>
      </c>
      <c r="M176" s="23">
        <f>'Annual Raw'!N54</f>
        <v>1873.7080000000001</v>
      </c>
      <c r="N176" s="23">
        <f>'Annual Raw'!O54</f>
        <v>2105.7339999999999</v>
      </c>
      <c r="O176" s="23">
        <f>'Annual Raw'!P54</f>
        <v>2586.114</v>
      </c>
      <c r="P176" s="23">
        <f>'Annual Raw'!Q54</f>
        <v>2612.931</v>
      </c>
      <c r="Q176" s="23">
        <f>'Annual Raw'!R54</f>
        <v>3272.5990000000002</v>
      </c>
      <c r="R176" s="23">
        <f>'Annual Raw'!S54</f>
        <v>3003.1019999999999</v>
      </c>
      <c r="S176" s="23">
        <f>'Annual Raw'!T54</f>
        <v>5101.9189999999999</v>
      </c>
      <c r="T176" s="23">
        <f>'Annual Raw'!U54</f>
        <v>6650.3710000000001</v>
      </c>
      <c r="U176" s="23">
        <f>'Annual Raw'!V54</f>
        <v>5697.0910000000003</v>
      </c>
      <c r="V176" s="23">
        <f>'Annual Raw'!W54</f>
        <v>5192.6499999999996</v>
      </c>
      <c r="W176" s="23">
        <f>'Annual Raw'!X54</f>
        <v>9191.36</v>
      </c>
      <c r="X176" s="23">
        <f>'Annual Raw'!Y54</f>
        <v>8538.2900000000009</v>
      </c>
      <c r="Y176" s="23">
        <f>'Annual Raw'!Z54</f>
        <v>6958.04</v>
      </c>
      <c r="Z176" s="23">
        <f>'Annual Raw'!AA54</f>
        <v>8687.94</v>
      </c>
      <c r="AA176" s="23">
        <f>'Annual Raw'!AB54</f>
        <v>10282.25</v>
      </c>
      <c r="AB176" s="24">
        <f t="shared" si="1277"/>
        <v>3579.6483605158469</v>
      </c>
      <c r="AC176" s="24">
        <f t="shared" si="1278"/>
        <v>3720.2465433018219</v>
      </c>
      <c r="AD176" s="24">
        <f t="shared" si="1279"/>
        <v>4025.6527714077279</v>
      </c>
      <c r="AE176" s="24">
        <f t="shared" si="1280"/>
        <v>4359.1920645924774</v>
      </c>
      <c r="AJ176" s="23">
        <f>+'QTR Raw'!D89</f>
        <v>0</v>
      </c>
      <c r="AK176" s="23" t="e">
        <f>+AK206*AK33/90</f>
        <v>#DIV/0!</v>
      </c>
      <c r="AL176" s="23">
        <f>+'QTR Raw'!F89</f>
        <v>0</v>
      </c>
      <c r="AM176" s="23" t="e">
        <f>+AM206*AM33/90</f>
        <v>#DIV/0!</v>
      </c>
      <c r="AN176" s="23">
        <f>+'QTR Raw'!H89</f>
        <v>0</v>
      </c>
      <c r="AO176" s="23" t="e">
        <f>+AO206*AO33/90</f>
        <v>#DIV/0!</v>
      </c>
      <c r="AP176" s="23">
        <f>+'QTR Raw'!J89</f>
        <v>0</v>
      </c>
      <c r="AQ176" s="23" t="e">
        <f>+AQ206*AQ33/90</f>
        <v>#DIV/0!</v>
      </c>
      <c r="AR176" s="23">
        <f>+'QTR Raw'!L89</f>
        <v>0</v>
      </c>
      <c r="AS176" s="23" t="e">
        <f>+AS206*AS33/90</f>
        <v>#DIV/0!</v>
      </c>
      <c r="AT176" s="23">
        <f>+'QTR Raw'!N89</f>
        <v>0</v>
      </c>
      <c r="AU176" s="23" t="e">
        <f>+AU206*AU33/90</f>
        <v>#DIV/0!</v>
      </c>
      <c r="AV176" s="23">
        <f>+'QTR Raw'!P89</f>
        <v>0</v>
      </c>
      <c r="AW176" s="23" t="e">
        <f>+AW206*AW33/90</f>
        <v>#DIV/0!</v>
      </c>
      <c r="AX176" s="23">
        <f>+'QTR Raw'!R89</f>
        <v>0</v>
      </c>
      <c r="AY176" s="23" t="e">
        <f>+AY206*AY33/90</f>
        <v>#DIV/0!</v>
      </c>
      <c r="AZ176" s="23">
        <f>+'QTR Raw'!T89</f>
        <v>0</v>
      </c>
      <c r="BA176" s="23" t="e">
        <f>+BA206*BA33/90</f>
        <v>#DIV/0!</v>
      </c>
      <c r="BB176" s="23">
        <f>+'QTR Raw'!V89</f>
        <v>0</v>
      </c>
      <c r="BC176" s="23" t="e">
        <f>+BC206*BC33/90</f>
        <v>#DIV/0!</v>
      </c>
      <c r="BD176" s="23">
        <f>+'QTR Raw'!X89</f>
        <v>0</v>
      </c>
      <c r="BE176" s="23" t="e">
        <f>+BE206*BE33/90</f>
        <v>#DIV/0!</v>
      </c>
      <c r="BF176" s="23">
        <f>+'QTR Raw'!Z89</f>
        <v>0</v>
      </c>
      <c r="BG176" s="23" t="e">
        <f>+BG206*BG33/90</f>
        <v>#DIV/0!</v>
      </c>
      <c r="BH176" s="23">
        <f>+'QTR Raw'!AB89</f>
        <v>0</v>
      </c>
      <c r="BI176" s="23" t="e">
        <f>+BI206*BI33/90</f>
        <v>#DIV/0!</v>
      </c>
      <c r="BJ176" s="23">
        <f>+'QTR Raw'!AD89</f>
        <v>0</v>
      </c>
      <c r="BK176" s="23" t="e">
        <f>+BK206*BK33/90</f>
        <v>#DIV/0!</v>
      </c>
      <c r="BL176" s="23">
        <f>+'QTR Raw'!AF89</f>
        <v>0</v>
      </c>
      <c r="BM176" s="23" t="e">
        <f>+BM206*BM33/90</f>
        <v>#DIV/0!</v>
      </c>
      <c r="BN176" s="23">
        <f>+'QTR Raw'!AH89</f>
        <v>0</v>
      </c>
      <c r="BO176" s="23" t="e">
        <f>+BO206*BO33/90</f>
        <v>#DIV/0!</v>
      </c>
      <c r="BP176" s="23">
        <f>+'QTR Raw'!AJ89</f>
        <v>0</v>
      </c>
      <c r="BQ176" s="23" t="e">
        <f>+BQ206*BQ33/90</f>
        <v>#DIV/0!</v>
      </c>
      <c r="BR176" s="23">
        <f>+'QTR Raw'!AL89</f>
        <v>5192.6499999999996</v>
      </c>
      <c r="BS176" s="23">
        <f>+BS206*BS33/90</f>
        <v>5503.8633533508109</v>
      </c>
      <c r="BT176" s="23">
        <f>+'QTR Raw'!AN89</f>
        <v>0</v>
      </c>
      <c r="BU176" s="23">
        <f>+BU206*BU33/90</f>
        <v>0</v>
      </c>
      <c r="BV176" s="23">
        <f>+'QTR Raw'!AP89</f>
        <v>1838.57</v>
      </c>
      <c r="BW176" s="23">
        <f>+BW206*BW33/90</f>
        <v>1814.7615682303585</v>
      </c>
      <c r="BX176" s="23">
        <f>+'QTR Raw'!AR89</f>
        <v>1481.05</v>
      </c>
      <c r="BY176" s="23">
        <f>+BY206*BY33/90</f>
        <v>1615.8639912777571</v>
      </c>
      <c r="BZ176" s="23">
        <f>+'QTR Raw'!AT89</f>
        <v>2050.09</v>
      </c>
      <c r="CA176" s="23">
        <f>+CA206*CA33/90</f>
        <v>1910.5035182344529</v>
      </c>
      <c r="CB176" s="23">
        <f>+'QTR Raw'!AV89</f>
        <v>1360.17</v>
      </c>
      <c r="CC176" s="23">
        <f>+CC206*CC33/90</f>
        <v>1422.3964344774461</v>
      </c>
      <c r="CD176" s="23">
        <f>+'QTR Raw'!AX89</f>
        <v>2777.21</v>
      </c>
      <c r="CE176" s="23">
        <f>+CE206*CE33/90</f>
        <v>2972.7534694539672</v>
      </c>
      <c r="CF176" s="23">
        <f>+'QTR Raw'!AZ89</f>
        <v>3120.12</v>
      </c>
      <c r="CG176" s="23">
        <f>+CG206*CG33/90</f>
        <v>3635.9503128179076</v>
      </c>
      <c r="CH176" s="23">
        <f t="shared" si="1235"/>
        <v>8687.94</v>
      </c>
      <c r="CI176" s="23">
        <f>+CI206*CI33/90</f>
        <v>8129.8881478409567</v>
      </c>
      <c r="CJ176" s="23">
        <f>+'QTR Raw'!BD89</f>
        <v>2755.14</v>
      </c>
      <c r="CK176" s="23">
        <f t="shared" ref="CK176:DB176" si="1284">+CK206*CK33/90</f>
        <v>2911.3440557650651</v>
      </c>
      <c r="CL176" s="23">
        <f>+'QTR Raw'!BF89</f>
        <v>3269</v>
      </c>
      <c r="CM176" s="24">
        <f t="shared" si="1284"/>
        <v>2747.7912085187313</v>
      </c>
      <c r="CN176" s="24">
        <f t="shared" si="1284"/>
        <v>2881.6432525759351</v>
      </c>
      <c r="CO176" s="24">
        <f t="shared" si="1284"/>
        <v>3078.4879294510952</v>
      </c>
      <c r="CP176" s="24">
        <f t="shared" si="1284"/>
        <v>3579.6483605158469</v>
      </c>
      <c r="CQ176" s="24">
        <f t="shared" si="1284"/>
        <v>2845.9203933483709</v>
      </c>
      <c r="CR176" s="24">
        <f t="shared" si="1284"/>
        <v>2991.9966374220135</v>
      </c>
      <c r="CS176" s="24">
        <f t="shared" si="1284"/>
        <v>3200.9775127630191</v>
      </c>
      <c r="CT176" s="24">
        <f t="shared" si="1284"/>
        <v>3720.2465433018219</v>
      </c>
      <c r="CU176" s="24">
        <f t="shared" si="1284"/>
        <v>3078.0841427767664</v>
      </c>
      <c r="CV176" s="24">
        <f t="shared" si="1284"/>
        <v>3234.5145577107755</v>
      </c>
      <c r="CW176" s="24">
        <f t="shared" si="1284"/>
        <v>3462.2690291185354</v>
      </c>
      <c r="CX176" s="24">
        <f t="shared" si="1284"/>
        <v>4025.6527714077279</v>
      </c>
      <c r="CY176" s="24">
        <f t="shared" si="1284"/>
        <v>3333.1292744647681</v>
      </c>
      <c r="CZ176" s="24">
        <f t="shared" si="1284"/>
        <v>3498.8749776361192</v>
      </c>
      <c r="DA176" s="24">
        <f t="shared" si="1284"/>
        <v>3746.9055317484517</v>
      </c>
      <c r="DB176" s="24">
        <f t="shared" si="1284"/>
        <v>4359.1920645924774</v>
      </c>
      <c r="DE176" s="123"/>
      <c r="DF176" s="23">
        <v>3383.4361649031466</v>
      </c>
    </row>
    <row r="177" spans="1:110" s="23" customFormat="1" outlineLevel="1" x14ac:dyDescent="0.2">
      <c r="A177" s="23" t="s">
        <v>71</v>
      </c>
      <c r="B177" s="23">
        <f>'Annual Raw'!C55-Template!B149</f>
        <v>0</v>
      </c>
      <c r="C177" s="23">
        <f>'Annual Raw'!D55-Template!C149</f>
        <v>0</v>
      </c>
      <c r="D177" s="23">
        <f>'Annual Raw'!E55-Template!D149</f>
        <v>27.358000000000001</v>
      </c>
      <c r="E177" s="23">
        <f>'Annual Raw'!F55-Template!E149</f>
        <v>53.011000000000003</v>
      </c>
      <c r="F177" s="23">
        <f>'Annual Raw'!G55-Template!F149</f>
        <v>32.250999999999998</v>
      </c>
      <c r="G177" s="23">
        <f>'Annual Raw'!H55-Template!G149</f>
        <v>44.375999999999898</v>
      </c>
      <c r="H177" s="23">
        <f>'Annual Raw'!I55-Template!H149</f>
        <v>53.883000000000003</v>
      </c>
      <c r="I177" s="23">
        <f>'Annual Raw'!J55-Template!I149</f>
        <v>101.31399999999999</v>
      </c>
      <c r="J177" s="23">
        <f>'Annual Raw'!K55-Template!J149</f>
        <v>130.99299999999999</v>
      </c>
      <c r="K177" s="23">
        <f>'Annual Raw'!L55-Template!K149</f>
        <v>136.059</v>
      </c>
      <c r="L177" s="23">
        <f>'Annual Raw'!M55-Template!L149</f>
        <v>140.22199999999998</v>
      </c>
      <c r="M177" s="23">
        <f>'Annual Raw'!N55-Template!M149</f>
        <v>298.78100000000001</v>
      </c>
      <c r="N177" s="23">
        <f>'Annual Raw'!O55-Template!N149</f>
        <v>98.045000000000002</v>
      </c>
      <c r="O177" s="23">
        <f>'Annual Raw'!P55-Template!O149</f>
        <v>81.921999999999997</v>
      </c>
      <c r="P177" s="23">
        <f>'Annual Raw'!Q55-Template!P149</f>
        <v>73.204999999999998</v>
      </c>
      <c r="Q177" s="23">
        <f>'Annual Raw'!R55-Template!Q149</f>
        <v>112.67500000000001</v>
      </c>
      <c r="R177" s="23">
        <f>'Annual Raw'!S55-Template!R149</f>
        <v>153.24900000000002</v>
      </c>
      <c r="S177" s="23">
        <f>'Annual Raw'!T55-Template!S149</f>
        <v>100.99099999999999</v>
      </c>
      <c r="T177" s="23">
        <f>'Annual Raw'!U55-Template!T149</f>
        <v>306.73399999999998</v>
      </c>
      <c r="U177" s="23">
        <f>'Annual Raw'!V55-Template!U149</f>
        <v>451.60399999999993</v>
      </c>
      <c r="V177" s="23">
        <f>'Annual Raw'!W55-Template!V149</f>
        <v>1194.28</v>
      </c>
      <c r="W177" s="23">
        <f>'Annual Raw'!X55-Template!W149</f>
        <v>941.70999999999992</v>
      </c>
      <c r="X177" s="23">
        <f>'Annual Raw'!Y55-Template!X149</f>
        <v>903.17</v>
      </c>
      <c r="Y177" s="23">
        <f>'Annual Raw'!Z55-Template!Y149</f>
        <v>1015.2</v>
      </c>
      <c r="Z177" s="23">
        <f>'Annual Raw'!AA55-Template!Z149</f>
        <v>1430.03</v>
      </c>
      <c r="AA177" s="23">
        <f>'Annual Raw'!AB55-Template!AA149</f>
        <v>1664.77</v>
      </c>
      <c r="AB177" s="24">
        <f t="shared" si="1277"/>
        <v>0</v>
      </c>
      <c r="AC177" s="24">
        <f t="shared" si="1278"/>
        <v>0</v>
      </c>
      <c r="AD177" s="24">
        <f t="shared" si="1279"/>
        <v>0</v>
      </c>
      <c r="AE177" s="24">
        <f t="shared" si="1280"/>
        <v>0</v>
      </c>
      <c r="AJ177" s="23">
        <f>+'QTR Raw'!D91</f>
        <v>0</v>
      </c>
      <c r="AK177" s="23">
        <f t="shared" si="1281"/>
        <v>0</v>
      </c>
      <c r="AL177" s="23">
        <f>+'QTR Raw'!F91</f>
        <v>0</v>
      </c>
      <c r="AM177" s="23">
        <f t="shared" si="1281"/>
        <v>0</v>
      </c>
      <c r="AN177" s="23">
        <f>+'QTR Raw'!H91</f>
        <v>0</v>
      </c>
      <c r="AO177" s="23">
        <f t="shared" si="1281"/>
        <v>0</v>
      </c>
      <c r="AP177" s="23">
        <f>+'QTR Raw'!J91</f>
        <v>0</v>
      </c>
      <c r="AQ177" s="23">
        <f t="shared" si="1281"/>
        <v>0</v>
      </c>
      <c r="AR177" s="23">
        <f>+'QTR Raw'!L91</f>
        <v>0</v>
      </c>
      <c r="AS177" s="23">
        <f t="shared" si="1281"/>
        <v>0</v>
      </c>
      <c r="AT177" s="23">
        <f>+'QTR Raw'!N91</f>
        <v>0</v>
      </c>
      <c r="AU177" s="23">
        <f t="shared" si="1281"/>
        <v>0</v>
      </c>
      <c r="AV177" s="23">
        <f>+'QTR Raw'!P91</f>
        <v>0</v>
      </c>
      <c r="AW177" s="23">
        <f t="shared" si="1281"/>
        <v>0</v>
      </c>
      <c r="AX177" s="23">
        <f>+'QTR Raw'!R91</f>
        <v>0</v>
      </c>
      <c r="AY177" s="23">
        <f t="shared" si="1281"/>
        <v>0</v>
      </c>
      <c r="AZ177" s="23">
        <f>+'QTR Raw'!T91</f>
        <v>0</v>
      </c>
      <c r="BA177" s="23">
        <f t="shared" si="1281"/>
        <v>0</v>
      </c>
      <c r="BB177" s="23">
        <f>+'QTR Raw'!V91</f>
        <v>0</v>
      </c>
      <c r="BC177" s="23">
        <f t="shared" si="1281"/>
        <v>0</v>
      </c>
      <c r="BD177" s="23">
        <f>+'QTR Raw'!X91</f>
        <v>0</v>
      </c>
      <c r="BE177" s="23">
        <f t="shared" si="1281"/>
        <v>0</v>
      </c>
      <c r="BF177" s="23">
        <f>+'QTR Raw'!Z91</f>
        <v>0</v>
      </c>
      <c r="BG177" s="23">
        <f t="shared" si="1281"/>
        <v>0</v>
      </c>
      <c r="BH177" s="23">
        <f>+'QTR Raw'!AB91</f>
        <v>0</v>
      </c>
      <c r="BI177" s="23">
        <f t="shared" si="1281"/>
        <v>0</v>
      </c>
      <c r="BJ177" s="23">
        <f>+'QTR Raw'!AD91</f>
        <v>0</v>
      </c>
      <c r="BK177" s="23">
        <f t="shared" si="1281"/>
        <v>0</v>
      </c>
      <c r="BL177" s="23">
        <f>+'QTR Raw'!AF91</f>
        <v>0</v>
      </c>
      <c r="BM177" s="23">
        <f t="shared" si="1281"/>
        <v>0</v>
      </c>
      <c r="BN177" s="23">
        <f>+'QTR Raw'!AH91</f>
        <v>0</v>
      </c>
      <c r="BO177" s="23">
        <f t="shared" si="1281"/>
        <v>0</v>
      </c>
      <c r="BP177" s="23">
        <f>+'QTR Raw'!AJ91</f>
        <v>0</v>
      </c>
      <c r="BQ177" s="23">
        <f t="shared" si="1281"/>
        <v>0</v>
      </c>
      <c r="BR177" s="23">
        <f>+'QTR Raw'!AL91</f>
        <v>1197.1400000000001</v>
      </c>
      <c r="BS177" s="23">
        <f t="shared" si="1281"/>
        <v>1197.1400000000001</v>
      </c>
      <c r="BT177" s="23">
        <f>+'QTR Raw'!AN91</f>
        <v>0</v>
      </c>
      <c r="BU177" s="23">
        <f t="shared" si="1281"/>
        <v>0</v>
      </c>
      <c r="BV177" s="23">
        <f>+'QTR Raw'!AP91</f>
        <v>8319.9699999999993</v>
      </c>
      <c r="BW177" s="23">
        <f t="shared" si="1281"/>
        <v>8319.9699999999993</v>
      </c>
      <c r="BX177" s="23">
        <f>+'QTR Raw'!AR91</f>
        <v>7698.49</v>
      </c>
      <c r="BY177" s="23">
        <f t="shared" si="1281"/>
        <v>7698.49</v>
      </c>
      <c r="BZ177" s="23">
        <f>+'QTR Raw'!AT91</f>
        <v>7402.27</v>
      </c>
      <c r="CA177" s="23">
        <f t="shared" si="1281"/>
        <v>7402.27</v>
      </c>
      <c r="CB177" s="23">
        <f>+'QTR Raw'!AV91</f>
        <v>6451.93</v>
      </c>
      <c r="CC177" s="23">
        <f t="shared" si="1281"/>
        <v>6451.93</v>
      </c>
      <c r="CD177" s="23">
        <f>+'QTR Raw'!AX91</f>
        <v>5222.08</v>
      </c>
      <c r="CE177" s="23">
        <f t="shared" si="1281"/>
        <v>5222.08</v>
      </c>
      <c r="CF177" s="23">
        <f>+'QTR Raw'!AZ91</f>
        <v>6747.14</v>
      </c>
      <c r="CG177" s="23">
        <f t="shared" ref="CG177:CG178" si="1285">+CF177</f>
        <v>6747.14</v>
      </c>
      <c r="CH177" s="23">
        <f t="shared" si="1235"/>
        <v>1430.03</v>
      </c>
      <c r="CJ177" s="23">
        <f>+'QTR Raw'!BD91</f>
        <v>10259.73</v>
      </c>
      <c r="CL177" s="23">
        <f>+'QTR Raw'!BF91</f>
        <v>8710.4599999999991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23">
        <v>8710.4599999999991</v>
      </c>
    </row>
    <row r="178" spans="1:110" s="23" customFormat="1" outlineLevel="1" x14ac:dyDescent="0.2">
      <c r="A178" s="23" t="s">
        <v>72</v>
      </c>
      <c r="B178" s="23">
        <f>'Annual Raw'!C57</f>
        <v>0</v>
      </c>
      <c r="C178" s="23">
        <f>'Annual Raw'!D57</f>
        <v>0</v>
      </c>
      <c r="D178" s="23">
        <f>'Annual Raw'!E57</f>
        <v>5.7119999999999997</v>
      </c>
      <c r="E178" s="23">
        <f>'Annual Raw'!F57</f>
        <v>12.811999999999999</v>
      </c>
      <c r="F178" s="23">
        <f>'Annual Raw'!G57</f>
        <v>0</v>
      </c>
      <c r="G178" s="23">
        <f>'Annual Raw'!H57</f>
        <v>0.80700000000000005</v>
      </c>
      <c r="H178" s="23">
        <f>'Annual Raw'!I57</f>
        <v>0.88200000000000001</v>
      </c>
      <c r="I178" s="23">
        <f>'Annual Raw'!J57</f>
        <v>1.6459999999999999</v>
      </c>
      <c r="J178" s="23">
        <f>'Annual Raw'!K57</f>
        <v>3.536</v>
      </c>
      <c r="K178" s="23">
        <f>'Annual Raw'!L57</f>
        <v>3.2269999999999999</v>
      </c>
      <c r="L178" s="23">
        <f>'Annual Raw'!M57</f>
        <v>0.7</v>
      </c>
      <c r="M178" s="23">
        <f>'Annual Raw'!N57</f>
        <v>0.52500000000000002</v>
      </c>
      <c r="N178" s="23">
        <f>'Annual Raw'!O57</f>
        <v>11.831</v>
      </c>
      <c r="O178" s="23">
        <f>'Annual Raw'!P57</f>
        <v>8.3529999999999998</v>
      </c>
      <c r="P178" s="23">
        <f>'Annual Raw'!Q57</f>
        <v>18.038</v>
      </c>
      <c r="Q178" s="23">
        <f>'Annual Raw'!R57</f>
        <v>13.858000000000001</v>
      </c>
      <c r="R178" s="23">
        <f>'Annual Raw'!S57</f>
        <v>36.81</v>
      </c>
      <c r="S178" s="23">
        <f>'Annual Raw'!T57</f>
        <v>60.295000000000002</v>
      </c>
      <c r="T178" s="23">
        <f>'Annual Raw'!U57</f>
        <v>47.408000000000001</v>
      </c>
      <c r="U178" s="23">
        <f>'Annual Raw'!V57</f>
        <v>20.616</v>
      </c>
      <c r="V178" s="23">
        <f>'Annual Raw'!W57</f>
        <v>9.74</v>
      </c>
      <c r="W178" s="23">
        <f>'Annual Raw'!X57</f>
        <v>34.99</v>
      </c>
      <c r="X178" s="23">
        <f>'Annual Raw'!Y57</f>
        <v>19.95</v>
      </c>
      <c r="Y178" s="23">
        <f>'Annual Raw'!Z57</f>
        <v>35.31</v>
      </c>
      <c r="Z178" s="23">
        <f>'Annual Raw'!AA57</f>
        <v>83.4</v>
      </c>
      <c r="AA178" s="23">
        <f>'Annual Raw'!AB57</f>
        <v>55.35</v>
      </c>
      <c r="AB178" s="24">
        <f t="shared" si="1277"/>
        <v>0</v>
      </c>
      <c r="AC178" s="24">
        <f t="shared" si="1278"/>
        <v>0</v>
      </c>
      <c r="AD178" s="24">
        <f t="shared" si="1279"/>
        <v>0</v>
      </c>
      <c r="AE178" s="24">
        <f t="shared" si="1280"/>
        <v>0</v>
      </c>
      <c r="AJ178" s="23">
        <f>+'QTR Raw'!D92</f>
        <v>0</v>
      </c>
      <c r="AK178" s="23">
        <f t="shared" si="1281"/>
        <v>0</v>
      </c>
      <c r="AL178" s="23">
        <f>+'QTR Raw'!F92</f>
        <v>0</v>
      </c>
      <c r="AM178" s="23">
        <f t="shared" si="1281"/>
        <v>0</v>
      </c>
      <c r="AN178" s="23">
        <f>+'QTR Raw'!H92</f>
        <v>0</v>
      </c>
      <c r="AO178" s="23">
        <f t="shared" si="1281"/>
        <v>0</v>
      </c>
      <c r="AP178" s="23">
        <f>+'QTR Raw'!J92</f>
        <v>0</v>
      </c>
      <c r="AQ178" s="23">
        <f t="shared" si="1281"/>
        <v>0</v>
      </c>
      <c r="AR178" s="23">
        <f>+'QTR Raw'!L92</f>
        <v>0</v>
      </c>
      <c r="AS178" s="23">
        <f t="shared" si="1281"/>
        <v>0</v>
      </c>
      <c r="AT178" s="23">
        <f>+'QTR Raw'!N92</f>
        <v>0</v>
      </c>
      <c r="AU178" s="23">
        <f t="shared" si="1281"/>
        <v>0</v>
      </c>
      <c r="AV178" s="23">
        <f>+'QTR Raw'!P92</f>
        <v>0</v>
      </c>
      <c r="AW178" s="23">
        <f t="shared" si="1281"/>
        <v>0</v>
      </c>
      <c r="AX178" s="23">
        <f>+'QTR Raw'!R92</f>
        <v>0</v>
      </c>
      <c r="AY178" s="23">
        <f t="shared" si="1281"/>
        <v>0</v>
      </c>
      <c r="AZ178" s="23">
        <f>+'QTR Raw'!T92</f>
        <v>0</v>
      </c>
      <c r="BA178" s="23">
        <f t="shared" si="1281"/>
        <v>0</v>
      </c>
      <c r="BB178" s="23">
        <f>+'QTR Raw'!V92</f>
        <v>0</v>
      </c>
      <c r="BC178" s="23">
        <f t="shared" si="1281"/>
        <v>0</v>
      </c>
      <c r="BD178" s="23">
        <f>+'QTR Raw'!X92</f>
        <v>0</v>
      </c>
      <c r="BE178" s="23">
        <f t="shared" si="1281"/>
        <v>0</v>
      </c>
      <c r="BF178" s="23">
        <f>+'QTR Raw'!Z92</f>
        <v>0</v>
      </c>
      <c r="BG178" s="23">
        <f t="shared" si="1281"/>
        <v>0</v>
      </c>
      <c r="BH178" s="23">
        <f>+'QTR Raw'!AB92</f>
        <v>0</v>
      </c>
      <c r="BI178" s="23">
        <f t="shared" si="1281"/>
        <v>0</v>
      </c>
      <c r="BJ178" s="23">
        <f>+'QTR Raw'!AD92</f>
        <v>0</v>
      </c>
      <c r="BK178" s="23">
        <f t="shared" si="1281"/>
        <v>0</v>
      </c>
      <c r="BL178" s="23">
        <f>+'QTR Raw'!AF92</f>
        <v>0</v>
      </c>
      <c r="BM178" s="23">
        <f t="shared" si="1281"/>
        <v>0</v>
      </c>
      <c r="BN178" s="23">
        <f>+'QTR Raw'!AH92</f>
        <v>0</v>
      </c>
      <c r="BO178" s="23">
        <f t="shared" si="1281"/>
        <v>0</v>
      </c>
      <c r="BP178" s="23">
        <f>+'QTR Raw'!AJ92</f>
        <v>0</v>
      </c>
      <c r="BQ178" s="23">
        <f t="shared" si="1281"/>
        <v>0</v>
      </c>
      <c r="BR178" s="23">
        <f>+'QTR Raw'!AL92</f>
        <v>6.88</v>
      </c>
      <c r="BS178" s="23">
        <f t="shared" si="1281"/>
        <v>6.88</v>
      </c>
      <c r="BT178" s="23">
        <f>+'QTR Raw'!AN92</f>
        <v>0</v>
      </c>
      <c r="BU178" s="23">
        <f t="shared" si="1281"/>
        <v>0</v>
      </c>
      <c r="BV178" s="23">
        <f>+'QTR Raw'!AP92</f>
        <v>9.52</v>
      </c>
      <c r="BW178" s="23">
        <f t="shared" si="1281"/>
        <v>9.52</v>
      </c>
      <c r="BX178" s="23">
        <f>+'QTR Raw'!AR92</f>
        <v>9.18</v>
      </c>
      <c r="BY178" s="23">
        <f t="shared" si="1281"/>
        <v>9.18</v>
      </c>
      <c r="BZ178" s="23">
        <f>+'QTR Raw'!AT92</f>
        <v>9.0500000000000007</v>
      </c>
      <c r="CA178" s="23">
        <f t="shared" si="1281"/>
        <v>9.0500000000000007</v>
      </c>
      <c r="CB178" s="23">
        <f>+'QTR Raw'!AV92</f>
        <v>9.98</v>
      </c>
      <c r="CC178" s="23">
        <f t="shared" si="1281"/>
        <v>9.98</v>
      </c>
      <c r="CD178" s="23">
        <f>+'QTR Raw'!AX92</f>
        <v>9.26</v>
      </c>
      <c r="CE178" s="23">
        <f t="shared" si="1281"/>
        <v>9.26</v>
      </c>
      <c r="CF178" s="23">
        <f>+'QTR Raw'!AZ92</f>
        <v>12.44</v>
      </c>
      <c r="CG178" s="23">
        <f t="shared" si="1285"/>
        <v>12.44</v>
      </c>
      <c r="CH178" s="23">
        <f t="shared" si="1235"/>
        <v>83.4</v>
      </c>
      <c r="CJ178" s="23">
        <f>+'QTR Raw'!BD92</f>
        <v>13.56</v>
      </c>
      <c r="CL178" s="23">
        <f>+'QTR Raw'!BF92</f>
        <v>22.91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22.91</v>
      </c>
    </row>
    <row r="179" spans="1:110" s="22" customFormat="1" x14ac:dyDescent="0.2">
      <c r="A179" s="22" t="s">
        <v>73</v>
      </c>
      <c r="B179" s="22">
        <f>SUM(B172:B178)</f>
        <v>0</v>
      </c>
      <c r="C179" s="22">
        <f t="shared" ref="C179:V179" si="1286">SUM(C172:C178)</f>
        <v>0</v>
      </c>
      <c r="D179" s="22">
        <f t="shared" si="1286"/>
        <v>247.88499999999999</v>
      </c>
      <c r="E179" s="22">
        <f t="shared" si="1286"/>
        <v>378.78900000000004</v>
      </c>
      <c r="F179" s="22">
        <f t="shared" si="1286"/>
        <v>348.26299999999998</v>
      </c>
      <c r="G179" s="22">
        <f t="shared" si="1286"/>
        <v>595.45099999999991</v>
      </c>
      <c r="H179" s="22">
        <f t="shared" si="1286"/>
        <v>473.702</v>
      </c>
      <c r="I179" s="22">
        <f t="shared" si="1286"/>
        <v>1018.7579999999999</v>
      </c>
      <c r="J179" s="22">
        <f t="shared" si="1286"/>
        <v>626.57499999999993</v>
      </c>
      <c r="K179" s="22">
        <f t="shared" si="1286"/>
        <v>1096.1590000000001</v>
      </c>
      <c r="L179" s="22">
        <f t="shared" si="1286"/>
        <v>1463.9779999999998</v>
      </c>
      <c r="M179" s="22">
        <f t="shared" si="1286"/>
        <v>2187.1270000000004</v>
      </c>
      <c r="N179" s="22">
        <f t="shared" si="1286"/>
        <v>2240.0460000000003</v>
      </c>
      <c r="O179" s="22">
        <f t="shared" si="1286"/>
        <v>2767.2690000000002</v>
      </c>
      <c r="P179" s="22">
        <f t="shared" si="1286"/>
        <v>2807.0990000000002</v>
      </c>
      <c r="Q179" s="22">
        <f t="shared" si="1286"/>
        <v>3524.2570000000005</v>
      </c>
      <c r="R179" s="22">
        <f t="shared" si="1286"/>
        <v>3349.0589999999997</v>
      </c>
      <c r="S179" s="22">
        <f t="shared" si="1286"/>
        <v>5440.5889999999999</v>
      </c>
      <c r="T179" s="22">
        <f t="shared" si="1286"/>
        <v>7256.4810000000007</v>
      </c>
      <c r="U179" s="22">
        <f t="shared" si="1286"/>
        <v>6525.6750000000002</v>
      </c>
      <c r="V179" s="22">
        <f t="shared" si="1286"/>
        <v>6869.7099999999991</v>
      </c>
      <c r="W179" s="22">
        <f t="shared" ref="W179" si="1287">SUM(W172:W178)</f>
        <v>10890.029999999999</v>
      </c>
      <c r="X179" s="22">
        <f t="shared" ref="X179:Y179" si="1288">SUM(X172:X178)</f>
        <v>10192.910000000002</v>
      </c>
      <c r="Y179" s="22">
        <f t="shared" si="1288"/>
        <v>8736.84</v>
      </c>
      <c r="Z179" s="22">
        <f t="shared" ref="Z179:AA179" si="1289">SUM(Z172:Z178)</f>
        <v>10950.25</v>
      </c>
      <c r="AA179" s="22">
        <f t="shared" si="1289"/>
        <v>13031.730000000001</v>
      </c>
      <c r="AB179" s="21">
        <f t="shared" ref="AA179:AD179" si="1290">SUM(AB172:AB178)</f>
        <v>14270.116527740953</v>
      </c>
      <c r="AC179" s="21">
        <f t="shared" si="1290"/>
        <v>14830.605226596097</v>
      </c>
      <c r="AD179" s="21">
        <f t="shared" si="1290"/>
        <v>16048.094215581898</v>
      </c>
      <c r="AE179" s="21">
        <f t="shared" ref="AE179" si="1291">SUM(AE172:AE178)</f>
        <v>17377.734476571342</v>
      </c>
      <c r="AJ179" s="22">
        <f t="shared" ref="AJ179" si="1292">SUM(AJ172:AJ178)</f>
        <v>0</v>
      </c>
      <c r="AK179" s="22" t="e">
        <f t="shared" ref="AK179" si="1293">SUM(AK172:AK178)</f>
        <v>#DIV/0!</v>
      </c>
      <c r="AL179" s="22">
        <f t="shared" ref="AL179:AM179" si="1294">SUM(AL172:AL178)</f>
        <v>0</v>
      </c>
      <c r="AM179" s="22" t="e">
        <f t="shared" si="1294"/>
        <v>#DIV/0!</v>
      </c>
      <c r="AN179" s="22">
        <f t="shared" ref="AN179:AO179" si="1295">SUM(AN172:AN178)</f>
        <v>0</v>
      </c>
      <c r="AO179" s="22" t="e">
        <f t="shared" si="1295"/>
        <v>#DIV/0!</v>
      </c>
      <c r="AP179" s="22">
        <f t="shared" ref="AP179:CE179" si="1296">SUM(AP172:AP178)</f>
        <v>0</v>
      </c>
      <c r="AQ179" s="22" t="e">
        <f t="shared" si="1296"/>
        <v>#DIV/0!</v>
      </c>
      <c r="AR179" s="22">
        <f t="shared" si="1296"/>
        <v>0</v>
      </c>
      <c r="AS179" s="22" t="e">
        <f t="shared" si="1296"/>
        <v>#DIV/0!</v>
      </c>
      <c r="AT179" s="22">
        <f t="shared" si="1296"/>
        <v>0</v>
      </c>
      <c r="AU179" s="22" t="e">
        <f t="shared" si="1296"/>
        <v>#DIV/0!</v>
      </c>
      <c r="AV179" s="22">
        <f t="shared" si="1296"/>
        <v>0</v>
      </c>
      <c r="AW179" s="22" t="e">
        <f t="shared" si="1296"/>
        <v>#DIV/0!</v>
      </c>
      <c r="AX179" s="22">
        <f t="shared" si="1296"/>
        <v>0</v>
      </c>
      <c r="AY179" s="22" t="e">
        <f t="shared" si="1296"/>
        <v>#DIV/0!</v>
      </c>
      <c r="AZ179" s="22">
        <f t="shared" si="1296"/>
        <v>0</v>
      </c>
      <c r="BA179" s="22" t="e">
        <f t="shared" si="1296"/>
        <v>#DIV/0!</v>
      </c>
      <c r="BB179" s="22">
        <f t="shared" si="1296"/>
        <v>0</v>
      </c>
      <c r="BC179" s="22" t="e">
        <f t="shared" si="1296"/>
        <v>#DIV/0!</v>
      </c>
      <c r="BD179" s="22">
        <f t="shared" si="1296"/>
        <v>0</v>
      </c>
      <c r="BE179" s="22" t="e">
        <f t="shared" si="1296"/>
        <v>#DIV/0!</v>
      </c>
      <c r="BF179" s="22">
        <f t="shared" si="1296"/>
        <v>0</v>
      </c>
      <c r="BG179" s="22" t="e">
        <f t="shared" si="1296"/>
        <v>#DIV/0!</v>
      </c>
      <c r="BH179" s="22">
        <f t="shared" ref="BH179" si="1297">SUM(BH172:BH178)</f>
        <v>0</v>
      </c>
      <c r="BI179" s="22" t="e">
        <f t="shared" si="1296"/>
        <v>#DIV/0!</v>
      </c>
      <c r="BJ179" s="22">
        <f t="shared" si="1296"/>
        <v>0</v>
      </c>
      <c r="BK179" s="22" t="e">
        <f t="shared" si="1296"/>
        <v>#DIV/0!</v>
      </c>
      <c r="BL179" s="22">
        <f t="shared" si="1296"/>
        <v>0</v>
      </c>
      <c r="BM179" s="22" t="e">
        <f t="shared" si="1296"/>
        <v>#DIV/0!</v>
      </c>
      <c r="BN179" s="22">
        <f t="shared" si="1296"/>
        <v>0</v>
      </c>
      <c r="BO179" s="22" t="e">
        <f t="shared" si="1296"/>
        <v>#DIV/0!</v>
      </c>
      <c r="BP179" s="22">
        <f t="shared" si="1296"/>
        <v>0</v>
      </c>
      <c r="BQ179" s="22" t="e">
        <f t="shared" si="1296"/>
        <v>#DIV/0!</v>
      </c>
      <c r="BR179" s="22">
        <f t="shared" si="1296"/>
        <v>6869.71</v>
      </c>
      <c r="BS179" s="22">
        <f t="shared" si="1296"/>
        <v>7180.9233533508113</v>
      </c>
      <c r="BT179" s="22">
        <f t="shared" si="1296"/>
        <v>0</v>
      </c>
      <c r="BU179" s="22">
        <f t="shared" si="1296"/>
        <v>0</v>
      </c>
      <c r="BV179" s="22">
        <f t="shared" si="1296"/>
        <v>10890.029999999999</v>
      </c>
      <c r="BW179" s="22">
        <f t="shared" si="1296"/>
        <v>10866.221568230358</v>
      </c>
      <c r="BX179" s="22">
        <f t="shared" si="1296"/>
        <v>9902.4599999999991</v>
      </c>
      <c r="BY179" s="22">
        <f t="shared" si="1296"/>
        <v>10037.273991277758</v>
      </c>
      <c r="BZ179" s="22">
        <f t="shared" si="1296"/>
        <v>10192.91</v>
      </c>
      <c r="CA179" s="22">
        <f t="shared" si="1296"/>
        <v>10053.323518234452</v>
      </c>
      <c r="CB179" s="22">
        <f t="shared" si="1296"/>
        <v>8569.66</v>
      </c>
      <c r="CC179" s="22">
        <f t="shared" si="1296"/>
        <v>8631.8864344774465</v>
      </c>
      <c r="CD179" s="22">
        <f t="shared" si="1296"/>
        <v>8736.84</v>
      </c>
      <c r="CE179" s="22">
        <f t="shared" si="1296"/>
        <v>8932.3834694539673</v>
      </c>
      <c r="CF179" s="22">
        <f t="shared" ref="CF179:CG179" si="1298">SUM(CF172:CF178)</f>
        <v>10638.220000000001</v>
      </c>
      <c r="CG179" s="22">
        <f t="shared" si="1298"/>
        <v>11154.05031281791</v>
      </c>
      <c r="CH179" s="22">
        <f t="shared" ref="CH179:CI179" si="1299">SUM(CH172:CH178)</f>
        <v>10950.25</v>
      </c>
      <c r="CI179" s="22">
        <f t="shared" si="1299"/>
        <v>10246.883345291913</v>
      </c>
      <c r="CJ179" s="22">
        <f t="shared" ref="CJ179:DB179" si="1300">SUM(CJ172:CJ178)</f>
        <v>13838.199999999999</v>
      </c>
      <c r="CK179" s="22">
        <f t="shared" si="1300"/>
        <v>14622.763747935904</v>
      </c>
      <c r="CL179" s="22">
        <f t="shared" ref="CL179" si="1301">SUM(CL172:CL178)</f>
        <v>13031.73</v>
      </c>
      <c r="CM179" s="21">
        <f t="shared" si="1300"/>
        <v>10953.953235175832</v>
      </c>
      <c r="CN179" s="21">
        <f t="shared" si="1300"/>
        <v>11487.548737807092</v>
      </c>
      <c r="CO179" s="21">
        <f t="shared" si="1300"/>
        <v>12272.261702314383</v>
      </c>
      <c r="CP179" s="21">
        <f t="shared" si="1300"/>
        <v>14270.116527740953</v>
      </c>
      <c r="CQ179" s="21">
        <f t="shared" si="1300"/>
        <v>11345.141072991666</v>
      </c>
      <c r="CR179" s="21">
        <f t="shared" si="1300"/>
        <v>11927.467831077262</v>
      </c>
      <c r="CS179" s="21">
        <f t="shared" si="1300"/>
        <v>12760.561236585869</v>
      </c>
      <c r="CT179" s="21">
        <f t="shared" si="1300"/>
        <v>14830.605226596097</v>
      </c>
      <c r="CU179" s="21">
        <f t="shared" si="1300"/>
        <v>12270.652023844681</v>
      </c>
      <c r="CV179" s="21">
        <f t="shared" si="1300"/>
        <v>12894.255245382757</v>
      </c>
      <c r="CW179" s="21">
        <f t="shared" si="1300"/>
        <v>13802.188796217462</v>
      </c>
      <c r="CX179" s="21">
        <f t="shared" si="1300"/>
        <v>16048.094215581898</v>
      </c>
      <c r="CY179" s="21">
        <f t="shared" si="1300"/>
        <v>13287.378635644156</v>
      </c>
      <c r="CZ179" s="21">
        <f t="shared" si="1300"/>
        <v>13948.116859073089</v>
      </c>
      <c r="DA179" s="21">
        <f t="shared" si="1300"/>
        <v>14936.880154558654</v>
      </c>
      <c r="DB179" s="21">
        <f t="shared" si="1300"/>
        <v>17377.734476571342</v>
      </c>
      <c r="DE179" s="126"/>
      <c r="DF179" s="22">
        <v>16993.933642995537</v>
      </c>
    </row>
    <row r="180" spans="1:110" s="22" customFormat="1" x14ac:dyDescent="0.2">
      <c r="A180" s="22" t="s">
        <v>74</v>
      </c>
      <c r="B180" s="22">
        <f>B171-B179</f>
        <v>0</v>
      </c>
      <c r="C180" s="22">
        <f t="shared" ref="C180:V180" si="1302">C171-C179</f>
        <v>0</v>
      </c>
      <c r="D180" s="22">
        <f t="shared" si="1302"/>
        <v>-9.1469999999999629</v>
      </c>
      <c r="E180" s="22">
        <f t="shared" si="1302"/>
        <v>-37.428000000000111</v>
      </c>
      <c r="F180" s="22">
        <f t="shared" si="1302"/>
        <v>-53.197999999999979</v>
      </c>
      <c r="G180" s="22">
        <f t="shared" si="1302"/>
        <v>-60.556999999999903</v>
      </c>
      <c r="H180" s="22">
        <f t="shared" si="1302"/>
        <v>-45.58200000000005</v>
      </c>
      <c r="I180" s="22">
        <f t="shared" si="1302"/>
        <v>-28.509000000000015</v>
      </c>
      <c r="J180" s="22">
        <f t="shared" si="1302"/>
        <v>200.63800000000015</v>
      </c>
      <c r="K180" s="22">
        <f t="shared" si="1302"/>
        <v>252.10500000000002</v>
      </c>
      <c r="L180" s="22">
        <f t="shared" si="1302"/>
        <v>834.96200000000067</v>
      </c>
      <c r="M180" s="22">
        <f t="shared" si="1302"/>
        <v>65.07799999999952</v>
      </c>
      <c r="N180" s="22">
        <f t="shared" si="1302"/>
        <v>468.7529999999997</v>
      </c>
      <c r="O180" s="22">
        <f t="shared" si="1302"/>
        <v>192.60199999999986</v>
      </c>
      <c r="P180" s="22">
        <f t="shared" si="1302"/>
        <v>323.58099999999968</v>
      </c>
      <c r="Q180" s="22">
        <f t="shared" si="1302"/>
        <v>792.88799999999992</v>
      </c>
      <c r="R180" s="22">
        <f t="shared" si="1302"/>
        <v>1060.7400000000002</v>
      </c>
      <c r="S180" s="22">
        <f t="shared" si="1302"/>
        <v>255.71400000000085</v>
      </c>
      <c r="T180" s="22">
        <f t="shared" si="1302"/>
        <v>-648.79899999999998</v>
      </c>
      <c r="U180" s="22">
        <f t="shared" si="1302"/>
        <v>-460.70500000000084</v>
      </c>
      <c r="V180" s="22">
        <f t="shared" si="1302"/>
        <v>704.53000000000065</v>
      </c>
      <c r="W180" s="22">
        <f t="shared" ref="W180" si="1303">W171-W179</f>
        <v>695.15999999999985</v>
      </c>
      <c r="X180" s="22">
        <f t="shared" ref="X180:Y180" si="1304">X171-X179</f>
        <v>1552.159999999998</v>
      </c>
      <c r="Y180" s="22">
        <f t="shared" si="1304"/>
        <v>2118.7000000000007</v>
      </c>
      <c r="Z180" s="22">
        <f t="shared" ref="Z180:AA180" si="1305">Z171-Z179</f>
        <v>3275.4800000000014</v>
      </c>
      <c r="AA180" s="22">
        <f t="shared" si="1305"/>
        <v>1317.5699999999979</v>
      </c>
      <c r="AB180" s="21">
        <f t="shared" ref="AA180:AD180" si="1306">AB171-AB179</f>
        <v>1967.361160585373</v>
      </c>
      <c r="AC180" s="21">
        <f t="shared" si="1306"/>
        <v>2044.6333885262575</v>
      </c>
      <c r="AD180" s="21">
        <f t="shared" si="1306"/>
        <v>2212.4834930236339</v>
      </c>
      <c r="AE180" s="21">
        <f t="shared" ref="AE180" si="1307">AE171-AE179</f>
        <v>2395.7954233737473</v>
      </c>
      <c r="AJ180" s="22">
        <f t="shared" ref="AJ180" si="1308">AJ171-AJ179</f>
        <v>0</v>
      </c>
      <c r="AK180" s="22" t="e">
        <f t="shared" ref="AK180" si="1309">AK171-AK179</f>
        <v>#DIV/0!</v>
      </c>
      <c r="AL180" s="22">
        <f t="shared" ref="AL180:AM180" si="1310">AL171-AL179</f>
        <v>0</v>
      </c>
      <c r="AM180" s="22" t="e">
        <f t="shared" si="1310"/>
        <v>#DIV/0!</v>
      </c>
      <c r="AN180" s="22">
        <f t="shared" ref="AN180:AO180" si="1311">AN171-AN179</f>
        <v>0</v>
      </c>
      <c r="AO180" s="22" t="e">
        <f t="shared" si="1311"/>
        <v>#DIV/0!</v>
      </c>
      <c r="AP180" s="22">
        <f t="shared" ref="AP180:CE180" si="1312">AP171-AP179</f>
        <v>0</v>
      </c>
      <c r="AQ180" s="22" t="e">
        <f t="shared" si="1312"/>
        <v>#DIV/0!</v>
      </c>
      <c r="AR180" s="22">
        <f t="shared" si="1312"/>
        <v>0</v>
      </c>
      <c r="AS180" s="22" t="e">
        <f t="shared" si="1312"/>
        <v>#DIV/0!</v>
      </c>
      <c r="AT180" s="22">
        <f t="shared" si="1312"/>
        <v>0</v>
      </c>
      <c r="AU180" s="22" t="e">
        <f t="shared" si="1312"/>
        <v>#DIV/0!</v>
      </c>
      <c r="AV180" s="22">
        <f t="shared" si="1312"/>
        <v>0</v>
      </c>
      <c r="AW180" s="22" t="e">
        <f t="shared" si="1312"/>
        <v>#DIV/0!</v>
      </c>
      <c r="AX180" s="22">
        <f t="shared" si="1312"/>
        <v>0</v>
      </c>
      <c r="AY180" s="22" t="e">
        <f t="shared" si="1312"/>
        <v>#DIV/0!</v>
      </c>
      <c r="AZ180" s="22">
        <f t="shared" si="1312"/>
        <v>0</v>
      </c>
      <c r="BA180" s="22" t="e">
        <f t="shared" si="1312"/>
        <v>#DIV/0!</v>
      </c>
      <c r="BB180" s="22">
        <f t="shared" si="1312"/>
        <v>0</v>
      </c>
      <c r="BC180" s="22" t="e">
        <f t="shared" si="1312"/>
        <v>#DIV/0!</v>
      </c>
      <c r="BD180" s="22">
        <f t="shared" si="1312"/>
        <v>0</v>
      </c>
      <c r="BE180" s="22" t="e">
        <f t="shared" si="1312"/>
        <v>#DIV/0!</v>
      </c>
      <c r="BF180" s="22">
        <f t="shared" si="1312"/>
        <v>0</v>
      </c>
      <c r="BG180" s="22" t="e">
        <f t="shared" si="1312"/>
        <v>#DIV/0!</v>
      </c>
      <c r="BH180" s="22">
        <f t="shared" ref="BH180" si="1313">BH171-BH179</f>
        <v>0</v>
      </c>
      <c r="BI180" s="22" t="e">
        <f t="shared" si="1312"/>
        <v>#DIV/0!</v>
      </c>
      <c r="BJ180" s="22">
        <f t="shared" si="1312"/>
        <v>0</v>
      </c>
      <c r="BK180" s="22" t="e">
        <f t="shared" si="1312"/>
        <v>#DIV/0!</v>
      </c>
      <c r="BL180" s="22">
        <f t="shared" si="1312"/>
        <v>0</v>
      </c>
      <c r="BM180" s="22" t="e">
        <f t="shared" si="1312"/>
        <v>#DIV/0!</v>
      </c>
      <c r="BN180" s="22">
        <f t="shared" si="1312"/>
        <v>0</v>
      </c>
      <c r="BO180" s="22" t="e">
        <f t="shared" si="1312"/>
        <v>#DIV/0!</v>
      </c>
      <c r="BP180" s="22">
        <f t="shared" si="1312"/>
        <v>0</v>
      </c>
      <c r="BQ180" s="22" t="e">
        <f t="shared" si="1312"/>
        <v>#DIV/0!</v>
      </c>
      <c r="BR180" s="22">
        <f t="shared" si="1312"/>
        <v>926.38000000000102</v>
      </c>
      <c r="BS180" s="22">
        <f t="shared" si="1312"/>
        <v>992.31876563153037</v>
      </c>
      <c r="BT180" s="22">
        <f t="shared" si="1312"/>
        <v>0</v>
      </c>
      <c r="BU180" s="22">
        <f t="shared" si="1312"/>
        <v>0</v>
      </c>
      <c r="BV180" s="22">
        <f t="shared" si="1312"/>
        <v>940.67000000000007</v>
      </c>
      <c r="BW180" s="22">
        <f t="shared" si="1312"/>
        <v>835.82455920859684</v>
      </c>
      <c r="BX180" s="22">
        <f t="shared" si="1312"/>
        <v>1622.6400000000012</v>
      </c>
      <c r="BY180" s="22">
        <f t="shared" si="1312"/>
        <v>2338.5600496536044</v>
      </c>
      <c r="BZ180" s="22">
        <f t="shared" si="1312"/>
        <v>1833.8000000000011</v>
      </c>
      <c r="CA180" s="22">
        <f t="shared" si="1312"/>
        <v>1318.8805849787805</v>
      </c>
      <c r="CB180" s="22">
        <f t="shared" si="1312"/>
        <v>3570.2800000000007</v>
      </c>
      <c r="CC180" s="22">
        <f t="shared" si="1312"/>
        <v>3937.9840289064705</v>
      </c>
      <c r="CD180" s="22">
        <f t="shared" si="1312"/>
        <v>2432.0500000000011</v>
      </c>
      <c r="CE180" s="22">
        <f t="shared" si="1312"/>
        <v>2869.2611484455319</v>
      </c>
      <c r="CF180" s="22">
        <f t="shared" ref="CF180:CG180" si="1314">CF171-CF179</f>
        <v>1715.42</v>
      </c>
      <c r="CG180" s="22">
        <f t="shared" si="1314"/>
        <v>2891.1554185000077</v>
      </c>
      <c r="CH180" s="22">
        <f t="shared" ref="CH180:CI180" si="1315">CH171-CH179</f>
        <v>3275.4800000000014</v>
      </c>
      <c r="CI180" s="22">
        <f t="shared" si="1315"/>
        <v>3065.0863185622948</v>
      </c>
      <c r="CJ180" s="22">
        <f t="shared" ref="CJ180:DB180" si="1316">CJ171-CJ179</f>
        <v>2003.4700000000012</v>
      </c>
      <c r="CK180" s="22">
        <f t="shared" si="1316"/>
        <v>2117.0577449435004</v>
      </c>
      <c r="CL180" s="22">
        <f t="shared" ref="CL180" si="1317">CL171-CL179</f>
        <v>1796.6299999999992</v>
      </c>
      <c r="CM180" s="21">
        <f t="shared" si="1316"/>
        <v>1510.1756252557407</v>
      </c>
      <c r="CN180" s="21">
        <f t="shared" si="1316"/>
        <v>1583.7402009408088</v>
      </c>
      <c r="CO180" s="21">
        <f t="shared" si="1316"/>
        <v>1691.925288678407</v>
      </c>
      <c r="CP180" s="21">
        <f t="shared" si="1316"/>
        <v>1967.361160585373</v>
      </c>
      <c r="CQ180" s="21">
        <f t="shared" si="1316"/>
        <v>1564.1070530136076</v>
      </c>
      <c r="CR180" s="21">
        <f t="shared" si="1316"/>
        <v>1644.3900026587671</v>
      </c>
      <c r="CS180" s="21">
        <f t="shared" si="1316"/>
        <v>1759.2450990380639</v>
      </c>
      <c r="CT180" s="21">
        <f t="shared" si="1316"/>
        <v>2044.6333885262575</v>
      </c>
      <c r="CU180" s="21">
        <f t="shared" si="1316"/>
        <v>1691.7033690538447</v>
      </c>
      <c r="CV180" s="21">
        <f t="shared" si="1316"/>
        <v>1777.6769317283306</v>
      </c>
      <c r="CW180" s="21">
        <f t="shared" si="1316"/>
        <v>1902.8499252937399</v>
      </c>
      <c r="CX180" s="21">
        <f t="shared" si="1316"/>
        <v>2212.4834930236339</v>
      </c>
      <c r="CY180" s="21">
        <f t="shared" si="1316"/>
        <v>1831.8752059900999</v>
      </c>
      <c r="CZ180" s="21">
        <f t="shared" si="1316"/>
        <v>1922.9684157449956</v>
      </c>
      <c r="DA180" s="21">
        <f t="shared" si="1316"/>
        <v>2059.2850674534166</v>
      </c>
      <c r="DB180" s="21">
        <f t="shared" si="1316"/>
        <v>2395.7954233737473</v>
      </c>
      <c r="DE180" s="126"/>
      <c r="DF180" s="22">
        <v>2460.3515078357195</v>
      </c>
    </row>
    <row r="181" spans="1:110" s="23" customFormat="1" x14ac:dyDescent="0.2"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outlineLevel="1" x14ac:dyDescent="0.2">
      <c r="A182" s="23" t="s">
        <v>75</v>
      </c>
      <c r="B182" s="23">
        <f>'Annual Raw'!C75</f>
        <v>0</v>
      </c>
      <c r="C182" s="23">
        <f>'Annual Raw'!D75</f>
        <v>0</v>
      </c>
      <c r="D182" s="23">
        <f>'Annual Raw'!E75</f>
        <v>0</v>
      </c>
      <c r="E182" s="23">
        <f>'Annual Raw'!F75</f>
        <v>0</v>
      </c>
      <c r="F182" s="23">
        <f>'Annual Raw'!G75</f>
        <v>0</v>
      </c>
      <c r="G182" s="23">
        <f>'Annual Raw'!H75</f>
        <v>0</v>
      </c>
      <c r="H182" s="23">
        <f>'Annual Raw'!I75</f>
        <v>0</v>
      </c>
      <c r="I182" s="23">
        <f>'Annual Raw'!J75</f>
        <v>0</v>
      </c>
      <c r="J182" s="23">
        <f>'Annual Raw'!K75</f>
        <v>0</v>
      </c>
      <c r="K182" s="23">
        <f>'Annual Raw'!L75</f>
        <v>0</v>
      </c>
      <c r="L182" s="23">
        <f>'Annual Raw'!M75</f>
        <v>0</v>
      </c>
      <c r="M182" s="23">
        <f>'Annual Raw'!N75</f>
        <v>0</v>
      </c>
      <c r="N182" s="23">
        <f>'Annual Raw'!O75</f>
        <v>0</v>
      </c>
      <c r="O182" s="23">
        <f>'Annual Raw'!P75</f>
        <v>0</v>
      </c>
      <c r="P182" s="23">
        <f>'Annual Raw'!Q75</f>
        <v>0</v>
      </c>
      <c r="Q182" s="23">
        <f>'Annual Raw'!R75</f>
        <v>0</v>
      </c>
      <c r="R182" s="23">
        <f>'Annual Raw'!S75</f>
        <v>0</v>
      </c>
      <c r="S182" s="23">
        <f>'Annual Raw'!T75</f>
        <v>0</v>
      </c>
      <c r="T182" s="23">
        <f>'Annual Raw'!U75</f>
        <v>0</v>
      </c>
      <c r="U182" s="23">
        <f>'Annual Raw'!V75</f>
        <v>0</v>
      </c>
      <c r="V182" s="23">
        <f>'Annual Raw'!W75</f>
        <v>50</v>
      </c>
      <c r="W182" s="23">
        <f>'Annual Raw'!X75</f>
        <v>50</v>
      </c>
      <c r="X182" s="23">
        <f>'Annual Raw'!Y75</f>
        <v>50.03</v>
      </c>
      <c r="Y182" s="23">
        <f>'Annual Raw'!Z75</f>
        <v>0</v>
      </c>
      <c r="Z182" s="23">
        <f>'Annual Raw'!AA75</f>
        <v>250.27</v>
      </c>
      <c r="AA182" s="23">
        <f>'Annual Raw'!AB75</f>
        <v>653.28</v>
      </c>
      <c r="AB182" s="24">
        <f t="shared" ref="AB182:AB183" si="1318">+CP182</f>
        <v>0</v>
      </c>
      <c r="AC182" s="24">
        <f t="shared" ref="AC182:AC183" si="1319">+CT182</f>
        <v>0</v>
      </c>
      <c r="AD182" s="24">
        <f t="shared" ref="AD182:AD183" si="1320">+CX182</f>
        <v>0</v>
      </c>
      <c r="AE182" s="24">
        <f t="shared" ref="AE182:AE183" si="1321">+DB182</f>
        <v>0</v>
      </c>
      <c r="AJ182" s="23">
        <f>+'QTR Raw'!D80</f>
        <v>0</v>
      </c>
      <c r="AL182" s="23">
        <f>+'QTR Raw'!F80</f>
        <v>0</v>
      </c>
      <c r="AN182" s="23">
        <f>+'QTR Raw'!H80</f>
        <v>0</v>
      </c>
      <c r="AP182" s="23">
        <f>+'QTR Raw'!J80</f>
        <v>0</v>
      </c>
      <c r="AR182" s="23">
        <f>+'QTR Raw'!L80</f>
        <v>0</v>
      </c>
      <c r="AT182" s="23">
        <f>+'QTR Raw'!N80</f>
        <v>0</v>
      </c>
      <c r="AV182" s="23">
        <f>+'QTR Raw'!P80</f>
        <v>0</v>
      </c>
      <c r="AX182" s="23">
        <f>+'QTR Raw'!R80</f>
        <v>0</v>
      </c>
      <c r="AZ182" s="23">
        <f>+'QTR Raw'!T80</f>
        <v>0</v>
      </c>
      <c r="BB182" s="23">
        <f>+'QTR Raw'!V80</f>
        <v>0</v>
      </c>
      <c r="BD182" s="23">
        <f>+'QTR Raw'!X80</f>
        <v>0</v>
      </c>
      <c r="BF182" s="23">
        <f>+'QTR Raw'!Z80</f>
        <v>0</v>
      </c>
      <c r="BH182" s="23">
        <f>+'QTR Raw'!AB80</f>
        <v>0</v>
      </c>
      <c r="BJ182" s="23">
        <f>+'QTR Raw'!AD80</f>
        <v>0</v>
      </c>
      <c r="BL182" s="23">
        <f>+'QTR Raw'!AF80</f>
        <v>0</v>
      </c>
      <c r="BN182" s="23">
        <f>+'QTR Raw'!AH80</f>
        <v>0</v>
      </c>
      <c r="BP182" s="23">
        <f>+'QTR Raw'!AJ80</f>
        <v>0</v>
      </c>
      <c r="BR182" s="23">
        <f>+'QTR Raw'!AL80</f>
        <v>50</v>
      </c>
      <c r="BT182" s="23">
        <f>+'QTR Raw'!AN80</f>
        <v>0</v>
      </c>
      <c r="BV182" s="23">
        <f>+'QTR Raw'!AP80</f>
        <v>50</v>
      </c>
      <c r="BX182" s="23">
        <f>+'QTR Raw'!AR80</f>
        <v>350.31</v>
      </c>
      <c r="BZ182" s="23">
        <f>+'QTR Raw'!AT80</f>
        <v>50.03</v>
      </c>
      <c r="CB182" s="23">
        <f>+'QTR Raw'!AV80</f>
        <v>0</v>
      </c>
      <c r="CD182" s="23">
        <f>+'QTR Raw'!AX80</f>
        <v>0</v>
      </c>
      <c r="CF182" s="23">
        <f>+'QTR Raw'!AZ80</f>
        <v>476.45</v>
      </c>
      <c r="CH182" s="23">
        <f t="shared" ref="CH182:CH183" si="1322">Z182</f>
        <v>250.27</v>
      </c>
      <c r="CJ182" s="23">
        <f>+'QTR Raw'!BD80</f>
        <v>150.02000000000001</v>
      </c>
      <c r="CL182" s="23">
        <f>+'QTR Raw'!BF80</f>
        <v>653.28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653.28</v>
      </c>
    </row>
    <row r="183" spans="1:110" s="23" customFormat="1" outlineLevel="1" x14ac:dyDescent="0.2">
      <c r="A183" s="23" t="s">
        <v>76</v>
      </c>
      <c r="B183" s="23">
        <f>'Annual Raw'!C78</f>
        <v>0</v>
      </c>
      <c r="C183" s="23">
        <f>'Annual Raw'!D78</f>
        <v>0</v>
      </c>
      <c r="D183" s="23">
        <f>'Annual Raw'!E78</f>
        <v>42.389000000000003</v>
      </c>
      <c r="E183" s="23">
        <f>'Annual Raw'!F78</f>
        <v>116.958</v>
      </c>
      <c r="F183" s="23">
        <f>'Annual Raw'!G78</f>
        <v>159.398</v>
      </c>
      <c r="G183" s="23">
        <f>'Annual Raw'!H78</f>
        <v>151.77500000000001</v>
      </c>
      <c r="H183" s="23">
        <f>'Annual Raw'!I78</f>
        <v>107.953</v>
      </c>
      <c r="I183" s="23">
        <f>'Annual Raw'!J78</f>
        <v>163.184</v>
      </c>
      <c r="J183" s="23">
        <f>'Annual Raw'!K78</f>
        <v>180.09899999999999</v>
      </c>
      <c r="K183" s="23">
        <f>'Annual Raw'!L78</f>
        <v>130.27199999999999</v>
      </c>
      <c r="L183" s="23">
        <f>'Annual Raw'!M78</f>
        <v>176.494</v>
      </c>
      <c r="M183" s="23">
        <f>'Annual Raw'!N78</f>
        <v>733.98</v>
      </c>
      <c r="N183" s="23">
        <f>'Annual Raw'!O78</f>
        <v>1615.422</v>
      </c>
      <c r="O183" s="23">
        <f>'Annual Raw'!P78</f>
        <v>1970.943</v>
      </c>
      <c r="P183" s="23">
        <f>'Annual Raw'!Q78</f>
        <v>1156.857</v>
      </c>
      <c r="Q183" s="23">
        <f>'Annual Raw'!R78</f>
        <v>929.16099999999994</v>
      </c>
      <c r="R183" s="23">
        <f>'Annual Raw'!S78</f>
        <v>909.48299999999995</v>
      </c>
      <c r="S183" s="23">
        <f>'Annual Raw'!T78</f>
        <v>1091.2149999999999</v>
      </c>
      <c r="T183" s="23">
        <f>'Annual Raw'!U78</f>
        <v>1215.461</v>
      </c>
      <c r="U183" s="23">
        <f>'Annual Raw'!V78</f>
        <v>1432.1010000000001</v>
      </c>
      <c r="V183" s="23">
        <f>'Annual Raw'!W78</f>
        <v>1188.46</v>
      </c>
      <c r="W183" s="23">
        <f>'Annual Raw'!X78</f>
        <v>4494</v>
      </c>
      <c r="X183" s="23">
        <f>'Annual Raw'!Y78</f>
        <v>3724.08</v>
      </c>
      <c r="Y183" s="23">
        <f>'Annual Raw'!Z78</f>
        <v>2809.58</v>
      </c>
      <c r="Z183" s="23">
        <f>'Annual Raw'!AA78</f>
        <v>1022.56</v>
      </c>
      <c r="AA183" s="23">
        <f>'Annual Raw'!AB78</f>
        <v>1719.31</v>
      </c>
      <c r="AB183" s="24">
        <f t="shared" si="1318"/>
        <v>4108.1962028923517</v>
      </c>
      <c r="AC183" s="24">
        <f t="shared" si="1319"/>
        <v>5787.4423222158284</v>
      </c>
      <c r="AD183" s="24">
        <f t="shared" si="1320"/>
        <v>7356.3727240660965</v>
      </c>
      <c r="AE183" s="24">
        <f t="shared" si="1321"/>
        <v>8904.1443496226238</v>
      </c>
      <c r="AJ183" s="23">
        <f>+'QTR Raw'!D83</f>
        <v>0</v>
      </c>
      <c r="AK183" s="23" t="e">
        <f t="shared" ref="AK183:AM183" si="1323">+AK233</f>
        <v>#DIV/0!</v>
      </c>
      <c r="AL183" s="23">
        <f>+'QTR Raw'!F83</f>
        <v>0</v>
      </c>
      <c r="AM183" s="23" t="e">
        <f t="shared" si="1323"/>
        <v>#DIV/0!</v>
      </c>
      <c r="AN183" s="23">
        <f>+'QTR Raw'!H83</f>
        <v>0</v>
      </c>
      <c r="AO183" s="23" t="e">
        <f t="shared" ref="AO183" si="1324">+AO233</f>
        <v>#DIV/0!</v>
      </c>
      <c r="AP183" s="23">
        <f>+'QTR Raw'!J83</f>
        <v>0</v>
      </c>
      <c r="AQ183" s="23" t="e">
        <f t="shared" ref="AQ183" si="1325">+AQ233</f>
        <v>#DIV/0!</v>
      </c>
      <c r="AR183" s="23">
        <f>+'QTR Raw'!L83</f>
        <v>0</v>
      </c>
      <c r="AS183" s="23" t="e">
        <f t="shared" ref="AS183" si="1326">+AS233</f>
        <v>#DIV/0!</v>
      </c>
      <c r="AT183" s="23">
        <f>+'QTR Raw'!N83</f>
        <v>0</v>
      </c>
      <c r="AU183" s="23" t="e">
        <f t="shared" ref="AU183" si="1327">+AU233</f>
        <v>#DIV/0!</v>
      </c>
      <c r="AV183" s="23">
        <f>+'QTR Raw'!P83</f>
        <v>0</v>
      </c>
      <c r="AW183" s="23" t="e">
        <f t="shared" ref="AW183" si="1328">+AW233</f>
        <v>#DIV/0!</v>
      </c>
      <c r="AX183" s="23">
        <f>+'QTR Raw'!R83</f>
        <v>0</v>
      </c>
      <c r="AY183" s="23" t="e">
        <f t="shared" ref="AY183" si="1329">+AY233</f>
        <v>#DIV/0!</v>
      </c>
      <c r="AZ183" s="23">
        <f>+'QTR Raw'!T83</f>
        <v>0</v>
      </c>
      <c r="BA183" s="23" t="e">
        <f t="shared" ref="BA183" si="1330">+BA233</f>
        <v>#DIV/0!</v>
      </c>
      <c r="BB183" s="23">
        <f>+'QTR Raw'!V83</f>
        <v>0</v>
      </c>
      <c r="BC183" s="23" t="e">
        <f t="shared" ref="BC183" si="1331">+BC233</f>
        <v>#DIV/0!</v>
      </c>
      <c r="BD183" s="23">
        <f>+'QTR Raw'!X83</f>
        <v>0</v>
      </c>
      <c r="BE183" s="23" t="e">
        <f t="shared" ref="BE183" si="1332">+BE233</f>
        <v>#DIV/0!</v>
      </c>
      <c r="BF183" s="23">
        <f>+'QTR Raw'!Z83</f>
        <v>0</v>
      </c>
      <c r="BG183" s="23" t="e">
        <f t="shared" ref="BG183" si="1333">+BG233</f>
        <v>#DIV/0!</v>
      </c>
      <c r="BH183" s="23">
        <f>+'QTR Raw'!AB83</f>
        <v>0</v>
      </c>
      <c r="BI183" s="23" t="e">
        <f t="shared" ref="BI183" si="1334">+BI233</f>
        <v>#DIV/0!</v>
      </c>
      <c r="BJ183" s="23">
        <f>+'QTR Raw'!AD83</f>
        <v>0</v>
      </c>
      <c r="BK183" s="23" t="e">
        <f t="shared" ref="BK183" si="1335">+BK233</f>
        <v>#DIV/0!</v>
      </c>
      <c r="BL183" s="23">
        <f>+'QTR Raw'!AF83</f>
        <v>0</v>
      </c>
      <c r="BM183" s="23" t="e">
        <f t="shared" ref="BM183" si="1336">+BM233</f>
        <v>#DIV/0!</v>
      </c>
      <c r="BN183" s="23">
        <f>+'QTR Raw'!AH83</f>
        <v>0</v>
      </c>
      <c r="BO183" s="23" t="e">
        <f t="shared" ref="BO183" si="1337">+BO233</f>
        <v>#DIV/0!</v>
      </c>
      <c r="BP183" s="23">
        <f>+'QTR Raw'!AJ83</f>
        <v>0</v>
      </c>
      <c r="BQ183" s="23" t="e">
        <f t="shared" ref="BQ183" si="1338">+BQ233</f>
        <v>#DIV/0!</v>
      </c>
      <c r="BR183" s="23">
        <f>+'QTR Raw'!AL83</f>
        <v>1188.46</v>
      </c>
      <c r="BS183" s="23">
        <f t="shared" ref="BS183" si="1339">+BS233</f>
        <v>1348.2212343684705</v>
      </c>
      <c r="BT183" s="23">
        <f>+'QTR Raw'!AN83</f>
        <v>0</v>
      </c>
      <c r="BU183" s="23">
        <f t="shared" ref="BU183" si="1340">+BU233</f>
        <v>211.41000000000099</v>
      </c>
      <c r="BV183" s="23">
        <f>+'QTR Raw'!AP83</f>
        <v>4494</v>
      </c>
      <c r="BW183" s="23">
        <f t="shared" ref="BW183" si="1341">+BW233</f>
        <v>4842.4354407914034</v>
      </c>
      <c r="BX183" s="23">
        <f>+'QTR Raw'!AR83</f>
        <v>4091.91</v>
      </c>
      <c r="BY183" s="23">
        <f t="shared" ref="BY183" si="1342">+BY233</f>
        <v>3972.4599503463969</v>
      </c>
      <c r="BZ183" s="23">
        <f>+'QTR Raw'!AT83</f>
        <v>3724.08</v>
      </c>
      <c r="CA183" s="23">
        <f t="shared" ref="CA183" si="1343">+CA233</f>
        <v>4210.1094150212202</v>
      </c>
      <c r="CB183" s="23">
        <f>+'QTR Raw'!AV83</f>
        <v>2922.81</v>
      </c>
      <c r="CC183" s="23">
        <f t="shared" ref="CC183" si="1344">+CC233</f>
        <v>2755.9959710935314</v>
      </c>
      <c r="CD183" s="23">
        <f>+'QTR Raw'!AX83</f>
        <v>2809.58</v>
      </c>
      <c r="CE183" s="23">
        <f t="shared" ref="CE183" si="1345">+CE233</f>
        <v>2685.5688515544703</v>
      </c>
      <c r="CF183" s="23">
        <f>+'QTR Raw'!AZ83</f>
        <v>2821.51</v>
      </c>
      <c r="CG183" s="23">
        <f t="shared" ref="CG183:CI183" si="1346">+CG233</f>
        <v>2532.7945814999921</v>
      </c>
      <c r="CH183" s="23">
        <f t="shared" si="1322"/>
        <v>1022.56</v>
      </c>
      <c r="CI183" s="23">
        <f t="shared" si="1346"/>
        <v>1822.4036814377082</v>
      </c>
      <c r="CJ183" s="23">
        <f>+'QTR Raw'!BD83</f>
        <v>1641.59</v>
      </c>
      <c r="CK183" s="23">
        <f t="shared" ref="CK183:DB183" si="1347">+CK233</f>
        <v>2058.0022550564986</v>
      </c>
      <c r="CL183" s="23">
        <f>+'QTR Raw'!BF83</f>
        <v>1719.31</v>
      </c>
      <c r="CM183" s="24">
        <f t="shared" si="1347"/>
        <v>3095.8066307320469</v>
      </c>
      <c r="CN183" s="24">
        <f t="shared" si="1347"/>
        <v>3497.0488435006473</v>
      </c>
      <c r="CO183" s="24">
        <f t="shared" si="1347"/>
        <v>3861.7075634942726</v>
      </c>
      <c r="CP183" s="24">
        <f t="shared" si="1347"/>
        <v>4108.1962028923517</v>
      </c>
      <c r="CQ183" s="24">
        <f t="shared" si="1347"/>
        <v>4907.2247539369264</v>
      </c>
      <c r="CR183" s="24">
        <f t="shared" si="1347"/>
        <v>5231.3138343711016</v>
      </c>
      <c r="CS183" s="24">
        <f t="shared" si="1347"/>
        <v>5549.5570220840636</v>
      </c>
      <c r="CT183" s="24">
        <f t="shared" si="1347"/>
        <v>5787.4423222158284</v>
      </c>
      <c r="CU183" s="24">
        <f t="shared" si="1347"/>
        <v>6534.6538909361097</v>
      </c>
      <c r="CV183" s="24">
        <f t="shared" si="1347"/>
        <v>6849.1413583816611</v>
      </c>
      <c r="CW183" s="24">
        <f t="shared" si="1347"/>
        <v>7153.4504531234252</v>
      </c>
      <c r="CX183" s="24">
        <f t="shared" si="1347"/>
        <v>7356.3727240660965</v>
      </c>
      <c r="CY183" s="24">
        <f t="shared" si="1347"/>
        <v>8128.1604691614366</v>
      </c>
      <c r="CZ183" s="24">
        <f t="shared" si="1347"/>
        <v>8432.8864366695434</v>
      </c>
      <c r="DA183" s="24">
        <f t="shared" si="1347"/>
        <v>8723.5249171877076</v>
      </c>
      <c r="DB183" s="24">
        <f t="shared" si="1347"/>
        <v>8904.1443496226238</v>
      </c>
      <c r="DE183" s="123"/>
      <c r="DF183" s="23">
        <v>2160.2980141058333</v>
      </c>
    </row>
    <row r="184" spans="1:110" s="22" customFormat="1" x14ac:dyDescent="0.2">
      <c r="A184" s="22" t="s">
        <v>77</v>
      </c>
      <c r="B184" s="22">
        <f>B182+B183</f>
        <v>0</v>
      </c>
      <c r="C184" s="22">
        <f t="shared" ref="C184:V184" si="1348">C182+C183</f>
        <v>0</v>
      </c>
      <c r="D184" s="22">
        <f t="shared" si="1348"/>
        <v>42.389000000000003</v>
      </c>
      <c r="E184" s="22">
        <f t="shared" si="1348"/>
        <v>116.958</v>
      </c>
      <c r="F184" s="22">
        <f t="shared" si="1348"/>
        <v>159.398</v>
      </c>
      <c r="G184" s="22">
        <f t="shared" si="1348"/>
        <v>151.77500000000001</v>
      </c>
      <c r="H184" s="22">
        <f t="shared" si="1348"/>
        <v>107.953</v>
      </c>
      <c r="I184" s="22">
        <f t="shared" si="1348"/>
        <v>163.184</v>
      </c>
      <c r="J184" s="22">
        <f t="shared" si="1348"/>
        <v>180.09899999999999</v>
      </c>
      <c r="K184" s="22">
        <f t="shared" si="1348"/>
        <v>130.27199999999999</v>
      </c>
      <c r="L184" s="22">
        <f t="shared" si="1348"/>
        <v>176.494</v>
      </c>
      <c r="M184" s="22">
        <f t="shared" si="1348"/>
        <v>733.98</v>
      </c>
      <c r="N184" s="22">
        <f t="shared" si="1348"/>
        <v>1615.422</v>
      </c>
      <c r="O184" s="22">
        <f t="shared" si="1348"/>
        <v>1970.943</v>
      </c>
      <c r="P184" s="22">
        <f t="shared" si="1348"/>
        <v>1156.857</v>
      </c>
      <c r="Q184" s="22">
        <f t="shared" si="1348"/>
        <v>929.16099999999994</v>
      </c>
      <c r="R184" s="22">
        <f t="shared" si="1348"/>
        <v>909.48299999999995</v>
      </c>
      <c r="S184" s="22">
        <f t="shared" si="1348"/>
        <v>1091.2149999999999</v>
      </c>
      <c r="T184" s="22">
        <f t="shared" si="1348"/>
        <v>1215.461</v>
      </c>
      <c r="U184" s="22">
        <f t="shared" si="1348"/>
        <v>1432.1010000000001</v>
      </c>
      <c r="V184" s="22">
        <f t="shared" si="1348"/>
        <v>1238.46</v>
      </c>
      <c r="W184" s="22">
        <f t="shared" ref="W184" si="1349">W182+W183</f>
        <v>4544</v>
      </c>
      <c r="X184" s="22">
        <f t="shared" ref="X184:Y184" si="1350">X182+X183</f>
        <v>3774.11</v>
      </c>
      <c r="Y184" s="22">
        <f t="shared" si="1350"/>
        <v>2809.58</v>
      </c>
      <c r="Z184" s="22">
        <f t="shared" ref="Z184:AA184" si="1351">Z182+Z183</f>
        <v>1272.83</v>
      </c>
      <c r="AA184" s="22">
        <f t="shared" si="1351"/>
        <v>2372.59</v>
      </c>
      <c r="AB184" s="21">
        <f t="shared" ref="AA184:AD184" si="1352">AB182+AB183</f>
        <v>4108.1962028923517</v>
      </c>
      <c r="AC184" s="21">
        <f t="shared" si="1352"/>
        <v>5787.4423222158284</v>
      </c>
      <c r="AD184" s="21">
        <f t="shared" si="1352"/>
        <v>7356.3727240660965</v>
      </c>
      <c r="AE184" s="21">
        <f t="shared" ref="AE184" si="1353">AE182+AE183</f>
        <v>8904.1443496226238</v>
      </c>
      <c r="AJ184" s="22">
        <f t="shared" ref="AJ184" si="1354">AJ182+AJ183</f>
        <v>0</v>
      </c>
      <c r="AK184" s="22" t="e">
        <f t="shared" ref="AK184" si="1355">AK182+AK183</f>
        <v>#DIV/0!</v>
      </c>
      <c r="AL184" s="22">
        <f t="shared" ref="AL184:AM184" si="1356">AL182+AL183</f>
        <v>0</v>
      </c>
      <c r="AM184" s="22" t="e">
        <f t="shared" si="1356"/>
        <v>#DIV/0!</v>
      </c>
      <c r="AN184" s="22">
        <f t="shared" ref="AN184:AO184" si="1357">AN182+AN183</f>
        <v>0</v>
      </c>
      <c r="AO184" s="22" t="e">
        <f t="shared" si="1357"/>
        <v>#DIV/0!</v>
      </c>
      <c r="AP184" s="22">
        <f t="shared" ref="AP184:CE184" si="1358">AP182+AP183</f>
        <v>0</v>
      </c>
      <c r="AQ184" s="22" t="e">
        <f t="shared" si="1358"/>
        <v>#DIV/0!</v>
      </c>
      <c r="AR184" s="22">
        <f t="shared" si="1358"/>
        <v>0</v>
      </c>
      <c r="AS184" s="22" t="e">
        <f t="shared" si="1358"/>
        <v>#DIV/0!</v>
      </c>
      <c r="AT184" s="22">
        <f t="shared" si="1358"/>
        <v>0</v>
      </c>
      <c r="AU184" s="22" t="e">
        <f t="shared" si="1358"/>
        <v>#DIV/0!</v>
      </c>
      <c r="AV184" s="22">
        <f t="shared" si="1358"/>
        <v>0</v>
      </c>
      <c r="AW184" s="22" t="e">
        <f t="shared" si="1358"/>
        <v>#DIV/0!</v>
      </c>
      <c r="AX184" s="22">
        <f t="shared" si="1358"/>
        <v>0</v>
      </c>
      <c r="AY184" s="22" t="e">
        <f t="shared" si="1358"/>
        <v>#DIV/0!</v>
      </c>
      <c r="AZ184" s="22">
        <f t="shared" si="1358"/>
        <v>0</v>
      </c>
      <c r="BA184" s="22" t="e">
        <f t="shared" si="1358"/>
        <v>#DIV/0!</v>
      </c>
      <c r="BB184" s="22">
        <f t="shared" si="1358"/>
        <v>0</v>
      </c>
      <c r="BC184" s="22" t="e">
        <f t="shared" si="1358"/>
        <v>#DIV/0!</v>
      </c>
      <c r="BD184" s="22">
        <f t="shared" si="1358"/>
        <v>0</v>
      </c>
      <c r="BE184" s="22" t="e">
        <f t="shared" si="1358"/>
        <v>#DIV/0!</v>
      </c>
      <c r="BF184" s="22">
        <f t="shared" si="1358"/>
        <v>0</v>
      </c>
      <c r="BG184" s="22" t="e">
        <f t="shared" si="1358"/>
        <v>#DIV/0!</v>
      </c>
      <c r="BH184" s="22">
        <f t="shared" si="1358"/>
        <v>0</v>
      </c>
      <c r="BI184" s="22" t="e">
        <f t="shared" si="1358"/>
        <v>#DIV/0!</v>
      </c>
      <c r="BJ184" s="22">
        <f t="shared" si="1358"/>
        <v>0</v>
      </c>
      <c r="BK184" s="22" t="e">
        <f t="shared" si="1358"/>
        <v>#DIV/0!</v>
      </c>
      <c r="BL184" s="22">
        <f t="shared" si="1358"/>
        <v>0</v>
      </c>
      <c r="BM184" s="22" t="e">
        <f t="shared" si="1358"/>
        <v>#DIV/0!</v>
      </c>
      <c r="BN184" s="22">
        <f t="shared" si="1358"/>
        <v>0</v>
      </c>
      <c r="BO184" s="22" t="e">
        <f t="shared" si="1358"/>
        <v>#DIV/0!</v>
      </c>
      <c r="BP184" s="22">
        <f t="shared" si="1358"/>
        <v>0</v>
      </c>
      <c r="BQ184" s="22" t="e">
        <f t="shared" si="1358"/>
        <v>#DIV/0!</v>
      </c>
      <c r="BR184" s="22">
        <f t="shared" si="1358"/>
        <v>1238.46</v>
      </c>
      <c r="BS184" s="22">
        <f t="shared" si="1358"/>
        <v>1348.2212343684705</v>
      </c>
      <c r="BT184" s="22">
        <f t="shared" si="1358"/>
        <v>0</v>
      </c>
      <c r="BU184" s="22">
        <f t="shared" si="1358"/>
        <v>211.41000000000099</v>
      </c>
      <c r="BV184" s="22">
        <f t="shared" si="1358"/>
        <v>4544</v>
      </c>
      <c r="BW184" s="22">
        <f t="shared" si="1358"/>
        <v>4842.4354407914034</v>
      </c>
      <c r="BX184" s="22">
        <f t="shared" si="1358"/>
        <v>4442.22</v>
      </c>
      <c r="BY184" s="22">
        <f t="shared" si="1358"/>
        <v>3972.4599503463969</v>
      </c>
      <c r="BZ184" s="22">
        <f t="shared" si="1358"/>
        <v>3774.11</v>
      </c>
      <c r="CA184" s="22">
        <f t="shared" si="1358"/>
        <v>4210.1094150212202</v>
      </c>
      <c r="CB184" s="22">
        <f t="shared" si="1358"/>
        <v>2922.81</v>
      </c>
      <c r="CC184" s="22">
        <f t="shared" si="1358"/>
        <v>2755.9959710935314</v>
      </c>
      <c r="CD184" s="22">
        <f t="shared" si="1358"/>
        <v>2809.58</v>
      </c>
      <c r="CE184" s="22">
        <f t="shared" si="1358"/>
        <v>2685.5688515544703</v>
      </c>
      <c r="CF184" s="22">
        <f t="shared" ref="CF184:CG184" si="1359">CF182+CF183</f>
        <v>3297.96</v>
      </c>
      <c r="CG184" s="22">
        <f t="shared" si="1359"/>
        <v>2532.7945814999921</v>
      </c>
      <c r="CH184" s="22">
        <f t="shared" ref="CH184:CI184" si="1360">CH182+CH183</f>
        <v>1272.83</v>
      </c>
      <c r="CI184" s="22">
        <f t="shared" si="1360"/>
        <v>1822.4036814377082</v>
      </c>
      <c r="CJ184" s="22">
        <f t="shared" ref="CJ184:DB184" si="1361">CJ182+CJ183</f>
        <v>1791.61</v>
      </c>
      <c r="CK184" s="22">
        <f t="shared" si="1361"/>
        <v>2058.0022550564986</v>
      </c>
      <c r="CL184" s="22">
        <f t="shared" ref="CL184" si="1362">CL182+CL183</f>
        <v>2372.59</v>
      </c>
      <c r="CM184" s="21">
        <f t="shared" si="1361"/>
        <v>3095.8066307320469</v>
      </c>
      <c r="CN184" s="21">
        <f t="shared" si="1361"/>
        <v>3497.0488435006473</v>
      </c>
      <c r="CO184" s="21">
        <f t="shared" si="1361"/>
        <v>3861.7075634942726</v>
      </c>
      <c r="CP184" s="21">
        <f t="shared" si="1361"/>
        <v>4108.1962028923517</v>
      </c>
      <c r="CQ184" s="21">
        <f t="shared" si="1361"/>
        <v>4907.2247539369264</v>
      </c>
      <c r="CR184" s="21">
        <f t="shared" si="1361"/>
        <v>5231.3138343711016</v>
      </c>
      <c r="CS184" s="21">
        <f t="shared" si="1361"/>
        <v>5549.5570220840636</v>
      </c>
      <c r="CT184" s="21">
        <f t="shared" si="1361"/>
        <v>5787.4423222158284</v>
      </c>
      <c r="CU184" s="21">
        <f t="shared" si="1361"/>
        <v>6534.6538909361097</v>
      </c>
      <c r="CV184" s="21">
        <f t="shared" si="1361"/>
        <v>6849.1413583816611</v>
      </c>
      <c r="CW184" s="21">
        <f t="shared" si="1361"/>
        <v>7153.4504531234252</v>
      </c>
      <c r="CX184" s="21">
        <f t="shared" si="1361"/>
        <v>7356.3727240660965</v>
      </c>
      <c r="CY184" s="21">
        <f t="shared" si="1361"/>
        <v>8128.1604691614366</v>
      </c>
      <c r="CZ184" s="21">
        <f t="shared" si="1361"/>
        <v>8432.8864366695434</v>
      </c>
      <c r="DA184" s="21">
        <f t="shared" si="1361"/>
        <v>8723.5249171877076</v>
      </c>
      <c r="DB184" s="21">
        <f t="shared" si="1361"/>
        <v>8904.1443496226238</v>
      </c>
      <c r="DE184" s="126"/>
      <c r="DF184" s="22">
        <v>2160.2980141058333</v>
      </c>
    </row>
    <row r="185" spans="1:110" s="23" customFormat="1" x14ac:dyDescent="0.2"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3" customFormat="1" x14ac:dyDescent="0.2">
      <c r="A186" s="23" t="s">
        <v>78</v>
      </c>
      <c r="B186" s="23">
        <f>-'Annual Raw'!C49</f>
        <v>0</v>
      </c>
      <c r="C186" s="23">
        <f>-'Annual Raw'!D49</f>
        <v>0</v>
      </c>
      <c r="D186" s="23">
        <f>-'Annual Raw'!E49</f>
        <v>-11.616</v>
      </c>
      <c r="E186" s="23">
        <f>-'Annual Raw'!F49</f>
        <v>-14.534000000000001</v>
      </c>
      <c r="F186" s="23">
        <f>-'Annual Raw'!G49</f>
        <v>-15.231999999999999</v>
      </c>
      <c r="G186" s="23">
        <f>-'Annual Raw'!H49</f>
        <v>-16.224</v>
      </c>
      <c r="H186" s="23">
        <f>-'Annual Raw'!I49</f>
        <v>-18.771999999999998</v>
      </c>
      <c r="I186" s="23">
        <f>-'Annual Raw'!J49</f>
        <v>-37.537999999999997</v>
      </c>
      <c r="J186" s="23">
        <f>-'Annual Raw'!K49</f>
        <v>-41.274000000000001</v>
      </c>
      <c r="K186" s="23">
        <f>-'Annual Raw'!L49</f>
        <v>-48.725999999999999</v>
      </c>
      <c r="L186" s="23">
        <f>-'Annual Raw'!M49</f>
        <v>-50.576999999999998</v>
      </c>
      <c r="M186" s="23">
        <f>-'Annual Raw'!N49</f>
        <v>-55.515000000000001</v>
      </c>
      <c r="N186" s="23">
        <f>-'Annual Raw'!O49</f>
        <v>-112.884</v>
      </c>
      <c r="O186" s="23">
        <f>-'Annual Raw'!P49</f>
        <v>-120.30800000000001</v>
      </c>
      <c r="P186" s="23">
        <f>-'Annual Raw'!Q49</f>
        <v>-145.32900000000001</v>
      </c>
      <c r="Q186" s="23">
        <f>-'Annual Raw'!R49</f>
        <v>-167.87100000000001</v>
      </c>
      <c r="R186" s="23">
        <f>-'Annual Raw'!S49</f>
        <v>-133.77699999999999</v>
      </c>
      <c r="S186" s="23">
        <f>-'Annual Raw'!T49</f>
        <v>-202.98400000000001</v>
      </c>
      <c r="T186" s="23">
        <f>-'Annual Raw'!U49</f>
        <v>-281.37400000000002</v>
      </c>
      <c r="U186" s="23">
        <f>-'Annual Raw'!V49</f>
        <v>-389.19400000000002</v>
      </c>
      <c r="V186" s="23">
        <f>-'Annual Raw'!W49</f>
        <v>-209.19</v>
      </c>
      <c r="W186" s="23">
        <f>-'Annual Raw'!X49</f>
        <v>-252.76</v>
      </c>
      <c r="X186" s="23">
        <f>-'Annual Raw'!Y49</f>
        <v>-394.21</v>
      </c>
      <c r="Y186" s="23">
        <f>-'Annual Raw'!Z49</f>
        <v>-308.29000000000002</v>
      </c>
      <c r="Z186" s="23">
        <f>-'Annual Raw'!AA49</f>
        <v>-326.45</v>
      </c>
      <c r="AA186" s="23">
        <f>-'Annual Raw'!AB49</f>
        <v>-441.98</v>
      </c>
      <c r="AB186" s="24">
        <f t="shared" ref="AB186:AB187" si="1363">+CP186</f>
        <v>-441.98</v>
      </c>
      <c r="AC186" s="24">
        <f t="shared" ref="AC186:AC187" si="1364">+CT186</f>
        <v>-441.98</v>
      </c>
      <c r="AD186" s="24">
        <f t="shared" ref="AD186:AD187" si="1365">+CX186</f>
        <v>-441.98</v>
      </c>
      <c r="AE186" s="24">
        <f t="shared" ref="AE186:AE187" si="1366">+DB186</f>
        <v>-441.98</v>
      </c>
      <c r="AJ186" s="23">
        <f>+'QTR Raw'!D96</f>
        <v>0</v>
      </c>
      <c r="AK186" s="23">
        <f t="shared" ref="AK186:CE186" si="1367">+AJ186</f>
        <v>0</v>
      </c>
      <c r="AL186" s="23">
        <f>+'QTR Raw'!F96</f>
        <v>0</v>
      </c>
      <c r="AM186" s="23">
        <f t="shared" si="1367"/>
        <v>0</v>
      </c>
      <c r="AN186" s="23">
        <f>+'QTR Raw'!H96</f>
        <v>0</v>
      </c>
      <c r="AO186" s="23">
        <f t="shared" si="1367"/>
        <v>0</v>
      </c>
      <c r="AP186" s="23">
        <f>+'QTR Raw'!J96</f>
        <v>0</v>
      </c>
      <c r="AQ186" s="23">
        <f t="shared" si="1367"/>
        <v>0</v>
      </c>
      <c r="AR186" s="23">
        <f>+'QTR Raw'!L96</f>
        <v>0</v>
      </c>
      <c r="AS186" s="23">
        <f t="shared" si="1367"/>
        <v>0</v>
      </c>
      <c r="AT186" s="23">
        <f>+'QTR Raw'!N96</f>
        <v>0</v>
      </c>
      <c r="AU186" s="23">
        <f t="shared" si="1367"/>
        <v>0</v>
      </c>
      <c r="AV186" s="23">
        <f>+'QTR Raw'!P96</f>
        <v>0</v>
      </c>
      <c r="AW186" s="23">
        <f t="shared" si="1367"/>
        <v>0</v>
      </c>
      <c r="AX186" s="23">
        <f>+'QTR Raw'!R96</f>
        <v>0</v>
      </c>
      <c r="AY186" s="23">
        <f t="shared" si="1367"/>
        <v>0</v>
      </c>
      <c r="AZ186" s="23">
        <f>+'QTR Raw'!T96</f>
        <v>0</v>
      </c>
      <c r="BA186" s="23">
        <f t="shared" si="1367"/>
        <v>0</v>
      </c>
      <c r="BB186" s="23">
        <f>+'QTR Raw'!V96</f>
        <v>0</v>
      </c>
      <c r="BC186" s="23">
        <f t="shared" si="1367"/>
        <v>0</v>
      </c>
      <c r="BD186" s="23">
        <f>+'QTR Raw'!X96</f>
        <v>0</v>
      </c>
      <c r="BE186" s="23">
        <f t="shared" si="1367"/>
        <v>0</v>
      </c>
      <c r="BF186" s="23">
        <f>+'QTR Raw'!Z96</f>
        <v>0</v>
      </c>
      <c r="BG186" s="23">
        <f t="shared" si="1367"/>
        <v>0</v>
      </c>
      <c r="BH186" s="23">
        <f>+'QTR Raw'!AB96</f>
        <v>0</v>
      </c>
      <c r="BI186" s="23">
        <f t="shared" si="1367"/>
        <v>0</v>
      </c>
      <c r="BJ186" s="23">
        <f>+'QTR Raw'!AD96</f>
        <v>0</v>
      </c>
      <c r="BK186" s="23">
        <f t="shared" si="1367"/>
        <v>0</v>
      </c>
      <c r="BL186" s="23">
        <f>+'QTR Raw'!AF96</f>
        <v>0</v>
      </c>
      <c r="BM186" s="23">
        <f t="shared" si="1367"/>
        <v>0</v>
      </c>
      <c r="BN186" s="23">
        <f>+'QTR Raw'!AH96</f>
        <v>0</v>
      </c>
      <c r="BO186" s="23">
        <f t="shared" si="1367"/>
        <v>0</v>
      </c>
      <c r="BP186" s="23">
        <f>+'QTR Raw'!AJ96</f>
        <v>0</v>
      </c>
      <c r="BQ186" s="23">
        <f t="shared" si="1367"/>
        <v>0</v>
      </c>
      <c r="BR186" s="23">
        <f>+'QTR Raw'!AL96</f>
        <v>-209.19</v>
      </c>
      <c r="BS186" s="23">
        <f t="shared" si="1367"/>
        <v>-209.19</v>
      </c>
      <c r="BT186" s="23">
        <f>+'QTR Raw'!AN96</f>
        <v>0</v>
      </c>
      <c r="BU186" s="23">
        <f t="shared" si="1367"/>
        <v>0</v>
      </c>
      <c r="BV186" s="23">
        <f>+'QTR Raw'!AP96</f>
        <v>-252.76</v>
      </c>
      <c r="BW186" s="23">
        <f t="shared" si="1367"/>
        <v>-252.76</v>
      </c>
      <c r="BX186" s="23">
        <f>+'QTR Raw'!AR96</f>
        <v>-332.33</v>
      </c>
      <c r="BY186" s="23">
        <f t="shared" si="1367"/>
        <v>-332.33</v>
      </c>
      <c r="BZ186" s="23">
        <f>+'QTR Raw'!AT96</f>
        <v>-394.21</v>
      </c>
      <c r="CA186" s="23">
        <f t="shared" si="1367"/>
        <v>-394.21</v>
      </c>
      <c r="CB186" s="23">
        <f>+'QTR Raw'!AV96</f>
        <v>-344.79</v>
      </c>
      <c r="CC186" s="23">
        <f t="shared" si="1367"/>
        <v>-344.79</v>
      </c>
      <c r="CD186" s="23">
        <f>+'QTR Raw'!AX96</f>
        <v>-308.29000000000002</v>
      </c>
      <c r="CE186" s="23">
        <f t="shared" si="1367"/>
        <v>-308.29000000000002</v>
      </c>
      <c r="CF186" s="23">
        <f>+'QTR Raw'!AZ96</f>
        <v>-323.64999999999998</v>
      </c>
      <c r="CG186" s="23">
        <f t="shared" ref="CG186:CI187" si="1368">+CF186</f>
        <v>-323.64999999999998</v>
      </c>
      <c r="CH186" s="23">
        <f t="shared" ref="CH186:CH187" si="1369">Z186</f>
        <v>-326.45</v>
      </c>
      <c r="CI186" s="23">
        <f t="shared" si="1368"/>
        <v>-326.45</v>
      </c>
      <c r="CJ186" s="23">
        <f>+'QTR Raw'!BD96</f>
        <v>-412.93</v>
      </c>
      <c r="CK186" s="23">
        <f t="shared" ref="CK186:CK187" si="1370">+CJ186</f>
        <v>-412.93</v>
      </c>
      <c r="CL186" s="23">
        <f>+'QTR Raw'!BF96</f>
        <v>-441.98</v>
      </c>
      <c r="CM186" s="24">
        <f t="shared" ref="CM186:CM187" si="1371">+CL186</f>
        <v>-441.98</v>
      </c>
      <c r="CN186" s="24">
        <f t="shared" ref="CN186:CN187" si="1372">+CM186</f>
        <v>-441.98</v>
      </c>
      <c r="CO186" s="24">
        <f t="shared" ref="CO186:CO187" si="1373">+CN186</f>
        <v>-441.98</v>
      </c>
      <c r="CP186" s="24">
        <f t="shared" ref="CP186:CP187" si="1374">+CO186</f>
        <v>-441.98</v>
      </c>
      <c r="CQ186" s="24">
        <f t="shared" ref="CQ186:CQ187" si="1375">+CP186</f>
        <v>-441.98</v>
      </c>
      <c r="CR186" s="24">
        <f t="shared" ref="CR186:CR187" si="1376">+CQ186</f>
        <v>-441.98</v>
      </c>
      <c r="CS186" s="24">
        <f t="shared" ref="CS186:CS187" si="1377">+CR186</f>
        <v>-441.98</v>
      </c>
      <c r="CT186" s="24">
        <f t="shared" ref="CT186:CT187" si="1378">+CS186</f>
        <v>-441.98</v>
      </c>
      <c r="CU186" s="24">
        <f t="shared" ref="CU186:CU187" si="1379">+CT186</f>
        <v>-441.98</v>
      </c>
      <c r="CV186" s="24">
        <f t="shared" ref="CV186:CV187" si="1380">+CU186</f>
        <v>-441.98</v>
      </c>
      <c r="CW186" s="24">
        <f t="shared" ref="CW186:CW187" si="1381">+CV186</f>
        <v>-441.98</v>
      </c>
      <c r="CX186" s="24">
        <f t="shared" ref="CX186:CX187" si="1382">+CW186</f>
        <v>-441.98</v>
      </c>
      <c r="CY186" s="24">
        <f t="shared" ref="CY186:CY187" si="1383">+CX186</f>
        <v>-441.98</v>
      </c>
      <c r="CZ186" s="24">
        <f t="shared" ref="CZ186:CZ187" si="1384">+CY186</f>
        <v>-441.98</v>
      </c>
      <c r="DA186" s="24">
        <f t="shared" ref="DA186:DA187" si="1385">+CZ186</f>
        <v>-441.98</v>
      </c>
      <c r="DB186" s="24">
        <f t="shared" ref="DB186:DB187" si="1386">+DA186</f>
        <v>-441.98</v>
      </c>
      <c r="DE186" s="123"/>
      <c r="DF186" s="23">
        <v>-412.93</v>
      </c>
    </row>
    <row r="187" spans="1:110" s="23" customFormat="1" x14ac:dyDescent="0.2">
      <c r="A187" s="23" t="s">
        <v>79</v>
      </c>
      <c r="B187" s="23">
        <f>'Annual Raw'!C83</f>
        <v>0</v>
      </c>
      <c r="C187" s="23">
        <f>'Annual Raw'!D83</f>
        <v>0</v>
      </c>
      <c r="D187" s="23">
        <f>'Annual Raw'!E83</f>
        <v>0</v>
      </c>
      <c r="E187" s="23">
        <f>'Annual Raw'!F83</f>
        <v>0.95599999999999996</v>
      </c>
      <c r="F187" s="23">
        <f>'Annual Raw'!G83</f>
        <v>6.3440000000000003</v>
      </c>
      <c r="G187" s="23">
        <f>'Annual Raw'!H83</f>
        <v>0.39200000000000002</v>
      </c>
      <c r="H187" s="23">
        <f>'Annual Raw'!I83</f>
        <v>0</v>
      </c>
      <c r="I187" s="23">
        <f>'Annual Raw'!J83</f>
        <v>0</v>
      </c>
      <c r="J187" s="23">
        <f>'Annual Raw'!K83</f>
        <v>0</v>
      </c>
      <c r="K187" s="23">
        <f>'Annual Raw'!L83</f>
        <v>0</v>
      </c>
      <c r="L187" s="23">
        <f>'Annual Raw'!M83</f>
        <v>0</v>
      </c>
      <c r="M187" s="23">
        <f>'Annual Raw'!N83</f>
        <v>0</v>
      </c>
      <c r="N187" s="23">
        <f>'Annual Raw'!O83</f>
        <v>0</v>
      </c>
      <c r="O187" s="23">
        <f>'Annual Raw'!P83</f>
        <v>0</v>
      </c>
      <c r="P187" s="23">
        <f>'Annual Raw'!Q83</f>
        <v>0</v>
      </c>
      <c r="Q187" s="23">
        <f>'Annual Raw'!R83</f>
        <v>0</v>
      </c>
      <c r="R187" s="23">
        <f>'Annual Raw'!S83</f>
        <v>0</v>
      </c>
      <c r="S187" s="23">
        <f>'Annual Raw'!T83</f>
        <v>0</v>
      </c>
      <c r="T187" s="23">
        <f>'Annual Raw'!U83</f>
        <v>0</v>
      </c>
      <c r="U187" s="23">
        <f>'Annual Raw'!V83</f>
        <v>0</v>
      </c>
      <c r="V187" s="23">
        <f>'Annual Raw'!W83</f>
        <v>0</v>
      </c>
      <c r="W187" s="23">
        <f>'Annual Raw'!X83</f>
        <v>0</v>
      </c>
      <c r="X187" s="23">
        <f>'Annual Raw'!Y83</f>
        <v>0</v>
      </c>
      <c r="Y187" s="23">
        <f>'Annual Raw'!Z83</f>
        <v>0</v>
      </c>
      <c r="Z187" s="23">
        <f>'Annual Raw'!AA83</f>
        <v>0</v>
      </c>
      <c r="AA187" s="23">
        <f>'Annual Raw'!AB83</f>
        <v>0</v>
      </c>
      <c r="AB187" s="24">
        <f t="shared" si="1363"/>
        <v>0</v>
      </c>
      <c r="AC187" s="24">
        <f t="shared" si="1364"/>
        <v>0</v>
      </c>
      <c r="AD187" s="24">
        <f t="shared" si="1365"/>
        <v>0</v>
      </c>
      <c r="AE187" s="24">
        <f t="shared" si="1366"/>
        <v>0</v>
      </c>
      <c r="AJ187" s="23">
        <f>+'QTR Raw'!D95</f>
        <v>0</v>
      </c>
      <c r="AK187" s="23">
        <f t="shared" ref="AK187:CE187" si="1387">+AJ187</f>
        <v>0</v>
      </c>
      <c r="AL187" s="23">
        <f>+'QTR Raw'!F95</f>
        <v>0</v>
      </c>
      <c r="AM187" s="23">
        <f t="shared" si="1387"/>
        <v>0</v>
      </c>
      <c r="AN187" s="23">
        <f>+'QTR Raw'!H95</f>
        <v>0</v>
      </c>
      <c r="AO187" s="23">
        <f t="shared" si="1387"/>
        <v>0</v>
      </c>
      <c r="AP187" s="23">
        <f>+'QTR Raw'!J95</f>
        <v>0</v>
      </c>
      <c r="AQ187" s="23">
        <f t="shared" si="1387"/>
        <v>0</v>
      </c>
      <c r="AR187" s="23">
        <f>+'QTR Raw'!L95</f>
        <v>0</v>
      </c>
      <c r="AS187" s="23">
        <f t="shared" si="1387"/>
        <v>0</v>
      </c>
      <c r="AT187" s="23">
        <f>+'QTR Raw'!N95</f>
        <v>0</v>
      </c>
      <c r="AU187" s="23">
        <f t="shared" si="1387"/>
        <v>0</v>
      </c>
      <c r="AV187" s="23">
        <f>+'QTR Raw'!P95</f>
        <v>0</v>
      </c>
      <c r="AW187" s="23">
        <f t="shared" si="1387"/>
        <v>0</v>
      </c>
      <c r="AX187" s="23">
        <f>+'QTR Raw'!R95</f>
        <v>0</v>
      </c>
      <c r="AY187" s="23">
        <f t="shared" si="1387"/>
        <v>0</v>
      </c>
      <c r="AZ187" s="23">
        <f>+'QTR Raw'!T95</f>
        <v>0</v>
      </c>
      <c r="BA187" s="23">
        <f t="shared" si="1387"/>
        <v>0</v>
      </c>
      <c r="BB187" s="23">
        <f>+'QTR Raw'!V95</f>
        <v>0</v>
      </c>
      <c r="BC187" s="23">
        <f t="shared" si="1387"/>
        <v>0</v>
      </c>
      <c r="BD187" s="23">
        <f>+'QTR Raw'!X95</f>
        <v>0</v>
      </c>
      <c r="BE187" s="23">
        <f t="shared" si="1387"/>
        <v>0</v>
      </c>
      <c r="BF187" s="23">
        <f>+'QTR Raw'!Z95</f>
        <v>0</v>
      </c>
      <c r="BG187" s="23">
        <f t="shared" si="1387"/>
        <v>0</v>
      </c>
      <c r="BH187" s="23">
        <f>+'QTR Raw'!AB95</f>
        <v>0</v>
      </c>
      <c r="BI187" s="23">
        <f t="shared" si="1387"/>
        <v>0</v>
      </c>
      <c r="BJ187" s="23">
        <f>+'QTR Raw'!AD95</f>
        <v>0</v>
      </c>
      <c r="BK187" s="23">
        <f t="shared" si="1387"/>
        <v>0</v>
      </c>
      <c r="BL187" s="23">
        <f>+'QTR Raw'!AF95</f>
        <v>0</v>
      </c>
      <c r="BM187" s="23">
        <f t="shared" si="1387"/>
        <v>0</v>
      </c>
      <c r="BN187" s="23">
        <f>+'QTR Raw'!AH95</f>
        <v>0</v>
      </c>
      <c r="BO187" s="23">
        <f t="shared" si="1387"/>
        <v>0</v>
      </c>
      <c r="BP187" s="23">
        <f>+'QTR Raw'!AJ95</f>
        <v>0</v>
      </c>
      <c r="BQ187" s="23">
        <f t="shared" si="1387"/>
        <v>0</v>
      </c>
      <c r="BR187" s="23">
        <f>+'QTR Raw'!AL95</f>
        <v>0</v>
      </c>
      <c r="BS187" s="23">
        <f t="shared" si="1387"/>
        <v>0</v>
      </c>
      <c r="BT187" s="23">
        <f>+'QTR Raw'!AN95</f>
        <v>0</v>
      </c>
      <c r="BU187" s="23">
        <f t="shared" si="1387"/>
        <v>0</v>
      </c>
      <c r="BV187" s="23">
        <f>+'QTR Raw'!AP95</f>
        <v>0</v>
      </c>
      <c r="BW187" s="23">
        <f t="shared" si="1387"/>
        <v>0</v>
      </c>
      <c r="BX187" s="23">
        <f>+'QTR Raw'!AR95</f>
        <v>0</v>
      </c>
      <c r="BY187" s="23">
        <f t="shared" si="1387"/>
        <v>0</v>
      </c>
      <c r="BZ187" s="23">
        <f>+'QTR Raw'!AT95</f>
        <v>0</v>
      </c>
      <c r="CA187" s="23">
        <f t="shared" si="1387"/>
        <v>0</v>
      </c>
      <c r="CB187" s="23">
        <f>+'QTR Raw'!AV95</f>
        <v>0</v>
      </c>
      <c r="CC187" s="23">
        <f t="shared" si="1387"/>
        <v>0</v>
      </c>
      <c r="CD187" s="23">
        <f>+'QTR Raw'!AX95</f>
        <v>0</v>
      </c>
      <c r="CE187" s="23">
        <f t="shared" si="1387"/>
        <v>0</v>
      </c>
      <c r="CF187" s="23">
        <f>+'QTR Raw'!AZ95</f>
        <v>0</v>
      </c>
      <c r="CG187" s="23">
        <f t="shared" si="1368"/>
        <v>0</v>
      </c>
      <c r="CH187" s="23">
        <f t="shared" si="1369"/>
        <v>0</v>
      </c>
      <c r="CI187" s="23">
        <f t="shared" si="1368"/>
        <v>0</v>
      </c>
      <c r="CJ187" s="23">
        <f>+'QTR Raw'!BD95</f>
        <v>0</v>
      </c>
      <c r="CK187" s="23">
        <f t="shared" si="1370"/>
        <v>0</v>
      </c>
      <c r="CL187" s="23">
        <f>+'QTR Raw'!BF95</f>
        <v>0</v>
      </c>
      <c r="CM187" s="24">
        <f t="shared" si="1371"/>
        <v>0</v>
      </c>
      <c r="CN187" s="24">
        <f t="shared" si="1372"/>
        <v>0</v>
      </c>
      <c r="CO187" s="24">
        <f t="shared" si="1373"/>
        <v>0</v>
      </c>
      <c r="CP187" s="24">
        <f t="shared" si="1374"/>
        <v>0</v>
      </c>
      <c r="CQ187" s="24">
        <f t="shared" si="1375"/>
        <v>0</v>
      </c>
      <c r="CR187" s="24">
        <f t="shared" si="1376"/>
        <v>0</v>
      </c>
      <c r="CS187" s="24">
        <f t="shared" si="1377"/>
        <v>0</v>
      </c>
      <c r="CT187" s="24">
        <f t="shared" si="1378"/>
        <v>0</v>
      </c>
      <c r="CU187" s="24">
        <f t="shared" si="1379"/>
        <v>0</v>
      </c>
      <c r="CV187" s="24">
        <f t="shared" si="1380"/>
        <v>0</v>
      </c>
      <c r="CW187" s="24">
        <f t="shared" si="1381"/>
        <v>0</v>
      </c>
      <c r="CX187" s="24">
        <f t="shared" si="1382"/>
        <v>0</v>
      </c>
      <c r="CY187" s="24">
        <f t="shared" si="1383"/>
        <v>0</v>
      </c>
      <c r="CZ187" s="24">
        <f t="shared" si="1384"/>
        <v>0</v>
      </c>
      <c r="DA187" s="24">
        <f t="shared" si="1385"/>
        <v>0</v>
      </c>
      <c r="DB187" s="24">
        <f t="shared" si="1386"/>
        <v>0</v>
      </c>
      <c r="DE187" s="123"/>
      <c r="DF187" s="23">
        <v>0</v>
      </c>
    </row>
    <row r="188" spans="1:110" s="26" customFormat="1" x14ac:dyDescent="0.2">
      <c r="A188" s="26" t="s">
        <v>438</v>
      </c>
      <c r="B188" s="26">
        <f t="shared" ref="B188:W188" si="1388">B186+B184+B180+B163+B161+B187</f>
        <v>0</v>
      </c>
      <c r="C188" s="26">
        <f t="shared" si="1388"/>
        <v>0</v>
      </c>
      <c r="D188" s="26">
        <f t="shared" si="1388"/>
        <v>104.15000000000005</v>
      </c>
      <c r="E188" s="26">
        <f t="shared" si="1388"/>
        <v>217.09299999999988</v>
      </c>
      <c r="F188" s="26">
        <f t="shared" si="1388"/>
        <v>345.00500000000005</v>
      </c>
      <c r="G188" s="26">
        <f t="shared" si="1388"/>
        <v>358.05900000000008</v>
      </c>
      <c r="H188" s="26">
        <f t="shared" si="1388"/>
        <v>312.80500000000001</v>
      </c>
      <c r="I188" s="26">
        <f t="shared" si="1388"/>
        <v>377.375</v>
      </c>
      <c r="J188" s="26">
        <f t="shared" si="1388"/>
        <v>752.08100000000013</v>
      </c>
      <c r="K188" s="26">
        <f t="shared" si="1388"/>
        <v>947.29199999999992</v>
      </c>
      <c r="L188" s="26">
        <f t="shared" si="1388"/>
        <v>1725.6290000000008</v>
      </c>
      <c r="M188" s="26">
        <f t="shared" si="1388"/>
        <v>1781.9529999999995</v>
      </c>
      <c r="N188" s="26">
        <f t="shared" si="1388"/>
        <v>3435.9779999999996</v>
      </c>
      <c r="O188" s="26">
        <f t="shared" si="1388"/>
        <v>3776.6169999999997</v>
      </c>
      <c r="P188" s="26">
        <f t="shared" si="1388"/>
        <v>3134.79</v>
      </c>
      <c r="Q188" s="26">
        <f t="shared" si="1388"/>
        <v>3638.0819999999994</v>
      </c>
      <c r="R188" s="26">
        <f t="shared" si="1388"/>
        <v>3942.7190000000001</v>
      </c>
      <c r="S188" s="26">
        <f t="shared" si="1388"/>
        <v>3985.6850000000004</v>
      </c>
      <c r="T188" s="26">
        <f t="shared" si="1388"/>
        <v>3957.1489999999999</v>
      </c>
      <c r="U188" s="26">
        <f t="shared" si="1388"/>
        <v>4870.972999999999</v>
      </c>
      <c r="V188" s="26">
        <f t="shared" si="1388"/>
        <v>6248.9000000000005</v>
      </c>
      <c r="W188" s="26">
        <f t="shared" si="1388"/>
        <v>10174.48</v>
      </c>
      <c r="X188" s="26">
        <f t="shared" ref="X188:Y188" si="1389">X186+X184+X180+X163+X161+X187</f>
        <v>10391.459999999999</v>
      </c>
      <c r="Y188" s="26">
        <f t="shared" si="1389"/>
        <v>10731.380000000001</v>
      </c>
      <c r="Z188" s="26">
        <f t="shared" ref="Z188:AA188" si="1390">Z186+Z184+Z180+Z163+Z161+Z187</f>
        <v>11135.750000000002</v>
      </c>
      <c r="AA188" s="26">
        <f t="shared" si="1390"/>
        <v>11261.849999999999</v>
      </c>
      <c r="AB188" s="27">
        <f t="shared" ref="AA188:AD188" si="1391">AB186+AB184+AB180+AB163+AB161+AB187</f>
        <v>12626.613884271173</v>
      </c>
      <c r="AC188" s="27">
        <f t="shared" si="1391"/>
        <v>13998.900873055662</v>
      </c>
      <c r="AD188" s="27">
        <f t="shared" si="1391"/>
        <v>15376.919014947729</v>
      </c>
      <c r="AE188" s="27">
        <f t="shared" ref="AE188" si="1392">AE186+AE184+AE180+AE163+AE161+AE187</f>
        <v>16773.020973675604</v>
      </c>
      <c r="AJ188" s="26">
        <f t="shared" ref="AJ188" si="1393">AJ186+AJ184+AJ180+AJ163+AJ161+AJ187</f>
        <v>0</v>
      </c>
      <c r="AK188" s="26" t="e">
        <f t="shared" ref="AK188:AL188" si="1394">AK186+AK184+AK180+AK163+AK161+AK187</f>
        <v>#DIV/0!</v>
      </c>
      <c r="AL188" s="26">
        <f t="shared" si="1394"/>
        <v>0</v>
      </c>
      <c r="AM188" s="26" t="e">
        <f t="shared" ref="AM188:AO188" si="1395">AM186+AM184+AM180+AM163+AM161+AM187</f>
        <v>#DIV/0!</v>
      </c>
      <c r="AN188" s="26">
        <f t="shared" si="1395"/>
        <v>0</v>
      </c>
      <c r="AO188" s="26" t="e">
        <f t="shared" si="1395"/>
        <v>#DIV/0!</v>
      </c>
      <c r="AP188" s="26">
        <f t="shared" ref="AP188:CE188" si="1396">AP186+AP184+AP180+AP163+AP161+AP187</f>
        <v>0</v>
      </c>
      <c r="AQ188" s="26" t="e">
        <f t="shared" si="1396"/>
        <v>#DIV/0!</v>
      </c>
      <c r="AR188" s="26">
        <f t="shared" si="1396"/>
        <v>0</v>
      </c>
      <c r="AS188" s="26" t="e">
        <f t="shared" si="1396"/>
        <v>#DIV/0!</v>
      </c>
      <c r="AT188" s="26">
        <f t="shared" si="1396"/>
        <v>0</v>
      </c>
      <c r="AU188" s="26" t="e">
        <f t="shared" si="1396"/>
        <v>#DIV/0!</v>
      </c>
      <c r="AV188" s="26">
        <f t="shared" si="1396"/>
        <v>0</v>
      </c>
      <c r="AW188" s="26" t="e">
        <f t="shared" si="1396"/>
        <v>#DIV/0!</v>
      </c>
      <c r="AX188" s="26">
        <f t="shared" si="1396"/>
        <v>0</v>
      </c>
      <c r="AY188" s="26" t="e">
        <f t="shared" si="1396"/>
        <v>#DIV/0!</v>
      </c>
      <c r="AZ188" s="26">
        <f t="shared" si="1396"/>
        <v>0</v>
      </c>
      <c r="BA188" s="26" t="e">
        <f t="shared" si="1396"/>
        <v>#DIV/0!</v>
      </c>
      <c r="BB188" s="26">
        <f t="shared" si="1396"/>
        <v>0</v>
      </c>
      <c r="BC188" s="26" t="e">
        <f t="shared" si="1396"/>
        <v>#DIV/0!</v>
      </c>
      <c r="BD188" s="26">
        <f t="shared" si="1396"/>
        <v>0</v>
      </c>
      <c r="BE188" s="26" t="e">
        <f t="shared" si="1396"/>
        <v>#DIV/0!</v>
      </c>
      <c r="BF188" s="26">
        <f t="shared" si="1396"/>
        <v>0</v>
      </c>
      <c r="BG188" s="26" t="e">
        <f t="shared" si="1396"/>
        <v>#DIV/0!</v>
      </c>
      <c r="BH188" s="26">
        <f t="shared" ref="BH188" si="1397">BH186+BH184+BH180+BH163+BH161+BH187</f>
        <v>0</v>
      </c>
      <c r="BI188" s="26" t="e">
        <f t="shared" si="1396"/>
        <v>#DIV/0!</v>
      </c>
      <c r="BJ188" s="26">
        <f t="shared" si="1396"/>
        <v>0</v>
      </c>
      <c r="BK188" s="26" t="e">
        <f t="shared" si="1396"/>
        <v>#DIV/0!</v>
      </c>
      <c r="BL188" s="26">
        <f t="shared" si="1396"/>
        <v>0</v>
      </c>
      <c r="BM188" s="26" t="e">
        <f t="shared" si="1396"/>
        <v>#DIV/0!</v>
      </c>
      <c r="BN188" s="26">
        <f t="shared" si="1396"/>
        <v>0</v>
      </c>
      <c r="BO188" s="26" t="e">
        <f t="shared" si="1396"/>
        <v>#DIV/0!</v>
      </c>
      <c r="BP188" s="26">
        <f t="shared" si="1396"/>
        <v>0</v>
      </c>
      <c r="BQ188" s="26" t="e">
        <f t="shared" si="1396"/>
        <v>#DIV/0!</v>
      </c>
      <c r="BR188" s="26">
        <f t="shared" si="1396"/>
        <v>6248.9000000000015</v>
      </c>
      <c r="BS188" s="26">
        <f t="shared" si="1396"/>
        <v>6424.6000000000013</v>
      </c>
      <c r="BT188" s="26">
        <f t="shared" si="1396"/>
        <v>0</v>
      </c>
      <c r="BU188" s="26">
        <f t="shared" si="1396"/>
        <v>211.41000000000099</v>
      </c>
      <c r="BV188" s="26">
        <f t="shared" si="1396"/>
        <v>10174.48</v>
      </c>
      <c r="BW188" s="26">
        <f t="shared" si="1396"/>
        <v>10368.07</v>
      </c>
      <c r="BX188" s="26">
        <f t="shared" si="1396"/>
        <v>10782.800000000001</v>
      </c>
      <c r="BY188" s="26">
        <f t="shared" si="1396"/>
        <v>11028.960000000001</v>
      </c>
      <c r="BZ188" s="26">
        <f t="shared" si="1396"/>
        <v>10391.460000000001</v>
      </c>
      <c r="CA188" s="26">
        <f t="shared" si="1396"/>
        <v>10312.540000000001</v>
      </c>
      <c r="CB188" s="26">
        <f t="shared" si="1396"/>
        <v>11604.800000000001</v>
      </c>
      <c r="CC188" s="26">
        <f t="shared" si="1396"/>
        <v>11805.690000000002</v>
      </c>
      <c r="CD188" s="26">
        <f t="shared" si="1396"/>
        <v>10731.380000000001</v>
      </c>
      <c r="CE188" s="26">
        <f t="shared" si="1396"/>
        <v>11044.580000000002</v>
      </c>
      <c r="CF188" s="26">
        <f t="shared" ref="CF188:CG188" si="1398">CF186+CF184+CF180+CF163+CF161+CF187</f>
        <v>10883.76</v>
      </c>
      <c r="CG188" s="26">
        <f t="shared" si="1398"/>
        <v>11294.33</v>
      </c>
      <c r="CH188" s="26">
        <f t="shared" ref="CH188:CI188" si="1399">CH186+CH184+CH180+CH163+CH161+CH187</f>
        <v>11135.750000000002</v>
      </c>
      <c r="CI188" s="26">
        <f t="shared" si="1399"/>
        <v>11372.180000000004</v>
      </c>
      <c r="CJ188" s="26">
        <f t="shared" ref="CJ188:DB188" si="1400">CJ186+CJ184+CJ180+CJ163+CJ161+CJ187</f>
        <v>10743.320000000002</v>
      </c>
      <c r="CK188" s="26">
        <f t="shared" si="1400"/>
        <v>11012.14</v>
      </c>
      <c r="CL188" s="26">
        <f t="shared" ref="CL188" si="1401">CL186+CL184+CL180+CL163+CL161+CL187</f>
        <v>11261.849999999999</v>
      </c>
      <c r="CM188" s="27">
        <f t="shared" si="1400"/>
        <v>11558.650753618807</v>
      </c>
      <c r="CN188" s="27">
        <f t="shared" si="1400"/>
        <v>11896.586709603274</v>
      </c>
      <c r="CO188" s="27">
        <f t="shared" si="1400"/>
        <v>12235.582105708958</v>
      </c>
      <c r="CP188" s="27">
        <f t="shared" si="1400"/>
        <v>12626.613884271173</v>
      </c>
      <c r="CQ188" s="27">
        <f t="shared" si="1400"/>
        <v>12923.846016890493</v>
      </c>
      <c r="CR188" s="27">
        <f t="shared" si="1400"/>
        <v>13231.350955400849</v>
      </c>
      <c r="CS188" s="27">
        <f t="shared" si="1400"/>
        <v>13569.2288884808</v>
      </c>
      <c r="CT188" s="27">
        <f t="shared" si="1400"/>
        <v>13998.900873055662</v>
      </c>
      <c r="CU188" s="27">
        <f t="shared" si="1400"/>
        <v>14301.172044544199</v>
      </c>
      <c r="CV188" s="27">
        <f t="shared" si="1400"/>
        <v>14611.186873326813</v>
      </c>
      <c r="CW188" s="27">
        <f t="shared" si="1400"/>
        <v>14951.7603457193</v>
      </c>
      <c r="CX188" s="27">
        <f t="shared" si="1400"/>
        <v>15376.919014947729</v>
      </c>
      <c r="CY188" s="27">
        <f t="shared" si="1400"/>
        <v>15682.187055445949</v>
      </c>
      <c r="CZ188" s="27">
        <f t="shared" si="1400"/>
        <v>15993.555309243948</v>
      </c>
      <c r="DA188" s="27">
        <f t="shared" si="1400"/>
        <v>16337.495183704432</v>
      </c>
      <c r="DB188" s="27">
        <f t="shared" si="1400"/>
        <v>16773.020973675604</v>
      </c>
      <c r="DE188" s="121"/>
      <c r="DF188" s="26">
        <v>11348.662900813524</v>
      </c>
    </row>
    <row r="189" spans="1:110" s="23" customFormat="1" x14ac:dyDescent="0.2">
      <c r="A189" s="28" t="s">
        <v>439</v>
      </c>
      <c r="B189" s="23">
        <f t="shared" ref="B189:W189" si="1402">B188-B152</f>
        <v>0</v>
      </c>
      <c r="C189" s="23">
        <f t="shared" si="1402"/>
        <v>0</v>
      </c>
      <c r="D189" s="23">
        <f t="shared" si="1402"/>
        <v>0</v>
      </c>
      <c r="E189" s="23">
        <f t="shared" si="1402"/>
        <v>0</v>
      </c>
      <c r="F189" s="23">
        <f t="shared" si="1402"/>
        <v>0</v>
      </c>
      <c r="G189" s="23">
        <f t="shared" si="1402"/>
        <v>0</v>
      </c>
      <c r="H189" s="23">
        <f t="shared" si="1402"/>
        <v>0</v>
      </c>
      <c r="I189" s="23">
        <f t="shared" si="1402"/>
        <v>0</v>
      </c>
      <c r="J189" s="23">
        <f t="shared" si="1402"/>
        <v>0</v>
      </c>
      <c r="K189" s="23">
        <f t="shared" si="1402"/>
        <v>0</v>
      </c>
      <c r="L189" s="23">
        <f t="shared" si="1402"/>
        <v>0</v>
      </c>
      <c r="M189" s="23">
        <f t="shared" si="1402"/>
        <v>0</v>
      </c>
      <c r="N189" s="23">
        <f t="shared" si="1402"/>
        <v>0</v>
      </c>
      <c r="O189" s="23">
        <f t="shared" si="1402"/>
        <v>0</v>
      </c>
      <c r="P189" s="23">
        <f t="shared" si="1402"/>
        <v>0</v>
      </c>
      <c r="Q189" s="23">
        <f t="shared" si="1402"/>
        <v>0</v>
      </c>
      <c r="R189" s="23">
        <f t="shared" si="1402"/>
        <v>0</v>
      </c>
      <c r="S189" s="23">
        <f t="shared" si="1402"/>
        <v>0</v>
      </c>
      <c r="T189" s="23">
        <f t="shared" si="1402"/>
        <v>0</v>
      </c>
      <c r="U189" s="23">
        <f t="shared" si="1402"/>
        <v>0</v>
      </c>
      <c r="V189" s="23">
        <f t="shared" si="1402"/>
        <v>0</v>
      </c>
      <c r="W189" s="23">
        <f t="shared" si="1402"/>
        <v>0</v>
      </c>
      <c r="X189" s="23">
        <f t="shared" ref="X189:Y189" si="1403">X188-X152</f>
        <v>0</v>
      </c>
      <c r="Y189" s="23">
        <f t="shared" si="1403"/>
        <v>0</v>
      </c>
      <c r="Z189" s="23">
        <f t="shared" ref="Z189:AA189" si="1404">Z188-Z152</f>
        <v>0</v>
      </c>
      <c r="AA189" s="23">
        <f t="shared" si="1404"/>
        <v>0</v>
      </c>
      <c r="AB189" s="24">
        <f t="shared" ref="AA189:AD189" si="1405">AB188-AB152</f>
        <v>0</v>
      </c>
      <c r="AC189" s="24">
        <f t="shared" si="1405"/>
        <v>0</v>
      </c>
      <c r="AD189" s="24">
        <f t="shared" si="1405"/>
        <v>0</v>
      </c>
      <c r="AE189" s="24">
        <f t="shared" ref="AE189" si="1406">AE188-AE152</f>
        <v>0</v>
      </c>
      <c r="AJ189" s="23">
        <f t="shared" ref="AJ189" si="1407">AJ188-AJ152</f>
        <v>0</v>
      </c>
      <c r="AK189" s="23" t="e">
        <f t="shared" ref="AK189" si="1408">AK188-AK152</f>
        <v>#DIV/0!</v>
      </c>
      <c r="AL189" s="23">
        <f t="shared" ref="AL189:AM189" si="1409">AL188-AL152</f>
        <v>0</v>
      </c>
      <c r="AM189" s="23" t="e">
        <f t="shared" si="1409"/>
        <v>#DIV/0!</v>
      </c>
      <c r="AN189" s="23">
        <f t="shared" ref="AN189:AO189" si="1410">AN188-AN152</f>
        <v>0</v>
      </c>
      <c r="AO189" s="23" t="e">
        <f t="shared" si="1410"/>
        <v>#DIV/0!</v>
      </c>
      <c r="AP189" s="23">
        <f t="shared" ref="AP189:CE189" si="1411">AP188-AP152</f>
        <v>0</v>
      </c>
      <c r="AQ189" s="23" t="e">
        <f t="shared" si="1411"/>
        <v>#DIV/0!</v>
      </c>
      <c r="AR189" s="23">
        <f t="shared" si="1411"/>
        <v>0</v>
      </c>
      <c r="AS189" s="23" t="e">
        <f t="shared" si="1411"/>
        <v>#DIV/0!</v>
      </c>
      <c r="AT189" s="23">
        <f t="shared" si="1411"/>
        <v>0</v>
      </c>
      <c r="AU189" s="23" t="e">
        <f t="shared" si="1411"/>
        <v>#DIV/0!</v>
      </c>
      <c r="AV189" s="23">
        <f t="shared" si="1411"/>
        <v>0</v>
      </c>
      <c r="AW189" s="23" t="e">
        <f t="shared" si="1411"/>
        <v>#DIV/0!</v>
      </c>
      <c r="AX189" s="23">
        <f t="shared" si="1411"/>
        <v>0</v>
      </c>
      <c r="AY189" s="23" t="e">
        <f t="shared" si="1411"/>
        <v>#DIV/0!</v>
      </c>
      <c r="AZ189" s="23">
        <f t="shared" si="1411"/>
        <v>0</v>
      </c>
      <c r="BA189" s="23" t="e">
        <f t="shared" si="1411"/>
        <v>#DIV/0!</v>
      </c>
      <c r="BB189" s="23">
        <f t="shared" si="1411"/>
        <v>0</v>
      </c>
      <c r="BC189" s="23" t="e">
        <f t="shared" si="1411"/>
        <v>#DIV/0!</v>
      </c>
      <c r="BD189" s="23">
        <f t="shared" si="1411"/>
        <v>0</v>
      </c>
      <c r="BE189" s="23" t="e">
        <f t="shared" si="1411"/>
        <v>#DIV/0!</v>
      </c>
      <c r="BF189" s="23">
        <f t="shared" si="1411"/>
        <v>0</v>
      </c>
      <c r="BG189" s="23" t="e">
        <f t="shared" si="1411"/>
        <v>#DIV/0!</v>
      </c>
      <c r="BH189" s="23">
        <f t="shared" ref="BH189" si="1412">BH188-BH152</f>
        <v>0</v>
      </c>
      <c r="BI189" s="23" t="e">
        <f t="shared" si="1411"/>
        <v>#DIV/0!</v>
      </c>
      <c r="BJ189" s="23">
        <f t="shared" si="1411"/>
        <v>0</v>
      </c>
      <c r="BK189" s="23" t="e">
        <f t="shared" si="1411"/>
        <v>#DIV/0!</v>
      </c>
      <c r="BL189" s="23">
        <f t="shared" si="1411"/>
        <v>0</v>
      </c>
      <c r="BM189" s="23" t="e">
        <f t="shared" si="1411"/>
        <v>#DIV/0!</v>
      </c>
      <c r="BN189" s="23">
        <f t="shared" si="1411"/>
        <v>0</v>
      </c>
      <c r="BO189" s="23" t="e">
        <f t="shared" si="1411"/>
        <v>#DIV/0!</v>
      </c>
      <c r="BP189" s="23">
        <f t="shared" si="1411"/>
        <v>0</v>
      </c>
      <c r="BQ189" s="23" t="e">
        <f t="shared" si="1411"/>
        <v>#DIV/0!</v>
      </c>
      <c r="BR189" s="23">
        <f t="shared" si="1411"/>
        <v>0</v>
      </c>
      <c r="BS189" s="23">
        <f t="shared" si="1411"/>
        <v>0</v>
      </c>
      <c r="BT189" s="23">
        <f t="shared" si="1411"/>
        <v>0</v>
      </c>
      <c r="BU189" s="23">
        <f t="shared" si="1411"/>
        <v>0</v>
      </c>
      <c r="BV189" s="23">
        <f t="shared" si="1411"/>
        <v>0</v>
      </c>
      <c r="BW189" s="23">
        <f t="shared" si="1411"/>
        <v>0</v>
      </c>
      <c r="BX189" s="23">
        <f t="shared" si="1411"/>
        <v>0</v>
      </c>
      <c r="BY189" s="23">
        <f t="shared" si="1411"/>
        <v>0</v>
      </c>
      <c r="BZ189" s="23">
        <f t="shared" si="1411"/>
        <v>0</v>
      </c>
      <c r="CA189" s="23">
        <f t="shared" si="1411"/>
        <v>0</v>
      </c>
      <c r="CB189" s="23">
        <f t="shared" si="1411"/>
        <v>0</v>
      </c>
      <c r="CC189" s="23">
        <f t="shared" si="1411"/>
        <v>0</v>
      </c>
      <c r="CD189" s="23">
        <f t="shared" si="1411"/>
        <v>0</v>
      </c>
      <c r="CE189" s="23">
        <f t="shared" si="1411"/>
        <v>0</v>
      </c>
      <c r="CF189" s="23">
        <f t="shared" ref="CF189:CG189" si="1413">CF188-CF152</f>
        <v>0</v>
      </c>
      <c r="CG189" s="23">
        <f t="shared" si="1413"/>
        <v>0</v>
      </c>
      <c r="CH189" s="23">
        <f t="shared" ref="CH189:CI189" si="1414">CH188-CH152</f>
        <v>0</v>
      </c>
      <c r="CI189" s="23">
        <f t="shared" si="1414"/>
        <v>0</v>
      </c>
      <c r="CJ189" s="23">
        <f t="shared" ref="CJ189:DB189" si="1415">CJ188-CJ152</f>
        <v>0</v>
      </c>
      <c r="CK189" s="23">
        <f t="shared" si="1415"/>
        <v>0</v>
      </c>
      <c r="CL189" s="23">
        <f t="shared" ref="CL189" si="1416">CL188-CL152</f>
        <v>0</v>
      </c>
      <c r="CM189" s="24">
        <f t="shared" si="1415"/>
        <v>0</v>
      </c>
      <c r="CN189" s="24">
        <f t="shared" si="1415"/>
        <v>0</v>
      </c>
      <c r="CO189" s="24">
        <f t="shared" si="1415"/>
        <v>0</v>
      </c>
      <c r="CP189" s="24">
        <f t="shared" si="1415"/>
        <v>0</v>
      </c>
      <c r="CQ189" s="24">
        <f t="shared" si="1415"/>
        <v>0</v>
      </c>
      <c r="CR189" s="24">
        <f t="shared" si="1415"/>
        <v>0</v>
      </c>
      <c r="CS189" s="24">
        <f t="shared" si="1415"/>
        <v>0</v>
      </c>
      <c r="CT189" s="24">
        <f t="shared" si="1415"/>
        <v>0</v>
      </c>
      <c r="CU189" s="24">
        <f t="shared" si="1415"/>
        <v>0</v>
      </c>
      <c r="CV189" s="24">
        <f t="shared" si="1415"/>
        <v>0</v>
      </c>
      <c r="CW189" s="24">
        <f t="shared" si="1415"/>
        <v>0</v>
      </c>
      <c r="CX189" s="24">
        <f t="shared" si="1415"/>
        <v>0</v>
      </c>
      <c r="CY189" s="24">
        <f t="shared" si="1415"/>
        <v>0</v>
      </c>
      <c r="CZ189" s="24">
        <f t="shared" si="1415"/>
        <v>0</v>
      </c>
      <c r="DA189" s="24">
        <f t="shared" si="1415"/>
        <v>0</v>
      </c>
      <c r="DB189" s="24">
        <f t="shared" si="1415"/>
        <v>0</v>
      </c>
      <c r="DE189" s="123"/>
      <c r="DF189" s="23">
        <v>0</v>
      </c>
    </row>
    <row r="190" spans="1:110" s="23" customFormat="1" x14ac:dyDescent="0.2">
      <c r="A190" s="28"/>
      <c r="AB190" s="24"/>
      <c r="AC190" s="24"/>
      <c r="AD190" s="24"/>
      <c r="AE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</row>
    <row r="191" spans="1:110" s="22" customFormat="1" x14ac:dyDescent="0.2">
      <c r="A191" s="22" t="s">
        <v>80</v>
      </c>
      <c r="B191" s="22">
        <f t="shared" ref="B191:W191" si="1417">B151-B184</f>
        <v>0</v>
      </c>
      <c r="C191" s="22">
        <f t="shared" si="1417"/>
        <v>0</v>
      </c>
      <c r="D191" s="22">
        <f t="shared" si="1417"/>
        <v>-2.7379999999999995</v>
      </c>
      <c r="E191" s="22">
        <f t="shared" si="1417"/>
        <v>-5.9770000000000039</v>
      </c>
      <c r="F191" s="22">
        <f t="shared" si="1417"/>
        <v>6.0500000000000114</v>
      </c>
      <c r="G191" s="22">
        <f t="shared" si="1417"/>
        <v>25.304000000000002</v>
      </c>
      <c r="H191" s="22">
        <f t="shared" si="1417"/>
        <v>19.927999999999997</v>
      </c>
      <c r="I191" s="22">
        <f t="shared" si="1417"/>
        <v>-39.239999999999995</v>
      </c>
      <c r="J191" s="22">
        <f t="shared" si="1417"/>
        <v>154.48399999999998</v>
      </c>
      <c r="K191" s="22">
        <f t="shared" si="1417"/>
        <v>383.81</v>
      </c>
      <c r="L191" s="22">
        <f t="shared" si="1417"/>
        <v>875.52699999999993</v>
      </c>
      <c r="M191" s="22">
        <f t="shared" si="1417"/>
        <v>365.96199999999999</v>
      </c>
      <c r="N191" s="22">
        <f t="shared" si="1417"/>
        <v>1049.1620000000003</v>
      </c>
      <c r="O191" s="22">
        <f t="shared" si="1417"/>
        <v>1098.0780000000002</v>
      </c>
      <c r="P191" s="22">
        <f t="shared" si="1417"/>
        <v>1125.0190000000002</v>
      </c>
      <c r="Q191" s="22">
        <f t="shared" si="1417"/>
        <v>1638.6970000000001</v>
      </c>
      <c r="R191" s="22">
        <f t="shared" si="1417"/>
        <v>1712.2079999999999</v>
      </c>
      <c r="S191" s="22">
        <f t="shared" si="1417"/>
        <v>1152.8019999999999</v>
      </c>
      <c r="T191" s="22">
        <f t="shared" si="1417"/>
        <v>613.99500000000012</v>
      </c>
      <c r="U191" s="22">
        <f t="shared" si="1417"/>
        <v>868.17499999999973</v>
      </c>
      <c r="V191" s="22">
        <f t="shared" si="1417"/>
        <v>1711.46</v>
      </c>
      <c r="W191" s="22">
        <f t="shared" si="1417"/>
        <v>-1975.8899999999999</v>
      </c>
      <c r="X191" s="22">
        <f t="shared" ref="X191:Y191" si="1418">X151-X184</f>
        <v>-1548.4</v>
      </c>
      <c r="Y191" s="22">
        <f t="shared" si="1418"/>
        <v>-394.19000000000005</v>
      </c>
      <c r="Z191" s="22">
        <f t="shared" ref="Z191:AA191" si="1419">Z151-Z184</f>
        <v>439</v>
      </c>
      <c r="AA191" s="22">
        <f t="shared" si="1419"/>
        <v>-1554.42</v>
      </c>
      <c r="AB191" s="21">
        <f t="shared" ref="AA191:AD191" si="1420">AB151-AB184</f>
        <v>-3290.0262028923516</v>
      </c>
      <c r="AC191" s="21">
        <f t="shared" si="1420"/>
        <v>-4969.2723222158284</v>
      </c>
      <c r="AD191" s="21">
        <f t="shared" si="1420"/>
        <v>-6538.2027240660964</v>
      </c>
      <c r="AE191" s="21">
        <f t="shared" ref="AE191" si="1421">AE151-AE184</f>
        <v>-8085.9743496226238</v>
      </c>
      <c r="AJ191" s="22">
        <f t="shared" ref="AJ191:AM191" si="1422">AJ151-AJ184</f>
        <v>0</v>
      </c>
      <c r="AK191" s="22" t="e">
        <f t="shared" si="1422"/>
        <v>#DIV/0!</v>
      </c>
      <c r="AL191" s="22">
        <f t="shared" si="1422"/>
        <v>0</v>
      </c>
      <c r="AM191" s="22" t="e">
        <f t="shared" si="1422"/>
        <v>#DIV/0!</v>
      </c>
      <c r="AN191" s="22">
        <f t="shared" ref="AN191:AO191" si="1423">AN151-AN184</f>
        <v>0</v>
      </c>
      <c r="AO191" s="22" t="e">
        <f t="shared" si="1423"/>
        <v>#DIV/0!</v>
      </c>
      <c r="AP191" s="22">
        <f t="shared" ref="AP191:CE191" si="1424">AP151-AP184</f>
        <v>0</v>
      </c>
      <c r="AQ191" s="22" t="e">
        <f t="shared" si="1424"/>
        <v>#DIV/0!</v>
      </c>
      <c r="AR191" s="22">
        <f t="shared" si="1424"/>
        <v>0</v>
      </c>
      <c r="AS191" s="22" t="e">
        <f t="shared" si="1424"/>
        <v>#DIV/0!</v>
      </c>
      <c r="AT191" s="22">
        <f t="shared" si="1424"/>
        <v>0</v>
      </c>
      <c r="AU191" s="22" t="e">
        <f t="shared" si="1424"/>
        <v>#DIV/0!</v>
      </c>
      <c r="AV191" s="22">
        <f t="shared" si="1424"/>
        <v>0</v>
      </c>
      <c r="AW191" s="22" t="e">
        <f t="shared" si="1424"/>
        <v>#DIV/0!</v>
      </c>
      <c r="AX191" s="22">
        <f t="shared" si="1424"/>
        <v>0</v>
      </c>
      <c r="AY191" s="22" t="e">
        <f t="shared" si="1424"/>
        <v>#DIV/0!</v>
      </c>
      <c r="AZ191" s="22">
        <f t="shared" si="1424"/>
        <v>0</v>
      </c>
      <c r="BA191" s="22" t="e">
        <f t="shared" si="1424"/>
        <v>#DIV/0!</v>
      </c>
      <c r="BB191" s="22">
        <f t="shared" si="1424"/>
        <v>0</v>
      </c>
      <c r="BC191" s="22" t="e">
        <f t="shared" si="1424"/>
        <v>#DIV/0!</v>
      </c>
      <c r="BD191" s="22">
        <f t="shared" si="1424"/>
        <v>0</v>
      </c>
      <c r="BE191" s="22" t="e">
        <f t="shared" si="1424"/>
        <v>#DIV/0!</v>
      </c>
      <c r="BF191" s="22">
        <f t="shared" si="1424"/>
        <v>0</v>
      </c>
      <c r="BG191" s="22" t="e">
        <f t="shared" si="1424"/>
        <v>#DIV/0!</v>
      </c>
      <c r="BH191" s="22">
        <f t="shared" si="1424"/>
        <v>0</v>
      </c>
      <c r="BI191" s="22" t="e">
        <f t="shared" si="1424"/>
        <v>#DIV/0!</v>
      </c>
      <c r="BJ191" s="22">
        <f t="shared" si="1424"/>
        <v>0</v>
      </c>
      <c r="BK191" s="22" t="e">
        <f t="shared" si="1424"/>
        <v>#DIV/0!</v>
      </c>
      <c r="BL191" s="22">
        <f t="shared" si="1424"/>
        <v>0</v>
      </c>
      <c r="BM191" s="22" t="e">
        <f t="shared" si="1424"/>
        <v>#DIV/0!</v>
      </c>
      <c r="BN191" s="22">
        <f t="shared" si="1424"/>
        <v>0</v>
      </c>
      <c r="BO191" s="22" t="e">
        <f t="shared" si="1424"/>
        <v>#DIV/0!</v>
      </c>
      <c r="BP191" s="22">
        <f t="shared" si="1424"/>
        <v>0</v>
      </c>
      <c r="BQ191" s="22" t="e">
        <f t="shared" si="1424"/>
        <v>#DIV/0!</v>
      </c>
      <c r="BR191" s="22">
        <f t="shared" si="1424"/>
        <v>1711.46</v>
      </c>
      <c r="BS191" s="22">
        <f t="shared" si="1424"/>
        <v>1601.6987656315296</v>
      </c>
      <c r="BT191" s="22">
        <f t="shared" si="1424"/>
        <v>0</v>
      </c>
      <c r="BU191" s="22">
        <f t="shared" si="1424"/>
        <v>-211.41000000000099</v>
      </c>
      <c r="BV191" s="22">
        <f t="shared" si="1424"/>
        <v>-1975.8900000000003</v>
      </c>
      <c r="BW191" s="22">
        <f t="shared" si="1424"/>
        <v>-2274.3254407914037</v>
      </c>
      <c r="BX191" s="22">
        <f t="shared" si="1424"/>
        <v>-1490.8400000000001</v>
      </c>
      <c r="BY191" s="22">
        <f t="shared" si="1424"/>
        <v>-1021.0799503463968</v>
      </c>
      <c r="BZ191" s="22">
        <f t="shared" si="1424"/>
        <v>-1548.4</v>
      </c>
      <c r="CA191" s="22">
        <f t="shared" si="1424"/>
        <v>-1984.3994150212202</v>
      </c>
      <c r="CB191" s="22">
        <f t="shared" si="1424"/>
        <v>720.11999999999989</v>
      </c>
      <c r="CC191" s="22">
        <f t="shared" si="1424"/>
        <v>886.93402890646848</v>
      </c>
      <c r="CD191" s="22">
        <f t="shared" si="1424"/>
        <v>-394.19000000000005</v>
      </c>
      <c r="CE191" s="22">
        <f t="shared" si="1424"/>
        <v>-270.17885155447038</v>
      </c>
      <c r="CF191" s="22">
        <f t="shared" ref="CF191:CG191" si="1425">CF151-CF184</f>
        <v>-1356.1399999999999</v>
      </c>
      <c r="CG191" s="22">
        <f t="shared" si="1425"/>
        <v>-590.97458149999193</v>
      </c>
      <c r="CH191" s="22">
        <f t="shared" ref="CH191:CI191" si="1426">CH151-CH184</f>
        <v>439</v>
      </c>
      <c r="CI191" s="22">
        <f t="shared" si="1426"/>
        <v>-110.57368143770827</v>
      </c>
      <c r="CJ191" s="22">
        <f t="shared" ref="CJ191:DB191" si="1427">CJ151-CJ184</f>
        <v>-955.3</v>
      </c>
      <c r="CK191" s="22">
        <f t="shared" si="1427"/>
        <v>-1221.6922550564987</v>
      </c>
      <c r="CL191" s="22">
        <f t="shared" ref="CL191" si="1428">CL151-CL184</f>
        <v>-1554.42</v>
      </c>
      <c r="CM191" s="21">
        <f t="shared" si="1427"/>
        <v>-2277.6366307320468</v>
      </c>
      <c r="CN191" s="21">
        <f t="shared" si="1427"/>
        <v>-2678.8788435006472</v>
      </c>
      <c r="CO191" s="21">
        <f t="shared" si="1427"/>
        <v>-3043.5375634942725</v>
      </c>
      <c r="CP191" s="21">
        <f t="shared" si="1427"/>
        <v>-3290.0262028923516</v>
      </c>
      <c r="CQ191" s="21">
        <f t="shared" si="1427"/>
        <v>-4089.0547539369263</v>
      </c>
      <c r="CR191" s="21">
        <f t="shared" si="1427"/>
        <v>-4413.1438343711015</v>
      </c>
      <c r="CS191" s="21">
        <f t="shared" si="1427"/>
        <v>-4731.3870220840636</v>
      </c>
      <c r="CT191" s="21">
        <f t="shared" si="1427"/>
        <v>-4969.2723222158284</v>
      </c>
      <c r="CU191" s="21">
        <f t="shared" si="1427"/>
        <v>-5716.4838909361097</v>
      </c>
      <c r="CV191" s="21">
        <f t="shared" si="1427"/>
        <v>-6030.971358381661</v>
      </c>
      <c r="CW191" s="21">
        <f t="shared" si="1427"/>
        <v>-6335.2804531234251</v>
      </c>
      <c r="CX191" s="21">
        <f t="shared" si="1427"/>
        <v>-6538.2027240660964</v>
      </c>
      <c r="CY191" s="21">
        <f t="shared" si="1427"/>
        <v>-7309.9904691614365</v>
      </c>
      <c r="CZ191" s="21">
        <f t="shared" si="1427"/>
        <v>-7614.7164366695433</v>
      </c>
      <c r="DA191" s="21">
        <f t="shared" si="1427"/>
        <v>-7905.3549171877075</v>
      </c>
      <c r="DB191" s="21">
        <f t="shared" si="1427"/>
        <v>-8085.9743496226238</v>
      </c>
      <c r="DE191" s="126"/>
      <c r="DF191" s="22">
        <v>-1323.9880141058334</v>
      </c>
    </row>
    <row r="192" spans="1:110" x14ac:dyDescent="0.2">
      <c r="AA192" s="2"/>
      <c r="CE192" s="111"/>
      <c r="CG192" s="111"/>
      <c r="CL192" s="2"/>
    </row>
    <row r="193" spans="1:110" s="49" customFormat="1" x14ac:dyDescent="0.2">
      <c r="A193" s="49" t="s">
        <v>81</v>
      </c>
      <c r="B193" s="49">
        <f>'Annual Raw'!C85</f>
        <v>0</v>
      </c>
      <c r="C193" s="49">
        <f>'Annual Raw'!D85</f>
        <v>0</v>
      </c>
      <c r="D193" s="49">
        <f>'Annual Raw'!E85</f>
        <v>8.5039999999999996</v>
      </c>
      <c r="E193" s="49">
        <f>'Annual Raw'!F85</f>
        <v>14.603</v>
      </c>
      <c r="F193" s="49">
        <f>'Annual Raw'!G85</f>
        <v>170.846</v>
      </c>
      <c r="G193" s="49">
        <f>'Annual Raw'!H85</f>
        <v>82.468999999999994</v>
      </c>
      <c r="H193" s="49">
        <f>'Annual Raw'!I85</f>
        <v>73.45</v>
      </c>
      <c r="I193" s="49">
        <f>'Annual Raw'!J85</f>
        <v>90</v>
      </c>
      <c r="J193" s="49">
        <f>'Annual Raw'!K85</f>
        <v>136.434</v>
      </c>
      <c r="K193" s="49">
        <f>'Annual Raw'!L85</f>
        <v>217.29599999999999</v>
      </c>
      <c r="L193" s="49">
        <f>'Annual Raw'!M85</f>
        <v>196.44200000000001</v>
      </c>
      <c r="M193" s="49">
        <f>'Annual Raw'!N85</f>
        <v>432.51299999999998</v>
      </c>
      <c r="N193" s="49">
        <f>'Annual Raw'!O85</f>
        <v>545.13599999999997</v>
      </c>
      <c r="O193" s="49">
        <f>'Annual Raw'!P85</f>
        <v>533.91719999999998</v>
      </c>
      <c r="P193" s="49">
        <f>'Annual Raw'!Q85</f>
        <v>792.41899999999998</v>
      </c>
      <c r="Q193" s="49">
        <f>'Annual Raw'!R85</f>
        <v>791.68100000000004</v>
      </c>
      <c r="R193" s="49">
        <f>'Annual Raw'!S85</f>
        <v>894.07799999999997</v>
      </c>
      <c r="S193" s="49">
        <f>'Annual Raw'!T85</f>
        <v>496.53899999999999</v>
      </c>
      <c r="T193" s="49">
        <f>'Annual Raw'!U85</f>
        <v>270.29700000000003</v>
      </c>
      <c r="U193" s="49">
        <f>'Annual Raw'!V85</f>
        <v>268.09100000000001</v>
      </c>
      <c r="V193" s="49">
        <f>'Annual Raw'!W85</f>
        <v>244.28</v>
      </c>
      <c r="W193" s="49">
        <f>'Annual Raw'!X85</f>
        <v>189.56</v>
      </c>
      <c r="X193" s="49">
        <f>'Annual Raw'!Y85</f>
        <v>173.73</v>
      </c>
      <c r="Y193" s="49">
        <f>'Annual Raw'!Z85</f>
        <v>161.32</v>
      </c>
      <c r="Z193" s="49">
        <f>'Annual Raw'!AA85</f>
        <v>177.27</v>
      </c>
      <c r="AA193" s="49">
        <f>'Annual Raw'!AB85</f>
        <v>190.91</v>
      </c>
      <c r="AB193" s="50"/>
      <c r="AC193" s="50"/>
      <c r="AD193" s="50"/>
      <c r="AE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E193" s="138"/>
    </row>
    <row r="194" spans="1:110" s="29" customFormat="1" x14ac:dyDescent="0.2">
      <c r="A194" s="29" t="s">
        <v>82</v>
      </c>
      <c r="B194" s="29">
        <f>'Annual Raw'!C95</f>
        <v>0</v>
      </c>
      <c r="C194" s="29">
        <f>'Annual Raw'!D95</f>
        <v>0</v>
      </c>
      <c r="D194" s="29">
        <f>'Annual Raw'!E95</f>
        <v>3.5489999999999999</v>
      </c>
      <c r="E194" s="29">
        <f>'Annual Raw'!F95</f>
        <v>9.6530000000000005</v>
      </c>
      <c r="F194" s="29">
        <f>'Annual Raw'!G95</f>
        <v>153.34800000000001</v>
      </c>
      <c r="G194" s="29">
        <f>'Annual Raw'!H95</f>
        <v>62.841999999999999</v>
      </c>
      <c r="H194" s="29">
        <f>'Annual Raw'!I95</f>
        <v>37.875999999999998</v>
      </c>
      <c r="I194" s="29">
        <f>'Annual Raw'!J95</f>
        <v>53.134</v>
      </c>
      <c r="J194" s="29">
        <f>'Annual Raw'!K95</f>
        <v>105.134</v>
      </c>
      <c r="K194" s="29">
        <f>'Annual Raw'!L95</f>
        <v>154.44399999999999</v>
      </c>
      <c r="L194" s="29">
        <f>'Annual Raw'!M95</f>
        <v>67.021000000000001</v>
      </c>
      <c r="M194" s="29">
        <f>'Annual Raw'!N95</f>
        <v>268.04000000000002</v>
      </c>
      <c r="N194" s="29">
        <f>'Annual Raw'!O95</f>
        <v>342.88099999999997</v>
      </c>
      <c r="O194" s="29">
        <f>'Annual Raw'!P95</f>
        <v>395.70909999999998</v>
      </c>
      <c r="P194" s="29">
        <f>'Annual Raw'!Q95</f>
        <v>636.47900000000004</v>
      </c>
      <c r="Q194" s="29">
        <f>'Annual Raw'!R95</f>
        <v>651.95399999999995</v>
      </c>
      <c r="R194" s="29">
        <f>'Annual Raw'!S95</f>
        <v>746.81299999999999</v>
      </c>
      <c r="S194" s="29">
        <f>'Annual Raw'!T95</f>
        <v>363.03899999999999</v>
      </c>
      <c r="T194" s="29">
        <f>'Annual Raw'!U95</f>
        <v>110.65</v>
      </c>
      <c r="U194" s="29">
        <f>'Annual Raw'!V95</f>
        <v>107.136</v>
      </c>
      <c r="V194" s="29">
        <f>'Annual Raw'!W95</f>
        <v>100</v>
      </c>
      <c r="W194" s="29">
        <f>'Annual Raw'!X95</f>
        <v>0</v>
      </c>
      <c r="X194" s="29">
        <f>'Annual Raw'!Y95</f>
        <v>0</v>
      </c>
      <c r="Y194" s="29">
        <f>'Annual Raw'!Z95</f>
        <v>0</v>
      </c>
      <c r="Z194" s="29">
        <f>'Annual Raw'!AA95</f>
        <v>0</v>
      </c>
      <c r="AA194" s="29">
        <f>'Annual Raw'!AB95</f>
        <v>0</v>
      </c>
      <c r="AB194" s="30"/>
      <c r="AC194" s="30"/>
      <c r="AD194" s="30"/>
      <c r="AE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29" customFormat="1" x14ac:dyDescent="0.2">
      <c r="A195" s="29" t="s">
        <v>83</v>
      </c>
      <c r="B195" s="29">
        <f>'Annual Raw'!C93</f>
        <v>0</v>
      </c>
      <c r="C195" s="29">
        <f>'Annual Raw'!D93</f>
        <v>0</v>
      </c>
      <c r="D195" s="29">
        <f>'Annual Raw'!E93</f>
        <v>4.9550000000000001</v>
      </c>
      <c r="E195" s="29">
        <f>'Annual Raw'!F93</f>
        <v>4.95</v>
      </c>
      <c r="F195" s="29">
        <f>'Annual Raw'!G93</f>
        <v>17.498000000000001</v>
      </c>
      <c r="G195" s="29">
        <f>'Annual Raw'!H93</f>
        <v>19.225000000000001</v>
      </c>
      <c r="H195" s="29">
        <f>'Annual Raw'!I93</f>
        <v>35.067999999999998</v>
      </c>
      <c r="I195" s="29">
        <f>'Annual Raw'!J93</f>
        <v>23.282</v>
      </c>
      <c r="J195" s="29">
        <f>'Annual Raw'!K93</f>
        <v>23.094000000000001</v>
      </c>
      <c r="K195" s="29">
        <f>'Annual Raw'!L93</f>
        <v>62.851999999999997</v>
      </c>
      <c r="L195" s="29">
        <f>'Annual Raw'!M93</f>
        <v>103.595</v>
      </c>
      <c r="M195" s="29">
        <f>'Annual Raw'!N93</f>
        <v>65.248000000000005</v>
      </c>
      <c r="N195" s="29">
        <f>'Annual Raw'!O93</f>
        <v>104.023</v>
      </c>
      <c r="O195" s="29">
        <f>'Annual Raw'!P93</f>
        <v>138.2081</v>
      </c>
      <c r="P195" s="29">
        <f>'Annual Raw'!Q93</f>
        <v>155.94</v>
      </c>
      <c r="Q195" s="29">
        <f>'Annual Raw'!R93</f>
        <v>139.727</v>
      </c>
      <c r="R195" s="29">
        <f>'Annual Raw'!S93</f>
        <v>147.26499999999999</v>
      </c>
      <c r="S195" s="29">
        <f>'Annual Raw'!T93</f>
        <v>133.5</v>
      </c>
      <c r="T195" s="29">
        <f>'Annual Raw'!U93</f>
        <v>159.64699999999999</v>
      </c>
      <c r="U195" s="29">
        <f>'Annual Raw'!V93</f>
        <v>160.95500000000001</v>
      </c>
      <c r="V195" s="29">
        <f>'Annual Raw'!W93</f>
        <v>144.28</v>
      </c>
      <c r="W195" s="29">
        <f>'Annual Raw'!X93</f>
        <v>189.56</v>
      </c>
      <c r="X195" s="29">
        <f>'Annual Raw'!Y93</f>
        <v>173.73</v>
      </c>
      <c r="Y195" s="29">
        <f>'Annual Raw'!Z93</f>
        <v>161.32</v>
      </c>
      <c r="Z195" s="29">
        <f>'Annual Raw'!AA93</f>
        <v>177.27</v>
      </c>
      <c r="AA195" s="29">
        <f>'Annual Raw'!AB93</f>
        <v>190.91</v>
      </c>
      <c r="AB195" s="30"/>
      <c r="AC195" s="30"/>
      <c r="AD195" s="30"/>
      <c r="AE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E195" s="139"/>
    </row>
    <row r="196" spans="1:110" s="29" customFormat="1" x14ac:dyDescent="0.2">
      <c r="A196" s="29" t="s">
        <v>84</v>
      </c>
      <c r="B196" s="29">
        <f t="shared" ref="B196:V196" si="1429">B193-B194-B195</f>
        <v>0</v>
      </c>
      <c r="C196" s="29">
        <f t="shared" si="1429"/>
        <v>0</v>
      </c>
      <c r="D196" s="29">
        <f t="shared" si="1429"/>
        <v>0</v>
      </c>
      <c r="E196" s="29">
        <f t="shared" si="1429"/>
        <v>0</v>
      </c>
      <c r="F196" s="29">
        <f t="shared" si="1429"/>
        <v>0</v>
      </c>
      <c r="G196" s="29">
        <f t="shared" si="1429"/>
        <v>0.40199999999999392</v>
      </c>
      <c r="H196" s="29">
        <f t="shared" si="1429"/>
        <v>0.50600000000000733</v>
      </c>
      <c r="I196" s="29">
        <f t="shared" si="1429"/>
        <v>13.584</v>
      </c>
      <c r="J196" s="29">
        <f t="shared" si="1429"/>
        <v>8.205999999999996</v>
      </c>
      <c r="K196" s="29">
        <f t="shared" si="1429"/>
        <v>0</v>
      </c>
      <c r="L196" s="29">
        <f t="shared" si="1429"/>
        <v>25.825999999999993</v>
      </c>
      <c r="M196" s="29">
        <f t="shared" si="1429"/>
        <v>99.224999999999952</v>
      </c>
      <c r="N196" s="29">
        <f t="shared" si="1429"/>
        <v>98.231999999999999</v>
      </c>
      <c r="O196" s="29">
        <f t="shared" si="1429"/>
        <v>0</v>
      </c>
      <c r="P196" s="29">
        <f t="shared" si="1429"/>
        <v>0</v>
      </c>
      <c r="Q196" s="29">
        <f t="shared" si="1429"/>
        <v>0</v>
      </c>
      <c r="R196" s="29">
        <f t="shared" si="1429"/>
        <v>0</v>
      </c>
      <c r="S196" s="29">
        <f t="shared" si="1429"/>
        <v>0</v>
      </c>
      <c r="T196" s="29">
        <f t="shared" si="1429"/>
        <v>0</v>
      </c>
      <c r="U196" s="29">
        <f t="shared" si="1429"/>
        <v>0</v>
      </c>
      <c r="V196" s="29">
        <f t="shared" si="1429"/>
        <v>0</v>
      </c>
      <c r="W196" s="29">
        <f t="shared" ref="W196" si="1430">W193-W194-W195</f>
        <v>0</v>
      </c>
      <c r="X196" s="29">
        <f t="shared" ref="X196:Y196" si="1431">X193-X194-X195</f>
        <v>0</v>
      </c>
      <c r="Y196" s="29">
        <f t="shared" si="1431"/>
        <v>0</v>
      </c>
      <c r="Z196" s="29">
        <f t="shared" ref="Z196:AA196" si="1432">Z193-Z194-Z195</f>
        <v>0</v>
      </c>
      <c r="AA196" s="29">
        <f t="shared" si="1432"/>
        <v>0</v>
      </c>
      <c r="AB196" s="30">
        <f t="shared" ref="AA196:AD196" si="1433">AB193-AB194-AB195</f>
        <v>0</v>
      </c>
      <c r="AC196" s="30">
        <f t="shared" si="1433"/>
        <v>0</v>
      </c>
      <c r="AD196" s="30">
        <f t="shared" si="1433"/>
        <v>0</v>
      </c>
      <c r="AE196" s="30">
        <f t="shared" ref="AE196" si="1434">AE193-AE194-AE195</f>
        <v>0</v>
      </c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E196" s="139"/>
      <c r="DF196" s="29">
        <v>0</v>
      </c>
    </row>
    <row r="197" spans="1:110" s="5" customFormat="1" x14ac:dyDescent="0.2">
      <c r="AB197" s="63"/>
      <c r="AC197" s="63"/>
      <c r="AD197" s="63"/>
      <c r="AE197" s="63"/>
      <c r="CE197" s="112"/>
      <c r="CG197" s="112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95" customFormat="1" x14ac:dyDescent="0.2">
      <c r="A198" s="95" t="s">
        <v>85</v>
      </c>
      <c r="B198" s="95" t="e">
        <f t="shared" ref="B198:W198" si="1435">B193/B143</f>
        <v>#DIV/0!</v>
      </c>
      <c r="C198" s="95" t="e">
        <f t="shared" si="1435"/>
        <v>#DIV/0!</v>
      </c>
      <c r="D198" s="95">
        <f t="shared" si="1435"/>
        <v>0.13184700537992838</v>
      </c>
      <c r="E198" s="95">
        <f t="shared" si="1435"/>
        <v>0.13761874246079614</v>
      </c>
      <c r="F198" s="95">
        <f t="shared" si="1435"/>
        <v>0.9514861575989797</v>
      </c>
      <c r="G198" s="95">
        <f t="shared" si="1435"/>
        <v>0.45568018565587348</v>
      </c>
      <c r="H198" s="95">
        <f t="shared" si="1435"/>
        <v>0.39719019705392483</v>
      </c>
      <c r="I198" s="95">
        <f t="shared" si="1435"/>
        <v>0.35512624738094395</v>
      </c>
      <c r="J198" s="95">
        <f t="shared" si="1435"/>
        <v>0.32678958941120673</v>
      </c>
      <c r="K198" s="95">
        <f t="shared" si="1435"/>
        <v>0.50159506936589637</v>
      </c>
      <c r="L198" s="95">
        <f t="shared" si="1435"/>
        <v>0.29162658400731584</v>
      </c>
      <c r="M198" s="95">
        <f t="shared" si="1435"/>
        <v>0.63417305585980277</v>
      </c>
      <c r="N198" s="95">
        <f t="shared" si="1435"/>
        <v>0.70668944793451849</v>
      </c>
      <c r="O198" s="95">
        <f t="shared" si="1435"/>
        <v>0.75455090192708829</v>
      </c>
      <c r="P198" s="95">
        <f t="shared" si="1435"/>
        <v>0.92907256769146718</v>
      </c>
      <c r="Q198" s="95">
        <f t="shared" si="1435"/>
        <v>0.73973392486058998</v>
      </c>
      <c r="R198" s="95">
        <f t="shared" si="1435"/>
        <v>0.67680473086111725</v>
      </c>
      <c r="S198" s="95">
        <f t="shared" si="1435"/>
        <v>0.28509394442568847</v>
      </c>
      <c r="T198" s="95">
        <f t="shared" si="1435"/>
        <v>0.12703759423939454</v>
      </c>
      <c r="U198" s="95">
        <f t="shared" si="1435"/>
        <v>0.10428728084251081</v>
      </c>
      <c r="V198" s="95">
        <f t="shared" si="1435"/>
        <v>7.4047129718882804E-2</v>
      </c>
      <c r="W198" s="95">
        <f t="shared" si="1435"/>
        <v>2.4921217348091142E-2</v>
      </c>
      <c r="X198" s="95">
        <f t="shared" ref="X198:Y198" si="1436">X193/X143</f>
        <v>2.127544928512384E-2</v>
      </c>
      <c r="Y198" s="95">
        <f t="shared" si="1436"/>
        <v>1.9398772725796928E-2</v>
      </c>
      <c r="Z198" s="95">
        <f t="shared" ref="Z198:AA198" si="1437">Z193/Z143</f>
        <v>1.8810883083257287E-2</v>
      </c>
      <c r="AA198" s="95">
        <f t="shared" si="1437"/>
        <v>1.8285137423472708E-2</v>
      </c>
      <c r="AB198" s="87">
        <f t="shared" ref="AA198:AD198" si="1438">AB193/AB143</f>
        <v>0</v>
      </c>
      <c r="AC198" s="87">
        <f t="shared" si="1438"/>
        <v>0</v>
      </c>
      <c r="AD198" s="87">
        <f t="shared" si="1438"/>
        <v>0</v>
      </c>
      <c r="AE198" s="87">
        <f t="shared" ref="AE198" si="1439">AE193/AE143</f>
        <v>0</v>
      </c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E198" s="140"/>
      <c r="DF198" s="95">
        <v>0</v>
      </c>
    </row>
    <row r="199" spans="1:110" x14ac:dyDescent="0.2">
      <c r="A199" s="152" t="s">
        <v>492</v>
      </c>
      <c r="AA199" s="2"/>
      <c r="CE199" s="111"/>
      <c r="CG199" s="111"/>
      <c r="CL199" s="2"/>
    </row>
    <row r="200" spans="1:110" s="6" customFormat="1" x14ac:dyDescent="0.2">
      <c r="AB200" s="19"/>
      <c r="AC200" s="19"/>
      <c r="AD200" s="19"/>
      <c r="AE200" s="19"/>
      <c r="CE200" s="113"/>
      <c r="CG200" s="113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62" customFormat="1" x14ac:dyDescent="0.2">
      <c r="A201" s="153" t="s">
        <v>493</v>
      </c>
      <c r="AB201" s="63"/>
      <c r="AC201" s="63"/>
      <c r="AD201" s="63"/>
      <c r="AE201" s="63"/>
      <c r="CE201" s="114"/>
      <c r="CG201" s="114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E201" s="139"/>
    </row>
    <row r="202" spans="1:110" s="62" customFormat="1" outlineLevel="1" x14ac:dyDescent="0.2">
      <c r="A202" s="68" t="s">
        <v>464</v>
      </c>
      <c r="B202" s="67" t="e">
        <f t="shared" ref="B202:AE202" si="1440">B167/B31*365</f>
        <v>#DIV/0!</v>
      </c>
      <c r="C202" s="67" t="e">
        <f t="shared" si="1440"/>
        <v>#DIV/0!</v>
      </c>
      <c r="D202" s="67">
        <f t="shared" si="1440"/>
        <v>55.537511937130589</v>
      </c>
      <c r="E202" s="67">
        <f t="shared" si="1440"/>
        <v>50.214661133119805</v>
      </c>
      <c r="F202" s="67">
        <f t="shared" si="1440"/>
        <v>34.823958891056549</v>
      </c>
      <c r="G202" s="67">
        <f t="shared" si="1440"/>
        <v>50.344616525494793</v>
      </c>
      <c r="H202" s="67">
        <f t="shared" si="1440"/>
        <v>42.8850793139666</v>
      </c>
      <c r="I202" s="67">
        <f t="shared" si="1440"/>
        <v>84.317539395885632</v>
      </c>
      <c r="J202" s="67">
        <f t="shared" si="1440"/>
        <v>37.454428411758499</v>
      </c>
      <c r="K202" s="67">
        <f t="shared" si="1440"/>
        <v>55.9238018917533</v>
      </c>
      <c r="L202" s="67">
        <f t="shared" si="1440"/>
        <v>63.861899341837692</v>
      </c>
      <c r="M202" s="67">
        <f t="shared" si="1440"/>
        <v>34.03397061836111</v>
      </c>
      <c r="N202" s="67">
        <f t="shared" si="1440"/>
        <v>35.94012028653561</v>
      </c>
      <c r="O202" s="67">
        <f t="shared" si="1440"/>
        <v>34.226649349383045</v>
      </c>
      <c r="P202" s="67">
        <f t="shared" si="1440"/>
        <v>40.813083816917711</v>
      </c>
      <c r="Q202" s="67">
        <f t="shared" si="1440"/>
        <v>53.773290878236025</v>
      </c>
      <c r="R202" s="67">
        <f t="shared" si="1440"/>
        <v>46.431140004781867</v>
      </c>
      <c r="S202" s="67">
        <f t="shared" si="1440"/>
        <v>51.753391680214676</v>
      </c>
      <c r="T202" s="67">
        <f t="shared" si="1440"/>
        <v>51.10385177467726</v>
      </c>
      <c r="U202" s="67">
        <f t="shared" si="1440"/>
        <v>46.866439867926047</v>
      </c>
      <c r="V202" s="67">
        <f t="shared" si="1440"/>
        <v>46.72818663362569</v>
      </c>
      <c r="W202" s="67">
        <f t="shared" si="1440"/>
        <v>51.672884837374788</v>
      </c>
      <c r="X202" s="67">
        <f t="shared" si="1440"/>
        <v>47.86112612884056</v>
      </c>
      <c r="Y202" s="67">
        <f t="shared" si="1440"/>
        <v>50.888875943284582</v>
      </c>
      <c r="Z202" s="67">
        <f t="shared" si="1440"/>
        <v>49.07034677091638</v>
      </c>
      <c r="AA202" s="67">
        <f t="shared" ref="AA202" si="1441">AA167/AA31*365</f>
        <v>39.546230901590945</v>
      </c>
      <c r="AB202" s="18">
        <f t="shared" si="1440"/>
        <v>40.575402616819723</v>
      </c>
      <c r="AC202" s="18">
        <f t="shared" si="1440"/>
        <v>40.61054190569336</v>
      </c>
      <c r="AD202" s="18">
        <f t="shared" si="1440"/>
        <v>40.628365298107759</v>
      </c>
      <c r="AE202" s="18">
        <f t="shared" si="1440"/>
        <v>40.644247830837827</v>
      </c>
      <c r="AI202" s="67" t="e">
        <f>AJ167/AI31*90</f>
        <v>#DIV/0!</v>
      </c>
      <c r="AJ202" s="67" t="e">
        <f>AJ167/AJ31*90</f>
        <v>#DIV/0!</v>
      </c>
      <c r="AK202" s="67" t="e">
        <f t="shared" ref="AK202:CE202" si="1442">+AJ202</f>
        <v>#DIV/0!</v>
      </c>
      <c r="AL202" s="67" t="e">
        <f>AL167/AL31*90</f>
        <v>#DIV/0!</v>
      </c>
      <c r="AM202" s="67" t="e">
        <f t="shared" ref="AM202:AM203" si="1443">+AL202</f>
        <v>#DIV/0!</v>
      </c>
      <c r="AN202" s="67" t="e">
        <f>AN167/AN31*90</f>
        <v>#DIV/0!</v>
      </c>
      <c r="AO202" s="67" t="e">
        <f t="shared" ref="AO202:AO203" si="1444">+AN202</f>
        <v>#DIV/0!</v>
      </c>
      <c r="AP202" s="67" t="e">
        <f>AP167/AP31*90</f>
        <v>#DIV/0!</v>
      </c>
      <c r="AQ202" s="67" t="e">
        <f t="shared" ref="AQ202:AQ203" si="1445">+AP202</f>
        <v>#DIV/0!</v>
      </c>
      <c r="AR202" s="67" t="e">
        <f>AR167/AR31*90</f>
        <v>#DIV/0!</v>
      </c>
      <c r="AS202" s="67" t="e">
        <f t="shared" ref="AS202:AS203" si="1446">+AR202</f>
        <v>#DIV/0!</v>
      </c>
      <c r="AT202" s="67" t="e">
        <f>AT167/AT31*90</f>
        <v>#DIV/0!</v>
      </c>
      <c r="AU202" s="67" t="e">
        <f t="shared" ref="AU202:AU203" si="1447">+AT202</f>
        <v>#DIV/0!</v>
      </c>
      <c r="AV202" s="67" t="e">
        <f>AV167/AV31*90</f>
        <v>#DIV/0!</v>
      </c>
      <c r="AW202" s="67" t="e">
        <f t="shared" ref="AW202:AW203" si="1448">+AV202</f>
        <v>#DIV/0!</v>
      </c>
      <c r="AX202" s="67" t="e">
        <f>AX167/AX31*90</f>
        <v>#DIV/0!</v>
      </c>
      <c r="AY202" s="67" t="e">
        <f t="shared" ref="AY202:AY203" si="1449">+AX202</f>
        <v>#DIV/0!</v>
      </c>
      <c r="AZ202" s="67" t="e">
        <f>AZ167/AZ31*90</f>
        <v>#DIV/0!</v>
      </c>
      <c r="BA202" s="67" t="e">
        <f t="shared" ref="BA202:BA203" si="1450">+AZ202</f>
        <v>#DIV/0!</v>
      </c>
      <c r="BB202" s="67" t="e">
        <f>BB167/BB31*90</f>
        <v>#DIV/0!</v>
      </c>
      <c r="BC202" s="67" t="e">
        <f t="shared" ref="BC202:BC203" si="1451">+BB202</f>
        <v>#DIV/0!</v>
      </c>
      <c r="BD202" s="67" t="e">
        <f>BD167/BD31*90</f>
        <v>#DIV/0!</v>
      </c>
      <c r="BE202" s="67" t="e">
        <f t="shared" ref="BE202:BE203" si="1452">+BD202</f>
        <v>#DIV/0!</v>
      </c>
      <c r="BF202" s="67" t="e">
        <f>BF167/BF31*90</f>
        <v>#DIV/0!</v>
      </c>
      <c r="BG202" s="67" t="e">
        <f t="shared" ref="BG202:BG203" si="1453">+BF202</f>
        <v>#DIV/0!</v>
      </c>
      <c r="BH202" s="67" t="e">
        <f>BH167/BH31*90</f>
        <v>#DIV/0!</v>
      </c>
      <c r="BI202" s="67" t="e">
        <f t="shared" ref="BI202:BI203" si="1454">+BH202</f>
        <v>#DIV/0!</v>
      </c>
      <c r="BJ202" s="67" t="e">
        <f>BJ167/BJ31*90</f>
        <v>#DIV/0!</v>
      </c>
      <c r="BK202" s="67" t="e">
        <f t="shared" ref="BK202:BK203" si="1455">+BJ202</f>
        <v>#DIV/0!</v>
      </c>
      <c r="BL202" s="67" t="e">
        <f>BL167/BL31*90</f>
        <v>#DIV/0!</v>
      </c>
      <c r="BM202" s="67" t="e">
        <f t="shared" ref="BM202:BM203" si="1456">+BL202</f>
        <v>#DIV/0!</v>
      </c>
      <c r="BN202" s="67" t="e">
        <f>BN167/BN31*90</f>
        <v>#DIV/0!</v>
      </c>
      <c r="BO202" s="67" t="e">
        <f t="shared" ref="BO202:BO203" si="1457">+BN202</f>
        <v>#DIV/0!</v>
      </c>
      <c r="BP202" s="67" t="e">
        <f>BP167/BP31*90</f>
        <v>#DIV/0!</v>
      </c>
      <c r="BQ202" s="67" t="e">
        <f t="shared" ref="BQ202:BQ203" si="1458">+BP202</f>
        <v>#DIV/0!</v>
      </c>
      <c r="BR202" s="67">
        <f>BR167/BR31*90</f>
        <v>40.290498616048588</v>
      </c>
      <c r="BS202" s="67">
        <f t="shared" ref="BS202:BS203" si="1459">+BR202</f>
        <v>40.290498616048588</v>
      </c>
      <c r="BT202" s="67">
        <f>BT167/BT31*90</f>
        <v>0</v>
      </c>
      <c r="BU202" s="67">
        <f t="shared" ref="BU202:BU203" si="1460">+BT202</f>
        <v>0</v>
      </c>
      <c r="BV202" s="67">
        <f>BV167/BV31*90</f>
        <v>46.555922468335346</v>
      </c>
      <c r="BW202" s="67">
        <f t="shared" ref="BW202:BW203" si="1461">+BV202</f>
        <v>46.555922468335346</v>
      </c>
      <c r="BX202" s="67">
        <f>BX167/BX31*90</f>
        <v>45.839351577346477</v>
      </c>
      <c r="BY202" s="67">
        <f t="shared" ref="BY202:BY203" si="1462">+BX202</f>
        <v>45.839351577346477</v>
      </c>
      <c r="BZ202" s="67">
        <f>BZ167/BZ31*90</f>
        <v>49.832735513932462</v>
      </c>
      <c r="CA202" s="67">
        <f t="shared" ref="CA202:CA203" si="1463">+BZ202</f>
        <v>49.832735513932462</v>
      </c>
      <c r="CB202" s="67">
        <f>CB167/CB31*90</f>
        <v>54.918110563578338</v>
      </c>
      <c r="CC202" s="67">
        <f t="shared" ref="CC202:CC203" si="1464">+CB202</f>
        <v>54.918110563578338</v>
      </c>
      <c r="CD202" s="67">
        <f>CD167/CD31*90</f>
        <v>49.032015083004168</v>
      </c>
      <c r="CE202" s="67">
        <f t="shared" si="1442"/>
        <v>49.032015083004168</v>
      </c>
      <c r="CF202" s="67">
        <f>CF167/CF31*90</f>
        <v>49.688739191996646</v>
      </c>
      <c r="CG202" s="67">
        <f t="shared" ref="CG202:CI203" si="1465">+CF202</f>
        <v>49.688739191996646</v>
      </c>
      <c r="CH202" s="67">
        <f>CH167/CH31*90</f>
        <v>42.662243089394778</v>
      </c>
      <c r="CI202" s="67">
        <f t="shared" si="1465"/>
        <v>42.662243089394778</v>
      </c>
      <c r="CJ202" s="67">
        <f>CJ167/CJ31*90</f>
        <v>55.728256924196387</v>
      </c>
      <c r="CK202" s="67">
        <f t="shared" ref="CK202:CK203" si="1466">+CJ202</f>
        <v>55.728256924196387</v>
      </c>
      <c r="CL202" s="67">
        <f>CL167/CL31*90</f>
        <v>34.342993499118094</v>
      </c>
      <c r="CM202" s="30">
        <f t="shared" ref="CM202:CM203" si="1467">+CL202</f>
        <v>34.342993499118094</v>
      </c>
      <c r="CN202" s="30">
        <f t="shared" ref="CN202:CN203" si="1468">+CM202</f>
        <v>34.342993499118094</v>
      </c>
      <c r="CO202" s="30">
        <f t="shared" ref="CO202:CO203" si="1469">+CN202</f>
        <v>34.342993499118094</v>
      </c>
      <c r="CP202" s="30">
        <f t="shared" ref="CP202:CP203" si="1470">+CO202</f>
        <v>34.342993499118094</v>
      </c>
      <c r="CQ202" s="30">
        <f t="shared" ref="CQ202:CQ203" si="1471">+CP202</f>
        <v>34.342993499118094</v>
      </c>
      <c r="CR202" s="30">
        <f t="shared" ref="CR202:CR203" si="1472">+CQ202</f>
        <v>34.342993499118094</v>
      </c>
      <c r="CS202" s="30">
        <f t="shared" ref="CS202:CS203" si="1473">+CR202</f>
        <v>34.342993499118094</v>
      </c>
      <c r="CT202" s="30">
        <f t="shared" ref="CT202:CT203" si="1474">+CS202</f>
        <v>34.342993499118094</v>
      </c>
      <c r="CU202" s="30">
        <f t="shared" ref="CU202:CU203" si="1475">+CT202</f>
        <v>34.342993499118094</v>
      </c>
      <c r="CV202" s="30">
        <f t="shared" ref="CV202:CV203" si="1476">+CU202</f>
        <v>34.342993499118094</v>
      </c>
      <c r="CW202" s="30">
        <f t="shared" ref="CW202:CW203" si="1477">+CV202</f>
        <v>34.342993499118094</v>
      </c>
      <c r="CX202" s="30">
        <f t="shared" ref="CX202:CX203" si="1478">+CW202</f>
        <v>34.342993499118094</v>
      </c>
      <c r="CY202" s="30">
        <f t="shared" ref="CY202:CY203" si="1479">+CX202</f>
        <v>34.342993499118094</v>
      </c>
      <c r="CZ202" s="30">
        <f t="shared" ref="CZ202:CZ203" si="1480">+CY202</f>
        <v>34.342993499118094</v>
      </c>
      <c r="DA202" s="30">
        <f t="shared" ref="DA202:DA203" si="1481">+CZ202</f>
        <v>34.342993499118094</v>
      </c>
      <c r="DB202" s="30">
        <f t="shared" ref="DB202:DB203" si="1482">+DA202</f>
        <v>34.342993499118094</v>
      </c>
      <c r="DE202" s="139"/>
      <c r="DF202" s="62">
        <v>55.728256924196387</v>
      </c>
    </row>
    <row r="203" spans="1:110" s="62" customFormat="1" outlineLevel="1" x14ac:dyDescent="0.2">
      <c r="A203" s="68" t="s">
        <v>465</v>
      </c>
      <c r="B203" s="67" t="e">
        <f t="shared" ref="B203:AE203" si="1483">B168/B31*365</f>
        <v>#DIV/0!</v>
      </c>
      <c r="C203" s="67" t="e">
        <f t="shared" si="1483"/>
        <v>#DIV/0!</v>
      </c>
      <c r="D203" s="67">
        <f t="shared" si="1483"/>
        <v>9.8773370601504489</v>
      </c>
      <c r="E203" s="67">
        <f t="shared" si="1483"/>
        <v>8.8066188103233483</v>
      </c>
      <c r="F203" s="67">
        <f t="shared" si="1483"/>
        <v>13.851165023613081</v>
      </c>
      <c r="G203" s="67">
        <f t="shared" si="1483"/>
        <v>14.012869434952245</v>
      </c>
      <c r="H203" s="67">
        <f t="shared" si="1483"/>
        <v>10.951612641101608</v>
      </c>
      <c r="I203" s="67">
        <f t="shared" si="1483"/>
        <v>14.216988944508454</v>
      </c>
      <c r="J203" s="67">
        <f t="shared" si="1483"/>
        <v>9.9761240228386985</v>
      </c>
      <c r="K203" s="67">
        <f t="shared" si="1483"/>
        <v>13.764441264343159</v>
      </c>
      <c r="L203" s="67">
        <f t="shared" si="1483"/>
        <v>19.250861261128108</v>
      </c>
      <c r="M203" s="67">
        <f t="shared" si="1483"/>
        <v>15.720332487741207</v>
      </c>
      <c r="N203" s="67">
        <f t="shared" si="1483"/>
        <v>15.516057999300825</v>
      </c>
      <c r="O203" s="67">
        <f t="shared" si="1483"/>
        <v>16.552482672272038</v>
      </c>
      <c r="P203" s="67">
        <f t="shared" si="1483"/>
        <v>14.581489273676025</v>
      </c>
      <c r="Q203" s="67">
        <f t="shared" si="1483"/>
        <v>13.513636273334011</v>
      </c>
      <c r="R203" s="67">
        <f t="shared" si="1483"/>
        <v>12.207463703473747</v>
      </c>
      <c r="S203" s="67">
        <f t="shared" si="1483"/>
        <v>14.756380811070333</v>
      </c>
      <c r="T203" s="67">
        <f t="shared" si="1483"/>
        <v>15.887655017927006</v>
      </c>
      <c r="U203" s="67">
        <f t="shared" si="1483"/>
        <v>11.282666439646453</v>
      </c>
      <c r="V203" s="67">
        <f t="shared" si="1483"/>
        <v>14.818761435095817</v>
      </c>
      <c r="W203" s="67">
        <f t="shared" si="1483"/>
        <v>14.856493450739833</v>
      </c>
      <c r="X203" s="67">
        <f t="shared" si="1483"/>
        <v>12.034444649106648</v>
      </c>
      <c r="Y203" s="67">
        <f t="shared" si="1483"/>
        <v>12.594781338743649</v>
      </c>
      <c r="Z203" s="67">
        <f t="shared" si="1483"/>
        <v>13.716935007601542</v>
      </c>
      <c r="AA203" s="67">
        <f t="shared" ref="AA203" si="1484">AA168/AA31*365</f>
        <v>12.67067665353756</v>
      </c>
      <c r="AB203" s="18">
        <f t="shared" si="1483"/>
        <v>13.000424943762249</v>
      </c>
      <c r="AC203" s="18">
        <f t="shared" si="1483"/>
        <v>13.01168362902763</v>
      </c>
      <c r="AD203" s="18">
        <f t="shared" si="1483"/>
        <v>13.01739427292474</v>
      </c>
      <c r="AE203" s="18">
        <f t="shared" si="1483"/>
        <v>13.022483062224607</v>
      </c>
      <c r="AI203" s="67" t="e">
        <f>AJ168/AI31*90</f>
        <v>#DIV/0!</v>
      </c>
      <c r="AJ203" s="67" t="e">
        <f>AJ168/AJ31*90</f>
        <v>#DIV/0!</v>
      </c>
      <c r="AK203" s="67" t="e">
        <f>+AJ203</f>
        <v>#DIV/0!</v>
      </c>
      <c r="AL203" s="67" t="e">
        <f>AL168/AL31*90</f>
        <v>#DIV/0!</v>
      </c>
      <c r="AM203" s="67" t="e">
        <f t="shared" si="1443"/>
        <v>#DIV/0!</v>
      </c>
      <c r="AN203" s="67" t="e">
        <f>AN168/AN31*90</f>
        <v>#DIV/0!</v>
      </c>
      <c r="AO203" s="67" t="e">
        <f t="shared" si="1444"/>
        <v>#DIV/0!</v>
      </c>
      <c r="AP203" s="67" t="e">
        <f>AP168/AP31*90</f>
        <v>#DIV/0!</v>
      </c>
      <c r="AQ203" s="67" t="e">
        <f t="shared" si="1445"/>
        <v>#DIV/0!</v>
      </c>
      <c r="AR203" s="67" t="e">
        <f>AR168/AR31*90</f>
        <v>#DIV/0!</v>
      </c>
      <c r="AS203" s="67" t="e">
        <f t="shared" si="1446"/>
        <v>#DIV/0!</v>
      </c>
      <c r="AT203" s="67" t="e">
        <f>AT168/AT31*90</f>
        <v>#DIV/0!</v>
      </c>
      <c r="AU203" s="67" t="e">
        <f t="shared" si="1447"/>
        <v>#DIV/0!</v>
      </c>
      <c r="AV203" s="67" t="e">
        <f>AV168/AV31*90</f>
        <v>#DIV/0!</v>
      </c>
      <c r="AW203" s="67" t="e">
        <f t="shared" si="1448"/>
        <v>#DIV/0!</v>
      </c>
      <c r="AX203" s="67" t="e">
        <f>AX168/AX31*90</f>
        <v>#DIV/0!</v>
      </c>
      <c r="AY203" s="67" t="e">
        <f t="shared" si="1449"/>
        <v>#DIV/0!</v>
      </c>
      <c r="AZ203" s="67" t="e">
        <f>AZ168/AZ31*90</f>
        <v>#DIV/0!</v>
      </c>
      <c r="BA203" s="67" t="e">
        <f t="shared" si="1450"/>
        <v>#DIV/0!</v>
      </c>
      <c r="BB203" s="67" t="e">
        <f>BB168/BB31*90</f>
        <v>#DIV/0!</v>
      </c>
      <c r="BC203" s="67" t="e">
        <f t="shared" si="1451"/>
        <v>#DIV/0!</v>
      </c>
      <c r="BD203" s="67" t="e">
        <f>BD168/BD31*90</f>
        <v>#DIV/0!</v>
      </c>
      <c r="BE203" s="67" t="e">
        <f t="shared" si="1452"/>
        <v>#DIV/0!</v>
      </c>
      <c r="BF203" s="67" t="e">
        <f>BF168/BF31*90</f>
        <v>#DIV/0!</v>
      </c>
      <c r="BG203" s="67" t="e">
        <f t="shared" si="1453"/>
        <v>#DIV/0!</v>
      </c>
      <c r="BH203" s="67" t="e">
        <f>BH168/BH31*90</f>
        <v>#DIV/0!</v>
      </c>
      <c r="BI203" s="67" t="e">
        <f t="shared" si="1454"/>
        <v>#DIV/0!</v>
      </c>
      <c r="BJ203" s="67" t="e">
        <f>BJ168/BJ31*90</f>
        <v>#DIV/0!</v>
      </c>
      <c r="BK203" s="67" t="e">
        <f t="shared" si="1455"/>
        <v>#DIV/0!</v>
      </c>
      <c r="BL203" s="67" t="e">
        <f>BL168/BL31*90</f>
        <v>#DIV/0!</v>
      </c>
      <c r="BM203" s="67" t="e">
        <f t="shared" si="1456"/>
        <v>#DIV/0!</v>
      </c>
      <c r="BN203" s="67" t="e">
        <f>BN168/BN31*90</f>
        <v>#DIV/0!</v>
      </c>
      <c r="BO203" s="67" t="e">
        <f t="shared" si="1457"/>
        <v>#DIV/0!</v>
      </c>
      <c r="BP203" s="67" t="e">
        <f>BP168/BP31*90</f>
        <v>#DIV/0!</v>
      </c>
      <c r="BQ203" s="67" t="e">
        <f t="shared" si="1458"/>
        <v>#DIV/0!</v>
      </c>
      <c r="BR203" s="67">
        <f>BR168/BR31*90</f>
        <v>12.777197877878704</v>
      </c>
      <c r="BS203" s="67">
        <f t="shared" si="1459"/>
        <v>12.777197877878704</v>
      </c>
      <c r="BT203" s="67">
        <f>BT168/BT31*90</f>
        <v>0</v>
      </c>
      <c r="BU203" s="67">
        <f t="shared" si="1460"/>
        <v>0</v>
      </c>
      <c r="BV203" s="67">
        <f>BV168/BV31*90</f>
        <v>13.385313388651802</v>
      </c>
      <c r="BW203" s="67">
        <f t="shared" si="1461"/>
        <v>13.385313388651802</v>
      </c>
      <c r="BX203" s="67">
        <f>BX168/BX31*90</f>
        <v>13.605426984960454</v>
      </c>
      <c r="BY203" s="67">
        <f t="shared" si="1462"/>
        <v>13.605426984960454</v>
      </c>
      <c r="BZ203" s="67">
        <f>BZ168/BZ31*90</f>
        <v>12.530196127052964</v>
      </c>
      <c r="CA203" s="67">
        <f t="shared" si="1463"/>
        <v>12.530196127052964</v>
      </c>
      <c r="CB203" s="67">
        <f>CB168/CB31*90</f>
        <v>14.02888201415977</v>
      </c>
      <c r="CC203" s="67">
        <f t="shared" si="1464"/>
        <v>14.02888201415977</v>
      </c>
      <c r="CD203" s="67">
        <f>CD168/CD31*90</f>
        <v>12.13521613754393</v>
      </c>
      <c r="CE203" s="114">
        <f t="shared" ref="CE203" si="1485">+CD203</f>
        <v>12.13521613754393</v>
      </c>
      <c r="CF203" s="67">
        <f>CF168/CF31*90</f>
        <v>14.039186321880919</v>
      </c>
      <c r="CG203" s="67">
        <f t="shared" si="1465"/>
        <v>14.039186321880919</v>
      </c>
      <c r="CH203" s="67">
        <f>CH168/CH31*90</f>
        <v>11.925638481172642</v>
      </c>
      <c r="CI203" s="67">
        <f t="shared" si="1465"/>
        <v>11.925638481172642</v>
      </c>
      <c r="CJ203" s="67">
        <f>CJ168/CJ31*90</f>
        <v>12.284980547664611</v>
      </c>
      <c r="CK203" s="67">
        <f t="shared" si="1466"/>
        <v>12.284980547664611</v>
      </c>
      <c r="CL203" s="67">
        <f>CL168/CL31*90</f>
        <v>11.003550933203137</v>
      </c>
      <c r="CM203" s="30">
        <f t="shared" si="1467"/>
        <v>11.003550933203137</v>
      </c>
      <c r="CN203" s="30">
        <f t="shared" si="1468"/>
        <v>11.003550933203137</v>
      </c>
      <c r="CO203" s="30">
        <f t="shared" si="1469"/>
        <v>11.003550933203137</v>
      </c>
      <c r="CP203" s="30">
        <f t="shared" si="1470"/>
        <v>11.003550933203137</v>
      </c>
      <c r="CQ203" s="30">
        <f t="shared" si="1471"/>
        <v>11.003550933203137</v>
      </c>
      <c r="CR203" s="30">
        <f t="shared" si="1472"/>
        <v>11.003550933203137</v>
      </c>
      <c r="CS203" s="30">
        <f t="shared" si="1473"/>
        <v>11.003550933203137</v>
      </c>
      <c r="CT203" s="30">
        <f t="shared" si="1474"/>
        <v>11.003550933203137</v>
      </c>
      <c r="CU203" s="30">
        <f t="shared" si="1475"/>
        <v>11.003550933203137</v>
      </c>
      <c r="CV203" s="30">
        <f t="shared" si="1476"/>
        <v>11.003550933203137</v>
      </c>
      <c r="CW203" s="30">
        <f t="shared" si="1477"/>
        <v>11.003550933203137</v>
      </c>
      <c r="CX203" s="30">
        <f t="shared" si="1478"/>
        <v>11.003550933203137</v>
      </c>
      <c r="CY203" s="30">
        <f t="shared" si="1479"/>
        <v>11.003550933203137</v>
      </c>
      <c r="CZ203" s="30">
        <f t="shared" si="1480"/>
        <v>11.003550933203137</v>
      </c>
      <c r="DA203" s="30">
        <f t="shared" si="1481"/>
        <v>11.003550933203137</v>
      </c>
      <c r="DB203" s="30">
        <f t="shared" si="1482"/>
        <v>11.003550933203137</v>
      </c>
      <c r="DE203" s="139"/>
      <c r="DF203" s="62">
        <v>12.284980547664611</v>
      </c>
    </row>
    <row r="204" spans="1:110" s="62" customFormat="1" outlineLevel="1" x14ac:dyDescent="0.2">
      <c r="A204" s="68" t="s">
        <v>466</v>
      </c>
      <c r="B204" s="67" t="e">
        <f>B205-B203-B202</f>
        <v>#DIV/0!</v>
      </c>
      <c r="C204" s="67" t="e">
        <f t="shared" ref="C204:U204" si="1486">C205-C203-C202</f>
        <v>#DIV/0!</v>
      </c>
      <c r="D204" s="67">
        <f t="shared" si="1486"/>
        <v>3.7010339696630297</v>
      </c>
      <c r="E204" s="67">
        <f t="shared" si="1486"/>
        <v>8.1166748929859764</v>
      </c>
      <c r="F204" s="67">
        <f t="shared" si="1486"/>
        <v>3.6036026633826594</v>
      </c>
      <c r="G204" s="67">
        <f t="shared" si="1486"/>
        <v>8.3971395458898712</v>
      </c>
      <c r="H204" s="67">
        <f t="shared" si="1486"/>
        <v>5.2226671912564342</v>
      </c>
      <c r="I204" s="67">
        <f t="shared" si="1486"/>
        <v>7.7565459837752542</v>
      </c>
      <c r="J204" s="67">
        <f t="shared" si="1486"/>
        <v>4.559490287663678</v>
      </c>
      <c r="K204" s="67">
        <f t="shared" si="1486"/>
        <v>10.778043555324174</v>
      </c>
      <c r="L204" s="67">
        <f t="shared" si="1486"/>
        <v>15.006239480523512</v>
      </c>
      <c r="M204" s="67">
        <f t="shared" si="1486"/>
        <v>18.397246297283928</v>
      </c>
      <c r="N204" s="67">
        <f t="shared" si="1486"/>
        <v>17.699671088662676</v>
      </c>
      <c r="O204" s="67">
        <f t="shared" si="1486"/>
        <v>11.332254749652712</v>
      </c>
      <c r="P204" s="67">
        <f t="shared" si="1486"/>
        <v>10.476983570246304</v>
      </c>
      <c r="Q204" s="67">
        <f t="shared" si="1486"/>
        <v>15.094186115813429</v>
      </c>
      <c r="R204" s="67">
        <f t="shared" si="1486"/>
        <v>10.415529065257488</v>
      </c>
      <c r="S204" s="67">
        <f t="shared" si="1486"/>
        <v>12.031997767898048</v>
      </c>
      <c r="T204" s="67">
        <f t="shared" si="1486"/>
        <v>16.449914107510573</v>
      </c>
      <c r="U204" s="67">
        <f t="shared" si="1486"/>
        <v>16.13516174535814</v>
      </c>
      <c r="V204" s="67">
        <f>V205-V203-V202</f>
        <v>12.532579639714768</v>
      </c>
      <c r="W204" s="67">
        <f t="shared" ref="W204" si="1487">W205-W203-W202</f>
        <v>11.049658465383835</v>
      </c>
      <c r="X204" s="67">
        <f t="shared" ref="X204:Y204" si="1488">X205-X203-X202</f>
        <v>13.286920156076654</v>
      </c>
      <c r="Y204" s="67">
        <f t="shared" si="1488"/>
        <v>13.201734921720266</v>
      </c>
      <c r="Z204" s="67">
        <f t="shared" ref="Z204:AA204" si="1489">Z205-Z203-Z202</f>
        <v>17.994906065114982</v>
      </c>
      <c r="AA204" s="67">
        <f t="shared" si="1489"/>
        <v>17.064026364746532</v>
      </c>
      <c r="AB204" s="18">
        <f t="shared" ref="AA204:AD204" si="1490">AB205-AB203-AB202</f>
        <v>19.881289414133903</v>
      </c>
      <c r="AC204" s="18">
        <f t="shared" si="1490"/>
        <v>19.898507095952134</v>
      </c>
      <c r="AD204" s="18">
        <f t="shared" si="1490"/>
        <v>19.907240269256135</v>
      </c>
      <c r="AE204" s="18">
        <f t="shared" ref="AE204" si="1491">AE205-AE203-AE202</f>
        <v>19.915022452782907</v>
      </c>
      <c r="AI204" s="67" t="e">
        <f t="shared" ref="AI204:AK204" si="1492">AI205-AI203-AI202</f>
        <v>#DIV/0!</v>
      </c>
      <c r="AJ204" s="67" t="e">
        <f t="shared" ref="AJ204:AM204" si="1493">AJ205-AJ203-AJ202</f>
        <v>#DIV/0!</v>
      </c>
      <c r="AK204" s="67" t="e">
        <f t="shared" si="1492"/>
        <v>#DIV/0!</v>
      </c>
      <c r="AL204" s="67" t="e">
        <f t="shared" si="1493"/>
        <v>#DIV/0!</v>
      </c>
      <c r="AM204" s="67" t="e">
        <f t="shared" si="1493"/>
        <v>#DIV/0!</v>
      </c>
      <c r="AN204" s="67" t="e">
        <f t="shared" ref="AN204:AY204" si="1494">AN205-AN203-AN202</f>
        <v>#DIV/0!</v>
      </c>
      <c r="AO204" s="67" t="e">
        <f t="shared" si="1494"/>
        <v>#DIV/0!</v>
      </c>
      <c r="AP204" s="67" t="e">
        <f t="shared" si="1494"/>
        <v>#DIV/0!</v>
      </c>
      <c r="AQ204" s="67" t="e">
        <f t="shared" si="1494"/>
        <v>#DIV/0!</v>
      </c>
      <c r="AR204" s="67" t="e">
        <f t="shared" si="1494"/>
        <v>#DIV/0!</v>
      </c>
      <c r="AS204" s="67" t="e">
        <f t="shared" si="1494"/>
        <v>#DIV/0!</v>
      </c>
      <c r="AT204" s="67" t="e">
        <f t="shared" si="1494"/>
        <v>#DIV/0!</v>
      </c>
      <c r="AU204" s="67" t="e">
        <f t="shared" si="1494"/>
        <v>#DIV/0!</v>
      </c>
      <c r="AV204" s="67" t="e">
        <f t="shared" si="1494"/>
        <v>#DIV/0!</v>
      </c>
      <c r="AW204" s="67" t="e">
        <f t="shared" si="1494"/>
        <v>#DIV/0!</v>
      </c>
      <c r="AX204" s="67" t="e">
        <f t="shared" si="1494"/>
        <v>#DIV/0!</v>
      </c>
      <c r="AY204" s="67" t="e">
        <f t="shared" si="1494"/>
        <v>#DIV/0!</v>
      </c>
      <c r="AZ204" s="67" t="e">
        <f t="shared" ref="AZ204:BC204" si="1495">AZ205-AZ203-AZ202</f>
        <v>#DIV/0!</v>
      </c>
      <c r="BA204" s="67" t="e">
        <f t="shared" si="1495"/>
        <v>#DIV/0!</v>
      </c>
      <c r="BB204" s="67" t="e">
        <f t="shared" si="1495"/>
        <v>#DIV/0!</v>
      </c>
      <c r="BC204" s="67" t="e">
        <f t="shared" si="1495"/>
        <v>#DIV/0!</v>
      </c>
      <c r="BD204" s="67" t="e">
        <f t="shared" ref="BD204:CE204" si="1496">BD205-BD203-BD202</f>
        <v>#DIV/0!</v>
      </c>
      <c r="BE204" s="67" t="e">
        <f t="shared" si="1496"/>
        <v>#DIV/0!</v>
      </c>
      <c r="BF204" s="67" t="e">
        <f t="shared" si="1496"/>
        <v>#DIV/0!</v>
      </c>
      <c r="BG204" s="67" t="e">
        <f t="shared" si="1496"/>
        <v>#DIV/0!</v>
      </c>
      <c r="BH204" s="67" t="e">
        <f t="shared" si="1496"/>
        <v>#DIV/0!</v>
      </c>
      <c r="BI204" s="67" t="e">
        <f t="shared" si="1496"/>
        <v>#DIV/0!</v>
      </c>
      <c r="BJ204" s="67" t="e">
        <f t="shared" si="1496"/>
        <v>#DIV/0!</v>
      </c>
      <c r="BK204" s="67" t="e">
        <f t="shared" si="1496"/>
        <v>#DIV/0!</v>
      </c>
      <c r="BL204" s="67" t="e">
        <f t="shared" si="1496"/>
        <v>#DIV/0!</v>
      </c>
      <c r="BM204" s="67" t="e">
        <f t="shared" si="1496"/>
        <v>#DIV/0!</v>
      </c>
      <c r="BN204" s="67" t="e">
        <f t="shared" si="1496"/>
        <v>#DIV/0!</v>
      </c>
      <c r="BO204" s="67" t="e">
        <f t="shared" si="1496"/>
        <v>#DIV/0!</v>
      </c>
      <c r="BP204" s="67" t="e">
        <f t="shared" si="1496"/>
        <v>#DIV/0!</v>
      </c>
      <c r="BQ204" s="67" t="e">
        <f t="shared" si="1496"/>
        <v>#DIV/0!</v>
      </c>
      <c r="BR204" s="67">
        <f t="shared" si="1496"/>
        <v>12.676845003063995</v>
      </c>
      <c r="BS204" s="67">
        <f t="shared" si="1496"/>
        <v>11.960038790767662</v>
      </c>
      <c r="BT204" s="67">
        <f t="shared" si="1496"/>
        <v>0</v>
      </c>
      <c r="BU204" s="67">
        <f t="shared" si="1496"/>
        <v>0</v>
      </c>
      <c r="BV204" s="67">
        <f t="shared" si="1496"/>
        <v>11.436684753098078</v>
      </c>
      <c r="BW204" s="67">
        <f t="shared" si="1496"/>
        <v>11.586726242504625</v>
      </c>
      <c r="BX204" s="67">
        <f t="shared" si="1496"/>
        <v>13.859588990270701</v>
      </c>
      <c r="BY204" s="67">
        <f t="shared" si="1496"/>
        <v>12.703262393890434</v>
      </c>
      <c r="BZ204" s="67">
        <f t="shared" si="1496"/>
        <v>15.661431421849059</v>
      </c>
      <c r="CA204" s="67">
        <f t="shared" si="1496"/>
        <v>16.805697365734133</v>
      </c>
      <c r="CB204" s="67">
        <f t="shared" si="1496"/>
        <v>20.119709957080502</v>
      </c>
      <c r="CC204" s="67">
        <f t="shared" si="1496"/>
        <v>19.239520874063416</v>
      </c>
      <c r="CD204" s="67">
        <f t="shared" si="1496"/>
        <v>14.852811387577397</v>
      </c>
      <c r="CE204" s="114">
        <f t="shared" si="1496"/>
        <v>13.875814707659067</v>
      </c>
      <c r="CF204" s="67">
        <f t="shared" ref="CF204:CG204" si="1497">CF205-CF203-CF202</f>
        <v>13.215480479503725</v>
      </c>
      <c r="CG204" s="67">
        <f t="shared" si="1497"/>
        <v>11.340607380784689</v>
      </c>
      <c r="CH204" s="67">
        <f t="shared" ref="CH204" si="1498">CH205-CH203-CH202</f>
        <v>15.644948679591806</v>
      </c>
      <c r="CI204" s="67">
        <f>CH204</f>
        <v>15.644948679591806</v>
      </c>
      <c r="CJ204" s="67">
        <f t="shared" ref="CJ204:CL204" si="1499">CJ205-CJ203-CJ202</f>
        <v>12.974273157481264</v>
      </c>
      <c r="CK204" s="67">
        <f t="shared" ref="CK204:DB204" si="1500">CJ204</f>
        <v>12.974273157481264</v>
      </c>
      <c r="CL204" s="67">
        <f t="shared" si="1499"/>
        <v>16.827509995443691</v>
      </c>
      <c r="CM204" s="30">
        <f t="shared" si="1500"/>
        <v>16.827509995443691</v>
      </c>
      <c r="CN204" s="30">
        <f t="shared" si="1500"/>
        <v>16.827509995443691</v>
      </c>
      <c r="CO204" s="30">
        <f t="shared" si="1500"/>
        <v>16.827509995443691</v>
      </c>
      <c r="CP204" s="30">
        <f t="shared" si="1500"/>
        <v>16.827509995443691</v>
      </c>
      <c r="CQ204" s="30">
        <f t="shared" si="1500"/>
        <v>16.827509995443691</v>
      </c>
      <c r="CR204" s="30">
        <f t="shared" si="1500"/>
        <v>16.827509995443691</v>
      </c>
      <c r="CS204" s="30">
        <f t="shared" si="1500"/>
        <v>16.827509995443691</v>
      </c>
      <c r="CT204" s="30">
        <f t="shared" si="1500"/>
        <v>16.827509995443691</v>
      </c>
      <c r="CU204" s="30">
        <f t="shared" si="1500"/>
        <v>16.827509995443691</v>
      </c>
      <c r="CV204" s="30">
        <f t="shared" si="1500"/>
        <v>16.827509995443691</v>
      </c>
      <c r="CW204" s="30">
        <f t="shared" si="1500"/>
        <v>16.827509995443691</v>
      </c>
      <c r="CX204" s="30">
        <f t="shared" si="1500"/>
        <v>16.827509995443691</v>
      </c>
      <c r="CY204" s="30">
        <f t="shared" si="1500"/>
        <v>16.827509995443691</v>
      </c>
      <c r="CZ204" s="30">
        <f t="shared" si="1500"/>
        <v>16.827509995443691</v>
      </c>
      <c r="DA204" s="30">
        <f t="shared" si="1500"/>
        <v>16.827509995443691</v>
      </c>
      <c r="DB204" s="30">
        <f t="shared" si="1500"/>
        <v>16.827509995443691</v>
      </c>
      <c r="DE204" s="139"/>
      <c r="DF204" s="62">
        <v>12.974273157481264</v>
      </c>
    </row>
    <row r="205" spans="1:110" s="7" customFormat="1" outlineLevel="1" x14ac:dyDescent="0.2">
      <c r="A205" s="69" t="s">
        <v>467</v>
      </c>
      <c r="B205" s="70" t="e">
        <f t="shared" ref="B205:AE205" si="1501">B171/B31*365</f>
        <v>#DIV/0!</v>
      </c>
      <c r="C205" s="70" t="e">
        <f t="shared" si="1501"/>
        <v>#DIV/0!</v>
      </c>
      <c r="D205" s="70">
        <f t="shared" si="1501"/>
        <v>69.115882966944071</v>
      </c>
      <c r="E205" s="70">
        <f t="shared" si="1501"/>
        <v>67.137954836429131</v>
      </c>
      <c r="F205" s="70">
        <f t="shared" si="1501"/>
        <v>52.278726578052286</v>
      </c>
      <c r="G205" s="70">
        <f t="shared" si="1501"/>
        <v>72.754625506336907</v>
      </c>
      <c r="H205" s="70">
        <f t="shared" si="1501"/>
        <v>59.059359146324638</v>
      </c>
      <c r="I205" s="70">
        <f t="shared" si="1501"/>
        <v>106.29107432416934</v>
      </c>
      <c r="J205" s="70">
        <f t="shared" si="1501"/>
        <v>51.990042722260874</v>
      </c>
      <c r="K205" s="70">
        <f t="shared" si="1501"/>
        <v>80.466286711420636</v>
      </c>
      <c r="L205" s="70">
        <f t="shared" si="1501"/>
        <v>98.119000083489311</v>
      </c>
      <c r="M205" s="70">
        <f t="shared" si="1501"/>
        <v>68.151549403386241</v>
      </c>
      <c r="N205" s="70">
        <f t="shared" si="1501"/>
        <v>69.155849374499113</v>
      </c>
      <c r="O205" s="70">
        <f t="shared" si="1501"/>
        <v>62.111386771307799</v>
      </c>
      <c r="P205" s="70">
        <f t="shared" si="1501"/>
        <v>65.871556660840042</v>
      </c>
      <c r="Q205" s="70">
        <f t="shared" si="1501"/>
        <v>82.381113267383469</v>
      </c>
      <c r="R205" s="70">
        <f t="shared" si="1501"/>
        <v>69.054132773513103</v>
      </c>
      <c r="S205" s="70">
        <f t="shared" si="1501"/>
        <v>78.541770259183053</v>
      </c>
      <c r="T205" s="70">
        <f t="shared" si="1501"/>
        <v>83.441420900114835</v>
      </c>
      <c r="U205" s="70">
        <f t="shared" si="1501"/>
        <v>74.284268052930642</v>
      </c>
      <c r="V205" s="70">
        <f t="shared" si="1501"/>
        <v>74.079527708436274</v>
      </c>
      <c r="W205" s="70">
        <f t="shared" si="1501"/>
        <v>77.579036753498457</v>
      </c>
      <c r="X205" s="70">
        <f t="shared" si="1501"/>
        <v>73.182490934023861</v>
      </c>
      <c r="Y205" s="70">
        <f t="shared" si="1501"/>
        <v>76.685392203748492</v>
      </c>
      <c r="Z205" s="70">
        <f t="shared" si="1501"/>
        <v>80.782187843632911</v>
      </c>
      <c r="AA205" s="70">
        <f t="shared" ref="AA205" si="1502">AA171/AA31*365</f>
        <v>69.280933919875039</v>
      </c>
      <c r="AB205" s="71">
        <f t="shared" si="1501"/>
        <v>73.457116974715873</v>
      </c>
      <c r="AC205" s="71">
        <f t="shared" si="1501"/>
        <v>73.520732630673123</v>
      </c>
      <c r="AD205" s="71">
        <f t="shared" si="1501"/>
        <v>73.552999840288635</v>
      </c>
      <c r="AE205" s="71">
        <f t="shared" si="1501"/>
        <v>73.581753345845343</v>
      </c>
      <c r="AI205" s="70" t="e">
        <f t="shared" ref="AI205:CD205" si="1503">AI171/AI31*90</f>
        <v>#DIV/0!</v>
      </c>
      <c r="AJ205" s="70" t="e">
        <f t="shared" si="1503"/>
        <v>#DIV/0!</v>
      </c>
      <c r="AK205" s="70" t="e">
        <f t="shared" si="1503"/>
        <v>#DIV/0!</v>
      </c>
      <c r="AL205" s="70" t="e">
        <f t="shared" si="1503"/>
        <v>#DIV/0!</v>
      </c>
      <c r="AM205" s="70" t="e">
        <f t="shared" si="1503"/>
        <v>#DIV/0!</v>
      </c>
      <c r="AN205" s="70" t="e">
        <f t="shared" si="1503"/>
        <v>#DIV/0!</v>
      </c>
      <c r="AO205" s="70" t="e">
        <f t="shared" si="1503"/>
        <v>#DIV/0!</v>
      </c>
      <c r="AP205" s="70" t="e">
        <f t="shared" si="1503"/>
        <v>#DIV/0!</v>
      </c>
      <c r="AQ205" s="70" t="e">
        <f t="shared" si="1503"/>
        <v>#DIV/0!</v>
      </c>
      <c r="AR205" s="70" t="e">
        <f t="shared" si="1503"/>
        <v>#DIV/0!</v>
      </c>
      <c r="AS205" s="70" t="e">
        <f t="shared" si="1503"/>
        <v>#DIV/0!</v>
      </c>
      <c r="AT205" s="70" t="e">
        <f t="shared" si="1503"/>
        <v>#DIV/0!</v>
      </c>
      <c r="AU205" s="70" t="e">
        <f t="shared" si="1503"/>
        <v>#DIV/0!</v>
      </c>
      <c r="AV205" s="70" t="e">
        <f t="shared" si="1503"/>
        <v>#DIV/0!</v>
      </c>
      <c r="AW205" s="70" t="e">
        <f t="shared" si="1503"/>
        <v>#DIV/0!</v>
      </c>
      <c r="AX205" s="70" t="e">
        <f t="shared" si="1503"/>
        <v>#DIV/0!</v>
      </c>
      <c r="AY205" s="70" t="e">
        <f t="shared" si="1503"/>
        <v>#DIV/0!</v>
      </c>
      <c r="AZ205" s="70" t="e">
        <f t="shared" si="1503"/>
        <v>#DIV/0!</v>
      </c>
      <c r="BA205" s="70" t="e">
        <f t="shared" si="1503"/>
        <v>#DIV/0!</v>
      </c>
      <c r="BB205" s="70" t="e">
        <f t="shared" si="1503"/>
        <v>#DIV/0!</v>
      </c>
      <c r="BC205" s="70" t="e">
        <f t="shared" si="1503"/>
        <v>#DIV/0!</v>
      </c>
      <c r="BD205" s="70" t="e">
        <f t="shared" si="1503"/>
        <v>#DIV/0!</v>
      </c>
      <c r="BE205" s="70" t="e">
        <f t="shared" si="1503"/>
        <v>#DIV/0!</v>
      </c>
      <c r="BF205" s="70" t="e">
        <f t="shared" si="1503"/>
        <v>#DIV/0!</v>
      </c>
      <c r="BG205" s="70" t="e">
        <f t="shared" si="1503"/>
        <v>#DIV/0!</v>
      </c>
      <c r="BH205" s="70" t="e">
        <f t="shared" si="1503"/>
        <v>#DIV/0!</v>
      </c>
      <c r="BI205" s="70" t="e">
        <f t="shared" si="1503"/>
        <v>#DIV/0!</v>
      </c>
      <c r="BJ205" s="70" t="e">
        <f t="shared" si="1503"/>
        <v>#DIV/0!</v>
      </c>
      <c r="BK205" s="70" t="e">
        <f t="shared" si="1503"/>
        <v>#DIV/0!</v>
      </c>
      <c r="BL205" s="70" t="e">
        <f t="shared" si="1503"/>
        <v>#DIV/0!</v>
      </c>
      <c r="BM205" s="70" t="e">
        <f t="shared" si="1503"/>
        <v>#DIV/0!</v>
      </c>
      <c r="BN205" s="70" t="e">
        <f t="shared" si="1503"/>
        <v>#DIV/0!</v>
      </c>
      <c r="BO205" s="70" t="e">
        <f t="shared" si="1503"/>
        <v>#DIV/0!</v>
      </c>
      <c r="BP205" s="70" t="e">
        <f t="shared" si="1503"/>
        <v>#DIV/0!</v>
      </c>
      <c r="BQ205" s="70" t="e">
        <f t="shared" si="1503"/>
        <v>#DIV/0!</v>
      </c>
      <c r="BR205" s="70">
        <f t="shared" si="1503"/>
        <v>65.744541496991289</v>
      </c>
      <c r="BS205" s="70">
        <f t="shared" si="1503"/>
        <v>65.027735284694955</v>
      </c>
      <c r="BT205" s="70">
        <f t="shared" si="1503"/>
        <v>0</v>
      </c>
      <c r="BU205" s="70">
        <f t="shared" si="1503"/>
        <v>0</v>
      </c>
      <c r="BV205" s="70">
        <f t="shared" si="1503"/>
        <v>71.377920610085226</v>
      </c>
      <c r="BW205" s="70">
        <f t="shared" si="1503"/>
        <v>71.527962099491774</v>
      </c>
      <c r="BX205" s="70">
        <f t="shared" si="1503"/>
        <v>73.304367552577631</v>
      </c>
      <c r="BY205" s="70">
        <f t="shared" si="1503"/>
        <v>72.148040956197363</v>
      </c>
      <c r="BZ205" s="70">
        <f t="shared" si="1503"/>
        <v>78.024363062834482</v>
      </c>
      <c r="CA205" s="70">
        <f t="shared" si="1503"/>
        <v>79.168629006719556</v>
      </c>
      <c r="CB205" s="70">
        <f t="shared" si="1503"/>
        <v>89.066702534818603</v>
      </c>
      <c r="CC205" s="70">
        <f t="shared" si="1503"/>
        <v>88.186513451801517</v>
      </c>
      <c r="CD205" s="70">
        <f t="shared" si="1503"/>
        <v>76.020042608125493</v>
      </c>
      <c r="CE205" s="115">
        <f>CE171/CE33*90</f>
        <v>75.043045928207164</v>
      </c>
      <c r="CF205" s="70">
        <f>CF171/CF31*90</f>
        <v>76.94340599338129</v>
      </c>
      <c r="CG205" s="70">
        <f>CG171/CG33*90</f>
        <v>75.068532894662255</v>
      </c>
      <c r="CH205" s="70">
        <f>CH171/CH31*90</f>
        <v>70.232830250159225</v>
      </c>
      <c r="CI205" s="70">
        <f>CI202+CI203+CI204</f>
        <v>70.232830250159225</v>
      </c>
      <c r="CJ205" s="70">
        <f>CJ171/CJ31*90</f>
        <v>80.987510629342268</v>
      </c>
      <c r="CK205" s="70">
        <f t="shared" ref="CK205:DB205" si="1504">CK202+CK203+CK204</f>
        <v>80.987510629342268</v>
      </c>
      <c r="CL205" s="70">
        <f>CL171/CL31*90</f>
        <v>62.174054427764922</v>
      </c>
      <c r="CM205" s="50">
        <f t="shared" si="1504"/>
        <v>62.174054427764922</v>
      </c>
      <c r="CN205" s="50">
        <f t="shared" si="1504"/>
        <v>62.174054427764922</v>
      </c>
      <c r="CO205" s="50">
        <f t="shared" si="1504"/>
        <v>62.174054427764922</v>
      </c>
      <c r="CP205" s="50">
        <f t="shared" si="1504"/>
        <v>62.174054427764922</v>
      </c>
      <c r="CQ205" s="50">
        <f t="shared" si="1504"/>
        <v>62.174054427764922</v>
      </c>
      <c r="CR205" s="50">
        <f t="shared" si="1504"/>
        <v>62.174054427764922</v>
      </c>
      <c r="CS205" s="50">
        <f t="shared" si="1504"/>
        <v>62.174054427764922</v>
      </c>
      <c r="CT205" s="50">
        <f t="shared" si="1504"/>
        <v>62.174054427764922</v>
      </c>
      <c r="CU205" s="50">
        <f t="shared" si="1504"/>
        <v>62.174054427764922</v>
      </c>
      <c r="CV205" s="50">
        <f t="shared" si="1504"/>
        <v>62.174054427764922</v>
      </c>
      <c r="CW205" s="50">
        <f t="shared" si="1504"/>
        <v>62.174054427764922</v>
      </c>
      <c r="CX205" s="50">
        <f t="shared" si="1504"/>
        <v>62.174054427764922</v>
      </c>
      <c r="CY205" s="50">
        <f t="shared" si="1504"/>
        <v>62.174054427764922</v>
      </c>
      <c r="CZ205" s="50">
        <f t="shared" si="1504"/>
        <v>62.174054427764922</v>
      </c>
      <c r="DA205" s="50">
        <f t="shared" si="1504"/>
        <v>62.174054427764922</v>
      </c>
      <c r="DB205" s="50">
        <f t="shared" si="1504"/>
        <v>62.174054427764922</v>
      </c>
      <c r="DE205" s="138"/>
      <c r="DF205" s="7">
        <v>80.987510629342268</v>
      </c>
    </row>
    <row r="206" spans="1:110" s="62" customFormat="1" outlineLevel="1" x14ac:dyDescent="0.2">
      <c r="A206" s="68" t="s">
        <v>468</v>
      </c>
      <c r="B206" s="67" t="e">
        <f t="shared" ref="B206:AE206" si="1505">B176/B31*365</f>
        <v>#DIV/0!</v>
      </c>
      <c r="C206" s="67" t="e">
        <f t="shared" si="1505"/>
        <v>#DIV/0!</v>
      </c>
      <c r="D206" s="67">
        <f t="shared" si="1505"/>
        <v>62.190051016361409</v>
      </c>
      <c r="E206" s="67">
        <f t="shared" si="1505"/>
        <v>61.553303316248453</v>
      </c>
      <c r="F206" s="67">
        <f t="shared" si="1505"/>
        <v>55.990052847282669</v>
      </c>
      <c r="G206" s="67">
        <f t="shared" si="1505"/>
        <v>74.845749378607721</v>
      </c>
      <c r="H206" s="67">
        <f t="shared" si="1505"/>
        <v>57.792559896019355</v>
      </c>
      <c r="I206" s="67">
        <f t="shared" si="1505"/>
        <v>98.299673399241627</v>
      </c>
      <c r="J206" s="67">
        <f t="shared" si="1505"/>
        <v>30.924916026848678</v>
      </c>
      <c r="K206" s="67">
        <f t="shared" si="1505"/>
        <v>57.107522832633073</v>
      </c>
      <c r="L206" s="67">
        <f t="shared" si="1505"/>
        <v>56.202058256822902</v>
      </c>
      <c r="M206" s="67">
        <f t="shared" si="1505"/>
        <v>56.69825940778928</v>
      </c>
      <c r="N206" s="67">
        <f t="shared" si="1505"/>
        <v>53.759552970435053</v>
      </c>
      <c r="O206" s="67">
        <f t="shared" si="1505"/>
        <v>54.268286316766478</v>
      </c>
      <c r="P206" s="67">
        <f t="shared" si="1505"/>
        <v>54.977778762877534</v>
      </c>
      <c r="Q206" s="67">
        <f t="shared" si="1505"/>
        <v>62.448759283676104</v>
      </c>
      <c r="R206" s="67">
        <f t="shared" si="1505"/>
        <v>47.026316673481659</v>
      </c>
      <c r="S206" s="67">
        <f t="shared" si="1505"/>
        <v>70.346284244177482</v>
      </c>
      <c r="T206" s="67">
        <f t="shared" si="1505"/>
        <v>83.98049508933957</v>
      </c>
      <c r="U206" s="67">
        <f t="shared" si="1505"/>
        <v>69.77845479300619</v>
      </c>
      <c r="V206" s="67">
        <f t="shared" si="1505"/>
        <v>50.786489410846706</v>
      </c>
      <c r="W206" s="67">
        <f t="shared" si="1505"/>
        <v>61.548999649952705</v>
      </c>
      <c r="X206" s="67">
        <f t="shared" si="1505"/>
        <v>53.201328771737138</v>
      </c>
      <c r="Y206" s="67">
        <f t="shared" si="1505"/>
        <v>49.152785247843056</v>
      </c>
      <c r="Z206" s="67">
        <f t="shared" si="1505"/>
        <v>49.335310107404837</v>
      </c>
      <c r="AA206" s="67">
        <f t="shared" ref="AA206" si="1506">AA176/AA31*365</f>
        <v>49.644504108049532</v>
      </c>
      <c r="AB206" s="18">
        <f t="shared" si="1505"/>
        <v>16.194057562019413</v>
      </c>
      <c r="AC206" s="18">
        <f t="shared" si="1505"/>
        <v>16.20808201107004</v>
      </c>
      <c r="AD206" s="18">
        <f t="shared" si="1505"/>
        <v>16.215195509004612</v>
      </c>
      <c r="AE206" s="18">
        <f t="shared" si="1505"/>
        <v>16.221534390018078</v>
      </c>
      <c r="AI206" s="67" t="e">
        <f>AJ176/AI31*90</f>
        <v>#DIV/0!</v>
      </c>
      <c r="AJ206" s="67" t="e">
        <f>AJ176/AJ31*90</f>
        <v>#DIV/0!</v>
      </c>
      <c r="AK206" s="67" t="e">
        <f t="shared" ref="AK206:CE206" si="1507">+AJ206</f>
        <v>#DIV/0!</v>
      </c>
      <c r="AL206" s="67" t="e">
        <f>AL176/AL31*90</f>
        <v>#DIV/0!</v>
      </c>
      <c r="AM206" s="67" t="e">
        <f t="shared" ref="AM206" si="1508">+AL206</f>
        <v>#DIV/0!</v>
      </c>
      <c r="AN206" s="67" t="e">
        <f>AN176/AN31*90</f>
        <v>#DIV/0!</v>
      </c>
      <c r="AO206" s="67" t="e">
        <f t="shared" ref="AO206" si="1509">+AN206</f>
        <v>#DIV/0!</v>
      </c>
      <c r="AP206" s="67" t="e">
        <f>AP176/AP31*90</f>
        <v>#DIV/0!</v>
      </c>
      <c r="AQ206" s="67" t="e">
        <f t="shared" ref="AQ206" si="1510">+AP206</f>
        <v>#DIV/0!</v>
      </c>
      <c r="AR206" s="67" t="e">
        <f>AR176/AR31*90</f>
        <v>#DIV/0!</v>
      </c>
      <c r="AS206" s="67" t="e">
        <f t="shared" ref="AS206" si="1511">+AR206</f>
        <v>#DIV/0!</v>
      </c>
      <c r="AT206" s="67" t="e">
        <f>AT176/AT31*90</f>
        <v>#DIV/0!</v>
      </c>
      <c r="AU206" s="67" t="e">
        <f t="shared" ref="AU206" si="1512">+AT206</f>
        <v>#DIV/0!</v>
      </c>
      <c r="AV206" s="67" t="e">
        <f>AV176/AV31*90</f>
        <v>#DIV/0!</v>
      </c>
      <c r="AW206" s="67" t="e">
        <f t="shared" ref="AW206" si="1513">+AV206</f>
        <v>#DIV/0!</v>
      </c>
      <c r="AX206" s="67" t="e">
        <f>AX176/AX31*90</f>
        <v>#DIV/0!</v>
      </c>
      <c r="AY206" s="67" t="e">
        <f t="shared" ref="AY206" si="1514">+AX206</f>
        <v>#DIV/0!</v>
      </c>
      <c r="AZ206" s="67" t="e">
        <f>AZ176/AZ31*90</f>
        <v>#DIV/0!</v>
      </c>
      <c r="BA206" s="67" t="e">
        <f t="shared" ref="BA206" si="1515">+AZ206</f>
        <v>#DIV/0!</v>
      </c>
      <c r="BB206" s="67" t="e">
        <f>BB176/BB31*90</f>
        <v>#DIV/0!</v>
      </c>
      <c r="BC206" s="67" t="e">
        <f t="shared" ref="BC206" si="1516">+BB206</f>
        <v>#DIV/0!</v>
      </c>
      <c r="BD206" s="67" t="e">
        <f>BD176/BD31*90</f>
        <v>#DIV/0!</v>
      </c>
      <c r="BE206" s="67" t="e">
        <f t="shared" ref="BE206" si="1517">+BD206</f>
        <v>#DIV/0!</v>
      </c>
      <c r="BF206" s="67" t="e">
        <f>BF176/BF31*90</f>
        <v>#DIV/0!</v>
      </c>
      <c r="BG206" s="67" t="e">
        <f t="shared" ref="BG206" si="1518">+BF206</f>
        <v>#DIV/0!</v>
      </c>
      <c r="BH206" s="67" t="e">
        <f>BH176/BH31*90</f>
        <v>#DIV/0!</v>
      </c>
      <c r="BI206" s="67" t="e">
        <f t="shared" ref="BI206" si="1519">+BH206</f>
        <v>#DIV/0!</v>
      </c>
      <c r="BJ206" s="67" t="e">
        <f>BJ176/BJ31*90</f>
        <v>#DIV/0!</v>
      </c>
      <c r="BK206" s="67" t="e">
        <f t="shared" ref="BK206" si="1520">+BJ206</f>
        <v>#DIV/0!</v>
      </c>
      <c r="BL206" s="67" t="e">
        <f>BL176/BL31*90</f>
        <v>#DIV/0!</v>
      </c>
      <c r="BM206" s="67" t="e">
        <f t="shared" ref="BM206" si="1521">+BL206</f>
        <v>#DIV/0!</v>
      </c>
      <c r="BN206" s="67" t="e">
        <f>BN176/BN31*90</f>
        <v>#DIV/0!</v>
      </c>
      <c r="BO206" s="67" t="e">
        <f t="shared" ref="BO206" si="1522">+BN206</f>
        <v>#DIV/0!</v>
      </c>
      <c r="BP206" s="67" t="e">
        <f>BP176/BP31*90</f>
        <v>#DIV/0!</v>
      </c>
      <c r="BQ206" s="67" t="e">
        <f t="shared" ref="BQ206" si="1523">+BP206</f>
        <v>#DIV/0!</v>
      </c>
      <c r="BR206" s="67">
        <f>BR176/BR31*90</f>
        <v>43.78969373164648</v>
      </c>
      <c r="BS206" s="67">
        <f t="shared" ref="BS206" si="1524">+BR206</f>
        <v>43.78969373164648</v>
      </c>
      <c r="BT206" s="67">
        <f>BT176/BT31*90</f>
        <v>0</v>
      </c>
      <c r="BU206" s="67">
        <f t="shared" ref="BU206" si="1525">+BT206</f>
        <v>0</v>
      </c>
      <c r="BV206" s="67">
        <f>BV176/BV31*90</f>
        <v>11.092606819214788</v>
      </c>
      <c r="BW206" s="67">
        <f t="shared" ref="BW206" si="1526">+BV206</f>
        <v>11.092606819214788</v>
      </c>
      <c r="BX206" s="67">
        <f>BX176/BX31*90</f>
        <v>9.4200860351532825</v>
      </c>
      <c r="BY206" s="67">
        <f t="shared" ref="BY206" si="1527">+BX206</f>
        <v>9.4200860351532825</v>
      </c>
      <c r="BZ206" s="67">
        <f>BZ176/BZ31*90</f>
        <v>13.300143303653812</v>
      </c>
      <c r="CA206" s="67">
        <f t="shared" ref="CA206" si="1528">+BZ206</f>
        <v>13.300143303653812</v>
      </c>
      <c r="CB206" s="67">
        <f>CB176/CB31*90</f>
        <v>9.9791149533510239</v>
      </c>
      <c r="CC206" s="67">
        <f t="shared" ref="CC206" si="1529">+CB206</f>
        <v>9.9791149533510239</v>
      </c>
      <c r="CD206" s="67">
        <f>CD176/CD31*90</f>
        <v>18.902829424563425</v>
      </c>
      <c r="CE206" s="114">
        <f t="shared" si="1507"/>
        <v>18.902829424563425</v>
      </c>
      <c r="CF206" s="67">
        <f>CF176/CF31*90</f>
        <v>19.433354048528919</v>
      </c>
      <c r="CG206" s="67">
        <f t="shared" ref="CG206:CI206" si="1530">+CF206</f>
        <v>19.433354048528919</v>
      </c>
      <c r="CH206" s="67">
        <f>CH176/CH31*90</f>
        <v>42.892604825451372</v>
      </c>
      <c r="CI206" s="67">
        <f t="shared" si="1530"/>
        <v>42.892604825451372</v>
      </c>
      <c r="CJ206" s="67">
        <f>CJ176/CJ31*90</f>
        <v>14.085126759699326</v>
      </c>
      <c r="CK206" s="67">
        <f t="shared" ref="CK206" si="1531">+CJ206</f>
        <v>14.085126759699326</v>
      </c>
      <c r="CL206" s="67">
        <f>CL176/CL31*90</f>
        <v>13.706639434459614</v>
      </c>
      <c r="CM206" s="30">
        <f t="shared" ref="CM206" si="1532">+CL206</f>
        <v>13.706639434459614</v>
      </c>
      <c r="CN206" s="30">
        <f t="shared" ref="CN206" si="1533">+CM206</f>
        <v>13.706639434459614</v>
      </c>
      <c r="CO206" s="30">
        <f t="shared" ref="CO206" si="1534">+CN206</f>
        <v>13.706639434459614</v>
      </c>
      <c r="CP206" s="30">
        <f t="shared" ref="CP206" si="1535">+CO206</f>
        <v>13.706639434459614</v>
      </c>
      <c r="CQ206" s="30">
        <f t="shared" ref="CQ206" si="1536">+CP206</f>
        <v>13.706639434459614</v>
      </c>
      <c r="CR206" s="30">
        <f t="shared" ref="CR206" si="1537">+CQ206</f>
        <v>13.706639434459614</v>
      </c>
      <c r="CS206" s="30">
        <f t="shared" ref="CS206" si="1538">+CR206</f>
        <v>13.706639434459614</v>
      </c>
      <c r="CT206" s="30">
        <f t="shared" ref="CT206" si="1539">+CS206</f>
        <v>13.706639434459614</v>
      </c>
      <c r="CU206" s="30">
        <f t="shared" ref="CU206" si="1540">+CT206</f>
        <v>13.706639434459614</v>
      </c>
      <c r="CV206" s="30">
        <f t="shared" ref="CV206" si="1541">+CU206</f>
        <v>13.706639434459614</v>
      </c>
      <c r="CW206" s="30">
        <f t="shared" ref="CW206" si="1542">+CV206</f>
        <v>13.706639434459614</v>
      </c>
      <c r="CX206" s="30">
        <f t="shared" ref="CX206" si="1543">+CW206</f>
        <v>13.706639434459614</v>
      </c>
      <c r="CY206" s="30">
        <f t="shared" ref="CY206" si="1544">+CX206</f>
        <v>13.706639434459614</v>
      </c>
      <c r="CZ206" s="30">
        <f t="shared" ref="CZ206" si="1545">+CY206</f>
        <v>13.706639434459614</v>
      </c>
      <c r="DA206" s="30">
        <f t="shared" ref="DA206" si="1546">+CZ206</f>
        <v>13.706639434459614</v>
      </c>
      <c r="DB206" s="30">
        <f t="shared" ref="DB206" si="1547">+DA206</f>
        <v>13.706639434459614</v>
      </c>
      <c r="DE206" s="139"/>
      <c r="DF206" s="62">
        <v>14.085126759699326</v>
      </c>
    </row>
    <row r="207" spans="1:110" s="62" customFormat="1" outlineLevel="1" x14ac:dyDescent="0.2">
      <c r="A207" s="68" t="s">
        <v>466</v>
      </c>
      <c r="B207" s="67" t="e">
        <f>B208-B206</f>
        <v>#DIV/0!</v>
      </c>
      <c r="C207" s="67" t="e">
        <f t="shared" ref="C207:V207" si="1548">C208-C206</f>
        <v>#DIV/0!</v>
      </c>
      <c r="D207" s="67">
        <f t="shared" si="1548"/>
        <v>9.5739356521242485</v>
      </c>
      <c r="E207" s="67">
        <f t="shared" si="1548"/>
        <v>12.945888959776546</v>
      </c>
      <c r="F207" s="67">
        <f t="shared" si="1548"/>
        <v>5.7141348884780001</v>
      </c>
      <c r="G207" s="67">
        <f t="shared" si="1548"/>
        <v>6.1456517445565026</v>
      </c>
      <c r="H207" s="67">
        <f t="shared" si="1548"/>
        <v>7.5548579922649424</v>
      </c>
      <c r="I207" s="67">
        <f t="shared" si="1548"/>
        <v>11.051492112000602</v>
      </c>
      <c r="J207" s="67">
        <f t="shared" si="1548"/>
        <v>8.4550997837111268</v>
      </c>
      <c r="K207" s="67">
        <f t="shared" si="1548"/>
        <v>8.3127838545618218</v>
      </c>
      <c r="L207" s="67">
        <f t="shared" si="1548"/>
        <v>6.2806761791460559</v>
      </c>
      <c r="M207" s="67">
        <f t="shared" si="1548"/>
        <v>9.4840347403810625</v>
      </c>
      <c r="N207" s="67">
        <f t="shared" si="1548"/>
        <v>3.4289958174038517</v>
      </c>
      <c r="O207" s="67">
        <f t="shared" si="1548"/>
        <v>3.801445492238102</v>
      </c>
      <c r="P207" s="67">
        <f t="shared" si="1548"/>
        <v>4.0854218296734288</v>
      </c>
      <c r="Q207" s="67">
        <f t="shared" si="1548"/>
        <v>4.8022167897171002</v>
      </c>
      <c r="R207" s="67">
        <f t="shared" si="1548"/>
        <v>5.4174261937848556</v>
      </c>
      <c r="S207" s="67">
        <f t="shared" si="1548"/>
        <v>4.6696500052187275</v>
      </c>
      <c r="T207" s="67">
        <f t="shared" si="1548"/>
        <v>7.6539215449182763</v>
      </c>
      <c r="U207" s="67">
        <f t="shared" si="1548"/>
        <v>10.148567257607127</v>
      </c>
      <c r="V207" s="67">
        <f t="shared" si="1548"/>
        <v>16.402413012884473</v>
      </c>
      <c r="W207" s="67">
        <f t="shared" ref="W207" si="1549">W208-W206</f>
        <v>11.374969453419851</v>
      </c>
      <c r="X207" s="67">
        <f t="shared" ref="X207:Y207" si="1550">X208-X206</f>
        <v>10.30979067381076</v>
      </c>
      <c r="Y207" s="67">
        <f t="shared" si="1550"/>
        <v>12.565747595423886</v>
      </c>
      <c r="Z207" s="67">
        <f t="shared" ref="Z207:AA207" si="1551">Z208-Z206</f>
        <v>12.846746801783041</v>
      </c>
      <c r="AA207" s="67">
        <f t="shared" si="1551"/>
        <v>13.274971057404763</v>
      </c>
      <c r="AB207" s="18">
        <f t="shared" ref="AA207:AD207" si="1552">AB208-AB206</f>
        <v>48.362866804054391</v>
      </c>
      <c r="AC207" s="18">
        <f t="shared" si="1552"/>
        <v>48.404750226960481</v>
      </c>
      <c r="AD207" s="18">
        <f t="shared" si="1552"/>
        <v>48.425994387159534</v>
      </c>
      <c r="AE207" s="18">
        <f t="shared" ref="AE207" si="1553">AE208-AE206</f>
        <v>48.444925186742481</v>
      </c>
      <c r="AI207" s="67" t="e">
        <f t="shared" ref="AI207:AK207" si="1554">AI208-AI206</f>
        <v>#DIV/0!</v>
      </c>
      <c r="AJ207" s="67" t="e">
        <f t="shared" ref="AJ207:AM207" si="1555">AJ208-AJ206</f>
        <v>#DIV/0!</v>
      </c>
      <c r="AK207" s="67" t="e">
        <f t="shared" si="1554"/>
        <v>#DIV/0!</v>
      </c>
      <c r="AL207" s="67" t="e">
        <f t="shared" si="1555"/>
        <v>#DIV/0!</v>
      </c>
      <c r="AM207" s="67" t="e">
        <f t="shared" si="1555"/>
        <v>#DIV/0!</v>
      </c>
      <c r="AN207" s="67" t="e">
        <f t="shared" ref="AN207:AY207" si="1556">AN208-AN206</f>
        <v>#DIV/0!</v>
      </c>
      <c r="AO207" s="67" t="e">
        <f t="shared" si="1556"/>
        <v>#DIV/0!</v>
      </c>
      <c r="AP207" s="67" t="e">
        <f t="shared" si="1556"/>
        <v>#DIV/0!</v>
      </c>
      <c r="AQ207" s="67" t="e">
        <f t="shared" si="1556"/>
        <v>#DIV/0!</v>
      </c>
      <c r="AR207" s="67" t="e">
        <f t="shared" si="1556"/>
        <v>#DIV/0!</v>
      </c>
      <c r="AS207" s="67" t="e">
        <f t="shared" si="1556"/>
        <v>#DIV/0!</v>
      </c>
      <c r="AT207" s="67" t="e">
        <f t="shared" si="1556"/>
        <v>#DIV/0!</v>
      </c>
      <c r="AU207" s="67" t="e">
        <f t="shared" si="1556"/>
        <v>#DIV/0!</v>
      </c>
      <c r="AV207" s="67" t="e">
        <f t="shared" si="1556"/>
        <v>#DIV/0!</v>
      </c>
      <c r="AW207" s="67" t="e">
        <f t="shared" si="1556"/>
        <v>#DIV/0!</v>
      </c>
      <c r="AX207" s="67" t="e">
        <f t="shared" si="1556"/>
        <v>#DIV/0!</v>
      </c>
      <c r="AY207" s="67" t="e">
        <f t="shared" si="1556"/>
        <v>#DIV/0!</v>
      </c>
      <c r="AZ207" s="67" t="e">
        <f t="shared" ref="AZ207:BC207" si="1557">AZ208-AZ206</f>
        <v>#DIV/0!</v>
      </c>
      <c r="BA207" s="67" t="e">
        <f t="shared" si="1557"/>
        <v>#DIV/0!</v>
      </c>
      <c r="BB207" s="67" t="e">
        <f t="shared" si="1557"/>
        <v>#DIV/0!</v>
      </c>
      <c r="BC207" s="67" t="e">
        <f t="shared" si="1557"/>
        <v>#DIV/0!</v>
      </c>
      <c r="BD207" s="67" t="e">
        <f t="shared" ref="BD207:CE207" si="1558">BD208-BD206</f>
        <v>#DIV/0!</v>
      </c>
      <c r="BE207" s="67" t="e">
        <f t="shared" si="1558"/>
        <v>#DIV/0!</v>
      </c>
      <c r="BF207" s="67" t="e">
        <f t="shared" si="1558"/>
        <v>#DIV/0!</v>
      </c>
      <c r="BG207" s="67" t="e">
        <f t="shared" si="1558"/>
        <v>#DIV/0!</v>
      </c>
      <c r="BH207" s="67" t="e">
        <f t="shared" si="1558"/>
        <v>#DIV/0!</v>
      </c>
      <c r="BI207" s="67" t="e">
        <f t="shared" si="1558"/>
        <v>#DIV/0!</v>
      </c>
      <c r="BJ207" s="67" t="e">
        <f t="shared" si="1558"/>
        <v>#DIV/0!</v>
      </c>
      <c r="BK207" s="67" t="e">
        <f t="shared" si="1558"/>
        <v>#DIV/0!</v>
      </c>
      <c r="BL207" s="67" t="e">
        <f t="shared" si="1558"/>
        <v>#DIV/0!</v>
      </c>
      <c r="BM207" s="67" t="e">
        <f t="shared" si="1558"/>
        <v>#DIV/0!</v>
      </c>
      <c r="BN207" s="67" t="e">
        <f t="shared" si="1558"/>
        <v>#DIV/0!</v>
      </c>
      <c r="BO207" s="67" t="e">
        <f t="shared" si="1558"/>
        <v>#DIV/0!</v>
      </c>
      <c r="BP207" s="67" t="e">
        <f t="shared" si="1558"/>
        <v>#DIV/0!</v>
      </c>
      <c r="BQ207" s="67" t="e">
        <f t="shared" si="1558"/>
        <v>#DIV/0!</v>
      </c>
      <c r="BR207" s="67">
        <f t="shared" si="1558"/>
        <v>14.14267161653396</v>
      </c>
      <c r="BS207" s="67">
        <f t="shared" si="1558"/>
        <v>13.342980930819309</v>
      </c>
      <c r="BT207" s="67">
        <f t="shared" si="1558"/>
        <v>0</v>
      </c>
      <c r="BU207" s="67">
        <f t="shared" si="1558"/>
        <v>0</v>
      </c>
      <c r="BV207" s="67">
        <f t="shared" si="1558"/>
        <v>54.60998869765627</v>
      </c>
      <c r="BW207" s="67">
        <f t="shared" si="1558"/>
        <v>55.326434434997331</v>
      </c>
      <c r="BX207" s="67">
        <f t="shared" si="1558"/>
        <v>53.56362495344532</v>
      </c>
      <c r="BY207" s="67">
        <f t="shared" si="1558"/>
        <v>49.094730228234795</v>
      </c>
      <c r="BZ207" s="67">
        <f t="shared" si="1558"/>
        <v>52.827277288245071</v>
      </c>
      <c r="CA207" s="67">
        <f t="shared" si="1558"/>
        <v>56.686979040971281</v>
      </c>
      <c r="CB207" s="67">
        <f t="shared" si="1558"/>
        <v>52.893630549883227</v>
      </c>
      <c r="CC207" s="67">
        <f t="shared" si="1558"/>
        <v>50.579661001094451</v>
      </c>
      <c r="CD207" s="67">
        <f t="shared" si="1558"/>
        <v>40.563684173509003</v>
      </c>
      <c r="CE207" s="114">
        <f t="shared" si="1558"/>
        <v>37.895463071885047</v>
      </c>
      <c r="CF207" s="67">
        <f t="shared" ref="CF207:CG207" si="1559">CF208-CF206</f>
        <v>46.825730764280003</v>
      </c>
      <c r="CG207" s="67">
        <f t="shared" si="1559"/>
        <v>40.182589557725414</v>
      </c>
      <c r="CH207" s="67">
        <f t="shared" ref="CH207" si="1560">CH208-CH206</f>
        <v>11.169088279001336</v>
      </c>
      <c r="CI207" s="67">
        <f>CH207</f>
        <v>11.169088279001336</v>
      </c>
      <c r="CJ207" s="67">
        <f t="shared" ref="CJ207:CL207" si="1561">CJ208-CJ206</f>
        <v>56.660026345431895</v>
      </c>
      <c r="CK207" s="67">
        <f t="shared" ref="CK207:DB207" si="1562">CJ207</f>
        <v>56.660026345431895</v>
      </c>
      <c r="CL207" s="67">
        <f t="shared" si="1561"/>
        <v>40.93429795227344</v>
      </c>
      <c r="CM207" s="30">
        <f t="shared" si="1562"/>
        <v>40.93429795227344</v>
      </c>
      <c r="CN207" s="30">
        <f t="shared" si="1562"/>
        <v>40.93429795227344</v>
      </c>
      <c r="CO207" s="30">
        <f t="shared" si="1562"/>
        <v>40.93429795227344</v>
      </c>
      <c r="CP207" s="30">
        <f t="shared" si="1562"/>
        <v>40.93429795227344</v>
      </c>
      <c r="CQ207" s="30">
        <f t="shared" si="1562"/>
        <v>40.93429795227344</v>
      </c>
      <c r="CR207" s="30">
        <f t="shared" si="1562"/>
        <v>40.93429795227344</v>
      </c>
      <c r="CS207" s="30">
        <f t="shared" si="1562"/>
        <v>40.93429795227344</v>
      </c>
      <c r="CT207" s="30">
        <f t="shared" si="1562"/>
        <v>40.93429795227344</v>
      </c>
      <c r="CU207" s="30">
        <f t="shared" si="1562"/>
        <v>40.93429795227344</v>
      </c>
      <c r="CV207" s="30">
        <f t="shared" si="1562"/>
        <v>40.93429795227344</v>
      </c>
      <c r="CW207" s="30">
        <f t="shared" si="1562"/>
        <v>40.93429795227344</v>
      </c>
      <c r="CX207" s="30">
        <f t="shared" si="1562"/>
        <v>40.93429795227344</v>
      </c>
      <c r="CY207" s="30">
        <f t="shared" si="1562"/>
        <v>40.93429795227344</v>
      </c>
      <c r="CZ207" s="30">
        <f t="shared" si="1562"/>
        <v>40.93429795227344</v>
      </c>
      <c r="DA207" s="30">
        <f t="shared" si="1562"/>
        <v>40.93429795227344</v>
      </c>
      <c r="DB207" s="30">
        <f t="shared" si="1562"/>
        <v>40.93429795227344</v>
      </c>
      <c r="DE207" s="139"/>
      <c r="DF207" s="62">
        <v>56.660026345431895</v>
      </c>
    </row>
    <row r="208" spans="1:110" s="7" customFormat="1" outlineLevel="1" x14ac:dyDescent="0.2">
      <c r="A208" s="69" t="s">
        <v>469</v>
      </c>
      <c r="B208" s="70" t="e">
        <f t="shared" ref="B208:AE208" si="1563">B179/B31*365</f>
        <v>#DIV/0!</v>
      </c>
      <c r="C208" s="70" t="e">
        <f t="shared" si="1563"/>
        <v>#DIV/0!</v>
      </c>
      <c r="D208" s="70">
        <f t="shared" si="1563"/>
        <v>71.763986668485657</v>
      </c>
      <c r="E208" s="70">
        <f t="shared" si="1563"/>
        <v>74.499192276024999</v>
      </c>
      <c r="F208" s="70">
        <f t="shared" si="1563"/>
        <v>61.704187735760669</v>
      </c>
      <c r="G208" s="70">
        <f t="shared" si="1563"/>
        <v>80.991401123164223</v>
      </c>
      <c r="H208" s="70">
        <f t="shared" si="1563"/>
        <v>65.347417888284298</v>
      </c>
      <c r="I208" s="70">
        <f t="shared" si="1563"/>
        <v>109.35116551124223</v>
      </c>
      <c r="J208" s="70">
        <f t="shared" si="1563"/>
        <v>39.380015810559804</v>
      </c>
      <c r="K208" s="70">
        <f t="shared" si="1563"/>
        <v>65.420306687194895</v>
      </c>
      <c r="L208" s="70">
        <f t="shared" si="1563"/>
        <v>62.482734435968958</v>
      </c>
      <c r="M208" s="70">
        <f t="shared" si="1563"/>
        <v>66.182294148170342</v>
      </c>
      <c r="N208" s="70">
        <f t="shared" si="1563"/>
        <v>57.188548787838904</v>
      </c>
      <c r="O208" s="70">
        <f t="shared" si="1563"/>
        <v>58.06973180900458</v>
      </c>
      <c r="P208" s="70">
        <f t="shared" si="1563"/>
        <v>59.063200592550963</v>
      </c>
      <c r="Q208" s="70">
        <f t="shared" si="1563"/>
        <v>67.250976073393204</v>
      </c>
      <c r="R208" s="70">
        <f t="shared" si="1563"/>
        <v>52.443742867266515</v>
      </c>
      <c r="S208" s="70">
        <f t="shared" si="1563"/>
        <v>75.01593424939621</v>
      </c>
      <c r="T208" s="70">
        <f t="shared" si="1563"/>
        <v>91.634416634257846</v>
      </c>
      <c r="U208" s="70">
        <f t="shared" si="1563"/>
        <v>79.927022050613317</v>
      </c>
      <c r="V208" s="70">
        <f t="shared" si="1563"/>
        <v>67.188902423731179</v>
      </c>
      <c r="W208" s="70">
        <f t="shared" si="1563"/>
        <v>72.923969103372556</v>
      </c>
      <c r="X208" s="70">
        <f t="shared" si="1563"/>
        <v>63.511119445547898</v>
      </c>
      <c r="Y208" s="70">
        <f t="shared" si="1563"/>
        <v>61.718532843266942</v>
      </c>
      <c r="Z208" s="70">
        <f t="shared" si="1563"/>
        <v>62.182056909187878</v>
      </c>
      <c r="AA208" s="70">
        <f t="shared" ref="AA208" si="1564">AA179/AA31*365</f>
        <v>62.919475165454294</v>
      </c>
      <c r="AB208" s="71">
        <f t="shared" si="1563"/>
        <v>64.556924366073801</v>
      </c>
      <c r="AC208" s="71">
        <f t="shared" si="1563"/>
        <v>64.612832238030521</v>
      </c>
      <c r="AD208" s="71">
        <f t="shared" si="1563"/>
        <v>64.64118989616415</v>
      </c>
      <c r="AE208" s="71">
        <f t="shared" si="1563"/>
        <v>64.666459576760559</v>
      </c>
      <c r="AI208" s="70" t="e">
        <f t="shared" ref="AI208:CD208" si="1565">AI179/AI31*90</f>
        <v>#DIV/0!</v>
      </c>
      <c r="AJ208" s="70" t="e">
        <f t="shared" si="1565"/>
        <v>#DIV/0!</v>
      </c>
      <c r="AK208" s="70" t="e">
        <f>AK179/AK31*90</f>
        <v>#DIV/0!</v>
      </c>
      <c r="AL208" s="70" t="e">
        <f t="shared" si="1565"/>
        <v>#DIV/0!</v>
      </c>
      <c r="AM208" s="70" t="e">
        <f t="shared" si="1565"/>
        <v>#DIV/0!</v>
      </c>
      <c r="AN208" s="70" t="e">
        <f t="shared" si="1565"/>
        <v>#DIV/0!</v>
      </c>
      <c r="AO208" s="70" t="e">
        <f t="shared" si="1565"/>
        <v>#DIV/0!</v>
      </c>
      <c r="AP208" s="70" t="e">
        <f t="shared" si="1565"/>
        <v>#DIV/0!</v>
      </c>
      <c r="AQ208" s="70" t="e">
        <f t="shared" si="1565"/>
        <v>#DIV/0!</v>
      </c>
      <c r="AR208" s="70" t="e">
        <f t="shared" si="1565"/>
        <v>#DIV/0!</v>
      </c>
      <c r="AS208" s="70" t="e">
        <f t="shared" si="1565"/>
        <v>#DIV/0!</v>
      </c>
      <c r="AT208" s="70" t="e">
        <f t="shared" si="1565"/>
        <v>#DIV/0!</v>
      </c>
      <c r="AU208" s="70" t="e">
        <f t="shared" si="1565"/>
        <v>#DIV/0!</v>
      </c>
      <c r="AV208" s="70" t="e">
        <f t="shared" si="1565"/>
        <v>#DIV/0!</v>
      </c>
      <c r="AW208" s="70" t="e">
        <f t="shared" si="1565"/>
        <v>#DIV/0!</v>
      </c>
      <c r="AX208" s="70" t="e">
        <f t="shared" si="1565"/>
        <v>#DIV/0!</v>
      </c>
      <c r="AY208" s="70" t="e">
        <f t="shared" si="1565"/>
        <v>#DIV/0!</v>
      </c>
      <c r="AZ208" s="70" t="e">
        <f t="shared" si="1565"/>
        <v>#DIV/0!</v>
      </c>
      <c r="BA208" s="70" t="e">
        <f t="shared" si="1565"/>
        <v>#DIV/0!</v>
      </c>
      <c r="BB208" s="70" t="e">
        <f t="shared" si="1565"/>
        <v>#DIV/0!</v>
      </c>
      <c r="BC208" s="70" t="e">
        <f t="shared" si="1565"/>
        <v>#DIV/0!</v>
      </c>
      <c r="BD208" s="70" t="e">
        <f t="shared" si="1565"/>
        <v>#DIV/0!</v>
      </c>
      <c r="BE208" s="70" t="e">
        <f t="shared" si="1565"/>
        <v>#DIV/0!</v>
      </c>
      <c r="BF208" s="70" t="e">
        <f t="shared" si="1565"/>
        <v>#DIV/0!</v>
      </c>
      <c r="BG208" s="70" t="e">
        <f t="shared" si="1565"/>
        <v>#DIV/0!</v>
      </c>
      <c r="BH208" s="70" t="e">
        <f t="shared" si="1565"/>
        <v>#DIV/0!</v>
      </c>
      <c r="BI208" s="70" t="e">
        <f t="shared" si="1565"/>
        <v>#DIV/0!</v>
      </c>
      <c r="BJ208" s="70" t="e">
        <f t="shared" si="1565"/>
        <v>#DIV/0!</v>
      </c>
      <c r="BK208" s="70" t="e">
        <f t="shared" si="1565"/>
        <v>#DIV/0!</v>
      </c>
      <c r="BL208" s="70" t="e">
        <f t="shared" si="1565"/>
        <v>#DIV/0!</v>
      </c>
      <c r="BM208" s="70" t="e">
        <f t="shared" si="1565"/>
        <v>#DIV/0!</v>
      </c>
      <c r="BN208" s="70" t="e">
        <f t="shared" si="1565"/>
        <v>#DIV/0!</v>
      </c>
      <c r="BO208" s="70" t="e">
        <f t="shared" si="1565"/>
        <v>#DIV/0!</v>
      </c>
      <c r="BP208" s="70" t="e">
        <f t="shared" si="1565"/>
        <v>#DIV/0!</v>
      </c>
      <c r="BQ208" s="70" t="e">
        <f t="shared" si="1565"/>
        <v>#DIV/0!</v>
      </c>
      <c r="BR208" s="70">
        <f t="shared" si="1565"/>
        <v>57.93236534818044</v>
      </c>
      <c r="BS208" s="70">
        <f t="shared" si="1565"/>
        <v>57.132674662465789</v>
      </c>
      <c r="BT208" s="70">
        <f t="shared" si="1565"/>
        <v>0</v>
      </c>
      <c r="BU208" s="70">
        <f t="shared" si="1565"/>
        <v>0</v>
      </c>
      <c r="BV208" s="70">
        <f t="shared" si="1565"/>
        <v>65.702595516871057</v>
      </c>
      <c r="BW208" s="70">
        <f t="shared" si="1565"/>
        <v>66.419041254212118</v>
      </c>
      <c r="BX208" s="70">
        <f t="shared" si="1565"/>
        <v>62.983710988598602</v>
      </c>
      <c r="BY208" s="70">
        <f t="shared" si="1565"/>
        <v>58.514816263388077</v>
      </c>
      <c r="BZ208" s="70">
        <f t="shared" si="1565"/>
        <v>66.127420591898883</v>
      </c>
      <c r="CA208" s="70">
        <f t="shared" si="1565"/>
        <v>69.987122344625092</v>
      </c>
      <c r="CB208" s="70">
        <f t="shared" si="1565"/>
        <v>62.872745503234249</v>
      </c>
      <c r="CC208" s="70">
        <f t="shared" si="1565"/>
        <v>60.558775954445473</v>
      </c>
      <c r="CD208" s="70">
        <f t="shared" si="1565"/>
        <v>59.466513598072424</v>
      </c>
      <c r="CE208" s="115">
        <f>CE179/CE33*90</f>
        <v>56.798292496448468</v>
      </c>
      <c r="CF208" s="70">
        <f>CF179/CF31*90</f>
        <v>66.259084812808922</v>
      </c>
      <c r="CG208" s="70">
        <f>CG179/CG33*90</f>
        <v>59.615943606254334</v>
      </c>
      <c r="CH208" s="70">
        <f>CH179/CH31*90</f>
        <v>54.061693104452708</v>
      </c>
      <c r="CI208" s="70">
        <f>CI206+CI207</f>
        <v>54.061693104452708</v>
      </c>
      <c r="CJ208" s="70">
        <f>CJ179/CJ31*90</f>
        <v>70.745153105131223</v>
      </c>
      <c r="CK208" s="70">
        <f t="shared" ref="CK208:DB208" si="1566">CK206+CK207</f>
        <v>70.745153105131223</v>
      </c>
      <c r="CL208" s="70">
        <f>CL179/CL31*90</f>
        <v>54.640937386733057</v>
      </c>
      <c r="CM208" s="50">
        <f t="shared" si="1566"/>
        <v>54.640937386733057</v>
      </c>
      <c r="CN208" s="50">
        <f t="shared" si="1566"/>
        <v>54.640937386733057</v>
      </c>
      <c r="CO208" s="50">
        <f t="shared" si="1566"/>
        <v>54.640937386733057</v>
      </c>
      <c r="CP208" s="50">
        <f t="shared" si="1566"/>
        <v>54.640937386733057</v>
      </c>
      <c r="CQ208" s="50">
        <f t="shared" si="1566"/>
        <v>54.640937386733057</v>
      </c>
      <c r="CR208" s="50">
        <f t="shared" si="1566"/>
        <v>54.640937386733057</v>
      </c>
      <c r="CS208" s="50">
        <f t="shared" si="1566"/>
        <v>54.640937386733057</v>
      </c>
      <c r="CT208" s="50">
        <f t="shared" si="1566"/>
        <v>54.640937386733057</v>
      </c>
      <c r="CU208" s="50">
        <f t="shared" si="1566"/>
        <v>54.640937386733057</v>
      </c>
      <c r="CV208" s="50">
        <f t="shared" si="1566"/>
        <v>54.640937386733057</v>
      </c>
      <c r="CW208" s="50">
        <f t="shared" si="1566"/>
        <v>54.640937386733057</v>
      </c>
      <c r="CX208" s="50">
        <f t="shared" si="1566"/>
        <v>54.640937386733057</v>
      </c>
      <c r="CY208" s="50">
        <f t="shared" si="1566"/>
        <v>54.640937386733057</v>
      </c>
      <c r="CZ208" s="50">
        <f t="shared" si="1566"/>
        <v>54.640937386733057</v>
      </c>
      <c r="DA208" s="50">
        <f t="shared" si="1566"/>
        <v>54.640937386733057</v>
      </c>
      <c r="DB208" s="50">
        <f t="shared" si="1566"/>
        <v>54.640937386733057</v>
      </c>
      <c r="DE208" s="138"/>
      <c r="DF208" s="7">
        <v>70.745153105131223</v>
      </c>
    </row>
    <row r="209" spans="1:110" s="7" customFormat="1" x14ac:dyDescent="0.2">
      <c r="A209" s="69" t="s">
        <v>470</v>
      </c>
      <c r="B209" s="70" t="e">
        <f>B205-B208</f>
        <v>#DIV/0!</v>
      </c>
      <c r="C209" s="70" t="e">
        <f t="shared" ref="C209:V209" si="1567">C205-C208</f>
        <v>#DIV/0!</v>
      </c>
      <c r="D209" s="70">
        <f t="shared" si="1567"/>
        <v>-2.6481037015415865</v>
      </c>
      <c r="E209" s="70">
        <f t="shared" si="1567"/>
        <v>-7.3612374395958682</v>
      </c>
      <c r="F209" s="70">
        <f t="shared" si="1567"/>
        <v>-9.4254611577083836</v>
      </c>
      <c r="G209" s="70">
        <f t="shared" si="1567"/>
        <v>-8.2367756168273161</v>
      </c>
      <c r="H209" s="70">
        <f t="shared" si="1567"/>
        <v>-6.2880587419596594</v>
      </c>
      <c r="I209" s="70">
        <f t="shared" si="1567"/>
        <v>-3.0600911870728851</v>
      </c>
      <c r="J209" s="70">
        <f t="shared" si="1567"/>
        <v>12.61002691170107</v>
      </c>
      <c r="K209" s="70">
        <f t="shared" si="1567"/>
        <v>15.045980024225742</v>
      </c>
      <c r="L209" s="70">
        <f t="shared" si="1567"/>
        <v>35.636265647520354</v>
      </c>
      <c r="M209" s="70">
        <f t="shared" si="1567"/>
        <v>1.9692552552158986</v>
      </c>
      <c r="N209" s="70">
        <f t="shared" si="1567"/>
        <v>11.967300586660208</v>
      </c>
      <c r="O209" s="70">
        <f t="shared" si="1567"/>
        <v>4.0416549623032196</v>
      </c>
      <c r="P209" s="70">
        <f t="shared" si="1567"/>
        <v>6.8083560682890791</v>
      </c>
      <c r="Q209" s="70">
        <f t="shared" si="1567"/>
        <v>15.130137193990265</v>
      </c>
      <c r="R209" s="70">
        <f t="shared" si="1567"/>
        <v>16.610389906246589</v>
      </c>
      <c r="S209" s="70">
        <f t="shared" si="1567"/>
        <v>3.5258360097868433</v>
      </c>
      <c r="T209" s="70">
        <f t="shared" si="1567"/>
        <v>-8.1929957341430111</v>
      </c>
      <c r="U209" s="70">
        <f t="shared" si="1567"/>
        <v>-5.642753997682675</v>
      </c>
      <c r="V209" s="70">
        <f t="shared" si="1567"/>
        <v>6.8906252847050951</v>
      </c>
      <c r="W209" s="70">
        <f t="shared" ref="W209" si="1568">W205-W208</f>
        <v>4.6550676501259005</v>
      </c>
      <c r="X209" s="70">
        <f t="shared" ref="X209:Y209" si="1569">X205-X208</f>
        <v>9.6713714884759625</v>
      </c>
      <c r="Y209" s="70">
        <f t="shared" si="1569"/>
        <v>14.96685936048155</v>
      </c>
      <c r="Z209" s="70">
        <f t="shared" ref="Z209:AA209" si="1570">Z205-Z208</f>
        <v>18.600130934445033</v>
      </c>
      <c r="AA209" s="70">
        <f t="shared" si="1570"/>
        <v>6.3614587544207453</v>
      </c>
      <c r="AB209" s="71">
        <f t="shared" ref="AA209:AD209" si="1571">AB205-AB208</f>
        <v>8.9001926086420724</v>
      </c>
      <c r="AC209" s="71">
        <f t="shared" si="1571"/>
        <v>8.9079003926426026</v>
      </c>
      <c r="AD209" s="71">
        <f t="shared" si="1571"/>
        <v>8.9118099441244851</v>
      </c>
      <c r="AE209" s="71">
        <f t="shared" ref="AE209" si="1572">AE205-AE208</f>
        <v>8.9152937690847835</v>
      </c>
      <c r="AI209" s="70" t="e">
        <f t="shared" ref="AI209:AK209" si="1573">AI205-AI208</f>
        <v>#DIV/0!</v>
      </c>
      <c r="AJ209" s="70" t="e">
        <f t="shared" ref="AJ209:AM209" si="1574">AJ205-AJ208</f>
        <v>#DIV/0!</v>
      </c>
      <c r="AK209" s="70" t="e">
        <f t="shared" si="1573"/>
        <v>#DIV/0!</v>
      </c>
      <c r="AL209" s="70" t="e">
        <f t="shared" si="1574"/>
        <v>#DIV/0!</v>
      </c>
      <c r="AM209" s="70" t="e">
        <f t="shared" si="1574"/>
        <v>#DIV/0!</v>
      </c>
      <c r="AN209" s="70" t="e">
        <f t="shared" ref="AN209:AY209" si="1575">AN205-AN208</f>
        <v>#DIV/0!</v>
      </c>
      <c r="AO209" s="70" t="e">
        <f t="shared" si="1575"/>
        <v>#DIV/0!</v>
      </c>
      <c r="AP209" s="70" t="e">
        <f t="shared" si="1575"/>
        <v>#DIV/0!</v>
      </c>
      <c r="AQ209" s="70" t="e">
        <f t="shared" si="1575"/>
        <v>#DIV/0!</v>
      </c>
      <c r="AR209" s="70" t="e">
        <f t="shared" si="1575"/>
        <v>#DIV/0!</v>
      </c>
      <c r="AS209" s="70" t="e">
        <f t="shared" si="1575"/>
        <v>#DIV/0!</v>
      </c>
      <c r="AT209" s="70" t="e">
        <f t="shared" si="1575"/>
        <v>#DIV/0!</v>
      </c>
      <c r="AU209" s="70" t="e">
        <f t="shared" si="1575"/>
        <v>#DIV/0!</v>
      </c>
      <c r="AV209" s="70" t="e">
        <f t="shared" si="1575"/>
        <v>#DIV/0!</v>
      </c>
      <c r="AW209" s="70" t="e">
        <f t="shared" si="1575"/>
        <v>#DIV/0!</v>
      </c>
      <c r="AX209" s="70" t="e">
        <f t="shared" si="1575"/>
        <v>#DIV/0!</v>
      </c>
      <c r="AY209" s="70" t="e">
        <f t="shared" si="1575"/>
        <v>#DIV/0!</v>
      </c>
      <c r="AZ209" s="70" t="e">
        <f t="shared" ref="AZ209:BC209" si="1576">AZ205-AZ208</f>
        <v>#DIV/0!</v>
      </c>
      <c r="BA209" s="70" t="e">
        <f t="shared" si="1576"/>
        <v>#DIV/0!</v>
      </c>
      <c r="BB209" s="70" t="e">
        <f t="shared" si="1576"/>
        <v>#DIV/0!</v>
      </c>
      <c r="BC209" s="70" t="e">
        <f t="shared" si="1576"/>
        <v>#DIV/0!</v>
      </c>
      <c r="BD209" s="70" t="e">
        <f t="shared" ref="BD209:CE209" si="1577">BD205-BD208</f>
        <v>#DIV/0!</v>
      </c>
      <c r="BE209" s="70" t="e">
        <f t="shared" si="1577"/>
        <v>#DIV/0!</v>
      </c>
      <c r="BF209" s="70" t="e">
        <f t="shared" si="1577"/>
        <v>#DIV/0!</v>
      </c>
      <c r="BG209" s="70" t="e">
        <f t="shared" si="1577"/>
        <v>#DIV/0!</v>
      </c>
      <c r="BH209" s="70" t="e">
        <f t="shared" si="1577"/>
        <v>#DIV/0!</v>
      </c>
      <c r="BI209" s="70" t="e">
        <f t="shared" si="1577"/>
        <v>#DIV/0!</v>
      </c>
      <c r="BJ209" s="70" t="e">
        <f t="shared" si="1577"/>
        <v>#DIV/0!</v>
      </c>
      <c r="BK209" s="70" t="e">
        <f t="shared" si="1577"/>
        <v>#DIV/0!</v>
      </c>
      <c r="BL209" s="70" t="e">
        <f t="shared" si="1577"/>
        <v>#DIV/0!</v>
      </c>
      <c r="BM209" s="70" t="e">
        <f t="shared" si="1577"/>
        <v>#DIV/0!</v>
      </c>
      <c r="BN209" s="70" t="e">
        <f t="shared" si="1577"/>
        <v>#DIV/0!</v>
      </c>
      <c r="BO209" s="70" t="e">
        <f t="shared" si="1577"/>
        <v>#DIV/0!</v>
      </c>
      <c r="BP209" s="70" t="e">
        <f t="shared" si="1577"/>
        <v>#DIV/0!</v>
      </c>
      <c r="BQ209" s="70" t="e">
        <f t="shared" si="1577"/>
        <v>#DIV/0!</v>
      </c>
      <c r="BR209" s="70">
        <f t="shared" si="1577"/>
        <v>7.812176148810849</v>
      </c>
      <c r="BS209" s="70">
        <f t="shared" si="1577"/>
        <v>7.8950606222291668</v>
      </c>
      <c r="BT209" s="70">
        <f t="shared" si="1577"/>
        <v>0</v>
      </c>
      <c r="BU209" s="70">
        <f t="shared" si="1577"/>
        <v>0</v>
      </c>
      <c r="BV209" s="70">
        <f t="shared" si="1577"/>
        <v>5.6753250932141697</v>
      </c>
      <c r="BW209" s="70">
        <f t="shared" si="1577"/>
        <v>5.1089208452796555</v>
      </c>
      <c r="BX209" s="70">
        <f t="shared" si="1577"/>
        <v>10.320656563979028</v>
      </c>
      <c r="BY209" s="70">
        <f t="shared" si="1577"/>
        <v>13.633224692809286</v>
      </c>
      <c r="BZ209" s="70">
        <f t="shared" si="1577"/>
        <v>11.896942470935599</v>
      </c>
      <c r="CA209" s="70">
        <f t="shared" si="1577"/>
        <v>9.1815066620944634</v>
      </c>
      <c r="CB209" s="70">
        <f t="shared" si="1577"/>
        <v>26.193957031584354</v>
      </c>
      <c r="CC209" s="70">
        <f t="shared" si="1577"/>
        <v>27.627737497356044</v>
      </c>
      <c r="CD209" s="70">
        <f t="shared" si="1577"/>
        <v>16.553529010053069</v>
      </c>
      <c r="CE209" s="115">
        <f t="shared" si="1577"/>
        <v>18.244753431758696</v>
      </c>
      <c r="CF209" s="70">
        <f t="shared" ref="CF209:CG209" si="1578">CF205-CF208</f>
        <v>10.684321180572368</v>
      </c>
      <c r="CG209" s="70">
        <f t="shared" si="1578"/>
        <v>15.452589288407921</v>
      </c>
      <c r="CH209" s="70">
        <f t="shared" ref="CH209:CI209" si="1579">CH205-CH208</f>
        <v>16.171137145706517</v>
      </c>
      <c r="CI209" s="70">
        <f t="shared" si="1579"/>
        <v>16.171137145706517</v>
      </c>
      <c r="CJ209" s="70">
        <f t="shared" ref="CJ209:DB209" si="1580">CJ205-CJ208</f>
        <v>10.242357524211045</v>
      </c>
      <c r="CK209" s="70">
        <f t="shared" si="1580"/>
        <v>10.242357524211045</v>
      </c>
      <c r="CL209" s="70">
        <f t="shared" ref="CL209" si="1581">CL205-CL208</f>
        <v>7.5331170410318649</v>
      </c>
      <c r="CM209" s="50">
        <f t="shared" si="1580"/>
        <v>7.5331170410318649</v>
      </c>
      <c r="CN209" s="50">
        <f t="shared" si="1580"/>
        <v>7.5331170410318649</v>
      </c>
      <c r="CO209" s="50">
        <f t="shared" si="1580"/>
        <v>7.5331170410318649</v>
      </c>
      <c r="CP209" s="50">
        <f t="shared" si="1580"/>
        <v>7.5331170410318649</v>
      </c>
      <c r="CQ209" s="50">
        <f t="shared" si="1580"/>
        <v>7.5331170410318649</v>
      </c>
      <c r="CR209" s="50">
        <f t="shared" si="1580"/>
        <v>7.5331170410318649</v>
      </c>
      <c r="CS209" s="50">
        <f t="shared" si="1580"/>
        <v>7.5331170410318649</v>
      </c>
      <c r="CT209" s="50">
        <f t="shared" si="1580"/>
        <v>7.5331170410318649</v>
      </c>
      <c r="CU209" s="50">
        <f t="shared" si="1580"/>
        <v>7.5331170410318649</v>
      </c>
      <c r="CV209" s="50">
        <f t="shared" si="1580"/>
        <v>7.5331170410318649</v>
      </c>
      <c r="CW209" s="50">
        <f t="shared" si="1580"/>
        <v>7.5331170410318649</v>
      </c>
      <c r="CX209" s="50">
        <f t="shared" si="1580"/>
        <v>7.5331170410318649</v>
      </c>
      <c r="CY209" s="50">
        <f t="shared" si="1580"/>
        <v>7.5331170410318649</v>
      </c>
      <c r="CZ209" s="50">
        <f t="shared" si="1580"/>
        <v>7.5331170410318649</v>
      </c>
      <c r="DA209" s="50">
        <f t="shared" si="1580"/>
        <v>7.5331170410318649</v>
      </c>
      <c r="DB209" s="50">
        <f t="shared" si="1580"/>
        <v>7.5331170410318649</v>
      </c>
      <c r="DE209" s="138"/>
      <c r="DF209" s="7">
        <v>10.242357524211045</v>
      </c>
    </row>
    <row r="210" spans="1:110" s="7" customFormat="1" x14ac:dyDescent="0.2">
      <c r="A210" s="69" t="s">
        <v>86</v>
      </c>
      <c r="AB210" s="77"/>
      <c r="AC210" s="77"/>
      <c r="AD210" s="77"/>
      <c r="AE210" s="77"/>
      <c r="CE210" s="115"/>
      <c r="CG210" s="115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E210" s="138"/>
    </row>
    <row r="211" spans="1:110" s="86" customFormat="1" x14ac:dyDescent="0.2">
      <c r="A211" s="86" t="s">
        <v>440</v>
      </c>
      <c r="C211" s="86" t="e">
        <f t="shared" ref="C211:Y211" si="1582">C33/B33-1</f>
        <v>#DIV/0!</v>
      </c>
      <c r="D211" s="86" t="e">
        <f t="shared" si="1582"/>
        <v>#DIV/0!</v>
      </c>
      <c r="E211" s="86">
        <f t="shared" si="1582"/>
        <v>0.45463709757751625</v>
      </c>
      <c r="F211" s="86">
        <f t="shared" si="1582"/>
        <v>0.11504788868503457</v>
      </c>
      <c r="G211" s="86">
        <f t="shared" si="1582"/>
        <v>0.31680787664250243</v>
      </c>
      <c r="H211" s="86">
        <f t="shared" si="1582"/>
        <v>-1.4468636984177774E-2</v>
      </c>
      <c r="I211" s="86">
        <f t="shared" si="1582"/>
        <v>0.28436885749850838</v>
      </c>
      <c r="J211" s="86">
        <f t="shared" si="1582"/>
        <v>0.70938547232439819</v>
      </c>
      <c r="K211" s="86">
        <f t="shared" si="1582"/>
        <v>5.346999550801268E-2</v>
      </c>
      <c r="L211" s="86">
        <f t="shared" si="1582"/>
        <v>0.39790980929235897</v>
      </c>
      <c r="M211" s="86">
        <f t="shared" si="1582"/>
        <v>0.41011438893643493</v>
      </c>
      <c r="N211" s="86">
        <f t="shared" si="1582"/>
        <v>0.18357717620127278</v>
      </c>
      <c r="O211" s="86">
        <f t="shared" si="1582"/>
        <v>0.21511449329841681</v>
      </c>
      <c r="P211" s="86">
        <f t="shared" si="1582"/>
        <v>-3.0733909357889555E-3</v>
      </c>
      <c r="Q211" s="86">
        <f t="shared" si="1582"/>
        <v>0.1024281144386654</v>
      </c>
      <c r="R211" s="86">
        <f t="shared" si="1582"/>
        <v>0.21872357330590586</v>
      </c>
      <c r="S211" s="86">
        <f t="shared" si="1582"/>
        <v>0.14111107753594498</v>
      </c>
      <c r="T211" s="86">
        <f t="shared" si="1582"/>
        <v>8.7849690024244254E-2</v>
      </c>
      <c r="U211" s="86">
        <f t="shared" si="1582"/>
        <v>2.9849092930355203E-2</v>
      </c>
      <c r="V211" s="86">
        <f t="shared" si="1582"/>
        <v>0.25064487226572463</v>
      </c>
      <c r="W211" s="86">
        <f t="shared" si="1582"/>
        <v>0.46007567452727693</v>
      </c>
      <c r="X211" s="86">
        <f t="shared" si="1582"/>
        <v>7.4416090756095343E-2</v>
      </c>
      <c r="Y211" s="86">
        <f t="shared" si="1582"/>
        <v>-0.11961386485579306</v>
      </c>
      <c r="Z211" s="86">
        <f>Z33/Y33-1</f>
        <v>0.24298908152448706</v>
      </c>
      <c r="AA211" s="86">
        <f>AA33/Z33-1</f>
        <v>0.17367741420751015</v>
      </c>
      <c r="AB211" s="87">
        <f t="shared" ref="AA211:AE211" si="1583">AB33/AA33-1</f>
        <v>7.9639279145860442E-2</v>
      </c>
      <c r="AC211" s="87">
        <f t="shared" si="1583"/>
        <v>3.8377832797656275E-2</v>
      </c>
      <c r="AD211" s="87">
        <f t="shared" si="1583"/>
        <v>8.1618300721908899E-2</v>
      </c>
      <c r="AE211" s="87">
        <f t="shared" si="1583"/>
        <v>8.2430321910281545E-2</v>
      </c>
      <c r="AN211" s="86" t="e">
        <f t="shared" ref="AN211:CI211" si="1584">+(AN33+AM33)/(AJ33+AI33)-1</f>
        <v>#DIV/0!</v>
      </c>
      <c r="AO211" s="86" t="e">
        <f t="shared" si="1584"/>
        <v>#DIV/0!</v>
      </c>
      <c r="AP211" s="86" t="e">
        <f t="shared" si="1584"/>
        <v>#DIV/0!</v>
      </c>
      <c r="AQ211" s="86" t="e">
        <f t="shared" si="1584"/>
        <v>#DIV/0!</v>
      </c>
      <c r="AR211" s="86" t="e">
        <f t="shared" si="1584"/>
        <v>#DIV/0!</v>
      </c>
      <c r="AS211" s="86" t="e">
        <f t="shared" si="1584"/>
        <v>#DIV/0!</v>
      </c>
      <c r="AT211" s="86" t="e">
        <f t="shared" si="1584"/>
        <v>#DIV/0!</v>
      </c>
      <c r="AU211" s="86" t="e">
        <f t="shared" si="1584"/>
        <v>#DIV/0!</v>
      </c>
      <c r="AV211" s="86" t="e">
        <f t="shared" si="1584"/>
        <v>#DIV/0!</v>
      </c>
      <c r="AW211" s="86" t="e">
        <f t="shared" si="1584"/>
        <v>#DIV/0!</v>
      </c>
      <c r="AX211" s="86" t="e">
        <f t="shared" si="1584"/>
        <v>#DIV/0!</v>
      </c>
      <c r="AY211" s="86" t="e">
        <f t="shared" si="1584"/>
        <v>#DIV/0!</v>
      </c>
      <c r="AZ211" s="86" t="e">
        <f t="shared" si="1584"/>
        <v>#DIV/0!</v>
      </c>
      <c r="BA211" s="86" t="e">
        <f t="shared" si="1584"/>
        <v>#DIV/0!</v>
      </c>
      <c r="BB211" s="86" t="e">
        <f t="shared" si="1584"/>
        <v>#DIV/0!</v>
      </c>
      <c r="BC211" s="86" t="e">
        <f t="shared" si="1584"/>
        <v>#DIV/0!</v>
      </c>
      <c r="BD211" s="86" t="e">
        <f t="shared" si="1584"/>
        <v>#DIV/0!</v>
      </c>
      <c r="BE211" s="86" t="e">
        <f t="shared" si="1584"/>
        <v>#DIV/0!</v>
      </c>
      <c r="BF211" s="86" t="e">
        <f t="shared" si="1584"/>
        <v>#DIV/0!</v>
      </c>
      <c r="BG211" s="86" t="e">
        <f t="shared" si="1584"/>
        <v>#DIV/0!</v>
      </c>
      <c r="BH211" s="86" t="e">
        <f t="shared" si="1584"/>
        <v>#DIV/0!</v>
      </c>
      <c r="BI211" s="86" t="e">
        <f t="shared" si="1584"/>
        <v>#DIV/0!</v>
      </c>
      <c r="BJ211" s="86" t="e">
        <f t="shared" si="1584"/>
        <v>#DIV/0!</v>
      </c>
      <c r="BK211" s="86" t="e">
        <f t="shared" si="1584"/>
        <v>#DIV/0!</v>
      </c>
      <c r="BL211" s="86" t="e">
        <f t="shared" si="1584"/>
        <v>#DIV/0!</v>
      </c>
      <c r="BM211" s="86" t="e">
        <f t="shared" si="1584"/>
        <v>#DIV/0!</v>
      </c>
      <c r="BN211" s="86" t="e">
        <f t="shared" si="1584"/>
        <v>#DIV/0!</v>
      </c>
      <c r="BO211" s="86" t="e">
        <f t="shared" si="1584"/>
        <v>#DIV/0!</v>
      </c>
      <c r="BP211" s="86" t="e">
        <f t="shared" si="1584"/>
        <v>#DIV/0!</v>
      </c>
      <c r="BQ211" s="86" t="e">
        <f t="shared" si="1584"/>
        <v>#DIV/0!</v>
      </c>
      <c r="BR211" s="86" t="e">
        <f t="shared" si="1584"/>
        <v>#DIV/0!</v>
      </c>
      <c r="BS211" s="86" t="e">
        <f t="shared" si="1584"/>
        <v>#DIV/0!</v>
      </c>
      <c r="BT211" s="86" t="e">
        <f t="shared" si="1584"/>
        <v>#DIV/0!</v>
      </c>
      <c r="BU211" s="86">
        <f t="shared" si="1584"/>
        <v>1.7302817638024965</v>
      </c>
      <c r="BV211" s="86">
        <f t="shared" si="1584"/>
        <v>0.40122563431048852</v>
      </c>
      <c r="BW211" s="86">
        <f t="shared" si="1584"/>
        <v>0.34829567086708657</v>
      </c>
      <c r="BX211" s="86">
        <f t="shared" si="1584"/>
        <v>0.16098147037205623</v>
      </c>
      <c r="BY211" s="86">
        <f t="shared" si="1584"/>
        <v>5.9388694131880415E-2</v>
      </c>
      <c r="BZ211" s="86">
        <f t="shared" si="1584"/>
        <v>7.6856943654401988E-4</v>
      </c>
      <c r="CA211" s="86">
        <f t="shared" si="1584"/>
        <v>-9.5833354418742633E-2</v>
      </c>
      <c r="CB211" s="86">
        <f t="shared" si="1584"/>
        <v>-0.12741132889937434</v>
      </c>
      <c r="CC211" s="86">
        <f t="shared" si="1584"/>
        <v>-0.15183715874771186</v>
      </c>
      <c r="CD211" s="86">
        <f t="shared" si="1584"/>
        <v>-0.11120516098392763</v>
      </c>
      <c r="CE211" s="86">
        <f t="shared" si="1584"/>
        <v>2.149046742027827E-2</v>
      </c>
      <c r="CF211" s="86">
        <f t="shared" si="1584"/>
        <v>0.13528592515329296</v>
      </c>
      <c r="CG211" s="86">
        <f t="shared" si="1584"/>
        <v>0.24678876819000695</v>
      </c>
      <c r="CH211" s="86">
        <f t="shared" si="1584"/>
        <v>0.34613620337497042</v>
      </c>
      <c r="CI211" s="86">
        <f t="shared" si="1584"/>
        <v>0.28898902277412764</v>
      </c>
      <c r="CJ211" s="86">
        <f>+(CJ33+CI33)/(CF33+CE33)-1</f>
        <v>0.21184010930020114</v>
      </c>
      <c r="CL211" s="86">
        <f>+(CL33+CK33)/(CH33+CG33)-1</f>
        <v>0.14254978477805547</v>
      </c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E211" s="141"/>
      <c r="DF211" s="86">
        <v>0.17367741420751015</v>
      </c>
    </row>
    <row r="212" spans="1:110" s="86" customFormat="1" x14ac:dyDescent="0.2">
      <c r="A212" s="86" t="s">
        <v>441</v>
      </c>
      <c r="C212" s="86" t="e">
        <f t="shared" ref="C212" si="1585">C209/B209-1</f>
        <v>#DIV/0!</v>
      </c>
      <c r="D212" s="86" t="e">
        <f t="shared" ref="D212" si="1586">D209/C209-1</f>
        <v>#DIV/0!</v>
      </c>
      <c r="E212" s="86">
        <f>E209/D209-1</f>
        <v>1.7798146406844051</v>
      </c>
      <c r="F212" s="86">
        <f t="shared" ref="F212" si="1587">F209/E209-1</f>
        <v>0.28041803230108031</v>
      </c>
      <c r="G212" s="86">
        <f t="shared" ref="G212" si="1588">G209/F209-1</f>
        <v>-0.1261143111187647</v>
      </c>
      <c r="H212" s="86">
        <f t="shared" ref="H212" si="1589">H209/G209-1</f>
        <v>-0.23658734503906198</v>
      </c>
      <c r="I212" s="86">
        <f t="shared" ref="I212" si="1590">I209/H209-1</f>
        <v>-0.51334882311878427</v>
      </c>
      <c r="J212" s="86">
        <f t="shared" ref="J212" si="1591">J209/I209-1</f>
        <v>-5.1208010287311501</v>
      </c>
      <c r="K212" s="86">
        <f>K209/J209-1</f>
        <v>0.19317588531585983</v>
      </c>
      <c r="L212" s="86">
        <f t="shared" ref="L212" si="1592">L209/K209-1</f>
        <v>1.3684908254657993</v>
      </c>
      <c r="M212" s="86">
        <f t="shared" ref="M212" si="1593">M209/L209-1</f>
        <v>-0.9447401342583458</v>
      </c>
      <c r="N212" s="86">
        <f t="shared" ref="N212" si="1594">N209/M209-1</f>
        <v>5.0770692651259051</v>
      </c>
      <c r="O212" s="86">
        <f t="shared" ref="O212" si="1595">O209/N209-1</f>
        <v>-0.66227513606465283</v>
      </c>
      <c r="P212" s="86">
        <f t="shared" ref="P212" si="1596">P209/O209-1</f>
        <v>0.68454658593844897</v>
      </c>
      <c r="Q212" s="86">
        <f t="shared" ref="Q212" si="1597">Q209/P209-1</f>
        <v>1.2222893518247537</v>
      </c>
      <c r="R212" s="86">
        <f t="shared" ref="R212" si="1598">R209/Q209-1</f>
        <v>9.7834718434957946E-2</v>
      </c>
      <c r="S212" s="86">
        <f t="shared" ref="S212" si="1599">S209/R209-1</f>
        <v>-0.78773309779676515</v>
      </c>
      <c r="T212" s="86">
        <f t="shared" ref="T212" si="1600">T209/S209-1</f>
        <v>-3.3237030058690462</v>
      </c>
      <c r="U212" s="86">
        <f t="shared" ref="U212" si="1601">U209/T209-1</f>
        <v>-0.31127097086510225</v>
      </c>
      <c r="V212" s="86">
        <f t="shared" ref="V212" si="1602">V209/U209-1</f>
        <v>-2.2211457893671929</v>
      </c>
      <c r="W212" s="86">
        <f t="shared" ref="W212:AA212" si="1603">W209/V209-1</f>
        <v>-0.32443465465193588</v>
      </c>
      <c r="X212" s="86">
        <f t="shared" si="1603"/>
        <v>1.07760063126352</v>
      </c>
      <c r="Y212" s="86">
        <f t="shared" si="1603"/>
        <v>0.54754259810157113</v>
      </c>
      <c r="Z212" s="86">
        <f t="shared" si="1603"/>
        <v>0.24275444075841079</v>
      </c>
      <c r="AA212" s="86">
        <f t="shared" si="1603"/>
        <v>-0.6579884960572967</v>
      </c>
      <c r="AB212" s="87">
        <f t="shared" ref="AB212" si="1604">AB209/AA209-1</f>
        <v>0.39908045500681655</v>
      </c>
      <c r="AC212" s="87">
        <f t="shared" ref="AC212" si="1605">AC209/AB209-1</f>
        <v>8.6602440412875126E-4</v>
      </c>
      <c r="AD212" s="87">
        <f t="shared" ref="AD212" si="1606">AD209/AC209-1</f>
        <v>4.3888585520246437E-4</v>
      </c>
      <c r="AE212" s="87">
        <f t="shared" ref="AE212" si="1607">AE209/AD209-1</f>
        <v>3.9092226855608203E-4</v>
      </c>
      <c r="AN212" s="86" t="e">
        <f t="shared" ref="AN212:CI212" si="1608">+AN209/AJ209-1</f>
        <v>#DIV/0!</v>
      </c>
      <c r="AO212" s="86" t="e">
        <f t="shared" si="1608"/>
        <v>#DIV/0!</v>
      </c>
      <c r="AP212" s="86" t="e">
        <f t="shared" si="1608"/>
        <v>#DIV/0!</v>
      </c>
      <c r="AQ212" s="86" t="e">
        <f t="shared" si="1608"/>
        <v>#DIV/0!</v>
      </c>
      <c r="AR212" s="86" t="e">
        <f t="shared" si="1608"/>
        <v>#DIV/0!</v>
      </c>
      <c r="AS212" s="86" t="e">
        <f t="shared" si="1608"/>
        <v>#DIV/0!</v>
      </c>
      <c r="AT212" s="86" t="e">
        <f t="shared" si="1608"/>
        <v>#DIV/0!</v>
      </c>
      <c r="AU212" s="86" t="e">
        <f t="shared" si="1608"/>
        <v>#DIV/0!</v>
      </c>
      <c r="AV212" s="86" t="e">
        <f t="shared" si="1608"/>
        <v>#DIV/0!</v>
      </c>
      <c r="AW212" s="86" t="e">
        <f t="shared" si="1608"/>
        <v>#DIV/0!</v>
      </c>
      <c r="AX212" s="86" t="e">
        <f t="shared" si="1608"/>
        <v>#DIV/0!</v>
      </c>
      <c r="AY212" s="86" t="e">
        <f t="shared" si="1608"/>
        <v>#DIV/0!</v>
      </c>
      <c r="AZ212" s="86" t="e">
        <f t="shared" si="1608"/>
        <v>#DIV/0!</v>
      </c>
      <c r="BA212" s="86" t="e">
        <f t="shared" si="1608"/>
        <v>#DIV/0!</v>
      </c>
      <c r="BB212" s="86" t="e">
        <f t="shared" si="1608"/>
        <v>#DIV/0!</v>
      </c>
      <c r="BC212" s="86" t="e">
        <f t="shared" si="1608"/>
        <v>#DIV/0!</v>
      </c>
      <c r="BD212" s="86" t="e">
        <f t="shared" si="1608"/>
        <v>#DIV/0!</v>
      </c>
      <c r="BE212" s="86" t="e">
        <f t="shared" si="1608"/>
        <v>#DIV/0!</v>
      </c>
      <c r="BF212" s="86" t="e">
        <f t="shared" si="1608"/>
        <v>#DIV/0!</v>
      </c>
      <c r="BG212" s="86" t="e">
        <f t="shared" si="1608"/>
        <v>#DIV/0!</v>
      </c>
      <c r="BH212" s="86" t="e">
        <f t="shared" si="1608"/>
        <v>#DIV/0!</v>
      </c>
      <c r="BI212" s="86" t="e">
        <f t="shared" si="1608"/>
        <v>#DIV/0!</v>
      </c>
      <c r="BJ212" s="86" t="e">
        <f t="shared" si="1608"/>
        <v>#DIV/0!</v>
      </c>
      <c r="BK212" s="86" t="e">
        <f t="shared" si="1608"/>
        <v>#DIV/0!</v>
      </c>
      <c r="BL212" s="86" t="e">
        <f t="shared" si="1608"/>
        <v>#DIV/0!</v>
      </c>
      <c r="BM212" s="86" t="e">
        <f t="shared" si="1608"/>
        <v>#DIV/0!</v>
      </c>
      <c r="BN212" s="86" t="e">
        <f t="shared" si="1608"/>
        <v>#DIV/0!</v>
      </c>
      <c r="BO212" s="86" t="e">
        <f t="shared" si="1608"/>
        <v>#DIV/0!</v>
      </c>
      <c r="BP212" s="86" t="e">
        <f t="shared" si="1608"/>
        <v>#DIV/0!</v>
      </c>
      <c r="BQ212" s="86" t="e">
        <f t="shared" si="1608"/>
        <v>#DIV/0!</v>
      </c>
      <c r="BR212" s="86" t="e">
        <f t="shared" si="1608"/>
        <v>#DIV/0!</v>
      </c>
      <c r="BS212" s="86" t="e">
        <f t="shared" si="1608"/>
        <v>#DIV/0!</v>
      </c>
      <c r="BT212" s="86" t="e">
        <f t="shared" si="1608"/>
        <v>#DIV/0!</v>
      </c>
      <c r="BU212" s="86" t="e">
        <f t="shared" si="1608"/>
        <v>#DIV/0!</v>
      </c>
      <c r="BV212" s="86">
        <f t="shared" si="1608"/>
        <v>-0.27352827367083188</v>
      </c>
      <c r="BW212" s="86">
        <f t="shared" si="1608"/>
        <v>-0.35289656536707459</v>
      </c>
      <c r="BX212" s="86" t="e">
        <f t="shared" si="1608"/>
        <v>#DIV/0!</v>
      </c>
      <c r="BY212" s="86" t="e">
        <f t="shared" si="1608"/>
        <v>#DIV/0!</v>
      </c>
      <c r="BZ212" s="86">
        <f t="shared" si="1608"/>
        <v>1.0962574435005399</v>
      </c>
      <c r="CA212" s="86">
        <f t="shared" si="1608"/>
        <v>0.79715187221536987</v>
      </c>
      <c r="CB212" s="86">
        <f t="shared" si="1608"/>
        <v>1.5380126612299101</v>
      </c>
      <c r="CC212" s="86">
        <f t="shared" si="1608"/>
        <v>1.0265005616703458</v>
      </c>
      <c r="CD212" s="86">
        <f t="shared" si="1608"/>
        <v>0.3914103603084218</v>
      </c>
      <c r="CE212" s="86">
        <f t="shared" si="1608"/>
        <v>0.98711977273637852</v>
      </c>
      <c r="CF212" s="86">
        <f t="shared" si="1608"/>
        <v>-0.59210740218862901</v>
      </c>
      <c r="CG212" s="86">
        <f t="shared" si="1608"/>
        <v>-0.44068567721527241</v>
      </c>
      <c r="CH212" s="86">
        <f t="shared" si="1608"/>
        <v>-2.3100322844411214E-2</v>
      </c>
      <c r="CI212" s="86">
        <f t="shared" si="1608"/>
        <v>-0.11365548423595728</v>
      </c>
      <c r="CJ212" s="86">
        <f>+CJ209/CF209-1</f>
        <v>-4.1365628091091122E-2</v>
      </c>
      <c r="CL212" s="86">
        <f>+CL209/CH209-1</f>
        <v>-0.53416281284634781</v>
      </c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E212" s="141"/>
      <c r="DF212" s="86">
        <v>-0.21673898066354014</v>
      </c>
    </row>
    <row r="213" spans="1:110" s="103" customFormat="1" x14ac:dyDescent="0.2">
      <c r="A213" s="147" t="s">
        <v>87</v>
      </c>
      <c r="C213" s="103" t="e">
        <f>IF(C212&gt;C211,"RF",0)</f>
        <v>#DIV/0!</v>
      </c>
      <c r="D213" s="103" t="e">
        <f>IF(D212&gt;D211,"RF",0)</f>
        <v>#DIV/0!</v>
      </c>
      <c r="E213" s="103" t="str">
        <f t="shared" ref="E213:U213" si="1609">IF(E212&gt;E211,"RF",0)</f>
        <v>RF</v>
      </c>
      <c r="F213" s="103" t="str">
        <f t="shared" si="1609"/>
        <v>RF</v>
      </c>
      <c r="G213" s="103">
        <f t="shared" si="1609"/>
        <v>0</v>
      </c>
      <c r="H213" s="103">
        <f t="shared" si="1609"/>
        <v>0</v>
      </c>
      <c r="I213" s="103">
        <f t="shared" si="1609"/>
        <v>0</v>
      </c>
      <c r="J213" s="103">
        <f t="shared" si="1609"/>
        <v>0</v>
      </c>
      <c r="K213" s="103" t="str">
        <f t="shared" si="1609"/>
        <v>RF</v>
      </c>
      <c r="L213" s="103" t="str">
        <f t="shared" si="1609"/>
        <v>RF</v>
      </c>
      <c r="M213" s="103">
        <f t="shared" si="1609"/>
        <v>0</v>
      </c>
      <c r="N213" s="103" t="str">
        <f t="shared" si="1609"/>
        <v>RF</v>
      </c>
      <c r="O213" s="103">
        <f t="shared" si="1609"/>
        <v>0</v>
      </c>
      <c r="P213" s="103" t="str">
        <f t="shared" si="1609"/>
        <v>RF</v>
      </c>
      <c r="Q213" s="103" t="str">
        <f t="shared" si="1609"/>
        <v>RF</v>
      </c>
      <c r="R213" s="103">
        <f t="shared" si="1609"/>
        <v>0</v>
      </c>
      <c r="S213" s="103">
        <f t="shared" si="1609"/>
        <v>0</v>
      </c>
      <c r="T213" s="103">
        <f t="shared" si="1609"/>
        <v>0</v>
      </c>
      <c r="U213" s="103">
        <f t="shared" si="1609"/>
        <v>0</v>
      </c>
      <c r="V213" s="103">
        <f>IF(V212&gt;V211,"RF",0)</f>
        <v>0</v>
      </c>
      <c r="W213" s="103">
        <f t="shared" ref="W213" si="1610">IF(W212&gt;W211,"RF",0)</f>
        <v>0</v>
      </c>
      <c r="X213" s="103" t="str">
        <f t="shared" ref="X213:Y213" si="1611">IF(X212&gt;X211,"RF",0)</f>
        <v>RF</v>
      </c>
      <c r="Y213" s="103" t="str">
        <f t="shared" si="1611"/>
        <v>RF</v>
      </c>
      <c r="Z213" s="103">
        <f t="shared" ref="Z213:AA213" si="1612">IF(Z212&gt;Z211,"RF",0)</f>
        <v>0</v>
      </c>
      <c r="AA213" s="103">
        <f t="shared" si="1612"/>
        <v>0</v>
      </c>
      <c r="AB213" s="73" t="str">
        <f t="shared" ref="AA213:AD213" si="1613">IF(AB212&gt;AB211,"RF",0)</f>
        <v>RF</v>
      </c>
      <c r="AC213" s="73">
        <f t="shared" si="1613"/>
        <v>0</v>
      </c>
      <c r="AD213" s="73">
        <f t="shared" si="1613"/>
        <v>0</v>
      </c>
      <c r="AE213" s="73">
        <f t="shared" ref="AE213" si="1614">IF(AE212&gt;AE211,"RF",0)</f>
        <v>0</v>
      </c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E213" s="142"/>
      <c r="DF213" s="103">
        <v>0</v>
      </c>
    </row>
    <row r="214" spans="1:110" x14ac:dyDescent="0.2">
      <c r="A214" s="153" t="s">
        <v>494</v>
      </c>
      <c r="AA214" s="2"/>
      <c r="CL214" s="2"/>
    </row>
    <row r="215" spans="1:110" x14ac:dyDescent="0.2">
      <c r="A215" s="152" t="s">
        <v>495</v>
      </c>
      <c r="AA215" s="2"/>
      <c r="CL215" s="2"/>
    </row>
    <row r="216" spans="1:110" s="23" customFormat="1" x14ac:dyDescent="0.2">
      <c r="A216" s="23" t="s">
        <v>22</v>
      </c>
      <c r="C216" s="23">
        <f t="shared" ref="C216:AE216" si="1615">C71</f>
        <v>0</v>
      </c>
      <c r="D216" s="23">
        <f t="shared" si="1615"/>
        <v>14.287999999999938</v>
      </c>
      <c r="E216" s="23">
        <f t="shared" si="1615"/>
        <v>17.677000000000113</v>
      </c>
      <c r="F216" s="23">
        <f t="shared" si="1615"/>
        <v>1.227999999999831</v>
      </c>
      <c r="G216" s="23">
        <f t="shared" si="1615"/>
        <v>1.4229999999997394</v>
      </c>
      <c r="H216" s="23">
        <f t="shared" si="1615"/>
        <v>3.9439999999996318</v>
      </c>
      <c r="I216" s="23">
        <f t="shared" si="1615"/>
        <v>31.084999999999912</v>
      </c>
      <c r="J216" s="23">
        <f t="shared" si="1615"/>
        <v>60.656000000000518</v>
      </c>
      <c r="K216" s="23">
        <f t="shared" si="1615"/>
        <v>15.711000000000341</v>
      </c>
      <c r="L216" s="23">
        <f t="shared" si="1615"/>
        <v>7.0280000000000671</v>
      </c>
      <c r="M216" s="23">
        <f t="shared" si="1615"/>
        <v>8.4019999999992674</v>
      </c>
      <c r="N216" s="23">
        <f t="shared" si="1615"/>
        <v>75.420999999999196</v>
      </c>
      <c r="O216" s="23">
        <f t="shared" si="1615"/>
        <v>12.844999999998556</v>
      </c>
      <c r="P216" s="23">
        <f t="shared" si="1615"/>
        <v>84.994999999998811</v>
      </c>
      <c r="Q216" s="23">
        <f t="shared" si="1615"/>
        <v>148.5260000000018</v>
      </c>
      <c r="R216" s="23">
        <f t="shared" si="1615"/>
        <v>233.06000000000193</v>
      </c>
      <c r="S216" s="23">
        <f t="shared" si="1615"/>
        <v>408.1750000000016</v>
      </c>
      <c r="T216" s="23">
        <f t="shared" si="1615"/>
        <v>386.92899999999958</v>
      </c>
      <c r="U216" s="23">
        <f t="shared" si="1615"/>
        <v>460.87200000000155</v>
      </c>
      <c r="V216" s="23">
        <f t="shared" si="1615"/>
        <v>728.50999999999613</v>
      </c>
      <c r="W216" s="23">
        <f t="shared" si="1615"/>
        <v>803.73000000000036</v>
      </c>
      <c r="X216" s="23">
        <f t="shared" si="1615"/>
        <v>582.12000000000262</v>
      </c>
      <c r="Y216" s="23">
        <f t="shared" si="1615"/>
        <v>147.99000000000771</v>
      </c>
      <c r="Z216" s="23">
        <f t="shared" si="1615"/>
        <v>1225.0800000000017</v>
      </c>
      <c r="AA216" s="23">
        <f t="shared" ref="AA216" si="1616">AA71</f>
        <v>1042.0499999999872</v>
      </c>
      <c r="AB216" s="24">
        <f t="shared" si="1615"/>
        <v>1364.763884271174</v>
      </c>
      <c r="AC216" s="24">
        <f t="shared" si="1615"/>
        <v>1372.2869887844925</v>
      </c>
      <c r="AD216" s="24">
        <f t="shared" si="1615"/>
        <v>1378.0181418920747</v>
      </c>
      <c r="AE216" s="24">
        <f t="shared" si="1615"/>
        <v>1396.1019587278579</v>
      </c>
      <c r="AI216" s="23">
        <f t="shared" ref="AI216:BN216" si="1617">AI71</f>
        <v>0</v>
      </c>
      <c r="AJ216" s="23">
        <f t="shared" si="1617"/>
        <v>0</v>
      </c>
      <c r="AK216" s="23">
        <f t="shared" si="1617"/>
        <v>0</v>
      </c>
      <c r="AL216" s="23">
        <f t="shared" si="1617"/>
        <v>0</v>
      </c>
      <c r="AM216" s="23">
        <f t="shared" si="1617"/>
        <v>0</v>
      </c>
      <c r="AN216" s="23">
        <f t="shared" si="1617"/>
        <v>0</v>
      </c>
      <c r="AO216" s="23">
        <f t="shared" si="1617"/>
        <v>0</v>
      </c>
      <c r="AP216" s="23">
        <f t="shared" si="1617"/>
        <v>0</v>
      </c>
      <c r="AQ216" s="23">
        <f t="shared" si="1617"/>
        <v>0</v>
      </c>
      <c r="AR216" s="23">
        <f t="shared" si="1617"/>
        <v>0</v>
      </c>
      <c r="AS216" s="23">
        <f t="shared" si="1617"/>
        <v>0</v>
      </c>
      <c r="AT216" s="23">
        <f t="shared" si="1617"/>
        <v>0</v>
      </c>
      <c r="AU216" s="23">
        <f t="shared" si="1617"/>
        <v>0</v>
      </c>
      <c r="AV216" s="23">
        <f t="shared" si="1617"/>
        <v>0</v>
      </c>
      <c r="AW216" s="23">
        <f t="shared" si="1617"/>
        <v>0</v>
      </c>
      <c r="AX216" s="23">
        <f t="shared" si="1617"/>
        <v>0</v>
      </c>
      <c r="AY216" s="23">
        <f t="shared" si="1617"/>
        <v>0</v>
      </c>
      <c r="AZ216" s="23">
        <f t="shared" si="1617"/>
        <v>0</v>
      </c>
      <c r="BA216" s="23">
        <f t="shared" si="1617"/>
        <v>0</v>
      </c>
      <c r="BB216" s="23">
        <f t="shared" si="1617"/>
        <v>0</v>
      </c>
      <c r="BC216" s="23">
        <f t="shared" si="1617"/>
        <v>0</v>
      </c>
      <c r="BD216" s="23">
        <f t="shared" si="1617"/>
        <v>0</v>
      </c>
      <c r="BE216" s="23">
        <f t="shared" si="1617"/>
        <v>0</v>
      </c>
      <c r="BF216" s="23">
        <f t="shared" si="1617"/>
        <v>0</v>
      </c>
      <c r="BG216" s="23">
        <f t="shared" si="1617"/>
        <v>0</v>
      </c>
      <c r="BH216" s="23">
        <f t="shared" si="1617"/>
        <v>0</v>
      </c>
      <c r="BI216" s="23">
        <f t="shared" si="1617"/>
        <v>0</v>
      </c>
      <c r="BJ216" s="23">
        <f t="shared" si="1617"/>
        <v>0</v>
      </c>
      <c r="BK216" s="23">
        <f t="shared" si="1617"/>
        <v>0</v>
      </c>
      <c r="BL216" s="23">
        <f t="shared" si="1617"/>
        <v>0</v>
      </c>
      <c r="BM216" s="23">
        <f t="shared" si="1617"/>
        <v>0</v>
      </c>
      <c r="BN216" s="23">
        <f t="shared" si="1617"/>
        <v>0</v>
      </c>
      <c r="BO216" s="23">
        <f t="shared" ref="BO216:CT216" si="1618">BO71</f>
        <v>0</v>
      </c>
      <c r="BP216" s="23">
        <f t="shared" si="1618"/>
        <v>0</v>
      </c>
      <c r="BQ216" s="23">
        <f t="shared" si="1618"/>
        <v>127.39000000000078</v>
      </c>
      <c r="BR216" s="23">
        <f t="shared" si="1618"/>
        <v>315.00000000000148</v>
      </c>
      <c r="BS216" s="23">
        <f t="shared" si="1618"/>
        <v>175.69999999999985</v>
      </c>
      <c r="BT216" s="23">
        <f t="shared" si="1618"/>
        <v>182.33000000000021</v>
      </c>
      <c r="BU216" s="23">
        <f t="shared" si="1618"/>
        <v>211.41000000000099</v>
      </c>
      <c r="BV216" s="23">
        <f t="shared" si="1618"/>
        <v>234.28999999999996</v>
      </c>
      <c r="BW216" s="23">
        <f t="shared" si="1618"/>
        <v>193.5900000000006</v>
      </c>
      <c r="BX216" s="23">
        <f t="shared" si="1618"/>
        <v>48.759999999999188</v>
      </c>
      <c r="BY216" s="23">
        <f t="shared" si="1618"/>
        <v>246.16000000000003</v>
      </c>
      <c r="BZ216" s="23">
        <f t="shared" si="1618"/>
        <v>93.609999999999474</v>
      </c>
      <c r="CA216" s="23">
        <f t="shared" si="1618"/>
        <v>-78.920000000000584</v>
      </c>
      <c r="CB216" s="23">
        <f t="shared" si="1618"/>
        <v>-130.73000000000172</v>
      </c>
      <c r="CC216" s="23">
        <f t="shared" si="1618"/>
        <v>200.89000000000084</v>
      </c>
      <c r="CD216" s="23">
        <f t="shared" si="1618"/>
        <v>156.75</v>
      </c>
      <c r="CE216" s="23">
        <f t="shared" si="1618"/>
        <v>313.20000000000124</v>
      </c>
      <c r="CF216" s="23">
        <f t="shared" si="1618"/>
        <v>311.03000000000048</v>
      </c>
      <c r="CG216" s="23">
        <f t="shared" si="1618"/>
        <v>410.56999999999937</v>
      </c>
      <c r="CH216" s="23">
        <f t="shared" si="1618"/>
        <v>190.28000000000094</v>
      </c>
      <c r="CI216" s="23">
        <f t="shared" si="1618"/>
        <v>236.43000000000174</v>
      </c>
      <c r="CJ216" s="23">
        <f t="shared" si="1618"/>
        <v>244.71999999999917</v>
      </c>
      <c r="CK216" s="23">
        <f t="shared" si="1618"/>
        <v>268.81999999999795</v>
      </c>
      <c r="CL216" s="23">
        <f t="shared" ref="CL216" si="1619">CL71</f>
        <v>292.08000000000021</v>
      </c>
      <c r="CM216" s="24">
        <f t="shared" si="1618"/>
        <v>296.80075361880745</v>
      </c>
      <c r="CN216" s="24">
        <f t="shared" si="1618"/>
        <v>337.9359559844666</v>
      </c>
      <c r="CO216" s="24">
        <f t="shared" si="1618"/>
        <v>338.99539610568399</v>
      </c>
      <c r="CP216" s="24">
        <f t="shared" si="1618"/>
        <v>391.03177856221487</v>
      </c>
      <c r="CQ216" s="24">
        <f t="shared" si="1618"/>
        <v>297.23213261932028</v>
      </c>
      <c r="CR216" s="24">
        <f t="shared" si="1618"/>
        <v>307.5049385103556</v>
      </c>
      <c r="CS216" s="24">
        <f t="shared" si="1618"/>
        <v>337.87793307995184</v>
      </c>
      <c r="CT216" s="24">
        <f t="shared" si="1618"/>
        <v>429.6719845748608</v>
      </c>
      <c r="CU216" s="24">
        <f t="shared" ref="CU216:DB216" si="1620">CU71</f>
        <v>302.27117148853779</v>
      </c>
      <c r="CV216" s="24">
        <f t="shared" si="1620"/>
        <v>310.0148287826151</v>
      </c>
      <c r="CW216" s="24">
        <f t="shared" si="1620"/>
        <v>340.57347239248713</v>
      </c>
      <c r="CX216" s="24">
        <f t="shared" si="1620"/>
        <v>425.15866922842918</v>
      </c>
      <c r="CY216" s="24">
        <f t="shared" si="1620"/>
        <v>305.26804049822016</v>
      </c>
      <c r="CZ216" s="24">
        <f t="shared" si="1620"/>
        <v>311.36825379799728</v>
      </c>
      <c r="DA216" s="24">
        <f t="shared" si="1620"/>
        <v>343.93987446048607</v>
      </c>
      <c r="DB216" s="24">
        <f t="shared" si="1620"/>
        <v>435.52578997117109</v>
      </c>
      <c r="DE216" s="123"/>
      <c r="DF216" s="23">
        <v>336.52290081352396</v>
      </c>
    </row>
    <row r="217" spans="1:110" s="23" customFormat="1" x14ac:dyDescent="0.2">
      <c r="A217" s="23" t="s">
        <v>88</v>
      </c>
      <c r="C217" s="23">
        <f t="shared" ref="C217:AE217" si="1621">C55</f>
        <v>0</v>
      </c>
      <c r="D217" s="23">
        <f t="shared" si="1621"/>
        <v>4.1020000000000003</v>
      </c>
      <c r="E217" s="23">
        <f t="shared" si="1621"/>
        <v>4.4180000000000001</v>
      </c>
      <c r="F217" s="23">
        <f t="shared" si="1621"/>
        <v>7.6219999999999999</v>
      </c>
      <c r="G217" s="23">
        <f t="shared" si="1621"/>
        <v>13.702999999999999</v>
      </c>
      <c r="H217" s="23">
        <f t="shared" si="1621"/>
        <v>15.38</v>
      </c>
      <c r="I217" s="23">
        <f t="shared" si="1621"/>
        <v>15.343999999999999</v>
      </c>
      <c r="J217" s="23">
        <f t="shared" si="1621"/>
        <v>16.946999999999999</v>
      </c>
      <c r="K217" s="23">
        <f t="shared" si="1621"/>
        <v>21.741</v>
      </c>
      <c r="L217" s="23">
        <f t="shared" si="1621"/>
        <v>30.645</v>
      </c>
      <c r="M217" s="23">
        <f t="shared" si="1621"/>
        <v>36.360999999999997</v>
      </c>
      <c r="N217" s="23">
        <f t="shared" si="1621"/>
        <v>54.94</v>
      </c>
      <c r="O217" s="23">
        <f t="shared" si="1621"/>
        <v>92.176000000000002</v>
      </c>
      <c r="P217" s="23">
        <f t="shared" si="1621"/>
        <v>106.72199999999999</v>
      </c>
      <c r="Q217" s="23">
        <f t="shared" si="1621"/>
        <v>114.971</v>
      </c>
      <c r="R217" s="23">
        <f t="shared" si="1621"/>
        <v>118.845</v>
      </c>
      <c r="S217" s="23">
        <f t="shared" si="1621"/>
        <v>145.71100000000001</v>
      </c>
      <c r="T217" s="23">
        <f t="shared" si="1621"/>
        <v>181.88399999999999</v>
      </c>
      <c r="U217" s="23">
        <f t="shared" si="1621"/>
        <v>241.26900000000001</v>
      </c>
      <c r="V217" s="23">
        <f t="shared" si="1621"/>
        <v>267.77</v>
      </c>
      <c r="W217" s="23">
        <f t="shared" si="1621"/>
        <v>309.06</v>
      </c>
      <c r="X217" s="23">
        <f t="shared" si="1621"/>
        <v>358.46</v>
      </c>
      <c r="Y217" s="23">
        <f t="shared" si="1621"/>
        <v>363.85</v>
      </c>
      <c r="Z217" s="23">
        <f t="shared" si="1621"/>
        <v>395.1</v>
      </c>
      <c r="AA217" s="23">
        <f t="shared" ref="AA217" si="1622">AA55</f>
        <v>448.83</v>
      </c>
      <c r="AB217" s="24">
        <f t="shared" si="1621"/>
        <v>541.57347920655207</v>
      </c>
      <c r="AC217" s="24">
        <f t="shared" si="1621"/>
        <v>384.23135847987203</v>
      </c>
      <c r="AD217" s="24">
        <f t="shared" si="1621"/>
        <v>358.76236445557521</v>
      </c>
      <c r="AE217" s="24">
        <f t="shared" si="1621"/>
        <v>334.98159717876729</v>
      </c>
      <c r="AI217" s="23">
        <f t="shared" ref="AI217:BN217" si="1623">AI55</f>
        <v>0</v>
      </c>
      <c r="AJ217" s="23">
        <f t="shared" si="1623"/>
        <v>0</v>
      </c>
      <c r="AK217" s="23">
        <f t="shared" si="1623"/>
        <v>0</v>
      </c>
      <c r="AL217" s="23">
        <f t="shared" si="1623"/>
        <v>0</v>
      </c>
      <c r="AM217" s="23">
        <f t="shared" si="1623"/>
        <v>0</v>
      </c>
      <c r="AN217" s="23">
        <f t="shared" si="1623"/>
        <v>0</v>
      </c>
      <c r="AO217" s="23">
        <f t="shared" si="1623"/>
        <v>0</v>
      </c>
      <c r="AP217" s="23">
        <f t="shared" si="1623"/>
        <v>0</v>
      </c>
      <c r="AQ217" s="23">
        <f t="shared" si="1623"/>
        <v>0</v>
      </c>
      <c r="AR217" s="23">
        <f t="shared" si="1623"/>
        <v>0</v>
      </c>
      <c r="AS217" s="23">
        <f t="shared" si="1623"/>
        <v>0</v>
      </c>
      <c r="AT217" s="23">
        <f t="shared" si="1623"/>
        <v>0</v>
      </c>
      <c r="AU217" s="23">
        <f t="shared" si="1623"/>
        <v>0</v>
      </c>
      <c r="AV217" s="23">
        <f t="shared" si="1623"/>
        <v>0</v>
      </c>
      <c r="AW217" s="23">
        <f t="shared" si="1623"/>
        <v>0</v>
      </c>
      <c r="AX217" s="23">
        <f t="shared" si="1623"/>
        <v>0</v>
      </c>
      <c r="AY217" s="23">
        <f t="shared" si="1623"/>
        <v>0</v>
      </c>
      <c r="AZ217" s="23">
        <f t="shared" si="1623"/>
        <v>0</v>
      </c>
      <c r="BA217" s="23">
        <f t="shared" si="1623"/>
        <v>0</v>
      </c>
      <c r="BB217" s="23">
        <f t="shared" si="1623"/>
        <v>0</v>
      </c>
      <c r="BC217" s="23">
        <f t="shared" si="1623"/>
        <v>0</v>
      </c>
      <c r="BD217" s="23">
        <f t="shared" si="1623"/>
        <v>0</v>
      </c>
      <c r="BE217" s="23">
        <f t="shared" si="1623"/>
        <v>0</v>
      </c>
      <c r="BF217" s="23">
        <f t="shared" si="1623"/>
        <v>0</v>
      </c>
      <c r="BG217" s="23">
        <f t="shared" si="1623"/>
        <v>0</v>
      </c>
      <c r="BH217" s="23">
        <f t="shared" si="1623"/>
        <v>0</v>
      </c>
      <c r="BI217" s="23">
        <f t="shared" si="1623"/>
        <v>0</v>
      </c>
      <c r="BJ217" s="23">
        <f t="shared" si="1623"/>
        <v>0</v>
      </c>
      <c r="BK217" s="23">
        <f t="shared" si="1623"/>
        <v>0</v>
      </c>
      <c r="BL217" s="23">
        <f t="shared" si="1623"/>
        <v>0</v>
      </c>
      <c r="BM217" s="23">
        <f t="shared" si="1623"/>
        <v>0</v>
      </c>
      <c r="BN217" s="23">
        <f t="shared" si="1623"/>
        <v>0</v>
      </c>
      <c r="BO217" s="23">
        <f t="shared" ref="BO217:CT217" si="1624">BO55</f>
        <v>0</v>
      </c>
      <c r="BP217" s="23">
        <f t="shared" si="1624"/>
        <v>0</v>
      </c>
      <c r="BQ217" s="23">
        <f t="shared" si="1624"/>
        <v>68.16</v>
      </c>
      <c r="BR217" s="23">
        <f t="shared" si="1624"/>
        <v>66.599999999999994</v>
      </c>
      <c r="BS217" s="23">
        <f t="shared" si="1624"/>
        <v>67.790000000000006</v>
      </c>
      <c r="BT217" s="23">
        <f t="shared" si="1624"/>
        <v>76.489999999999995</v>
      </c>
      <c r="BU217" s="23">
        <f t="shared" si="1624"/>
        <v>81.3</v>
      </c>
      <c r="BV217" s="23">
        <f t="shared" si="1624"/>
        <v>83.48</v>
      </c>
      <c r="BW217" s="23">
        <f t="shared" si="1624"/>
        <v>85.58</v>
      </c>
      <c r="BX217" s="23">
        <f t="shared" si="1624"/>
        <v>90.1</v>
      </c>
      <c r="BY217" s="23">
        <f t="shared" si="1624"/>
        <v>90.96</v>
      </c>
      <c r="BZ217" s="23">
        <f t="shared" si="1624"/>
        <v>91.82</v>
      </c>
      <c r="CA217" s="23">
        <f t="shared" si="1624"/>
        <v>93.51</v>
      </c>
      <c r="CB217" s="23">
        <f t="shared" si="1624"/>
        <v>95.74</v>
      </c>
      <c r="CC217" s="23">
        <f t="shared" si="1624"/>
        <v>95.4</v>
      </c>
      <c r="CD217" s="23">
        <f t="shared" si="1624"/>
        <v>79.2</v>
      </c>
      <c r="CE217" s="23">
        <f t="shared" si="1624"/>
        <v>96.42</v>
      </c>
      <c r="CF217" s="23">
        <f t="shared" si="1624"/>
        <v>92.43</v>
      </c>
      <c r="CG217" s="23">
        <f t="shared" si="1624"/>
        <v>108.44</v>
      </c>
      <c r="CH217" s="23">
        <f t="shared" si="1624"/>
        <v>97.81</v>
      </c>
      <c r="CI217" s="23">
        <f t="shared" si="1624"/>
        <v>102.75</v>
      </c>
      <c r="CJ217" s="23">
        <f t="shared" si="1624"/>
        <v>107.03</v>
      </c>
      <c r="CK217" s="23">
        <f t="shared" si="1624"/>
        <v>111.16</v>
      </c>
      <c r="CL217" s="23">
        <f t="shared" ref="CL217" si="1625">CL55</f>
        <v>127.89</v>
      </c>
      <c r="CM217" s="24">
        <f t="shared" si="1624"/>
        <v>139.96150236898086</v>
      </c>
      <c r="CN217" s="24">
        <f t="shared" si="1624"/>
        <v>136.8708324692017</v>
      </c>
      <c r="CO217" s="24">
        <f t="shared" si="1624"/>
        <v>133.84841162553954</v>
      </c>
      <c r="CP217" s="24">
        <f t="shared" si="1624"/>
        <v>130.89273274282996</v>
      </c>
      <c r="CQ217" s="24">
        <f t="shared" si="1624"/>
        <v>98.54231085348863</v>
      </c>
      <c r="CR217" s="24">
        <f t="shared" si="1624"/>
        <v>96.867091568979319</v>
      </c>
      <c r="CS217" s="24">
        <f t="shared" si="1624"/>
        <v>95.220351012306651</v>
      </c>
      <c r="CT217" s="24">
        <f t="shared" si="1624"/>
        <v>93.601605045097443</v>
      </c>
      <c r="CU217" s="24">
        <f t="shared" ref="CU217:DB217" si="1626">CU55</f>
        <v>92.010377759330794</v>
      </c>
      <c r="CV217" s="24">
        <f t="shared" si="1626"/>
        <v>90.446201337422167</v>
      </c>
      <c r="CW217" s="24">
        <f t="shared" si="1626"/>
        <v>88.908615914685981</v>
      </c>
      <c r="CX217" s="24">
        <f t="shared" si="1626"/>
        <v>87.39716944413631</v>
      </c>
      <c r="CY217" s="24">
        <f t="shared" si="1626"/>
        <v>85.911417563586014</v>
      </c>
      <c r="CZ217" s="24">
        <f t="shared" si="1626"/>
        <v>84.450923465005062</v>
      </c>
      <c r="DA217" s="24">
        <f t="shared" si="1626"/>
        <v>83.015257766099964</v>
      </c>
      <c r="DB217" s="24">
        <f t="shared" si="1626"/>
        <v>81.603998384076249</v>
      </c>
      <c r="DE217" s="123"/>
      <c r="DF217" s="23">
        <v>109.06662112802998</v>
      </c>
    </row>
    <row r="218" spans="1:110" s="22" customFormat="1" x14ac:dyDescent="0.2">
      <c r="A218" s="22" t="s">
        <v>89</v>
      </c>
      <c r="C218" s="22">
        <f t="shared" ref="C218:W218" si="1627">C216+C217</f>
        <v>0</v>
      </c>
      <c r="D218" s="22">
        <f t="shared" si="1627"/>
        <v>18.389999999999937</v>
      </c>
      <c r="E218" s="22">
        <f t="shared" si="1627"/>
        <v>22.095000000000113</v>
      </c>
      <c r="F218" s="22">
        <f t="shared" si="1627"/>
        <v>8.8499999999998309</v>
      </c>
      <c r="G218" s="22">
        <f t="shared" si="1627"/>
        <v>15.125999999999738</v>
      </c>
      <c r="H218" s="22">
        <f t="shared" si="1627"/>
        <v>19.323999999999632</v>
      </c>
      <c r="I218" s="22">
        <f t="shared" si="1627"/>
        <v>46.42899999999991</v>
      </c>
      <c r="J218" s="22">
        <f t="shared" si="1627"/>
        <v>77.60300000000052</v>
      </c>
      <c r="K218" s="22">
        <f t="shared" si="1627"/>
        <v>37.452000000000339</v>
      </c>
      <c r="L218" s="22">
        <f t="shared" si="1627"/>
        <v>37.673000000000066</v>
      </c>
      <c r="M218" s="22">
        <f t="shared" si="1627"/>
        <v>44.762999999999266</v>
      </c>
      <c r="N218" s="22">
        <f t="shared" si="1627"/>
        <v>130.36099999999919</v>
      </c>
      <c r="O218" s="22">
        <f t="shared" si="1627"/>
        <v>105.02099999999857</v>
      </c>
      <c r="P218" s="22">
        <f t="shared" si="1627"/>
        <v>191.71699999999879</v>
      </c>
      <c r="Q218" s="22">
        <f t="shared" si="1627"/>
        <v>263.49700000000178</v>
      </c>
      <c r="R218" s="22">
        <f t="shared" si="1627"/>
        <v>351.90500000000191</v>
      </c>
      <c r="S218" s="22">
        <f t="shared" si="1627"/>
        <v>553.88600000000156</v>
      </c>
      <c r="T218" s="22">
        <f t="shared" si="1627"/>
        <v>568.81299999999953</v>
      </c>
      <c r="U218" s="22">
        <f t="shared" si="1627"/>
        <v>702.14100000000155</v>
      </c>
      <c r="V218" s="22">
        <f t="shared" si="1627"/>
        <v>996.27999999999611</v>
      </c>
      <c r="W218" s="22">
        <f t="shared" si="1627"/>
        <v>1112.7900000000004</v>
      </c>
      <c r="X218" s="22">
        <f t="shared" ref="X218:Y218" si="1628">X216+X217</f>
        <v>940.58000000000266</v>
      </c>
      <c r="Y218" s="22">
        <f t="shared" si="1628"/>
        <v>511.84000000000776</v>
      </c>
      <c r="Z218" s="22">
        <f t="shared" ref="Z218:AA218" si="1629">Z216+Z217</f>
        <v>1620.1800000000017</v>
      </c>
      <c r="AA218" s="22">
        <f t="shared" si="1629"/>
        <v>1490.8799999999871</v>
      </c>
      <c r="AB218" s="21">
        <f t="shared" ref="AA218:AD218" si="1630">AB216+AB217</f>
        <v>1906.3373634777261</v>
      </c>
      <c r="AC218" s="21">
        <f t="shared" si="1630"/>
        <v>1756.5183472643644</v>
      </c>
      <c r="AD218" s="21">
        <f t="shared" si="1630"/>
        <v>1736.7805063476499</v>
      </c>
      <c r="AE218" s="21">
        <f t="shared" ref="AE218" si="1631">AE216+AE217</f>
        <v>1731.0835559066252</v>
      </c>
      <c r="AI218" s="22">
        <f t="shared" ref="AI218" si="1632">AI216+AI217</f>
        <v>0</v>
      </c>
      <c r="AJ218" s="22">
        <f t="shared" ref="AJ218:AL218" si="1633">AJ216+AJ217</f>
        <v>0</v>
      </c>
      <c r="AK218" s="22">
        <f t="shared" si="1633"/>
        <v>0</v>
      </c>
      <c r="AL218" s="22">
        <f t="shared" si="1633"/>
        <v>0</v>
      </c>
      <c r="AM218" s="22">
        <f t="shared" ref="AM218" si="1634">AM216+AM217</f>
        <v>0</v>
      </c>
      <c r="AN218" s="22">
        <f t="shared" ref="AN218:CD218" si="1635">AN216+AN217</f>
        <v>0</v>
      </c>
      <c r="AO218" s="22">
        <f t="shared" si="1635"/>
        <v>0</v>
      </c>
      <c r="AP218" s="22">
        <f t="shared" si="1635"/>
        <v>0</v>
      </c>
      <c r="AQ218" s="22">
        <f t="shared" si="1635"/>
        <v>0</v>
      </c>
      <c r="AR218" s="22">
        <f t="shared" si="1635"/>
        <v>0</v>
      </c>
      <c r="AS218" s="22">
        <f t="shared" si="1635"/>
        <v>0</v>
      </c>
      <c r="AT218" s="22">
        <f t="shared" si="1635"/>
        <v>0</v>
      </c>
      <c r="AU218" s="22">
        <f t="shared" si="1635"/>
        <v>0</v>
      </c>
      <c r="AV218" s="22">
        <f t="shared" si="1635"/>
        <v>0</v>
      </c>
      <c r="AW218" s="22">
        <f t="shared" si="1635"/>
        <v>0</v>
      </c>
      <c r="AX218" s="22">
        <f t="shared" si="1635"/>
        <v>0</v>
      </c>
      <c r="AY218" s="22">
        <f t="shared" si="1635"/>
        <v>0</v>
      </c>
      <c r="AZ218" s="22">
        <f t="shared" si="1635"/>
        <v>0</v>
      </c>
      <c r="BA218" s="22">
        <f t="shared" si="1635"/>
        <v>0</v>
      </c>
      <c r="BB218" s="22">
        <f t="shared" si="1635"/>
        <v>0</v>
      </c>
      <c r="BC218" s="22">
        <f t="shared" si="1635"/>
        <v>0</v>
      </c>
      <c r="BD218" s="22">
        <f t="shared" si="1635"/>
        <v>0</v>
      </c>
      <c r="BE218" s="22">
        <f t="shared" si="1635"/>
        <v>0</v>
      </c>
      <c r="BF218" s="22">
        <f t="shared" si="1635"/>
        <v>0</v>
      </c>
      <c r="BG218" s="22">
        <f t="shared" si="1635"/>
        <v>0</v>
      </c>
      <c r="BH218" s="22">
        <f t="shared" si="1635"/>
        <v>0</v>
      </c>
      <c r="BI218" s="22">
        <f t="shared" si="1635"/>
        <v>0</v>
      </c>
      <c r="BJ218" s="22">
        <f t="shared" si="1635"/>
        <v>0</v>
      </c>
      <c r="BK218" s="22">
        <f t="shared" si="1635"/>
        <v>0</v>
      </c>
      <c r="BL218" s="22">
        <f t="shared" si="1635"/>
        <v>0</v>
      </c>
      <c r="BM218" s="22">
        <f t="shared" si="1635"/>
        <v>0</v>
      </c>
      <c r="BN218" s="22">
        <f t="shared" si="1635"/>
        <v>0</v>
      </c>
      <c r="BO218" s="22">
        <f t="shared" si="1635"/>
        <v>0</v>
      </c>
      <c r="BP218" s="22">
        <f t="shared" si="1635"/>
        <v>0</v>
      </c>
      <c r="BQ218" s="22">
        <f t="shared" si="1635"/>
        <v>195.55000000000078</v>
      </c>
      <c r="BR218" s="22">
        <f t="shared" si="1635"/>
        <v>381.6000000000015</v>
      </c>
      <c r="BS218" s="22">
        <f t="shared" si="1635"/>
        <v>243.48999999999984</v>
      </c>
      <c r="BT218" s="22">
        <f t="shared" si="1635"/>
        <v>258.82000000000022</v>
      </c>
      <c r="BU218" s="22">
        <f t="shared" si="1635"/>
        <v>292.710000000001</v>
      </c>
      <c r="BV218" s="22">
        <f t="shared" si="1635"/>
        <v>317.77</v>
      </c>
      <c r="BW218" s="22">
        <f t="shared" si="1635"/>
        <v>279.17000000000058</v>
      </c>
      <c r="BX218" s="22">
        <f t="shared" si="1635"/>
        <v>138.85999999999919</v>
      </c>
      <c r="BY218" s="22">
        <f t="shared" si="1635"/>
        <v>337.12</v>
      </c>
      <c r="BZ218" s="22">
        <f t="shared" si="1635"/>
        <v>185.42999999999947</v>
      </c>
      <c r="CA218" s="22">
        <f t="shared" si="1635"/>
        <v>14.589999999999421</v>
      </c>
      <c r="CB218" s="22">
        <f t="shared" si="1635"/>
        <v>-34.990000000001729</v>
      </c>
      <c r="CC218" s="22">
        <f t="shared" si="1635"/>
        <v>296.29000000000087</v>
      </c>
      <c r="CD218" s="22">
        <f t="shared" si="1635"/>
        <v>235.95</v>
      </c>
      <c r="CE218" s="22">
        <f t="shared" ref="CE218:CF218" si="1636">CE216+CE217</f>
        <v>409.62000000000126</v>
      </c>
      <c r="CF218" s="22">
        <f t="shared" si="1636"/>
        <v>403.46000000000049</v>
      </c>
      <c r="CG218" s="22">
        <f t="shared" ref="CG218:CH218" si="1637">CG216+CG217</f>
        <v>519.00999999999931</v>
      </c>
      <c r="CH218" s="22">
        <f t="shared" si="1637"/>
        <v>288.09000000000094</v>
      </c>
      <c r="CI218" s="22">
        <f t="shared" ref="CI218:CJ218" si="1638">CI216+CI217</f>
        <v>339.18000000000177</v>
      </c>
      <c r="CJ218" s="22">
        <f t="shared" si="1638"/>
        <v>351.7499999999992</v>
      </c>
      <c r="CK218" s="22">
        <f t="shared" ref="CK218:DB218" si="1639">CK216+CK217</f>
        <v>379.97999999999797</v>
      </c>
      <c r="CL218" s="22">
        <f t="shared" si="1639"/>
        <v>419.9700000000002</v>
      </c>
      <c r="CM218" s="21">
        <f t="shared" si="1639"/>
        <v>436.76225598778831</v>
      </c>
      <c r="CN218" s="21">
        <f t="shared" si="1639"/>
        <v>474.80678845366833</v>
      </c>
      <c r="CO218" s="21">
        <f t="shared" si="1639"/>
        <v>472.84380773122354</v>
      </c>
      <c r="CP218" s="21">
        <f t="shared" si="1639"/>
        <v>521.9245113050448</v>
      </c>
      <c r="CQ218" s="21">
        <f t="shared" si="1639"/>
        <v>395.77444347280891</v>
      </c>
      <c r="CR218" s="21">
        <f t="shared" si="1639"/>
        <v>404.37203007933493</v>
      </c>
      <c r="CS218" s="21">
        <f t="shared" si="1639"/>
        <v>433.0982840922585</v>
      </c>
      <c r="CT218" s="21">
        <f t="shared" si="1639"/>
        <v>523.27358961995822</v>
      </c>
      <c r="CU218" s="21">
        <f t="shared" si="1639"/>
        <v>394.28154924786861</v>
      </c>
      <c r="CV218" s="21">
        <f t="shared" si="1639"/>
        <v>400.46103012003726</v>
      </c>
      <c r="CW218" s="21">
        <f t="shared" si="1639"/>
        <v>429.48208830717311</v>
      </c>
      <c r="CX218" s="21">
        <f t="shared" si="1639"/>
        <v>512.55583867256553</v>
      </c>
      <c r="CY218" s="21">
        <f t="shared" si="1639"/>
        <v>391.17945806180614</v>
      </c>
      <c r="CZ218" s="21">
        <f t="shared" si="1639"/>
        <v>395.81917726300236</v>
      </c>
      <c r="DA218" s="21">
        <f t="shared" si="1639"/>
        <v>426.95513222658604</v>
      </c>
      <c r="DB218" s="21">
        <f t="shared" si="1639"/>
        <v>517.12978835524734</v>
      </c>
      <c r="DE218" s="126"/>
      <c r="DF218" s="22">
        <v>445.58952194155393</v>
      </c>
    </row>
    <row r="219" spans="1:110" s="23" customFormat="1" x14ac:dyDescent="0.2">
      <c r="A219" s="23" t="s">
        <v>65</v>
      </c>
      <c r="C219" s="23">
        <f t="shared" ref="C219:AA219" si="1640">B171-C171+B186+B187-C186-C187</f>
        <v>0</v>
      </c>
      <c r="D219" s="23">
        <f t="shared" si="1640"/>
        <v>-227.12200000000001</v>
      </c>
      <c r="E219" s="23">
        <f>D171-E171+D186+D187-E186-E187</f>
        <v>-100.6609999999999</v>
      </c>
      <c r="F219" s="23">
        <f t="shared" si="1640"/>
        <v>41.605999999999938</v>
      </c>
      <c r="G219" s="23">
        <f t="shared" si="1640"/>
        <v>-232.88500000000002</v>
      </c>
      <c r="H219" s="23">
        <f t="shared" si="1640"/>
        <v>109.71400000000006</v>
      </c>
      <c r="I219" s="23">
        <f t="shared" si="1640"/>
        <v>-543.36299999999994</v>
      </c>
      <c r="J219" s="23">
        <f>I171-J171+I186+I187-J186-J187</f>
        <v>166.77199999999982</v>
      </c>
      <c r="K219" s="23">
        <f>J171-K171+J186+J187-K186-K187</f>
        <v>-513.59900000000005</v>
      </c>
      <c r="L219" s="23">
        <f t="shared" si="1640"/>
        <v>-948.82500000000039</v>
      </c>
      <c r="M219" s="23">
        <f t="shared" si="1640"/>
        <v>51.673000000000584</v>
      </c>
      <c r="N219" s="23">
        <f t="shared" si="1640"/>
        <v>-399.22500000000002</v>
      </c>
      <c r="O219" s="23">
        <f t="shared" si="1640"/>
        <v>-243.64800000000014</v>
      </c>
      <c r="P219" s="23">
        <f t="shared" si="1640"/>
        <v>-145.78799999999973</v>
      </c>
      <c r="Q219" s="23">
        <f t="shared" si="1640"/>
        <v>-1163.9230000000005</v>
      </c>
      <c r="R219" s="23">
        <f t="shared" si="1640"/>
        <v>-126.74799999999954</v>
      </c>
      <c r="S219" s="23">
        <f t="shared" si="1640"/>
        <v>-1217.2970000000009</v>
      </c>
      <c r="T219" s="23">
        <f t="shared" si="1640"/>
        <v>-832.98899999999981</v>
      </c>
      <c r="U219" s="23">
        <f t="shared" si="1640"/>
        <v>650.53200000000129</v>
      </c>
      <c r="V219" s="23">
        <f t="shared" si="1640"/>
        <v>-1689.2740000000003</v>
      </c>
      <c r="W219" s="23">
        <f t="shared" si="1640"/>
        <v>-3967.3799999999983</v>
      </c>
      <c r="X219" s="23">
        <f t="shared" si="1640"/>
        <v>-18.43000000000103</v>
      </c>
      <c r="Y219" s="23">
        <f t="shared" si="1640"/>
        <v>803.60999999999888</v>
      </c>
      <c r="Z219" s="23">
        <f t="shared" si="1640"/>
        <v>-3352.0300000000007</v>
      </c>
      <c r="AA219" s="23">
        <f t="shared" si="1640"/>
        <v>-8.0399999999978604</v>
      </c>
      <c r="AB219" s="24">
        <f t="shared" ref="AB219" si="1641">AA171-AB171+AA186+AA187-AB186-AB187</f>
        <v>-1888.1776883263265</v>
      </c>
      <c r="AC219" s="24">
        <f t="shared" ref="AC219" si="1642">AB171-AC171+AB186+AB187-AC186-AC187</f>
        <v>-637.7609267960288</v>
      </c>
      <c r="AD219" s="24">
        <f t="shared" ref="AD219" si="1643">AC171-AD171+AC186+AC187-AD186-AD187</f>
        <v>-1385.3390934831768</v>
      </c>
      <c r="AE219" s="24">
        <f t="shared" ref="AE219" si="1644">AD171-AE171+AD186+AD187-AE186-AE187</f>
        <v>-1512.9521913395583</v>
      </c>
      <c r="AI219" s="23">
        <f>AH171-AI171+AH186+AH187-AI186-AJ187</f>
        <v>0</v>
      </c>
      <c r="AJ219" s="23">
        <f t="shared" ref="AJ219:AL219" si="1645">AI171-AJ171+AI186+AI187-AJ186-AK187</f>
        <v>0</v>
      </c>
      <c r="AK219" s="23" t="e">
        <f t="shared" si="1645"/>
        <v>#DIV/0!</v>
      </c>
      <c r="AL219" s="23" t="e">
        <f t="shared" si="1645"/>
        <v>#DIV/0!</v>
      </c>
      <c r="AM219" s="23" t="e">
        <f t="shared" ref="AM219" si="1646">AL171-AM171+AL186+AL187-AM186-AM187</f>
        <v>#DIV/0!</v>
      </c>
      <c r="AN219" s="23" t="e">
        <f t="shared" ref="AN219" si="1647">AM171-AN171+AM186+AM187-AN186-AN187</f>
        <v>#DIV/0!</v>
      </c>
      <c r="AO219" s="23" t="e">
        <f t="shared" ref="AO219" si="1648">AN171-AO171+AN186+AN187-AO186-AO187</f>
        <v>#DIV/0!</v>
      </c>
      <c r="AP219" s="23" t="e">
        <f t="shared" ref="AP219" si="1649">AO171-AP171+AO186+AO187-AP186-AP187</f>
        <v>#DIV/0!</v>
      </c>
      <c r="AQ219" s="23" t="e">
        <f t="shared" ref="AQ219" si="1650">AP171-AQ171+AP186+AP187-AQ186-AQ187</f>
        <v>#DIV/0!</v>
      </c>
      <c r="AR219" s="23" t="e">
        <f t="shared" ref="AR219" si="1651">AQ171-AR171+AQ186+AQ187-AR186-AR187</f>
        <v>#DIV/0!</v>
      </c>
      <c r="AS219" s="23" t="e">
        <f t="shared" ref="AS219" si="1652">AR171-AS171+AR186+AR187-AS186-AS187</f>
        <v>#DIV/0!</v>
      </c>
      <c r="AT219" s="23" t="e">
        <f t="shared" ref="AT219" si="1653">AS171-AT171+AS186+AS187-AT186-AT187</f>
        <v>#DIV/0!</v>
      </c>
      <c r="AU219" s="23" t="e">
        <f t="shared" ref="AU219" si="1654">AT171-AU171+AT186+AT187-AU186-AU187</f>
        <v>#DIV/0!</v>
      </c>
      <c r="AV219" s="23" t="e">
        <f t="shared" ref="AV219" si="1655">AU171-AV171+AU186+AU187-AV186-AV187</f>
        <v>#DIV/0!</v>
      </c>
      <c r="AW219" s="23" t="e">
        <f t="shared" ref="AW219" si="1656">AV171-AW171+AV186+AV187-AW186-AW187</f>
        <v>#DIV/0!</v>
      </c>
      <c r="AX219" s="23" t="e">
        <f t="shared" ref="AX219" si="1657">AW171-AX171+AW186+AW187-AX186-AX187</f>
        <v>#DIV/0!</v>
      </c>
      <c r="AY219" s="23" t="e">
        <f t="shared" ref="AY219" si="1658">AX171-AY171+AX186+AX187-AY186-AY187</f>
        <v>#DIV/0!</v>
      </c>
      <c r="AZ219" s="23" t="e">
        <f t="shared" ref="AZ219" si="1659">AY171-AZ171+AY186+AY187-AZ186-AZ187</f>
        <v>#DIV/0!</v>
      </c>
      <c r="BA219" s="23" t="e">
        <f t="shared" ref="BA219" si="1660">AZ171-BA171+AZ186+AZ187-BA186-BA187</f>
        <v>#DIV/0!</v>
      </c>
      <c r="BB219" s="23" t="e">
        <f t="shared" ref="BB219" si="1661">BA171-BB171+BA186+BA187-BB186-BB187</f>
        <v>#DIV/0!</v>
      </c>
      <c r="BC219" s="23" t="e">
        <f t="shared" ref="BC219" si="1662">BB171-BC171+BB186+BB187-BC186-BC187</f>
        <v>#DIV/0!</v>
      </c>
      <c r="BD219" s="23" t="e">
        <f t="shared" ref="BD219" si="1663">BC171-BD171+BC186+BC187-BD186-BD187</f>
        <v>#DIV/0!</v>
      </c>
      <c r="BE219" s="23" t="e">
        <f t="shared" ref="BE219" si="1664">BD171-BE171+BD186+BD187-BE186-BE187</f>
        <v>#DIV/0!</v>
      </c>
      <c r="BF219" s="23" t="e">
        <f t="shared" ref="BF219" si="1665">BE171-BF171+BE186+BE187-BF186-BF187</f>
        <v>#DIV/0!</v>
      </c>
      <c r="BG219" s="23" t="e">
        <f t="shared" ref="BG219" si="1666">BF171-BG171+BF186+BF187-BG186-BG187</f>
        <v>#DIV/0!</v>
      </c>
      <c r="BH219" s="23" t="e">
        <f t="shared" ref="BH219" si="1667">BG171-BH171+BG186+BG187-BH186-BH187</f>
        <v>#DIV/0!</v>
      </c>
      <c r="BI219" s="23" t="e">
        <f t="shared" ref="BI219" si="1668">BH171-BI171+BH186+BH187-BI186-BI187</f>
        <v>#DIV/0!</v>
      </c>
      <c r="BJ219" s="23" t="e">
        <f t="shared" ref="BJ219" si="1669">BI171-BJ171+BI186+BI187-BJ186-BJ187</f>
        <v>#DIV/0!</v>
      </c>
      <c r="BK219" s="23" t="e">
        <f t="shared" ref="BK219" si="1670">BJ171-BK171+BJ186+BJ187-BK186-BK187</f>
        <v>#DIV/0!</v>
      </c>
      <c r="BL219" s="23" t="e">
        <f t="shared" ref="BL219" si="1671">BK171-BL171+BK186+BK187-BL186-BL187</f>
        <v>#DIV/0!</v>
      </c>
      <c r="BM219" s="23" t="e">
        <f t="shared" ref="BM219" si="1672">BL171-BM171+BL186+BL187-BM186-BM187</f>
        <v>#DIV/0!</v>
      </c>
      <c r="BN219" s="23" t="e">
        <f t="shared" ref="BN219" si="1673">BM171-BN171+BM186+BM187-BN186-BN187</f>
        <v>#DIV/0!</v>
      </c>
      <c r="BO219" s="23" t="e">
        <f t="shared" ref="BO219" si="1674">BN171-BO171+BN186+BN187-BO186-BO187</f>
        <v>#DIV/0!</v>
      </c>
      <c r="BP219" s="23" t="e">
        <f t="shared" ref="BP219" si="1675">BO171-BP171+BO186+BO187-BP186-BP187</f>
        <v>#DIV/0!</v>
      </c>
      <c r="BQ219" s="23" t="e">
        <f t="shared" ref="BQ219" si="1676">BP171-BQ171+BP186+BP187-BQ186-BQ187</f>
        <v>#DIV/0!</v>
      </c>
      <c r="BR219" s="23" t="e">
        <f t="shared" ref="BR219" si="1677">BQ171-BR171+BQ186+BQ187-BR186-BR187</f>
        <v>#DIV/0!</v>
      </c>
      <c r="BS219" s="23">
        <f t="shared" ref="BS219" si="1678">BR171-BS171+BR186+BR187-BS186-BS187</f>
        <v>-377.15211898234071</v>
      </c>
      <c r="BT219" s="23">
        <f t="shared" ref="BT219" si="1679">BS171-BT171+BS186+BS187-BT186-BT187</f>
        <v>7964.0521189823421</v>
      </c>
      <c r="BU219" s="23">
        <f t="shared" ref="BU219" si="1680">BT171-BU171+BT186+BT187-BU186-BU187</f>
        <v>0</v>
      </c>
      <c r="BV219" s="23">
        <f t="shared" ref="BV219" si="1681">BU171-BV171+BU186+BU187-BV186-BV187</f>
        <v>-11577.939999999999</v>
      </c>
      <c r="BW219" s="23">
        <f t="shared" ref="BW219" si="1682">BV171-BW171+BV186+BV187-BW186-BW187</f>
        <v>128.65387256104441</v>
      </c>
      <c r="BX219" s="23">
        <f t="shared" ref="BX219" si="1683">BW171-BX171+BW186+BW187-BX186-BX187</f>
        <v>256.51612743895413</v>
      </c>
      <c r="BY219" s="23">
        <f t="shared" ref="BY219" si="1684">BX171-BY171+BX186+BX187-BY186-BY187</f>
        <v>-850.73404093136196</v>
      </c>
      <c r="BZ219" s="23">
        <f t="shared" ref="BZ219" si="1685">BY171-BZ171+BY186+BY187-BZ186-BZ187</f>
        <v>411.00404093136137</v>
      </c>
      <c r="CA219" s="23">
        <f t="shared" ref="CA219" si="1686">BZ171-CA171+BZ186+BZ187-CA186-CA187</f>
        <v>654.50589678676806</v>
      </c>
      <c r="CB219" s="23">
        <f t="shared" ref="CB219" si="1687">CA171-CB171+CA186+CA187-CB186-CB187</f>
        <v>-817.1558967867677</v>
      </c>
      <c r="CC219" s="23">
        <f t="shared" ref="CC219" si="1688">CB171-CC171+CB186+CB187-CC186-CC187</f>
        <v>-429.93046338391645</v>
      </c>
      <c r="CD219" s="23">
        <f t="shared" ref="CD219" si="1689">CC171-CD171+CC186+CC187-CD186-CD187</f>
        <v>1364.4804633839158</v>
      </c>
      <c r="CE219" s="23">
        <f t="shared" ref="CE219" si="1690">CD171-CE171+CD186+CD187-CE186-CE187</f>
        <v>-632.75461789949804</v>
      </c>
      <c r="CF219" s="23">
        <f t="shared" ref="CF219" si="1691">CE171-CF171+CE186+CE187-CF186-CF187</f>
        <v>-536.63538210050194</v>
      </c>
      <c r="CG219" s="23">
        <f t="shared" ref="CG219" si="1692">CF171-CG171+CF186+CF187-CG186-CG187</f>
        <v>-1691.5657313179163</v>
      </c>
      <c r="CH219" s="23">
        <f t="shared" ref="CH219:CL219" si="1693">CG171-CH171+CG186+CG187-CH186-CH187</f>
        <v>-177.72426868208385</v>
      </c>
      <c r="CI219" s="23">
        <f t="shared" si="1693"/>
        <v>913.76033614579319</v>
      </c>
      <c r="CJ219" s="23">
        <f t="shared" si="1693"/>
        <v>-2443.2203361457919</v>
      </c>
      <c r="CK219" s="23">
        <f t="shared" ref="CK219" si="1694">CJ171-CK171+CJ186+CJ187-CK186-CK187</f>
        <v>-898.15149287940403</v>
      </c>
      <c r="CL219" s="23">
        <f t="shared" si="1693"/>
        <v>1940.5114928794053</v>
      </c>
      <c r="CM219" s="24">
        <f t="shared" ref="CM219" si="1695">CL171-CM171+CL186+CL187-CM186-CM187</f>
        <v>2364.2311395684264</v>
      </c>
      <c r="CN219" s="24">
        <f t="shared" ref="CN219" si="1696">CM171-CN171+CM186+CM187-CN186-CN187</f>
        <v>-607.16007831632851</v>
      </c>
      <c r="CO219" s="24">
        <f t="shared" ref="CO219" si="1697">CN171-CO171+CN186+CN187-CO186-CO187</f>
        <v>-892.89805224488919</v>
      </c>
      <c r="CP219" s="24">
        <f t="shared" ref="CP219" si="1698">CO171-CP171+CO186+CO187-CP186-CP187</f>
        <v>-2273.2906973335357</v>
      </c>
      <c r="CQ219" s="24">
        <f t="shared" ref="CQ219" si="1699">CP171-CQ171+CP186+CP187-CQ186-CQ187</f>
        <v>3328.2295623210521</v>
      </c>
      <c r="CR219" s="24">
        <f t="shared" ref="CR219" si="1700">CQ171-CR171+CQ186+CQ187-CR186-CR187</f>
        <v>-662.60970773075496</v>
      </c>
      <c r="CS219" s="24">
        <f t="shared" ref="CS219" si="1701">CR171-CS171+CR186+CR187-CS186-CS187</f>
        <v>-947.94850188790406</v>
      </c>
      <c r="CT219" s="24">
        <f t="shared" ref="CT219" si="1702">CS171-CT171+CS186+CS187-CT186-CT187</f>
        <v>-2355.4322794984218</v>
      </c>
      <c r="CU219" s="24">
        <f t="shared" ref="CU219" si="1703">CT171-CU171+CT186+CT187-CU186-CU187</f>
        <v>2912.8832222238289</v>
      </c>
      <c r="CV219" s="24">
        <f t="shared" ref="CV219" si="1704">CU171-CV171+CU186+CU187-CV186-CV187</f>
        <v>-709.57678421256242</v>
      </c>
      <c r="CW219" s="24">
        <f t="shared" ref="CW219" si="1705">CV171-CW171+CV186+CV187-CW186-CW187</f>
        <v>-1033.1065444001142</v>
      </c>
      <c r="CX219" s="24">
        <f t="shared" ref="CX219" si="1706">CW171-CX171+CW186+CW187-CX186-CX187</f>
        <v>-2555.5389870943291</v>
      </c>
      <c r="CY219" s="24">
        <f t="shared" ref="CY219" si="1707">CX171-CY171+CX186+CX187-CY186-CY187</f>
        <v>3141.3238669712755</v>
      </c>
      <c r="CZ219" s="24">
        <f t="shared" ref="CZ219" si="1708">CY171-CZ171+CY186+CY187-CZ186-CZ187</f>
        <v>-751.83143318382827</v>
      </c>
      <c r="DA219" s="24">
        <f t="shared" ref="DA219" si="1709">CZ171-DA171+CZ186+CZ187-DA186-DA187</f>
        <v>-1125.0799471939863</v>
      </c>
      <c r="DB219" s="24">
        <f t="shared" ref="DB219" si="1710">DA171-DB171+DA186+DA187-DB186-DB187</f>
        <v>-2777.3646779330193</v>
      </c>
      <c r="DE219" s="123"/>
      <c r="DF219" s="23">
        <v>-2714.4636579518519</v>
      </c>
    </row>
    <row r="220" spans="1:110" s="23" customFormat="1" x14ac:dyDescent="0.2">
      <c r="A220" s="23" t="s">
        <v>73</v>
      </c>
      <c r="C220" s="23">
        <f t="shared" ref="C220:AA220" si="1711">B179-C179</f>
        <v>0</v>
      </c>
      <c r="D220" s="23">
        <f t="shared" si="1711"/>
        <v>-247.88499999999999</v>
      </c>
      <c r="E220" s="23">
        <f>D179-E179</f>
        <v>-130.90400000000005</v>
      </c>
      <c r="F220" s="23">
        <f t="shared" si="1711"/>
        <v>30.526000000000067</v>
      </c>
      <c r="G220" s="23">
        <f t="shared" si="1711"/>
        <v>-247.18799999999993</v>
      </c>
      <c r="H220" s="23">
        <f t="shared" si="1711"/>
        <v>121.74899999999991</v>
      </c>
      <c r="I220" s="23">
        <f t="shared" si="1711"/>
        <v>-545.05599999999993</v>
      </c>
      <c r="J220" s="23">
        <f>I179-J179</f>
        <v>392.18299999999999</v>
      </c>
      <c r="K220" s="23">
        <f>J179-K179</f>
        <v>-469.58400000000017</v>
      </c>
      <c r="L220" s="23">
        <f t="shared" si="1711"/>
        <v>-367.81899999999973</v>
      </c>
      <c r="M220" s="23">
        <f t="shared" si="1711"/>
        <v>-723.14900000000057</v>
      </c>
      <c r="N220" s="23">
        <f t="shared" si="1711"/>
        <v>-52.918999999999869</v>
      </c>
      <c r="O220" s="23">
        <f t="shared" si="1711"/>
        <v>-527.22299999999996</v>
      </c>
      <c r="P220" s="23">
        <f t="shared" si="1711"/>
        <v>-39.829999999999927</v>
      </c>
      <c r="Q220" s="23">
        <f t="shared" si="1711"/>
        <v>-717.15800000000036</v>
      </c>
      <c r="R220" s="23">
        <f t="shared" si="1711"/>
        <v>175.19800000000077</v>
      </c>
      <c r="S220" s="23">
        <f t="shared" si="1711"/>
        <v>-2091.5300000000002</v>
      </c>
      <c r="T220" s="23">
        <f t="shared" si="1711"/>
        <v>-1815.8920000000007</v>
      </c>
      <c r="U220" s="23">
        <f t="shared" si="1711"/>
        <v>730.80600000000049</v>
      </c>
      <c r="V220" s="23">
        <f t="shared" si="1711"/>
        <v>-344.03499999999894</v>
      </c>
      <c r="W220" s="23">
        <f t="shared" si="1711"/>
        <v>-4020.3199999999997</v>
      </c>
      <c r="X220" s="23">
        <f t="shared" si="1711"/>
        <v>697.11999999999716</v>
      </c>
      <c r="Y220" s="23">
        <f t="shared" si="1711"/>
        <v>1456.0700000000015</v>
      </c>
      <c r="Z220" s="23">
        <f t="shared" si="1711"/>
        <v>-2213.41</v>
      </c>
      <c r="AA220" s="23">
        <f t="shared" si="1711"/>
        <v>-2081.4800000000014</v>
      </c>
      <c r="AB220" s="24">
        <f t="shared" ref="AB220" si="1712">AA179-AB179</f>
        <v>-1238.3865277409514</v>
      </c>
      <c r="AC220" s="24">
        <f t="shared" ref="AC220" si="1713">AB179-AC179</f>
        <v>-560.48869885514432</v>
      </c>
      <c r="AD220" s="24">
        <f t="shared" ref="AD220" si="1714">AC179-AD179</f>
        <v>-1217.4889889858005</v>
      </c>
      <c r="AE220" s="24">
        <f t="shared" ref="AE220" si="1715">AD179-AE179</f>
        <v>-1329.6402609894449</v>
      </c>
      <c r="AI220" s="23">
        <f t="shared" ref="AI220" si="1716">AH179-AI179</f>
        <v>0</v>
      </c>
      <c r="AJ220" s="23">
        <f t="shared" ref="AJ220" si="1717">AI179-AJ179</f>
        <v>0</v>
      </c>
      <c r="AK220" s="23" t="e">
        <f t="shared" ref="AK220" si="1718">AJ179-AK179</f>
        <v>#DIV/0!</v>
      </c>
      <c r="AL220" s="23" t="e">
        <f t="shared" ref="AL220" si="1719">AK179-AL179</f>
        <v>#DIV/0!</v>
      </c>
      <c r="AM220" s="23" t="e">
        <f t="shared" ref="AM220" si="1720">AL179-AM179</f>
        <v>#DIV/0!</v>
      </c>
      <c r="AN220" s="23" t="e">
        <f t="shared" ref="AN220" si="1721">AM179-AN179</f>
        <v>#DIV/0!</v>
      </c>
      <c r="AO220" s="23" t="e">
        <f t="shared" ref="AO220" si="1722">AN179-AO179</f>
        <v>#DIV/0!</v>
      </c>
      <c r="AP220" s="23" t="e">
        <f t="shared" ref="AP220" si="1723">AO179-AP179</f>
        <v>#DIV/0!</v>
      </c>
      <c r="AQ220" s="23" t="e">
        <f t="shared" ref="AQ220" si="1724">AP179-AQ179</f>
        <v>#DIV/0!</v>
      </c>
      <c r="AR220" s="23" t="e">
        <f t="shared" ref="AR220" si="1725">AQ179-AR179</f>
        <v>#DIV/0!</v>
      </c>
      <c r="AS220" s="23" t="e">
        <f t="shared" ref="AS220" si="1726">AR179-AS179</f>
        <v>#DIV/0!</v>
      </c>
      <c r="AT220" s="23" t="e">
        <f t="shared" ref="AT220" si="1727">AS179-AT179</f>
        <v>#DIV/0!</v>
      </c>
      <c r="AU220" s="23" t="e">
        <f t="shared" ref="AU220" si="1728">AT179-AU179</f>
        <v>#DIV/0!</v>
      </c>
      <c r="AV220" s="23" t="e">
        <f t="shared" ref="AV220" si="1729">AU179-AV179</f>
        <v>#DIV/0!</v>
      </c>
      <c r="AW220" s="23" t="e">
        <f t="shared" ref="AW220" si="1730">AV179-AW179</f>
        <v>#DIV/0!</v>
      </c>
      <c r="AX220" s="23" t="e">
        <f t="shared" ref="AX220" si="1731">AW179-AX179</f>
        <v>#DIV/0!</v>
      </c>
      <c r="AY220" s="23" t="e">
        <f t="shared" ref="AY220" si="1732">AX179-AY179</f>
        <v>#DIV/0!</v>
      </c>
      <c r="AZ220" s="23" t="e">
        <f t="shared" ref="AZ220" si="1733">AY179-AZ179</f>
        <v>#DIV/0!</v>
      </c>
      <c r="BA220" s="23" t="e">
        <f t="shared" ref="BA220" si="1734">AZ179-BA179</f>
        <v>#DIV/0!</v>
      </c>
      <c r="BB220" s="23" t="e">
        <f t="shared" ref="BB220" si="1735">BA179-BB179</f>
        <v>#DIV/0!</v>
      </c>
      <c r="BC220" s="23" t="e">
        <f t="shared" ref="BC220" si="1736">BB179-BC179</f>
        <v>#DIV/0!</v>
      </c>
      <c r="BD220" s="23" t="e">
        <f t="shared" ref="BD220" si="1737">BC179-BD179</f>
        <v>#DIV/0!</v>
      </c>
      <c r="BE220" s="23" t="e">
        <f t="shared" ref="BE220" si="1738">BD179-BE179</f>
        <v>#DIV/0!</v>
      </c>
      <c r="BF220" s="23" t="e">
        <f t="shared" ref="BF220" si="1739">BE179-BF179</f>
        <v>#DIV/0!</v>
      </c>
      <c r="BG220" s="23" t="e">
        <f t="shared" ref="BG220" si="1740">BF179-BG179</f>
        <v>#DIV/0!</v>
      </c>
      <c r="BH220" s="23" t="e">
        <f t="shared" ref="BH220" si="1741">BG179-BH179</f>
        <v>#DIV/0!</v>
      </c>
      <c r="BI220" s="23" t="e">
        <f t="shared" ref="BI220" si="1742">BH179-BI179</f>
        <v>#DIV/0!</v>
      </c>
      <c r="BJ220" s="23" t="e">
        <f t="shared" ref="BJ220" si="1743">BI179-BJ179</f>
        <v>#DIV/0!</v>
      </c>
      <c r="BK220" s="23" t="e">
        <f t="shared" ref="BK220" si="1744">BJ179-BK179</f>
        <v>#DIV/0!</v>
      </c>
      <c r="BL220" s="23" t="e">
        <f t="shared" ref="BL220" si="1745">BK179-BL179</f>
        <v>#DIV/0!</v>
      </c>
      <c r="BM220" s="23" t="e">
        <f t="shared" ref="BM220" si="1746">BL179-BM179</f>
        <v>#DIV/0!</v>
      </c>
      <c r="BN220" s="23" t="e">
        <f t="shared" ref="BN220" si="1747">BM179-BN179</f>
        <v>#DIV/0!</v>
      </c>
      <c r="BO220" s="23" t="e">
        <f t="shared" ref="BO220" si="1748">BN179-BO179</f>
        <v>#DIV/0!</v>
      </c>
      <c r="BP220" s="23" t="e">
        <f t="shared" ref="BP220" si="1749">BO179-BP179</f>
        <v>#DIV/0!</v>
      </c>
      <c r="BQ220" s="23" t="e">
        <f t="shared" ref="BQ220" si="1750">BP179-BQ179</f>
        <v>#DIV/0!</v>
      </c>
      <c r="BR220" s="23" t="e">
        <f t="shared" ref="BR220" si="1751">BQ179-BR179</f>
        <v>#DIV/0!</v>
      </c>
      <c r="BS220" s="23">
        <f t="shared" ref="BS220" si="1752">BR179-BS179</f>
        <v>-311.2133533508113</v>
      </c>
      <c r="BT220" s="23">
        <f t="shared" ref="BT220" si="1753">BS179-BT179</f>
        <v>7180.9233533508113</v>
      </c>
      <c r="BU220" s="23">
        <f t="shared" ref="BU220" si="1754">BT179-BU179</f>
        <v>0</v>
      </c>
      <c r="BV220" s="23">
        <f t="shared" ref="BV220" si="1755">BU179-BV179</f>
        <v>-10890.029999999999</v>
      </c>
      <c r="BW220" s="23">
        <f t="shared" ref="BW220" si="1756">BV179-BW179</f>
        <v>23.808431769641174</v>
      </c>
      <c r="BX220" s="23">
        <f t="shared" ref="BX220" si="1757">BW179-BX179</f>
        <v>963.76156823035853</v>
      </c>
      <c r="BY220" s="23">
        <f t="shared" ref="BY220" si="1758">BX179-BY179</f>
        <v>-134.81399127775876</v>
      </c>
      <c r="BZ220" s="23">
        <f t="shared" ref="BZ220" si="1759">BY179-BZ179</f>
        <v>-155.63600872224197</v>
      </c>
      <c r="CA220" s="23">
        <f t="shared" ref="CA220" si="1760">BZ179-CA179</f>
        <v>139.58648176554743</v>
      </c>
      <c r="CB220" s="23">
        <f t="shared" ref="CB220" si="1761">CA179-CB179</f>
        <v>1483.6635182344526</v>
      </c>
      <c r="CC220" s="23">
        <f t="shared" ref="CC220" si="1762">CB179-CC179</f>
        <v>-62.226434477446674</v>
      </c>
      <c r="CD220" s="23">
        <f t="shared" ref="CD220" si="1763">CC179-CD179</f>
        <v>-104.95356552255362</v>
      </c>
      <c r="CE220" s="23">
        <f t="shared" ref="CE220" si="1764">CD179-CE179</f>
        <v>-195.54346945396719</v>
      </c>
      <c r="CF220" s="23">
        <f t="shared" ref="CF220" si="1765">CE179-CF179</f>
        <v>-1705.8365305460338</v>
      </c>
      <c r="CG220" s="23">
        <f t="shared" ref="CG220" si="1766">CF179-CG179</f>
        <v>-515.83031281790863</v>
      </c>
      <c r="CH220" s="23">
        <f t="shared" ref="CH220:CL220" si="1767">CG179-CH179</f>
        <v>203.8003128179098</v>
      </c>
      <c r="CI220" s="23">
        <f t="shared" si="1767"/>
        <v>703.36665470808657</v>
      </c>
      <c r="CJ220" s="23">
        <f t="shared" si="1767"/>
        <v>-3591.3166547080855</v>
      </c>
      <c r="CK220" s="23">
        <f t="shared" ref="CK220" si="1768">CJ179-CK179</f>
        <v>-784.56374793590476</v>
      </c>
      <c r="CL220" s="23">
        <f t="shared" si="1767"/>
        <v>1591.0337479359041</v>
      </c>
      <c r="CM220" s="24">
        <f t="shared" ref="CM220" si="1769">CL179-CM179</f>
        <v>2077.7767648241679</v>
      </c>
      <c r="CN220" s="24">
        <f t="shared" ref="CN220" si="1770">CM179-CN179</f>
        <v>-533.59550263126039</v>
      </c>
      <c r="CO220" s="24">
        <f t="shared" ref="CO220" si="1771">CN179-CO179</f>
        <v>-784.71296450729096</v>
      </c>
      <c r="CP220" s="24">
        <f t="shared" ref="CP220" si="1772">CO179-CP179</f>
        <v>-1997.8548254265697</v>
      </c>
      <c r="CQ220" s="24">
        <f t="shared" ref="CQ220" si="1773">CP179-CQ179</f>
        <v>2924.9754547492867</v>
      </c>
      <c r="CR220" s="24">
        <f t="shared" ref="CR220" si="1774">CQ179-CR179</f>
        <v>-582.32675808559543</v>
      </c>
      <c r="CS220" s="24">
        <f t="shared" ref="CS220" si="1775">CR179-CS179</f>
        <v>-833.09340550860725</v>
      </c>
      <c r="CT220" s="24">
        <f t="shared" ref="CT220" si="1776">CS179-CT179</f>
        <v>-2070.0439900102283</v>
      </c>
      <c r="CU220" s="24">
        <f t="shared" ref="CU220" si="1777">CT179-CU179</f>
        <v>2559.953202751416</v>
      </c>
      <c r="CV220" s="24">
        <f t="shared" ref="CV220" si="1778">CU179-CV179</f>
        <v>-623.60322153807647</v>
      </c>
      <c r="CW220" s="24">
        <f t="shared" ref="CW220" si="1779">CV179-CW179</f>
        <v>-907.93355083470487</v>
      </c>
      <c r="CX220" s="24">
        <f t="shared" ref="CX220" si="1780">CW179-CX179</f>
        <v>-2245.9054193644351</v>
      </c>
      <c r="CY220" s="24">
        <f t="shared" ref="CY220" si="1781">CX179-CY179</f>
        <v>2760.7155799377415</v>
      </c>
      <c r="CZ220" s="24">
        <f t="shared" ref="CZ220" si="1782">CY179-CZ179</f>
        <v>-660.73822342893254</v>
      </c>
      <c r="DA220" s="24">
        <f t="shared" ref="DA220" si="1783">CZ179-DA179</f>
        <v>-988.76329548556532</v>
      </c>
      <c r="DB220" s="24">
        <f t="shared" ref="DB220" si="1784">DA179-DB179</f>
        <v>-2440.8543220126885</v>
      </c>
      <c r="DE220" s="123"/>
      <c r="DF220" s="23">
        <v>-2371.1698950596328</v>
      </c>
    </row>
    <row r="221" spans="1:110" s="22" customFormat="1" x14ac:dyDescent="0.2">
      <c r="A221" s="22" t="s">
        <v>90</v>
      </c>
      <c r="C221" s="22">
        <f t="shared" ref="C221:W221" si="1785">C219-C220</f>
        <v>0</v>
      </c>
      <c r="D221" s="22">
        <f t="shared" si="1785"/>
        <v>20.762999999999977</v>
      </c>
      <c r="E221" s="22">
        <f t="shared" si="1785"/>
        <v>30.243000000000151</v>
      </c>
      <c r="F221" s="22">
        <f t="shared" si="1785"/>
        <v>11.07999999999987</v>
      </c>
      <c r="G221" s="22">
        <f t="shared" si="1785"/>
        <v>14.302999999999912</v>
      </c>
      <c r="H221" s="22">
        <f t="shared" si="1785"/>
        <v>-12.034999999999854</v>
      </c>
      <c r="I221" s="22">
        <f t="shared" si="1785"/>
        <v>1.6929999999999836</v>
      </c>
      <c r="J221" s="22">
        <f>J219-J220</f>
        <v>-225.41100000000017</v>
      </c>
      <c r="K221" s="22">
        <f t="shared" si="1785"/>
        <v>-44.014999999999873</v>
      </c>
      <c r="L221" s="22">
        <f t="shared" si="1785"/>
        <v>-581.00600000000065</v>
      </c>
      <c r="M221" s="22">
        <f t="shared" si="1785"/>
        <v>774.82200000000114</v>
      </c>
      <c r="N221" s="22">
        <f t="shared" si="1785"/>
        <v>-346.30600000000015</v>
      </c>
      <c r="O221" s="22">
        <f t="shared" si="1785"/>
        <v>283.57499999999982</v>
      </c>
      <c r="P221" s="22">
        <f t="shared" si="1785"/>
        <v>-105.9579999999998</v>
      </c>
      <c r="Q221" s="22">
        <f t="shared" si="1785"/>
        <v>-446.7650000000001</v>
      </c>
      <c r="R221" s="22">
        <f t="shared" si="1785"/>
        <v>-301.94600000000031</v>
      </c>
      <c r="S221" s="22">
        <f t="shared" si="1785"/>
        <v>874.23299999999927</v>
      </c>
      <c r="T221" s="22">
        <f t="shared" si="1785"/>
        <v>982.90300000000093</v>
      </c>
      <c r="U221" s="22">
        <f t="shared" si="1785"/>
        <v>-80.273999999999205</v>
      </c>
      <c r="V221" s="22">
        <f t="shared" si="1785"/>
        <v>-1345.2390000000014</v>
      </c>
      <c r="W221" s="22">
        <f t="shared" si="1785"/>
        <v>52.940000000001419</v>
      </c>
      <c r="X221" s="22">
        <f t="shared" ref="X221:Y221" si="1786">X219-X220</f>
        <v>-715.54999999999814</v>
      </c>
      <c r="Y221" s="22">
        <f t="shared" si="1786"/>
        <v>-652.46000000000265</v>
      </c>
      <c r="Z221" s="22">
        <f t="shared" ref="Z221:AA221" si="1787">Z219-Z220</f>
        <v>-1138.6200000000008</v>
      </c>
      <c r="AA221" s="22">
        <f t="shared" si="1787"/>
        <v>2073.4400000000037</v>
      </c>
      <c r="AB221" s="21">
        <f t="shared" ref="AA221:AD221" si="1788">AB219-AB220</f>
        <v>-649.79116058537511</v>
      </c>
      <c r="AC221" s="21">
        <f t="shared" si="1788"/>
        <v>-77.272227940884477</v>
      </c>
      <c r="AD221" s="21">
        <f t="shared" si="1788"/>
        <v>-167.85010449737638</v>
      </c>
      <c r="AE221" s="21">
        <f t="shared" ref="AE221" si="1789">AE219-AE220</f>
        <v>-183.31193035011347</v>
      </c>
      <c r="AI221" s="22">
        <f t="shared" ref="AI221" si="1790">AI219-AI220</f>
        <v>0</v>
      </c>
      <c r="AJ221" s="22">
        <f t="shared" ref="AJ221:AL221" si="1791">AJ219-AJ220</f>
        <v>0</v>
      </c>
      <c r="AK221" s="22" t="e">
        <f t="shared" si="1791"/>
        <v>#DIV/0!</v>
      </c>
      <c r="AL221" s="22" t="e">
        <f t="shared" si="1791"/>
        <v>#DIV/0!</v>
      </c>
      <c r="AM221" s="22" t="e">
        <f t="shared" ref="AM221" si="1792">AM219-AM220</f>
        <v>#DIV/0!</v>
      </c>
      <c r="AN221" s="22" t="e">
        <f t="shared" ref="AN221:CD221" si="1793">AN219-AN220</f>
        <v>#DIV/0!</v>
      </c>
      <c r="AO221" s="22" t="e">
        <f t="shared" si="1793"/>
        <v>#DIV/0!</v>
      </c>
      <c r="AP221" s="22" t="e">
        <f t="shared" si="1793"/>
        <v>#DIV/0!</v>
      </c>
      <c r="AQ221" s="22" t="e">
        <f t="shared" si="1793"/>
        <v>#DIV/0!</v>
      </c>
      <c r="AR221" s="22" t="e">
        <f t="shared" si="1793"/>
        <v>#DIV/0!</v>
      </c>
      <c r="AS221" s="22" t="e">
        <f t="shared" si="1793"/>
        <v>#DIV/0!</v>
      </c>
      <c r="AT221" s="22" t="e">
        <f t="shared" si="1793"/>
        <v>#DIV/0!</v>
      </c>
      <c r="AU221" s="22" t="e">
        <f t="shared" si="1793"/>
        <v>#DIV/0!</v>
      </c>
      <c r="AV221" s="22" t="e">
        <f t="shared" si="1793"/>
        <v>#DIV/0!</v>
      </c>
      <c r="AW221" s="22" t="e">
        <f t="shared" si="1793"/>
        <v>#DIV/0!</v>
      </c>
      <c r="AX221" s="22" t="e">
        <f t="shared" si="1793"/>
        <v>#DIV/0!</v>
      </c>
      <c r="AY221" s="22" t="e">
        <f t="shared" si="1793"/>
        <v>#DIV/0!</v>
      </c>
      <c r="AZ221" s="22" t="e">
        <f t="shared" si="1793"/>
        <v>#DIV/0!</v>
      </c>
      <c r="BA221" s="22" t="e">
        <f t="shared" si="1793"/>
        <v>#DIV/0!</v>
      </c>
      <c r="BB221" s="22" t="e">
        <f t="shared" si="1793"/>
        <v>#DIV/0!</v>
      </c>
      <c r="BC221" s="22" t="e">
        <f t="shared" si="1793"/>
        <v>#DIV/0!</v>
      </c>
      <c r="BD221" s="22" t="e">
        <f t="shared" si="1793"/>
        <v>#DIV/0!</v>
      </c>
      <c r="BE221" s="22" t="e">
        <f t="shared" si="1793"/>
        <v>#DIV/0!</v>
      </c>
      <c r="BF221" s="22" t="e">
        <f t="shared" si="1793"/>
        <v>#DIV/0!</v>
      </c>
      <c r="BG221" s="22" t="e">
        <f t="shared" si="1793"/>
        <v>#DIV/0!</v>
      </c>
      <c r="BH221" s="22" t="e">
        <f t="shared" si="1793"/>
        <v>#DIV/0!</v>
      </c>
      <c r="BI221" s="22" t="e">
        <f t="shared" si="1793"/>
        <v>#DIV/0!</v>
      </c>
      <c r="BJ221" s="22" t="e">
        <f t="shared" si="1793"/>
        <v>#DIV/0!</v>
      </c>
      <c r="BK221" s="22" t="e">
        <f t="shared" si="1793"/>
        <v>#DIV/0!</v>
      </c>
      <c r="BL221" s="22" t="e">
        <f t="shared" si="1793"/>
        <v>#DIV/0!</v>
      </c>
      <c r="BM221" s="22" t="e">
        <f t="shared" si="1793"/>
        <v>#DIV/0!</v>
      </c>
      <c r="BN221" s="22" t="e">
        <f t="shared" si="1793"/>
        <v>#DIV/0!</v>
      </c>
      <c r="BO221" s="22" t="e">
        <f t="shared" si="1793"/>
        <v>#DIV/0!</v>
      </c>
      <c r="BP221" s="22" t="e">
        <f t="shared" si="1793"/>
        <v>#DIV/0!</v>
      </c>
      <c r="BQ221" s="22" t="e">
        <f t="shared" si="1793"/>
        <v>#DIV/0!</v>
      </c>
      <c r="BR221" s="22" t="e">
        <f t="shared" si="1793"/>
        <v>#DIV/0!</v>
      </c>
      <c r="BS221" s="22">
        <f t="shared" si="1793"/>
        <v>-65.938765631529407</v>
      </c>
      <c r="BT221" s="22">
        <f t="shared" si="1793"/>
        <v>783.12876563153077</v>
      </c>
      <c r="BU221" s="22">
        <f t="shared" si="1793"/>
        <v>0</v>
      </c>
      <c r="BV221" s="22">
        <f t="shared" si="1793"/>
        <v>-687.90999999999985</v>
      </c>
      <c r="BW221" s="22">
        <f t="shared" si="1793"/>
        <v>104.84544079140323</v>
      </c>
      <c r="BX221" s="22">
        <f t="shared" si="1793"/>
        <v>-707.24544079140446</v>
      </c>
      <c r="BY221" s="22">
        <f t="shared" si="1793"/>
        <v>-715.9200496536032</v>
      </c>
      <c r="BZ221" s="22">
        <f t="shared" si="1793"/>
        <v>566.64004965360334</v>
      </c>
      <c r="CA221" s="22">
        <f t="shared" si="1793"/>
        <v>514.91941502122063</v>
      </c>
      <c r="CB221" s="22">
        <f t="shared" si="1793"/>
        <v>-2300.8194150212203</v>
      </c>
      <c r="CC221" s="22">
        <f t="shared" si="1793"/>
        <v>-367.70402890646977</v>
      </c>
      <c r="CD221" s="22">
        <f t="shared" si="1793"/>
        <v>1469.4340289064694</v>
      </c>
      <c r="CE221" s="22">
        <f t="shared" ref="CE221:CF221" si="1794">CE219-CE220</f>
        <v>-437.21114844553085</v>
      </c>
      <c r="CF221" s="22">
        <f t="shared" si="1794"/>
        <v>1169.201148445532</v>
      </c>
      <c r="CG221" s="22">
        <f t="shared" ref="CG221:CH221" si="1795">CG219-CG220</f>
        <v>-1175.7354185000077</v>
      </c>
      <c r="CH221" s="22">
        <f t="shared" si="1795"/>
        <v>-381.52458149999364</v>
      </c>
      <c r="CI221" s="22">
        <f t="shared" ref="CI221:CJ221" si="1796">CI219-CI220</f>
        <v>210.39368143770662</v>
      </c>
      <c r="CJ221" s="22">
        <f t="shared" si="1796"/>
        <v>1148.0963185622936</v>
      </c>
      <c r="CK221" s="22">
        <f t="shared" ref="CK221:DB221" si="1797">CK219-CK220</f>
        <v>-113.58774494349927</v>
      </c>
      <c r="CL221" s="22">
        <f t="shared" si="1797"/>
        <v>349.47774494350119</v>
      </c>
      <c r="CM221" s="21">
        <f t="shared" si="1797"/>
        <v>286.45437474425853</v>
      </c>
      <c r="CN221" s="21">
        <f t="shared" si="1797"/>
        <v>-73.564575685068121</v>
      </c>
      <c r="CO221" s="21">
        <f t="shared" si="1797"/>
        <v>-108.18508773759822</v>
      </c>
      <c r="CP221" s="21">
        <f t="shared" si="1797"/>
        <v>-275.43587190696599</v>
      </c>
      <c r="CQ221" s="21">
        <f t="shared" si="1797"/>
        <v>403.25410757176542</v>
      </c>
      <c r="CR221" s="21">
        <f t="shared" si="1797"/>
        <v>-80.282949645159533</v>
      </c>
      <c r="CS221" s="21">
        <f t="shared" si="1797"/>
        <v>-114.85509637929681</v>
      </c>
      <c r="CT221" s="21">
        <f t="shared" si="1797"/>
        <v>-285.38828948819355</v>
      </c>
      <c r="CU221" s="21">
        <f t="shared" si="1797"/>
        <v>352.93001947241282</v>
      </c>
      <c r="CV221" s="21">
        <f t="shared" si="1797"/>
        <v>-85.973562674485947</v>
      </c>
      <c r="CW221" s="21">
        <f t="shared" si="1797"/>
        <v>-125.17299356540934</v>
      </c>
      <c r="CX221" s="21">
        <f t="shared" si="1797"/>
        <v>-309.63356772989391</v>
      </c>
      <c r="CY221" s="21">
        <f t="shared" si="1797"/>
        <v>380.608287033534</v>
      </c>
      <c r="CZ221" s="21">
        <f t="shared" si="1797"/>
        <v>-91.093209754895724</v>
      </c>
      <c r="DA221" s="21">
        <f t="shared" si="1797"/>
        <v>-136.31665170842098</v>
      </c>
      <c r="DB221" s="21">
        <f t="shared" si="1797"/>
        <v>-336.51035592033077</v>
      </c>
      <c r="DE221" s="126"/>
      <c r="DF221" s="22">
        <v>-343.29376289221909</v>
      </c>
    </row>
    <row r="222" spans="1:110" s="22" customFormat="1" x14ac:dyDescent="0.2">
      <c r="A222" s="22" t="s">
        <v>91</v>
      </c>
      <c r="C222" s="22">
        <f t="shared" ref="C222:W222" si="1798">C218+C221</f>
        <v>0</v>
      </c>
      <c r="D222" s="22">
        <f>D218+D221</f>
        <v>39.152999999999913</v>
      </c>
      <c r="E222" s="22">
        <f t="shared" si="1798"/>
        <v>52.338000000000264</v>
      </c>
      <c r="F222" s="22">
        <f t="shared" si="1798"/>
        <v>19.929999999999701</v>
      </c>
      <c r="G222" s="22">
        <f t="shared" si="1798"/>
        <v>29.42899999999965</v>
      </c>
      <c r="H222" s="22">
        <f t="shared" si="1798"/>
        <v>7.2889999999997777</v>
      </c>
      <c r="I222" s="22">
        <f t="shared" si="1798"/>
        <v>48.121999999999893</v>
      </c>
      <c r="J222" s="22">
        <f>J218+J221</f>
        <v>-147.80799999999965</v>
      </c>
      <c r="K222" s="22">
        <f t="shared" si="1798"/>
        <v>-6.5629999999995334</v>
      </c>
      <c r="L222" s="22">
        <f t="shared" si="1798"/>
        <v>-543.33300000000054</v>
      </c>
      <c r="M222" s="22">
        <f t="shared" si="1798"/>
        <v>819.58500000000038</v>
      </c>
      <c r="N222" s="22">
        <f t="shared" si="1798"/>
        <v>-215.94500000000096</v>
      </c>
      <c r="O222" s="22">
        <f t="shared" si="1798"/>
        <v>388.59599999999841</v>
      </c>
      <c r="P222" s="22">
        <f t="shared" si="1798"/>
        <v>85.758999999998991</v>
      </c>
      <c r="Q222" s="22">
        <f t="shared" si="1798"/>
        <v>-183.26799999999832</v>
      </c>
      <c r="R222" s="22">
        <f t="shared" si="1798"/>
        <v>49.959000000001595</v>
      </c>
      <c r="S222" s="22">
        <f t="shared" si="1798"/>
        <v>1428.1190000000008</v>
      </c>
      <c r="T222" s="22">
        <f t="shared" si="1798"/>
        <v>1551.7160000000003</v>
      </c>
      <c r="U222" s="22">
        <f t="shared" si="1798"/>
        <v>621.86700000000235</v>
      </c>
      <c r="V222" s="22">
        <f t="shared" si="1798"/>
        <v>-348.95900000000529</v>
      </c>
      <c r="W222" s="22">
        <f t="shared" si="1798"/>
        <v>1165.7300000000018</v>
      </c>
      <c r="X222" s="22">
        <f t="shared" ref="X222:Y222" si="1799">X218+X221</f>
        <v>225.03000000000452</v>
      </c>
      <c r="Y222" s="22">
        <f t="shared" si="1799"/>
        <v>-140.61999999999489</v>
      </c>
      <c r="Z222" s="22">
        <f t="shared" ref="Z222:AA222" si="1800">Z218+Z221</f>
        <v>481.56000000000085</v>
      </c>
      <c r="AA222" s="22">
        <f t="shared" si="1800"/>
        <v>3564.3199999999906</v>
      </c>
      <c r="AB222" s="21">
        <f t="shared" ref="AA222:AD222" si="1801">AB218+AB221</f>
        <v>1256.5462028923509</v>
      </c>
      <c r="AC222" s="21">
        <f t="shared" si="1801"/>
        <v>1679.2461193234799</v>
      </c>
      <c r="AD222" s="21">
        <f t="shared" si="1801"/>
        <v>1568.9304018502735</v>
      </c>
      <c r="AE222" s="21">
        <f t="shared" ref="AE222" si="1802">AE218+AE221</f>
        <v>1547.7716255565117</v>
      </c>
      <c r="AI222" s="22">
        <f t="shared" ref="AI222" si="1803">AI218+AI221</f>
        <v>0</v>
      </c>
      <c r="AJ222" s="22">
        <f t="shared" ref="AJ222:AL222" si="1804">AJ218+AJ221</f>
        <v>0</v>
      </c>
      <c r="AK222" s="22" t="e">
        <f t="shared" si="1804"/>
        <v>#DIV/0!</v>
      </c>
      <c r="AL222" s="22" t="e">
        <f t="shared" si="1804"/>
        <v>#DIV/0!</v>
      </c>
      <c r="AM222" s="22" t="e">
        <f t="shared" ref="AM222" si="1805">AM218+AM221</f>
        <v>#DIV/0!</v>
      </c>
      <c r="AN222" s="22" t="e">
        <f t="shared" ref="AN222:CD222" si="1806">AN218+AN221</f>
        <v>#DIV/0!</v>
      </c>
      <c r="AO222" s="22" t="e">
        <f t="shared" si="1806"/>
        <v>#DIV/0!</v>
      </c>
      <c r="AP222" s="22" t="e">
        <f t="shared" si="1806"/>
        <v>#DIV/0!</v>
      </c>
      <c r="AQ222" s="22" t="e">
        <f t="shared" si="1806"/>
        <v>#DIV/0!</v>
      </c>
      <c r="AR222" s="22" t="e">
        <f t="shared" si="1806"/>
        <v>#DIV/0!</v>
      </c>
      <c r="AS222" s="22" t="e">
        <f t="shared" si="1806"/>
        <v>#DIV/0!</v>
      </c>
      <c r="AT222" s="22" t="e">
        <f t="shared" si="1806"/>
        <v>#DIV/0!</v>
      </c>
      <c r="AU222" s="22" t="e">
        <f t="shared" si="1806"/>
        <v>#DIV/0!</v>
      </c>
      <c r="AV222" s="22" t="e">
        <f t="shared" si="1806"/>
        <v>#DIV/0!</v>
      </c>
      <c r="AW222" s="22" t="e">
        <f t="shared" si="1806"/>
        <v>#DIV/0!</v>
      </c>
      <c r="AX222" s="22" t="e">
        <f t="shared" si="1806"/>
        <v>#DIV/0!</v>
      </c>
      <c r="AY222" s="22" t="e">
        <f t="shared" si="1806"/>
        <v>#DIV/0!</v>
      </c>
      <c r="AZ222" s="22" t="e">
        <f t="shared" si="1806"/>
        <v>#DIV/0!</v>
      </c>
      <c r="BA222" s="22" t="e">
        <f t="shared" si="1806"/>
        <v>#DIV/0!</v>
      </c>
      <c r="BB222" s="22" t="e">
        <f t="shared" si="1806"/>
        <v>#DIV/0!</v>
      </c>
      <c r="BC222" s="22" t="e">
        <f t="shared" si="1806"/>
        <v>#DIV/0!</v>
      </c>
      <c r="BD222" s="22" t="e">
        <f t="shared" si="1806"/>
        <v>#DIV/0!</v>
      </c>
      <c r="BE222" s="22" t="e">
        <f t="shared" si="1806"/>
        <v>#DIV/0!</v>
      </c>
      <c r="BF222" s="22" t="e">
        <f t="shared" si="1806"/>
        <v>#DIV/0!</v>
      </c>
      <c r="BG222" s="22" t="e">
        <f t="shared" si="1806"/>
        <v>#DIV/0!</v>
      </c>
      <c r="BH222" s="22" t="e">
        <f t="shared" si="1806"/>
        <v>#DIV/0!</v>
      </c>
      <c r="BI222" s="22" t="e">
        <f t="shared" si="1806"/>
        <v>#DIV/0!</v>
      </c>
      <c r="BJ222" s="22" t="e">
        <f t="shared" si="1806"/>
        <v>#DIV/0!</v>
      </c>
      <c r="BK222" s="22" t="e">
        <f t="shared" si="1806"/>
        <v>#DIV/0!</v>
      </c>
      <c r="BL222" s="22" t="e">
        <f t="shared" si="1806"/>
        <v>#DIV/0!</v>
      </c>
      <c r="BM222" s="22" t="e">
        <f t="shared" si="1806"/>
        <v>#DIV/0!</v>
      </c>
      <c r="BN222" s="22" t="e">
        <f t="shared" si="1806"/>
        <v>#DIV/0!</v>
      </c>
      <c r="BO222" s="22" t="e">
        <f t="shared" si="1806"/>
        <v>#DIV/0!</v>
      </c>
      <c r="BP222" s="22" t="e">
        <f t="shared" si="1806"/>
        <v>#DIV/0!</v>
      </c>
      <c r="BQ222" s="22" t="e">
        <f t="shared" si="1806"/>
        <v>#DIV/0!</v>
      </c>
      <c r="BR222" s="22" t="e">
        <f t="shared" si="1806"/>
        <v>#DIV/0!</v>
      </c>
      <c r="BS222" s="22">
        <f t="shared" si="1806"/>
        <v>177.55123436847043</v>
      </c>
      <c r="BT222" s="22">
        <f t="shared" si="1806"/>
        <v>1041.9487656315309</v>
      </c>
      <c r="BU222" s="22">
        <f t="shared" si="1806"/>
        <v>292.710000000001</v>
      </c>
      <c r="BV222" s="22">
        <f t="shared" si="1806"/>
        <v>-370.13999999999987</v>
      </c>
      <c r="BW222" s="22">
        <f t="shared" si="1806"/>
        <v>384.01544079140382</v>
      </c>
      <c r="BX222" s="22">
        <f t="shared" si="1806"/>
        <v>-568.38544079140524</v>
      </c>
      <c r="BY222" s="22">
        <f t="shared" si="1806"/>
        <v>-378.8000496536032</v>
      </c>
      <c r="BZ222" s="22">
        <f t="shared" si="1806"/>
        <v>752.07004965360284</v>
      </c>
      <c r="CA222" s="22">
        <f t="shared" si="1806"/>
        <v>529.50941502122009</v>
      </c>
      <c r="CB222" s="22">
        <f t="shared" si="1806"/>
        <v>-2335.8094150212219</v>
      </c>
      <c r="CC222" s="22">
        <f t="shared" si="1806"/>
        <v>-71.4140289064689</v>
      </c>
      <c r="CD222" s="22">
        <f t="shared" si="1806"/>
        <v>1705.3840289064694</v>
      </c>
      <c r="CE222" s="22">
        <f t="shared" ref="CE222:CF222" si="1807">CE218+CE221</f>
        <v>-27.591148445529598</v>
      </c>
      <c r="CF222" s="22">
        <f t="shared" si="1807"/>
        <v>1572.6611484455325</v>
      </c>
      <c r="CG222" s="22">
        <f t="shared" ref="CG222:CH222" si="1808">CG218+CG221</f>
        <v>-656.72541850000835</v>
      </c>
      <c r="CH222" s="22">
        <f t="shared" si="1808"/>
        <v>-93.434581499992703</v>
      </c>
      <c r="CI222" s="22">
        <f t="shared" ref="CI222:CJ222" si="1809">CI218+CI221</f>
        <v>549.57368143770839</v>
      </c>
      <c r="CJ222" s="22">
        <f t="shared" si="1809"/>
        <v>1499.8463185622927</v>
      </c>
      <c r="CK222" s="22">
        <f t="shared" ref="CK222:DB222" si="1810">CK218+CK221</f>
        <v>266.3922550564987</v>
      </c>
      <c r="CL222" s="22">
        <f t="shared" si="1810"/>
        <v>769.44774494350145</v>
      </c>
      <c r="CM222" s="21">
        <f t="shared" si="1810"/>
        <v>723.21663073204684</v>
      </c>
      <c r="CN222" s="21">
        <f t="shared" si="1810"/>
        <v>401.24221276860021</v>
      </c>
      <c r="CO222" s="21">
        <f t="shared" si="1810"/>
        <v>364.65871999362531</v>
      </c>
      <c r="CP222" s="21">
        <f t="shared" si="1810"/>
        <v>246.48863939807882</v>
      </c>
      <c r="CQ222" s="21">
        <f t="shared" si="1810"/>
        <v>799.02855104457433</v>
      </c>
      <c r="CR222" s="21">
        <f t="shared" si="1810"/>
        <v>324.0890804341754</v>
      </c>
      <c r="CS222" s="21">
        <f t="shared" si="1810"/>
        <v>318.24318771296169</v>
      </c>
      <c r="CT222" s="21">
        <f t="shared" si="1810"/>
        <v>237.88530013176467</v>
      </c>
      <c r="CU222" s="21">
        <f t="shared" si="1810"/>
        <v>747.21156872028143</v>
      </c>
      <c r="CV222" s="21">
        <f t="shared" si="1810"/>
        <v>314.48746744555132</v>
      </c>
      <c r="CW222" s="21">
        <f t="shared" si="1810"/>
        <v>304.30909474176377</v>
      </c>
      <c r="CX222" s="21">
        <f t="shared" si="1810"/>
        <v>202.92227094267162</v>
      </c>
      <c r="CY222" s="21">
        <f t="shared" si="1810"/>
        <v>771.78774509534014</v>
      </c>
      <c r="CZ222" s="21">
        <f t="shared" si="1810"/>
        <v>304.72596750810663</v>
      </c>
      <c r="DA222" s="21">
        <f t="shared" si="1810"/>
        <v>290.63848051816507</v>
      </c>
      <c r="DB222" s="21">
        <f t="shared" si="1810"/>
        <v>180.61943243491658</v>
      </c>
      <c r="DE222" s="126"/>
      <c r="DF222" s="22">
        <v>102.29575904933483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92</v>
      </c>
      <c r="C224" s="22">
        <f t="shared" ref="C224:W224" si="1811">C225+C226</f>
        <v>0</v>
      </c>
      <c r="D224" s="22">
        <f>D225+D226</f>
        <v>-86.626000000000019</v>
      </c>
      <c r="E224" s="22">
        <f t="shared" si="1811"/>
        <v>-73.035000000000011</v>
      </c>
      <c r="F224" s="22">
        <f t="shared" si="1811"/>
        <v>-104.17400000000002</v>
      </c>
      <c r="G224" s="22">
        <f t="shared" si="1811"/>
        <v>-48.682999999999964</v>
      </c>
      <c r="H224" s="22">
        <f t="shared" si="1811"/>
        <v>-1.9130000000000678</v>
      </c>
      <c r="I224" s="22">
        <f t="shared" si="1811"/>
        <v>-26.37599999999993</v>
      </c>
      <c r="J224" s="22">
        <f t="shared" si="1811"/>
        <v>-149.327</v>
      </c>
      <c r="K224" s="22">
        <f t="shared" si="1811"/>
        <v>-222.76399999999995</v>
      </c>
      <c r="L224" s="22">
        <f t="shared" si="1811"/>
        <v>-181.75400000000013</v>
      </c>
      <c r="M224" s="22">
        <f t="shared" si="1811"/>
        <v>-310.0209999999999</v>
      </c>
      <c r="N224" s="22">
        <f t="shared" si="1811"/>
        <v>-481.2170000000001</v>
      </c>
      <c r="O224" s="22">
        <f t="shared" si="1811"/>
        <v>-360.86899999999969</v>
      </c>
      <c r="P224" s="22">
        <f t="shared" si="1811"/>
        <v>-173.02300000000042</v>
      </c>
      <c r="Q224" s="22">
        <f t="shared" si="1811"/>
        <v>-399.19399999999939</v>
      </c>
      <c r="R224" s="22">
        <f t="shared" si="1811"/>
        <v>-141.21400000000062</v>
      </c>
      <c r="S224" s="22">
        <f t="shared" si="1811"/>
        <v>-881.17799999999977</v>
      </c>
      <c r="T224" s="22">
        <f t="shared" si="1811"/>
        <v>-1012.005</v>
      </c>
      <c r="U224" s="22">
        <f t="shared" si="1811"/>
        <v>-858.17900000000031</v>
      </c>
      <c r="V224" s="22">
        <f t="shared" si="1811"/>
        <v>-494.09899999999959</v>
      </c>
      <c r="W224" s="22">
        <f t="shared" si="1811"/>
        <v>-982.04</v>
      </c>
      <c r="X224" s="22">
        <f t="shared" ref="X224:Y224" si="1812">X225+X226</f>
        <v>-629.78000000000065</v>
      </c>
      <c r="Y224" s="22">
        <f t="shared" si="1812"/>
        <v>-1015.8399999999992</v>
      </c>
      <c r="Z224" s="22">
        <f t="shared" ref="Z224:AA224" si="1813">Z225+Z226</f>
        <v>-1197.6000000000013</v>
      </c>
      <c r="AA224" s="22">
        <f t="shared" si="1813"/>
        <v>-1548.6100000000015</v>
      </c>
      <c r="AB224" s="21">
        <f t="shared" ref="AA224:AD224" si="1814">AB225+AB226</f>
        <v>479.06000000000131</v>
      </c>
      <c r="AC224" s="21">
        <f t="shared" si="1814"/>
        <v>0</v>
      </c>
      <c r="AD224" s="21">
        <f t="shared" si="1814"/>
        <v>0</v>
      </c>
      <c r="AE224" s="21">
        <f t="shared" ref="AE224" si="1815">AE225+AE226</f>
        <v>0</v>
      </c>
      <c r="AI224" s="22">
        <f t="shared" ref="AI224" si="1816">AI225+AI226</f>
        <v>0</v>
      </c>
      <c r="AJ224" s="22">
        <f t="shared" ref="AJ224:AL224" si="1817">AJ225+AJ226</f>
        <v>0</v>
      </c>
      <c r="AK224" s="22">
        <f t="shared" si="1817"/>
        <v>0</v>
      </c>
      <c r="AL224" s="22">
        <f t="shared" si="1817"/>
        <v>0</v>
      </c>
      <c r="AM224" s="22">
        <f t="shared" ref="AM224" si="1818">AM225+AM226</f>
        <v>0</v>
      </c>
      <c r="AN224" s="22">
        <f t="shared" ref="AN224:CD224" si="1819">AN225+AN226</f>
        <v>0</v>
      </c>
      <c r="AO224" s="22">
        <f t="shared" si="1819"/>
        <v>0</v>
      </c>
      <c r="AP224" s="22">
        <f t="shared" si="1819"/>
        <v>0</v>
      </c>
      <c r="AQ224" s="22">
        <f t="shared" si="1819"/>
        <v>0</v>
      </c>
      <c r="AR224" s="22">
        <f t="shared" si="1819"/>
        <v>0</v>
      </c>
      <c r="AS224" s="22">
        <f t="shared" si="1819"/>
        <v>0</v>
      </c>
      <c r="AT224" s="22">
        <f t="shared" si="1819"/>
        <v>0</v>
      </c>
      <c r="AU224" s="22">
        <f t="shared" si="1819"/>
        <v>0</v>
      </c>
      <c r="AV224" s="22">
        <f t="shared" si="1819"/>
        <v>0</v>
      </c>
      <c r="AW224" s="22">
        <f t="shared" si="1819"/>
        <v>0</v>
      </c>
      <c r="AX224" s="22">
        <f t="shared" si="1819"/>
        <v>0</v>
      </c>
      <c r="AY224" s="22">
        <f t="shared" si="1819"/>
        <v>0</v>
      </c>
      <c r="AZ224" s="22">
        <f t="shared" si="1819"/>
        <v>0</v>
      </c>
      <c r="BA224" s="22">
        <f t="shared" si="1819"/>
        <v>0</v>
      </c>
      <c r="BB224" s="22">
        <f t="shared" si="1819"/>
        <v>0</v>
      </c>
      <c r="BC224" s="22">
        <f t="shared" si="1819"/>
        <v>0</v>
      </c>
      <c r="BD224" s="22">
        <f t="shared" si="1819"/>
        <v>0</v>
      </c>
      <c r="BE224" s="22">
        <f t="shared" si="1819"/>
        <v>0</v>
      </c>
      <c r="BF224" s="22">
        <f t="shared" si="1819"/>
        <v>0</v>
      </c>
      <c r="BG224" s="22">
        <f t="shared" si="1819"/>
        <v>0</v>
      </c>
      <c r="BH224" s="22">
        <f t="shared" si="1819"/>
        <v>0</v>
      </c>
      <c r="BI224" s="22">
        <f t="shared" si="1819"/>
        <v>0</v>
      </c>
      <c r="BJ224" s="22">
        <f t="shared" si="1819"/>
        <v>0</v>
      </c>
      <c r="BK224" s="22">
        <f t="shared" si="1819"/>
        <v>0</v>
      </c>
      <c r="BL224" s="22">
        <f t="shared" si="1819"/>
        <v>0</v>
      </c>
      <c r="BM224" s="22">
        <f t="shared" si="1819"/>
        <v>0</v>
      </c>
      <c r="BN224" s="22">
        <f t="shared" si="1819"/>
        <v>0</v>
      </c>
      <c r="BO224" s="22">
        <f t="shared" si="1819"/>
        <v>0</v>
      </c>
      <c r="BP224" s="22">
        <f t="shared" si="1819"/>
        <v>0</v>
      </c>
      <c r="BQ224" s="22">
        <f t="shared" si="1819"/>
        <v>-68.16</v>
      </c>
      <c r="BR224" s="22">
        <f t="shared" si="1819"/>
        <v>-4359.8500000000004</v>
      </c>
      <c r="BS224" s="22">
        <f t="shared" si="1819"/>
        <v>-67.789999999999964</v>
      </c>
      <c r="BT224" s="22">
        <f t="shared" si="1819"/>
        <v>4216.76</v>
      </c>
      <c r="BU224" s="22">
        <f t="shared" si="1819"/>
        <v>-81.3</v>
      </c>
      <c r="BV224" s="22">
        <f t="shared" si="1819"/>
        <v>-5026.05</v>
      </c>
      <c r="BW224" s="22">
        <f t="shared" si="1819"/>
        <v>-85.579999999999927</v>
      </c>
      <c r="BX224" s="22">
        <f t="shared" si="1819"/>
        <v>-197.79999999999956</v>
      </c>
      <c r="BY224" s="22">
        <f t="shared" si="1819"/>
        <v>-90.960000000000036</v>
      </c>
      <c r="BZ224" s="22">
        <f t="shared" si="1819"/>
        <v>-219.31000000000012</v>
      </c>
      <c r="CA224" s="22">
        <f t="shared" si="1819"/>
        <v>-93.510000000000218</v>
      </c>
      <c r="CB224" s="22">
        <f t="shared" si="1819"/>
        <v>-374.47999999999928</v>
      </c>
      <c r="CC224" s="22">
        <f t="shared" si="1819"/>
        <v>-95.399999999999636</v>
      </c>
      <c r="CD224" s="22">
        <f t="shared" si="1819"/>
        <v>-420.74000000000007</v>
      </c>
      <c r="CE224" s="22">
        <f t="shared" ref="CE224:CF224" si="1820">CE225+CE226</f>
        <v>-96.420000000000073</v>
      </c>
      <c r="CF224" s="22">
        <f t="shared" si="1820"/>
        <v>-488.42000000000093</v>
      </c>
      <c r="CG224" s="22">
        <f t="shared" ref="CG224:CH224" si="1821">CG225+CG226</f>
        <v>-108.4399999999996</v>
      </c>
      <c r="CH224" s="22">
        <f t="shared" si="1821"/>
        <v>-817.67000000000007</v>
      </c>
      <c r="CI224" s="22">
        <f t="shared" ref="CI224:CJ224" si="1822">CI225+CI226</f>
        <v>0</v>
      </c>
      <c r="CJ224" s="22">
        <f t="shared" si="1822"/>
        <v>-657.05999999999972</v>
      </c>
      <c r="CK224" s="22">
        <f t="shared" ref="CK224:DB224" si="1823">CK225+CK226</f>
        <v>0</v>
      </c>
      <c r="CL224" s="22">
        <f t="shared" si="1823"/>
        <v>-412.49000000000052</v>
      </c>
      <c r="CM224" s="21">
        <f t="shared" si="1823"/>
        <v>0</v>
      </c>
      <c r="CN224" s="21">
        <f t="shared" si="1823"/>
        <v>0</v>
      </c>
      <c r="CO224" s="21">
        <f t="shared" si="1823"/>
        <v>0</v>
      </c>
      <c r="CP224" s="21">
        <f t="shared" si="1823"/>
        <v>0</v>
      </c>
      <c r="CQ224" s="21">
        <f t="shared" si="1823"/>
        <v>0</v>
      </c>
      <c r="CR224" s="21">
        <f t="shared" si="1823"/>
        <v>0</v>
      </c>
      <c r="CS224" s="21">
        <f t="shared" si="1823"/>
        <v>0</v>
      </c>
      <c r="CT224" s="21">
        <f t="shared" si="1823"/>
        <v>0</v>
      </c>
      <c r="CU224" s="21">
        <f t="shared" si="1823"/>
        <v>0</v>
      </c>
      <c r="CV224" s="21">
        <f t="shared" si="1823"/>
        <v>0</v>
      </c>
      <c r="CW224" s="21">
        <f t="shared" si="1823"/>
        <v>0</v>
      </c>
      <c r="CX224" s="21">
        <f t="shared" si="1823"/>
        <v>0</v>
      </c>
      <c r="CY224" s="21">
        <f t="shared" si="1823"/>
        <v>0</v>
      </c>
      <c r="CZ224" s="21">
        <f t="shared" si="1823"/>
        <v>0</v>
      </c>
      <c r="DA224" s="21">
        <f t="shared" si="1823"/>
        <v>0</v>
      </c>
      <c r="DB224" s="21">
        <f t="shared" si="1823"/>
        <v>0</v>
      </c>
      <c r="DE224" s="126"/>
      <c r="DF224" s="22">
        <v>0</v>
      </c>
    </row>
    <row r="225" spans="1:110" s="23" customFormat="1" x14ac:dyDescent="0.2">
      <c r="A225" s="23" t="s">
        <v>93</v>
      </c>
      <c r="C225" s="23">
        <f t="shared" ref="C225:AA225" si="1824">B163-C163</f>
        <v>0</v>
      </c>
      <c r="D225" s="23">
        <f t="shared" si="1824"/>
        <v>-2.0129999999999999</v>
      </c>
      <c r="E225" s="23">
        <f>D163-E163</f>
        <v>-9.9999999999988987E-4</v>
      </c>
      <c r="F225" s="23">
        <f t="shared" si="1824"/>
        <v>-3.0000000000001137E-3</v>
      </c>
      <c r="G225" s="23">
        <f t="shared" si="1824"/>
        <v>5.9999999999997833E-3</v>
      </c>
      <c r="H225" s="23">
        <f t="shared" si="1824"/>
        <v>0</v>
      </c>
      <c r="I225" s="23">
        <f t="shared" si="1824"/>
        <v>2.0000000000002238E-3</v>
      </c>
      <c r="J225" s="23">
        <f>I163-J163</f>
        <v>1.9999999999997797E-3</v>
      </c>
      <c r="K225" s="23">
        <f>J163-K163</f>
        <v>-22.785999999999998</v>
      </c>
      <c r="L225" s="23">
        <f t="shared" si="1824"/>
        <v>-82.365000000000009</v>
      </c>
      <c r="M225" s="23">
        <f t="shared" si="1824"/>
        <v>-49.743999999999986</v>
      </c>
      <c r="N225" s="23">
        <f t="shared" si="1824"/>
        <v>24.268999999999977</v>
      </c>
      <c r="O225" s="23">
        <f t="shared" si="1824"/>
        <v>132.60600000000002</v>
      </c>
      <c r="P225" s="23">
        <f t="shared" si="1824"/>
        <v>-3.887</v>
      </c>
      <c r="Q225" s="23">
        <f t="shared" si="1824"/>
        <v>-1.302</v>
      </c>
      <c r="R225" s="23">
        <f t="shared" si="1824"/>
        <v>-80.509</v>
      </c>
      <c r="S225" s="23">
        <f t="shared" si="1824"/>
        <v>-40.218000000000004</v>
      </c>
      <c r="T225" s="23">
        <f t="shared" si="1824"/>
        <v>-21.878</v>
      </c>
      <c r="U225" s="23">
        <f t="shared" si="1824"/>
        <v>-58.194999999999993</v>
      </c>
      <c r="V225" s="23">
        <f t="shared" si="1824"/>
        <v>-76.054000000000002</v>
      </c>
      <c r="W225" s="23">
        <f t="shared" si="1824"/>
        <v>-29.980000000000018</v>
      </c>
      <c r="X225" s="23">
        <f t="shared" si="1824"/>
        <v>-30.039999999999964</v>
      </c>
      <c r="Y225" s="23">
        <f t="shared" si="1824"/>
        <v>30.5</v>
      </c>
      <c r="Z225" s="23">
        <f t="shared" si="1824"/>
        <v>-62.130000000000052</v>
      </c>
      <c r="AA225" s="23">
        <f t="shared" si="1824"/>
        <v>-54.5</v>
      </c>
      <c r="AB225" s="24">
        <f t="shared" ref="AB225" si="1825">AA163-AB163</f>
        <v>0</v>
      </c>
      <c r="AC225" s="24">
        <f t="shared" ref="AC225" si="1826">AB163-AC163</f>
        <v>0</v>
      </c>
      <c r="AD225" s="24">
        <f t="shared" ref="AD225" si="1827">AC163-AD163</f>
        <v>0</v>
      </c>
      <c r="AE225" s="24">
        <f t="shared" ref="AE225" si="1828">AD163-AE163</f>
        <v>0</v>
      </c>
      <c r="AI225" s="23">
        <f t="shared" ref="AI225" si="1829">AH163-AI163</f>
        <v>0</v>
      </c>
      <c r="AJ225" s="23">
        <f t="shared" ref="AJ225" si="1830">AI163-AJ163</f>
        <v>0</v>
      </c>
      <c r="AK225" s="23">
        <f t="shared" ref="AK225" si="1831">AJ163-AK163</f>
        <v>0</v>
      </c>
      <c r="AL225" s="23">
        <f t="shared" ref="AL225" si="1832">AK163-AL163</f>
        <v>0</v>
      </c>
      <c r="AM225" s="23">
        <f t="shared" ref="AM225" si="1833">AL163-AM163</f>
        <v>0</v>
      </c>
      <c r="AN225" s="23">
        <f t="shared" ref="AN225" si="1834">AM163-AN163</f>
        <v>0</v>
      </c>
      <c r="AO225" s="23">
        <f t="shared" ref="AO225" si="1835">AN163-AO163</f>
        <v>0</v>
      </c>
      <c r="AP225" s="23">
        <f t="shared" ref="AP225" si="1836">AO163-AP163</f>
        <v>0</v>
      </c>
      <c r="AQ225" s="23">
        <f t="shared" ref="AQ225" si="1837">AP163-AQ163</f>
        <v>0</v>
      </c>
      <c r="AR225" s="23">
        <f t="shared" ref="AR225" si="1838">AQ163-AR163</f>
        <v>0</v>
      </c>
      <c r="AS225" s="23">
        <f t="shared" ref="AS225" si="1839">AR163-AS163</f>
        <v>0</v>
      </c>
      <c r="AT225" s="23">
        <f t="shared" ref="AT225" si="1840">AS163-AT163</f>
        <v>0</v>
      </c>
      <c r="AU225" s="23">
        <f t="shared" ref="AU225" si="1841">AT163-AU163</f>
        <v>0</v>
      </c>
      <c r="AV225" s="23">
        <f t="shared" ref="AV225" si="1842">AU163-AV163</f>
        <v>0</v>
      </c>
      <c r="AW225" s="23">
        <f t="shared" ref="AW225" si="1843">AV163-AW163</f>
        <v>0</v>
      </c>
      <c r="AX225" s="23">
        <f t="shared" ref="AX225" si="1844">AW163-AX163</f>
        <v>0</v>
      </c>
      <c r="AY225" s="23">
        <f t="shared" ref="AY225" si="1845">AX163-AY163</f>
        <v>0</v>
      </c>
      <c r="AZ225" s="23">
        <f t="shared" ref="AZ225" si="1846">AY163-AZ163</f>
        <v>0</v>
      </c>
      <c r="BA225" s="23">
        <f t="shared" ref="BA225" si="1847">AZ163-BA163</f>
        <v>0</v>
      </c>
      <c r="BB225" s="23">
        <f t="shared" ref="BB225" si="1848">BA163-BB163</f>
        <v>0</v>
      </c>
      <c r="BC225" s="23">
        <f t="shared" ref="BC225" si="1849">BB163-BC163</f>
        <v>0</v>
      </c>
      <c r="BD225" s="23">
        <f t="shared" ref="BD225" si="1850">BC163-BD163</f>
        <v>0</v>
      </c>
      <c r="BE225" s="23">
        <f t="shared" ref="BE225" si="1851">BD163-BE163</f>
        <v>0</v>
      </c>
      <c r="BF225" s="23">
        <f t="shared" ref="BF225" si="1852">BE163-BF163</f>
        <v>0</v>
      </c>
      <c r="BG225" s="23">
        <f t="shared" ref="BG225" si="1853">BF163-BG163</f>
        <v>0</v>
      </c>
      <c r="BH225" s="23">
        <f t="shared" ref="BH225" si="1854">BG163-BH163</f>
        <v>0</v>
      </c>
      <c r="BI225" s="23">
        <f t="shared" ref="BI225" si="1855">BH163-BI163</f>
        <v>0</v>
      </c>
      <c r="BJ225" s="23">
        <f t="shared" ref="BJ225" si="1856">BI163-BJ163</f>
        <v>0</v>
      </c>
      <c r="BK225" s="23">
        <f t="shared" ref="BK225" si="1857">BJ163-BK163</f>
        <v>0</v>
      </c>
      <c r="BL225" s="23">
        <f t="shared" ref="BL225" si="1858">BK163-BL163</f>
        <v>0</v>
      </c>
      <c r="BM225" s="23">
        <f t="shared" ref="BM225" si="1859">BL163-BM163</f>
        <v>0</v>
      </c>
      <c r="BN225" s="23">
        <f t="shared" ref="BN225" si="1860">BM163-BN163</f>
        <v>0</v>
      </c>
      <c r="BO225" s="23">
        <f t="shared" ref="BO225" si="1861">BN163-BO163</f>
        <v>0</v>
      </c>
      <c r="BP225" s="23">
        <f t="shared" ref="BP225" si="1862">BO163-BP163</f>
        <v>0</v>
      </c>
      <c r="BQ225" s="23">
        <f t="shared" ref="BQ225" si="1863">BP163-BQ163</f>
        <v>0</v>
      </c>
      <c r="BR225" s="23">
        <f t="shared" ref="BR225" si="1864">BQ163-BR163</f>
        <v>-282.07</v>
      </c>
      <c r="BS225" s="23">
        <f t="shared" ref="BS225" si="1865">BR163-BS163</f>
        <v>0</v>
      </c>
      <c r="BT225" s="23">
        <f t="shared" ref="BT225" si="1866">BS163-BT163</f>
        <v>282.07</v>
      </c>
      <c r="BU225" s="23">
        <f t="shared" ref="BU225" si="1867">BT163-BU163</f>
        <v>0</v>
      </c>
      <c r="BV225" s="23">
        <f t="shared" ref="BV225" si="1868">BU163-BV163</f>
        <v>-312.05</v>
      </c>
      <c r="BW225" s="23">
        <f t="shared" ref="BW225" si="1869">BV163-BW163</f>
        <v>0</v>
      </c>
      <c r="BX225" s="23">
        <f t="shared" ref="BX225" si="1870">BW163-BX163</f>
        <v>-10.569999999999993</v>
      </c>
      <c r="BY225" s="23">
        <f t="shared" ref="BY225" si="1871">BX163-BY163</f>
        <v>0</v>
      </c>
      <c r="BZ225" s="23">
        <f t="shared" ref="BZ225" si="1872">BY163-BZ163</f>
        <v>-19.46999999999997</v>
      </c>
      <c r="CA225" s="23">
        <f t="shared" ref="CA225" si="1873">BZ163-CA163</f>
        <v>0</v>
      </c>
      <c r="CB225" s="23">
        <f t="shared" ref="CB225" si="1874">CA163-CB163</f>
        <v>27.069999999999993</v>
      </c>
      <c r="CC225" s="23">
        <f t="shared" ref="CC225" si="1875">CB163-CC163</f>
        <v>0</v>
      </c>
      <c r="CD225" s="23">
        <f t="shared" ref="CD225" si="1876">CC163-CD163</f>
        <v>3.4300000000000068</v>
      </c>
      <c r="CE225" s="23">
        <f t="shared" ref="CE225" si="1877">CD163-CE163</f>
        <v>0</v>
      </c>
      <c r="CF225" s="23">
        <f t="shared" ref="CF225" si="1878">CE163-CF163</f>
        <v>-30.670000000000016</v>
      </c>
      <c r="CG225" s="23">
        <f t="shared" ref="CG225" si="1879">CF163-CG163</f>
        <v>0</v>
      </c>
      <c r="CH225" s="23">
        <f t="shared" ref="CH225:CL225" si="1880">CG163-CH163</f>
        <v>-31.460000000000036</v>
      </c>
      <c r="CI225" s="23">
        <f t="shared" si="1880"/>
        <v>0</v>
      </c>
      <c r="CJ225" s="23">
        <f t="shared" si="1880"/>
        <v>-23.449999999999989</v>
      </c>
      <c r="CK225" s="23">
        <f t="shared" ref="CK225" si="1881">CJ163-CK163</f>
        <v>0</v>
      </c>
      <c r="CL225" s="23">
        <f t="shared" si="1880"/>
        <v>-31.050000000000011</v>
      </c>
      <c r="CM225" s="24">
        <f t="shared" ref="CM225" si="1882">CL163-CM163</f>
        <v>0</v>
      </c>
      <c r="CN225" s="24">
        <f t="shared" ref="CN225" si="1883">CM163-CN163</f>
        <v>0</v>
      </c>
      <c r="CO225" s="24">
        <f t="shared" ref="CO225" si="1884">CN163-CO163</f>
        <v>0</v>
      </c>
      <c r="CP225" s="24">
        <f t="shared" ref="CP225" si="1885">CO163-CP163</f>
        <v>0</v>
      </c>
      <c r="CQ225" s="24">
        <f t="shared" ref="CQ225" si="1886">CP163-CQ163</f>
        <v>0</v>
      </c>
      <c r="CR225" s="24">
        <f t="shared" ref="CR225" si="1887">CQ163-CR163</f>
        <v>0</v>
      </c>
      <c r="CS225" s="24">
        <f t="shared" ref="CS225" si="1888">CR163-CS163</f>
        <v>0</v>
      </c>
      <c r="CT225" s="24">
        <f t="shared" ref="CT225" si="1889">CS163-CT163</f>
        <v>0</v>
      </c>
      <c r="CU225" s="24">
        <f t="shared" ref="CU225" si="1890">CT163-CU163</f>
        <v>0</v>
      </c>
      <c r="CV225" s="24">
        <f t="shared" ref="CV225" si="1891">CU163-CV163</f>
        <v>0</v>
      </c>
      <c r="CW225" s="24">
        <f t="shared" ref="CW225" si="1892">CV163-CW163</f>
        <v>0</v>
      </c>
      <c r="CX225" s="24">
        <f t="shared" ref="CX225" si="1893">CW163-CX163</f>
        <v>0</v>
      </c>
      <c r="CY225" s="24">
        <f t="shared" ref="CY225" si="1894">CX163-CY163</f>
        <v>0</v>
      </c>
      <c r="CZ225" s="24">
        <f t="shared" ref="CZ225" si="1895">CY163-CZ163</f>
        <v>0</v>
      </c>
      <c r="DA225" s="24">
        <f t="shared" ref="DA225" si="1896">CZ163-DA163</f>
        <v>0</v>
      </c>
      <c r="DB225" s="24">
        <f t="shared" ref="DB225" si="1897">DA163-DB163</f>
        <v>0</v>
      </c>
      <c r="DE225" s="123"/>
      <c r="DF225" s="23">
        <v>0</v>
      </c>
    </row>
    <row r="226" spans="1:110" s="23" customFormat="1" x14ac:dyDescent="0.2">
      <c r="A226" s="23" t="s">
        <v>94</v>
      </c>
      <c r="C226" s="23">
        <f t="shared" ref="C226:AE226" si="1898">B161-C55-C161</f>
        <v>0</v>
      </c>
      <c r="D226" s="23">
        <f t="shared" si="1898"/>
        <v>-84.613000000000014</v>
      </c>
      <c r="E226" s="23">
        <f t="shared" si="1898"/>
        <v>-73.034000000000006</v>
      </c>
      <c r="F226" s="23">
        <f t="shared" si="1898"/>
        <v>-104.17100000000002</v>
      </c>
      <c r="G226" s="23">
        <f t="shared" si="1898"/>
        <v>-48.688999999999965</v>
      </c>
      <c r="H226" s="23">
        <f t="shared" si="1898"/>
        <v>-1.9130000000000678</v>
      </c>
      <c r="I226" s="23">
        <f t="shared" si="1898"/>
        <v>-26.377999999999929</v>
      </c>
      <c r="J226" s="23">
        <f t="shared" si="1898"/>
        <v>-149.32900000000001</v>
      </c>
      <c r="K226" s="23">
        <f t="shared" si="1898"/>
        <v>-199.97799999999995</v>
      </c>
      <c r="L226" s="23">
        <f t="shared" si="1898"/>
        <v>-99.389000000000124</v>
      </c>
      <c r="M226" s="23">
        <f t="shared" si="1898"/>
        <v>-260.27699999999993</v>
      </c>
      <c r="N226" s="23">
        <f t="shared" si="1898"/>
        <v>-505.4860000000001</v>
      </c>
      <c r="O226" s="23">
        <f t="shared" si="1898"/>
        <v>-493.47499999999968</v>
      </c>
      <c r="P226" s="23">
        <f t="shared" si="1898"/>
        <v>-169.13600000000042</v>
      </c>
      <c r="Q226" s="23">
        <f t="shared" si="1898"/>
        <v>-397.89199999999937</v>
      </c>
      <c r="R226" s="23">
        <f t="shared" si="1898"/>
        <v>-60.705000000000609</v>
      </c>
      <c r="S226" s="23">
        <f t="shared" si="1898"/>
        <v>-840.95999999999981</v>
      </c>
      <c r="T226" s="23">
        <f t="shared" si="1898"/>
        <v>-990.12699999999995</v>
      </c>
      <c r="U226" s="23">
        <f t="shared" si="1898"/>
        <v>-799.98400000000038</v>
      </c>
      <c r="V226" s="23">
        <f t="shared" si="1898"/>
        <v>-418.04499999999962</v>
      </c>
      <c r="W226" s="23">
        <f t="shared" si="1898"/>
        <v>-952.06</v>
      </c>
      <c r="X226" s="23">
        <f t="shared" si="1898"/>
        <v>-599.74000000000069</v>
      </c>
      <c r="Y226" s="23">
        <f t="shared" si="1898"/>
        <v>-1046.3399999999992</v>
      </c>
      <c r="Z226" s="23">
        <f t="shared" si="1898"/>
        <v>-1135.4700000000012</v>
      </c>
      <c r="AA226" s="23">
        <f t="shared" si="1898"/>
        <v>-1494.1100000000015</v>
      </c>
      <c r="AB226" s="24">
        <f t="shared" si="1898"/>
        <v>479.06000000000131</v>
      </c>
      <c r="AC226" s="24">
        <f t="shared" si="1898"/>
        <v>0</v>
      </c>
      <c r="AD226" s="24">
        <f t="shared" si="1898"/>
        <v>0</v>
      </c>
      <c r="AE226" s="24">
        <f t="shared" si="1898"/>
        <v>0</v>
      </c>
      <c r="AI226" s="23">
        <f t="shared" ref="AI226:BN226" si="1899">AH161-AI55-AI161</f>
        <v>0</v>
      </c>
      <c r="AJ226" s="23">
        <f t="shared" si="1899"/>
        <v>0</v>
      </c>
      <c r="AK226" s="23">
        <f t="shared" si="1899"/>
        <v>0</v>
      </c>
      <c r="AL226" s="23">
        <f t="shared" si="1899"/>
        <v>0</v>
      </c>
      <c r="AM226" s="23">
        <f t="shared" si="1899"/>
        <v>0</v>
      </c>
      <c r="AN226" s="23">
        <f t="shared" si="1899"/>
        <v>0</v>
      </c>
      <c r="AO226" s="23">
        <f t="shared" si="1899"/>
        <v>0</v>
      </c>
      <c r="AP226" s="23">
        <f t="shared" si="1899"/>
        <v>0</v>
      </c>
      <c r="AQ226" s="23">
        <f t="shared" si="1899"/>
        <v>0</v>
      </c>
      <c r="AR226" s="23">
        <f t="shared" si="1899"/>
        <v>0</v>
      </c>
      <c r="AS226" s="23">
        <f t="shared" si="1899"/>
        <v>0</v>
      </c>
      <c r="AT226" s="23">
        <f t="shared" si="1899"/>
        <v>0</v>
      </c>
      <c r="AU226" s="23">
        <f t="shared" si="1899"/>
        <v>0</v>
      </c>
      <c r="AV226" s="23">
        <f t="shared" si="1899"/>
        <v>0</v>
      </c>
      <c r="AW226" s="23">
        <f t="shared" si="1899"/>
        <v>0</v>
      </c>
      <c r="AX226" s="23">
        <f t="shared" si="1899"/>
        <v>0</v>
      </c>
      <c r="AY226" s="23">
        <f t="shared" si="1899"/>
        <v>0</v>
      </c>
      <c r="AZ226" s="23">
        <f t="shared" si="1899"/>
        <v>0</v>
      </c>
      <c r="BA226" s="23">
        <f t="shared" si="1899"/>
        <v>0</v>
      </c>
      <c r="BB226" s="23">
        <f t="shared" si="1899"/>
        <v>0</v>
      </c>
      <c r="BC226" s="23">
        <f t="shared" si="1899"/>
        <v>0</v>
      </c>
      <c r="BD226" s="23">
        <f t="shared" si="1899"/>
        <v>0</v>
      </c>
      <c r="BE226" s="23">
        <f t="shared" si="1899"/>
        <v>0</v>
      </c>
      <c r="BF226" s="23">
        <f t="shared" si="1899"/>
        <v>0</v>
      </c>
      <c r="BG226" s="23">
        <f t="shared" si="1899"/>
        <v>0</v>
      </c>
      <c r="BH226" s="23">
        <f t="shared" si="1899"/>
        <v>0</v>
      </c>
      <c r="BI226" s="23">
        <f t="shared" si="1899"/>
        <v>0</v>
      </c>
      <c r="BJ226" s="23">
        <f t="shared" si="1899"/>
        <v>0</v>
      </c>
      <c r="BK226" s="23">
        <f t="shared" si="1899"/>
        <v>0</v>
      </c>
      <c r="BL226" s="23">
        <f t="shared" si="1899"/>
        <v>0</v>
      </c>
      <c r="BM226" s="23">
        <f t="shared" si="1899"/>
        <v>0</v>
      </c>
      <c r="BN226" s="23">
        <f t="shared" si="1899"/>
        <v>0</v>
      </c>
      <c r="BO226" s="23">
        <f t="shared" ref="BO226:CT226" si="1900">BN161-BO55-BO161</f>
        <v>0</v>
      </c>
      <c r="BP226" s="23">
        <f t="shared" si="1900"/>
        <v>0</v>
      </c>
      <c r="BQ226" s="23">
        <f t="shared" si="1900"/>
        <v>-68.16</v>
      </c>
      <c r="BR226" s="23">
        <f t="shared" si="1900"/>
        <v>-4077.78</v>
      </c>
      <c r="BS226" s="23">
        <f t="shared" si="1900"/>
        <v>-67.789999999999964</v>
      </c>
      <c r="BT226" s="23">
        <f t="shared" si="1900"/>
        <v>3934.6900000000005</v>
      </c>
      <c r="BU226" s="23">
        <f t="shared" si="1900"/>
        <v>-81.3</v>
      </c>
      <c r="BV226" s="23">
        <f t="shared" si="1900"/>
        <v>-4714</v>
      </c>
      <c r="BW226" s="23">
        <f t="shared" si="1900"/>
        <v>-85.579999999999927</v>
      </c>
      <c r="BX226" s="23">
        <f t="shared" si="1900"/>
        <v>-187.22999999999956</v>
      </c>
      <c r="BY226" s="23">
        <f t="shared" si="1900"/>
        <v>-90.960000000000036</v>
      </c>
      <c r="BZ226" s="23">
        <f t="shared" si="1900"/>
        <v>-199.84000000000015</v>
      </c>
      <c r="CA226" s="23">
        <f t="shared" si="1900"/>
        <v>-93.510000000000218</v>
      </c>
      <c r="CB226" s="23">
        <f t="shared" si="1900"/>
        <v>-401.54999999999927</v>
      </c>
      <c r="CC226" s="23">
        <f t="shared" si="1900"/>
        <v>-95.399999999999636</v>
      </c>
      <c r="CD226" s="23">
        <f t="shared" si="1900"/>
        <v>-424.17000000000007</v>
      </c>
      <c r="CE226" s="23">
        <f t="shared" si="1900"/>
        <v>-96.420000000000073</v>
      </c>
      <c r="CF226" s="23">
        <f t="shared" si="1900"/>
        <v>-457.75000000000091</v>
      </c>
      <c r="CG226" s="23">
        <f t="shared" si="1900"/>
        <v>-108.4399999999996</v>
      </c>
      <c r="CH226" s="23">
        <f t="shared" si="1900"/>
        <v>-786.21</v>
      </c>
      <c r="CI226" s="23">
        <f t="shared" si="1900"/>
        <v>0</v>
      </c>
      <c r="CJ226" s="23">
        <f t="shared" si="1900"/>
        <v>-633.60999999999967</v>
      </c>
      <c r="CK226" s="23">
        <f t="shared" si="1900"/>
        <v>0</v>
      </c>
      <c r="CL226" s="23">
        <f t="shared" si="1900"/>
        <v>-381.44000000000051</v>
      </c>
      <c r="CM226" s="24">
        <f t="shared" si="1900"/>
        <v>0</v>
      </c>
      <c r="CN226" s="24">
        <f t="shared" si="1900"/>
        <v>0</v>
      </c>
      <c r="CO226" s="24">
        <f t="shared" si="1900"/>
        <v>0</v>
      </c>
      <c r="CP226" s="24">
        <f t="shared" si="1900"/>
        <v>0</v>
      </c>
      <c r="CQ226" s="24">
        <f t="shared" si="1900"/>
        <v>0</v>
      </c>
      <c r="CR226" s="24">
        <f t="shared" si="1900"/>
        <v>0</v>
      </c>
      <c r="CS226" s="24">
        <f t="shared" si="1900"/>
        <v>0</v>
      </c>
      <c r="CT226" s="24">
        <f t="shared" si="1900"/>
        <v>0</v>
      </c>
      <c r="CU226" s="24">
        <f t="shared" ref="CU226:DB226" si="1901">CT161-CU55-CU161</f>
        <v>0</v>
      </c>
      <c r="CV226" s="24">
        <f t="shared" si="1901"/>
        <v>0</v>
      </c>
      <c r="CW226" s="24">
        <f t="shared" si="1901"/>
        <v>0</v>
      </c>
      <c r="CX226" s="24">
        <f t="shared" si="1901"/>
        <v>0</v>
      </c>
      <c r="CY226" s="24">
        <f t="shared" si="1901"/>
        <v>0</v>
      </c>
      <c r="CZ226" s="24">
        <f t="shared" si="1901"/>
        <v>0</v>
      </c>
      <c r="DA226" s="24">
        <f t="shared" si="1901"/>
        <v>0</v>
      </c>
      <c r="DB226" s="24">
        <f t="shared" si="1901"/>
        <v>0</v>
      </c>
      <c r="DE226" s="123"/>
      <c r="DF226" s="23">
        <v>0</v>
      </c>
    </row>
    <row r="227" spans="1:110" s="23" customFormat="1" x14ac:dyDescent="0.2"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2" customFormat="1" x14ac:dyDescent="0.2">
      <c r="A228" s="22" t="s">
        <v>95</v>
      </c>
      <c r="C228" s="22">
        <f t="shared" ref="C228:W228" si="1902">C229+C230</f>
        <v>0</v>
      </c>
      <c r="D228" s="22">
        <f t="shared" si="1902"/>
        <v>89.862000000000052</v>
      </c>
      <c r="E228" s="22">
        <f t="shared" si="1902"/>
        <v>95.265999999999877</v>
      </c>
      <c r="F228" s="22">
        <f t="shared" si="1902"/>
        <v>126.6840000000002</v>
      </c>
      <c r="G228" s="22">
        <f t="shared" si="1902"/>
        <v>11.631000000000256</v>
      </c>
      <c r="H228" s="22">
        <f t="shared" si="1902"/>
        <v>-49.197999999999638</v>
      </c>
      <c r="I228" s="22">
        <f t="shared" si="1902"/>
        <v>33.485000000000056</v>
      </c>
      <c r="J228" s="22">
        <f t="shared" si="1902"/>
        <v>314.0499999999995</v>
      </c>
      <c r="K228" s="22">
        <f t="shared" si="1902"/>
        <v>179.49999999999966</v>
      </c>
      <c r="L228" s="22">
        <f t="shared" si="1902"/>
        <v>771.30899999999986</v>
      </c>
      <c r="M228" s="22">
        <f t="shared" si="1902"/>
        <v>47.922000000000935</v>
      </c>
      <c r="N228" s="22">
        <f t="shared" si="1902"/>
        <v>1578.6040000000012</v>
      </c>
      <c r="O228" s="22">
        <f t="shared" si="1902"/>
        <v>327.79400000000135</v>
      </c>
      <c r="P228" s="22">
        <f t="shared" si="1902"/>
        <v>-726.82199999999875</v>
      </c>
      <c r="Q228" s="22">
        <f t="shared" si="1902"/>
        <v>354.76599999999814</v>
      </c>
      <c r="R228" s="22">
        <f t="shared" si="1902"/>
        <v>71.576999999997724</v>
      </c>
      <c r="S228" s="22">
        <f t="shared" si="1902"/>
        <v>-365.20900000000142</v>
      </c>
      <c r="T228" s="22">
        <f t="shared" si="1902"/>
        <v>-415.46499999999969</v>
      </c>
      <c r="U228" s="22">
        <f t="shared" si="1902"/>
        <v>452.95199999999841</v>
      </c>
      <c r="V228" s="22">
        <f t="shared" si="1902"/>
        <v>649.41700000000401</v>
      </c>
      <c r="W228" s="22">
        <f t="shared" si="1902"/>
        <v>3121.8499999999995</v>
      </c>
      <c r="X228" s="22">
        <f t="shared" ref="X228:Y228" si="1903">X229+X230</f>
        <v>-365.1400000000026</v>
      </c>
      <c r="Y228" s="22">
        <f t="shared" si="1903"/>
        <v>191.92999999999165</v>
      </c>
      <c r="Z228" s="22">
        <f t="shared" ref="Z228:AA228" si="1904">Z229+Z230</f>
        <v>-820.7100000000022</v>
      </c>
      <c r="AA228" s="22">
        <f t="shared" si="1904"/>
        <v>-915.94999999998447</v>
      </c>
      <c r="AB228" s="21">
        <f t="shared" ref="AA228:AD228" si="1905">AB229+AB230</f>
        <v>-3.637978807091713E-12</v>
      </c>
      <c r="AC228" s="21">
        <f t="shared" si="1905"/>
        <v>-3.637978807091713E-12</v>
      </c>
      <c r="AD228" s="21">
        <f t="shared" si="1905"/>
        <v>-5.4569682106375694E-12</v>
      </c>
      <c r="AE228" s="21">
        <f t="shared" ref="AE228" si="1906">AE229+AE230</f>
        <v>1.6370904631912708E-11</v>
      </c>
      <c r="AI228" s="22">
        <f t="shared" ref="AI228" si="1907">AI229+AI230</f>
        <v>0</v>
      </c>
      <c r="AJ228" s="22">
        <f t="shared" ref="AJ228:AL228" si="1908">AJ229+AJ230</f>
        <v>0</v>
      </c>
      <c r="AK228" s="22">
        <f t="shared" si="1908"/>
        <v>0</v>
      </c>
      <c r="AL228" s="22">
        <f t="shared" si="1908"/>
        <v>0</v>
      </c>
      <c r="AM228" s="22">
        <f t="shared" ref="AM228" si="1909">AM229+AM230</f>
        <v>0</v>
      </c>
      <c r="AN228" s="22">
        <f t="shared" ref="AN228:CD228" si="1910">AN229+AN230</f>
        <v>0</v>
      </c>
      <c r="AO228" s="22">
        <f t="shared" si="1910"/>
        <v>0</v>
      </c>
      <c r="AP228" s="22">
        <f t="shared" si="1910"/>
        <v>0</v>
      </c>
      <c r="AQ228" s="22">
        <f t="shared" si="1910"/>
        <v>0</v>
      </c>
      <c r="AR228" s="22">
        <f t="shared" si="1910"/>
        <v>0</v>
      </c>
      <c r="AS228" s="22">
        <f t="shared" si="1910"/>
        <v>0</v>
      </c>
      <c r="AT228" s="22">
        <f t="shared" si="1910"/>
        <v>0</v>
      </c>
      <c r="AU228" s="22">
        <f t="shared" si="1910"/>
        <v>0</v>
      </c>
      <c r="AV228" s="22">
        <f t="shared" si="1910"/>
        <v>0</v>
      </c>
      <c r="AW228" s="22">
        <f t="shared" si="1910"/>
        <v>0</v>
      </c>
      <c r="AX228" s="22">
        <f t="shared" si="1910"/>
        <v>0</v>
      </c>
      <c r="AY228" s="22">
        <f t="shared" si="1910"/>
        <v>0</v>
      </c>
      <c r="AZ228" s="22">
        <f t="shared" si="1910"/>
        <v>0</v>
      </c>
      <c r="BA228" s="22">
        <f t="shared" si="1910"/>
        <v>0</v>
      </c>
      <c r="BB228" s="22">
        <f t="shared" si="1910"/>
        <v>0</v>
      </c>
      <c r="BC228" s="22">
        <f t="shared" si="1910"/>
        <v>0</v>
      </c>
      <c r="BD228" s="22">
        <f t="shared" si="1910"/>
        <v>0</v>
      </c>
      <c r="BE228" s="22">
        <f t="shared" si="1910"/>
        <v>0</v>
      </c>
      <c r="BF228" s="22">
        <f t="shared" si="1910"/>
        <v>0</v>
      </c>
      <c r="BG228" s="22">
        <f t="shared" si="1910"/>
        <v>0</v>
      </c>
      <c r="BH228" s="22">
        <f t="shared" si="1910"/>
        <v>0</v>
      </c>
      <c r="BI228" s="22">
        <f t="shared" si="1910"/>
        <v>0</v>
      </c>
      <c r="BJ228" s="22">
        <f t="shared" si="1910"/>
        <v>0</v>
      </c>
      <c r="BK228" s="22">
        <f t="shared" si="1910"/>
        <v>0</v>
      </c>
      <c r="BL228" s="22">
        <f t="shared" si="1910"/>
        <v>0</v>
      </c>
      <c r="BM228" s="22">
        <f t="shared" si="1910"/>
        <v>0</v>
      </c>
      <c r="BN228" s="22">
        <f t="shared" si="1910"/>
        <v>0</v>
      </c>
      <c r="BO228" s="22">
        <f t="shared" si="1910"/>
        <v>0</v>
      </c>
      <c r="BP228" s="22">
        <f t="shared" si="1910"/>
        <v>0</v>
      </c>
      <c r="BQ228" s="22">
        <f t="shared" si="1910"/>
        <v>0</v>
      </c>
      <c r="BR228" s="22">
        <f t="shared" si="1910"/>
        <v>5806.5099999999984</v>
      </c>
      <c r="BS228" s="22">
        <f t="shared" si="1910"/>
        <v>0</v>
      </c>
      <c r="BT228" s="22">
        <f t="shared" si="1910"/>
        <v>-6606.93</v>
      </c>
      <c r="BU228" s="22">
        <f t="shared" si="1910"/>
        <v>0</v>
      </c>
      <c r="BV228" s="22">
        <f t="shared" si="1910"/>
        <v>9728.7799999999988</v>
      </c>
      <c r="BW228" s="22">
        <f t="shared" si="1910"/>
        <v>-9.0949470177292824E-13</v>
      </c>
      <c r="BX228" s="22">
        <f t="shared" si="1910"/>
        <v>365.97000000000116</v>
      </c>
      <c r="BY228" s="22">
        <f t="shared" si="1910"/>
        <v>0</v>
      </c>
      <c r="BZ228" s="22">
        <f t="shared" si="1910"/>
        <v>-731.10999999999967</v>
      </c>
      <c r="CA228" s="22">
        <f t="shared" si="1910"/>
        <v>0</v>
      </c>
      <c r="CB228" s="22">
        <f t="shared" si="1910"/>
        <v>1422.9900000000021</v>
      </c>
      <c r="CC228" s="22">
        <f t="shared" si="1910"/>
        <v>0</v>
      </c>
      <c r="CD228" s="22">
        <f t="shared" si="1910"/>
        <v>-1231.0600000000013</v>
      </c>
      <c r="CE228" s="22">
        <f t="shared" ref="CE228:CF228" si="1911">CE229+CE230</f>
        <v>0</v>
      </c>
      <c r="CF228" s="22">
        <f t="shared" si="1911"/>
        <v>-471.85000000000201</v>
      </c>
      <c r="CG228" s="22">
        <f t="shared" ref="CG228:CH228" si="1912">CG229+CG230</f>
        <v>0</v>
      </c>
      <c r="CH228" s="22">
        <f t="shared" si="1912"/>
        <v>-348.86000000000013</v>
      </c>
      <c r="CI228" s="22">
        <f t="shared" ref="CI228:CJ228" si="1913">CI229+CI230</f>
        <v>0</v>
      </c>
      <c r="CJ228" s="22">
        <f t="shared" si="1913"/>
        <v>-873.58000000000095</v>
      </c>
      <c r="CK228" s="22">
        <f t="shared" ref="CK228:DB228" si="1914">CK229+CK230</f>
        <v>0</v>
      </c>
      <c r="CL228" s="22">
        <f t="shared" si="1914"/>
        <v>-42.369999999998129</v>
      </c>
      <c r="CM228" s="21">
        <f t="shared" si="1914"/>
        <v>0</v>
      </c>
      <c r="CN228" s="21">
        <f t="shared" si="1914"/>
        <v>0</v>
      </c>
      <c r="CO228" s="21">
        <f t="shared" si="1914"/>
        <v>0</v>
      </c>
      <c r="CP228" s="21">
        <f t="shared" si="1914"/>
        <v>0</v>
      </c>
      <c r="CQ228" s="21">
        <f t="shared" si="1914"/>
        <v>0</v>
      </c>
      <c r="CR228" s="21">
        <f t="shared" si="1914"/>
        <v>0</v>
      </c>
      <c r="CS228" s="21">
        <f t="shared" si="1914"/>
        <v>0</v>
      </c>
      <c r="CT228" s="21">
        <f t="shared" si="1914"/>
        <v>0</v>
      </c>
      <c r="CU228" s="21">
        <f t="shared" si="1914"/>
        <v>0</v>
      </c>
      <c r="CV228" s="21">
        <f t="shared" si="1914"/>
        <v>0</v>
      </c>
      <c r="CW228" s="21">
        <f t="shared" si="1914"/>
        <v>0</v>
      </c>
      <c r="CX228" s="21">
        <f t="shared" si="1914"/>
        <v>0</v>
      </c>
      <c r="CY228" s="21">
        <f t="shared" si="1914"/>
        <v>0</v>
      </c>
      <c r="CZ228" s="21">
        <f t="shared" si="1914"/>
        <v>0</v>
      </c>
      <c r="DA228" s="21">
        <f t="shared" si="1914"/>
        <v>0</v>
      </c>
      <c r="DB228" s="21">
        <f t="shared" si="1914"/>
        <v>0</v>
      </c>
      <c r="DE228" s="126"/>
      <c r="DF228" s="22">
        <v>0</v>
      </c>
    </row>
    <row r="229" spans="1:110" s="23" customFormat="1" x14ac:dyDescent="0.2">
      <c r="A229" s="23" t="s">
        <v>49</v>
      </c>
      <c r="C229" s="23">
        <f t="shared" ref="C229:AA229" si="1915">C151-B151</f>
        <v>0</v>
      </c>
      <c r="D229" s="23">
        <f t="shared" si="1915"/>
        <v>39.651000000000003</v>
      </c>
      <c r="E229" s="23">
        <f>E151-D151</f>
        <v>71.329999999999984</v>
      </c>
      <c r="F229" s="23">
        <f t="shared" si="1915"/>
        <v>54.467000000000013</v>
      </c>
      <c r="G229" s="23">
        <f t="shared" si="1915"/>
        <v>11.631</v>
      </c>
      <c r="H229" s="23">
        <f t="shared" si="1915"/>
        <v>-49.198000000000008</v>
      </c>
      <c r="I229" s="23">
        <f t="shared" si="1915"/>
        <v>-3.9369999999999976</v>
      </c>
      <c r="J229" s="23">
        <f>J151-I151</f>
        <v>210.63899999999995</v>
      </c>
      <c r="K229" s="23">
        <f>K151-J151</f>
        <v>179.49900000000002</v>
      </c>
      <c r="L229" s="23">
        <f t="shared" si="1915"/>
        <v>537.93899999999996</v>
      </c>
      <c r="M229" s="23">
        <f t="shared" si="1915"/>
        <v>47.921000000000049</v>
      </c>
      <c r="N229" s="23">
        <f t="shared" si="1915"/>
        <v>1564.6420000000003</v>
      </c>
      <c r="O229" s="23">
        <f t="shared" si="1915"/>
        <v>404.4369999999999</v>
      </c>
      <c r="P229" s="23">
        <f t="shared" si="1915"/>
        <v>-787.14499999999998</v>
      </c>
      <c r="Q229" s="23">
        <f t="shared" si="1915"/>
        <v>285.98199999999997</v>
      </c>
      <c r="R229" s="23">
        <f t="shared" si="1915"/>
        <v>53.832999999999629</v>
      </c>
      <c r="S229" s="23">
        <f t="shared" si="1915"/>
        <v>-377.67399999999998</v>
      </c>
      <c r="T229" s="23">
        <f t="shared" si="1915"/>
        <v>-414.56099999999969</v>
      </c>
      <c r="U229" s="23">
        <f t="shared" si="1915"/>
        <v>470.81999999999971</v>
      </c>
      <c r="V229" s="23">
        <f t="shared" si="1915"/>
        <v>649.64400000000023</v>
      </c>
      <c r="W229" s="23">
        <f t="shared" si="1915"/>
        <v>-381.80999999999995</v>
      </c>
      <c r="X229" s="23">
        <f t="shared" si="1915"/>
        <v>-342.40000000000009</v>
      </c>
      <c r="Y229" s="23">
        <f t="shared" si="1915"/>
        <v>189.67999999999984</v>
      </c>
      <c r="Z229" s="23">
        <f t="shared" si="1915"/>
        <v>-703.56</v>
      </c>
      <c r="AA229" s="23">
        <f t="shared" si="1915"/>
        <v>-893.65999999999985</v>
      </c>
      <c r="AB229" s="24">
        <f t="shared" ref="AB229" si="1916">AB151-AA151</f>
        <v>0</v>
      </c>
      <c r="AC229" s="24">
        <f t="shared" ref="AC229" si="1917">AC151-AB151</f>
        <v>0</v>
      </c>
      <c r="AD229" s="24">
        <f t="shared" ref="AD229" si="1918">AD151-AC151</f>
        <v>0</v>
      </c>
      <c r="AE229" s="24">
        <f t="shared" ref="AE229" si="1919">AE151-AD151</f>
        <v>0</v>
      </c>
      <c r="AI229" s="23">
        <f t="shared" ref="AI229" si="1920">AI151-AH151</f>
        <v>0</v>
      </c>
      <c r="AJ229" s="23">
        <f t="shared" ref="AJ229" si="1921">AJ151-AI151</f>
        <v>0</v>
      </c>
      <c r="AK229" s="23">
        <f t="shared" ref="AK229" si="1922">AK151-AJ151</f>
        <v>0</v>
      </c>
      <c r="AL229" s="23">
        <f t="shared" ref="AL229" si="1923">AL151-AK151</f>
        <v>0</v>
      </c>
      <c r="AM229" s="23">
        <f t="shared" ref="AM229" si="1924">AM151-AL151</f>
        <v>0</v>
      </c>
      <c r="AN229" s="23">
        <f t="shared" ref="AN229" si="1925">AN151-AM151</f>
        <v>0</v>
      </c>
      <c r="AO229" s="23">
        <f t="shared" ref="AO229" si="1926">AO151-AN151</f>
        <v>0</v>
      </c>
      <c r="AP229" s="23">
        <f t="shared" ref="AP229" si="1927">AP151-AO151</f>
        <v>0</v>
      </c>
      <c r="AQ229" s="23">
        <f t="shared" ref="AQ229" si="1928">AQ151-AP151</f>
        <v>0</v>
      </c>
      <c r="AR229" s="23">
        <f t="shared" ref="AR229" si="1929">AR151-AQ151</f>
        <v>0</v>
      </c>
      <c r="AS229" s="23">
        <f t="shared" ref="AS229" si="1930">AS151-AR151</f>
        <v>0</v>
      </c>
      <c r="AT229" s="23">
        <f t="shared" ref="AT229" si="1931">AT151-AS151</f>
        <v>0</v>
      </c>
      <c r="AU229" s="23">
        <f t="shared" ref="AU229" si="1932">AU151-AT151</f>
        <v>0</v>
      </c>
      <c r="AV229" s="23">
        <f t="shared" ref="AV229" si="1933">AV151-AU151</f>
        <v>0</v>
      </c>
      <c r="AW229" s="23">
        <f t="shared" ref="AW229" si="1934">AW151-AV151</f>
        <v>0</v>
      </c>
      <c r="AX229" s="23">
        <f t="shared" ref="AX229" si="1935">AX151-AW151</f>
        <v>0</v>
      </c>
      <c r="AY229" s="23">
        <f t="shared" ref="AY229" si="1936">AY151-AX151</f>
        <v>0</v>
      </c>
      <c r="AZ229" s="23">
        <f t="shared" ref="AZ229" si="1937">AZ151-AY151</f>
        <v>0</v>
      </c>
      <c r="BA229" s="23">
        <f t="shared" ref="BA229" si="1938">BA151-AZ151</f>
        <v>0</v>
      </c>
      <c r="BB229" s="23">
        <f t="shared" ref="BB229" si="1939">BB151-BA151</f>
        <v>0</v>
      </c>
      <c r="BC229" s="23">
        <f t="shared" ref="BC229" si="1940">BC151-BB151</f>
        <v>0</v>
      </c>
      <c r="BD229" s="23">
        <f t="shared" ref="BD229" si="1941">BD151-BC151</f>
        <v>0</v>
      </c>
      <c r="BE229" s="23">
        <f t="shared" ref="BE229" si="1942">BE151-BD151</f>
        <v>0</v>
      </c>
      <c r="BF229" s="23">
        <f t="shared" ref="BF229" si="1943">BF151-BE151</f>
        <v>0</v>
      </c>
      <c r="BG229" s="23">
        <f t="shared" ref="BG229" si="1944">BG151-BF151</f>
        <v>0</v>
      </c>
      <c r="BH229" s="23">
        <f t="shared" ref="BH229" si="1945">BH151-BG151</f>
        <v>0</v>
      </c>
      <c r="BI229" s="23">
        <f t="shared" ref="BI229" si="1946">BI151-BH151</f>
        <v>0</v>
      </c>
      <c r="BJ229" s="23">
        <f t="shared" ref="BJ229" si="1947">BJ151-BI151</f>
        <v>0</v>
      </c>
      <c r="BK229" s="23">
        <f t="shared" ref="BK229" si="1948">BK151-BJ151</f>
        <v>0</v>
      </c>
      <c r="BL229" s="23">
        <f t="shared" ref="BL229" si="1949">BL151-BK151</f>
        <v>0</v>
      </c>
      <c r="BM229" s="23">
        <f t="shared" ref="BM229" si="1950">BM151-BL151</f>
        <v>0</v>
      </c>
      <c r="BN229" s="23">
        <f t="shared" ref="BN229" si="1951">BN151-BM151</f>
        <v>0</v>
      </c>
      <c r="BO229" s="23">
        <f t="shared" ref="BO229" si="1952">BO151-BN151</f>
        <v>0</v>
      </c>
      <c r="BP229" s="23">
        <f t="shared" ref="BP229" si="1953">BP151-BO151</f>
        <v>0</v>
      </c>
      <c r="BQ229" s="23">
        <f t="shared" ref="BQ229" si="1954">BQ151-BP151</f>
        <v>0</v>
      </c>
      <c r="BR229" s="23">
        <f t="shared" ref="BR229" si="1955">BR151-BQ151</f>
        <v>2949.92</v>
      </c>
      <c r="BS229" s="23">
        <f t="shared" ref="BS229" si="1956">BS151-BR151</f>
        <v>0</v>
      </c>
      <c r="BT229" s="23">
        <f t="shared" ref="BT229" si="1957">BT151-BS151</f>
        <v>-2949.92</v>
      </c>
      <c r="BU229" s="23">
        <f t="shared" ref="BU229" si="1958">BU151-BT151</f>
        <v>0</v>
      </c>
      <c r="BV229" s="23">
        <f t="shared" ref="BV229" si="1959">BV151-BU151</f>
        <v>2568.1099999999997</v>
      </c>
      <c r="BW229" s="23">
        <f t="shared" ref="BW229" si="1960">BW151-BV151</f>
        <v>0</v>
      </c>
      <c r="BX229" s="23">
        <f t="shared" ref="BX229" si="1961">BX151-BW151</f>
        <v>383.27000000000044</v>
      </c>
      <c r="BY229" s="23">
        <f t="shared" ref="BY229" si="1962">BY151-BX151</f>
        <v>0</v>
      </c>
      <c r="BZ229" s="23">
        <f t="shared" ref="BZ229" si="1963">BZ151-BY151</f>
        <v>-725.67000000000007</v>
      </c>
      <c r="CA229" s="23">
        <f t="shared" ref="CA229" si="1964">CA151-BZ151</f>
        <v>0</v>
      </c>
      <c r="CB229" s="23">
        <f t="shared" ref="CB229" si="1965">CB151-CA151</f>
        <v>1417.2199999999998</v>
      </c>
      <c r="CC229" s="23">
        <f t="shared" ref="CC229" si="1966">CC151-CB151</f>
        <v>0</v>
      </c>
      <c r="CD229" s="23">
        <f t="shared" ref="CD229" si="1967">CD151-CC151</f>
        <v>-1227.54</v>
      </c>
      <c r="CE229" s="23">
        <f t="shared" ref="CE229" si="1968">CE151-CD151</f>
        <v>0</v>
      </c>
      <c r="CF229" s="23">
        <f t="shared" ref="CF229" si="1969">CF151-CE151</f>
        <v>-473.56999999999971</v>
      </c>
      <c r="CG229" s="23">
        <f t="shared" ref="CG229" si="1970">CG151-CF151</f>
        <v>0</v>
      </c>
      <c r="CH229" s="23">
        <f t="shared" ref="CH229:CL229" si="1971">CH151-CG151</f>
        <v>-229.99000000000024</v>
      </c>
      <c r="CI229" s="23">
        <f t="shared" si="1971"/>
        <v>0</v>
      </c>
      <c r="CJ229" s="23">
        <f t="shared" si="1971"/>
        <v>-875.52</v>
      </c>
      <c r="CK229" s="23">
        <f t="shared" ref="CK229" si="1972">CK151-CJ151</f>
        <v>0</v>
      </c>
      <c r="CL229" s="23">
        <f t="shared" si="1971"/>
        <v>-18.139999999999873</v>
      </c>
      <c r="CM229" s="24">
        <f t="shared" ref="CM229" si="1973">CM151-CL151</f>
        <v>0</v>
      </c>
      <c r="CN229" s="24">
        <f t="shared" ref="CN229" si="1974">CN151-CM151</f>
        <v>0</v>
      </c>
      <c r="CO229" s="24">
        <f t="shared" ref="CO229" si="1975">CO151-CN151</f>
        <v>0</v>
      </c>
      <c r="CP229" s="24">
        <f t="shared" ref="CP229" si="1976">CP151-CO151</f>
        <v>0</v>
      </c>
      <c r="CQ229" s="24">
        <f t="shared" ref="CQ229" si="1977">CQ151-CP151</f>
        <v>0</v>
      </c>
      <c r="CR229" s="24">
        <f t="shared" ref="CR229" si="1978">CR151-CQ151</f>
        <v>0</v>
      </c>
      <c r="CS229" s="24">
        <f t="shared" ref="CS229" si="1979">CS151-CR151</f>
        <v>0</v>
      </c>
      <c r="CT229" s="24">
        <f t="shared" ref="CT229" si="1980">CT151-CS151</f>
        <v>0</v>
      </c>
      <c r="CU229" s="24">
        <f t="shared" ref="CU229" si="1981">CU151-CT151</f>
        <v>0</v>
      </c>
      <c r="CV229" s="24">
        <f t="shared" ref="CV229" si="1982">CV151-CU151</f>
        <v>0</v>
      </c>
      <c r="CW229" s="24">
        <f t="shared" ref="CW229" si="1983">CW151-CV151</f>
        <v>0</v>
      </c>
      <c r="CX229" s="24">
        <f t="shared" ref="CX229" si="1984">CX151-CW151</f>
        <v>0</v>
      </c>
      <c r="CY229" s="24">
        <f t="shared" ref="CY229" si="1985">CY151-CX151</f>
        <v>0</v>
      </c>
      <c r="CZ229" s="24">
        <f t="shared" ref="CZ229" si="1986">CZ151-CY151</f>
        <v>0</v>
      </c>
      <c r="DA229" s="24">
        <f t="shared" ref="DA229" si="1987">DA151-CZ151</f>
        <v>0</v>
      </c>
      <c r="DB229" s="24">
        <f t="shared" ref="DB229" si="1988">DB151-DA151</f>
        <v>0</v>
      </c>
      <c r="DE229" s="123"/>
      <c r="DF229" s="23">
        <v>0</v>
      </c>
    </row>
    <row r="230" spans="1:110" s="23" customFormat="1" x14ac:dyDescent="0.2">
      <c r="A230" s="23" t="s">
        <v>27</v>
      </c>
      <c r="C230" s="23">
        <f t="shared" ref="C230:AE230" si="1989">C143-C71-B143+C145-B145</f>
        <v>0</v>
      </c>
      <c r="D230" s="23">
        <f t="shared" si="1989"/>
        <v>50.211000000000055</v>
      </c>
      <c r="E230" s="23">
        <f t="shared" si="1989"/>
        <v>23.935999999999893</v>
      </c>
      <c r="F230" s="23">
        <f t="shared" si="1989"/>
        <v>72.217000000000183</v>
      </c>
      <c r="G230" s="23">
        <f t="shared" si="1989"/>
        <v>2.5579538487363607E-13</v>
      </c>
      <c r="H230" s="23">
        <f t="shared" si="1989"/>
        <v>3.694822225952521E-13</v>
      </c>
      <c r="I230" s="23">
        <f t="shared" si="1989"/>
        <v>37.422000000000054</v>
      </c>
      <c r="J230" s="23">
        <f t="shared" si="1989"/>
        <v>103.41099999999955</v>
      </c>
      <c r="K230" s="23">
        <f t="shared" si="1989"/>
        <v>9.9999999963529262E-4</v>
      </c>
      <c r="L230" s="23">
        <f t="shared" si="1989"/>
        <v>233.36999999999989</v>
      </c>
      <c r="M230" s="23">
        <f t="shared" si="1989"/>
        <v>1.0000000008858478E-3</v>
      </c>
      <c r="N230" s="23">
        <f t="shared" si="1989"/>
        <v>13.962000000000785</v>
      </c>
      <c r="O230" s="23">
        <f t="shared" si="1989"/>
        <v>-76.642999999998551</v>
      </c>
      <c r="P230" s="23">
        <f t="shared" si="1989"/>
        <v>60.32300000000123</v>
      </c>
      <c r="Q230" s="23">
        <f t="shared" si="1989"/>
        <v>68.783999999998173</v>
      </c>
      <c r="R230" s="23">
        <f t="shared" si="1989"/>
        <v>17.743999999998096</v>
      </c>
      <c r="S230" s="23">
        <f t="shared" si="1989"/>
        <v>12.464999999998554</v>
      </c>
      <c r="T230" s="23">
        <f t="shared" si="1989"/>
        <v>-0.90399999999999636</v>
      </c>
      <c r="U230" s="23">
        <f t="shared" si="1989"/>
        <v>-17.868000000001302</v>
      </c>
      <c r="V230" s="23">
        <f t="shared" si="1989"/>
        <v>-0.22699999999622378</v>
      </c>
      <c r="W230" s="23">
        <f t="shared" si="1989"/>
        <v>3503.6599999999994</v>
      </c>
      <c r="X230" s="23">
        <f t="shared" si="1989"/>
        <v>-22.74000000000251</v>
      </c>
      <c r="Y230" s="23">
        <f t="shared" si="1989"/>
        <v>2.2499999999918145</v>
      </c>
      <c r="Z230" s="23">
        <f t="shared" si="1989"/>
        <v>-117.15000000000225</v>
      </c>
      <c r="AA230" s="23">
        <f t="shared" si="1989"/>
        <v>-22.289999999984648</v>
      </c>
      <c r="AB230" s="24">
        <f t="shared" si="1989"/>
        <v>-3.637978807091713E-12</v>
      </c>
      <c r="AC230" s="24">
        <f t="shared" si="1989"/>
        <v>-3.637978807091713E-12</v>
      </c>
      <c r="AD230" s="24">
        <f t="shared" si="1989"/>
        <v>-5.4569682106375694E-12</v>
      </c>
      <c r="AE230" s="24">
        <f t="shared" si="1989"/>
        <v>1.6370904631912708E-11</v>
      </c>
      <c r="AI230" s="23">
        <f t="shared" ref="AI230:BN230" si="1990">AI143-AI71-AH143+AI145-AH145</f>
        <v>0</v>
      </c>
      <c r="AJ230" s="23">
        <f t="shared" si="1990"/>
        <v>0</v>
      </c>
      <c r="AK230" s="23">
        <f t="shared" si="1990"/>
        <v>0</v>
      </c>
      <c r="AL230" s="23">
        <f t="shared" si="1990"/>
        <v>0</v>
      </c>
      <c r="AM230" s="23">
        <f t="shared" si="1990"/>
        <v>0</v>
      </c>
      <c r="AN230" s="23">
        <f t="shared" si="1990"/>
        <v>0</v>
      </c>
      <c r="AO230" s="23">
        <f t="shared" si="1990"/>
        <v>0</v>
      </c>
      <c r="AP230" s="23">
        <f t="shared" si="1990"/>
        <v>0</v>
      </c>
      <c r="AQ230" s="23">
        <f t="shared" si="1990"/>
        <v>0</v>
      </c>
      <c r="AR230" s="23">
        <f t="shared" si="1990"/>
        <v>0</v>
      </c>
      <c r="AS230" s="23">
        <f t="shared" si="1990"/>
        <v>0</v>
      </c>
      <c r="AT230" s="23">
        <f t="shared" si="1990"/>
        <v>0</v>
      </c>
      <c r="AU230" s="23">
        <f t="shared" si="1990"/>
        <v>0</v>
      </c>
      <c r="AV230" s="23">
        <f t="shared" si="1990"/>
        <v>0</v>
      </c>
      <c r="AW230" s="23">
        <f t="shared" si="1990"/>
        <v>0</v>
      </c>
      <c r="AX230" s="23">
        <f t="shared" si="1990"/>
        <v>0</v>
      </c>
      <c r="AY230" s="23">
        <f t="shared" si="1990"/>
        <v>0</v>
      </c>
      <c r="AZ230" s="23">
        <f t="shared" si="1990"/>
        <v>0</v>
      </c>
      <c r="BA230" s="23">
        <f t="shared" si="1990"/>
        <v>0</v>
      </c>
      <c r="BB230" s="23">
        <f t="shared" si="1990"/>
        <v>0</v>
      </c>
      <c r="BC230" s="23">
        <f t="shared" si="1990"/>
        <v>0</v>
      </c>
      <c r="BD230" s="23">
        <f t="shared" si="1990"/>
        <v>0</v>
      </c>
      <c r="BE230" s="23">
        <f t="shared" si="1990"/>
        <v>0</v>
      </c>
      <c r="BF230" s="23">
        <f t="shared" si="1990"/>
        <v>0</v>
      </c>
      <c r="BG230" s="23">
        <f t="shared" si="1990"/>
        <v>0</v>
      </c>
      <c r="BH230" s="23">
        <f t="shared" si="1990"/>
        <v>0</v>
      </c>
      <c r="BI230" s="23">
        <f t="shared" si="1990"/>
        <v>0</v>
      </c>
      <c r="BJ230" s="23">
        <f t="shared" si="1990"/>
        <v>0</v>
      </c>
      <c r="BK230" s="23">
        <f t="shared" si="1990"/>
        <v>0</v>
      </c>
      <c r="BL230" s="23">
        <f t="shared" si="1990"/>
        <v>0</v>
      </c>
      <c r="BM230" s="23">
        <f t="shared" si="1990"/>
        <v>0</v>
      </c>
      <c r="BN230" s="23">
        <f t="shared" si="1990"/>
        <v>0</v>
      </c>
      <c r="BO230" s="23">
        <f t="shared" ref="BO230:CT230" si="1991">BO143-BO71-BN143+BO145-BN145</f>
        <v>0</v>
      </c>
      <c r="BP230" s="23">
        <f t="shared" si="1991"/>
        <v>0</v>
      </c>
      <c r="BQ230" s="23">
        <f t="shared" si="1991"/>
        <v>0</v>
      </c>
      <c r="BR230" s="23">
        <f t="shared" si="1991"/>
        <v>2856.5899999999979</v>
      </c>
      <c r="BS230" s="23">
        <f t="shared" si="1991"/>
        <v>0</v>
      </c>
      <c r="BT230" s="23">
        <f t="shared" si="1991"/>
        <v>-3657.01</v>
      </c>
      <c r="BU230" s="23">
        <f t="shared" si="1991"/>
        <v>0</v>
      </c>
      <c r="BV230" s="23">
        <f t="shared" si="1991"/>
        <v>7160.6699999999992</v>
      </c>
      <c r="BW230" s="23">
        <f t="shared" si="1991"/>
        <v>-9.0949470177292824E-13</v>
      </c>
      <c r="BX230" s="23">
        <f t="shared" si="1991"/>
        <v>-17.299999999999272</v>
      </c>
      <c r="BY230" s="23">
        <f t="shared" si="1991"/>
        <v>0</v>
      </c>
      <c r="BZ230" s="23">
        <f t="shared" si="1991"/>
        <v>-5.4399999999995998</v>
      </c>
      <c r="CA230" s="23">
        <f t="shared" si="1991"/>
        <v>0</v>
      </c>
      <c r="CB230" s="23">
        <f t="shared" si="1991"/>
        <v>5.7700000000022555</v>
      </c>
      <c r="CC230" s="23">
        <f t="shared" si="1991"/>
        <v>0</v>
      </c>
      <c r="CD230" s="23">
        <f t="shared" si="1991"/>
        <v>-3.5200000000013461</v>
      </c>
      <c r="CE230" s="23">
        <f t="shared" si="1991"/>
        <v>0</v>
      </c>
      <c r="CF230" s="23">
        <f t="shared" si="1991"/>
        <v>1.7199999999976716</v>
      </c>
      <c r="CG230" s="23">
        <f t="shared" si="1991"/>
        <v>0</v>
      </c>
      <c r="CH230" s="23">
        <f t="shared" si="1991"/>
        <v>-118.86999999999992</v>
      </c>
      <c r="CI230" s="23">
        <f t="shared" si="1991"/>
        <v>0</v>
      </c>
      <c r="CJ230" s="23">
        <f t="shared" si="1991"/>
        <v>1.939999999999054</v>
      </c>
      <c r="CK230" s="23">
        <f t="shared" si="1991"/>
        <v>0</v>
      </c>
      <c r="CL230" s="23">
        <f t="shared" si="1991"/>
        <v>-24.229999999998252</v>
      </c>
      <c r="CM230" s="24">
        <f t="shared" si="1991"/>
        <v>0</v>
      </c>
      <c r="CN230" s="24">
        <f t="shared" si="1991"/>
        <v>0</v>
      </c>
      <c r="CO230" s="24">
        <f t="shared" si="1991"/>
        <v>0</v>
      </c>
      <c r="CP230" s="24">
        <f t="shared" si="1991"/>
        <v>0</v>
      </c>
      <c r="CQ230" s="24">
        <f t="shared" si="1991"/>
        <v>0</v>
      </c>
      <c r="CR230" s="24">
        <f t="shared" si="1991"/>
        <v>0</v>
      </c>
      <c r="CS230" s="24">
        <f t="shared" si="1991"/>
        <v>0</v>
      </c>
      <c r="CT230" s="24">
        <f t="shared" si="1991"/>
        <v>0</v>
      </c>
      <c r="CU230" s="24">
        <f t="shared" ref="CU230:DB230" si="1992">CU143-CU71-CT143+CU145-CT145</f>
        <v>0</v>
      </c>
      <c r="CV230" s="24">
        <f t="shared" si="1992"/>
        <v>0</v>
      </c>
      <c r="CW230" s="24">
        <f t="shared" si="1992"/>
        <v>0</v>
      </c>
      <c r="CX230" s="24">
        <f t="shared" si="1992"/>
        <v>0</v>
      </c>
      <c r="CY230" s="24">
        <f t="shared" si="1992"/>
        <v>0</v>
      </c>
      <c r="CZ230" s="24">
        <f t="shared" si="1992"/>
        <v>0</v>
      </c>
      <c r="DA230" s="24">
        <f t="shared" si="1992"/>
        <v>0</v>
      </c>
      <c r="DB230" s="24">
        <f t="shared" si="1992"/>
        <v>0</v>
      </c>
      <c r="DE230" s="123"/>
      <c r="DF230" s="23">
        <v>0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3" customFormat="1" x14ac:dyDescent="0.2">
      <c r="A232" s="23" t="s">
        <v>442</v>
      </c>
      <c r="C232" s="23">
        <f t="shared" ref="C232" si="1993">B184</f>
        <v>0</v>
      </c>
      <c r="D232" s="23">
        <f t="shared" ref="D232" si="1994">C184</f>
        <v>0</v>
      </c>
      <c r="E232" s="23">
        <f>D184</f>
        <v>42.389000000000003</v>
      </c>
      <c r="F232" s="23">
        <f t="shared" ref="F232" si="1995">E184</f>
        <v>116.958</v>
      </c>
      <c r="G232" s="23">
        <f t="shared" ref="G232" si="1996">F184</f>
        <v>159.398</v>
      </c>
      <c r="H232" s="23">
        <f t="shared" ref="H232" si="1997">G184</f>
        <v>151.77500000000001</v>
      </c>
      <c r="I232" s="23">
        <f t="shared" ref="I232" si="1998">H184</f>
        <v>107.953</v>
      </c>
      <c r="J232" s="23">
        <f>I184</f>
        <v>163.184</v>
      </c>
      <c r="K232" s="23">
        <f>J184</f>
        <v>180.09899999999999</v>
      </c>
      <c r="L232" s="23">
        <f t="shared" ref="L232" si="1999">K184</f>
        <v>130.27199999999999</v>
      </c>
      <c r="M232" s="23">
        <f t="shared" ref="M232" si="2000">L184</f>
        <v>176.494</v>
      </c>
      <c r="N232" s="23">
        <f t="shared" ref="N232" si="2001">M184</f>
        <v>733.98</v>
      </c>
      <c r="O232" s="23">
        <f t="shared" ref="O232" si="2002">N184</f>
        <v>1615.422</v>
      </c>
      <c r="P232" s="23">
        <f t="shared" ref="P232" si="2003">O184</f>
        <v>1970.943</v>
      </c>
      <c r="Q232" s="23">
        <f t="shared" ref="Q232" si="2004">P184</f>
        <v>1156.857</v>
      </c>
      <c r="R232" s="23">
        <f t="shared" ref="R232" si="2005">Q184</f>
        <v>929.16099999999994</v>
      </c>
      <c r="S232" s="23">
        <f t="shared" ref="S232" si="2006">R184</f>
        <v>909.48299999999995</v>
      </c>
      <c r="T232" s="23">
        <f t="shared" ref="T232" si="2007">S184</f>
        <v>1091.2149999999999</v>
      </c>
      <c r="U232" s="23">
        <f t="shared" ref="U232" si="2008">T184</f>
        <v>1215.461</v>
      </c>
      <c r="V232" s="23">
        <f t="shared" ref="V232" si="2009">U184</f>
        <v>1432.1010000000001</v>
      </c>
      <c r="W232" s="23">
        <f t="shared" ref="W232:AA232" si="2010">V184</f>
        <v>1238.46</v>
      </c>
      <c r="X232" s="23">
        <f t="shared" si="2010"/>
        <v>4544</v>
      </c>
      <c r="Y232" s="23">
        <f t="shared" si="2010"/>
        <v>3774.11</v>
      </c>
      <c r="Z232" s="23">
        <f t="shared" si="2010"/>
        <v>2809.58</v>
      </c>
      <c r="AA232" s="23">
        <f t="shared" si="2010"/>
        <v>1272.83</v>
      </c>
      <c r="AB232" s="24">
        <f t="shared" ref="AB232" si="2011">AA184</f>
        <v>2372.59</v>
      </c>
      <c r="AC232" s="24">
        <f t="shared" ref="AC232" si="2012">AB184</f>
        <v>4108.1962028923517</v>
      </c>
      <c r="AD232" s="24">
        <f t="shared" ref="AD232" si="2013">AC184</f>
        <v>5787.4423222158284</v>
      </c>
      <c r="AE232" s="24">
        <f t="shared" ref="AE232" si="2014">AD184</f>
        <v>7356.3727240660965</v>
      </c>
      <c r="AI232" s="23">
        <f t="shared" ref="AI232" si="2015">AH184</f>
        <v>0</v>
      </c>
      <c r="AJ232" s="23">
        <f t="shared" ref="AJ232" si="2016">AI184</f>
        <v>0</v>
      </c>
      <c r="AK232" s="23">
        <f t="shared" ref="AK232" si="2017">AJ184</f>
        <v>0</v>
      </c>
      <c r="AL232" s="23" t="e">
        <f t="shared" ref="AL232" si="2018">AK184</f>
        <v>#DIV/0!</v>
      </c>
      <c r="AM232" s="23">
        <f t="shared" ref="AM232" si="2019">AL184</f>
        <v>0</v>
      </c>
      <c r="AN232" s="23" t="e">
        <f t="shared" ref="AN232" si="2020">AM184</f>
        <v>#DIV/0!</v>
      </c>
      <c r="AO232" s="23">
        <f t="shared" ref="AO232" si="2021">AN184</f>
        <v>0</v>
      </c>
      <c r="AP232" s="23" t="e">
        <f t="shared" ref="AP232" si="2022">AO184</f>
        <v>#DIV/0!</v>
      </c>
      <c r="AQ232" s="23">
        <f t="shared" ref="AQ232" si="2023">AP184</f>
        <v>0</v>
      </c>
      <c r="AR232" s="23" t="e">
        <f t="shared" ref="AR232" si="2024">AQ184</f>
        <v>#DIV/0!</v>
      </c>
      <c r="AS232" s="23">
        <f t="shared" ref="AS232" si="2025">AR184</f>
        <v>0</v>
      </c>
      <c r="AT232" s="23" t="e">
        <f t="shared" ref="AT232" si="2026">AS184</f>
        <v>#DIV/0!</v>
      </c>
      <c r="AU232" s="23">
        <f t="shared" ref="AU232" si="2027">AT184</f>
        <v>0</v>
      </c>
      <c r="AV232" s="23" t="e">
        <f t="shared" ref="AV232" si="2028">AU184</f>
        <v>#DIV/0!</v>
      </c>
      <c r="AW232" s="23">
        <f t="shared" ref="AW232" si="2029">AV184</f>
        <v>0</v>
      </c>
      <c r="AX232" s="23" t="e">
        <f t="shared" ref="AX232" si="2030">AW184</f>
        <v>#DIV/0!</v>
      </c>
      <c r="AY232" s="23">
        <f t="shared" ref="AY232" si="2031">AX184</f>
        <v>0</v>
      </c>
      <c r="AZ232" s="23" t="e">
        <f t="shared" ref="AZ232" si="2032">AY184</f>
        <v>#DIV/0!</v>
      </c>
      <c r="BA232" s="23">
        <f t="shared" ref="BA232" si="2033">AZ184</f>
        <v>0</v>
      </c>
      <c r="BB232" s="23" t="e">
        <f t="shared" ref="BB232" si="2034">BA184</f>
        <v>#DIV/0!</v>
      </c>
      <c r="BC232" s="23">
        <f t="shared" ref="BC232" si="2035">BB184</f>
        <v>0</v>
      </c>
      <c r="BD232" s="23" t="e">
        <f t="shared" ref="BD232" si="2036">BC184</f>
        <v>#DIV/0!</v>
      </c>
      <c r="BE232" s="23">
        <f t="shared" ref="BE232" si="2037">BD184</f>
        <v>0</v>
      </c>
      <c r="BF232" s="23" t="e">
        <f t="shared" ref="BF232" si="2038">BE184</f>
        <v>#DIV/0!</v>
      </c>
      <c r="BG232" s="23">
        <f t="shared" ref="BG232" si="2039">BF184</f>
        <v>0</v>
      </c>
      <c r="BH232" s="23" t="e">
        <f t="shared" ref="BH232" si="2040">BG184</f>
        <v>#DIV/0!</v>
      </c>
      <c r="BI232" s="23">
        <f t="shared" ref="BI232" si="2041">BH184</f>
        <v>0</v>
      </c>
      <c r="BJ232" s="23" t="e">
        <f t="shared" ref="BJ232" si="2042">BI184</f>
        <v>#DIV/0!</v>
      </c>
      <c r="BK232" s="23">
        <f t="shared" ref="BK232" si="2043">BJ184</f>
        <v>0</v>
      </c>
      <c r="BL232" s="23" t="e">
        <f t="shared" ref="BL232" si="2044">BK184</f>
        <v>#DIV/0!</v>
      </c>
      <c r="BM232" s="23">
        <f t="shared" ref="BM232" si="2045">BL184</f>
        <v>0</v>
      </c>
      <c r="BN232" s="23" t="e">
        <f t="shared" ref="BN232" si="2046">BM184</f>
        <v>#DIV/0!</v>
      </c>
      <c r="BO232" s="23">
        <f t="shared" ref="BO232" si="2047">BN184</f>
        <v>0</v>
      </c>
      <c r="BP232" s="23" t="e">
        <f t="shared" ref="BP232" si="2048">BO184</f>
        <v>#DIV/0!</v>
      </c>
      <c r="BQ232" s="23">
        <f t="shared" ref="BQ232" si="2049">BP184</f>
        <v>0</v>
      </c>
      <c r="BR232" s="23" t="e">
        <f t="shared" ref="BR232" si="2050">BQ184</f>
        <v>#DIV/0!</v>
      </c>
      <c r="BS232" s="23">
        <f t="shared" ref="BS232" si="2051">BR184</f>
        <v>1238.46</v>
      </c>
      <c r="BT232" s="23">
        <f t="shared" ref="BT232" si="2052">BS184</f>
        <v>1348.2212343684705</v>
      </c>
      <c r="BU232" s="23">
        <f t="shared" ref="BU232" si="2053">BT184</f>
        <v>0</v>
      </c>
      <c r="BV232" s="23">
        <f t="shared" ref="BV232" si="2054">BU184</f>
        <v>211.41000000000099</v>
      </c>
      <c r="BW232" s="23">
        <f t="shared" ref="BW232" si="2055">BV184</f>
        <v>4544</v>
      </c>
      <c r="BX232" s="23">
        <f t="shared" ref="BX232" si="2056">BW184</f>
        <v>4842.4354407914034</v>
      </c>
      <c r="BY232" s="23">
        <f t="shared" ref="BY232" si="2057">BX184</f>
        <v>4442.22</v>
      </c>
      <c r="BZ232" s="23">
        <f t="shared" ref="BZ232" si="2058">BY184</f>
        <v>3972.4599503463969</v>
      </c>
      <c r="CA232" s="23">
        <f t="shared" ref="CA232" si="2059">BZ184</f>
        <v>3774.11</v>
      </c>
      <c r="CB232" s="23">
        <f t="shared" ref="CB232" si="2060">CA184</f>
        <v>4210.1094150212202</v>
      </c>
      <c r="CC232" s="23">
        <f t="shared" ref="CC232" si="2061">CB184</f>
        <v>2922.81</v>
      </c>
      <c r="CD232" s="23">
        <f t="shared" ref="CD232" si="2062">CC184</f>
        <v>2755.9959710935314</v>
      </c>
      <c r="CE232" s="23">
        <f t="shared" ref="CE232" si="2063">CD184</f>
        <v>2809.58</v>
      </c>
      <c r="CF232" s="23">
        <f t="shared" ref="CF232" si="2064">CE184</f>
        <v>2685.5688515544703</v>
      </c>
      <c r="CG232" s="23">
        <f t="shared" ref="CG232" si="2065">CF184</f>
        <v>3297.96</v>
      </c>
      <c r="CH232" s="23">
        <f t="shared" ref="CH232:CL232" si="2066">CG184</f>
        <v>2532.7945814999921</v>
      </c>
      <c r="CI232" s="23">
        <f t="shared" si="2066"/>
        <v>1272.83</v>
      </c>
      <c r="CJ232" s="23">
        <f t="shared" si="2066"/>
        <v>1822.4036814377082</v>
      </c>
      <c r="CK232" s="23">
        <f t="shared" ref="CK232" si="2067">CJ184</f>
        <v>1791.61</v>
      </c>
      <c r="CL232" s="23">
        <f t="shared" si="2066"/>
        <v>2058.0022550564986</v>
      </c>
      <c r="CM232" s="24">
        <f t="shared" ref="CM232" si="2068">CL184</f>
        <v>2372.59</v>
      </c>
      <c r="CN232" s="24">
        <f t="shared" ref="CN232" si="2069">CM184</f>
        <v>3095.8066307320469</v>
      </c>
      <c r="CO232" s="24">
        <f t="shared" ref="CO232" si="2070">CN184</f>
        <v>3497.0488435006473</v>
      </c>
      <c r="CP232" s="24">
        <f t="shared" ref="CP232" si="2071">CO184</f>
        <v>3861.7075634942726</v>
      </c>
      <c r="CQ232" s="24">
        <f t="shared" ref="CQ232" si="2072">CP184</f>
        <v>4108.1962028923517</v>
      </c>
      <c r="CR232" s="24">
        <f t="shared" ref="CR232" si="2073">CQ184</f>
        <v>4907.2247539369264</v>
      </c>
      <c r="CS232" s="24">
        <f t="shared" ref="CS232" si="2074">CR184</f>
        <v>5231.3138343711016</v>
      </c>
      <c r="CT232" s="24">
        <f t="shared" ref="CT232" si="2075">CS184</f>
        <v>5549.5570220840636</v>
      </c>
      <c r="CU232" s="24">
        <f t="shared" ref="CU232" si="2076">CT184</f>
        <v>5787.4423222158284</v>
      </c>
      <c r="CV232" s="24">
        <f t="shared" ref="CV232" si="2077">CU184</f>
        <v>6534.6538909361097</v>
      </c>
      <c r="CW232" s="24">
        <f t="shared" ref="CW232" si="2078">CV184</f>
        <v>6849.1413583816611</v>
      </c>
      <c r="CX232" s="24">
        <f t="shared" ref="CX232" si="2079">CW184</f>
        <v>7153.4504531234252</v>
      </c>
      <c r="CY232" s="24">
        <f t="shared" ref="CY232" si="2080">CX184</f>
        <v>7356.3727240660965</v>
      </c>
      <c r="CZ232" s="24">
        <f t="shared" ref="CZ232" si="2081">CY184</f>
        <v>8128.1604691614366</v>
      </c>
      <c r="DA232" s="24">
        <f t="shared" ref="DA232" si="2082">CZ184</f>
        <v>8432.8864366695434</v>
      </c>
      <c r="DB232" s="24">
        <f t="shared" ref="DB232" si="2083">DA184</f>
        <v>8723.5249171877076</v>
      </c>
      <c r="DE232" s="123"/>
      <c r="DF232" s="23">
        <v>2058.0022550564986</v>
      </c>
    </row>
    <row r="233" spans="1:110" s="23" customFormat="1" x14ac:dyDescent="0.2">
      <c r="A233" s="23" t="s">
        <v>443</v>
      </c>
      <c r="C233" s="23">
        <f t="shared" ref="C233:W233" si="2084">C232+C228+C224+C222</f>
        <v>0</v>
      </c>
      <c r="D233" s="23">
        <f t="shared" si="2084"/>
        <v>42.388999999999946</v>
      </c>
      <c r="E233" s="23">
        <f t="shared" si="2084"/>
        <v>116.95800000000014</v>
      </c>
      <c r="F233" s="23">
        <f t="shared" si="2084"/>
        <v>159.39799999999988</v>
      </c>
      <c r="G233" s="23">
        <f t="shared" si="2084"/>
        <v>151.77499999999995</v>
      </c>
      <c r="H233" s="23">
        <f t="shared" si="2084"/>
        <v>107.95300000000007</v>
      </c>
      <c r="I233" s="23">
        <f t="shared" si="2084"/>
        <v>163.184</v>
      </c>
      <c r="J233" s="23">
        <f>J232+J228+J224+J222</f>
        <v>180.09899999999982</v>
      </c>
      <c r="K233" s="23">
        <f>K232+K228+K224+K222</f>
        <v>130.27200000000016</v>
      </c>
      <c r="L233" s="23">
        <f>L232+L228+L224+L222</f>
        <v>176.49399999999923</v>
      </c>
      <c r="M233" s="23">
        <f>M232+M228+M224+M222</f>
        <v>733.98000000000138</v>
      </c>
      <c r="N233" s="23">
        <f t="shared" si="2084"/>
        <v>1615.422</v>
      </c>
      <c r="O233" s="23">
        <f t="shared" si="2084"/>
        <v>1970.943</v>
      </c>
      <c r="P233" s="23">
        <f t="shared" si="2084"/>
        <v>1156.857</v>
      </c>
      <c r="Q233" s="23">
        <f t="shared" si="2084"/>
        <v>929.1610000000004</v>
      </c>
      <c r="R233" s="23">
        <f t="shared" si="2084"/>
        <v>909.48299999999858</v>
      </c>
      <c r="S233" s="23">
        <f t="shared" si="2084"/>
        <v>1091.2149999999997</v>
      </c>
      <c r="T233" s="23">
        <f t="shared" si="2084"/>
        <v>1215.4610000000007</v>
      </c>
      <c r="U233" s="23">
        <f t="shared" si="2084"/>
        <v>1432.1010000000006</v>
      </c>
      <c r="V233" s="23">
        <f t="shared" si="2084"/>
        <v>1238.4599999999991</v>
      </c>
      <c r="W233" s="23">
        <f t="shared" si="2084"/>
        <v>4544.0000000000018</v>
      </c>
      <c r="X233" s="23">
        <f t="shared" ref="X233:Y233" si="2085">X232+X228+X224+X222</f>
        <v>3774.1100000000006</v>
      </c>
      <c r="Y233" s="23">
        <f t="shared" si="2085"/>
        <v>2809.5799999999977</v>
      </c>
      <c r="Z233" s="23">
        <f t="shared" ref="Z233:AA233" si="2086">Z232+Z228+Z224+Z222</f>
        <v>1272.8299999999972</v>
      </c>
      <c r="AA233" s="23">
        <f t="shared" si="2086"/>
        <v>2372.5900000000047</v>
      </c>
      <c r="AB233" s="24">
        <f t="shared" ref="AA233:AD233" si="2087">AB232+AB228+AB224+AB222</f>
        <v>4108.196202892349</v>
      </c>
      <c r="AC233" s="24">
        <f t="shared" si="2087"/>
        <v>5787.4423222158275</v>
      </c>
      <c r="AD233" s="24">
        <f t="shared" si="2087"/>
        <v>7356.3727240660965</v>
      </c>
      <c r="AE233" s="24">
        <f t="shared" ref="AE233" si="2088">AE232+AE228+AE224+AE222</f>
        <v>8904.1443496226238</v>
      </c>
      <c r="AI233" s="23">
        <f t="shared" ref="AI233" si="2089">AI232+AI228+AI224+AI222</f>
        <v>0</v>
      </c>
      <c r="AJ233" s="23">
        <f t="shared" ref="AJ233:AL233" si="2090">AJ232+AJ228+AJ224+AJ222</f>
        <v>0</v>
      </c>
      <c r="AK233" s="23" t="e">
        <f t="shared" si="2090"/>
        <v>#DIV/0!</v>
      </c>
      <c r="AL233" s="23" t="e">
        <f t="shared" si="2090"/>
        <v>#DIV/0!</v>
      </c>
      <c r="AM233" s="23" t="e">
        <f t="shared" ref="AM233" si="2091">AM232+AM228+AM224+AM222</f>
        <v>#DIV/0!</v>
      </c>
      <c r="AN233" s="23" t="e">
        <f t="shared" ref="AN233:CD233" si="2092">AN232+AN228+AN224+AN222</f>
        <v>#DIV/0!</v>
      </c>
      <c r="AO233" s="23" t="e">
        <f t="shared" si="2092"/>
        <v>#DIV/0!</v>
      </c>
      <c r="AP233" s="23" t="e">
        <f t="shared" si="2092"/>
        <v>#DIV/0!</v>
      </c>
      <c r="AQ233" s="23" t="e">
        <f t="shared" si="2092"/>
        <v>#DIV/0!</v>
      </c>
      <c r="AR233" s="23" t="e">
        <f t="shared" si="2092"/>
        <v>#DIV/0!</v>
      </c>
      <c r="AS233" s="23" t="e">
        <f t="shared" si="2092"/>
        <v>#DIV/0!</v>
      </c>
      <c r="AT233" s="23" t="e">
        <f t="shared" si="2092"/>
        <v>#DIV/0!</v>
      </c>
      <c r="AU233" s="23" t="e">
        <f t="shared" si="2092"/>
        <v>#DIV/0!</v>
      </c>
      <c r="AV233" s="23" t="e">
        <f t="shared" si="2092"/>
        <v>#DIV/0!</v>
      </c>
      <c r="AW233" s="23" t="e">
        <f t="shared" si="2092"/>
        <v>#DIV/0!</v>
      </c>
      <c r="AX233" s="23" t="e">
        <f t="shared" si="2092"/>
        <v>#DIV/0!</v>
      </c>
      <c r="AY233" s="23" t="e">
        <f t="shared" si="2092"/>
        <v>#DIV/0!</v>
      </c>
      <c r="AZ233" s="23" t="e">
        <f t="shared" si="2092"/>
        <v>#DIV/0!</v>
      </c>
      <c r="BA233" s="23" t="e">
        <f t="shared" si="2092"/>
        <v>#DIV/0!</v>
      </c>
      <c r="BB233" s="23" t="e">
        <f t="shared" si="2092"/>
        <v>#DIV/0!</v>
      </c>
      <c r="BC233" s="23" t="e">
        <f t="shared" si="2092"/>
        <v>#DIV/0!</v>
      </c>
      <c r="BD233" s="23" t="e">
        <f t="shared" si="2092"/>
        <v>#DIV/0!</v>
      </c>
      <c r="BE233" s="23" t="e">
        <f t="shared" si="2092"/>
        <v>#DIV/0!</v>
      </c>
      <c r="BF233" s="23" t="e">
        <f t="shared" si="2092"/>
        <v>#DIV/0!</v>
      </c>
      <c r="BG233" s="23" t="e">
        <f t="shared" si="2092"/>
        <v>#DIV/0!</v>
      </c>
      <c r="BH233" s="23" t="e">
        <f t="shared" si="2092"/>
        <v>#DIV/0!</v>
      </c>
      <c r="BI233" s="23" t="e">
        <f t="shared" si="2092"/>
        <v>#DIV/0!</v>
      </c>
      <c r="BJ233" s="23" t="e">
        <f t="shared" si="2092"/>
        <v>#DIV/0!</v>
      </c>
      <c r="BK233" s="23" t="e">
        <f t="shared" si="2092"/>
        <v>#DIV/0!</v>
      </c>
      <c r="BL233" s="23" t="e">
        <f t="shared" si="2092"/>
        <v>#DIV/0!</v>
      </c>
      <c r="BM233" s="23" t="e">
        <f t="shared" si="2092"/>
        <v>#DIV/0!</v>
      </c>
      <c r="BN233" s="23" t="e">
        <f t="shared" si="2092"/>
        <v>#DIV/0!</v>
      </c>
      <c r="BO233" s="23" t="e">
        <f t="shared" si="2092"/>
        <v>#DIV/0!</v>
      </c>
      <c r="BP233" s="23" t="e">
        <f t="shared" si="2092"/>
        <v>#DIV/0!</v>
      </c>
      <c r="BQ233" s="23" t="e">
        <f t="shared" si="2092"/>
        <v>#DIV/0!</v>
      </c>
      <c r="BR233" s="23" t="e">
        <f t="shared" si="2092"/>
        <v>#DIV/0!</v>
      </c>
      <c r="BS233" s="23">
        <f t="shared" si="2092"/>
        <v>1348.2212343684705</v>
      </c>
      <c r="BT233" s="23">
        <f t="shared" si="2092"/>
        <v>0</v>
      </c>
      <c r="BU233" s="23">
        <f t="shared" si="2092"/>
        <v>211.41000000000099</v>
      </c>
      <c r="BV233" s="23">
        <f t="shared" si="2092"/>
        <v>4544</v>
      </c>
      <c r="BW233" s="23">
        <f t="shared" si="2092"/>
        <v>4842.4354407914034</v>
      </c>
      <c r="BX233" s="23">
        <f t="shared" si="2092"/>
        <v>4442.22</v>
      </c>
      <c r="BY233" s="23">
        <f t="shared" si="2092"/>
        <v>3972.4599503463969</v>
      </c>
      <c r="BZ233" s="23">
        <f t="shared" si="2092"/>
        <v>3774.11</v>
      </c>
      <c r="CA233" s="23">
        <f t="shared" si="2092"/>
        <v>4210.1094150212202</v>
      </c>
      <c r="CB233" s="23">
        <f t="shared" si="2092"/>
        <v>2922.8100000000013</v>
      </c>
      <c r="CC233" s="23">
        <f t="shared" si="2092"/>
        <v>2755.9959710935314</v>
      </c>
      <c r="CD233" s="23">
        <f t="shared" si="2092"/>
        <v>2809.5799999999995</v>
      </c>
      <c r="CE233" s="23">
        <f t="shared" ref="CE233:CF233" si="2093">CE232+CE228+CE224+CE222</f>
        <v>2685.5688515544703</v>
      </c>
      <c r="CF233" s="23">
        <f t="shared" si="2093"/>
        <v>3297.9599999999996</v>
      </c>
      <c r="CG233" s="23">
        <f t="shared" ref="CG233:CH233" si="2094">CG232+CG228+CG224+CG222</f>
        <v>2532.7945814999921</v>
      </c>
      <c r="CH233" s="23">
        <f t="shared" si="2094"/>
        <v>1272.8299999999992</v>
      </c>
      <c r="CI233" s="23">
        <f t="shared" ref="CI233:CJ233" si="2095">CI232+CI228+CI224+CI222</f>
        <v>1822.4036814377082</v>
      </c>
      <c r="CJ233" s="23">
        <f t="shared" si="2095"/>
        <v>1791.6100000000001</v>
      </c>
      <c r="CK233" s="23">
        <f t="shared" ref="CK233:DB233" si="2096">CK232+CK228+CK224+CK222</f>
        <v>2058.0022550564986</v>
      </c>
      <c r="CL233" s="23">
        <f t="shared" si="2096"/>
        <v>2372.5900000000015</v>
      </c>
      <c r="CM233" s="24">
        <f t="shared" si="2096"/>
        <v>3095.8066307320469</v>
      </c>
      <c r="CN233" s="24">
        <f t="shared" si="2096"/>
        <v>3497.0488435006473</v>
      </c>
      <c r="CO233" s="24">
        <f t="shared" si="2096"/>
        <v>3861.7075634942726</v>
      </c>
      <c r="CP233" s="24">
        <f t="shared" si="2096"/>
        <v>4108.1962028923517</v>
      </c>
      <c r="CQ233" s="24">
        <f t="shared" si="2096"/>
        <v>4907.2247539369264</v>
      </c>
      <c r="CR233" s="24">
        <f t="shared" si="2096"/>
        <v>5231.3138343711016</v>
      </c>
      <c r="CS233" s="24">
        <f t="shared" si="2096"/>
        <v>5549.5570220840636</v>
      </c>
      <c r="CT233" s="24">
        <f t="shared" si="2096"/>
        <v>5787.4423222158284</v>
      </c>
      <c r="CU233" s="24">
        <f t="shared" si="2096"/>
        <v>6534.6538909361097</v>
      </c>
      <c r="CV233" s="24">
        <f t="shared" si="2096"/>
        <v>6849.1413583816611</v>
      </c>
      <c r="CW233" s="24">
        <f t="shared" si="2096"/>
        <v>7153.4504531234252</v>
      </c>
      <c r="CX233" s="24">
        <f t="shared" si="2096"/>
        <v>7356.3727240660965</v>
      </c>
      <c r="CY233" s="24">
        <f t="shared" si="2096"/>
        <v>8128.1604691614366</v>
      </c>
      <c r="CZ233" s="24">
        <f t="shared" si="2096"/>
        <v>8432.8864366695434</v>
      </c>
      <c r="DA233" s="24">
        <f t="shared" si="2096"/>
        <v>8723.5249171877076</v>
      </c>
      <c r="DB233" s="24">
        <f t="shared" si="2096"/>
        <v>8904.1443496226238</v>
      </c>
      <c r="DE233" s="123"/>
      <c r="DF233" s="23">
        <v>2160.2980141058333</v>
      </c>
    </row>
    <row r="234" spans="1:110" s="28" customFormat="1" x14ac:dyDescent="0.2">
      <c r="A234" s="28" t="s">
        <v>444</v>
      </c>
      <c r="C234" s="28">
        <f t="shared" ref="C234:W234" si="2097">C233-C184</f>
        <v>0</v>
      </c>
      <c r="D234" s="28">
        <f t="shared" si="2097"/>
        <v>-5.6843418860808015E-14</v>
      </c>
      <c r="E234" s="28">
        <f t="shared" si="2097"/>
        <v>1.4210854715202004E-13</v>
      </c>
      <c r="F234" s="28">
        <f t="shared" si="2097"/>
        <v>0</v>
      </c>
      <c r="G234" s="28">
        <f t="shared" si="2097"/>
        <v>0</v>
      </c>
      <c r="H234" s="28">
        <f t="shared" si="2097"/>
        <v>0</v>
      </c>
      <c r="I234" s="28">
        <f t="shared" si="2097"/>
        <v>0</v>
      </c>
      <c r="J234" s="28">
        <f>J233-J184</f>
        <v>0</v>
      </c>
      <c r="K234" s="28">
        <f t="shared" si="2097"/>
        <v>0</v>
      </c>
      <c r="L234" s="28">
        <f t="shared" si="2097"/>
        <v>-7.673861546209082E-13</v>
      </c>
      <c r="M234" s="28">
        <f t="shared" si="2097"/>
        <v>1.3642420526593924E-12</v>
      </c>
      <c r="N234" s="28">
        <f t="shared" si="2097"/>
        <v>0</v>
      </c>
      <c r="O234" s="28">
        <f t="shared" si="2097"/>
        <v>0</v>
      </c>
      <c r="P234" s="28">
        <f t="shared" si="2097"/>
        <v>0</v>
      </c>
      <c r="Q234" s="28">
        <f t="shared" si="2097"/>
        <v>0</v>
      </c>
      <c r="R234" s="28">
        <f t="shared" si="2097"/>
        <v>-1.3642420526593924E-12</v>
      </c>
      <c r="S234" s="28">
        <f t="shared" si="2097"/>
        <v>0</v>
      </c>
      <c r="T234" s="28">
        <f t="shared" si="2097"/>
        <v>0</v>
      </c>
      <c r="U234" s="28">
        <f t="shared" si="2097"/>
        <v>0</v>
      </c>
      <c r="V234" s="28">
        <f t="shared" si="2097"/>
        <v>0</v>
      </c>
      <c r="W234" s="28">
        <f t="shared" si="2097"/>
        <v>0</v>
      </c>
      <c r="X234" s="28">
        <f t="shared" ref="X234:Y234" si="2098">X233-X184</f>
        <v>0</v>
      </c>
      <c r="Y234" s="28">
        <f t="shared" si="2098"/>
        <v>0</v>
      </c>
      <c r="Z234" s="28">
        <f t="shared" ref="Z234:AA234" si="2099">Z233-Z184</f>
        <v>-2.7284841053187847E-12</v>
      </c>
      <c r="AA234" s="28">
        <f t="shared" si="2099"/>
        <v>4.5474735088646412E-12</v>
      </c>
      <c r="AB234" s="30">
        <f t="shared" ref="AA234:AD234" si="2100">AB233-AB184</f>
        <v>0</v>
      </c>
      <c r="AC234" s="30">
        <f t="shared" si="2100"/>
        <v>0</v>
      </c>
      <c r="AD234" s="30">
        <f t="shared" si="2100"/>
        <v>0</v>
      </c>
      <c r="AE234" s="30">
        <f t="shared" ref="AE234" si="2101">AE233-AE184</f>
        <v>0</v>
      </c>
      <c r="AI234" s="28">
        <f t="shared" ref="AI234" si="2102">AI233-AI184</f>
        <v>0</v>
      </c>
      <c r="AJ234" s="28">
        <f t="shared" ref="AJ234:AL234" si="2103">AJ233-AJ184</f>
        <v>0</v>
      </c>
      <c r="AK234" s="28" t="e">
        <f t="shared" si="2103"/>
        <v>#DIV/0!</v>
      </c>
      <c r="AL234" s="28" t="e">
        <f t="shared" si="2103"/>
        <v>#DIV/0!</v>
      </c>
      <c r="AM234" s="28" t="e">
        <f t="shared" ref="AM234" si="2104">AM233-AM184</f>
        <v>#DIV/0!</v>
      </c>
      <c r="AN234" s="28" t="e">
        <f t="shared" ref="AN234:CD234" si="2105">AN233-AN184</f>
        <v>#DIV/0!</v>
      </c>
      <c r="AO234" s="28" t="e">
        <f t="shared" si="2105"/>
        <v>#DIV/0!</v>
      </c>
      <c r="AP234" s="28" t="e">
        <f t="shared" si="2105"/>
        <v>#DIV/0!</v>
      </c>
      <c r="AQ234" s="28" t="e">
        <f t="shared" si="2105"/>
        <v>#DIV/0!</v>
      </c>
      <c r="AR234" s="28" t="e">
        <f t="shared" si="2105"/>
        <v>#DIV/0!</v>
      </c>
      <c r="AS234" s="28" t="e">
        <f t="shared" si="2105"/>
        <v>#DIV/0!</v>
      </c>
      <c r="AT234" s="28" t="e">
        <f t="shared" si="2105"/>
        <v>#DIV/0!</v>
      </c>
      <c r="AU234" s="28" t="e">
        <f t="shared" si="2105"/>
        <v>#DIV/0!</v>
      </c>
      <c r="AV234" s="28" t="e">
        <f t="shared" si="2105"/>
        <v>#DIV/0!</v>
      </c>
      <c r="AW234" s="28" t="e">
        <f t="shared" si="2105"/>
        <v>#DIV/0!</v>
      </c>
      <c r="AX234" s="28" t="e">
        <f t="shared" si="2105"/>
        <v>#DIV/0!</v>
      </c>
      <c r="AY234" s="28" t="e">
        <f t="shared" si="2105"/>
        <v>#DIV/0!</v>
      </c>
      <c r="AZ234" s="28" t="e">
        <f t="shared" si="2105"/>
        <v>#DIV/0!</v>
      </c>
      <c r="BA234" s="28" t="e">
        <f t="shared" si="2105"/>
        <v>#DIV/0!</v>
      </c>
      <c r="BB234" s="28" t="e">
        <f t="shared" si="2105"/>
        <v>#DIV/0!</v>
      </c>
      <c r="BC234" s="28" t="e">
        <f t="shared" si="2105"/>
        <v>#DIV/0!</v>
      </c>
      <c r="BD234" s="28" t="e">
        <f t="shared" si="2105"/>
        <v>#DIV/0!</v>
      </c>
      <c r="BE234" s="28" t="e">
        <f t="shared" si="2105"/>
        <v>#DIV/0!</v>
      </c>
      <c r="BF234" s="28" t="e">
        <f t="shared" si="2105"/>
        <v>#DIV/0!</v>
      </c>
      <c r="BG234" s="28" t="e">
        <f t="shared" si="2105"/>
        <v>#DIV/0!</v>
      </c>
      <c r="BH234" s="28" t="e">
        <f t="shared" si="2105"/>
        <v>#DIV/0!</v>
      </c>
      <c r="BI234" s="28" t="e">
        <f t="shared" si="2105"/>
        <v>#DIV/0!</v>
      </c>
      <c r="BJ234" s="28" t="e">
        <f t="shared" si="2105"/>
        <v>#DIV/0!</v>
      </c>
      <c r="BK234" s="28" t="e">
        <f t="shared" si="2105"/>
        <v>#DIV/0!</v>
      </c>
      <c r="BL234" s="28" t="e">
        <f t="shared" si="2105"/>
        <v>#DIV/0!</v>
      </c>
      <c r="BM234" s="28" t="e">
        <f t="shared" si="2105"/>
        <v>#DIV/0!</v>
      </c>
      <c r="BN234" s="28" t="e">
        <f t="shared" si="2105"/>
        <v>#DIV/0!</v>
      </c>
      <c r="BO234" s="28" t="e">
        <f t="shared" si="2105"/>
        <v>#DIV/0!</v>
      </c>
      <c r="BP234" s="28" t="e">
        <f t="shared" si="2105"/>
        <v>#DIV/0!</v>
      </c>
      <c r="BQ234" s="28" t="e">
        <f t="shared" si="2105"/>
        <v>#DIV/0!</v>
      </c>
      <c r="BR234" s="28" t="e">
        <f t="shared" si="2105"/>
        <v>#DIV/0!</v>
      </c>
      <c r="BS234" s="28">
        <f t="shared" si="2105"/>
        <v>0</v>
      </c>
      <c r="BT234" s="28">
        <f t="shared" si="2105"/>
        <v>0</v>
      </c>
      <c r="BU234" s="28">
        <f t="shared" si="2105"/>
        <v>0</v>
      </c>
      <c r="BV234" s="28">
        <f t="shared" si="2105"/>
        <v>0</v>
      </c>
      <c r="BW234" s="28">
        <f t="shared" si="2105"/>
        <v>0</v>
      </c>
      <c r="BX234" s="28">
        <f t="shared" si="2105"/>
        <v>0</v>
      </c>
      <c r="BY234" s="28">
        <f t="shared" si="2105"/>
        <v>0</v>
      </c>
      <c r="BZ234" s="28">
        <f t="shared" si="2105"/>
        <v>0</v>
      </c>
      <c r="CA234" s="28">
        <f t="shared" si="2105"/>
        <v>0</v>
      </c>
      <c r="CB234" s="28">
        <f t="shared" si="2105"/>
        <v>0</v>
      </c>
      <c r="CC234" s="28">
        <f t="shared" si="2105"/>
        <v>0</v>
      </c>
      <c r="CD234" s="28">
        <f t="shared" si="2105"/>
        <v>0</v>
      </c>
      <c r="CE234" s="28">
        <f t="shared" ref="CE234:CF234" si="2106">CE233-CE184</f>
        <v>0</v>
      </c>
      <c r="CF234" s="28">
        <f t="shared" si="2106"/>
        <v>0</v>
      </c>
      <c r="CG234" s="28">
        <f t="shared" ref="CG234:CH234" si="2107">CG233-CG184</f>
        <v>0</v>
      </c>
      <c r="CH234" s="28">
        <f t="shared" si="2107"/>
        <v>0</v>
      </c>
      <c r="CI234" s="28">
        <f t="shared" ref="CI234:CJ234" si="2108">CI233-CI184</f>
        <v>0</v>
      </c>
      <c r="CJ234" s="28">
        <f t="shared" si="2108"/>
        <v>0</v>
      </c>
      <c r="CK234" s="28">
        <f t="shared" ref="CK234:DB234" si="2109">CK233-CK184</f>
        <v>0</v>
      </c>
      <c r="CL234" s="28">
        <f t="shared" si="2109"/>
        <v>0</v>
      </c>
      <c r="CM234" s="30">
        <f t="shared" si="2109"/>
        <v>0</v>
      </c>
      <c r="CN234" s="30">
        <f t="shared" si="2109"/>
        <v>0</v>
      </c>
      <c r="CO234" s="30">
        <f t="shared" si="2109"/>
        <v>0</v>
      </c>
      <c r="CP234" s="30">
        <f t="shared" si="2109"/>
        <v>0</v>
      </c>
      <c r="CQ234" s="30">
        <f t="shared" si="2109"/>
        <v>0</v>
      </c>
      <c r="CR234" s="30">
        <f t="shared" si="2109"/>
        <v>0</v>
      </c>
      <c r="CS234" s="30">
        <f t="shared" si="2109"/>
        <v>0</v>
      </c>
      <c r="CT234" s="30">
        <f t="shared" si="2109"/>
        <v>0</v>
      </c>
      <c r="CU234" s="30">
        <f t="shared" si="2109"/>
        <v>0</v>
      </c>
      <c r="CV234" s="30">
        <f t="shared" si="2109"/>
        <v>0</v>
      </c>
      <c r="CW234" s="30">
        <f t="shared" si="2109"/>
        <v>0</v>
      </c>
      <c r="CX234" s="30">
        <f t="shared" si="2109"/>
        <v>0</v>
      </c>
      <c r="CY234" s="30">
        <f t="shared" si="2109"/>
        <v>0</v>
      </c>
      <c r="CZ234" s="30">
        <f t="shared" si="2109"/>
        <v>0</v>
      </c>
      <c r="DA234" s="30">
        <f t="shared" si="2109"/>
        <v>0</v>
      </c>
      <c r="DB234" s="30">
        <f t="shared" si="2109"/>
        <v>0</v>
      </c>
      <c r="DE234" s="139"/>
      <c r="DF234" s="28">
        <v>0</v>
      </c>
    </row>
    <row r="235" spans="1:110" s="23" customFormat="1" x14ac:dyDescent="0.2">
      <c r="AB235" s="24"/>
      <c r="AC235" s="24"/>
      <c r="AD235" s="24"/>
      <c r="AE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E235" s="123"/>
    </row>
    <row r="236" spans="1:110" s="22" customFormat="1" x14ac:dyDescent="0.2">
      <c r="A236" s="22" t="s">
        <v>96</v>
      </c>
      <c r="C236" s="22">
        <f t="shared" ref="C236:W236" si="2110">C222+C224</f>
        <v>0</v>
      </c>
      <c r="D236" s="22">
        <f t="shared" si="2110"/>
        <v>-47.473000000000106</v>
      </c>
      <c r="E236" s="22">
        <f t="shared" si="2110"/>
        <v>-20.696999999999747</v>
      </c>
      <c r="F236" s="22">
        <f t="shared" si="2110"/>
        <v>-84.244000000000312</v>
      </c>
      <c r="G236" s="22">
        <f t="shared" si="2110"/>
        <v>-19.254000000000314</v>
      </c>
      <c r="H236" s="22">
        <f t="shared" si="2110"/>
        <v>5.3759999999997099</v>
      </c>
      <c r="I236" s="22">
        <f t="shared" si="2110"/>
        <v>21.745999999999963</v>
      </c>
      <c r="J236" s="22">
        <f>J222+J224</f>
        <v>-297.13499999999965</v>
      </c>
      <c r="K236" s="22">
        <f t="shared" si="2110"/>
        <v>-229.32699999999949</v>
      </c>
      <c r="L236" s="22">
        <f t="shared" si="2110"/>
        <v>-725.08700000000067</v>
      </c>
      <c r="M236" s="22">
        <f t="shared" si="2110"/>
        <v>509.56400000000048</v>
      </c>
      <c r="N236" s="22">
        <f t="shared" si="2110"/>
        <v>-697.16200000000106</v>
      </c>
      <c r="O236" s="22">
        <f t="shared" si="2110"/>
        <v>27.726999999998725</v>
      </c>
      <c r="P236" s="22">
        <f t="shared" si="2110"/>
        <v>-87.264000000001431</v>
      </c>
      <c r="Q236" s="22">
        <f t="shared" si="2110"/>
        <v>-582.46199999999772</v>
      </c>
      <c r="R236" s="22">
        <f t="shared" si="2110"/>
        <v>-91.254999999999029</v>
      </c>
      <c r="S236" s="22">
        <f t="shared" si="2110"/>
        <v>546.94100000000105</v>
      </c>
      <c r="T236" s="22">
        <f t="shared" si="2110"/>
        <v>539.71100000000035</v>
      </c>
      <c r="U236" s="22">
        <f t="shared" si="2110"/>
        <v>-236.31199999999797</v>
      </c>
      <c r="V236" s="22">
        <f t="shared" si="2110"/>
        <v>-843.05800000000488</v>
      </c>
      <c r="W236" s="22">
        <f t="shared" si="2110"/>
        <v>183.69000000000187</v>
      </c>
      <c r="X236" s="22">
        <f t="shared" ref="X236:Y236" si="2111">X222+X224</f>
        <v>-404.74999999999613</v>
      </c>
      <c r="Y236" s="22">
        <f t="shared" si="2111"/>
        <v>-1156.4599999999941</v>
      </c>
      <c r="Z236" s="22">
        <f t="shared" ref="Z236:AA236" si="2112">Z222+Z224</f>
        <v>-716.04000000000042</v>
      </c>
      <c r="AA236" s="22">
        <f t="shared" si="2112"/>
        <v>2015.7099999999891</v>
      </c>
      <c r="AB236" s="21">
        <f t="shared" ref="AA236:AD236" si="2113">AB222+AB224</f>
        <v>1735.6062028923523</v>
      </c>
      <c r="AC236" s="21">
        <f t="shared" si="2113"/>
        <v>1679.2461193234799</v>
      </c>
      <c r="AD236" s="21">
        <f t="shared" si="2113"/>
        <v>1568.9304018502735</v>
      </c>
      <c r="AE236" s="21">
        <f t="shared" ref="AE236" si="2114">AE222+AE224</f>
        <v>1547.7716255565117</v>
      </c>
      <c r="AI236" s="22">
        <f t="shared" ref="AI236" si="2115">AI222+AI224</f>
        <v>0</v>
      </c>
      <c r="AJ236" s="22">
        <f t="shared" ref="AJ236:AL236" si="2116">AJ222+AJ224</f>
        <v>0</v>
      </c>
      <c r="AK236" s="22" t="e">
        <f t="shared" si="2116"/>
        <v>#DIV/0!</v>
      </c>
      <c r="AL236" s="22" t="e">
        <f t="shared" si="2116"/>
        <v>#DIV/0!</v>
      </c>
      <c r="AM236" s="22" t="e">
        <f t="shared" ref="AM236" si="2117">AM222+AM224</f>
        <v>#DIV/0!</v>
      </c>
      <c r="AN236" s="22" t="e">
        <f t="shared" ref="AN236:CD236" si="2118">AN222+AN224</f>
        <v>#DIV/0!</v>
      </c>
      <c r="AO236" s="22" t="e">
        <f t="shared" si="2118"/>
        <v>#DIV/0!</v>
      </c>
      <c r="AP236" s="22" t="e">
        <f t="shared" si="2118"/>
        <v>#DIV/0!</v>
      </c>
      <c r="AQ236" s="22" t="e">
        <f t="shared" si="2118"/>
        <v>#DIV/0!</v>
      </c>
      <c r="AR236" s="22" t="e">
        <f t="shared" si="2118"/>
        <v>#DIV/0!</v>
      </c>
      <c r="AS236" s="22" t="e">
        <f t="shared" si="2118"/>
        <v>#DIV/0!</v>
      </c>
      <c r="AT236" s="22" t="e">
        <f t="shared" si="2118"/>
        <v>#DIV/0!</v>
      </c>
      <c r="AU236" s="22" t="e">
        <f t="shared" si="2118"/>
        <v>#DIV/0!</v>
      </c>
      <c r="AV236" s="22" t="e">
        <f t="shared" si="2118"/>
        <v>#DIV/0!</v>
      </c>
      <c r="AW236" s="22" t="e">
        <f t="shared" si="2118"/>
        <v>#DIV/0!</v>
      </c>
      <c r="AX236" s="22" t="e">
        <f t="shared" si="2118"/>
        <v>#DIV/0!</v>
      </c>
      <c r="AY236" s="22" t="e">
        <f t="shared" si="2118"/>
        <v>#DIV/0!</v>
      </c>
      <c r="AZ236" s="22" t="e">
        <f t="shared" si="2118"/>
        <v>#DIV/0!</v>
      </c>
      <c r="BA236" s="22" t="e">
        <f t="shared" si="2118"/>
        <v>#DIV/0!</v>
      </c>
      <c r="BB236" s="22" t="e">
        <f t="shared" si="2118"/>
        <v>#DIV/0!</v>
      </c>
      <c r="BC236" s="22" t="e">
        <f t="shared" si="2118"/>
        <v>#DIV/0!</v>
      </c>
      <c r="BD236" s="22" t="e">
        <f t="shared" si="2118"/>
        <v>#DIV/0!</v>
      </c>
      <c r="BE236" s="22" t="e">
        <f t="shared" si="2118"/>
        <v>#DIV/0!</v>
      </c>
      <c r="BF236" s="22" t="e">
        <f t="shared" si="2118"/>
        <v>#DIV/0!</v>
      </c>
      <c r="BG236" s="22" t="e">
        <f t="shared" si="2118"/>
        <v>#DIV/0!</v>
      </c>
      <c r="BH236" s="22" t="e">
        <f t="shared" si="2118"/>
        <v>#DIV/0!</v>
      </c>
      <c r="BI236" s="22" t="e">
        <f t="shared" si="2118"/>
        <v>#DIV/0!</v>
      </c>
      <c r="BJ236" s="22" t="e">
        <f t="shared" si="2118"/>
        <v>#DIV/0!</v>
      </c>
      <c r="BK236" s="22" t="e">
        <f t="shared" si="2118"/>
        <v>#DIV/0!</v>
      </c>
      <c r="BL236" s="22" t="e">
        <f t="shared" si="2118"/>
        <v>#DIV/0!</v>
      </c>
      <c r="BM236" s="22" t="e">
        <f t="shared" si="2118"/>
        <v>#DIV/0!</v>
      </c>
      <c r="BN236" s="22" t="e">
        <f t="shared" si="2118"/>
        <v>#DIV/0!</v>
      </c>
      <c r="BO236" s="22" t="e">
        <f t="shared" si="2118"/>
        <v>#DIV/0!</v>
      </c>
      <c r="BP236" s="22" t="e">
        <f t="shared" si="2118"/>
        <v>#DIV/0!</v>
      </c>
      <c r="BQ236" s="22" t="e">
        <f t="shared" si="2118"/>
        <v>#DIV/0!</v>
      </c>
      <c r="BR236" s="22" t="e">
        <f t="shared" si="2118"/>
        <v>#DIV/0!</v>
      </c>
      <c r="BS236" s="22">
        <f t="shared" si="2118"/>
        <v>109.76123436847047</v>
      </c>
      <c r="BT236" s="22">
        <f t="shared" si="2118"/>
        <v>5258.7087656315307</v>
      </c>
      <c r="BU236" s="22">
        <f t="shared" si="2118"/>
        <v>211.41000000000099</v>
      </c>
      <c r="BV236" s="22">
        <f t="shared" si="2118"/>
        <v>-5396.1900000000005</v>
      </c>
      <c r="BW236" s="22">
        <f t="shared" si="2118"/>
        <v>298.43544079140389</v>
      </c>
      <c r="BX236" s="22">
        <f t="shared" si="2118"/>
        <v>-766.18544079140474</v>
      </c>
      <c r="BY236" s="22">
        <f t="shared" si="2118"/>
        <v>-469.76004965360323</v>
      </c>
      <c r="BZ236" s="22">
        <f t="shared" si="2118"/>
        <v>532.76004965360266</v>
      </c>
      <c r="CA236" s="22">
        <f t="shared" si="2118"/>
        <v>435.99941502121987</v>
      </c>
      <c r="CB236" s="22">
        <f t="shared" si="2118"/>
        <v>-2710.289415021221</v>
      </c>
      <c r="CC236" s="22">
        <f t="shared" si="2118"/>
        <v>-166.81402890646854</v>
      </c>
      <c r="CD236" s="22">
        <f t="shared" si="2118"/>
        <v>1284.6440289064694</v>
      </c>
      <c r="CE236" s="22">
        <f t="shared" ref="CE236:CF236" si="2119">CE222+CE224</f>
        <v>-124.01114844552967</v>
      </c>
      <c r="CF236" s="22">
        <f t="shared" si="2119"/>
        <v>1084.2411484455315</v>
      </c>
      <c r="CG236" s="22">
        <f t="shared" ref="CG236:CH236" si="2120">CG222+CG224</f>
        <v>-765.16541850000795</v>
      </c>
      <c r="CH236" s="22">
        <f t="shared" si="2120"/>
        <v>-911.10458149999272</v>
      </c>
      <c r="CI236" s="22">
        <f t="shared" ref="CI236:CJ236" si="2121">CI222+CI224</f>
        <v>549.57368143770839</v>
      </c>
      <c r="CJ236" s="22">
        <f t="shared" si="2121"/>
        <v>842.78631856229299</v>
      </c>
      <c r="CK236" s="22">
        <f t="shared" ref="CK236:DB236" si="2122">CK222+CK224</f>
        <v>266.3922550564987</v>
      </c>
      <c r="CL236" s="22">
        <f t="shared" si="2122"/>
        <v>356.95774494350093</v>
      </c>
      <c r="CM236" s="21">
        <f t="shared" si="2122"/>
        <v>723.21663073204684</v>
      </c>
      <c r="CN236" s="21">
        <f t="shared" si="2122"/>
        <v>401.24221276860021</v>
      </c>
      <c r="CO236" s="21">
        <f t="shared" si="2122"/>
        <v>364.65871999362531</v>
      </c>
      <c r="CP236" s="21">
        <f t="shared" si="2122"/>
        <v>246.48863939807882</v>
      </c>
      <c r="CQ236" s="21">
        <f t="shared" si="2122"/>
        <v>799.02855104457433</v>
      </c>
      <c r="CR236" s="21">
        <f t="shared" si="2122"/>
        <v>324.0890804341754</v>
      </c>
      <c r="CS236" s="21">
        <f t="shared" si="2122"/>
        <v>318.24318771296169</v>
      </c>
      <c r="CT236" s="21">
        <f t="shared" si="2122"/>
        <v>237.88530013176467</v>
      </c>
      <c r="CU236" s="21">
        <f t="shared" si="2122"/>
        <v>747.21156872028143</v>
      </c>
      <c r="CV236" s="21">
        <f t="shared" si="2122"/>
        <v>314.48746744555132</v>
      </c>
      <c r="CW236" s="21">
        <f t="shared" si="2122"/>
        <v>304.30909474176377</v>
      </c>
      <c r="CX236" s="21">
        <f t="shared" si="2122"/>
        <v>202.92227094267162</v>
      </c>
      <c r="CY236" s="21">
        <f t="shared" si="2122"/>
        <v>771.78774509534014</v>
      </c>
      <c r="CZ236" s="21">
        <f t="shared" si="2122"/>
        <v>304.72596750810663</v>
      </c>
      <c r="DA236" s="21">
        <f t="shared" si="2122"/>
        <v>290.63848051816507</v>
      </c>
      <c r="DB236" s="21">
        <f t="shared" si="2122"/>
        <v>180.61943243491658</v>
      </c>
      <c r="DE236" s="126"/>
      <c r="DF236" s="22">
        <v>102.29575904933483</v>
      </c>
    </row>
    <row r="237" spans="1:110" x14ac:dyDescent="0.2">
      <c r="A237" s="152" t="s">
        <v>496</v>
      </c>
      <c r="AA237" s="2"/>
      <c r="CL237" s="2"/>
    </row>
    <row r="238" spans="1:110" x14ac:dyDescent="0.2">
      <c r="AA238" s="2"/>
      <c r="CL238" s="2"/>
    </row>
    <row r="239" spans="1:110" s="7" customFormat="1" hidden="1" outlineLevel="1" x14ac:dyDescent="0.2">
      <c r="A239" s="61" t="s">
        <v>97</v>
      </c>
      <c r="AB239" s="77"/>
      <c r="AC239" s="77"/>
      <c r="AD239" s="77"/>
      <c r="AE239" s="77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50"/>
      <c r="DB239" s="50"/>
      <c r="DE239" s="138"/>
    </row>
    <row r="240" spans="1:110" s="62" customFormat="1" hidden="1" outlineLevel="1" x14ac:dyDescent="0.2">
      <c r="A240" s="62" t="s">
        <v>98</v>
      </c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241" s="62" t="s">
        <v>99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2" t="s">
        <v>100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hidden="1" outlineLevel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11" customFormat="1" collapsed="1" x14ac:dyDescent="0.2"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83" customFormat="1" x14ac:dyDescent="0.2">
      <c r="A247" s="82" t="s">
        <v>101</v>
      </c>
      <c r="AB247" s="72"/>
      <c r="AC247" s="72"/>
      <c r="AD247" s="72"/>
      <c r="AE247" s="72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6" customFormat="1" x14ac:dyDescent="0.2">
      <c r="A248" s="66" t="s">
        <v>471</v>
      </c>
      <c r="AB248" s="50"/>
      <c r="AC248" s="50"/>
      <c r="AD248" s="50"/>
      <c r="AE248" s="50"/>
      <c r="AL248" s="66">
        <f t="shared" ref="AL248:BQ248" si="2123">SUM(AI33:AL33)</f>
        <v>0</v>
      </c>
      <c r="AM248" s="66">
        <f t="shared" si="2123"/>
        <v>0</v>
      </c>
      <c r="AN248" s="66">
        <f t="shared" si="2123"/>
        <v>0</v>
      </c>
      <c r="AO248" s="66">
        <f t="shared" si="2123"/>
        <v>0</v>
      </c>
      <c r="AP248" s="66">
        <f t="shared" si="2123"/>
        <v>0</v>
      </c>
      <c r="AQ248" s="66">
        <f t="shared" si="2123"/>
        <v>0</v>
      </c>
      <c r="AR248" s="66">
        <f t="shared" si="2123"/>
        <v>0</v>
      </c>
      <c r="AS248" s="66">
        <f t="shared" si="2123"/>
        <v>0</v>
      </c>
      <c r="AT248" s="66">
        <f t="shared" si="2123"/>
        <v>0</v>
      </c>
      <c r="AU248" s="66">
        <f t="shared" si="2123"/>
        <v>0</v>
      </c>
      <c r="AV248" s="66">
        <f t="shared" si="2123"/>
        <v>0</v>
      </c>
      <c r="AW248" s="66">
        <f t="shared" si="2123"/>
        <v>0</v>
      </c>
      <c r="AX248" s="66">
        <f t="shared" si="2123"/>
        <v>0</v>
      </c>
      <c r="AY248" s="66">
        <f t="shared" si="2123"/>
        <v>0</v>
      </c>
      <c r="AZ248" s="66">
        <f t="shared" si="2123"/>
        <v>0</v>
      </c>
      <c r="BA248" s="66">
        <f t="shared" si="2123"/>
        <v>0</v>
      </c>
      <c r="BB248" s="66">
        <f t="shared" si="2123"/>
        <v>0</v>
      </c>
      <c r="BC248" s="66">
        <f t="shared" si="2123"/>
        <v>0</v>
      </c>
      <c r="BD248" s="66">
        <f t="shared" si="2123"/>
        <v>0</v>
      </c>
      <c r="BE248" s="66">
        <f t="shared" si="2123"/>
        <v>0</v>
      </c>
      <c r="BF248" s="66">
        <f t="shared" si="2123"/>
        <v>0</v>
      </c>
      <c r="BG248" s="66">
        <f t="shared" si="2123"/>
        <v>0</v>
      </c>
      <c r="BH248" s="66">
        <f t="shared" si="2123"/>
        <v>0</v>
      </c>
      <c r="BI248" s="66">
        <f t="shared" si="2123"/>
        <v>0</v>
      </c>
      <c r="BJ248" s="66">
        <f t="shared" si="2123"/>
        <v>0</v>
      </c>
      <c r="BK248" s="66">
        <f t="shared" si="2123"/>
        <v>0</v>
      </c>
      <c r="BL248" s="66">
        <f t="shared" si="2123"/>
        <v>0</v>
      </c>
      <c r="BM248" s="66">
        <f t="shared" si="2123"/>
        <v>0</v>
      </c>
      <c r="BN248" s="66">
        <f t="shared" si="2123"/>
        <v>0</v>
      </c>
      <c r="BO248" s="66">
        <f t="shared" si="2123"/>
        <v>0</v>
      </c>
      <c r="BP248" s="66">
        <f t="shared" si="2123"/>
        <v>0</v>
      </c>
      <c r="BQ248" s="66">
        <f t="shared" si="2123"/>
        <v>10229.49</v>
      </c>
      <c r="BR248" s="66">
        <f t="shared" ref="BR248:CW248" si="2124">SUM(BO33:BR33)</f>
        <v>20901.830000000002</v>
      </c>
      <c r="BS248" s="66">
        <f t="shared" si="2124"/>
        <v>32213.800000000003</v>
      </c>
      <c r="BT248" s="66">
        <f t="shared" si="2124"/>
        <v>45772.270000000004</v>
      </c>
      <c r="BU248" s="66">
        <f t="shared" si="2124"/>
        <v>49913.7</v>
      </c>
      <c r="BV248" s="66">
        <f t="shared" si="2124"/>
        <v>54158.62</v>
      </c>
      <c r="BW248" s="66">
        <f t="shared" si="2124"/>
        <v>57570.740000000005</v>
      </c>
      <c r="BX248" s="66">
        <f t="shared" si="2124"/>
        <v>58162.3</v>
      </c>
      <c r="BY248" s="66">
        <f t="shared" si="2124"/>
        <v>59229.429999999993</v>
      </c>
      <c r="BZ248" s="66">
        <f t="shared" si="2124"/>
        <v>58184.81</v>
      </c>
      <c r="CA248" s="66">
        <f t="shared" si="2124"/>
        <v>56388.800000000003</v>
      </c>
      <c r="CB248" s="66">
        <f t="shared" si="2124"/>
        <v>54505.919999999998</v>
      </c>
      <c r="CC248" s="66">
        <f t="shared" si="2124"/>
        <v>51896.23</v>
      </c>
      <c r="CD248" s="66">
        <f t="shared" si="2124"/>
        <v>51246.42</v>
      </c>
      <c r="CE248" s="66">
        <f t="shared" si="2124"/>
        <v>52472.19</v>
      </c>
      <c r="CF248" s="66">
        <f t="shared" si="2124"/>
        <v>54654.98</v>
      </c>
      <c r="CG248" s="66">
        <f t="shared" si="2124"/>
        <v>58665.48</v>
      </c>
      <c r="CH248" s="66">
        <f t="shared" si="2124"/>
        <v>63672.240000000005</v>
      </c>
      <c r="CI248" s="66">
        <f t="shared" si="2124"/>
        <v>66577.040000000008</v>
      </c>
      <c r="CJ248" s="66">
        <f t="shared" si="2124"/>
        <v>69731.67</v>
      </c>
      <c r="CK248" s="66">
        <f t="shared" si="2124"/>
        <v>71495.48000000001</v>
      </c>
      <c r="CL248" s="66">
        <f t="shared" si="2124"/>
        <v>74730.67</v>
      </c>
      <c r="CM248" s="50">
        <f t="shared" si="2124"/>
        <v>75714.459209785462</v>
      </c>
      <c r="CN248" s="50">
        <f t="shared" si="2124"/>
        <v>77031.222478377342</v>
      </c>
      <c r="CO248" s="50">
        <f t="shared" si="2124"/>
        <v>78642.399568717898</v>
      </c>
      <c r="CP248" s="50">
        <f t="shared" si="2124"/>
        <v>80682.16668888717</v>
      </c>
      <c r="CQ248" s="50">
        <f t="shared" si="2124"/>
        <v>81326.498706001759</v>
      </c>
      <c r="CR248" s="50">
        <f t="shared" si="2124"/>
        <v>82051.096787364979</v>
      </c>
      <c r="CS248" s="50">
        <f t="shared" si="2124"/>
        <v>82855.383100635736</v>
      </c>
      <c r="CT248" s="50">
        <f t="shared" si="2124"/>
        <v>83778.573391825921</v>
      </c>
      <c r="CU248" s="50">
        <f t="shared" si="2124"/>
        <v>85302.997926991316</v>
      </c>
      <c r="CV248" s="50">
        <f t="shared" si="2124"/>
        <v>86895.409614068645</v>
      </c>
      <c r="CW248" s="50">
        <f t="shared" si="2124"/>
        <v>88611.091753694694</v>
      </c>
      <c r="CX248" s="50">
        <f t="shared" ref="CX248:DB248" si="2125">SUM(CU33:CX33)</f>
        <v>90616.43818897249</v>
      </c>
      <c r="CY248" s="50">
        <f t="shared" si="2125"/>
        <v>92291.105561794131</v>
      </c>
      <c r="CZ248" s="50">
        <f t="shared" si="2125"/>
        <v>94026.938616063067</v>
      </c>
      <c r="DA248" s="50">
        <f t="shared" si="2125"/>
        <v>95895.907691902947</v>
      </c>
      <c r="DB248" s="50">
        <f t="shared" si="2125"/>
        <v>98085.98035925263</v>
      </c>
      <c r="DE248" s="138"/>
      <c r="DF248" s="66">
        <v>74885.095849999998</v>
      </c>
    </row>
    <row r="249" spans="1:110" s="66" customFormat="1" x14ac:dyDescent="0.2">
      <c r="A249" s="66" t="s">
        <v>472</v>
      </c>
      <c r="AB249" s="50"/>
      <c r="AC249" s="50"/>
      <c r="AD249" s="50"/>
      <c r="AE249" s="50"/>
      <c r="AL249" s="66">
        <f t="shared" ref="AL249:BQ249" si="2126">SUM(AI51:AL51)</f>
        <v>0</v>
      </c>
      <c r="AM249" s="66">
        <f t="shared" si="2126"/>
        <v>0</v>
      </c>
      <c r="AN249" s="66">
        <f t="shared" si="2126"/>
        <v>0</v>
      </c>
      <c r="AO249" s="66">
        <f t="shared" si="2126"/>
        <v>0</v>
      </c>
      <c r="AP249" s="66">
        <f t="shared" si="2126"/>
        <v>0</v>
      </c>
      <c r="AQ249" s="66">
        <f t="shared" si="2126"/>
        <v>0</v>
      </c>
      <c r="AR249" s="66">
        <f t="shared" si="2126"/>
        <v>0</v>
      </c>
      <c r="AS249" s="66">
        <f t="shared" si="2126"/>
        <v>0</v>
      </c>
      <c r="AT249" s="66">
        <f t="shared" si="2126"/>
        <v>0</v>
      </c>
      <c r="AU249" s="66">
        <f t="shared" si="2126"/>
        <v>0</v>
      </c>
      <c r="AV249" s="66">
        <f t="shared" si="2126"/>
        <v>0</v>
      </c>
      <c r="AW249" s="66">
        <f t="shared" si="2126"/>
        <v>0</v>
      </c>
      <c r="AX249" s="66">
        <f t="shared" si="2126"/>
        <v>0</v>
      </c>
      <c r="AY249" s="66">
        <f t="shared" si="2126"/>
        <v>0</v>
      </c>
      <c r="AZ249" s="66">
        <f t="shared" si="2126"/>
        <v>0</v>
      </c>
      <c r="BA249" s="66">
        <f t="shared" si="2126"/>
        <v>0</v>
      </c>
      <c r="BB249" s="66">
        <f t="shared" si="2126"/>
        <v>0</v>
      </c>
      <c r="BC249" s="66">
        <f t="shared" si="2126"/>
        <v>0</v>
      </c>
      <c r="BD249" s="66">
        <f t="shared" si="2126"/>
        <v>0</v>
      </c>
      <c r="BE249" s="66">
        <f t="shared" si="2126"/>
        <v>0</v>
      </c>
      <c r="BF249" s="66">
        <f t="shared" si="2126"/>
        <v>0</v>
      </c>
      <c r="BG249" s="66">
        <f t="shared" si="2126"/>
        <v>0</v>
      </c>
      <c r="BH249" s="66">
        <f t="shared" si="2126"/>
        <v>0</v>
      </c>
      <c r="BI249" s="66">
        <f t="shared" si="2126"/>
        <v>0</v>
      </c>
      <c r="BJ249" s="66">
        <f t="shared" si="2126"/>
        <v>0</v>
      </c>
      <c r="BK249" s="66">
        <f t="shared" si="2126"/>
        <v>0</v>
      </c>
      <c r="BL249" s="66">
        <f t="shared" si="2126"/>
        <v>0</v>
      </c>
      <c r="BM249" s="66">
        <f t="shared" si="2126"/>
        <v>0</v>
      </c>
      <c r="BN249" s="66">
        <f t="shared" si="2126"/>
        <v>0</v>
      </c>
      <c r="BO249" s="66">
        <f t="shared" si="2126"/>
        <v>0</v>
      </c>
      <c r="BP249" s="66">
        <f t="shared" si="2126"/>
        <v>0</v>
      </c>
      <c r="BQ249" s="66">
        <f t="shared" si="2126"/>
        <v>314.28000000000077</v>
      </c>
      <c r="BR249" s="66">
        <f t="shared" ref="BR249:CW249" si="2127">SUM(BO51:BR51)</f>
        <v>667.55000000000223</v>
      </c>
      <c r="BS249" s="66">
        <f t="shared" si="2127"/>
        <v>1044.9100000000021</v>
      </c>
      <c r="BT249" s="66">
        <f t="shared" si="2127"/>
        <v>1474.4400000000023</v>
      </c>
      <c r="BU249" s="66">
        <f t="shared" si="2127"/>
        <v>1663.8100000000027</v>
      </c>
      <c r="BV249" s="66">
        <f t="shared" si="2127"/>
        <v>1736.2600000000011</v>
      </c>
      <c r="BW249" s="66">
        <f t="shared" si="2127"/>
        <v>1801.9900000000018</v>
      </c>
      <c r="BX249" s="66">
        <f t="shared" si="2127"/>
        <v>1626.3300000000008</v>
      </c>
      <c r="BY249" s="66">
        <f t="shared" si="2127"/>
        <v>1727.8999999999999</v>
      </c>
      <c r="BZ249" s="66">
        <f t="shared" si="2127"/>
        <v>1420.2899999999993</v>
      </c>
      <c r="CA249" s="66">
        <f t="shared" si="2127"/>
        <v>1107.5999999999981</v>
      </c>
      <c r="CB249" s="66">
        <f t="shared" si="2127"/>
        <v>997.39999999999714</v>
      </c>
      <c r="CC249" s="66">
        <f t="shared" si="2127"/>
        <v>896.75999999999794</v>
      </c>
      <c r="CD249" s="66">
        <f t="shared" si="2127"/>
        <v>1135.6499999999985</v>
      </c>
      <c r="CE249" s="66">
        <f t="shared" si="2127"/>
        <v>1631.4200000000003</v>
      </c>
      <c r="CF249" s="66">
        <f t="shared" si="2127"/>
        <v>2056.6900000000023</v>
      </c>
      <c r="CG249" s="66">
        <f t="shared" si="2127"/>
        <v>2343.7000000000012</v>
      </c>
      <c r="CH249" s="66">
        <f t="shared" si="2127"/>
        <v>2434.9600000000019</v>
      </c>
      <c r="CI249" s="66">
        <f t="shared" si="2127"/>
        <v>2174.6800000000026</v>
      </c>
      <c r="CJ249" s="66">
        <f t="shared" si="2127"/>
        <v>2293.920000000001</v>
      </c>
      <c r="CK249" s="66">
        <f t="shared" si="2127"/>
        <v>2055.33</v>
      </c>
      <c r="CL249" s="66">
        <f t="shared" si="2127"/>
        <v>2130.809999999999</v>
      </c>
      <c r="CM249" s="50">
        <f t="shared" si="2127"/>
        <v>2300.1796965307276</v>
      </c>
      <c r="CN249" s="50">
        <f t="shared" si="2127"/>
        <v>2212.206032634127</v>
      </c>
      <c r="CO249" s="50">
        <f t="shared" si="2127"/>
        <v>2263.1691704154191</v>
      </c>
      <c r="CP249" s="50">
        <f t="shared" si="2127"/>
        <v>2419.1013542312321</v>
      </c>
      <c r="CQ249" s="50">
        <f t="shared" si="2127"/>
        <v>2487.6312944941274</v>
      </c>
      <c r="CR249" s="50">
        <f t="shared" si="2127"/>
        <v>2534.9396138329662</v>
      </c>
      <c r="CS249" s="50">
        <f t="shared" si="2127"/>
        <v>2629.7901289394513</v>
      </c>
      <c r="CT249" s="50">
        <f t="shared" si="2127"/>
        <v>2782.3262249813956</v>
      </c>
      <c r="CU249" s="50">
        <f t="shared" si="2127"/>
        <v>2848.470006617978</v>
      </c>
      <c r="CV249" s="50">
        <f t="shared" si="2127"/>
        <v>2909.3718221667632</v>
      </c>
      <c r="CW249" s="50">
        <f t="shared" si="2127"/>
        <v>2971.1093997567355</v>
      </c>
      <c r="CX249" s="50">
        <f t="shared" ref="CX249:DB249" si="2128">SUM(CU51:CX51)</f>
        <v>3024.574532860428</v>
      </c>
      <c r="CY249" s="50">
        <f t="shared" si="2128"/>
        <v>3084.8796907161523</v>
      </c>
      <c r="CZ249" s="50">
        <f t="shared" si="2128"/>
        <v>3144.2726940223056</v>
      </c>
      <c r="DA249" s="50">
        <f t="shared" si="2128"/>
        <v>3206.3597241523398</v>
      </c>
      <c r="DB249" s="50">
        <f t="shared" si="2128"/>
        <v>3277.6253462642508</v>
      </c>
      <c r="DE249" s="138"/>
      <c r="DF249" s="66">
        <v>2227.8467722282185</v>
      </c>
    </row>
    <row r="250" spans="1:110" s="66" customFormat="1" x14ac:dyDescent="0.2">
      <c r="A250" s="66" t="s">
        <v>473</v>
      </c>
      <c r="AB250" s="50"/>
      <c r="AC250" s="50"/>
      <c r="AD250" s="50"/>
      <c r="AE250" s="50"/>
      <c r="AL250" s="66">
        <f t="shared" ref="AL250:BQ250" si="2129">SUM(AI64:AL64)</f>
        <v>0</v>
      </c>
      <c r="AM250" s="66">
        <f t="shared" si="2129"/>
        <v>0</v>
      </c>
      <c r="AN250" s="66">
        <f t="shared" si="2129"/>
        <v>0</v>
      </c>
      <c r="AO250" s="66">
        <f t="shared" si="2129"/>
        <v>0</v>
      </c>
      <c r="AP250" s="66">
        <f t="shared" si="2129"/>
        <v>0</v>
      </c>
      <c r="AQ250" s="66">
        <f t="shared" si="2129"/>
        <v>0</v>
      </c>
      <c r="AR250" s="66">
        <f t="shared" si="2129"/>
        <v>0</v>
      </c>
      <c r="AS250" s="66">
        <f t="shared" si="2129"/>
        <v>0</v>
      </c>
      <c r="AT250" s="66">
        <f t="shared" si="2129"/>
        <v>0</v>
      </c>
      <c r="AU250" s="66">
        <f t="shared" si="2129"/>
        <v>0</v>
      </c>
      <c r="AV250" s="66">
        <f t="shared" si="2129"/>
        <v>0</v>
      </c>
      <c r="AW250" s="66">
        <f t="shared" si="2129"/>
        <v>0</v>
      </c>
      <c r="AX250" s="66">
        <f t="shared" si="2129"/>
        <v>0</v>
      </c>
      <c r="AY250" s="66">
        <f t="shared" si="2129"/>
        <v>0</v>
      </c>
      <c r="AZ250" s="66">
        <f t="shared" si="2129"/>
        <v>0</v>
      </c>
      <c r="BA250" s="66">
        <f t="shared" si="2129"/>
        <v>0</v>
      </c>
      <c r="BB250" s="66">
        <f t="shared" si="2129"/>
        <v>0</v>
      </c>
      <c r="BC250" s="66">
        <f t="shared" si="2129"/>
        <v>0</v>
      </c>
      <c r="BD250" s="66">
        <f t="shared" si="2129"/>
        <v>0</v>
      </c>
      <c r="BE250" s="66">
        <f t="shared" si="2129"/>
        <v>0</v>
      </c>
      <c r="BF250" s="66">
        <f t="shared" si="2129"/>
        <v>0</v>
      </c>
      <c r="BG250" s="66">
        <f t="shared" si="2129"/>
        <v>0</v>
      </c>
      <c r="BH250" s="66">
        <f t="shared" si="2129"/>
        <v>0</v>
      </c>
      <c r="BI250" s="66">
        <f t="shared" si="2129"/>
        <v>0</v>
      </c>
      <c r="BJ250" s="66">
        <f t="shared" si="2129"/>
        <v>0</v>
      </c>
      <c r="BK250" s="66">
        <f t="shared" si="2129"/>
        <v>0</v>
      </c>
      <c r="BL250" s="66">
        <f t="shared" si="2129"/>
        <v>0</v>
      </c>
      <c r="BM250" s="66">
        <f t="shared" si="2129"/>
        <v>0</v>
      </c>
      <c r="BN250" s="66">
        <f t="shared" si="2129"/>
        <v>0</v>
      </c>
      <c r="BO250" s="66">
        <f t="shared" si="2129"/>
        <v>0</v>
      </c>
      <c r="BP250" s="66">
        <f t="shared" si="2129"/>
        <v>0</v>
      </c>
      <c r="BQ250" s="66">
        <f t="shared" si="2129"/>
        <v>110.02000000000078</v>
      </c>
      <c r="BR250" s="66">
        <f t="shared" ref="BR250:CW250" si="2130">SUM(BO64:BR64)</f>
        <v>405.47000000000224</v>
      </c>
      <c r="BS250" s="66">
        <f t="shared" si="2130"/>
        <v>571.8200000000021</v>
      </c>
      <c r="BT250" s="66">
        <f t="shared" si="2130"/>
        <v>740.06000000000233</v>
      </c>
      <c r="BU250" s="66">
        <f t="shared" si="2130"/>
        <v>850.56000000000256</v>
      </c>
      <c r="BV250" s="66">
        <f t="shared" si="2130"/>
        <v>774.34000000000106</v>
      </c>
      <c r="BW250" s="66">
        <f t="shared" si="2130"/>
        <v>805.82000000000176</v>
      </c>
      <c r="BX250" s="66">
        <f t="shared" si="2130"/>
        <v>669.45000000000073</v>
      </c>
      <c r="BY250" s="66">
        <f t="shared" si="2130"/>
        <v>680.38999999999987</v>
      </c>
      <c r="BZ250" s="66">
        <f t="shared" si="2130"/>
        <v>553.56999999999937</v>
      </c>
      <c r="CA250" s="66">
        <f t="shared" si="2130"/>
        <v>296.0299999999981</v>
      </c>
      <c r="CB250" s="66">
        <f t="shared" si="2130"/>
        <v>187.43999999999716</v>
      </c>
      <c r="CC250" s="66">
        <f t="shared" si="2130"/>
        <v>162.00999999999797</v>
      </c>
      <c r="CD250" s="66">
        <f t="shared" si="2130"/>
        <v>224.15999999999849</v>
      </c>
      <c r="CE250" s="66">
        <f t="shared" si="2130"/>
        <v>595.50000000000034</v>
      </c>
      <c r="CF250" s="66">
        <f t="shared" si="2130"/>
        <v>954.1400000000026</v>
      </c>
      <c r="CG250" s="66">
        <f t="shared" si="2130"/>
        <v>1141.2700000000011</v>
      </c>
      <c r="CH250" s="66">
        <f t="shared" si="2130"/>
        <v>1163.2300000000021</v>
      </c>
      <c r="CI250" s="66">
        <f t="shared" si="2130"/>
        <v>1083.3700000000026</v>
      </c>
      <c r="CJ250" s="66">
        <f t="shared" si="2130"/>
        <v>1029.0000000000014</v>
      </c>
      <c r="CK250" s="66">
        <f t="shared" si="2130"/>
        <v>923.49999999999977</v>
      </c>
      <c r="CL250" s="66">
        <f t="shared" si="2130"/>
        <v>1016.2699999999991</v>
      </c>
      <c r="CM250" s="50">
        <f t="shared" si="2130"/>
        <v>1058.5107536188048</v>
      </c>
      <c r="CN250" s="50">
        <f t="shared" si="2130"/>
        <v>1146.1067096032723</v>
      </c>
      <c r="CO250" s="50">
        <f t="shared" si="2130"/>
        <v>1174.6521057089583</v>
      </c>
      <c r="CP250" s="50">
        <f t="shared" si="2130"/>
        <v>1273.603884271173</v>
      </c>
      <c r="CQ250" s="50">
        <f t="shared" si="2130"/>
        <v>1274.0352632716858</v>
      </c>
      <c r="CR250" s="50">
        <f t="shared" si="2130"/>
        <v>1243.604245797575</v>
      </c>
      <c r="CS250" s="50">
        <f t="shared" si="2130"/>
        <v>1242.4867827718426</v>
      </c>
      <c r="CT250" s="50">
        <f t="shared" si="2130"/>
        <v>1281.1269887844887</v>
      </c>
      <c r="CU250" s="50">
        <f t="shared" si="2130"/>
        <v>1286.1660276537064</v>
      </c>
      <c r="CV250" s="50">
        <f t="shared" si="2130"/>
        <v>1288.6759179259657</v>
      </c>
      <c r="CW250" s="50">
        <f t="shared" si="2130"/>
        <v>1291.3714572385011</v>
      </c>
      <c r="CX250" s="50">
        <f t="shared" ref="CX250:DB250" si="2131">SUM(CU64:CX64)</f>
        <v>1286.8581418920694</v>
      </c>
      <c r="CY250" s="50">
        <f t="shared" si="2131"/>
        <v>1289.8550109017517</v>
      </c>
      <c r="CZ250" s="50">
        <f t="shared" si="2131"/>
        <v>1291.208435917134</v>
      </c>
      <c r="DA250" s="50">
        <f t="shared" si="2131"/>
        <v>1294.5748379851329</v>
      </c>
      <c r="DB250" s="50">
        <f t="shared" si="2131"/>
        <v>1304.9419587278749</v>
      </c>
      <c r="DE250" s="138"/>
      <c r="DF250" s="66">
        <v>1076.5129008135227</v>
      </c>
    </row>
    <row r="251" spans="1:110" s="93" customFormat="1" x14ac:dyDescent="0.2"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11" customFormat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253" s="61" t="s">
        <v>339</v>
      </c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474</v>
      </c>
      <c r="B254" s="64">
        <f t="shared" ref="B254:Z254" si="2132">B31-B260</f>
        <v>0</v>
      </c>
      <c r="C254" s="64">
        <f t="shared" si="2132"/>
        <v>0</v>
      </c>
      <c r="D254" s="64">
        <f t="shared" si="2132"/>
        <v>1260.7719999999999</v>
      </c>
      <c r="E254" s="64">
        <f t="shared" si="2132"/>
        <v>1855.8320000000001</v>
      </c>
      <c r="F254" s="64">
        <f t="shared" si="2132"/>
        <v>2060.087</v>
      </c>
      <c r="G254" s="64">
        <f t="shared" si="2132"/>
        <v>2683.49</v>
      </c>
      <c r="H254" s="64">
        <f t="shared" si="2132"/>
        <v>2645.877</v>
      </c>
      <c r="I254" s="64">
        <f t="shared" si="2132"/>
        <v>3400.482</v>
      </c>
      <c r="J254" s="64">
        <f t="shared" si="2132"/>
        <v>5807.5110000000004</v>
      </c>
      <c r="K254" s="64">
        <f t="shared" si="2132"/>
        <v>6115.808</v>
      </c>
      <c r="L254" s="64">
        <f t="shared" si="2132"/>
        <v>8551.9940000000006</v>
      </c>
      <c r="M254" s="64">
        <f t="shared" si="2132"/>
        <v>12062.159</v>
      </c>
      <c r="N254" s="64">
        <f t="shared" si="2132"/>
        <v>14296.861999999999</v>
      </c>
      <c r="O254" s="64">
        <f t="shared" si="2132"/>
        <v>17393.797999999999</v>
      </c>
      <c r="P254" s="64">
        <f t="shared" si="2132"/>
        <v>17347.368999999999</v>
      </c>
      <c r="Q254" s="64">
        <f t="shared" si="2132"/>
        <v>19127.66</v>
      </c>
      <c r="R254" s="64">
        <f t="shared" si="2132"/>
        <v>23308.911</v>
      </c>
      <c r="S254" s="64">
        <f t="shared" si="2132"/>
        <v>26471.909</v>
      </c>
      <c r="T254" s="64">
        <f t="shared" si="2132"/>
        <v>28904.156999999999</v>
      </c>
      <c r="U254" s="64">
        <f t="shared" si="2132"/>
        <v>29800.577000000001</v>
      </c>
      <c r="V254" s="64">
        <f t="shared" si="2132"/>
        <v>37319.32</v>
      </c>
      <c r="W254" s="64">
        <f t="shared" si="2132"/>
        <v>54506.92</v>
      </c>
      <c r="X254" s="64">
        <f t="shared" si="2132"/>
        <v>58578.91</v>
      </c>
      <c r="Y254" s="64">
        <f t="shared" si="2132"/>
        <v>51669.19</v>
      </c>
      <c r="Z254" s="64">
        <f t="shared" si="2132"/>
        <v>64276.44</v>
      </c>
      <c r="AA254" s="64">
        <f t="shared" ref="AA254" si="2133">AA31-AA260</f>
        <v>75597.919999999998</v>
      </c>
      <c r="AB254" s="30"/>
      <c r="AC254" s="30"/>
      <c r="AD254" s="30"/>
      <c r="AE254" s="30"/>
      <c r="AI254" s="64">
        <f t="shared" ref="AI254:BN254" si="2134">AI31-AI260</f>
        <v>0</v>
      </c>
      <c r="AJ254" s="64">
        <f t="shared" si="2134"/>
        <v>0</v>
      </c>
      <c r="AK254" s="64">
        <f t="shared" si="2134"/>
        <v>0</v>
      </c>
      <c r="AL254" s="64">
        <f t="shared" si="2134"/>
        <v>0</v>
      </c>
      <c r="AM254" s="64">
        <f t="shared" si="2134"/>
        <v>0</v>
      </c>
      <c r="AN254" s="64">
        <f t="shared" si="2134"/>
        <v>0</v>
      </c>
      <c r="AO254" s="64">
        <f t="shared" si="2134"/>
        <v>0</v>
      </c>
      <c r="AP254" s="64">
        <f t="shared" si="2134"/>
        <v>0</v>
      </c>
      <c r="AQ254" s="64">
        <f t="shared" si="2134"/>
        <v>0</v>
      </c>
      <c r="AR254" s="64">
        <f t="shared" si="2134"/>
        <v>0</v>
      </c>
      <c r="AS254" s="64">
        <f t="shared" si="2134"/>
        <v>0</v>
      </c>
      <c r="AT254" s="64">
        <f t="shared" si="2134"/>
        <v>0</v>
      </c>
      <c r="AU254" s="64">
        <f t="shared" si="2134"/>
        <v>0</v>
      </c>
      <c r="AV254" s="64">
        <f t="shared" si="2134"/>
        <v>0</v>
      </c>
      <c r="AW254" s="64">
        <f t="shared" si="2134"/>
        <v>0</v>
      </c>
      <c r="AX254" s="64">
        <f t="shared" si="2134"/>
        <v>0</v>
      </c>
      <c r="AY254" s="64">
        <f t="shared" si="2134"/>
        <v>0</v>
      </c>
      <c r="AZ254" s="64">
        <f t="shared" si="2134"/>
        <v>0</v>
      </c>
      <c r="BA254" s="64">
        <f t="shared" si="2134"/>
        <v>0</v>
      </c>
      <c r="BB254" s="64">
        <f t="shared" si="2134"/>
        <v>0</v>
      </c>
      <c r="BC254" s="64">
        <f t="shared" si="2134"/>
        <v>0</v>
      </c>
      <c r="BD254" s="64">
        <f t="shared" si="2134"/>
        <v>0</v>
      </c>
      <c r="BE254" s="64">
        <f t="shared" si="2134"/>
        <v>0</v>
      </c>
      <c r="BF254" s="64">
        <f t="shared" si="2134"/>
        <v>0</v>
      </c>
      <c r="BG254" s="64">
        <f t="shared" si="2134"/>
        <v>0</v>
      </c>
      <c r="BH254" s="64">
        <f t="shared" si="2134"/>
        <v>0</v>
      </c>
      <c r="BI254" s="64">
        <f t="shared" si="2134"/>
        <v>0</v>
      </c>
      <c r="BJ254" s="64">
        <f t="shared" si="2134"/>
        <v>0</v>
      </c>
      <c r="BK254" s="64">
        <f t="shared" si="2134"/>
        <v>0</v>
      </c>
      <c r="BL254" s="64">
        <f t="shared" si="2134"/>
        <v>0</v>
      </c>
      <c r="BM254" s="64">
        <f t="shared" si="2134"/>
        <v>0</v>
      </c>
      <c r="BN254" s="64">
        <f t="shared" si="2134"/>
        <v>0</v>
      </c>
      <c r="BO254" s="64">
        <f t="shared" ref="BO254:CT254" si="2135">BO31-BO260</f>
        <v>0</v>
      </c>
      <c r="BP254" s="64">
        <f t="shared" si="2135"/>
        <v>0</v>
      </c>
      <c r="BQ254" s="64">
        <f t="shared" si="2135"/>
        <v>10229.49</v>
      </c>
      <c r="BR254" s="64">
        <f t="shared" si="2135"/>
        <v>10672.34</v>
      </c>
      <c r="BS254" s="64">
        <f t="shared" si="2135"/>
        <v>11311.97</v>
      </c>
      <c r="BT254" s="64">
        <f t="shared" si="2135"/>
        <v>13558.47</v>
      </c>
      <c r="BU254" s="64">
        <f t="shared" si="2135"/>
        <v>14370.92</v>
      </c>
      <c r="BV254" s="64">
        <f t="shared" si="2135"/>
        <v>14917.26</v>
      </c>
      <c r="BW254" s="64">
        <f t="shared" si="2135"/>
        <v>14724.09</v>
      </c>
      <c r="BX254" s="64">
        <f t="shared" si="2135"/>
        <v>14150.03</v>
      </c>
      <c r="BY254" s="64">
        <f t="shared" si="2135"/>
        <v>15438.05</v>
      </c>
      <c r="BZ254" s="64">
        <f t="shared" si="2135"/>
        <v>13872.64</v>
      </c>
      <c r="CA254" s="64">
        <f t="shared" si="2135"/>
        <v>12928.08</v>
      </c>
      <c r="CB254" s="64">
        <f t="shared" si="2135"/>
        <v>12267.15</v>
      </c>
      <c r="CC254" s="64">
        <f t="shared" si="2135"/>
        <v>12828.36</v>
      </c>
      <c r="CD254" s="64">
        <f t="shared" si="2135"/>
        <v>13222.83</v>
      </c>
      <c r="CE254" s="64">
        <f t="shared" si="2135"/>
        <v>14153.85</v>
      </c>
      <c r="CF254" s="64">
        <f t="shared" si="2135"/>
        <v>14449.94</v>
      </c>
      <c r="CG254" s="64">
        <f t="shared" si="2135"/>
        <v>16838.86</v>
      </c>
      <c r="CH254" s="64">
        <f t="shared" si="2135"/>
        <v>18229.59</v>
      </c>
      <c r="CI254" s="64">
        <f t="shared" si="2135"/>
        <v>17058.650000000001</v>
      </c>
      <c r="CJ254" s="64">
        <f t="shared" si="2135"/>
        <v>17604.57</v>
      </c>
      <c r="CK254" s="64">
        <f t="shared" si="2135"/>
        <v>18602.669999999998</v>
      </c>
      <c r="CL254" s="64">
        <f t="shared" ref="CL254" si="2136">CL31-CL260</f>
        <v>21464.78</v>
      </c>
      <c r="CM254" s="30">
        <f t="shared" si="2135"/>
        <v>18042.439209785465</v>
      </c>
      <c r="CN254" s="30">
        <f t="shared" si="2135"/>
        <v>18921.333268591887</v>
      </c>
      <c r="CO254" s="30">
        <f t="shared" si="2135"/>
        <v>20213.847090340554</v>
      </c>
      <c r="CP254" s="30">
        <f t="shared" si="2135"/>
        <v>23504.547120169267</v>
      </c>
      <c r="CQ254" s="30">
        <f t="shared" si="2135"/>
        <v>18686.77122690004</v>
      </c>
      <c r="CR254" s="30">
        <f t="shared" si="2135"/>
        <v>19645.931349955117</v>
      </c>
      <c r="CS254" s="30">
        <f t="shared" si="2135"/>
        <v>21018.133403611315</v>
      </c>
      <c r="CT254" s="30">
        <f t="shared" si="2135"/>
        <v>24427.737411359456</v>
      </c>
      <c r="CU254" s="30">
        <f t="shared" ref="CU254:DB254" si="2137">CU31-CU260</f>
        <v>20211.195762065421</v>
      </c>
      <c r="CV254" s="30">
        <f t="shared" si="2137"/>
        <v>21238.343037032453</v>
      </c>
      <c r="CW254" s="30">
        <f t="shared" si="2137"/>
        <v>22733.815543237364</v>
      </c>
      <c r="CX254" s="30">
        <f t="shared" si="2137"/>
        <v>26433.083846637248</v>
      </c>
      <c r="CY254" s="30">
        <f t="shared" si="2137"/>
        <v>21885.863134887077</v>
      </c>
      <c r="CZ254" s="30">
        <f t="shared" si="2137"/>
        <v>22974.176091301379</v>
      </c>
      <c r="DA254" s="30">
        <f t="shared" si="2137"/>
        <v>24602.784619077247</v>
      </c>
      <c r="DB254" s="30">
        <f t="shared" si="2137"/>
        <v>28623.156513986942</v>
      </c>
      <c r="DE254" s="139"/>
      <c r="DF254" s="64">
        <v>21619.205849999998</v>
      </c>
    </row>
    <row r="255" spans="1:110" s="64" customFormat="1" hidden="1" outlineLevel="1" x14ac:dyDescent="0.2">
      <c r="A255" s="64" t="s">
        <v>475</v>
      </c>
      <c r="B255" s="64">
        <f t="shared" ref="B255:Z255" si="2138">B51-B261</f>
        <v>0</v>
      </c>
      <c r="C255" s="64">
        <f t="shared" si="2138"/>
        <v>0</v>
      </c>
      <c r="D255" s="64">
        <f t="shared" si="2138"/>
        <v>31.524999999999935</v>
      </c>
      <c r="E255" s="64">
        <f t="shared" si="2138"/>
        <v>46.130000000000109</v>
      </c>
      <c r="F255" s="64">
        <f t="shared" si="2138"/>
        <v>18.696999999999832</v>
      </c>
      <c r="G255" s="64">
        <f t="shared" si="2138"/>
        <v>46.495999999999754</v>
      </c>
      <c r="H255" s="64">
        <f t="shared" si="2138"/>
        <v>63.765999999999622</v>
      </c>
      <c r="I255" s="64">
        <f t="shared" si="2138"/>
        <v>111.83799999999991</v>
      </c>
      <c r="J255" s="64">
        <f t="shared" si="2138"/>
        <v>140.12200000000053</v>
      </c>
      <c r="K255" s="64">
        <f t="shared" si="2138"/>
        <v>94.188000000000329</v>
      </c>
      <c r="L255" s="64">
        <f t="shared" si="2138"/>
        <v>82.478000000000065</v>
      </c>
      <c r="M255" s="64">
        <f t="shared" si="2138"/>
        <v>140.79099999999926</v>
      </c>
      <c r="N255" s="64">
        <f t="shared" si="2138"/>
        <v>302.82199999999921</v>
      </c>
      <c r="O255" s="64">
        <f t="shared" si="2138"/>
        <v>194.79199999999855</v>
      </c>
      <c r="P255" s="64">
        <f t="shared" si="2138"/>
        <v>379.32899999999881</v>
      </c>
      <c r="Q255" s="64">
        <f t="shared" si="2138"/>
        <v>517.02900000000182</v>
      </c>
      <c r="R255" s="64">
        <f t="shared" si="2138"/>
        <v>653.5830000000019</v>
      </c>
      <c r="S255" s="64">
        <f t="shared" si="2138"/>
        <v>928.27100000000155</v>
      </c>
      <c r="T255" s="64">
        <f t="shared" si="2138"/>
        <v>1100.5249999999996</v>
      </c>
      <c r="U255" s="64">
        <f t="shared" si="2138"/>
        <v>1309.5250000000015</v>
      </c>
      <c r="V255" s="64">
        <f t="shared" si="2138"/>
        <v>1325.3199999999961</v>
      </c>
      <c r="W255" s="64">
        <f t="shared" si="2138"/>
        <v>1736.2700000000004</v>
      </c>
      <c r="X255" s="64">
        <f t="shared" si="2138"/>
        <v>958.79000000000269</v>
      </c>
      <c r="Y255" s="64">
        <f t="shared" si="2138"/>
        <v>1132.6900000000078</v>
      </c>
      <c r="Z255" s="64">
        <f t="shared" si="2138"/>
        <v>2481.7400000000016</v>
      </c>
      <c r="AA255" s="64">
        <f t="shared" ref="AA255" si="2139">AA51-AA261</f>
        <v>2115.3699999999872</v>
      </c>
      <c r="AB255" s="30"/>
      <c r="AC255" s="30"/>
      <c r="AD255" s="30"/>
      <c r="AE255" s="30"/>
      <c r="AI255" s="64">
        <f t="shared" ref="AI255:BN255" si="2140">AI51-AI261</f>
        <v>0</v>
      </c>
      <c r="AJ255" s="64">
        <f t="shared" si="2140"/>
        <v>0</v>
      </c>
      <c r="AK255" s="64">
        <f t="shared" si="2140"/>
        <v>0</v>
      </c>
      <c r="AL255" s="64">
        <f t="shared" si="2140"/>
        <v>0</v>
      </c>
      <c r="AM255" s="64">
        <f t="shared" si="2140"/>
        <v>0</v>
      </c>
      <c r="AN255" s="64">
        <f t="shared" si="2140"/>
        <v>0</v>
      </c>
      <c r="AO255" s="64">
        <f t="shared" si="2140"/>
        <v>0</v>
      </c>
      <c r="AP255" s="64">
        <f t="shared" si="2140"/>
        <v>0</v>
      </c>
      <c r="AQ255" s="64">
        <f t="shared" si="2140"/>
        <v>0</v>
      </c>
      <c r="AR255" s="64">
        <f t="shared" si="2140"/>
        <v>0</v>
      </c>
      <c r="AS255" s="64">
        <f t="shared" si="2140"/>
        <v>0</v>
      </c>
      <c r="AT255" s="64">
        <f t="shared" si="2140"/>
        <v>0</v>
      </c>
      <c r="AU255" s="64">
        <f t="shared" si="2140"/>
        <v>0</v>
      </c>
      <c r="AV255" s="64">
        <f t="shared" si="2140"/>
        <v>0</v>
      </c>
      <c r="AW255" s="64">
        <f t="shared" si="2140"/>
        <v>0</v>
      </c>
      <c r="AX255" s="64">
        <f t="shared" si="2140"/>
        <v>0</v>
      </c>
      <c r="AY255" s="64">
        <f t="shared" si="2140"/>
        <v>0</v>
      </c>
      <c r="AZ255" s="64">
        <f t="shared" si="2140"/>
        <v>0</v>
      </c>
      <c r="BA255" s="64">
        <f t="shared" si="2140"/>
        <v>0</v>
      </c>
      <c r="BB255" s="64">
        <f t="shared" si="2140"/>
        <v>0</v>
      </c>
      <c r="BC255" s="64">
        <f t="shared" si="2140"/>
        <v>0</v>
      </c>
      <c r="BD255" s="64">
        <f t="shared" si="2140"/>
        <v>0</v>
      </c>
      <c r="BE255" s="64">
        <f t="shared" si="2140"/>
        <v>0</v>
      </c>
      <c r="BF255" s="64">
        <f t="shared" si="2140"/>
        <v>0</v>
      </c>
      <c r="BG255" s="64">
        <f t="shared" si="2140"/>
        <v>0</v>
      </c>
      <c r="BH255" s="64">
        <f t="shared" si="2140"/>
        <v>0</v>
      </c>
      <c r="BI255" s="64">
        <f t="shared" si="2140"/>
        <v>0</v>
      </c>
      <c r="BJ255" s="64">
        <f t="shared" si="2140"/>
        <v>0</v>
      </c>
      <c r="BK255" s="64">
        <f t="shared" si="2140"/>
        <v>0</v>
      </c>
      <c r="BL255" s="64">
        <f t="shared" si="2140"/>
        <v>0</v>
      </c>
      <c r="BM255" s="64">
        <f t="shared" si="2140"/>
        <v>0</v>
      </c>
      <c r="BN255" s="64">
        <f t="shared" si="2140"/>
        <v>0</v>
      </c>
      <c r="BO255" s="64">
        <f t="shared" ref="BO255:CT255" si="2141">BO51-BO261</f>
        <v>0</v>
      </c>
      <c r="BP255" s="64">
        <f t="shared" si="2141"/>
        <v>0</v>
      </c>
      <c r="BQ255" s="64">
        <f t="shared" si="2141"/>
        <v>314.28000000000077</v>
      </c>
      <c r="BR255" s="64">
        <f t="shared" si="2141"/>
        <v>353.27000000000146</v>
      </c>
      <c r="BS255" s="64">
        <f t="shared" si="2141"/>
        <v>377.3599999999999</v>
      </c>
      <c r="BT255" s="64">
        <f t="shared" si="2141"/>
        <v>429.5300000000002</v>
      </c>
      <c r="BU255" s="64">
        <f t="shared" si="2141"/>
        <v>503.650000000001</v>
      </c>
      <c r="BV255" s="64">
        <f t="shared" si="2141"/>
        <v>425.72</v>
      </c>
      <c r="BW255" s="64">
        <f t="shared" si="2141"/>
        <v>443.0900000000006</v>
      </c>
      <c r="BX255" s="64">
        <f t="shared" si="2141"/>
        <v>253.86999999999921</v>
      </c>
      <c r="BY255" s="64">
        <f t="shared" si="2141"/>
        <v>605.22</v>
      </c>
      <c r="BZ255" s="64">
        <f t="shared" si="2141"/>
        <v>118.10999999999945</v>
      </c>
      <c r="CA255" s="64">
        <f t="shared" si="2141"/>
        <v>130.39999999999941</v>
      </c>
      <c r="CB255" s="64">
        <f t="shared" si="2141"/>
        <v>143.66999999999825</v>
      </c>
      <c r="CC255" s="64">
        <f t="shared" si="2141"/>
        <v>504.58000000000084</v>
      </c>
      <c r="CD255" s="64">
        <f t="shared" si="2141"/>
        <v>357</v>
      </c>
      <c r="CE255" s="64">
        <f t="shared" si="2141"/>
        <v>626.17000000000121</v>
      </c>
      <c r="CF255" s="64">
        <f t="shared" si="2141"/>
        <v>568.94000000000051</v>
      </c>
      <c r="CG255" s="64">
        <f t="shared" si="2141"/>
        <v>791.58999999999946</v>
      </c>
      <c r="CH255" s="64">
        <f t="shared" si="2141"/>
        <v>448.2600000000009</v>
      </c>
      <c r="CI255" s="64">
        <f t="shared" si="2141"/>
        <v>365.89000000000169</v>
      </c>
      <c r="CJ255" s="64">
        <f t="shared" si="2141"/>
        <v>688.17999999999915</v>
      </c>
      <c r="CK255" s="64">
        <f t="shared" si="2141"/>
        <v>552.99999999999795</v>
      </c>
      <c r="CL255" s="64">
        <f t="shared" ref="CL255" si="2142">CL51-CL261</f>
        <v>523.74000000000024</v>
      </c>
      <c r="CM255" s="30">
        <f t="shared" si="2141"/>
        <v>535.25969653073003</v>
      </c>
      <c r="CN255" s="30">
        <f t="shared" si="2141"/>
        <v>600.2063361033986</v>
      </c>
      <c r="CO255" s="30">
        <f t="shared" si="2141"/>
        <v>603.96313778129002</v>
      </c>
      <c r="CP255" s="30">
        <f t="shared" si="2141"/>
        <v>679.67218381581324</v>
      </c>
      <c r="CQ255" s="30">
        <f t="shared" si="2141"/>
        <v>603.78963679362528</v>
      </c>
      <c r="CR255" s="30">
        <f t="shared" si="2141"/>
        <v>647.51465544223765</v>
      </c>
      <c r="CS255" s="30">
        <f t="shared" si="2141"/>
        <v>698.81365288777511</v>
      </c>
      <c r="CT255" s="30">
        <f t="shared" si="2141"/>
        <v>832.20827985775759</v>
      </c>
      <c r="CU255" s="30">
        <f t="shared" ref="CU255:DB255" si="2143">CU51-CU261</f>
        <v>669.93341843020744</v>
      </c>
      <c r="CV255" s="30">
        <f t="shared" si="2143"/>
        <v>708.41647099102306</v>
      </c>
      <c r="CW255" s="30">
        <f t="shared" si="2143"/>
        <v>760.55123047774714</v>
      </c>
      <c r="CX255" s="30">
        <f t="shared" si="2143"/>
        <v>885.67341296145037</v>
      </c>
      <c r="CY255" s="30">
        <f t="shared" si="2143"/>
        <v>730.23857628593146</v>
      </c>
      <c r="CZ255" s="30">
        <f t="shared" si="2143"/>
        <v>767.80947429717639</v>
      </c>
      <c r="DA255" s="30">
        <f t="shared" si="2143"/>
        <v>822.63826060778183</v>
      </c>
      <c r="DB255" s="30">
        <f t="shared" si="2143"/>
        <v>956.93903507336108</v>
      </c>
      <c r="DE255" s="139"/>
      <c r="DF255" s="64">
        <v>620.7767722282199</v>
      </c>
    </row>
    <row r="256" spans="1:110" s="89" customFormat="1" hidden="1" outlineLevel="1" x14ac:dyDescent="0.2">
      <c r="A256" s="86" t="s">
        <v>476</v>
      </c>
      <c r="B256" s="86" t="e">
        <f>+B255/B254</f>
        <v>#DIV/0!</v>
      </c>
      <c r="C256" s="86" t="e">
        <f t="shared" ref="C256" si="2144">+C255/C254</f>
        <v>#DIV/0!</v>
      </c>
      <c r="D256" s="86">
        <f t="shared" ref="D256" si="2145">+D255/D254</f>
        <v>2.5004521039490038E-2</v>
      </c>
      <c r="E256" s="86">
        <f t="shared" ref="E256" si="2146">+E255/E254</f>
        <v>2.4856775828846635E-2</v>
      </c>
      <c r="F256" s="86">
        <f t="shared" ref="F256" si="2147">+F255/F254</f>
        <v>9.075830292604066E-3</v>
      </c>
      <c r="G256" s="86">
        <f t="shared" ref="G256" si="2148">+G255/G254</f>
        <v>1.7326690242929824E-2</v>
      </c>
      <c r="H256" s="86">
        <f t="shared" ref="H256" si="2149">+H255/H254</f>
        <v>2.4100137685916474E-2</v>
      </c>
      <c r="I256" s="86">
        <f t="shared" ref="I256" si="2150">+I255/I254</f>
        <v>3.288886693121737E-2</v>
      </c>
      <c r="J256" s="86">
        <f t="shared" ref="J256" si="2151">+J255/J254</f>
        <v>2.4127720119686474E-2</v>
      </c>
      <c r="K256" s="86">
        <f t="shared" ref="K256" si="2152">+K255/K254</f>
        <v>1.5400745085522687E-2</v>
      </c>
      <c r="L256" s="86">
        <f t="shared" ref="L256" si="2153">+L255/L254</f>
        <v>9.6443004988076529E-3</v>
      </c>
      <c r="M256" s="86">
        <f t="shared" ref="M256" si="2154">+M255/M254</f>
        <v>1.1672122710370445E-2</v>
      </c>
      <c r="N256" s="86">
        <f t="shared" ref="N256" si="2155">+N255/N254</f>
        <v>2.1181011609400665E-2</v>
      </c>
      <c r="O256" s="86">
        <f t="shared" ref="O256" si="2156">+O255/O254</f>
        <v>1.1198934240813798E-2</v>
      </c>
      <c r="P256" s="86">
        <f t="shared" ref="P256" si="2157">+P255/P254</f>
        <v>2.1866658857605373E-2</v>
      </c>
      <c r="Q256" s="86">
        <f t="shared" ref="Q256" si="2158">+Q255/Q254</f>
        <v>2.7030436551047112E-2</v>
      </c>
      <c r="R256" s="86">
        <f t="shared" ref="R256" si="2159">+R255/R254</f>
        <v>2.8040048717848806E-2</v>
      </c>
      <c r="S256" s="86">
        <f t="shared" ref="S256" si="2160">+S255/S254</f>
        <v>3.5066265904737041E-2</v>
      </c>
      <c r="T256" s="86">
        <f t="shared" ref="T256" si="2161">+T255/T254</f>
        <v>3.8074973091240812E-2</v>
      </c>
      <c r="U256" s="86">
        <f t="shared" ref="U256" si="2162">+U255/U254</f>
        <v>4.3942941104798121E-2</v>
      </c>
      <c r="V256" s="86">
        <f t="shared" ref="V256" si="2163">+V255/V254</f>
        <v>3.5512972905186804E-2</v>
      </c>
      <c r="W256" s="86">
        <f t="shared" ref="W256" si="2164">+W255/W254</f>
        <v>3.1854120541024891E-2</v>
      </c>
      <c r="X256" s="86">
        <f t="shared" ref="X256:Y256" si="2165">+X255/X254</f>
        <v>1.6367494717808895E-2</v>
      </c>
      <c r="Y256" s="86">
        <f t="shared" si="2165"/>
        <v>2.1921961617745657E-2</v>
      </c>
      <c r="Z256" s="86">
        <f t="shared" ref="Z256:AA256" si="2166">+Z255/Z254</f>
        <v>3.8610414640263234E-2</v>
      </c>
      <c r="AA256" s="86">
        <f t="shared" si="2166"/>
        <v>2.7981854527214335E-2</v>
      </c>
      <c r="AB256" s="87"/>
      <c r="AC256" s="87"/>
      <c r="AD256" s="87"/>
      <c r="AE256" s="87"/>
      <c r="AF256" s="86"/>
      <c r="AG256" s="86"/>
      <c r="AH256" s="86"/>
      <c r="AI256" s="86" t="e">
        <f t="shared" ref="AI256" si="2167">+AI255/AI254</f>
        <v>#DIV/0!</v>
      </c>
      <c r="AJ256" s="86" t="e">
        <f t="shared" ref="AJ256" si="2168">+AJ255/AJ254</f>
        <v>#DIV/0!</v>
      </c>
      <c r="AK256" s="86" t="e">
        <f t="shared" ref="AK256" si="2169">+AK255/AK254</f>
        <v>#DIV/0!</v>
      </c>
      <c r="AL256" s="86" t="e">
        <f t="shared" ref="AL256" si="2170">+AL255/AL254</f>
        <v>#DIV/0!</v>
      </c>
      <c r="AM256" s="86" t="e">
        <f t="shared" ref="AM256" si="2171">+AM255/AM254</f>
        <v>#DIV/0!</v>
      </c>
      <c r="AN256" s="86" t="e">
        <f t="shared" ref="AN256" si="2172">+AN255/AN254</f>
        <v>#DIV/0!</v>
      </c>
      <c r="AO256" s="86" t="e">
        <f t="shared" ref="AO256" si="2173">+AO255/AO254</f>
        <v>#DIV/0!</v>
      </c>
      <c r="AP256" s="86" t="e">
        <f t="shared" ref="AP256" si="2174">+AP255/AP254</f>
        <v>#DIV/0!</v>
      </c>
      <c r="AQ256" s="86" t="e">
        <f t="shared" ref="AQ256" si="2175">+AQ255/AQ254</f>
        <v>#DIV/0!</v>
      </c>
      <c r="AR256" s="86" t="e">
        <f t="shared" ref="AR256" si="2176">+AR255/AR254</f>
        <v>#DIV/0!</v>
      </c>
      <c r="AS256" s="86" t="e">
        <f t="shared" ref="AS256" si="2177">+AS255/AS254</f>
        <v>#DIV/0!</v>
      </c>
      <c r="AT256" s="86" t="e">
        <f t="shared" ref="AT256" si="2178">+AT255/AT254</f>
        <v>#DIV/0!</v>
      </c>
      <c r="AU256" s="86" t="e">
        <f t="shared" ref="AU256" si="2179">+AU255/AU254</f>
        <v>#DIV/0!</v>
      </c>
      <c r="AV256" s="86" t="e">
        <f t="shared" ref="AV256" si="2180">+AV255/AV254</f>
        <v>#DIV/0!</v>
      </c>
      <c r="AW256" s="86" t="e">
        <f t="shared" ref="AW256" si="2181">+AW255/AW254</f>
        <v>#DIV/0!</v>
      </c>
      <c r="AX256" s="86" t="e">
        <f t="shared" ref="AX256" si="2182">+AX255/AX254</f>
        <v>#DIV/0!</v>
      </c>
      <c r="AY256" s="86" t="e">
        <f t="shared" ref="AY256" si="2183">+AY255/AY254</f>
        <v>#DIV/0!</v>
      </c>
      <c r="AZ256" s="86" t="e">
        <f t="shared" ref="AZ256" si="2184">+AZ255/AZ254</f>
        <v>#DIV/0!</v>
      </c>
      <c r="BA256" s="86" t="e">
        <f t="shared" ref="BA256" si="2185">+BA255/BA254</f>
        <v>#DIV/0!</v>
      </c>
      <c r="BB256" s="86" t="e">
        <f t="shared" ref="BB256" si="2186">+BB255/BB254</f>
        <v>#DIV/0!</v>
      </c>
      <c r="BC256" s="86" t="e">
        <f t="shared" ref="BC256" si="2187">+BC255/BC254</f>
        <v>#DIV/0!</v>
      </c>
      <c r="BD256" s="86" t="e">
        <f t="shared" ref="BD256" si="2188">+BD255/BD254</f>
        <v>#DIV/0!</v>
      </c>
      <c r="BE256" s="86" t="e">
        <f t="shared" ref="BE256" si="2189">+BE255/BE254</f>
        <v>#DIV/0!</v>
      </c>
      <c r="BF256" s="86" t="e">
        <f t="shared" ref="BF256" si="2190">+BF255/BF254</f>
        <v>#DIV/0!</v>
      </c>
      <c r="BG256" s="86" t="e">
        <f t="shared" ref="BG256" si="2191">+BG255/BG254</f>
        <v>#DIV/0!</v>
      </c>
      <c r="BH256" s="86" t="e">
        <f t="shared" ref="BH256" si="2192">+BH255/BH254</f>
        <v>#DIV/0!</v>
      </c>
      <c r="BI256" s="86" t="e">
        <f t="shared" ref="BI256" si="2193">+BI255/BI254</f>
        <v>#DIV/0!</v>
      </c>
      <c r="BJ256" s="86" t="e">
        <f t="shared" ref="BJ256" si="2194">+BJ255/BJ254</f>
        <v>#DIV/0!</v>
      </c>
      <c r="BK256" s="86" t="e">
        <f t="shared" ref="BK256" si="2195">+BK255/BK254</f>
        <v>#DIV/0!</v>
      </c>
      <c r="BL256" s="86" t="e">
        <f t="shared" ref="BL256" si="2196">+BL255/BL254</f>
        <v>#DIV/0!</v>
      </c>
      <c r="BM256" s="86" t="e">
        <f t="shared" ref="BM256" si="2197">+BM255/BM254</f>
        <v>#DIV/0!</v>
      </c>
      <c r="BN256" s="86" t="e">
        <f t="shared" ref="BN256" si="2198">+BN255/BN254</f>
        <v>#DIV/0!</v>
      </c>
      <c r="BO256" s="86" t="e">
        <f t="shared" ref="BO256" si="2199">+BO255/BO254</f>
        <v>#DIV/0!</v>
      </c>
      <c r="BP256" s="86" t="e">
        <f t="shared" ref="BP256" si="2200">+BP255/BP254</f>
        <v>#DIV/0!</v>
      </c>
      <c r="BQ256" s="86">
        <f t="shared" ref="BQ256" si="2201">+BQ255/BQ254</f>
        <v>3.072293926676704E-2</v>
      </c>
      <c r="BR256" s="86">
        <f t="shared" ref="BR256" si="2202">+BR255/BR254</f>
        <v>3.3101456662737644E-2</v>
      </c>
      <c r="BS256" s="86">
        <f t="shared" ref="BS256" si="2203">+BS255/BS254</f>
        <v>3.3359352968581064E-2</v>
      </c>
      <c r="BT256" s="86">
        <f t="shared" ref="BT256" si="2204">+BT255/BT254</f>
        <v>3.1679828181203351E-2</v>
      </c>
      <c r="BU256" s="86">
        <f t="shared" ref="BU256" si="2205">+BU255/BU254</f>
        <v>3.5046468841243357E-2</v>
      </c>
      <c r="BV256" s="86">
        <f t="shared" ref="BV256" si="2206">+BV255/BV254</f>
        <v>2.8538753095407602E-2</v>
      </c>
      <c r="BW256" s="86">
        <f t="shared" ref="BW256" si="2207">+BW255/BW254</f>
        <v>3.0092861426410773E-2</v>
      </c>
      <c r="BX256" s="86">
        <f t="shared" ref="BX256" si="2208">+BX255/BX254</f>
        <v>1.7941304718081814E-2</v>
      </c>
      <c r="BY256" s="86">
        <f t="shared" ref="BY256" si="2209">+BY255/BY254</f>
        <v>3.9203137701976615E-2</v>
      </c>
      <c r="BZ256" s="86">
        <f t="shared" ref="BZ256" si="2210">+BZ255/BZ254</f>
        <v>8.5138805591437137E-3</v>
      </c>
      <c r="CA256" s="86">
        <f t="shared" ref="CA256" si="2211">+CA255/CA254</f>
        <v>1.0086571246465014E-2</v>
      </c>
      <c r="CB256" s="86">
        <f t="shared" ref="CB256:CC256" si="2212">+CB255/CB254</f>
        <v>1.1711766791797465E-2</v>
      </c>
      <c r="CC256" s="86">
        <f t="shared" si="2212"/>
        <v>3.9333164956393551E-2</v>
      </c>
      <c r="CD256" s="86">
        <f t="shared" ref="CD256" si="2213">+CD255/CD254</f>
        <v>2.6998758964608939E-2</v>
      </c>
      <c r="CE256" s="86">
        <f t="shared" ref="CE256:CF256" si="2214">+CE255/CE254</f>
        <v>4.4240259717320811E-2</v>
      </c>
      <c r="CF256" s="86">
        <f t="shared" si="2214"/>
        <v>3.9373173867850005E-2</v>
      </c>
      <c r="CG256" s="86">
        <f t="shared" ref="CG256:CH256" si="2215">+CG255/CG254</f>
        <v>4.7009714434350036E-2</v>
      </c>
      <c r="CH256" s="86">
        <f t="shared" si="2215"/>
        <v>2.4589691814242719E-2</v>
      </c>
      <c r="CI256" s="86">
        <f t="shared" ref="CI256:CJ256" si="2216">+CI255/CI254</f>
        <v>2.1448942325447889E-2</v>
      </c>
      <c r="CJ256" s="86">
        <f t="shared" si="2216"/>
        <v>3.9090986033740054E-2</v>
      </c>
      <c r="CK256" s="86">
        <f t="shared" ref="CK256:DB256" si="2217">+CK255/CK254</f>
        <v>2.9726915544918981E-2</v>
      </c>
      <c r="CL256" s="86">
        <f t="shared" si="2217"/>
        <v>2.4399970556418481E-2</v>
      </c>
      <c r="CM256" s="47">
        <f t="shared" si="2217"/>
        <v>2.9666703615131348E-2</v>
      </c>
      <c r="CN256" s="47">
        <f t="shared" si="2217"/>
        <v>3.1721143937552217E-2</v>
      </c>
      <c r="CO256" s="47">
        <f t="shared" si="2217"/>
        <v>2.9878683413505268E-2</v>
      </c>
      <c r="CP256" s="47">
        <f t="shared" si="2217"/>
        <v>2.8916625380651817E-2</v>
      </c>
      <c r="CQ256" s="47">
        <f t="shared" si="2217"/>
        <v>3.2311073403866374E-2</v>
      </c>
      <c r="CR256" s="47">
        <f t="shared" si="2217"/>
        <v>3.2959224172577441E-2</v>
      </c>
      <c r="CS256" s="47">
        <f t="shared" si="2217"/>
        <v>3.3248131005187434E-2</v>
      </c>
      <c r="CT256" s="47">
        <f t="shared" si="2217"/>
        <v>3.406816873145041E-2</v>
      </c>
      <c r="CU256" s="47">
        <f t="shared" si="2217"/>
        <v>3.3146649328270404E-2</v>
      </c>
      <c r="CV256" s="47">
        <f t="shared" si="2217"/>
        <v>3.3355543309371426E-2</v>
      </c>
      <c r="CW256" s="47">
        <f t="shared" si="2217"/>
        <v>3.3454623093569905E-2</v>
      </c>
      <c r="CX256" s="47">
        <f t="shared" si="2217"/>
        <v>3.3506246115665522E-2</v>
      </c>
      <c r="CY256" s="47">
        <f t="shared" si="2217"/>
        <v>3.3365765461719328E-2</v>
      </c>
      <c r="CZ256" s="47">
        <f t="shared" si="2217"/>
        <v>3.3420544495081549E-2</v>
      </c>
      <c r="DA256" s="47">
        <f t="shared" si="2217"/>
        <v>3.3436794791509079E-2</v>
      </c>
      <c r="DB256" s="47">
        <f t="shared" si="2217"/>
        <v>3.3432337715993861E-2</v>
      </c>
      <c r="DE256" s="130"/>
      <c r="DF256" s="89">
        <v>2.8714133929587424E-2</v>
      </c>
    </row>
    <row r="257" spans="1:110" s="64" customFormat="1" hidden="1" outlineLevel="1" x14ac:dyDescent="0.2">
      <c r="A257" s="64" t="s">
        <v>477</v>
      </c>
      <c r="B257" s="64">
        <f t="shared" ref="B257:Z257" si="2218">B64-B263</f>
        <v>0</v>
      </c>
      <c r="C257" s="64">
        <f t="shared" si="2218"/>
        <v>0</v>
      </c>
      <c r="D257" s="64">
        <f t="shared" si="2218"/>
        <v>14.287999999999938</v>
      </c>
      <c r="E257" s="64">
        <f t="shared" si="2218"/>
        <v>17.677000000000113</v>
      </c>
      <c r="F257" s="64">
        <f t="shared" si="2218"/>
        <v>1.227999999999831</v>
      </c>
      <c r="G257" s="64">
        <f t="shared" si="2218"/>
        <v>1.4229999999997394</v>
      </c>
      <c r="H257" s="64">
        <f t="shared" si="2218"/>
        <v>3.9439999999996318</v>
      </c>
      <c r="I257" s="64">
        <f t="shared" si="2218"/>
        <v>31.084999999999912</v>
      </c>
      <c r="J257" s="64">
        <f t="shared" si="2218"/>
        <v>60.656000000000518</v>
      </c>
      <c r="K257" s="64">
        <f t="shared" si="2218"/>
        <v>16.666000000000341</v>
      </c>
      <c r="L257" s="64">
        <f t="shared" si="2218"/>
        <v>7.0280000000000671</v>
      </c>
      <c r="M257" s="64">
        <f t="shared" si="2218"/>
        <v>8.4019999999992674</v>
      </c>
      <c r="N257" s="64">
        <f t="shared" si="2218"/>
        <v>75.420999999999196</v>
      </c>
      <c r="O257" s="64">
        <f t="shared" si="2218"/>
        <v>12.844999999998556</v>
      </c>
      <c r="P257" s="64">
        <f t="shared" si="2218"/>
        <v>84.994999999998811</v>
      </c>
      <c r="Q257" s="64">
        <f t="shared" si="2218"/>
        <v>148.5260000000018</v>
      </c>
      <c r="R257" s="64">
        <f t="shared" si="2218"/>
        <v>222.06000000000193</v>
      </c>
      <c r="S257" s="64">
        <f t="shared" si="2218"/>
        <v>381.68600000000163</v>
      </c>
      <c r="T257" s="64">
        <f t="shared" si="2218"/>
        <v>365.54699999999957</v>
      </c>
      <c r="U257" s="64">
        <f t="shared" si="2218"/>
        <v>403.03600000000154</v>
      </c>
      <c r="V257" s="64">
        <f t="shared" si="2218"/>
        <v>651.94999999999607</v>
      </c>
      <c r="W257" s="64">
        <f t="shared" si="2218"/>
        <v>774.35000000000036</v>
      </c>
      <c r="X257" s="64">
        <f t="shared" si="2218"/>
        <v>553.57000000000266</v>
      </c>
      <c r="Y257" s="64">
        <f t="shared" si="2218"/>
        <v>224.1600000000077</v>
      </c>
      <c r="Z257" s="64">
        <f t="shared" si="2218"/>
        <v>1163.2300000000018</v>
      </c>
      <c r="AA257" s="64">
        <f t="shared" ref="AA257" si="2219">AA64-AA263</f>
        <v>1016.2699999999871</v>
      </c>
      <c r="AB257" s="30"/>
      <c r="AC257" s="30"/>
      <c r="AD257" s="30"/>
      <c r="AE257" s="30"/>
      <c r="AI257" s="64">
        <f t="shared" ref="AI257:BN257" si="2220">AI64-AI263</f>
        <v>0</v>
      </c>
      <c r="AJ257" s="64">
        <f t="shared" si="2220"/>
        <v>0</v>
      </c>
      <c r="AK257" s="64">
        <f t="shared" si="2220"/>
        <v>0</v>
      </c>
      <c r="AL257" s="64">
        <f t="shared" si="2220"/>
        <v>0</v>
      </c>
      <c r="AM257" s="64">
        <f t="shared" si="2220"/>
        <v>0</v>
      </c>
      <c r="AN257" s="64">
        <f t="shared" si="2220"/>
        <v>0</v>
      </c>
      <c r="AO257" s="64">
        <f t="shared" si="2220"/>
        <v>0</v>
      </c>
      <c r="AP257" s="64">
        <f t="shared" si="2220"/>
        <v>0</v>
      </c>
      <c r="AQ257" s="64">
        <f t="shared" si="2220"/>
        <v>0</v>
      </c>
      <c r="AR257" s="64">
        <f t="shared" si="2220"/>
        <v>0</v>
      </c>
      <c r="AS257" s="64">
        <f t="shared" si="2220"/>
        <v>0</v>
      </c>
      <c r="AT257" s="64">
        <f t="shared" si="2220"/>
        <v>0</v>
      </c>
      <c r="AU257" s="64">
        <f t="shared" si="2220"/>
        <v>0</v>
      </c>
      <c r="AV257" s="64">
        <f t="shared" si="2220"/>
        <v>0</v>
      </c>
      <c r="AW257" s="64">
        <f t="shared" si="2220"/>
        <v>0</v>
      </c>
      <c r="AX257" s="64">
        <f t="shared" si="2220"/>
        <v>0</v>
      </c>
      <c r="AY257" s="64">
        <f t="shared" si="2220"/>
        <v>0</v>
      </c>
      <c r="AZ257" s="64">
        <f t="shared" si="2220"/>
        <v>0</v>
      </c>
      <c r="BA257" s="64">
        <f t="shared" si="2220"/>
        <v>0</v>
      </c>
      <c r="BB257" s="64">
        <f t="shared" si="2220"/>
        <v>0</v>
      </c>
      <c r="BC257" s="64">
        <f t="shared" si="2220"/>
        <v>0</v>
      </c>
      <c r="BD257" s="64">
        <f t="shared" si="2220"/>
        <v>0</v>
      </c>
      <c r="BE257" s="64">
        <f t="shared" si="2220"/>
        <v>0</v>
      </c>
      <c r="BF257" s="64">
        <f t="shared" si="2220"/>
        <v>0</v>
      </c>
      <c r="BG257" s="64">
        <f t="shared" si="2220"/>
        <v>0</v>
      </c>
      <c r="BH257" s="64">
        <f t="shared" si="2220"/>
        <v>0</v>
      </c>
      <c r="BI257" s="64">
        <f t="shared" si="2220"/>
        <v>0</v>
      </c>
      <c r="BJ257" s="64">
        <f t="shared" si="2220"/>
        <v>0</v>
      </c>
      <c r="BK257" s="64">
        <f t="shared" si="2220"/>
        <v>0</v>
      </c>
      <c r="BL257" s="64">
        <f t="shared" si="2220"/>
        <v>0</v>
      </c>
      <c r="BM257" s="64">
        <f t="shared" si="2220"/>
        <v>0</v>
      </c>
      <c r="BN257" s="64">
        <f t="shared" si="2220"/>
        <v>0</v>
      </c>
      <c r="BO257" s="64">
        <f t="shared" ref="BO257:CT257" si="2221">BO64-BO263</f>
        <v>0</v>
      </c>
      <c r="BP257" s="64">
        <f t="shared" si="2221"/>
        <v>0</v>
      </c>
      <c r="BQ257" s="64">
        <f t="shared" si="2221"/>
        <v>110.02000000000078</v>
      </c>
      <c r="BR257" s="64">
        <f t="shared" si="2221"/>
        <v>295.45000000000147</v>
      </c>
      <c r="BS257" s="64">
        <f t="shared" si="2221"/>
        <v>166.34999999999985</v>
      </c>
      <c r="BT257" s="64">
        <f t="shared" si="2221"/>
        <v>168.24000000000021</v>
      </c>
      <c r="BU257" s="64">
        <f t="shared" si="2221"/>
        <v>220.520000000001</v>
      </c>
      <c r="BV257" s="64">
        <f t="shared" si="2221"/>
        <v>219.22999999999996</v>
      </c>
      <c r="BW257" s="64">
        <f t="shared" si="2221"/>
        <v>197.83000000000061</v>
      </c>
      <c r="BX257" s="64">
        <f t="shared" si="2221"/>
        <v>31.869999999999187</v>
      </c>
      <c r="BY257" s="64">
        <f t="shared" si="2221"/>
        <v>231.46000000000004</v>
      </c>
      <c r="BZ257" s="64">
        <f t="shared" si="2221"/>
        <v>92.409999999999471</v>
      </c>
      <c r="CA257" s="64">
        <f t="shared" si="2221"/>
        <v>-59.710000000000591</v>
      </c>
      <c r="CB257" s="64">
        <f t="shared" si="2221"/>
        <v>-76.720000000001733</v>
      </c>
      <c r="CC257" s="64">
        <f t="shared" si="2221"/>
        <v>206.03000000000083</v>
      </c>
      <c r="CD257" s="64">
        <f t="shared" si="2221"/>
        <v>154.56</v>
      </c>
      <c r="CE257" s="64">
        <f t="shared" si="2221"/>
        <v>311.63000000000125</v>
      </c>
      <c r="CF257" s="64">
        <f t="shared" si="2221"/>
        <v>281.92000000000047</v>
      </c>
      <c r="CG257" s="64">
        <f t="shared" si="2221"/>
        <v>393.1599999999994</v>
      </c>
      <c r="CH257" s="64">
        <f t="shared" si="2221"/>
        <v>176.52000000000092</v>
      </c>
      <c r="CI257" s="64">
        <f t="shared" si="2221"/>
        <v>231.77000000000174</v>
      </c>
      <c r="CJ257" s="64">
        <f t="shared" si="2221"/>
        <v>227.54999999999916</v>
      </c>
      <c r="CK257" s="64">
        <f t="shared" si="2221"/>
        <v>287.65999999999792</v>
      </c>
      <c r="CL257" s="64">
        <f t="shared" ref="CL257" si="2222">CL64-CL263</f>
        <v>269.29000000000025</v>
      </c>
      <c r="CM257" s="30">
        <f t="shared" si="2221"/>
        <v>274.01075361880748</v>
      </c>
      <c r="CN257" s="30">
        <f t="shared" si="2221"/>
        <v>315.14595598446664</v>
      </c>
      <c r="CO257" s="30">
        <f t="shared" si="2221"/>
        <v>316.20539610568403</v>
      </c>
      <c r="CP257" s="30">
        <f t="shared" si="2221"/>
        <v>368.2417785622149</v>
      </c>
      <c r="CQ257" s="30">
        <f t="shared" si="2221"/>
        <v>274.44213261932032</v>
      </c>
      <c r="CR257" s="30">
        <f t="shared" si="2221"/>
        <v>284.71493851035564</v>
      </c>
      <c r="CS257" s="30">
        <f t="shared" si="2221"/>
        <v>315.08793307995188</v>
      </c>
      <c r="CT257" s="30">
        <f t="shared" si="2221"/>
        <v>406.88198457486084</v>
      </c>
      <c r="CU257" s="30">
        <f t="shared" ref="CU257:DB257" si="2223">CU64-CU263</f>
        <v>279.48117148853783</v>
      </c>
      <c r="CV257" s="30">
        <f t="shared" si="2223"/>
        <v>287.22482878261513</v>
      </c>
      <c r="CW257" s="30">
        <f t="shared" si="2223"/>
        <v>317.78347239248717</v>
      </c>
      <c r="CX257" s="30">
        <f t="shared" si="2223"/>
        <v>402.36866922842921</v>
      </c>
      <c r="CY257" s="30">
        <f t="shared" si="2223"/>
        <v>282.4780404982202</v>
      </c>
      <c r="CZ257" s="30">
        <f t="shared" si="2223"/>
        <v>288.57825379799732</v>
      </c>
      <c r="DA257" s="30">
        <f t="shared" si="2223"/>
        <v>321.1498744604861</v>
      </c>
      <c r="DB257" s="30">
        <f t="shared" si="2223"/>
        <v>412.73578997117113</v>
      </c>
      <c r="DE257" s="139"/>
      <c r="DF257" s="64">
        <v>329.53290081352395</v>
      </c>
    </row>
    <row r="258" spans="1:110" s="64" customFormat="1" hidden="1" outlineLevel="1" x14ac:dyDescent="0.2"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4" customFormat="1" hidden="1" outlineLevel="1" x14ac:dyDescent="0.2">
      <c r="A259" s="65" t="s">
        <v>352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4" customFormat="1" hidden="1" outlineLevel="1" x14ac:dyDescent="0.2">
      <c r="A260" s="64" t="s">
        <v>478</v>
      </c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4" customFormat="1" hidden="1" outlineLevel="1" x14ac:dyDescent="0.2">
      <c r="A261" s="64" t="s">
        <v>479</v>
      </c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89" customFormat="1" hidden="1" outlineLevel="1" x14ac:dyDescent="0.2">
      <c r="A262" s="86" t="s">
        <v>480</v>
      </c>
      <c r="B262" s="86" t="e">
        <f>+B261/B260</f>
        <v>#DIV/0!</v>
      </c>
      <c r="C262" s="86" t="e">
        <f t="shared" ref="C262:X262" si="2224">+C261/C260</f>
        <v>#DIV/0!</v>
      </c>
      <c r="D262" s="86" t="e">
        <f t="shared" si="2224"/>
        <v>#DIV/0!</v>
      </c>
      <c r="E262" s="86" t="e">
        <f t="shared" si="2224"/>
        <v>#DIV/0!</v>
      </c>
      <c r="F262" s="86" t="e">
        <f t="shared" si="2224"/>
        <v>#DIV/0!</v>
      </c>
      <c r="G262" s="86" t="e">
        <f t="shared" si="2224"/>
        <v>#DIV/0!</v>
      </c>
      <c r="H262" s="86" t="e">
        <f t="shared" si="2224"/>
        <v>#DIV/0!</v>
      </c>
      <c r="I262" s="86" t="e">
        <f t="shared" si="2224"/>
        <v>#DIV/0!</v>
      </c>
      <c r="J262" s="86" t="e">
        <f t="shared" si="2224"/>
        <v>#DIV/0!</v>
      </c>
      <c r="K262" s="86" t="e">
        <f t="shared" si="2224"/>
        <v>#DIV/0!</v>
      </c>
      <c r="L262" s="86" t="e">
        <f t="shared" si="2224"/>
        <v>#DIV/0!</v>
      </c>
      <c r="M262" s="86" t="e">
        <f t="shared" si="2224"/>
        <v>#DIV/0!</v>
      </c>
      <c r="N262" s="86" t="e">
        <f t="shared" si="2224"/>
        <v>#DIV/0!</v>
      </c>
      <c r="O262" s="86" t="e">
        <f t="shared" si="2224"/>
        <v>#DIV/0!</v>
      </c>
      <c r="P262" s="86" t="e">
        <f t="shared" si="2224"/>
        <v>#DIV/0!</v>
      </c>
      <c r="Q262" s="86" t="e">
        <f t="shared" si="2224"/>
        <v>#DIV/0!</v>
      </c>
      <c r="R262" s="86" t="e">
        <f t="shared" si="2224"/>
        <v>#DIV/0!</v>
      </c>
      <c r="S262" s="86" t="e">
        <f t="shared" si="2224"/>
        <v>#DIV/0!</v>
      </c>
      <c r="T262" s="86" t="e">
        <f t="shared" si="2224"/>
        <v>#DIV/0!</v>
      </c>
      <c r="U262" s="86" t="e">
        <f t="shared" si="2224"/>
        <v>#DIV/0!</v>
      </c>
      <c r="V262" s="86" t="e">
        <f t="shared" si="2224"/>
        <v>#DIV/0!</v>
      </c>
      <c r="W262" s="86" t="e">
        <f t="shared" si="2224"/>
        <v>#DIV/0!</v>
      </c>
      <c r="X262" s="86" t="e">
        <f t="shared" si="2224"/>
        <v>#DIV/0!</v>
      </c>
      <c r="Y262" s="86" t="e">
        <f t="shared" ref="Y262:Z262" si="2225">+Y261/Y260</f>
        <v>#DIV/0!</v>
      </c>
      <c r="Z262" s="86" t="e">
        <f t="shared" si="2225"/>
        <v>#DIV/0!</v>
      </c>
      <c r="AA262" s="86" t="e">
        <f t="shared" ref="AA262" si="2226">+AA261/AA260</f>
        <v>#DIV/0!</v>
      </c>
      <c r="AB262" s="87"/>
      <c r="AC262" s="87"/>
      <c r="AD262" s="87"/>
      <c r="AE262" s="87"/>
      <c r="AF262" s="86"/>
      <c r="AG262" s="86"/>
      <c r="AH262" s="86"/>
      <c r="AI262" s="86" t="e">
        <f t="shared" ref="AI262" si="2227">+AI261/AI260</f>
        <v>#DIV/0!</v>
      </c>
      <c r="AJ262" s="86" t="e">
        <f t="shared" ref="AJ262" si="2228">+AJ261/AJ260</f>
        <v>#DIV/0!</v>
      </c>
      <c r="AK262" s="86" t="e">
        <f t="shared" ref="AK262" si="2229">+AK261/AK260</f>
        <v>#DIV/0!</v>
      </c>
      <c r="AL262" s="86" t="e">
        <f t="shared" ref="AL262" si="2230">+AL261/AL260</f>
        <v>#DIV/0!</v>
      </c>
      <c r="AM262" s="86" t="e">
        <f t="shared" ref="AM262" si="2231">+AM261/AM260</f>
        <v>#DIV/0!</v>
      </c>
      <c r="AN262" s="86" t="e">
        <f t="shared" ref="AN262" si="2232">+AN261/AN260</f>
        <v>#DIV/0!</v>
      </c>
      <c r="AO262" s="86" t="e">
        <f t="shared" ref="AO262" si="2233">+AO261/AO260</f>
        <v>#DIV/0!</v>
      </c>
      <c r="AP262" s="86" t="e">
        <f t="shared" ref="AP262" si="2234">+AP261/AP260</f>
        <v>#DIV/0!</v>
      </c>
      <c r="AQ262" s="86" t="e">
        <f t="shared" ref="AQ262" si="2235">+AQ261/AQ260</f>
        <v>#DIV/0!</v>
      </c>
      <c r="AR262" s="86" t="e">
        <f t="shared" ref="AR262" si="2236">+AR261/AR260</f>
        <v>#DIV/0!</v>
      </c>
      <c r="AS262" s="86" t="e">
        <f t="shared" ref="AS262" si="2237">+AS261/AS260</f>
        <v>#DIV/0!</v>
      </c>
      <c r="AT262" s="86" t="e">
        <f t="shared" ref="AT262" si="2238">+AT261/AT260</f>
        <v>#DIV/0!</v>
      </c>
      <c r="AU262" s="86" t="e">
        <f t="shared" ref="AU262" si="2239">+AU261/AU260</f>
        <v>#DIV/0!</v>
      </c>
      <c r="AV262" s="86" t="e">
        <f t="shared" ref="AV262" si="2240">+AV261/AV260</f>
        <v>#DIV/0!</v>
      </c>
      <c r="AW262" s="86" t="e">
        <f t="shared" ref="AW262" si="2241">+AW261/AW260</f>
        <v>#DIV/0!</v>
      </c>
      <c r="AX262" s="86" t="e">
        <f t="shared" ref="AX262" si="2242">+AX261/AX260</f>
        <v>#DIV/0!</v>
      </c>
      <c r="AY262" s="86" t="e">
        <f t="shared" ref="AY262" si="2243">+AY261/AY260</f>
        <v>#DIV/0!</v>
      </c>
      <c r="AZ262" s="86" t="e">
        <f t="shared" ref="AZ262" si="2244">+AZ261/AZ260</f>
        <v>#DIV/0!</v>
      </c>
      <c r="BA262" s="86" t="e">
        <f t="shared" ref="BA262" si="2245">+BA261/BA260</f>
        <v>#DIV/0!</v>
      </c>
      <c r="BB262" s="86" t="e">
        <f t="shared" ref="BB262" si="2246">+BB261/BB260</f>
        <v>#DIV/0!</v>
      </c>
      <c r="BC262" s="86" t="e">
        <f t="shared" ref="BC262" si="2247">+BC261/BC260</f>
        <v>#DIV/0!</v>
      </c>
      <c r="BD262" s="86" t="e">
        <f t="shared" ref="BD262" si="2248">+BD261/BD260</f>
        <v>#DIV/0!</v>
      </c>
      <c r="BE262" s="86" t="e">
        <f t="shared" ref="BE262" si="2249">+BE261/BE260</f>
        <v>#DIV/0!</v>
      </c>
      <c r="BF262" s="86" t="e">
        <f t="shared" ref="BF262" si="2250">+BF261/BF260</f>
        <v>#DIV/0!</v>
      </c>
      <c r="BG262" s="86" t="e">
        <f t="shared" ref="BG262" si="2251">+BG261/BG260</f>
        <v>#DIV/0!</v>
      </c>
      <c r="BH262" s="86" t="e">
        <f t="shared" ref="BH262" si="2252">+BH261/BH260</f>
        <v>#DIV/0!</v>
      </c>
      <c r="BI262" s="86" t="e">
        <f t="shared" ref="BI262" si="2253">+BI261/BI260</f>
        <v>#DIV/0!</v>
      </c>
      <c r="BJ262" s="86" t="e">
        <f t="shared" ref="BJ262" si="2254">+BJ261/BJ260</f>
        <v>#DIV/0!</v>
      </c>
      <c r="BK262" s="86" t="e">
        <f t="shared" ref="BK262" si="2255">+BK261/BK260</f>
        <v>#DIV/0!</v>
      </c>
      <c r="BL262" s="86" t="e">
        <f t="shared" ref="BL262" si="2256">+BL261/BL260</f>
        <v>#DIV/0!</v>
      </c>
      <c r="BM262" s="86" t="e">
        <f t="shared" ref="BM262" si="2257">+BM261/BM260</f>
        <v>#DIV/0!</v>
      </c>
      <c r="BN262" s="86" t="e">
        <f t="shared" ref="BN262" si="2258">+BN261/BN260</f>
        <v>#DIV/0!</v>
      </c>
      <c r="BO262" s="86" t="e">
        <f t="shared" ref="BO262" si="2259">+BO261/BO260</f>
        <v>#DIV/0!</v>
      </c>
      <c r="BP262" s="86" t="e">
        <f t="shared" ref="BP262" si="2260">+BP261/BP260</f>
        <v>#DIV/0!</v>
      </c>
      <c r="BQ262" s="86" t="e">
        <f t="shared" ref="BQ262" si="2261">+BQ261/BQ260</f>
        <v>#DIV/0!</v>
      </c>
      <c r="BR262" s="86" t="e">
        <f t="shared" ref="BR262" si="2262">+BR261/BR260</f>
        <v>#DIV/0!</v>
      </c>
      <c r="BS262" s="86" t="e">
        <f t="shared" ref="BS262" si="2263">+BS261/BS260</f>
        <v>#DIV/0!</v>
      </c>
      <c r="BT262" s="86" t="e">
        <f t="shared" ref="BT262" si="2264">+BT261/BT260</f>
        <v>#DIV/0!</v>
      </c>
      <c r="BU262" s="86" t="e">
        <f t="shared" ref="BU262" si="2265">+BU261/BU260</f>
        <v>#DIV/0!</v>
      </c>
      <c r="BV262" s="86" t="e">
        <f t="shared" ref="BV262" si="2266">+BV261/BV260</f>
        <v>#DIV/0!</v>
      </c>
      <c r="BW262" s="86" t="e">
        <f t="shared" ref="BW262" si="2267">+BW261/BW260</f>
        <v>#DIV/0!</v>
      </c>
      <c r="BX262" s="86" t="e">
        <f t="shared" ref="BX262" si="2268">+BX261/BX260</f>
        <v>#DIV/0!</v>
      </c>
      <c r="BY262" s="86" t="e">
        <f t="shared" ref="BY262" si="2269">+BY261/BY260</f>
        <v>#DIV/0!</v>
      </c>
      <c r="BZ262" s="86" t="e">
        <f t="shared" ref="BZ262" si="2270">+BZ261/BZ260</f>
        <v>#DIV/0!</v>
      </c>
      <c r="CA262" s="86" t="e">
        <f t="shared" ref="CA262" si="2271">+CA261/CA260</f>
        <v>#DIV/0!</v>
      </c>
      <c r="CB262" s="86" t="e">
        <f t="shared" ref="CB262:CC262" si="2272">+CB261/CB260</f>
        <v>#DIV/0!</v>
      </c>
      <c r="CC262" s="86" t="e">
        <f t="shared" si="2272"/>
        <v>#DIV/0!</v>
      </c>
      <c r="CD262" s="86" t="e">
        <f t="shared" ref="CD262" si="2273">+CD261/CD260</f>
        <v>#DIV/0!</v>
      </c>
      <c r="CE262" s="86" t="e">
        <f t="shared" ref="CE262:CF262" si="2274">+CE261/CE260</f>
        <v>#DIV/0!</v>
      </c>
      <c r="CF262" s="86" t="e">
        <f t="shared" si="2274"/>
        <v>#DIV/0!</v>
      </c>
      <c r="CG262" s="86" t="e">
        <f t="shared" ref="CG262:CH262" si="2275">+CG261/CG260</f>
        <v>#DIV/0!</v>
      </c>
      <c r="CH262" s="86" t="e">
        <f t="shared" si="2275"/>
        <v>#DIV/0!</v>
      </c>
      <c r="CI262" s="86" t="e">
        <f t="shared" ref="CI262:CJ262" si="2276">+CI261/CI260</f>
        <v>#DIV/0!</v>
      </c>
      <c r="CJ262" s="86" t="e">
        <f t="shared" si="2276"/>
        <v>#DIV/0!</v>
      </c>
      <c r="CK262" s="86" t="e">
        <f t="shared" ref="CK262:DB262" si="2277">+CK261/CK260</f>
        <v>#DIV/0!</v>
      </c>
      <c r="CL262" s="86" t="e">
        <f t="shared" si="2277"/>
        <v>#DIV/0!</v>
      </c>
      <c r="CM262" s="47" t="e">
        <f t="shared" si="2277"/>
        <v>#DIV/0!</v>
      </c>
      <c r="CN262" s="47" t="e">
        <f t="shared" si="2277"/>
        <v>#DIV/0!</v>
      </c>
      <c r="CO262" s="47" t="e">
        <f t="shared" si="2277"/>
        <v>#DIV/0!</v>
      </c>
      <c r="CP262" s="47" t="e">
        <f t="shared" si="2277"/>
        <v>#DIV/0!</v>
      </c>
      <c r="CQ262" s="47" t="e">
        <f t="shared" si="2277"/>
        <v>#DIV/0!</v>
      </c>
      <c r="CR262" s="47" t="e">
        <f t="shared" si="2277"/>
        <v>#DIV/0!</v>
      </c>
      <c r="CS262" s="47" t="e">
        <f t="shared" si="2277"/>
        <v>#DIV/0!</v>
      </c>
      <c r="CT262" s="47" t="e">
        <f t="shared" si="2277"/>
        <v>#DIV/0!</v>
      </c>
      <c r="CU262" s="47" t="e">
        <f t="shared" si="2277"/>
        <v>#DIV/0!</v>
      </c>
      <c r="CV262" s="47" t="e">
        <f t="shared" si="2277"/>
        <v>#DIV/0!</v>
      </c>
      <c r="CW262" s="47" t="e">
        <f t="shared" si="2277"/>
        <v>#DIV/0!</v>
      </c>
      <c r="CX262" s="47" t="e">
        <f t="shared" si="2277"/>
        <v>#DIV/0!</v>
      </c>
      <c r="CY262" s="47" t="e">
        <f t="shared" si="2277"/>
        <v>#DIV/0!</v>
      </c>
      <c r="CZ262" s="47" t="e">
        <f t="shared" si="2277"/>
        <v>#DIV/0!</v>
      </c>
      <c r="DA262" s="47" t="e">
        <f t="shared" si="2277"/>
        <v>#DIV/0!</v>
      </c>
      <c r="DB262" s="47" t="e">
        <f t="shared" si="2277"/>
        <v>#DIV/0!</v>
      </c>
      <c r="DE262" s="130"/>
    </row>
    <row r="263" spans="1:110" s="64" customFormat="1" hidden="1" outlineLevel="1" x14ac:dyDescent="0.2">
      <c r="A263" s="64" t="s">
        <v>481</v>
      </c>
      <c r="AB263" s="30"/>
      <c r="AC263" s="30"/>
      <c r="AD263" s="30"/>
      <c r="AE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62" customFormat="1" hidden="1" outlineLevel="1" x14ac:dyDescent="0.2">
      <c r="AB264" s="63"/>
      <c r="AC264" s="63"/>
      <c r="AD264" s="63"/>
      <c r="AE264" s="63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</row>
    <row r="265" spans="1:110" s="11" customFormat="1" collapsed="1" x14ac:dyDescent="0.2"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</row>
    <row r="266" spans="1:110" s="62" customFormat="1" x14ac:dyDescent="0.2">
      <c r="A266" s="154" t="s">
        <v>497</v>
      </c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63"/>
      <c r="AC266" s="63"/>
      <c r="AD266" s="63"/>
      <c r="AE266" s="63"/>
      <c r="AL266" s="175"/>
      <c r="CF266" s="175"/>
      <c r="CG266" s="175"/>
      <c r="CH266" s="175"/>
      <c r="CI266" s="175"/>
      <c r="CJ266" s="175"/>
      <c r="CK266" s="175"/>
      <c r="CL266" s="175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84" customFormat="1" x14ac:dyDescent="0.2">
      <c r="A267" s="84" t="s">
        <v>512</v>
      </c>
      <c r="B267" s="84" t="e">
        <f>B31/B188</f>
        <v>#DIV/0!</v>
      </c>
      <c r="C267" s="84" t="e">
        <f>C31/C188</f>
        <v>#DIV/0!</v>
      </c>
      <c r="D267" s="84">
        <f>D31/D188</f>
        <v>12.105348055688903</v>
      </c>
      <c r="E267" s="84">
        <f t="shared" ref="E267:Y267" si="2278">E33/(E184+E171+E161)</f>
        <v>3.0050062063129896</v>
      </c>
      <c r="F267" s="84">
        <f t="shared" si="2278"/>
        <v>2.9071155870477146</v>
      </c>
      <c r="G267" s="84">
        <f t="shared" si="2278"/>
        <v>2.7707279100948901</v>
      </c>
      <c r="H267" s="84">
        <f t="shared" si="2278"/>
        <v>3.2883570614041635</v>
      </c>
      <c r="I267" s="84">
        <f t="shared" si="2278"/>
        <v>2.3696745460869955</v>
      </c>
      <c r="J267" s="84">
        <f t="shared" si="2278"/>
        <v>4.0899364775097089</v>
      </c>
      <c r="K267" s="84">
        <f t="shared" si="2278"/>
        <v>2.9550867182874589</v>
      </c>
      <c r="L267" s="84">
        <f t="shared" si="2278"/>
        <v>2.7258787510860101</v>
      </c>
      <c r="M267" s="84">
        <f t="shared" si="2278"/>
        <v>3.1136721554683886</v>
      </c>
      <c r="N267" s="84">
        <f t="shared" si="2278"/>
        <v>2.5199443096384107</v>
      </c>
      <c r="O267" s="84">
        <f t="shared" si="2278"/>
        <v>2.5989192647783281</v>
      </c>
      <c r="P267" s="84">
        <f t="shared" si="2278"/>
        <v>2.8383263437105883</v>
      </c>
      <c r="Q267" s="84">
        <f t="shared" si="2278"/>
        <v>2.5986324357398791</v>
      </c>
      <c r="R267" s="84">
        <f t="shared" si="2278"/>
        <v>3.1606131204673678</v>
      </c>
      <c r="S267" s="84">
        <f t="shared" si="2278"/>
        <v>2.785544728339532</v>
      </c>
      <c r="T267" s="84">
        <f t="shared" si="2278"/>
        <v>2.5378508480915483</v>
      </c>
      <c r="U267" s="84">
        <f t="shared" si="2278"/>
        <v>2.5610951321721065</v>
      </c>
      <c r="V267" s="84">
        <f t="shared" si="2278"/>
        <v>2.8431080514467184</v>
      </c>
      <c r="W267" s="84">
        <f t="shared" si="2278"/>
        <v>2.5781600954429424</v>
      </c>
      <c r="X267" s="84">
        <f t="shared" si="2278"/>
        <v>2.8195109730385353</v>
      </c>
      <c r="Y267" s="84">
        <f t="shared" si="2278"/>
        <v>2.6316624984844537</v>
      </c>
      <c r="Z267" s="84">
        <f>Z33/(Z184+Z171+Z161)</f>
        <v>2.8891065864503078</v>
      </c>
      <c r="AA267" s="84">
        <f>AA33/(AA184+AA171+AA161)</f>
        <v>3.0744075657805419</v>
      </c>
      <c r="AB267" s="50">
        <f t="shared" ref="AA267:AE267" si="2279">AB33/(AB184+AB171+AB161)</f>
        <v>2.9981678317119336</v>
      </c>
      <c r="AC267" s="50">
        <f t="shared" si="2279"/>
        <v>2.9046146543313078</v>
      </c>
      <c r="AD267" s="50">
        <f t="shared" si="2279"/>
        <v>2.8823146986211441</v>
      </c>
      <c r="AE267" s="50">
        <f t="shared" si="2279"/>
        <v>2.8709899457550669</v>
      </c>
      <c r="AL267" s="84" t="e">
        <f>SUM(AI33:AL33)/(AL184+AL171+AL161)</f>
        <v>#DIV/0!</v>
      </c>
      <c r="AM267" s="84" t="e">
        <f t="shared" ref="AM267:CL267" si="2280">SUM(AJ33:AM33)/(AM184+AM171+AM161)</f>
        <v>#DIV/0!</v>
      </c>
      <c r="AN267" s="84" t="e">
        <f t="shared" si="2280"/>
        <v>#DIV/0!</v>
      </c>
      <c r="AO267" s="84" t="e">
        <f t="shared" si="2280"/>
        <v>#DIV/0!</v>
      </c>
      <c r="AP267" s="84" t="e">
        <f t="shared" si="2280"/>
        <v>#DIV/0!</v>
      </c>
      <c r="AQ267" s="84" t="e">
        <f t="shared" si="2280"/>
        <v>#DIV/0!</v>
      </c>
      <c r="AR267" s="84" t="e">
        <f t="shared" si="2280"/>
        <v>#DIV/0!</v>
      </c>
      <c r="AS267" s="84" t="e">
        <f t="shared" si="2280"/>
        <v>#DIV/0!</v>
      </c>
      <c r="AT267" s="84" t="e">
        <f t="shared" si="2280"/>
        <v>#DIV/0!</v>
      </c>
      <c r="AU267" s="84" t="e">
        <f t="shared" si="2280"/>
        <v>#DIV/0!</v>
      </c>
      <c r="AV267" s="84" t="e">
        <f t="shared" si="2280"/>
        <v>#DIV/0!</v>
      </c>
      <c r="AW267" s="84" t="e">
        <f t="shared" si="2280"/>
        <v>#DIV/0!</v>
      </c>
      <c r="AX267" s="84" t="e">
        <f t="shared" si="2280"/>
        <v>#DIV/0!</v>
      </c>
      <c r="AY267" s="84" t="e">
        <f t="shared" si="2280"/>
        <v>#DIV/0!</v>
      </c>
      <c r="AZ267" s="84" t="e">
        <f t="shared" si="2280"/>
        <v>#DIV/0!</v>
      </c>
      <c r="BA267" s="84" t="e">
        <f t="shared" si="2280"/>
        <v>#DIV/0!</v>
      </c>
      <c r="BB267" s="84" t="e">
        <f t="shared" si="2280"/>
        <v>#DIV/0!</v>
      </c>
      <c r="BC267" s="84" t="e">
        <f t="shared" si="2280"/>
        <v>#DIV/0!</v>
      </c>
      <c r="BD267" s="84" t="e">
        <f t="shared" si="2280"/>
        <v>#DIV/0!</v>
      </c>
      <c r="BE267" s="84" t="e">
        <f t="shared" si="2280"/>
        <v>#DIV/0!</v>
      </c>
      <c r="BF267" s="84" t="e">
        <f t="shared" si="2280"/>
        <v>#DIV/0!</v>
      </c>
      <c r="BG267" s="84" t="e">
        <f t="shared" si="2280"/>
        <v>#DIV/0!</v>
      </c>
      <c r="BH267" s="84" t="e">
        <f t="shared" si="2280"/>
        <v>#DIV/0!</v>
      </c>
      <c r="BI267" s="84" t="e">
        <f t="shared" si="2280"/>
        <v>#DIV/0!</v>
      </c>
      <c r="BJ267" s="84" t="e">
        <f t="shared" si="2280"/>
        <v>#DIV/0!</v>
      </c>
      <c r="BK267" s="84" t="e">
        <f t="shared" si="2280"/>
        <v>#DIV/0!</v>
      </c>
      <c r="BL267" s="84" t="e">
        <f t="shared" si="2280"/>
        <v>#DIV/0!</v>
      </c>
      <c r="BM267" s="84" t="e">
        <f t="shared" si="2280"/>
        <v>#DIV/0!</v>
      </c>
      <c r="BN267" s="84" t="e">
        <f t="shared" si="2280"/>
        <v>#DIV/0!</v>
      </c>
      <c r="BO267" s="84" t="e">
        <f t="shared" si="2280"/>
        <v>#DIV/0!</v>
      </c>
      <c r="BP267" s="84" t="e">
        <f t="shared" si="2280"/>
        <v>#DIV/0!</v>
      </c>
      <c r="BQ267" s="84" t="e">
        <f t="shared" si="2280"/>
        <v>#DIV/0!</v>
      </c>
      <c r="BR267" s="84">
        <f t="shared" si="2280"/>
        <v>1.6021970407175374</v>
      </c>
      <c r="BS267" s="84">
        <f t="shared" si="2280"/>
        <v>2.3804514135831085</v>
      </c>
      <c r="BT267" s="84" t="e">
        <f t="shared" si="2280"/>
        <v>#DIV/0!</v>
      </c>
      <c r="BU267" s="84">
        <f t="shared" si="2280"/>
        <v>236.09904924081056</v>
      </c>
      <c r="BV267" s="84">
        <f t="shared" si="2280"/>
        <v>2.5783410028554807</v>
      </c>
      <c r="BW267" s="84">
        <f t="shared" si="2280"/>
        <v>2.718806882469162</v>
      </c>
      <c r="BX267" s="84">
        <f t="shared" si="2280"/>
        <v>2.8104558740602186</v>
      </c>
      <c r="BY267" s="84">
        <f t="shared" si="2280"/>
        <v>2.810285984082705</v>
      </c>
      <c r="BZ267" s="84">
        <f t="shared" si="2280"/>
        <v>2.8195109730385348</v>
      </c>
      <c r="CA267" s="84">
        <f t="shared" si="2280"/>
        <v>2.7617222802458188</v>
      </c>
      <c r="CB267" s="84">
        <f t="shared" si="2280"/>
        <v>2.6977479468408347</v>
      </c>
      <c r="CC267" s="84">
        <f t="shared" si="2280"/>
        <v>2.535562202268697</v>
      </c>
      <c r="CD267" s="84">
        <f t="shared" si="2280"/>
        <v>2.6327578022411595</v>
      </c>
      <c r="CE267" s="84">
        <f t="shared" si="2280"/>
        <v>2.6270688940086795</v>
      </c>
      <c r="CF267" s="84">
        <f t="shared" si="2280"/>
        <v>2.5416936973134905</v>
      </c>
      <c r="CG267" s="84">
        <f t="shared" si="2280"/>
        <v>2.6155185354918471</v>
      </c>
      <c r="CH267" s="84">
        <f t="shared" si="2280"/>
        <v>2.8891065864503078</v>
      </c>
      <c r="CI267" s="84">
        <f t="shared" si="2280"/>
        <v>3.0863006581940287</v>
      </c>
      <c r="CJ267" s="84">
        <f t="shared" si="2280"/>
        <v>2.8349341878451604</v>
      </c>
      <c r="CK267" s="84">
        <f t="shared" ref="CK267" si="2281">SUM(CH33:CK33)/(CK184+CK171+CK161)</f>
        <v>2.787276021492942</v>
      </c>
      <c r="CL267" s="84">
        <f t="shared" si="2280"/>
        <v>3.0744075657805423</v>
      </c>
      <c r="CM267" s="50">
        <f t="shared" ref="CM267:DB267" si="2282">SUM(CJ33:CM33)/(CM184+CM171+CM161)</f>
        <v>3.361148707685286</v>
      </c>
      <c r="CN267" s="50">
        <f t="shared" si="2282"/>
        <v>3.2922286814860953</v>
      </c>
      <c r="CO267" s="50">
        <f t="shared" si="2282"/>
        <v>3.2070659074504135</v>
      </c>
      <c r="CP267" s="50">
        <f t="shared" si="2282"/>
        <v>2.9981678317119336</v>
      </c>
      <c r="CQ267" s="50">
        <f t="shared" si="2282"/>
        <v>3.3491473763233279</v>
      </c>
      <c r="CR267" s="50">
        <f t="shared" si="2282"/>
        <v>3.2595427541750377</v>
      </c>
      <c r="CS267" s="50">
        <f t="shared" si="2282"/>
        <v>3.1451866854420798</v>
      </c>
      <c r="CT267" s="50">
        <f t="shared" si="2282"/>
        <v>2.9046146543313078</v>
      </c>
      <c r="CU267" s="50">
        <f t="shared" si="2282"/>
        <v>3.2086185395648061</v>
      </c>
      <c r="CV267" s="50">
        <f t="shared" si="2282"/>
        <v>3.1576282349767246</v>
      </c>
      <c r="CW267" s="50">
        <f t="shared" si="2282"/>
        <v>3.080227602291763</v>
      </c>
      <c r="CX267" s="50">
        <f t="shared" si="2282"/>
        <v>2.8823146986211441</v>
      </c>
      <c r="CY267" s="50">
        <f t="shared" si="2282"/>
        <v>3.1842828026517935</v>
      </c>
      <c r="CZ267" s="50">
        <f t="shared" si="2282"/>
        <v>3.1388944111282946</v>
      </c>
      <c r="DA267" s="50">
        <f t="shared" si="2282"/>
        <v>3.0649288190283843</v>
      </c>
      <c r="DB267" s="50">
        <f t="shared" si="2282"/>
        <v>2.8709899457550669</v>
      </c>
      <c r="DE267" s="138"/>
      <c r="DF267" s="84">
        <v>2.6406712157072527</v>
      </c>
    </row>
    <row r="268" spans="1:110" s="84" customFormat="1" x14ac:dyDescent="0.2">
      <c r="A268" s="84" t="s">
        <v>513</v>
      </c>
      <c r="E268" s="176">
        <f>+E65</f>
        <v>9.6840163056549425E-3</v>
      </c>
      <c r="F268" s="176">
        <f t="shared" ref="F268:AE268" si="2283">+F65</f>
        <v>6.033256607471466E-4</v>
      </c>
      <c r="G268" s="176">
        <f t="shared" si="2283"/>
        <v>5.3092834855156539E-4</v>
      </c>
      <c r="H268" s="176">
        <f t="shared" si="2283"/>
        <v>1.4931294843098864E-3</v>
      </c>
      <c r="I268" s="176">
        <f t="shared" si="2283"/>
        <v>9.1626620856794863E-3</v>
      </c>
      <c r="J268" s="176">
        <f t="shared" si="2283"/>
        <v>1.0459346652952256E-2</v>
      </c>
      <c r="K268" s="176">
        <f t="shared" si="2283"/>
        <v>2.7279725546253903E-3</v>
      </c>
      <c r="L268" s="176">
        <f t="shared" si="2283"/>
        <v>8.2292682566984486E-4</v>
      </c>
      <c r="M268" s="176">
        <f t="shared" si="2283"/>
        <v>6.9768245201579473E-4</v>
      </c>
      <c r="N268" s="176">
        <f t="shared" si="2283"/>
        <v>5.2914028542326384E-3</v>
      </c>
      <c r="O268" s="176">
        <f t="shared" si="2283"/>
        <v>7.4164393331212566E-4</v>
      </c>
      <c r="P268" s="176">
        <f t="shared" si="2283"/>
        <v>4.9225658014911749E-3</v>
      </c>
      <c r="Q268" s="176">
        <f t="shared" si="2283"/>
        <v>7.8027978719375658E-3</v>
      </c>
      <c r="R268" s="176">
        <f t="shared" si="2283"/>
        <v>9.5722271437860482E-3</v>
      </c>
      <c r="S268" s="176">
        <f t="shared" si="2283"/>
        <v>1.4418529468350833E-2</v>
      </c>
      <c r="T268" s="176">
        <f t="shared" si="2283"/>
        <v>1.2693724564161169E-2</v>
      </c>
      <c r="U268" s="176">
        <f t="shared" si="2283"/>
        <v>1.3589894822935156E-2</v>
      </c>
      <c r="V268" s="176">
        <f t="shared" si="2283"/>
        <v>1.7577315112635449E-2</v>
      </c>
      <c r="W268" s="176">
        <f t="shared" si="2283"/>
        <v>1.4298819569523089E-2</v>
      </c>
      <c r="X268" s="176">
        <f t="shared" si="2283"/>
        <v>9.5139951475308182E-3</v>
      </c>
      <c r="Y268" s="176">
        <f t="shared" si="2283"/>
        <v>4.3759797443051881E-3</v>
      </c>
      <c r="Z268" s="176">
        <f t="shared" si="2283"/>
        <v>1.826902901484229E-2</v>
      </c>
      <c r="AA268" s="176">
        <f t="shared" ref="AA268" si="2284">+AA65</f>
        <v>1.3599101948369888E-2</v>
      </c>
      <c r="AB268" s="177">
        <f t="shared" si="2283"/>
        <v>1.578544474620059E-2</v>
      </c>
      <c r="AC268" s="177">
        <f t="shared" si="2283"/>
        <v>1.5291821487491326E-2</v>
      </c>
      <c r="AD268" s="177">
        <f t="shared" si="2283"/>
        <v>1.4201155635895191E-2</v>
      </c>
      <c r="AE268" s="177">
        <f t="shared" si="2283"/>
        <v>1.330406194594109E-2</v>
      </c>
      <c r="AL268" s="176" t="e">
        <f t="shared" ref="AL268:CW268" si="2285">+AL65</f>
        <v>#DIV/0!</v>
      </c>
      <c r="AM268" s="176" t="e">
        <f t="shared" si="2285"/>
        <v>#DIV/0!</v>
      </c>
      <c r="AN268" s="176" t="e">
        <f t="shared" si="2285"/>
        <v>#DIV/0!</v>
      </c>
      <c r="AO268" s="176" t="e">
        <f t="shared" si="2285"/>
        <v>#DIV/0!</v>
      </c>
      <c r="AP268" s="176" t="e">
        <f t="shared" si="2285"/>
        <v>#DIV/0!</v>
      </c>
      <c r="AQ268" s="176" t="e">
        <f t="shared" si="2285"/>
        <v>#DIV/0!</v>
      </c>
      <c r="AR268" s="176" t="e">
        <f t="shared" si="2285"/>
        <v>#DIV/0!</v>
      </c>
      <c r="AS268" s="176" t="e">
        <f t="shared" si="2285"/>
        <v>#DIV/0!</v>
      </c>
      <c r="AT268" s="176" t="e">
        <f t="shared" si="2285"/>
        <v>#DIV/0!</v>
      </c>
      <c r="AU268" s="176" t="e">
        <f t="shared" si="2285"/>
        <v>#DIV/0!</v>
      </c>
      <c r="AV268" s="176" t="e">
        <f t="shared" si="2285"/>
        <v>#DIV/0!</v>
      </c>
      <c r="AW268" s="176" t="e">
        <f t="shared" si="2285"/>
        <v>#DIV/0!</v>
      </c>
      <c r="AX268" s="176" t="e">
        <f t="shared" si="2285"/>
        <v>#DIV/0!</v>
      </c>
      <c r="AY268" s="176" t="e">
        <f t="shared" si="2285"/>
        <v>#DIV/0!</v>
      </c>
      <c r="AZ268" s="176" t="e">
        <f t="shared" si="2285"/>
        <v>#DIV/0!</v>
      </c>
      <c r="BA268" s="176" t="e">
        <f t="shared" si="2285"/>
        <v>#DIV/0!</v>
      </c>
      <c r="BB268" s="176" t="e">
        <f t="shared" si="2285"/>
        <v>#DIV/0!</v>
      </c>
      <c r="BC268" s="176" t="e">
        <f t="shared" si="2285"/>
        <v>#DIV/0!</v>
      </c>
      <c r="BD268" s="176" t="e">
        <f t="shared" si="2285"/>
        <v>#DIV/0!</v>
      </c>
      <c r="BE268" s="176" t="e">
        <f t="shared" si="2285"/>
        <v>#DIV/0!</v>
      </c>
      <c r="BF268" s="176" t="e">
        <f t="shared" si="2285"/>
        <v>#DIV/0!</v>
      </c>
      <c r="BG268" s="176" t="e">
        <f t="shared" si="2285"/>
        <v>#DIV/0!</v>
      </c>
      <c r="BH268" s="176" t="e">
        <f t="shared" si="2285"/>
        <v>#DIV/0!</v>
      </c>
      <c r="BI268" s="176" t="e">
        <f t="shared" si="2285"/>
        <v>#DIV/0!</v>
      </c>
      <c r="BJ268" s="176" t="e">
        <f t="shared" si="2285"/>
        <v>#DIV/0!</v>
      </c>
      <c r="BK268" s="176" t="e">
        <f t="shared" si="2285"/>
        <v>#DIV/0!</v>
      </c>
      <c r="BL268" s="176" t="e">
        <f t="shared" si="2285"/>
        <v>#DIV/0!</v>
      </c>
      <c r="BM268" s="176" t="e">
        <f t="shared" si="2285"/>
        <v>#DIV/0!</v>
      </c>
      <c r="BN268" s="176" t="e">
        <f t="shared" si="2285"/>
        <v>#DIV/0!</v>
      </c>
      <c r="BO268" s="176" t="e">
        <f t="shared" si="2285"/>
        <v>#DIV/0!</v>
      </c>
      <c r="BP268" s="176" t="e">
        <f t="shared" si="2285"/>
        <v>#DIV/0!</v>
      </c>
      <c r="BQ268" s="176">
        <f t="shared" si="2285"/>
        <v>1.0755179388219821E-2</v>
      </c>
      <c r="BR268" s="176">
        <f t="shared" si="2285"/>
        <v>2.7683713225028574E-2</v>
      </c>
      <c r="BS268" s="176">
        <f t="shared" si="2285"/>
        <v>1.4705661348111767E-2</v>
      </c>
      <c r="BT268" s="176">
        <f t="shared" si="2285"/>
        <v>1.2408479717844286E-2</v>
      </c>
      <c r="BU268" s="176">
        <f t="shared" si="2285"/>
        <v>1.5344877015528651E-2</v>
      </c>
      <c r="BV268" s="176">
        <f t="shared" si="2285"/>
        <v>1.469639866838816E-2</v>
      </c>
      <c r="BW268" s="176">
        <f t="shared" si="2285"/>
        <v>1.3435804861285186E-2</v>
      </c>
      <c r="BX268" s="176">
        <f t="shared" si="2285"/>
        <v>2.2522920446104485E-3</v>
      </c>
      <c r="BY268" s="176">
        <f t="shared" si="2285"/>
        <v>1.4992826166517148E-2</v>
      </c>
      <c r="BZ268" s="176">
        <f t="shared" si="2285"/>
        <v>6.6613132035430516E-3</v>
      </c>
      <c r="CA268" s="176">
        <f t="shared" si="2285"/>
        <v>-4.6186285975953574E-3</v>
      </c>
      <c r="CB268" s="176">
        <f t="shared" si="2285"/>
        <v>-6.2541014008960297E-3</v>
      </c>
      <c r="CC268" s="176">
        <f t="shared" si="2285"/>
        <v>1.6060509683233151E-2</v>
      </c>
      <c r="CD268" s="176">
        <f t="shared" si="2285"/>
        <v>1.1688874469383635E-2</v>
      </c>
      <c r="CE268" s="176">
        <f t="shared" si="2285"/>
        <v>2.2017330973551453E-2</v>
      </c>
      <c r="CF268" s="176">
        <f t="shared" si="2285"/>
        <v>1.9510115612936835E-2</v>
      </c>
      <c r="CG268" s="176">
        <f t="shared" si="2285"/>
        <v>2.3348373939803491E-2</v>
      </c>
      <c r="CH268" s="176">
        <f t="shared" si="2285"/>
        <v>9.683157986548294E-3</v>
      </c>
      <c r="CI268" s="176">
        <f t="shared" si="2285"/>
        <v>1.3586655450460719E-2</v>
      </c>
      <c r="CJ268" s="176">
        <f t="shared" si="2285"/>
        <v>1.2925621017724327E-2</v>
      </c>
      <c r="CK268" s="176">
        <f t="shared" si="2285"/>
        <v>1.5463371655789086E-2</v>
      </c>
      <c r="CL268" s="176">
        <f t="shared" ref="CL268" si="2286">+CL65</f>
        <v>1.254566783353942E-2</v>
      </c>
      <c r="CM268" s="177">
        <f t="shared" si="2285"/>
        <v>1.5187012711130295E-2</v>
      </c>
      <c r="CN268" s="177">
        <f t="shared" si="2285"/>
        <v>1.6655589302873666E-2</v>
      </c>
      <c r="CO268" s="177">
        <f t="shared" si="2285"/>
        <v>1.5643009205149615E-2</v>
      </c>
      <c r="CP268" s="177">
        <f t="shared" si="2285"/>
        <v>1.5666831472205919E-2</v>
      </c>
      <c r="CQ268" s="177">
        <f t="shared" si="2285"/>
        <v>1.4686439368629638E-2</v>
      </c>
      <c r="CR268" s="177">
        <f t="shared" si="2285"/>
        <v>1.4492310567450196E-2</v>
      </c>
      <c r="CS268" s="177">
        <f t="shared" si="2285"/>
        <v>1.4991242420500281E-2</v>
      </c>
      <c r="CT268" s="177">
        <f t="shared" si="2285"/>
        <v>1.6656556345069087E-2</v>
      </c>
      <c r="CU268" s="177">
        <f t="shared" si="2285"/>
        <v>1.3828037429289492E-2</v>
      </c>
      <c r="CV268" s="177">
        <f t="shared" si="2285"/>
        <v>1.3523881231308517E-2</v>
      </c>
      <c r="CW268" s="177">
        <f t="shared" si="2285"/>
        <v>1.3978448614932056E-2</v>
      </c>
      <c r="CX268" s="177">
        <f t="shared" ref="CX268:DB268" si="2287">+CX65</f>
        <v>1.5222161423273265E-2</v>
      </c>
      <c r="CY268" s="177">
        <f t="shared" si="2287"/>
        <v>1.2906872292732982E-2</v>
      </c>
      <c r="CZ268" s="177">
        <f t="shared" si="2287"/>
        <v>1.2560983804214009E-2</v>
      </c>
      <c r="DA268" s="177">
        <f t="shared" si="2287"/>
        <v>1.3053395354746278E-2</v>
      </c>
      <c r="DB268" s="177">
        <f t="shared" si="2287"/>
        <v>1.4419646196934442E-2</v>
      </c>
      <c r="DE268" s="138"/>
      <c r="DF268" s="84">
        <v>1.5242599709717088E-2</v>
      </c>
    </row>
    <row r="269" spans="1:110" s="84" customFormat="1" x14ac:dyDescent="0.2">
      <c r="A269" s="84" t="s">
        <v>514</v>
      </c>
      <c r="E269" s="84">
        <f>(E184+E171+E161+E163)/E143</f>
        <v>5.7435539806996374</v>
      </c>
      <c r="F269" s="84">
        <f t="shared" ref="F269:AE269" si="2288">(F184+F171+F161+F163)/F143</f>
        <v>3.9104908190713812</v>
      </c>
      <c r="G269" s="84">
        <f t="shared" si="2288"/>
        <v>5.3560724941982523</v>
      </c>
      <c r="H269" s="84">
        <f t="shared" si="2288"/>
        <v>4.3546483960978559</v>
      </c>
      <c r="I269" s="84">
        <f t="shared" si="2288"/>
        <v>5.6570466912098372</v>
      </c>
      <c r="J269" s="84">
        <f t="shared" si="2288"/>
        <v>3.4010462325568032</v>
      </c>
      <c r="K269" s="84">
        <f t="shared" si="2288"/>
        <v>4.8294753122042424</v>
      </c>
      <c r="L269" s="84">
        <f t="shared" si="2288"/>
        <v>4.8101922780014501</v>
      </c>
      <c r="M269" s="84">
        <f t="shared" si="2288"/>
        <v>5.9010705105929375</v>
      </c>
      <c r="N269" s="84">
        <f t="shared" si="2288"/>
        <v>7.504476311716191</v>
      </c>
      <c r="O269" s="84">
        <f t="shared" si="2288"/>
        <v>9.4180775470748852</v>
      </c>
      <c r="P269" s="84">
        <f t="shared" si="2288"/>
        <v>7.1369657433223042</v>
      </c>
      <c r="Q269" s="84">
        <f t="shared" si="2288"/>
        <v>6.8492296939706092</v>
      </c>
      <c r="R269" s="84">
        <f t="shared" si="2288"/>
        <v>5.6210428545042195</v>
      </c>
      <c r="S269" s="84">
        <f t="shared" si="2288"/>
        <v>5.5287563416219392</v>
      </c>
      <c r="T269" s="84">
        <f t="shared" si="2288"/>
        <v>5.402567005672342</v>
      </c>
      <c r="U269" s="84">
        <f t="shared" si="2288"/>
        <v>4.5846873435492395</v>
      </c>
      <c r="V269" s="84">
        <f t="shared" si="2288"/>
        <v>4.0399759925795244</v>
      </c>
      <c r="W269" s="84">
        <f t="shared" si="2288"/>
        <v>2.8025549638000777</v>
      </c>
      <c r="X269" s="84">
        <f t="shared" si="2288"/>
        <v>2.5690940819887951</v>
      </c>
      <c r="Y269" s="84">
        <f t="shared" si="2288"/>
        <v>2.3781305653325702</v>
      </c>
      <c r="Z269" s="84">
        <f t="shared" si="2288"/>
        <v>2.3782815849232799</v>
      </c>
      <c r="AA269" s="84">
        <f t="shared" ref="AA269" si="2289">(AA184+AA171+AA161+AA163)/AA143</f>
        <v>2.3691431242289802</v>
      </c>
      <c r="AB269" s="50">
        <f t="shared" si="2288"/>
        <v>2.315763646794383</v>
      </c>
      <c r="AC269" s="50">
        <f t="shared" si="2288"/>
        <v>2.2212775120792712</v>
      </c>
      <c r="AD269" s="50">
        <f t="shared" si="2288"/>
        <v>2.1893002981703402</v>
      </c>
      <c r="AE269" s="50">
        <f t="shared" si="2288"/>
        <v>2.1685664418928861</v>
      </c>
      <c r="AL269" s="84" t="e">
        <f t="shared" ref="AL269:CW269" si="2290">(AL184+AL171+AL161+AL163)/AL143</f>
        <v>#DIV/0!</v>
      </c>
      <c r="AM269" s="84" t="e">
        <f t="shared" si="2290"/>
        <v>#DIV/0!</v>
      </c>
      <c r="AN269" s="84" t="e">
        <f t="shared" si="2290"/>
        <v>#DIV/0!</v>
      </c>
      <c r="AO269" s="84" t="e">
        <f t="shared" si="2290"/>
        <v>#DIV/0!</v>
      </c>
      <c r="AP269" s="84" t="e">
        <f t="shared" si="2290"/>
        <v>#DIV/0!</v>
      </c>
      <c r="AQ269" s="84" t="e">
        <f t="shared" si="2290"/>
        <v>#DIV/0!</v>
      </c>
      <c r="AR269" s="84" t="e">
        <f t="shared" si="2290"/>
        <v>#DIV/0!</v>
      </c>
      <c r="AS269" s="84" t="e">
        <f t="shared" si="2290"/>
        <v>#DIV/0!</v>
      </c>
      <c r="AT269" s="84" t="e">
        <f t="shared" si="2290"/>
        <v>#DIV/0!</v>
      </c>
      <c r="AU269" s="84" t="e">
        <f t="shared" si="2290"/>
        <v>#DIV/0!</v>
      </c>
      <c r="AV269" s="84" t="e">
        <f t="shared" si="2290"/>
        <v>#DIV/0!</v>
      </c>
      <c r="AW269" s="84" t="e">
        <f t="shared" si="2290"/>
        <v>#DIV/0!</v>
      </c>
      <c r="AX269" s="84" t="e">
        <f t="shared" si="2290"/>
        <v>#DIV/0!</v>
      </c>
      <c r="AY269" s="84" t="e">
        <f t="shared" si="2290"/>
        <v>#DIV/0!</v>
      </c>
      <c r="AZ269" s="84" t="e">
        <f t="shared" si="2290"/>
        <v>#DIV/0!</v>
      </c>
      <c r="BA269" s="84" t="e">
        <f t="shared" si="2290"/>
        <v>#DIV/0!</v>
      </c>
      <c r="BB269" s="84" t="e">
        <f t="shared" si="2290"/>
        <v>#DIV/0!</v>
      </c>
      <c r="BC269" s="84" t="e">
        <f t="shared" si="2290"/>
        <v>#DIV/0!</v>
      </c>
      <c r="BD269" s="84" t="e">
        <f t="shared" si="2290"/>
        <v>#DIV/0!</v>
      </c>
      <c r="BE269" s="84" t="e">
        <f t="shared" si="2290"/>
        <v>#DIV/0!</v>
      </c>
      <c r="BF269" s="84" t="e">
        <f t="shared" si="2290"/>
        <v>#DIV/0!</v>
      </c>
      <c r="BG269" s="84" t="e">
        <f t="shared" si="2290"/>
        <v>#DIV/0!</v>
      </c>
      <c r="BH269" s="84" t="e">
        <f t="shared" si="2290"/>
        <v>#DIV/0!</v>
      </c>
      <c r="BI269" s="84" t="e">
        <f t="shared" si="2290"/>
        <v>#DIV/0!</v>
      </c>
      <c r="BJ269" s="84" t="e">
        <f t="shared" si="2290"/>
        <v>#DIV/0!</v>
      </c>
      <c r="BK269" s="84" t="e">
        <f t="shared" si="2290"/>
        <v>#DIV/0!</v>
      </c>
      <c r="BL269" s="84" t="e">
        <f t="shared" si="2290"/>
        <v>#DIV/0!</v>
      </c>
      <c r="BM269" s="84" t="e">
        <f t="shared" si="2290"/>
        <v>#DIV/0!</v>
      </c>
      <c r="BN269" s="84" t="e">
        <f t="shared" si="2290"/>
        <v>#DIV/0!</v>
      </c>
      <c r="BO269" s="84" t="e">
        <f t="shared" si="2290"/>
        <v>#DIV/0!</v>
      </c>
      <c r="BP269" s="84" t="e">
        <f t="shared" si="2290"/>
        <v>#DIV/0!</v>
      </c>
      <c r="BQ269" s="84" t="e">
        <f t="shared" si="2290"/>
        <v>#DIV/0!</v>
      </c>
      <c r="BR269" s="84">
        <f t="shared" si="2290"/>
        <v>4.0399759925795253</v>
      </c>
      <c r="BS269" s="84">
        <f t="shared" si="2290"/>
        <v>3.9758231990718036</v>
      </c>
      <c r="BT269" s="84" t="e">
        <f t="shared" si="2290"/>
        <v>#DIV/0!</v>
      </c>
      <c r="BU269" s="84">
        <f t="shared" si="2290"/>
        <v>1</v>
      </c>
      <c r="BV269" s="84">
        <f t="shared" si="2290"/>
        <v>2.8025549638000782</v>
      </c>
      <c r="BW269" s="84">
        <f t="shared" si="2290"/>
        <v>2.7547643280517282</v>
      </c>
      <c r="BX269" s="84">
        <f t="shared" si="2290"/>
        <v>2.6837521164744071</v>
      </c>
      <c r="BY269" s="84">
        <f t="shared" si="2290"/>
        <v>2.6491305553492208</v>
      </c>
      <c r="BZ269" s="84">
        <f t="shared" si="2290"/>
        <v>2.5690940819887951</v>
      </c>
      <c r="CA269" s="84">
        <f t="shared" si="2290"/>
        <v>2.5671460285716972</v>
      </c>
      <c r="CB269" s="84">
        <f t="shared" si="2290"/>
        <v>2.5771897807927031</v>
      </c>
      <c r="CC269" s="84">
        <f t="shared" si="2290"/>
        <v>2.5459974854678373</v>
      </c>
      <c r="CD269" s="84">
        <f t="shared" si="2290"/>
        <v>2.3781305653325706</v>
      </c>
      <c r="CE269" s="84">
        <f t="shared" si="2290"/>
        <v>2.3507714477782931</v>
      </c>
      <c r="CF269" s="84">
        <f t="shared" si="2290"/>
        <v>2.4427548604891189</v>
      </c>
      <c r="CG269" s="84">
        <f t="shared" si="2290"/>
        <v>2.4345738873607927</v>
      </c>
      <c r="CH269" s="84">
        <f t="shared" si="2290"/>
        <v>2.3782815849232799</v>
      </c>
      <c r="CI269" s="84">
        <f t="shared" si="2290"/>
        <v>2.2717381827649978</v>
      </c>
      <c r="CJ269" s="84">
        <f t="shared" si="2290"/>
        <v>2.523356324531258</v>
      </c>
      <c r="CK269" s="84">
        <f t="shared" si="2290"/>
        <v>2.5602201823004687</v>
      </c>
      <c r="CL269" s="84">
        <f t="shared" ref="CL269" si="2291">(CL184+CL171+CL161+CL163)/CL143</f>
        <v>2.3691431242289802</v>
      </c>
      <c r="CM269" s="50">
        <f t="shared" si="2290"/>
        <v>2.1377918157744547</v>
      </c>
      <c r="CN269" s="50">
        <f t="shared" si="2290"/>
        <v>2.1512535394365537</v>
      </c>
      <c r="CO269" s="50">
        <f t="shared" si="2290"/>
        <v>2.1858100219759691</v>
      </c>
      <c r="CP269" s="50">
        <f t="shared" si="2290"/>
        <v>2.315763646794383</v>
      </c>
      <c r="CQ269" s="50">
        <f t="shared" si="2290"/>
        <v>2.0417703807472352</v>
      </c>
      <c r="CR269" s="50">
        <f t="shared" si="2290"/>
        <v>2.0628801758228814</v>
      </c>
      <c r="CS269" s="50">
        <f t="shared" si="2290"/>
        <v>2.1000598096440624</v>
      </c>
      <c r="CT269" s="50">
        <f t="shared" si="2290"/>
        <v>2.2212775120792712</v>
      </c>
      <c r="CU269" s="50">
        <f t="shared" si="2290"/>
        <v>2.0039851492393699</v>
      </c>
      <c r="CV269" s="50">
        <f t="shared" si="2290"/>
        <v>2.0266357401880195</v>
      </c>
      <c r="CW269" s="50">
        <f t="shared" si="2290"/>
        <v>2.0661448518311363</v>
      </c>
      <c r="CX269" s="50">
        <f t="shared" ref="CX269:DB269" si="2292">(CX184+CX171+CX161+CX163)/CX143</f>
        <v>2.1893002981703402</v>
      </c>
      <c r="CY269" s="50">
        <f t="shared" si="2292"/>
        <v>1.9791018620921059</v>
      </c>
      <c r="CZ269" s="50">
        <f t="shared" si="2292"/>
        <v>2.0025573729340094</v>
      </c>
      <c r="DA269" s="50">
        <f t="shared" si="2292"/>
        <v>2.0440583192494191</v>
      </c>
      <c r="DB269" s="50">
        <f t="shared" si="2292"/>
        <v>2.1685664418928861</v>
      </c>
      <c r="DE269" s="138"/>
      <c r="DF269" s="84">
        <v>2.7358641109793607</v>
      </c>
    </row>
    <row r="270" spans="1:110" s="84" customFormat="1" x14ac:dyDescent="0.2">
      <c r="A270" s="154" t="s">
        <v>498</v>
      </c>
      <c r="AB270" s="50"/>
      <c r="AC270" s="50"/>
      <c r="AD270" s="50"/>
      <c r="AE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E270" s="138"/>
    </row>
    <row r="271" spans="1:110" s="88" customFormat="1" x14ac:dyDescent="0.2">
      <c r="A271" s="88" t="s">
        <v>102</v>
      </c>
      <c r="B271" s="88" t="e">
        <f t="shared" ref="B271:AE271" si="2293">B184/B143</f>
        <v>#DIV/0!</v>
      </c>
      <c r="C271" s="88" t="e">
        <f t="shared" si="2293"/>
        <v>#DIV/0!</v>
      </c>
      <c r="D271" s="88">
        <f t="shared" si="2293"/>
        <v>0.65720398765872345</v>
      </c>
      <c r="F271" s="88">
        <f t="shared" si="2293"/>
        <v>0.8877292447523627</v>
      </c>
      <c r="G271" s="88">
        <f t="shared" si="2293"/>
        <v>0.83862857774339705</v>
      </c>
      <c r="H271" s="88">
        <f t="shared" si="2293"/>
        <v>0.58376954857130492</v>
      </c>
      <c r="I271" s="88">
        <f t="shared" si="2293"/>
        <v>0.64389912836235508</v>
      </c>
      <c r="J271" s="88">
        <f t="shared" si="2293"/>
        <v>0.43137691677564916</v>
      </c>
      <c r="K271" s="88">
        <f t="shared" si="2293"/>
        <v>0.30071327993351948</v>
      </c>
      <c r="L271" s="88">
        <f t="shared" si="2293"/>
        <v>0.26201292146174038</v>
      </c>
      <c r="M271" s="88">
        <f t="shared" si="2293"/>
        <v>1.076199650738771</v>
      </c>
      <c r="N271" s="88">
        <f t="shared" si="2293"/>
        <v>2.0941594049214798</v>
      </c>
      <c r="O271" s="88">
        <f t="shared" si="2293"/>
        <v>2.7854072097637634</v>
      </c>
      <c r="P271" s="88">
        <f t="shared" si="2293"/>
        <v>1.3563583198306042</v>
      </c>
      <c r="Q271" s="88">
        <f t="shared" si="2293"/>
        <v>0.8681930137989804</v>
      </c>
      <c r="R271" s="88">
        <f t="shared" si="2293"/>
        <v>0.68846610367077754</v>
      </c>
      <c r="S271" s="88">
        <f t="shared" si="2293"/>
        <v>0.62653444858606799</v>
      </c>
      <c r="T271" s="88">
        <f t="shared" si="2293"/>
        <v>0.57125769554160311</v>
      </c>
      <c r="U271" s="88">
        <f t="shared" si="2293"/>
        <v>0.55708665782081668</v>
      </c>
      <c r="V271" s="88">
        <f t="shared" si="2293"/>
        <v>0.37540694396449814</v>
      </c>
      <c r="W271" s="88">
        <f t="shared" si="2293"/>
        <v>0.59739402632267424</v>
      </c>
      <c r="X271" s="88">
        <f t="shared" si="2293"/>
        <v>0.46218779658941311</v>
      </c>
      <c r="Y271" s="88">
        <f t="shared" si="2293"/>
        <v>0.33785273912065794</v>
      </c>
      <c r="Z271" s="88">
        <f t="shared" si="2293"/>
        <v>0.1350654725270061</v>
      </c>
      <c r="AA271" s="88">
        <f t="shared" ref="AA271" si="2294">AA184/AA143</f>
        <v>0.22724390655050608</v>
      </c>
      <c r="AB271" s="42">
        <f t="shared" si="2293"/>
        <v>0.34799049688813133</v>
      </c>
      <c r="AC271" s="42">
        <f t="shared" si="2293"/>
        <v>0.43918219386021518</v>
      </c>
      <c r="AD271" s="42">
        <f t="shared" si="2293"/>
        <v>0.50539154672492437</v>
      </c>
      <c r="AE271" s="42">
        <f t="shared" si="2293"/>
        <v>0.5581873875841159</v>
      </c>
      <c r="AL271" s="88" t="e">
        <f t="shared" ref="AL271:CW271" si="2295">AL184/AL143</f>
        <v>#DIV/0!</v>
      </c>
      <c r="AM271" s="88" t="e">
        <f t="shared" si="2295"/>
        <v>#DIV/0!</v>
      </c>
      <c r="AN271" s="88" t="e">
        <f t="shared" si="2295"/>
        <v>#DIV/0!</v>
      </c>
      <c r="AO271" s="88" t="e">
        <f t="shared" si="2295"/>
        <v>#DIV/0!</v>
      </c>
      <c r="AP271" s="88" t="e">
        <f t="shared" si="2295"/>
        <v>#DIV/0!</v>
      </c>
      <c r="AQ271" s="88" t="e">
        <f t="shared" si="2295"/>
        <v>#DIV/0!</v>
      </c>
      <c r="AR271" s="88" t="e">
        <f t="shared" si="2295"/>
        <v>#DIV/0!</v>
      </c>
      <c r="AS271" s="88" t="e">
        <f t="shared" si="2295"/>
        <v>#DIV/0!</v>
      </c>
      <c r="AT271" s="88" t="e">
        <f t="shared" si="2295"/>
        <v>#DIV/0!</v>
      </c>
      <c r="AU271" s="88" t="e">
        <f t="shared" si="2295"/>
        <v>#DIV/0!</v>
      </c>
      <c r="AV271" s="88" t="e">
        <f t="shared" si="2295"/>
        <v>#DIV/0!</v>
      </c>
      <c r="AW271" s="88" t="e">
        <f t="shared" si="2295"/>
        <v>#DIV/0!</v>
      </c>
      <c r="AX271" s="88" t="e">
        <f t="shared" si="2295"/>
        <v>#DIV/0!</v>
      </c>
      <c r="AY271" s="88" t="e">
        <f t="shared" si="2295"/>
        <v>#DIV/0!</v>
      </c>
      <c r="AZ271" s="88" t="e">
        <f t="shared" si="2295"/>
        <v>#DIV/0!</v>
      </c>
      <c r="BA271" s="88" t="e">
        <f t="shared" si="2295"/>
        <v>#DIV/0!</v>
      </c>
      <c r="BB271" s="88" t="e">
        <f t="shared" si="2295"/>
        <v>#DIV/0!</v>
      </c>
      <c r="BC271" s="88" t="e">
        <f t="shared" si="2295"/>
        <v>#DIV/0!</v>
      </c>
      <c r="BD271" s="88" t="e">
        <f t="shared" si="2295"/>
        <v>#DIV/0!</v>
      </c>
      <c r="BE271" s="88" t="e">
        <f t="shared" si="2295"/>
        <v>#DIV/0!</v>
      </c>
      <c r="BF271" s="88" t="e">
        <f t="shared" si="2295"/>
        <v>#DIV/0!</v>
      </c>
      <c r="BG271" s="88" t="e">
        <f t="shared" si="2295"/>
        <v>#DIV/0!</v>
      </c>
      <c r="BH271" s="88" t="e">
        <f t="shared" si="2295"/>
        <v>#DIV/0!</v>
      </c>
      <c r="BI271" s="88" t="e">
        <f t="shared" si="2295"/>
        <v>#DIV/0!</v>
      </c>
      <c r="BJ271" s="88" t="e">
        <f t="shared" si="2295"/>
        <v>#DIV/0!</v>
      </c>
      <c r="BK271" s="88" t="e">
        <f t="shared" si="2295"/>
        <v>#DIV/0!</v>
      </c>
      <c r="BL271" s="88" t="e">
        <f t="shared" si="2295"/>
        <v>#DIV/0!</v>
      </c>
      <c r="BM271" s="88" t="e">
        <f t="shared" si="2295"/>
        <v>#DIV/0!</v>
      </c>
      <c r="BN271" s="88" t="e">
        <f t="shared" si="2295"/>
        <v>#DIV/0!</v>
      </c>
      <c r="BO271" s="88" t="e">
        <f t="shared" si="2295"/>
        <v>#DIV/0!</v>
      </c>
      <c r="BP271" s="88" t="e">
        <f t="shared" si="2295"/>
        <v>#DIV/0!</v>
      </c>
      <c r="BQ271" s="88" t="e">
        <f t="shared" si="2295"/>
        <v>#DIV/0!</v>
      </c>
      <c r="BR271" s="88">
        <f t="shared" si="2295"/>
        <v>0.37540694396449814</v>
      </c>
      <c r="BS271" s="88">
        <f t="shared" si="2295"/>
        <v>0.38801306433066368</v>
      </c>
      <c r="BT271" s="88" t="e">
        <f t="shared" si="2295"/>
        <v>#DIV/0!</v>
      </c>
      <c r="BU271" s="88">
        <f t="shared" si="2295"/>
        <v>1</v>
      </c>
      <c r="BV271" s="88">
        <f t="shared" si="2295"/>
        <v>0.59739402632267424</v>
      </c>
      <c r="BW271" s="88">
        <f t="shared" si="2295"/>
        <v>0.62082824024628369</v>
      </c>
      <c r="BX271" s="88">
        <f t="shared" si="2295"/>
        <v>0.56723046395162058</v>
      </c>
      <c r="BY271" s="88">
        <f t="shared" si="2295"/>
        <v>0.49178837601687597</v>
      </c>
      <c r="BZ271" s="88">
        <f t="shared" si="2295"/>
        <v>0.46218779658941311</v>
      </c>
      <c r="CA271" s="88">
        <f t="shared" si="2295"/>
        <v>0.52061307273940727</v>
      </c>
      <c r="CB271" s="88">
        <f t="shared" si="2295"/>
        <v>0.36710094487852729</v>
      </c>
      <c r="CC271" s="88">
        <f t="shared" si="2295"/>
        <v>0.33763040578107539</v>
      </c>
      <c r="CD271" s="88">
        <f t="shared" si="2295"/>
        <v>0.33785273912065794</v>
      </c>
      <c r="CE271" s="88">
        <f t="shared" si="2295"/>
        <v>0.31121911228683924</v>
      </c>
      <c r="CF271" s="88">
        <f t="shared" si="2295"/>
        <v>0.36877434158221545</v>
      </c>
      <c r="CG271" s="88">
        <f t="shared" si="2295"/>
        <v>0.27078286237384458</v>
      </c>
      <c r="CH271" s="88">
        <f t="shared" si="2295"/>
        <v>0.1350654725270061</v>
      </c>
      <c r="CI271" s="88">
        <f t="shared" si="2295"/>
        <v>0.18865013373777934</v>
      </c>
      <c r="CJ271" s="88">
        <f t="shared" si="2295"/>
        <v>0.18087497122735036</v>
      </c>
      <c r="CK271" s="88">
        <f t="shared" si="2295"/>
        <v>0.20227935112005424</v>
      </c>
      <c r="CL271" s="88">
        <f t="shared" ref="CL271" si="2296">CL184/CL143</f>
        <v>0.22724390655050614</v>
      </c>
      <c r="CM271" s="42">
        <f t="shared" si="2295"/>
        <v>0.2883167075312692</v>
      </c>
      <c r="CN271" s="42">
        <f t="shared" si="2295"/>
        <v>0.31574759715944145</v>
      </c>
      <c r="CO271" s="42">
        <f t="shared" si="2295"/>
        <v>0.33831738288715874</v>
      </c>
      <c r="CP271" s="42">
        <f t="shared" si="2295"/>
        <v>0.34799049688813133</v>
      </c>
      <c r="CQ271" s="42">
        <f t="shared" si="2295"/>
        <v>0.40546475246452346</v>
      </c>
      <c r="CR271" s="42">
        <f t="shared" si="2295"/>
        <v>0.42153269093041151</v>
      </c>
      <c r="CS271" s="42">
        <f t="shared" si="2295"/>
        <v>0.4353242840858923</v>
      </c>
      <c r="CT271" s="42">
        <f t="shared" si="2295"/>
        <v>0.43918219386021518</v>
      </c>
      <c r="CU271" s="42">
        <f t="shared" si="2295"/>
        <v>0.4847650971222966</v>
      </c>
      <c r="CV271" s="42">
        <f t="shared" si="2295"/>
        <v>0.49667245184677217</v>
      </c>
      <c r="CW271" s="42">
        <f t="shared" si="2295"/>
        <v>0.50623717966626125</v>
      </c>
      <c r="CX271" s="42">
        <f t="shared" ref="CX271:DB271" si="2297">CX184/CX143</f>
        <v>0.50539154672492437</v>
      </c>
      <c r="CY271" s="42">
        <f t="shared" si="2297"/>
        <v>0.54694362849396427</v>
      </c>
      <c r="CZ271" s="42">
        <f t="shared" si="2297"/>
        <v>0.55580345691546928</v>
      </c>
      <c r="DA271" s="42">
        <f t="shared" si="2297"/>
        <v>0.56221446285302124</v>
      </c>
      <c r="DB271" s="42">
        <f t="shared" si="2297"/>
        <v>0.5581873875841159</v>
      </c>
      <c r="DE271" s="125"/>
      <c r="DF271" s="88">
        <v>0.20553550973263582</v>
      </c>
    </row>
    <row r="272" spans="1:110" s="89" customFormat="1" x14ac:dyDescent="0.2">
      <c r="A272" s="89" t="s">
        <v>103</v>
      </c>
      <c r="C272" s="89" t="e">
        <f t="shared" ref="C272:AE272" si="2298">C151/B151-1</f>
        <v>#DIV/0!</v>
      </c>
      <c r="D272" s="89" t="e">
        <f t="shared" si="2298"/>
        <v>#DIV/0!</v>
      </c>
      <c r="F272" s="89">
        <f t="shared" si="2298"/>
        <v>0.49077770068750515</v>
      </c>
      <c r="G272" s="89">
        <f t="shared" si="2298"/>
        <v>7.0300033847492838E-2</v>
      </c>
      <c r="H272" s="89">
        <f t="shared" si="2298"/>
        <v>-0.2778307986830737</v>
      </c>
      <c r="I272" s="89">
        <f t="shared" si="2298"/>
        <v>-3.0786434263104012E-2</v>
      </c>
      <c r="J272" s="89">
        <f t="shared" si="2298"/>
        <v>1.6994691150842312</v>
      </c>
      <c r="K272" s="89">
        <f>K151/J151-1</f>
        <v>0.53648571505426168</v>
      </c>
      <c r="L272" s="89">
        <f t="shared" si="2298"/>
        <v>1.0464069934368445</v>
      </c>
      <c r="M272" s="89">
        <f t="shared" si="2298"/>
        <v>4.5551372073371121E-2</v>
      </c>
      <c r="N272" s="89">
        <f t="shared" si="2298"/>
        <v>1.4224768215051342</v>
      </c>
      <c r="O272" s="89">
        <f t="shared" si="2298"/>
        <v>0.15178241706772977</v>
      </c>
      <c r="P272" s="89">
        <f t="shared" si="2298"/>
        <v>-0.25648081261092703</v>
      </c>
      <c r="Q272" s="89">
        <f t="shared" si="2298"/>
        <v>0.12532758134096689</v>
      </c>
      <c r="R272" s="89">
        <f t="shared" si="2298"/>
        <v>2.0964165463978057E-2</v>
      </c>
      <c r="S272" s="89">
        <f t="shared" si="2298"/>
        <v>-0.14405740417158241</v>
      </c>
      <c r="T272" s="89">
        <f t="shared" si="2298"/>
        <v>-0.18474057905978414</v>
      </c>
      <c r="U272" s="89">
        <f t="shared" si="2298"/>
        <v>0.25735519192590561</v>
      </c>
      <c r="V272" s="89">
        <f t="shared" si="2298"/>
        <v>0.28242002264076138</v>
      </c>
      <c r="W272" s="89">
        <f t="shared" si="2298"/>
        <v>-0.12943062862721699</v>
      </c>
      <c r="X272" s="89">
        <f t="shared" si="2298"/>
        <v>-0.13332762225917116</v>
      </c>
      <c r="Y272" s="89">
        <f t="shared" si="2298"/>
        <v>8.5222243688530819E-2</v>
      </c>
      <c r="Z272" s="89">
        <f t="shared" si="2298"/>
        <v>-0.29128215319265216</v>
      </c>
      <c r="AA272" s="89">
        <f t="shared" si="2298"/>
        <v>-0.5220495025791112</v>
      </c>
      <c r="AB272" s="47">
        <f t="shared" si="2298"/>
        <v>0</v>
      </c>
      <c r="AC272" s="47">
        <f t="shared" si="2298"/>
        <v>0</v>
      </c>
      <c r="AD272" s="47">
        <f t="shared" si="2298"/>
        <v>0</v>
      </c>
      <c r="AE272" s="47">
        <f t="shared" si="2298"/>
        <v>0</v>
      </c>
      <c r="AL272" s="89" t="e">
        <f t="shared" ref="AL272:CW272" si="2299">AL151/AK151-1</f>
        <v>#DIV/0!</v>
      </c>
      <c r="AM272" s="89" t="e">
        <f t="shared" si="2299"/>
        <v>#DIV/0!</v>
      </c>
      <c r="AN272" s="89" t="e">
        <f t="shared" si="2299"/>
        <v>#DIV/0!</v>
      </c>
      <c r="AO272" s="89" t="e">
        <f t="shared" si="2299"/>
        <v>#DIV/0!</v>
      </c>
      <c r="AP272" s="89" t="e">
        <f t="shared" si="2299"/>
        <v>#DIV/0!</v>
      </c>
      <c r="AQ272" s="89" t="e">
        <f t="shared" si="2299"/>
        <v>#DIV/0!</v>
      </c>
      <c r="AR272" s="89" t="e">
        <f t="shared" si="2299"/>
        <v>#DIV/0!</v>
      </c>
      <c r="AS272" s="89" t="e">
        <f t="shared" si="2299"/>
        <v>#DIV/0!</v>
      </c>
      <c r="AT272" s="89" t="e">
        <f t="shared" si="2299"/>
        <v>#DIV/0!</v>
      </c>
      <c r="AU272" s="89" t="e">
        <f t="shared" si="2299"/>
        <v>#DIV/0!</v>
      </c>
      <c r="AV272" s="89" t="e">
        <f t="shared" si="2299"/>
        <v>#DIV/0!</v>
      </c>
      <c r="AW272" s="89" t="e">
        <f t="shared" si="2299"/>
        <v>#DIV/0!</v>
      </c>
      <c r="AX272" s="89" t="e">
        <f t="shared" si="2299"/>
        <v>#DIV/0!</v>
      </c>
      <c r="AY272" s="89" t="e">
        <f t="shared" si="2299"/>
        <v>#DIV/0!</v>
      </c>
      <c r="AZ272" s="89" t="e">
        <f t="shared" si="2299"/>
        <v>#DIV/0!</v>
      </c>
      <c r="BA272" s="89" t="e">
        <f t="shared" si="2299"/>
        <v>#DIV/0!</v>
      </c>
      <c r="BB272" s="89" t="e">
        <f t="shared" si="2299"/>
        <v>#DIV/0!</v>
      </c>
      <c r="BC272" s="89" t="e">
        <f t="shared" si="2299"/>
        <v>#DIV/0!</v>
      </c>
      <c r="BD272" s="89" t="e">
        <f t="shared" si="2299"/>
        <v>#DIV/0!</v>
      </c>
      <c r="BE272" s="89" t="e">
        <f t="shared" si="2299"/>
        <v>#DIV/0!</v>
      </c>
      <c r="BF272" s="89" t="e">
        <f t="shared" si="2299"/>
        <v>#DIV/0!</v>
      </c>
      <c r="BG272" s="89" t="e">
        <f t="shared" si="2299"/>
        <v>#DIV/0!</v>
      </c>
      <c r="BH272" s="89" t="e">
        <f t="shared" si="2299"/>
        <v>#DIV/0!</v>
      </c>
      <c r="BI272" s="89" t="e">
        <f t="shared" si="2299"/>
        <v>#DIV/0!</v>
      </c>
      <c r="BJ272" s="89" t="e">
        <f t="shared" si="2299"/>
        <v>#DIV/0!</v>
      </c>
      <c r="BK272" s="89" t="e">
        <f t="shared" si="2299"/>
        <v>#DIV/0!</v>
      </c>
      <c r="BL272" s="89" t="e">
        <f t="shared" si="2299"/>
        <v>#DIV/0!</v>
      </c>
      <c r="BM272" s="89" t="e">
        <f t="shared" si="2299"/>
        <v>#DIV/0!</v>
      </c>
      <c r="BN272" s="89" t="e">
        <f t="shared" si="2299"/>
        <v>#DIV/0!</v>
      </c>
      <c r="BO272" s="89" t="e">
        <f t="shared" si="2299"/>
        <v>#DIV/0!</v>
      </c>
      <c r="BP272" s="89" t="e">
        <f t="shared" si="2299"/>
        <v>#DIV/0!</v>
      </c>
      <c r="BQ272" s="89" t="e">
        <f t="shared" si="2299"/>
        <v>#DIV/0!</v>
      </c>
      <c r="BR272" s="89" t="e">
        <f t="shared" si="2299"/>
        <v>#DIV/0!</v>
      </c>
      <c r="BS272" s="89">
        <f t="shared" si="2299"/>
        <v>0</v>
      </c>
      <c r="BT272" s="89">
        <f t="shared" si="2299"/>
        <v>-1</v>
      </c>
      <c r="BU272" s="89" t="e">
        <f t="shared" si="2299"/>
        <v>#DIV/0!</v>
      </c>
      <c r="BV272" s="89" t="e">
        <f t="shared" si="2299"/>
        <v>#DIV/0!</v>
      </c>
      <c r="BW272" s="89">
        <f t="shared" si="2299"/>
        <v>0</v>
      </c>
      <c r="BX272" s="89">
        <f t="shared" si="2299"/>
        <v>0.14924204960067922</v>
      </c>
      <c r="BY272" s="89">
        <f t="shared" si="2299"/>
        <v>0</v>
      </c>
      <c r="BZ272" s="89">
        <f t="shared" si="2299"/>
        <v>-0.24587481110531351</v>
      </c>
      <c r="CA272" s="89">
        <f t="shared" si="2299"/>
        <v>0</v>
      </c>
      <c r="CB272" s="89">
        <f t="shared" si="2299"/>
        <v>0.63674962146910419</v>
      </c>
      <c r="CC272" s="89">
        <f t="shared" si="2299"/>
        <v>0</v>
      </c>
      <c r="CD272" s="89">
        <f t="shared" si="2299"/>
        <v>-0.33696502540537421</v>
      </c>
      <c r="CE272" s="89">
        <f t="shared" si="2299"/>
        <v>0</v>
      </c>
      <c r="CF272" s="89">
        <f t="shared" si="2299"/>
        <v>-0.1960635756544491</v>
      </c>
      <c r="CG272" s="89">
        <f t="shared" si="2299"/>
        <v>0</v>
      </c>
      <c r="CH272" s="89">
        <f t="shared" si="2299"/>
        <v>-0.11844043217188005</v>
      </c>
      <c r="CI272" s="89">
        <f t="shared" si="2299"/>
        <v>0</v>
      </c>
      <c r="CJ272" s="89">
        <f t="shared" si="2299"/>
        <v>-0.51145265592961919</v>
      </c>
      <c r="CK272" s="89">
        <f t="shared" si="2299"/>
        <v>0</v>
      </c>
      <c r="CL272" s="89">
        <f t="shared" si="2299"/>
        <v>-2.1690521457354173E-2</v>
      </c>
      <c r="CM272" s="47">
        <f t="shared" si="2299"/>
        <v>0</v>
      </c>
      <c r="CN272" s="47">
        <f t="shared" si="2299"/>
        <v>0</v>
      </c>
      <c r="CO272" s="47">
        <f t="shared" si="2299"/>
        <v>0</v>
      </c>
      <c r="CP272" s="47">
        <f t="shared" si="2299"/>
        <v>0</v>
      </c>
      <c r="CQ272" s="47">
        <f t="shared" si="2299"/>
        <v>0</v>
      </c>
      <c r="CR272" s="47">
        <f t="shared" si="2299"/>
        <v>0</v>
      </c>
      <c r="CS272" s="47">
        <f t="shared" si="2299"/>
        <v>0</v>
      </c>
      <c r="CT272" s="47">
        <f t="shared" si="2299"/>
        <v>0</v>
      </c>
      <c r="CU272" s="47">
        <f t="shared" si="2299"/>
        <v>0</v>
      </c>
      <c r="CV272" s="47">
        <f t="shared" si="2299"/>
        <v>0</v>
      </c>
      <c r="CW272" s="47">
        <f t="shared" si="2299"/>
        <v>0</v>
      </c>
      <c r="CX272" s="47">
        <f t="shared" ref="CX272:DB272" si="2300">CX151/CW151-1</f>
        <v>0</v>
      </c>
      <c r="CY272" s="47">
        <f t="shared" si="2300"/>
        <v>0</v>
      </c>
      <c r="CZ272" s="47">
        <f t="shared" si="2300"/>
        <v>0</v>
      </c>
      <c r="DA272" s="47">
        <f t="shared" si="2300"/>
        <v>0</v>
      </c>
      <c r="DB272" s="47">
        <f t="shared" si="2300"/>
        <v>0</v>
      </c>
      <c r="DE272" s="130"/>
      <c r="DF272" s="89">
        <v>0</v>
      </c>
    </row>
    <row r="273" spans="1:110" s="89" customFormat="1" x14ac:dyDescent="0.2">
      <c r="A273" s="89" t="s">
        <v>104</v>
      </c>
      <c r="C273" s="89" t="e">
        <f>C51/B51-1</f>
        <v>#DIV/0!</v>
      </c>
      <c r="D273" s="89" t="e">
        <f>D51/C51-1</f>
        <v>#DIV/0!</v>
      </c>
      <c r="F273" s="89">
        <f t="shared" ref="F273:AE273" si="2301">F51/E51-1</f>
        <v>-0.59468892261001982</v>
      </c>
      <c r="G273" s="89">
        <f t="shared" si="2301"/>
        <v>1.4868160667486854</v>
      </c>
      <c r="H273" s="89">
        <f t="shared" si="2301"/>
        <v>0.37142980041293794</v>
      </c>
      <c r="I273" s="89">
        <f t="shared" si="2301"/>
        <v>0.75388137879121442</v>
      </c>
      <c r="J273" s="89">
        <f t="shared" si="2301"/>
        <v>0.25290151826749985</v>
      </c>
      <c r="K273" s="89">
        <f t="shared" si="2301"/>
        <v>-0.32781433322390507</v>
      </c>
      <c r="L273" s="89">
        <f t="shared" si="2301"/>
        <v>-0.12432581645220431</v>
      </c>
      <c r="M273" s="89">
        <f t="shared" si="2301"/>
        <v>0.70701277916534289</v>
      </c>
      <c r="N273" s="89">
        <f t="shared" si="2301"/>
        <v>1.1508619158895157</v>
      </c>
      <c r="O273" s="89">
        <f t="shared" si="2301"/>
        <v>-0.35674422598094235</v>
      </c>
      <c r="P273" s="89">
        <f t="shared" si="2301"/>
        <v>0.94735410078443483</v>
      </c>
      <c r="Q273" s="89">
        <f t="shared" si="2301"/>
        <v>0.36300941926402519</v>
      </c>
      <c r="R273" s="89">
        <f t="shared" si="2301"/>
        <v>0.26411284473404706</v>
      </c>
      <c r="S273" s="89">
        <f t="shared" si="2301"/>
        <v>0.42028020924656673</v>
      </c>
      <c r="T273" s="89">
        <f t="shared" si="2301"/>
        <v>0.18556434489496909</v>
      </c>
      <c r="U273" s="89">
        <f t="shared" si="2301"/>
        <v>0.18990936144113202</v>
      </c>
      <c r="V273" s="89">
        <f t="shared" si="2301"/>
        <v>1.2061625398518183E-2</v>
      </c>
      <c r="W273" s="89">
        <f t="shared" si="2301"/>
        <v>0.31007605710319441</v>
      </c>
      <c r="X273" s="89">
        <f t="shared" si="2301"/>
        <v>-0.44778749848813693</v>
      </c>
      <c r="Y273" s="89">
        <f t="shared" si="2301"/>
        <v>0.18137444070130537</v>
      </c>
      <c r="Z273" s="89">
        <f t="shared" si="2301"/>
        <v>1.1910143110647966</v>
      </c>
      <c r="AA273" s="89">
        <f t="shared" si="2301"/>
        <v>-0.14762626221925512</v>
      </c>
      <c r="AB273" s="47">
        <f t="shared" si="2301"/>
        <v>0.14358308675609832</v>
      </c>
      <c r="AC273" s="47">
        <f t="shared" si="2301"/>
        <v>0.15014867819194633</v>
      </c>
      <c r="AD273" s="47">
        <f t="shared" si="2301"/>
        <v>8.7066824049596647E-2</v>
      </c>
      <c r="AE273" s="47">
        <f t="shared" si="2301"/>
        <v>8.3664928952662532E-2</v>
      </c>
      <c r="AL273" s="89" t="e">
        <f t="shared" ref="AL273:CW273" si="2302">AL51/AK51-1</f>
        <v>#DIV/0!</v>
      </c>
      <c r="AM273" s="89" t="e">
        <f t="shared" si="2302"/>
        <v>#DIV/0!</v>
      </c>
      <c r="AN273" s="89" t="e">
        <f t="shared" si="2302"/>
        <v>#DIV/0!</v>
      </c>
      <c r="AO273" s="89" t="e">
        <f t="shared" si="2302"/>
        <v>#DIV/0!</v>
      </c>
      <c r="AP273" s="89" t="e">
        <f t="shared" si="2302"/>
        <v>#DIV/0!</v>
      </c>
      <c r="AQ273" s="89" t="e">
        <f t="shared" si="2302"/>
        <v>#DIV/0!</v>
      </c>
      <c r="AR273" s="89" t="e">
        <f t="shared" si="2302"/>
        <v>#DIV/0!</v>
      </c>
      <c r="AS273" s="89" t="e">
        <f t="shared" si="2302"/>
        <v>#DIV/0!</v>
      </c>
      <c r="AT273" s="89" t="e">
        <f t="shared" si="2302"/>
        <v>#DIV/0!</v>
      </c>
      <c r="AU273" s="89" t="e">
        <f t="shared" si="2302"/>
        <v>#DIV/0!</v>
      </c>
      <c r="AV273" s="89" t="e">
        <f t="shared" si="2302"/>
        <v>#DIV/0!</v>
      </c>
      <c r="AW273" s="89" t="e">
        <f t="shared" si="2302"/>
        <v>#DIV/0!</v>
      </c>
      <c r="AX273" s="89" t="e">
        <f t="shared" si="2302"/>
        <v>#DIV/0!</v>
      </c>
      <c r="AY273" s="89" t="e">
        <f t="shared" si="2302"/>
        <v>#DIV/0!</v>
      </c>
      <c r="AZ273" s="89" t="e">
        <f t="shared" si="2302"/>
        <v>#DIV/0!</v>
      </c>
      <c r="BA273" s="89" t="e">
        <f t="shared" si="2302"/>
        <v>#DIV/0!</v>
      </c>
      <c r="BB273" s="89" t="e">
        <f t="shared" si="2302"/>
        <v>#DIV/0!</v>
      </c>
      <c r="BC273" s="89" t="e">
        <f t="shared" si="2302"/>
        <v>#DIV/0!</v>
      </c>
      <c r="BD273" s="89" t="e">
        <f t="shared" si="2302"/>
        <v>#DIV/0!</v>
      </c>
      <c r="BE273" s="89" t="e">
        <f t="shared" si="2302"/>
        <v>#DIV/0!</v>
      </c>
      <c r="BF273" s="89" t="e">
        <f t="shared" si="2302"/>
        <v>#DIV/0!</v>
      </c>
      <c r="BG273" s="89" t="e">
        <f t="shared" si="2302"/>
        <v>#DIV/0!</v>
      </c>
      <c r="BH273" s="89" t="e">
        <f t="shared" si="2302"/>
        <v>#DIV/0!</v>
      </c>
      <c r="BI273" s="89" t="e">
        <f t="shared" si="2302"/>
        <v>#DIV/0!</v>
      </c>
      <c r="BJ273" s="89" t="e">
        <f t="shared" si="2302"/>
        <v>#DIV/0!</v>
      </c>
      <c r="BK273" s="89" t="e">
        <f t="shared" si="2302"/>
        <v>#DIV/0!</v>
      </c>
      <c r="BL273" s="89" t="e">
        <f t="shared" si="2302"/>
        <v>#DIV/0!</v>
      </c>
      <c r="BM273" s="89" t="e">
        <f t="shared" si="2302"/>
        <v>#DIV/0!</v>
      </c>
      <c r="BN273" s="89" t="e">
        <f t="shared" si="2302"/>
        <v>#DIV/0!</v>
      </c>
      <c r="BO273" s="89" t="e">
        <f t="shared" si="2302"/>
        <v>#DIV/0!</v>
      </c>
      <c r="BP273" s="89" t="e">
        <f t="shared" si="2302"/>
        <v>#DIV/0!</v>
      </c>
      <c r="BQ273" s="89" t="e">
        <f t="shared" si="2302"/>
        <v>#DIV/0!</v>
      </c>
      <c r="BR273" s="89">
        <f t="shared" si="2302"/>
        <v>0.12406134656993961</v>
      </c>
      <c r="BS273" s="89">
        <f t="shared" si="2302"/>
        <v>6.8191468282045919E-2</v>
      </c>
      <c r="BT273" s="89">
        <f t="shared" si="2302"/>
        <v>0.13824994700021276</v>
      </c>
      <c r="BU273" s="89">
        <f t="shared" si="2302"/>
        <v>0.17256070588783268</v>
      </c>
      <c r="BV273" s="89">
        <f t="shared" si="2302"/>
        <v>-0.15473046758661935</v>
      </c>
      <c r="BW273" s="89">
        <f t="shared" si="2302"/>
        <v>4.0801465752138943E-2</v>
      </c>
      <c r="BX273" s="89">
        <f t="shared" si="2302"/>
        <v>-0.42704642397707271</v>
      </c>
      <c r="BY273" s="89">
        <f t="shared" si="2302"/>
        <v>1.3839760507346357</v>
      </c>
      <c r="BZ273" s="89">
        <f t="shared" si="2302"/>
        <v>-0.80484782393179433</v>
      </c>
      <c r="CA273" s="89">
        <f t="shared" si="2302"/>
        <v>0.10405554144441642</v>
      </c>
      <c r="CB273" s="89">
        <f t="shared" si="2302"/>
        <v>0.10176380368097315</v>
      </c>
      <c r="CC273" s="89">
        <f t="shared" si="2302"/>
        <v>2.5120762859330896</v>
      </c>
      <c r="CD273" s="89">
        <f t="shared" si="2302"/>
        <v>-0.292480875183322</v>
      </c>
      <c r="CE273" s="89">
        <f t="shared" si="2302"/>
        <v>0.75397759103641793</v>
      </c>
      <c r="CF273" s="89">
        <f t="shared" si="2302"/>
        <v>-9.1396904993852446E-2</v>
      </c>
      <c r="CG273" s="89">
        <f t="shared" si="2302"/>
        <v>0.39134179351073706</v>
      </c>
      <c r="CH273" s="89">
        <f t="shared" si="2302"/>
        <v>-0.43372200255182458</v>
      </c>
      <c r="CI273" s="89">
        <f t="shared" si="2302"/>
        <v>-0.1837549636371727</v>
      </c>
      <c r="CJ273" s="89">
        <f t="shared" si="2302"/>
        <v>0.88083850337532033</v>
      </c>
      <c r="CK273" s="89">
        <f t="shared" si="2302"/>
        <v>-0.19643116626464208</v>
      </c>
      <c r="CL273" s="89">
        <f t="shared" si="2302"/>
        <v>-5.2911392405059376E-2</v>
      </c>
      <c r="CM273" s="47">
        <f t="shared" si="2302"/>
        <v>2.1995067267594148E-2</v>
      </c>
      <c r="CN273" s="47">
        <f t="shared" si="2302"/>
        <v>0.12133668944928666</v>
      </c>
      <c r="CO273" s="47">
        <f t="shared" si="2302"/>
        <v>6.2591836372154486E-3</v>
      </c>
      <c r="CP273" s="47">
        <f t="shared" si="2302"/>
        <v>0.12535375306620011</v>
      </c>
      <c r="CQ273" s="47">
        <f t="shared" si="2302"/>
        <v>-0.11164580341683017</v>
      </c>
      <c r="CR273" s="47">
        <f t="shared" si="2302"/>
        <v>7.2417636845856448E-2</v>
      </c>
      <c r="CS273" s="47">
        <f t="shared" si="2302"/>
        <v>7.9224457723665598E-2</v>
      </c>
      <c r="CT273" s="47">
        <f t="shared" si="2302"/>
        <v>0.1908872650365987</v>
      </c>
      <c r="CU273" s="47">
        <f t="shared" si="2302"/>
        <v>-0.19499308689320716</v>
      </c>
      <c r="CV273" s="47">
        <f t="shared" si="2302"/>
        <v>5.7443100317326135E-2</v>
      </c>
      <c r="CW273" s="47">
        <f t="shared" si="2302"/>
        <v>7.3593375678845163E-2</v>
      </c>
      <c r="CX273" s="47">
        <f t="shared" ref="CX273:DB273" si="2303">CX51/CW51-1</f>
        <v>0.16451512727828543</v>
      </c>
      <c r="CY273" s="47">
        <f t="shared" si="2303"/>
        <v>-0.17549904332770605</v>
      </c>
      <c r="CZ273" s="47">
        <f t="shared" si="2303"/>
        <v>5.1450168795976747E-2</v>
      </c>
      <c r="DA273" s="47">
        <f t="shared" si="2303"/>
        <v>7.140936410141796E-2</v>
      </c>
      <c r="DB273" s="47">
        <f t="shared" si="2303"/>
        <v>0.16325617333474751</v>
      </c>
      <c r="DE273" s="130"/>
      <c r="DF273" s="89">
        <v>0.12256197509624256</v>
      </c>
    </row>
    <row r="274" spans="1:110" s="103" customFormat="1" x14ac:dyDescent="0.2">
      <c r="A274" s="147" t="s">
        <v>105</v>
      </c>
      <c r="C274" s="103" t="e">
        <f>IF(C272&gt;C273,"RF",0)</f>
        <v>#DIV/0!</v>
      </c>
      <c r="D274" s="103" t="e">
        <f t="shared" ref="D274:U274" si="2304">IF(D272&gt;D273,"RF",0)</f>
        <v>#DIV/0!</v>
      </c>
      <c r="F274" s="103" t="str">
        <f t="shared" si="2304"/>
        <v>RF</v>
      </c>
      <c r="G274" s="103">
        <f t="shared" si="2304"/>
        <v>0</v>
      </c>
      <c r="H274" s="103">
        <f t="shared" si="2304"/>
        <v>0</v>
      </c>
      <c r="I274" s="103">
        <f t="shared" si="2304"/>
        <v>0</v>
      </c>
      <c r="J274" s="103" t="str">
        <f t="shared" si="2304"/>
        <v>RF</v>
      </c>
      <c r="K274" s="103" t="str">
        <f t="shared" si="2304"/>
        <v>RF</v>
      </c>
      <c r="L274" s="103" t="str">
        <f t="shared" si="2304"/>
        <v>RF</v>
      </c>
      <c r="M274" s="103">
        <f t="shared" si="2304"/>
        <v>0</v>
      </c>
      <c r="N274" s="103" t="str">
        <f t="shared" si="2304"/>
        <v>RF</v>
      </c>
      <c r="O274" s="103" t="str">
        <f t="shared" si="2304"/>
        <v>RF</v>
      </c>
      <c r="P274" s="103">
        <f t="shared" si="2304"/>
        <v>0</v>
      </c>
      <c r="Q274" s="103">
        <f t="shared" si="2304"/>
        <v>0</v>
      </c>
      <c r="R274" s="103">
        <f t="shared" si="2304"/>
        <v>0</v>
      </c>
      <c r="S274" s="103">
        <f t="shared" si="2304"/>
        <v>0</v>
      </c>
      <c r="T274" s="103">
        <f t="shared" si="2304"/>
        <v>0</v>
      </c>
      <c r="U274" s="103" t="str">
        <f t="shared" si="2304"/>
        <v>RF</v>
      </c>
      <c r="V274" s="103" t="str">
        <f>IF(V272&gt;V273,"RF",0)</f>
        <v>RF</v>
      </c>
      <c r="W274" s="103">
        <f t="shared" ref="W274:AE274" si="2305">IF(W272&gt;W273,"RF",0)</f>
        <v>0</v>
      </c>
      <c r="X274" s="103" t="str">
        <f t="shared" si="2305"/>
        <v>RF</v>
      </c>
      <c r="Y274" s="103">
        <f t="shared" si="2305"/>
        <v>0</v>
      </c>
      <c r="Z274" s="103">
        <f t="shared" si="2305"/>
        <v>0</v>
      </c>
      <c r="AA274" s="103">
        <f t="shared" ref="AA274" si="2306">IF(AA272&gt;AA273,"RF",0)</f>
        <v>0</v>
      </c>
      <c r="AB274" s="73">
        <f t="shared" si="2305"/>
        <v>0</v>
      </c>
      <c r="AC274" s="73">
        <f t="shared" si="2305"/>
        <v>0</v>
      </c>
      <c r="AD274" s="73">
        <f t="shared" si="2305"/>
        <v>0</v>
      </c>
      <c r="AE274" s="73">
        <f t="shared" si="2305"/>
        <v>0</v>
      </c>
      <c r="AL274" s="103" t="e">
        <f t="shared" ref="AL274:CW274" si="2307">IF(AL272&gt;AL273,"RF",0)</f>
        <v>#DIV/0!</v>
      </c>
      <c r="AM274" s="103" t="e">
        <f t="shared" si="2307"/>
        <v>#DIV/0!</v>
      </c>
      <c r="AN274" s="103" t="e">
        <f t="shared" si="2307"/>
        <v>#DIV/0!</v>
      </c>
      <c r="AO274" s="103" t="e">
        <f t="shared" si="2307"/>
        <v>#DIV/0!</v>
      </c>
      <c r="AP274" s="103" t="e">
        <f t="shared" si="2307"/>
        <v>#DIV/0!</v>
      </c>
      <c r="AQ274" s="103" t="e">
        <f t="shared" si="2307"/>
        <v>#DIV/0!</v>
      </c>
      <c r="AR274" s="103" t="e">
        <f t="shared" si="2307"/>
        <v>#DIV/0!</v>
      </c>
      <c r="AS274" s="103" t="e">
        <f t="shared" si="2307"/>
        <v>#DIV/0!</v>
      </c>
      <c r="AT274" s="103" t="e">
        <f t="shared" si="2307"/>
        <v>#DIV/0!</v>
      </c>
      <c r="AU274" s="103" t="e">
        <f t="shared" si="2307"/>
        <v>#DIV/0!</v>
      </c>
      <c r="AV274" s="103" t="e">
        <f t="shared" si="2307"/>
        <v>#DIV/0!</v>
      </c>
      <c r="AW274" s="103" t="e">
        <f t="shared" si="2307"/>
        <v>#DIV/0!</v>
      </c>
      <c r="AX274" s="103" t="e">
        <f t="shared" si="2307"/>
        <v>#DIV/0!</v>
      </c>
      <c r="AY274" s="103" t="e">
        <f t="shared" si="2307"/>
        <v>#DIV/0!</v>
      </c>
      <c r="AZ274" s="103" t="e">
        <f t="shared" si="2307"/>
        <v>#DIV/0!</v>
      </c>
      <c r="BA274" s="103" t="e">
        <f t="shared" si="2307"/>
        <v>#DIV/0!</v>
      </c>
      <c r="BB274" s="103" t="e">
        <f t="shared" si="2307"/>
        <v>#DIV/0!</v>
      </c>
      <c r="BC274" s="103" t="e">
        <f t="shared" si="2307"/>
        <v>#DIV/0!</v>
      </c>
      <c r="BD274" s="103" t="e">
        <f t="shared" si="2307"/>
        <v>#DIV/0!</v>
      </c>
      <c r="BE274" s="103" t="e">
        <f t="shared" si="2307"/>
        <v>#DIV/0!</v>
      </c>
      <c r="BF274" s="103" t="e">
        <f t="shared" si="2307"/>
        <v>#DIV/0!</v>
      </c>
      <c r="BG274" s="103" t="e">
        <f t="shared" si="2307"/>
        <v>#DIV/0!</v>
      </c>
      <c r="BH274" s="103" t="e">
        <f t="shared" si="2307"/>
        <v>#DIV/0!</v>
      </c>
      <c r="BI274" s="103" t="e">
        <f t="shared" si="2307"/>
        <v>#DIV/0!</v>
      </c>
      <c r="BJ274" s="103" t="e">
        <f t="shared" si="2307"/>
        <v>#DIV/0!</v>
      </c>
      <c r="BK274" s="103" t="e">
        <f t="shared" si="2307"/>
        <v>#DIV/0!</v>
      </c>
      <c r="BL274" s="103" t="e">
        <f t="shared" si="2307"/>
        <v>#DIV/0!</v>
      </c>
      <c r="BM274" s="103" t="e">
        <f t="shared" si="2307"/>
        <v>#DIV/0!</v>
      </c>
      <c r="BN274" s="103" t="e">
        <f t="shared" si="2307"/>
        <v>#DIV/0!</v>
      </c>
      <c r="BO274" s="103" t="e">
        <f t="shared" si="2307"/>
        <v>#DIV/0!</v>
      </c>
      <c r="BP274" s="103" t="e">
        <f t="shared" si="2307"/>
        <v>#DIV/0!</v>
      </c>
      <c r="BQ274" s="103" t="e">
        <f t="shared" si="2307"/>
        <v>#DIV/0!</v>
      </c>
      <c r="BR274" s="103" t="e">
        <f t="shared" si="2307"/>
        <v>#DIV/0!</v>
      </c>
      <c r="BS274" s="103">
        <f t="shared" si="2307"/>
        <v>0</v>
      </c>
      <c r="BT274" s="103">
        <f t="shared" si="2307"/>
        <v>0</v>
      </c>
      <c r="BU274" s="103" t="e">
        <f t="shared" si="2307"/>
        <v>#DIV/0!</v>
      </c>
      <c r="BV274" s="103" t="e">
        <f t="shared" si="2307"/>
        <v>#DIV/0!</v>
      </c>
      <c r="BW274" s="103">
        <f t="shared" si="2307"/>
        <v>0</v>
      </c>
      <c r="BX274" s="103" t="str">
        <f t="shared" si="2307"/>
        <v>RF</v>
      </c>
      <c r="BY274" s="103">
        <f t="shared" si="2307"/>
        <v>0</v>
      </c>
      <c r="BZ274" s="103" t="str">
        <f t="shared" si="2307"/>
        <v>RF</v>
      </c>
      <c r="CA274" s="103">
        <f t="shared" si="2307"/>
        <v>0</v>
      </c>
      <c r="CB274" s="103" t="str">
        <f t="shared" si="2307"/>
        <v>RF</v>
      </c>
      <c r="CC274" s="103">
        <f t="shared" si="2307"/>
        <v>0</v>
      </c>
      <c r="CD274" s="103">
        <f t="shared" si="2307"/>
        <v>0</v>
      </c>
      <c r="CE274" s="103">
        <f t="shared" si="2307"/>
        <v>0</v>
      </c>
      <c r="CF274" s="103">
        <f t="shared" si="2307"/>
        <v>0</v>
      </c>
      <c r="CG274" s="103">
        <f t="shared" si="2307"/>
        <v>0</v>
      </c>
      <c r="CH274" s="103" t="str">
        <f t="shared" si="2307"/>
        <v>RF</v>
      </c>
      <c r="CI274" s="103" t="str">
        <f t="shared" si="2307"/>
        <v>RF</v>
      </c>
      <c r="CJ274" s="103">
        <f t="shared" si="2307"/>
        <v>0</v>
      </c>
      <c r="CK274" s="103" t="str">
        <f t="shared" si="2307"/>
        <v>RF</v>
      </c>
      <c r="CL274" s="103" t="str">
        <f t="shared" ref="CL274" si="2308">IF(CL272&gt;CL273,"RF",0)</f>
        <v>RF</v>
      </c>
      <c r="CM274" s="73">
        <f t="shared" si="2307"/>
        <v>0</v>
      </c>
      <c r="CN274" s="73">
        <f t="shared" si="2307"/>
        <v>0</v>
      </c>
      <c r="CO274" s="73">
        <f t="shared" si="2307"/>
        <v>0</v>
      </c>
      <c r="CP274" s="73">
        <f t="shared" si="2307"/>
        <v>0</v>
      </c>
      <c r="CQ274" s="73" t="str">
        <f t="shared" si="2307"/>
        <v>RF</v>
      </c>
      <c r="CR274" s="73">
        <f t="shared" si="2307"/>
        <v>0</v>
      </c>
      <c r="CS274" s="73">
        <f t="shared" si="2307"/>
        <v>0</v>
      </c>
      <c r="CT274" s="73">
        <f t="shared" si="2307"/>
        <v>0</v>
      </c>
      <c r="CU274" s="73" t="str">
        <f t="shared" si="2307"/>
        <v>RF</v>
      </c>
      <c r="CV274" s="73">
        <f t="shared" si="2307"/>
        <v>0</v>
      </c>
      <c r="CW274" s="73">
        <f t="shared" si="2307"/>
        <v>0</v>
      </c>
      <c r="CX274" s="73">
        <f t="shared" ref="CX274:DB274" si="2309">IF(CX272&gt;CX273,"RF",0)</f>
        <v>0</v>
      </c>
      <c r="CY274" s="73" t="str">
        <f t="shared" si="2309"/>
        <v>RF</v>
      </c>
      <c r="CZ274" s="73">
        <f t="shared" si="2309"/>
        <v>0</v>
      </c>
      <c r="DA274" s="73">
        <f t="shared" si="2309"/>
        <v>0</v>
      </c>
      <c r="DB274" s="73">
        <f t="shared" si="2309"/>
        <v>0</v>
      </c>
      <c r="DE274" s="142"/>
      <c r="DF274" s="103">
        <v>0</v>
      </c>
    </row>
    <row r="275" spans="1:110" s="86" customFormat="1" x14ac:dyDescent="0.2">
      <c r="A275" s="86" t="s">
        <v>432</v>
      </c>
      <c r="B275" s="86" t="e">
        <f>B59/B31</f>
        <v>#DIV/0!</v>
      </c>
      <c r="C275" s="86" t="e">
        <f>C59/C31</f>
        <v>#DIV/0!</v>
      </c>
      <c r="D275" s="86">
        <f>D59/D31</f>
        <v>7.7920512194115986E-3</v>
      </c>
      <c r="F275" s="86">
        <f t="shared" ref="F275:AE275" si="2310">F59/F31</f>
        <v>1.7548773425588339E-2</v>
      </c>
      <c r="G275" s="86">
        <f t="shared" si="2310"/>
        <v>2.4385408553786302E-2</v>
      </c>
      <c r="H275" s="86">
        <f t="shared" si="2310"/>
        <v>3.3541241713050153E-2</v>
      </c>
      <c r="I275" s="86">
        <f t="shared" si="2310"/>
        <v>2.8001618594069896E-2</v>
      </c>
      <c r="J275" s="86">
        <f t="shared" si="2310"/>
        <v>1.7589979597111394E-2</v>
      </c>
      <c r="K275" s="86">
        <f t="shared" si="2310"/>
        <v>1.1354018962007963E-2</v>
      </c>
      <c r="L275" s="86">
        <f t="shared" si="2310"/>
        <v>1.2102089875179986E-2</v>
      </c>
      <c r="M275" s="86">
        <f t="shared" si="2310"/>
        <v>1.5123577793991939E-2</v>
      </c>
      <c r="N275" s="86">
        <f t="shared" si="2310"/>
        <v>1.6659250120760766E-2</v>
      </c>
      <c r="O275" s="86">
        <f t="shared" si="2310"/>
        <v>2.1843532965025812E-2</v>
      </c>
      <c r="P275" s="86">
        <f t="shared" si="2310"/>
        <v>1.9079031523454654E-2</v>
      </c>
      <c r="Q275" s="86">
        <f t="shared" si="2310"/>
        <v>1.7383360013718353E-2</v>
      </c>
      <c r="R275" s="86">
        <f t="shared" si="2310"/>
        <v>1.4060502440461505E-2</v>
      </c>
      <c r="S275" s="86">
        <f t="shared" si="2310"/>
        <v>1.1272402001684124E-2</v>
      </c>
      <c r="T275" s="86">
        <f t="shared" si="2310"/>
        <v>1.626413114210527E-2</v>
      </c>
      <c r="U275" s="86">
        <f t="shared" si="2310"/>
        <v>1.9100066418177068E-2</v>
      </c>
      <c r="V275" s="86">
        <f t="shared" si="2310"/>
        <v>1.0895428962799965E-2</v>
      </c>
      <c r="W275" s="86">
        <f t="shared" si="2310"/>
        <v>9.921492537094373E-3</v>
      </c>
      <c r="X275" s="86">
        <f t="shared" si="2310"/>
        <v>1.3228651745141722E-2</v>
      </c>
      <c r="Y275" s="86">
        <f t="shared" si="2310"/>
        <v>1.4498195152662544E-2</v>
      </c>
      <c r="Z275" s="86">
        <f t="shared" si="2310"/>
        <v>1.1264780687916131E-2</v>
      </c>
      <c r="AA275" s="86">
        <f t="shared" ref="AA275" si="2311">AA59/AA31</f>
        <v>9.3509186496136404E-3</v>
      </c>
      <c r="AB275" s="87">
        <f t="shared" si="2310"/>
        <v>1.5276489967495463E-3</v>
      </c>
      <c r="AC275" s="87">
        <f t="shared" si="2310"/>
        <v>7.8891827083303438E-3</v>
      </c>
      <c r="AD275" s="87">
        <f t="shared" si="2310"/>
        <v>1.0175640749235418E-2</v>
      </c>
      <c r="AE275" s="87">
        <f t="shared" si="2310"/>
        <v>1.1976539130065154E-2</v>
      </c>
      <c r="AL275" s="86" t="e">
        <f t="shared" ref="AL275:CW275" si="2312">AL59/AL31</f>
        <v>#DIV/0!</v>
      </c>
      <c r="AM275" s="86" t="e">
        <f t="shared" si="2312"/>
        <v>#DIV/0!</v>
      </c>
      <c r="AN275" s="86" t="e">
        <f t="shared" si="2312"/>
        <v>#DIV/0!</v>
      </c>
      <c r="AO275" s="86" t="e">
        <f t="shared" si="2312"/>
        <v>#DIV/0!</v>
      </c>
      <c r="AP275" s="86" t="e">
        <f t="shared" si="2312"/>
        <v>#DIV/0!</v>
      </c>
      <c r="AQ275" s="86" t="e">
        <f t="shared" si="2312"/>
        <v>#DIV/0!</v>
      </c>
      <c r="AR275" s="86" t="e">
        <f t="shared" si="2312"/>
        <v>#DIV/0!</v>
      </c>
      <c r="AS275" s="86" t="e">
        <f t="shared" si="2312"/>
        <v>#DIV/0!</v>
      </c>
      <c r="AT275" s="86" t="e">
        <f t="shared" si="2312"/>
        <v>#DIV/0!</v>
      </c>
      <c r="AU275" s="86" t="e">
        <f t="shared" si="2312"/>
        <v>#DIV/0!</v>
      </c>
      <c r="AV275" s="86" t="e">
        <f t="shared" si="2312"/>
        <v>#DIV/0!</v>
      </c>
      <c r="AW275" s="86" t="e">
        <f t="shared" si="2312"/>
        <v>#DIV/0!</v>
      </c>
      <c r="AX275" s="86" t="e">
        <f t="shared" si="2312"/>
        <v>#DIV/0!</v>
      </c>
      <c r="AY275" s="86" t="e">
        <f t="shared" si="2312"/>
        <v>#DIV/0!</v>
      </c>
      <c r="AZ275" s="86" t="e">
        <f t="shared" si="2312"/>
        <v>#DIV/0!</v>
      </c>
      <c r="BA275" s="86" t="e">
        <f t="shared" si="2312"/>
        <v>#DIV/0!</v>
      </c>
      <c r="BB275" s="86" t="e">
        <f t="shared" si="2312"/>
        <v>#DIV/0!</v>
      </c>
      <c r="BC275" s="86" t="e">
        <f t="shared" si="2312"/>
        <v>#DIV/0!</v>
      </c>
      <c r="BD275" s="86" t="e">
        <f t="shared" si="2312"/>
        <v>#DIV/0!</v>
      </c>
      <c r="BE275" s="86" t="e">
        <f t="shared" si="2312"/>
        <v>#DIV/0!</v>
      </c>
      <c r="BF275" s="86" t="e">
        <f t="shared" si="2312"/>
        <v>#DIV/0!</v>
      </c>
      <c r="BG275" s="86" t="e">
        <f t="shared" si="2312"/>
        <v>#DIV/0!</v>
      </c>
      <c r="BH275" s="86" t="e">
        <f t="shared" si="2312"/>
        <v>#DIV/0!</v>
      </c>
      <c r="BI275" s="86" t="e">
        <f t="shared" si="2312"/>
        <v>#DIV/0!</v>
      </c>
      <c r="BJ275" s="86" t="e">
        <f t="shared" si="2312"/>
        <v>#DIV/0!</v>
      </c>
      <c r="BK275" s="86" t="e">
        <f t="shared" si="2312"/>
        <v>#DIV/0!</v>
      </c>
      <c r="BL275" s="86" t="e">
        <f t="shared" si="2312"/>
        <v>#DIV/0!</v>
      </c>
      <c r="BM275" s="86" t="e">
        <f t="shared" si="2312"/>
        <v>#DIV/0!</v>
      </c>
      <c r="BN275" s="86" t="e">
        <f t="shared" si="2312"/>
        <v>#DIV/0!</v>
      </c>
      <c r="BO275" s="86" t="e">
        <f t="shared" si="2312"/>
        <v>#DIV/0!</v>
      </c>
      <c r="BP275" s="86" t="e">
        <f t="shared" si="2312"/>
        <v>#DIV/0!</v>
      </c>
      <c r="BQ275" s="86">
        <f t="shared" si="2312"/>
        <v>8.1656074740773989E-3</v>
      </c>
      <c r="BR275" s="86">
        <f t="shared" si="2312"/>
        <v>1.0366986059289715E-2</v>
      </c>
      <c r="BS275" s="86">
        <f t="shared" si="2312"/>
        <v>1.2579594889307523E-2</v>
      </c>
      <c r="BT275" s="86">
        <f t="shared" si="2312"/>
        <v>1.0970264343985717E-2</v>
      </c>
      <c r="BU275" s="86">
        <f t="shared" si="2312"/>
        <v>9.9659590339379808E-3</v>
      </c>
      <c r="BV275" s="86">
        <f t="shared" si="2312"/>
        <v>7.1413919178186878E-3</v>
      </c>
      <c r="BW275" s="86">
        <f t="shared" si="2312"/>
        <v>1.0156824632286274E-2</v>
      </c>
      <c r="BX275" s="86">
        <f t="shared" si="2312"/>
        <v>1.1544851848370639E-2</v>
      </c>
      <c r="BY275" s="86">
        <f t="shared" si="2312"/>
        <v>1.6318123079015808E-2</v>
      </c>
      <c r="BZ275" s="86">
        <f t="shared" si="2312"/>
        <v>1.514419749953866E-2</v>
      </c>
      <c r="CA275" s="86">
        <f t="shared" si="2312"/>
        <v>1.3201496277869566E-2</v>
      </c>
      <c r="CB275" s="86">
        <f t="shared" si="2312"/>
        <v>1.7952825228353776E-2</v>
      </c>
      <c r="CC275" s="86">
        <f t="shared" si="2312"/>
        <v>1.4583313845261592E-2</v>
      </c>
      <c r="CD275" s="86">
        <f t="shared" si="2312"/>
        <v>1.2942010144575708E-2</v>
      </c>
      <c r="CE275" s="86">
        <f t="shared" si="2312"/>
        <v>1.1697877256011614E-2</v>
      </c>
      <c r="CF275" s="86">
        <f t="shared" si="2312"/>
        <v>1.2231192655471235E-2</v>
      </c>
      <c r="CG275" s="86">
        <f t="shared" si="2312"/>
        <v>1.209107979993895E-2</v>
      </c>
      <c r="CH275" s="86">
        <f t="shared" si="2312"/>
        <v>9.7725730529320733E-3</v>
      </c>
      <c r="CI275" s="86">
        <f t="shared" si="2312"/>
        <v>9.2990945942381126E-3</v>
      </c>
      <c r="CJ275" s="86">
        <f t="shared" si="2312"/>
        <v>1.0751185629640485E-2</v>
      </c>
      <c r="CK275" s="86">
        <f t="shared" si="2312"/>
        <v>9.930294952283732E-3</v>
      </c>
      <c r="CL275" s="86">
        <f t="shared" ref="CL275" si="2313">CL59/CL31</f>
        <v>8.1193471351674699E-3</v>
      </c>
      <c r="CM275" s="87">
        <f t="shared" si="2312"/>
        <v>1.1113926421767999E-3</v>
      </c>
      <c r="CN275" s="87">
        <f t="shared" si="2312"/>
        <v>1.5528413821120602E-3</v>
      </c>
      <c r="CO275" s="87">
        <f t="shared" si="2312"/>
        <v>1.7096156658448275E-3</v>
      </c>
      <c r="CP275" s="87">
        <f t="shared" si="2312"/>
        <v>1.6704026525424247E-3</v>
      </c>
      <c r="CQ275" s="87">
        <f t="shared" si="2312"/>
        <v>7.042471196214534E-3</v>
      </c>
      <c r="CR275" s="87">
        <f t="shared" si="2312"/>
        <v>8.3254994249916652E-3</v>
      </c>
      <c r="CS275" s="87">
        <f t="shared" si="2312"/>
        <v>8.3987359859707417E-3</v>
      </c>
      <c r="CT275" s="87">
        <f t="shared" si="2312"/>
        <v>7.7475648970810702E-3</v>
      </c>
      <c r="CU275" s="87">
        <f t="shared" si="2312"/>
        <v>9.8346923768710438E-3</v>
      </c>
      <c r="CV275" s="87">
        <f t="shared" si="2312"/>
        <v>1.076634628411172E-2</v>
      </c>
      <c r="CW275" s="87">
        <f t="shared" si="2312"/>
        <v>1.0611454723755241E-2</v>
      </c>
      <c r="CX275" s="87">
        <f t="shared" ref="CX275:DB275" si="2314">CX59/CX31</f>
        <v>9.5868957097556134E-3</v>
      </c>
      <c r="CY275" s="87">
        <f t="shared" si="2314"/>
        <v>1.1949636500547971E-2</v>
      </c>
      <c r="CZ275" s="87">
        <f t="shared" si="2314"/>
        <v>1.2727316862395234E-2</v>
      </c>
      <c r="DA275" s="87">
        <f t="shared" si="2314"/>
        <v>1.2380251348890021E-2</v>
      </c>
      <c r="DB275" s="87">
        <f t="shared" si="2314"/>
        <v>1.1047495636373564E-2</v>
      </c>
      <c r="DE275" s="141"/>
      <c r="DF275" s="86">
        <v>3.110304351404971E-3</v>
      </c>
    </row>
    <row r="276" spans="1:110" s="86" customFormat="1" x14ac:dyDescent="0.2">
      <c r="A276" s="86" t="s">
        <v>433</v>
      </c>
      <c r="B276" s="86" t="e">
        <f>B55/B31</f>
        <v>#DIV/0!</v>
      </c>
      <c r="C276" s="86" t="e">
        <f>C55/C31</f>
        <v>#DIV/0!</v>
      </c>
      <c r="D276" s="86">
        <f>D55/D31</f>
        <v>3.2535621032192979E-3</v>
      </c>
      <c r="F276" s="86">
        <f t="shared" ref="F276:AE276" si="2315">F55/F31</f>
        <v>3.6998437444632193E-3</v>
      </c>
      <c r="G276" s="86">
        <f t="shared" si="2315"/>
        <v>5.1064099363142771E-3</v>
      </c>
      <c r="H276" s="86">
        <f t="shared" si="2315"/>
        <v>5.8128174514537152E-3</v>
      </c>
      <c r="I276" s="86">
        <f t="shared" si="2315"/>
        <v>4.5123014913768106E-3</v>
      </c>
      <c r="J276" s="86">
        <f t="shared" si="2315"/>
        <v>2.9181175894458051E-3</v>
      </c>
      <c r="K276" s="86">
        <f t="shared" si="2315"/>
        <v>3.5548859611027684E-3</v>
      </c>
      <c r="L276" s="86">
        <f t="shared" si="2315"/>
        <v>3.5833748246315417E-3</v>
      </c>
      <c r="M276" s="86">
        <f t="shared" si="2315"/>
        <v>3.0144686369993961E-3</v>
      </c>
      <c r="N276" s="86">
        <f t="shared" si="2315"/>
        <v>3.8428013084269822E-3</v>
      </c>
      <c r="O276" s="86">
        <f t="shared" si="2315"/>
        <v>5.2993601512447142E-3</v>
      </c>
      <c r="P276" s="86">
        <f t="shared" si="2315"/>
        <v>6.152056833517521E-3</v>
      </c>
      <c r="Q276" s="86">
        <f t="shared" si="2315"/>
        <v>6.010719554822702E-3</v>
      </c>
      <c r="R276" s="86">
        <f t="shared" si="2315"/>
        <v>5.098693799980617E-3</v>
      </c>
      <c r="S276" s="86">
        <f t="shared" si="2315"/>
        <v>5.5043631345212023E-3</v>
      </c>
      <c r="T276" s="86">
        <f t="shared" si="2315"/>
        <v>6.2926588725628636E-3</v>
      </c>
      <c r="U276" s="86">
        <f t="shared" si="2315"/>
        <v>8.0961184073717763E-3</v>
      </c>
      <c r="V276" s="86">
        <f t="shared" si="2315"/>
        <v>7.1751039408006357E-3</v>
      </c>
      <c r="W276" s="86">
        <f t="shared" si="2315"/>
        <v>5.6701057407022816E-3</v>
      </c>
      <c r="X276" s="86">
        <f t="shared" si="2315"/>
        <v>6.119267156046433E-3</v>
      </c>
      <c r="Y276" s="86">
        <f t="shared" si="2315"/>
        <v>7.0419141465155538E-3</v>
      </c>
      <c r="Z276" s="86">
        <f t="shared" si="2315"/>
        <v>6.1468867908676958E-3</v>
      </c>
      <c r="AA276" s="86">
        <f t="shared" ref="AA276" si="2316">AA55/AA31</f>
        <v>5.9370681098104283E-3</v>
      </c>
      <c r="AB276" s="87">
        <f t="shared" si="2315"/>
        <v>6.7124310294600226E-3</v>
      </c>
      <c r="AC276" s="87">
        <f t="shared" si="2315"/>
        <v>4.5862723954829309E-3</v>
      </c>
      <c r="AD276" s="87">
        <f t="shared" si="2315"/>
        <v>3.9591311645620891E-3</v>
      </c>
      <c r="AE276" s="87">
        <f t="shared" si="2315"/>
        <v>3.4151832499594104E-3</v>
      </c>
      <c r="AL276" s="86" t="e">
        <f t="shared" ref="AL276:CW276" si="2317">AL55/AL31</f>
        <v>#DIV/0!</v>
      </c>
      <c r="AM276" s="86" t="e">
        <f t="shared" si="2317"/>
        <v>#DIV/0!</v>
      </c>
      <c r="AN276" s="86" t="e">
        <f t="shared" si="2317"/>
        <v>#DIV/0!</v>
      </c>
      <c r="AO276" s="86" t="e">
        <f t="shared" si="2317"/>
        <v>#DIV/0!</v>
      </c>
      <c r="AP276" s="86" t="e">
        <f t="shared" si="2317"/>
        <v>#DIV/0!</v>
      </c>
      <c r="AQ276" s="86" t="e">
        <f t="shared" si="2317"/>
        <v>#DIV/0!</v>
      </c>
      <c r="AR276" s="86" t="e">
        <f t="shared" si="2317"/>
        <v>#DIV/0!</v>
      </c>
      <c r="AS276" s="86" t="e">
        <f t="shared" si="2317"/>
        <v>#DIV/0!</v>
      </c>
      <c r="AT276" s="86" t="e">
        <f t="shared" si="2317"/>
        <v>#DIV/0!</v>
      </c>
      <c r="AU276" s="86" t="e">
        <f t="shared" si="2317"/>
        <v>#DIV/0!</v>
      </c>
      <c r="AV276" s="86" t="e">
        <f t="shared" si="2317"/>
        <v>#DIV/0!</v>
      </c>
      <c r="AW276" s="86" t="e">
        <f t="shared" si="2317"/>
        <v>#DIV/0!</v>
      </c>
      <c r="AX276" s="86" t="e">
        <f t="shared" si="2317"/>
        <v>#DIV/0!</v>
      </c>
      <c r="AY276" s="86" t="e">
        <f t="shared" si="2317"/>
        <v>#DIV/0!</v>
      </c>
      <c r="AZ276" s="86" t="e">
        <f t="shared" si="2317"/>
        <v>#DIV/0!</v>
      </c>
      <c r="BA276" s="86" t="e">
        <f t="shared" si="2317"/>
        <v>#DIV/0!</v>
      </c>
      <c r="BB276" s="86" t="e">
        <f t="shared" si="2317"/>
        <v>#DIV/0!</v>
      </c>
      <c r="BC276" s="86" t="e">
        <f t="shared" si="2317"/>
        <v>#DIV/0!</v>
      </c>
      <c r="BD276" s="86" t="e">
        <f t="shared" si="2317"/>
        <v>#DIV/0!</v>
      </c>
      <c r="BE276" s="86" t="e">
        <f t="shared" si="2317"/>
        <v>#DIV/0!</v>
      </c>
      <c r="BF276" s="86" t="e">
        <f t="shared" si="2317"/>
        <v>#DIV/0!</v>
      </c>
      <c r="BG276" s="86" t="e">
        <f t="shared" si="2317"/>
        <v>#DIV/0!</v>
      </c>
      <c r="BH276" s="86" t="e">
        <f t="shared" si="2317"/>
        <v>#DIV/0!</v>
      </c>
      <c r="BI276" s="86" t="e">
        <f t="shared" si="2317"/>
        <v>#DIV/0!</v>
      </c>
      <c r="BJ276" s="86" t="e">
        <f t="shared" si="2317"/>
        <v>#DIV/0!</v>
      </c>
      <c r="BK276" s="86" t="e">
        <f t="shared" si="2317"/>
        <v>#DIV/0!</v>
      </c>
      <c r="BL276" s="86" t="e">
        <f t="shared" si="2317"/>
        <v>#DIV/0!</v>
      </c>
      <c r="BM276" s="86" t="e">
        <f t="shared" si="2317"/>
        <v>#DIV/0!</v>
      </c>
      <c r="BN276" s="86" t="e">
        <f t="shared" si="2317"/>
        <v>#DIV/0!</v>
      </c>
      <c r="BO276" s="86" t="e">
        <f t="shared" si="2317"/>
        <v>#DIV/0!</v>
      </c>
      <c r="BP276" s="86" t="e">
        <f t="shared" si="2317"/>
        <v>#DIV/0!</v>
      </c>
      <c r="BQ276" s="86">
        <f t="shared" si="2317"/>
        <v>6.6630887756867641E-3</v>
      </c>
      <c r="BR276" s="86">
        <f t="shared" si="2317"/>
        <v>6.240430870830576E-3</v>
      </c>
      <c r="BS276" s="86">
        <f t="shared" si="2317"/>
        <v>5.9927669539434781E-3</v>
      </c>
      <c r="BT276" s="86">
        <f t="shared" si="2317"/>
        <v>5.6414919972533773E-3</v>
      </c>
      <c r="BU276" s="86">
        <f t="shared" si="2317"/>
        <v>5.6572578512718739E-3</v>
      </c>
      <c r="BV276" s="86">
        <f t="shared" si="2317"/>
        <v>5.5962019834741774E-3</v>
      </c>
      <c r="BW276" s="86">
        <f t="shared" si="2317"/>
        <v>5.8122437447747193E-3</v>
      </c>
      <c r="BX276" s="86">
        <f t="shared" si="2317"/>
        <v>6.367477666125089E-3</v>
      </c>
      <c r="BY276" s="86">
        <f t="shared" si="2317"/>
        <v>5.8919358338650283E-3</v>
      </c>
      <c r="BZ276" s="86">
        <f t="shared" si="2317"/>
        <v>6.6187834471304668E-3</v>
      </c>
      <c r="CA276" s="86">
        <f t="shared" si="2317"/>
        <v>7.2330926170011325E-3</v>
      </c>
      <c r="CB276" s="86">
        <f t="shared" si="2317"/>
        <v>7.8045837867801405E-3</v>
      </c>
      <c r="CC276" s="86">
        <f t="shared" si="2317"/>
        <v>7.4366481763841986E-3</v>
      </c>
      <c r="CD276" s="86">
        <f t="shared" si="2317"/>
        <v>5.9896406442493779E-3</v>
      </c>
      <c r="CE276" s="86">
        <f t="shared" si="2317"/>
        <v>6.8122807575324027E-3</v>
      </c>
      <c r="CF276" s="86">
        <f t="shared" si="2317"/>
        <v>6.3965663525246477E-3</v>
      </c>
      <c r="CG276" s="86">
        <f t="shared" si="2317"/>
        <v>6.4398658816570715E-3</v>
      </c>
      <c r="CH276" s="86">
        <f t="shared" si="2317"/>
        <v>5.3654525417192594E-3</v>
      </c>
      <c r="CI276" s="86">
        <f t="shared" si="2317"/>
        <v>6.0233371339467072E-3</v>
      </c>
      <c r="CJ276" s="86">
        <f t="shared" si="2317"/>
        <v>6.0796713580621399E-3</v>
      </c>
      <c r="CK276" s="86">
        <f t="shared" si="2317"/>
        <v>5.9754863145989262E-3</v>
      </c>
      <c r="CL276" s="86">
        <f t="shared" ref="CL276" si="2318">CL55/CL31</f>
        <v>5.9581323451719514E-3</v>
      </c>
      <c r="CM276" s="87">
        <f t="shared" si="2317"/>
        <v>7.7573492553640747E-3</v>
      </c>
      <c r="CN276" s="87">
        <f t="shared" si="2317"/>
        <v>7.2336780144556662E-3</v>
      </c>
      <c r="CO276" s="87">
        <f t="shared" si="2317"/>
        <v>6.6216198741060389E-3</v>
      </c>
      <c r="CP276" s="87">
        <f t="shared" si="2317"/>
        <v>5.5688259839097613E-3</v>
      </c>
      <c r="CQ276" s="87">
        <f t="shared" si="2317"/>
        <v>5.2733727863931192E-3</v>
      </c>
      <c r="CR276" s="87">
        <f t="shared" si="2317"/>
        <v>4.93064389992387E-3</v>
      </c>
      <c r="CS276" s="87">
        <f t="shared" si="2317"/>
        <v>4.5303904577913652E-3</v>
      </c>
      <c r="CT276" s="87">
        <f t="shared" si="2317"/>
        <v>3.8317754718277986E-3</v>
      </c>
      <c r="CU276" s="87">
        <f t="shared" si="2317"/>
        <v>4.5524460226161346E-3</v>
      </c>
      <c r="CV276" s="87">
        <f t="shared" si="2317"/>
        <v>4.2586279532124856E-3</v>
      </c>
      <c r="CW276" s="87">
        <f t="shared" si="2317"/>
        <v>3.9108532285568607E-3</v>
      </c>
      <c r="CX276" s="87">
        <f t="shared" ref="CX276:DB276" si="2319">CX55/CX31</f>
        <v>3.3063553973198159E-3</v>
      </c>
      <c r="CY276" s="87">
        <f t="shared" si="2319"/>
        <v>3.9254297184486749E-3</v>
      </c>
      <c r="CZ276" s="87">
        <f t="shared" si="2319"/>
        <v>3.6759065103962696E-3</v>
      </c>
      <c r="DA276" s="87">
        <f t="shared" si="2319"/>
        <v>3.3742220261412646E-3</v>
      </c>
      <c r="DB276" s="87">
        <f t="shared" si="2319"/>
        <v>2.8509783099638147E-3</v>
      </c>
      <c r="DE276" s="141"/>
      <c r="DF276" s="86">
        <v>5.0448948904397422E-3</v>
      </c>
    </row>
    <row r="277" spans="1:110" s="85" customFormat="1" x14ac:dyDescent="0.2">
      <c r="AB277" s="58"/>
      <c r="AC277" s="58"/>
      <c r="AD277" s="58"/>
      <c r="AE277" s="58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E277" s="143"/>
    </row>
  </sheetData>
  <sortState xmlns:xlrd2="http://schemas.microsoft.com/office/spreadsheetml/2017/richdata2" ref="A43:DE48">
    <sortCondition ref="A43:A4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207673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79"/>
      <c r="BG2" s="179"/>
      <c r="BH2" s="179"/>
      <c r="BI2" s="179"/>
      <c r="BJ2" s="179"/>
      <c r="BK2" s="179"/>
      <c r="BL2" s="179"/>
      <c r="BM2" s="179"/>
      <c r="BN2" s="179"/>
      <c r="BO2" s="179"/>
      <c r="BP2" s="179"/>
      <c r="BQ2" s="179"/>
      <c r="BR2" s="179"/>
      <c r="BS2" s="179"/>
      <c r="BT2" s="179"/>
      <c r="BU2" s="179"/>
      <c r="BV2" s="179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AWL Agri Business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10229.49</v>
      </c>
      <c r="AL6">
        <f>_xll.EQNXTDZ($A$1,$B6,AL$1,$B$1)</f>
        <v>10672.34</v>
      </c>
      <c r="AM6">
        <f>_xll.EQNXTDZ($A$1,$B6,AM$1,$B$1)</f>
        <v>11311.97</v>
      </c>
      <c r="AN6">
        <f>_xll.EQNXTDZ($A$1,$B6,AN$1,$B$1)</f>
        <v>13558.47</v>
      </c>
      <c r="AO6">
        <f>_xll.EQNXTDZ($A$1,$B6,AO$1,$B$1)</f>
        <v>14370.92</v>
      </c>
      <c r="AP6">
        <f>_xll.EQNXTDZ($A$1,$B6,AP$1,$B$1)</f>
        <v>14917.26</v>
      </c>
      <c r="AQ6">
        <f>_xll.EQNXTDZ($A$1,$B6,AQ$1,$B$1)</f>
        <v>14724.09</v>
      </c>
      <c r="AR6">
        <f>_xll.EQNXTDZ($A$1,$B6,AR$1,$B$1)</f>
        <v>14150.03</v>
      </c>
      <c r="AS6">
        <f>_xll.EQNXTDZ($A$1,$B6,AS$1,$B$1)</f>
        <v>15438.05</v>
      </c>
      <c r="AT6">
        <f>_xll.EQNXTDZ($A$1,$B6,AT$1,$B$1)</f>
        <v>13872.64</v>
      </c>
      <c r="AU6">
        <f>_xll.EQNXTDZ($A$1,$B6,AU$1,$B$1)</f>
        <v>12928.08</v>
      </c>
      <c r="AV6">
        <f>_xll.EQNXTDZ($A$1,$B6,AV$1,$B$1)</f>
        <v>12267.15</v>
      </c>
      <c r="AW6">
        <f>_xll.EQNXTDZ($A$1,$B6,AW$1,$B$1)</f>
        <v>12828.36</v>
      </c>
      <c r="AX6">
        <f>_xll.EQNXTDZ($A$1,$B6,AX$1,$B$1)</f>
        <v>13222.83</v>
      </c>
      <c r="AY6">
        <f>_xll.EQNXTDZ($A$1,$B6,AY$1,$B$1)</f>
        <v>14153.85</v>
      </c>
      <c r="AZ6">
        <f>_xll.EQNXTDZ($A$1,$B6,AZ$1,$B$1)</f>
        <v>14449.94</v>
      </c>
      <c r="BA6">
        <f>_xll.EQNXTDZ($A$1,$B6,BA$1,$B$1)</f>
        <v>16838.86</v>
      </c>
      <c r="BB6">
        <f>_xll.EQNXTDZ($A$1,$B6,BB$1,$B$1)</f>
        <v>18229.59</v>
      </c>
      <c r="BC6">
        <f>_xll.EQNXTDZ($A$1,$B6,BC$1,$B$1)</f>
        <v>17058.650000000001</v>
      </c>
      <c r="BD6">
        <f>_xll.EQNXTDZ($A$1,$B6,BD$1,$B$1)</f>
        <v>17604.57</v>
      </c>
      <c r="BE6">
        <f>_xll.EQNXTDZ($A$1,$B6,BE$1,$B$1)</f>
        <v>18602.669999999998</v>
      </c>
      <c r="BF6">
        <f>_xll.EQNXTDZ($A$1,$B6,BF$1,$B$1)</f>
        <v>21464.78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10229.49</v>
      </c>
      <c r="AL9">
        <f>_xll.EQNXTDZ($A$1,$B9,AL$1,$B$1)</f>
        <v>10672.34</v>
      </c>
      <c r="AM9">
        <f>_xll.EQNXTDZ($A$1,$B9,AM$1,$B$1)</f>
        <v>11311.97</v>
      </c>
      <c r="AN9">
        <f>_xll.EQNXTDZ($A$1,$B9,AN$1,$B$1)</f>
        <v>13558.47</v>
      </c>
      <c r="AO9">
        <f>_xll.EQNXTDZ($A$1,$B9,AO$1,$B$1)</f>
        <v>14370.92</v>
      </c>
      <c r="AP9">
        <f>_xll.EQNXTDZ($A$1,$B9,AP$1,$B$1)</f>
        <v>14917.26</v>
      </c>
      <c r="AQ9">
        <f>_xll.EQNXTDZ($A$1,$B9,AQ$1,$B$1)</f>
        <v>14724.09</v>
      </c>
      <c r="AR9">
        <f>_xll.EQNXTDZ($A$1,$B9,AR$1,$B$1)</f>
        <v>14150.03</v>
      </c>
      <c r="AS9">
        <f>_xll.EQNXTDZ($A$1,$B9,AS$1,$B$1)</f>
        <v>15438.05</v>
      </c>
      <c r="AT9">
        <f>_xll.EQNXTDZ($A$1,$B9,AT$1,$B$1)</f>
        <v>13872.64</v>
      </c>
      <c r="AU9">
        <f>_xll.EQNXTDZ($A$1,$B9,AU$1,$B$1)</f>
        <v>12928.08</v>
      </c>
      <c r="AV9">
        <f>_xll.EQNXTDZ($A$1,$B9,AV$1,$B$1)</f>
        <v>12267.15</v>
      </c>
      <c r="AW9">
        <f>_xll.EQNXTDZ($A$1,$B9,AW$1,$B$1)</f>
        <v>12828.36</v>
      </c>
      <c r="AX9">
        <f>_xll.EQNXTDZ($A$1,$B9,AX$1,$B$1)</f>
        <v>13222.83</v>
      </c>
      <c r="AY9">
        <f>_xll.EQNXTDZ($A$1,$B9,AY$1,$B$1)</f>
        <v>14153.85</v>
      </c>
      <c r="AZ9">
        <f>_xll.EQNXTDZ($A$1,$B9,AZ$1,$B$1)</f>
        <v>14449.94</v>
      </c>
      <c r="BA9">
        <f>_xll.EQNXTDZ($A$1,$B9,BA$1,$B$1)</f>
        <v>16838.86</v>
      </c>
      <c r="BB9">
        <f>_xll.EQNXTDZ($A$1,$B9,BB$1,$B$1)</f>
        <v>18229.59</v>
      </c>
      <c r="BC9">
        <f>_xll.EQNXTDZ($A$1,$B9,BC$1,$B$1)</f>
        <v>17058.650000000001</v>
      </c>
      <c r="BD9">
        <f>_xll.EQNXTDZ($A$1,$B9,BD$1,$B$1)</f>
        <v>17604.57</v>
      </c>
      <c r="BE9">
        <f>_xll.EQNXTDZ($A$1,$B9,BE$1,$B$1)</f>
        <v>18602.669999999998</v>
      </c>
      <c r="BF9">
        <f>_xll.EQNXTDZ($A$1,$B9,BF$1,$B$1)</f>
        <v>21464.78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-59.84</v>
      </c>
      <c r="AL10">
        <f>_xll.EQNXTDZ($A$1,$B10,AL$1,$B$1)</f>
        <v>-486.87</v>
      </c>
      <c r="AM10">
        <f>_xll.EQNXTDZ($A$1,$B10,AM$1,$B$1)</f>
        <v>-21.1</v>
      </c>
      <c r="AN10">
        <f>_xll.EQNXTDZ($A$1,$B10,AN$1,$B$1)</f>
        <v>-653.16</v>
      </c>
      <c r="AO10">
        <f>_xll.EQNXTDZ($A$1,$B10,AO$1,$B$1)</f>
        <v>-212.28</v>
      </c>
      <c r="AP10">
        <f>_xll.EQNXTDZ($A$1,$B10,AP$1,$B$1)</f>
        <v>-870.31</v>
      </c>
      <c r="AQ10">
        <f>_xll.EQNXTDZ($A$1,$B10,AQ$1,$B$1)</f>
        <v>899.21</v>
      </c>
      <c r="AR10">
        <f>_xll.EQNXTDZ($A$1,$B10,AR$1,$B$1)</f>
        <v>86.87</v>
      </c>
      <c r="AS10">
        <f>_xll.EQNXTDZ($A$1,$B10,AS$1,$B$1)</f>
        <v>517.55999999999995</v>
      </c>
      <c r="AT10">
        <f>_xll.EQNXTDZ($A$1,$B10,AT$1,$B$1)</f>
        <v>-264.97000000000003</v>
      </c>
      <c r="AU10">
        <f>_xll.EQNXTDZ($A$1,$B10,AU$1,$B$1)</f>
        <v>342.35</v>
      </c>
      <c r="AV10">
        <f>_xll.EQNXTDZ($A$1,$B10,AV$1,$B$1)</f>
        <v>-471.05</v>
      </c>
      <c r="AW10">
        <f>_xll.EQNXTDZ($A$1,$B10,AW$1,$B$1)</f>
        <v>105.73</v>
      </c>
      <c r="AX10">
        <f>_xll.EQNXTDZ($A$1,$B10,AX$1,$B$1)</f>
        <v>47.08</v>
      </c>
      <c r="AY10">
        <f>_xll.EQNXTDZ($A$1,$B10,AY$1,$B$1)</f>
        <v>-243.6</v>
      </c>
      <c r="AZ10">
        <f>_xll.EQNXTDZ($A$1,$B10,AZ$1,$B$1)</f>
        <v>-264.83</v>
      </c>
      <c r="BA10">
        <f>_xll.EQNXTDZ($A$1,$B10,BA$1,$B$1)</f>
        <v>-469.44</v>
      </c>
      <c r="BB10">
        <f>_xll.EQNXTDZ($A$1,$B10,BB$1,$B$1)</f>
        <v>134.87</v>
      </c>
      <c r="BC10">
        <f>_xll.EQNXTDZ($A$1,$B10,BC$1,$B$1)</f>
        <v>-335.68</v>
      </c>
      <c r="BD10">
        <f>_xll.EQNXTDZ($A$1,$B10,BD$1,$B$1)</f>
        <v>-521.53</v>
      </c>
      <c r="BE10">
        <f>_xll.EQNXTDZ($A$1,$B10,BE$1,$B$1)</f>
        <v>493.79</v>
      </c>
      <c r="BF10">
        <f>_xll.EQNXTDZ($A$1,$B10,BF$1,$B$1)</f>
        <v>97.16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8950.3799999999992</v>
      </c>
      <c r="AL11">
        <f>_xll.EQNXTDZ($A$1,$B11,AL$1,$B$1)</f>
        <v>9751.89</v>
      </c>
      <c r="AM11">
        <f>_xll.EQNXTDZ($A$1,$B11,AM$1,$B$1)</f>
        <v>9923.07</v>
      </c>
      <c r="AN11">
        <f>_xll.EQNXTDZ($A$1,$B11,AN$1,$B$1)</f>
        <v>12037.88</v>
      </c>
      <c r="AO11">
        <f>_xll.EQNXTDZ($A$1,$B11,AO$1,$B$1)</f>
        <v>12574.65</v>
      </c>
      <c r="AP11">
        <f>_xll.EQNXTDZ($A$1,$B11,AP$1,$B$1)</f>
        <v>13661.91</v>
      </c>
      <c r="AQ11">
        <f>_xll.EQNXTDZ($A$1,$B11,AQ$1,$B$1)</f>
        <v>11775.52</v>
      </c>
      <c r="AR11">
        <f>_xll.EQNXTDZ($A$1,$B11,AR$1,$B$1)</f>
        <v>12222.19</v>
      </c>
      <c r="AS11">
        <f>_xll.EQNXTDZ($A$1,$B11,AS$1,$B$1)</f>
        <v>12383.15</v>
      </c>
      <c r="AT11">
        <f>_xll.EQNXTDZ($A$1,$B11,AT$1,$B$1)</f>
        <v>12104.46</v>
      </c>
      <c r="AU11">
        <f>_xll.EQNXTDZ($A$1,$B11,AU$1,$B$1)</f>
        <v>10897.34</v>
      </c>
      <c r="AV11">
        <f>_xll.EQNXTDZ($A$1,$B11,AV$1,$B$1)</f>
        <v>10713.77</v>
      </c>
      <c r="AW11">
        <f>_xll.EQNXTDZ($A$1,$B11,AW$1,$B$1)</f>
        <v>10666.5</v>
      </c>
      <c r="AX11">
        <f>_xll.EQNXTDZ($A$1,$B11,AX$1,$B$1)</f>
        <v>11013.33</v>
      </c>
      <c r="AY11">
        <f>_xll.EQNXTDZ($A$1,$B11,AY$1,$B$1)</f>
        <v>11563.56</v>
      </c>
      <c r="AZ11">
        <f>_xll.EQNXTDZ($A$1,$B11,AZ$1,$B$1)</f>
        <v>12364.42</v>
      </c>
      <c r="BA11">
        <f>_xll.EQNXTDZ($A$1,$B11,BA$1,$B$1)</f>
        <v>14076.58</v>
      </c>
      <c r="BB11">
        <f>_xll.EQNXTDZ($A$1,$B11,BB$1,$B$1)</f>
        <v>15609.84</v>
      </c>
      <c r="BC11">
        <f>_xll.EQNXTDZ($A$1,$B11,BC$1,$B$1)</f>
        <v>14951.34</v>
      </c>
      <c r="BD11">
        <f>_xll.EQNXTDZ($A$1,$B11,BD$1,$B$1)</f>
        <v>15239.9</v>
      </c>
      <c r="BE11">
        <f>_xll.EQNXTDZ($A$1,$B11,BE$1,$B$1)</f>
        <v>15587.55</v>
      </c>
      <c r="BF11">
        <f>_xll.EQNXTDZ($A$1,$B11,BF$1,$B$1)</f>
        <v>18406.689999999999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227.79</v>
      </c>
      <c r="AL12">
        <f>_xll.EQNXTDZ($A$1,$B12,AL$1,$B$1)</f>
        <v>217.13</v>
      </c>
      <c r="AM12">
        <f>_xll.EQNXTDZ($A$1,$B12,AM$1,$B$1)</f>
        <v>289.45</v>
      </c>
      <c r="AN12">
        <f>_xll.EQNXTDZ($A$1,$B12,AN$1,$B$1)</f>
        <v>773.64</v>
      </c>
      <c r="AO12">
        <f>_xll.EQNXTDZ($A$1,$B12,AO$1,$B$1)</f>
        <v>606.61</v>
      </c>
      <c r="AP12">
        <f>_xll.EQNXTDZ($A$1,$B12,AP$1,$B$1)</f>
        <v>664.91</v>
      </c>
      <c r="AQ12">
        <f>_xll.EQNXTDZ($A$1,$B12,AQ$1,$B$1)</f>
        <v>557</v>
      </c>
      <c r="AR12">
        <f>_xll.EQNXTDZ($A$1,$B12,AR$1,$B$1)</f>
        <v>493.19</v>
      </c>
      <c r="AS12">
        <f>_xll.EQNXTDZ($A$1,$B12,AS$1,$B$1)</f>
        <v>851.88</v>
      </c>
      <c r="AT12">
        <f>_xll.EQNXTDZ($A$1,$B12,AT$1,$B$1)</f>
        <v>834.34</v>
      </c>
      <c r="AU12">
        <f>_xll.EQNXTDZ($A$1,$B12,AU$1,$B$1)</f>
        <v>443.43</v>
      </c>
      <c r="AV12">
        <f>_xll.EQNXTDZ($A$1,$B12,AV$1,$B$1)</f>
        <v>590.38</v>
      </c>
      <c r="AW12">
        <f>_xll.EQNXTDZ($A$1,$B12,AW$1,$B$1)</f>
        <v>533.34</v>
      </c>
      <c r="AX12">
        <f>_xll.EQNXTDZ($A$1,$B12,AX$1,$B$1)</f>
        <v>392.61</v>
      </c>
      <c r="AY12">
        <f>_xll.EQNXTDZ($A$1,$B12,AY$1,$B$1)</f>
        <v>1035.46</v>
      </c>
      <c r="AZ12">
        <f>_xll.EQNXTDZ($A$1,$B12,AZ$1,$B$1)</f>
        <v>589.29999999999995</v>
      </c>
      <c r="BA12">
        <f>_xll.EQNXTDZ($A$1,$B12,BA$1,$B$1)</f>
        <v>1011.64</v>
      </c>
      <c r="BB12">
        <f>_xll.EQNXTDZ($A$1,$B12,BB$1,$B$1)</f>
        <v>729.61</v>
      </c>
      <c r="BC12">
        <f>_xll.EQNXTDZ($A$1,$B12,BC$1,$B$1)</f>
        <v>839.46</v>
      </c>
      <c r="BD12">
        <f>_xll.EQNXTDZ($A$1,$B12,BD$1,$B$1)</f>
        <v>836.7</v>
      </c>
      <c r="BE12">
        <f>_xll.EQNXTDZ($A$1,$B12,BE$1,$B$1)</f>
        <v>587.15</v>
      </c>
      <c r="BF12">
        <f>_xll.EQNXTDZ($A$1,$B12,BF$1,$B$1)</f>
        <v>725.31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722.08</v>
      </c>
      <c r="AL14">
        <f>_xll.EQNXTDZ($A$1,$B14,AL$1,$B$1)</f>
        <v>742.81</v>
      </c>
      <c r="AM14">
        <f>_xll.EQNXTDZ($A$1,$B14,AM$1,$B$1)</f>
        <v>678.21</v>
      </c>
      <c r="AN14">
        <f>_xll.EQNXTDZ($A$1,$B14,AN$1,$B$1)</f>
        <v>864.9</v>
      </c>
      <c r="AO14">
        <f>_xll.EQNXTDZ($A$1,$B14,AO$1,$B$1)</f>
        <v>814.75</v>
      </c>
      <c r="AP14">
        <f>_xll.EQNXTDZ($A$1,$B14,AP$1,$B$1)</f>
        <v>897.05</v>
      </c>
      <c r="AQ14">
        <f>_xll.EQNXTDZ($A$1,$B14,AQ$1,$B$1)</f>
        <v>935.9</v>
      </c>
      <c r="AR14">
        <f>_xll.EQNXTDZ($A$1,$B14,AR$1,$B$1)</f>
        <v>1012.83</v>
      </c>
      <c r="AS14">
        <f>_xll.EQNXTDZ($A$1,$B14,AS$1,$B$1)</f>
        <v>988.1</v>
      </c>
      <c r="AT14">
        <f>_xll.EQNXTDZ($A$1,$B14,AT$1,$B$1)</f>
        <v>973.47</v>
      </c>
      <c r="AU14">
        <f>_xll.EQNXTDZ($A$1,$B14,AU$1,$B$1)</f>
        <v>1010.3</v>
      </c>
      <c r="AV14">
        <f>_xll.EQNXTDZ($A$1,$B14,AV$1,$B$1)</f>
        <v>1189.2</v>
      </c>
      <c r="AW14">
        <f>_xll.EQNXTDZ($A$1,$B14,AW$1,$B$1)</f>
        <v>918.59</v>
      </c>
      <c r="AX14">
        <f>_xll.EQNXTDZ($A$1,$B14,AX$1,$B$1)</f>
        <v>1297.1099999999999</v>
      </c>
      <c r="AY14">
        <f>_xll.EQNXTDZ($A$1,$B14,AY$1,$B$1)</f>
        <v>1053.22</v>
      </c>
      <c r="AZ14">
        <f>_xll.EQNXTDZ($A$1,$B14,AZ$1,$B$1)</f>
        <v>1078.53</v>
      </c>
      <c r="BA14">
        <f>_xll.EQNXTDZ($A$1,$B14,BA$1,$B$1)</f>
        <v>1240.6400000000001</v>
      </c>
      <c r="BB14">
        <f>_xll.EQNXTDZ($A$1,$B14,BB$1,$B$1)</f>
        <v>1161.45</v>
      </c>
      <c r="BC14">
        <f>_xll.EQNXTDZ($A$1,$B14,BC$1,$B$1)</f>
        <v>1087.81</v>
      </c>
      <c r="BD14">
        <f>_xll.EQNXTDZ($A$1,$B14,BD$1,$B$1)</f>
        <v>1213.58</v>
      </c>
      <c r="BE14">
        <f>_xll.EQNXTDZ($A$1,$B14,BE$1,$B$1)</f>
        <v>1217.6600000000001</v>
      </c>
      <c r="BF14">
        <f>_xll.EQNXTDZ($A$1,$B14,BF$1,$B$1)</f>
        <v>1496.95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74.8</v>
      </c>
      <c r="AL16">
        <f>_xll.EQNXTDZ($A$1,$B16,AL$1,$B$1)</f>
        <v>94.11</v>
      </c>
      <c r="AM16">
        <f>_xll.EQNXTDZ($A$1,$B16,AM$1,$B$1)</f>
        <v>64.98</v>
      </c>
      <c r="AN16">
        <f>_xll.EQNXTDZ($A$1,$B16,AN$1,$B$1)</f>
        <v>105.68</v>
      </c>
      <c r="AO16">
        <f>_xll.EQNXTDZ($A$1,$B16,AO$1,$B$1)</f>
        <v>83.54</v>
      </c>
      <c r="AP16">
        <f>_xll.EQNXTDZ($A$1,$B16,AP$1,$B$1)</f>
        <v>137.97999999999999</v>
      </c>
      <c r="AQ16">
        <f>_xll.EQNXTDZ($A$1,$B16,AQ$1,$B$1)</f>
        <v>113.37</v>
      </c>
      <c r="AR16">
        <f>_xll.EQNXTDZ($A$1,$B16,AR$1,$B$1)</f>
        <v>81.08</v>
      </c>
      <c r="AS16">
        <f>_xll.EQNXTDZ($A$1,$B16,AS$1,$B$1)</f>
        <v>92.14</v>
      </c>
      <c r="AT16">
        <f>_xll.EQNXTDZ($A$1,$B16,AT$1,$B$1)</f>
        <v>107.23</v>
      </c>
      <c r="AU16">
        <f>_xll.EQNXTDZ($A$1,$B16,AU$1,$B$1)</f>
        <v>104.26</v>
      </c>
      <c r="AV16">
        <f>_xll.EQNXTDZ($A$1,$B16,AV$1,$B$1)</f>
        <v>101.18</v>
      </c>
      <c r="AW16">
        <f>_xll.EQNXTDZ($A$1,$B16,AW$1,$B$1)</f>
        <v>99.62</v>
      </c>
      <c r="AX16">
        <f>_xll.EQNXTDZ($A$1,$B16,AX$1,$B$1)</f>
        <v>115.7</v>
      </c>
      <c r="AY16">
        <f>_xll.EQNXTDZ($A$1,$B16,AY$1,$B$1)</f>
        <v>119.04</v>
      </c>
      <c r="AZ16">
        <f>_xll.EQNXTDZ($A$1,$B16,AZ$1,$B$1)</f>
        <v>113.58</v>
      </c>
      <c r="BA16">
        <f>_xll.EQNXTDZ($A$1,$B16,BA$1,$B$1)</f>
        <v>187.85</v>
      </c>
      <c r="BB16">
        <f>_xll.EQNXTDZ($A$1,$B16,BB$1,$B$1)</f>
        <v>145.56</v>
      </c>
      <c r="BC16">
        <f>_xll.EQNXTDZ($A$1,$B16,BC$1,$B$1)</f>
        <v>149.83000000000001</v>
      </c>
      <c r="BD16">
        <f>_xll.EQNXTDZ($A$1,$B16,BD$1,$B$1)</f>
        <v>147.74</v>
      </c>
      <c r="BE16">
        <f>_xll.EQNXTDZ($A$1,$B16,BE$1,$B$1)</f>
        <v>163.52000000000001</v>
      </c>
      <c r="BF16">
        <f>_xll.EQNXTDZ($A$1,$B16,BF$1,$B$1)</f>
        <v>214.93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314.27999999999901</v>
      </c>
      <c r="AL22">
        <f>_xll.EQNXTDZ($A$1,$B22,AL$1,$B$1)</f>
        <v>353.26999999999799</v>
      </c>
      <c r="AM22">
        <f>_xll.EQNXTDZ($A$1,$B22,AM$1,$B$1)</f>
        <v>377.35999999999899</v>
      </c>
      <c r="AN22">
        <f>_xll.EQNXTDZ($A$1,$B22,AN$1,$B$1)</f>
        <v>429.53000000000202</v>
      </c>
      <c r="AO22">
        <f>_xll.EQNXTDZ($A$1,$B22,AO$1,$B$1)</f>
        <v>503.65</v>
      </c>
      <c r="AP22">
        <f>_xll.EQNXTDZ($A$1,$B22,AP$1,$B$1)</f>
        <v>425.72000000000099</v>
      </c>
      <c r="AQ22">
        <f>_xll.EQNXTDZ($A$1,$B22,AQ$1,$B$1)</f>
        <v>443.08999999999901</v>
      </c>
      <c r="AR22">
        <f>_xll.EQNXTDZ($A$1,$B22,AR$1,$B$1)</f>
        <v>253.870000000001</v>
      </c>
      <c r="AS22">
        <f>_xll.EQNXTDZ($A$1,$B22,AS$1,$B$1)</f>
        <v>605.22000000000105</v>
      </c>
      <c r="AT22">
        <f>_xll.EQNXTDZ($A$1,$B22,AT$1,$B$1)</f>
        <v>118.109999999998</v>
      </c>
      <c r="AU22">
        <f>_xll.EQNXTDZ($A$1,$B22,AU$1,$B$1)</f>
        <v>130.4</v>
      </c>
      <c r="AV22">
        <f>_xll.EQNXTDZ($A$1,$B22,AV$1,$B$1)</f>
        <v>143.66999999999999</v>
      </c>
      <c r="AW22">
        <f>_xll.EQNXTDZ($A$1,$B22,AW$1,$B$1)</f>
        <v>504.58000000000197</v>
      </c>
      <c r="AX22">
        <f>_xll.EQNXTDZ($A$1,$B22,AX$1,$B$1)</f>
        <v>356.99999999999699</v>
      </c>
      <c r="AY22">
        <f>_xll.EQNXTDZ($A$1,$B22,AY$1,$B$1)</f>
        <v>626.17000000000098</v>
      </c>
      <c r="AZ22">
        <f>_xll.EQNXTDZ($A$1,$B22,AZ$1,$B$1)</f>
        <v>568.94000000000199</v>
      </c>
      <c r="BA22">
        <f>_xll.EQNXTDZ($A$1,$B22,BA$1,$B$1)</f>
        <v>791.59000000000196</v>
      </c>
      <c r="BB22">
        <f>_xll.EQNXTDZ($A$1,$B22,BB$1,$B$1)</f>
        <v>448.259999999998</v>
      </c>
      <c r="BC22">
        <f>_xll.EQNXTDZ($A$1,$B22,BC$1,$B$1)</f>
        <v>365.88999999999902</v>
      </c>
      <c r="BD22">
        <f>_xll.EQNXTDZ($A$1,$B22,BD$1,$B$1)</f>
        <v>688.180000000002</v>
      </c>
      <c r="BE22">
        <f>_xll.EQNXTDZ($A$1,$B22,BE$1,$B$1)</f>
        <v>553</v>
      </c>
      <c r="BF22">
        <f>_xll.EQNXTDZ($A$1,$B22,BF$1,$B$1)</f>
        <v>523.73999999999899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8.74</v>
      </c>
      <c r="AL23">
        <f>_xll.EQNXTDZ($A$1,$B23,AL$1,$B$1)</f>
        <v>26.17</v>
      </c>
      <c r="AM23">
        <f>_xll.EQNXTDZ($A$1,$B23,AM$1,$B$1)</f>
        <v>57.44</v>
      </c>
      <c r="AN23">
        <f>_xll.EQNXTDZ($A$1,$B23,AN$1,$B$1)</f>
        <v>25.17</v>
      </c>
      <c r="AO23">
        <f>_xll.EQNXTDZ($A$1,$B23,AO$1,$B$1)</f>
        <v>27.16</v>
      </c>
      <c r="AP23">
        <f>_xll.EQNXTDZ($A$1,$B23,AP$1,$B$1)</f>
        <v>62.57</v>
      </c>
      <c r="AQ23">
        <f>_xll.EQNXTDZ($A$1,$B23,AQ$1,$B$1)</f>
        <v>52.3</v>
      </c>
      <c r="AR23">
        <f>_xll.EQNXTDZ($A$1,$B23,AR$1,$B$1)</f>
        <v>59.17</v>
      </c>
      <c r="AS23">
        <f>_xll.EQNXTDZ($A$1,$B23,AS$1,$B$1)</f>
        <v>77.5</v>
      </c>
      <c r="AT23">
        <f>_xll.EQNXTDZ($A$1,$B23,AT$1,$B$1)</f>
        <v>313.04000000000002</v>
      </c>
      <c r="AU23">
        <f>_xll.EQNXTDZ($A$1,$B23,AU$1,$B$1)</f>
        <v>66.099999999999994</v>
      </c>
      <c r="AV23">
        <f>_xll.EQNXTDZ($A$1,$B23,AV$1,$B$1)</f>
        <v>64.05</v>
      </c>
      <c r="AW23">
        <f>_xll.EQNXTDZ($A$1,$B23,AW$1,$B$1)</f>
        <v>58.85</v>
      </c>
      <c r="AX23">
        <f>_xll.EQNXTDZ($A$1,$B23,AX$1,$B$1)</f>
        <v>104.22</v>
      </c>
      <c r="AY23">
        <f>_xll.EQNXTDZ($A$1,$B23,AY$1,$B$1)</f>
        <v>53.99</v>
      </c>
      <c r="AZ23">
        <f>_xll.EQNXTDZ($A$1,$B23,AZ$1,$B$1)</f>
        <v>102.1</v>
      </c>
      <c r="BA23">
        <f>_xll.EQNXTDZ($A$1,$B23,BA$1,$B$1)</f>
        <v>66.69</v>
      </c>
      <c r="BB23">
        <f>_xll.EQNXTDZ($A$1,$B23,BB$1,$B$1)</f>
        <v>62.04</v>
      </c>
      <c r="BC23">
        <f>_xll.EQNXTDZ($A$1,$B23,BC$1,$B$1)</f>
        <v>206.09</v>
      </c>
      <c r="BD23">
        <f>_xll.EQNXTDZ($A$1,$B23,BD$1,$B$1)</f>
        <v>-78.959999999999994</v>
      </c>
      <c r="BE23">
        <f>_xll.EQNXTDZ($A$1,$B23,BE$1,$B$1)</f>
        <v>132.15</v>
      </c>
      <c r="BF23">
        <f>_xll.EQNXTDZ($A$1,$B23,BF$1,$B$1)</f>
        <v>158.52000000000001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323.02</v>
      </c>
      <c r="AL24">
        <f>_xll.EQNXTDZ($A$1,$B24,AL$1,$B$1)</f>
        <v>379.43999999999897</v>
      </c>
      <c r="AM24">
        <f>_xll.EQNXTDZ($A$1,$B24,AM$1,$B$1)</f>
        <v>434.8</v>
      </c>
      <c r="AN24">
        <f>_xll.EQNXTDZ($A$1,$B24,AN$1,$B$1)</f>
        <v>454.7</v>
      </c>
      <c r="AO24">
        <f>_xll.EQNXTDZ($A$1,$B24,AO$1,$B$1)</f>
        <v>530.80999999999801</v>
      </c>
      <c r="AP24">
        <f>_xll.EQNXTDZ($A$1,$B24,AP$1,$B$1)</f>
        <v>488.289999999999</v>
      </c>
      <c r="AQ24">
        <f>_xll.EQNXTDZ($A$1,$B24,AQ$1,$B$1)</f>
        <v>495.38999999999902</v>
      </c>
      <c r="AR24">
        <f>_xll.EQNXTDZ($A$1,$B24,AR$1,$B$1)</f>
        <v>313.04000000000201</v>
      </c>
      <c r="AS24">
        <f>_xll.EQNXTDZ($A$1,$B24,AS$1,$B$1)</f>
        <v>682.72000000000105</v>
      </c>
      <c r="AT24">
        <f>_xll.EQNXTDZ($A$1,$B24,AT$1,$B$1)</f>
        <v>431.14999999999702</v>
      </c>
      <c r="AU24">
        <f>_xll.EQNXTDZ($A$1,$B24,AU$1,$B$1)</f>
        <v>196.5</v>
      </c>
      <c r="AV24">
        <f>_xll.EQNXTDZ($A$1,$B24,AV$1,$B$1)</f>
        <v>207.72</v>
      </c>
      <c r="AW24">
        <f>_xll.EQNXTDZ($A$1,$B24,AW$1,$B$1)</f>
        <v>563.430000000002</v>
      </c>
      <c r="AX24">
        <f>_xll.EQNXTDZ($A$1,$B24,AX$1,$B$1)</f>
        <v>461.21999999999798</v>
      </c>
      <c r="AY24">
        <f>_xll.EQNXTDZ($A$1,$B24,AY$1,$B$1)</f>
        <v>680.16000000000099</v>
      </c>
      <c r="AZ24">
        <f>_xll.EQNXTDZ($A$1,$B24,AZ$1,$B$1)</f>
        <v>671.04000000000201</v>
      </c>
      <c r="BA24">
        <f>_xll.EQNXTDZ($A$1,$B24,BA$1,$B$1)</f>
        <v>858.28000000000202</v>
      </c>
      <c r="BB24">
        <f>_xll.EQNXTDZ($A$1,$B24,BB$1,$B$1)</f>
        <v>510.299999999997</v>
      </c>
      <c r="BC24">
        <f>_xll.EQNXTDZ($A$1,$B24,BC$1,$B$1)</f>
        <v>571.979999999999</v>
      </c>
      <c r="BD24">
        <f>_xll.EQNXTDZ($A$1,$B24,BD$1,$B$1)</f>
        <v>609.22000000000105</v>
      </c>
      <c r="BE24">
        <f>_xll.EQNXTDZ($A$1,$B24,BE$1,$B$1)</f>
        <v>685.15</v>
      </c>
      <c r="BF24">
        <f>_xll.EQNXTDZ($A$1,$B24,BF$1,$B$1)</f>
        <v>682.26000000000101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83.53</v>
      </c>
      <c r="AL25">
        <f>_xll.EQNXTDZ($A$1,$B25,AL$1,$B$1)</f>
        <v>110.64</v>
      </c>
      <c r="AM25">
        <f>_xll.EQNXTDZ($A$1,$B25,AM$1,$B$1)</f>
        <v>142.30000000000001</v>
      </c>
      <c r="AN25">
        <f>_xll.EQNXTDZ($A$1,$B25,AN$1,$B$1)</f>
        <v>148.74</v>
      </c>
      <c r="AO25">
        <f>_xll.EQNXTDZ($A$1,$B25,AO$1,$B$1)</f>
        <v>143.22</v>
      </c>
      <c r="AP25">
        <f>_xll.EQNXTDZ($A$1,$B25,AP$1,$B$1)</f>
        <v>106.53</v>
      </c>
      <c r="AQ25">
        <f>_xll.EQNXTDZ($A$1,$B25,AQ$1,$B$1)</f>
        <v>149.55000000000001</v>
      </c>
      <c r="AR25">
        <f>_xll.EQNXTDZ($A$1,$B25,AR$1,$B$1)</f>
        <v>163.36000000000001</v>
      </c>
      <c r="AS25">
        <f>_xll.EQNXTDZ($A$1,$B25,AS$1,$B$1)</f>
        <v>251.92</v>
      </c>
      <c r="AT25">
        <f>_xll.EQNXTDZ($A$1,$B25,AT$1,$B$1)</f>
        <v>210.09</v>
      </c>
      <c r="AU25">
        <f>_xll.EQNXTDZ($A$1,$B25,AU$1,$B$1)</f>
        <v>170.67</v>
      </c>
      <c r="AV25">
        <f>_xll.EQNXTDZ($A$1,$B25,AV$1,$B$1)</f>
        <v>220.23</v>
      </c>
      <c r="AW25">
        <f>_xll.EQNXTDZ($A$1,$B25,AW$1,$B$1)</f>
        <v>187.08</v>
      </c>
      <c r="AX25">
        <f>_xll.EQNXTDZ($A$1,$B25,AX$1,$B$1)</f>
        <v>171.13</v>
      </c>
      <c r="AY25">
        <f>_xll.EQNXTDZ($A$1,$B25,AY$1,$B$1)</f>
        <v>165.57</v>
      </c>
      <c r="AZ25">
        <f>_xll.EQNXTDZ($A$1,$B25,AZ$1,$B$1)</f>
        <v>176.74</v>
      </c>
      <c r="BA25">
        <f>_xll.EQNXTDZ($A$1,$B25,BA$1,$B$1)</f>
        <v>203.6</v>
      </c>
      <c r="BB25">
        <f>_xll.EQNXTDZ($A$1,$B25,BB$1,$B$1)</f>
        <v>178.15</v>
      </c>
      <c r="BC25">
        <f>_xll.EQNXTDZ($A$1,$B25,BC$1,$B$1)</f>
        <v>158.63</v>
      </c>
      <c r="BD25">
        <f>_xll.EQNXTDZ($A$1,$B25,BD$1,$B$1)</f>
        <v>189.27</v>
      </c>
      <c r="BE25">
        <f>_xll.EQNXTDZ($A$1,$B25,BE$1,$B$1)</f>
        <v>184.73</v>
      </c>
      <c r="BF25">
        <f>_xll.EQNXTDZ($A$1,$B25,BF$1,$B$1)</f>
        <v>174.28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-53.51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-25.83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239.49</v>
      </c>
      <c r="AL27">
        <f>_xll.EQNXTDZ($A$1,$B27,AL$1,$B$1)</f>
        <v>268.79999999999899</v>
      </c>
      <c r="AM27">
        <f>_xll.EQNXTDZ($A$1,$B27,AM$1,$B$1)</f>
        <v>292.5</v>
      </c>
      <c r="AN27">
        <f>_xll.EQNXTDZ($A$1,$B27,AN$1,$B$1)</f>
        <v>305.95999999999998</v>
      </c>
      <c r="AO27">
        <f>_xll.EQNXTDZ($A$1,$B27,AO$1,$B$1)</f>
        <v>387.58999999999799</v>
      </c>
      <c r="AP27">
        <f>_xll.EQNXTDZ($A$1,$B27,AP$1,$B$1)</f>
        <v>381.75999999999902</v>
      </c>
      <c r="AQ27">
        <f>_xll.EQNXTDZ($A$1,$B27,AQ$1,$B$1)</f>
        <v>345.83999999999901</v>
      </c>
      <c r="AR27">
        <f>_xll.EQNXTDZ($A$1,$B27,AR$1,$B$1)</f>
        <v>149.680000000002</v>
      </c>
      <c r="AS27">
        <f>_xll.EQNXTDZ($A$1,$B27,AS$1,$B$1)</f>
        <v>430.80000000000098</v>
      </c>
      <c r="AT27">
        <f>_xll.EQNXTDZ($A$1,$B27,AT$1,$B$1)</f>
        <v>221.05999999999699</v>
      </c>
      <c r="AU27">
        <f>_xll.EQNXTDZ($A$1,$B27,AU$1,$B$1)</f>
        <v>25.83</v>
      </c>
      <c r="AV27">
        <f>_xll.EQNXTDZ($A$1,$B27,AV$1,$B$1)</f>
        <v>-66.020000000000294</v>
      </c>
      <c r="AW27">
        <f>_xll.EQNXTDZ($A$1,$B27,AW$1,$B$1)</f>
        <v>376.35000000000201</v>
      </c>
      <c r="AX27">
        <f>_xll.EQNXTDZ($A$1,$B27,AX$1,$B$1)</f>
        <v>290.08999999999799</v>
      </c>
      <c r="AY27">
        <f>_xll.EQNXTDZ($A$1,$B27,AY$1,$B$1)</f>
        <v>514.59000000000106</v>
      </c>
      <c r="AZ27">
        <f>_xll.EQNXTDZ($A$1,$B27,AZ$1,$B$1)</f>
        <v>494.300000000002</v>
      </c>
      <c r="BA27">
        <f>_xll.EQNXTDZ($A$1,$B27,BA$1,$B$1)</f>
        <v>654.680000000002</v>
      </c>
      <c r="BB27">
        <f>_xll.EQNXTDZ($A$1,$B27,BB$1,$B$1)</f>
        <v>332.14999999999702</v>
      </c>
      <c r="BC27">
        <f>_xll.EQNXTDZ($A$1,$B27,BC$1,$B$1)</f>
        <v>413.349999999999</v>
      </c>
      <c r="BD27">
        <f>_xll.EQNXTDZ($A$1,$B27,BD$1,$B$1)</f>
        <v>419.95000000000101</v>
      </c>
      <c r="BE27">
        <f>_xll.EQNXTDZ($A$1,$B27,BE$1,$B$1)</f>
        <v>474.59</v>
      </c>
      <c r="BF27">
        <f>_xll.EQNXTDZ($A$1,$B27,BF$1,$B$1)</f>
        <v>507.98000000000098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68.16</v>
      </c>
      <c r="AL28">
        <f>_xll.EQNXTDZ($A$1,$B28,AL$1,$B$1)</f>
        <v>66.599999999999994</v>
      </c>
      <c r="AM28">
        <f>_xll.EQNXTDZ($A$1,$B28,AM$1,$B$1)</f>
        <v>67.790000000000006</v>
      </c>
      <c r="AN28">
        <f>_xll.EQNXTDZ($A$1,$B28,AN$1,$B$1)</f>
        <v>76.489999999999995</v>
      </c>
      <c r="AO28">
        <f>_xll.EQNXTDZ($A$1,$B28,AO$1,$B$1)</f>
        <v>81.3</v>
      </c>
      <c r="AP28">
        <f>_xll.EQNXTDZ($A$1,$B28,AP$1,$B$1)</f>
        <v>83.48</v>
      </c>
      <c r="AQ28">
        <f>_xll.EQNXTDZ($A$1,$B28,AQ$1,$B$1)</f>
        <v>85.58</v>
      </c>
      <c r="AR28">
        <f>_xll.EQNXTDZ($A$1,$B28,AR$1,$B$1)</f>
        <v>90.1</v>
      </c>
      <c r="AS28">
        <f>_xll.EQNXTDZ($A$1,$B28,AS$1,$B$1)</f>
        <v>90.96</v>
      </c>
      <c r="AT28">
        <f>_xll.EQNXTDZ($A$1,$B28,AT$1,$B$1)</f>
        <v>91.82</v>
      </c>
      <c r="AU28">
        <f>_xll.EQNXTDZ($A$1,$B28,AU$1,$B$1)</f>
        <v>93.51</v>
      </c>
      <c r="AV28">
        <f>_xll.EQNXTDZ($A$1,$B28,AV$1,$B$1)</f>
        <v>95.74</v>
      </c>
      <c r="AW28">
        <f>_xll.EQNXTDZ($A$1,$B28,AW$1,$B$1)</f>
        <v>95.4</v>
      </c>
      <c r="AX28">
        <f>_xll.EQNXTDZ($A$1,$B28,AX$1,$B$1)</f>
        <v>79.2</v>
      </c>
      <c r="AY28">
        <f>_xll.EQNXTDZ($A$1,$B28,AY$1,$B$1)</f>
        <v>96.42</v>
      </c>
      <c r="AZ28">
        <f>_xll.EQNXTDZ($A$1,$B28,AZ$1,$B$1)</f>
        <v>92.43</v>
      </c>
      <c r="BA28">
        <f>_xll.EQNXTDZ($A$1,$B28,BA$1,$B$1)</f>
        <v>108.44</v>
      </c>
      <c r="BB28">
        <f>_xll.EQNXTDZ($A$1,$B28,BB$1,$B$1)</f>
        <v>97.81</v>
      </c>
      <c r="BC28">
        <f>_xll.EQNXTDZ($A$1,$B28,BC$1,$B$1)</f>
        <v>102.75</v>
      </c>
      <c r="BD28">
        <f>_xll.EQNXTDZ($A$1,$B28,BD$1,$B$1)</f>
        <v>107.03</v>
      </c>
      <c r="BE28">
        <f>_xll.EQNXTDZ($A$1,$B28,BE$1,$B$1)</f>
        <v>111.16</v>
      </c>
      <c r="BF28">
        <f>_xll.EQNXTDZ($A$1,$B28,BF$1,$B$1)</f>
        <v>127.89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61.31</v>
      </c>
      <c r="AL29">
        <f>_xll.EQNXTDZ($A$1,$B29,AL$1,$B$1)</f>
        <v>-93.25</v>
      </c>
      <c r="AM29">
        <f>_xll.EQNXTDZ($A$1,$B29,AM$1,$B$1)</f>
        <v>58.36</v>
      </c>
      <c r="AN29">
        <f>_xll.EQNXTDZ($A$1,$B29,AN$1,$B$1)</f>
        <v>61.23</v>
      </c>
      <c r="AO29">
        <f>_xll.EQNXTDZ($A$1,$B29,AO$1,$B$1)</f>
        <v>85.77</v>
      </c>
      <c r="AP29">
        <f>_xll.EQNXTDZ($A$1,$B29,AP$1,$B$1)</f>
        <v>79.05</v>
      </c>
      <c r="AQ29">
        <f>_xll.EQNXTDZ($A$1,$B29,AQ$1,$B$1)</f>
        <v>62.43</v>
      </c>
      <c r="AR29">
        <f>_xll.EQNXTDZ($A$1,$B29,AR$1,$B$1)</f>
        <v>27.71</v>
      </c>
      <c r="AS29">
        <f>_xll.EQNXTDZ($A$1,$B29,AS$1,$B$1)</f>
        <v>108.38</v>
      </c>
      <c r="AT29">
        <f>_xll.EQNXTDZ($A$1,$B29,AT$1,$B$1)</f>
        <v>36.83</v>
      </c>
      <c r="AU29">
        <f>_xll.EQNXTDZ($A$1,$B29,AU$1,$B$1)</f>
        <v>-7.97</v>
      </c>
      <c r="AV29">
        <f>_xll.EQNXTDZ($A$1,$B29,AV$1,$B$1)</f>
        <v>-31.53</v>
      </c>
      <c r="AW29">
        <f>_xll.EQNXTDZ($A$1,$B29,AW$1,$B$1)</f>
        <v>74.92</v>
      </c>
      <c r="AX29">
        <f>_xll.EQNXTDZ($A$1,$B29,AX$1,$B$1)</f>
        <v>56.33</v>
      </c>
      <c r="AY29">
        <f>_xll.EQNXTDZ($A$1,$B29,AY$1,$B$1)</f>
        <v>106.54</v>
      </c>
      <c r="AZ29">
        <f>_xll.EQNXTDZ($A$1,$B29,AZ$1,$B$1)</f>
        <v>119.95</v>
      </c>
      <c r="BA29">
        <f>_xll.EQNXTDZ($A$1,$B29,BA$1,$B$1)</f>
        <v>153.08000000000001</v>
      </c>
      <c r="BB29">
        <f>_xll.EQNXTDZ($A$1,$B29,BB$1,$B$1)</f>
        <v>57.82</v>
      </c>
      <c r="BC29">
        <f>_xll.EQNXTDZ($A$1,$B29,BC$1,$B$1)</f>
        <v>78.83</v>
      </c>
      <c r="BD29">
        <f>_xll.EQNXTDZ($A$1,$B29,BD$1,$B$1)</f>
        <v>85.37</v>
      </c>
      <c r="BE29">
        <f>_xll.EQNXTDZ($A$1,$B29,BE$1,$B$1)</f>
        <v>101.6</v>
      </c>
      <c r="BF29">
        <f>_xll.EQNXTDZ($A$1,$B29,BF$1,$B$1)</f>
        <v>110.8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110.02</v>
      </c>
      <c r="AL30">
        <f>_xll.EQNXTDZ($A$1,$B30,AL$1,$B$1)</f>
        <v>295.44999999999902</v>
      </c>
      <c r="AM30">
        <f>_xll.EQNXTDZ($A$1,$B30,AM$1,$B$1)</f>
        <v>166.35</v>
      </c>
      <c r="AN30">
        <f>_xll.EQNXTDZ($A$1,$B30,AN$1,$B$1)</f>
        <v>168.24</v>
      </c>
      <c r="AO30">
        <f>_xll.EQNXTDZ($A$1,$B30,AO$1,$B$1)</f>
        <v>220.51999999999799</v>
      </c>
      <c r="AP30">
        <f>_xll.EQNXTDZ($A$1,$B30,AP$1,$B$1)</f>
        <v>219.229999999999</v>
      </c>
      <c r="AQ30">
        <f>_xll.EQNXTDZ($A$1,$B30,AQ$1,$B$1)</f>
        <v>197.82999999999899</v>
      </c>
      <c r="AR30">
        <f>_xll.EQNXTDZ($A$1,$B30,AR$1,$B$1)</f>
        <v>31.8700000000023</v>
      </c>
      <c r="AS30">
        <f>_xll.EQNXTDZ($A$1,$B30,AS$1,$B$1)</f>
        <v>231.460000000001</v>
      </c>
      <c r="AT30">
        <f>_xll.EQNXTDZ($A$1,$B30,AT$1,$B$1)</f>
        <v>92.409999999997098</v>
      </c>
      <c r="AU30">
        <f>_xll.EQNXTDZ($A$1,$B30,AU$1,$B$1)</f>
        <v>-59.71</v>
      </c>
      <c r="AV30">
        <f>_xll.EQNXTDZ($A$1,$B30,AV$1,$B$1)</f>
        <v>-130.22999999999999</v>
      </c>
      <c r="AW30">
        <f>_xll.EQNXTDZ($A$1,$B30,AW$1,$B$1)</f>
        <v>206.03000000000199</v>
      </c>
      <c r="AX30">
        <f>_xll.EQNXTDZ($A$1,$B30,AX$1,$B$1)</f>
        <v>154.55999999999801</v>
      </c>
      <c r="AY30">
        <f>_xll.EQNXTDZ($A$1,$B30,AY$1,$B$1)</f>
        <v>311.63000000000102</v>
      </c>
      <c r="AZ30">
        <f>_xll.EQNXTDZ($A$1,$B30,AZ$1,$B$1)</f>
        <v>281.92000000000201</v>
      </c>
      <c r="BA30">
        <f>_xll.EQNXTDZ($A$1,$B30,BA$1,$B$1)</f>
        <v>393.16000000000201</v>
      </c>
      <c r="BB30">
        <f>_xll.EQNXTDZ($A$1,$B30,BB$1,$B$1)</f>
        <v>176.519999999997</v>
      </c>
      <c r="BC30">
        <f>_xll.EQNXTDZ($A$1,$B30,BC$1,$B$1)</f>
        <v>231.76999999999899</v>
      </c>
      <c r="BD30">
        <f>_xll.EQNXTDZ($A$1,$B30,BD$1,$B$1)</f>
        <v>227.55000000000101</v>
      </c>
      <c r="BE30">
        <f>_xll.EQNXTDZ($A$1,$B30,BE$1,$B$1)</f>
        <v>261.83</v>
      </c>
      <c r="BF30">
        <f>_xll.EQNXTDZ($A$1,$B30,BF$1,$B$1)</f>
        <v>269.29000000000099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0.01</v>
      </c>
      <c r="BA34">
        <f>_xll.EQNXTDZ($A$1,$B34,BA$1,$B$1)</f>
        <v>-0.36</v>
      </c>
      <c r="BB34">
        <f>_xll.EQNXTDZ($A$1,$B34,BB$1,$B$1)</f>
        <v>-0.38</v>
      </c>
      <c r="BC34">
        <f>_xll.EQNXTDZ($A$1,$B34,BC$1,$B$1)</f>
        <v>-1.52</v>
      </c>
      <c r="BD34">
        <f>_xll.EQNXTDZ($A$1,$B34,BD$1,$B$1)</f>
        <v>-0.13</v>
      </c>
      <c r="BE34">
        <f>_xll.EQNXTDZ($A$1,$B34,BE$1,$B$1)</f>
        <v>-0.21</v>
      </c>
      <c r="BF34">
        <f>_xll.EQNXTDZ($A$1,$B34,BF$1,$B$1)</f>
        <v>-0.98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17.37</v>
      </c>
      <c r="AL35">
        <f>_xll.EQNXTDZ($A$1,$B35,AL$1,$B$1)</f>
        <v>19.55</v>
      </c>
      <c r="AM35">
        <f>_xll.EQNXTDZ($A$1,$B35,AM$1,$B$1)</f>
        <v>9.35</v>
      </c>
      <c r="AN35">
        <f>_xll.EQNXTDZ($A$1,$B35,AN$1,$B$1)</f>
        <v>14.09</v>
      </c>
      <c r="AO35">
        <f>_xll.EQNXTDZ($A$1,$B35,AO$1,$B$1)</f>
        <v>-9.11</v>
      </c>
      <c r="AP35">
        <f>_xll.EQNXTDZ($A$1,$B35,AP$1,$B$1)</f>
        <v>15.06</v>
      </c>
      <c r="AQ35">
        <f>_xll.EQNXTDZ($A$1,$B35,AQ$1,$B$1)</f>
        <v>-4.24</v>
      </c>
      <c r="AR35">
        <f>_xll.EQNXTDZ($A$1,$B35,AR$1,$B$1)</f>
        <v>16.89</v>
      </c>
      <c r="AS35">
        <f>_xll.EQNXTDZ($A$1,$B35,AS$1,$B$1)</f>
        <v>14.7</v>
      </c>
      <c r="AT35">
        <f>_xll.EQNXTDZ($A$1,$B35,AT$1,$B$1)</f>
        <v>1.2</v>
      </c>
      <c r="AU35">
        <f>_xll.EQNXTDZ($A$1,$B35,AU$1,$B$1)</f>
        <v>-19.21</v>
      </c>
      <c r="AV35">
        <f>_xll.EQNXTDZ($A$1,$B35,AV$1,$B$1)</f>
        <v>-0.5</v>
      </c>
      <c r="AW35">
        <f>_xll.EQNXTDZ($A$1,$B35,AW$1,$B$1)</f>
        <v>-5.14</v>
      </c>
      <c r="AX35">
        <f>_xll.EQNXTDZ($A$1,$B35,AX$1,$B$1)</f>
        <v>2.19</v>
      </c>
      <c r="AY35">
        <f>_xll.EQNXTDZ($A$1,$B35,AY$1,$B$1)</f>
        <v>1.57</v>
      </c>
      <c r="AZ35">
        <f>_xll.EQNXTDZ($A$1,$B35,AZ$1,$B$1)</f>
        <v>29.1</v>
      </c>
      <c r="BA35">
        <f>_xll.EQNXTDZ($A$1,$B35,BA$1,$B$1)</f>
        <v>17.77</v>
      </c>
      <c r="BB35">
        <f>_xll.EQNXTDZ($A$1,$B35,BB$1,$B$1)</f>
        <v>14.14</v>
      </c>
      <c r="BC35">
        <f>_xll.EQNXTDZ($A$1,$B35,BC$1,$B$1)</f>
        <v>6.18</v>
      </c>
      <c r="BD35">
        <f>_xll.EQNXTDZ($A$1,$B35,BD$1,$B$1)</f>
        <v>17.3</v>
      </c>
      <c r="BE35">
        <f>_xll.EQNXTDZ($A$1,$B35,BE$1,$B$1)</f>
        <v>7.2</v>
      </c>
      <c r="BF35">
        <f>_xll.EQNXTDZ($A$1,$B35,BF$1,$B$1)</f>
        <v>23.77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127.39</v>
      </c>
      <c r="AL38">
        <f>_xll.EQNXTDZ($A$1,$B38,AL$1,$B$1)</f>
        <v>315</v>
      </c>
      <c r="AM38">
        <f>_xll.EQNXTDZ($A$1,$B38,AM$1,$B$1)</f>
        <v>175.7</v>
      </c>
      <c r="AN38">
        <f>_xll.EQNXTDZ($A$1,$B38,AN$1,$B$1)</f>
        <v>182.33</v>
      </c>
      <c r="AO38">
        <f>_xll.EQNXTDZ($A$1,$B38,AO$1,$B$1)</f>
        <v>211.41</v>
      </c>
      <c r="AP38">
        <f>_xll.EQNXTDZ($A$1,$B38,AP$1,$B$1)</f>
        <v>234.29</v>
      </c>
      <c r="AQ38">
        <f>_xll.EQNXTDZ($A$1,$B38,AQ$1,$B$1)</f>
        <v>193.59</v>
      </c>
      <c r="AR38">
        <f>_xll.EQNXTDZ($A$1,$B38,AR$1,$B$1)</f>
        <v>48.76</v>
      </c>
      <c r="AS38">
        <f>_xll.EQNXTDZ($A$1,$B38,AS$1,$B$1)</f>
        <v>246.16</v>
      </c>
      <c r="AT38">
        <f>_xll.EQNXTDZ($A$1,$B38,AT$1,$B$1)</f>
        <v>93.61</v>
      </c>
      <c r="AU38">
        <f>_xll.EQNXTDZ($A$1,$B38,AU$1,$B$1)</f>
        <v>-78.92</v>
      </c>
      <c r="AV38">
        <f>_xll.EQNXTDZ($A$1,$B38,AV$1,$B$1)</f>
        <v>-130.72999999999999</v>
      </c>
      <c r="AW38">
        <f>_xll.EQNXTDZ($A$1,$B38,AW$1,$B$1)</f>
        <v>200.89</v>
      </c>
      <c r="AX38">
        <f>_xll.EQNXTDZ($A$1,$B38,AX$1,$B$1)</f>
        <v>156.75</v>
      </c>
      <c r="AY38">
        <f>_xll.EQNXTDZ($A$1,$B38,AY$1,$B$1)</f>
        <v>313.2</v>
      </c>
      <c r="AZ38">
        <f>_xll.EQNXTDZ($A$1,$B38,AZ$1,$B$1)</f>
        <v>311.02999999999997</v>
      </c>
      <c r="BA38">
        <f>_xll.EQNXTDZ($A$1,$B38,BA$1,$B$1)</f>
        <v>410.57</v>
      </c>
      <c r="BB38">
        <f>_xll.EQNXTDZ($A$1,$B38,BB$1,$B$1)</f>
        <v>190.28</v>
      </c>
      <c r="BC38">
        <f>_xll.EQNXTDZ($A$1,$B38,BC$1,$B$1)</f>
        <v>236.43</v>
      </c>
      <c r="BD38">
        <f>_xll.EQNXTDZ($A$1,$B38,BD$1,$B$1)</f>
        <v>244.72</v>
      </c>
      <c r="BE38">
        <f>_xll.EQNXTDZ($A$1,$B38,BE$1,$B$1)</f>
        <v>268.82</v>
      </c>
      <c r="BF38">
        <f>_xll.EQNXTDZ($A$1,$B38,BF$1,$B$1)</f>
        <v>292.08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-0.28999999999999998</v>
      </c>
      <c r="AL40">
        <f>_xll.EQNXTDZ($A$1,$B40,AL$1,$B$1)</f>
        <v>0.69</v>
      </c>
      <c r="AM40">
        <f>_xll.EQNXTDZ($A$1,$B40,AM$1,$B$1)</f>
        <v>-1.1399999999999999</v>
      </c>
      <c r="AN40">
        <f>_xll.EQNXTDZ($A$1,$B40,AN$1,$B$1)</f>
        <v>-2.72</v>
      </c>
      <c r="AO40">
        <f>_xll.EQNXTDZ($A$1,$B40,AO$1,$B$1)</f>
        <v>-1.72</v>
      </c>
      <c r="AP40">
        <f>_xll.EQNXTDZ($A$1,$B40,AP$1,$B$1)</f>
        <v>2.09</v>
      </c>
      <c r="AQ40">
        <f>_xll.EQNXTDZ($A$1,$B40,AQ$1,$B$1)</f>
        <v>-7.55</v>
      </c>
      <c r="AR40">
        <f>_xll.EQNXTDZ($A$1,$B40,AR$1,$B$1)</f>
        <v>-9.74</v>
      </c>
      <c r="AS40">
        <f>_xll.EQNXTDZ($A$1,$B40,AS$1,$B$1)</f>
        <v>-0.97</v>
      </c>
      <c r="AT40">
        <f>_xll.EQNXTDZ($A$1,$B40,AT$1,$B$1)</f>
        <v>-4.47</v>
      </c>
      <c r="AU40">
        <f>_xll.EQNXTDZ($A$1,$B40,AU$1,$B$1)</f>
        <v>1</v>
      </c>
      <c r="AV40">
        <f>_xll.EQNXTDZ($A$1,$B40,AV$1,$B$1)</f>
        <v>-1.52</v>
      </c>
      <c r="AW40">
        <f>_xll.EQNXTDZ($A$1,$B40,AW$1,$B$1)</f>
        <v>-0.68</v>
      </c>
      <c r="AX40">
        <f>_xll.EQNXTDZ($A$1,$B40,AX$1,$B$1)</f>
        <v>-2.84</v>
      </c>
      <c r="AY40">
        <f>_xll.EQNXTDZ($A$1,$B40,AY$1,$B$1)</f>
        <v>2.84</v>
      </c>
      <c r="AZ40">
        <f>_xll.EQNXTDZ($A$1,$B40,AZ$1,$B$1)</f>
        <v>-0.03</v>
      </c>
      <c r="BA40">
        <f>_xll.EQNXTDZ($A$1,$B40,BA$1,$B$1)</f>
        <v>-2.38</v>
      </c>
      <c r="BB40">
        <f>_xll.EQNXTDZ($A$1,$B40,BB$1,$B$1)</f>
        <v>-2.2999999999999998</v>
      </c>
      <c r="BC40">
        <f>_xll.EQNXTDZ($A$1,$B40,BC$1,$B$1)</f>
        <v>-1.94</v>
      </c>
      <c r="BD40">
        <f>_xll.EQNXTDZ($A$1,$B40,BD$1,$B$1)</f>
        <v>-8.48</v>
      </c>
      <c r="BE40">
        <f>_xll.EQNXTDZ($A$1,$B40,BE$1,$B$1)</f>
        <v>-0.82</v>
      </c>
      <c r="BF40">
        <f>_xll.EQNXTDZ($A$1,$B40,BF$1,$B$1)</f>
        <v>-5.08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127.1</v>
      </c>
      <c r="AL41">
        <f>_xll.EQNXTDZ($A$1,$B41,AL$1,$B$1)</f>
        <v>315.69</v>
      </c>
      <c r="AM41">
        <f>_xll.EQNXTDZ($A$1,$B41,AM$1,$B$1)</f>
        <v>174.56</v>
      </c>
      <c r="AN41">
        <f>_xll.EQNXTDZ($A$1,$B41,AN$1,$B$1)</f>
        <v>179.61</v>
      </c>
      <c r="AO41">
        <f>_xll.EQNXTDZ($A$1,$B41,AO$1,$B$1)</f>
        <v>209.69</v>
      </c>
      <c r="AP41">
        <f>_xll.EQNXTDZ($A$1,$B41,AP$1,$B$1)</f>
        <v>236.38</v>
      </c>
      <c r="AQ41">
        <f>_xll.EQNXTDZ($A$1,$B41,AQ$1,$B$1)</f>
        <v>186.04</v>
      </c>
      <c r="AR41">
        <f>_xll.EQNXTDZ($A$1,$B41,AR$1,$B$1)</f>
        <v>39.020000000000003</v>
      </c>
      <c r="AS41">
        <f>_xll.EQNXTDZ($A$1,$B41,AS$1,$B$1)</f>
        <v>245.19</v>
      </c>
      <c r="AT41">
        <f>_xll.EQNXTDZ($A$1,$B41,AT$1,$B$1)</f>
        <v>89.14</v>
      </c>
      <c r="AU41">
        <f>_xll.EQNXTDZ($A$1,$B41,AU$1,$B$1)</f>
        <v>-77.92</v>
      </c>
      <c r="AV41">
        <f>_xll.EQNXTDZ($A$1,$B41,AV$1,$B$1)</f>
        <v>-132.25</v>
      </c>
      <c r="AW41">
        <f>_xll.EQNXTDZ($A$1,$B41,AW$1,$B$1)</f>
        <v>200.21</v>
      </c>
      <c r="AX41">
        <f>_xll.EQNXTDZ($A$1,$B41,AX$1,$B$1)</f>
        <v>153.91</v>
      </c>
      <c r="AY41">
        <f>_xll.EQNXTDZ($A$1,$B41,AY$1,$B$1)</f>
        <v>316.04000000000002</v>
      </c>
      <c r="AZ41">
        <f>_xll.EQNXTDZ($A$1,$B41,AZ$1,$B$1)</f>
        <v>311</v>
      </c>
      <c r="BA41">
        <f>_xll.EQNXTDZ($A$1,$B41,BA$1,$B$1)</f>
        <v>408.19</v>
      </c>
      <c r="BB41">
        <f>_xll.EQNXTDZ($A$1,$B41,BB$1,$B$1)</f>
        <v>187.98</v>
      </c>
      <c r="BC41">
        <f>_xll.EQNXTDZ($A$1,$B41,BC$1,$B$1)</f>
        <v>234.49</v>
      </c>
      <c r="BD41">
        <f>_xll.EQNXTDZ($A$1,$B41,BD$1,$B$1)</f>
        <v>236.24</v>
      </c>
      <c r="BE41">
        <f>_xll.EQNXTDZ($A$1,$B41,BE$1,$B$1)</f>
        <v>268</v>
      </c>
      <c r="BF41">
        <f>_xll.EQNXTDZ($A$1,$B41,BF$1,$B$1)</f>
        <v>287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127.39</v>
      </c>
      <c r="AL42">
        <f>_xll.EQNXTDZ($A$1,$B42,AL$1,$B$1)</f>
        <v>315</v>
      </c>
      <c r="AM42">
        <f>_xll.EQNXTDZ($A$1,$B42,AM$1,$B$1)</f>
        <v>175.7</v>
      </c>
      <c r="AN42">
        <f>_xll.EQNXTDZ($A$1,$B42,AN$1,$B$1)</f>
        <v>182.33</v>
      </c>
      <c r="AO42">
        <f>_xll.EQNXTDZ($A$1,$B42,AO$1,$B$1)</f>
        <v>211.41</v>
      </c>
      <c r="AP42">
        <f>_xll.EQNXTDZ($A$1,$B42,AP$1,$B$1)</f>
        <v>234.29</v>
      </c>
      <c r="AQ42">
        <f>_xll.EQNXTDZ($A$1,$B42,AQ$1,$B$1)</f>
        <v>193.59</v>
      </c>
      <c r="AR42">
        <f>_xll.EQNXTDZ($A$1,$B42,AR$1,$B$1)</f>
        <v>48.76</v>
      </c>
      <c r="AS42">
        <f>_xll.EQNXTDZ($A$1,$B42,AS$1,$B$1)</f>
        <v>246.16</v>
      </c>
      <c r="AT42">
        <f>_xll.EQNXTDZ($A$1,$B42,AT$1,$B$1)</f>
        <v>93.61</v>
      </c>
      <c r="AU42">
        <f>_xll.EQNXTDZ($A$1,$B42,AU$1,$B$1)</f>
        <v>-78.92</v>
      </c>
      <c r="AV42">
        <f>_xll.EQNXTDZ($A$1,$B42,AV$1,$B$1)</f>
        <v>-130.72999999999999</v>
      </c>
      <c r="AW42">
        <f>_xll.EQNXTDZ($A$1,$B42,AW$1,$B$1)</f>
        <v>200.89</v>
      </c>
      <c r="AX42">
        <f>_xll.EQNXTDZ($A$1,$B42,AX$1,$B$1)</f>
        <v>156.75</v>
      </c>
      <c r="AY42">
        <f>_xll.EQNXTDZ($A$1,$B42,AY$1,$B$1)</f>
        <v>313.2</v>
      </c>
      <c r="AZ42">
        <f>_xll.EQNXTDZ($A$1,$B42,AZ$1,$B$1)</f>
        <v>311.02999999999997</v>
      </c>
      <c r="BA42">
        <f>_xll.EQNXTDZ($A$1,$B42,BA$1,$B$1)</f>
        <v>410.57</v>
      </c>
      <c r="BB42">
        <f>_xll.EQNXTDZ($A$1,$B42,BB$1,$B$1)</f>
        <v>190.28</v>
      </c>
      <c r="BC42">
        <f>_xll.EQNXTDZ($A$1,$B42,BC$1,$B$1)</f>
        <v>236.43</v>
      </c>
      <c r="BD42">
        <f>_xll.EQNXTDZ($A$1,$B42,BD$1,$B$1)</f>
        <v>244.72</v>
      </c>
      <c r="BE42">
        <f>_xll.EQNXTDZ($A$1,$B42,BE$1,$B$1)</f>
        <v>268.82</v>
      </c>
      <c r="BF42">
        <f>_xll.EQNXTDZ($A$1,$B42,BF$1,$B$1)</f>
        <v>292.08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114.29</v>
      </c>
      <c r="AL45">
        <f>_xll.EQNXTDZ($A$1,$B45,AL$1,$B$1)</f>
        <v>114.29</v>
      </c>
      <c r="AM45">
        <f>_xll.EQNXTDZ($A$1,$B45,AM$1,$B$1)</f>
        <v>114.29</v>
      </c>
      <c r="AN45">
        <f>_xll.EQNXTDZ($A$1,$B45,AN$1,$B$1)</f>
        <v>114.29</v>
      </c>
      <c r="AO45">
        <f>_xll.EQNXTDZ($A$1,$B45,AO$1,$B$1)</f>
        <v>114.29</v>
      </c>
      <c r="AP45">
        <f>_xll.EQNXTDZ($A$1,$B45,AP$1,$B$1)</f>
        <v>129.97</v>
      </c>
      <c r="AQ45">
        <f>_xll.EQNXTDZ($A$1,$B45,AQ$1,$B$1)</f>
        <v>129.97</v>
      </c>
      <c r="AR45">
        <f>_xll.EQNXTDZ($A$1,$B45,AR$1,$B$1)</f>
        <v>129.97</v>
      </c>
      <c r="AS45">
        <f>_xll.EQNXTDZ($A$1,$B45,AS$1,$B$1)</f>
        <v>129.97</v>
      </c>
      <c r="AT45">
        <f>_xll.EQNXTDZ($A$1,$B45,AT$1,$B$1)</f>
        <v>129.97</v>
      </c>
      <c r="AU45">
        <f>_xll.EQNXTDZ($A$1,$B45,AU$1,$B$1)</f>
        <v>129.97</v>
      </c>
      <c r="AV45">
        <f>_xll.EQNXTDZ($A$1,$B45,AV$1,$B$1)</f>
        <v>129.97</v>
      </c>
      <c r="AW45">
        <f>_xll.EQNXTDZ($A$1,$B45,AW$1,$B$1)</f>
        <v>129.97</v>
      </c>
      <c r="AX45">
        <f>_xll.EQNXTDZ($A$1,$B45,AX$1,$B$1)</f>
        <v>129.97</v>
      </c>
      <c r="AY45">
        <f>_xll.EQNXTDZ($A$1,$B45,AY$1,$B$1)</f>
        <v>129.97</v>
      </c>
      <c r="AZ45">
        <f>_xll.EQNXTDZ($A$1,$B45,AZ$1,$B$1)</f>
        <v>129.97</v>
      </c>
      <c r="BA45">
        <f>_xll.EQNXTDZ($A$1,$B45,BA$1,$B$1)</f>
        <v>129.97</v>
      </c>
      <c r="BB45">
        <f>_xll.EQNXTDZ($A$1,$B45,BB$1,$B$1)</f>
        <v>129.53</v>
      </c>
      <c r="BC45">
        <f>_xll.EQNXTDZ($A$1,$B45,BC$1,$B$1)</f>
        <v>129.53</v>
      </c>
      <c r="BD45">
        <f>_xll.EQNXTDZ($A$1,$B45,BD$1,$B$1)</f>
        <v>129.53</v>
      </c>
      <c r="BE45">
        <f>_xll.EQNXTDZ($A$1,$B45,BE$1,$B$1)</f>
        <v>129.53</v>
      </c>
      <c r="BF45">
        <f>_xll.EQNXTDZ($A$1,$B45,BF$1,$B$1)</f>
        <v>129.33000000000001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517.5</v>
      </c>
      <c r="AQ48" s="55">
        <f>_xll.EQNXTDZ($A$1,$B48,AQ$5)</f>
        <v>574.95000000000005</v>
      </c>
      <c r="AR48" s="55">
        <f>_xll.EQNXTDZ($A$1,$B48,AR$5)</f>
        <v>755.3</v>
      </c>
      <c r="AS48" s="55">
        <f>_xll.EQNXTDZ($A$1,$B48,AS$5)</f>
        <v>617.6</v>
      </c>
      <c r="AT48" s="55">
        <f>_xll.EQNXTDZ($A$1,$B48,AT$5)</f>
        <v>406</v>
      </c>
      <c r="AU48" s="55">
        <f>_xll.EQNXTDZ($A$1,$B48,AU$5)</f>
        <v>410.2</v>
      </c>
      <c r="AV48" s="55">
        <f>_xll.EQNXTDZ($A$1,$B48,AV$5)</f>
        <v>337.55</v>
      </c>
      <c r="AW48" s="55">
        <f>_xll.EQNXTDZ($A$1,$B48,AW$5)</f>
        <v>354.9</v>
      </c>
      <c r="AX48" s="55">
        <f>_xll.EQNXTDZ($A$1,$B48,AX$5)</f>
        <v>321.10000000000002</v>
      </c>
      <c r="AY48" s="55">
        <f>_xll.EQNXTDZ($A$1,$B48,AY$5)</f>
        <v>331.55</v>
      </c>
      <c r="AZ48" s="55">
        <f>_xll.EQNXTDZ($A$1,$B48,AZ$5)</f>
        <v>348.4</v>
      </c>
      <c r="BA48" s="55">
        <f>_xll.EQNXTDZ($A$1,$B48,BA$5)</f>
        <v>308.25</v>
      </c>
      <c r="BB48" s="55">
        <f>_xll.EQNXTDZ($A$1,$B48,BB$5)</f>
        <v>258.25</v>
      </c>
      <c r="BC48" s="55">
        <f>_xll.EQNXTDZ($A$1,$B48,BC$5)</f>
        <v>259.60000000000002</v>
      </c>
      <c r="BD48" s="55">
        <f>_xll.EQNXTDZ($A$1,$B48,BD$5)</f>
        <v>261.55</v>
      </c>
      <c r="BE48" s="55">
        <f>_xll.EQNXTDZ($A$1,$B48,BE$5)</f>
        <v>237.5</v>
      </c>
      <c r="BF48" s="55">
        <f>_xll.EQNXTDZ($A$1,$B48,BF$5)</f>
        <v>177.9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87.94</v>
      </c>
      <c r="AQ49" s="55">
        <f>_xll.EQNXTDZ($A$1,$B49,AQ$5)</f>
        <v>87.94</v>
      </c>
      <c r="AR49" s="55">
        <f>_xll.EQNXTDZ($A$1,$B49,AR$5)</f>
        <v>87.94</v>
      </c>
      <c r="AS49" s="55">
        <f>_xll.EQNXTDZ($A$1,$B49,AS$5)</f>
        <v>87.94</v>
      </c>
      <c r="AT49" s="55">
        <f>_xll.EQNXTDZ($A$1,$B49,AT$5)</f>
        <v>87.94</v>
      </c>
      <c r="AU49" s="55">
        <f>_xll.EQNXTDZ($A$1,$B49,AU$5)</f>
        <v>87.94</v>
      </c>
      <c r="AV49" s="55">
        <f>_xll.EQNXTDZ($A$1,$B49,AV$5)</f>
        <v>87.94</v>
      </c>
      <c r="AW49" s="55">
        <f>_xll.EQNXTDZ($A$1,$B49,AW$5)</f>
        <v>87.87</v>
      </c>
      <c r="AX49" s="55">
        <f>_xll.EQNXTDZ($A$1,$B49,AX$5)</f>
        <v>87.87</v>
      </c>
      <c r="AY49" s="55">
        <f>_xll.EQNXTDZ($A$1,$B49,AY$5)</f>
        <v>87.87</v>
      </c>
      <c r="AZ49" s="55">
        <f>_xll.EQNXTDZ($A$1,$B49,AZ$5)</f>
        <v>87.87</v>
      </c>
      <c r="BA49" s="55">
        <f>_xll.EQNXTDZ($A$1,$B49,BA$5)</f>
        <v>87.87</v>
      </c>
      <c r="BB49" s="55">
        <f>_xll.EQNXTDZ($A$1,$B49,BB$5)</f>
        <v>74.36</v>
      </c>
      <c r="BC49" s="55">
        <f>_xll.EQNXTDZ($A$1,$B49,BC$5)</f>
        <v>74.36</v>
      </c>
      <c r="BD49" s="55">
        <f>_xll.EQNXTDZ($A$1,$B49,BD$5)</f>
        <v>63.94</v>
      </c>
      <c r="BE49" s="55">
        <f>_xll.EQNXTDZ($A$1,$B49,BE$5)</f>
        <v>56.94</v>
      </c>
      <c r="BF49" s="55">
        <f>_xll.EQNXTDZ($A$1,$B49,BF$5)</f>
        <v>56.94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114.29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129.97</v>
      </c>
      <c r="AQ56" s="55">
        <f>_xll.EQNXTDZ($A$1,$B56,AQ$5,$B$1)</f>
        <v>0</v>
      </c>
      <c r="AR56" s="55">
        <f>_xll.EQNXTDZ($A$1,$B56,AR$5,$B$1)</f>
        <v>129.97</v>
      </c>
      <c r="AS56" s="55">
        <f>_xll.EQNXTDZ($A$1,$B56,AS$5,$B$1)</f>
        <v>0</v>
      </c>
      <c r="AT56" s="55">
        <f>_xll.EQNXTDZ($A$1,$B56,AT$5,$B$1)</f>
        <v>129.97</v>
      </c>
      <c r="AU56" s="55">
        <f>_xll.EQNXTDZ($A$1,$B56,AU$5,$B$1)</f>
        <v>0</v>
      </c>
      <c r="AV56" s="55">
        <f>_xll.EQNXTDZ($A$1,$B56,AV$5,$B$1)</f>
        <v>129.97</v>
      </c>
      <c r="AW56" s="55">
        <f>_xll.EQNXTDZ($A$1,$B56,AW$5,$B$1)</f>
        <v>0</v>
      </c>
      <c r="AX56" s="55">
        <f>_xll.EQNXTDZ($A$1,$B56,AX$5,$B$1)</f>
        <v>129.97</v>
      </c>
      <c r="AY56" s="55">
        <f>_xll.EQNXTDZ($A$1,$B56,AY$5,$B$1)</f>
        <v>0</v>
      </c>
      <c r="AZ56" s="55">
        <f>_xll.EQNXTDZ($A$1,$B56,AZ$5,$B$1)</f>
        <v>129.97</v>
      </c>
      <c r="BA56" s="55">
        <f>_xll.EQNXTDZ($A$1,$B56,BA$5,$B$1)</f>
        <v>0</v>
      </c>
      <c r="BB56" s="55">
        <f>_xll.EQNXTDZ($A$1,$B56,BB$5,$B$1)</f>
        <v>129.53</v>
      </c>
      <c r="BC56" s="55">
        <f>_xll.EQNXTDZ($A$1,$B56,BC$5,$B$1)</f>
        <v>0</v>
      </c>
      <c r="BD56" s="55">
        <f>_xll.EQNXTDZ($A$1,$B56,BD$5,$B$1)</f>
        <v>129.53</v>
      </c>
      <c r="BE56" s="55">
        <f>_xll.EQNXTDZ($A$1,$B56,BE$5,$B$1)</f>
        <v>0</v>
      </c>
      <c r="BF56" s="55">
        <f>_xll.EQNXTDZ($A$1,$B56,BF$5,$B$1)</f>
        <v>129.34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3184.69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7476.4</v>
      </c>
      <c r="AQ58" s="55">
        <f>_xll.EQNXTDZ($A$1,$B58,AQ$5,$B$1)</f>
        <v>0</v>
      </c>
      <c r="AR58" s="55">
        <f>_xll.EQNXTDZ($A$1,$B58,AR$5,$B$1)</f>
        <v>7701.45</v>
      </c>
      <c r="AS58" s="55">
        <f>_xll.EQNXTDZ($A$1,$B58,AS$5,$B$1)</f>
        <v>0</v>
      </c>
      <c r="AT58" s="55">
        <f>_xll.EQNXTDZ($A$1,$B58,AT$5,$B$1)</f>
        <v>8035.78</v>
      </c>
      <c r="AU58" s="55">
        <f>_xll.EQNXTDZ($A$1,$B58,AU$5,$B$1)</f>
        <v>0</v>
      </c>
      <c r="AV58" s="55">
        <f>_xll.EQNXTDZ($A$1,$B58,AV$5,$B$1)</f>
        <v>7831.9</v>
      </c>
      <c r="AW58" s="55">
        <f>_xll.EQNXTDZ($A$1,$B58,AW$5,$B$1)</f>
        <v>0</v>
      </c>
      <c r="AX58" s="55">
        <f>_xll.EQNXTDZ($A$1,$B58,AX$5,$B$1)</f>
        <v>8186.02</v>
      </c>
      <c r="AY58" s="55">
        <f>_xll.EQNXTDZ($A$1,$B58,AY$5,$B$1)</f>
        <v>0</v>
      </c>
      <c r="AZ58" s="55">
        <f>_xll.EQNXTDZ($A$1,$B58,AZ$5,$B$1)</f>
        <v>8813.06</v>
      </c>
      <c r="BA58" s="55">
        <f>_xll.EQNXTDZ($A$1,$B58,BA$5,$B$1)</f>
        <v>0</v>
      </c>
      <c r="BB58" s="55">
        <f>_xll.EQNXTDZ($A$1,$B58,BB$5,$B$1)</f>
        <v>9294.27</v>
      </c>
      <c r="BC58" s="55">
        <f>_xll.EQNXTDZ($A$1,$B58,BC$5,$B$1)</f>
        <v>0</v>
      </c>
      <c r="BD58" s="55">
        <f>_xll.EQNXTDZ($A$1,$B58,BD$5,$B$1)</f>
        <v>9775.7099999999991</v>
      </c>
      <c r="BE58" s="55">
        <f>_xll.EQNXTDZ($A$1,$B58,BE$5,$B$1)</f>
        <v>0</v>
      </c>
      <c r="BF58" s="55">
        <f>_xll.EQNXTDZ($A$1,$B58,BF$5,$B$1)</f>
        <v>10311.379999999999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3298.98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7606.37</v>
      </c>
      <c r="AQ59" s="55">
        <f>_xll.EQNXTDZ($A$1,$B59,AQ$5,$B$1)</f>
        <v>0</v>
      </c>
      <c r="AR59" s="55">
        <f>_xll.EQNXTDZ($A$1,$B59,AR$5,$B$1)</f>
        <v>7831.42</v>
      </c>
      <c r="AS59" s="55">
        <f>_xll.EQNXTDZ($A$1,$B59,AS$5,$B$1)</f>
        <v>0</v>
      </c>
      <c r="AT59" s="55">
        <f>_xll.EQNXTDZ($A$1,$B59,AT$5,$B$1)</f>
        <v>8165.75</v>
      </c>
      <c r="AU59" s="55">
        <f>_xll.EQNXTDZ($A$1,$B59,AU$5,$B$1)</f>
        <v>0</v>
      </c>
      <c r="AV59" s="55">
        <f>_xll.EQNXTDZ($A$1,$B59,AV$5,$B$1)</f>
        <v>7961.87</v>
      </c>
      <c r="AW59" s="55">
        <f>_xll.EQNXTDZ($A$1,$B59,AW$5,$B$1)</f>
        <v>0</v>
      </c>
      <c r="AX59" s="55">
        <f>_xll.EQNXTDZ($A$1,$B59,AX$5,$B$1)</f>
        <v>8315.99</v>
      </c>
      <c r="AY59" s="55">
        <f>_xll.EQNXTDZ($A$1,$B59,AY$5,$B$1)</f>
        <v>0</v>
      </c>
      <c r="AZ59" s="55">
        <f>_xll.EQNXTDZ($A$1,$B59,AZ$5,$B$1)</f>
        <v>8943.0300000000007</v>
      </c>
      <c r="BA59" s="55">
        <f>_xll.EQNXTDZ($A$1,$B59,BA$5,$B$1)</f>
        <v>0</v>
      </c>
      <c r="BB59" s="55">
        <f>_xll.EQNXTDZ($A$1,$B59,BB$5,$B$1)</f>
        <v>9423.7999999999993</v>
      </c>
      <c r="BC59" s="55">
        <f>_xll.EQNXTDZ($A$1,$B59,BC$5,$B$1)</f>
        <v>0</v>
      </c>
      <c r="BD59" s="55">
        <f>_xll.EQNXTDZ($A$1,$B59,BD$5,$B$1)</f>
        <v>9905.24</v>
      </c>
      <c r="BE59" s="55">
        <f>_xll.EQNXTDZ($A$1,$B59,BE$5,$B$1)</f>
        <v>0</v>
      </c>
      <c r="BF59" s="55">
        <f>_xll.EQNXTDZ($A$1,$B59,BF$5,$B$1)</f>
        <v>10440.719999999999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-1.0900000000000001</v>
      </c>
      <c r="BA60" s="55">
        <f>_xll.EQNXTDZ($A$1,$B60,BA$5,$B$1)</f>
        <v>0</v>
      </c>
      <c r="BB60" s="55">
        <f>_xll.EQNXTDZ($A$1,$B60,BB$5,$B$1)</f>
        <v>0.12</v>
      </c>
      <c r="BC60" s="55">
        <f>_xll.EQNXTDZ($A$1,$B60,BC$5,$B$1)</f>
        <v>0</v>
      </c>
      <c r="BD60" s="55">
        <f>_xll.EQNXTDZ($A$1,$B60,BD$5,$B$1)</f>
        <v>1.77</v>
      </c>
      <c r="BE60" s="55">
        <f>_xll.EQNXTDZ($A$1,$B60,BE$5,$B$1)</f>
        <v>0</v>
      </c>
      <c r="BF60" s="55">
        <f>_xll.EQNXTDZ($A$1,$B60,BF$5,$B$1)</f>
        <v>2.96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1024.0899999999999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44.97</v>
      </c>
      <c r="AQ61" s="55">
        <f>_xll.EQNXTDZ($A$1,$B61,AQ$5,$B$1)</f>
        <v>0</v>
      </c>
      <c r="AR61" s="55">
        <f>_xll.EQNXTDZ($A$1,$B61,AR$5,$B$1)</f>
        <v>34.06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74.42</v>
      </c>
      <c r="BA61" s="55">
        <f>_xll.EQNXTDZ($A$1,$B61,BA$5,$B$1)</f>
        <v>0</v>
      </c>
      <c r="BB61" s="55">
        <f>_xll.EQNXTDZ($A$1,$B61,BB$5,$B$1)</f>
        <v>186.24</v>
      </c>
      <c r="BC61" s="55">
        <f>_xll.EQNXTDZ($A$1,$B61,BC$5,$B$1)</f>
        <v>0</v>
      </c>
      <c r="BD61" s="55">
        <f>_xll.EQNXTDZ($A$1,$B61,BD$5,$B$1)</f>
        <v>293.70999999999998</v>
      </c>
      <c r="BE61" s="55">
        <f>_xll.EQNXTDZ($A$1,$B61,BE$5,$B$1)</f>
        <v>0</v>
      </c>
      <c r="BF61" s="55">
        <f>_xll.EQNXTDZ($A$1,$B61,BF$5,$B$1)</f>
        <v>392.24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1024.0899999999999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44.97</v>
      </c>
      <c r="AQ63" s="55">
        <f>_xll.EQNXTDZ($A$1,$B63,AQ$5,$B$1)</f>
        <v>0</v>
      </c>
      <c r="AR63" s="55">
        <f>_xll.EQNXTDZ($A$1,$B63,AR$5,$B$1)</f>
        <v>34.06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74.42</v>
      </c>
      <c r="BA63" s="55">
        <f>_xll.EQNXTDZ($A$1,$B63,BA$5,$B$1)</f>
        <v>0</v>
      </c>
      <c r="BB63" s="55">
        <f>_xll.EQNXTDZ($A$1,$B63,BB$5,$B$1)</f>
        <v>186.24</v>
      </c>
      <c r="BC63" s="55">
        <f>_xll.EQNXTDZ($A$1,$B63,BC$5,$B$1)</f>
        <v>0</v>
      </c>
      <c r="BD63" s="55">
        <f>_xll.EQNXTDZ($A$1,$B63,BD$5,$B$1)</f>
        <v>293.70999999999998</v>
      </c>
      <c r="BE63" s="55">
        <f>_xll.EQNXTDZ($A$1,$B63,BE$5,$B$1)</f>
        <v>0</v>
      </c>
      <c r="BF63" s="55">
        <f>_xll.EQNXTDZ($A$1,$B63,BF$5,$B$1)</f>
        <v>392.24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445.52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99.65</v>
      </c>
      <c r="AQ64" s="55">
        <f>_xll.EQNXTDZ($A$1,$B64,AQ$5,$B$1)</f>
        <v>0</v>
      </c>
      <c r="AR64" s="55">
        <f>_xll.EQNXTDZ($A$1,$B64,AR$5,$B$1)</f>
        <v>660.72</v>
      </c>
      <c r="AS64" s="55">
        <f>_xll.EQNXTDZ($A$1,$B64,AS$5,$B$1)</f>
        <v>0</v>
      </c>
      <c r="AT64" s="55">
        <f>_xll.EQNXTDZ($A$1,$B64,AT$5,$B$1)</f>
        <v>118.54</v>
      </c>
      <c r="AU64" s="55">
        <f>_xll.EQNXTDZ($A$1,$B64,AU$5,$B$1)</f>
        <v>0</v>
      </c>
      <c r="AV64" s="55">
        <f>_xll.EQNXTDZ($A$1,$B64,AV$5,$B$1)</f>
        <v>131.49</v>
      </c>
      <c r="AW64" s="55">
        <f>_xll.EQNXTDZ($A$1,$B64,AW$5,$B$1)</f>
        <v>0</v>
      </c>
      <c r="AX64" s="55">
        <f>_xll.EQNXTDZ($A$1,$B64,AX$5,$B$1)</f>
        <v>135.35</v>
      </c>
      <c r="AY64" s="55">
        <f>_xll.EQNXTDZ($A$1,$B64,AY$5,$B$1)</f>
        <v>0</v>
      </c>
      <c r="AZ64" s="55">
        <f>_xll.EQNXTDZ($A$1,$B64,AZ$5,$B$1)</f>
        <v>165.39</v>
      </c>
      <c r="BA64" s="55">
        <f>_xll.EQNXTDZ($A$1,$B64,BA$5,$B$1)</f>
        <v>0</v>
      </c>
      <c r="BB64" s="55">
        <f>_xll.EQNXTDZ($A$1,$B64,BB$5,$B$1)</f>
        <v>178.01</v>
      </c>
      <c r="BC64" s="55">
        <f>_xll.EQNXTDZ($A$1,$B64,BC$5,$B$1)</f>
        <v>0</v>
      </c>
      <c r="BD64" s="55">
        <f>_xll.EQNXTDZ($A$1,$B64,BD$5,$B$1)</f>
        <v>207.54</v>
      </c>
      <c r="BE64" s="55">
        <f>_xll.EQNXTDZ($A$1,$B64,BE$5,$B$1)</f>
        <v>0</v>
      </c>
      <c r="BF64" s="55">
        <f>_xll.EQNXTDZ($A$1,$B64,BF$5,$B$1)</f>
        <v>381.55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27.52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622.32000000000005</v>
      </c>
      <c r="AQ66" s="55">
        <f>_xll.EQNXTDZ($A$1,$B66,AQ$5,$B$1)</f>
        <v>0</v>
      </c>
      <c r="AR66" s="55">
        <f>_xll.EQNXTDZ($A$1,$B66,AR$5,$B$1)</f>
        <v>53.02</v>
      </c>
      <c r="AS66" s="55">
        <f>_xll.EQNXTDZ($A$1,$B66,AS$5,$B$1)</f>
        <v>0</v>
      </c>
      <c r="AT66" s="55">
        <f>_xll.EQNXTDZ($A$1,$B66,AT$5,$B$1)</f>
        <v>612.96</v>
      </c>
      <c r="AU66" s="55">
        <f>_xll.EQNXTDZ($A$1,$B66,AU$5,$B$1)</f>
        <v>0</v>
      </c>
      <c r="AV66" s="55">
        <f>_xll.EQNXTDZ($A$1,$B66,AV$5,$B$1)</f>
        <v>616.09</v>
      </c>
      <c r="AW66" s="55">
        <f>_xll.EQNXTDZ($A$1,$B66,AW$5,$B$1)</f>
        <v>0</v>
      </c>
      <c r="AX66" s="55">
        <f>_xll.EQNXTDZ($A$1,$B66,AX$5,$B$1)</f>
        <v>592.94000000000005</v>
      </c>
      <c r="AY66" s="55">
        <f>_xll.EQNXTDZ($A$1,$B66,AY$5,$B$1)</f>
        <v>0</v>
      </c>
      <c r="AZ66" s="55">
        <f>_xll.EQNXTDZ($A$1,$B66,AZ$5,$B$1)</f>
        <v>593.13</v>
      </c>
      <c r="BA66" s="55">
        <f>_xll.EQNXTDZ($A$1,$B66,BA$5,$B$1)</f>
        <v>0</v>
      </c>
      <c r="BB66" s="55">
        <f>_xll.EQNXTDZ($A$1,$B66,BB$5,$B$1)</f>
        <v>570.87</v>
      </c>
      <c r="BC66" s="55">
        <f>_xll.EQNXTDZ($A$1,$B66,BC$5,$B$1)</f>
        <v>0</v>
      </c>
      <c r="BD66" s="55">
        <f>_xll.EQNXTDZ($A$1,$B66,BD$5,$B$1)</f>
        <v>602.23</v>
      </c>
      <c r="BE66" s="55">
        <f>_xll.EQNXTDZ($A$1,$B66,BE$5,$B$1)</f>
        <v>0</v>
      </c>
      <c r="BF66" s="55">
        <f>_xll.EQNXTDZ($A$1,$B66,BF$5,$B$1)</f>
        <v>647.80999999999995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4796.1099999999997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8373.31</v>
      </c>
      <c r="AQ67" s="55">
        <f>_xll.EQNXTDZ($A$1,$B67,AQ$5,$B$1)</f>
        <v>0</v>
      </c>
      <c r="AR67" s="55">
        <f>_xll.EQNXTDZ($A$1,$B67,AR$5,$B$1)</f>
        <v>8579.2199999999993</v>
      </c>
      <c r="AS67" s="55">
        <f>_xll.EQNXTDZ($A$1,$B67,AS$5,$B$1)</f>
        <v>0</v>
      </c>
      <c r="AT67" s="55">
        <f>_xll.EQNXTDZ($A$1,$B67,AT$5,$B$1)</f>
        <v>8897.25</v>
      </c>
      <c r="AU67" s="55">
        <f>_xll.EQNXTDZ($A$1,$B67,AU$5,$B$1)</f>
        <v>0</v>
      </c>
      <c r="AV67" s="55">
        <f>_xll.EQNXTDZ($A$1,$B67,AV$5,$B$1)</f>
        <v>8709.4500000000007</v>
      </c>
      <c r="AW67" s="55">
        <f>_xll.EQNXTDZ($A$1,$B67,AW$5,$B$1)</f>
        <v>0</v>
      </c>
      <c r="AX67" s="55">
        <f>_xll.EQNXTDZ($A$1,$B67,AX$5,$B$1)</f>
        <v>9044.2800000000007</v>
      </c>
      <c r="AY67" s="55">
        <f>_xll.EQNXTDZ($A$1,$B67,AY$5,$B$1)</f>
        <v>0</v>
      </c>
      <c r="AZ67" s="55">
        <f>_xll.EQNXTDZ($A$1,$B67,AZ$5,$B$1)</f>
        <v>9774.8799999999992</v>
      </c>
      <c r="BA67" s="55">
        <f>_xll.EQNXTDZ($A$1,$B67,BA$5,$B$1)</f>
        <v>0</v>
      </c>
      <c r="BB67" s="55">
        <f>_xll.EQNXTDZ($A$1,$B67,BB$5,$B$1)</f>
        <v>10359.040000000001</v>
      </c>
      <c r="BC67" s="55">
        <f>_xll.EQNXTDZ($A$1,$B67,BC$5,$B$1)</f>
        <v>0</v>
      </c>
      <c r="BD67" s="55">
        <f>_xll.EQNXTDZ($A$1,$B67,BD$5,$B$1)</f>
        <v>11010.49</v>
      </c>
      <c r="BE67" s="55">
        <f>_xll.EQNXTDZ($A$1,$B67,BE$5,$B$1)</f>
        <v>0</v>
      </c>
      <c r="BF67" s="55">
        <f>_xll.EQNXTDZ($A$1,$B67,BF$5,$B$1)</f>
        <v>11865.28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3480.65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4298.63</v>
      </c>
      <c r="AQ68" s="55">
        <f>_xll.EQNXTDZ($A$1,$B68,AQ$5,$B$1)</f>
        <v>0</v>
      </c>
      <c r="AR68" s="55">
        <f>_xll.EQNXTDZ($A$1,$B68,AR$5,$B$1)</f>
        <v>4418.7</v>
      </c>
      <c r="AS68" s="55">
        <f>_xll.EQNXTDZ($A$1,$B68,AS$5,$B$1)</f>
        <v>0</v>
      </c>
      <c r="AT68" s="55">
        <f>_xll.EQNXTDZ($A$1,$B68,AT$5,$B$1)</f>
        <v>4462.0200000000004</v>
      </c>
      <c r="AU68" s="55">
        <f>_xll.EQNXTDZ($A$1,$B68,AU$5,$B$1)</f>
        <v>0</v>
      </c>
      <c r="AV68" s="55">
        <f>_xll.EQNXTDZ($A$1,$B68,AV$5,$B$1)</f>
        <v>4368.8</v>
      </c>
      <c r="AW68" s="55">
        <f>_xll.EQNXTDZ($A$1,$B68,AW$5,$B$1)</f>
        <v>0</v>
      </c>
      <c r="AX68" s="55">
        <f>_xll.EQNXTDZ($A$1,$B68,AX$5,$B$1)</f>
        <v>4568.12</v>
      </c>
      <c r="AY68" s="55">
        <f>_xll.EQNXTDZ($A$1,$B68,AY$5,$B$1)</f>
        <v>0</v>
      </c>
      <c r="AZ68" s="55">
        <f>_xll.EQNXTDZ($A$1,$B68,AZ$5,$B$1)</f>
        <v>4705.55</v>
      </c>
      <c r="BA68" s="55">
        <f>_xll.EQNXTDZ($A$1,$B68,BA$5,$B$1)</f>
        <v>0</v>
      </c>
      <c r="BB68" s="55">
        <f>_xll.EQNXTDZ($A$1,$B68,BB$5,$B$1)</f>
        <v>5109.91</v>
      </c>
      <c r="BC68" s="55">
        <f>_xll.EQNXTDZ($A$1,$B68,BC$5,$B$1)</f>
        <v>0</v>
      </c>
      <c r="BD68" s="55">
        <f>_xll.EQNXTDZ($A$1,$B68,BD$5,$B$1)</f>
        <v>5902.68</v>
      </c>
      <c r="BE68" s="55">
        <f>_xll.EQNXTDZ($A$1,$B68,BE$5,$B$1)</f>
        <v>0</v>
      </c>
      <c r="BF68" s="55">
        <f>_xll.EQNXTDZ($A$1,$B68,BF$5,$B$1)</f>
        <v>6338.18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3480.65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4298.63</v>
      </c>
      <c r="AQ71" s="55">
        <f>_xll.EQNXTDZ($A$1,$B71,AQ$5,$B$1)</f>
        <v>0</v>
      </c>
      <c r="AR71" s="55">
        <f>_xll.EQNXTDZ($A$1,$B71,AR$5,$B$1)</f>
        <v>4418.7</v>
      </c>
      <c r="AS71" s="55">
        <f>_xll.EQNXTDZ($A$1,$B71,AS$5,$B$1)</f>
        <v>0</v>
      </c>
      <c r="AT71" s="55">
        <f>_xll.EQNXTDZ($A$1,$B71,AT$5,$B$1)</f>
        <v>4462.0200000000004</v>
      </c>
      <c r="AU71" s="55">
        <f>_xll.EQNXTDZ($A$1,$B71,AU$5,$B$1)</f>
        <v>0</v>
      </c>
      <c r="AV71" s="55">
        <f>_xll.EQNXTDZ($A$1,$B71,AV$5,$B$1)</f>
        <v>4368.8</v>
      </c>
      <c r="AW71" s="55">
        <f>_xll.EQNXTDZ($A$1,$B71,AW$5,$B$1)</f>
        <v>0</v>
      </c>
      <c r="AX71" s="55">
        <f>_xll.EQNXTDZ($A$1,$B71,AX$5,$B$1)</f>
        <v>4568.12</v>
      </c>
      <c r="AY71" s="55">
        <f>_xll.EQNXTDZ($A$1,$B71,AY$5,$B$1)</f>
        <v>0</v>
      </c>
      <c r="AZ71" s="55">
        <f>_xll.EQNXTDZ($A$1,$B71,AZ$5,$B$1)</f>
        <v>4705.55</v>
      </c>
      <c r="BA71" s="55">
        <f>_xll.EQNXTDZ($A$1,$B71,BA$5,$B$1)</f>
        <v>0</v>
      </c>
      <c r="BB71" s="55">
        <f>_xll.EQNXTDZ($A$1,$B71,BB$5,$B$1)</f>
        <v>5109.91</v>
      </c>
      <c r="BC71" s="55">
        <f>_xll.EQNXTDZ($A$1,$B71,BC$5,$B$1)</f>
        <v>0</v>
      </c>
      <c r="BD71" s="55">
        <f>_xll.EQNXTDZ($A$1,$B71,BD$5,$B$1)</f>
        <v>5902.68</v>
      </c>
      <c r="BE71" s="55">
        <f>_xll.EQNXTDZ($A$1,$B71,BE$5,$B$1)</f>
        <v>0</v>
      </c>
      <c r="BF71" s="55">
        <f>_xll.EQNXTDZ($A$1,$B71,BF$5,$B$1)</f>
        <v>6338.18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56.71</v>
      </c>
      <c r="AQ72" s="55">
        <f>_xll.EQNXTDZ($A$1,$B72,AQ$5,$B$1)</f>
        <v>0</v>
      </c>
      <c r="AR72" s="55">
        <f>_xll.EQNXTDZ($A$1,$B72,AR$5,$B$1)</f>
        <v>51.54</v>
      </c>
      <c r="AS72" s="55">
        <f>_xll.EQNXTDZ($A$1,$B72,AS$5,$B$1)</f>
        <v>0</v>
      </c>
      <c r="AT72" s="55">
        <f>_xll.EQNXTDZ($A$1,$B72,AT$5,$B$1)</f>
        <v>49.69</v>
      </c>
      <c r="AU72" s="55">
        <f>_xll.EQNXTDZ($A$1,$B72,AU$5,$B$1)</f>
        <v>0</v>
      </c>
      <c r="AV72" s="55">
        <f>_xll.EQNXTDZ($A$1,$B72,AV$5,$B$1)</f>
        <v>48.41</v>
      </c>
      <c r="AW72" s="55">
        <f>_xll.EQNXTDZ($A$1,$B72,AW$5,$B$1)</f>
        <v>0</v>
      </c>
      <c r="AX72" s="55">
        <f>_xll.EQNXTDZ($A$1,$B72,AX$5,$B$1)</f>
        <v>48.8</v>
      </c>
      <c r="AY72" s="55">
        <f>_xll.EQNXTDZ($A$1,$B72,AY$5,$B$1)</f>
        <v>0</v>
      </c>
      <c r="AZ72" s="55">
        <f>_xll.EQNXTDZ($A$1,$B72,AZ$5,$B$1)</f>
        <v>54.56</v>
      </c>
      <c r="BA72" s="55">
        <f>_xll.EQNXTDZ($A$1,$B72,BA$5,$B$1)</f>
        <v>0</v>
      </c>
      <c r="BB72" s="55">
        <f>_xll.EQNXTDZ($A$1,$B72,BB$5,$B$1)</f>
        <v>53.84</v>
      </c>
      <c r="BC72" s="55">
        <f>_xll.EQNXTDZ($A$1,$B72,BC$5,$B$1)</f>
        <v>0</v>
      </c>
      <c r="BD72" s="55">
        <f>_xll.EQNXTDZ($A$1,$B72,BD$5,$B$1)</f>
        <v>314.95999999999998</v>
      </c>
      <c r="BE72" s="55">
        <f>_xll.EQNXTDZ($A$1,$B72,BE$5,$B$1)</f>
        <v>0</v>
      </c>
      <c r="BF72" s="55">
        <f>_xll.EQNXTDZ($A$1,$B72,BF$5,$B$1)</f>
        <v>325.38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530.53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275.18</v>
      </c>
      <c r="AQ74" s="55">
        <f>_xll.EQNXTDZ($A$1,$B74,AQ$5,$B$1)</f>
        <v>0</v>
      </c>
      <c r="AR74" s="55">
        <f>_xll.EQNXTDZ($A$1,$B74,AR$5,$B$1)</f>
        <v>257.41000000000003</v>
      </c>
      <c r="AS74" s="55">
        <f>_xll.EQNXTDZ($A$1,$B74,AS$5,$B$1)</f>
        <v>0</v>
      </c>
      <c r="AT74" s="55">
        <f>_xll.EQNXTDZ($A$1,$B74,AT$5,$B$1)</f>
        <v>323.95999999999998</v>
      </c>
      <c r="AU74" s="55">
        <f>_xll.EQNXTDZ($A$1,$B74,AU$5,$B$1)</f>
        <v>0</v>
      </c>
      <c r="AV74" s="55">
        <f>_xll.EQNXTDZ($A$1,$B74,AV$5,$B$1)</f>
        <v>724.27</v>
      </c>
      <c r="AW74" s="55">
        <f>_xll.EQNXTDZ($A$1,$B74,AW$5,$B$1)</f>
        <v>0</v>
      </c>
      <c r="AX74" s="55">
        <f>_xll.EQNXTDZ($A$1,$B74,AX$5,$B$1)</f>
        <v>869.53</v>
      </c>
      <c r="AY74" s="55">
        <f>_xll.EQNXTDZ($A$1,$B74,AY$5,$B$1)</f>
        <v>0</v>
      </c>
      <c r="AZ74" s="55">
        <f>_xll.EQNXTDZ($A$1,$B74,AZ$5,$B$1)</f>
        <v>1091.6600000000001</v>
      </c>
      <c r="BA74" s="55">
        <f>_xll.EQNXTDZ($A$1,$B74,BA$5,$B$1)</f>
        <v>0</v>
      </c>
      <c r="BB74" s="55">
        <f>_xll.EQNXTDZ($A$1,$B74,BB$5,$B$1)</f>
        <v>1056.3399999999999</v>
      </c>
      <c r="BC74" s="55">
        <f>_xll.EQNXTDZ($A$1,$B74,BC$5,$B$1)</f>
        <v>0</v>
      </c>
      <c r="BD74" s="55">
        <f>_xll.EQNXTDZ($A$1,$B74,BD$5,$B$1)</f>
        <v>746.36</v>
      </c>
      <c r="BE74" s="55">
        <f>_xll.EQNXTDZ($A$1,$B74,BE$5,$B$1)</f>
        <v>0</v>
      </c>
      <c r="BF74" s="55">
        <f>_xll.EQNXTDZ($A$1,$B74,BF$5,$B$1)</f>
        <v>442.83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282.07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312.05</v>
      </c>
      <c r="AQ77" s="55">
        <f>_xll.EQNXTDZ($A$1,$B77,AQ$5,$B$1)</f>
        <v>0</v>
      </c>
      <c r="AR77" s="55">
        <f>_xll.EQNXTDZ($A$1,$B77,AR$5,$B$1)</f>
        <v>322.62</v>
      </c>
      <c r="AS77" s="55">
        <f>_xll.EQNXTDZ($A$1,$B77,AS$5,$B$1)</f>
        <v>0</v>
      </c>
      <c r="AT77" s="55">
        <f>_xll.EQNXTDZ($A$1,$B77,AT$5,$B$1)</f>
        <v>342.09</v>
      </c>
      <c r="AU77" s="55">
        <f>_xll.EQNXTDZ($A$1,$B77,AU$5,$B$1)</f>
        <v>0</v>
      </c>
      <c r="AV77" s="55">
        <f>_xll.EQNXTDZ($A$1,$B77,AV$5,$B$1)</f>
        <v>315.02</v>
      </c>
      <c r="AW77" s="55">
        <f>_xll.EQNXTDZ($A$1,$B77,AW$5,$B$1)</f>
        <v>0</v>
      </c>
      <c r="AX77" s="55">
        <f>_xll.EQNXTDZ($A$1,$B77,AX$5,$B$1)</f>
        <v>311.58999999999997</v>
      </c>
      <c r="AY77" s="55">
        <f>_xll.EQNXTDZ($A$1,$B77,AY$5,$B$1)</f>
        <v>0</v>
      </c>
      <c r="AZ77" s="55">
        <f>_xll.EQNXTDZ($A$1,$B77,AZ$5,$B$1)</f>
        <v>342.26</v>
      </c>
      <c r="BA77" s="55">
        <f>_xll.EQNXTDZ($A$1,$B77,BA$5,$B$1)</f>
        <v>0</v>
      </c>
      <c r="BB77" s="55">
        <f>_xll.EQNXTDZ($A$1,$B77,BB$5,$B$1)</f>
        <v>373.72</v>
      </c>
      <c r="BC77" s="55">
        <f>_xll.EQNXTDZ($A$1,$B77,BC$5,$B$1)</f>
        <v>0</v>
      </c>
      <c r="BD77" s="55">
        <f>_xll.EQNXTDZ($A$1,$B77,BD$5,$B$1)</f>
        <v>397.17</v>
      </c>
      <c r="BE77" s="55">
        <f>_xll.EQNXTDZ($A$1,$B77,BE$5,$B$1)</f>
        <v>0</v>
      </c>
      <c r="BF77" s="55">
        <f>_xll.EQNXTDZ($A$1,$B77,BF$5,$B$1)</f>
        <v>428.22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49.05</v>
      </c>
      <c r="AU78" s="55">
        <f>_xll.EQNXTDZ($A$1,$B78,AU$5,$B$1)</f>
        <v>0</v>
      </c>
      <c r="AV78" s="55">
        <f>_xll.EQNXTDZ($A$1,$B78,AV$5,$B$1)</f>
        <v>14.55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34.5</v>
      </c>
      <c r="BA78" s="55">
        <f>_xll.EQNXTDZ($A$1,$B78,BA$5,$B$1)</f>
        <v>0</v>
      </c>
      <c r="BB78" s="55">
        <f>_xll.EQNXTDZ($A$1,$B78,BB$5,$B$1)</f>
        <v>49.05</v>
      </c>
      <c r="BC78" s="55">
        <f>_xll.EQNXTDZ($A$1,$B78,BC$5,$B$1)</f>
        <v>0</v>
      </c>
      <c r="BD78" s="55">
        <f>_xll.EQNXTDZ($A$1,$B78,BD$5,$B$1)</f>
        <v>32.5</v>
      </c>
      <c r="BE78" s="55">
        <f>_xll.EQNXTDZ($A$1,$B78,BE$5,$B$1)</f>
        <v>0</v>
      </c>
      <c r="BF78" s="55">
        <f>_xll.EQNXTDZ($A$1,$B78,BF$5,$B$1)</f>
        <v>31.33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327.10000000000002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992.56</v>
      </c>
      <c r="AQ79" s="55">
        <f>_xll.EQNXTDZ($A$1,$B79,AQ$5,$B$1)</f>
        <v>0</v>
      </c>
      <c r="AR79" s="55">
        <f>_xll.EQNXTDZ($A$1,$B79,AR$5,$B$1)</f>
        <v>1182.4000000000001</v>
      </c>
      <c r="AS79" s="55">
        <f>_xll.EQNXTDZ($A$1,$B79,AS$5,$B$1)</f>
        <v>0</v>
      </c>
      <c r="AT79" s="55">
        <f>_xll.EQNXTDZ($A$1,$B79,AT$5,$B$1)</f>
        <v>1219.9000000000001</v>
      </c>
      <c r="AU79" s="55">
        <f>_xll.EQNXTDZ($A$1,$B79,AU$5,$B$1)</f>
        <v>0</v>
      </c>
      <c r="AV79" s="55">
        <f>_xll.EQNXTDZ($A$1,$B79,AV$5,$B$1)</f>
        <v>1440.1</v>
      </c>
      <c r="AW79" s="55">
        <f>_xll.EQNXTDZ($A$1,$B79,AW$5,$B$1)</f>
        <v>0</v>
      </c>
      <c r="AX79" s="55">
        <f>_xll.EQNXTDZ($A$1,$B79,AX$5,$B$1)</f>
        <v>1260.67</v>
      </c>
      <c r="AY79" s="55">
        <f>_xll.EQNXTDZ($A$1,$B79,AY$5,$B$1)</f>
        <v>0</v>
      </c>
      <c r="AZ79" s="55">
        <f>_xll.EQNXTDZ($A$1,$B79,AZ$5,$B$1)</f>
        <v>1284.77</v>
      </c>
      <c r="BA79" s="55">
        <f>_xll.EQNXTDZ($A$1,$B79,BA$5,$B$1)</f>
        <v>0</v>
      </c>
      <c r="BB79" s="55">
        <f>_xll.EQNXTDZ($A$1,$B79,BB$5,$B$1)</f>
        <v>1153.9000000000001</v>
      </c>
      <c r="BC79" s="55">
        <f>_xll.EQNXTDZ($A$1,$B79,BC$5,$B$1)</f>
        <v>0</v>
      </c>
      <c r="BD79" s="55">
        <f>_xll.EQNXTDZ($A$1,$B79,BD$5,$B$1)</f>
        <v>1368.17</v>
      </c>
      <c r="BE79" s="55">
        <f>_xll.EQNXTDZ($A$1,$B79,BE$5,$B$1)</f>
        <v>0</v>
      </c>
      <c r="BF79" s="55">
        <f>_xll.EQNXTDZ($A$1,$B79,BF$5,$B$1)</f>
        <v>1513.94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50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50</v>
      </c>
      <c r="AQ80" s="55">
        <f>_xll.EQNXTDZ($A$1,$B80,AQ$5,$B$1)</f>
        <v>0</v>
      </c>
      <c r="AR80" s="55">
        <f>_xll.EQNXTDZ($A$1,$B80,AR$5,$B$1)</f>
        <v>350.31</v>
      </c>
      <c r="AS80" s="55">
        <f>_xll.EQNXTDZ($A$1,$B80,AS$5,$B$1)</f>
        <v>0</v>
      </c>
      <c r="AT80" s="55">
        <f>_xll.EQNXTDZ($A$1,$B80,AT$5,$B$1)</f>
        <v>50.03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476.45</v>
      </c>
      <c r="BA80" s="55">
        <f>_xll.EQNXTDZ($A$1,$B80,BA$5,$B$1)</f>
        <v>0</v>
      </c>
      <c r="BB80" s="55">
        <f>_xll.EQNXTDZ($A$1,$B80,BB$5,$B$1)</f>
        <v>250.27</v>
      </c>
      <c r="BC80" s="55">
        <f>_xll.EQNXTDZ($A$1,$B80,BC$5,$B$1)</f>
        <v>0</v>
      </c>
      <c r="BD80" s="55">
        <f>_xll.EQNXTDZ($A$1,$B80,BD$5,$B$1)</f>
        <v>150.02000000000001</v>
      </c>
      <c r="BE80" s="55">
        <f>_xll.EQNXTDZ($A$1,$B80,BE$5,$B$1)</f>
        <v>0</v>
      </c>
      <c r="BF80" s="55">
        <f>_xll.EQNXTDZ($A$1,$B80,BF$5,$B$1)</f>
        <v>653.28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4777.71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7716.52</v>
      </c>
      <c r="AQ81" s="55">
        <f>_xll.EQNXTDZ($A$1,$B81,AQ$5,$B$1)</f>
        <v>0</v>
      </c>
      <c r="AR81" s="55">
        <f>_xll.EQNXTDZ($A$1,$B81,AR$5,$B$1)</f>
        <v>7206.98</v>
      </c>
      <c r="AS81" s="55">
        <f>_xll.EQNXTDZ($A$1,$B81,AS$5,$B$1)</f>
        <v>0</v>
      </c>
      <c r="AT81" s="55">
        <f>_xll.EQNXTDZ($A$1,$B81,AT$5,$B$1)</f>
        <v>7681.24</v>
      </c>
      <c r="AU81" s="55">
        <f>_xll.EQNXTDZ($A$1,$B81,AU$5,$B$1)</f>
        <v>0</v>
      </c>
      <c r="AV81" s="55">
        <f>_xll.EQNXTDZ($A$1,$B81,AV$5,$B$1)</f>
        <v>7485.43</v>
      </c>
      <c r="AW81" s="55">
        <f>_xll.EQNXTDZ($A$1,$B81,AW$5,$B$1)</f>
        <v>0</v>
      </c>
      <c r="AX81" s="55">
        <f>_xll.EQNXTDZ($A$1,$B81,AX$5,$B$1)</f>
        <v>7203.8</v>
      </c>
      <c r="AY81" s="55">
        <f>_xll.EQNXTDZ($A$1,$B81,AY$5,$B$1)</f>
        <v>0</v>
      </c>
      <c r="AZ81" s="55">
        <f>_xll.EQNXTDZ($A$1,$B81,AZ$5,$B$1)</f>
        <v>7977.77</v>
      </c>
      <c r="BA81" s="55">
        <f>_xll.EQNXTDZ($A$1,$B81,BA$5,$B$1)</f>
        <v>0</v>
      </c>
      <c r="BB81" s="55">
        <f>_xll.EQNXTDZ($A$1,$B81,BB$5,$B$1)</f>
        <v>8641.2800000000007</v>
      </c>
      <c r="BC81" s="55">
        <f>_xll.EQNXTDZ($A$1,$B81,BC$5,$B$1)</f>
        <v>0</v>
      </c>
      <c r="BD81" s="55">
        <f>_xll.EQNXTDZ($A$1,$B81,BD$5,$B$1)</f>
        <v>10900.8</v>
      </c>
      <c r="BE81" s="55">
        <f>_xll.EQNXTDZ($A$1,$B81,BE$5,$B$1)</f>
        <v>0</v>
      </c>
      <c r="BF81" s="55">
        <f>_xll.EQNXTDZ($A$1,$B81,BF$5,$B$1)</f>
        <v>8190.72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1515.14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2218.58</v>
      </c>
      <c r="AQ82" s="55">
        <f>_xll.EQNXTDZ($A$1,$B82,AQ$5,$B$1)</f>
        <v>0</v>
      </c>
      <c r="AR82" s="55">
        <f>_xll.EQNXTDZ($A$1,$B82,AR$5,$B$1)</f>
        <v>2139.08</v>
      </c>
      <c r="AS82" s="55">
        <f>_xll.EQNXTDZ($A$1,$B82,AS$5,$B$1)</f>
        <v>0</v>
      </c>
      <c r="AT82" s="55">
        <f>_xll.EQNXTDZ($A$1,$B82,AT$5,$B$1)</f>
        <v>1931.41</v>
      </c>
      <c r="AU82" s="55">
        <f>_xll.EQNXTDZ($A$1,$B82,AU$5,$B$1)</f>
        <v>0</v>
      </c>
      <c r="AV82" s="55">
        <f>_xll.EQNXTDZ($A$1,$B82,AV$5,$B$1)</f>
        <v>1912.16</v>
      </c>
      <c r="AW82" s="55">
        <f>_xll.EQNXTDZ($A$1,$B82,AW$5,$B$1)</f>
        <v>0</v>
      </c>
      <c r="AX82" s="55">
        <f>_xll.EQNXTDZ($A$1,$B82,AX$5,$B$1)</f>
        <v>1782.91</v>
      </c>
      <c r="AY82" s="55">
        <f>_xll.EQNXTDZ($A$1,$B82,AY$5,$B$1)</f>
        <v>0</v>
      </c>
      <c r="AZ82" s="55">
        <f>_xll.EQNXTDZ($A$1,$B82,AZ$5,$B$1)</f>
        <v>2254.06</v>
      </c>
      <c r="BA82" s="55">
        <f>_xll.EQNXTDZ($A$1,$B82,BA$5,$B$1)</f>
        <v>0</v>
      </c>
      <c r="BB82" s="55">
        <f>_xll.EQNXTDZ($A$1,$B82,BB$5,$B$1)</f>
        <v>2415.5500000000002</v>
      </c>
      <c r="BC82" s="55">
        <f>_xll.EQNXTDZ($A$1,$B82,BC$5,$B$1)</f>
        <v>0</v>
      </c>
      <c r="BD82" s="55">
        <f>_xll.EQNXTDZ($A$1,$B82,BD$5,$B$1)</f>
        <v>2403.02</v>
      </c>
      <c r="BE82" s="55">
        <f>_xll.EQNXTDZ($A$1,$B82,BE$5,$B$1)</f>
        <v>0</v>
      </c>
      <c r="BF82" s="55">
        <f>_xll.EQNXTDZ($A$1,$B82,BF$5,$B$1)</f>
        <v>2624.32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1188.46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4494</v>
      </c>
      <c r="AQ83" s="55">
        <f>_xll.EQNXTDZ($A$1,$B83,AQ$5,$B$1)</f>
        <v>0</v>
      </c>
      <c r="AR83" s="55">
        <f>_xll.EQNXTDZ($A$1,$B83,AR$5,$B$1)</f>
        <v>4091.91</v>
      </c>
      <c r="AS83" s="55">
        <f>_xll.EQNXTDZ($A$1,$B83,AS$5,$B$1)</f>
        <v>0</v>
      </c>
      <c r="AT83" s="55">
        <f>_xll.EQNXTDZ($A$1,$B83,AT$5,$B$1)</f>
        <v>3724.08</v>
      </c>
      <c r="AU83" s="55">
        <f>_xll.EQNXTDZ($A$1,$B83,AU$5,$B$1)</f>
        <v>0</v>
      </c>
      <c r="AV83" s="55">
        <f>_xll.EQNXTDZ($A$1,$B83,AV$5,$B$1)</f>
        <v>2922.81</v>
      </c>
      <c r="AW83" s="55">
        <f>_xll.EQNXTDZ($A$1,$B83,AW$5,$B$1)</f>
        <v>0</v>
      </c>
      <c r="AX83" s="55">
        <f>_xll.EQNXTDZ($A$1,$B83,AX$5,$B$1)</f>
        <v>2809.58</v>
      </c>
      <c r="AY83" s="55">
        <f>_xll.EQNXTDZ($A$1,$B83,AY$5,$B$1)</f>
        <v>0</v>
      </c>
      <c r="AZ83" s="55">
        <f>_xll.EQNXTDZ($A$1,$B83,AZ$5,$B$1)</f>
        <v>2821.51</v>
      </c>
      <c r="BA83" s="55">
        <f>_xll.EQNXTDZ($A$1,$B83,BA$5,$B$1)</f>
        <v>0</v>
      </c>
      <c r="BB83" s="55">
        <f>_xll.EQNXTDZ($A$1,$B83,BB$5,$B$1)</f>
        <v>1022.56</v>
      </c>
      <c r="BC83" s="55">
        <f>_xll.EQNXTDZ($A$1,$B83,BC$5,$B$1)</f>
        <v>0</v>
      </c>
      <c r="BD83" s="55">
        <f>_xll.EQNXTDZ($A$1,$B83,BD$5,$B$1)</f>
        <v>1641.59</v>
      </c>
      <c r="BE83" s="55">
        <f>_xll.EQNXTDZ($A$1,$B83,BE$5,$B$1)</f>
        <v>0</v>
      </c>
      <c r="BF83" s="55">
        <f>_xll.EQNXTDZ($A$1,$B83,BF$5,$B$1)</f>
        <v>1719.31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1133.08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859.56</v>
      </c>
      <c r="AQ84" s="55">
        <f>_xll.EQNXTDZ($A$1,$B84,AQ$5,$B$1)</f>
        <v>0</v>
      </c>
      <c r="AR84" s="55">
        <f>_xll.EQNXTDZ($A$1,$B84,AR$5,$B$1)</f>
        <v>953.29</v>
      </c>
      <c r="AS84" s="55">
        <f>_xll.EQNXTDZ($A$1,$B84,AS$5,$B$1)</f>
        <v>0</v>
      </c>
      <c r="AT84" s="55">
        <f>_xll.EQNXTDZ($A$1,$B84,AT$5,$B$1)</f>
        <v>1142.43</v>
      </c>
      <c r="AU84" s="55">
        <f>_xll.EQNXTDZ($A$1,$B84,AU$5,$B$1)</f>
        <v>0</v>
      </c>
      <c r="AV84" s="55">
        <f>_xll.EQNXTDZ($A$1,$B84,AV$5,$B$1)</f>
        <v>1250.46</v>
      </c>
      <c r="AW84" s="55">
        <f>_xll.EQNXTDZ($A$1,$B84,AW$5,$B$1)</f>
        <v>0</v>
      </c>
      <c r="AX84" s="55">
        <f>_xll.EQNXTDZ($A$1,$B84,AX$5,$B$1)</f>
        <v>869.43</v>
      </c>
      <c r="AY84" s="55">
        <f>_xll.EQNXTDZ($A$1,$B84,AY$5,$B$1)</f>
        <v>0</v>
      </c>
      <c r="AZ84" s="55">
        <f>_xll.EQNXTDZ($A$1,$B84,AZ$5,$B$1)</f>
        <v>785.2</v>
      </c>
      <c r="BA84" s="55">
        <f>_xll.EQNXTDZ($A$1,$B84,BA$5,$B$1)</f>
        <v>0</v>
      </c>
      <c r="BB84" s="55">
        <f>_xll.EQNXTDZ($A$1,$B84,BB$5,$B$1)</f>
        <v>2282.52</v>
      </c>
      <c r="BC84" s="55">
        <f>_xll.EQNXTDZ($A$1,$B84,BC$5,$B$1)</f>
        <v>0</v>
      </c>
      <c r="BD84" s="55">
        <f>_xll.EQNXTDZ($A$1,$B84,BD$5,$B$1)</f>
        <v>1119.5</v>
      </c>
      <c r="BE84" s="55">
        <f>_xll.EQNXTDZ($A$1,$B84,BE$5,$B$1)</f>
        <v>0</v>
      </c>
      <c r="BF84" s="55">
        <f>_xll.EQNXTDZ($A$1,$B84,BF$5,$B$1)</f>
        <v>2464.59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43.06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43.48</v>
      </c>
      <c r="AQ85" s="55">
        <f>_xll.EQNXTDZ($A$1,$B85,AQ$5,$B$1)</f>
        <v>0</v>
      </c>
      <c r="AR85" s="55">
        <f>_xll.EQNXTDZ($A$1,$B85,AR$5,$B$1)</f>
        <v>43.35</v>
      </c>
      <c r="AS85" s="55">
        <f>_xll.EQNXTDZ($A$1,$B85,AS$5,$B$1)</f>
        <v>0</v>
      </c>
      <c r="AT85" s="55">
        <f>_xll.EQNXTDZ($A$1,$B85,AT$5,$B$1)</f>
        <v>2.68</v>
      </c>
      <c r="AU85" s="55">
        <f>_xll.EQNXTDZ($A$1,$B85,AU$5,$B$1)</f>
        <v>0</v>
      </c>
      <c r="AV85" s="55">
        <f>_xll.EQNXTDZ($A$1,$B85,AV$5,$B$1)</f>
        <v>37.24</v>
      </c>
      <c r="AW85" s="55">
        <f>_xll.EQNXTDZ($A$1,$B85,AW$5,$B$1)</f>
        <v>0</v>
      </c>
      <c r="AX85" s="55">
        <f>_xll.EQNXTDZ($A$1,$B85,AX$5,$B$1)</f>
        <v>52.08</v>
      </c>
      <c r="AY85" s="55">
        <f>_xll.EQNXTDZ($A$1,$B85,AY$5,$B$1)</f>
        <v>0</v>
      </c>
      <c r="AZ85" s="55">
        <f>_xll.EQNXTDZ($A$1,$B85,AZ$5,$B$1)</f>
        <v>17.34</v>
      </c>
      <c r="BA85" s="55">
        <f>_xll.EQNXTDZ($A$1,$B85,BA$5,$B$1)</f>
        <v>0</v>
      </c>
      <c r="BB85" s="55">
        <f>_xll.EQNXTDZ($A$1,$B85,BB$5,$B$1)</f>
        <v>3.51</v>
      </c>
      <c r="BC85" s="55">
        <f>_xll.EQNXTDZ($A$1,$B85,BC$5,$B$1)</f>
        <v>0</v>
      </c>
      <c r="BD85" s="55">
        <f>_xll.EQNXTDZ($A$1,$B85,BD$5,$B$1)</f>
        <v>17.68</v>
      </c>
      <c r="BE85" s="55">
        <f>_xll.EQNXTDZ($A$1,$B85,BE$5,$B$1)</f>
        <v>0</v>
      </c>
      <c r="BF85" s="55">
        <f>_xll.EQNXTDZ($A$1,$B85,BF$5,$B$1)</f>
        <v>3.46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8707.4500000000007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15382.14</v>
      </c>
      <c r="AQ86" s="55">
        <f>_xll.EQNXTDZ($A$1,$B86,AQ$5,$B$1)</f>
        <v>0</v>
      </c>
      <c r="AR86" s="55">
        <f>_xll.EQNXTDZ($A$1,$B86,AR$5,$B$1)</f>
        <v>14784.92</v>
      </c>
      <c r="AS86" s="55">
        <f>_xll.EQNXTDZ($A$1,$B86,AS$5,$B$1)</f>
        <v>0</v>
      </c>
      <c r="AT86" s="55">
        <f>_xll.EQNXTDZ($A$1,$B86,AT$5,$B$1)</f>
        <v>14531.87</v>
      </c>
      <c r="AU86" s="55">
        <f>_xll.EQNXTDZ($A$1,$B86,AU$5,$B$1)</f>
        <v>0</v>
      </c>
      <c r="AV86" s="55">
        <f>_xll.EQNXTDZ($A$1,$B86,AV$5,$B$1)</f>
        <v>13608.1</v>
      </c>
      <c r="AW86" s="55">
        <f>_xll.EQNXTDZ($A$1,$B86,AW$5,$B$1)</f>
        <v>0</v>
      </c>
      <c r="AX86" s="55">
        <f>_xll.EQNXTDZ($A$1,$B86,AX$5,$B$1)</f>
        <v>12717.8</v>
      </c>
      <c r="AY86" s="55">
        <f>_xll.EQNXTDZ($A$1,$B86,AY$5,$B$1)</f>
        <v>0</v>
      </c>
      <c r="AZ86" s="55">
        <f>_xll.EQNXTDZ($A$1,$B86,AZ$5,$B$1)</f>
        <v>14332.33</v>
      </c>
      <c r="BA86" s="55">
        <f>_xll.EQNXTDZ($A$1,$B86,BA$5,$B$1)</f>
        <v>0</v>
      </c>
      <c r="BB86" s="55">
        <f>_xll.EQNXTDZ($A$1,$B86,BB$5,$B$1)</f>
        <v>14615.69</v>
      </c>
      <c r="BC86" s="55">
        <f>_xll.EQNXTDZ($A$1,$B86,BC$5,$B$1)</f>
        <v>0</v>
      </c>
      <c r="BD86" s="55">
        <f>_xll.EQNXTDZ($A$1,$B86,BD$5,$B$1)</f>
        <v>16232.61</v>
      </c>
      <c r="BE86" s="55">
        <f>_xll.EQNXTDZ($A$1,$B86,BE$5,$B$1)</f>
        <v>0</v>
      </c>
      <c r="BF86" s="55">
        <f>_xll.EQNXTDZ($A$1,$B86,BF$5,$B$1)</f>
        <v>15655.68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1925.83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2523.14</v>
      </c>
      <c r="AQ88" s="55">
        <f>_xll.EQNXTDZ($A$1,$B88,AQ$5,$B$1)</f>
        <v>0</v>
      </c>
      <c r="AR88" s="55">
        <f>_xll.EQNXTDZ($A$1,$B88,AR$5,$B$1)</f>
        <v>2917.32</v>
      </c>
      <c r="AS88" s="55">
        <f>_xll.EQNXTDZ($A$1,$B88,AS$5,$B$1)</f>
        <v>0</v>
      </c>
      <c r="AT88" s="55">
        <f>_xll.EQNXTDZ($A$1,$B88,AT$5,$B$1)</f>
        <v>2225.71</v>
      </c>
      <c r="AU88" s="55">
        <f>_xll.EQNXTDZ($A$1,$B88,AU$5,$B$1)</f>
        <v>0</v>
      </c>
      <c r="AV88" s="55">
        <f>_xll.EQNXTDZ($A$1,$B88,AV$5,$B$1)</f>
        <v>3642.93</v>
      </c>
      <c r="AW88" s="55">
        <f>_xll.EQNXTDZ($A$1,$B88,AW$5,$B$1)</f>
        <v>0</v>
      </c>
      <c r="AX88" s="55">
        <f>_xll.EQNXTDZ($A$1,$B88,AX$5,$B$1)</f>
        <v>2415.39</v>
      </c>
      <c r="AY88" s="55">
        <f>_xll.EQNXTDZ($A$1,$B88,AY$5,$B$1)</f>
        <v>0</v>
      </c>
      <c r="AZ88" s="55">
        <f>_xll.EQNXTDZ($A$1,$B88,AZ$5,$B$1)</f>
        <v>1867.4</v>
      </c>
      <c r="BA88" s="55">
        <f>_xll.EQNXTDZ($A$1,$B88,BA$5,$B$1)</f>
        <v>0</v>
      </c>
      <c r="BB88" s="55">
        <f>_xll.EQNXTDZ($A$1,$B88,BB$5,$B$1)</f>
        <v>1525.59</v>
      </c>
      <c r="BC88" s="55">
        <f>_xll.EQNXTDZ($A$1,$B88,BC$5,$B$1)</f>
        <v>0</v>
      </c>
      <c r="BD88" s="55">
        <f>_xll.EQNXTDZ($A$1,$B88,BD$5,$B$1)</f>
        <v>542.6</v>
      </c>
      <c r="BE88" s="55">
        <f>_xll.EQNXTDZ($A$1,$B88,BE$5,$B$1)</f>
        <v>0</v>
      </c>
      <c r="BF88" s="55">
        <f>_xll.EQNXTDZ($A$1,$B88,BF$5,$B$1)</f>
        <v>425.93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5192.6499999999996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1838.57</v>
      </c>
      <c r="AQ89" s="55">
        <f>_xll.EQNXTDZ($A$1,$B89,AQ$5,$B$1)</f>
        <v>0</v>
      </c>
      <c r="AR89" s="55">
        <f>_xll.EQNXTDZ($A$1,$B89,AR$5,$B$1)</f>
        <v>1481.05</v>
      </c>
      <c r="AS89" s="55">
        <f>_xll.EQNXTDZ($A$1,$B89,AS$5,$B$1)</f>
        <v>0</v>
      </c>
      <c r="AT89" s="55">
        <f>_xll.EQNXTDZ($A$1,$B89,AT$5,$B$1)</f>
        <v>2050.09</v>
      </c>
      <c r="AU89" s="55">
        <f>_xll.EQNXTDZ($A$1,$B89,AU$5,$B$1)</f>
        <v>0</v>
      </c>
      <c r="AV89" s="55">
        <f>_xll.EQNXTDZ($A$1,$B89,AV$5,$B$1)</f>
        <v>1360.17</v>
      </c>
      <c r="AW89" s="55">
        <f>_xll.EQNXTDZ($A$1,$B89,AW$5,$B$1)</f>
        <v>0</v>
      </c>
      <c r="AX89" s="55">
        <f>_xll.EQNXTDZ($A$1,$B89,AX$5,$B$1)</f>
        <v>2777.21</v>
      </c>
      <c r="AY89" s="55">
        <f>_xll.EQNXTDZ($A$1,$B89,AY$5,$B$1)</f>
        <v>0</v>
      </c>
      <c r="AZ89" s="55">
        <f>_xll.EQNXTDZ($A$1,$B89,AZ$5,$B$1)</f>
        <v>3120.12</v>
      </c>
      <c r="BA89" s="55">
        <f>_xll.EQNXTDZ($A$1,$B89,BA$5,$B$1)</f>
        <v>0</v>
      </c>
      <c r="BB89" s="55">
        <f>_xll.EQNXTDZ($A$1,$B89,BB$5,$B$1)</f>
        <v>2955.71</v>
      </c>
      <c r="BC89" s="55">
        <f>_xll.EQNXTDZ($A$1,$B89,BC$5,$B$1)</f>
        <v>0</v>
      </c>
      <c r="BD89" s="55">
        <f>_xll.EQNXTDZ($A$1,$B89,BD$5,$B$1)</f>
        <v>2755.14</v>
      </c>
      <c r="BE89" s="55">
        <f>_xll.EQNXTDZ($A$1,$B89,BE$5,$B$1)</f>
        <v>0</v>
      </c>
      <c r="BF89" s="55">
        <f>_xll.EQNXTDZ($A$1,$B89,BF$5,$B$1)</f>
        <v>3269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1197.1400000000001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8319.9699999999993</v>
      </c>
      <c r="AQ91" s="55">
        <f>_xll.EQNXTDZ($A$1,$B91,AQ$5,$B$1)</f>
        <v>0</v>
      </c>
      <c r="AR91" s="55">
        <f>_xll.EQNXTDZ($A$1,$B91,AR$5,$B$1)</f>
        <v>7698.49</v>
      </c>
      <c r="AS91" s="55">
        <f>_xll.EQNXTDZ($A$1,$B91,AS$5,$B$1)</f>
        <v>0</v>
      </c>
      <c r="AT91" s="55">
        <f>_xll.EQNXTDZ($A$1,$B91,AT$5,$B$1)</f>
        <v>7402.27</v>
      </c>
      <c r="AU91" s="55">
        <f>_xll.EQNXTDZ($A$1,$B91,AU$5,$B$1)</f>
        <v>0</v>
      </c>
      <c r="AV91" s="55">
        <f>_xll.EQNXTDZ($A$1,$B91,AV$5,$B$1)</f>
        <v>6451.93</v>
      </c>
      <c r="AW91" s="55">
        <f>_xll.EQNXTDZ($A$1,$B91,AW$5,$B$1)</f>
        <v>0</v>
      </c>
      <c r="AX91" s="55">
        <f>_xll.EQNXTDZ($A$1,$B91,AX$5,$B$1)</f>
        <v>5222.08</v>
      </c>
      <c r="AY91" s="55">
        <f>_xll.EQNXTDZ($A$1,$B91,AY$5,$B$1)</f>
        <v>0</v>
      </c>
      <c r="AZ91" s="55">
        <f>_xll.EQNXTDZ($A$1,$B91,AZ$5,$B$1)</f>
        <v>6747.14</v>
      </c>
      <c r="BA91" s="55">
        <f>_xll.EQNXTDZ($A$1,$B91,BA$5,$B$1)</f>
        <v>0</v>
      </c>
      <c r="BB91" s="55">
        <f>_xll.EQNXTDZ($A$1,$B91,BB$5,$B$1)</f>
        <v>7235.48</v>
      </c>
      <c r="BC91" s="55">
        <f>_xll.EQNXTDZ($A$1,$B91,BC$5,$B$1)</f>
        <v>0</v>
      </c>
      <c r="BD91" s="55">
        <f>_xll.EQNXTDZ($A$1,$B91,BD$5,$B$1)</f>
        <v>10259.73</v>
      </c>
      <c r="BE91" s="55">
        <f>_xll.EQNXTDZ($A$1,$B91,BE$5,$B$1)</f>
        <v>0</v>
      </c>
      <c r="BF91" s="55">
        <f>_xll.EQNXTDZ($A$1,$B91,BF$5,$B$1)</f>
        <v>8710.4599999999991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6.88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9.52</v>
      </c>
      <c r="AQ92" s="55">
        <f>_xll.EQNXTDZ($A$1,$B92,AQ$5,$B$1)</f>
        <v>0</v>
      </c>
      <c r="AR92" s="55">
        <f>_xll.EQNXTDZ($A$1,$B92,AR$5,$B$1)</f>
        <v>9.18</v>
      </c>
      <c r="AS92" s="55">
        <f>_xll.EQNXTDZ($A$1,$B92,AS$5,$B$1)</f>
        <v>0</v>
      </c>
      <c r="AT92" s="55">
        <f>_xll.EQNXTDZ($A$1,$B92,AT$5,$B$1)</f>
        <v>9.0500000000000007</v>
      </c>
      <c r="AU92" s="55">
        <f>_xll.EQNXTDZ($A$1,$B92,AU$5,$B$1)</f>
        <v>0</v>
      </c>
      <c r="AV92" s="55">
        <f>_xll.EQNXTDZ($A$1,$B92,AV$5,$B$1)</f>
        <v>9.98</v>
      </c>
      <c r="AW92" s="55">
        <f>_xll.EQNXTDZ($A$1,$B92,AW$5,$B$1)</f>
        <v>0</v>
      </c>
      <c r="AX92" s="55">
        <f>_xll.EQNXTDZ($A$1,$B92,AX$5,$B$1)</f>
        <v>9.26</v>
      </c>
      <c r="AY92" s="55">
        <f>_xll.EQNXTDZ($A$1,$B92,AY$5,$B$1)</f>
        <v>0</v>
      </c>
      <c r="AZ92" s="55">
        <f>_xll.EQNXTDZ($A$1,$B92,AZ$5,$B$1)</f>
        <v>12.44</v>
      </c>
      <c r="BA92" s="55">
        <f>_xll.EQNXTDZ($A$1,$B92,BA$5,$B$1)</f>
        <v>0</v>
      </c>
      <c r="BB92" s="55">
        <f>_xll.EQNXTDZ($A$1,$B92,BB$5,$B$1)</f>
        <v>10.18</v>
      </c>
      <c r="BC92" s="55">
        <f>_xll.EQNXTDZ($A$1,$B92,BC$5,$B$1)</f>
        <v>0</v>
      </c>
      <c r="BD92" s="55">
        <f>_xll.EQNXTDZ($A$1,$B92,BD$5,$B$1)</f>
        <v>13.56</v>
      </c>
      <c r="BE92" s="55">
        <f>_xll.EQNXTDZ($A$1,$B92,BE$5,$B$1)</f>
        <v>0</v>
      </c>
      <c r="BF92" s="55">
        <f>_xll.EQNXTDZ($A$1,$B92,BF$5,$B$1)</f>
        <v>22.91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8322.5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12691.2</v>
      </c>
      <c r="AQ93" s="55">
        <f>_xll.EQNXTDZ($A$1,$B93,AQ$5,$B$1)</f>
        <v>0</v>
      </c>
      <c r="AR93" s="55">
        <f>_xll.EQNXTDZ($A$1,$B93,AR$5,$B$1)</f>
        <v>12106.04</v>
      </c>
      <c r="AS93" s="55">
        <f>_xll.EQNXTDZ($A$1,$B93,AS$5,$B$1)</f>
        <v>0</v>
      </c>
      <c r="AT93" s="55">
        <f>_xll.EQNXTDZ($A$1,$B93,AT$5,$B$1)</f>
        <v>11687.12</v>
      </c>
      <c r="AU93" s="55">
        <f>_xll.EQNXTDZ($A$1,$B93,AU$5,$B$1)</f>
        <v>0</v>
      </c>
      <c r="AV93" s="55">
        <f>_xll.EQNXTDZ($A$1,$B93,AV$5,$B$1)</f>
        <v>11465.01</v>
      </c>
      <c r="AW93" s="55">
        <f>_xll.EQNXTDZ($A$1,$B93,AW$5,$B$1)</f>
        <v>0</v>
      </c>
      <c r="AX93" s="55">
        <f>_xll.EQNXTDZ($A$1,$B93,AX$5,$B$1)</f>
        <v>10423.94</v>
      </c>
      <c r="AY93" s="55">
        <f>_xll.EQNXTDZ($A$1,$B93,AY$5,$B$1)</f>
        <v>0</v>
      </c>
      <c r="AZ93" s="55">
        <f>_xll.EQNXTDZ($A$1,$B93,AZ$5,$B$1)</f>
        <v>11747.1</v>
      </c>
      <c r="BA93" s="55">
        <f>_xll.EQNXTDZ($A$1,$B93,BA$5,$B$1)</f>
        <v>0</v>
      </c>
      <c r="BB93" s="55">
        <f>_xll.EQNXTDZ($A$1,$B93,BB$5,$B$1)</f>
        <v>11726.96</v>
      </c>
      <c r="BC93" s="55">
        <f>_xll.EQNXTDZ($A$1,$B93,BC$5,$B$1)</f>
        <v>0</v>
      </c>
      <c r="BD93" s="55">
        <f>_xll.EQNXTDZ($A$1,$B93,BD$5,$B$1)</f>
        <v>13571.03</v>
      </c>
      <c r="BE93" s="55">
        <f>_xll.EQNXTDZ($A$1,$B93,BE$5,$B$1)</f>
        <v>0</v>
      </c>
      <c r="BF93" s="55">
        <f>_xll.EQNXTDZ($A$1,$B93,BF$5,$B$1)</f>
        <v>12428.3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384.95000000000101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2690.94</v>
      </c>
      <c r="AQ94" s="55">
        <f>_xll.EQNXTDZ($A$1,$B94,AQ$5,$B$1)</f>
        <v>0</v>
      </c>
      <c r="AR94" s="55">
        <f>_xll.EQNXTDZ($A$1,$B94,AR$5,$B$1)</f>
        <v>2678.88</v>
      </c>
      <c r="AS94" s="55">
        <f>_xll.EQNXTDZ($A$1,$B94,AS$5,$B$1)</f>
        <v>0</v>
      </c>
      <c r="AT94" s="55">
        <f>_xll.EQNXTDZ($A$1,$B94,AT$5,$B$1)</f>
        <v>2844.74999999999</v>
      </c>
      <c r="AU94" s="55">
        <f>_xll.EQNXTDZ($A$1,$B94,AU$5,$B$1)</f>
        <v>0</v>
      </c>
      <c r="AV94" s="55">
        <f>_xll.EQNXTDZ($A$1,$B94,AV$5,$B$1)</f>
        <v>2143.09</v>
      </c>
      <c r="AW94" s="55">
        <f>_xll.EQNXTDZ($A$1,$B94,AW$5,$B$1)</f>
        <v>0</v>
      </c>
      <c r="AX94" s="55">
        <f>_xll.EQNXTDZ($A$1,$B94,AX$5,$B$1)</f>
        <v>2293.86</v>
      </c>
      <c r="AY94" s="55">
        <f>_xll.EQNXTDZ($A$1,$B94,AY$5,$B$1)</f>
        <v>0</v>
      </c>
      <c r="AZ94" s="55">
        <f>_xll.EQNXTDZ($A$1,$B94,AZ$5,$B$1)</f>
        <v>2585.23</v>
      </c>
      <c r="BA94" s="55">
        <f>_xll.EQNXTDZ($A$1,$B94,BA$5,$B$1)</f>
        <v>0</v>
      </c>
      <c r="BB94" s="55">
        <f>_xll.EQNXTDZ($A$1,$B94,BB$5,$B$1)</f>
        <v>2888.73</v>
      </c>
      <c r="BC94" s="55">
        <f>_xll.EQNXTDZ($A$1,$B94,BC$5,$B$1)</f>
        <v>0</v>
      </c>
      <c r="BD94" s="55">
        <f>_xll.EQNXTDZ($A$1,$B94,BD$5,$B$1)</f>
        <v>2661.58</v>
      </c>
      <c r="BE94" s="55">
        <f>_xll.EQNXTDZ($A$1,$B94,BE$5,$B$1)</f>
        <v>0</v>
      </c>
      <c r="BF94" s="55">
        <f>_xll.EQNXTDZ($A$1,$B94,BF$5,$B$1)</f>
        <v>3227.38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-209.19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-252.76</v>
      </c>
      <c r="AQ96" s="55">
        <f>_xll.EQNXTDZ($A$1,$B96,AQ$5,$B$1)</f>
        <v>0</v>
      </c>
      <c r="AR96" s="55">
        <f>_xll.EQNXTDZ($A$1,$B96,AR$5,$B$1)</f>
        <v>-332.33</v>
      </c>
      <c r="AS96" s="55">
        <f>_xll.EQNXTDZ($A$1,$B96,AS$5,$B$1)</f>
        <v>0</v>
      </c>
      <c r="AT96" s="55">
        <f>_xll.EQNXTDZ($A$1,$B96,AT$5,$B$1)</f>
        <v>-394.21</v>
      </c>
      <c r="AU96" s="55">
        <f>_xll.EQNXTDZ($A$1,$B96,AU$5,$B$1)</f>
        <v>0</v>
      </c>
      <c r="AV96" s="55">
        <f>_xll.EQNXTDZ($A$1,$B96,AV$5,$B$1)</f>
        <v>-344.79</v>
      </c>
      <c r="AW96" s="55">
        <f>_xll.EQNXTDZ($A$1,$B96,AW$5,$B$1)</f>
        <v>0</v>
      </c>
      <c r="AX96" s="55">
        <f>_xll.EQNXTDZ($A$1,$B96,AX$5,$B$1)</f>
        <v>-308.29000000000002</v>
      </c>
      <c r="AY96" s="55">
        <f>_xll.EQNXTDZ($A$1,$B96,AY$5,$B$1)</f>
        <v>0</v>
      </c>
      <c r="AZ96" s="55">
        <f>_xll.EQNXTDZ($A$1,$B96,AZ$5,$B$1)</f>
        <v>-323.64999999999998</v>
      </c>
      <c r="BA96" s="55">
        <f>_xll.EQNXTDZ($A$1,$B96,BA$5,$B$1)</f>
        <v>0</v>
      </c>
      <c r="BB96" s="55">
        <f>_xll.EQNXTDZ($A$1,$B96,BB$5,$B$1)</f>
        <v>-326.45</v>
      </c>
      <c r="BC96" s="55">
        <f>_xll.EQNXTDZ($A$1,$B96,BC$5,$B$1)</f>
        <v>0</v>
      </c>
      <c r="BD96" s="55">
        <f>_xll.EQNXTDZ($A$1,$B96,BD$5,$B$1)</f>
        <v>-412.93</v>
      </c>
      <c r="BE96" s="55">
        <f>_xll.EQNXTDZ($A$1,$B96,BE$5,$B$1)</f>
        <v>0</v>
      </c>
      <c r="BF96" s="55">
        <f>_xll.EQNXTDZ($A$1,$B96,BF$5,$B$1)</f>
        <v>-441.98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4796.1099999999997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8373.31</v>
      </c>
      <c r="AQ97" s="55">
        <f>_xll.EQNXTDZ($A$1,$B97,AQ$5,$B$1)</f>
        <v>0</v>
      </c>
      <c r="AR97" s="55">
        <f>_xll.EQNXTDZ($A$1,$B97,AR$5,$B$1)</f>
        <v>8579.2199999999993</v>
      </c>
      <c r="AS97" s="55">
        <f>_xll.EQNXTDZ($A$1,$B97,AS$5,$B$1)</f>
        <v>0</v>
      </c>
      <c r="AT97" s="55">
        <f>_xll.EQNXTDZ($A$1,$B97,AT$5,$B$1)</f>
        <v>8897.2499999999909</v>
      </c>
      <c r="AU97" s="55">
        <f>_xll.EQNXTDZ($A$1,$B97,AU$5,$B$1)</f>
        <v>0</v>
      </c>
      <c r="AV97" s="55">
        <f>_xll.EQNXTDZ($A$1,$B97,AV$5,$B$1)</f>
        <v>8709.4500000000007</v>
      </c>
      <c r="AW97" s="55">
        <f>_xll.EQNXTDZ($A$1,$B97,AW$5,$B$1)</f>
        <v>0</v>
      </c>
      <c r="AX97" s="55">
        <f>_xll.EQNXTDZ($A$1,$B97,AX$5,$B$1)</f>
        <v>9044.2800000000007</v>
      </c>
      <c r="AY97" s="55">
        <f>_xll.EQNXTDZ($A$1,$B97,AY$5,$B$1)</f>
        <v>0</v>
      </c>
      <c r="AZ97" s="55">
        <f>_xll.EQNXTDZ($A$1,$B97,AZ$5,$B$1)</f>
        <v>9774.8799999999992</v>
      </c>
      <c r="BA97" s="55">
        <f>_xll.EQNXTDZ($A$1,$B97,BA$5,$B$1)</f>
        <v>0</v>
      </c>
      <c r="BB97" s="55">
        <f>_xll.EQNXTDZ($A$1,$B97,BB$5,$B$1)</f>
        <v>10359.040000000001</v>
      </c>
      <c r="BC97" s="55">
        <f>_xll.EQNXTDZ($A$1,$B97,BC$5,$B$1)</f>
        <v>0</v>
      </c>
      <c r="BD97" s="55">
        <f>_xll.EQNXTDZ($A$1,$B97,BD$5,$B$1)</f>
        <v>11010.49</v>
      </c>
      <c r="BE97" s="55">
        <f>_xll.EQNXTDZ($A$1,$B97,BE$5,$B$1)</f>
        <v>0</v>
      </c>
      <c r="BF97" s="55">
        <f>_xll.EQNXTDZ($A$1,$B97,BF$5,$B$1)</f>
        <v>11865.28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207673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AWL Agri Business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1260.7719999999999</v>
      </c>
      <c r="F6" s="100">
        <f>_xll.EQNXTDZ($A$1,$B6,F$1,$B$1)</f>
        <v>1855.8320000000001</v>
      </c>
      <c r="G6" s="100">
        <f>_xll.EQNXTDZ($A$1,$B6,G$1,$B$1)</f>
        <v>2060.087</v>
      </c>
      <c r="H6" s="100">
        <f>_xll.EQNXTDZ($A$1,$B6,H$1,$B$1)</f>
        <v>2683.49</v>
      </c>
      <c r="I6" s="100">
        <f>_xll.EQNXTDZ($A$1,$B6,I$1,$B$1)</f>
        <v>2645.877</v>
      </c>
      <c r="J6" s="100">
        <f>_xll.EQNXTDZ($A$1,$B6,J$1,$B$1)</f>
        <v>3400.482</v>
      </c>
      <c r="K6" s="100">
        <f>_xll.EQNXTDZ($A$1,$B6,K$1,$B$1)</f>
        <v>5807.5110000000004</v>
      </c>
      <c r="L6" s="100">
        <f>_xll.EQNXTDZ($A$1,$B6,L$1,$B$1)</f>
        <v>6115.808</v>
      </c>
      <c r="M6" s="100">
        <f>_xll.EQNXTDZ($A$1,$B6,M$1,$B$1)</f>
        <v>8551.9940000000006</v>
      </c>
      <c r="N6" s="100">
        <f>_xll.EQNXTDZ($A$1,$B6,N$1,$B$1)</f>
        <v>12062.159</v>
      </c>
      <c r="O6" s="100">
        <f>_xll.EQNXTDZ($A$1,$B6,O$1,$B$1)</f>
        <v>14296.861999999999</v>
      </c>
      <c r="P6" s="100">
        <f>_xll.EQNXTDZ($A$1,$B6,P$1,$B$1)</f>
        <v>17393.797999999999</v>
      </c>
      <c r="Q6" s="100">
        <f>_xll.EQNXTDZ($A$1,$B6,Q$1,$B$1)</f>
        <v>17347.368999999999</v>
      </c>
      <c r="R6" s="100">
        <f>_xll.EQNXTDZ($A$1,$B6,R$1,$B$1)</f>
        <v>19127.66</v>
      </c>
      <c r="S6" s="100">
        <f>_xll.EQNXTDZ($A$1,$B6,S$1,$B$1)</f>
        <v>23308.911</v>
      </c>
      <c r="T6" s="100">
        <f>_xll.EQNXTDZ($A$1,$B6,T$1,$B$1)</f>
        <v>26471.909</v>
      </c>
      <c r="U6" s="100">
        <f>_xll.EQNXTDZ($A$1,$B6,U$1,$B$1)</f>
        <v>28904.156999999999</v>
      </c>
      <c r="V6" s="100">
        <f>_xll.EQNXTDZ($A$1,$B6,V$1,$B$1)</f>
        <v>29800.577000000001</v>
      </c>
      <c r="W6" s="100">
        <f>_xll.EQNXTDZ($A$1,$B6,W$1,$B$1)</f>
        <v>37319.32</v>
      </c>
      <c r="X6" s="100">
        <f>_xll.EQNXTDZ($A$1,$B6,X$1,$B$1)</f>
        <v>54506.92</v>
      </c>
      <c r="Y6" s="100">
        <f>_xll.EQNXTDZ($A$1,$B6,Y$1,$B$1)</f>
        <v>58578.91</v>
      </c>
      <c r="Z6" s="100">
        <f>_xll.EQNXTDZ($A$1,$B6,Z$1,$B$1)</f>
        <v>51669.19</v>
      </c>
      <c r="AA6" s="100">
        <f>_xll.EQNXTDZ($A$1,$B6,AA$1,$B$1)</f>
        <v>64276.44</v>
      </c>
      <c r="AB6" s="100">
        <f>_xll.EQNXTDZ($A$1,$B6,AB$1,$B$1)</f>
        <v>75597.919999999998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106.699</v>
      </c>
      <c r="V8" s="100">
        <f>_xll.EQNXTDZ($A$1,$B8,V$1,$B$1)</f>
        <v>143.541</v>
      </c>
      <c r="W8" s="100">
        <f>_xll.EQNXTDZ($A$1,$B8,W$1,$B$1)</f>
        <v>228.9</v>
      </c>
      <c r="X8" s="100">
        <f>_xll.EQNXTDZ($A$1,$B8,X$1,$B$1)</f>
        <v>352.1</v>
      </c>
      <c r="Y8" s="100">
        <f>_xll.EQNXTDZ($A$1,$B8,Y$1,$B$1)</f>
        <v>394.1</v>
      </c>
      <c r="Z8" s="100">
        <f>_xll.EQNXTDZ($A$1,$B8,Z$1,$B$1)</f>
        <v>444.09</v>
      </c>
      <c r="AA8" s="100">
        <f>_xll.EQNXTDZ($A$1,$B8,AA$1,$B$1)</f>
        <v>604.20000000000005</v>
      </c>
      <c r="AB8" s="100">
        <f>_xll.EQNXTDZ($A$1,$B8,AB$1,$B$1)</f>
        <v>867.25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5.9029999999999996</v>
      </c>
      <c r="F9" s="100">
        <f>_xll.EQNXTDZ($A$1,$B9,F$1,$B$1)</f>
        <v>30.452999999999999</v>
      </c>
      <c r="G9" s="100">
        <f>_xll.EQNXTDZ($A$1,$B9,G$1,$B$1)</f>
        <v>24.702000000000002</v>
      </c>
      <c r="H9" s="100">
        <f>_xll.EQNXTDZ($A$1,$B9,H$1,$B$1)</f>
        <v>3.2789999999999999</v>
      </c>
      <c r="I9" s="100">
        <f>_xll.EQNXTDZ($A$1,$B9,I$1,$B$1)</f>
        <v>4.4450000000000003</v>
      </c>
      <c r="J9" s="100">
        <f>_xll.EQNXTDZ($A$1,$B9,J$1,$B$1)</f>
        <v>7.9089999999999998</v>
      </c>
      <c r="K9" s="100">
        <f>_xll.EQNXTDZ($A$1,$B9,K$1,$B$1)</f>
        <v>8.2959999999999994</v>
      </c>
      <c r="L9" s="100">
        <f>_xll.EQNXTDZ($A$1,$B9,L$1,$B$1)</f>
        <v>6.5090000000000003</v>
      </c>
      <c r="M9" s="100">
        <f>_xll.EQNXTDZ($A$1,$B9,M$1,$B$1)</f>
        <v>11.744999999999999</v>
      </c>
      <c r="N9" s="100">
        <f>_xll.EQNXTDZ($A$1,$B9,N$1,$B$1)</f>
        <v>19.431000000000001</v>
      </c>
      <c r="O9" s="100">
        <f>_xll.EQNXTDZ($A$1,$B9,O$1,$B$1)</f>
        <v>43.363999999999997</v>
      </c>
      <c r="P9" s="100">
        <f>_xll.EQNXTDZ($A$1,$B9,P$1,$B$1)</f>
        <v>74.165999999999997</v>
      </c>
      <c r="Q9" s="100">
        <f>_xll.EQNXTDZ($A$1,$B9,Q$1,$B$1)</f>
        <v>80.966999999999999</v>
      </c>
      <c r="R9" s="100">
        <f>_xll.EQNXTDZ($A$1,$B9,R$1,$B$1)</f>
        <v>92.692999999999998</v>
      </c>
      <c r="S9" s="100">
        <f>_xll.EQNXTDZ($A$1,$B9,S$1,$B$1)</f>
        <v>110.548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1254.8689999999999</v>
      </c>
      <c r="F10" s="100">
        <f>_xll.EQNXTDZ($A$1,$B10,F$1,$B$1)</f>
        <v>1825.3789999999999</v>
      </c>
      <c r="G10" s="100">
        <f>_xll.EQNXTDZ($A$1,$B10,G$1,$B$1)</f>
        <v>2035.385</v>
      </c>
      <c r="H10" s="100">
        <f>_xll.EQNXTDZ($A$1,$B10,H$1,$B$1)</f>
        <v>2680.2109999999998</v>
      </c>
      <c r="I10" s="100">
        <f>_xll.EQNXTDZ($A$1,$B10,I$1,$B$1)</f>
        <v>2641.4319999999998</v>
      </c>
      <c r="J10" s="100">
        <f>_xll.EQNXTDZ($A$1,$B10,J$1,$B$1)</f>
        <v>3392.5729999999999</v>
      </c>
      <c r="K10" s="100">
        <f>_xll.EQNXTDZ($A$1,$B10,K$1,$B$1)</f>
        <v>5799.2150000000001</v>
      </c>
      <c r="L10" s="100">
        <f>_xll.EQNXTDZ($A$1,$B10,L$1,$B$1)</f>
        <v>6109.299</v>
      </c>
      <c r="M10" s="100">
        <f>_xll.EQNXTDZ($A$1,$B10,M$1,$B$1)</f>
        <v>8540.2489999999998</v>
      </c>
      <c r="N10" s="100">
        <f>_xll.EQNXTDZ($A$1,$B10,N$1,$B$1)</f>
        <v>12042.727999999999</v>
      </c>
      <c r="O10" s="100">
        <f>_xll.EQNXTDZ($A$1,$B10,O$1,$B$1)</f>
        <v>14253.498</v>
      </c>
      <c r="P10" s="100">
        <f>_xll.EQNXTDZ($A$1,$B10,P$1,$B$1)</f>
        <v>17319.632000000001</v>
      </c>
      <c r="Q10" s="100">
        <f>_xll.EQNXTDZ($A$1,$B10,Q$1,$B$1)</f>
        <v>17266.401999999998</v>
      </c>
      <c r="R10" s="100">
        <f>_xll.EQNXTDZ($A$1,$B10,R$1,$B$1)</f>
        <v>19034.967000000001</v>
      </c>
      <c r="S10" s="100">
        <f>_xll.EQNXTDZ($A$1,$B10,S$1,$B$1)</f>
        <v>23198.363000000001</v>
      </c>
      <c r="T10" s="100">
        <f>_xll.EQNXTDZ($A$1,$B10,T$1,$B$1)</f>
        <v>26471.909</v>
      </c>
      <c r="U10" s="100">
        <f>_xll.EQNXTDZ($A$1,$B10,U$1,$B$1)</f>
        <v>28797.457999999999</v>
      </c>
      <c r="V10" s="100">
        <f>_xll.EQNXTDZ($A$1,$B10,V$1,$B$1)</f>
        <v>29657.036</v>
      </c>
      <c r="W10" s="100">
        <f>_xll.EQNXTDZ($A$1,$B10,W$1,$B$1)</f>
        <v>37090.42</v>
      </c>
      <c r="X10" s="100">
        <f>_xll.EQNXTDZ($A$1,$B10,X$1,$B$1)</f>
        <v>54154.82</v>
      </c>
      <c r="Y10" s="100">
        <f>_xll.EQNXTDZ($A$1,$B10,Y$1,$B$1)</f>
        <v>58184.81</v>
      </c>
      <c r="Z10" s="100">
        <f>_xll.EQNXTDZ($A$1,$B10,Z$1,$B$1)</f>
        <v>51225.1</v>
      </c>
      <c r="AA10" s="100">
        <f>_xll.EQNXTDZ($A$1,$B10,AA$1,$B$1)</f>
        <v>63672.24</v>
      </c>
      <c r="AB10" s="100">
        <f>_xll.EQNXTDZ($A$1,$B10,AB$1,$B$1)</f>
        <v>74730.67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-24.256</v>
      </c>
      <c r="F11" s="100">
        <f>_xll.EQNXTDZ($A$1,$B11,F$1,$B$1)</f>
        <v>-117.81</v>
      </c>
      <c r="G11" s="100">
        <f>_xll.EQNXTDZ($A$1,$B11,G$1,$B$1)</f>
        <v>398.84500000000003</v>
      </c>
      <c r="H11" s="100">
        <f>_xll.EQNXTDZ($A$1,$B11,H$1,$B$1)</f>
        <v>437.714</v>
      </c>
      <c r="I11" s="100">
        <f>_xll.EQNXTDZ($A$1,$B11,I$1,$B$1)</f>
        <v>423.76600000000002</v>
      </c>
      <c r="J11" s="100">
        <f>_xll.EQNXTDZ($A$1,$B11,J$1,$B$1)</f>
        <v>-119.31699999999999</v>
      </c>
      <c r="K11" s="100">
        <f>_xll.EQNXTDZ($A$1,$B11,K$1,$B$1)</f>
        <v>51.079000000000001</v>
      </c>
      <c r="L11" s="100">
        <f>_xll.EQNXTDZ($A$1,$B11,L$1,$B$1)</f>
        <v>-295.94299999999998</v>
      </c>
      <c r="M11" s="100">
        <f>_xll.EQNXTDZ($A$1,$B11,M$1,$B$1)</f>
        <v>-93.965000000000003</v>
      </c>
      <c r="N11" s="100">
        <f>_xll.EQNXTDZ($A$1,$B11,N$1,$B$1)</f>
        <v>-2.2949999999999999</v>
      </c>
      <c r="O11" s="100">
        <f>_xll.EQNXTDZ($A$1,$B11,O$1,$B$1)</f>
        <v>-18.015000000000001</v>
      </c>
      <c r="P11" s="100">
        <f>_xll.EQNXTDZ($A$1,$B11,P$1,$B$1)</f>
        <v>-101.879</v>
      </c>
      <c r="Q11" s="100">
        <f>_xll.EQNXTDZ($A$1,$B11,Q$1,$B$1)</f>
        <v>-172.66300000000001</v>
      </c>
      <c r="R11" s="100">
        <f>_xll.EQNXTDZ($A$1,$B11,R$1,$B$1)</f>
        <v>-468.07600000000002</v>
      </c>
      <c r="S11" s="100">
        <f>_xll.EQNXTDZ($A$1,$B11,S$1,$B$1)</f>
        <v>-294.37400000000002</v>
      </c>
      <c r="T11" s="100">
        <f>_xll.EQNXTDZ($A$1,$B11,T$1,$B$1)</f>
        <v>-217.02500000000001</v>
      </c>
      <c r="U11" s="100">
        <f>_xll.EQNXTDZ($A$1,$B11,U$1,$B$1)</f>
        <v>35.295000000000002</v>
      </c>
      <c r="V11" s="100">
        <f>_xll.EQNXTDZ($A$1,$B11,V$1,$B$1)</f>
        <v>469.74900000000002</v>
      </c>
      <c r="W11" s="100">
        <f>_xll.EQNXTDZ($A$1,$B11,W$1,$B$1)</f>
        <v>-945.1</v>
      </c>
      <c r="X11" s="100">
        <f>_xll.EQNXTDZ($A$1,$B11,X$1,$B$1)</f>
        <v>-1756.86</v>
      </c>
      <c r="Y11" s="100">
        <f>_xll.EQNXTDZ($A$1,$B11,Y$1,$B$1)</f>
        <v>1238.67</v>
      </c>
      <c r="Z11" s="100">
        <f>_xll.EQNXTDZ($A$1,$B11,Z$1,$B$1)</f>
        <v>24.11</v>
      </c>
      <c r="AA11" s="100">
        <f>_xll.EQNXTDZ($A$1,$B11,AA$1,$B$1)</f>
        <v>-843</v>
      </c>
      <c r="AB11" s="100">
        <f>_xll.EQNXTDZ($A$1,$B11,AB$1,$B$1)</f>
        <v>-266.26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1121.8630000000001</v>
      </c>
      <c r="F12" s="100">
        <f>_xll.EQNXTDZ($A$1,$B12,F$1,$B$1)</f>
        <v>1733.261</v>
      </c>
      <c r="G12" s="100">
        <f>_xll.EQNXTDZ($A$1,$B12,G$1,$B$1)</f>
        <v>1395.7940000000001</v>
      </c>
      <c r="H12" s="100">
        <f>_xll.EQNXTDZ($A$1,$B12,H$1,$B$1)</f>
        <v>1866.6020000000001</v>
      </c>
      <c r="I12" s="100">
        <f>_xll.EQNXTDZ($A$1,$B12,I$1,$B$1)</f>
        <v>1813.4380000000001</v>
      </c>
      <c r="J12" s="100">
        <f>_xll.EQNXTDZ($A$1,$B12,J$1,$B$1)</f>
        <v>3025.895</v>
      </c>
      <c r="K12" s="100">
        <f>_xll.EQNXTDZ($A$1,$B12,K$1,$B$1)</f>
        <v>4982.9769999999999</v>
      </c>
      <c r="L12" s="100">
        <f>_xll.EQNXTDZ($A$1,$B12,L$1,$B$1)</f>
        <v>5538.2489999999998</v>
      </c>
      <c r="M12" s="100">
        <f>_xll.EQNXTDZ($A$1,$B12,M$1,$B$1)</f>
        <v>7510.7489999999998</v>
      </c>
      <c r="N12" s="100">
        <f>_xll.EQNXTDZ($A$1,$B12,N$1,$B$1)</f>
        <v>10586.062</v>
      </c>
      <c r="O12" s="100">
        <f>_xll.EQNXTDZ($A$1,$B12,O$1,$B$1)</f>
        <v>12393.588</v>
      </c>
      <c r="P12" s="100">
        <f>_xll.EQNXTDZ($A$1,$B12,P$1,$B$1)</f>
        <v>15015.401</v>
      </c>
      <c r="Q12" s="100">
        <f>_xll.EQNXTDZ($A$1,$B12,Q$1,$B$1)</f>
        <v>14659.249</v>
      </c>
      <c r="R12" s="100">
        <f>_xll.EQNXTDZ($A$1,$B12,R$1,$B$1)</f>
        <v>16381.642</v>
      </c>
      <c r="S12" s="100">
        <f>_xll.EQNXTDZ($A$1,$B12,S$1,$B$1)</f>
        <v>20021.030999999999</v>
      </c>
      <c r="T12" s="100">
        <f>_xll.EQNXTDZ($A$1,$B12,T$1,$B$1)</f>
        <v>22365.659</v>
      </c>
      <c r="U12" s="100">
        <f>_xll.EQNXTDZ($A$1,$B12,U$1,$B$1)</f>
        <v>24154.951000000001</v>
      </c>
      <c r="V12" s="100">
        <f>_xll.EQNXTDZ($A$1,$B12,V$1,$B$1)</f>
        <v>23981.476999999999</v>
      </c>
      <c r="W12" s="100">
        <f>_xll.EQNXTDZ($A$1,$B12,W$1,$B$1)</f>
        <v>32463.52</v>
      </c>
      <c r="X12" s="100">
        <f>_xll.EQNXTDZ($A$1,$B12,X$1,$B$1)</f>
        <v>50528.32</v>
      </c>
      <c r="Y12" s="100">
        <f>_xll.EQNXTDZ($A$1,$B12,Y$1,$B$1)</f>
        <v>51646.66</v>
      </c>
      <c r="Z12" s="100">
        <f>_xll.EQNXTDZ($A$1,$B12,Z$1,$B$1)</f>
        <v>45250.7</v>
      </c>
      <c r="AA12" s="100">
        <f>_xll.EQNXTDZ($A$1,$B12,AA$1,$B$1)</f>
        <v>56980.41</v>
      </c>
      <c r="AB12" s="100">
        <f>_xll.EQNXTDZ($A$1,$B12,AB$1,$B$1)</f>
        <v>67174.100000000006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7.2679999999999998</v>
      </c>
      <c r="F13" s="100">
        <f>_xll.EQNXTDZ($A$1,$B13,F$1,$B$1)</f>
        <v>9.1150000000000002</v>
      </c>
      <c r="G13" s="100">
        <f>_xll.EQNXTDZ($A$1,$B13,G$1,$B$1)</f>
        <v>17.497</v>
      </c>
      <c r="H13" s="100">
        <f>_xll.EQNXTDZ($A$1,$B13,H$1,$B$1)</f>
        <v>26.105</v>
      </c>
      <c r="I13" s="100">
        <f>_xll.EQNXTDZ($A$1,$B13,I$1,$B$1)</f>
        <v>27.125</v>
      </c>
      <c r="J13" s="100">
        <f>_xll.EQNXTDZ($A$1,$B13,J$1,$B$1)</f>
        <v>32.962000000000003</v>
      </c>
      <c r="K13" s="100">
        <f>_xll.EQNXTDZ($A$1,$B13,K$1,$B$1)</f>
        <v>62.174999999999997</v>
      </c>
      <c r="L13" s="100">
        <f>_xll.EQNXTDZ($A$1,$B13,L$1,$B$1)</f>
        <v>79.228999999999999</v>
      </c>
      <c r="M13" s="100">
        <f>_xll.EQNXTDZ($A$1,$B13,M$1,$B$1)</f>
        <v>122.06</v>
      </c>
      <c r="N13" s="100">
        <f>_xll.EQNXTDZ($A$1,$B13,N$1,$B$1)</f>
        <v>151.91300000000001</v>
      </c>
      <c r="O13" s="100">
        <f>_xll.EQNXTDZ($A$1,$B13,O$1,$B$1)</f>
        <v>203.25399999999999</v>
      </c>
      <c r="P13" s="100">
        <f>_xll.EQNXTDZ($A$1,$B13,P$1,$B$1)</f>
        <v>247.96100000000001</v>
      </c>
      <c r="Q13" s="100">
        <f>_xll.EQNXTDZ($A$1,$B13,Q$1,$B$1)</f>
        <v>263.65800000000002</v>
      </c>
      <c r="R13" s="100">
        <f>_xll.EQNXTDZ($A$1,$B13,R$1,$B$1)</f>
        <v>253.858</v>
      </c>
      <c r="S13" s="100">
        <f>_xll.EQNXTDZ($A$1,$B13,S$1,$B$1)</f>
        <v>251.28200000000001</v>
      </c>
      <c r="T13" s="100">
        <f>_xll.EQNXTDZ($A$1,$B13,T$1,$B$1)</f>
        <v>306.637</v>
      </c>
      <c r="U13" s="100">
        <f>_xll.EQNXTDZ($A$1,$B13,U$1,$B$1)</f>
        <v>352.30500000000001</v>
      </c>
      <c r="V13" s="100">
        <f>_xll.EQNXTDZ($A$1,$B13,V$1,$B$1)</f>
        <v>367.46</v>
      </c>
      <c r="W13" s="100">
        <f>_xll.EQNXTDZ($A$1,$B13,W$1,$B$1)</f>
        <v>397.44</v>
      </c>
      <c r="X13" s="100">
        <f>_xll.EQNXTDZ($A$1,$B13,X$1,$B$1)</f>
        <v>516.09</v>
      </c>
      <c r="Y13" s="100">
        <f>_xll.EQNXTDZ($A$1,$B13,Y$1,$B$1)</f>
        <v>638.91999999999996</v>
      </c>
      <c r="Z13" s="100">
        <f>_xll.EQNXTDZ($A$1,$B13,Z$1,$B$1)</f>
        <v>632.94000000000005</v>
      </c>
      <c r="AA13" s="100">
        <f>_xll.EQNXTDZ($A$1,$B13,AA$1,$B$1)</f>
        <v>634.13</v>
      </c>
      <c r="AB13" s="100">
        <f>_xll.EQNXTDZ($A$1,$B13,AB$1,$B$1)</f>
        <v>652.65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5.23</v>
      </c>
      <c r="F14" s="100">
        <f>_xll.EQNXTDZ($A$1,$B14,F$1,$B$1)</f>
        <v>7.2990000000000004</v>
      </c>
      <c r="G14" s="100">
        <f>_xll.EQNXTDZ($A$1,$B14,G$1,$B$1)</f>
        <v>9.9469999999999992</v>
      </c>
      <c r="H14" s="100">
        <f>_xll.EQNXTDZ($A$1,$B14,H$1,$B$1)</f>
        <v>13.311</v>
      </c>
      <c r="I14" s="100">
        <f>_xll.EQNXTDZ($A$1,$B14,I$1,$B$1)</f>
        <v>18.07</v>
      </c>
      <c r="J14" s="100">
        <f>_xll.EQNXTDZ($A$1,$B14,J$1,$B$1)</f>
        <v>21.902999999999999</v>
      </c>
      <c r="K14" s="100">
        <f>_xll.EQNXTDZ($A$1,$B14,K$1,$B$1)</f>
        <v>31.074999999999999</v>
      </c>
      <c r="L14" s="100">
        <f>_xll.EQNXTDZ($A$1,$B14,L$1,$B$1)</f>
        <v>42.292000000000002</v>
      </c>
      <c r="M14" s="100">
        <f>_xll.EQNXTDZ($A$1,$B14,M$1,$B$1)</f>
        <v>53.21</v>
      </c>
      <c r="N14" s="100">
        <f>_xll.EQNXTDZ($A$1,$B14,N$1,$B$1)</f>
        <v>63.228000000000002</v>
      </c>
      <c r="O14" s="100">
        <f>_xll.EQNXTDZ($A$1,$B14,O$1,$B$1)</f>
        <v>83.302000000000007</v>
      </c>
      <c r="P14" s="100">
        <f>_xll.EQNXTDZ($A$1,$B14,P$1,$B$1)</f>
        <v>103.6</v>
      </c>
      <c r="Q14" s="100">
        <f>_xll.EQNXTDZ($A$1,$B14,Q$1,$B$1)</f>
        <v>140.58500000000001</v>
      </c>
      <c r="R14" s="100">
        <f>_xll.EQNXTDZ($A$1,$B14,R$1,$B$1)</f>
        <v>167.43799999999999</v>
      </c>
      <c r="S14" s="100">
        <f>_xll.EQNXTDZ($A$1,$B14,S$1,$B$1)</f>
        <v>178.982</v>
      </c>
      <c r="T14" s="100">
        <f>_xll.EQNXTDZ($A$1,$B14,T$1,$B$1)</f>
        <v>255.88</v>
      </c>
      <c r="U14" s="100">
        <f>_xll.EQNXTDZ($A$1,$B14,U$1,$B$1)</f>
        <v>206.88499999999999</v>
      </c>
      <c r="V14" s="100">
        <f>_xll.EQNXTDZ($A$1,$B14,V$1,$B$1)</f>
        <v>223.934</v>
      </c>
      <c r="W14" s="100">
        <f>_xll.EQNXTDZ($A$1,$B14,W$1,$B$1)</f>
        <v>321.72000000000003</v>
      </c>
      <c r="X14" s="100">
        <f>_xll.EQNXTDZ($A$1,$B14,X$1,$B$1)</f>
        <v>392.16</v>
      </c>
      <c r="Y14" s="100">
        <f>_xll.EQNXTDZ($A$1,$B14,Y$1,$B$1)</f>
        <v>393.82</v>
      </c>
      <c r="Z14" s="100">
        <f>_xll.EQNXTDZ($A$1,$B14,Z$1,$B$1)</f>
        <v>420.76</v>
      </c>
      <c r="AA14" s="100">
        <f>_xll.EQNXTDZ($A$1,$B14,AA$1,$B$1)</f>
        <v>566.03</v>
      </c>
      <c r="AB14" s="100">
        <f>_xll.EQNXTDZ($A$1,$B14,AB$1,$B$1)</f>
        <v>676.02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58.658999999999999</v>
      </c>
      <c r="F15" s="100">
        <f>_xll.EQNXTDZ($A$1,$B15,F$1,$B$1)</f>
        <v>74.480999999999995</v>
      </c>
      <c r="G15" s="100">
        <f>_xll.EQNXTDZ($A$1,$B15,G$1,$B$1)</f>
        <v>98.046000000000006</v>
      </c>
      <c r="H15" s="100">
        <f>_xll.EQNXTDZ($A$1,$B15,H$1,$B$1)</f>
        <v>138.65199999999999</v>
      </c>
      <c r="I15" s="100">
        <f>_xll.EQNXTDZ($A$1,$B15,I$1,$B$1)</f>
        <v>140.97399999999999</v>
      </c>
      <c r="J15" s="100">
        <f>_xll.EQNXTDZ($A$1,$B15,J$1,$B$1)</f>
        <v>146.31</v>
      </c>
      <c r="K15" s="100">
        <f>_xll.EQNXTDZ($A$1,$B15,K$1,$B$1)</f>
        <v>240.79499999999999</v>
      </c>
      <c r="L15" s="100">
        <f>_xll.EQNXTDZ($A$1,$B15,L$1,$B$1)</f>
        <v>308.89800000000002</v>
      </c>
      <c r="M15" s="100">
        <f>_xll.EQNXTDZ($A$1,$B15,M$1,$B$1)</f>
        <v>336.339</v>
      </c>
      <c r="N15" s="100">
        <f>_xll.EQNXTDZ($A$1,$B15,N$1,$B$1)</f>
        <v>451.48099999999999</v>
      </c>
      <c r="O15" s="100">
        <f>_xll.EQNXTDZ($A$1,$B15,O$1,$B$1)</f>
        <v>576.12300000000005</v>
      </c>
      <c r="P15" s="100">
        <f>_xll.EQNXTDZ($A$1,$B15,P$1,$B$1)</f>
        <v>787.48599999999999</v>
      </c>
      <c r="Q15" s="100">
        <f>_xll.EQNXTDZ($A$1,$B15,Q$1,$B$1)</f>
        <v>964.62400000000002</v>
      </c>
      <c r="R15" s="100">
        <f>_xll.EQNXTDZ($A$1,$B15,R$1,$B$1)</f>
        <v>1077.356</v>
      </c>
      <c r="S15" s="100">
        <f>_xll.EQNXTDZ($A$1,$B15,S$1,$B$1)</f>
        <v>1254.2170000000001</v>
      </c>
      <c r="T15" s="100">
        <f>_xll.EQNXTDZ($A$1,$B15,T$1,$B$1)</f>
        <v>1354.5039999999999</v>
      </c>
      <c r="U15" s="100">
        <f>_xll.EQNXTDZ($A$1,$B15,U$1,$B$1)</f>
        <v>1452.8910000000001</v>
      </c>
      <c r="V15" s="100">
        <f>_xll.EQNXTDZ($A$1,$B15,V$1,$B$1)</f>
        <v>1504.23</v>
      </c>
      <c r="W15" s="100">
        <f>_xll.EQNXTDZ($A$1,$B15,W$1,$B$1)</f>
        <v>1592.4</v>
      </c>
      <c r="X15" s="100">
        <f>_xll.EQNXTDZ($A$1,$B15,X$1,$B$1)</f>
        <v>730.32</v>
      </c>
      <c r="Y15" s="100">
        <f>_xll.EQNXTDZ($A$1,$B15,Y$1,$B$1)</f>
        <v>943.89</v>
      </c>
      <c r="Z15" s="100">
        <f>_xll.EQNXTDZ($A$1,$B15,Z$1,$B$1)</f>
        <v>1036.54</v>
      </c>
      <c r="AA15" s="100">
        <f>_xll.EQNXTDZ($A$1,$B15,AA$1,$B$1)</f>
        <v>1140.3599999999999</v>
      </c>
      <c r="AB15" s="100">
        <f>_xll.EQNXTDZ($A$1,$B15,AB$1,$B$1)</f>
        <v>1253.6500000000001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8.9420000000000002</v>
      </c>
      <c r="F17" s="100">
        <f>_xll.EQNXTDZ($A$1,$B17,F$1,$B$1)</f>
        <v>11.381</v>
      </c>
      <c r="G17" s="100">
        <f>_xll.EQNXTDZ($A$1,$B17,G$1,$B$1)</f>
        <v>15.526999999999999</v>
      </c>
      <c r="H17" s="100">
        <f>_xll.EQNXTDZ($A$1,$B17,H$1,$B$1)</f>
        <v>20.364999999999998</v>
      </c>
      <c r="I17" s="100">
        <f>_xll.EQNXTDZ($A$1,$B17,I$1,$B$1)</f>
        <v>22.395</v>
      </c>
      <c r="J17" s="100">
        <f>_xll.EQNXTDZ($A$1,$B17,J$1,$B$1)</f>
        <v>21.091999999999999</v>
      </c>
      <c r="K17" s="100">
        <f>_xll.EQNXTDZ($A$1,$B17,K$1,$B$1)</f>
        <v>28.815000000000001</v>
      </c>
      <c r="L17" s="100">
        <f>_xll.EQNXTDZ($A$1,$B17,L$1,$B$1)</f>
        <v>35.932000000000002</v>
      </c>
      <c r="M17" s="100">
        <f>_xll.EQNXTDZ($A$1,$B17,M$1,$B$1)</f>
        <v>29.869</v>
      </c>
      <c r="N17" s="100">
        <f>_xll.EQNXTDZ($A$1,$B17,N$1,$B$1)</f>
        <v>51.831000000000003</v>
      </c>
      <c r="O17" s="100">
        <f>_xll.EQNXTDZ($A$1,$B17,O$1,$B$1)</f>
        <v>67.284000000000006</v>
      </c>
      <c r="P17" s="100">
        <f>_xll.EQNXTDZ($A$1,$B17,P$1,$B$1)</f>
        <v>79.778999999999996</v>
      </c>
      <c r="Q17" s="100">
        <f>_xll.EQNXTDZ($A$1,$B17,Q$1,$B$1)</f>
        <v>97.944000000000003</v>
      </c>
      <c r="R17" s="100">
        <f>_xll.EQNXTDZ($A$1,$B17,R$1,$B$1)</f>
        <v>114.29900000000001</v>
      </c>
      <c r="S17" s="100">
        <f>_xll.EQNXTDZ($A$1,$B17,S$1,$B$1)</f>
        <v>145.94399999999999</v>
      </c>
      <c r="T17" s="100">
        <f>_xll.EQNXTDZ($A$1,$B17,T$1,$B$1)</f>
        <v>164.49100000000001</v>
      </c>
      <c r="U17" s="100">
        <f>_xll.EQNXTDZ($A$1,$B17,U$1,$B$1)</f>
        <v>163.35599999999999</v>
      </c>
      <c r="V17" s="100">
        <f>_xll.EQNXTDZ($A$1,$B17,V$1,$B$1)</f>
        <v>353.42599999999999</v>
      </c>
      <c r="W17" s="100">
        <f>_xll.EQNXTDZ($A$1,$B17,W$1,$B$1)</f>
        <v>562.51</v>
      </c>
      <c r="X17" s="100">
        <f>_xll.EQNXTDZ($A$1,$B17,X$1,$B$1)</f>
        <v>278</v>
      </c>
      <c r="Y17" s="100">
        <f>_xll.EQNXTDZ($A$1,$B17,Y$1,$B$1)</f>
        <v>254.52</v>
      </c>
      <c r="Z17" s="100">
        <f>_xll.EQNXTDZ($A$1,$B17,Z$1,$B$1)</f>
        <v>248.15</v>
      </c>
      <c r="AA17" s="100">
        <f>_xll.EQNXTDZ($A$1,$B17,AA$1,$B$1)</f>
        <v>330.7</v>
      </c>
      <c r="AB17" s="100">
        <f>_xll.EQNXTDZ($A$1,$B17,AB$1,$B$1)</f>
        <v>352.87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42.968000000000004</v>
      </c>
      <c r="F18" s="100">
        <f>_xll.EQNXTDZ($A$1,$B18,F$1,$B$1)</f>
        <v>59.966000000000001</v>
      </c>
      <c r="G18" s="100">
        <f>_xll.EQNXTDZ($A$1,$B18,G$1,$B$1)</f>
        <v>73.037999999999997</v>
      </c>
      <c r="H18" s="100">
        <f>_xll.EQNXTDZ($A$1,$B18,H$1,$B$1)</f>
        <v>123.952</v>
      </c>
      <c r="I18" s="100">
        <f>_xll.EQNXTDZ($A$1,$B18,I$1,$B$1)</f>
        <v>122.01</v>
      </c>
      <c r="J18" s="100">
        <f>_xll.EQNXTDZ($A$1,$B18,J$1,$B$1)</f>
        <v>137.37799999999999</v>
      </c>
      <c r="K18" s="100">
        <f>_xll.EQNXTDZ($A$1,$B18,K$1,$B$1)</f>
        <v>258.82900000000001</v>
      </c>
      <c r="L18" s="100">
        <f>_xll.EQNXTDZ($A$1,$B18,L$1,$B$1)</f>
        <v>302.18799999999999</v>
      </c>
      <c r="M18" s="100">
        <f>_xll.EQNXTDZ($A$1,$B18,M$1,$B$1)</f>
        <v>420.78500000000003</v>
      </c>
      <c r="N18" s="100">
        <f>_xll.EQNXTDZ($A$1,$B18,N$1,$B$1)</f>
        <v>461.767</v>
      </c>
      <c r="O18" s="100">
        <f>_xll.EQNXTDZ($A$1,$B18,O$1,$B$1)</f>
        <v>579.83900000000006</v>
      </c>
      <c r="P18" s="100">
        <f>_xll.EQNXTDZ($A$1,$B18,P$1,$B$1)</f>
        <v>695.36099999999999</v>
      </c>
      <c r="Q18" s="100">
        <f>_xll.EQNXTDZ($A$1,$B18,Q$1,$B$1)</f>
        <v>769.34799999999996</v>
      </c>
      <c r="R18" s="100">
        <f>_xll.EQNXTDZ($A$1,$B18,R$1,$B$1)</f>
        <v>930.06700000000001</v>
      </c>
      <c r="S18" s="100">
        <f>_xll.EQNXTDZ($A$1,$B18,S$1,$B$1)</f>
        <v>980.38199999999995</v>
      </c>
      <c r="T18" s="100">
        <f>_xll.EQNXTDZ($A$1,$B18,T$1,$B$1)</f>
        <v>1261.759</v>
      </c>
      <c r="U18" s="100">
        <f>_xll.EQNXTDZ($A$1,$B18,U$1,$B$1)</f>
        <v>1190.6369999999999</v>
      </c>
      <c r="V18" s="100">
        <f>_xll.EQNXTDZ($A$1,$B18,V$1,$B$1)</f>
        <v>1259.9690000000001</v>
      </c>
      <c r="W18" s="100">
        <f>_xll.EQNXTDZ($A$1,$B18,W$1,$B$1)</f>
        <v>1350.52</v>
      </c>
      <c r="X18" s="100">
        <f>_xll.EQNXTDZ($A$1,$B18,X$1,$B$1)</f>
        <v>1597.86</v>
      </c>
      <c r="Y18" s="100">
        <f>_xll.EQNXTDZ($A$1,$B18,Y$1,$B$1)</f>
        <v>1878.87</v>
      </c>
      <c r="Z18" s="100">
        <f>_xll.EQNXTDZ($A$1,$B18,Z$1,$B$1)</f>
        <v>2051.75</v>
      </c>
      <c r="AA18" s="100">
        <f>_xll.EQNXTDZ($A$1,$B18,AA$1,$B$1)</f>
        <v>2255.0500000000002</v>
      </c>
      <c r="AB18" s="100">
        <f>_xll.EQNXTDZ($A$1,$B18,AB$1,$B$1)</f>
        <v>2536.8200000000002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2.7669999999999999</v>
      </c>
      <c r="F19" s="100">
        <f>_xll.EQNXTDZ($A$1,$B19,F$1,$B$1)</f>
        <v>1.383</v>
      </c>
      <c r="G19" s="100">
        <f>_xll.EQNXTDZ($A$1,$B19,G$1,$B$1)</f>
        <v>7.9569999999999999</v>
      </c>
      <c r="H19" s="100">
        <f>_xll.EQNXTDZ($A$1,$B19,H$1,$B$1)</f>
        <v>7.0140000000000002</v>
      </c>
      <c r="I19" s="100">
        <f>_xll.EQNXTDZ($A$1,$B19,I$1,$B$1)</f>
        <v>9.8879999999999999</v>
      </c>
      <c r="J19" s="100">
        <f>_xll.EQNXTDZ($A$1,$B19,J$1,$B$1)</f>
        <v>14.512</v>
      </c>
      <c r="K19" s="100">
        <f>_xll.EQNXTDZ($A$1,$B19,K$1,$B$1)</f>
        <v>3.3479999999999999</v>
      </c>
      <c r="L19" s="100">
        <f>_xll.EQNXTDZ($A$1,$B19,L$1,$B$1)</f>
        <v>4.266</v>
      </c>
      <c r="M19" s="100">
        <f>_xll.EQNXTDZ($A$1,$B19,M$1,$B$1)</f>
        <v>78.724000000000004</v>
      </c>
      <c r="N19" s="100">
        <f>_xll.EQNXTDZ($A$1,$B19,N$1,$B$1)</f>
        <v>137.94999999999999</v>
      </c>
      <c r="O19" s="100">
        <f>_xll.EQNXTDZ($A$1,$B19,O$1,$B$1)</f>
        <v>65.301000000000002</v>
      </c>
      <c r="P19" s="100">
        <f>_xll.EQNXTDZ($A$1,$B19,P$1,$B$1)</f>
        <v>297.13099999999997</v>
      </c>
      <c r="Q19" s="100">
        <f>_xll.EQNXTDZ($A$1,$B19,Q$1,$B$1)</f>
        <v>164.328</v>
      </c>
      <c r="R19" s="100">
        <f>_xll.EQNXTDZ($A$1,$B19,R$1,$B$1)</f>
        <v>61.353999999999999</v>
      </c>
      <c r="S19" s="100">
        <f>_xll.EQNXTDZ($A$1,$B19,S$1,$B$1)</f>
        <v>7.3159999999999998</v>
      </c>
      <c r="T19" s="100">
        <f>_xll.EQNXTDZ($A$1,$B19,T$1,$B$1)</f>
        <v>51.732999999999997</v>
      </c>
      <c r="U19" s="100">
        <f>_xll.EQNXTDZ($A$1,$B19,U$1,$B$1)</f>
        <v>140.613</v>
      </c>
      <c r="V19" s="100">
        <f>_xll.EQNXTDZ($A$1,$B19,V$1,$B$1)</f>
        <v>187.26599999999999</v>
      </c>
      <c r="W19" s="100">
        <f>_xll.EQNXTDZ($A$1,$B19,W$1,$B$1)</f>
        <v>22.09</v>
      </c>
      <c r="X19" s="100">
        <f>_xll.EQNXTDZ($A$1,$B19,X$1,$B$1)</f>
        <v>132.66</v>
      </c>
      <c r="Y19" s="100">
        <f>_xll.EQNXTDZ($A$1,$B19,Y$1,$B$1)</f>
        <v>230.67</v>
      </c>
      <c r="Z19" s="100">
        <f>_xll.EQNXTDZ($A$1,$B19,Z$1,$B$1)</f>
        <v>427.46</v>
      </c>
      <c r="AA19" s="100">
        <f>_xll.EQNXTDZ($A$1,$B19,AA$1,$B$1)</f>
        <v>126.82</v>
      </c>
      <c r="AB19" s="100">
        <f>_xll.EQNXTDZ($A$1,$B19,AB$1,$B$1)</f>
        <v>235.45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9.7000000000000003E-2</v>
      </c>
      <c r="F20" s="100">
        <f>_xll.EQNXTDZ($A$1,$B20,F$1,$B$1)</f>
        <v>-0.17299999999999999</v>
      </c>
      <c r="G20" s="100">
        <f>_xll.EQNXTDZ($A$1,$B20,G$1,$B$1)</f>
        <v>-3.6999999999999998E-2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1223.3440000000001</v>
      </c>
      <c r="F21" s="100">
        <f>_xll.EQNXTDZ($A$1,$B21,F$1,$B$1)</f>
        <v>1779.249</v>
      </c>
      <c r="G21" s="100">
        <f>_xll.EQNXTDZ($A$1,$B21,G$1,$B$1)</f>
        <v>2016.6880000000001</v>
      </c>
      <c r="H21" s="100">
        <f>_xll.EQNXTDZ($A$1,$B21,H$1,$B$1)</f>
        <v>2633.7150000000001</v>
      </c>
      <c r="I21" s="100">
        <f>_xll.EQNXTDZ($A$1,$B21,I$1,$B$1)</f>
        <v>2577.6660000000002</v>
      </c>
      <c r="J21" s="100">
        <f>_xll.EQNXTDZ($A$1,$B21,J$1,$B$1)</f>
        <v>3280.7350000000001</v>
      </c>
      <c r="K21" s="100">
        <f>_xll.EQNXTDZ($A$1,$B21,K$1,$B$1)</f>
        <v>5659.0929999999998</v>
      </c>
      <c r="L21" s="100">
        <f>_xll.EQNXTDZ($A$1,$B21,L$1,$B$1)</f>
        <v>6015.1109999999999</v>
      </c>
      <c r="M21" s="100">
        <f>_xll.EQNXTDZ($A$1,$B21,M$1,$B$1)</f>
        <v>8457.7710000000006</v>
      </c>
      <c r="N21" s="100">
        <f>_xll.EQNXTDZ($A$1,$B21,N$1,$B$1)</f>
        <v>11901.937</v>
      </c>
      <c r="O21" s="100">
        <f>_xll.EQNXTDZ($A$1,$B21,O$1,$B$1)</f>
        <v>13950.675999999999</v>
      </c>
      <c r="P21" s="100">
        <f>_xll.EQNXTDZ($A$1,$B21,P$1,$B$1)</f>
        <v>17124.84</v>
      </c>
      <c r="Q21" s="100">
        <f>_xll.EQNXTDZ($A$1,$B21,Q$1,$B$1)</f>
        <v>16887.073</v>
      </c>
      <c r="R21" s="100">
        <f>_xll.EQNXTDZ($A$1,$B21,R$1,$B$1)</f>
        <v>18517.937999999998</v>
      </c>
      <c r="S21" s="100">
        <f>_xll.EQNXTDZ($A$1,$B21,S$1,$B$1)</f>
        <v>22544.78</v>
      </c>
      <c r="T21" s="100">
        <f>_xll.EQNXTDZ($A$1,$B21,T$1,$B$1)</f>
        <v>25543.637999999999</v>
      </c>
      <c r="U21" s="100">
        <f>_xll.EQNXTDZ($A$1,$B21,U$1,$B$1)</f>
        <v>27696.933000000001</v>
      </c>
      <c r="V21" s="100">
        <f>_xll.EQNXTDZ($A$1,$B21,V$1,$B$1)</f>
        <v>28347.510999999999</v>
      </c>
      <c r="W21" s="100">
        <f>_xll.EQNXTDZ($A$1,$B21,W$1,$B$1)</f>
        <v>35765.1</v>
      </c>
      <c r="X21" s="100">
        <f>_xll.EQNXTDZ($A$1,$B21,X$1,$B$1)</f>
        <v>52418.55</v>
      </c>
      <c r="Y21" s="100">
        <f>_xll.EQNXTDZ($A$1,$B21,Y$1,$B$1)</f>
        <v>57226.02</v>
      </c>
      <c r="Z21" s="100">
        <f>_xll.EQNXTDZ($A$1,$B21,Z$1,$B$1)</f>
        <v>50092.41</v>
      </c>
      <c r="AA21" s="100">
        <f>_xll.EQNXTDZ($A$1,$B21,AA$1,$B$1)</f>
        <v>61190.5</v>
      </c>
      <c r="AB21" s="100">
        <f>_xll.EQNXTDZ($A$1,$B21,AB$1,$B$1)</f>
        <v>72615.3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31.524999999999999</v>
      </c>
      <c r="F22" s="100">
        <f>_xll.EQNXTDZ($A$1,$B22,F$1,$B$1)</f>
        <v>46.129999999999903</v>
      </c>
      <c r="G22" s="100">
        <f>_xll.EQNXTDZ($A$1,$B22,G$1,$B$1)</f>
        <v>18.6969999999998</v>
      </c>
      <c r="H22" s="100">
        <f>_xll.EQNXTDZ($A$1,$B22,H$1,$B$1)</f>
        <v>46.495999999999903</v>
      </c>
      <c r="I22" s="100">
        <f>_xll.EQNXTDZ($A$1,$B22,I$1,$B$1)</f>
        <v>63.765999999999998</v>
      </c>
      <c r="J22" s="100">
        <f>_xll.EQNXTDZ($A$1,$B22,J$1,$B$1)</f>
        <v>111.83799999999999</v>
      </c>
      <c r="K22" s="100">
        <f>_xll.EQNXTDZ($A$1,$B22,K$1,$B$1)</f>
        <v>140.12200000000001</v>
      </c>
      <c r="L22" s="100">
        <f>_xll.EQNXTDZ($A$1,$B22,L$1,$B$1)</f>
        <v>94.187999999999704</v>
      </c>
      <c r="M22" s="100">
        <f>_xll.EQNXTDZ($A$1,$B22,M$1,$B$1)</f>
        <v>82.477999999999994</v>
      </c>
      <c r="N22" s="100">
        <f>_xll.EQNXTDZ($A$1,$B22,N$1,$B$1)</f>
        <v>140.791</v>
      </c>
      <c r="O22" s="100">
        <f>_xll.EQNXTDZ($A$1,$B22,O$1,$B$1)</f>
        <v>302.822</v>
      </c>
      <c r="P22" s="100">
        <f>_xll.EQNXTDZ($A$1,$B22,P$1,$B$1)</f>
        <v>194.792</v>
      </c>
      <c r="Q22" s="100">
        <f>_xll.EQNXTDZ($A$1,$B22,Q$1,$B$1)</f>
        <v>379.32900000000001</v>
      </c>
      <c r="R22" s="100">
        <f>_xll.EQNXTDZ($A$1,$B22,R$1,$B$1)</f>
        <v>517.029</v>
      </c>
      <c r="S22" s="100">
        <f>_xll.EQNXTDZ($A$1,$B22,S$1,$B$1)</f>
        <v>653.58300000000202</v>
      </c>
      <c r="T22" s="100">
        <f>_xll.EQNXTDZ($A$1,$B22,T$1,$B$1)</f>
        <v>928.271000000002</v>
      </c>
      <c r="U22" s="100">
        <f>_xll.EQNXTDZ($A$1,$B22,U$1,$B$1)</f>
        <v>1100.5250000000001</v>
      </c>
      <c r="V22" s="100">
        <f>_xll.EQNXTDZ($A$1,$B22,V$1,$B$1)</f>
        <v>1309.5250000000001</v>
      </c>
      <c r="W22" s="100">
        <f>_xll.EQNXTDZ($A$1,$B22,W$1,$B$1)</f>
        <v>1325.32</v>
      </c>
      <c r="X22" s="100">
        <f>_xll.EQNXTDZ($A$1,$B22,X$1,$B$1)</f>
        <v>1736.27</v>
      </c>
      <c r="Y22" s="100">
        <f>_xll.EQNXTDZ($A$1,$B22,Y$1,$B$1)</f>
        <v>958.79000000000099</v>
      </c>
      <c r="Z22" s="100">
        <f>_xll.EQNXTDZ($A$1,$B22,Z$1,$B$1)</f>
        <v>1132.69</v>
      </c>
      <c r="AA22" s="100">
        <f>_xll.EQNXTDZ($A$1,$B22,AA$1,$B$1)</f>
        <v>2481.7399999999998</v>
      </c>
      <c r="AB22" s="100">
        <f>_xll.EQNXTDZ($A$1,$B22,AB$1,$B$1)</f>
        <v>2115.37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4.8150000000000004</v>
      </c>
      <c r="F23" s="100">
        <f>_xll.EQNXTDZ($A$1,$B23,F$1,$B$1)</f>
        <v>6.5149999999999997</v>
      </c>
      <c r="G23" s="100">
        <f>_xll.EQNXTDZ($A$1,$B23,G$1,$B$1)</f>
        <v>25.366</v>
      </c>
      <c r="H23" s="100">
        <f>_xll.EQNXTDZ($A$1,$B23,H$1,$B$1)</f>
        <v>36.015999999999998</v>
      </c>
      <c r="I23" s="100">
        <f>_xll.EQNXTDZ($A$1,$B23,I$1,$B$1)</f>
        <v>47.774000000000001</v>
      </c>
      <c r="J23" s="100">
        <f>_xll.EQNXTDZ($A$1,$B23,J$1,$B$1)</f>
        <v>55.308</v>
      </c>
      <c r="K23" s="100">
        <f>_xll.EQNXTDZ($A$1,$B23,K$1,$B$1)</f>
        <v>62.523000000000003</v>
      </c>
      <c r="L23" s="100">
        <f>_xll.EQNXTDZ($A$1,$B23,L$1,$B$1)</f>
        <v>21.346</v>
      </c>
      <c r="M23" s="100">
        <f>_xll.EQNXTDZ($A$1,$B23,M$1,$B$1)</f>
        <v>60.69</v>
      </c>
      <c r="N23" s="100">
        <f>_xll.EQNXTDZ($A$1,$B23,N$1,$B$1)</f>
        <v>91.536000000000001</v>
      </c>
      <c r="O23" s="100">
        <f>_xll.EQNXTDZ($A$1,$B23,O$1,$B$1)</f>
        <v>113.236</v>
      </c>
      <c r="P23" s="100">
        <f>_xll.EQNXTDZ($A$1,$B23,P$1,$B$1)</f>
        <v>298.488</v>
      </c>
      <c r="Q23" s="100">
        <f>_xll.EQNXTDZ($A$1,$B23,Q$1,$B$1)</f>
        <v>175.19300000000001</v>
      </c>
      <c r="R23" s="100">
        <f>_xll.EQNXTDZ($A$1,$B23,R$1,$B$1)</f>
        <v>108.636</v>
      </c>
      <c r="S23" s="100">
        <f>_xll.EQNXTDZ($A$1,$B23,S$1,$B$1)</f>
        <v>134.084</v>
      </c>
      <c r="T23" s="100">
        <f>_xll.EQNXTDZ($A$1,$B23,T$1,$B$1)</f>
        <v>89.197000000000003</v>
      </c>
      <c r="U23" s="100">
        <f>_xll.EQNXTDZ($A$1,$B23,U$1,$B$1)</f>
        <v>122.22199999999999</v>
      </c>
      <c r="V23" s="100">
        <f>_xll.EQNXTDZ($A$1,$B23,V$1,$B$1)</f>
        <v>109.95</v>
      </c>
      <c r="W23" s="100">
        <f>_xll.EQNXTDZ($A$1,$B23,W$1,$B$1)</f>
        <v>104.27</v>
      </c>
      <c r="X23" s="100">
        <f>_xll.EQNXTDZ($A$1,$B23,X$1,$B$1)</f>
        <v>172.34</v>
      </c>
      <c r="Y23" s="100">
        <f>_xll.EQNXTDZ($A$1,$B23,Y$1,$B$1)</f>
        <v>963.51</v>
      </c>
      <c r="Z23" s="100">
        <f>_xll.EQNXTDZ($A$1,$B23,Z$1,$B$1)</f>
        <v>296.18</v>
      </c>
      <c r="AA23" s="100">
        <f>_xll.EQNXTDZ($A$1,$B23,AA$1,$B$1)</f>
        <v>238.04</v>
      </c>
      <c r="AB23" s="100">
        <f>_xll.EQNXTDZ($A$1,$B23,AB$1,$B$1)</f>
        <v>433.24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36.340000000000003</v>
      </c>
      <c r="F24" s="100">
        <f>_xll.EQNXTDZ($A$1,$B24,F$1,$B$1)</f>
        <v>52.645000000000003</v>
      </c>
      <c r="G24" s="100">
        <f>_xll.EQNXTDZ($A$1,$B24,G$1,$B$1)</f>
        <v>44.063000000000002</v>
      </c>
      <c r="H24" s="100">
        <f>_xll.EQNXTDZ($A$1,$B24,H$1,$B$1)</f>
        <v>82.512</v>
      </c>
      <c r="I24" s="100">
        <f>_xll.EQNXTDZ($A$1,$B24,I$1,$B$1)</f>
        <v>111.54</v>
      </c>
      <c r="J24" s="100">
        <f>_xll.EQNXTDZ($A$1,$B24,J$1,$B$1)</f>
        <v>167.14599999999999</v>
      </c>
      <c r="K24" s="100">
        <f>_xll.EQNXTDZ($A$1,$B24,K$1,$B$1)</f>
        <v>202.64500000000001</v>
      </c>
      <c r="L24" s="100">
        <f>_xll.EQNXTDZ($A$1,$B24,L$1,$B$1)</f>
        <v>115.53400000000001</v>
      </c>
      <c r="M24" s="100">
        <f>_xll.EQNXTDZ($A$1,$B24,M$1,$B$1)</f>
        <v>143.16800000000001</v>
      </c>
      <c r="N24" s="100">
        <f>_xll.EQNXTDZ($A$1,$B24,N$1,$B$1)</f>
        <v>232.327</v>
      </c>
      <c r="O24" s="100">
        <f>_xll.EQNXTDZ($A$1,$B24,O$1,$B$1)</f>
        <v>416.05799999999999</v>
      </c>
      <c r="P24" s="100">
        <f>_xll.EQNXTDZ($A$1,$B24,P$1,$B$1)</f>
        <v>493.28</v>
      </c>
      <c r="Q24" s="100">
        <f>_xll.EQNXTDZ($A$1,$B24,Q$1,$B$1)</f>
        <v>554.52200000000005</v>
      </c>
      <c r="R24" s="100">
        <f>_xll.EQNXTDZ($A$1,$B24,R$1,$B$1)</f>
        <v>625.66499999999996</v>
      </c>
      <c r="S24" s="100">
        <f>_xll.EQNXTDZ($A$1,$B24,S$1,$B$1)</f>
        <v>787.66700000000003</v>
      </c>
      <c r="T24" s="100">
        <f>_xll.EQNXTDZ($A$1,$B24,T$1,$B$1)</f>
        <v>1017.468</v>
      </c>
      <c r="U24" s="100">
        <f>_xll.EQNXTDZ($A$1,$B24,U$1,$B$1)</f>
        <v>1222.7470000000001</v>
      </c>
      <c r="V24" s="100">
        <f>_xll.EQNXTDZ($A$1,$B24,V$1,$B$1)</f>
        <v>1419.4749999999999</v>
      </c>
      <c r="W24" s="100">
        <f>_xll.EQNXTDZ($A$1,$B24,W$1,$B$1)</f>
        <v>1429.59</v>
      </c>
      <c r="X24" s="100">
        <f>_xll.EQNXTDZ($A$1,$B24,X$1,$B$1)</f>
        <v>1908.61</v>
      </c>
      <c r="Y24" s="100">
        <f>_xll.EQNXTDZ($A$1,$B24,Y$1,$B$1)</f>
        <v>1922.3</v>
      </c>
      <c r="Z24" s="100">
        <f>_xll.EQNXTDZ($A$1,$B24,Z$1,$B$1)</f>
        <v>1428.87</v>
      </c>
      <c r="AA24" s="100">
        <f>_xll.EQNXTDZ($A$1,$B24,AA$1,$B$1)</f>
        <v>2719.78</v>
      </c>
      <c r="AB24" s="100">
        <f>_xll.EQNXTDZ($A$1,$B24,AB$1,$B$1)</f>
        <v>2548.61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9.8239999999999998</v>
      </c>
      <c r="F25" s="100">
        <f>_xll.EQNXTDZ($A$1,$B25,F$1,$B$1)</f>
        <v>19.54</v>
      </c>
      <c r="G25" s="100">
        <f>_xll.EQNXTDZ($A$1,$B25,G$1,$B$1)</f>
        <v>36.152000000000001</v>
      </c>
      <c r="H25" s="100">
        <f>_xll.EQNXTDZ($A$1,$B25,H$1,$B$1)</f>
        <v>65.438000000000002</v>
      </c>
      <c r="I25" s="100">
        <f>_xll.EQNXTDZ($A$1,$B25,I$1,$B$1)</f>
        <v>88.745999999999995</v>
      </c>
      <c r="J25" s="100">
        <f>_xll.EQNXTDZ($A$1,$B25,J$1,$B$1)</f>
        <v>95.218999999999994</v>
      </c>
      <c r="K25" s="100">
        <f>_xll.EQNXTDZ($A$1,$B25,K$1,$B$1)</f>
        <v>102.154</v>
      </c>
      <c r="L25" s="100">
        <f>_xll.EQNXTDZ($A$1,$B25,L$1,$B$1)</f>
        <v>69.438999999999993</v>
      </c>
      <c r="M25" s="100">
        <f>_xll.EQNXTDZ($A$1,$B25,M$1,$B$1)</f>
        <v>103.497</v>
      </c>
      <c r="N25" s="100">
        <f>_xll.EQNXTDZ($A$1,$B25,N$1,$B$1)</f>
        <v>182.423</v>
      </c>
      <c r="O25" s="100">
        <f>_xll.EQNXTDZ($A$1,$B25,O$1,$B$1)</f>
        <v>238.17500000000001</v>
      </c>
      <c r="P25" s="100">
        <f>_xll.EQNXTDZ($A$1,$B25,P$1,$B$1)</f>
        <v>379.94200000000001</v>
      </c>
      <c r="Q25" s="100">
        <f>_xll.EQNXTDZ($A$1,$B25,Q$1,$B$1)</f>
        <v>330.971</v>
      </c>
      <c r="R25" s="100">
        <f>_xll.EQNXTDZ($A$1,$B25,R$1,$B$1)</f>
        <v>332.50299999999999</v>
      </c>
      <c r="S25" s="100">
        <f>_xll.EQNXTDZ($A$1,$B25,S$1,$B$1)</f>
        <v>327.73500000000001</v>
      </c>
      <c r="T25" s="100">
        <f>_xll.EQNXTDZ($A$1,$B25,T$1,$B$1)</f>
        <v>298.40199999999999</v>
      </c>
      <c r="U25" s="100">
        <f>_xll.EQNXTDZ($A$1,$B25,U$1,$B$1)</f>
        <v>470.101</v>
      </c>
      <c r="V25" s="100">
        <f>_xll.EQNXTDZ($A$1,$B25,V$1,$B$1)</f>
        <v>569.19299999999998</v>
      </c>
      <c r="W25" s="100">
        <f>_xll.EQNXTDZ($A$1,$B25,W$1,$B$1)</f>
        <v>406.61</v>
      </c>
      <c r="X25" s="100">
        <f>_xll.EQNXTDZ($A$1,$B25,X$1,$B$1)</f>
        <v>540.79</v>
      </c>
      <c r="Y25" s="100">
        <f>_xll.EQNXTDZ($A$1,$B25,Y$1,$B$1)</f>
        <v>774.92</v>
      </c>
      <c r="Z25" s="100">
        <f>_xll.EQNXTDZ($A$1,$B25,Z$1,$B$1)</f>
        <v>749.11</v>
      </c>
      <c r="AA25" s="100">
        <f>_xll.EQNXTDZ($A$1,$B25,AA$1,$B$1)</f>
        <v>724.06</v>
      </c>
      <c r="AB25" s="100">
        <f>_xll.EQNXTDZ($A$1,$B25,AB$1,$B$1)</f>
        <v>706.91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26.515999999999998</v>
      </c>
      <c r="F26" s="100">
        <f>_xll.EQNXTDZ($A$1,$B26,F$1,$B$1)</f>
        <v>33.104999999999997</v>
      </c>
      <c r="G26" s="100">
        <f>_xll.EQNXTDZ($A$1,$B26,G$1,$B$1)</f>
        <v>7.9109999999999996</v>
      </c>
      <c r="H26" s="100">
        <f>_xll.EQNXTDZ($A$1,$B26,H$1,$B$1)</f>
        <v>17.074000000000002</v>
      </c>
      <c r="I26" s="100">
        <f>_xll.EQNXTDZ($A$1,$B26,I$1,$B$1)</f>
        <v>22.794</v>
      </c>
      <c r="J26" s="100">
        <f>_xll.EQNXTDZ($A$1,$B26,J$1,$B$1)</f>
        <v>71.927000000000007</v>
      </c>
      <c r="K26" s="100">
        <f>_xll.EQNXTDZ($A$1,$B26,K$1,$B$1)</f>
        <v>100.491</v>
      </c>
      <c r="L26" s="100">
        <f>_xll.EQNXTDZ($A$1,$B26,L$1,$B$1)</f>
        <v>46.094999999999999</v>
      </c>
      <c r="M26" s="100">
        <f>_xll.EQNXTDZ($A$1,$B26,M$1,$B$1)</f>
        <v>39.670999999999999</v>
      </c>
      <c r="N26" s="100">
        <f>_xll.EQNXTDZ($A$1,$B26,N$1,$B$1)</f>
        <v>49.904000000000003</v>
      </c>
      <c r="O26" s="100">
        <f>_xll.EQNXTDZ($A$1,$B26,O$1,$B$1)</f>
        <v>177.88300000000001</v>
      </c>
      <c r="P26" s="100">
        <f>_xll.EQNXTDZ($A$1,$B26,P$1,$B$1)</f>
        <v>113.33799999999999</v>
      </c>
      <c r="Q26" s="100">
        <f>_xll.EQNXTDZ($A$1,$B26,Q$1,$B$1)</f>
        <v>223.55099999999999</v>
      </c>
      <c r="R26" s="100">
        <f>_xll.EQNXTDZ($A$1,$B26,R$1,$B$1)</f>
        <v>293.16199999999998</v>
      </c>
      <c r="S26" s="100">
        <f>_xll.EQNXTDZ($A$1,$B26,S$1,$B$1)</f>
        <v>459.93200000000002</v>
      </c>
      <c r="T26" s="100">
        <f>_xll.EQNXTDZ($A$1,$B26,T$1,$B$1)</f>
        <v>719.06600000000003</v>
      </c>
      <c r="U26" s="100">
        <f>_xll.EQNXTDZ($A$1,$B26,U$1,$B$1)</f>
        <v>752.64599999999996</v>
      </c>
      <c r="V26" s="100">
        <f>_xll.EQNXTDZ($A$1,$B26,V$1,$B$1)</f>
        <v>850.28200000000004</v>
      </c>
      <c r="W26" s="100">
        <f>_xll.EQNXTDZ($A$1,$B26,W$1,$B$1)</f>
        <v>1022.98</v>
      </c>
      <c r="X26" s="100">
        <f>_xll.EQNXTDZ($A$1,$B26,X$1,$B$1)</f>
        <v>1367.82</v>
      </c>
      <c r="Y26" s="100">
        <f>_xll.EQNXTDZ($A$1,$B26,Y$1,$B$1)</f>
        <v>1147.3800000000001</v>
      </c>
      <c r="Z26" s="100">
        <f>_xll.EQNXTDZ($A$1,$B26,Z$1,$B$1)</f>
        <v>679.76</v>
      </c>
      <c r="AA26" s="100">
        <f>_xll.EQNXTDZ($A$1,$B26,AA$1,$B$1)</f>
        <v>1995.72</v>
      </c>
      <c r="AB26" s="100">
        <f>_xll.EQNXTDZ($A$1,$B26,AB$1,$B$1)</f>
        <v>1841.7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4.1020000000000003</v>
      </c>
      <c r="F27" s="100">
        <f>_xll.EQNXTDZ($A$1,$B27,F$1,$B$1)</f>
        <v>4.4180000000000001</v>
      </c>
      <c r="G27" s="100">
        <f>_xll.EQNXTDZ($A$1,$B27,G$1,$B$1)</f>
        <v>7.6219999999999999</v>
      </c>
      <c r="H27" s="100">
        <f>_xll.EQNXTDZ($A$1,$B27,H$1,$B$1)</f>
        <v>13.702999999999999</v>
      </c>
      <c r="I27" s="100">
        <f>_xll.EQNXTDZ($A$1,$B27,I$1,$B$1)</f>
        <v>15.38</v>
      </c>
      <c r="J27" s="100">
        <f>_xll.EQNXTDZ($A$1,$B27,J$1,$B$1)</f>
        <v>15.343999999999999</v>
      </c>
      <c r="K27" s="100">
        <f>_xll.EQNXTDZ($A$1,$B27,K$1,$B$1)</f>
        <v>16.946999999999999</v>
      </c>
      <c r="L27" s="100">
        <f>_xll.EQNXTDZ($A$1,$B27,L$1,$B$1)</f>
        <v>21.741</v>
      </c>
      <c r="M27" s="100">
        <f>_xll.EQNXTDZ($A$1,$B27,M$1,$B$1)</f>
        <v>30.645</v>
      </c>
      <c r="N27" s="100">
        <f>_xll.EQNXTDZ($A$1,$B27,N$1,$B$1)</f>
        <v>36.360999999999997</v>
      </c>
      <c r="O27" s="100">
        <f>_xll.EQNXTDZ($A$1,$B27,O$1,$B$1)</f>
        <v>54.94</v>
      </c>
      <c r="P27" s="100">
        <f>_xll.EQNXTDZ($A$1,$B27,P$1,$B$1)</f>
        <v>92.176000000000002</v>
      </c>
      <c r="Q27" s="100">
        <f>_xll.EQNXTDZ($A$1,$B27,Q$1,$B$1)</f>
        <v>106.72199999999999</v>
      </c>
      <c r="R27" s="100">
        <f>_xll.EQNXTDZ($A$1,$B27,R$1,$B$1)</f>
        <v>114.971</v>
      </c>
      <c r="S27" s="100">
        <f>_xll.EQNXTDZ($A$1,$B27,S$1,$B$1)</f>
        <v>118.845</v>
      </c>
      <c r="T27" s="100">
        <f>_xll.EQNXTDZ($A$1,$B27,T$1,$B$1)</f>
        <v>145.71100000000001</v>
      </c>
      <c r="U27" s="100">
        <f>_xll.EQNXTDZ($A$1,$B27,U$1,$B$1)</f>
        <v>181.88399999999999</v>
      </c>
      <c r="V27" s="100">
        <f>_xll.EQNXTDZ($A$1,$B27,V$1,$B$1)</f>
        <v>241.26900000000001</v>
      </c>
      <c r="W27" s="100">
        <f>_xll.EQNXTDZ($A$1,$B27,W$1,$B$1)</f>
        <v>267.77</v>
      </c>
      <c r="X27" s="100">
        <f>_xll.EQNXTDZ($A$1,$B27,X$1,$B$1)</f>
        <v>309.06</v>
      </c>
      <c r="Y27" s="100">
        <f>_xll.EQNXTDZ($A$1,$B27,Y$1,$B$1)</f>
        <v>358.46</v>
      </c>
      <c r="Z27" s="100">
        <f>_xll.EQNXTDZ($A$1,$B27,Z$1,$B$1)</f>
        <v>363.85</v>
      </c>
      <c r="AA27" s="100">
        <f>_xll.EQNXTDZ($A$1,$B27,AA$1,$B$1)</f>
        <v>395.1</v>
      </c>
      <c r="AB27" s="100">
        <f>_xll.EQNXTDZ($A$1,$B27,AB$1,$B$1)</f>
        <v>448.83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-0.95499999999999996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11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-53.51</v>
      </c>
      <c r="AA29" s="100">
        <f>_xll.EQNXTDZ($A$1,$B29,AA$1,$B$1)</f>
        <v>0</v>
      </c>
      <c r="AB29" s="100">
        <f>_xll.EQNXTDZ($A$1,$B29,AB$1,$B$1)</f>
        <v>-25.83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8.1259999999999994</v>
      </c>
      <c r="F30" s="100">
        <f>_xll.EQNXTDZ($A$1,$B30,F$1,$B$1)</f>
        <v>11.01</v>
      </c>
      <c r="G30" s="100">
        <f>_xll.EQNXTDZ($A$1,$B30,G$1,$B$1)</f>
        <v>-0.93899999999999995</v>
      </c>
      <c r="H30" s="100">
        <f>_xll.EQNXTDZ($A$1,$B30,H$1,$B$1)</f>
        <v>1.948</v>
      </c>
      <c r="I30" s="100">
        <f>_xll.EQNXTDZ($A$1,$B30,I$1,$B$1)</f>
        <v>3.47</v>
      </c>
      <c r="J30" s="100">
        <f>_xll.EQNXTDZ($A$1,$B30,J$1,$B$1)</f>
        <v>25.498000000000001</v>
      </c>
      <c r="K30" s="100">
        <f>_xll.EQNXTDZ($A$1,$B30,K$1,$B$1)</f>
        <v>22.888000000000002</v>
      </c>
      <c r="L30" s="100">
        <f>_xll.EQNXTDZ($A$1,$B30,L$1,$B$1)</f>
        <v>7.6879999999999997</v>
      </c>
      <c r="M30" s="100">
        <f>_xll.EQNXTDZ($A$1,$B30,M$1,$B$1)</f>
        <v>1.998</v>
      </c>
      <c r="N30" s="100">
        <f>_xll.EQNXTDZ($A$1,$B30,N$1,$B$1)</f>
        <v>5.141</v>
      </c>
      <c r="O30" s="100">
        <f>_xll.EQNXTDZ($A$1,$B30,O$1,$B$1)</f>
        <v>47.521999999999998</v>
      </c>
      <c r="P30" s="100">
        <f>_xll.EQNXTDZ($A$1,$B30,P$1,$B$1)</f>
        <v>8.3170000000000002</v>
      </c>
      <c r="Q30" s="100">
        <f>_xll.EQNXTDZ($A$1,$B30,Q$1,$B$1)</f>
        <v>31.834</v>
      </c>
      <c r="R30" s="100">
        <f>_xll.EQNXTDZ($A$1,$B30,R$1,$B$1)</f>
        <v>29.664999999999999</v>
      </c>
      <c r="S30" s="100">
        <f>_xll.EQNXTDZ($A$1,$B30,S$1,$B$1)</f>
        <v>119.027</v>
      </c>
      <c r="T30" s="100">
        <f>_xll.EQNXTDZ($A$1,$B30,T$1,$B$1)</f>
        <v>191.66900000000001</v>
      </c>
      <c r="U30" s="100">
        <f>_xll.EQNXTDZ($A$1,$B30,U$1,$B$1)</f>
        <v>205.215</v>
      </c>
      <c r="V30" s="100">
        <f>_xll.EQNXTDZ($A$1,$B30,V$1,$B$1)</f>
        <v>205.977</v>
      </c>
      <c r="W30" s="100">
        <f>_xll.EQNXTDZ($A$1,$B30,W$1,$B$1)</f>
        <v>103.26</v>
      </c>
      <c r="X30" s="100">
        <f>_xll.EQNXTDZ($A$1,$B30,X$1,$B$1)</f>
        <v>284.41000000000003</v>
      </c>
      <c r="Y30" s="100">
        <f>_xll.EQNXTDZ($A$1,$B30,Y$1,$B$1)</f>
        <v>235.35</v>
      </c>
      <c r="Z30" s="100">
        <f>_xll.EQNXTDZ($A$1,$B30,Z$1,$B$1)</f>
        <v>91.75</v>
      </c>
      <c r="AA30" s="100">
        <f>_xll.EQNXTDZ($A$1,$B30,AA$1,$B$1)</f>
        <v>437.39</v>
      </c>
      <c r="AB30" s="100">
        <f>_xll.EQNXTDZ($A$1,$B30,AB$1,$B$1)</f>
        <v>376.6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-0.73</v>
      </c>
      <c r="AB32" s="100">
        <f>_xll.EQNXTDZ($A$1,$B32,AB$1,$B$1)</f>
        <v>-2.84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26.489000000000001</v>
      </c>
      <c r="U33" s="100">
        <f>_xll.EQNXTDZ($A$1,$B33,U$1,$B$1)</f>
        <v>21.382000000000001</v>
      </c>
      <c r="V33" s="100">
        <f>_xll.EQNXTDZ($A$1,$B33,V$1,$B$1)</f>
        <v>57.835999999999999</v>
      </c>
      <c r="W33" s="100">
        <f>_xll.EQNXTDZ($A$1,$B33,W$1,$B$1)</f>
        <v>76.56</v>
      </c>
      <c r="X33" s="100">
        <f>_xll.EQNXTDZ($A$1,$B33,X$1,$B$1)</f>
        <v>29.38</v>
      </c>
      <c r="Y33" s="100">
        <f>_xll.EQNXTDZ($A$1,$B33,Y$1,$B$1)</f>
        <v>28.55</v>
      </c>
      <c r="Z33" s="100">
        <f>_xll.EQNXTDZ($A$1,$B33,Z$1,$B$1)</f>
        <v>-22.66</v>
      </c>
      <c r="AA33" s="100">
        <f>_xll.EQNXTDZ($A$1,$B33,AA$1,$B$1)</f>
        <v>62.58</v>
      </c>
      <c r="AB33" s="100">
        <f>_xll.EQNXTDZ($A$1,$B33,AB$1,$B$1)</f>
        <v>54.45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14.288</v>
      </c>
      <c r="F35" s="100">
        <f>_xll.EQNXTDZ($A$1,$B35,F$1,$B$1)</f>
        <v>17.677</v>
      </c>
      <c r="G35" s="100">
        <f>_xll.EQNXTDZ($A$1,$B35,G$1,$B$1)</f>
        <v>1.228</v>
      </c>
      <c r="H35" s="100">
        <f>_xll.EQNXTDZ($A$1,$B35,H$1,$B$1)</f>
        <v>1.423</v>
      </c>
      <c r="I35" s="100">
        <f>_xll.EQNXTDZ($A$1,$B35,I$1,$B$1)</f>
        <v>3.944</v>
      </c>
      <c r="J35" s="100">
        <f>_xll.EQNXTDZ($A$1,$B35,J$1,$B$1)</f>
        <v>31.085000000000001</v>
      </c>
      <c r="K35" s="100">
        <f>_xll.EQNXTDZ($A$1,$B35,K$1,$B$1)</f>
        <v>60.655999999999999</v>
      </c>
      <c r="L35" s="100">
        <f>_xll.EQNXTDZ($A$1,$B35,L$1,$B$1)</f>
        <v>15.711</v>
      </c>
      <c r="M35" s="100">
        <f>_xll.EQNXTDZ($A$1,$B35,M$1,$B$1)</f>
        <v>7.0279999999999996</v>
      </c>
      <c r="N35" s="100">
        <f>_xll.EQNXTDZ($A$1,$B35,N$1,$B$1)</f>
        <v>8.4019999999999992</v>
      </c>
      <c r="O35" s="100">
        <f>_xll.EQNXTDZ($A$1,$B35,O$1,$B$1)</f>
        <v>75.421000000000006</v>
      </c>
      <c r="P35" s="100">
        <f>_xll.EQNXTDZ($A$1,$B35,P$1,$B$1)</f>
        <v>12.845000000000001</v>
      </c>
      <c r="Q35" s="100">
        <f>_xll.EQNXTDZ($A$1,$B35,Q$1,$B$1)</f>
        <v>84.995000000000005</v>
      </c>
      <c r="R35" s="100">
        <f>_xll.EQNXTDZ($A$1,$B35,R$1,$B$1)</f>
        <v>148.52600000000001</v>
      </c>
      <c r="S35" s="100">
        <f>_xll.EQNXTDZ($A$1,$B35,S$1,$B$1)</f>
        <v>233.06</v>
      </c>
      <c r="T35" s="100">
        <f>_xll.EQNXTDZ($A$1,$B35,T$1,$B$1)</f>
        <v>408.17500000000001</v>
      </c>
      <c r="U35" s="100">
        <f>_xll.EQNXTDZ($A$1,$B35,U$1,$B$1)</f>
        <v>386.92899999999997</v>
      </c>
      <c r="V35" s="100">
        <f>_xll.EQNXTDZ($A$1,$B35,V$1,$B$1)</f>
        <v>460.87200000000001</v>
      </c>
      <c r="W35" s="100">
        <f>_xll.EQNXTDZ($A$1,$B35,W$1,$B$1)</f>
        <v>728.51</v>
      </c>
      <c r="X35" s="100">
        <f>_xll.EQNXTDZ($A$1,$B35,X$1,$B$1)</f>
        <v>803.73</v>
      </c>
      <c r="Y35" s="100">
        <f>_xll.EQNXTDZ($A$1,$B35,Y$1,$B$1)</f>
        <v>582.12</v>
      </c>
      <c r="Z35" s="100">
        <f>_xll.EQNXTDZ($A$1,$B35,Z$1,$B$1)</f>
        <v>147.99</v>
      </c>
      <c r="AA35" s="100">
        <f>_xll.EQNXTDZ($A$1,$B35,AA$1,$B$1)</f>
        <v>1225.08</v>
      </c>
      <c r="AB35" s="100">
        <f>_xll.EQNXTDZ($A$1,$B35,AB$1,$B$1)</f>
        <v>1042.05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25.782</v>
      </c>
      <c r="F41" s="55">
        <f>_xll.EQNXTDZ($A$1,$B41,F$1,$B$1)</f>
        <v>45.722000000000001</v>
      </c>
      <c r="G41" s="55">
        <f>_xll.EQNXTDZ($A$1,$B41,G$1,$B$1)</f>
        <v>59.718000000000004</v>
      </c>
      <c r="H41" s="55">
        <f>_xll.EQNXTDZ($A$1,$B41,H$1,$B$1)</f>
        <v>131.935</v>
      </c>
      <c r="I41" s="55">
        <f>_xll.EQNXTDZ($A$1,$B41,I$1,$B$1)</f>
        <v>131.935</v>
      </c>
      <c r="J41" s="55">
        <f>_xll.EQNXTDZ($A$1,$B41,J$1,$B$1)</f>
        <v>131.935</v>
      </c>
      <c r="K41" s="55">
        <f>_xll.EQNXTDZ($A$1,$B41,K$1,$B$1)</f>
        <v>147.62100000000001</v>
      </c>
      <c r="L41" s="55">
        <f>_xll.EQNXTDZ($A$1,$B41,L$1,$B$1)</f>
        <v>147.62100000000001</v>
      </c>
      <c r="M41" s="55">
        <f>_xll.EQNXTDZ($A$1,$B41,M$1,$B$1)</f>
        <v>101.34699999999999</v>
      </c>
      <c r="N41" s="55">
        <f>_xll.EQNXTDZ($A$1,$B41,N$1,$B$1)</f>
        <v>109.35899999999999</v>
      </c>
      <c r="O41" s="55">
        <f>_xll.EQNXTDZ($A$1,$B41,O$1,$B$1)</f>
        <v>109.35899999999999</v>
      </c>
      <c r="P41" s="55">
        <f>_xll.EQNXTDZ($A$1,$B41,P$1,$B$1)</f>
        <v>109.35899999999999</v>
      </c>
      <c r="Q41" s="55">
        <f>_xll.EQNXTDZ($A$1,$B41,Q$1,$B$1)</f>
        <v>114.295</v>
      </c>
      <c r="R41" s="55">
        <f>_xll.EQNXTDZ($A$1,$B41,R$1,$B$1)</f>
        <v>114.295</v>
      </c>
      <c r="S41" s="55">
        <f>_xll.EQNXTDZ($A$1,$B41,S$1,$B$1)</f>
        <v>114.295</v>
      </c>
      <c r="T41" s="55">
        <f>_xll.EQNXTDZ($A$1,$B41,T$1,$B$1)</f>
        <v>114.295</v>
      </c>
      <c r="U41" s="55">
        <f>_xll.EQNXTDZ($A$1,$B41,U$1,$B$1)</f>
        <v>114.295</v>
      </c>
      <c r="V41" s="55">
        <f>_xll.EQNXTDZ($A$1,$B41,V$1,$B$1)</f>
        <v>114.295</v>
      </c>
      <c r="W41" s="55">
        <f>_xll.EQNXTDZ($A$1,$B41,W$1,$B$1)</f>
        <v>114.29</v>
      </c>
      <c r="X41" s="55">
        <f>_xll.EQNXTDZ($A$1,$B41,X$1,$B$1)</f>
        <v>129.97</v>
      </c>
      <c r="Y41" s="55">
        <f>_xll.EQNXTDZ($A$1,$B41,Y$1,$B$1)</f>
        <v>129.97</v>
      </c>
      <c r="Z41" s="55">
        <f>_xll.EQNXTDZ($A$1,$B41,Z$1,$B$1)</f>
        <v>129.97</v>
      </c>
      <c r="AA41" s="55">
        <f>_xll.EQNXTDZ($A$1,$B41,AA$1,$B$1)</f>
        <v>129.53</v>
      </c>
      <c r="AB41" s="55">
        <f>_xll.EQNXTDZ($A$1,$B41,AB$1,$B$1)</f>
        <v>129.34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10</v>
      </c>
      <c r="F42" s="55">
        <f>_xll.EQNXTDZ($A$1,$B42,F$1,$B$1)</f>
        <v>13.996</v>
      </c>
      <c r="G42" s="55">
        <f>_xll.EQNXTDZ($A$1,$B42,G$1,$B$1)</f>
        <v>72.216999999999999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37.765000000000001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72.105000000000004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1.25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7.03</v>
      </c>
      <c r="AB42" s="55">
        <f>_xll.EQNXTDZ($A$1,$B42,AB$1,$B$1)</f>
        <v>33.18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28.716999999999999</v>
      </c>
      <c r="F43" s="55">
        <f>_xll.EQNXTDZ($A$1,$B43,F$1,$B$1)</f>
        <v>46.393999999999998</v>
      </c>
      <c r="G43" s="55">
        <f>_xll.EQNXTDZ($A$1,$B43,G$1,$B$1)</f>
        <v>47.622</v>
      </c>
      <c r="H43" s="55">
        <f>_xll.EQNXTDZ($A$1,$B43,H$1,$B$1)</f>
        <v>49.045000000000002</v>
      </c>
      <c r="I43" s="55">
        <f>_xll.EQNXTDZ($A$1,$B43,I$1,$B$1)</f>
        <v>52.988999999999997</v>
      </c>
      <c r="J43" s="55">
        <f>_xll.EQNXTDZ($A$1,$B43,J$1,$B$1)</f>
        <v>83.730999999999995</v>
      </c>
      <c r="K43" s="55">
        <f>_xll.EQNXTDZ($A$1,$B43,K$1,$B$1)</f>
        <v>269.87700000000001</v>
      </c>
      <c r="L43" s="55">
        <f>_xll.EQNXTDZ($A$1,$B43,L$1,$B$1)</f>
        <v>285.589</v>
      </c>
      <c r="M43" s="55">
        <f>_xll.EQNXTDZ($A$1,$B43,M$1,$B$1)</f>
        <v>500.15600000000001</v>
      </c>
      <c r="N43" s="55">
        <f>_xll.EQNXTDZ($A$1,$B43,N$1,$B$1)</f>
        <v>572.65200000000004</v>
      </c>
      <c r="O43" s="55">
        <f>_xll.EQNXTDZ($A$1,$B43,O$1,$B$1)</f>
        <v>662.03499999999997</v>
      </c>
      <c r="P43" s="55">
        <f>_xll.EQNXTDZ($A$1,$B43,P$1,$B$1)</f>
        <v>598.23699999999997</v>
      </c>
      <c r="Q43" s="55">
        <f>_xll.EQNXTDZ($A$1,$B43,Q$1,$B$1)</f>
        <v>738.61900000000003</v>
      </c>
      <c r="R43" s="55">
        <f>_xll.EQNXTDZ($A$1,$B43,R$1,$B$1)</f>
        <v>954.67899999999997</v>
      </c>
      <c r="S43" s="55">
        <f>_xll.EQNXTDZ($A$1,$B43,S$1,$B$1)</f>
        <v>1206.7329999999999</v>
      </c>
      <c r="T43" s="55">
        <f>_xll.EQNXTDZ($A$1,$B43,T$1,$B$1)</f>
        <v>1627.373</v>
      </c>
      <c r="U43" s="55">
        <f>_xll.EQNXTDZ($A$1,$B43,U$1,$B$1)</f>
        <v>2013.3979999999999</v>
      </c>
      <c r="V43" s="55">
        <f>_xll.EQNXTDZ($A$1,$B43,V$1,$B$1)</f>
        <v>2456.402</v>
      </c>
      <c r="W43" s="55">
        <f>_xll.EQNXTDZ($A$1,$B43,W$1,$B$1)</f>
        <v>3184.69</v>
      </c>
      <c r="X43" s="55">
        <f>_xll.EQNXTDZ($A$1,$B43,X$1,$B$1)</f>
        <v>7476.4</v>
      </c>
      <c r="Y43" s="55">
        <f>_xll.EQNXTDZ($A$1,$B43,Y$1,$B$1)</f>
        <v>8035.78</v>
      </c>
      <c r="Z43" s="55">
        <f>_xll.EQNXTDZ($A$1,$B43,Z$1,$B$1)</f>
        <v>8186.02</v>
      </c>
      <c r="AA43" s="55">
        <f>_xll.EQNXTDZ($A$1,$B43,AA$1,$B$1)</f>
        <v>9287.24</v>
      </c>
      <c r="AB43" s="55">
        <f>_xll.EQNXTDZ($A$1,$B43,AB$1,$B$1)</f>
        <v>10278.200000000001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64.498999999999995</v>
      </c>
      <c r="F44" s="55">
        <f>_xll.EQNXTDZ($A$1,$B44,F$1,$B$1)</f>
        <v>106.11199999999999</v>
      </c>
      <c r="G44" s="55">
        <f>_xll.EQNXTDZ($A$1,$B44,G$1,$B$1)</f>
        <v>179.55699999999999</v>
      </c>
      <c r="H44" s="55">
        <f>_xll.EQNXTDZ($A$1,$B44,H$1,$B$1)</f>
        <v>180.98</v>
      </c>
      <c r="I44" s="55">
        <f>_xll.EQNXTDZ($A$1,$B44,I$1,$B$1)</f>
        <v>184.92400000000001</v>
      </c>
      <c r="J44" s="55">
        <f>_xll.EQNXTDZ($A$1,$B44,J$1,$B$1)</f>
        <v>253.43100000000001</v>
      </c>
      <c r="K44" s="55">
        <f>_xll.EQNXTDZ($A$1,$B44,K$1,$B$1)</f>
        <v>417.49799999999999</v>
      </c>
      <c r="L44" s="55">
        <f>_xll.EQNXTDZ($A$1,$B44,L$1,$B$1)</f>
        <v>433.21</v>
      </c>
      <c r="M44" s="55">
        <f>_xll.EQNXTDZ($A$1,$B44,M$1,$B$1)</f>
        <v>673.60799999999995</v>
      </c>
      <c r="N44" s="55">
        <f>_xll.EQNXTDZ($A$1,$B44,N$1,$B$1)</f>
        <v>682.01099999999997</v>
      </c>
      <c r="O44" s="55">
        <f>_xll.EQNXTDZ($A$1,$B44,O$1,$B$1)</f>
        <v>771.39400000000001</v>
      </c>
      <c r="P44" s="55">
        <f>_xll.EQNXTDZ($A$1,$B44,P$1,$B$1)</f>
        <v>707.596</v>
      </c>
      <c r="Q44" s="55">
        <f>_xll.EQNXTDZ($A$1,$B44,Q$1,$B$1)</f>
        <v>852.91399999999999</v>
      </c>
      <c r="R44" s="55">
        <f>_xll.EQNXTDZ($A$1,$B44,R$1,$B$1)</f>
        <v>1070.2239999999999</v>
      </c>
      <c r="S44" s="55">
        <f>_xll.EQNXTDZ($A$1,$B44,S$1,$B$1)</f>
        <v>1321.028</v>
      </c>
      <c r="T44" s="55">
        <f>_xll.EQNXTDZ($A$1,$B44,T$1,$B$1)</f>
        <v>1741.6679999999999</v>
      </c>
      <c r="U44" s="55">
        <f>_xll.EQNXTDZ($A$1,$B44,U$1,$B$1)</f>
        <v>2127.6930000000002</v>
      </c>
      <c r="V44" s="55">
        <f>_xll.EQNXTDZ($A$1,$B44,V$1,$B$1)</f>
        <v>2570.6970000000001</v>
      </c>
      <c r="W44" s="55">
        <f>_xll.EQNXTDZ($A$1,$B44,W$1,$B$1)</f>
        <v>3298.98</v>
      </c>
      <c r="X44" s="55">
        <f>_xll.EQNXTDZ($A$1,$B44,X$1,$B$1)</f>
        <v>7606.37</v>
      </c>
      <c r="Y44" s="55">
        <f>_xll.EQNXTDZ($A$1,$B44,Y$1,$B$1)</f>
        <v>8165.75</v>
      </c>
      <c r="Z44" s="55">
        <f>_xll.EQNXTDZ($A$1,$B44,Z$1,$B$1)</f>
        <v>8315.99</v>
      </c>
      <c r="AA44" s="55">
        <f>_xll.EQNXTDZ($A$1,$B44,AA$1,$B$1)</f>
        <v>9423.7999999999993</v>
      </c>
      <c r="AB44" s="55">
        <f>_xll.EQNXTDZ($A$1,$B44,AB$1,$B$1)</f>
        <v>10440.719999999999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0.12</v>
      </c>
      <c r="AB45" s="55">
        <f>_xll.EQNXTDZ($A$1,$B45,AB$1,$B$1)</f>
        <v>2.96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39.651000000000003</v>
      </c>
      <c r="F47" s="55">
        <f>_xll.EQNXTDZ($A$1,$B47,F$1,$B$1)</f>
        <v>110.98099999999999</v>
      </c>
      <c r="G47" s="55">
        <f>_xll.EQNXTDZ($A$1,$B47,G$1,$B$1)</f>
        <v>165.44800000000001</v>
      </c>
      <c r="H47" s="55">
        <f>_xll.EQNXTDZ($A$1,$B47,H$1,$B$1)</f>
        <v>177.07900000000001</v>
      </c>
      <c r="I47" s="55">
        <f>_xll.EQNXTDZ($A$1,$B47,I$1,$B$1)</f>
        <v>127.881</v>
      </c>
      <c r="J47" s="55">
        <f>_xll.EQNXTDZ($A$1,$B47,J$1,$B$1)</f>
        <v>100.623</v>
      </c>
      <c r="K47" s="55">
        <f>_xll.EQNXTDZ($A$1,$B47,K$1,$B$1)</f>
        <v>331.89</v>
      </c>
      <c r="L47" s="55">
        <f>_xll.EQNXTDZ($A$1,$B47,L$1,$B$1)</f>
        <v>291.029</v>
      </c>
      <c r="M47" s="55">
        <f>_xll.EQNXTDZ($A$1,$B47,M$1,$B$1)</f>
        <v>360.95400000000001</v>
      </c>
      <c r="N47" s="55">
        <f>_xll.EQNXTDZ($A$1,$B47,N$1,$B$1)</f>
        <v>279.11599999999999</v>
      </c>
      <c r="O47" s="55">
        <f>_xll.EQNXTDZ($A$1,$B47,O$1,$B$1)</f>
        <v>241.59200000000001</v>
      </c>
      <c r="P47" s="55">
        <f>_xll.EQNXTDZ($A$1,$B47,P$1,$B$1)</f>
        <v>217.34399999999999</v>
      </c>
      <c r="Q47" s="55">
        <f>_xll.EQNXTDZ($A$1,$B47,Q$1,$B$1)</f>
        <v>719.33199999999999</v>
      </c>
      <c r="R47" s="55">
        <f>_xll.EQNXTDZ($A$1,$B47,R$1,$B$1)</f>
        <v>618.43200000000002</v>
      </c>
      <c r="S47" s="55">
        <f>_xll.EQNXTDZ($A$1,$B47,S$1,$B$1)</f>
        <v>463.12599999999998</v>
      </c>
      <c r="T47" s="55">
        <f>_xll.EQNXTDZ($A$1,$B47,T$1,$B$1)</f>
        <v>189.51599999999999</v>
      </c>
      <c r="U47" s="55">
        <f>_xll.EQNXTDZ($A$1,$B47,U$1,$B$1)</f>
        <v>964.53200000000004</v>
      </c>
      <c r="V47" s="55">
        <f>_xll.EQNXTDZ($A$1,$B47,V$1,$B$1)</f>
        <v>1146.306</v>
      </c>
      <c r="W47" s="55">
        <f>_xll.EQNXTDZ($A$1,$B47,W$1,$B$1)</f>
        <v>1024.0899999999999</v>
      </c>
      <c r="X47" s="55">
        <f>_xll.EQNXTDZ($A$1,$B47,X$1,$B$1)</f>
        <v>44.97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179.35</v>
      </c>
      <c r="AB47" s="55">
        <f>_xll.EQNXTDZ($A$1,$B47,AB$1,$B$1)</f>
        <v>385.35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23.321000000000002</v>
      </c>
      <c r="K48" s="55">
        <f>_xll.EQNXTDZ($A$1,$B48,K$1,$B$1)</f>
        <v>2.6930000000000001</v>
      </c>
      <c r="L48" s="55">
        <f>_xll.EQNXTDZ($A$1,$B48,L$1,$B$1)</f>
        <v>223.053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16.382999999999999</v>
      </c>
      <c r="Q48" s="55">
        <f>_xll.EQNXTDZ($A$1,$B48,Q$1,$B$1)</f>
        <v>6.8769999999999998</v>
      </c>
      <c r="R48" s="55">
        <f>_xll.EQNXTDZ($A$1,$B48,R$1,$B$1)</f>
        <v>10.743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0.161</v>
      </c>
      <c r="V48" s="55">
        <f>_xll.EQNXTDZ($A$1,$B48,V$1,$B$1)</f>
        <v>8.4000000000000005E-2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6.89</v>
      </c>
      <c r="AB48" s="55">
        <f>_xll.EQNXTDZ($A$1,$B48,AB$1,$B$1)</f>
        <v>6.89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11.616</v>
      </c>
      <c r="F49" s="55">
        <f>_xll.EQNXTDZ($A$1,$B49,F$1,$B$1)</f>
        <v>14.534000000000001</v>
      </c>
      <c r="G49" s="55">
        <f>_xll.EQNXTDZ($A$1,$B49,G$1,$B$1)</f>
        <v>15.231999999999999</v>
      </c>
      <c r="H49" s="55">
        <f>_xll.EQNXTDZ($A$1,$B49,H$1,$B$1)</f>
        <v>16.224</v>
      </c>
      <c r="I49" s="55">
        <f>_xll.EQNXTDZ($A$1,$B49,I$1,$B$1)</f>
        <v>18.771999999999998</v>
      </c>
      <c r="J49" s="55">
        <f>_xll.EQNXTDZ($A$1,$B49,J$1,$B$1)</f>
        <v>37.537999999999997</v>
      </c>
      <c r="K49" s="55">
        <f>_xll.EQNXTDZ($A$1,$B49,K$1,$B$1)</f>
        <v>41.274000000000001</v>
      </c>
      <c r="L49" s="55">
        <f>_xll.EQNXTDZ($A$1,$B49,L$1,$B$1)</f>
        <v>48.725999999999999</v>
      </c>
      <c r="M49" s="55">
        <f>_xll.EQNXTDZ($A$1,$B49,M$1,$B$1)</f>
        <v>50.576999999999998</v>
      </c>
      <c r="N49" s="55">
        <f>_xll.EQNXTDZ($A$1,$B49,N$1,$B$1)</f>
        <v>55.515000000000001</v>
      </c>
      <c r="O49" s="55">
        <f>_xll.EQNXTDZ($A$1,$B49,O$1,$B$1)</f>
        <v>112.884</v>
      </c>
      <c r="P49" s="55">
        <f>_xll.EQNXTDZ($A$1,$B49,P$1,$B$1)</f>
        <v>120.30800000000001</v>
      </c>
      <c r="Q49" s="55">
        <f>_xll.EQNXTDZ($A$1,$B49,Q$1,$B$1)</f>
        <v>145.32900000000001</v>
      </c>
      <c r="R49" s="55">
        <f>_xll.EQNXTDZ($A$1,$B49,R$1,$B$1)</f>
        <v>167.87100000000001</v>
      </c>
      <c r="S49" s="55">
        <f>_xll.EQNXTDZ($A$1,$B49,S$1,$B$1)</f>
        <v>133.77699999999999</v>
      </c>
      <c r="T49" s="55">
        <f>_xll.EQNXTDZ($A$1,$B49,T$1,$B$1)</f>
        <v>202.98400000000001</v>
      </c>
      <c r="U49" s="55">
        <f>_xll.EQNXTDZ($A$1,$B49,U$1,$B$1)</f>
        <v>281.37400000000002</v>
      </c>
      <c r="V49" s="55">
        <f>_xll.EQNXTDZ($A$1,$B49,V$1,$B$1)</f>
        <v>389.19400000000002</v>
      </c>
      <c r="W49" s="55">
        <f>_xll.EQNXTDZ($A$1,$B49,W$1,$B$1)</f>
        <v>209.19</v>
      </c>
      <c r="X49" s="55">
        <f>_xll.EQNXTDZ($A$1,$B49,X$1,$B$1)</f>
        <v>252.76</v>
      </c>
      <c r="Y49" s="55">
        <f>_xll.EQNXTDZ($A$1,$B49,Y$1,$B$1)</f>
        <v>394.21</v>
      </c>
      <c r="Z49" s="55">
        <f>_xll.EQNXTDZ($A$1,$B49,Z$1,$B$1)</f>
        <v>308.29000000000002</v>
      </c>
      <c r="AA49" s="55">
        <f>_xll.EQNXTDZ($A$1,$B49,AA$1,$B$1)</f>
        <v>326.45</v>
      </c>
      <c r="AB49" s="55">
        <f>_xll.EQNXTDZ($A$1,$B49,AB$1,$B$1)</f>
        <v>441.98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3.6309999999999998</v>
      </c>
      <c r="N50" s="55">
        <f>_xll.EQNXTDZ($A$1,$B50,N$1,$B$1)</f>
        <v>11.16</v>
      </c>
      <c r="O50" s="55">
        <f>_xll.EQNXTDZ($A$1,$B50,O$1,$B$1)</f>
        <v>20.896999999999998</v>
      </c>
      <c r="P50" s="55">
        <f>_xll.EQNXTDZ($A$1,$B50,P$1,$B$1)</f>
        <v>87.084999999999994</v>
      </c>
      <c r="Q50" s="55">
        <f>_xll.EQNXTDZ($A$1,$B50,Q$1,$B$1)</f>
        <v>96.001000000000005</v>
      </c>
      <c r="R50" s="55">
        <f>_xll.EQNXTDZ($A$1,$B50,R$1,$B$1)</f>
        <v>115.673</v>
      </c>
      <c r="S50" s="55">
        <f>_xll.EQNXTDZ($A$1,$B50,S$1,$B$1)</f>
        <v>147.81</v>
      </c>
      <c r="T50" s="55">
        <f>_xll.EQNXTDZ($A$1,$B50,T$1,$B$1)</f>
        <v>168.32300000000001</v>
      </c>
      <c r="U50" s="55">
        <f>_xll.EQNXTDZ($A$1,$B50,U$1,$B$1)</f>
        <v>242.53100000000001</v>
      </c>
      <c r="V50" s="55">
        <f>_xll.EQNXTDZ($A$1,$B50,V$1,$B$1)</f>
        <v>331.54899999999998</v>
      </c>
      <c r="W50" s="55">
        <f>_xll.EQNXTDZ($A$1,$B50,W$1,$B$1)</f>
        <v>445.52</v>
      </c>
      <c r="X50" s="55">
        <f>_xll.EQNXTDZ($A$1,$B50,X$1,$B$1)</f>
        <v>99.65</v>
      </c>
      <c r="Y50" s="55">
        <f>_xll.EQNXTDZ($A$1,$B50,Y$1,$B$1)</f>
        <v>118.54</v>
      </c>
      <c r="Z50" s="55">
        <f>_xll.EQNXTDZ($A$1,$B50,Z$1,$B$1)</f>
        <v>135.35</v>
      </c>
      <c r="AA50" s="55">
        <f>_xll.EQNXTDZ($A$1,$B50,AA$1,$B$1)</f>
        <v>178.01</v>
      </c>
      <c r="AB50" s="55">
        <f>_xll.EQNXTDZ($A$1,$B50,AB$1,$B$1)</f>
        <v>381.55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3.0000000000000001E-3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2.6040000000000001</v>
      </c>
      <c r="N52" s="55">
        <f>_xll.EQNXTDZ($A$1,$B52,N$1,$B$1)</f>
        <v>2.95</v>
      </c>
      <c r="O52" s="55">
        <f>_xll.EQNXTDZ($A$1,$B52,O$1,$B$1)</f>
        <v>3.5390000000000001</v>
      </c>
      <c r="P52" s="55">
        <f>_xll.EQNXTDZ($A$1,$B52,P$1,$B$1)</f>
        <v>3.7949999999999999</v>
      </c>
      <c r="Q52" s="55">
        <f>_xll.EQNXTDZ($A$1,$B52,Q$1,$B$1)</f>
        <v>6.9240000000000004</v>
      </c>
      <c r="R52" s="55">
        <f>_xll.EQNXTDZ($A$1,$B52,R$1,$B$1)</f>
        <v>9.452</v>
      </c>
      <c r="S52" s="55">
        <f>_xll.EQNXTDZ($A$1,$B52,S$1,$B$1)</f>
        <v>8.0879999999999992</v>
      </c>
      <c r="T52" s="55">
        <f>_xll.EQNXTDZ($A$1,$B52,T$1,$B$1)</f>
        <v>9.0609999999999999</v>
      </c>
      <c r="U52" s="55">
        <f>_xll.EQNXTDZ($A$1,$B52,U$1,$B$1)</f>
        <v>9.4369999999999994</v>
      </c>
      <c r="V52" s="55">
        <f>_xll.EQNXTDZ($A$1,$B52,V$1,$B$1)</f>
        <v>24.815000000000001</v>
      </c>
      <c r="W52" s="55">
        <f>_xll.EQNXTDZ($A$1,$B52,W$1,$B$1)</f>
        <v>27.52</v>
      </c>
      <c r="X52" s="55">
        <f>_xll.EQNXTDZ($A$1,$B52,X$1,$B$1)</f>
        <v>622.32000000000005</v>
      </c>
      <c r="Y52" s="55">
        <f>_xll.EQNXTDZ($A$1,$B52,Y$1,$B$1)</f>
        <v>612.96</v>
      </c>
      <c r="Z52" s="55">
        <f>_xll.EQNXTDZ($A$1,$B52,Z$1,$B$1)</f>
        <v>592.94000000000005</v>
      </c>
      <c r="AA52" s="55">
        <f>_xll.EQNXTDZ($A$1,$B52,AA$1,$B$1)</f>
        <v>570.87</v>
      </c>
      <c r="AB52" s="55">
        <f>_xll.EQNXTDZ($A$1,$B52,AB$1,$B$1)</f>
        <v>647.80999999999995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51.267000000000003</v>
      </c>
      <c r="F53" s="55">
        <f>_xll.EQNXTDZ($A$1,$B53,F$1,$B$1)</f>
        <v>125.515</v>
      </c>
      <c r="G53" s="55">
        <f>_xll.EQNXTDZ($A$1,$B53,G$1,$B$1)</f>
        <v>180.68</v>
      </c>
      <c r="H53" s="55">
        <f>_xll.EQNXTDZ($A$1,$B53,H$1,$B$1)</f>
        <v>193.303</v>
      </c>
      <c r="I53" s="55">
        <f>_xll.EQNXTDZ($A$1,$B53,I$1,$B$1)</f>
        <v>146.65299999999999</v>
      </c>
      <c r="J53" s="55">
        <f>_xll.EQNXTDZ($A$1,$B53,J$1,$B$1)</f>
        <v>161.482</v>
      </c>
      <c r="K53" s="55">
        <f>_xll.EQNXTDZ($A$1,$B53,K$1,$B$1)</f>
        <v>375.85700000000003</v>
      </c>
      <c r="L53" s="55">
        <f>_xll.EQNXTDZ($A$1,$B53,L$1,$B$1)</f>
        <v>562.80799999999999</v>
      </c>
      <c r="M53" s="55">
        <f>_xll.EQNXTDZ($A$1,$B53,M$1,$B$1)</f>
        <v>417.76600000000002</v>
      </c>
      <c r="N53" s="55">
        <f>_xll.EQNXTDZ($A$1,$B53,N$1,$B$1)</f>
        <v>348.74400000000003</v>
      </c>
      <c r="O53" s="55">
        <f>_xll.EQNXTDZ($A$1,$B53,O$1,$B$1)</f>
        <v>378.91199999999998</v>
      </c>
      <c r="P53" s="55">
        <f>_xll.EQNXTDZ($A$1,$B53,P$1,$B$1)</f>
        <v>444.91500000000002</v>
      </c>
      <c r="Q53" s="55">
        <f>_xll.EQNXTDZ($A$1,$B53,Q$1,$B$1)</f>
        <v>974.46299999999997</v>
      </c>
      <c r="R53" s="55">
        <f>_xll.EQNXTDZ($A$1,$B53,R$1,$B$1)</f>
        <v>922.17100000000005</v>
      </c>
      <c r="S53" s="55">
        <f>_xll.EQNXTDZ($A$1,$B53,S$1,$B$1)</f>
        <v>752.80100000000004</v>
      </c>
      <c r="T53" s="55">
        <f>_xll.EQNXTDZ($A$1,$B53,T$1,$B$1)</f>
        <v>569.88400000000001</v>
      </c>
      <c r="U53" s="55">
        <f>_xll.EQNXTDZ($A$1,$B53,U$1,$B$1)</f>
        <v>1498.0350000000001</v>
      </c>
      <c r="V53" s="55">
        <f>_xll.EQNXTDZ($A$1,$B53,V$1,$B$1)</f>
        <v>1891.9480000000001</v>
      </c>
      <c r="W53" s="55">
        <f>_xll.EQNXTDZ($A$1,$B53,W$1,$B$1)</f>
        <v>1706.32</v>
      </c>
      <c r="X53" s="55">
        <f>_xll.EQNXTDZ($A$1,$B53,X$1,$B$1)</f>
        <v>1019.7</v>
      </c>
      <c r="Y53" s="55">
        <f>_xll.EQNXTDZ($A$1,$B53,Y$1,$B$1)</f>
        <v>1125.71</v>
      </c>
      <c r="Z53" s="55">
        <f>_xll.EQNXTDZ($A$1,$B53,Z$1,$B$1)</f>
        <v>1036.58</v>
      </c>
      <c r="AA53" s="55">
        <f>_xll.EQNXTDZ($A$1,$B53,AA$1,$B$1)</f>
        <v>1261.57</v>
      </c>
      <c r="AB53" s="55">
        <f>_xll.EQNXTDZ($A$1,$B53,AB$1,$B$1)</f>
        <v>1863.58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214.815</v>
      </c>
      <c r="F54" s="55">
        <f>_xll.EQNXTDZ($A$1,$B54,F$1,$B$1)</f>
        <v>312.96600000000001</v>
      </c>
      <c r="G54" s="55">
        <f>_xll.EQNXTDZ($A$1,$B54,G$1,$B$1)</f>
        <v>316.012</v>
      </c>
      <c r="H54" s="55">
        <f>_xll.EQNXTDZ($A$1,$B54,H$1,$B$1)</f>
        <v>550.26800000000003</v>
      </c>
      <c r="I54" s="55">
        <f>_xll.EQNXTDZ($A$1,$B54,I$1,$B$1)</f>
        <v>418.93700000000001</v>
      </c>
      <c r="J54" s="55">
        <f>_xll.EQNXTDZ($A$1,$B54,J$1,$B$1)</f>
        <v>915.798</v>
      </c>
      <c r="K54" s="55">
        <f>_xll.EQNXTDZ($A$1,$B54,K$1,$B$1)</f>
        <v>492.04599999999999</v>
      </c>
      <c r="L54" s="55">
        <f>_xll.EQNXTDZ($A$1,$B54,L$1,$B$1)</f>
        <v>956.87300000000005</v>
      </c>
      <c r="M54" s="55">
        <f>_xll.EQNXTDZ($A$1,$B54,M$1,$B$1)</f>
        <v>1316.8209999999999</v>
      </c>
      <c r="N54" s="55">
        <f>_xll.EQNXTDZ($A$1,$B54,N$1,$B$1)</f>
        <v>1873.7080000000001</v>
      </c>
      <c r="O54" s="55">
        <f>_xll.EQNXTDZ($A$1,$B54,O$1,$B$1)</f>
        <v>2105.7339999999999</v>
      </c>
      <c r="P54" s="55">
        <f>_xll.EQNXTDZ($A$1,$B54,P$1,$B$1)</f>
        <v>2586.114</v>
      </c>
      <c r="Q54" s="55">
        <f>_xll.EQNXTDZ($A$1,$B54,Q$1,$B$1)</f>
        <v>2612.931</v>
      </c>
      <c r="R54" s="55">
        <f>_xll.EQNXTDZ($A$1,$B54,R$1,$B$1)</f>
        <v>3272.5990000000002</v>
      </c>
      <c r="S54" s="55">
        <f>_xll.EQNXTDZ($A$1,$B54,S$1,$B$1)</f>
        <v>3003.1019999999999</v>
      </c>
      <c r="T54" s="55">
        <f>_xll.EQNXTDZ($A$1,$B54,T$1,$B$1)</f>
        <v>5101.9189999999999</v>
      </c>
      <c r="U54" s="55">
        <f>_xll.EQNXTDZ($A$1,$B54,U$1,$B$1)</f>
        <v>6650.3710000000001</v>
      </c>
      <c r="V54" s="55">
        <f>_xll.EQNXTDZ($A$1,$B54,V$1,$B$1)</f>
        <v>5697.0910000000003</v>
      </c>
      <c r="W54" s="55">
        <f>_xll.EQNXTDZ($A$1,$B54,W$1,$B$1)</f>
        <v>5192.6499999999996</v>
      </c>
      <c r="X54" s="55">
        <f>_xll.EQNXTDZ($A$1,$B54,X$1,$B$1)</f>
        <v>9191.36</v>
      </c>
      <c r="Y54" s="55">
        <f>_xll.EQNXTDZ($A$1,$B54,Y$1,$B$1)</f>
        <v>8538.2900000000009</v>
      </c>
      <c r="Z54" s="55">
        <f>_xll.EQNXTDZ($A$1,$B54,Z$1,$B$1)</f>
        <v>6958.04</v>
      </c>
      <c r="AA54" s="55">
        <f>_xll.EQNXTDZ($A$1,$B54,AA$1,$B$1)</f>
        <v>8687.94</v>
      </c>
      <c r="AB54" s="55">
        <f>_xll.EQNXTDZ($A$1,$B54,AB$1,$B$1)</f>
        <v>10282.25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27.358000000000001</v>
      </c>
      <c r="F55" s="55">
        <f>_xll.EQNXTDZ($A$1,$B55,F$1,$B$1)</f>
        <v>53.011000000000003</v>
      </c>
      <c r="G55" s="55">
        <f>_xll.EQNXTDZ($A$1,$B55,G$1,$B$1)</f>
        <v>32.250999999999998</v>
      </c>
      <c r="H55" s="55">
        <f>_xll.EQNXTDZ($A$1,$B55,H$1,$B$1)</f>
        <v>44.375999999999898</v>
      </c>
      <c r="I55" s="55">
        <f>_xll.EQNXTDZ($A$1,$B55,I$1,$B$1)</f>
        <v>53.883000000000003</v>
      </c>
      <c r="J55" s="55">
        <f>_xll.EQNXTDZ($A$1,$B55,J$1,$B$1)</f>
        <v>101.31399999999999</v>
      </c>
      <c r="K55" s="55">
        <f>_xll.EQNXTDZ($A$1,$B55,K$1,$B$1)</f>
        <v>130.99299999999999</v>
      </c>
      <c r="L55" s="55">
        <f>_xll.EQNXTDZ($A$1,$B55,L$1,$B$1)</f>
        <v>136.059</v>
      </c>
      <c r="M55" s="55">
        <f>_xll.EQNXTDZ($A$1,$B55,M$1,$B$1)</f>
        <v>178.24199999999999</v>
      </c>
      <c r="N55" s="55">
        <f>_xll.EQNXTDZ($A$1,$B55,N$1,$B$1)</f>
        <v>375.63200000000001</v>
      </c>
      <c r="O55" s="55">
        <f>_xll.EQNXTDZ($A$1,$B55,O$1,$B$1)</f>
        <v>178.25700000000001</v>
      </c>
      <c r="P55" s="55">
        <f>_xll.EQNXTDZ($A$1,$B55,P$1,$B$1)</f>
        <v>155.38499999999999</v>
      </c>
      <c r="Q55" s="55">
        <f>_xll.EQNXTDZ($A$1,$B55,Q$1,$B$1)</f>
        <v>128.922</v>
      </c>
      <c r="R55" s="55">
        <f>_xll.EQNXTDZ($A$1,$B55,R$1,$B$1)</f>
        <v>333.59100000000001</v>
      </c>
      <c r="S55" s="55">
        <f>_xll.EQNXTDZ($A$1,$B55,S$1,$B$1)</f>
        <v>386.75200000000001</v>
      </c>
      <c r="T55" s="55">
        <f>_xll.EQNXTDZ($A$1,$B55,T$1,$B$1)</f>
        <v>320.02499999999998</v>
      </c>
      <c r="U55" s="55">
        <f>_xll.EQNXTDZ($A$1,$B55,U$1,$B$1)</f>
        <v>395.27199999999999</v>
      </c>
      <c r="V55" s="55">
        <f>_xll.EQNXTDZ($A$1,$B55,V$1,$B$1)</f>
        <v>590.66099999999994</v>
      </c>
      <c r="W55" s="55">
        <f>_xll.EQNXTDZ($A$1,$B55,W$1,$B$1)</f>
        <v>1468.84</v>
      </c>
      <c r="X55" s="55">
        <f>_xll.EQNXTDZ($A$1,$B55,X$1,$B$1)</f>
        <v>1079.3699999999999</v>
      </c>
      <c r="Y55" s="55">
        <f>_xll.EQNXTDZ($A$1,$B55,Y$1,$B$1)</f>
        <v>903.17</v>
      </c>
      <c r="Z55" s="55">
        <f>_xll.EQNXTDZ($A$1,$B55,Z$1,$B$1)</f>
        <v>1015.2</v>
      </c>
      <c r="AA55" s="55">
        <f>_xll.EQNXTDZ($A$1,$B55,AA$1,$B$1)</f>
        <v>1432.92</v>
      </c>
      <c r="AB55" s="55">
        <f>_xll.EQNXTDZ($A$1,$B55,AB$1,$B$1)</f>
        <v>1760.1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653.04700000000003</v>
      </c>
      <c r="N56" s="55">
        <f>_xll.EQNXTDZ($A$1,$B56,N$1,$B$1)</f>
        <v>743.97500000000002</v>
      </c>
      <c r="O56" s="55">
        <f>_xll.EQNXTDZ($A$1,$B56,O$1,$B$1)</f>
        <v>2342.7800000000002</v>
      </c>
      <c r="P56" s="55">
        <f>_xll.EQNXTDZ($A$1,$B56,P$1,$B$1)</f>
        <v>2761.8310000000001</v>
      </c>
      <c r="Q56" s="55">
        <f>_xll.EQNXTDZ($A$1,$B56,Q$1,$B$1)</f>
        <v>1499.95</v>
      </c>
      <c r="R56" s="55">
        <f>_xll.EQNXTDZ($A$1,$B56,R$1,$B$1)</f>
        <v>1717.7670000000001</v>
      </c>
      <c r="S56" s="55">
        <f>_xll.EQNXTDZ($A$1,$B56,S$1,$B$1)</f>
        <v>1925.0619999999999</v>
      </c>
      <c r="T56" s="55">
        <f>_xll.EQNXTDZ($A$1,$B56,T$1,$B$1)</f>
        <v>1835.4670000000001</v>
      </c>
      <c r="U56" s="55">
        <f>_xll.EQNXTDZ($A$1,$B56,U$1,$B$1)</f>
        <v>776.22500000000002</v>
      </c>
      <c r="V56" s="55">
        <f>_xll.EQNXTDZ($A$1,$B56,V$1,$B$1)</f>
        <v>1014.829</v>
      </c>
      <c r="W56" s="55">
        <f>_xll.EQNXTDZ($A$1,$B56,W$1,$B$1)</f>
        <v>1651.27</v>
      </c>
      <c r="X56" s="55">
        <f>_xll.EQNXTDZ($A$1,$B56,X$1,$B$1)</f>
        <v>2385.48</v>
      </c>
      <c r="Y56" s="55">
        <f>_xll.EQNXTDZ($A$1,$B56,Y$1,$B$1)</f>
        <v>2225.71</v>
      </c>
      <c r="Z56" s="55">
        <f>_xll.EQNXTDZ($A$1,$B56,Z$1,$B$1)</f>
        <v>2415.39</v>
      </c>
      <c r="AA56" s="55">
        <f>_xll.EQNXTDZ($A$1,$B56,AA$1,$B$1)</f>
        <v>1522.7</v>
      </c>
      <c r="AB56" s="55">
        <f>_xll.EQNXTDZ($A$1,$B56,AB$1,$B$1)</f>
        <v>330.6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5.7119999999999997</v>
      </c>
      <c r="F57" s="55">
        <f>_xll.EQNXTDZ($A$1,$B57,F$1,$B$1)</f>
        <v>12.811999999999999</v>
      </c>
      <c r="G57" s="55">
        <f>_xll.EQNXTDZ($A$1,$B57,G$1,$B$1)</f>
        <v>0</v>
      </c>
      <c r="H57" s="55">
        <f>_xll.EQNXTDZ($A$1,$B57,H$1,$B$1)</f>
        <v>0.80700000000000005</v>
      </c>
      <c r="I57" s="55">
        <f>_xll.EQNXTDZ($A$1,$B57,I$1,$B$1)</f>
        <v>0.88200000000000001</v>
      </c>
      <c r="J57" s="55">
        <f>_xll.EQNXTDZ($A$1,$B57,J$1,$B$1)</f>
        <v>1.6459999999999999</v>
      </c>
      <c r="K57" s="55">
        <f>_xll.EQNXTDZ($A$1,$B57,K$1,$B$1)</f>
        <v>3.536</v>
      </c>
      <c r="L57" s="55">
        <f>_xll.EQNXTDZ($A$1,$B57,L$1,$B$1)</f>
        <v>3.2269999999999999</v>
      </c>
      <c r="M57" s="55">
        <f>_xll.EQNXTDZ($A$1,$B57,M$1,$B$1)</f>
        <v>0.7</v>
      </c>
      <c r="N57" s="55">
        <f>_xll.EQNXTDZ($A$1,$B57,N$1,$B$1)</f>
        <v>0.52500000000000002</v>
      </c>
      <c r="O57" s="55">
        <f>_xll.EQNXTDZ($A$1,$B57,O$1,$B$1)</f>
        <v>11.831</v>
      </c>
      <c r="P57" s="55">
        <f>_xll.EQNXTDZ($A$1,$B57,P$1,$B$1)</f>
        <v>8.3529999999999998</v>
      </c>
      <c r="Q57" s="55">
        <f>_xll.EQNXTDZ($A$1,$B57,Q$1,$B$1)</f>
        <v>18.038</v>
      </c>
      <c r="R57" s="55">
        <f>_xll.EQNXTDZ($A$1,$B57,R$1,$B$1)</f>
        <v>13.858000000000001</v>
      </c>
      <c r="S57" s="55">
        <f>_xll.EQNXTDZ($A$1,$B57,S$1,$B$1)</f>
        <v>36.81</v>
      </c>
      <c r="T57" s="55">
        <f>_xll.EQNXTDZ($A$1,$B57,T$1,$B$1)</f>
        <v>60.295000000000002</v>
      </c>
      <c r="U57" s="55">
        <f>_xll.EQNXTDZ($A$1,$B57,U$1,$B$1)</f>
        <v>47.408000000000001</v>
      </c>
      <c r="V57" s="55">
        <f>_xll.EQNXTDZ($A$1,$B57,V$1,$B$1)</f>
        <v>20.616</v>
      </c>
      <c r="W57" s="55">
        <f>_xll.EQNXTDZ($A$1,$B57,W$1,$B$1)</f>
        <v>9.74</v>
      </c>
      <c r="X57" s="55">
        <f>_xll.EQNXTDZ($A$1,$B57,X$1,$B$1)</f>
        <v>34.99</v>
      </c>
      <c r="Y57" s="55">
        <f>_xll.EQNXTDZ($A$1,$B57,Y$1,$B$1)</f>
        <v>19.95</v>
      </c>
      <c r="Z57" s="55">
        <f>_xll.EQNXTDZ($A$1,$B57,Z$1,$B$1)</f>
        <v>35.31</v>
      </c>
      <c r="AA57" s="55">
        <f>_xll.EQNXTDZ($A$1,$B57,AA$1,$B$1)</f>
        <v>83.4</v>
      </c>
      <c r="AB57" s="55">
        <f>_xll.EQNXTDZ($A$1,$B57,AB$1,$B$1)</f>
        <v>55.35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247.88499999999999</v>
      </c>
      <c r="F59" s="55">
        <f>_xll.EQNXTDZ($A$1,$B59,F$1,$B$1)</f>
        <v>378.78899999999999</v>
      </c>
      <c r="G59" s="55">
        <f>_xll.EQNXTDZ($A$1,$B59,G$1,$B$1)</f>
        <v>348.26299999999998</v>
      </c>
      <c r="H59" s="55">
        <f>_xll.EQNXTDZ($A$1,$B59,H$1,$B$1)</f>
        <v>595.45100000000002</v>
      </c>
      <c r="I59" s="55">
        <f>_xll.EQNXTDZ($A$1,$B59,I$1,$B$1)</f>
        <v>473.702</v>
      </c>
      <c r="J59" s="55">
        <f>_xll.EQNXTDZ($A$1,$B59,J$1,$B$1)</f>
        <v>1018.758</v>
      </c>
      <c r="K59" s="55">
        <f>_xll.EQNXTDZ($A$1,$B59,K$1,$B$1)</f>
        <v>626.57500000000005</v>
      </c>
      <c r="L59" s="55">
        <f>_xll.EQNXTDZ($A$1,$B59,L$1,$B$1)</f>
        <v>1096.1590000000001</v>
      </c>
      <c r="M59" s="55">
        <f>_xll.EQNXTDZ($A$1,$B59,M$1,$B$1)</f>
        <v>2148.81</v>
      </c>
      <c r="N59" s="55">
        <f>_xll.EQNXTDZ($A$1,$B59,N$1,$B$1)</f>
        <v>2993.84</v>
      </c>
      <c r="O59" s="55">
        <f>_xll.EQNXTDZ($A$1,$B59,O$1,$B$1)</f>
        <v>4638.6019999999999</v>
      </c>
      <c r="P59" s="55">
        <f>_xll.EQNXTDZ($A$1,$B59,P$1,$B$1)</f>
        <v>5511.683</v>
      </c>
      <c r="Q59" s="55">
        <f>_xll.EQNXTDZ($A$1,$B59,Q$1,$B$1)</f>
        <v>4259.8410000000003</v>
      </c>
      <c r="R59" s="55">
        <f>_xll.EQNXTDZ($A$1,$B59,R$1,$B$1)</f>
        <v>5337.8149999999996</v>
      </c>
      <c r="S59" s="55">
        <f>_xll.EQNXTDZ($A$1,$B59,S$1,$B$1)</f>
        <v>5351.7259999999997</v>
      </c>
      <c r="T59" s="55">
        <f>_xll.EQNXTDZ($A$1,$B59,T$1,$B$1)</f>
        <v>7317.7060000000001</v>
      </c>
      <c r="U59" s="55">
        <f>_xll.EQNXTDZ($A$1,$B59,U$1,$B$1)</f>
        <v>7869.2759999999998</v>
      </c>
      <c r="V59" s="55">
        <f>_xll.EQNXTDZ($A$1,$B59,V$1,$B$1)</f>
        <v>7323.1970000000001</v>
      </c>
      <c r="W59" s="55">
        <f>_xll.EQNXTDZ($A$1,$B59,W$1,$B$1)</f>
        <v>8322.5</v>
      </c>
      <c r="X59" s="55">
        <f>_xll.EQNXTDZ($A$1,$B59,X$1,$B$1)</f>
        <v>12691.2</v>
      </c>
      <c r="Y59" s="55">
        <f>_xll.EQNXTDZ($A$1,$B59,Y$1,$B$1)</f>
        <v>11687.12</v>
      </c>
      <c r="Z59" s="55">
        <f>_xll.EQNXTDZ($A$1,$B59,Z$1,$B$1)</f>
        <v>10423.94</v>
      </c>
      <c r="AA59" s="55">
        <f>_xll.EQNXTDZ($A$1,$B59,AA$1,$B$1)</f>
        <v>11726.96</v>
      </c>
      <c r="AB59" s="55">
        <f>_xll.EQNXTDZ($A$1,$B59,AB$1,$B$1)</f>
        <v>12428.3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363.65100000000001</v>
      </c>
      <c r="F60" s="55">
        <f>_xll.EQNXTDZ($A$1,$B60,F$1,$B$1)</f>
        <v>610.41600000000005</v>
      </c>
      <c r="G60" s="55">
        <f>_xll.EQNXTDZ($A$1,$B60,G$1,$B$1)</f>
        <v>708.5</v>
      </c>
      <c r="H60" s="55">
        <f>_xll.EQNXTDZ($A$1,$B60,H$1,$B$1)</f>
        <v>969.73400000000004</v>
      </c>
      <c r="I60" s="55">
        <f>_xll.EQNXTDZ($A$1,$B60,I$1,$B$1)</f>
        <v>805.279</v>
      </c>
      <c r="J60" s="55">
        <f>_xll.EQNXTDZ($A$1,$B60,J$1,$B$1)</f>
        <v>1433.671</v>
      </c>
      <c r="K60" s="55">
        <f>_xll.EQNXTDZ($A$1,$B60,K$1,$B$1)</f>
        <v>1419.93</v>
      </c>
      <c r="L60" s="55">
        <f>_xll.EQNXTDZ($A$1,$B60,L$1,$B$1)</f>
        <v>2092.1770000000001</v>
      </c>
      <c r="M60" s="55">
        <f>_xll.EQNXTDZ($A$1,$B60,M$1,$B$1)</f>
        <v>3240.1840000000002</v>
      </c>
      <c r="N60" s="55">
        <f>_xll.EQNXTDZ($A$1,$B60,N$1,$B$1)</f>
        <v>4024.5949999999998</v>
      </c>
      <c r="O60" s="55">
        <f>_xll.EQNXTDZ($A$1,$B60,O$1,$B$1)</f>
        <v>5788.9080000000004</v>
      </c>
      <c r="P60" s="55">
        <f>_xll.EQNXTDZ($A$1,$B60,P$1,$B$1)</f>
        <v>6664.1940000000004</v>
      </c>
      <c r="Q60" s="55">
        <f>_xll.EQNXTDZ($A$1,$B60,Q$1,$B$1)</f>
        <v>6087.2179999999998</v>
      </c>
      <c r="R60" s="55">
        <f>_xll.EQNXTDZ($A$1,$B60,R$1,$B$1)</f>
        <v>7330.21</v>
      </c>
      <c r="S60" s="55">
        <f>_xll.EQNXTDZ($A$1,$B60,S$1,$B$1)</f>
        <v>7425.5550000000003</v>
      </c>
      <c r="T60" s="55">
        <f>_xll.EQNXTDZ($A$1,$B60,T$1,$B$1)</f>
        <v>9629.2579999999998</v>
      </c>
      <c r="U60" s="55">
        <f>_xll.EQNXTDZ($A$1,$B60,U$1,$B$1)</f>
        <v>11495.004000000001</v>
      </c>
      <c r="V60" s="55">
        <f>_xll.EQNXTDZ($A$1,$B60,V$1,$B$1)</f>
        <v>11785.842000000001</v>
      </c>
      <c r="W60" s="55">
        <f>_xll.EQNXTDZ($A$1,$B60,W$1,$B$1)</f>
        <v>13327.8</v>
      </c>
      <c r="X60" s="55">
        <f>_xll.EQNXTDZ($A$1,$B60,X$1,$B$1)</f>
        <v>21317.27</v>
      </c>
      <c r="Y60" s="55">
        <f>_xll.EQNXTDZ($A$1,$B60,Y$1,$B$1)</f>
        <v>20978.58</v>
      </c>
      <c r="Z60" s="55">
        <f>_xll.EQNXTDZ($A$1,$B60,Z$1,$B$1)</f>
        <v>19776.509999999998</v>
      </c>
      <c r="AA60" s="55">
        <f>_xll.EQNXTDZ($A$1,$B60,AA$1,$B$1)</f>
        <v>22412.45</v>
      </c>
      <c r="AB60" s="55">
        <f>_xll.EQNXTDZ($A$1,$B60,AB$1,$B$1)</f>
        <v>24735.56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89.462000000000003</v>
      </c>
      <c r="F62" s="55">
        <f>_xll.EQNXTDZ($A$1,$B62,F$1,$B$1)</f>
        <v>100.131</v>
      </c>
      <c r="G62" s="55">
        <f>_xll.EQNXTDZ($A$1,$B62,G$1,$B$1)</f>
        <v>236.37100000000001</v>
      </c>
      <c r="H62" s="55">
        <f>_xll.EQNXTDZ($A$1,$B62,H$1,$B$1)</f>
        <v>313.899</v>
      </c>
      <c r="I62" s="55">
        <f>_xll.EQNXTDZ($A$1,$B62,I$1,$B$1)</f>
        <v>314.69200000000001</v>
      </c>
      <c r="J62" s="55">
        <f>_xll.EQNXTDZ($A$1,$B62,J$1,$B$1)</f>
        <v>324.33199999999999</v>
      </c>
      <c r="K62" s="55">
        <f>_xll.EQNXTDZ($A$1,$B62,K$1,$B$1)</f>
        <v>429.029</v>
      </c>
      <c r="L62" s="55">
        <f>_xll.EQNXTDZ($A$1,$B62,L$1,$B$1)</f>
        <v>551.28899999999999</v>
      </c>
      <c r="M62" s="55">
        <f>_xll.EQNXTDZ($A$1,$B62,M$1,$B$1)</f>
        <v>753.02300000000002</v>
      </c>
      <c r="N62" s="55">
        <f>_xll.EQNXTDZ($A$1,$B62,N$1,$B$1)</f>
        <v>843.11099999999999</v>
      </c>
      <c r="O62" s="55">
        <f>_xll.EQNXTDZ($A$1,$B62,O$1,$B$1)</f>
        <v>1463.067</v>
      </c>
      <c r="P62" s="55">
        <f>_xll.EQNXTDZ($A$1,$B62,P$1,$B$1)</f>
        <v>2061.4079999999999</v>
      </c>
      <c r="Q62" s="55">
        <f>_xll.EQNXTDZ($A$1,$B62,Q$1,$B$1)</f>
        <v>2179.7040000000002</v>
      </c>
      <c r="R62" s="55">
        <f>_xll.EQNXTDZ($A$1,$B62,R$1,$B$1)</f>
        <v>2506.1019999999999</v>
      </c>
      <c r="S62" s="55">
        <f>_xll.EQNXTDZ($A$1,$B62,S$1,$B$1)</f>
        <v>2172.0230000000001</v>
      </c>
      <c r="T62" s="55">
        <f>_xll.EQNXTDZ($A$1,$B62,T$1,$B$1)</f>
        <v>2636.3429999999998</v>
      </c>
      <c r="U62" s="55">
        <f>_xll.EQNXTDZ($A$1,$B62,U$1,$B$1)</f>
        <v>3499.1439999999998</v>
      </c>
      <c r="V62" s="55">
        <f>_xll.EQNXTDZ($A$1,$B62,V$1,$B$1)</f>
        <v>4561.04</v>
      </c>
      <c r="W62" s="55">
        <f>_xll.EQNXTDZ($A$1,$B62,W$1,$B$1)</f>
        <v>4753.38</v>
      </c>
      <c r="X62" s="55">
        <f>_xll.EQNXTDZ($A$1,$B62,X$1,$B$1)</f>
        <v>5948.95</v>
      </c>
      <c r="Y62" s="55">
        <f>_xll.EQNXTDZ($A$1,$B62,Y$1,$B$1)</f>
        <v>6405.18</v>
      </c>
      <c r="Z62" s="55">
        <f>_xll.EQNXTDZ($A$1,$B62,Z$1,$B$1)</f>
        <v>6839.48</v>
      </c>
      <c r="AA62" s="55">
        <f>_xll.EQNXTDZ($A$1,$B62,AA$1,$B$1)</f>
        <v>7705.13</v>
      </c>
      <c r="AB62" s="55">
        <f>_xll.EQNXTDZ($A$1,$B62,AB$1,$B$1)</f>
        <v>9762.7000000000007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9.1310000000000002</v>
      </c>
      <c r="F63" s="55">
        <f>_xll.EQNXTDZ($A$1,$B63,F$1,$B$1)</f>
        <v>13.531000000000001</v>
      </c>
      <c r="G63" s="55">
        <f>_xll.EQNXTDZ($A$1,$B63,G$1,$B$1)</f>
        <v>20.939</v>
      </c>
      <c r="H63" s="55">
        <f>_xll.EQNXTDZ($A$1,$B63,H$1,$B$1)</f>
        <v>34.618000000000002</v>
      </c>
      <c r="I63" s="55">
        <f>_xll.EQNXTDZ($A$1,$B63,I$1,$B$1)</f>
        <v>48.633000000000003</v>
      </c>
      <c r="J63" s="55">
        <f>_xll.EQNXTDZ($A$1,$B63,J$1,$B$1)</f>
        <v>63.954999999999998</v>
      </c>
      <c r="K63" s="55">
        <f>_xll.EQNXTDZ($A$1,$B63,K$1,$B$1)</f>
        <v>80.900000000000006</v>
      </c>
      <c r="L63" s="55">
        <f>_xll.EQNXTDZ($A$1,$B63,L$1,$B$1)</f>
        <v>102.63500000000001</v>
      </c>
      <c r="M63" s="55">
        <f>_xll.EQNXTDZ($A$1,$B63,M$1,$B$1)</f>
        <v>133.155</v>
      </c>
      <c r="N63" s="55">
        <f>_xll.EQNXTDZ($A$1,$B63,N$1,$B$1)</f>
        <v>169.40199999999999</v>
      </c>
      <c r="O63" s="55">
        <f>_xll.EQNXTDZ($A$1,$B63,O$1,$B$1)</f>
        <v>233.90700000000001</v>
      </c>
      <c r="P63" s="55">
        <f>_xll.EQNXTDZ($A$1,$B63,P$1,$B$1)</f>
        <v>387.18</v>
      </c>
      <c r="Q63" s="55">
        <f>_xll.EQNXTDZ($A$1,$B63,Q$1,$B$1)</f>
        <v>491.49700000000001</v>
      </c>
      <c r="R63" s="55">
        <f>_xll.EQNXTDZ($A$1,$B63,R$1,$B$1)</f>
        <v>566.39200000000005</v>
      </c>
      <c r="S63" s="55">
        <f>_xll.EQNXTDZ($A$1,$B63,S$1,$B$1)</f>
        <v>221.89400000000001</v>
      </c>
      <c r="T63" s="55">
        <f>_xll.EQNXTDZ($A$1,$B63,T$1,$B$1)</f>
        <v>363.63099999999997</v>
      </c>
      <c r="U63" s="55">
        <f>_xll.EQNXTDZ($A$1,$B63,U$1,$B$1)</f>
        <v>545.49099999999999</v>
      </c>
      <c r="V63" s="55">
        <f>_xll.EQNXTDZ($A$1,$B63,V$1,$B$1)</f>
        <v>803.178</v>
      </c>
      <c r="W63" s="55">
        <f>_xll.EQNXTDZ($A$1,$B63,W$1,$B$1)</f>
        <v>1050.8800000000001</v>
      </c>
      <c r="X63" s="55">
        <f>_xll.EQNXTDZ($A$1,$B63,X$1,$B$1)</f>
        <v>1348.1</v>
      </c>
      <c r="Y63" s="55">
        <f>_xll.EQNXTDZ($A$1,$B63,Y$1,$B$1)</f>
        <v>1611.83</v>
      </c>
      <c r="Z63" s="55">
        <f>_xll.EQNXTDZ($A$1,$B63,Z$1,$B$1)</f>
        <v>1918.53</v>
      </c>
      <c r="AA63" s="55">
        <f>_xll.EQNXTDZ($A$1,$B63,AA$1,$B$1)</f>
        <v>2224.48</v>
      </c>
      <c r="AB63" s="55">
        <f>_xll.EQNXTDZ($A$1,$B63,AB$1,$B$1)</f>
        <v>2620.08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80.331000000000003</v>
      </c>
      <c r="F65" s="55">
        <f>_xll.EQNXTDZ($A$1,$B65,F$1,$B$1)</f>
        <v>86.6</v>
      </c>
      <c r="G65" s="55">
        <f>_xll.EQNXTDZ($A$1,$B65,G$1,$B$1)</f>
        <v>215.43199999999999</v>
      </c>
      <c r="H65" s="55">
        <f>_xll.EQNXTDZ($A$1,$B65,H$1,$B$1)</f>
        <v>279.28100000000001</v>
      </c>
      <c r="I65" s="55">
        <f>_xll.EQNXTDZ($A$1,$B65,I$1,$B$1)</f>
        <v>266.05900000000003</v>
      </c>
      <c r="J65" s="55">
        <f>_xll.EQNXTDZ($A$1,$B65,J$1,$B$1)</f>
        <v>260.37700000000001</v>
      </c>
      <c r="K65" s="55">
        <f>_xll.EQNXTDZ($A$1,$B65,K$1,$B$1)</f>
        <v>348.12900000000002</v>
      </c>
      <c r="L65" s="55">
        <f>_xll.EQNXTDZ($A$1,$B65,L$1,$B$1)</f>
        <v>448.654</v>
      </c>
      <c r="M65" s="55">
        <f>_xll.EQNXTDZ($A$1,$B65,M$1,$B$1)</f>
        <v>619.86800000000005</v>
      </c>
      <c r="N65" s="55">
        <f>_xll.EQNXTDZ($A$1,$B65,N$1,$B$1)</f>
        <v>673.70899999999995</v>
      </c>
      <c r="O65" s="55">
        <f>_xll.EQNXTDZ($A$1,$B65,O$1,$B$1)</f>
        <v>1229.1600000000001</v>
      </c>
      <c r="P65" s="55">
        <f>_xll.EQNXTDZ($A$1,$B65,P$1,$B$1)</f>
        <v>1674.2280000000001</v>
      </c>
      <c r="Q65" s="55">
        <f>_xll.EQNXTDZ($A$1,$B65,Q$1,$B$1)</f>
        <v>1688.2070000000001</v>
      </c>
      <c r="R65" s="55">
        <f>_xll.EQNXTDZ($A$1,$B65,R$1,$B$1)</f>
        <v>1939.71</v>
      </c>
      <c r="S65" s="55">
        <f>_xll.EQNXTDZ($A$1,$B65,S$1,$B$1)</f>
        <v>1950.1289999999999</v>
      </c>
      <c r="T65" s="55">
        <f>_xll.EQNXTDZ($A$1,$B65,T$1,$B$1)</f>
        <v>2272.712</v>
      </c>
      <c r="U65" s="55">
        <f>_xll.EQNXTDZ($A$1,$B65,U$1,$B$1)</f>
        <v>2953.6529999999998</v>
      </c>
      <c r="V65" s="55">
        <f>_xll.EQNXTDZ($A$1,$B65,V$1,$B$1)</f>
        <v>3757.8620000000001</v>
      </c>
      <c r="W65" s="55">
        <f>_xll.EQNXTDZ($A$1,$B65,W$1,$B$1)</f>
        <v>3702.5</v>
      </c>
      <c r="X65" s="55">
        <f>_xll.EQNXTDZ($A$1,$B65,X$1,$B$1)</f>
        <v>4600.8500000000004</v>
      </c>
      <c r="Y65" s="55">
        <f>_xll.EQNXTDZ($A$1,$B65,Y$1,$B$1)</f>
        <v>4793.3500000000004</v>
      </c>
      <c r="Z65" s="55">
        <f>_xll.EQNXTDZ($A$1,$B65,Z$1,$B$1)</f>
        <v>4920.95</v>
      </c>
      <c r="AA65" s="55">
        <f>_xll.EQNXTDZ($A$1,$B65,AA$1,$B$1)</f>
        <v>5480.65</v>
      </c>
      <c r="AB65" s="55">
        <f>_xll.EQNXTDZ($A$1,$B65,AB$1,$B$1)</f>
        <v>7142.62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0.18</v>
      </c>
      <c r="F67" s="55">
        <f>_xll.EQNXTDZ($A$1,$B67,F$1,$B$1)</f>
        <v>62.527000000000001</v>
      </c>
      <c r="G67" s="55">
        <f>_xll.EQNXTDZ($A$1,$B67,G$1,$B$1)</f>
        <v>30.244</v>
      </c>
      <c r="H67" s="55">
        <f>_xll.EQNXTDZ($A$1,$B67,H$1,$B$1)</f>
        <v>1.381</v>
      </c>
      <c r="I67" s="55">
        <f>_xll.EQNXTDZ($A$1,$B67,I$1,$B$1)</f>
        <v>1.1359999999999999</v>
      </c>
      <c r="J67" s="55">
        <f>_xll.EQNXTDZ($A$1,$B67,J$1,$B$1)</f>
        <v>17.852</v>
      </c>
      <c r="K67" s="55">
        <f>_xll.EQNXTDZ($A$1,$B67,K$1,$B$1)</f>
        <v>62.481999999999999</v>
      </c>
      <c r="L67" s="55">
        <f>_xll.EQNXTDZ($A$1,$B67,L$1,$B$1)</f>
        <v>140.19399999999999</v>
      </c>
      <c r="M67" s="55">
        <f>_xll.EQNXTDZ($A$1,$B67,M$1,$B$1)</f>
        <v>37.723999999999997</v>
      </c>
      <c r="N67" s="55">
        <f>_xll.EQNXTDZ($A$1,$B67,N$1,$B$1)</f>
        <v>207.79900000000001</v>
      </c>
      <c r="O67" s="55">
        <f>_xll.EQNXTDZ($A$1,$B67,O$1,$B$1)</f>
        <v>102.89400000000001</v>
      </c>
      <c r="P67" s="55">
        <f>_xll.EQNXTDZ($A$1,$B67,P$1,$B$1)</f>
        <v>59.125</v>
      </c>
      <c r="Q67" s="55">
        <f>_xll.EQNXTDZ($A$1,$B67,Q$1,$B$1)</f>
        <v>107.56</v>
      </c>
      <c r="R67" s="55">
        <f>_xll.EQNXTDZ($A$1,$B67,R$1,$B$1)</f>
        <v>138.97800000000001</v>
      </c>
      <c r="S67" s="55">
        <f>_xll.EQNXTDZ($A$1,$B67,S$1,$B$1)</f>
        <v>70.418999999999997</v>
      </c>
      <c r="T67" s="55">
        <f>_xll.EQNXTDZ($A$1,$B67,T$1,$B$1)</f>
        <v>443.08499999999998</v>
      </c>
      <c r="U67" s="55">
        <f>_xll.EQNXTDZ($A$1,$B67,U$1,$B$1)</f>
        <v>570.38699999999994</v>
      </c>
      <c r="V67" s="55">
        <f>_xll.EQNXTDZ($A$1,$B67,V$1,$B$1)</f>
        <v>324.89299999999997</v>
      </c>
      <c r="W67" s="55">
        <f>_xll.EQNXTDZ($A$1,$B67,W$1,$B$1)</f>
        <v>530.53</v>
      </c>
      <c r="X67" s="55">
        <f>_xll.EQNXTDZ($A$1,$B67,X$1,$B$1)</f>
        <v>275.18</v>
      </c>
      <c r="Y67" s="55">
        <f>_xll.EQNXTDZ($A$1,$B67,Y$1,$B$1)</f>
        <v>323.95999999999998</v>
      </c>
      <c r="Z67" s="55">
        <f>_xll.EQNXTDZ($A$1,$B67,Z$1,$B$1)</f>
        <v>869.53</v>
      </c>
      <c r="AA67" s="55">
        <f>_xll.EQNXTDZ($A$1,$B67,AA$1,$B$1)</f>
        <v>1056.3399999999999</v>
      </c>
      <c r="AB67" s="55">
        <f>_xll.EQNXTDZ($A$1,$B67,AB$1,$B$1)</f>
        <v>442.83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9.32</v>
      </c>
      <c r="AA68" s="55">
        <f>_xll.EQNXTDZ($A$1,$B68,AA$1,$B$1)</f>
        <v>3.18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2.0129999999999999</v>
      </c>
      <c r="F71" s="55">
        <f>_xll.EQNXTDZ($A$1,$B71,F$1,$B$1)</f>
        <v>2.0139999999999998</v>
      </c>
      <c r="G71" s="55">
        <f>_xll.EQNXTDZ($A$1,$B71,G$1,$B$1)</f>
        <v>2.0169999999999999</v>
      </c>
      <c r="H71" s="55">
        <f>_xll.EQNXTDZ($A$1,$B71,H$1,$B$1)</f>
        <v>2.0110000000000001</v>
      </c>
      <c r="I71" s="55">
        <f>_xll.EQNXTDZ($A$1,$B71,I$1,$B$1)</f>
        <v>2.0110000000000001</v>
      </c>
      <c r="J71" s="55">
        <f>_xll.EQNXTDZ($A$1,$B71,J$1,$B$1)</f>
        <v>2.0089999999999999</v>
      </c>
      <c r="K71" s="55">
        <f>_xll.EQNXTDZ($A$1,$B71,K$1,$B$1)</f>
        <v>2.0070000000000001</v>
      </c>
      <c r="L71" s="55">
        <f>_xll.EQNXTDZ($A$1,$B71,L$1,$B$1)</f>
        <v>24.792999999999999</v>
      </c>
      <c r="M71" s="55">
        <f>_xll.EQNXTDZ($A$1,$B71,M$1,$B$1)</f>
        <v>107.158</v>
      </c>
      <c r="N71" s="55">
        <f>_xll.EQNXTDZ($A$1,$B71,N$1,$B$1)</f>
        <v>156.90199999999999</v>
      </c>
      <c r="O71" s="55">
        <f>_xll.EQNXTDZ($A$1,$B71,O$1,$B$1)</f>
        <v>132.63300000000001</v>
      </c>
      <c r="P71" s="55">
        <f>_xll.EQNXTDZ($A$1,$B71,P$1,$B$1)</f>
        <v>2.7E-2</v>
      </c>
      <c r="Q71" s="55">
        <f>_xll.EQNXTDZ($A$1,$B71,Q$1,$B$1)</f>
        <v>3.9140000000000001</v>
      </c>
      <c r="R71" s="55">
        <f>_xll.EQNXTDZ($A$1,$B71,R$1,$B$1)</f>
        <v>5.2160000000000002</v>
      </c>
      <c r="S71" s="55">
        <f>_xll.EQNXTDZ($A$1,$B71,S$1,$B$1)</f>
        <v>85.724999999999994</v>
      </c>
      <c r="T71" s="55">
        <f>_xll.EQNXTDZ($A$1,$B71,T$1,$B$1)</f>
        <v>125.943</v>
      </c>
      <c r="U71" s="55">
        <f>_xll.EQNXTDZ($A$1,$B71,U$1,$B$1)</f>
        <v>147.821</v>
      </c>
      <c r="V71" s="55">
        <f>_xll.EQNXTDZ($A$1,$B71,V$1,$B$1)</f>
        <v>206.01599999999999</v>
      </c>
      <c r="W71" s="55">
        <f>_xll.EQNXTDZ($A$1,$B71,W$1,$B$1)</f>
        <v>282.07</v>
      </c>
      <c r="X71" s="55">
        <f>_xll.EQNXTDZ($A$1,$B71,X$1,$B$1)</f>
        <v>312.05</v>
      </c>
      <c r="Y71" s="55">
        <f>_xll.EQNXTDZ($A$1,$B71,Y$1,$B$1)</f>
        <v>342.09</v>
      </c>
      <c r="Z71" s="55">
        <f>_xll.EQNXTDZ($A$1,$B71,Z$1,$B$1)</f>
        <v>311.58999999999997</v>
      </c>
      <c r="AA71" s="55">
        <f>_xll.EQNXTDZ($A$1,$B71,AA$1,$B$1)</f>
        <v>373.72</v>
      </c>
      <c r="AB71" s="55">
        <f>_xll.EQNXTDZ($A$1,$B71,AB$1,$B$1)</f>
        <v>428.22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133.744</v>
      </c>
      <c r="N72" s="55">
        <f>_xll.EQNXTDZ($A$1,$B72,N$1,$B$1)</f>
        <v>151.96</v>
      </c>
      <c r="O72" s="55">
        <f>_xll.EQNXTDZ($A$1,$B72,O$1,$B$1)</f>
        <v>108.39100000000001</v>
      </c>
      <c r="P72" s="55">
        <f>_xll.EQNXTDZ($A$1,$B72,P$1,$B$1)</f>
        <v>129.98599999999999</v>
      </c>
      <c r="Q72" s="55">
        <f>_xll.EQNXTDZ($A$1,$B72,Q$1,$B$1)</f>
        <v>156.489</v>
      </c>
      <c r="R72" s="55">
        <f>_xll.EQNXTDZ($A$1,$B72,R$1,$B$1)</f>
        <v>187.32599999999999</v>
      </c>
      <c r="S72" s="55">
        <f>_xll.EQNXTDZ($A$1,$B72,S$1,$B$1)</f>
        <v>65.081000000000003</v>
      </c>
      <c r="T72" s="55">
        <f>_xll.EQNXTDZ($A$1,$B72,T$1,$B$1)</f>
        <v>136.84200000000001</v>
      </c>
      <c r="U72" s="55">
        <f>_xll.EQNXTDZ($A$1,$B72,U$1,$B$1)</f>
        <v>211.19900000000001</v>
      </c>
      <c r="V72" s="55">
        <f>_xll.EQNXTDZ($A$1,$B72,V$1,$B$1)</f>
        <v>139.72999999999999</v>
      </c>
      <c r="W72" s="55">
        <f>_xll.EQNXTDZ($A$1,$B72,W$1,$B$1)</f>
        <v>90</v>
      </c>
      <c r="X72" s="55">
        <f>_xll.EQNXTDZ($A$1,$B72,X$1,$B$1)</f>
        <v>733.43</v>
      </c>
      <c r="Y72" s="55">
        <f>_xll.EQNXTDZ($A$1,$B72,Y$1,$B$1)</f>
        <v>968.69</v>
      </c>
      <c r="Z72" s="55">
        <f>_xll.EQNXTDZ($A$1,$B72,Z$1,$B$1)</f>
        <v>886.41</v>
      </c>
      <c r="AA72" s="55">
        <f>_xll.EQNXTDZ($A$1,$B72,AA$1,$B$1)</f>
        <v>836.22</v>
      </c>
      <c r="AB72" s="55">
        <f>_xll.EQNXTDZ($A$1,$B72,AB$1,$B$1)</f>
        <v>1022.92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0.64900000000000002</v>
      </c>
      <c r="N73" s="55">
        <f>_xll.EQNXTDZ($A$1,$B73,N$1,$B$1)</f>
        <v>1.0429999999999999</v>
      </c>
      <c r="O73" s="55">
        <f>_xll.EQNXTDZ($A$1,$B73,O$1,$B$1)</f>
        <v>1.1279999999999999</v>
      </c>
      <c r="P73" s="55">
        <f>_xll.EQNXTDZ($A$1,$B73,P$1,$B$1)</f>
        <v>67.197999999999993</v>
      </c>
      <c r="Q73" s="55">
        <f>_xll.EQNXTDZ($A$1,$B73,Q$1,$B$1)</f>
        <v>53.802</v>
      </c>
      <c r="R73" s="55">
        <f>_xll.EQNXTDZ($A$1,$B73,R$1,$B$1)</f>
        <v>163.518</v>
      </c>
      <c r="S73" s="55">
        <f>_xll.EQNXTDZ($A$1,$B73,S$1,$B$1)</f>
        <v>55.601999999999997</v>
      </c>
      <c r="T73" s="55">
        <f>_xll.EQNXTDZ($A$1,$B73,T$1,$B$1)</f>
        <v>27.954999999999998</v>
      </c>
      <c r="U73" s="55">
        <f>_xll.EQNXTDZ($A$1,$B73,U$1,$B$1)</f>
        <v>15.375999999999999</v>
      </c>
      <c r="V73" s="55">
        <f>_xll.EQNXTDZ($A$1,$B73,V$1,$B$1)</f>
        <v>25.879000000000001</v>
      </c>
      <c r="W73" s="55">
        <f>_xll.EQNXTDZ($A$1,$B73,W$1,$B$1)</f>
        <v>15.25</v>
      </c>
      <c r="X73" s="55">
        <f>_xll.EQNXTDZ($A$1,$B73,X$1,$B$1)</f>
        <v>13.62</v>
      </c>
      <c r="Y73" s="55">
        <f>_xll.EQNXTDZ($A$1,$B73,Y$1,$B$1)</f>
        <v>13.4</v>
      </c>
      <c r="Z73" s="55">
        <f>_xll.EQNXTDZ($A$1,$B73,Z$1,$B$1)</f>
        <v>30.38</v>
      </c>
      <c r="AA73" s="55">
        <f>_xll.EQNXTDZ($A$1,$B73,AA$1,$B$1)</f>
        <v>23.33</v>
      </c>
      <c r="AB73" s="55">
        <f>_xll.EQNXTDZ($A$1,$B73,AB$1,$B$1)</f>
        <v>20.2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82.524000000000001</v>
      </c>
      <c r="F74" s="55">
        <f>_xll.EQNXTDZ($A$1,$B74,F$1,$B$1)</f>
        <v>151.14099999999999</v>
      </c>
      <c r="G74" s="55">
        <f>_xll.EQNXTDZ($A$1,$B74,G$1,$B$1)</f>
        <v>247.69300000000001</v>
      </c>
      <c r="H74" s="55">
        <f>_xll.EQNXTDZ($A$1,$B74,H$1,$B$1)</f>
        <v>282.673</v>
      </c>
      <c r="I74" s="55">
        <f>_xll.EQNXTDZ($A$1,$B74,I$1,$B$1)</f>
        <v>269.20600000000002</v>
      </c>
      <c r="J74" s="55">
        <f>_xll.EQNXTDZ($A$1,$B74,J$1,$B$1)</f>
        <v>280.238</v>
      </c>
      <c r="K74" s="55">
        <f>_xll.EQNXTDZ($A$1,$B74,K$1,$B$1)</f>
        <v>412.61799999999999</v>
      </c>
      <c r="L74" s="55">
        <f>_xll.EQNXTDZ($A$1,$B74,L$1,$B$1)</f>
        <v>613.64099999999996</v>
      </c>
      <c r="M74" s="55">
        <f>_xll.EQNXTDZ($A$1,$B74,M$1,$B$1)</f>
        <v>899.14300000000003</v>
      </c>
      <c r="N74" s="55">
        <f>_xll.EQNXTDZ($A$1,$B74,N$1,$B$1)</f>
        <v>1191.413</v>
      </c>
      <c r="O74" s="55">
        <f>_xll.EQNXTDZ($A$1,$B74,O$1,$B$1)</f>
        <v>1574.2059999999999</v>
      </c>
      <c r="P74" s="55">
        <f>_xll.EQNXTDZ($A$1,$B74,P$1,$B$1)</f>
        <v>1930.5640000000001</v>
      </c>
      <c r="Q74" s="55">
        <f>_xll.EQNXTDZ($A$1,$B74,Q$1,$B$1)</f>
        <v>2009.972</v>
      </c>
      <c r="R74" s="55">
        <f>_xll.EQNXTDZ($A$1,$B74,R$1,$B$1)</f>
        <v>2434.748</v>
      </c>
      <c r="S74" s="55">
        <f>_xll.EQNXTDZ($A$1,$B74,S$1,$B$1)</f>
        <v>2226.9560000000001</v>
      </c>
      <c r="T74" s="55">
        <f>_xll.EQNXTDZ($A$1,$B74,T$1,$B$1)</f>
        <v>3006.5369999999998</v>
      </c>
      <c r="U74" s="55">
        <f>_xll.EQNXTDZ($A$1,$B74,U$1,$B$1)</f>
        <v>3898.4360000000001</v>
      </c>
      <c r="V74" s="55">
        <f>_xll.EQNXTDZ($A$1,$B74,V$1,$B$1)</f>
        <v>4454.38</v>
      </c>
      <c r="W74" s="55">
        <f>_xll.EQNXTDZ($A$1,$B74,W$1,$B$1)</f>
        <v>4620.3500000000004</v>
      </c>
      <c r="X74" s="55">
        <f>_xll.EQNXTDZ($A$1,$B74,X$1,$B$1)</f>
        <v>5935.13</v>
      </c>
      <c r="Y74" s="55">
        <f>_xll.EQNXTDZ($A$1,$B74,Y$1,$B$1)</f>
        <v>6441.49</v>
      </c>
      <c r="Z74" s="55">
        <f>_xll.EQNXTDZ($A$1,$B74,Z$1,$B$1)</f>
        <v>7028.18</v>
      </c>
      <c r="AA74" s="55">
        <f>_xll.EQNXTDZ($A$1,$B74,AA$1,$B$1)</f>
        <v>7773.44</v>
      </c>
      <c r="AB74" s="55">
        <f>_xll.EQNXTDZ($A$1,$B74,AB$1,$B$1)</f>
        <v>9056.7900000000009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50</v>
      </c>
      <c r="X75" s="55">
        <f>_xll.EQNXTDZ($A$1,$B75,X$1,$B$1)</f>
        <v>50</v>
      </c>
      <c r="Y75" s="55">
        <f>_xll.EQNXTDZ($A$1,$B75,Y$1,$B$1)</f>
        <v>50.03</v>
      </c>
      <c r="Z75" s="55">
        <f>_xll.EQNXTDZ($A$1,$B75,Z$1,$B$1)</f>
        <v>0</v>
      </c>
      <c r="AA75" s="55">
        <f>_xll.EQNXTDZ($A$1,$B75,AA$1,$B$1)</f>
        <v>250.27</v>
      </c>
      <c r="AB75" s="55">
        <f>_xll.EQNXTDZ($A$1,$B75,AB$1,$B$1)</f>
        <v>653.28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191.83600000000001</v>
      </c>
      <c r="F76" s="55">
        <f>_xll.EQNXTDZ($A$1,$B76,F$1,$B$1)</f>
        <v>255.315</v>
      </c>
      <c r="G76" s="55">
        <f>_xll.EQNXTDZ($A$1,$B76,G$1,$B$1)</f>
        <v>196.54900000000001</v>
      </c>
      <c r="H76" s="55">
        <f>_xll.EQNXTDZ($A$1,$B76,H$1,$B$1)</f>
        <v>370.13499999999999</v>
      </c>
      <c r="I76" s="55">
        <f>_xll.EQNXTDZ($A$1,$B76,I$1,$B$1)</f>
        <v>310.87299999999999</v>
      </c>
      <c r="J76" s="55">
        <f>_xll.EQNXTDZ($A$1,$B76,J$1,$B$1)</f>
        <v>785.53499999999997</v>
      </c>
      <c r="K76" s="55">
        <f>_xll.EQNXTDZ($A$1,$B76,K$1,$B$1)</f>
        <v>595.93700000000001</v>
      </c>
      <c r="L76" s="55">
        <f>_xll.EQNXTDZ($A$1,$B76,L$1,$B$1)</f>
        <v>937.03899999999999</v>
      </c>
      <c r="M76" s="55">
        <f>_xll.EQNXTDZ($A$1,$B76,M$1,$B$1)</f>
        <v>1496.2919999999999</v>
      </c>
      <c r="N76" s="55">
        <f>_xll.EQNXTDZ($A$1,$B76,N$1,$B$1)</f>
        <v>1124.721</v>
      </c>
      <c r="O76" s="55">
        <f>_xll.EQNXTDZ($A$1,$B76,O$1,$B$1)</f>
        <v>1407.7560000000001</v>
      </c>
      <c r="P76" s="55">
        <f>_xll.EQNXTDZ($A$1,$B76,P$1,$B$1)</f>
        <v>1631.0450000000001</v>
      </c>
      <c r="Q76" s="55">
        <f>_xll.EQNXTDZ($A$1,$B76,Q$1,$B$1)</f>
        <v>1939.7249999999999</v>
      </c>
      <c r="R76" s="55">
        <f>_xll.EQNXTDZ($A$1,$B76,R$1,$B$1)</f>
        <v>2817.9650000000001</v>
      </c>
      <c r="S76" s="55">
        <f>_xll.EQNXTDZ($A$1,$B76,S$1,$B$1)</f>
        <v>2965.0940000000001</v>
      </c>
      <c r="T76" s="55">
        <f>_xll.EQNXTDZ($A$1,$B76,T$1,$B$1)</f>
        <v>3753.4549999999999</v>
      </c>
      <c r="U76" s="55">
        <f>_xll.EQNXTDZ($A$1,$B76,U$1,$B$1)</f>
        <v>4046.8870000000002</v>
      </c>
      <c r="V76" s="55">
        <f>_xll.EQNXTDZ($A$1,$B76,V$1,$B$1)</f>
        <v>3826.43</v>
      </c>
      <c r="W76" s="55">
        <f>_xll.EQNXTDZ($A$1,$B76,W$1,$B$1)</f>
        <v>4777.71</v>
      </c>
      <c r="X76" s="55">
        <f>_xll.EQNXTDZ($A$1,$B76,X$1,$B$1)</f>
        <v>7716.52</v>
      </c>
      <c r="Y76" s="55">
        <f>_xll.EQNXTDZ($A$1,$B76,Y$1,$B$1)</f>
        <v>7681.24</v>
      </c>
      <c r="Z76" s="55">
        <f>_xll.EQNXTDZ($A$1,$B76,Z$1,$B$1)</f>
        <v>7203.8</v>
      </c>
      <c r="AA76" s="55">
        <f>_xll.EQNXTDZ($A$1,$B76,AA$1,$B$1)</f>
        <v>8641.2800000000007</v>
      </c>
      <c r="AB76" s="55">
        <f>_xll.EQNXTDZ($A$1,$B76,AB$1,$B$1)</f>
        <v>8190.72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34.118000000000002</v>
      </c>
      <c r="F77" s="55">
        <f>_xll.EQNXTDZ($A$1,$B77,F$1,$B$1)</f>
        <v>44.777000000000001</v>
      </c>
      <c r="G77" s="55">
        <f>_xll.EQNXTDZ($A$1,$B77,G$1,$B$1)</f>
        <v>78.177000000000007</v>
      </c>
      <c r="H77" s="55">
        <f>_xll.EQNXTDZ($A$1,$B77,H$1,$B$1)</f>
        <v>103.023</v>
      </c>
      <c r="I77" s="55">
        <f>_xll.EQNXTDZ($A$1,$B77,I$1,$B$1)</f>
        <v>79.388000000000005</v>
      </c>
      <c r="J77" s="55">
        <f>_xll.EQNXTDZ($A$1,$B77,J$1,$B$1)</f>
        <v>132.45099999999999</v>
      </c>
      <c r="K77" s="55">
        <f>_xll.EQNXTDZ($A$1,$B77,K$1,$B$1)</f>
        <v>158.72999999999999</v>
      </c>
      <c r="L77" s="55">
        <f>_xll.EQNXTDZ($A$1,$B77,L$1,$B$1)</f>
        <v>230.63200000000001</v>
      </c>
      <c r="M77" s="55">
        <f>_xll.EQNXTDZ($A$1,$B77,M$1,$B$1)</f>
        <v>451.05</v>
      </c>
      <c r="N77" s="55">
        <f>_xll.EQNXTDZ($A$1,$B77,N$1,$B$1)</f>
        <v>519.51</v>
      </c>
      <c r="O77" s="55">
        <f>_xll.EQNXTDZ($A$1,$B77,O$1,$B$1)</f>
        <v>607.75599999999997</v>
      </c>
      <c r="P77" s="55">
        <f>_xll.EQNXTDZ($A$1,$B77,P$1,$B$1)</f>
        <v>788.79600000000005</v>
      </c>
      <c r="Q77" s="55">
        <f>_xll.EQNXTDZ($A$1,$B77,Q$1,$B$1)</f>
        <v>693.01499999999999</v>
      </c>
      <c r="R77" s="55">
        <f>_xll.EQNXTDZ($A$1,$B77,R$1,$B$1)</f>
        <v>708.17600000000004</v>
      </c>
      <c r="S77" s="55">
        <f>_xll.EQNXTDZ($A$1,$B77,S$1,$B$1)</f>
        <v>779.56899999999996</v>
      </c>
      <c r="T77" s="55">
        <f>_xll.EQNXTDZ($A$1,$B77,T$1,$B$1)</f>
        <v>1070.2180000000001</v>
      </c>
      <c r="U77" s="55">
        <f>_xll.EQNXTDZ($A$1,$B77,U$1,$B$1)</f>
        <v>1258.135</v>
      </c>
      <c r="V77" s="55">
        <f>_xll.EQNXTDZ($A$1,$B77,V$1,$B$1)</f>
        <v>921.178</v>
      </c>
      <c r="W77" s="55">
        <f>_xll.EQNXTDZ($A$1,$B77,W$1,$B$1)</f>
        <v>1515.14</v>
      </c>
      <c r="X77" s="55">
        <f>_xll.EQNXTDZ($A$1,$B77,X$1,$B$1)</f>
        <v>2218.58</v>
      </c>
      <c r="Y77" s="55">
        <f>_xll.EQNXTDZ($A$1,$B77,Y$1,$B$1)</f>
        <v>1931.41</v>
      </c>
      <c r="Z77" s="55">
        <f>_xll.EQNXTDZ($A$1,$B77,Z$1,$B$1)</f>
        <v>1782.91</v>
      </c>
      <c r="AA77" s="55">
        <f>_xll.EQNXTDZ($A$1,$B77,AA$1,$B$1)</f>
        <v>2415.5500000000002</v>
      </c>
      <c r="AB77" s="55">
        <f>_xll.EQNXTDZ($A$1,$B77,AB$1,$B$1)</f>
        <v>2624.32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42.389000000000003</v>
      </c>
      <c r="F78" s="55">
        <f>_xll.EQNXTDZ($A$1,$B78,F$1,$B$1)</f>
        <v>116.958</v>
      </c>
      <c r="G78" s="55">
        <f>_xll.EQNXTDZ($A$1,$B78,G$1,$B$1)</f>
        <v>159.398</v>
      </c>
      <c r="H78" s="55">
        <f>_xll.EQNXTDZ($A$1,$B78,H$1,$B$1)</f>
        <v>151.77500000000001</v>
      </c>
      <c r="I78" s="55">
        <f>_xll.EQNXTDZ($A$1,$B78,I$1,$B$1)</f>
        <v>107.953</v>
      </c>
      <c r="J78" s="55">
        <f>_xll.EQNXTDZ($A$1,$B78,J$1,$B$1)</f>
        <v>163.184</v>
      </c>
      <c r="K78" s="55">
        <f>_xll.EQNXTDZ($A$1,$B78,K$1,$B$1)</f>
        <v>180.09899999999999</v>
      </c>
      <c r="L78" s="55">
        <f>_xll.EQNXTDZ($A$1,$B78,L$1,$B$1)</f>
        <v>130.27199999999999</v>
      </c>
      <c r="M78" s="55">
        <f>_xll.EQNXTDZ($A$1,$B78,M$1,$B$1)</f>
        <v>176.494</v>
      </c>
      <c r="N78" s="55">
        <f>_xll.EQNXTDZ($A$1,$B78,N$1,$B$1)</f>
        <v>733.98</v>
      </c>
      <c r="O78" s="55">
        <f>_xll.EQNXTDZ($A$1,$B78,O$1,$B$1)</f>
        <v>1615.422</v>
      </c>
      <c r="P78" s="55">
        <f>_xll.EQNXTDZ($A$1,$B78,P$1,$B$1)</f>
        <v>1970.943</v>
      </c>
      <c r="Q78" s="55">
        <f>_xll.EQNXTDZ($A$1,$B78,Q$1,$B$1)</f>
        <v>1156.857</v>
      </c>
      <c r="R78" s="55">
        <f>_xll.EQNXTDZ($A$1,$B78,R$1,$B$1)</f>
        <v>929.16099999999994</v>
      </c>
      <c r="S78" s="55">
        <f>_xll.EQNXTDZ($A$1,$B78,S$1,$B$1)</f>
        <v>909.48299999999995</v>
      </c>
      <c r="T78" s="55">
        <f>_xll.EQNXTDZ($A$1,$B78,T$1,$B$1)</f>
        <v>1091.2149999999999</v>
      </c>
      <c r="U78" s="55">
        <f>_xll.EQNXTDZ($A$1,$B78,U$1,$B$1)</f>
        <v>1215.461</v>
      </c>
      <c r="V78" s="55">
        <f>_xll.EQNXTDZ($A$1,$B78,V$1,$B$1)</f>
        <v>1432.1010000000001</v>
      </c>
      <c r="W78" s="55">
        <f>_xll.EQNXTDZ($A$1,$B78,W$1,$B$1)</f>
        <v>1188.46</v>
      </c>
      <c r="X78" s="55">
        <f>_xll.EQNXTDZ($A$1,$B78,X$1,$B$1)</f>
        <v>4494</v>
      </c>
      <c r="Y78" s="55">
        <f>_xll.EQNXTDZ($A$1,$B78,Y$1,$B$1)</f>
        <v>3724.08</v>
      </c>
      <c r="Z78" s="55">
        <f>_xll.EQNXTDZ($A$1,$B78,Z$1,$B$1)</f>
        <v>2809.58</v>
      </c>
      <c r="AA78" s="55">
        <f>_xll.EQNXTDZ($A$1,$B78,AA$1,$B$1)</f>
        <v>1022.56</v>
      </c>
      <c r="AB78" s="55">
        <f>_xll.EQNXTDZ($A$1,$B78,AB$1,$B$1)</f>
        <v>1719.31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6.8000000000000005E-2</v>
      </c>
      <c r="F79" s="55">
        <f>_xll.EQNXTDZ($A$1,$B79,F$1,$B$1)</f>
        <v>0.53</v>
      </c>
      <c r="G79" s="55">
        <f>_xll.EQNXTDZ($A$1,$B79,G$1,$B$1)</f>
        <v>3.625</v>
      </c>
      <c r="H79" s="55">
        <f>_xll.EQNXTDZ($A$1,$B79,H$1,$B$1)</f>
        <v>7.4749999999999996</v>
      </c>
      <c r="I79" s="55">
        <f>_xll.EQNXTDZ($A$1,$B79,I$1,$B$1)</f>
        <v>6.9930000000000003</v>
      </c>
      <c r="J79" s="55">
        <f>_xll.EQNXTDZ($A$1,$B79,J$1,$B$1)</f>
        <v>22.939</v>
      </c>
      <c r="K79" s="55">
        <f>_xll.EQNXTDZ($A$1,$B79,K$1,$B$1)</f>
        <v>4.6130000000000004</v>
      </c>
      <c r="L79" s="55">
        <f>_xll.EQNXTDZ($A$1,$B79,L$1,$B$1)</f>
        <v>10.983000000000001</v>
      </c>
      <c r="M79" s="55">
        <f>_xll.EQNXTDZ($A$1,$B79,M$1,$B$1)</f>
        <v>81.790999999999997</v>
      </c>
      <c r="N79" s="55">
        <f>_xll.EQNXTDZ($A$1,$B79,N$1,$B$1)</f>
        <v>101.518</v>
      </c>
      <c r="O79" s="55">
        <f>_xll.EQNXTDZ($A$1,$B79,O$1,$B$1)</f>
        <v>171.29900000000001</v>
      </c>
      <c r="P79" s="55">
        <f>_xll.EQNXTDZ($A$1,$B79,P$1,$B$1)</f>
        <v>166.233</v>
      </c>
      <c r="Q79" s="55">
        <f>_xll.EQNXTDZ($A$1,$B79,Q$1,$B$1)</f>
        <v>97.093000000000004</v>
      </c>
      <c r="R79" s="55">
        <f>_xll.EQNXTDZ($A$1,$B79,R$1,$B$1)</f>
        <v>86.626000000000005</v>
      </c>
      <c r="S79" s="55">
        <f>_xll.EQNXTDZ($A$1,$B79,S$1,$B$1)</f>
        <v>154.024</v>
      </c>
      <c r="T79" s="55">
        <f>_xll.EQNXTDZ($A$1,$B79,T$1,$B$1)</f>
        <v>179.40799999999999</v>
      </c>
      <c r="U79" s="55">
        <f>_xll.EQNXTDZ($A$1,$B79,U$1,$B$1)</f>
        <v>301.387</v>
      </c>
      <c r="V79" s="55">
        <f>_xll.EQNXTDZ($A$1,$B79,V$1,$B$1)</f>
        <v>402.56799999999998</v>
      </c>
      <c r="W79" s="55">
        <f>_xll.EQNXTDZ($A$1,$B79,W$1,$B$1)</f>
        <v>162.07</v>
      </c>
      <c r="X79" s="55">
        <f>_xll.EQNXTDZ($A$1,$B79,X$1,$B$1)</f>
        <v>325.57</v>
      </c>
      <c r="Y79" s="55">
        <f>_xll.EQNXTDZ($A$1,$B79,Y$1,$B$1)</f>
        <v>630.26</v>
      </c>
      <c r="Z79" s="55">
        <f>_xll.EQNXTDZ($A$1,$B79,Z$1,$B$1)</f>
        <v>305.27</v>
      </c>
      <c r="AA79" s="55">
        <f>_xll.EQNXTDZ($A$1,$B79,AA$1,$B$1)</f>
        <v>239.28</v>
      </c>
      <c r="AB79" s="55">
        <f>_xll.EQNXTDZ($A$1,$B79,AB$1,$B$1)</f>
        <v>414.48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12.715999999999999</v>
      </c>
      <c r="F80" s="55">
        <f>_xll.EQNXTDZ($A$1,$B80,F$1,$B$1)</f>
        <v>40.738999999999997</v>
      </c>
      <c r="G80" s="55">
        <f>_xll.EQNXTDZ($A$1,$B80,G$1,$B$1)</f>
        <v>16.713999999999999</v>
      </c>
      <c r="H80" s="55">
        <f>_xll.EQNXTDZ($A$1,$B80,H$1,$B$1)</f>
        <v>54.261000000000003</v>
      </c>
      <c r="I80" s="55">
        <f>_xll.EQNXTDZ($A$1,$B80,I$1,$B$1)</f>
        <v>30.866</v>
      </c>
      <c r="J80" s="55">
        <f>_xll.EQNXTDZ($A$1,$B80,J$1,$B$1)</f>
        <v>49.323999999999998</v>
      </c>
      <c r="K80" s="55">
        <f>_xll.EQNXTDZ($A$1,$B80,K$1,$B$1)</f>
        <v>67.933000000000007</v>
      </c>
      <c r="L80" s="55">
        <f>_xll.EQNXTDZ($A$1,$B80,L$1,$B$1)</f>
        <v>169.61</v>
      </c>
      <c r="M80" s="55">
        <f>_xll.EQNXTDZ($A$1,$B80,M$1,$B$1)</f>
        <v>135.41399999999999</v>
      </c>
      <c r="N80" s="55">
        <f>_xll.EQNXTDZ($A$1,$B80,N$1,$B$1)</f>
        <v>353.45299999999997</v>
      </c>
      <c r="O80" s="55">
        <f>_xll.EQNXTDZ($A$1,$B80,O$1,$B$1)</f>
        <v>412.46899999999999</v>
      </c>
      <c r="P80" s="55">
        <f>_xll.EQNXTDZ($A$1,$B80,P$1,$B$1)</f>
        <v>176.613</v>
      </c>
      <c r="Q80" s="55">
        <f>_xll.EQNXTDZ($A$1,$B80,Q$1,$B$1)</f>
        <v>190.55600000000001</v>
      </c>
      <c r="R80" s="55">
        <f>_xll.EQNXTDZ($A$1,$B80,R$1,$B$1)</f>
        <v>353.53399999999999</v>
      </c>
      <c r="S80" s="55">
        <f>_xll.EQNXTDZ($A$1,$B80,S$1,$B$1)</f>
        <v>390.42899999999997</v>
      </c>
      <c r="T80" s="55">
        <f>_xll.EQNXTDZ($A$1,$B80,T$1,$B$1)</f>
        <v>528.42499999999995</v>
      </c>
      <c r="U80" s="55">
        <f>_xll.EQNXTDZ($A$1,$B80,U$1,$B$1)</f>
        <v>774.69799999999998</v>
      </c>
      <c r="V80" s="55">
        <f>_xll.EQNXTDZ($A$1,$B80,V$1,$B$1)</f>
        <v>749.18499999999995</v>
      </c>
      <c r="W80" s="55">
        <f>_xll.EQNXTDZ($A$1,$B80,W$1,$B$1)</f>
        <v>1014.07</v>
      </c>
      <c r="X80" s="55">
        <f>_xll.EQNXTDZ($A$1,$B80,X$1,$B$1)</f>
        <v>577.47</v>
      </c>
      <c r="Y80" s="55">
        <f>_xll.EQNXTDZ($A$1,$B80,Y$1,$B$1)</f>
        <v>514.85</v>
      </c>
      <c r="Z80" s="55">
        <f>_xll.EQNXTDZ($A$1,$B80,Z$1,$B$1)</f>
        <v>616.24</v>
      </c>
      <c r="AA80" s="55">
        <f>_xll.EQNXTDZ($A$1,$B80,AA$1,$B$1)</f>
        <v>2046.75</v>
      </c>
      <c r="AB80" s="55">
        <f>_xll.EQNXTDZ($A$1,$B80,AB$1,$B$1)</f>
        <v>2053.5700000000002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5.22</v>
      </c>
      <c r="Z81" s="55">
        <f>_xll.EQNXTDZ($A$1,$B81,Z$1,$B$1)</f>
        <v>30.53</v>
      </c>
      <c r="AA81" s="55">
        <f>_xll.EQNXTDZ($A$1,$B81,AA$1,$B$1)</f>
        <v>23.32</v>
      </c>
      <c r="AB81" s="55">
        <f>_xll.EQNXTDZ($A$1,$B81,AB$1,$B$1)</f>
        <v>23.09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281.12700000000001</v>
      </c>
      <c r="F82" s="55">
        <f>_xll.EQNXTDZ($A$1,$B82,F$1,$B$1)</f>
        <v>458.31900000000002</v>
      </c>
      <c r="G82" s="55">
        <f>_xll.EQNXTDZ($A$1,$B82,G$1,$B$1)</f>
        <v>454.46300000000002</v>
      </c>
      <c r="H82" s="55">
        <f>_xll.EQNXTDZ($A$1,$B82,H$1,$B$1)</f>
        <v>686.66899999999998</v>
      </c>
      <c r="I82" s="55">
        <f>_xll.EQNXTDZ($A$1,$B82,I$1,$B$1)</f>
        <v>536.07299999999998</v>
      </c>
      <c r="J82" s="55">
        <f>_xll.EQNXTDZ($A$1,$B82,J$1,$B$1)</f>
        <v>1153.433</v>
      </c>
      <c r="K82" s="55">
        <f>_xll.EQNXTDZ($A$1,$B82,K$1,$B$1)</f>
        <v>1007.312</v>
      </c>
      <c r="L82" s="55">
        <f>_xll.EQNXTDZ($A$1,$B82,L$1,$B$1)</f>
        <v>1478.5360000000001</v>
      </c>
      <c r="M82" s="55">
        <f>_xll.EQNXTDZ($A$1,$B82,M$1,$B$1)</f>
        <v>2341.0410000000002</v>
      </c>
      <c r="N82" s="55">
        <f>_xll.EQNXTDZ($A$1,$B82,N$1,$B$1)</f>
        <v>2833.1819999999998</v>
      </c>
      <c r="O82" s="55">
        <f>_xll.EQNXTDZ($A$1,$B82,O$1,$B$1)</f>
        <v>4214.7020000000002</v>
      </c>
      <c r="P82" s="55">
        <f>_xll.EQNXTDZ($A$1,$B82,P$1,$B$1)</f>
        <v>4733.63</v>
      </c>
      <c r="Q82" s="55">
        <f>_xll.EQNXTDZ($A$1,$B82,Q$1,$B$1)</f>
        <v>4077.2460000000001</v>
      </c>
      <c r="R82" s="55">
        <f>_xll.EQNXTDZ($A$1,$B82,R$1,$B$1)</f>
        <v>4895.4620000000004</v>
      </c>
      <c r="S82" s="55">
        <f>_xll.EQNXTDZ($A$1,$B82,S$1,$B$1)</f>
        <v>5198.5990000000002</v>
      </c>
      <c r="T82" s="55">
        <f>_xll.EQNXTDZ($A$1,$B82,T$1,$B$1)</f>
        <v>6622.7209999999995</v>
      </c>
      <c r="U82" s="55">
        <f>_xll.EQNXTDZ($A$1,$B82,U$1,$B$1)</f>
        <v>7596.5680000000002</v>
      </c>
      <c r="V82" s="55">
        <f>_xll.EQNXTDZ($A$1,$B82,V$1,$B$1)</f>
        <v>7331.4620000000004</v>
      </c>
      <c r="W82" s="55">
        <f>_xll.EQNXTDZ($A$1,$B82,W$1,$B$1)</f>
        <v>8707.4500000000007</v>
      </c>
      <c r="X82" s="55">
        <f>_xll.EQNXTDZ($A$1,$B82,X$1,$B$1)</f>
        <v>15382.14</v>
      </c>
      <c r="Y82" s="55">
        <f>_xll.EQNXTDZ($A$1,$B82,Y$1,$B$1)</f>
        <v>14531.87</v>
      </c>
      <c r="Z82" s="55">
        <f>_xll.EQNXTDZ($A$1,$B82,Z$1,$B$1)</f>
        <v>12717.8</v>
      </c>
      <c r="AA82" s="55">
        <f>_xll.EQNXTDZ($A$1,$B82,AA$1,$B$1)</f>
        <v>14615.69</v>
      </c>
      <c r="AB82" s="55">
        <f>_xll.EQNXTDZ($A$1,$B82,AB$1,$B$1)</f>
        <v>15655.68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0.95599999999999996</v>
      </c>
      <c r="G83" s="55">
        <f>_xll.EQNXTDZ($A$1,$B83,G$1,$B$1)</f>
        <v>6.3440000000000003</v>
      </c>
      <c r="H83" s="55">
        <f>_xll.EQNXTDZ($A$1,$B83,H$1,$B$1)</f>
        <v>0.39200000000000002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363.65100000000001</v>
      </c>
      <c r="F84" s="55">
        <f>_xll.EQNXTDZ($A$1,$B84,F$1,$B$1)</f>
        <v>610.41600000000005</v>
      </c>
      <c r="G84" s="55">
        <f>_xll.EQNXTDZ($A$1,$B84,G$1,$B$1)</f>
        <v>708.5</v>
      </c>
      <c r="H84" s="55">
        <f>_xll.EQNXTDZ($A$1,$B84,H$1,$B$1)</f>
        <v>969.73400000000004</v>
      </c>
      <c r="I84" s="55">
        <f>_xll.EQNXTDZ($A$1,$B84,I$1,$B$1)</f>
        <v>805.279</v>
      </c>
      <c r="J84" s="55">
        <f>_xll.EQNXTDZ($A$1,$B84,J$1,$B$1)</f>
        <v>1433.671</v>
      </c>
      <c r="K84" s="55">
        <f>_xll.EQNXTDZ($A$1,$B84,K$1,$B$1)</f>
        <v>1419.93</v>
      </c>
      <c r="L84" s="55">
        <f>_xll.EQNXTDZ($A$1,$B84,L$1,$B$1)</f>
        <v>2092.1770000000001</v>
      </c>
      <c r="M84" s="55">
        <f>_xll.EQNXTDZ($A$1,$B84,M$1,$B$1)</f>
        <v>3240.1840000000002</v>
      </c>
      <c r="N84" s="55">
        <f>_xll.EQNXTDZ($A$1,$B84,N$1,$B$1)</f>
        <v>4024.5949999999998</v>
      </c>
      <c r="O84" s="55">
        <f>_xll.EQNXTDZ($A$1,$B84,O$1,$B$1)</f>
        <v>5788.9080000000004</v>
      </c>
      <c r="P84" s="55">
        <f>_xll.EQNXTDZ($A$1,$B84,P$1,$B$1)</f>
        <v>6664.1940000000004</v>
      </c>
      <c r="Q84" s="55">
        <f>_xll.EQNXTDZ($A$1,$B84,Q$1,$B$1)</f>
        <v>6087.2179999999998</v>
      </c>
      <c r="R84" s="55">
        <f>_xll.EQNXTDZ($A$1,$B84,R$1,$B$1)</f>
        <v>7330.21</v>
      </c>
      <c r="S84" s="55">
        <f>_xll.EQNXTDZ($A$1,$B84,S$1,$B$1)</f>
        <v>7425.5550000000003</v>
      </c>
      <c r="T84" s="55">
        <f>_xll.EQNXTDZ($A$1,$B84,T$1,$B$1)</f>
        <v>9629.2579999999998</v>
      </c>
      <c r="U84" s="55">
        <f>_xll.EQNXTDZ($A$1,$B84,U$1,$B$1)</f>
        <v>11495.004000000001</v>
      </c>
      <c r="V84" s="55">
        <f>_xll.EQNXTDZ($A$1,$B84,V$1,$B$1)</f>
        <v>11785.842000000001</v>
      </c>
      <c r="W84" s="55">
        <f>_xll.EQNXTDZ($A$1,$B84,W$1,$B$1)</f>
        <v>13327.8</v>
      </c>
      <c r="X84" s="55">
        <f>_xll.EQNXTDZ($A$1,$B84,X$1,$B$1)</f>
        <v>21317.27</v>
      </c>
      <c r="Y84" s="55">
        <f>_xll.EQNXTDZ($A$1,$B84,Y$1,$B$1)</f>
        <v>20978.58</v>
      </c>
      <c r="Z84" s="55">
        <f>_xll.EQNXTDZ($A$1,$B84,Z$1,$B$1)</f>
        <v>19776.509999999998</v>
      </c>
      <c r="AA84" s="55">
        <f>_xll.EQNXTDZ($A$1,$B84,AA$1,$B$1)</f>
        <v>22412.45</v>
      </c>
      <c r="AB84" s="55">
        <f>_xll.EQNXTDZ($A$1,$B84,AB$1,$B$1)</f>
        <v>24735.56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8.5039999999999996</v>
      </c>
      <c r="F85" s="55">
        <f>_xll.EQNXTDZ($A$1,$B85,F$1,$B$1)</f>
        <v>14.603</v>
      </c>
      <c r="G85" s="55">
        <f>_xll.EQNXTDZ($A$1,$B85,G$1,$B$1)</f>
        <v>170.846</v>
      </c>
      <c r="H85" s="55">
        <f>_xll.EQNXTDZ($A$1,$B85,H$1,$B$1)</f>
        <v>82.468999999999994</v>
      </c>
      <c r="I85" s="55">
        <f>_xll.EQNXTDZ($A$1,$B85,I$1,$B$1)</f>
        <v>73.45</v>
      </c>
      <c r="J85" s="55">
        <f>_xll.EQNXTDZ($A$1,$B85,J$1,$B$1)</f>
        <v>90</v>
      </c>
      <c r="K85" s="55">
        <f>_xll.EQNXTDZ($A$1,$B85,K$1,$B$1)</f>
        <v>136.434</v>
      </c>
      <c r="L85" s="55">
        <f>_xll.EQNXTDZ($A$1,$B85,L$1,$B$1)</f>
        <v>217.29599999999999</v>
      </c>
      <c r="M85" s="55">
        <f>_xll.EQNXTDZ($A$1,$B85,M$1,$B$1)</f>
        <v>196.44200000000001</v>
      </c>
      <c r="N85" s="55">
        <f>_xll.EQNXTDZ($A$1,$B85,N$1,$B$1)</f>
        <v>432.51299999999998</v>
      </c>
      <c r="O85" s="55">
        <f>_xll.EQNXTDZ($A$1,$B85,O$1,$B$1)</f>
        <v>545.13599999999997</v>
      </c>
      <c r="P85" s="55">
        <f>_xll.EQNXTDZ($A$1,$B85,P$1,$B$1)</f>
        <v>533.91719999999998</v>
      </c>
      <c r="Q85" s="55">
        <f>_xll.EQNXTDZ($A$1,$B85,Q$1,$B$1)</f>
        <v>792.41899999999998</v>
      </c>
      <c r="R85" s="55">
        <f>_xll.EQNXTDZ($A$1,$B85,R$1,$B$1)</f>
        <v>791.68100000000004</v>
      </c>
      <c r="S85" s="55">
        <f>_xll.EQNXTDZ($A$1,$B85,S$1,$B$1)</f>
        <v>894.07799999999997</v>
      </c>
      <c r="T85" s="55">
        <f>_xll.EQNXTDZ($A$1,$B85,T$1,$B$1)</f>
        <v>496.53899999999999</v>
      </c>
      <c r="U85" s="55">
        <f>_xll.EQNXTDZ($A$1,$B85,U$1,$B$1)</f>
        <v>270.29700000000003</v>
      </c>
      <c r="V85" s="55">
        <f>_xll.EQNXTDZ($A$1,$B85,V$1,$B$1)</f>
        <v>268.09100000000001</v>
      </c>
      <c r="W85" s="55">
        <f>_xll.EQNXTDZ($A$1,$B85,W$1,$B$1)</f>
        <v>244.28</v>
      </c>
      <c r="X85" s="55">
        <f>_xll.EQNXTDZ($A$1,$B85,X$1,$B$1)</f>
        <v>189.56</v>
      </c>
      <c r="Y85" s="55">
        <f>_xll.EQNXTDZ($A$1,$B85,Y$1,$B$1)</f>
        <v>173.73</v>
      </c>
      <c r="Z85" s="55">
        <f>_xll.EQNXTDZ($A$1,$B85,Z$1,$B$1)</f>
        <v>161.32</v>
      </c>
      <c r="AA85" s="55">
        <f>_xll.EQNXTDZ($A$1,$B85,AA$1,$B$1)</f>
        <v>177.27</v>
      </c>
      <c r="AB85" s="55">
        <f>_xll.EQNXTDZ($A$1,$B85,AB$1,$B$1)</f>
        <v>190.91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43.209000000000003</v>
      </c>
      <c r="Q86" s="55">
        <f>_xll.EQNXTDZ($A$1,$B86,Q$1,$B$1)</f>
        <v>43.209000000000003</v>
      </c>
      <c r="R86" s="55">
        <f>_xll.EQNXTDZ($A$1,$B86,R$1,$B$1)</f>
        <v>9.0190000000000001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56.71</v>
      </c>
      <c r="Y86" s="55">
        <f>_xll.EQNXTDZ($A$1,$B86,Y$1,$B$1)</f>
        <v>49.69</v>
      </c>
      <c r="Z86" s="55">
        <f>_xll.EQNXTDZ($A$1,$B86,Z$1,$B$1)</f>
        <v>48.8</v>
      </c>
      <c r="AA86" s="55">
        <f>_xll.EQNXTDZ($A$1,$B86,AA$1,$B$1)</f>
        <v>53.84</v>
      </c>
      <c r="AB86" s="55">
        <f>_xll.EQNXTDZ($A$1,$B86,AB$1,$B$1)</f>
        <v>325.38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38.020000000000003</v>
      </c>
      <c r="N88" s="55">
        <f>_xll.EQNXTDZ($A$1,$B88,N$1,$B$1)</f>
        <v>76.850999999999999</v>
      </c>
      <c r="O88" s="55">
        <f>_xll.EQNXTDZ($A$1,$B88,O$1,$B$1)</f>
        <v>80.212000000000003</v>
      </c>
      <c r="P88" s="55">
        <f>_xll.EQNXTDZ($A$1,$B88,P$1,$B$1)</f>
        <v>73.462999999999994</v>
      </c>
      <c r="Q88" s="55">
        <f>_xll.EQNXTDZ($A$1,$B88,Q$1,$B$1)</f>
        <v>55.716999999999999</v>
      </c>
      <c r="R88" s="55">
        <f>_xll.EQNXTDZ($A$1,$B88,R$1,$B$1)</f>
        <v>220.916</v>
      </c>
      <c r="S88" s="55">
        <f>_xll.EQNXTDZ($A$1,$B88,S$1,$B$1)</f>
        <v>233.50299999999999</v>
      </c>
      <c r="T88" s="55">
        <f>_xll.EQNXTDZ($A$1,$B88,T$1,$B$1)</f>
        <v>219.03399999999999</v>
      </c>
      <c r="U88" s="55">
        <f>_xll.EQNXTDZ($A$1,$B88,U$1,$B$1)</f>
        <v>88.537999999999997</v>
      </c>
      <c r="V88" s="55">
        <f>_xll.EQNXTDZ($A$1,$B88,V$1,$B$1)</f>
        <v>139.05699999999999</v>
      </c>
      <c r="W88" s="55">
        <f>_xll.EQNXTDZ($A$1,$B88,W$1,$B$1)</f>
        <v>274.56</v>
      </c>
      <c r="X88" s="55">
        <f>_xll.EQNXTDZ($A$1,$B88,X$1,$B$1)</f>
        <v>137.66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2.89</v>
      </c>
      <c r="AB88" s="55">
        <f>_xll.EQNXTDZ($A$1,$B88,AB$1,$B$1)</f>
        <v>95.33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43.209000000000003</v>
      </c>
      <c r="Q91" s="55">
        <f>_xll.EQNXTDZ($A$1,$B91,Q$1,$B$1)</f>
        <v>43.209000000000003</v>
      </c>
      <c r="R91" s="55">
        <f>_xll.EQNXTDZ($A$1,$B91,R$1,$B$1)</f>
        <v>9.0190000000000001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56.71</v>
      </c>
      <c r="Y91" s="55">
        <f>_xll.EQNXTDZ($A$1,$B91,Y$1,$B$1)</f>
        <v>49.69</v>
      </c>
      <c r="Z91" s="55">
        <f>_xll.EQNXTDZ($A$1,$B91,Z$1,$B$1)</f>
        <v>48.8</v>
      </c>
      <c r="AA91" s="55">
        <f>_xll.EQNXTDZ($A$1,$B91,AA$1,$B$1)</f>
        <v>53.84</v>
      </c>
      <c r="AB91" s="55">
        <f>_xll.EQNXTDZ($A$1,$B91,AB$1,$B$1)</f>
        <v>325.38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4.9550000000000001</v>
      </c>
      <c r="F93" s="55">
        <f>_xll.EQNXTDZ($A$1,$B93,F$1,$B$1)</f>
        <v>4.95</v>
      </c>
      <c r="G93" s="55">
        <f>_xll.EQNXTDZ($A$1,$B93,G$1,$B$1)</f>
        <v>17.498000000000001</v>
      </c>
      <c r="H93" s="55">
        <f>_xll.EQNXTDZ($A$1,$B93,H$1,$B$1)</f>
        <v>19.225000000000001</v>
      </c>
      <c r="I93" s="55">
        <f>_xll.EQNXTDZ($A$1,$B93,I$1,$B$1)</f>
        <v>35.067999999999998</v>
      </c>
      <c r="J93" s="55">
        <f>_xll.EQNXTDZ($A$1,$B93,J$1,$B$1)</f>
        <v>23.282</v>
      </c>
      <c r="K93" s="55">
        <f>_xll.EQNXTDZ($A$1,$B93,K$1,$B$1)</f>
        <v>23.094000000000001</v>
      </c>
      <c r="L93" s="55">
        <f>_xll.EQNXTDZ($A$1,$B93,L$1,$B$1)</f>
        <v>62.851999999999997</v>
      </c>
      <c r="M93" s="55">
        <f>_xll.EQNXTDZ($A$1,$B93,M$1,$B$1)</f>
        <v>103.595</v>
      </c>
      <c r="N93" s="55">
        <f>_xll.EQNXTDZ($A$1,$B93,N$1,$B$1)</f>
        <v>65.248000000000005</v>
      </c>
      <c r="O93" s="55">
        <f>_xll.EQNXTDZ($A$1,$B93,O$1,$B$1)</f>
        <v>104.023</v>
      </c>
      <c r="P93" s="55">
        <f>_xll.EQNXTDZ($A$1,$B93,P$1,$B$1)</f>
        <v>138.2081</v>
      </c>
      <c r="Q93" s="55">
        <f>_xll.EQNXTDZ($A$1,$B93,Q$1,$B$1)</f>
        <v>155.94</v>
      </c>
      <c r="R93" s="55">
        <f>_xll.EQNXTDZ($A$1,$B93,R$1,$B$1)</f>
        <v>139.727</v>
      </c>
      <c r="S93" s="55">
        <f>_xll.EQNXTDZ($A$1,$B93,S$1,$B$1)</f>
        <v>147.26499999999999</v>
      </c>
      <c r="T93" s="55">
        <f>_xll.EQNXTDZ($A$1,$B93,T$1,$B$1)</f>
        <v>133.5</v>
      </c>
      <c r="U93" s="55">
        <f>_xll.EQNXTDZ($A$1,$B93,U$1,$B$1)</f>
        <v>159.64699999999999</v>
      </c>
      <c r="V93" s="55">
        <f>_xll.EQNXTDZ($A$1,$B93,V$1,$B$1)</f>
        <v>160.95500000000001</v>
      </c>
      <c r="W93" s="55">
        <f>_xll.EQNXTDZ($A$1,$B93,W$1,$B$1)</f>
        <v>144.28</v>
      </c>
      <c r="X93" s="55">
        <f>_xll.EQNXTDZ($A$1,$B93,X$1,$B$1)</f>
        <v>189.56</v>
      </c>
      <c r="Y93" s="55">
        <f>_xll.EQNXTDZ($A$1,$B93,Y$1,$B$1)</f>
        <v>173.73</v>
      </c>
      <c r="Z93" s="55">
        <f>_xll.EQNXTDZ($A$1,$B93,Z$1,$B$1)</f>
        <v>161.32</v>
      </c>
      <c r="AA93" s="55">
        <f>_xll.EQNXTDZ($A$1,$B93,AA$1,$B$1)</f>
        <v>177.27</v>
      </c>
      <c r="AB93" s="55">
        <f>_xll.EQNXTDZ($A$1,$B93,AB$1,$B$1)</f>
        <v>190.91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3.5489999999999999</v>
      </c>
      <c r="F95" s="55">
        <f>_xll.EQNXTDZ($A$1,$B95,F$1,$B$1)</f>
        <v>9.6530000000000005</v>
      </c>
      <c r="G95" s="55">
        <f>_xll.EQNXTDZ($A$1,$B95,G$1,$B$1)</f>
        <v>153.34800000000001</v>
      </c>
      <c r="H95" s="55">
        <f>_xll.EQNXTDZ($A$1,$B95,H$1,$B$1)</f>
        <v>62.841999999999999</v>
      </c>
      <c r="I95" s="55">
        <f>_xll.EQNXTDZ($A$1,$B95,I$1,$B$1)</f>
        <v>37.875999999999998</v>
      </c>
      <c r="J95" s="55">
        <f>_xll.EQNXTDZ($A$1,$B95,J$1,$B$1)</f>
        <v>53.134</v>
      </c>
      <c r="K95" s="55">
        <f>_xll.EQNXTDZ($A$1,$B95,K$1,$B$1)</f>
        <v>105.134</v>
      </c>
      <c r="L95" s="55">
        <f>_xll.EQNXTDZ($A$1,$B95,L$1,$B$1)</f>
        <v>154.44399999999999</v>
      </c>
      <c r="M95" s="55">
        <f>_xll.EQNXTDZ($A$1,$B95,M$1,$B$1)</f>
        <v>67.021000000000001</v>
      </c>
      <c r="N95" s="55">
        <f>_xll.EQNXTDZ($A$1,$B95,N$1,$B$1)</f>
        <v>268.04000000000002</v>
      </c>
      <c r="O95" s="55">
        <f>_xll.EQNXTDZ($A$1,$B95,O$1,$B$1)</f>
        <v>342.88099999999997</v>
      </c>
      <c r="P95" s="55">
        <f>_xll.EQNXTDZ($A$1,$B95,P$1,$B$1)</f>
        <v>395.70909999999998</v>
      </c>
      <c r="Q95" s="55">
        <f>_xll.EQNXTDZ($A$1,$B95,Q$1,$B$1)</f>
        <v>636.47900000000004</v>
      </c>
      <c r="R95" s="55">
        <f>_xll.EQNXTDZ($A$1,$B95,R$1,$B$1)</f>
        <v>651.95399999999995</v>
      </c>
      <c r="S95" s="55">
        <f>_xll.EQNXTDZ($A$1,$B95,S$1,$B$1)</f>
        <v>746.81299999999999</v>
      </c>
      <c r="T95" s="55">
        <f>_xll.EQNXTDZ($A$1,$B95,T$1,$B$1)</f>
        <v>363.03899999999999</v>
      </c>
      <c r="U95" s="55">
        <f>_xll.EQNXTDZ($A$1,$B95,U$1,$B$1)</f>
        <v>110.65</v>
      </c>
      <c r="V95" s="55">
        <f>_xll.EQNXTDZ($A$1,$B95,V$1,$B$1)</f>
        <v>107.136</v>
      </c>
      <c r="W95" s="55">
        <f>_xll.EQNXTDZ($A$1,$B95,W$1,$B$1)</f>
        <v>100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0.40200000000000002</v>
      </c>
      <c r="I97" s="55">
        <f>_xll.EQNXTDZ($A$1,$B97,I$1,$B$1)</f>
        <v>0.50600000000000001</v>
      </c>
      <c r="J97" s="55">
        <f>_xll.EQNXTDZ($A$1,$B97,J$1,$B$1)</f>
        <v>13.584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8.2059999999999995</v>
      </c>
      <c r="L98" s="55">
        <f>_xll.EQNXTDZ($A$1,$B98,L$1,$B$1)</f>
        <v>0</v>
      </c>
      <c r="M98" s="55">
        <f>_xll.EQNXTDZ($A$1,$B98,M$1,$B$1)</f>
        <v>25.826000000000001</v>
      </c>
      <c r="N98" s="55">
        <f>_xll.EQNXTDZ($A$1,$B98,N$1,$B$1)</f>
        <v>99.224999999999994</v>
      </c>
      <c r="O98" s="55">
        <f>_xll.EQNXTDZ($A$1,$B98,O$1,$B$1)</f>
        <v>98.231999999999999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25.782</v>
      </c>
      <c r="F104" s="55">
        <f>_xll.EQNXTDZ($A$1,$B104,F$1,$B$1)</f>
        <v>45.722000000000001</v>
      </c>
      <c r="G104" s="55">
        <f>_xll.EQNXTDZ($A$1,$B104,G$1,$B$1)</f>
        <v>59.718000000000004</v>
      </c>
      <c r="H104" s="55">
        <f>_xll.EQNXTDZ($A$1,$B104,H$1,$B$1)</f>
        <v>59.718000000000004</v>
      </c>
      <c r="I104" s="55">
        <f>_xll.EQNXTDZ($A$1,$B104,I$1,$B$1)</f>
        <v>59.718000000000004</v>
      </c>
      <c r="J104" s="55">
        <f>_xll.EQNXTDZ($A$1,$B104,J$1,$B$1)</f>
        <v>59.718000000000004</v>
      </c>
      <c r="K104" s="55">
        <f>_xll.EQNXTDZ($A$1,$B104,K$1,$B$1)</f>
        <v>75.403999999999996</v>
      </c>
      <c r="L104" s="55">
        <f>_xll.EQNXTDZ($A$1,$B104,L$1,$B$1)</f>
        <v>75.403999999999996</v>
      </c>
      <c r="M104" s="55">
        <f>_xll.EQNXTDZ($A$1,$B104,M$1,$B$1)</f>
        <v>101.34699999999999</v>
      </c>
      <c r="N104" s="55">
        <f>_xll.EQNXTDZ($A$1,$B104,N$1,$B$1)</f>
        <v>109.358706</v>
      </c>
      <c r="O104" s="55">
        <f>_xll.EQNXTDZ($A$1,$B104,O$1,$B$1)</f>
        <v>109.358706</v>
      </c>
      <c r="P104" s="55">
        <f>_xll.EQNXTDZ($A$1,$B104,P$1,$B$1)</f>
        <v>109.358706</v>
      </c>
      <c r="Q104" s="55">
        <f>_xll.EQNXTDZ($A$1,$B104,Q$1,$B$1)</f>
        <v>114.29488600000001</v>
      </c>
      <c r="R104" s="55">
        <f>_xll.EQNXTDZ($A$1,$B104,R$1,$B$1)</f>
        <v>114.29488600000001</v>
      </c>
      <c r="S104" s="55">
        <f>_xll.EQNXTDZ($A$1,$B104,S$1,$B$1)</f>
        <v>114.295</v>
      </c>
      <c r="T104" s="55">
        <f>_xll.EQNXTDZ($A$1,$B104,T$1,$B$1)</f>
        <v>114.295</v>
      </c>
      <c r="U104" s="55">
        <f>_xll.EQNXTDZ($A$1,$B104,U$1,$B$1)</f>
        <v>114.295</v>
      </c>
      <c r="V104" s="55">
        <f>_xll.EQNXTDZ($A$1,$B104,V$1,$B$1)</f>
        <v>114.295</v>
      </c>
      <c r="W104" s="55">
        <f>_xll.EQNXTDZ($A$1,$B104,W$1,$B$1)</f>
        <v>114.29</v>
      </c>
      <c r="X104" s="55">
        <f>_xll.EQNXTDZ($A$1,$B104,X$1,$B$1)</f>
        <v>129.97</v>
      </c>
      <c r="Y104" s="55">
        <f>_xll.EQNXTDZ($A$1,$B104,Y$1,$B$1)</f>
        <v>129.97</v>
      </c>
      <c r="Z104" s="55">
        <f>_xll.EQNXTDZ($A$1,$B104,Z$1,$B$1)</f>
        <v>129.97</v>
      </c>
      <c r="AA104" s="55">
        <f>_xll.EQNXTDZ($A$1,$B104,AA$1,$B$1)</f>
        <v>129.53</v>
      </c>
      <c r="AB104" s="55">
        <f>_xll.EQNXTDZ($A$1,$B104,AB$1,$B$1)</f>
        <v>129.34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517.5</v>
      </c>
      <c r="Y106" s="55">
        <f>_xll.EQNXTDZ($A$1,$B106,Y$1,$B$1)</f>
        <v>406</v>
      </c>
      <c r="Z106" s="55">
        <f>_xll.EQNXTDZ($A$1,$B106,Z$1,$B$1)</f>
        <v>321.10000000000002</v>
      </c>
      <c r="AA106" s="55">
        <f>_xll.EQNXTDZ($A$1,$B106,AA$1,$B$1)</f>
        <v>258.25</v>
      </c>
      <c r="AB106" s="55">
        <f>_xll.EQNXTDZ($A$1,$B106,AB$1,$B$1)</f>
        <v>177.9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517.5</v>
      </c>
      <c r="Y107" s="55">
        <f>_xll.EQNXTDZ($A$1,$B107,Y$1,$B$1)</f>
        <v>878.35</v>
      </c>
      <c r="Z107" s="55">
        <f>_xll.EQNXTDZ($A$1,$B107,Z$1,$B$1)</f>
        <v>509.4</v>
      </c>
      <c r="AA107" s="55">
        <f>_xll.EQNXTDZ($A$1,$B107,AA$1,$B$1)</f>
        <v>404</v>
      </c>
      <c r="AB107" s="55">
        <f>_xll.EQNXTDZ($A$1,$B107,AB$1,$B$1)</f>
        <v>291.25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221</v>
      </c>
      <c r="Y108" s="55">
        <f>_xll.EQNXTDZ($A$1,$B108,Y$1,$B$1)</f>
        <v>327</v>
      </c>
      <c r="Z108" s="55">
        <f>_xll.EQNXTDZ($A$1,$B108,Z$1,$B$1)</f>
        <v>285.85000000000002</v>
      </c>
      <c r="AA108" s="55">
        <f>_xll.EQNXTDZ($A$1,$B108,AA$1,$B$1)</f>
        <v>231.55</v>
      </c>
      <c r="AB108" s="55">
        <f>_xll.EQNXTDZ($A$1,$B108,AB$1,$B$1)</f>
        <v>171.2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67259.475000000006</v>
      </c>
      <c r="Y109" s="55">
        <f>_xll.EQNXTDZ($A$1,$B109,Y$1,$B$1)</f>
        <v>52767.82</v>
      </c>
      <c r="Z109" s="55">
        <f>_xll.EQNXTDZ($A$1,$B109,Z$1,$B$1)</f>
        <v>41733.366999999998</v>
      </c>
      <c r="AA109" s="55">
        <f>_xll.EQNXTDZ($A$1,$B109,AA$1,$B$1)</f>
        <v>33451.122499999998</v>
      </c>
      <c r="AB109" s="55">
        <f>_xll.EQNXTDZ($A$1,$B109,AB$1,$B$1)</f>
        <v>23009.585999999999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100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100</v>
      </c>
      <c r="W112" s="56">
        <f>_xll.EQNXTDZ($A$1,$B112,W$5)</f>
        <v>0</v>
      </c>
      <c r="X112" s="56">
        <f>_xll.EQNXTDZ($A$1,$B112,X$5)</f>
        <v>87.94</v>
      </c>
      <c r="Y112" s="56">
        <f>_xll.EQNXTDZ($A$1,$B112,Y$5)</f>
        <v>87.94</v>
      </c>
      <c r="Z112" s="56">
        <f>_xll.EQNXTDZ($A$1,$B112,Z$5)</f>
        <v>87.87</v>
      </c>
      <c r="AA112" s="56">
        <f>_xll.EQNXTDZ($A$1,$B112,AA$5)</f>
        <v>74.36</v>
      </c>
      <c r="AB112" s="56">
        <f>_xll.EQNXTDZ($A$1,$B112,AB$5)</f>
        <v>56.94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207673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79">
        <v>45901</v>
      </c>
      <c r="FG2" s="179">
        <f>+EOMONTH(FF2,1)</f>
        <v>45961</v>
      </c>
      <c r="FH2" s="179">
        <f t="shared" ref="FH2:HH2" si="0">+EOMONTH(FG2,1)</f>
        <v>45991</v>
      </c>
      <c r="FI2" s="179">
        <f t="shared" si="0"/>
        <v>46022</v>
      </c>
      <c r="FJ2" s="179">
        <f t="shared" si="0"/>
        <v>46053</v>
      </c>
      <c r="FK2" s="179">
        <f t="shared" si="0"/>
        <v>46081</v>
      </c>
      <c r="FL2" s="179">
        <f t="shared" si="0"/>
        <v>46112</v>
      </c>
      <c r="FM2" s="179">
        <f t="shared" si="0"/>
        <v>46142</v>
      </c>
      <c r="FN2" s="179">
        <f t="shared" si="0"/>
        <v>46173</v>
      </c>
      <c r="FO2" s="179">
        <f t="shared" si="0"/>
        <v>46203</v>
      </c>
      <c r="FP2" s="179">
        <f t="shared" si="0"/>
        <v>46234</v>
      </c>
      <c r="FQ2" s="179">
        <f t="shared" si="0"/>
        <v>46265</v>
      </c>
      <c r="FR2" s="179">
        <f t="shared" si="0"/>
        <v>46295</v>
      </c>
      <c r="FS2" s="179">
        <f t="shared" si="0"/>
        <v>46326</v>
      </c>
      <c r="FT2" s="179">
        <f t="shared" si="0"/>
        <v>46356</v>
      </c>
      <c r="FU2" s="179">
        <f t="shared" si="0"/>
        <v>46387</v>
      </c>
      <c r="FV2" s="179">
        <f t="shared" si="0"/>
        <v>46418</v>
      </c>
      <c r="FW2" s="179">
        <f t="shared" si="0"/>
        <v>46446</v>
      </c>
      <c r="FX2" s="179">
        <f t="shared" si="0"/>
        <v>46477</v>
      </c>
      <c r="FY2" s="179">
        <f t="shared" si="0"/>
        <v>46507</v>
      </c>
      <c r="FZ2" s="179">
        <f t="shared" si="0"/>
        <v>46538</v>
      </c>
      <c r="GA2" s="179">
        <f t="shared" si="0"/>
        <v>46568</v>
      </c>
      <c r="GB2" s="179">
        <f t="shared" si="0"/>
        <v>46599</v>
      </c>
      <c r="GC2" s="179">
        <f t="shared" si="0"/>
        <v>46630</v>
      </c>
      <c r="GD2" s="179">
        <f t="shared" si="0"/>
        <v>46660</v>
      </c>
      <c r="GE2" s="179">
        <f t="shared" si="0"/>
        <v>46691</v>
      </c>
      <c r="GF2" s="179">
        <f t="shared" si="0"/>
        <v>46721</v>
      </c>
      <c r="GG2" s="179">
        <f t="shared" si="0"/>
        <v>46752</v>
      </c>
      <c r="GH2" s="179">
        <f t="shared" si="0"/>
        <v>46783</v>
      </c>
      <c r="GI2" s="179">
        <f t="shared" si="0"/>
        <v>46812</v>
      </c>
      <c r="GJ2" s="179">
        <f t="shared" si="0"/>
        <v>46843</v>
      </c>
      <c r="GK2" s="179">
        <f t="shared" si="0"/>
        <v>46873</v>
      </c>
      <c r="GL2" s="179">
        <f t="shared" si="0"/>
        <v>46904</v>
      </c>
      <c r="GM2" s="179">
        <f t="shared" si="0"/>
        <v>46934</v>
      </c>
      <c r="GN2" s="179">
        <f t="shared" si="0"/>
        <v>46965</v>
      </c>
      <c r="GO2" s="179">
        <f t="shared" si="0"/>
        <v>46996</v>
      </c>
      <c r="GP2" s="179">
        <f t="shared" si="0"/>
        <v>47026</v>
      </c>
      <c r="GQ2" s="179">
        <f t="shared" si="0"/>
        <v>47057</v>
      </c>
      <c r="GR2" s="179">
        <f t="shared" si="0"/>
        <v>47087</v>
      </c>
      <c r="GS2" s="179">
        <f t="shared" si="0"/>
        <v>47118</v>
      </c>
      <c r="GT2" s="179">
        <f t="shared" si="0"/>
        <v>47149</v>
      </c>
      <c r="GU2" s="179">
        <f t="shared" si="0"/>
        <v>47177</v>
      </c>
      <c r="GV2" s="179">
        <f t="shared" si="0"/>
        <v>47208</v>
      </c>
      <c r="GW2" s="179">
        <f t="shared" si="0"/>
        <v>47238</v>
      </c>
      <c r="GX2" s="179">
        <f t="shared" si="0"/>
        <v>47269</v>
      </c>
      <c r="GY2" s="179">
        <f t="shared" si="0"/>
        <v>47299</v>
      </c>
      <c r="GZ2" s="179">
        <f t="shared" si="0"/>
        <v>47330</v>
      </c>
      <c r="HA2" s="179">
        <f t="shared" si="0"/>
        <v>47361</v>
      </c>
      <c r="HB2" s="179">
        <f t="shared" si="0"/>
        <v>47391</v>
      </c>
      <c r="HC2" s="179">
        <f t="shared" si="0"/>
        <v>47422</v>
      </c>
      <c r="HD2" s="179">
        <f t="shared" si="0"/>
        <v>47452</v>
      </c>
      <c r="HE2" s="179">
        <f t="shared" si="0"/>
        <v>47483</v>
      </c>
      <c r="HF2" s="179">
        <f t="shared" si="0"/>
        <v>47514</v>
      </c>
      <c r="HG2" s="179">
        <f t="shared" si="0"/>
        <v>47542</v>
      </c>
      <c r="HH2" s="179">
        <f t="shared" si="0"/>
        <v>47573</v>
      </c>
      <c r="HI2" s="179"/>
      <c r="HJ2" s="179"/>
      <c r="HK2" s="179"/>
      <c r="HL2" s="179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227</v>
      </c>
      <c r="DP6" cm="1">
        <f t="array" ref="DP6">_xll.EQNXTDZ($A$1,$B6,DP$1)</f>
        <v>381.45</v>
      </c>
      <c r="DQ6" cm="1">
        <f t="array" ref="DQ6">_xll.EQNXTDZ($A$1,$B6,DQ$1)</f>
        <v>526</v>
      </c>
      <c r="DR6" cm="1">
        <f t="array" ref="DR6">_xll.EQNXTDZ($A$1,$B6,DR$1)</f>
        <v>758</v>
      </c>
      <c r="DS6" cm="1">
        <f t="array" ref="DS6">_xll.EQNXTDZ($A$1,$B6,DS$1)</f>
        <v>657</v>
      </c>
      <c r="DT6" cm="1">
        <f t="array" ref="DT6">_xll.EQNXTDZ($A$1,$B6,DT$1)</f>
        <v>571</v>
      </c>
      <c r="DU6" cm="1">
        <f t="array" ref="DU6">_xll.EQNXTDZ($A$1,$B6,DU$1)</f>
        <v>660</v>
      </c>
      <c r="DV6" cm="1">
        <f t="array" ref="DV6">_xll.EQNXTDZ($A$1,$B6,DV$1)</f>
        <v>689</v>
      </c>
      <c r="DW6" cm="1">
        <f t="array" ref="DW6">_xll.EQNXTDZ($A$1,$B6,DW$1)</f>
        <v>754.95</v>
      </c>
      <c r="DX6" cm="1">
        <f t="array" ref="DX6">_xll.EQNXTDZ($A$1,$B6,DX$1)</f>
        <v>678.7</v>
      </c>
      <c r="DY6" cm="1">
        <f t="array" ref="DY6">_xll.EQNXTDZ($A$1,$B6,DY$1)</f>
        <v>636</v>
      </c>
      <c r="DZ6" cm="1">
        <f t="array" ref="DZ6">_xll.EQNXTDZ($A$1,$B6,DZ$1)</f>
        <v>618.45000000000005</v>
      </c>
      <c r="EA6" cm="1">
        <f t="array" ref="EA6">_xll.EQNXTDZ($A$1,$B6,EA$1)</f>
        <v>475</v>
      </c>
      <c r="EB6" cm="1">
        <f t="array" ref="EB6">_xll.EQNXTDZ($A$1,$B6,EB$1)</f>
        <v>369</v>
      </c>
      <c r="EC6" cm="1">
        <f t="array" ref="EC6">_xll.EQNXTDZ($A$1,$B6,EC$1)</f>
        <v>405.85</v>
      </c>
      <c r="ED6" cm="1">
        <f t="array" ref="ED6">_xll.EQNXTDZ($A$1,$B6,ED$1)</f>
        <v>414.5</v>
      </c>
      <c r="EE6" cm="1">
        <f t="array" ref="EE6">_xll.EQNXTDZ($A$1,$B6,EE$1)</f>
        <v>440</v>
      </c>
      <c r="EF6" cm="1">
        <f t="array" ref="EF6">_xll.EQNXTDZ($A$1,$B6,EF$1)</f>
        <v>413.85</v>
      </c>
      <c r="EG6" cm="1">
        <f t="array" ref="EG6">_xll.EQNXTDZ($A$1,$B6,EG$1)</f>
        <v>414</v>
      </c>
      <c r="EH6" cm="1">
        <f t="array" ref="EH6">_xll.EQNXTDZ($A$1,$B6,EH$1)</f>
        <v>354.85</v>
      </c>
      <c r="EI6" cm="1">
        <f t="array" ref="EI6">_xll.EQNXTDZ($A$1,$B6,EI$1)</f>
        <v>338.3</v>
      </c>
      <c r="EJ6" cm="1">
        <f t="array" ref="EJ6">_xll.EQNXTDZ($A$1,$B6,EJ$1)</f>
        <v>327</v>
      </c>
      <c r="EK6" cm="1">
        <f t="array" ref="EK6">_xll.EQNXTDZ($A$1,$B6,EK$1)</f>
        <v>343.8</v>
      </c>
      <c r="EL6" cm="1">
        <f t="array" ref="EL6">_xll.EQNXTDZ($A$1,$B6,EL$1)</f>
        <v>356.75</v>
      </c>
      <c r="EM6" cm="1">
        <f t="array" ref="EM6">_xll.EQNXTDZ($A$1,$B6,EM$1)</f>
        <v>355.2</v>
      </c>
      <c r="EN6" cm="1">
        <f t="array" ref="EN6">_xll.EQNXTDZ($A$1,$B6,EN$1)</f>
        <v>385</v>
      </c>
      <c r="EO6" cm="1">
        <f t="array" ref="EO6">_xll.EQNXTDZ($A$1,$B6,EO$1)</f>
        <v>328</v>
      </c>
      <c r="EP6" cm="1">
        <f t="array" ref="EP6">_xll.EQNXTDZ($A$1,$B6,EP$1)</f>
        <v>361</v>
      </c>
      <c r="EQ6" cm="1">
        <f t="array" ref="EQ6">_xll.EQNXTDZ($A$1,$B6,EQ$1)</f>
        <v>381.95</v>
      </c>
      <c r="ER6" cm="1">
        <f t="array" ref="ER6">_xll.EQNXTDZ($A$1,$B6,ER$1)</f>
        <v>333.15</v>
      </c>
      <c r="ES6" cm="1">
        <f t="array" ref="ES6">_xll.EQNXTDZ($A$1,$B6,ES$1)</f>
        <v>349.9</v>
      </c>
      <c r="ET6" cm="1">
        <f t="array" ref="ET6">_xll.EQNXTDZ($A$1,$B6,ET$1)</f>
        <v>363</v>
      </c>
      <c r="EU6" cm="1">
        <f t="array" ref="EU6">_xll.EQNXTDZ($A$1,$B6,EU$1)</f>
        <v>350</v>
      </c>
      <c r="EV6" cm="1">
        <f t="array" ref="EV6">_xll.EQNXTDZ($A$1,$B6,EV$1)</f>
        <v>348.75</v>
      </c>
      <c r="EW6" cm="1">
        <f t="array" ref="EW6">_xll.EQNXTDZ($A$1,$B6,EW$1)</f>
        <v>315</v>
      </c>
      <c r="EX6" cm="1">
        <f t="array" ref="EX6">_xll.EQNXTDZ($A$1,$B6,EX$1)</f>
        <v>308</v>
      </c>
      <c r="EY6" cm="1">
        <f t="array" ref="EY6">_xll.EQNXTDZ($A$1,$B6,EY$1)</f>
        <v>267.75</v>
      </c>
      <c r="EZ6" cm="1">
        <f t="array" ref="EZ6">_xll.EQNXTDZ($A$1,$B6,EZ$1)</f>
        <v>246.3</v>
      </c>
      <c r="FA6" cm="1">
        <f t="array" ref="FA6">_xll.EQNXTDZ($A$1,$B6,FA$1)</f>
        <v>258</v>
      </c>
      <c r="FB6" cm="1">
        <f t="array" ref="FB6">_xll.EQNXTDZ($A$1,$B6,FB$1)</f>
        <v>267</v>
      </c>
      <c r="FC6" cm="1">
        <f t="array" ref="FC6">_xll.EQNXTDZ($A$1,$B6,FC$1)</f>
        <v>268.95</v>
      </c>
      <c r="FD6" cm="1">
        <f t="array" ref="FD6">_xll.EQNXTDZ($A$1,$B6,FD$1)</f>
        <v>260</v>
      </c>
      <c r="FE6" cm="1">
        <f t="array" ref="FE6">_xll.EQNXTDZ($A$1,$B6,FE$1)</f>
        <v>262.25</v>
      </c>
      <c r="FF6" cm="1">
        <f t="array" ref="FF6">_xll.EQNXTDZ($A$1,$B6,FF$1)</f>
        <v>252.5</v>
      </c>
      <c r="FG6" cm="1">
        <f t="array" ref="FG6">_xll.EQNXTDZ($A$1,$B6,FG$1)</f>
        <v>261.55</v>
      </c>
      <c r="FH6" cm="1">
        <f t="array" ref="FH6">_xll.EQNXTDZ($A$1,$B6,FH$1)</f>
        <v>275</v>
      </c>
      <c r="FI6" cm="1">
        <f t="array" ref="FI6">_xll.EQNXTDZ($A$1,$B6,FI$1)</f>
        <v>260</v>
      </c>
      <c r="FJ6" cm="1">
        <f t="array" ref="FJ6">_xll.EQNXTDZ($A$1,$B6,FJ$1)</f>
        <v>238.1</v>
      </c>
      <c r="FK6" cm="1">
        <f t="array" ref="FK6">_xll.EQNXTDZ($A$1,$B6,FK$1)</f>
        <v>213.97</v>
      </c>
      <c r="FL6" cm="1">
        <f t="array" ref="FL6">_xll.EQNXTDZ($A$1,$B6,FL$1)</f>
        <v>180.2</v>
      </c>
      <c r="FM6" cm="1">
        <f t="array" ref="FM6">_xll.EQNXTDZ($A$1,$B6,FM$1)</f>
        <v>182.99</v>
      </c>
      <c r="FN6" cm="1">
        <f t="array" ref="FN6">_xll.EQNXTDZ($A$1,$B6,FN$1)</f>
        <v>197.99</v>
      </c>
      <c r="FO6" cm="1">
        <f t="array" ref="FO6">_xll.EQNXTDZ($A$1,$B6,FO$1)</f>
        <v>194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419.9</v>
      </c>
      <c r="DP7" s="116" cm="1">
        <f t="array" ref="DP7">_xll.EQNXTDZ($A$1,$B7,DP$1)</f>
        <v>516.9</v>
      </c>
      <c r="DQ7" s="116" cm="1">
        <f t="array" ref="DQ7">_xll.EQNXTDZ($A$1,$B7,DQ$1)</f>
        <v>878</v>
      </c>
      <c r="DR7" s="116" cm="1">
        <f t="array" ref="DR7">_xll.EQNXTDZ($A$1,$B7,DR$1)</f>
        <v>783</v>
      </c>
      <c r="DS7" s="116" cm="1">
        <f t="array" ref="DS7">_xll.EQNXTDZ($A$1,$B7,DS$1)</f>
        <v>690.05</v>
      </c>
      <c r="DT7" s="116" cm="1">
        <f t="array" ref="DT7">_xll.EQNXTDZ($A$1,$B7,DT$1)</f>
        <v>667</v>
      </c>
      <c r="DU7" s="116" cm="1">
        <f t="array" ref="DU7">_xll.EQNXTDZ($A$1,$B7,DU$1)</f>
        <v>761.6</v>
      </c>
      <c r="DV7" s="116" cm="1">
        <f t="array" ref="DV7">_xll.EQNXTDZ($A$1,$B7,DV$1)</f>
        <v>841.7</v>
      </c>
      <c r="DW7" s="116" cm="1">
        <f t="array" ref="DW7">_xll.EQNXTDZ($A$1,$B7,DW$1)</f>
        <v>764.95</v>
      </c>
      <c r="DX7" s="116" cm="1">
        <f t="array" ref="DX7">_xll.EQNXTDZ($A$1,$B7,DX$1)</f>
        <v>730</v>
      </c>
      <c r="DY7" s="116" cm="1">
        <f t="array" ref="DY7">_xll.EQNXTDZ($A$1,$B7,DY$1)</f>
        <v>668.4</v>
      </c>
      <c r="DZ7" s="116" cm="1">
        <f t="array" ref="DZ7">_xll.EQNXTDZ($A$1,$B7,DZ$1)</f>
        <v>623.29999999999995</v>
      </c>
      <c r="EA7" s="116" cm="1">
        <f t="array" ref="EA7">_xll.EQNXTDZ($A$1,$B7,EA$1)</f>
        <v>488.7</v>
      </c>
      <c r="EB7" s="116" cm="1">
        <f t="array" ref="EB7">_xll.EQNXTDZ($A$1,$B7,EB$1)</f>
        <v>484.45</v>
      </c>
      <c r="EC7" s="116" cm="1">
        <f t="array" ref="EC7">_xll.EQNXTDZ($A$1,$B7,EC$1)</f>
        <v>426</v>
      </c>
      <c r="ED7" s="116" cm="1">
        <f t="array" ref="ED7">_xll.EQNXTDZ($A$1,$B7,ED$1)</f>
        <v>509</v>
      </c>
      <c r="EE7" s="116" cm="1">
        <f t="array" ref="EE7">_xll.EQNXTDZ($A$1,$B7,EE$1)</f>
        <v>448.35</v>
      </c>
      <c r="EF7" s="116" cm="1">
        <f t="array" ref="EF7">_xll.EQNXTDZ($A$1,$B7,EF$1)</f>
        <v>422.7</v>
      </c>
      <c r="EG7" s="116" cm="1">
        <f t="array" ref="EG7">_xll.EQNXTDZ($A$1,$B7,EG$1)</f>
        <v>416.45</v>
      </c>
      <c r="EH7" s="116" cm="1">
        <f t="array" ref="EH7">_xll.EQNXTDZ($A$1,$B7,EH$1)</f>
        <v>369.5</v>
      </c>
      <c r="EI7" s="116" cm="1">
        <f t="array" ref="EI7">_xll.EQNXTDZ($A$1,$B7,EI$1)</f>
        <v>364</v>
      </c>
      <c r="EJ7" s="116" cm="1">
        <f t="array" ref="EJ7">_xll.EQNXTDZ($A$1,$B7,EJ$1)</f>
        <v>371.95</v>
      </c>
      <c r="EK7" s="116" cm="1">
        <f t="array" ref="EK7">_xll.EQNXTDZ($A$1,$B7,EK$1)</f>
        <v>410.5</v>
      </c>
      <c r="EL7" s="116" cm="1">
        <f t="array" ref="EL7">_xll.EQNXTDZ($A$1,$B7,EL$1)</f>
        <v>397.8</v>
      </c>
      <c r="EM7" s="116" cm="1">
        <f t="array" ref="EM7">_xll.EQNXTDZ($A$1,$B7,EM$1)</f>
        <v>408.95</v>
      </c>
      <c r="EN7" s="116" cm="1">
        <f t="array" ref="EN7">_xll.EQNXTDZ($A$1,$B7,EN$1)</f>
        <v>389.55</v>
      </c>
      <c r="EO7" s="116" cm="1">
        <f t="array" ref="EO7">_xll.EQNXTDZ($A$1,$B7,EO$1)</f>
        <v>366.7</v>
      </c>
      <c r="EP7" s="116" cm="1">
        <f t="array" ref="EP7">_xll.EQNXTDZ($A$1,$B7,EP$1)</f>
        <v>361.55</v>
      </c>
      <c r="EQ7" s="116" cm="1">
        <f t="array" ref="EQ7">_xll.EQNXTDZ($A$1,$B7,EQ$1)</f>
        <v>383.95</v>
      </c>
      <c r="ER7" s="116" cm="1">
        <f t="array" ref="ER7">_xll.EQNXTDZ($A$1,$B7,ER$1)</f>
        <v>355.8</v>
      </c>
      <c r="ES7" s="116" cm="1">
        <f t="array" ref="ES7">_xll.EQNXTDZ($A$1,$B7,ES$1)</f>
        <v>403.95</v>
      </c>
      <c r="ET7" s="116" cm="1">
        <f t="array" ref="ET7">_xll.EQNXTDZ($A$1,$B7,ET$1)</f>
        <v>380.3</v>
      </c>
      <c r="EU7" s="116" cm="1">
        <f t="array" ref="EU7">_xll.EQNXTDZ($A$1,$B7,EU$1)</f>
        <v>355.75</v>
      </c>
      <c r="EV7" s="116" cm="1">
        <f t="array" ref="EV7">_xll.EQNXTDZ($A$1,$B7,EV$1)</f>
        <v>352.8</v>
      </c>
      <c r="EW7" s="116" cm="1">
        <f t="array" ref="EW7">_xll.EQNXTDZ($A$1,$B7,EW$1)</f>
        <v>337.05</v>
      </c>
      <c r="EX7" s="116" cm="1">
        <f t="array" ref="EX7">_xll.EQNXTDZ($A$1,$B7,EX$1)</f>
        <v>333</v>
      </c>
      <c r="EY7" s="116" cm="1">
        <f t="array" ref="EY7">_xll.EQNXTDZ($A$1,$B7,EY$1)</f>
        <v>274.89999999999998</v>
      </c>
      <c r="EZ7" s="116" cm="1">
        <f t="array" ref="EZ7">_xll.EQNXTDZ($A$1,$B7,EZ$1)</f>
        <v>270.13</v>
      </c>
      <c r="FA7" s="116" cm="1">
        <f t="array" ref="FA7">_xll.EQNXTDZ($A$1,$B7,FA$1)</f>
        <v>291.2</v>
      </c>
      <c r="FB7" s="116" cm="1">
        <f t="array" ref="FB7">_xll.EQNXTDZ($A$1,$B7,FB$1)</f>
        <v>280.45</v>
      </c>
      <c r="FC7" s="116" cm="1">
        <f t="array" ref="FC7">_xll.EQNXTDZ($A$1,$B7,FC$1)</f>
        <v>280.89999999999998</v>
      </c>
      <c r="FD7" s="116" cm="1">
        <f t="array" ref="FD7">_xll.EQNXTDZ($A$1,$B7,FD$1)</f>
        <v>286</v>
      </c>
      <c r="FE7" s="116" cm="1">
        <f t="array" ref="FE7">_xll.EQNXTDZ($A$1,$B7,FE$1)</f>
        <v>265.64999999999998</v>
      </c>
      <c r="FF7" s="116" cm="1">
        <f t="array" ref="FF7">_xll.EQNXTDZ($A$1,$B7,FF$1)</f>
        <v>278.7</v>
      </c>
      <c r="FG7" s="116" cm="1">
        <f t="array" ref="FG7">_xll.EQNXTDZ($A$1,$B7,FG$1)</f>
        <v>276.89999999999998</v>
      </c>
      <c r="FH7" s="116" cm="1">
        <f t="array" ref="FH7">_xll.EQNXTDZ($A$1,$B7,FH$1)</f>
        <v>282.89999999999998</v>
      </c>
      <c r="FI7" s="116" cm="1">
        <f t="array" ref="FI7">_xll.EQNXTDZ($A$1,$B7,FI$1)</f>
        <v>261.5</v>
      </c>
      <c r="FJ7" s="116" cm="1">
        <f t="array" ref="FJ7">_xll.EQNXTDZ($A$1,$B7,FJ$1)</f>
        <v>242.4</v>
      </c>
      <c r="FK7" s="116" cm="1">
        <f t="array" ref="FK7">_xll.EQNXTDZ($A$1,$B7,FK$1)</f>
        <v>220</v>
      </c>
      <c r="FL7" s="116" cm="1">
        <f t="array" ref="FL7">_xll.EQNXTDZ($A$1,$B7,FL$1)</f>
        <v>198.81</v>
      </c>
      <c r="FM7" s="116" cm="1">
        <f t="array" ref="FM7">_xll.EQNXTDZ($A$1,$B7,FM$1)</f>
        <v>211.03</v>
      </c>
      <c r="FN7" s="116" cm="1">
        <f t="array" ref="FN7">_xll.EQNXTDZ($A$1,$B7,FN$1)</f>
        <v>216.01</v>
      </c>
      <c r="FO7" s="116" cm="1">
        <f t="array" ref="FO7">_xll.EQNXTDZ($A$1,$B7,FO$1)</f>
        <v>198.95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516.9</v>
      </c>
      <c r="JC7" s="116">
        <f>+MAX(DQ7:DS7)</f>
        <v>878</v>
      </c>
      <c r="JD7" s="116">
        <f>+MAX(DT7:DV7)</f>
        <v>841.7</v>
      </c>
      <c r="JE7" s="116">
        <f>+MAX(DW7:DY7)</f>
        <v>764.95</v>
      </c>
      <c r="JF7" s="116">
        <f>+MAX(DZ7:EB7)</f>
        <v>623.29999999999995</v>
      </c>
      <c r="JG7" s="116">
        <f>+MAX(EC7:EE7)</f>
        <v>509</v>
      </c>
      <c r="JH7" s="116">
        <f>+MAX(EF7:EH7)</f>
        <v>422.7</v>
      </c>
      <c r="JI7" s="116">
        <f>+MAX(EI7:EK7)</f>
        <v>410.5</v>
      </c>
      <c r="JJ7" s="116">
        <f>+MAX(EL7:EN7)</f>
        <v>408.95</v>
      </c>
      <c r="JK7" s="116">
        <f>MAX(EO7:EQ7)</f>
        <v>383.95</v>
      </c>
      <c r="JL7" s="116">
        <f>MAX(ER7:ET7)</f>
        <v>403.95</v>
      </c>
      <c r="JM7" s="116">
        <f>MAX(EU7:EW7)</f>
        <v>355.75</v>
      </c>
      <c r="JN7" s="116">
        <f>MAX(EX7:EZ7)</f>
        <v>333</v>
      </c>
      <c r="JO7" s="116">
        <f>MAX(FA7:FC7)</f>
        <v>291.2</v>
      </c>
      <c r="JP7" s="116">
        <f>MAX(FD7:FF7)</f>
        <v>286</v>
      </c>
      <c r="JQ7" s="116">
        <f>MAX(FG7:FI7)</f>
        <v>282.89999999999998</v>
      </c>
      <c r="JR7" s="116">
        <f>MAX(FJ7:FL7)</f>
        <v>242.4</v>
      </c>
      <c r="JS7" s="116">
        <f>MAX(FM7:FO7)</f>
        <v>216.01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227</v>
      </c>
      <c r="DP8" s="116" cm="1">
        <f t="array" ref="DP8">_xll.EQNXTDZ($A$1,$B8,DP$1)</f>
        <v>337.25</v>
      </c>
      <c r="DQ8" s="116" cm="1">
        <f t="array" ref="DQ8">_xll.EQNXTDZ($A$1,$B8,DQ$1)</f>
        <v>521</v>
      </c>
      <c r="DR8" s="116" cm="1">
        <f t="array" ref="DR8">_xll.EQNXTDZ($A$1,$B8,DR$1)</f>
        <v>540.20000000000005</v>
      </c>
      <c r="DS8" s="116" cm="1">
        <f t="array" ref="DS8">_xll.EQNXTDZ($A$1,$B8,DS$1)</f>
        <v>532.65</v>
      </c>
      <c r="DT8" s="116" cm="1">
        <f t="array" ref="DT8">_xll.EQNXTDZ($A$1,$B8,DT$1)</f>
        <v>558.1</v>
      </c>
      <c r="DU8" s="116" cm="1">
        <f t="array" ref="DU8">_xll.EQNXTDZ($A$1,$B8,DU$1)</f>
        <v>652</v>
      </c>
      <c r="DV8" s="116" cm="1">
        <f t="array" ref="DV8">_xll.EQNXTDZ($A$1,$B8,DV$1)</f>
        <v>665</v>
      </c>
      <c r="DW8" s="116" cm="1">
        <f t="array" ref="DW8">_xll.EQNXTDZ($A$1,$B8,DW$1)</f>
        <v>630.20000000000005</v>
      </c>
      <c r="DX8" s="116" cm="1">
        <f t="array" ref="DX8">_xll.EQNXTDZ($A$1,$B8,DX$1)</f>
        <v>615.04999999999995</v>
      </c>
      <c r="DY8" s="116" cm="1">
        <f t="array" ref="DY8">_xll.EQNXTDZ($A$1,$B8,DY$1)</f>
        <v>492.55</v>
      </c>
      <c r="DZ8" s="116" cm="1">
        <f t="array" ref="DZ8">_xll.EQNXTDZ($A$1,$B8,DZ$1)</f>
        <v>466.45</v>
      </c>
      <c r="EA8" s="116" cm="1">
        <f t="array" ref="EA8">_xll.EQNXTDZ($A$1,$B8,EA$1)</f>
        <v>327.25</v>
      </c>
      <c r="EB8" s="116" cm="1">
        <f t="array" ref="EB8">_xll.EQNXTDZ($A$1,$B8,EB$1)</f>
        <v>357.4</v>
      </c>
      <c r="EC8" s="116" cm="1">
        <f t="array" ref="EC8">_xll.EQNXTDZ($A$1,$B8,EC$1)</f>
        <v>391.2</v>
      </c>
      <c r="ED8" s="116" cm="1">
        <f t="array" ref="ED8">_xll.EQNXTDZ($A$1,$B8,ED$1)</f>
        <v>366</v>
      </c>
      <c r="EE8" s="116" cm="1">
        <f t="array" ref="EE8">_xll.EQNXTDZ($A$1,$B8,EE$1)</f>
        <v>394</v>
      </c>
      <c r="EF8" s="116" cm="1">
        <f t="array" ref="EF8">_xll.EQNXTDZ($A$1,$B8,EF$1)</f>
        <v>396.3</v>
      </c>
      <c r="EG8" s="116" cm="1">
        <f t="array" ref="EG8">_xll.EQNXTDZ($A$1,$B8,EG$1)</f>
        <v>358</v>
      </c>
      <c r="EH8" s="116" cm="1">
        <f t="array" ref="EH8">_xll.EQNXTDZ($A$1,$B8,EH$1)</f>
        <v>337</v>
      </c>
      <c r="EI8" s="116" cm="1">
        <f t="array" ref="EI8">_xll.EQNXTDZ($A$1,$B8,EI$1)</f>
        <v>303.10000000000002</v>
      </c>
      <c r="EJ8" s="116" cm="1">
        <f t="array" ref="EJ8">_xll.EQNXTDZ($A$1,$B8,EJ$1)</f>
        <v>285.8</v>
      </c>
      <c r="EK8" s="116" cm="1">
        <f t="array" ref="EK8">_xll.EQNXTDZ($A$1,$B8,EK$1)</f>
        <v>336.1</v>
      </c>
      <c r="EL8" s="116" cm="1">
        <f t="array" ref="EL8">_xll.EQNXTDZ($A$1,$B8,EL$1)</f>
        <v>346.55</v>
      </c>
      <c r="EM8" s="116" cm="1">
        <f t="array" ref="EM8">_xll.EQNXTDZ($A$1,$B8,EM$1)</f>
        <v>328.8</v>
      </c>
      <c r="EN8" s="116" cm="1">
        <f t="array" ref="EN8">_xll.EQNXTDZ($A$1,$B8,EN$1)</f>
        <v>320.10000000000002</v>
      </c>
      <c r="EO8" s="116" cm="1">
        <f t="array" ref="EO8">_xll.EQNXTDZ($A$1,$B8,EO$1)</f>
        <v>326.14999999999998</v>
      </c>
      <c r="EP8" s="116" cm="1">
        <f t="array" ref="EP8">_xll.EQNXTDZ($A$1,$B8,EP$1)</f>
        <v>327.3</v>
      </c>
      <c r="EQ8" s="116" cm="1">
        <f t="array" ref="EQ8">_xll.EQNXTDZ($A$1,$B8,EQ$1)</f>
        <v>316</v>
      </c>
      <c r="ER8" s="116" cm="1">
        <f t="array" ref="ER8">_xll.EQNXTDZ($A$1,$B8,ER$1)</f>
        <v>315.5</v>
      </c>
      <c r="ES8" s="116" cm="1">
        <f t="array" ref="ES8">_xll.EQNXTDZ($A$1,$B8,ES$1)</f>
        <v>342.5</v>
      </c>
      <c r="ET8" s="116" cm="1">
        <f t="array" ref="ET8">_xll.EQNXTDZ($A$1,$B8,ET$1)</f>
        <v>340.65</v>
      </c>
      <c r="EU8" s="116" cm="1">
        <f t="array" ref="EU8">_xll.EQNXTDZ($A$1,$B8,EU$1)</f>
        <v>310.2</v>
      </c>
      <c r="EV8" s="116" cm="1">
        <f t="array" ref="EV8">_xll.EQNXTDZ($A$1,$B8,EV$1)</f>
        <v>279</v>
      </c>
      <c r="EW8" s="116" cm="1">
        <f t="array" ref="EW8">_xll.EQNXTDZ($A$1,$B8,EW$1)</f>
        <v>290</v>
      </c>
      <c r="EX8" s="116" cm="1">
        <f t="array" ref="EX8">_xll.EQNXTDZ($A$1,$B8,EX$1)</f>
        <v>240.95</v>
      </c>
      <c r="EY8" s="116" cm="1">
        <f t="array" ref="EY8">_xll.EQNXTDZ($A$1,$B8,EY$1)</f>
        <v>231.55</v>
      </c>
      <c r="EZ8" s="116" cm="1">
        <f t="array" ref="EZ8">_xll.EQNXTDZ($A$1,$B8,EZ$1)</f>
        <v>233.94</v>
      </c>
      <c r="FA8" s="116" cm="1">
        <f t="array" ref="FA8">_xll.EQNXTDZ($A$1,$B8,FA$1)</f>
        <v>246.15</v>
      </c>
      <c r="FB8" s="116" cm="1">
        <f t="array" ref="FB8">_xll.EQNXTDZ($A$1,$B8,FB$1)</f>
        <v>248</v>
      </c>
      <c r="FC8" s="116" cm="1">
        <f t="array" ref="FC8">_xll.EQNXTDZ($A$1,$B8,FC$1)</f>
        <v>253.75</v>
      </c>
      <c r="FD8" s="116" cm="1">
        <f t="array" ref="FD8">_xll.EQNXTDZ($A$1,$B8,FD$1)</f>
        <v>255</v>
      </c>
      <c r="FE8" s="116" cm="1">
        <f t="array" ref="FE8">_xll.EQNXTDZ($A$1,$B8,FE$1)</f>
        <v>247.15</v>
      </c>
      <c r="FF8" s="116" cm="1">
        <f t="array" ref="FF8">_xll.EQNXTDZ($A$1,$B8,FF$1)</f>
        <v>249.75</v>
      </c>
      <c r="FG8" s="116" cm="1">
        <f t="array" ref="FG8">_xll.EQNXTDZ($A$1,$B8,FG$1)</f>
        <v>257.85000000000002</v>
      </c>
      <c r="FH8" s="116" cm="1">
        <f t="array" ref="FH8">_xll.EQNXTDZ($A$1,$B8,FH$1)</f>
        <v>258.5</v>
      </c>
      <c r="FI8" s="116" cm="1">
        <f t="array" ref="FI8">_xll.EQNXTDZ($A$1,$B8,FI$1)</f>
        <v>235</v>
      </c>
      <c r="FJ8" s="116" cm="1">
        <f t="array" ref="FJ8">_xll.EQNXTDZ($A$1,$B8,FJ$1)</f>
        <v>204.12</v>
      </c>
      <c r="FK8" s="116" cm="1">
        <f t="array" ref="FK8">_xll.EQNXTDZ($A$1,$B8,FK$1)</f>
        <v>188.08</v>
      </c>
      <c r="FL8" s="116" cm="1">
        <f t="array" ref="FL8">_xll.EQNXTDZ($A$1,$B8,FL$1)</f>
        <v>171.19</v>
      </c>
      <c r="FM8" s="116" cm="1">
        <f t="array" ref="FM8">_xll.EQNXTDZ($A$1,$B8,FM$1)</f>
        <v>175.6</v>
      </c>
      <c r="FN8" s="116" cm="1">
        <f t="array" ref="FN8">_xll.EQNXTDZ($A$1,$B8,FN$1)</f>
        <v>191.1</v>
      </c>
      <c r="FO8" s="116" cm="1">
        <f t="array" ref="FO8">_xll.EQNXTDZ($A$1,$B8,FO$1)</f>
        <v>184.56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521</v>
      </c>
      <c r="JD8" s="116">
        <f>+MIN(DT8:DV8)</f>
        <v>558.1</v>
      </c>
      <c r="JE8" s="116">
        <f>+MIN(DW8:DY8)</f>
        <v>492.55</v>
      </c>
      <c r="JF8" s="116">
        <f>+MIN(DZ8:EB8)</f>
        <v>327.25</v>
      </c>
      <c r="JG8" s="116">
        <f>+MIN(EC8:EE8)</f>
        <v>366</v>
      </c>
      <c r="JH8" s="116">
        <f>+MIN(EF8:EH8)</f>
        <v>337</v>
      </c>
      <c r="JI8" s="116">
        <f>+MIN(EI8:EK8)</f>
        <v>285.8</v>
      </c>
      <c r="JJ8" s="116">
        <f>+MIN(EL8:EN8)</f>
        <v>320.10000000000002</v>
      </c>
      <c r="JK8" s="116">
        <f>MIN(EO8:EQ8)</f>
        <v>316</v>
      </c>
      <c r="JL8" s="116">
        <f>MIN(ER8:ET8)</f>
        <v>315.5</v>
      </c>
      <c r="JM8" s="116">
        <f>MIN(EU8:EW8)</f>
        <v>279</v>
      </c>
      <c r="JN8" s="116">
        <f>MIN(EX8:EZ8)</f>
        <v>231.55</v>
      </c>
      <c r="JO8" s="116">
        <f>MIN(FA8:FC8)</f>
        <v>246.15</v>
      </c>
      <c r="JP8" s="116">
        <f>MIN(FD8:FF8)</f>
        <v>247.15</v>
      </c>
      <c r="JQ8" s="116">
        <f>MIN(FG8:FI8)</f>
        <v>235</v>
      </c>
      <c r="JR8" s="116">
        <f>MIN(FJ8:FL8)</f>
        <v>171.19</v>
      </c>
      <c r="JS8" s="116">
        <f>MIN(FM8:FO8)</f>
        <v>175.6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379.35</v>
      </c>
      <c r="DP9" s="116" cm="1">
        <f t="array" ref="DP9">_xll.EQNXTDZ($A$1,$B9,DP$1)</f>
        <v>516.9</v>
      </c>
      <c r="DQ9" s="116" cm="1">
        <f t="array" ref="DQ9">_xll.EQNXTDZ($A$1,$B9,DQ$1)</f>
        <v>780.4</v>
      </c>
      <c r="DR9" s="116" cm="1">
        <f t="array" ref="DR9">_xll.EQNXTDZ($A$1,$B9,DR$1)</f>
        <v>668.55</v>
      </c>
      <c r="DS9" s="116" cm="1">
        <f t="array" ref="DS9">_xll.EQNXTDZ($A$1,$B9,DS$1)</f>
        <v>574.15</v>
      </c>
      <c r="DT9" s="116" cm="1">
        <f t="array" ref="DT9">_xll.EQNXTDZ($A$1,$B9,DT$1)</f>
        <v>658.8</v>
      </c>
      <c r="DU9" s="116" cm="1">
        <f t="array" ref="DU9">_xll.EQNXTDZ($A$1,$B9,DU$1)</f>
        <v>692.15</v>
      </c>
      <c r="DV9" s="116" cm="1">
        <f t="array" ref="DV9">_xll.EQNXTDZ($A$1,$B9,DV$1)</f>
        <v>755.5</v>
      </c>
      <c r="DW9" s="116" cm="1">
        <f t="array" ref="DW9">_xll.EQNXTDZ($A$1,$B9,DW$1)</f>
        <v>672.4</v>
      </c>
      <c r="DX9" s="116" cm="1">
        <f t="array" ref="DX9">_xll.EQNXTDZ($A$1,$B9,DX$1)</f>
        <v>630.35</v>
      </c>
      <c r="DY9" s="116" cm="1">
        <f t="array" ref="DY9">_xll.EQNXTDZ($A$1,$B9,DY$1)</f>
        <v>617.65</v>
      </c>
      <c r="DZ9" s="116" cm="1">
        <f t="array" ref="DZ9">_xll.EQNXTDZ($A$1,$B9,DZ$1)</f>
        <v>466.45</v>
      </c>
      <c r="EA9" s="116" cm="1">
        <f t="array" ref="EA9">_xll.EQNXTDZ($A$1,$B9,EA$1)</f>
        <v>361.65</v>
      </c>
      <c r="EB9" s="116" cm="1">
        <f t="array" ref="EB9">_xll.EQNXTDZ($A$1,$B9,EB$1)</f>
        <v>405.85</v>
      </c>
      <c r="EC9" s="116" cm="1">
        <f t="array" ref="EC9">_xll.EQNXTDZ($A$1,$B9,EC$1)</f>
        <v>411.85</v>
      </c>
      <c r="ED9" s="116" cm="1">
        <f t="array" ref="ED9">_xll.EQNXTDZ($A$1,$B9,ED$1)</f>
        <v>436.1</v>
      </c>
      <c r="EE9" s="116" cm="1">
        <f t="array" ref="EE9">_xll.EQNXTDZ($A$1,$B9,EE$1)</f>
        <v>409.95</v>
      </c>
      <c r="EF9" s="116" cm="1">
        <f t="array" ref="EF9">_xll.EQNXTDZ($A$1,$B9,EF$1)</f>
        <v>411.9</v>
      </c>
      <c r="EG9" s="116" cm="1">
        <f t="array" ref="EG9">_xll.EQNXTDZ($A$1,$B9,EG$1)</f>
        <v>359.5</v>
      </c>
      <c r="EH9" s="116" cm="1">
        <f t="array" ref="EH9">_xll.EQNXTDZ($A$1,$B9,EH$1)</f>
        <v>337.4</v>
      </c>
      <c r="EI9" s="116" cm="1">
        <f t="array" ref="EI9">_xll.EQNXTDZ($A$1,$B9,EI$1)</f>
        <v>326.60000000000002</v>
      </c>
      <c r="EJ9" s="116" cm="1">
        <f t="array" ref="EJ9">_xll.EQNXTDZ($A$1,$B9,EJ$1)</f>
        <v>340.65</v>
      </c>
      <c r="EK9" s="116" cm="1">
        <f t="array" ref="EK9">_xll.EQNXTDZ($A$1,$B9,EK$1)</f>
        <v>354.9</v>
      </c>
      <c r="EL9" s="116" cm="1">
        <f t="array" ref="EL9">_xll.EQNXTDZ($A$1,$B9,EL$1)</f>
        <v>355.45</v>
      </c>
      <c r="EM9" s="116" cm="1">
        <f t="array" ref="EM9">_xll.EQNXTDZ($A$1,$B9,EM$1)</f>
        <v>381.65</v>
      </c>
      <c r="EN9" s="116" cm="1">
        <f t="array" ref="EN9">_xll.EQNXTDZ($A$1,$B9,EN$1)</f>
        <v>321.39999999999998</v>
      </c>
      <c r="EO9" s="116" cm="1">
        <f t="array" ref="EO9">_xll.EQNXTDZ($A$1,$B9,EO$1)</f>
        <v>357.6</v>
      </c>
      <c r="EP9" s="116" cm="1">
        <f t="array" ref="EP9">_xll.EQNXTDZ($A$1,$B9,EP$1)</f>
        <v>355.75</v>
      </c>
      <c r="EQ9" s="116" cm="1">
        <f t="array" ref="EQ9">_xll.EQNXTDZ($A$1,$B9,EQ$1)</f>
        <v>332.1</v>
      </c>
      <c r="ER9" s="116" cm="1">
        <f t="array" ref="ER9">_xll.EQNXTDZ($A$1,$B9,ER$1)</f>
        <v>348.15</v>
      </c>
      <c r="ES9" s="116" cm="1">
        <f t="array" ref="ES9">_xll.EQNXTDZ($A$1,$B9,ES$1)</f>
        <v>362</v>
      </c>
      <c r="ET9" s="116" cm="1">
        <f t="array" ref="ET9">_xll.EQNXTDZ($A$1,$B9,ET$1)</f>
        <v>348.3</v>
      </c>
      <c r="EU9" s="116" cm="1">
        <f t="array" ref="EU9">_xll.EQNXTDZ($A$1,$B9,EU$1)</f>
        <v>346.1</v>
      </c>
      <c r="EV9" s="116" cm="1">
        <f t="array" ref="EV9">_xll.EQNXTDZ($A$1,$B9,EV$1)</f>
        <v>313.64999999999998</v>
      </c>
      <c r="EW9" s="116" cm="1">
        <f t="array" ref="EW9">_xll.EQNXTDZ($A$1,$B9,EW$1)</f>
        <v>308.05</v>
      </c>
      <c r="EX9" s="116" cm="1">
        <f t="array" ref="EX9">_xll.EQNXTDZ($A$1,$B9,EX$1)</f>
        <v>266.64999999999998</v>
      </c>
      <c r="EY9" s="116" cm="1">
        <f t="array" ref="EY9">_xll.EQNXTDZ($A$1,$B9,EY$1)</f>
        <v>246.15</v>
      </c>
      <c r="EZ9" s="116" cm="1">
        <f t="array" ref="EZ9">_xll.EQNXTDZ($A$1,$B9,EZ$1)</f>
        <v>258.32</v>
      </c>
      <c r="FA9" s="116" cm="1">
        <f t="array" ref="FA9">_xll.EQNXTDZ($A$1,$B9,FA$1)</f>
        <v>267.05</v>
      </c>
      <c r="FB9" s="116" cm="1">
        <f t="array" ref="FB9">_xll.EQNXTDZ($A$1,$B9,FB$1)</f>
        <v>275</v>
      </c>
      <c r="FC9" s="116" cm="1">
        <f t="array" ref="FC9">_xll.EQNXTDZ($A$1,$B9,FC$1)</f>
        <v>259.95</v>
      </c>
      <c r="FD9" s="116" cm="1">
        <f t="array" ref="FD9">_xll.EQNXTDZ($A$1,$B9,FD$1)</f>
        <v>262.2</v>
      </c>
      <c r="FE9" s="116" cm="1">
        <f t="array" ref="FE9">_xll.EQNXTDZ($A$1,$B9,FE$1)</f>
        <v>251.5</v>
      </c>
      <c r="FF9" s="116" cm="1">
        <f t="array" ref="FF9">_xll.EQNXTDZ($A$1,$B9,FF$1)</f>
        <v>261.55</v>
      </c>
      <c r="FG9" s="116" cm="1">
        <f t="array" ref="FG9">_xll.EQNXTDZ($A$1,$B9,FG$1)</f>
        <v>274.85000000000002</v>
      </c>
      <c r="FH9" s="116" cm="1">
        <f t="array" ref="FH9">_xll.EQNXTDZ($A$1,$B9,FH$1)</f>
        <v>259</v>
      </c>
      <c r="FI9" s="116" cm="1">
        <f t="array" ref="FI9">_xll.EQNXTDZ($A$1,$B9,FI$1)</f>
        <v>237.3</v>
      </c>
      <c r="FJ9" s="116" cm="1">
        <f t="array" ref="FJ9">_xll.EQNXTDZ($A$1,$B9,FJ$1)</f>
        <v>213.97</v>
      </c>
      <c r="FK9" s="116" cm="1">
        <f t="array" ref="FK9">_xll.EQNXTDZ($A$1,$B9,FK$1)</f>
        <v>189.1</v>
      </c>
      <c r="FL9" s="116" cm="1">
        <f t="array" ref="FL9">_xll.EQNXTDZ($A$1,$B9,FL$1)</f>
        <v>177.77</v>
      </c>
      <c r="FM9" s="116" cm="1">
        <f t="array" ref="FM9">_xll.EQNXTDZ($A$1,$B9,FM$1)</f>
        <v>196.37</v>
      </c>
      <c r="FN9" s="116" cm="1">
        <f t="array" ref="FN9">_xll.EQNXTDZ($A$1,$B9,FN$1)</f>
        <v>192.3</v>
      </c>
      <c r="FO9" s="116" cm="1">
        <f t="array" ref="FO9">_xll.EQNXTDZ($A$1,$B9,FO$1)</f>
        <v>197.27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516.9</v>
      </c>
      <c r="JC9" s="116">
        <f>+DS9</f>
        <v>574.15</v>
      </c>
      <c r="JD9" s="116">
        <f>+DV9</f>
        <v>755.5</v>
      </c>
      <c r="JE9" s="116">
        <f>+DY9</f>
        <v>617.65</v>
      </c>
      <c r="JF9" s="116">
        <f>+EB9</f>
        <v>405.85</v>
      </c>
      <c r="JG9" s="116">
        <f>+EE9</f>
        <v>409.95</v>
      </c>
      <c r="JH9" s="116">
        <f>+EH9</f>
        <v>337.4</v>
      </c>
      <c r="JI9" s="116">
        <f>+EK9</f>
        <v>354.9</v>
      </c>
      <c r="JJ9" s="116">
        <f>+EN9</f>
        <v>321.39999999999998</v>
      </c>
      <c r="JK9" s="116">
        <f>EQ9</f>
        <v>332.1</v>
      </c>
      <c r="JL9" s="116">
        <f>ET9</f>
        <v>348.3</v>
      </c>
      <c r="JM9" s="116">
        <f>EW9</f>
        <v>308.05</v>
      </c>
      <c r="JN9" s="116">
        <f>EZ9</f>
        <v>258.32</v>
      </c>
      <c r="JO9" s="116">
        <f>FC9</f>
        <v>259.95</v>
      </c>
      <c r="JP9" s="116">
        <f>FF9</f>
        <v>261.55</v>
      </c>
      <c r="JQ9" s="116">
        <f>FI9</f>
        <v>237.3</v>
      </c>
      <c r="JR9" s="116">
        <f>FL9</f>
        <v>177.77</v>
      </c>
      <c r="JS9" s="116">
        <f>FO9</f>
        <v>197.27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221</v>
      </c>
      <c r="DP13" cm="1">
        <f t="array" ref="DP13">_xll.EQNXTDZ($A$1,$B13,DP$1)</f>
        <v>379.4</v>
      </c>
      <c r="DQ13" cm="1">
        <f t="array" ref="DQ13">_xll.EQNXTDZ($A$1,$B13,DQ$1)</f>
        <v>527.70000000000005</v>
      </c>
      <c r="DR13" cm="1">
        <f t="array" ref="DR13">_xll.EQNXTDZ($A$1,$B13,DR$1)</f>
        <v>755.5</v>
      </c>
      <c r="DS13" cm="1">
        <f t="array" ref="DS13">_xll.EQNXTDZ($A$1,$B13,DS$1)</f>
        <v>646.79999999999995</v>
      </c>
      <c r="DT13" cm="1">
        <f t="array" ref="DT13">_xll.EQNXTDZ($A$1,$B13,DT$1)</f>
        <v>570</v>
      </c>
      <c r="DU13" cm="1">
        <f t="array" ref="DU13">_xll.EQNXTDZ($A$1,$B13,DU$1)</f>
        <v>659</v>
      </c>
      <c r="DV13" cm="1">
        <f t="array" ref="DV13">_xll.EQNXTDZ($A$1,$B13,DV$1)</f>
        <v>690</v>
      </c>
      <c r="DW13" cm="1">
        <f t="array" ref="DW13">_xll.EQNXTDZ($A$1,$B13,DW$1)</f>
        <v>755</v>
      </c>
      <c r="DX13" cm="1">
        <f t="array" ref="DX13">_xll.EQNXTDZ($A$1,$B13,DX$1)</f>
        <v>677</v>
      </c>
      <c r="DY13" cm="1">
        <f t="array" ref="DY13">_xll.EQNXTDZ($A$1,$B13,DY$1)</f>
        <v>634</v>
      </c>
      <c r="DZ13" cm="1">
        <f t="array" ref="DZ13">_xll.EQNXTDZ($A$1,$B13,DZ$1)</f>
        <v>618.9</v>
      </c>
      <c r="EA13" cm="1">
        <f t="array" ref="EA13">_xll.EQNXTDZ($A$1,$B13,EA$1)</f>
        <v>470</v>
      </c>
      <c r="EB13" cm="1">
        <f t="array" ref="EB13">_xll.EQNXTDZ($A$1,$B13,EB$1)</f>
        <v>369</v>
      </c>
      <c r="EC13" cm="1">
        <f t="array" ref="EC13">_xll.EQNXTDZ($A$1,$B13,EC$1)</f>
        <v>408</v>
      </c>
      <c r="ED13" cm="1">
        <f t="array" ref="ED13">_xll.EQNXTDZ($A$1,$B13,ED$1)</f>
        <v>414</v>
      </c>
      <c r="EE13" cm="1">
        <f t="array" ref="EE13">_xll.EQNXTDZ($A$1,$B13,EE$1)</f>
        <v>440</v>
      </c>
      <c r="EF13" cm="1">
        <f t="array" ref="EF13">_xll.EQNXTDZ($A$1,$B13,EF$1)</f>
        <v>413.2</v>
      </c>
      <c r="EG13" cm="1">
        <f t="array" ref="EG13">_xll.EQNXTDZ($A$1,$B13,EG$1)</f>
        <v>414.65</v>
      </c>
      <c r="EH13" cm="1">
        <f t="array" ref="EH13">_xll.EQNXTDZ($A$1,$B13,EH$1)</f>
        <v>352.6</v>
      </c>
      <c r="EI13" cm="1">
        <f t="array" ref="EI13">_xll.EQNXTDZ($A$1,$B13,EI$1)</f>
        <v>337.85</v>
      </c>
      <c r="EJ13" cm="1">
        <f t="array" ref="EJ13">_xll.EQNXTDZ($A$1,$B13,EJ$1)</f>
        <v>327</v>
      </c>
      <c r="EK13" cm="1">
        <f t="array" ref="EK13">_xll.EQNXTDZ($A$1,$B13,EK$1)</f>
        <v>343.55</v>
      </c>
      <c r="EL13" cm="1">
        <f t="array" ref="EL13">_xll.EQNXTDZ($A$1,$B13,EL$1)</f>
        <v>356.25</v>
      </c>
      <c r="EM13" cm="1">
        <f t="array" ref="EM13">_xll.EQNXTDZ($A$1,$B13,EM$1)</f>
        <v>355.65</v>
      </c>
      <c r="EN13" cm="1">
        <f t="array" ref="EN13">_xll.EQNXTDZ($A$1,$B13,EN$1)</f>
        <v>385</v>
      </c>
      <c r="EO13" cm="1">
        <f t="array" ref="EO13">_xll.EQNXTDZ($A$1,$B13,EO$1)</f>
        <v>327.60000000000002</v>
      </c>
      <c r="EP13" cm="1">
        <f t="array" ref="EP13">_xll.EQNXTDZ($A$1,$B13,EP$1)</f>
        <v>361.4</v>
      </c>
      <c r="EQ13" cm="1">
        <f t="array" ref="EQ13">_xll.EQNXTDZ($A$1,$B13,EQ$1)</f>
        <v>380.55</v>
      </c>
      <c r="ER13" cm="1">
        <f t="array" ref="ER13">_xll.EQNXTDZ($A$1,$B13,ER$1)</f>
        <v>332.8</v>
      </c>
      <c r="ES13" cm="1">
        <f t="array" ref="ES13">_xll.EQNXTDZ($A$1,$B13,ES$1)</f>
        <v>350</v>
      </c>
      <c r="ET13" cm="1">
        <f t="array" ref="ET13">_xll.EQNXTDZ($A$1,$B13,ET$1)</f>
        <v>362.4</v>
      </c>
      <c r="EU13" cm="1">
        <f t="array" ref="EU13">_xll.EQNXTDZ($A$1,$B13,EU$1)</f>
        <v>350.35</v>
      </c>
      <c r="EV13" cm="1">
        <f t="array" ref="EV13">_xll.EQNXTDZ($A$1,$B13,EV$1)</f>
        <v>346.65</v>
      </c>
      <c r="EW13" cm="1">
        <f t="array" ref="EW13">_xll.EQNXTDZ($A$1,$B13,EW$1)</f>
        <v>313.7</v>
      </c>
      <c r="EX13" cm="1">
        <f t="array" ref="EX13">_xll.EQNXTDZ($A$1,$B13,EX$1)</f>
        <v>307.64999999999998</v>
      </c>
      <c r="EY13" cm="1">
        <f t="array" ref="EY13">_xll.EQNXTDZ($A$1,$B13,EY$1)</f>
        <v>268.85000000000002</v>
      </c>
      <c r="EZ13" cm="1">
        <f t="array" ref="EZ13">_xll.EQNXTDZ($A$1,$B13,EZ$1)</f>
        <v>246</v>
      </c>
      <c r="FA13" cm="1">
        <f t="array" ref="FA13">_xll.EQNXTDZ($A$1,$B13,FA$1)</f>
        <v>257.55</v>
      </c>
      <c r="FB13" cm="1">
        <f t="array" ref="FB13">_xll.EQNXTDZ($A$1,$B13,FB$1)</f>
        <v>265.55</v>
      </c>
      <c r="FC13" cm="1">
        <f t="array" ref="FC13">_xll.EQNXTDZ($A$1,$B13,FC$1)</f>
        <v>268.8</v>
      </c>
      <c r="FD13" cm="1">
        <f t="array" ref="FD13">_xll.EQNXTDZ($A$1,$B13,FD$1)</f>
        <v>260.35000000000002</v>
      </c>
      <c r="FE13" cm="1">
        <f t="array" ref="FE13">_xll.EQNXTDZ($A$1,$B13,FE$1)</f>
        <v>263.95</v>
      </c>
      <c r="FF13" cm="1">
        <f t="array" ref="FF13">_xll.EQNXTDZ($A$1,$B13,FF$1)</f>
        <v>251.05</v>
      </c>
      <c r="FG13" cm="1">
        <f t="array" ref="FG13">_xll.EQNXTDZ($A$1,$B13,FG$1)</f>
        <v>261.5</v>
      </c>
      <c r="FH13" cm="1">
        <f t="array" ref="FH13">_xll.EQNXTDZ($A$1,$B13,FH$1)</f>
        <v>275</v>
      </c>
      <c r="FI13" cm="1">
        <f t="array" ref="FI13">_xll.EQNXTDZ($A$1,$B13,FI$1)</f>
        <v>259.64999999999998</v>
      </c>
      <c r="FJ13" cm="1">
        <f t="array" ref="FJ13">_xll.EQNXTDZ($A$1,$B13,FJ$1)</f>
        <v>237.8</v>
      </c>
      <c r="FK13" cm="1">
        <f t="array" ref="FK13">_xll.EQNXTDZ($A$1,$B13,FK$1)</f>
        <v>213.9</v>
      </c>
      <c r="FL13" cm="1">
        <f t="array" ref="FL13">_xll.EQNXTDZ($A$1,$B13,FL$1)</f>
        <v>180.15</v>
      </c>
      <c r="FM13" cm="1">
        <f t="array" ref="FM13">_xll.EQNXTDZ($A$1,$B13,FM$1)</f>
        <v>180.35</v>
      </c>
      <c r="FN13" cm="1">
        <f t="array" ref="FN13">_xll.EQNXTDZ($A$1,$B13,FN$1)</f>
        <v>197.8</v>
      </c>
      <c r="FO13" cm="1">
        <f t="array" ref="FO13">_xll.EQNXTDZ($A$1,$B13,FO$1)</f>
        <v>193.55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419.9</v>
      </c>
      <c r="DP14" s="116" cm="1">
        <f t="array" ref="DP14">_xll.EQNXTDZ($A$1,$B14,DP$1)</f>
        <v>517.5</v>
      </c>
      <c r="DQ14" s="116" cm="1">
        <f t="array" ref="DQ14">_xll.EQNXTDZ($A$1,$B14,DQ$1)</f>
        <v>878.35</v>
      </c>
      <c r="DR14" s="116" cm="1">
        <f t="array" ref="DR14">_xll.EQNXTDZ($A$1,$B14,DR$1)</f>
        <v>782.9</v>
      </c>
      <c r="DS14" s="116" cm="1">
        <f t="array" ref="DS14">_xll.EQNXTDZ($A$1,$B14,DS$1)</f>
        <v>694</v>
      </c>
      <c r="DT14" s="116" cm="1">
        <f t="array" ref="DT14">_xll.EQNXTDZ($A$1,$B14,DT$1)</f>
        <v>672</v>
      </c>
      <c r="DU14" s="116" cm="1">
        <f t="array" ref="DU14">_xll.EQNXTDZ($A$1,$B14,DU$1)</f>
        <v>761.55</v>
      </c>
      <c r="DV14" s="116" cm="1">
        <f t="array" ref="DV14">_xll.EQNXTDZ($A$1,$B14,DV$1)</f>
        <v>841.9</v>
      </c>
      <c r="DW14" s="116" cm="1">
        <f t="array" ref="DW14">_xll.EQNXTDZ($A$1,$B14,DW$1)</f>
        <v>765</v>
      </c>
      <c r="DX14" s="116" cm="1">
        <f t="array" ref="DX14">_xll.EQNXTDZ($A$1,$B14,DX$1)</f>
        <v>730</v>
      </c>
      <c r="DY14" s="116" cm="1">
        <f t="array" ref="DY14">_xll.EQNXTDZ($A$1,$B14,DY$1)</f>
        <v>668</v>
      </c>
      <c r="DZ14" s="116" cm="1">
        <f t="array" ref="DZ14">_xll.EQNXTDZ($A$1,$B14,DZ$1)</f>
        <v>622.70000000000005</v>
      </c>
      <c r="EA14" s="116" cm="1">
        <f t="array" ref="EA14">_xll.EQNXTDZ($A$1,$B14,EA$1)</f>
        <v>488.95</v>
      </c>
      <c r="EB14" s="116" cm="1">
        <f t="array" ref="EB14">_xll.EQNXTDZ($A$1,$B14,EB$1)</f>
        <v>484.2</v>
      </c>
      <c r="EC14" s="116" cm="1">
        <f t="array" ref="EC14">_xll.EQNXTDZ($A$1,$B14,EC$1)</f>
        <v>425.8</v>
      </c>
      <c r="ED14" s="116" cm="1">
        <f t="array" ref="ED14">_xll.EQNXTDZ($A$1,$B14,ED$1)</f>
        <v>509.4</v>
      </c>
      <c r="EE14" s="116" cm="1">
        <f t="array" ref="EE14">_xll.EQNXTDZ($A$1,$B14,EE$1)</f>
        <v>448.2</v>
      </c>
      <c r="EF14" s="116" cm="1">
        <f t="array" ref="EF14">_xll.EQNXTDZ($A$1,$B14,EF$1)</f>
        <v>422.55</v>
      </c>
      <c r="EG14" s="116" cm="1">
        <f t="array" ref="EG14">_xll.EQNXTDZ($A$1,$B14,EG$1)</f>
        <v>416.1</v>
      </c>
      <c r="EH14" s="116" cm="1">
        <f t="array" ref="EH14">_xll.EQNXTDZ($A$1,$B14,EH$1)</f>
        <v>369.7</v>
      </c>
      <c r="EI14" s="116" cm="1">
        <f t="array" ref="EI14">_xll.EQNXTDZ($A$1,$B14,EI$1)</f>
        <v>363.75</v>
      </c>
      <c r="EJ14" s="116" cm="1">
        <f t="array" ref="EJ14">_xll.EQNXTDZ($A$1,$B14,EJ$1)</f>
        <v>372</v>
      </c>
      <c r="EK14" s="116" cm="1">
        <f t="array" ref="EK14">_xll.EQNXTDZ($A$1,$B14,EK$1)</f>
        <v>410</v>
      </c>
      <c r="EL14" s="116" cm="1">
        <f t="array" ref="EL14">_xll.EQNXTDZ($A$1,$B14,EL$1)</f>
        <v>397.75</v>
      </c>
      <c r="EM14" s="116" cm="1">
        <f t="array" ref="EM14">_xll.EQNXTDZ($A$1,$B14,EM$1)</f>
        <v>408.7</v>
      </c>
      <c r="EN14" s="116" cm="1">
        <f t="array" ref="EN14">_xll.EQNXTDZ($A$1,$B14,EN$1)</f>
        <v>389</v>
      </c>
      <c r="EO14" s="116" cm="1">
        <f t="array" ref="EO14">_xll.EQNXTDZ($A$1,$B14,EO$1)</f>
        <v>366.9</v>
      </c>
      <c r="EP14" s="116" cm="1">
        <f t="array" ref="EP14">_xll.EQNXTDZ($A$1,$B14,EP$1)</f>
        <v>361.6</v>
      </c>
      <c r="EQ14" s="116" cm="1">
        <f t="array" ref="EQ14">_xll.EQNXTDZ($A$1,$B14,EQ$1)</f>
        <v>382</v>
      </c>
      <c r="ER14" s="116" cm="1">
        <f t="array" ref="ER14">_xll.EQNXTDZ($A$1,$B14,ER$1)</f>
        <v>355.75</v>
      </c>
      <c r="ES14" s="116" cm="1">
        <f t="array" ref="ES14">_xll.EQNXTDZ($A$1,$B14,ES$1)</f>
        <v>404</v>
      </c>
      <c r="ET14" s="116" cm="1">
        <f t="array" ref="ET14">_xll.EQNXTDZ($A$1,$B14,ET$1)</f>
        <v>380</v>
      </c>
      <c r="EU14" s="116" cm="1">
        <f t="array" ref="EU14">_xll.EQNXTDZ($A$1,$B14,EU$1)</f>
        <v>355.6</v>
      </c>
      <c r="EV14" s="116" cm="1">
        <f t="array" ref="EV14">_xll.EQNXTDZ($A$1,$B14,EV$1)</f>
        <v>349.7</v>
      </c>
      <c r="EW14" s="116" cm="1">
        <f t="array" ref="EW14">_xll.EQNXTDZ($A$1,$B14,EW$1)</f>
        <v>337</v>
      </c>
      <c r="EX14" s="116" cm="1">
        <f t="array" ref="EX14">_xll.EQNXTDZ($A$1,$B14,EX$1)</f>
        <v>332.6</v>
      </c>
      <c r="EY14" s="116" cm="1">
        <f t="array" ref="EY14">_xll.EQNXTDZ($A$1,$B14,EY$1)</f>
        <v>274.95</v>
      </c>
      <c r="EZ14" s="116" cm="1">
        <f t="array" ref="EZ14">_xll.EQNXTDZ($A$1,$B14,EZ$1)</f>
        <v>271.64999999999998</v>
      </c>
      <c r="FA14" s="116" cm="1">
        <f t="array" ref="FA14">_xll.EQNXTDZ($A$1,$B14,FA$1)</f>
        <v>291.25</v>
      </c>
      <c r="FB14" s="116" cm="1">
        <f t="array" ref="FB14">_xll.EQNXTDZ($A$1,$B14,FB$1)</f>
        <v>280.60000000000002</v>
      </c>
      <c r="FC14" s="116" cm="1">
        <f t="array" ref="FC14">_xll.EQNXTDZ($A$1,$B14,FC$1)</f>
        <v>281.25</v>
      </c>
      <c r="FD14" s="116" cm="1">
        <f t="array" ref="FD14">_xll.EQNXTDZ($A$1,$B14,FD$1)</f>
        <v>285.39999999999998</v>
      </c>
      <c r="FE14" s="116" cm="1">
        <f t="array" ref="FE14">_xll.EQNXTDZ($A$1,$B14,FE$1)</f>
        <v>265.60000000000002</v>
      </c>
      <c r="FF14" s="116" cm="1">
        <f t="array" ref="FF14">_xll.EQNXTDZ($A$1,$B14,FF$1)</f>
        <v>278.5</v>
      </c>
      <c r="FG14" s="116" cm="1">
        <f t="array" ref="FG14">_xll.EQNXTDZ($A$1,$B14,FG$1)</f>
        <v>276.75</v>
      </c>
      <c r="FH14" s="116" cm="1">
        <f t="array" ref="FH14">_xll.EQNXTDZ($A$1,$B14,FH$1)</f>
        <v>282.89999999999998</v>
      </c>
      <c r="FI14" s="116" cm="1">
        <f t="array" ref="FI14">_xll.EQNXTDZ($A$1,$B14,FI$1)</f>
        <v>261</v>
      </c>
      <c r="FJ14" s="116" cm="1">
        <f t="array" ref="FJ14">_xll.EQNXTDZ($A$1,$B14,FJ$1)</f>
        <v>242.2</v>
      </c>
      <c r="FK14" s="116" cm="1">
        <f t="array" ref="FK14">_xll.EQNXTDZ($A$1,$B14,FK$1)</f>
        <v>219.95</v>
      </c>
      <c r="FL14" s="116" cm="1">
        <f t="array" ref="FL14">_xll.EQNXTDZ($A$1,$B14,FL$1)</f>
        <v>198.75</v>
      </c>
      <c r="FM14" s="116" cm="1">
        <f t="array" ref="FM14">_xll.EQNXTDZ($A$1,$B14,FM$1)</f>
        <v>211.4</v>
      </c>
      <c r="FN14" s="116" cm="1">
        <f t="array" ref="FN14">_xll.EQNXTDZ($A$1,$B14,FN$1)</f>
        <v>216</v>
      </c>
      <c r="FO14" s="116" cm="1">
        <f t="array" ref="FO14">_xll.EQNXTDZ($A$1,$B14,FO$1)</f>
        <v>198.9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517.5</v>
      </c>
      <c r="JC14" s="116">
        <f>+MAX(DQ14:DS14)</f>
        <v>878.35</v>
      </c>
      <c r="JD14" s="116">
        <f>+MAX(DT14:DV14)</f>
        <v>841.9</v>
      </c>
      <c r="JE14" s="116">
        <f>+MAX(DW14:DY14)</f>
        <v>765</v>
      </c>
      <c r="JF14" s="116">
        <f>+MAX(DZ14:EB14)</f>
        <v>622.70000000000005</v>
      </c>
      <c r="JG14" s="116">
        <f>+MAX(EC14:EE14)</f>
        <v>509.4</v>
      </c>
      <c r="JH14" s="116">
        <f>+MAX(EF14:EH14)</f>
        <v>422.55</v>
      </c>
      <c r="JI14" s="116">
        <f>+MAX(EI14:EK14)</f>
        <v>410</v>
      </c>
      <c r="JJ14" s="116">
        <f>+MAX(EL14:EN14)</f>
        <v>408.7</v>
      </c>
      <c r="JK14" s="116">
        <f>MAX(EO14:EQ14)</f>
        <v>382</v>
      </c>
      <c r="JL14" s="116">
        <f>MAX(ER14:ET14)</f>
        <v>404</v>
      </c>
      <c r="JM14" s="116">
        <f>MAX(EU14:EW14)</f>
        <v>355.6</v>
      </c>
      <c r="JN14" s="116">
        <f>MAX(EX14:EZ14)</f>
        <v>332.6</v>
      </c>
      <c r="JO14" s="116">
        <f>MAX(FA14:FC14)</f>
        <v>291.25</v>
      </c>
      <c r="JP14" s="116">
        <f>MAX(FD14:FF14)</f>
        <v>285.39999999999998</v>
      </c>
      <c r="JQ14" s="116">
        <f>MAX(FG14:FI14)</f>
        <v>282.89999999999998</v>
      </c>
      <c r="JR14" s="116">
        <f>MAX(FJ14:FL14)</f>
        <v>242.2</v>
      </c>
      <c r="JS14" s="116">
        <f>MAX(FM14:FO14)</f>
        <v>216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221</v>
      </c>
      <c r="DP15" s="116" cm="1">
        <f t="array" ref="DP15">_xll.EQNXTDZ($A$1,$B15,DP$1)</f>
        <v>337.45</v>
      </c>
      <c r="DQ15" s="116" cm="1">
        <f t="array" ref="DQ15">_xll.EQNXTDZ($A$1,$B15,DQ$1)</f>
        <v>520.65</v>
      </c>
      <c r="DR15" s="116" cm="1">
        <f t="array" ref="DR15">_xll.EQNXTDZ($A$1,$B15,DR$1)</f>
        <v>542.70000000000005</v>
      </c>
      <c r="DS15" s="116" cm="1">
        <f t="array" ref="DS15">_xll.EQNXTDZ($A$1,$B15,DS$1)</f>
        <v>534</v>
      </c>
      <c r="DT15" s="116" cm="1">
        <f t="array" ref="DT15">_xll.EQNXTDZ($A$1,$B15,DT$1)</f>
        <v>553.35</v>
      </c>
      <c r="DU15" s="116" cm="1">
        <f t="array" ref="DU15">_xll.EQNXTDZ($A$1,$B15,DU$1)</f>
        <v>652.75</v>
      </c>
      <c r="DV15" s="116" cm="1">
        <f t="array" ref="DV15">_xll.EQNXTDZ($A$1,$B15,DV$1)</f>
        <v>665.1</v>
      </c>
      <c r="DW15" s="116" cm="1">
        <f t="array" ref="DW15">_xll.EQNXTDZ($A$1,$B15,DW$1)</f>
        <v>630.54999999999995</v>
      </c>
      <c r="DX15" s="116" cm="1">
        <f t="array" ref="DX15">_xll.EQNXTDZ($A$1,$B15,DX$1)</f>
        <v>616</v>
      </c>
      <c r="DY15" s="116" cm="1">
        <f t="array" ref="DY15">_xll.EQNXTDZ($A$1,$B15,DY$1)</f>
        <v>492.3</v>
      </c>
      <c r="DZ15" s="116" cm="1">
        <f t="array" ref="DZ15">_xll.EQNXTDZ($A$1,$B15,DZ$1)</f>
        <v>466.9</v>
      </c>
      <c r="EA15" s="116" cm="1">
        <f t="array" ref="EA15">_xll.EQNXTDZ($A$1,$B15,EA$1)</f>
        <v>327</v>
      </c>
      <c r="EB15" s="116" cm="1">
        <f t="array" ref="EB15">_xll.EQNXTDZ($A$1,$B15,EB$1)</f>
        <v>356.25</v>
      </c>
      <c r="EC15" s="116" cm="1">
        <f t="array" ref="EC15">_xll.EQNXTDZ($A$1,$B15,EC$1)</f>
        <v>391</v>
      </c>
      <c r="ED15" s="116" cm="1">
        <f t="array" ref="ED15">_xll.EQNXTDZ($A$1,$B15,ED$1)</f>
        <v>366</v>
      </c>
      <c r="EE15" s="116" cm="1">
        <f t="array" ref="EE15">_xll.EQNXTDZ($A$1,$B15,EE$1)</f>
        <v>393.65</v>
      </c>
      <c r="EF15" s="116" cm="1">
        <f t="array" ref="EF15">_xll.EQNXTDZ($A$1,$B15,EF$1)</f>
        <v>396.7</v>
      </c>
      <c r="EG15" s="116" cm="1">
        <f t="array" ref="EG15">_xll.EQNXTDZ($A$1,$B15,EG$1)</f>
        <v>358</v>
      </c>
      <c r="EH15" s="116" cm="1">
        <f t="array" ref="EH15">_xll.EQNXTDZ($A$1,$B15,EH$1)</f>
        <v>337</v>
      </c>
      <c r="EI15" s="116" cm="1">
        <f t="array" ref="EI15">_xll.EQNXTDZ($A$1,$B15,EI$1)</f>
        <v>303.45</v>
      </c>
      <c r="EJ15" s="116" cm="1">
        <f t="array" ref="EJ15">_xll.EQNXTDZ($A$1,$B15,EJ$1)</f>
        <v>285.85000000000002</v>
      </c>
      <c r="EK15" s="116" cm="1">
        <f t="array" ref="EK15">_xll.EQNXTDZ($A$1,$B15,EK$1)</f>
        <v>334.7</v>
      </c>
      <c r="EL15" s="116" cm="1">
        <f t="array" ref="EL15">_xll.EQNXTDZ($A$1,$B15,EL$1)</f>
        <v>346.55</v>
      </c>
      <c r="EM15" s="116" cm="1">
        <f t="array" ref="EM15">_xll.EQNXTDZ($A$1,$B15,EM$1)</f>
        <v>328.9</v>
      </c>
      <c r="EN15" s="116" cm="1">
        <f t="array" ref="EN15">_xll.EQNXTDZ($A$1,$B15,EN$1)</f>
        <v>320</v>
      </c>
      <c r="EO15" s="116" cm="1">
        <f t="array" ref="EO15">_xll.EQNXTDZ($A$1,$B15,EO$1)</f>
        <v>327.5</v>
      </c>
      <c r="EP15" s="116" cm="1">
        <f t="array" ref="EP15">_xll.EQNXTDZ($A$1,$B15,EP$1)</f>
        <v>327.25</v>
      </c>
      <c r="EQ15" s="116" cm="1">
        <f t="array" ref="EQ15">_xll.EQNXTDZ($A$1,$B15,EQ$1)</f>
        <v>315.60000000000002</v>
      </c>
      <c r="ER15" s="116" cm="1">
        <f t="array" ref="ER15">_xll.EQNXTDZ($A$1,$B15,ER$1)</f>
        <v>315.60000000000002</v>
      </c>
      <c r="ES15" s="116" cm="1">
        <f t="array" ref="ES15">_xll.EQNXTDZ($A$1,$B15,ES$1)</f>
        <v>342.55</v>
      </c>
      <c r="ET15" s="116" cm="1">
        <f t="array" ref="ET15">_xll.EQNXTDZ($A$1,$B15,ET$1)</f>
        <v>340.7</v>
      </c>
      <c r="EU15" s="116" cm="1">
        <f t="array" ref="EU15">_xll.EQNXTDZ($A$1,$B15,EU$1)</f>
        <v>310.05</v>
      </c>
      <c r="EV15" s="116" cm="1">
        <f t="array" ref="EV15">_xll.EQNXTDZ($A$1,$B15,EV$1)</f>
        <v>279.2</v>
      </c>
      <c r="EW15" s="116" cm="1">
        <f t="array" ref="EW15">_xll.EQNXTDZ($A$1,$B15,EW$1)</f>
        <v>290</v>
      </c>
      <c r="EX15" s="116" cm="1">
        <f t="array" ref="EX15">_xll.EQNXTDZ($A$1,$B15,EX$1)</f>
        <v>241.05</v>
      </c>
      <c r="EY15" s="116" cm="1">
        <f t="array" ref="EY15">_xll.EQNXTDZ($A$1,$B15,EY$1)</f>
        <v>231.55</v>
      </c>
      <c r="EZ15" s="116" cm="1">
        <f t="array" ref="EZ15">_xll.EQNXTDZ($A$1,$B15,EZ$1)</f>
        <v>233.75</v>
      </c>
      <c r="FA15" s="116" cm="1">
        <f t="array" ref="FA15">_xll.EQNXTDZ($A$1,$B15,FA$1)</f>
        <v>245.05</v>
      </c>
      <c r="FB15" s="116" cm="1">
        <f t="array" ref="FB15">_xll.EQNXTDZ($A$1,$B15,FB$1)</f>
        <v>248.1</v>
      </c>
      <c r="FC15" s="116" cm="1">
        <f t="array" ref="FC15">_xll.EQNXTDZ($A$1,$B15,FC$1)</f>
        <v>253.8</v>
      </c>
      <c r="FD15" s="116" cm="1">
        <f t="array" ref="FD15">_xll.EQNXTDZ($A$1,$B15,FD$1)</f>
        <v>255.1</v>
      </c>
      <c r="FE15" s="116" cm="1">
        <f t="array" ref="FE15">_xll.EQNXTDZ($A$1,$B15,FE$1)</f>
        <v>247.25</v>
      </c>
      <c r="FF15" s="116" cm="1">
        <f t="array" ref="FF15">_xll.EQNXTDZ($A$1,$B15,FF$1)</f>
        <v>249.6</v>
      </c>
      <c r="FG15" s="116" cm="1">
        <f t="array" ref="FG15">_xll.EQNXTDZ($A$1,$B15,FG$1)</f>
        <v>257.75</v>
      </c>
      <c r="FH15" s="116" cm="1">
        <f t="array" ref="FH15">_xll.EQNXTDZ($A$1,$B15,FH$1)</f>
        <v>258.75</v>
      </c>
      <c r="FI15" s="116" cm="1">
        <f t="array" ref="FI15">_xll.EQNXTDZ($A$1,$B15,FI$1)</f>
        <v>235</v>
      </c>
      <c r="FJ15" s="116" cm="1">
        <f t="array" ref="FJ15">_xll.EQNXTDZ($A$1,$B15,FJ$1)</f>
        <v>204</v>
      </c>
      <c r="FK15" s="116" cm="1">
        <f t="array" ref="FK15">_xll.EQNXTDZ($A$1,$B15,FK$1)</f>
        <v>188.1</v>
      </c>
      <c r="FL15" s="116" cm="1">
        <f t="array" ref="FL15">_xll.EQNXTDZ($A$1,$B15,FL$1)</f>
        <v>171.2</v>
      </c>
      <c r="FM15" s="116" cm="1">
        <f t="array" ref="FM15">_xll.EQNXTDZ($A$1,$B15,FM$1)</f>
        <v>175.85</v>
      </c>
      <c r="FN15" s="116" cm="1">
        <f t="array" ref="FN15">_xll.EQNXTDZ($A$1,$B15,FN$1)</f>
        <v>191.2</v>
      </c>
      <c r="FO15" s="116" cm="1">
        <f t="array" ref="FO15">_xll.EQNXTDZ($A$1,$B15,FO$1)</f>
        <v>184.55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520.65</v>
      </c>
      <c r="JD15" s="116">
        <f>+MIN(DT15:DV15)</f>
        <v>553.35</v>
      </c>
      <c r="JE15" s="116">
        <f>+MIN(DW15:DY15)</f>
        <v>492.3</v>
      </c>
      <c r="JF15" s="116">
        <f>+MIN(DZ15:EB15)</f>
        <v>327</v>
      </c>
      <c r="JG15" s="116">
        <f>+MIN(EC15:EE15)</f>
        <v>366</v>
      </c>
      <c r="JH15" s="116">
        <f>+MIN(EF15:EH15)</f>
        <v>337</v>
      </c>
      <c r="JI15" s="116">
        <f>+MIN(EI15:EK15)</f>
        <v>285.85000000000002</v>
      </c>
      <c r="JJ15" s="116">
        <f>+MIN(EL15:EN15)</f>
        <v>320</v>
      </c>
      <c r="JK15" s="116">
        <f>MIN(EO15:EQ15)</f>
        <v>315.60000000000002</v>
      </c>
      <c r="JL15" s="116">
        <f>MIN(ER15:ET15)</f>
        <v>315.60000000000002</v>
      </c>
      <c r="JM15" s="116">
        <f>MIN(EU15:EW15)</f>
        <v>279.2</v>
      </c>
      <c r="JN15" s="116">
        <f>MIN(EX15:EZ15)</f>
        <v>231.55</v>
      </c>
      <c r="JO15" s="116">
        <f>MIN(FA15:FC15)</f>
        <v>245.05</v>
      </c>
      <c r="JP15" s="116">
        <f>MIN(FD15:FF15)</f>
        <v>247.25</v>
      </c>
      <c r="JQ15" s="116">
        <f>MIN(FG15:FI15)</f>
        <v>235</v>
      </c>
      <c r="JR15" s="116">
        <f>MIN(FJ15:FL15)</f>
        <v>171.2</v>
      </c>
      <c r="JS15" s="116">
        <f>MIN(FM15:FO15)</f>
        <v>175.85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379.4</v>
      </c>
      <c r="DP16" s="116" cm="1">
        <f t="array" ref="DP16">_xll.EQNXTDZ($A$1,$B16,DP$1)</f>
        <v>517.5</v>
      </c>
      <c r="DQ16" s="116" cm="1">
        <f t="array" ref="DQ16">_xll.EQNXTDZ($A$1,$B16,DQ$1)</f>
        <v>780.25</v>
      </c>
      <c r="DR16" s="116" cm="1">
        <f t="array" ref="DR16">_xll.EQNXTDZ($A$1,$B16,DR$1)</f>
        <v>670.3</v>
      </c>
      <c r="DS16" s="116" cm="1">
        <f t="array" ref="DS16">_xll.EQNXTDZ($A$1,$B16,DS$1)</f>
        <v>574.95000000000005</v>
      </c>
      <c r="DT16" s="116" cm="1">
        <f t="array" ref="DT16">_xll.EQNXTDZ($A$1,$B16,DT$1)</f>
        <v>658.65</v>
      </c>
      <c r="DU16" s="116" cm="1">
        <f t="array" ref="DU16">_xll.EQNXTDZ($A$1,$B16,DU$1)</f>
        <v>691.95</v>
      </c>
      <c r="DV16" s="116" cm="1">
        <f t="array" ref="DV16">_xll.EQNXTDZ($A$1,$B16,DV$1)</f>
        <v>755.3</v>
      </c>
      <c r="DW16" s="116" cm="1">
        <f t="array" ref="DW16">_xll.EQNXTDZ($A$1,$B16,DW$1)</f>
        <v>672.15</v>
      </c>
      <c r="DX16" s="116" cm="1">
        <f t="array" ref="DX16">_xll.EQNXTDZ($A$1,$B16,DX$1)</f>
        <v>630.35</v>
      </c>
      <c r="DY16" s="116" cm="1">
        <f t="array" ref="DY16">_xll.EQNXTDZ($A$1,$B16,DY$1)</f>
        <v>617.6</v>
      </c>
      <c r="DZ16" s="116" cm="1">
        <f t="array" ref="DZ16">_xll.EQNXTDZ($A$1,$B16,DZ$1)</f>
        <v>466.9</v>
      </c>
      <c r="EA16" s="116" cm="1">
        <f t="array" ref="EA16">_xll.EQNXTDZ($A$1,$B16,EA$1)</f>
        <v>361.4</v>
      </c>
      <c r="EB16" s="116" cm="1">
        <f t="array" ref="EB16">_xll.EQNXTDZ($A$1,$B16,EB$1)</f>
        <v>406</v>
      </c>
      <c r="EC16" s="116" cm="1">
        <f t="array" ref="EC16">_xll.EQNXTDZ($A$1,$B16,EC$1)</f>
        <v>411.9</v>
      </c>
      <c r="ED16" s="116" cm="1">
        <f t="array" ref="ED16">_xll.EQNXTDZ($A$1,$B16,ED$1)</f>
        <v>435.6</v>
      </c>
      <c r="EE16" s="116" cm="1">
        <f t="array" ref="EE16">_xll.EQNXTDZ($A$1,$B16,EE$1)</f>
        <v>410.2</v>
      </c>
      <c r="EF16" s="116" cm="1">
        <f t="array" ref="EF16">_xll.EQNXTDZ($A$1,$B16,EF$1)</f>
        <v>411.85</v>
      </c>
      <c r="EG16" s="116" cm="1">
        <f t="array" ref="EG16">_xll.EQNXTDZ($A$1,$B16,EG$1)</f>
        <v>359.5</v>
      </c>
      <c r="EH16" s="116" cm="1">
        <f t="array" ref="EH16">_xll.EQNXTDZ($A$1,$B16,EH$1)</f>
        <v>337.55</v>
      </c>
      <c r="EI16" s="116" cm="1">
        <f t="array" ref="EI16">_xll.EQNXTDZ($A$1,$B16,EI$1)</f>
        <v>327.2</v>
      </c>
      <c r="EJ16" s="116" cm="1">
        <f t="array" ref="EJ16">_xll.EQNXTDZ($A$1,$B16,EJ$1)</f>
        <v>340.6</v>
      </c>
      <c r="EK16" s="116" cm="1">
        <f t="array" ref="EK16">_xll.EQNXTDZ($A$1,$B16,EK$1)</f>
        <v>354.9</v>
      </c>
      <c r="EL16" s="116" cm="1">
        <f t="array" ref="EL16">_xll.EQNXTDZ($A$1,$B16,EL$1)</f>
        <v>355.65</v>
      </c>
      <c r="EM16" s="116" cm="1">
        <f t="array" ref="EM16">_xll.EQNXTDZ($A$1,$B16,EM$1)</f>
        <v>381.75</v>
      </c>
      <c r="EN16" s="116" cm="1">
        <f t="array" ref="EN16">_xll.EQNXTDZ($A$1,$B16,EN$1)</f>
        <v>321.10000000000002</v>
      </c>
      <c r="EO16" s="116" cm="1">
        <f t="array" ref="EO16">_xll.EQNXTDZ($A$1,$B16,EO$1)</f>
        <v>357.45</v>
      </c>
      <c r="EP16" s="116" cm="1">
        <f t="array" ref="EP16">_xll.EQNXTDZ($A$1,$B16,EP$1)</f>
        <v>355.85</v>
      </c>
      <c r="EQ16" s="116" cm="1">
        <f t="array" ref="EQ16">_xll.EQNXTDZ($A$1,$B16,EQ$1)</f>
        <v>331.55</v>
      </c>
      <c r="ER16" s="116" cm="1">
        <f t="array" ref="ER16">_xll.EQNXTDZ($A$1,$B16,ER$1)</f>
        <v>347.95</v>
      </c>
      <c r="ES16" s="116" cm="1">
        <f t="array" ref="ES16">_xll.EQNXTDZ($A$1,$B16,ES$1)</f>
        <v>362.05</v>
      </c>
      <c r="ET16" s="116" cm="1">
        <f t="array" ref="ET16">_xll.EQNXTDZ($A$1,$B16,ET$1)</f>
        <v>348.4</v>
      </c>
      <c r="EU16" s="116" cm="1">
        <f t="array" ref="EU16">_xll.EQNXTDZ($A$1,$B16,EU$1)</f>
        <v>346.1</v>
      </c>
      <c r="EV16" s="116" cm="1">
        <f t="array" ref="EV16">_xll.EQNXTDZ($A$1,$B16,EV$1)</f>
        <v>313.64999999999998</v>
      </c>
      <c r="EW16" s="116" cm="1">
        <f t="array" ref="EW16">_xll.EQNXTDZ($A$1,$B16,EW$1)</f>
        <v>308.25</v>
      </c>
      <c r="EX16" s="116" cm="1">
        <f t="array" ref="EX16">_xll.EQNXTDZ($A$1,$B16,EX$1)</f>
        <v>266.45</v>
      </c>
      <c r="EY16" s="116" cm="1">
        <f t="array" ref="EY16">_xll.EQNXTDZ($A$1,$B16,EY$1)</f>
        <v>246.45</v>
      </c>
      <c r="EZ16" s="116" cm="1">
        <f t="array" ref="EZ16">_xll.EQNXTDZ($A$1,$B16,EZ$1)</f>
        <v>258.25</v>
      </c>
      <c r="FA16" s="116" cm="1">
        <f t="array" ref="FA16">_xll.EQNXTDZ($A$1,$B16,FA$1)</f>
        <v>267</v>
      </c>
      <c r="FB16" s="116" cm="1">
        <f t="array" ref="FB16">_xll.EQNXTDZ($A$1,$B16,FB$1)</f>
        <v>274.5</v>
      </c>
      <c r="FC16" s="116" cm="1">
        <f t="array" ref="FC16">_xll.EQNXTDZ($A$1,$B16,FC$1)</f>
        <v>259.60000000000002</v>
      </c>
      <c r="FD16" s="116" cm="1">
        <f t="array" ref="FD16">_xll.EQNXTDZ($A$1,$B16,FD$1)</f>
        <v>262.5</v>
      </c>
      <c r="FE16" s="116" cm="1">
        <f t="array" ref="FE16">_xll.EQNXTDZ($A$1,$B16,FE$1)</f>
        <v>251.75</v>
      </c>
      <c r="FF16" s="116" cm="1">
        <f t="array" ref="FF16">_xll.EQNXTDZ($A$1,$B16,FF$1)</f>
        <v>261.55</v>
      </c>
      <c r="FG16" s="116" cm="1">
        <f t="array" ref="FG16">_xll.EQNXTDZ($A$1,$B16,FG$1)</f>
        <v>274.60000000000002</v>
      </c>
      <c r="FH16" s="116" cm="1">
        <f t="array" ref="FH16">_xll.EQNXTDZ($A$1,$B16,FH$1)</f>
        <v>259.14999999999998</v>
      </c>
      <c r="FI16" s="116" cm="1">
        <f t="array" ref="FI16">_xll.EQNXTDZ($A$1,$B16,FI$1)</f>
        <v>237.5</v>
      </c>
      <c r="FJ16" s="116" cm="1">
        <f t="array" ref="FJ16">_xll.EQNXTDZ($A$1,$B16,FJ$1)</f>
        <v>213.9</v>
      </c>
      <c r="FK16" s="116" cm="1">
        <f t="array" ref="FK16">_xll.EQNXTDZ($A$1,$B16,FK$1)</f>
        <v>189</v>
      </c>
      <c r="FL16" s="116" cm="1">
        <f t="array" ref="FL16">_xll.EQNXTDZ($A$1,$B16,FL$1)</f>
        <v>177.9</v>
      </c>
      <c r="FM16" s="116" cm="1">
        <f t="array" ref="FM16">_xll.EQNXTDZ($A$1,$B16,FM$1)</f>
        <v>196.55</v>
      </c>
      <c r="FN16" s="116" cm="1">
        <f t="array" ref="FN16">_xll.EQNXTDZ($A$1,$B16,FN$1)</f>
        <v>192.5</v>
      </c>
      <c r="FO16" s="116" cm="1">
        <f t="array" ref="FO16">_xll.EQNXTDZ($A$1,$B16,FO$1)</f>
        <v>197.3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517.5</v>
      </c>
      <c r="JC16" s="116">
        <f>+DS16</f>
        <v>574.95000000000005</v>
      </c>
      <c r="JD16" s="116">
        <f>+DV16</f>
        <v>755.3</v>
      </c>
      <c r="JE16" s="116">
        <f>+DY16</f>
        <v>617.6</v>
      </c>
      <c r="JF16" s="116">
        <f>+EB16</f>
        <v>406</v>
      </c>
      <c r="JG16" s="116">
        <f>+EE16</f>
        <v>410.2</v>
      </c>
      <c r="JH16" s="116">
        <f>+EH16</f>
        <v>337.55</v>
      </c>
      <c r="JI16" s="116">
        <f>+EK16</f>
        <v>354.9</v>
      </c>
      <c r="JJ16" s="116">
        <f>+EN16</f>
        <v>321.10000000000002</v>
      </c>
      <c r="JK16" s="116">
        <f>EQ16</f>
        <v>331.55</v>
      </c>
      <c r="JL16" s="116">
        <f>ET16</f>
        <v>348.4</v>
      </c>
      <c r="JM16" s="116">
        <f>EW16</f>
        <v>308.25</v>
      </c>
      <c r="JN16" s="116">
        <f>EZ16</f>
        <v>258.25</v>
      </c>
      <c r="JO16" s="116">
        <f>FC16</f>
        <v>259.60000000000002</v>
      </c>
      <c r="JP16" s="116">
        <f>FF16</f>
        <v>261.55</v>
      </c>
      <c r="JQ16" s="116">
        <f>FI16</f>
        <v>237.5</v>
      </c>
      <c r="JR16" s="116">
        <f>FL16</f>
        <v>177.9</v>
      </c>
      <c r="JS16" s="116">
        <f>FO16</f>
        <v>197.3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517.5</v>
      </c>
      <c r="JC19" s="116">
        <f t="shared" si="1"/>
        <v>878.35</v>
      </c>
      <c r="JD19" s="116">
        <f t="shared" si="1"/>
        <v>841.9</v>
      </c>
      <c r="JE19" s="116">
        <f t="shared" si="1"/>
        <v>765</v>
      </c>
      <c r="JF19" s="116">
        <f t="shared" si="1"/>
        <v>622.70000000000005</v>
      </c>
      <c r="JG19" s="116">
        <f t="shared" si="1"/>
        <v>509.4</v>
      </c>
      <c r="JH19" s="116">
        <f t="shared" si="1"/>
        <v>422.55</v>
      </c>
      <c r="JI19" s="116">
        <f t="shared" si="1"/>
        <v>410</v>
      </c>
      <c r="JJ19" s="116">
        <f t="shared" ref="JJ19:JJ21" si="2">+IF(JJ14=0,JJ7,JJ14)</f>
        <v>408.7</v>
      </c>
      <c r="JK19" s="116">
        <f t="shared" ref="JK19" si="3">+IF(JK14=0,JK7,JK14)</f>
        <v>382</v>
      </c>
      <c r="JL19" s="116">
        <f t="shared" ref="JL19:JM19" si="4">+IF(JL14=0,JL7,JL14)</f>
        <v>404</v>
      </c>
      <c r="JM19" s="116">
        <f t="shared" si="4"/>
        <v>355.6</v>
      </c>
      <c r="JN19" s="116">
        <f t="shared" ref="JN19:JO19" si="5">+IF(JN14=0,JN7,JN14)</f>
        <v>332.6</v>
      </c>
      <c r="JO19" s="116">
        <f t="shared" si="5"/>
        <v>291.25</v>
      </c>
      <c r="JP19" s="116">
        <f t="shared" ref="JP19" si="6">+IF(JP14=0,JP7,JP14)</f>
        <v>285.39999999999998</v>
      </c>
      <c r="JQ19" s="116">
        <f t="shared" ref="JQ19:KH19" si="7">+IF(JQ14=0,JQ7,JQ14)</f>
        <v>282.89999999999998</v>
      </c>
      <c r="JR19" s="116">
        <f t="shared" si="7"/>
        <v>242.2</v>
      </c>
      <c r="JS19" s="116">
        <f t="shared" si="7"/>
        <v>216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520.65</v>
      </c>
      <c r="JD20" s="116">
        <f t="shared" si="1"/>
        <v>553.35</v>
      </c>
      <c r="JE20" s="116">
        <f t="shared" si="1"/>
        <v>492.3</v>
      </c>
      <c r="JF20" s="116">
        <f t="shared" si="1"/>
        <v>327</v>
      </c>
      <c r="JG20" s="116">
        <f t="shared" si="1"/>
        <v>366</v>
      </c>
      <c r="JH20" s="116">
        <f t="shared" si="1"/>
        <v>337</v>
      </c>
      <c r="JI20" s="116">
        <f t="shared" si="1"/>
        <v>285.85000000000002</v>
      </c>
      <c r="JJ20" s="116">
        <f t="shared" si="2"/>
        <v>320</v>
      </c>
      <c r="JK20" s="116">
        <f t="shared" ref="JK20" si="9">+IF(JK15=0,JK8,JK15)</f>
        <v>315.60000000000002</v>
      </c>
      <c r="JL20" s="116">
        <f t="shared" ref="JL20:JM20" si="10">+IF(JL15=0,JL8,JL15)</f>
        <v>315.60000000000002</v>
      </c>
      <c r="JM20" s="116">
        <f t="shared" si="10"/>
        <v>279.2</v>
      </c>
      <c r="JN20" s="116">
        <f t="shared" ref="JN20:JO20" si="11">+IF(JN15=0,JN8,JN15)</f>
        <v>231.55</v>
      </c>
      <c r="JO20" s="116">
        <f t="shared" si="11"/>
        <v>245.05</v>
      </c>
      <c r="JP20" s="116">
        <f t="shared" ref="JP20" si="12">+IF(JP15=0,JP8,JP15)</f>
        <v>247.25</v>
      </c>
      <c r="JQ20" s="116">
        <f t="shared" ref="JQ20:KH20" si="13">+IF(JQ15=0,JQ8,JQ15)</f>
        <v>235</v>
      </c>
      <c r="JR20" s="116">
        <f t="shared" si="13"/>
        <v>171.2</v>
      </c>
      <c r="JS20" s="116">
        <f t="shared" si="13"/>
        <v>175.85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517.5</v>
      </c>
      <c r="JC21" s="116">
        <f t="shared" si="1"/>
        <v>574.95000000000005</v>
      </c>
      <c r="JD21" s="116">
        <f t="shared" si="1"/>
        <v>755.3</v>
      </c>
      <c r="JE21" s="116">
        <f t="shared" si="1"/>
        <v>617.6</v>
      </c>
      <c r="JF21" s="116">
        <f t="shared" si="1"/>
        <v>406</v>
      </c>
      <c r="JG21" s="116">
        <f t="shared" si="1"/>
        <v>410.2</v>
      </c>
      <c r="JH21" s="116">
        <f t="shared" si="1"/>
        <v>337.55</v>
      </c>
      <c r="JI21" s="116">
        <f t="shared" si="1"/>
        <v>354.9</v>
      </c>
      <c r="JJ21" s="116">
        <f t="shared" si="2"/>
        <v>321.10000000000002</v>
      </c>
      <c r="JK21" s="116">
        <f t="shared" ref="JK21" si="14">+IF(JK16=0,JK9,JK16)</f>
        <v>331.55</v>
      </c>
      <c r="JL21" s="116">
        <f t="shared" ref="JL21:JM21" si="15">+IF(JL16=0,JL9,JL16)</f>
        <v>348.4</v>
      </c>
      <c r="JM21" s="116">
        <f t="shared" si="15"/>
        <v>308.25</v>
      </c>
      <c r="JN21" s="116">
        <f t="shared" ref="JN21:JO21" si="16">+IF(JN16=0,JN9,JN16)</f>
        <v>258.25</v>
      </c>
      <c r="JO21" s="116">
        <f t="shared" si="16"/>
        <v>259.60000000000002</v>
      </c>
      <c r="JP21" s="116">
        <f t="shared" ref="JP21" si="17">+IF(JP16=0,JP9,JP16)</f>
        <v>261.55</v>
      </c>
      <c r="JQ21" s="116">
        <f t="shared" ref="JQ21:KH21" si="18">+IF(JQ16=0,JQ9,JQ16)</f>
        <v>237.5</v>
      </c>
      <c r="JR21" s="116">
        <f t="shared" si="18"/>
        <v>177.9</v>
      </c>
      <c r="JS21" s="116">
        <f t="shared" si="18"/>
        <v>197.3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207673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109358706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114294886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1299678605</v>
      </c>
      <c r="AQ6" cm="1">
        <f t="array" ref="AQ6">_xll.EQNXTDZ($A$1,$B6,AQ$1)</f>
        <v>1299678605</v>
      </c>
      <c r="AR6" cm="1">
        <f t="array" ref="AR6">_xll.EQNXTDZ($A$1,$B6,AR$1)</f>
        <v>1299678605</v>
      </c>
      <c r="AS6" cm="1">
        <f t="array" ref="AS6">_xll.EQNXTDZ($A$1,$B6,AS$1)</f>
        <v>1299678605</v>
      </c>
      <c r="AT6" cm="1">
        <f t="array" ref="AT6">_xll.EQNXTDZ($A$1,$B6,AT$1)</f>
        <v>1299678605</v>
      </c>
      <c r="AU6" cm="1">
        <f t="array" ref="AU6">_xll.EQNXTDZ($A$1,$B6,AU$1)</f>
        <v>1299678605</v>
      </c>
      <c r="AV6" cm="1">
        <f t="array" ref="AV6">_xll.EQNXTDZ($A$1,$B6,AV$1)</f>
        <v>1299678605</v>
      </c>
      <c r="AW6" cm="1">
        <f t="array" ref="AW6">_xll.EQNXTDZ($A$1,$B6,AW$1)</f>
        <v>1299678605</v>
      </c>
      <c r="AX6" cm="1">
        <f t="array" ref="AX6">_xll.EQNXTDZ($A$1,$B6,AX$1)</f>
        <v>1299678605</v>
      </c>
      <c r="AY6" cm="1">
        <f t="array" ref="AY6">_xll.EQNXTDZ($A$1,$B6,AY$1)</f>
        <v>1299678605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10.935870599999999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11.429488600000001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129.9678605</v>
      </c>
      <c r="AQ7" s="100">
        <f t="shared" si="1"/>
        <v>129.9678605</v>
      </c>
      <c r="AR7" s="100">
        <f t="shared" si="1"/>
        <v>129.9678605</v>
      </c>
      <c r="AS7" s="100">
        <f t="shared" si="1"/>
        <v>129.9678605</v>
      </c>
      <c r="AT7" s="100">
        <f t="shared" ref="AT7:AX7" si="2">+AT6/10^7</f>
        <v>129.9678605</v>
      </c>
      <c r="AU7" s="100">
        <f t="shared" si="2"/>
        <v>129.9678605</v>
      </c>
      <c r="AV7" s="100">
        <f t="shared" si="2"/>
        <v>129.9678605</v>
      </c>
      <c r="AW7" s="100">
        <f t="shared" si="2"/>
        <v>129.9678605</v>
      </c>
      <c r="AX7" s="100">
        <f t="shared" si="2"/>
        <v>129.9678605</v>
      </c>
      <c r="AY7" s="100">
        <f t="shared" ref="AY7" si="3">+AY6/10^7</f>
        <v>129.9678605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207673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5" t="s">
        <v>515</v>
      </c>
      <c r="L2" s="165" t="s">
        <v>515</v>
      </c>
    </row>
    <row r="3" spans="1:18" x14ac:dyDescent="0.25">
      <c r="A3" s="166" t="s">
        <v>516</v>
      </c>
      <c r="B3" s="167" t="s">
        <v>517</v>
      </c>
      <c r="C3" s="167" t="s">
        <v>518</v>
      </c>
      <c r="D3" s="167" t="s">
        <v>519</v>
      </c>
      <c r="E3" s="167" t="s">
        <v>520</v>
      </c>
      <c r="F3" s="167" t="s">
        <v>521</v>
      </c>
      <c r="G3" s="167" t="s">
        <v>522</v>
      </c>
      <c r="H3" s="167"/>
      <c r="I3" s="167"/>
      <c r="J3" s="167"/>
      <c r="K3" s="167"/>
      <c r="L3" s="166" t="s">
        <v>516</v>
      </c>
      <c r="M3" s="168" t="s">
        <v>518</v>
      </c>
      <c r="N3" s="168" t="s">
        <v>517</v>
      </c>
      <c r="O3" s="168" t="s">
        <v>519</v>
      </c>
      <c r="P3" s="168" t="s">
        <v>520</v>
      </c>
      <c r="Q3" s="168" t="s">
        <v>521</v>
      </c>
      <c r="R3" s="167" t="s">
        <v>522</v>
      </c>
    </row>
    <row r="4" spans="1:18" x14ac:dyDescent="0.25">
      <c r="A4" s="165">
        <v>44600</v>
      </c>
      <c r="B4" s="116">
        <v>265.2</v>
      </c>
      <c r="C4" s="116">
        <v>265.2</v>
      </c>
      <c r="D4" s="116">
        <v>221</v>
      </c>
      <c r="E4" s="116">
        <v>221</v>
      </c>
      <c r="F4" s="116">
        <v>265.2</v>
      </c>
      <c r="G4">
        <v>7510055</v>
      </c>
      <c r="H4" s="116"/>
      <c r="I4" s="116"/>
      <c r="L4" s="165">
        <v>44600</v>
      </c>
      <c r="M4" s="116">
        <v>268.25</v>
      </c>
      <c r="N4" s="116">
        <v>271.25</v>
      </c>
      <c r="O4" s="116">
        <v>227</v>
      </c>
      <c r="P4" s="116">
        <v>227</v>
      </c>
      <c r="Q4" s="116">
        <v>268.25</v>
      </c>
      <c r="R4">
        <v>135533461</v>
      </c>
    </row>
    <row r="5" spans="1:18" x14ac:dyDescent="0.25">
      <c r="A5" s="165">
        <v>44601</v>
      </c>
      <c r="B5" s="116">
        <v>318.2</v>
      </c>
      <c r="C5" s="116">
        <v>318.2</v>
      </c>
      <c r="D5" s="116">
        <v>272.3</v>
      </c>
      <c r="E5" s="116">
        <v>274</v>
      </c>
      <c r="F5" s="116">
        <v>318.2</v>
      </c>
      <c r="G5">
        <v>4109119</v>
      </c>
      <c r="H5" s="116"/>
      <c r="I5" s="116"/>
      <c r="L5" s="165">
        <v>44601</v>
      </c>
      <c r="M5" s="116">
        <v>321.89999999999998</v>
      </c>
      <c r="N5" s="116">
        <v>321.89999999999998</v>
      </c>
      <c r="O5" s="116">
        <v>272</v>
      </c>
      <c r="P5" s="116">
        <v>273.64999999999998</v>
      </c>
      <c r="Q5" s="116">
        <v>321.89999999999998</v>
      </c>
      <c r="R5">
        <v>70655011</v>
      </c>
    </row>
    <row r="6" spans="1:18" x14ac:dyDescent="0.25">
      <c r="A6" s="165">
        <v>44602</v>
      </c>
      <c r="B6" s="116">
        <v>381.8</v>
      </c>
      <c r="C6" s="116">
        <v>381.8</v>
      </c>
      <c r="D6" s="116">
        <v>345.95</v>
      </c>
      <c r="E6" s="116">
        <v>350.2</v>
      </c>
      <c r="F6" s="116">
        <v>381.8</v>
      </c>
      <c r="G6">
        <v>5885540</v>
      </c>
      <c r="H6" s="116"/>
      <c r="I6" s="116"/>
      <c r="L6" s="165">
        <v>44602</v>
      </c>
      <c r="M6" s="116">
        <v>386.25</v>
      </c>
      <c r="N6" s="116">
        <v>386.25</v>
      </c>
      <c r="O6" s="116">
        <v>345</v>
      </c>
      <c r="P6" s="116">
        <v>356.7</v>
      </c>
      <c r="Q6" s="116">
        <v>386.25</v>
      </c>
      <c r="R6">
        <v>56509643</v>
      </c>
    </row>
    <row r="7" spans="1:18" x14ac:dyDescent="0.25">
      <c r="A7" s="165">
        <v>44603</v>
      </c>
      <c r="B7" s="116">
        <v>419.9</v>
      </c>
      <c r="C7" s="116">
        <v>381</v>
      </c>
      <c r="D7" s="116">
        <v>351.1</v>
      </c>
      <c r="E7" s="116">
        <v>407</v>
      </c>
      <c r="F7" s="116">
        <v>381</v>
      </c>
      <c r="G7">
        <v>6355914</v>
      </c>
      <c r="H7" s="116"/>
      <c r="I7" s="116"/>
      <c r="L7" s="165">
        <v>44603</v>
      </c>
      <c r="M7" s="116">
        <v>381</v>
      </c>
      <c r="N7" s="116">
        <v>419.9</v>
      </c>
      <c r="O7" s="116">
        <v>351.25</v>
      </c>
      <c r="P7" s="116">
        <v>408.7</v>
      </c>
      <c r="Q7" s="116">
        <v>381</v>
      </c>
      <c r="R7">
        <v>88580117</v>
      </c>
    </row>
    <row r="8" spans="1:18" x14ac:dyDescent="0.25">
      <c r="A8" s="165">
        <v>44606</v>
      </c>
      <c r="B8" s="116">
        <v>399</v>
      </c>
      <c r="C8" s="116">
        <v>376.4</v>
      </c>
      <c r="D8" s="116">
        <v>352.4</v>
      </c>
      <c r="E8" s="116">
        <v>363.25</v>
      </c>
      <c r="F8" s="116">
        <v>376.4</v>
      </c>
      <c r="G8">
        <v>4805159</v>
      </c>
      <c r="H8" s="116"/>
      <c r="I8" s="116"/>
      <c r="L8" s="165">
        <v>44606</v>
      </c>
      <c r="M8" s="116">
        <v>376.3</v>
      </c>
      <c r="N8" s="116">
        <v>398.9</v>
      </c>
      <c r="O8" s="116">
        <v>352.1</v>
      </c>
      <c r="P8" s="116">
        <v>364.2</v>
      </c>
      <c r="Q8" s="116">
        <v>376.3</v>
      </c>
      <c r="R8">
        <v>43047644</v>
      </c>
    </row>
    <row r="9" spans="1:18" x14ac:dyDescent="0.25">
      <c r="A9" s="165">
        <v>44607</v>
      </c>
      <c r="B9" s="116">
        <v>404</v>
      </c>
      <c r="C9" s="116">
        <v>383.85</v>
      </c>
      <c r="D9" s="116">
        <v>379.4</v>
      </c>
      <c r="E9" s="116">
        <v>392.1</v>
      </c>
      <c r="F9" s="116">
        <v>383.85</v>
      </c>
      <c r="G9">
        <v>2196358</v>
      </c>
      <c r="H9" s="116"/>
      <c r="I9" s="116"/>
      <c r="L9" s="165">
        <v>44607</v>
      </c>
      <c r="M9" s="116">
        <v>383.85</v>
      </c>
      <c r="N9" s="116">
        <v>405</v>
      </c>
      <c r="O9" s="116">
        <v>378.8</v>
      </c>
      <c r="P9" s="116">
        <v>394.7</v>
      </c>
      <c r="Q9" s="116">
        <v>383.85</v>
      </c>
      <c r="R9">
        <v>17777133</v>
      </c>
    </row>
    <row r="10" spans="1:18" x14ac:dyDescent="0.25">
      <c r="A10" s="165">
        <v>44608</v>
      </c>
      <c r="B10" s="116">
        <v>393.85</v>
      </c>
      <c r="C10" s="116">
        <v>377.1</v>
      </c>
      <c r="D10" s="116">
        <v>375.3</v>
      </c>
      <c r="E10" s="116">
        <v>389.45</v>
      </c>
      <c r="F10" s="116">
        <v>377.1</v>
      </c>
      <c r="G10">
        <v>1498752</v>
      </c>
      <c r="H10" s="116"/>
      <c r="I10" s="116"/>
      <c r="L10" s="165">
        <v>44608</v>
      </c>
      <c r="M10" s="116">
        <v>377.05</v>
      </c>
      <c r="N10" s="116">
        <v>392.95</v>
      </c>
      <c r="O10" s="116">
        <v>375.2</v>
      </c>
      <c r="P10" s="116">
        <v>390</v>
      </c>
      <c r="Q10" s="116">
        <v>377.05</v>
      </c>
      <c r="R10">
        <v>11831948</v>
      </c>
    </row>
    <row r="11" spans="1:18" x14ac:dyDescent="0.25">
      <c r="A11" s="165">
        <v>44609</v>
      </c>
      <c r="B11" s="116">
        <v>382.5</v>
      </c>
      <c r="C11" s="116">
        <v>359.55</v>
      </c>
      <c r="D11" s="116">
        <v>356.2</v>
      </c>
      <c r="E11" s="116">
        <v>382</v>
      </c>
      <c r="F11" s="116">
        <v>359.55</v>
      </c>
      <c r="G11">
        <v>1744227</v>
      </c>
      <c r="H11" s="116"/>
      <c r="I11" s="116"/>
      <c r="L11" s="165">
        <v>44609</v>
      </c>
      <c r="M11" s="116">
        <v>359.8</v>
      </c>
      <c r="N11" s="116">
        <v>382.9</v>
      </c>
      <c r="O11" s="116">
        <v>356.35</v>
      </c>
      <c r="P11" s="116">
        <v>382</v>
      </c>
      <c r="Q11" s="116">
        <v>359.8</v>
      </c>
      <c r="R11">
        <v>10520787</v>
      </c>
    </row>
    <row r="12" spans="1:18" x14ac:dyDescent="0.25">
      <c r="A12" s="165">
        <v>44610</v>
      </c>
      <c r="B12" s="116">
        <v>370</v>
      </c>
      <c r="C12" s="116">
        <v>354.35</v>
      </c>
      <c r="D12" s="116">
        <v>351.2</v>
      </c>
      <c r="E12" s="116">
        <v>355.4</v>
      </c>
      <c r="F12" s="116">
        <v>354.35</v>
      </c>
      <c r="G12">
        <v>768432</v>
      </c>
      <c r="H12" s="116"/>
      <c r="I12" s="116"/>
      <c r="L12" s="165">
        <v>44610</v>
      </c>
      <c r="M12" s="116">
        <v>354.3</v>
      </c>
      <c r="N12" s="116">
        <v>370</v>
      </c>
      <c r="O12" s="116">
        <v>351.15</v>
      </c>
      <c r="P12" s="116">
        <v>352.6</v>
      </c>
      <c r="Q12" s="116">
        <v>354.3</v>
      </c>
      <c r="R12">
        <v>10072444</v>
      </c>
    </row>
    <row r="13" spans="1:18" x14ac:dyDescent="0.25">
      <c r="A13" s="165">
        <v>44613</v>
      </c>
      <c r="B13" s="116">
        <v>356.55</v>
      </c>
      <c r="C13" s="116">
        <v>327.39999999999998</v>
      </c>
      <c r="D13" s="116">
        <v>325</v>
      </c>
      <c r="E13" s="116">
        <v>351.5</v>
      </c>
      <c r="F13" s="116">
        <v>327.39999999999998</v>
      </c>
      <c r="G13">
        <v>2014960</v>
      </c>
      <c r="H13" s="116"/>
      <c r="I13" s="116"/>
      <c r="L13" s="165">
        <v>44613</v>
      </c>
      <c r="M13" s="116">
        <v>327.60000000000002</v>
      </c>
      <c r="N13" s="116">
        <v>356.6</v>
      </c>
      <c r="O13" s="116">
        <v>325.2</v>
      </c>
      <c r="P13" s="116">
        <v>351.9</v>
      </c>
      <c r="Q13" s="116">
        <v>327.60000000000002</v>
      </c>
      <c r="R13">
        <v>14932711</v>
      </c>
    </row>
    <row r="14" spans="1:18" x14ac:dyDescent="0.25">
      <c r="A14" s="165">
        <v>44614</v>
      </c>
      <c r="B14" s="116">
        <v>323.60000000000002</v>
      </c>
      <c r="C14" s="116">
        <v>314.39999999999998</v>
      </c>
      <c r="D14" s="116">
        <v>305.39999999999998</v>
      </c>
      <c r="E14" s="116">
        <v>315</v>
      </c>
      <c r="F14" s="116">
        <v>314.39999999999998</v>
      </c>
      <c r="G14">
        <v>1033721</v>
      </c>
      <c r="H14" s="116"/>
      <c r="I14" s="116"/>
      <c r="L14" s="165">
        <v>44614</v>
      </c>
      <c r="M14" s="116">
        <v>314.3</v>
      </c>
      <c r="N14" s="116">
        <v>323.60000000000002</v>
      </c>
      <c r="O14" s="116">
        <v>305</v>
      </c>
      <c r="P14" s="116">
        <v>308.60000000000002</v>
      </c>
      <c r="Q14" s="116">
        <v>314.3</v>
      </c>
      <c r="R14">
        <v>13158494</v>
      </c>
    </row>
    <row r="15" spans="1:18" x14ac:dyDescent="0.25">
      <c r="A15" s="165">
        <v>44615</v>
      </c>
      <c r="B15" s="116">
        <v>345.8</v>
      </c>
      <c r="C15" s="116">
        <v>345.1</v>
      </c>
      <c r="D15" s="116">
        <v>323</v>
      </c>
      <c r="E15" s="116">
        <v>324.3</v>
      </c>
      <c r="F15" s="116">
        <v>345.1</v>
      </c>
      <c r="G15">
        <v>1139080</v>
      </c>
      <c r="H15" s="116"/>
      <c r="I15" s="116"/>
      <c r="L15" s="165">
        <v>44615</v>
      </c>
      <c r="M15" s="116">
        <v>345.05</v>
      </c>
      <c r="N15" s="116">
        <v>345.7</v>
      </c>
      <c r="O15" s="116">
        <v>323</v>
      </c>
      <c r="P15" s="116">
        <v>326</v>
      </c>
      <c r="Q15" s="116">
        <v>345.05</v>
      </c>
      <c r="R15">
        <v>9030118</v>
      </c>
    </row>
    <row r="16" spans="1:18" x14ac:dyDescent="0.25">
      <c r="A16" s="165">
        <v>44616</v>
      </c>
      <c r="B16" s="116">
        <v>365.2</v>
      </c>
      <c r="C16" s="116">
        <v>333</v>
      </c>
      <c r="D16" s="116">
        <v>323</v>
      </c>
      <c r="E16" s="116">
        <v>325</v>
      </c>
      <c r="F16" s="116">
        <v>333</v>
      </c>
      <c r="G16">
        <v>3434351</v>
      </c>
      <c r="H16" s="116"/>
      <c r="I16" s="116"/>
      <c r="L16" s="165">
        <v>44616</v>
      </c>
      <c r="M16" s="116">
        <v>332.95</v>
      </c>
      <c r="N16" s="116">
        <v>365.4</v>
      </c>
      <c r="O16" s="116">
        <v>322.14999999999998</v>
      </c>
      <c r="P16" s="116">
        <v>324.10000000000002</v>
      </c>
      <c r="Q16" s="116">
        <v>332.95</v>
      </c>
      <c r="R16">
        <v>27347337</v>
      </c>
    </row>
    <row r="17" spans="1:18" x14ac:dyDescent="0.25">
      <c r="A17" s="165">
        <v>44617</v>
      </c>
      <c r="B17" s="116">
        <v>366.3</v>
      </c>
      <c r="C17" s="116">
        <v>366.1</v>
      </c>
      <c r="D17" s="116">
        <v>350.55</v>
      </c>
      <c r="E17" s="116">
        <v>359.1</v>
      </c>
      <c r="F17" s="116">
        <v>366.1</v>
      </c>
      <c r="G17">
        <v>2509528</v>
      </c>
      <c r="H17" s="116"/>
      <c r="I17" s="116"/>
      <c r="L17" s="165">
        <v>44617</v>
      </c>
      <c r="M17" s="116">
        <v>366.1</v>
      </c>
      <c r="N17" s="116">
        <v>366.2</v>
      </c>
      <c r="O17" s="116">
        <v>350.5</v>
      </c>
      <c r="P17" s="116">
        <v>358.65</v>
      </c>
      <c r="Q17" s="116">
        <v>366.1</v>
      </c>
      <c r="R17">
        <v>18895946</v>
      </c>
    </row>
    <row r="18" spans="1:18" x14ac:dyDescent="0.25">
      <c r="A18" s="165">
        <v>44620</v>
      </c>
      <c r="B18" s="116">
        <v>395.8</v>
      </c>
      <c r="C18" s="116">
        <v>379.4</v>
      </c>
      <c r="D18" s="116">
        <v>366.1</v>
      </c>
      <c r="E18" s="116">
        <v>366.1</v>
      </c>
      <c r="F18" s="116">
        <v>379.4</v>
      </c>
      <c r="G18">
        <v>2350145</v>
      </c>
      <c r="H18" s="116"/>
      <c r="I18" s="116"/>
      <c r="L18" s="165">
        <v>44620</v>
      </c>
      <c r="M18" s="116">
        <v>379.35</v>
      </c>
      <c r="N18" s="116">
        <v>395.9</v>
      </c>
      <c r="O18" s="116">
        <v>367.05</v>
      </c>
      <c r="P18" s="116">
        <v>367.1</v>
      </c>
      <c r="Q18" s="116">
        <v>379.35</v>
      </c>
      <c r="R18">
        <v>23433903</v>
      </c>
    </row>
    <row r="19" spans="1:18" x14ac:dyDescent="0.25">
      <c r="A19" s="165">
        <v>44622</v>
      </c>
      <c r="B19" s="116">
        <v>393</v>
      </c>
      <c r="C19" s="116">
        <v>382.3</v>
      </c>
      <c r="D19" s="116">
        <v>375.9</v>
      </c>
      <c r="E19" s="116">
        <v>379.4</v>
      </c>
      <c r="F19" s="116">
        <v>382.3</v>
      </c>
      <c r="G19">
        <v>1452315</v>
      </c>
      <c r="H19" s="116"/>
      <c r="I19" s="116"/>
      <c r="L19" s="165">
        <v>44622</v>
      </c>
      <c r="M19" s="116">
        <v>382.3</v>
      </c>
      <c r="N19" s="116">
        <v>393</v>
      </c>
      <c r="O19" s="116">
        <v>376.1</v>
      </c>
      <c r="P19" s="116">
        <v>381.45</v>
      </c>
      <c r="Q19" s="116">
        <v>382.3</v>
      </c>
      <c r="R19">
        <v>13334439</v>
      </c>
    </row>
    <row r="20" spans="1:18" x14ac:dyDescent="0.25">
      <c r="A20" s="165">
        <v>44623</v>
      </c>
      <c r="B20" s="116">
        <v>395</v>
      </c>
      <c r="C20" s="116">
        <v>380.3</v>
      </c>
      <c r="D20" s="116">
        <v>378</v>
      </c>
      <c r="E20" s="116">
        <v>391.3</v>
      </c>
      <c r="F20" s="116">
        <v>380.3</v>
      </c>
      <c r="G20">
        <v>588948</v>
      </c>
      <c r="H20" s="116"/>
      <c r="I20" s="116"/>
      <c r="L20" s="165">
        <v>44623</v>
      </c>
      <c r="M20" s="116">
        <v>380.25</v>
      </c>
      <c r="N20" s="116">
        <v>395</v>
      </c>
      <c r="O20" s="116">
        <v>378</v>
      </c>
      <c r="P20" s="116">
        <v>392</v>
      </c>
      <c r="Q20" s="116">
        <v>380.25</v>
      </c>
      <c r="R20">
        <v>8165851</v>
      </c>
    </row>
    <row r="21" spans="1:18" x14ac:dyDescent="0.25">
      <c r="A21" s="165">
        <v>44624</v>
      </c>
      <c r="B21" s="116">
        <v>383.05</v>
      </c>
      <c r="C21" s="116">
        <v>360.85</v>
      </c>
      <c r="D21" s="116">
        <v>358.95</v>
      </c>
      <c r="E21" s="116">
        <v>375.95</v>
      </c>
      <c r="F21" s="116">
        <v>360.85</v>
      </c>
      <c r="G21">
        <v>1185629</v>
      </c>
      <c r="H21" s="116"/>
      <c r="I21" s="116"/>
      <c r="L21" s="165">
        <v>44624</v>
      </c>
      <c r="M21" s="116">
        <v>360.8</v>
      </c>
      <c r="N21" s="116">
        <v>378.95</v>
      </c>
      <c r="O21" s="116">
        <v>359.1</v>
      </c>
      <c r="P21" s="116">
        <v>376.25</v>
      </c>
      <c r="Q21" s="116">
        <v>360.8</v>
      </c>
      <c r="R21">
        <v>8905308</v>
      </c>
    </row>
    <row r="22" spans="1:18" x14ac:dyDescent="0.25">
      <c r="A22" s="165">
        <v>44627</v>
      </c>
      <c r="B22" s="116">
        <v>351</v>
      </c>
      <c r="C22" s="116">
        <v>340.7</v>
      </c>
      <c r="D22" s="116">
        <v>337.45</v>
      </c>
      <c r="E22" s="116">
        <v>344.05</v>
      </c>
      <c r="F22" s="116">
        <v>340.7</v>
      </c>
      <c r="G22">
        <v>1382164</v>
      </c>
      <c r="H22" s="116"/>
      <c r="I22" s="116"/>
      <c r="L22" s="165">
        <v>44627</v>
      </c>
      <c r="M22" s="116">
        <v>340.8</v>
      </c>
      <c r="N22" s="116">
        <v>351</v>
      </c>
      <c r="O22" s="116">
        <v>337.25</v>
      </c>
      <c r="P22" s="116">
        <v>346</v>
      </c>
      <c r="Q22" s="116">
        <v>340.8</v>
      </c>
      <c r="R22">
        <v>9228324</v>
      </c>
    </row>
    <row r="23" spans="1:18" x14ac:dyDescent="0.25">
      <c r="A23" s="165">
        <v>44628</v>
      </c>
      <c r="B23" s="116">
        <v>357.7</v>
      </c>
      <c r="C23" s="116">
        <v>342.8</v>
      </c>
      <c r="D23" s="116">
        <v>338.6</v>
      </c>
      <c r="E23" s="116">
        <v>347</v>
      </c>
      <c r="F23" s="116">
        <v>342.8</v>
      </c>
      <c r="G23">
        <v>550939</v>
      </c>
      <c r="H23" s="116"/>
      <c r="I23" s="116"/>
      <c r="L23" s="165">
        <v>44628</v>
      </c>
      <c r="M23" s="116">
        <v>342.8</v>
      </c>
      <c r="N23" s="116">
        <v>357.8</v>
      </c>
      <c r="O23" s="116">
        <v>338.3</v>
      </c>
      <c r="P23" s="116">
        <v>347</v>
      </c>
      <c r="Q23" s="116">
        <v>342.8</v>
      </c>
      <c r="R23">
        <v>9620159</v>
      </c>
    </row>
    <row r="24" spans="1:18" x14ac:dyDescent="0.25">
      <c r="A24" s="165">
        <v>44629</v>
      </c>
      <c r="B24" s="116">
        <v>350.95</v>
      </c>
      <c r="C24" s="116">
        <v>340.65</v>
      </c>
      <c r="D24" s="116">
        <v>339.5</v>
      </c>
      <c r="E24" s="116">
        <v>348</v>
      </c>
      <c r="F24" s="116">
        <v>340.65</v>
      </c>
      <c r="G24">
        <v>683416</v>
      </c>
      <c r="H24" s="116"/>
      <c r="I24" s="116"/>
      <c r="L24" s="165">
        <v>44629</v>
      </c>
      <c r="M24" s="116">
        <v>340.4</v>
      </c>
      <c r="N24" s="116">
        <v>351.55</v>
      </c>
      <c r="O24" s="116">
        <v>339.25</v>
      </c>
      <c r="P24" s="116">
        <v>347.6</v>
      </c>
      <c r="Q24" s="116">
        <v>340.4</v>
      </c>
      <c r="R24">
        <v>8115674</v>
      </c>
    </row>
    <row r="25" spans="1:18" x14ac:dyDescent="0.25">
      <c r="A25" s="165">
        <v>44630</v>
      </c>
      <c r="B25" s="116">
        <v>353.5</v>
      </c>
      <c r="C25" s="116">
        <v>343.45</v>
      </c>
      <c r="D25" s="116">
        <v>342.05</v>
      </c>
      <c r="E25" s="116">
        <v>352.9</v>
      </c>
      <c r="F25" s="116">
        <v>343.45</v>
      </c>
      <c r="G25">
        <v>803016</v>
      </c>
      <c r="H25" s="116"/>
      <c r="I25" s="116"/>
      <c r="L25" s="165">
        <v>44630</v>
      </c>
      <c r="M25" s="116">
        <v>343.4</v>
      </c>
      <c r="N25" s="116">
        <v>354</v>
      </c>
      <c r="O25" s="116">
        <v>342.05</v>
      </c>
      <c r="P25" s="116">
        <v>350</v>
      </c>
      <c r="Q25" s="116">
        <v>343.4</v>
      </c>
      <c r="R25">
        <v>6619860</v>
      </c>
    </row>
    <row r="26" spans="1:18" x14ac:dyDescent="0.25">
      <c r="A26" s="165">
        <v>44631</v>
      </c>
      <c r="B26" s="116">
        <v>358.9</v>
      </c>
      <c r="C26" s="116">
        <v>344.45</v>
      </c>
      <c r="D26" s="116">
        <v>337.85</v>
      </c>
      <c r="E26" s="116">
        <v>343.2</v>
      </c>
      <c r="F26" s="116">
        <v>344.45</v>
      </c>
      <c r="G26">
        <v>1029339</v>
      </c>
      <c r="H26" s="116"/>
      <c r="I26" s="116"/>
      <c r="L26" s="165">
        <v>44631</v>
      </c>
      <c r="M26" s="116">
        <v>344.2</v>
      </c>
      <c r="N26" s="116">
        <v>358.8</v>
      </c>
      <c r="O26" s="116">
        <v>338</v>
      </c>
      <c r="P26" s="116">
        <v>343.9</v>
      </c>
      <c r="Q26" s="116">
        <v>344.2</v>
      </c>
      <c r="R26">
        <v>10801113</v>
      </c>
    </row>
    <row r="27" spans="1:18" x14ac:dyDescent="0.25">
      <c r="A27" s="165">
        <v>44634</v>
      </c>
      <c r="B27" s="116">
        <v>347.4</v>
      </c>
      <c r="C27" s="116">
        <v>341.1</v>
      </c>
      <c r="D27" s="116">
        <v>340.25</v>
      </c>
      <c r="E27" s="116">
        <v>346.35</v>
      </c>
      <c r="F27" s="116">
        <v>341.1</v>
      </c>
      <c r="G27">
        <v>492020</v>
      </c>
      <c r="H27" s="116"/>
      <c r="I27" s="116"/>
      <c r="L27" s="165">
        <v>44634</v>
      </c>
      <c r="M27" s="116">
        <v>341.1</v>
      </c>
      <c r="N27" s="116">
        <v>347.35</v>
      </c>
      <c r="O27" s="116">
        <v>340.3</v>
      </c>
      <c r="P27" s="116">
        <v>345.55</v>
      </c>
      <c r="Q27" s="116">
        <v>341.1</v>
      </c>
      <c r="R27">
        <v>3889380</v>
      </c>
    </row>
    <row r="28" spans="1:18" x14ac:dyDescent="0.25">
      <c r="A28" s="165">
        <v>44635</v>
      </c>
      <c r="B28" s="116">
        <v>354.95</v>
      </c>
      <c r="C28" s="116">
        <v>340.4</v>
      </c>
      <c r="D28" s="116">
        <v>338.3</v>
      </c>
      <c r="E28" s="116">
        <v>343.5</v>
      </c>
      <c r="F28" s="116">
        <v>340.4</v>
      </c>
      <c r="G28">
        <v>1020682</v>
      </c>
      <c r="H28" s="116"/>
      <c r="I28" s="116"/>
      <c r="L28" s="165">
        <v>44635</v>
      </c>
      <c r="M28" s="116">
        <v>340.25</v>
      </c>
      <c r="N28" s="116">
        <v>355</v>
      </c>
      <c r="O28" s="116">
        <v>338.45</v>
      </c>
      <c r="P28" s="116">
        <v>343.5</v>
      </c>
      <c r="Q28" s="116">
        <v>340.25</v>
      </c>
      <c r="R28">
        <v>8759343</v>
      </c>
    </row>
    <row r="29" spans="1:18" x14ac:dyDescent="0.25">
      <c r="A29" s="165">
        <v>44636</v>
      </c>
      <c r="B29" s="116">
        <v>352</v>
      </c>
      <c r="C29" s="116">
        <v>346.3</v>
      </c>
      <c r="D29" s="116">
        <v>342.1</v>
      </c>
      <c r="E29" s="116">
        <v>347.85</v>
      </c>
      <c r="F29" s="116">
        <v>346.3</v>
      </c>
      <c r="G29">
        <v>555588</v>
      </c>
      <c r="H29" s="116"/>
      <c r="I29" s="116"/>
      <c r="L29" s="165">
        <v>44636</v>
      </c>
      <c r="M29" s="116">
        <v>346.25</v>
      </c>
      <c r="N29" s="116">
        <v>351.95</v>
      </c>
      <c r="O29" s="116">
        <v>342.1</v>
      </c>
      <c r="P29" s="116">
        <v>350</v>
      </c>
      <c r="Q29" s="116">
        <v>346.25</v>
      </c>
      <c r="R29">
        <v>4512997</v>
      </c>
    </row>
    <row r="30" spans="1:18" x14ac:dyDescent="0.25">
      <c r="A30" s="165">
        <v>44637</v>
      </c>
      <c r="B30" s="116">
        <v>380.9</v>
      </c>
      <c r="C30" s="116">
        <v>379.7</v>
      </c>
      <c r="D30" s="116">
        <v>348.2</v>
      </c>
      <c r="E30" s="116">
        <v>350</v>
      </c>
      <c r="F30" s="116">
        <v>379.7</v>
      </c>
      <c r="G30">
        <v>3501751</v>
      </c>
      <c r="H30" s="116"/>
      <c r="I30" s="116"/>
      <c r="L30" s="165">
        <v>44637</v>
      </c>
      <c r="M30" s="116">
        <v>379.8</v>
      </c>
      <c r="N30" s="116">
        <v>380.85</v>
      </c>
      <c r="O30" s="116">
        <v>348.1</v>
      </c>
      <c r="P30" s="116">
        <v>350</v>
      </c>
      <c r="Q30" s="116">
        <v>379.8</v>
      </c>
      <c r="R30">
        <v>31782591</v>
      </c>
    </row>
    <row r="31" spans="1:18" x14ac:dyDescent="0.25">
      <c r="A31" s="165">
        <v>44641</v>
      </c>
      <c r="B31" s="116">
        <v>398.75</v>
      </c>
      <c r="C31" s="116">
        <v>390.85</v>
      </c>
      <c r="D31" s="116">
        <v>382.85</v>
      </c>
      <c r="E31" s="116">
        <v>389</v>
      </c>
      <c r="F31" s="116">
        <v>390.85</v>
      </c>
      <c r="G31">
        <v>1249305</v>
      </c>
      <c r="H31" s="116"/>
      <c r="I31" s="116"/>
      <c r="L31" s="165">
        <v>44641</v>
      </c>
      <c r="M31" s="116">
        <v>391.25</v>
      </c>
      <c r="N31" s="116">
        <v>398.75</v>
      </c>
      <c r="O31" s="116">
        <v>382.3</v>
      </c>
      <c r="P31" s="116">
        <v>390</v>
      </c>
      <c r="Q31" s="116">
        <v>391.25</v>
      </c>
      <c r="R31">
        <v>19955446</v>
      </c>
    </row>
    <row r="32" spans="1:18" x14ac:dyDescent="0.25">
      <c r="A32" s="165">
        <v>44642</v>
      </c>
      <c r="B32" s="116">
        <v>397.8</v>
      </c>
      <c r="C32" s="116">
        <v>392.85</v>
      </c>
      <c r="D32" s="116">
        <v>386.8</v>
      </c>
      <c r="E32" s="116">
        <v>394.75</v>
      </c>
      <c r="F32" s="116">
        <v>392.85</v>
      </c>
      <c r="G32">
        <v>532801</v>
      </c>
      <c r="H32" s="116"/>
      <c r="I32" s="116"/>
      <c r="L32" s="165">
        <v>44642</v>
      </c>
      <c r="M32" s="116">
        <v>393.1</v>
      </c>
      <c r="N32" s="116">
        <v>397.7</v>
      </c>
      <c r="O32" s="116">
        <v>387</v>
      </c>
      <c r="P32" s="116">
        <v>394.45</v>
      </c>
      <c r="Q32" s="116">
        <v>393.1</v>
      </c>
      <c r="R32">
        <v>9561082</v>
      </c>
    </row>
    <row r="33" spans="1:18" x14ac:dyDescent="0.25">
      <c r="A33" s="165">
        <v>44643</v>
      </c>
      <c r="B33" s="116">
        <v>419.25</v>
      </c>
      <c r="C33" s="116">
        <v>397.4</v>
      </c>
      <c r="D33" s="116">
        <v>390.3</v>
      </c>
      <c r="E33" s="116">
        <v>394.55</v>
      </c>
      <c r="F33" s="116">
        <v>397.4</v>
      </c>
      <c r="G33">
        <v>1854815</v>
      </c>
      <c r="H33" s="116"/>
      <c r="I33" s="116"/>
      <c r="L33" s="165">
        <v>44643</v>
      </c>
      <c r="M33" s="116">
        <v>397.25</v>
      </c>
      <c r="N33" s="116">
        <v>419.3</v>
      </c>
      <c r="O33" s="116">
        <v>390.15</v>
      </c>
      <c r="P33" s="116">
        <v>393.8</v>
      </c>
      <c r="Q33" s="116">
        <v>397.25</v>
      </c>
      <c r="R33">
        <v>30739072</v>
      </c>
    </row>
    <row r="34" spans="1:18" x14ac:dyDescent="0.25">
      <c r="A34" s="165">
        <v>44644</v>
      </c>
      <c r="B34" s="116">
        <v>415</v>
      </c>
      <c r="C34" s="116">
        <v>406.7</v>
      </c>
      <c r="D34" s="116">
        <v>395</v>
      </c>
      <c r="E34" s="116">
        <v>397.95</v>
      </c>
      <c r="F34" s="116">
        <v>406.7</v>
      </c>
      <c r="G34">
        <v>1457313</v>
      </c>
      <c r="H34" s="116"/>
      <c r="I34" s="116"/>
      <c r="L34" s="165">
        <v>44644</v>
      </c>
      <c r="M34" s="116">
        <v>407.1</v>
      </c>
      <c r="N34" s="116">
        <v>414.7</v>
      </c>
      <c r="O34" s="116">
        <v>395.05</v>
      </c>
      <c r="P34" s="116">
        <v>397</v>
      </c>
      <c r="Q34" s="116">
        <v>407.1</v>
      </c>
      <c r="R34">
        <v>11671061</v>
      </c>
    </row>
    <row r="35" spans="1:18" x14ac:dyDescent="0.25">
      <c r="A35" s="165">
        <v>44645</v>
      </c>
      <c r="B35" s="116">
        <v>423.8</v>
      </c>
      <c r="C35" s="116">
        <v>419.2</v>
      </c>
      <c r="D35" s="116">
        <v>410.1</v>
      </c>
      <c r="E35" s="116">
        <v>414.3</v>
      </c>
      <c r="F35" s="116">
        <v>419.2</v>
      </c>
      <c r="G35">
        <v>863500</v>
      </c>
      <c r="H35" s="116"/>
      <c r="I35" s="116"/>
      <c r="L35" s="165">
        <v>44645</v>
      </c>
      <c r="M35" s="116">
        <v>419.25</v>
      </c>
      <c r="N35" s="116">
        <v>423.9</v>
      </c>
      <c r="O35" s="116">
        <v>410</v>
      </c>
      <c r="P35" s="116">
        <v>414</v>
      </c>
      <c r="Q35" s="116">
        <v>419.25</v>
      </c>
      <c r="R35">
        <v>17327956</v>
      </c>
    </row>
    <row r="36" spans="1:18" x14ac:dyDescent="0.25">
      <c r="A36" s="165">
        <v>44648</v>
      </c>
      <c r="B36" s="116">
        <v>461.1</v>
      </c>
      <c r="C36" s="116">
        <v>461</v>
      </c>
      <c r="D36" s="116">
        <v>424</v>
      </c>
      <c r="E36" s="116">
        <v>424.85</v>
      </c>
      <c r="F36" s="116">
        <v>461</v>
      </c>
      <c r="G36">
        <v>2159189</v>
      </c>
      <c r="H36" s="116"/>
      <c r="I36" s="116"/>
      <c r="L36" s="165">
        <v>44648</v>
      </c>
      <c r="M36" s="116">
        <v>461</v>
      </c>
      <c r="N36" s="116">
        <v>461.15</v>
      </c>
      <c r="O36" s="116">
        <v>424.05</v>
      </c>
      <c r="P36" s="116">
        <v>424.9</v>
      </c>
      <c r="Q36" s="116">
        <v>461</v>
      </c>
      <c r="R36">
        <v>29209300</v>
      </c>
    </row>
    <row r="37" spans="1:18" x14ac:dyDescent="0.25">
      <c r="A37" s="165">
        <v>44649</v>
      </c>
      <c r="B37" s="116">
        <v>506.8</v>
      </c>
      <c r="C37" s="116">
        <v>499.9</v>
      </c>
      <c r="D37" s="116">
        <v>474</v>
      </c>
      <c r="E37" s="116">
        <v>476.15</v>
      </c>
      <c r="F37" s="116">
        <v>499.9</v>
      </c>
      <c r="G37">
        <v>5444732</v>
      </c>
      <c r="H37" s="116"/>
      <c r="I37" s="116"/>
      <c r="L37" s="165">
        <v>44649</v>
      </c>
      <c r="M37" s="116">
        <v>499.95</v>
      </c>
      <c r="N37" s="116">
        <v>507</v>
      </c>
      <c r="O37" s="116">
        <v>474</v>
      </c>
      <c r="P37" s="116">
        <v>474.4</v>
      </c>
      <c r="Q37" s="116">
        <v>499.95</v>
      </c>
      <c r="R37">
        <v>37794382</v>
      </c>
    </row>
    <row r="38" spans="1:18" x14ac:dyDescent="0.25">
      <c r="A38" s="165">
        <v>44650</v>
      </c>
      <c r="B38" s="116">
        <v>514.95000000000005</v>
      </c>
      <c r="C38" s="116">
        <v>492.9</v>
      </c>
      <c r="D38" s="116">
        <v>479.8</v>
      </c>
      <c r="E38" s="116">
        <v>509.45</v>
      </c>
      <c r="F38" s="116">
        <v>492.9</v>
      </c>
      <c r="G38">
        <v>1588585</v>
      </c>
      <c r="H38" s="116"/>
      <c r="I38" s="116"/>
      <c r="L38" s="165">
        <v>44650</v>
      </c>
      <c r="M38" s="116">
        <v>492.3</v>
      </c>
      <c r="N38" s="116">
        <v>514</v>
      </c>
      <c r="O38" s="116">
        <v>480.15</v>
      </c>
      <c r="P38" s="116">
        <v>508.7</v>
      </c>
      <c r="Q38" s="116">
        <v>492.3</v>
      </c>
      <c r="R38">
        <v>25219865</v>
      </c>
    </row>
    <row r="39" spans="1:18" x14ac:dyDescent="0.25">
      <c r="A39" s="165">
        <v>44651</v>
      </c>
      <c r="B39" s="116">
        <v>517.5</v>
      </c>
      <c r="C39" s="116">
        <v>517.5</v>
      </c>
      <c r="D39" s="116">
        <v>493.4</v>
      </c>
      <c r="E39" s="116">
        <v>493.4</v>
      </c>
      <c r="F39" s="116">
        <v>517.5</v>
      </c>
      <c r="G39">
        <v>2860804</v>
      </c>
      <c r="H39" s="116"/>
      <c r="I39" s="116"/>
      <c r="L39" s="165">
        <v>44651</v>
      </c>
      <c r="M39" s="116">
        <v>516.9</v>
      </c>
      <c r="N39" s="116">
        <v>516.9</v>
      </c>
      <c r="O39" s="116">
        <v>493</v>
      </c>
      <c r="P39" s="116">
        <v>493.3</v>
      </c>
      <c r="Q39" s="116">
        <v>516.9</v>
      </c>
      <c r="R39">
        <v>17742646</v>
      </c>
    </row>
    <row r="40" spans="1:18" x14ac:dyDescent="0.25">
      <c r="A40" s="165">
        <v>44652</v>
      </c>
      <c r="B40" s="116">
        <v>543.35</v>
      </c>
      <c r="C40" s="116">
        <v>543.35</v>
      </c>
      <c r="D40" s="116">
        <v>520.65</v>
      </c>
      <c r="E40" s="116">
        <v>527.70000000000005</v>
      </c>
      <c r="F40" s="116">
        <v>543.35</v>
      </c>
      <c r="G40">
        <v>2521428</v>
      </c>
      <c r="H40" s="116"/>
      <c r="I40" s="116"/>
      <c r="L40" s="165">
        <v>44652</v>
      </c>
      <c r="M40" s="116">
        <v>542.70000000000005</v>
      </c>
      <c r="N40" s="116">
        <v>542.70000000000005</v>
      </c>
      <c r="O40" s="116">
        <v>521</v>
      </c>
      <c r="P40" s="116">
        <v>526</v>
      </c>
      <c r="Q40" s="116">
        <v>542.70000000000005</v>
      </c>
      <c r="R40">
        <v>18150045</v>
      </c>
    </row>
    <row r="41" spans="1:18" x14ac:dyDescent="0.25">
      <c r="A41" s="165">
        <v>44655</v>
      </c>
      <c r="B41" s="116">
        <v>570.5</v>
      </c>
      <c r="C41" s="116">
        <v>552.6</v>
      </c>
      <c r="D41" s="116">
        <v>522.75</v>
      </c>
      <c r="E41" s="116">
        <v>556</v>
      </c>
      <c r="F41" s="116">
        <v>552.6</v>
      </c>
      <c r="G41">
        <v>4253520</v>
      </c>
      <c r="H41" s="116"/>
      <c r="I41" s="116"/>
      <c r="L41" s="165">
        <v>44655</v>
      </c>
      <c r="M41" s="116">
        <v>552.35</v>
      </c>
      <c r="N41" s="116">
        <v>569.79999999999995</v>
      </c>
      <c r="O41" s="116">
        <v>522.75</v>
      </c>
      <c r="P41" s="116">
        <v>560</v>
      </c>
      <c r="Q41" s="116">
        <v>552.35</v>
      </c>
      <c r="R41">
        <v>31396534</v>
      </c>
    </row>
    <row r="42" spans="1:18" x14ac:dyDescent="0.25">
      <c r="A42" s="165">
        <v>44656</v>
      </c>
      <c r="B42" s="116">
        <v>580.20000000000005</v>
      </c>
      <c r="C42" s="116">
        <v>580.20000000000005</v>
      </c>
      <c r="D42" s="116">
        <v>553.4</v>
      </c>
      <c r="E42" s="116">
        <v>556.9</v>
      </c>
      <c r="F42" s="116">
        <v>580.20000000000005</v>
      </c>
      <c r="G42">
        <v>2070839</v>
      </c>
      <c r="H42" s="116"/>
      <c r="I42" s="116"/>
      <c r="L42" s="165">
        <v>44656</v>
      </c>
      <c r="M42" s="116">
        <v>579.95000000000005</v>
      </c>
      <c r="N42" s="116">
        <v>579.95000000000005</v>
      </c>
      <c r="O42" s="116">
        <v>553.5</v>
      </c>
      <c r="P42" s="116">
        <v>559.95000000000005</v>
      </c>
      <c r="Q42" s="116">
        <v>579.95000000000005</v>
      </c>
      <c r="R42">
        <v>14412302</v>
      </c>
    </row>
    <row r="43" spans="1:18" x14ac:dyDescent="0.25">
      <c r="A43" s="165">
        <v>44657</v>
      </c>
      <c r="B43" s="116">
        <v>609.20000000000005</v>
      </c>
      <c r="C43" s="116">
        <v>609.20000000000005</v>
      </c>
      <c r="D43" s="116">
        <v>592.15</v>
      </c>
      <c r="E43" s="116">
        <v>599</v>
      </c>
      <c r="F43" s="116">
        <v>609.20000000000005</v>
      </c>
      <c r="G43">
        <v>1787305</v>
      </c>
      <c r="H43" s="116"/>
      <c r="I43" s="116"/>
      <c r="L43" s="165">
        <v>44657</v>
      </c>
      <c r="M43" s="116">
        <v>608.9</v>
      </c>
      <c r="N43" s="116">
        <v>608.9</v>
      </c>
      <c r="O43" s="116">
        <v>590</v>
      </c>
      <c r="P43" s="116">
        <v>596.4</v>
      </c>
      <c r="Q43" s="116">
        <v>608.9</v>
      </c>
      <c r="R43">
        <v>9965188</v>
      </c>
    </row>
    <row r="44" spans="1:18" x14ac:dyDescent="0.25">
      <c r="A44" s="165">
        <v>44658</v>
      </c>
      <c r="B44" s="116">
        <v>639.65</v>
      </c>
      <c r="C44" s="116">
        <v>578.75</v>
      </c>
      <c r="D44" s="116">
        <v>578.75</v>
      </c>
      <c r="E44" s="116">
        <v>639.65</v>
      </c>
      <c r="F44" s="116">
        <v>578.75</v>
      </c>
      <c r="G44">
        <v>1963705</v>
      </c>
      <c r="H44" s="116"/>
      <c r="I44" s="116"/>
      <c r="L44" s="165">
        <v>44658</v>
      </c>
      <c r="M44" s="116">
        <v>578.5</v>
      </c>
      <c r="N44" s="116">
        <v>639.29999999999995</v>
      </c>
      <c r="O44" s="116">
        <v>578.5</v>
      </c>
      <c r="P44" s="116">
        <v>639.29999999999995</v>
      </c>
      <c r="Q44" s="116">
        <v>578.5</v>
      </c>
      <c r="R44">
        <v>10867407</v>
      </c>
    </row>
    <row r="45" spans="1:18" x14ac:dyDescent="0.25">
      <c r="A45" s="165">
        <v>44659</v>
      </c>
      <c r="B45" s="116">
        <v>549.85</v>
      </c>
      <c r="C45" s="116">
        <v>549.85</v>
      </c>
      <c r="D45" s="116">
        <v>549.85</v>
      </c>
      <c r="E45" s="116">
        <v>549.85</v>
      </c>
      <c r="F45" s="116">
        <v>549.85</v>
      </c>
      <c r="G45">
        <v>227327</v>
      </c>
      <c r="H45" s="116"/>
      <c r="I45" s="116"/>
      <c r="L45" s="165">
        <v>44659</v>
      </c>
      <c r="M45" s="116">
        <v>549.6</v>
      </c>
      <c r="N45" s="116">
        <v>549.6</v>
      </c>
      <c r="O45" s="116">
        <v>549.6</v>
      </c>
      <c r="P45" s="116">
        <v>549.6</v>
      </c>
      <c r="Q45" s="116">
        <v>549.6</v>
      </c>
      <c r="R45">
        <v>2282751</v>
      </c>
    </row>
    <row r="46" spans="1:18" x14ac:dyDescent="0.25">
      <c r="A46" s="165">
        <v>44662</v>
      </c>
      <c r="B46" s="116">
        <v>577.29999999999995</v>
      </c>
      <c r="C46" s="116">
        <v>577.29999999999995</v>
      </c>
      <c r="D46" s="116">
        <v>546.5</v>
      </c>
      <c r="E46" s="116">
        <v>546.5</v>
      </c>
      <c r="F46" s="116">
        <v>577.29999999999995</v>
      </c>
      <c r="G46">
        <v>1352935</v>
      </c>
      <c r="H46" s="116"/>
      <c r="I46" s="116"/>
      <c r="L46" s="165">
        <v>44662</v>
      </c>
      <c r="M46" s="116">
        <v>577.04999999999995</v>
      </c>
      <c r="N46" s="116">
        <v>577.04999999999995</v>
      </c>
      <c r="O46" s="116">
        <v>550.1</v>
      </c>
      <c r="P46" s="116">
        <v>550.1</v>
      </c>
      <c r="Q46" s="116">
        <v>577.04999999999995</v>
      </c>
      <c r="R46">
        <v>5734232</v>
      </c>
    </row>
    <row r="47" spans="1:18" x14ac:dyDescent="0.25">
      <c r="A47" s="165">
        <v>44663</v>
      </c>
      <c r="B47" s="116">
        <v>606.15</v>
      </c>
      <c r="C47" s="116">
        <v>606.15</v>
      </c>
      <c r="D47" s="116">
        <v>572</v>
      </c>
      <c r="E47" s="116">
        <v>605</v>
      </c>
      <c r="F47" s="116">
        <v>606.15</v>
      </c>
      <c r="G47">
        <v>3836979</v>
      </c>
      <c r="H47" s="116"/>
      <c r="I47" s="116"/>
      <c r="L47" s="165">
        <v>44663</v>
      </c>
      <c r="M47" s="116">
        <v>605.9</v>
      </c>
      <c r="N47" s="116">
        <v>605.9</v>
      </c>
      <c r="O47" s="116">
        <v>572</v>
      </c>
      <c r="P47" s="116">
        <v>603.5</v>
      </c>
      <c r="Q47" s="116">
        <v>605.9</v>
      </c>
      <c r="R47">
        <v>22706296</v>
      </c>
    </row>
    <row r="48" spans="1:18" x14ac:dyDescent="0.25">
      <c r="A48" s="165">
        <v>44664</v>
      </c>
      <c r="B48" s="116">
        <v>636.45000000000005</v>
      </c>
      <c r="C48" s="116">
        <v>636.45000000000005</v>
      </c>
      <c r="D48" s="116">
        <v>606.20000000000005</v>
      </c>
      <c r="E48" s="116">
        <v>622.6</v>
      </c>
      <c r="F48" s="116">
        <v>636.45000000000005</v>
      </c>
      <c r="G48">
        <v>2141861</v>
      </c>
      <c r="H48" s="116"/>
      <c r="I48" s="116"/>
      <c r="L48" s="165">
        <v>44664</v>
      </c>
      <c r="M48" s="116">
        <v>636.15</v>
      </c>
      <c r="N48" s="116">
        <v>636.15</v>
      </c>
      <c r="O48" s="116">
        <v>606.1</v>
      </c>
      <c r="P48" s="116">
        <v>622.9</v>
      </c>
      <c r="Q48" s="116">
        <v>636.15</v>
      </c>
      <c r="R48">
        <v>16821307</v>
      </c>
    </row>
    <row r="49" spans="1:18" x14ac:dyDescent="0.25">
      <c r="A49" s="165">
        <v>44669</v>
      </c>
      <c r="B49" s="116">
        <v>668.25</v>
      </c>
      <c r="C49" s="116">
        <v>668.25</v>
      </c>
      <c r="D49" s="116">
        <v>620.6</v>
      </c>
      <c r="E49" s="116">
        <v>636.45000000000005</v>
      </c>
      <c r="F49" s="116">
        <v>668.25</v>
      </c>
      <c r="G49">
        <v>3318784</v>
      </c>
      <c r="H49" s="116"/>
      <c r="I49" s="116"/>
      <c r="L49" s="165">
        <v>44669</v>
      </c>
      <c r="M49" s="116">
        <v>667.95</v>
      </c>
      <c r="N49" s="116">
        <v>667.95</v>
      </c>
      <c r="O49" s="116">
        <v>622.6</v>
      </c>
      <c r="P49" s="116">
        <v>637</v>
      </c>
      <c r="Q49" s="116">
        <v>667.95</v>
      </c>
      <c r="R49">
        <v>19453143</v>
      </c>
    </row>
    <row r="50" spans="1:18" x14ac:dyDescent="0.25">
      <c r="A50" s="165">
        <v>44670</v>
      </c>
      <c r="B50" s="116">
        <v>701.65</v>
      </c>
      <c r="C50" s="116">
        <v>676</v>
      </c>
      <c r="D50" s="116">
        <v>649.75</v>
      </c>
      <c r="E50" s="116">
        <v>690.85</v>
      </c>
      <c r="F50" s="116">
        <v>676</v>
      </c>
      <c r="G50">
        <v>3657262</v>
      </c>
      <c r="H50" s="116"/>
      <c r="I50" s="116"/>
      <c r="L50" s="165">
        <v>44670</v>
      </c>
      <c r="M50" s="116">
        <v>677.9</v>
      </c>
      <c r="N50" s="116">
        <v>701.3</v>
      </c>
      <c r="O50" s="116">
        <v>651.54999999999995</v>
      </c>
      <c r="P50" s="116">
        <v>690.55</v>
      </c>
      <c r="Q50" s="116">
        <v>677.9</v>
      </c>
      <c r="R50">
        <v>25254020</v>
      </c>
    </row>
    <row r="51" spans="1:18" x14ac:dyDescent="0.25">
      <c r="A51" s="165">
        <v>44671</v>
      </c>
      <c r="B51" s="116">
        <v>709.8</v>
      </c>
      <c r="C51" s="116">
        <v>668.15</v>
      </c>
      <c r="D51" s="116">
        <v>655.35</v>
      </c>
      <c r="E51" s="116">
        <v>703.05</v>
      </c>
      <c r="F51" s="116">
        <v>668.15</v>
      </c>
      <c r="G51">
        <v>1352146</v>
      </c>
      <c r="H51" s="116"/>
      <c r="I51" s="116"/>
      <c r="L51" s="165">
        <v>44671</v>
      </c>
      <c r="M51" s="116">
        <v>667.9</v>
      </c>
      <c r="N51" s="116">
        <v>709</v>
      </c>
      <c r="O51" s="116">
        <v>655</v>
      </c>
      <c r="P51" s="116">
        <v>703.4</v>
      </c>
      <c r="Q51" s="116">
        <v>667.9</v>
      </c>
      <c r="R51">
        <v>23058972</v>
      </c>
    </row>
    <row r="52" spans="1:18" x14ac:dyDescent="0.25">
      <c r="A52" s="165">
        <v>44672</v>
      </c>
      <c r="B52" s="116">
        <v>701.55</v>
      </c>
      <c r="C52" s="116">
        <v>699.95</v>
      </c>
      <c r="D52" s="116">
        <v>667.95</v>
      </c>
      <c r="E52" s="116">
        <v>670</v>
      </c>
      <c r="F52" s="116">
        <v>699.95</v>
      </c>
      <c r="G52">
        <v>1936318</v>
      </c>
      <c r="H52" s="116"/>
      <c r="I52" s="116"/>
      <c r="L52" s="165">
        <v>44672</v>
      </c>
      <c r="M52" s="116">
        <v>699.7</v>
      </c>
      <c r="N52" s="116">
        <v>701.25</v>
      </c>
      <c r="O52" s="116">
        <v>667.25</v>
      </c>
      <c r="P52" s="116">
        <v>679</v>
      </c>
      <c r="Q52" s="116">
        <v>699.7</v>
      </c>
      <c r="R52">
        <v>17843608</v>
      </c>
    </row>
    <row r="53" spans="1:18" x14ac:dyDescent="0.25">
      <c r="A53" s="165">
        <v>44673</v>
      </c>
      <c r="B53" s="116">
        <v>732</v>
      </c>
      <c r="C53" s="116">
        <v>728.2</v>
      </c>
      <c r="D53" s="116">
        <v>705.9</v>
      </c>
      <c r="E53" s="116">
        <v>706.15</v>
      </c>
      <c r="F53" s="116">
        <v>728.2</v>
      </c>
      <c r="G53">
        <v>2058752</v>
      </c>
      <c r="H53" s="116"/>
      <c r="I53" s="116"/>
      <c r="L53" s="165">
        <v>44673</v>
      </c>
      <c r="M53" s="116">
        <v>728.55</v>
      </c>
      <c r="N53" s="116">
        <v>732</v>
      </c>
      <c r="O53" s="116">
        <v>706.25</v>
      </c>
      <c r="P53" s="116">
        <v>706.25</v>
      </c>
      <c r="Q53" s="116">
        <v>728.55</v>
      </c>
      <c r="R53">
        <v>19690115</v>
      </c>
    </row>
    <row r="54" spans="1:18" x14ac:dyDescent="0.25">
      <c r="A54" s="165">
        <v>44676</v>
      </c>
      <c r="B54" s="116">
        <v>764.6</v>
      </c>
      <c r="C54" s="116">
        <v>764.6</v>
      </c>
      <c r="D54" s="116">
        <v>737</v>
      </c>
      <c r="E54" s="116">
        <v>741.05</v>
      </c>
      <c r="F54" s="116">
        <v>764.6</v>
      </c>
      <c r="G54">
        <v>1691177</v>
      </c>
      <c r="H54" s="116"/>
      <c r="I54" s="116"/>
      <c r="L54" s="165">
        <v>44676</v>
      </c>
      <c r="M54" s="116">
        <v>764.95</v>
      </c>
      <c r="N54" s="116">
        <v>764.95</v>
      </c>
      <c r="O54" s="116">
        <v>736.6</v>
      </c>
      <c r="P54" s="116">
        <v>743</v>
      </c>
      <c r="Q54" s="116">
        <v>764.95</v>
      </c>
      <c r="R54">
        <v>21441429</v>
      </c>
    </row>
    <row r="55" spans="1:18" x14ac:dyDescent="0.25">
      <c r="A55" s="165">
        <v>44677</v>
      </c>
      <c r="B55" s="116">
        <v>802.8</v>
      </c>
      <c r="C55" s="116">
        <v>802.8</v>
      </c>
      <c r="D55" s="116">
        <v>788.6</v>
      </c>
      <c r="E55" s="116">
        <v>798</v>
      </c>
      <c r="F55" s="116">
        <v>802.8</v>
      </c>
      <c r="G55">
        <v>835991</v>
      </c>
      <c r="H55" s="116"/>
      <c r="I55" s="116"/>
      <c r="L55" s="165">
        <v>44677</v>
      </c>
      <c r="M55" s="116">
        <v>803.15</v>
      </c>
      <c r="N55" s="116">
        <v>803.15</v>
      </c>
      <c r="O55" s="116">
        <v>787</v>
      </c>
      <c r="P55" s="116">
        <v>799</v>
      </c>
      <c r="Q55" s="116">
        <v>803.15</v>
      </c>
      <c r="R55">
        <v>9075524</v>
      </c>
    </row>
    <row r="56" spans="1:18" x14ac:dyDescent="0.25">
      <c r="A56" s="165">
        <v>44678</v>
      </c>
      <c r="B56" s="116">
        <v>842.9</v>
      </c>
      <c r="C56" s="116">
        <v>840.5</v>
      </c>
      <c r="D56" s="116">
        <v>775.85</v>
      </c>
      <c r="E56" s="116">
        <v>832.4</v>
      </c>
      <c r="F56" s="116">
        <v>840.5</v>
      </c>
      <c r="G56">
        <v>2611395</v>
      </c>
      <c r="H56" s="116"/>
      <c r="I56" s="116"/>
      <c r="L56" s="165">
        <v>44678</v>
      </c>
      <c r="M56" s="116">
        <v>841</v>
      </c>
      <c r="N56" s="116">
        <v>843.3</v>
      </c>
      <c r="O56" s="116">
        <v>776.6</v>
      </c>
      <c r="P56" s="116">
        <v>832.3</v>
      </c>
      <c r="Q56" s="116">
        <v>841</v>
      </c>
      <c r="R56">
        <v>37860816</v>
      </c>
    </row>
    <row r="57" spans="1:18" x14ac:dyDescent="0.25">
      <c r="A57" s="165">
        <v>44679</v>
      </c>
      <c r="B57" s="116">
        <v>878.35</v>
      </c>
      <c r="C57" s="116">
        <v>798.5</v>
      </c>
      <c r="D57" s="116">
        <v>798.5</v>
      </c>
      <c r="E57" s="116">
        <v>860</v>
      </c>
      <c r="F57" s="116">
        <v>798.5</v>
      </c>
      <c r="G57">
        <v>2152219</v>
      </c>
      <c r="H57" s="116"/>
      <c r="I57" s="116"/>
      <c r="L57" s="165">
        <v>44679</v>
      </c>
      <c r="M57" s="116">
        <v>798.95</v>
      </c>
      <c r="N57" s="116">
        <v>878</v>
      </c>
      <c r="O57" s="116">
        <v>798.95</v>
      </c>
      <c r="P57" s="116">
        <v>860</v>
      </c>
      <c r="Q57" s="116">
        <v>798.95</v>
      </c>
      <c r="R57">
        <v>29004435</v>
      </c>
    </row>
    <row r="58" spans="1:18" x14ac:dyDescent="0.25">
      <c r="A58" s="165">
        <v>44680</v>
      </c>
      <c r="B58" s="116">
        <v>834.1</v>
      </c>
      <c r="C58" s="116">
        <v>780.25</v>
      </c>
      <c r="D58" s="116">
        <v>758.6</v>
      </c>
      <c r="E58" s="116">
        <v>784.05</v>
      </c>
      <c r="F58" s="116">
        <v>780.25</v>
      </c>
      <c r="G58">
        <v>2427284</v>
      </c>
      <c r="H58" s="116"/>
      <c r="I58" s="116"/>
      <c r="L58" s="165">
        <v>44680</v>
      </c>
      <c r="M58" s="116">
        <v>780.4</v>
      </c>
      <c r="N58" s="116">
        <v>834.15</v>
      </c>
      <c r="O58" s="116">
        <v>759.05</v>
      </c>
      <c r="P58" s="116">
        <v>785</v>
      </c>
      <c r="Q58" s="116">
        <v>780.4</v>
      </c>
      <c r="R58">
        <v>32673177</v>
      </c>
    </row>
    <row r="59" spans="1:18" x14ac:dyDescent="0.25">
      <c r="A59" s="165">
        <v>44683</v>
      </c>
      <c r="B59" s="116">
        <v>782.9</v>
      </c>
      <c r="C59" s="116">
        <v>753.65</v>
      </c>
      <c r="D59" s="116">
        <v>749</v>
      </c>
      <c r="E59" s="116">
        <v>755.5</v>
      </c>
      <c r="F59" s="116">
        <v>753.65</v>
      </c>
      <c r="G59">
        <v>669734</v>
      </c>
      <c r="H59" s="116"/>
      <c r="I59" s="116"/>
      <c r="L59" s="165">
        <v>44683</v>
      </c>
      <c r="M59" s="116">
        <v>753.6</v>
      </c>
      <c r="N59" s="116">
        <v>783</v>
      </c>
      <c r="O59" s="116">
        <v>748.2</v>
      </c>
      <c r="P59" s="116">
        <v>758</v>
      </c>
      <c r="Q59" s="116">
        <v>753.6</v>
      </c>
      <c r="R59">
        <v>11750710</v>
      </c>
    </row>
    <row r="60" spans="1:18" x14ac:dyDescent="0.25">
      <c r="A60" s="165">
        <v>44685</v>
      </c>
      <c r="B60" s="116">
        <v>772.65</v>
      </c>
      <c r="C60" s="116">
        <v>716</v>
      </c>
      <c r="D60" s="116">
        <v>716</v>
      </c>
      <c r="E60" s="116">
        <v>742</v>
      </c>
      <c r="F60" s="116">
        <v>716</v>
      </c>
      <c r="G60">
        <v>2019161</v>
      </c>
      <c r="H60" s="116"/>
      <c r="I60" s="116"/>
      <c r="L60" s="165">
        <v>44685</v>
      </c>
      <c r="M60" s="116">
        <v>715.95</v>
      </c>
      <c r="N60" s="116">
        <v>771.85</v>
      </c>
      <c r="O60" s="116">
        <v>715.95</v>
      </c>
      <c r="P60" s="116">
        <v>745</v>
      </c>
      <c r="Q60" s="116">
        <v>715.95</v>
      </c>
      <c r="R60">
        <v>12572099</v>
      </c>
    </row>
    <row r="61" spans="1:18" x14ac:dyDescent="0.25">
      <c r="A61" s="165">
        <v>44686</v>
      </c>
      <c r="B61" s="116">
        <v>701.65</v>
      </c>
      <c r="C61" s="116">
        <v>680.2</v>
      </c>
      <c r="D61" s="116">
        <v>680.2</v>
      </c>
      <c r="E61" s="116">
        <v>682.55</v>
      </c>
      <c r="F61" s="116">
        <v>680.2</v>
      </c>
      <c r="G61">
        <v>353169</v>
      </c>
      <c r="H61" s="116"/>
      <c r="I61" s="116"/>
      <c r="L61" s="165">
        <v>44686</v>
      </c>
      <c r="M61" s="116">
        <v>680.2</v>
      </c>
      <c r="N61" s="116">
        <v>694.45</v>
      </c>
      <c r="O61" s="116">
        <v>680.2</v>
      </c>
      <c r="P61" s="116">
        <v>681</v>
      </c>
      <c r="Q61" s="116">
        <v>680.2</v>
      </c>
      <c r="R61">
        <v>1088061</v>
      </c>
    </row>
    <row r="62" spans="1:18" x14ac:dyDescent="0.25">
      <c r="A62" s="165">
        <v>44687</v>
      </c>
      <c r="B62" s="116">
        <v>646.20000000000005</v>
      </c>
      <c r="C62" s="116">
        <v>646.20000000000005</v>
      </c>
      <c r="D62" s="116">
        <v>646.20000000000005</v>
      </c>
      <c r="E62" s="116">
        <v>646.20000000000005</v>
      </c>
      <c r="F62" s="116">
        <v>646.20000000000005</v>
      </c>
      <c r="G62">
        <v>449719</v>
      </c>
      <c r="H62" s="116"/>
      <c r="I62" s="116"/>
      <c r="L62" s="165">
        <v>44687</v>
      </c>
      <c r="M62" s="116">
        <v>646.20000000000005</v>
      </c>
      <c r="N62" s="116">
        <v>660</v>
      </c>
      <c r="O62" s="116">
        <v>646.20000000000005</v>
      </c>
      <c r="P62" s="116">
        <v>646.20000000000005</v>
      </c>
      <c r="Q62" s="116">
        <v>646.20000000000005</v>
      </c>
      <c r="R62">
        <v>2695071</v>
      </c>
    </row>
    <row r="63" spans="1:18" x14ac:dyDescent="0.25">
      <c r="A63" s="165">
        <v>44690</v>
      </c>
      <c r="B63" s="116">
        <v>613.9</v>
      </c>
      <c r="C63" s="116">
        <v>613.9</v>
      </c>
      <c r="D63" s="116">
        <v>613.9</v>
      </c>
      <c r="E63" s="116">
        <v>613.9</v>
      </c>
      <c r="F63" s="116">
        <v>613.9</v>
      </c>
      <c r="G63">
        <v>133350</v>
      </c>
      <c r="H63" s="116"/>
      <c r="I63" s="116"/>
      <c r="L63" s="165">
        <v>44690</v>
      </c>
      <c r="M63" s="116">
        <v>613.9</v>
      </c>
      <c r="N63" s="116">
        <v>613.9</v>
      </c>
      <c r="O63" s="116">
        <v>613.9</v>
      </c>
      <c r="P63" s="116">
        <v>613.9</v>
      </c>
      <c r="Q63" s="116">
        <v>613.9</v>
      </c>
      <c r="R63">
        <v>624222</v>
      </c>
    </row>
    <row r="64" spans="1:18" x14ac:dyDescent="0.25">
      <c r="A64" s="165">
        <v>44691</v>
      </c>
      <c r="B64" s="116">
        <v>583.25</v>
      </c>
      <c r="C64" s="116">
        <v>583.25</v>
      </c>
      <c r="D64" s="116">
        <v>583.25</v>
      </c>
      <c r="E64" s="116">
        <v>583.25</v>
      </c>
      <c r="F64" s="116">
        <v>583.25</v>
      </c>
      <c r="G64">
        <v>157422</v>
      </c>
      <c r="H64" s="116"/>
      <c r="I64" s="116"/>
      <c r="L64" s="165">
        <v>44691</v>
      </c>
      <c r="M64" s="116">
        <v>583.25</v>
      </c>
      <c r="N64" s="116">
        <v>583.25</v>
      </c>
      <c r="O64" s="116">
        <v>583.25</v>
      </c>
      <c r="P64" s="116">
        <v>583.25</v>
      </c>
      <c r="Q64" s="116">
        <v>583.25</v>
      </c>
      <c r="R64">
        <v>978990</v>
      </c>
    </row>
    <row r="65" spans="1:18" x14ac:dyDescent="0.25">
      <c r="A65" s="165">
        <v>44692</v>
      </c>
      <c r="B65" s="116">
        <v>612.4</v>
      </c>
      <c r="C65" s="116">
        <v>612.4</v>
      </c>
      <c r="D65" s="116">
        <v>554.1</v>
      </c>
      <c r="E65" s="116">
        <v>554.1</v>
      </c>
      <c r="F65" s="116">
        <v>612.4</v>
      </c>
      <c r="G65">
        <v>1193855</v>
      </c>
      <c r="H65" s="116"/>
      <c r="I65" s="116"/>
      <c r="L65" s="165">
        <v>44692</v>
      </c>
      <c r="M65" s="116">
        <v>612.4</v>
      </c>
      <c r="N65" s="116">
        <v>612.4</v>
      </c>
      <c r="O65" s="116">
        <v>554.1</v>
      </c>
      <c r="P65" s="116">
        <v>554.1</v>
      </c>
      <c r="Q65" s="116">
        <v>612.4</v>
      </c>
      <c r="R65">
        <v>6256562</v>
      </c>
    </row>
    <row r="66" spans="1:18" x14ac:dyDescent="0.25">
      <c r="A66" s="165">
        <v>44693</v>
      </c>
      <c r="B66" s="116">
        <v>612.4</v>
      </c>
      <c r="C66" s="116">
        <v>581.79999999999995</v>
      </c>
      <c r="D66" s="116">
        <v>581.79999999999995</v>
      </c>
      <c r="E66" s="116">
        <v>590</v>
      </c>
      <c r="F66" s="116">
        <v>581.79999999999995</v>
      </c>
      <c r="G66">
        <v>771129</v>
      </c>
      <c r="H66" s="116"/>
      <c r="I66" s="116"/>
      <c r="L66" s="165">
        <v>44693</v>
      </c>
      <c r="M66" s="116">
        <v>581.79999999999995</v>
      </c>
      <c r="N66" s="116">
        <v>612</v>
      </c>
      <c r="O66" s="116">
        <v>581.79999999999995</v>
      </c>
      <c r="P66" s="116">
        <v>589</v>
      </c>
      <c r="Q66" s="116">
        <v>581.79999999999995</v>
      </c>
      <c r="R66">
        <v>3280219</v>
      </c>
    </row>
    <row r="67" spans="1:18" x14ac:dyDescent="0.25">
      <c r="A67" s="165">
        <v>44694</v>
      </c>
      <c r="B67" s="116">
        <v>608.9</v>
      </c>
      <c r="C67" s="116">
        <v>571.25</v>
      </c>
      <c r="D67" s="116">
        <v>555.35</v>
      </c>
      <c r="E67" s="116">
        <v>599</v>
      </c>
      <c r="F67" s="116">
        <v>571.25</v>
      </c>
      <c r="G67">
        <v>413343</v>
      </c>
      <c r="H67" s="116"/>
      <c r="I67" s="116"/>
      <c r="L67" s="165">
        <v>44694</v>
      </c>
      <c r="M67" s="116">
        <v>568.6</v>
      </c>
      <c r="N67" s="116">
        <v>608.20000000000005</v>
      </c>
      <c r="O67" s="116">
        <v>555.25</v>
      </c>
      <c r="P67" s="116">
        <v>595</v>
      </c>
      <c r="Q67" s="116">
        <v>568.6</v>
      </c>
      <c r="R67">
        <v>2779961</v>
      </c>
    </row>
    <row r="68" spans="1:18" x14ac:dyDescent="0.25">
      <c r="A68" s="165">
        <v>44697</v>
      </c>
      <c r="B68" s="116">
        <v>595</v>
      </c>
      <c r="C68" s="116">
        <v>577.4</v>
      </c>
      <c r="D68" s="116">
        <v>542.70000000000005</v>
      </c>
      <c r="E68" s="116">
        <v>554.4</v>
      </c>
      <c r="F68" s="116">
        <v>577.4</v>
      </c>
      <c r="G68">
        <v>548885</v>
      </c>
      <c r="H68" s="116"/>
      <c r="I68" s="116"/>
      <c r="L68" s="165">
        <v>44697</v>
      </c>
      <c r="M68" s="116">
        <v>577.4</v>
      </c>
      <c r="N68" s="116">
        <v>595</v>
      </c>
      <c r="O68" s="116">
        <v>540.20000000000005</v>
      </c>
      <c r="P68" s="116">
        <v>559.45000000000005</v>
      </c>
      <c r="Q68" s="116">
        <v>577.4</v>
      </c>
      <c r="R68">
        <v>2551705</v>
      </c>
    </row>
    <row r="69" spans="1:18" x14ac:dyDescent="0.25">
      <c r="A69" s="165">
        <v>44698</v>
      </c>
      <c r="B69" s="116">
        <v>606.25</v>
      </c>
      <c r="C69" s="116">
        <v>606.25</v>
      </c>
      <c r="D69" s="116">
        <v>570.1</v>
      </c>
      <c r="E69" s="116">
        <v>585</v>
      </c>
      <c r="F69" s="116">
        <v>606.25</v>
      </c>
      <c r="G69">
        <v>332335</v>
      </c>
      <c r="H69" s="116"/>
      <c r="I69" s="116"/>
      <c r="L69" s="165">
        <v>44698</v>
      </c>
      <c r="M69" s="116">
        <v>606.25</v>
      </c>
      <c r="N69" s="116">
        <v>606.25</v>
      </c>
      <c r="O69" s="116">
        <v>579.9</v>
      </c>
      <c r="P69" s="116">
        <v>584</v>
      </c>
      <c r="Q69" s="116">
        <v>606.25</v>
      </c>
      <c r="R69">
        <v>1723099</v>
      </c>
    </row>
    <row r="70" spans="1:18" x14ac:dyDescent="0.25">
      <c r="A70" s="165">
        <v>44699</v>
      </c>
      <c r="B70" s="116">
        <v>636.54999999999995</v>
      </c>
      <c r="C70" s="116">
        <v>636.54999999999995</v>
      </c>
      <c r="D70" s="116">
        <v>618.4</v>
      </c>
      <c r="E70" s="116">
        <v>636.54999999999995</v>
      </c>
      <c r="F70" s="116">
        <v>636.54999999999995</v>
      </c>
      <c r="G70">
        <v>178138</v>
      </c>
      <c r="H70" s="116"/>
      <c r="I70" s="116"/>
      <c r="L70" s="165">
        <v>44699</v>
      </c>
      <c r="M70" s="116">
        <v>636.54999999999995</v>
      </c>
      <c r="N70" s="116">
        <v>636.54999999999995</v>
      </c>
      <c r="O70" s="116">
        <v>628</v>
      </c>
      <c r="P70" s="116">
        <v>635</v>
      </c>
      <c r="Q70" s="116">
        <v>636.54999999999995</v>
      </c>
      <c r="R70">
        <v>984525</v>
      </c>
    </row>
    <row r="71" spans="1:18" x14ac:dyDescent="0.25">
      <c r="A71" s="165">
        <v>44700</v>
      </c>
      <c r="B71" s="116">
        <v>668.35</v>
      </c>
      <c r="C71" s="116">
        <v>668.25</v>
      </c>
      <c r="D71" s="116">
        <v>604.75</v>
      </c>
      <c r="E71" s="116">
        <v>628</v>
      </c>
      <c r="F71" s="116">
        <v>668.25</v>
      </c>
      <c r="G71">
        <v>1002595</v>
      </c>
      <c r="H71" s="116"/>
      <c r="I71" s="116"/>
      <c r="L71" s="165">
        <v>44700</v>
      </c>
      <c r="M71" s="116">
        <v>668.15</v>
      </c>
      <c r="N71" s="116">
        <v>668.35</v>
      </c>
      <c r="O71" s="116">
        <v>604.75</v>
      </c>
      <c r="P71" s="116">
        <v>628</v>
      </c>
      <c r="Q71" s="116">
        <v>668.15</v>
      </c>
      <c r="R71">
        <v>4692335</v>
      </c>
    </row>
    <row r="72" spans="1:18" x14ac:dyDescent="0.25">
      <c r="A72" s="165">
        <v>44701</v>
      </c>
      <c r="B72" s="116">
        <v>701.65</v>
      </c>
      <c r="C72" s="116">
        <v>701.65</v>
      </c>
      <c r="D72" s="116">
        <v>681.55</v>
      </c>
      <c r="E72" s="116">
        <v>692</v>
      </c>
      <c r="F72" s="116">
        <v>701.65</v>
      </c>
      <c r="G72">
        <v>541194</v>
      </c>
      <c r="H72" s="116"/>
      <c r="I72" s="116"/>
      <c r="L72" s="165">
        <v>44701</v>
      </c>
      <c r="M72" s="116">
        <v>701.55</v>
      </c>
      <c r="N72" s="116">
        <v>701.55</v>
      </c>
      <c r="O72" s="116">
        <v>685</v>
      </c>
      <c r="P72" s="116">
        <v>689.9</v>
      </c>
      <c r="Q72" s="116">
        <v>701.55</v>
      </c>
      <c r="R72">
        <v>1327185</v>
      </c>
    </row>
    <row r="73" spans="1:18" x14ac:dyDescent="0.25">
      <c r="A73" s="165">
        <v>44704</v>
      </c>
      <c r="B73" s="116">
        <v>736.7</v>
      </c>
      <c r="C73" s="116">
        <v>736.7</v>
      </c>
      <c r="D73" s="116">
        <v>712</v>
      </c>
      <c r="E73" s="116">
        <v>731.9</v>
      </c>
      <c r="F73" s="116">
        <v>736.7</v>
      </c>
      <c r="G73">
        <v>568182</v>
      </c>
      <c r="H73" s="116"/>
      <c r="I73" s="116"/>
      <c r="L73" s="165">
        <v>44704</v>
      </c>
      <c r="M73" s="116">
        <v>736.6</v>
      </c>
      <c r="N73" s="116">
        <v>736.6</v>
      </c>
      <c r="O73" s="116">
        <v>721</v>
      </c>
      <c r="P73" s="116">
        <v>732</v>
      </c>
      <c r="Q73" s="116">
        <v>736.6</v>
      </c>
      <c r="R73">
        <v>2321841</v>
      </c>
    </row>
    <row r="74" spans="1:18" x14ac:dyDescent="0.25">
      <c r="A74" s="165">
        <v>44705</v>
      </c>
      <c r="B74" s="116">
        <v>772.9</v>
      </c>
      <c r="C74" s="116">
        <v>699.9</v>
      </c>
      <c r="D74" s="116">
        <v>699.9</v>
      </c>
      <c r="E74" s="116">
        <v>772.9</v>
      </c>
      <c r="F74" s="116">
        <v>699.9</v>
      </c>
      <c r="G74">
        <v>987670</v>
      </c>
      <c r="H74" s="116"/>
      <c r="I74" s="116"/>
      <c r="L74" s="165">
        <v>44705</v>
      </c>
      <c r="M74" s="116">
        <v>699.8</v>
      </c>
      <c r="N74" s="116">
        <v>769</v>
      </c>
      <c r="O74" s="116">
        <v>699.8</v>
      </c>
      <c r="P74" s="116">
        <v>769</v>
      </c>
      <c r="Q74" s="116">
        <v>699.8</v>
      </c>
      <c r="R74">
        <v>4060741</v>
      </c>
    </row>
    <row r="75" spans="1:18" x14ac:dyDescent="0.25">
      <c r="A75" s="165">
        <v>44706</v>
      </c>
      <c r="B75" s="116">
        <v>695</v>
      </c>
      <c r="C75" s="116">
        <v>664.95</v>
      </c>
      <c r="D75" s="116">
        <v>664.95</v>
      </c>
      <c r="E75" s="116">
        <v>664.95</v>
      </c>
      <c r="F75" s="116">
        <v>664.95</v>
      </c>
      <c r="G75">
        <v>243820</v>
      </c>
      <c r="H75" s="116"/>
      <c r="I75" s="116"/>
      <c r="L75" s="165">
        <v>44706</v>
      </c>
      <c r="M75" s="116">
        <v>664.85</v>
      </c>
      <c r="N75" s="116">
        <v>684.4</v>
      </c>
      <c r="O75" s="116">
        <v>664.85</v>
      </c>
      <c r="P75" s="116">
        <v>666</v>
      </c>
      <c r="Q75" s="116">
        <v>664.85</v>
      </c>
      <c r="R75">
        <v>1260744</v>
      </c>
    </row>
    <row r="76" spans="1:18" x14ac:dyDescent="0.25">
      <c r="A76" s="165">
        <v>44707</v>
      </c>
      <c r="B76" s="116">
        <v>698.15</v>
      </c>
      <c r="C76" s="116">
        <v>698.15</v>
      </c>
      <c r="D76" s="116">
        <v>631.75</v>
      </c>
      <c r="E76" s="116">
        <v>631.75</v>
      </c>
      <c r="F76" s="116">
        <v>698.15</v>
      </c>
      <c r="G76">
        <v>534023</v>
      </c>
      <c r="H76" s="116"/>
      <c r="I76" s="116"/>
      <c r="L76" s="165">
        <v>44707</v>
      </c>
      <c r="M76" s="116">
        <v>698.05</v>
      </c>
      <c r="N76" s="116">
        <v>698.05</v>
      </c>
      <c r="O76" s="116">
        <v>631.65</v>
      </c>
      <c r="P76" s="116">
        <v>636</v>
      </c>
      <c r="Q76" s="116">
        <v>698.05</v>
      </c>
      <c r="R76">
        <v>2297423</v>
      </c>
    </row>
    <row r="77" spans="1:18" x14ac:dyDescent="0.25">
      <c r="A77" s="165">
        <v>44708</v>
      </c>
      <c r="B77" s="116">
        <v>733</v>
      </c>
      <c r="C77" s="116">
        <v>708.15</v>
      </c>
      <c r="D77" s="116">
        <v>672.65</v>
      </c>
      <c r="E77" s="116">
        <v>715</v>
      </c>
      <c r="F77" s="116">
        <v>708.15</v>
      </c>
      <c r="G77">
        <v>691011</v>
      </c>
      <c r="H77" s="116"/>
      <c r="I77" s="116"/>
      <c r="L77" s="165">
        <v>44708</v>
      </c>
      <c r="M77" s="116">
        <v>710.15</v>
      </c>
      <c r="N77" s="116">
        <v>729.95</v>
      </c>
      <c r="O77" s="116">
        <v>676.6</v>
      </c>
      <c r="P77" s="116">
        <v>709</v>
      </c>
      <c r="Q77" s="116">
        <v>710.15</v>
      </c>
      <c r="R77">
        <v>2998870</v>
      </c>
    </row>
    <row r="78" spans="1:18" x14ac:dyDescent="0.25">
      <c r="A78" s="165">
        <v>44711</v>
      </c>
      <c r="B78" s="116">
        <v>720</v>
      </c>
      <c r="C78" s="116">
        <v>696.3</v>
      </c>
      <c r="D78" s="116">
        <v>686</v>
      </c>
      <c r="E78" s="116">
        <v>718.9</v>
      </c>
      <c r="F78" s="116">
        <v>696.3</v>
      </c>
      <c r="G78">
        <v>179161</v>
      </c>
      <c r="H78" s="116"/>
      <c r="I78" s="116"/>
      <c r="L78" s="165">
        <v>44711</v>
      </c>
      <c r="M78" s="116">
        <v>696.4</v>
      </c>
      <c r="N78" s="116">
        <v>723.7</v>
      </c>
      <c r="O78" s="116">
        <v>690</v>
      </c>
      <c r="P78" s="116">
        <v>719.8</v>
      </c>
      <c r="Q78" s="116">
        <v>696.4</v>
      </c>
      <c r="R78">
        <v>1894859</v>
      </c>
    </row>
    <row r="79" spans="1:18" x14ac:dyDescent="0.25">
      <c r="A79" s="165">
        <v>44712</v>
      </c>
      <c r="B79" s="116">
        <v>694.7</v>
      </c>
      <c r="C79" s="116">
        <v>670.3</v>
      </c>
      <c r="D79" s="116">
        <v>661.5</v>
      </c>
      <c r="E79" s="116">
        <v>670</v>
      </c>
      <c r="F79" s="116">
        <v>670.3</v>
      </c>
      <c r="G79">
        <v>171874</v>
      </c>
      <c r="H79" s="116"/>
      <c r="I79" s="116"/>
      <c r="L79" s="165">
        <v>44712</v>
      </c>
      <c r="M79" s="116">
        <v>668.55</v>
      </c>
      <c r="N79" s="116">
        <v>691.1</v>
      </c>
      <c r="O79" s="116">
        <v>661.6</v>
      </c>
      <c r="P79" s="116">
        <v>670</v>
      </c>
      <c r="Q79" s="116">
        <v>668.55</v>
      </c>
      <c r="R79">
        <v>1897011</v>
      </c>
    </row>
    <row r="80" spans="1:18" x14ac:dyDescent="0.25">
      <c r="A80" s="165">
        <v>44713</v>
      </c>
      <c r="B80" s="116">
        <v>680</v>
      </c>
      <c r="C80" s="116">
        <v>644.95000000000005</v>
      </c>
      <c r="D80" s="116">
        <v>637</v>
      </c>
      <c r="E80" s="116">
        <v>646.79999999999995</v>
      </c>
      <c r="F80" s="116">
        <v>644.95000000000005</v>
      </c>
      <c r="G80">
        <v>394907</v>
      </c>
      <c r="H80" s="116"/>
      <c r="I80" s="116"/>
      <c r="L80" s="165">
        <v>44713</v>
      </c>
      <c r="M80" s="116">
        <v>645.85</v>
      </c>
      <c r="N80" s="116">
        <v>675</v>
      </c>
      <c r="O80" s="116">
        <v>635.15</v>
      </c>
      <c r="P80" s="116">
        <v>657</v>
      </c>
      <c r="Q80" s="116">
        <v>645.85</v>
      </c>
      <c r="R80">
        <v>2009818</v>
      </c>
    </row>
    <row r="81" spans="1:18" x14ac:dyDescent="0.25">
      <c r="A81" s="165">
        <v>44714</v>
      </c>
      <c r="B81" s="116">
        <v>677.15</v>
      </c>
      <c r="C81" s="116">
        <v>677.15</v>
      </c>
      <c r="D81" s="116">
        <v>632</v>
      </c>
      <c r="E81" s="116">
        <v>644.1</v>
      </c>
      <c r="F81" s="116">
        <v>677.15</v>
      </c>
      <c r="G81">
        <v>137627</v>
      </c>
      <c r="H81" s="116"/>
      <c r="I81" s="116"/>
      <c r="L81" s="165">
        <v>44714</v>
      </c>
      <c r="M81" s="116">
        <v>678.1</v>
      </c>
      <c r="N81" s="116">
        <v>678.1</v>
      </c>
      <c r="O81" s="116">
        <v>631</v>
      </c>
      <c r="P81" s="116">
        <v>644</v>
      </c>
      <c r="Q81" s="116">
        <v>678.1</v>
      </c>
      <c r="R81">
        <v>1887742</v>
      </c>
    </row>
    <row r="82" spans="1:18" x14ac:dyDescent="0.25">
      <c r="A82" s="165">
        <v>44715</v>
      </c>
      <c r="B82" s="116">
        <v>694</v>
      </c>
      <c r="C82" s="116">
        <v>663.35</v>
      </c>
      <c r="D82" s="116">
        <v>655</v>
      </c>
      <c r="E82" s="116">
        <v>687.9</v>
      </c>
      <c r="F82" s="116">
        <v>663.35</v>
      </c>
      <c r="G82">
        <v>140001</v>
      </c>
      <c r="H82" s="116"/>
      <c r="I82" s="116"/>
      <c r="L82" s="165">
        <v>44715</v>
      </c>
      <c r="M82" s="116">
        <v>662.75</v>
      </c>
      <c r="N82" s="116">
        <v>688</v>
      </c>
      <c r="O82" s="116">
        <v>651.6</v>
      </c>
      <c r="P82" s="116">
        <v>687</v>
      </c>
      <c r="Q82" s="116">
        <v>662.75</v>
      </c>
      <c r="R82">
        <v>1525390</v>
      </c>
    </row>
    <row r="83" spans="1:18" x14ac:dyDescent="0.25">
      <c r="A83" s="165">
        <v>44718</v>
      </c>
      <c r="B83" s="116">
        <v>688</v>
      </c>
      <c r="C83" s="116">
        <v>677.65</v>
      </c>
      <c r="D83" s="116">
        <v>637</v>
      </c>
      <c r="E83" s="116">
        <v>663.35</v>
      </c>
      <c r="F83" s="116">
        <v>677.65</v>
      </c>
      <c r="G83">
        <v>263609</v>
      </c>
      <c r="H83" s="116"/>
      <c r="I83" s="116"/>
      <c r="L83" s="165">
        <v>44718</v>
      </c>
      <c r="M83" s="116">
        <v>679.85</v>
      </c>
      <c r="N83" s="116">
        <v>690.05</v>
      </c>
      <c r="O83" s="116">
        <v>636</v>
      </c>
      <c r="P83" s="116">
        <v>665</v>
      </c>
      <c r="Q83" s="116">
        <v>679.85</v>
      </c>
      <c r="R83">
        <v>1438315</v>
      </c>
    </row>
    <row r="84" spans="1:18" x14ac:dyDescent="0.25">
      <c r="A84" s="165">
        <v>44719</v>
      </c>
      <c r="B84" s="116">
        <v>680</v>
      </c>
      <c r="C84" s="116">
        <v>662.45</v>
      </c>
      <c r="D84" s="116">
        <v>659</v>
      </c>
      <c r="E84" s="116">
        <v>670</v>
      </c>
      <c r="F84" s="116">
        <v>662.45</v>
      </c>
      <c r="G84">
        <v>76956</v>
      </c>
      <c r="H84" s="116"/>
      <c r="I84" s="116"/>
      <c r="L84" s="165">
        <v>44719</v>
      </c>
      <c r="M84" s="116">
        <v>662.85</v>
      </c>
      <c r="N84" s="116">
        <v>675</v>
      </c>
      <c r="O84" s="116">
        <v>655</v>
      </c>
      <c r="P84" s="116">
        <v>666.25</v>
      </c>
      <c r="Q84" s="116">
        <v>662.85</v>
      </c>
      <c r="R84">
        <v>851786</v>
      </c>
    </row>
    <row r="85" spans="1:18" x14ac:dyDescent="0.25">
      <c r="A85" s="165">
        <v>44720</v>
      </c>
      <c r="B85" s="116">
        <v>669</v>
      </c>
      <c r="C85" s="116">
        <v>652.04999999999995</v>
      </c>
      <c r="D85" s="116">
        <v>650</v>
      </c>
      <c r="E85" s="116">
        <v>665</v>
      </c>
      <c r="F85" s="116">
        <v>652.04999999999995</v>
      </c>
      <c r="G85">
        <v>87358</v>
      </c>
      <c r="H85" s="116"/>
      <c r="I85" s="116"/>
      <c r="L85" s="165">
        <v>44720</v>
      </c>
      <c r="M85" s="116">
        <v>651.70000000000005</v>
      </c>
      <c r="N85" s="116">
        <v>669</v>
      </c>
      <c r="O85" s="116">
        <v>650</v>
      </c>
      <c r="P85" s="116">
        <v>669</v>
      </c>
      <c r="Q85" s="116">
        <v>651.70000000000005</v>
      </c>
      <c r="R85">
        <v>933358</v>
      </c>
    </row>
    <row r="86" spans="1:18" x14ac:dyDescent="0.25">
      <c r="A86" s="165">
        <v>44721</v>
      </c>
      <c r="B86" s="116">
        <v>668</v>
      </c>
      <c r="C86" s="116">
        <v>643.5</v>
      </c>
      <c r="D86" s="116">
        <v>630</v>
      </c>
      <c r="E86" s="116">
        <v>644.35</v>
      </c>
      <c r="F86" s="116">
        <v>643.5</v>
      </c>
      <c r="G86">
        <v>232722</v>
      </c>
      <c r="H86" s="116"/>
      <c r="I86" s="116"/>
      <c r="L86" s="165">
        <v>44721</v>
      </c>
      <c r="M86" s="116">
        <v>643.20000000000005</v>
      </c>
      <c r="N86" s="116">
        <v>658.9</v>
      </c>
      <c r="O86" s="116">
        <v>632.9</v>
      </c>
      <c r="P86" s="116">
        <v>650</v>
      </c>
      <c r="Q86" s="116">
        <v>643.20000000000005</v>
      </c>
      <c r="R86">
        <v>1148628</v>
      </c>
    </row>
    <row r="87" spans="1:18" x14ac:dyDescent="0.25">
      <c r="A87" s="165">
        <v>44722</v>
      </c>
      <c r="B87" s="116">
        <v>637</v>
      </c>
      <c r="C87" s="116">
        <v>622.85</v>
      </c>
      <c r="D87" s="116">
        <v>620</v>
      </c>
      <c r="E87" s="116">
        <v>629</v>
      </c>
      <c r="F87" s="116">
        <v>622.85</v>
      </c>
      <c r="G87">
        <v>225491</v>
      </c>
      <c r="H87" s="116"/>
      <c r="I87" s="116"/>
      <c r="L87" s="165">
        <v>44722</v>
      </c>
      <c r="M87" s="116">
        <v>622.6</v>
      </c>
      <c r="N87" s="116">
        <v>639.79999999999995</v>
      </c>
      <c r="O87" s="116">
        <v>620.5</v>
      </c>
      <c r="P87" s="116">
        <v>629</v>
      </c>
      <c r="Q87" s="116">
        <v>622.6</v>
      </c>
      <c r="R87">
        <v>1052098</v>
      </c>
    </row>
    <row r="88" spans="1:18" x14ac:dyDescent="0.25">
      <c r="A88" s="165">
        <v>44725</v>
      </c>
      <c r="B88" s="116">
        <v>610</v>
      </c>
      <c r="C88" s="116">
        <v>591.75</v>
      </c>
      <c r="D88" s="116">
        <v>591.75</v>
      </c>
      <c r="E88" s="116">
        <v>591.75</v>
      </c>
      <c r="F88" s="116">
        <v>591.75</v>
      </c>
      <c r="G88">
        <v>422329</v>
      </c>
      <c r="H88" s="116"/>
      <c r="I88" s="116"/>
      <c r="L88" s="165">
        <v>44725</v>
      </c>
      <c r="M88" s="116">
        <v>591.5</v>
      </c>
      <c r="N88" s="116">
        <v>612.79999999999995</v>
      </c>
      <c r="O88" s="116">
        <v>591.5</v>
      </c>
      <c r="P88" s="116">
        <v>591.5</v>
      </c>
      <c r="Q88" s="116">
        <v>591.5</v>
      </c>
      <c r="R88">
        <v>2232214</v>
      </c>
    </row>
    <row r="89" spans="1:18" x14ac:dyDescent="0.25">
      <c r="A89" s="165">
        <v>44726</v>
      </c>
      <c r="B89" s="116">
        <v>621.29999999999995</v>
      </c>
      <c r="C89" s="116">
        <v>620.9</v>
      </c>
      <c r="D89" s="116">
        <v>576.54999999999995</v>
      </c>
      <c r="E89" s="116">
        <v>585</v>
      </c>
      <c r="F89" s="116">
        <v>620.9</v>
      </c>
      <c r="G89">
        <v>346035</v>
      </c>
      <c r="H89" s="116"/>
      <c r="I89" s="116"/>
      <c r="L89" s="165">
        <v>44726</v>
      </c>
      <c r="M89" s="116">
        <v>621</v>
      </c>
      <c r="N89" s="116">
        <v>621.04999999999995</v>
      </c>
      <c r="O89" s="116">
        <v>580</v>
      </c>
      <c r="P89" s="116">
        <v>590</v>
      </c>
      <c r="Q89" s="116">
        <v>621</v>
      </c>
      <c r="R89">
        <v>1786917</v>
      </c>
    </row>
    <row r="90" spans="1:18" x14ac:dyDescent="0.25">
      <c r="A90" s="165">
        <v>44727</v>
      </c>
      <c r="B90" s="116">
        <v>649.45000000000005</v>
      </c>
      <c r="C90" s="116">
        <v>631.85</v>
      </c>
      <c r="D90" s="116">
        <v>622</v>
      </c>
      <c r="E90" s="116">
        <v>630.04999999999995</v>
      </c>
      <c r="F90" s="116">
        <v>631.85</v>
      </c>
      <c r="G90">
        <v>99141</v>
      </c>
      <c r="H90" s="116"/>
      <c r="I90" s="116"/>
      <c r="L90" s="165">
        <v>44727</v>
      </c>
      <c r="M90" s="116">
        <v>632.9</v>
      </c>
      <c r="N90" s="116">
        <v>649</v>
      </c>
      <c r="O90" s="116">
        <v>621</v>
      </c>
      <c r="P90" s="116">
        <v>631.15</v>
      </c>
      <c r="Q90" s="116">
        <v>632.9</v>
      </c>
      <c r="R90">
        <v>940691</v>
      </c>
    </row>
    <row r="91" spans="1:18" x14ac:dyDescent="0.25">
      <c r="A91" s="165">
        <v>44728</v>
      </c>
      <c r="B91" s="116">
        <v>649.9</v>
      </c>
      <c r="C91" s="116">
        <v>600.29999999999995</v>
      </c>
      <c r="D91" s="116">
        <v>600.29999999999995</v>
      </c>
      <c r="E91" s="116">
        <v>649.9</v>
      </c>
      <c r="F91" s="116">
        <v>600.29999999999995</v>
      </c>
      <c r="G91">
        <v>190584</v>
      </c>
      <c r="H91" s="116"/>
      <c r="I91" s="116"/>
      <c r="L91" s="165">
        <v>44728</v>
      </c>
      <c r="M91" s="116">
        <v>601.29999999999995</v>
      </c>
      <c r="N91" s="116">
        <v>650</v>
      </c>
      <c r="O91" s="116">
        <v>601.29999999999995</v>
      </c>
      <c r="P91" s="116">
        <v>648</v>
      </c>
      <c r="Q91" s="116">
        <v>601.29999999999995</v>
      </c>
      <c r="R91">
        <v>1342407</v>
      </c>
    </row>
    <row r="92" spans="1:18" x14ac:dyDescent="0.25">
      <c r="A92" s="165">
        <v>44729</v>
      </c>
      <c r="B92" s="116">
        <v>614</v>
      </c>
      <c r="C92" s="116">
        <v>582.4</v>
      </c>
      <c r="D92" s="116">
        <v>571</v>
      </c>
      <c r="E92" s="116">
        <v>598.9</v>
      </c>
      <c r="F92" s="116">
        <v>582.4</v>
      </c>
      <c r="G92">
        <v>215273</v>
      </c>
      <c r="H92" s="116"/>
      <c r="I92" s="116"/>
      <c r="L92" s="165">
        <v>44729</v>
      </c>
      <c r="M92" s="116">
        <v>584.70000000000005</v>
      </c>
      <c r="N92" s="116">
        <v>621.4</v>
      </c>
      <c r="O92" s="116">
        <v>571.5</v>
      </c>
      <c r="P92" s="116">
        <v>581</v>
      </c>
      <c r="Q92" s="116">
        <v>584.70000000000005</v>
      </c>
      <c r="R92">
        <v>6004473</v>
      </c>
    </row>
    <row r="93" spans="1:18" x14ac:dyDescent="0.25">
      <c r="A93" s="165">
        <v>44732</v>
      </c>
      <c r="B93" s="116">
        <v>587.70000000000005</v>
      </c>
      <c r="C93" s="116">
        <v>553.29999999999995</v>
      </c>
      <c r="D93" s="116">
        <v>553.29999999999995</v>
      </c>
      <c r="E93" s="116">
        <v>579</v>
      </c>
      <c r="F93" s="116">
        <v>553.29999999999995</v>
      </c>
      <c r="G93">
        <v>218121</v>
      </c>
      <c r="H93" s="116"/>
      <c r="I93" s="116"/>
      <c r="L93" s="165">
        <v>44732</v>
      </c>
      <c r="M93" s="116">
        <v>555.5</v>
      </c>
      <c r="N93" s="116">
        <v>587.70000000000005</v>
      </c>
      <c r="O93" s="116">
        <v>555.5</v>
      </c>
      <c r="P93" s="116">
        <v>579</v>
      </c>
      <c r="Q93" s="116">
        <v>555.5</v>
      </c>
      <c r="R93">
        <v>1690266</v>
      </c>
    </row>
    <row r="94" spans="1:18" x14ac:dyDescent="0.25">
      <c r="A94" s="165">
        <v>44733</v>
      </c>
      <c r="B94" s="116">
        <v>579.1</v>
      </c>
      <c r="C94" s="116">
        <v>574.35</v>
      </c>
      <c r="D94" s="116">
        <v>534</v>
      </c>
      <c r="E94" s="116">
        <v>553.29999999999995</v>
      </c>
      <c r="F94" s="116">
        <v>574.35</v>
      </c>
      <c r="G94">
        <v>172635</v>
      </c>
      <c r="H94" s="116"/>
      <c r="I94" s="116"/>
      <c r="L94" s="165">
        <v>44733</v>
      </c>
      <c r="M94" s="116">
        <v>574.04999999999995</v>
      </c>
      <c r="N94" s="116">
        <v>579.5</v>
      </c>
      <c r="O94" s="116">
        <v>532.65</v>
      </c>
      <c r="P94" s="116">
        <v>555</v>
      </c>
      <c r="Q94" s="116">
        <v>574.04999999999995</v>
      </c>
      <c r="R94">
        <v>1533006</v>
      </c>
    </row>
    <row r="95" spans="1:18" x14ac:dyDescent="0.25">
      <c r="A95" s="165">
        <v>44734</v>
      </c>
      <c r="B95" s="116">
        <v>571.79999999999995</v>
      </c>
      <c r="C95" s="116">
        <v>558.5</v>
      </c>
      <c r="D95" s="116">
        <v>554</v>
      </c>
      <c r="E95" s="116">
        <v>565</v>
      </c>
      <c r="F95" s="116">
        <v>558.5</v>
      </c>
      <c r="G95">
        <v>128800</v>
      </c>
      <c r="H95" s="116"/>
      <c r="I95" s="116"/>
      <c r="L95" s="165">
        <v>44734</v>
      </c>
      <c r="M95" s="116">
        <v>559.04999999999995</v>
      </c>
      <c r="N95" s="116">
        <v>573.70000000000005</v>
      </c>
      <c r="O95" s="116">
        <v>551.5</v>
      </c>
      <c r="P95" s="116">
        <v>567</v>
      </c>
      <c r="Q95" s="116">
        <v>559.04999999999995</v>
      </c>
      <c r="R95">
        <v>762390</v>
      </c>
    </row>
    <row r="96" spans="1:18" x14ac:dyDescent="0.25">
      <c r="A96" s="165">
        <v>44735</v>
      </c>
      <c r="B96" s="116">
        <v>571.85</v>
      </c>
      <c r="C96" s="116">
        <v>559.04999999999995</v>
      </c>
      <c r="D96" s="116">
        <v>551</v>
      </c>
      <c r="E96" s="116">
        <v>554.70000000000005</v>
      </c>
      <c r="F96" s="116">
        <v>559.04999999999995</v>
      </c>
      <c r="G96">
        <v>76041</v>
      </c>
      <c r="H96" s="116"/>
      <c r="I96" s="116"/>
      <c r="L96" s="165">
        <v>44735</v>
      </c>
      <c r="M96" s="116">
        <v>558.85</v>
      </c>
      <c r="N96" s="116">
        <v>571.9</v>
      </c>
      <c r="O96" s="116">
        <v>550.20000000000005</v>
      </c>
      <c r="P96" s="116">
        <v>555</v>
      </c>
      <c r="Q96" s="116">
        <v>558.85</v>
      </c>
      <c r="R96">
        <v>852711</v>
      </c>
    </row>
    <row r="97" spans="1:18" x14ac:dyDescent="0.25">
      <c r="A97" s="165">
        <v>44736</v>
      </c>
      <c r="B97" s="116">
        <v>587</v>
      </c>
      <c r="C97" s="116">
        <v>585.4</v>
      </c>
      <c r="D97" s="116">
        <v>560</v>
      </c>
      <c r="E97" s="116">
        <v>562</v>
      </c>
      <c r="F97" s="116">
        <v>585.4</v>
      </c>
      <c r="G97">
        <v>244082</v>
      </c>
      <c r="H97" s="116"/>
      <c r="I97" s="116"/>
      <c r="L97" s="165">
        <v>44736</v>
      </c>
      <c r="M97" s="116">
        <v>585.04999999999995</v>
      </c>
      <c r="N97" s="116">
        <v>586.75</v>
      </c>
      <c r="O97" s="116">
        <v>561</v>
      </c>
      <c r="P97" s="116">
        <v>566.9</v>
      </c>
      <c r="Q97" s="116">
        <v>585.04999999999995</v>
      </c>
      <c r="R97">
        <v>1085340</v>
      </c>
    </row>
    <row r="98" spans="1:18" x14ac:dyDescent="0.25">
      <c r="A98" s="165">
        <v>44739</v>
      </c>
      <c r="B98" s="116">
        <v>609.9</v>
      </c>
      <c r="C98" s="116">
        <v>598.20000000000005</v>
      </c>
      <c r="D98" s="116">
        <v>592.1</v>
      </c>
      <c r="E98" s="116">
        <v>598</v>
      </c>
      <c r="F98" s="116">
        <v>598.20000000000005</v>
      </c>
      <c r="G98">
        <v>169299</v>
      </c>
      <c r="H98" s="116"/>
      <c r="I98" s="116"/>
      <c r="L98" s="165">
        <v>44739</v>
      </c>
      <c r="M98" s="116">
        <v>598.4</v>
      </c>
      <c r="N98" s="116">
        <v>609.79999999999995</v>
      </c>
      <c r="O98" s="116">
        <v>592</v>
      </c>
      <c r="P98" s="116">
        <v>599</v>
      </c>
      <c r="Q98" s="116">
        <v>598.4</v>
      </c>
      <c r="R98">
        <v>1020577</v>
      </c>
    </row>
    <row r="99" spans="1:18" x14ac:dyDescent="0.25">
      <c r="A99" s="165">
        <v>44740</v>
      </c>
      <c r="B99" s="116">
        <v>602.9</v>
      </c>
      <c r="C99" s="116">
        <v>593.29999999999995</v>
      </c>
      <c r="D99" s="116">
        <v>575.20000000000005</v>
      </c>
      <c r="E99" s="116">
        <v>592</v>
      </c>
      <c r="F99" s="116">
        <v>593.29999999999995</v>
      </c>
      <c r="G99">
        <v>60408</v>
      </c>
      <c r="H99" s="116"/>
      <c r="I99" s="116"/>
      <c r="L99" s="165">
        <v>44740</v>
      </c>
      <c r="M99" s="116">
        <v>592</v>
      </c>
      <c r="N99" s="116">
        <v>603</v>
      </c>
      <c r="O99" s="116">
        <v>582.25</v>
      </c>
      <c r="P99" s="116">
        <v>587.04999999999995</v>
      </c>
      <c r="Q99" s="116">
        <v>592</v>
      </c>
      <c r="R99">
        <v>694084</v>
      </c>
    </row>
    <row r="100" spans="1:18" x14ac:dyDescent="0.25">
      <c r="A100" s="165">
        <v>44741</v>
      </c>
      <c r="B100" s="116">
        <v>597.95000000000005</v>
      </c>
      <c r="C100" s="116">
        <v>583.95000000000005</v>
      </c>
      <c r="D100" s="116">
        <v>579.45000000000005</v>
      </c>
      <c r="E100" s="116">
        <v>579.45000000000005</v>
      </c>
      <c r="F100" s="116">
        <v>583.95000000000005</v>
      </c>
      <c r="G100">
        <v>124056</v>
      </c>
      <c r="H100" s="116"/>
      <c r="I100" s="116"/>
      <c r="L100" s="165">
        <v>44741</v>
      </c>
      <c r="M100" s="116">
        <v>584.45000000000005</v>
      </c>
      <c r="N100" s="116">
        <v>597</v>
      </c>
      <c r="O100" s="116">
        <v>572</v>
      </c>
      <c r="P100" s="116">
        <v>584</v>
      </c>
      <c r="Q100" s="116">
        <v>584.45000000000005</v>
      </c>
      <c r="R100">
        <v>579496</v>
      </c>
    </row>
    <row r="101" spans="1:18" x14ac:dyDescent="0.25">
      <c r="A101" s="165">
        <v>44742</v>
      </c>
      <c r="B101" s="116">
        <v>594.54999999999995</v>
      </c>
      <c r="C101" s="116">
        <v>574.95000000000005</v>
      </c>
      <c r="D101" s="116">
        <v>571.20000000000005</v>
      </c>
      <c r="E101" s="116">
        <v>585</v>
      </c>
      <c r="F101" s="116">
        <v>574.95000000000005</v>
      </c>
      <c r="G101">
        <v>57820</v>
      </c>
      <c r="H101" s="116"/>
      <c r="I101" s="116"/>
      <c r="L101" s="165">
        <v>44742</v>
      </c>
      <c r="M101" s="116">
        <v>574.15</v>
      </c>
      <c r="N101" s="116">
        <v>593.9</v>
      </c>
      <c r="O101" s="116">
        <v>571.25</v>
      </c>
      <c r="P101" s="116">
        <v>585</v>
      </c>
      <c r="Q101" s="116">
        <v>574.15</v>
      </c>
      <c r="R101">
        <v>758969</v>
      </c>
    </row>
    <row r="102" spans="1:18" x14ac:dyDescent="0.25">
      <c r="A102" s="165">
        <v>44743</v>
      </c>
      <c r="B102" s="116">
        <v>589</v>
      </c>
      <c r="C102" s="116">
        <v>584.6</v>
      </c>
      <c r="D102" s="116">
        <v>553.35</v>
      </c>
      <c r="E102" s="116">
        <v>570</v>
      </c>
      <c r="F102" s="116">
        <v>584.6</v>
      </c>
      <c r="G102">
        <v>139096</v>
      </c>
      <c r="H102" s="116"/>
      <c r="I102" s="116"/>
      <c r="L102" s="165">
        <v>44743</v>
      </c>
      <c r="M102" s="116">
        <v>586</v>
      </c>
      <c r="N102" s="116">
        <v>590</v>
      </c>
      <c r="O102" s="116">
        <v>558.1</v>
      </c>
      <c r="P102" s="116">
        <v>571</v>
      </c>
      <c r="Q102" s="116">
        <v>586</v>
      </c>
      <c r="R102">
        <v>980990</v>
      </c>
    </row>
    <row r="103" spans="1:18" x14ac:dyDescent="0.25">
      <c r="A103" s="165">
        <v>44746</v>
      </c>
      <c r="B103" s="116">
        <v>593</v>
      </c>
      <c r="C103" s="116">
        <v>580.35</v>
      </c>
      <c r="D103" s="116">
        <v>572.15</v>
      </c>
      <c r="E103" s="116">
        <v>586.45000000000005</v>
      </c>
      <c r="F103" s="116">
        <v>580.35</v>
      </c>
      <c r="G103">
        <v>46655</v>
      </c>
      <c r="H103" s="116"/>
      <c r="I103" s="116"/>
      <c r="L103" s="165">
        <v>44746</v>
      </c>
      <c r="M103" s="116">
        <v>580.6</v>
      </c>
      <c r="N103" s="116">
        <v>594</v>
      </c>
      <c r="O103" s="116">
        <v>575.5</v>
      </c>
      <c r="P103" s="116">
        <v>588.85</v>
      </c>
      <c r="Q103" s="116">
        <v>580.6</v>
      </c>
      <c r="R103">
        <v>649489</v>
      </c>
    </row>
    <row r="104" spans="1:18" x14ac:dyDescent="0.25">
      <c r="A104" s="165">
        <v>44747</v>
      </c>
      <c r="B104" s="116">
        <v>591.95000000000005</v>
      </c>
      <c r="C104" s="116">
        <v>581.45000000000005</v>
      </c>
      <c r="D104" s="116">
        <v>580</v>
      </c>
      <c r="E104" s="116">
        <v>588.95000000000005</v>
      </c>
      <c r="F104" s="116">
        <v>581.45000000000005</v>
      </c>
      <c r="G104">
        <v>45845</v>
      </c>
      <c r="H104" s="116"/>
      <c r="I104" s="116"/>
      <c r="L104" s="165">
        <v>44747</v>
      </c>
      <c r="M104" s="116">
        <v>582.04999999999995</v>
      </c>
      <c r="N104" s="116">
        <v>592</v>
      </c>
      <c r="O104" s="116">
        <v>581</v>
      </c>
      <c r="P104" s="116">
        <v>592</v>
      </c>
      <c r="Q104" s="116">
        <v>582.04999999999995</v>
      </c>
      <c r="R104">
        <v>822251</v>
      </c>
    </row>
    <row r="105" spans="1:18" x14ac:dyDescent="0.25">
      <c r="A105" s="165">
        <v>44748</v>
      </c>
      <c r="B105" s="116">
        <v>589.75</v>
      </c>
      <c r="C105" s="116">
        <v>576.65</v>
      </c>
      <c r="D105" s="116">
        <v>573</v>
      </c>
      <c r="E105" s="116">
        <v>581.45000000000005</v>
      </c>
      <c r="F105" s="116">
        <v>576.65</v>
      </c>
      <c r="G105">
        <v>60807</v>
      </c>
      <c r="H105" s="116"/>
      <c r="I105" s="116"/>
      <c r="L105" s="165">
        <v>44748</v>
      </c>
      <c r="M105" s="116">
        <v>576.70000000000005</v>
      </c>
      <c r="N105" s="116">
        <v>587.4</v>
      </c>
      <c r="O105" s="116">
        <v>574</v>
      </c>
      <c r="P105" s="116">
        <v>580.25</v>
      </c>
      <c r="Q105" s="116">
        <v>576.70000000000005</v>
      </c>
      <c r="R105">
        <v>1011855</v>
      </c>
    </row>
    <row r="106" spans="1:18" x14ac:dyDescent="0.25">
      <c r="A106" s="165">
        <v>44749</v>
      </c>
      <c r="B106" s="116">
        <v>600</v>
      </c>
      <c r="C106" s="116">
        <v>595.70000000000005</v>
      </c>
      <c r="D106" s="116">
        <v>579.1</v>
      </c>
      <c r="E106" s="116">
        <v>579.1</v>
      </c>
      <c r="F106" s="116">
        <v>595.70000000000005</v>
      </c>
      <c r="G106">
        <v>81160</v>
      </c>
      <c r="H106" s="116"/>
      <c r="I106" s="116"/>
      <c r="L106" s="165">
        <v>44749</v>
      </c>
      <c r="M106" s="116">
        <v>595.9</v>
      </c>
      <c r="N106" s="116">
        <v>599</v>
      </c>
      <c r="O106" s="116">
        <v>580</v>
      </c>
      <c r="P106" s="116">
        <v>582</v>
      </c>
      <c r="Q106" s="116">
        <v>595.9</v>
      </c>
      <c r="R106">
        <v>1209630</v>
      </c>
    </row>
    <row r="107" spans="1:18" x14ac:dyDescent="0.25">
      <c r="A107" s="165">
        <v>44750</v>
      </c>
      <c r="B107" s="116">
        <v>597.5</v>
      </c>
      <c r="C107" s="116">
        <v>587.9</v>
      </c>
      <c r="D107" s="116">
        <v>582</v>
      </c>
      <c r="E107" s="116">
        <v>594</v>
      </c>
      <c r="F107" s="116">
        <v>587.9</v>
      </c>
      <c r="G107">
        <v>51656</v>
      </c>
      <c r="H107" s="116"/>
      <c r="I107" s="116"/>
      <c r="L107" s="165">
        <v>44750</v>
      </c>
      <c r="M107" s="116">
        <v>588.29999999999995</v>
      </c>
      <c r="N107" s="116">
        <v>595.70000000000005</v>
      </c>
      <c r="O107" s="116">
        <v>581</v>
      </c>
      <c r="P107" s="116">
        <v>595.70000000000005</v>
      </c>
      <c r="Q107" s="116">
        <v>588.29999999999995</v>
      </c>
      <c r="R107">
        <v>573367</v>
      </c>
    </row>
    <row r="108" spans="1:18" x14ac:dyDescent="0.25">
      <c r="A108" s="165">
        <v>44753</v>
      </c>
      <c r="B108" s="116">
        <v>617.25</v>
      </c>
      <c r="C108" s="116">
        <v>617.25</v>
      </c>
      <c r="D108" s="116">
        <v>565</v>
      </c>
      <c r="E108" s="116">
        <v>580.45000000000005</v>
      </c>
      <c r="F108" s="116">
        <v>617.25</v>
      </c>
      <c r="G108">
        <v>130774</v>
      </c>
      <c r="H108" s="116"/>
      <c r="I108" s="116"/>
      <c r="L108" s="165">
        <v>44753</v>
      </c>
      <c r="M108" s="116">
        <v>617.65</v>
      </c>
      <c r="N108" s="116">
        <v>617.70000000000005</v>
      </c>
      <c r="O108" s="116">
        <v>580</v>
      </c>
      <c r="P108" s="116">
        <v>584</v>
      </c>
      <c r="Q108" s="116">
        <v>617.65</v>
      </c>
      <c r="R108">
        <v>2029258</v>
      </c>
    </row>
    <row r="109" spans="1:18" x14ac:dyDescent="0.25">
      <c r="A109" s="165">
        <v>44754</v>
      </c>
      <c r="B109" s="116">
        <v>648.1</v>
      </c>
      <c r="C109" s="116">
        <v>647.95000000000005</v>
      </c>
      <c r="D109" s="116">
        <v>607.1</v>
      </c>
      <c r="E109" s="116">
        <v>612</v>
      </c>
      <c r="F109" s="116">
        <v>647.95000000000005</v>
      </c>
      <c r="G109">
        <v>177911</v>
      </c>
      <c r="H109" s="116"/>
      <c r="I109" s="116"/>
      <c r="L109" s="165">
        <v>44754</v>
      </c>
      <c r="M109" s="116">
        <v>648.29999999999995</v>
      </c>
      <c r="N109" s="116">
        <v>648.5</v>
      </c>
      <c r="O109" s="116">
        <v>608</v>
      </c>
      <c r="P109" s="116">
        <v>610.70000000000005</v>
      </c>
      <c r="Q109" s="116">
        <v>648.29999999999995</v>
      </c>
      <c r="R109">
        <v>2448406</v>
      </c>
    </row>
    <row r="110" spans="1:18" x14ac:dyDescent="0.25">
      <c r="A110" s="165">
        <v>44755</v>
      </c>
      <c r="B110" s="116">
        <v>672</v>
      </c>
      <c r="C110" s="116">
        <v>643.45000000000005</v>
      </c>
      <c r="D110" s="116">
        <v>631</v>
      </c>
      <c r="E110" s="116">
        <v>659.7</v>
      </c>
      <c r="F110" s="116">
        <v>643.45000000000005</v>
      </c>
      <c r="G110">
        <v>122252</v>
      </c>
      <c r="H110" s="116"/>
      <c r="I110" s="116"/>
      <c r="L110" s="165">
        <v>44755</v>
      </c>
      <c r="M110" s="116">
        <v>639</v>
      </c>
      <c r="N110" s="116">
        <v>667</v>
      </c>
      <c r="O110" s="116">
        <v>630.70000000000005</v>
      </c>
      <c r="P110" s="116">
        <v>661.3</v>
      </c>
      <c r="Q110" s="116">
        <v>639</v>
      </c>
      <c r="R110">
        <v>1650122</v>
      </c>
    </row>
    <row r="111" spans="1:18" x14ac:dyDescent="0.25">
      <c r="A111" s="165">
        <v>44756</v>
      </c>
      <c r="B111" s="116">
        <v>643</v>
      </c>
      <c r="C111" s="116">
        <v>626.85</v>
      </c>
      <c r="D111" s="116">
        <v>611.29999999999995</v>
      </c>
      <c r="E111" s="116">
        <v>640</v>
      </c>
      <c r="F111" s="116">
        <v>626.85</v>
      </c>
      <c r="G111">
        <v>207028</v>
      </c>
      <c r="H111" s="116"/>
      <c r="I111" s="116"/>
      <c r="L111" s="165">
        <v>44756</v>
      </c>
      <c r="M111" s="116">
        <v>627.85</v>
      </c>
      <c r="N111" s="116">
        <v>644.70000000000005</v>
      </c>
      <c r="O111" s="116">
        <v>611</v>
      </c>
      <c r="P111" s="116">
        <v>639</v>
      </c>
      <c r="Q111" s="116">
        <v>627.85</v>
      </c>
      <c r="R111">
        <v>926766</v>
      </c>
    </row>
    <row r="112" spans="1:18" x14ac:dyDescent="0.25">
      <c r="A112" s="165">
        <v>44757</v>
      </c>
      <c r="B112" s="116">
        <v>639.95000000000005</v>
      </c>
      <c r="C112" s="116">
        <v>619.85</v>
      </c>
      <c r="D112" s="116">
        <v>611</v>
      </c>
      <c r="E112" s="116">
        <v>627.5</v>
      </c>
      <c r="F112" s="116">
        <v>619.85</v>
      </c>
      <c r="G112">
        <v>67747</v>
      </c>
      <c r="H112" s="116"/>
      <c r="I112" s="116"/>
      <c r="L112" s="165">
        <v>44757</v>
      </c>
      <c r="M112" s="116">
        <v>623.70000000000005</v>
      </c>
      <c r="N112" s="116">
        <v>644</v>
      </c>
      <c r="O112" s="116">
        <v>616.1</v>
      </c>
      <c r="P112" s="116">
        <v>631</v>
      </c>
      <c r="Q112" s="116">
        <v>623.70000000000005</v>
      </c>
      <c r="R112">
        <v>609670</v>
      </c>
    </row>
    <row r="113" spans="1:18" x14ac:dyDescent="0.25">
      <c r="A113" s="165">
        <v>44760</v>
      </c>
      <c r="B113" s="116">
        <v>639.70000000000005</v>
      </c>
      <c r="C113" s="116">
        <v>623.29999999999995</v>
      </c>
      <c r="D113" s="116">
        <v>620.25</v>
      </c>
      <c r="E113" s="116">
        <v>629.70000000000005</v>
      </c>
      <c r="F113" s="116">
        <v>623.29999999999995</v>
      </c>
      <c r="G113">
        <v>58791</v>
      </c>
      <c r="H113" s="116"/>
      <c r="I113" s="116"/>
      <c r="L113" s="165">
        <v>44760</v>
      </c>
      <c r="M113" s="116">
        <v>623.5</v>
      </c>
      <c r="N113" s="116">
        <v>635.5</v>
      </c>
      <c r="O113" s="116">
        <v>620</v>
      </c>
      <c r="P113" s="116">
        <v>629</v>
      </c>
      <c r="Q113" s="116">
        <v>623.5</v>
      </c>
      <c r="R113">
        <v>672360</v>
      </c>
    </row>
    <row r="114" spans="1:18" x14ac:dyDescent="0.25">
      <c r="A114" s="165">
        <v>44761</v>
      </c>
      <c r="B114" s="116">
        <v>621.6</v>
      </c>
      <c r="C114" s="116">
        <v>616.5</v>
      </c>
      <c r="D114" s="116">
        <v>602</v>
      </c>
      <c r="E114" s="116">
        <v>605</v>
      </c>
      <c r="F114" s="116">
        <v>616.5</v>
      </c>
      <c r="G114">
        <v>79530</v>
      </c>
      <c r="H114" s="116"/>
      <c r="I114" s="116"/>
      <c r="L114" s="165">
        <v>44761</v>
      </c>
      <c r="M114" s="116">
        <v>617.25</v>
      </c>
      <c r="N114" s="116">
        <v>621</v>
      </c>
      <c r="O114" s="116">
        <v>595.20000000000005</v>
      </c>
      <c r="P114" s="116">
        <v>595.20000000000005</v>
      </c>
      <c r="Q114" s="116">
        <v>617.25</v>
      </c>
      <c r="R114">
        <v>830374</v>
      </c>
    </row>
    <row r="115" spans="1:18" x14ac:dyDescent="0.25">
      <c r="A115" s="165">
        <v>44762</v>
      </c>
      <c r="B115" s="116">
        <v>628.9</v>
      </c>
      <c r="C115" s="116">
        <v>613.95000000000005</v>
      </c>
      <c r="D115" s="116">
        <v>609</v>
      </c>
      <c r="E115" s="116">
        <v>621</v>
      </c>
      <c r="F115" s="116">
        <v>613.95000000000005</v>
      </c>
      <c r="G115">
        <v>76768</v>
      </c>
      <c r="H115" s="116"/>
      <c r="I115" s="116"/>
      <c r="L115" s="165">
        <v>44762</v>
      </c>
      <c r="M115" s="116">
        <v>614.04999999999995</v>
      </c>
      <c r="N115" s="116">
        <v>628</v>
      </c>
      <c r="O115" s="116">
        <v>611.79999999999995</v>
      </c>
      <c r="P115" s="116">
        <v>624.85</v>
      </c>
      <c r="Q115" s="116">
        <v>614.04999999999995</v>
      </c>
      <c r="R115">
        <v>874479</v>
      </c>
    </row>
    <row r="116" spans="1:18" x14ac:dyDescent="0.25">
      <c r="A116" s="165">
        <v>44763</v>
      </c>
      <c r="B116" s="116">
        <v>621.5</v>
      </c>
      <c r="C116" s="116">
        <v>614.79999999999995</v>
      </c>
      <c r="D116" s="116">
        <v>612</v>
      </c>
      <c r="E116" s="116">
        <v>619.9</v>
      </c>
      <c r="F116" s="116">
        <v>614.79999999999995</v>
      </c>
      <c r="G116">
        <v>51647</v>
      </c>
      <c r="H116" s="116"/>
      <c r="I116" s="116"/>
      <c r="L116" s="165">
        <v>44763</v>
      </c>
      <c r="M116" s="116">
        <v>615</v>
      </c>
      <c r="N116" s="116">
        <v>621</v>
      </c>
      <c r="O116" s="116">
        <v>613</v>
      </c>
      <c r="P116" s="116">
        <v>615.25</v>
      </c>
      <c r="Q116" s="116">
        <v>615</v>
      </c>
      <c r="R116">
        <v>556245</v>
      </c>
    </row>
    <row r="117" spans="1:18" x14ac:dyDescent="0.25">
      <c r="A117" s="165">
        <v>44764</v>
      </c>
      <c r="B117" s="116">
        <v>622.9</v>
      </c>
      <c r="C117" s="116">
        <v>611.54999999999995</v>
      </c>
      <c r="D117" s="116">
        <v>610.04999999999995</v>
      </c>
      <c r="E117" s="116">
        <v>619.70000000000005</v>
      </c>
      <c r="F117" s="116">
        <v>611.54999999999995</v>
      </c>
      <c r="G117">
        <v>55384</v>
      </c>
      <c r="H117" s="116"/>
      <c r="I117" s="116"/>
      <c r="L117" s="165">
        <v>44764</v>
      </c>
      <c r="M117" s="116">
        <v>611.54999999999995</v>
      </c>
      <c r="N117" s="116">
        <v>621.79999999999995</v>
      </c>
      <c r="O117" s="116">
        <v>610</v>
      </c>
      <c r="P117" s="116">
        <v>620</v>
      </c>
      <c r="Q117" s="116">
        <v>611.54999999999995</v>
      </c>
      <c r="R117">
        <v>620535</v>
      </c>
    </row>
    <row r="118" spans="1:18" x14ac:dyDescent="0.25">
      <c r="A118" s="165">
        <v>44767</v>
      </c>
      <c r="B118" s="116">
        <v>641</v>
      </c>
      <c r="C118" s="116">
        <v>621.85</v>
      </c>
      <c r="D118" s="116">
        <v>590.25</v>
      </c>
      <c r="E118" s="116">
        <v>605.5</v>
      </c>
      <c r="F118" s="116">
        <v>621.85</v>
      </c>
      <c r="G118">
        <v>196060</v>
      </c>
      <c r="H118" s="116"/>
      <c r="I118" s="116"/>
      <c r="L118" s="165">
        <v>44767</v>
      </c>
      <c r="M118" s="116">
        <v>622.29999999999995</v>
      </c>
      <c r="N118" s="116">
        <v>638.1</v>
      </c>
      <c r="O118" s="116">
        <v>600</v>
      </c>
      <c r="P118" s="116">
        <v>611</v>
      </c>
      <c r="Q118" s="116">
        <v>622.29999999999995</v>
      </c>
      <c r="R118">
        <v>1075997</v>
      </c>
    </row>
    <row r="119" spans="1:18" x14ac:dyDescent="0.25">
      <c r="A119" s="165">
        <v>44768</v>
      </c>
      <c r="B119" s="116">
        <v>645</v>
      </c>
      <c r="C119" s="116">
        <v>633.20000000000005</v>
      </c>
      <c r="D119" s="116">
        <v>616.4</v>
      </c>
      <c r="E119" s="116">
        <v>626.5</v>
      </c>
      <c r="F119" s="116">
        <v>633.20000000000005</v>
      </c>
      <c r="G119">
        <v>124850</v>
      </c>
      <c r="H119" s="116"/>
      <c r="I119" s="116"/>
      <c r="L119" s="165">
        <v>44768</v>
      </c>
      <c r="M119" s="116">
        <v>634.04999999999995</v>
      </c>
      <c r="N119" s="116">
        <v>645</v>
      </c>
      <c r="O119" s="116">
        <v>615.54999999999995</v>
      </c>
      <c r="P119" s="116">
        <v>630</v>
      </c>
      <c r="Q119" s="116">
        <v>634.04999999999995</v>
      </c>
      <c r="R119">
        <v>1754433</v>
      </c>
    </row>
    <row r="120" spans="1:18" x14ac:dyDescent="0.25">
      <c r="A120" s="165">
        <v>44769</v>
      </c>
      <c r="B120" s="116">
        <v>649.9</v>
      </c>
      <c r="C120" s="116">
        <v>644.79999999999995</v>
      </c>
      <c r="D120" s="116">
        <v>625</v>
      </c>
      <c r="E120" s="116">
        <v>634</v>
      </c>
      <c r="F120" s="116">
        <v>644.79999999999995</v>
      </c>
      <c r="G120">
        <v>92504</v>
      </c>
      <c r="H120" s="116"/>
      <c r="I120" s="116"/>
      <c r="L120" s="165">
        <v>44769</v>
      </c>
      <c r="M120" s="116">
        <v>645.65</v>
      </c>
      <c r="N120" s="116">
        <v>650</v>
      </c>
      <c r="O120" s="116">
        <v>623</v>
      </c>
      <c r="P120" s="116">
        <v>631</v>
      </c>
      <c r="Q120" s="116">
        <v>645.65</v>
      </c>
      <c r="R120">
        <v>1108726</v>
      </c>
    </row>
    <row r="121" spans="1:18" x14ac:dyDescent="0.25">
      <c r="A121" s="165">
        <v>44770</v>
      </c>
      <c r="B121" s="116">
        <v>657.6</v>
      </c>
      <c r="C121" s="116">
        <v>644.85</v>
      </c>
      <c r="D121" s="116">
        <v>632</v>
      </c>
      <c r="E121" s="116">
        <v>649.29999999999995</v>
      </c>
      <c r="F121" s="116">
        <v>644.85</v>
      </c>
      <c r="G121">
        <v>101737</v>
      </c>
      <c r="H121" s="116"/>
      <c r="I121" s="116"/>
      <c r="L121" s="165">
        <v>44770</v>
      </c>
      <c r="M121" s="116">
        <v>645.45000000000005</v>
      </c>
      <c r="N121" s="116">
        <v>657</v>
      </c>
      <c r="O121" s="116">
        <v>635</v>
      </c>
      <c r="P121" s="116">
        <v>648.70000000000005</v>
      </c>
      <c r="Q121" s="116">
        <v>645.45000000000005</v>
      </c>
      <c r="R121">
        <v>1274752</v>
      </c>
    </row>
    <row r="122" spans="1:18" x14ac:dyDescent="0.25">
      <c r="A122" s="165">
        <v>44771</v>
      </c>
      <c r="B122" s="116">
        <v>665</v>
      </c>
      <c r="C122" s="116">
        <v>658.65</v>
      </c>
      <c r="D122" s="116">
        <v>631.25</v>
      </c>
      <c r="E122" s="116">
        <v>648.29999999999995</v>
      </c>
      <c r="F122" s="116">
        <v>658.65</v>
      </c>
      <c r="G122">
        <v>156778</v>
      </c>
      <c r="H122" s="116"/>
      <c r="I122" s="116"/>
      <c r="L122" s="165">
        <v>44771</v>
      </c>
      <c r="M122" s="116">
        <v>658.8</v>
      </c>
      <c r="N122" s="116">
        <v>665</v>
      </c>
      <c r="O122" s="116">
        <v>640</v>
      </c>
      <c r="P122" s="116">
        <v>650.04999999999995</v>
      </c>
      <c r="Q122" s="116">
        <v>658.8</v>
      </c>
      <c r="R122">
        <v>2051352</v>
      </c>
    </row>
    <row r="123" spans="1:18" x14ac:dyDescent="0.25">
      <c r="A123" s="165">
        <v>44774</v>
      </c>
      <c r="B123" s="116">
        <v>691.55</v>
      </c>
      <c r="C123" s="116">
        <v>691.55</v>
      </c>
      <c r="D123" s="116">
        <v>655</v>
      </c>
      <c r="E123" s="116">
        <v>659</v>
      </c>
      <c r="F123" s="116">
        <v>691.55</v>
      </c>
      <c r="G123">
        <v>171612</v>
      </c>
      <c r="H123" s="116"/>
      <c r="I123" s="116"/>
      <c r="L123" s="165">
        <v>44774</v>
      </c>
      <c r="M123" s="116">
        <v>691.7</v>
      </c>
      <c r="N123" s="116">
        <v>691.7</v>
      </c>
      <c r="O123" s="116">
        <v>655</v>
      </c>
      <c r="P123" s="116">
        <v>660</v>
      </c>
      <c r="Q123" s="116">
        <v>691.7</v>
      </c>
      <c r="R123">
        <v>2550658</v>
      </c>
    </row>
    <row r="124" spans="1:18" x14ac:dyDescent="0.25">
      <c r="A124" s="165">
        <v>44775</v>
      </c>
      <c r="B124" s="116">
        <v>724.4</v>
      </c>
      <c r="C124" s="116">
        <v>709.95</v>
      </c>
      <c r="D124" s="116">
        <v>700</v>
      </c>
      <c r="E124" s="116">
        <v>724.4</v>
      </c>
      <c r="F124" s="116">
        <v>709.95</v>
      </c>
      <c r="G124">
        <v>258075</v>
      </c>
      <c r="H124" s="116"/>
      <c r="I124" s="116"/>
      <c r="L124" s="165">
        <v>44775</v>
      </c>
      <c r="M124" s="116">
        <v>709.85</v>
      </c>
      <c r="N124" s="116">
        <v>724</v>
      </c>
      <c r="O124" s="116">
        <v>692.25</v>
      </c>
      <c r="P124" s="116">
        <v>724</v>
      </c>
      <c r="Q124" s="116">
        <v>709.85</v>
      </c>
      <c r="R124">
        <v>2731848</v>
      </c>
    </row>
    <row r="125" spans="1:18" x14ac:dyDescent="0.25">
      <c r="A125" s="165">
        <v>44776</v>
      </c>
      <c r="B125" s="116">
        <v>708</v>
      </c>
      <c r="C125" s="116">
        <v>697.7</v>
      </c>
      <c r="D125" s="116">
        <v>675</v>
      </c>
      <c r="E125" s="116">
        <v>706.2</v>
      </c>
      <c r="F125" s="116">
        <v>697.7</v>
      </c>
      <c r="G125">
        <v>444227</v>
      </c>
      <c r="H125" s="116"/>
      <c r="I125" s="116"/>
      <c r="L125" s="165">
        <v>44776</v>
      </c>
      <c r="M125" s="116">
        <v>697.9</v>
      </c>
      <c r="N125" s="116">
        <v>714.4</v>
      </c>
      <c r="O125" s="116">
        <v>676</v>
      </c>
      <c r="P125" s="116">
        <v>712</v>
      </c>
      <c r="Q125" s="116">
        <v>697.9</v>
      </c>
      <c r="R125">
        <v>1934068</v>
      </c>
    </row>
    <row r="126" spans="1:18" x14ac:dyDescent="0.25">
      <c r="A126" s="165">
        <v>44777</v>
      </c>
      <c r="B126" s="116">
        <v>719.4</v>
      </c>
      <c r="C126" s="116">
        <v>694.1</v>
      </c>
      <c r="D126" s="116">
        <v>677</v>
      </c>
      <c r="E126" s="116">
        <v>678</v>
      </c>
      <c r="F126" s="116">
        <v>694.1</v>
      </c>
      <c r="G126">
        <v>204960</v>
      </c>
      <c r="H126" s="116"/>
      <c r="I126" s="116"/>
      <c r="L126" s="165">
        <v>44777</v>
      </c>
      <c r="M126" s="116">
        <v>692.8</v>
      </c>
      <c r="N126" s="116">
        <v>718</v>
      </c>
      <c r="O126" s="116">
        <v>679</v>
      </c>
      <c r="P126" s="116">
        <v>683</v>
      </c>
      <c r="Q126" s="116">
        <v>692.8</v>
      </c>
      <c r="R126">
        <v>2455100</v>
      </c>
    </row>
    <row r="127" spans="1:18" x14ac:dyDescent="0.25">
      <c r="A127" s="165">
        <v>44778</v>
      </c>
      <c r="B127" s="116">
        <v>702.3</v>
      </c>
      <c r="C127" s="116">
        <v>674.3</v>
      </c>
      <c r="D127" s="116">
        <v>670</v>
      </c>
      <c r="E127" s="116">
        <v>694</v>
      </c>
      <c r="F127" s="116">
        <v>674.3</v>
      </c>
      <c r="G127">
        <v>274692</v>
      </c>
      <c r="H127" s="116"/>
      <c r="I127" s="116"/>
      <c r="L127" s="165">
        <v>44778</v>
      </c>
      <c r="M127" s="116">
        <v>674.5</v>
      </c>
      <c r="N127" s="116">
        <v>703</v>
      </c>
      <c r="O127" s="116">
        <v>671</v>
      </c>
      <c r="P127" s="116">
        <v>693</v>
      </c>
      <c r="Q127" s="116">
        <v>674.5</v>
      </c>
      <c r="R127">
        <v>1521515</v>
      </c>
    </row>
    <row r="128" spans="1:18" x14ac:dyDescent="0.25">
      <c r="A128" s="165">
        <v>44781</v>
      </c>
      <c r="B128" s="116">
        <v>678.75</v>
      </c>
      <c r="C128" s="116">
        <v>665.1</v>
      </c>
      <c r="D128" s="116">
        <v>652.75</v>
      </c>
      <c r="E128" s="116">
        <v>670</v>
      </c>
      <c r="F128" s="116">
        <v>665.1</v>
      </c>
      <c r="G128">
        <v>119259</v>
      </c>
      <c r="H128" s="116"/>
      <c r="I128" s="116"/>
      <c r="L128" s="165">
        <v>44781</v>
      </c>
      <c r="M128" s="116">
        <v>665.6</v>
      </c>
      <c r="N128" s="116">
        <v>680</v>
      </c>
      <c r="O128" s="116">
        <v>652</v>
      </c>
      <c r="P128" s="116">
        <v>669</v>
      </c>
      <c r="Q128" s="116">
        <v>665.6</v>
      </c>
      <c r="R128">
        <v>1158499</v>
      </c>
    </row>
    <row r="129" spans="1:18" x14ac:dyDescent="0.25">
      <c r="A129" s="165">
        <v>44783</v>
      </c>
      <c r="B129" s="116">
        <v>675.95</v>
      </c>
      <c r="C129" s="116">
        <v>667.6</v>
      </c>
      <c r="D129" s="116">
        <v>661.2</v>
      </c>
      <c r="E129" s="116">
        <v>661.2</v>
      </c>
      <c r="F129" s="116">
        <v>667.6</v>
      </c>
      <c r="G129">
        <v>67725</v>
      </c>
      <c r="H129" s="116"/>
      <c r="I129" s="116"/>
      <c r="L129" s="165">
        <v>44783</v>
      </c>
      <c r="M129" s="116">
        <v>667</v>
      </c>
      <c r="N129" s="116">
        <v>675</v>
      </c>
      <c r="O129" s="116">
        <v>659</v>
      </c>
      <c r="P129" s="116">
        <v>662</v>
      </c>
      <c r="Q129" s="116">
        <v>667</v>
      </c>
      <c r="R129">
        <v>855572</v>
      </c>
    </row>
    <row r="130" spans="1:18" x14ac:dyDescent="0.25">
      <c r="A130" s="165">
        <v>44784</v>
      </c>
      <c r="B130" s="116">
        <v>680</v>
      </c>
      <c r="C130" s="116">
        <v>661.7</v>
      </c>
      <c r="D130" s="116">
        <v>660</v>
      </c>
      <c r="E130" s="116">
        <v>670</v>
      </c>
      <c r="F130" s="116">
        <v>661.7</v>
      </c>
      <c r="G130">
        <v>137825</v>
      </c>
      <c r="H130" s="116"/>
      <c r="I130" s="116"/>
      <c r="L130" s="165">
        <v>44784</v>
      </c>
      <c r="M130" s="116">
        <v>662.2</v>
      </c>
      <c r="N130" s="116">
        <v>676</v>
      </c>
      <c r="O130" s="116">
        <v>660.2</v>
      </c>
      <c r="P130" s="116">
        <v>675.5</v>
      </c>
      <c r="Q130" s="116">
        <v>662.2</v>
      </c>
      <c r="R130">
        <v>727260</v>
      </c>
    </row>
    <row r="131" spans="1:18" x14ac:dyDescent="0.25">
      <c r="A131" s="165">
        <v>44785</v>
      </c>
      <c r="B131" s="116">
        <v>668</v>
      </c>
      <c r="C131" s="116">
        <v>660.7</v>
      </c>
      <c r="D131" s="116">
        <v>656.15</v>
      </c>
      <c r="E131" s="116">
        <v>656.15</v>
      </c>
      <c r="F131" s="116">
        <v>660.7</v>
      </c>
      <c r="G131">
        <v>61279</v>
      </c>
      <c r="H131" s="116"/>
      <c r="I131" s="116"/>
      <c r="L131" s="165">
        <v>44785</v>
      </c>
      <c r="M131" s="116">
        <v>660.9</v>
      </c>
      <c r="N131" s="116">
        <v>667.95</v>
      </c>
      <c r="O131" s="116">
        <v>657</v>
      </c>
      <c r="P131" s="116">
        <v>660.1</v>
      </c>
      <c r="Q131" s="116">
        <v>660.9</v>
      </c>
      <c r="R131">
        <v>746051</v>
      </c>
    </row>
    <row r="132" spans="1:18" x14ac:dyDescent="0.25">
      <c r="A132" s="165">
        <v>44789</v>
      </c>
      <c r="B132" s="116">
        <v>693.7</v>
      </c>
      <c r="C132" s="116">
        <v>693.7</v>
      </c>
      <c r="D132" s="116">
        <v>681.1</v>
      </c>
      <c r="E132" s="116">
        <v>693.7</v>
      </c>
      <c r="F132" s="116">
        <v>693.7</v>
      </c>
      <c r="G132">
        <v>485007</v>
      </c>
      <c r="H132" s="116"/>
      <c r="I132" s="116"/>
      <c r="L132" s="165">
        <v>44789</v>
      </c>
      <c r="M132" s="116">
        <v>693.9</v>
      </c>
      <c r="N132" s="116">
        <v>693.9</v>
      </c>
      <c r="O132" s="116">
        <v>680.05</v>
      </c>
      <c r="P132" s="116">
        <v>693.9</v>
      </c>
      <c r="Q132" s="116">
        <v>693.9</v>
      </c>
      <c r="R132">
        <v>4377972</v>
      </c>
    </row>
    <row r="133" spans="1:18" x14ac:dyDescent="0.25">
      <c r="A133" s="165">
        <v>44790</v>
      </c>
      <c r="B133" s="116">
        <v>724</v>
      </c>
      <c r="C133" s="116">
        <v>708.3</v>
      </c>
      <c r="D133" s="116">
        <v>698.95</v>
      </c>
      <c r="E133" s="116">
        <v>699.9</v>
      </c>
      <c r="F133" s="116">
        <v>708.3</v>
      </c>
      <c r="G133">
        <v>462878</v>
      </c>
      <c r="H133" s="116"/>
      <c r="I133" s="116"/>
      <c r="L133" s="165">
        <v>44790</v>
      </c>
      <c r="M133" s="116">
        <v>708.9</v>
      </c>
      <c r="N133" s="116">
        <v>723.7</v>
      </c>
      <c r="O133" s="116">
        <v>699.55</v>
      </c>
      <c r="P133" s="116">
        <v>700</v>
      </c>
      <c r="Q133" s="116">
        <v>708.9</v>
      </c>
      <c r="R133">
        <v>5804715</v>
      </c>
    </row>
    <row r="134" spans="1:18" x14ac:dyDescent="0.25">
      <c r="A134" s="165">
        <v>44791</v>
      </c>
      <c r="B134" s="116">
        <v>737</v>
      </c>
      <c r="C134" s="116">
        <v>731.65</v>
      </c>
      <c r="D134" s="116">
        <v>704.9</v>
      </c>
      <c r="E134" s="116">
        <v>710</v>
      </c>
      <c r="F134" s="116">
        <v>731.65</v>
      </c>
      <c r="G134">
        <v>414597</v>
      </c>
      <c r="H134" s="116"/>
      <c r="I134" s="116"/>
      <c r="L134" s="165">
        <v>44791</v>
      </c>
      <c r="M134" s="116">
        <v>731.55</v>
      </c>
      <c r="N134" s="116">
        <v>736.8</v>
      </c>
      <c r="O134" s="116">
        <v>702.9</v>
      </c>
      <c r="P134" s="116">
        <v>709.9</v>
      </c>
      <c r="Q134" s="116">
        <v>731.55</v>
      </c>
      <c r="R134">
        <v>7286706</v>
      </c>
    </row>
    <row r="135" spans="1:18" x14ac:dyDescent="0.25">
      <c r="A135" s="165">
        <v>44792</v>
      </c>
      <c r="B135" s="116">
        <v>761.55</v>
      </c>
      <c r="C135" s="116">
        <v>733.95</v>
      </c>
      <c r="D135" s="116">
        <v>722.4</v>
      </c>
      <c r="E135" s="116">
        <v>737.8</v>
      </c>
      <c r="F135" s="116">
        <v>733.95</v>
      </c>
      <c r="G135">
        <v>1296268</v>
      </c>
      <c r="H135" s="116"/>
      <c r="I135" s="116"/>
      <c r="L135" s="165">
        <v>44792</v>
      </c>
      <c r="M135" s="116">
        <v>733.8</v>
      </c>
      <c r="N135" s="116">
        <v>761.6</v>
      </c>
      <c r="O135" s="116">
        <v>723.05</v>
      </c>
      <c r="P135" s="116">
        <v>736.8</v>
      </c>
      <c r="Q135" s="116">
        <v>733.8</v>
      </c>
      <c r="R135">
        <v>7951280</v>
      </c>
    </row>
    <row r="136" spans="1:18" x14ac:dyDescent="0.25">
      <c r="A136" s="165">
        <v>44795</v>
      </c>
      <c r="B136" s="116">
        <v>740</v>
      </c>
      <c r="C136" s="116">
        <v>723.85</v>
      </c>
      <c r="D136" s="116">
        <v>712.85</v>
      </c>
      <c r="E136" s="116">
        <v>732.9</v>
      </c>
      <c r="F136" s="116">
        <v>723.85</v>
      </c>
      <c r="G136">
        <v>785707</v>
      </c>
      <c r="H136" s="116"/>
      <c r="I136" s="116"/>
      <c r="L136" s="165">
        <v>44795</v>
      </c>
      <c r="M136" s="116">
        <v>724.4</v>
      </c>
      <c r="N136" s="116">
        <v>740</v>
      </c>
      <c r="O136" s="116">
        <v>713.05</v>
      </c>
      <c r="P136" s="116">
        <v>733.8</v>
      </c>
      <c r="Q136" s="116">
        <v>724.4</v>
      </c>
      <c r="R136">
        <v>5111365</v>
      </c>
    </row>
    <row r="137" spans="1:18" x14ac:dyDescent="0.25">
      <c r="A137" s="165">
        <v>44796</v>
      </c>
      <c r="B137" s="116">
        <v>724</v>
      </c>
      <c r="C137" s="116">
        <v>689.6</v>
      </c>
      <c r="D137" s="116">
        <v>687.7</v>
      </c>
      <c r="E137" s="116">
        <v>715</v>
      </c>
      <c r="F137" s="116">
        <v>689.6</v>
      </c>
      <c r="G137">
        <v>529752</v>
      </c>
      <c r="H137" s="116"/>
      <c r="I137" s="116"/>
      <c r="L137" s="165">
        <v>44796</v>
      </c>
      <c r="M137" s="116">
        <v>690.05</v>
      </c>
      <c r="N137" s="116">
        <v>724.35</v>
      </c>
      <c r="O137" s="116">
        <v>688.2</v>
      </c>
      <c r="P137" s="116">
        <v>713</v>
      </c>
      <c r="Q137" s="116">
        <v>690.05</v>
      </c>
      <c r="R137">
        <v>5749579</v>
      </c>
    </row>
    <row r="138" spans="1:18" x14ac:dyDescent="0.25">
      <c r="A138" s="165">
        <v>44797</v>
      </c>
      <c r="B138" s="116">
        <v>687.3</v>
      </c>
      <c r="C138" s="116">
        <v>677.15</v>
      </c>
      <c r="D138" s="116">
        <v>663</v>
      </c>
      <c r="E138" s="116">
        <v>677</v>
      </c>
      <c r="F138" s="116">
        <v>677.15</v>
      </c>
      <c r="G138">
        <v>305578</v>
      </c>
      <c r="H138" s="116"/>
      <c r="I138" s="116"/>
      <c r="L138" s="165">
        <v>44797</v>
      </c>
      <c r="M138" s="116">
        <v>677.9</v>
      </c>
      <c r="N138" s="116">
        <v>687</v>
      </c>
      <c r="O138" s="116">
        <v>663.95</v>
      </c>
      <c r="P138" s="116">
        <v>680</v>
      </c>
      <c r="Q138" s="116">
        <v>677.9</v>
      </c>
      <c r="R138">
        <v>4141226</v>
      </c>
    </row>
    <row r="139" spans="1:18" x14ac:dyDescent="0.25">
      <c r="A139" s="165">
        <v>44798</v>
      </c>
      <c r="B139" s="116">
        <v>706.8</v>
      </c>
      <c r="C139" s="116">
        <v>686.25</v>
      </c>
      <c r="D139" s="116">
        <v>677</v>
      </c>
      <c r="E139" s="116">
        <v>677</v>
      </c>
      <c r="F139" s="116">
        <v>686.25</v>
      </c>
      <c r="G139">
        <v>214117</v>
      </c>
      <c r="H139" s="116"/>
      <c r="I139" s="116"/>
      <c r="L139" s="165">
        <v>44798</v>
      </c>
      <c r="M139" s="116">
        <v>686.05</v>
      </c>
      <c r="N139" s="116">
        <v>706.7</v>
      </c>
      <c r="O139" s="116">
        <v>679</v>
      </c>
      <c r="P139" s="116">
        <v>679</v>
      </c>
      <c r="Q139" s="116">
        <v>686.05</v>
      </c>
      <c r="R139">
        <v>3040841</v>
      </c>
    </row>
    <row r="140" spans="1:18" x14ac:dyDescent="0.25">
      <c r="A140" s="165">
        <v>44799</v>
      </c>
      <c r="B140" s="116">
        <v>700</v>
      </c>
      <c r="C140" s="116">
        <v>682.4</v>
      </c>
      <c r="D140" s="116">
        <v>678.1</v>
      </c>
      <c r="E140" s="116">
        <v>691</v>
      </c>
      <c r="F140" s="116">
        <v>682.4</v>
      </c>
      <c r="G140">
        <v>338642</v>
      </c>
      <c r="H140" s="116"/>
      <c r="I140" s="116"/>
      <c r="L140" s="165">
        <v>44799</v>
      </c>
      <c r="M140" s="116">
        <v>682.65</v>
      </c>
      <c r="N140" s="116">
        <v>700</v>
      </c>
      <c r="O140" s="116">
        <v>678.5</v>
      </c>
      <c r="P140" s="116">
        <v>696</v>
      </c>
      <c r="Q140" s="116">
        <v>682.65</v>
      </c>
      <c r="R140">
        <v>1902555</v>
      </c>
    </row>
    <row r="141" spans="1:18" x14ac:dyDescent="0.25">
      <c r="A141" s="165">
        <v>44802</v>
      </c>
      <c r="B141" s="116">
        <v>698.8</v>
      </c>
      <c r="C141" s="116">
        <v>683.35</v>
      </c>
      <c r="D141" s="116">
        <v>653</v>
      </c>
      <c r="E141" s="116">
        <v>653</v>
      </c>
      <c r="F141" s="116">
        <v>683.35</v>
      </c>
      <c r="G141">
        <v>259708</v>
      </c>
      <c r="H141" s="116"/>
      <c r="I141" s="116"/>
      <c r="L141" s="165">
        <v>44802</v>
      </c>
      <c r="M141" s="116">
        <v>683.2</v>
      </c>
      <c r="N141" s="116">
        <v>699</v>
      </c>
      <c r="O141" s="116">
        <v>655</v>
      </c>
      <c r="P141" s="116">
        <v>655</v>
      </c>
      <c r="Q141" s="116">
        <v>683.2</v>
      </c>
      <c r="R141">
        <v>3072094</v>
      </c>
    </row>
    <row r="142" spans="1:18" x14ac:dyDescent="0.25">
      <c r="A142" s="165">
        <v>44803</v>
      </c>
      <c r="B142" s="116">
        <v>702</v>
      </c>
      <c r="C142" s="116">
        <v>691.95</v>
      </c>
      <c r="D142" s="116">
        <v>685</v>
      </c>
      <c r="E142" s="116">
        <v>690</v>
      </c>
      <c r="F142" s="116">
        <v>691.95</v>
      </c>
      <c r="G142">
        <v>356363</v>
      </c>
      <c r="H142" s="116"/>
      <c r="I142" s="116"/>
      <c r="L142" s="165">
        <v>44803</v>
      </c>
      <c r="M142" s="116">
        <v>692.15</v>
      </c>
      <c r="N142" s="116">
        <v>702</v>
      </c>
      <c r="O142" s="116">
        <v>687</v>
      </c>
      <c r="P142" s="116">
        <v>692</v>
      </c>
      <c r="Q142" s="116">
        <v>692.15</v>
      </c>
      <c r="R142">
        <v>2323376</v>
      </c>
    </row>
    <row r="143" spans="1:18" x14ac:dyDescent="0.25">
      <c r="A143" s="165">
        <v>44805</v>
      </c>
      <c r="B143" s="116">
        <v>696</v>
      </c>
      <c r="C143" s="116">
        <v>683.4</v>
      </c>
      <c r="D143" s="116">
        <v>681.55</v>
      </c>
      <c r="E143" s="116">
        <v>690</v>
      </c>
      <c r="F143" s="116">
        <v>683.4</v>
      </c>
      <c r="G143">
        <v>159916</v>
      </c>
      <c r="H143" s="116"/>
      <c r="I143" s="116"/>
      <c r="L143" s="165">
        <v>44805</v>
      </c>
      <c r="M143" s="116">
        <v>683.3</v>
      </c>
      <c r="N143" s="116">
        <v>696.45</v>
      </c>
      <c r="O143" s="116">
        <v>681.45</v>
      </c>
      <c r="P143" s="116">
        <v>689</v>
      </c>
      <c r="Q143" s="116">
        <v>683.3</v>
      </c>
      <c r="R143">
        <v>1818618</v>
      </c>
    </row>
    <row r="144" spans="1:18" x14ac:dyDescent="0.25">
      <c r="A144" s="165">
        <v>44806</v>
      </c>
      <c r="B144" s="116">
        <v>691.7</v>
      </c>
      <c r="C144" s="116">
        <v>676.1</v>
      </c>
      <c r="D144" s="116">
        <v>675</v>
      </c>
      <c r="E144" s="116">
        <v>684.45</v>
      </c>
      <c r="F144" s="116">
        <v>676.1</v>
      </c>
      <c r="G144">
        <v>289234</v>
      </c>
      <c r="H144" s="116"/>
      <c r="I144" s="116"/>
      <c r="L144" s="165">
        <v>44806</v>
      </c>
      <c r="M144" s="116">
        <v>676.4</v>
      </c>
      <c r="N144" s="116">
        <v>691.85</v>
      </c>
      <c r="O144" s="116">
        <v>675.05</v>
      </c>
      <c r="P144" s="116">
        <v>687.7</v>
      </c>
      <c r="Q144" s="116">
        <v>676.4</v>
      </c>
      <c r="R144">
        <v>1441457</v>
      </c>
    </row>
    <row r="145" spans="1:18" x14ac:dyDescent="0.25">
      <c r="A145" s="165">
        <v>44809</v>
      </c>
      <c r="B145" s="116">
        <v>684.45</v>
      </c>
      <c r="C145" s="116">
        <v>671.45</v>
      </c>
      <c r="D145" s="116">
        <v>670</v>
      </c>
      <c r="E145" s="116">
        <v>678.05</v>
      </c>
      <c r="F145" s="116">
        <v>671.45</v>
      </c>
      <c r="G145">
        <v>150052</v>
      </c>
      <c r="H145" s="116"/>
      <c r="I145" s="116"/>
      <c r="L145" s="165">
        <v>44809</v>
      </c>
      <c r="M145" s="116">
        <v>670.85</v>
      </c>
      <c r="N145" s="116">
        <v>684.3</v>
      </c>
      <c r="O145" s="116">
        <v>670</v>
      </c>
      <c r="P145" s="116">
        <v>680.2</v>
      </c>
      <c r="Q145" s="116">
        <v>670.85</v>
      </c>
      <c r="R145">
        <v>1386420</v>
      </c>
    </row>
    <row r="146" spans="1:18" x14ac:dyDescent="0.25">
      <c r="A146" s="165">
        <v>44810</v>
      </c>
      <c r="B146" s="116">
        <v>701</v>
      </c>
      <c r="C146" s="116">
        <v>691.65</v>
      </c>
      <c r="D146" s="116">
        <v>665.1</v>
      </c>
      <c r="E146" s="116">
        <v>674</v>
      </c>
      <c r="F146" s="116">
        <v>691.65</v>
      </c>
      <c r="G146">
        <v>544947</v>
      </c>
      <c r="H146" s="116"/>
      <c r="I146" s="116"/>
      <c r="L146" s="165">
        <v>44810</v>
      </c>
      <c r="M146" s="116">
        <v>691.5</v>
      </c>
      <c r="N146" s="116">
        <v>701.5</v>
      </c>
      <c r="O146" s="116">
        <v>665</v>
      </c>
      <c r="P146" s="116">
        <v>674</v>
      </c>
      <c r="Q146" s="116">
        <v>691.5</v>
      </c>
      <c r="R146">
        <v>3307095</v>
      </c>
    </row>
    <row r="147" spans="1:18" x14ac:dyDescent="0.25">
      <c r="A147" s="165">
        <v>44811</v>
      </c>
      <c r="B147" s="116">
        <v>706.95</v>
      </c>
      <c r="C147" s="116">
        <v>698.25</v>
      </c>
      <c r="D147" s="116">
        <v>685.85</v>
      </c>
      <c r="E147" s="116">
        <v>687.85</v>
      </c>
      <c r="F147" s="116">
        <v>698.25</v>
      </c>
      <c r="G147">
        <v>439971</v>
      </c>
      <c r="H147" s="116"/>
      <c r="I147" s="116"/>
      <c r="L147" s="165">
        <v>44811</v>
      </c>
      <c r="M147" s="116">
        <v>698.35</v>
      </c>
      <c r="N147" s="116">
        <v>706.7</v>
      </c>
      <c r="O147" s="116">
        <v>686.5</v>
      </c>
      <c r="P147" s="116">
        <v>688</v>
      </c>
      <c r="Q147" s="116">
        <v>698.35</v>
      </c>
      <c r="R147">
        <v>2771232</v>
      </c>
    </row>
    <row r="148" spans="1:18" x14ac:dyDescent="0.25">
      <c r="A148" s="165">
        <v>44812</v>
      </c>
      <c r="B148" s="116">
        <v>709.05</v>
      </c>
      <c r="C148" s="116">
        <v>696.7</v>
      </c>
      <c r="D148" s="116">
        <v>695</v>
      </c>
      <c r="E148" s="116">
        <v>703.95</v>
      </c>
      <c r="F148" s="116">
        <v>696.7</v>
      </c>
      <c r="G148">
        <v>129847</v>
      </c>
      <c r="H148" s="116"/>
      <c r="I148" s="116"/>
      <c r="L148" s="165">
        <v>44812</v>
      </c>
      <c r="M148" s="116">
        <v>696.7</v>
      </c>
      <c r="N148" s="116">
        <v>708.75</v>
      </c>
      <c r="O148" s="116">
        <v>695.1</v>
      </c>
      <c r="P148" s="116">
        <v>704.8</v>
      </c>
      <c r="Q148" s="116">
        <v>696.7</v>
      </c>
      <c r="R148">
        <v>1677011</v>
      </c>
    </row>
    <row r="149" spans="1:18" x14ac:dyDescent="0.25">
      <c r="A149" s="165">
        <v>44813</v>
      </c>
      <c r="B149" s="116">
        <v>715</v>
      </c>
      <c r="C149" s="116">
        <v>703.3</v>
      </c>
      <c r="D149" s="116">
        <v>697</v>
      </c>
      <c r="E149" s="116">
        <v>699.7</v>
      </c>
      <c r="F149" s="116">
        <v>703.3</v>
      </c>
      <c r="G149">
        <v>529427</v>
      </c>
      <c r="H149" s="116"/>
      <c r="I149" s="116"/>
      <c r="L149" s="165">
        <v>44813</v>
      </c>
      <c r="M149" s="116">
        <v>703.6</v>
      </c>
      <c r="N149" s="116">
        <v>715</v>
      </c>
      <c r="O149" s="116">
        <v>697.2</v>
      </c>
      <c r="P149" s="116">
        <v>701.95</v>
      </c>
      <c r="Q149" s="116">
        <v>703.6</v>
      </c>
      <c r="R149">
        <v>3197290</v>
      </c>
    </row>
    <row r="150" spans="1:18" x14ac:dyDescent="0.25">
      <c r="A150" s="165">
        <v>44816</v>
      </c>
      <c r="B150" s="116">
        <v>735</v>
      </c>
      <c r="C150" s="116">
        <v>729.05</v>
      </c>
      <c r="D150" s="116">
        <v>711.5</v>
      </c>
      <c r="E150" s="116">
        <v>713.8</v>
      </c>
      <c r="F150" s="116">
        <v>729.05</v>
      </c>
      <c r="G150">
        <v>364716</v>
      </c>
      <c r="H150" s="116"/>
      <c r="I150" s="116"/>
      <c r="L150" s="165">
        <v>44816</v>
      </c>
      <c r="M150" s="116">
        <v>729.7</v>
      </c>
      <c r="N150" s="116">
        <v>734.8</v>
      </c>
      <c r="O150" s="116">
        <v>711.05</v>
      </c>
      <c r="P150" s="116">
        <v>712.1</v>
      </c>
      <c r="Q150" s="116">
        <v>729.7</v>
      </c>
      <c r="R150">
        <v>5254631</v>
      </c>
    </row>
    <row r="151" spans="1:18" x14ac:dyDescent="0.25">
      <c r="A151" s="165">
        <v>44817</v>
      </c>
      <c r="B151" s="116">
        <v>743.95</v>
      </c>
      <c r="C151" s="116">
        <v>721.1</v>
      </c>
      <c r="D151" s="116">
        <v>718</v>
      </c>
      <c r="E151" s="116">
        <v>733.3</v>
      </c>
      <c r="F151" s="116">
        <v>721.1</v>
      </c>
      <c r="G151">
        <v>223142</v>
      </c>
      <c r="H151" s="116"/>
      <c r="I151" s="116"/>
      <c r="L151" s="165">
        <v>44817</v>
      </c>
      <c r="M151" s="116">
        <v>721.85</v>
      </c>
      <c r="N151" s="116">
        <v>744</v>
      </c>
      <c r="O151" s="116">
        <v>718</v>
      </c>
      <c r="P151" s="116">
        <v>735.85</v>
      </c>
      <c r="Q151" s="116">
        <v>721.85</v>
      </c>
      <c r="R151">
        <v>3471491</v>
      </c>
    </row>
    <row r="152" spans="1:18" x14ac:dyDescent="0.25">
      <c r="A152" s="165">
        <v>44818</v>
      </c>
      <c r="B152" s="116">
        <v>725.7</v>
      </c>
      <c r="C152" s="116">
        <v>708.9</v>
      </c>
      <c r="D152" s="116">
        <v>706</v>
      </c>
      <c r="E152" s="116">
        <v>711</v>
      </c>
      <c r="F152" s="116">
        <v>708.9</v>
      </c>
      <c r="G152">
        <v>161972</v>
      </c>
      <c r="H152" s="116"/>
      <c r="I152" s="116"/>
      <c r="L152" s="165">
        <v>44818</v>
      </c>
      <c r="M152" s="116">
        <v>708.7</v>
      </c>
      <c r="N152" s="116">
        <v>725.7</v>
      </c>
      <c r="O152" s="116">
        <v>706.85</v>
      </c>
      <c r="P152" s="116">
        <v>712.6</v>
      </c>
      <c r="Q152" s="116">
        <v>708.7</v>
      </c>
      <c r="R152">
        <v>2672338</v>
      </c>
    </row>
    <row r="153" spans="1:18" x14ac:dyDescent="0.25">
      <c r="A153" s="165">
        <v>44819</v>
      </c>
      <c r="B153" s="116">
        <v>735</v>
      </c>
      <c r="C153" s="116">
        <v>730.4</v>
      </c>
      <c r="D153" s="116">
        <v>702.65</v>
      </c>
      <c r="E153" s="116">
        <v>716</v>
      </c>
      <c r="F153" s="116">
        <v>730.4</v>
      </c>
      <c r="G153">
        <v>578857</v>
      </c>
      <c r="H153" s="116"/>
      <c r="I153" s="116"/>
      <c r="L153" s="165">
        <v>44819</v>
      </c>
      <c r="M153" s="116">
        <v>730.4</v>
      </c>
      <c r="N153" s="116">
        <v>735.7</v>
      </c>
      <c r="O153" s="116">
        <v>702.35</v>
      </c>
      <c r="P153" s="116">
        <v>715.6</v>
      </c>
      <c r="Q153" s="116">
        <v>730.4</v>
      </c>
      <c r="R153">
        <v>3981260</v>
      </c>
    </row>
    <row r="154" spans="1:18" x14ac:dyDescent="0.25">
      <c r="A154" s="165">
        <v>44820</v>
      </c>
      <c r="B154" s="116">
        <v>743.25</v>
      </c>
      <c r="C154" s="116">
        <v>721.1</v>
      </c>
      <c r="D154" s="116">
        <v>704</v>
      </c>
      <c r="E154" s="116">
        <v>730.45</v>
      </c>
      <c r="F154" s="116">
        <v>721.1</v>
      </c>
      <c r="G154">
        <v>592584</v>
      </c>
      <c r="H154" s="116"/>
      <c r="I154" s="116"/>
      <c r="L154" s="165">
        <v>44820</v>
      </c>
      <c r="M154" s="116">
        <v>721.95</v>
      </c>
      <c r="N154" s="116">
        <v>743.7</v>
      </c>
      <c r="O154" s="116">
        <v>704</v>
      </c>
      <c r="P154" s="116">
        <v>739</v>
      </c>
      <c r="Q154" s="116">
        <v>721.95</v>
      </c>
      <c r="R154">
        <v>4018178</v>
      </c>
    </row>
    <row r="155" spans="1:18" x14ac:dyDescent="0.25">
      <c r="A155" s="165">
        <v>44823</v>
      </c>
      <c r="B155" s="116">
        <v>743.25</v>
      </c>
      <c r="C155" s="116">
        <v>733.4</v>
      </c>
      <c r="D155" s="116">
        <v>712.05</v>
      </c>
      <c r="E155" s="116">
        <v>723</v>
      </c>
      <c r="F155" s="116">
        <v>733.4</v>
      </c>
      <c r="G155">
        <v>277205</v>
      </c>
      <c r="H155" s="116"/>
      <c r="I155" s="116"/>
      <c r="L155" s="165">
        <v>44823</v>
      </c>
      <c r="M155" s="116">
        <v>733</v>
      </c>
      <c r="N155" s="116">
        <v>743.5</v>
      </c>
      <c r="O155" s="116">
        <v>712.2</v>
      </c>
      <c r="P155" s="116">
        <v>726.7</v>
      </c>
      <c r="Q155" s="116">
        <v>733</v>
      </c>
      <c r="R155">
        <v>4202247</v>
      </c>
    </row>
    <row r="156" spans="1:18" x14ac:dyDescent="0.25">
      <c r="A156" s="165">
        <v>44824</v>
      </c>
      <c r="B156" s="116">
        <v>770.05</v>
      </c>
      <c r="C156" s="116">
        <v>770.05</v>
      </c>
      <c r="D156" s="116">
        <v>738.05</v>
      </c>
      <c r="E156" s="116">
        <v>738.05</v>
      </c>
      <c r="F156" s="116">
        <v>770.05</v>
      </c>
      <c r="G156">
        <v>885487</v>
      </c>
      <c r="H156" s="116"/>
      <c r="I156" s="116"/>
      <c r="L156" s="165">
        <v>44824</v>
      </c>
      <c r="M156" s="116">
        <v>769.65</v>
      </c>
      <c r="N156" s="116">
        <v>769.65</v>
      </c>
      <c r="O156" s="116">
        <v>740.6</v>
      </c>
      <c r="P156" s="116">
        <v>742</v>
      </c>
      <c r="Q156" s="116">
        <v>769.65</v>
      </c>
      <c r="R156">
        <v>3888432</v>
      </c>
    </row>
    <row r="157" spans="1:18" x14ac:dyDescent="0.25">
      <c r="A157" s="165">
        <v>44825</v>
      </c>
      <c r="B157" s="116">
        <v>808.55</v>
      </c>
      <c r="C157" s="116">
        <v>782.55</v>
      </c>
      <c r="D157" s="116">
        <v>735</v>
      </c>
      <c r="E157" s="116">
        <v>795.85</v>
      </c>
      <c r="F157" s="116">
        <v>782.55</v>
      </c>
      <c r="G157">
        <v>3382879</v>
      </c>
      <c r="H157" s="116"/>
      <c r="I157" s="116"/>
      <c r="L157" s="165">
        <v>44825</v>
      </c>
      <c r="M157" s="116">
        <v>781.8</v>
      </c>
      <c r="N157" s="116">
        <v>808.1</v>
      </c>
      <c r="O157" s="116">
        <v>738</v>
      </c>
      <c r="P157" s="116">
        <v>793</v>
      </c>
      <c r="Q157" s="116">
        <v>781.8</v>
      </c>
      <c r="R157">
        <v>19255724</v>
      </c>
    </row>
    <row r="158" spans="1:18" x14ac:dyDescent="0.25">
      <c r="A158" s="165">
        <v>44826</v>
      </c>
      <c r="B158" s="116">
        <v>821.65</v>
      </c>
      <c r="C158" s="116">
        <v>817.9</v>
      </c>
      <c r="D158" s="116">
        <v>762.95</v>
      </c>
      <c r="E158" s="116">
        <v>784</v>
      </c>
      <c r="F158" s="116">
        <v>817.9</v>
      </c>
      <c r="G158">
        <v>1396196</v>
      </c>
      <c r="H158" s="116"/>
      <c r="I158" s="116"/>
      <c r="L158" s="165">
        <v>44826</v>
      </c>
      <c r="M158" s="116">
        <v>815.95</v>
      </c>
      <c r="N158" s="116">
        <v>820.85</v>
      </c>
      <c r="O158" s="116">
        <v>763.95</v>
      </c>
      <c r="P158" s="116">
        <v>784</v>
      </c>
      <c r="Q158" s="116">
        <v>815.95</v>
      </c>
      <c r="R158">
        <v>9333238</v>
      </c>
    </row>
    <row r="159" spans="1:18" x14ac:dyDescent="0.25">
      <c r="A159" s="165">
        <v>44827</v>
      </c>
      <c r="B159" s="116">
        <v>841.9</v>
      </c>
      <c r="C159" s="116">
        <v>808.8</v>
      </c>
      <c r="D159" s="116">
        <v>791.35</v>
      </c>
      <c r="E159" s="116">
        <v>827.6</v>
      </c>
      <c r="F159" s="116">
        <v>808.8</v>
      </c>
      <c r="G159">
        <v>1118476</v>
      </c>
      <c r="H159" s="116"/>
      <c r="I159" s="116"/>
      <c r="L159" s="165">
        <v>44827</v>
      </c>
      <c r="M159" s="116">
        <v>809.95</v>
      </c>
      <c r="N159" s="116">
        <v>841.7</v>
      </c>
      <c r="O159" s="116">
        <v>792.2</v>
      </c>
      <c r="P159" s="116">
        <v>828.95</v>
      </c>
      <c r="Q159" s="116">
        <v>809.95</v>
      </c>
      <c r="R159">
        <v>8596406</v>
      </c>
    </row>
    <row r="160" spans="1:18" x14ac:dyDescent="0.25">
      <c r="A160" s="165">
        <v>44830</v>
      </c>
      <c r="B160" s="116">
        <v>819.55</v>
      </c>
      <c r="C160" s="116">
        <v>768.4</v>
      </c>
      <c r="D160" s="116">
        <v>768.4</v>
      </c>
      <c r="E160" s="116">
        <v>810</v>
      </c>
      <c r="F160" s="116">
        <v>768.4</v>
      </c>
      <c r="G160">
        <v>855506</v>
      </c>
      <c r="H160" s="116"/>
      <c r="I160" s="116"/>
      <c r="L160" s="165">
        <v>44830</v>
      </c>
      <c r="M160" s="116">
        <v>769.5</v>
      </c>
      <c r="N160" s="116">
        <v>819.2</v>
      </c>
      <c r="O160" s="116">
        <v>769.5</v>
      </c>
      <c r="P160" s="116">
        <v>812.8</v>
      </c>
      <c r="Q160" s="116">
        <v>769.5</v>
      </c>
      <c r="R160">
        <v>9041128</v>
      </c>
    </row>
    <row r="161" spans="1:18" x14ac:dyDescent="0.25">
      <c r="A161" s="165">
        <v>44831</v>
      </c>
      <c r="B161" s="116">
        <v>782.6</v>
      </c>
      <c r="C161" s="116">
        <v>751.2</v>
      </c>
      <c r="D161" s="116">
        <v>736.65</v>
      </c>
      <c r="E161" s="116">
        <v>771</v>
      </c>
      <c r="F161" s="116">
        <v>751.2</v>
      </c>
      <c r="G161">
        <v>434778</v>
      </c>
      <c r="H161" s="116"/>
      <c r="I161" s="116"/>
      <c r="L161" s="165">
        <v>44831</v>
      </c>
      <c r="M161" s="116">
        <v>751.55</v>
      </c>
      <c r="N161" s="116">
        <v>782.8</v>
      </c>
      <c r="O161" s="116">
        <v>736.65</v>
      </c>
      <c r="P161" s="116">
        <v>769.9</v>
      </c>
      <c r="Q161" s="116">
        <v>751.55</v>
      </c>
      <c r="R161">
        <v>6148645</v>
      </c>
    </row>
    <row r="162" spans="1:18" x14ac:dyDescent="0.25">
      <c r="A162" s="165">
        <v>44832</v>
      </c>
      <c r="B162" s="116">
        <v>763.15</v>
      </c>
      <c r="C162" s="116">
        <v>733.6</v>
      </c>
      <c r="D162" s="116">
        <v>731.15</v>
      </c>
      <c r="E162" s="116">
        <v>738.55</v>
      </c>
      <c r="F162" s="116">
        <v>733.6</v>
      </c>
      <c r="G162">
        <v>279711</v>
      </c>
      <c r="H162" s="116"/>
      <c r="I162" s="116"/>
      <c r="L162" s="165">
        <v>44832</v>
      </c>
      <c r="M162" s="116">
        <v>734.3</v>
      </c>
      <c r="N162" s="116">
        <v>763</v>
      </c>
      <c r="O162" s="116">
        <v>731</v>
      </c>
      <c r="P162" s="116">
        <v>737</v>
      </c>
      <c r="Q162" s="116">
        <v>734.3</v>
      </c>
      <c r="R162">
        <v>3718478</v>
      </c>
    </row>
    <row r="163" spans="1:18" x14ac:dyDescent="0.25">
      <c r="A163" s="165">
        <v>44833</v>
      </c>
      <c r="B163" s="116">
        <v>760</v>
      </c>
      <c r="C163" s="116">
        <v>746.1</v>
      </c>
      <c r="D163" s="116">
        <v>736.8</v>
      </c>
      <c r="E163" s="116">
        <v>747.55</v>
      </c>
      <c r="F163" s="116">
        <v>746.1</v>
      </c>
      <c r="G163">
        <v>197024</v>
      </c>
      <c r="H163" s="116"/>
      <c r="I163" s="116"/>
      <c r="L163" s="165">
        <v>44833</v>
      </c>
      <c r="M163" s="116">
        <v>745.85</v>
      </c>
      <c r="N163" s="116">
        <v>761</v>
      </c>
      <c r="O163" s="116">
        <v>736.1</v>
      </c>
      <c r="P163" s="116">
        <v>750</v>
      </c>
      <c r="Q163" s="116">
        <v>745.85</v>
      </c>
      <c r="R163">
        <v>3181847</v>
      </c>
    </row>
    <row r="164" spans="1:18" x14ac:dyDescent="0.25">
      <c r="A164" s="165">
        <v>44834</v>
      </c>
      <c r="B164" s="116">
        <v>766.8</v>
      </c>
      <c r="C164" s="116">
        <v>755.3</v>
      </c>
      <c r="D164" s="116">
        <v>735</v>
      </c>
      <c r="E164" s="116">
        <v>747</v>
      </c>
      <c r="F164" s="116">
        <v>755.3</v>
      </c>
      <c r="G164">
        <v>518447</v>
      </c>
      <c r="H164" s="116"/>
      <c r="I164" s="116"/>
      <c r="L164" s="165">
        <v>44834</v>
      </c>
      <c r="M164" s="116">
        <v>755.5</v>
      </c>
      <c r="N164" s="116">
        <v>767.3</v>
      </c>
      <c r="O164" s="116">
        <v>735.05</v>
      </c>
      <c r="P164" s="116">
        <v>748</v>
      </c>
      <c r="Q164" s="116">
        <v>755.5</v>
      </c>
      <c r="R164">
        <v>3568857</v>
      </c>
    </row>
    <row r="165" spans="1:18" x14ac:dyDescent="0.25">
      <c r="A165" s="165">
        <v>44837</v>
      </c>
      <c r="B165" s="116">
        <v>765</v>
      </c>
      <c r="C165" s="116">
        <v>717.55</v>
      </c>
      <c r="D165" s="116">
        <v>717.55</v>
      </c>
      <c r="E165" s="116">
        <v>755</v>
      </c>
      <c r="F165" s="116">
        <v>717.55</v>
      </c>
      <c r="G165">
        <v>443896</v>
      </c>
      <c r="H165" s="116"/>
      <c r="I165" s="116"/>
      <c r="L165" s="165">
        <v>44837</v>
      </c>
      <c r="M165" s="116">
        <v>717.75</v>
      </c>
      <c r="N165" s="116">
        <v>764.95</v>
      </c>
      <c r="O165" s="116">
        <v>717.75</v>
      </c>
      <c r="P165" s="116">
        <v>754.95</v>
      </c>
      <c r="Q165" s="116">
        <v>717.75</v>
      </c>
      <c r="R165">
        <v>4478444</v>
      </c>
    </row>
    <row r="166" spans="1:18" x14ac:dyDescent="0.25">
      <c r="A166" s="165">
        <v>44838</v>
      </c>
      <c r="B166" s="116">
        <v>736.2</v>
      </c>
      <c r="C166" s="116">
        <v>711.1</v>
      </c>
      <c r="D166" s="116">
        <v>686.1</v>
      </c>
      <c r="E166" s="116">
        <v>730.95</v>
      </c>
      <c r="F166" s="116">
        <v>711.1</v>
      </c>
      <c r="G166">
        <v>467949</v>
      </c>
      <c r="H166" s="116"/>
      <c r="I166" s="116"/>
      <c r="L166" s="165">
        <v>44838</v>
      </c>
      <c r="M166" s="116">
        <v>711.05</v>
      </c>
      <c r="N166" s="116">
        <v>736.6</v>
      </c>
      <c r="O166" s="116">
        <v>686</v>
      </c>
      <c r="P166" s="116">
        <v>730</v>
      </c>
      <c r="Q166" s="116">
        <v>711.05</v>
      </c>
      <c r="R166">
        <v>7522019</v>
      </c>
    </row>
    <row r="167" spans="1:18" x14ac:dyDescent="0.25">
      <c r="A167" s="165">
        <v>44840</v>
      </c>
      <c r="B167" s="116">
        <v>746.65</v>
      </c>
      <c r="C167" s="116">
        <v>746.65</v>
      </c>
      <c r="D167" s="116">
        <v>715</v>
      </c>
      <c r="E167" s="116">
        <v>724.95</v>
      </c>
      <c r="F167" s="116">
        <v>746.65</v>
      </c>
      <c r="G167">
        <v>552984</v>
      </c>
      <c r="H167" s="116"/>
      <c r="I167" s="116"/>
      <c r="L167" s="165">
        <v>44840</v>
      </c>
      <c r="M167" s="116">
        <v>746.6</v>
      </c>
      <c r="N167" s="116">
        <v>746.6</v>
      </c>
      <c r="O167" s="116">
        <v>715</v>
      </c>
      <c r="P167" s="116">
        <v>723.15</v>
      </c>
      <c r="Q167" s="116">
        <v>746.6</v>
      </c>
      <c r="R167">
        <v>3712267</v>
      </c>
    </row>
    <row r="168" spans="1:18" x14ac:dyDescent="0.25">
      <c r="A168" s="165">
        <v>44841</v>
      </c>
      <c r="B168" s="116">
        <v>761.75</v>
      </c>
      <c r="C168" s="116">
        <v>751</v>
      </c>
      <c r="D168" s="116">
        <v>741.35</v>
      </c>
      <c r="E168" s="116">
        <v>754.9</v>
      </c>
      <c r="F168" s="116">
        <v>751</v>
      </c>
      <c r="G168">
        <v>462208</v>
      </c>
      <c r="H168" s="116"/>
      <c r="I168" s="116"/>
      <c r="L168" s="165">
        <v>44841</v>
      </c>
      <c r="M168" s="116">
        <v>750.95</v>
      </c>
      <c r="N168" s="116">
        <v>761.7</v>
      </c>
      <c r="O168" s="116">
        <v>741.75</v>
      </c>
      <c r="P168" s="116">
        <v>754.05</v>
      </c>
      <c r="Q168" s="116">
        <v>750.95</v>
      </c>
      <c r="R168">
        <v>3873046</v>
      </c>
    </row>
    <row r="169" spans="1:18" x14ac:dyDescent="0.25">
      <c r="A169" s="165">
        <v>44844</v>
      </c>
      <c r="B169" s="116">
        <v>757.75</v>
      </c>
      <c r="C169" s="116">
        <v>740.1</v>
      </c>
      <c r="D169" s="116">
        <v>735.5</v>
      </c>
      <c r="E169" s="116">
        <v>735.5</v>
      </c>
      <c r="F169" s="116">
        <v>740.1</v>
      </c>
      <c r="G169">
        <v>457665</v>
      </c>
      <c r="H169" s="116"/>
      <c r="I169" s="116"/>
      <c r="L169" s="165">
        <v>44844</v>
      </c>
      <c r="M169" s="116">
        <v>740.25</v>
      </c>
      <c r="N169" s="116">
        <v>758.25</v>
      </c>
      <c r="O169" s="116">
        <v>735.55</v>
      </c>
      <c r="P169" s="116">
        <v>741</v>
      </c>
      <c r="Q169" s="116">
        <v>740.25</v>
      </c>
      <c r="R169">
        <v>3580781</v>
      </c>
    </row>
    <row r="170" spans="1:18" x14ac:dyDescent="0.25">
      <c r="A170" s="165">
        <v>44845</v>
      </c>
      <c r="B170" s="116">
        <v>750.5</v>
      </c>
      <c r="C170" s="116">
        <v>719</v>
      </c>
      <c r="D170" s="116">
        <v>716.2</v>
      </c>
      <c r="E170" s="116">
        <v>741.3</v>
      </c>
      <c r="F170" s="116">
        <v>719</v>
      </c>
      <c r="G170">
        <v>166866</v>
      </c>
      <c r="H170" s="116"/>
      <c r="I170" s="116"/>
      <c r="L170" s="165">
        <v>44845</v>
      </c>
      <c r="M170" s="116">
        <v>718.9</v>
      </c>
      <c r="N170" s="116">
        <v>750.9</v>
      </c>
      <c r="O170" s="116">
        <v>716.15</v>
      </c>
      <c r="P170" s="116">
        <v>748</v>
      </c>
      <c r="Q170" s="116">
        <v>718.9</v>
      </c>
      <c r="R170">
        <v>2543214</v>
      </c>
    </row>
    <row r="171" spans="1:18" x14ac:dyDescent="0.25">
      <c r="A171" s="165">
        <v>44846</v>
      </c>
      <c r="B171" s="116">
        <v>727.6</v>
      </c>
      <c r="C171" s="116">
        <v>708.45</v>
      </c>
      <c r="D171" s="116">
        <v>692.25</v>
      </c>
      <c r="E171" s="116">
        <v>725.05</v>
      </c>
      <c r="F171" s="116">
        <v>708.45</v>
      </c>
      <c r="G171">
        <v>467464</v>
      </c>
      <c r="H171" s="116"/>
      <c r="I171" s="116"/>
      <c r="L171" s="165">
        <v>44846</v>
      </c>
      <c r="M171" s="116">
        <v>708.35</v>
      </c>
      <c r="N171" s="116">
        <v>727.8</v>
      </c>
      <c r="O171" s="116">
        <v>692</v>
      </c>
      <c r="P171" s="116">
        <v>726</v>
      </c>
      <c r="Q171" s="116">
        <v>708.35</v>
      </c>
      <c r="R171">
        <v>3425164</v>
      </c>
    </row>
    <row r="172" spans="1:18" x14ac:dyDescent="0.25">
      <c r="A172" s="165">
        <v>44847</v>
      </c>
      <c r="B172" s="116">
        <v>702</v>
      </c>
      <c r="C172" s="116">
        <v>683.9</v>
      </c>
      <c r="D172" s="116">
        <v>681</v>
      </c>
      <c r="E172" s="116">
        <v>696.9</v>
      </c>
      <c r="F172" s="116">
        <v>683.9</v>
      </c>
      <c r="G172">
        <v>583891</v>
      </c>
      <c r="H172" s="116"/>
      <c r="I172" s="116"/>
      <c r="L172" s="165">
        <v>44847</v>
      </c>
      <c r="M172" s="116">
        <v>683.8</v>
      </c>
      <c r="N172" s="116">
        <v>702</v>
      </c>
      <c r="O172" s="116">
        <v>680.65</v>
      </c>
      <c r="P172" s="116">
        <v>696</v>
      </c>
      <c r="Q172" s="116">
        <v>683.8</v>
      </c>
      <c r="R172">
        <v>3852695</v>
      </c>
    </row>
    <row r="173" spans="1:18" x14ac:dyDescent="0.25">
      <c r="A173" s="165">
        <v>44848</v>
      </c>
      <c r="B173" s="116">
        <v>702.15</v>
      </c>
      <c r="C173" s="116">
        <v>654.1</v>
      </c>
      <c r="D173" s="116">
        <v>630.54999999999995</v>
      </c>
      <c r="E173" s="116">
        <v>698</v>
      </c>
      <c r="F173" s="116">
        <v>654.1</v>
      </c>
      <c r="G173">
        <v>602358</v>
      </c>
      <c r="H173" s="116"/>
      <c r="I173" s="116"/>
      <c r="L173" s="165">
        <v>44848</v>
      </c>
      <c r="M173" s="116">
        <v>654.85</v>
      </c>
      <c r="N173" s="116">
        <v>702.5</v>
      </c>
      <c r="O173" s="116">
        <v>630.20000000000005</v>
      </c>
      <c r="P173" s="116">
        <v>700</v>
      </c>
      <c r="Q173" s="116">
        <v>654.85</v>
      </c>
      <c r="R173">
        <v>3980730</v>
      </c>
    </row>
    <row r="174" spans="1:18" x14ac:dyDescent="0.25">
      <c r="A174" s="165">
        <v>44851</v>
      </c>
      <c r="B174" s="116">
        <v>676.7</v>
      </c>
      <c r="C174" s="116">
        <v>661</v>
      </c>
      <c r="D174" s="116">
        <v>636.65</v>
      </c>
      <c r="E174" s="116">
        <v>654.1</v>
      </c>
      <c r="F174" s="116">
        <v>661</v>
      </c>
      <c r="G174">
        <v>346153</v>
      </c>
      <c r="H174" s="116"/>
      <c r="I174" s="116"/>
      <c r="L174" s="165">
        <v>44851</v>
      </c>
      <c r="M174" s="116">
        <v>661.25</v>
      </c>
      <c r="N174" s="116">
        <v>676.5</v>
      </c>
      <c r="O174" s="116">
        <v>636.20000000000005</v>
      </c>
      <c r="P174" s="116">
        <v>655</v>
      </c>
      <c r="Q174" s="116">
        <v>661.25</v>
      </c>
      <c r="R174">
        <v>5269766</v>
      </c>
    </row>
    <row r="175" spans="1:18" x14ac:dyDescent="0.25">
      <c r="A175" s="165">
        <v>44852</v>
      </c>
      <c r="B175" s="116">
        <v>696.85</v>
      </c>
      <c r="C175" s="116">
        <v>692.05</v>
      </c>
      <c r="D175" s="116">
        <v>667.9</v>
      </c>
      <c r="E175" s="116">
        <v>667.95</v>
      </c>
      <c r="F175" s="116">
        <v>692.05</v>
      </c>
      <c r="G175">
        <v>232973</v>
      </c>
      <c r="H175" s="116"/>
      <c r="I175" s="116"/>
      <c r="L175" s="165">
        <v>44852</v>
      </c>
      <c r="M175" s="116">
        <v>692.7</v>
      </c>
      <c r="N175" s="116">
        <v>697</v>
      </c>
      <c r="O175" s="116">
        <v>665</v>
      </c>
      <c r="P175" s="116">
        <v>668.8</v>
      </c>
      <c r="Q175" s="116">
        <v>692.7</v>
      </c>
      <c r="R175">
        <v>4330387</v>
      </c>
    </row>
    <row r="176" spans="1:18" x14ac:dyDescent="0.25">
      <c r="A176" s="165">
        <v>44853</v>
      </c>
      <c r="B176" s="116">
        <v>716.95</v>
      </c>
      <c r="C176" s="116">
        <v>695.95</v>
      </c>
      <c r="D176" s="116">
        <v>692</v>
      </c>
      <c r="E176" s="116">
        <v>700.15</v>
      </c>
      <c r="F176" s="116">
        <v>695.95</v>
      </c>
      <c r="G176">
        <v>219483</v>
      </c>
      <c r="H176" s="116"/>
      <c r="I176" s="116"/>
      <c r="L176" s="165">
        <v>44853</v>
      </c>
      <c r="M176" s="116">
        <v>696.2</v>
      </c>
      <c r="N176" s="116">
        <v>716.85</v>
      </c>
      <c r="O176" s="116">
        <v>692.15</v>
      </c>
      <c r="P176" s="116">
        <v>700.95</v>
      </c>
      <c r="Q176" s="116">
        <v>696.2</v>
      </c>
      <c r="R176">
        <v>4063210</v>
      </c>
    </row>
    <row r="177" spans="1:18" x14ac:dyDescent="0.25">
      <c r="A177" s="165">
        <v>44854</v>
      </c>
      <c r="B177" s="116">
        <v>699.25</v>
      </c>
      <c r="C177" s="116">
        <v>693.4</v>
      </c>
      <c r="D177" s="116">
        <v>683.45</v>
      </c>
      <c r="E177" s="116">
        <v>692</v>
      </c>
      <c r="F177" s="116">
        <v>693.4</v>
      </c>
      <c r="G177">
        <v>144710</v>
      </c>
      <c r="H177" s="116"/>
      <c r="I177" s="116"/>
      <c r="L177" s="165">
        <v>44854</v>
      </c>
      <c r="M177" s="116">
        <v>693.5</v>
      </c>
      <c r="N177" s="116">
        <v>699.5</v>
      </c>
      <c r="O177" s="116">
        <v>683.15</v>
      </c>
      <c r="P177" s="116">
        <v>691.2</v>
      </c>
      <c r="Q177" s="116">
        <v>693.5</v>
      </c>
      <c r="R177">
        <v>2114063</v>
      </c>
    </row>
    <row r="178" spans="1:18" x14ac:dyDescent="0.25">
      <c r="A178" s="165">
        <v>44855</v>
      </c>
      <c r="B178" s="116">
        <v>704.2</v>
      </c>
      <c r="C178" s="116">
        <v>682</v>
      </c>
      <c r="D178" s="116">
        <v>677.55</v>
      </c>
      <c r="E178" s="116">
        <v>701.3</v>
      </c>
      <c r="F178" s="116">
        <v>682</v>
      </c>
      <c r="G178">
        <v>135391</v>
      </c>
      <c r="H178" s="116"/>
      <c r="I178" s="116"/>
      <c r="L178" s="165">
        <v>44855</v>
      </c>
      <c r="M178" s="116">
        <v>682.3</v>
      </c>
      <c r="N178" s="116">
        <v>703.7</v>
      </c>
      <c r="O178" s="116">
        <v>677.5</v>
      </c>
      <c r="P178" s="116">
        <v>702.2</v>
      </c>
      <c r="Q178" s="116">
        <v>682.3</v>
      </c>
      <c r="R178">
        <v>1756549</v>
      </c>
    </row>
    <row r="179" spans="1:18" x14ac:dyDescent="0.25">
      <c r="A179" s="165">
        <v>44858</v>
      </c>
      <c r="B179" s="116">
        <v>698.8</v>
      </c>
      <c r="C179" s="116">
        <v>688.25</v>
      </c>
      <c r="D179" s="116">
        <v>687</v>
      </c>
      <c r="E179" s="116">
        <v>692.5</v>
      </c>
      <c r="F179" s="116">
        <v>688.25</v>
      </c>
      <c r="G179">
        <v>65209</v>
      </c>
      <c r="H179" s="116"/>
      <c r="I179" s="116"/>
      <c r="L179" s="165">
        <v>44858</v>
      </c>
      <c r="M179" s="116">
        <v>688.4</v>
      </c>
      <c r="N179" s="116">
        <v>694</v>
      </c>
      <c r="O179" s="116">
        <v>686</v>
      </c>
      <c r="P179" s="116">
        <v>693</v>
      </c>
      <c r="Q179" s="116">
        <v>688.4</v>
      </c>
      <c r="R179">
        <v>559848</v>
      </c>
    </row>
    <row r="180" spans="1:18" x14ac:dyDescent="0.25">
      <c r="A180" s="165">
        <v>44859</v>
      </c>
      <c r="B180" s="116">
        <v>688.25</v>
      </c>
      <c r="C180" s="116">
        <v>678.25</v>
      </c>
      <c r="D180" s="116">
        <v>677</v>
      </c>
      <c r="E180" s="116">
        <v>687.2</v>
      </c>
      <c r="F180" s="116">
        <v>678.25</v>
      </c>
      <c r="G180">
        <v>66312</v>
      </c>
      <c r="H180" s="116"/>
      <c r="I180" s="116"/>
      <c r="L180" s="165">
        <v>44859</v>
      </c>
      <c r="M180" s="116">
        <v>678.4</v>
      </c>
      <c r="N180" s="116">
        <v>689</v>
      </c>
      <c r="O180" s="116">
        <v>675.05</v>
      </c>
      <c r="P180" s="116">
        <v>689</v>
      </c>
      <c r="Q180" s="116">
        <v>678.4</v>
      </c>
      <c r="R180">
        <v>1075083</v>
      </c>
    </row>
    <row r="181" spans="1:18" x14ac:dyDescent="0.25">
      <c r="A181" s="165">
        <v>44861</v>
      </c>
      <c r="B181" s="116">
        <v>685.45</v>
      </c>
      <c r="C181" s="116">
        <v>670.9</v>
      </c>
      <c r="D181" s="116">
        <v>664.6</v>
      </c>
      <c r="E181" s="116">
        <v>680.8</v>
      </c>
      <c r="F181" s="116">
        <v>670.9</v>
      </c>
      <c r="G181">
        <v>120348</v>
      </c>
      <c r="H181" s="116"/>
      <c r="I181" s="116"/>
      <c r="L181" s="165">
        <v>44861</v>
      </c>
      <c r="M181" s="116">
        <v>670.55</v>
      </c>
      <c r="N181" s="116">
        <v>685</v>
      </c>
      <c r="O181" s="116">
        <v>665</v>
      </c>
      <c r="P181" s="116">
        <v>683.8</v>
      </c>
      <c r="Q181" s="116">
        <v>670.55</v>
      </c>
      <c r="R181">
        <v>1668705</v>
      </c>
    </row>
    <row r="182" spans="1:18" x14ac:dyDescent="0.25">
      <c r="A182" s="165">
        <v>44862</v>
      </c>
      <c r="B182" s="116">
        <v>694</v>
      </c>
      <c r="C182" s="116">
        <v>670.7</v>
      </c>
      <c r="D182" s="116">
        <v>665.3</v>
      </c>
      <c r="E182" s="116">
        <v>672</v>
      </c>
      <c r="F182" s="116">
        <v>670.7</v>
      </c>
      <c r="G182">
        <v>324670</v>
      </c>
      <c r="H182" s="116"/>
      <c r="I182" s="116"/>
      <c r="L182" s="165">
        <v>44862</v>
      </c>
      <c r="M182" s="116">
        <v>671.05</v>
      </c>
      <c r="N182" s="116">
        <v>694</v>
      </c>
      <c r="O182" s="116">
        <v>664.05</v>
      </c>
      <c r="P182" s="116">
        <v>672</v>
      </c>
      <c r="Q182" s="116">
        <v>671.05</v>
      </c>
      <c r="R182">
        <v>2049394</v>
      </c>
    </row>
    <row r="183" spans="1:18" x14ac:dyDescent="0.25">
      <c r="A183" s="165">
        <v>44865</v>
      </c>
      <c r="B183" s="116">
        <v>681.2</v>
      </c>
      <c r="C183" s="116">
        <v>672.15</v>
      </c>
      <c r="D183" s="116">
        <v>666.9</v>
      </c>
      <c r="E183" s="116">
        <v>673.15</v>
      </c>
      <c r="F183" s="116">
        <v>672.15</v>
      </c>
      <c r="G183">
        <v>91310</v>
      </c>
      <c r="H183" s="116"/>
      <c r="I183" s="116"/>
      <c r="L183" s="165">
        <v>44865</v>
      </c>
      <c r="M183" s="116">
        <v>672.4</v>
      </c>
      <c r="N183" s="116">
        <v>681.05</v>
      </c>
      <c r="O183" s="116">
        <v>667</v>
      </c>
      <c r="P183" s="116">
        <v>674.95</v>
      </c>
      <c r="Q183" s="116">
        <v>672.4</v>
      </c>
      <c r="R183">
        <v>1347016</v>
      </c>
    </row>
    <row r="184" spans="1:18" x14ac:dyDescent="0.25">
      <c r="A184" s="165">
        <v>44866</v>
      </c>
      <c r="B184" s="116">
        <v>724</v>
      </c>
      <c r="C184" s="116">
        <v>716.5</v>
      </c>
      <c r="D184" s="116">
        <v>672.5</v>
      </c>
      <c r="E184" s="116">
        <v>677</v>
      </c>
      <c r="F184" s="116">
        <v>716.5</v>
      </c>
      <c r="G184">
        <v>389026</v>
      </c>
      <c r="H184" s="116"/>
      <c r="I184" s="116"/>
      <c r="L184" s="165">
        <v>44866</v>
      </c>
      <c r="M184" s="116">
        <v>716.45</v>
      </c>
      <c r="N184" s="116">
        <v>724.3</v>
      </c>
      <c r="O184" s="116">
        <v>672.15</v>
      </c>
      <c r="P184" s="116">
        <v>678.7</v>
      </c>
      <c r="Q184" s="116">
        <v>716.45</v>
      </c>
      <c r="R184">
        <v>7386356</v>
      </c>
    </row>
    <row r="185" spans="1:18" x14ac:dyDescent="0.25">
      <c r="A185" s="165">
        <v>44867</v>
      </c>
      <c r="B185" s="116">
        <v>730</v>
      </c>
      <c r="C185" s="116">
        <v>698.45</v>
      </c>
      <c r="D185" s="116">
        <v>695</v>
      </c>
      <c r="E185" s="116">
        <v>722</v>
      </c>
      <c r="F185" s="116">
        <v>698.45</v>
      </c>
      <c r="G185">
        <v>706178</v>
      </c>
      <c r="H185" s="116"/>
      <c r="I185" s="116"/>
      <c r="L185" s="165">
        <v>44867</v>
      </c>
      <c r="M185" s="116">
        <v>698.75</v>
      </c>
      <c r="N185" s="116">
        <v>730</v>
      </c>
      <c r="O185" s="116">
        <v>696</v>
      </c>
      <c r="P185" s="116">
        <v>722.4</v>
      </c>
      <c r="Q185" s="116">
        <v>698.75</v>
      </c>
      <c r="R185">
        <v>5093989</v>
      </c>
    </row>
    <row r="186" spans="1:18" x14ac:dyDescent="0.25">
      <c r="A186" s="165">
        <v>44868</v>
      </c>
      <c r="B186" s="116">
        <v>708.35</v>
      </c>
      <c r="C186" s="116">
        <v>682.5</v>
      </c>
      <c r="D186" s="116">
        <v>678.8</v>
      </c>
      <c r="E186" s="116">
        <v>692</v>
      </c>
      <c r="F186" s="116">
        <v>682.5</v>
      </c>
      <c r="G186">
        <v>248223</v>
      </c>
      <c r="H186" s="116"/>
      <c r="I186" s="116"/>
      <c r="L186" s="165">
        <v>44868</v>
      </c>
      <c r="M186" s="116">
        <v>682.3</v>
      </c>
      <c r="N186" s="116">
        <v>708.7</v>
      </c>
      <c r="O186" s="116">
        <v>678.65</v>
      </c>
      <c r="P186" s="116">
        <v>692.95</v>
      </c>
      <c r="Q186" s="116">
        <v>682.3</v>
      </c>
      <c r="R186">
        <v>4653694</v>
      </c>
    </row>
    <row r="187" spans="1:18" x14ac:dyDescent="0.25">
      <c r="A187" s="165">
        <v>44869</v>
      </c>
      <c r="B187" s="116">
        <v>693.25</v>
      </c>
      <c r="C187" s="116">
        <v>684.25</v>
      </c>
      <c r="D187" s="116">
        <v>667.05</v>
      </c>
      <c r="E187" s="116">
        <v>670.55</v>
      </c>
      <c r="F187" s="116">
        <v>684.25</v>
      </c>
      <c r="G187">
        <v>533169</v>
      </c>
      <c r="H187" s="116"/>
      <c r="I187" s="116"/>
      <c r="L187" s="165">
        <v>44869</v>
      </c>
      <c r="M187" s="116">
        <v>684.55</v>
      </c>
      <c r="N187" s="116">
        <v>693.8</v>
      </c>
      <c r="O187" s="116">
        <v>667</v>
      </c>
      <c r="P187" s="116">
        <v>672.3</v>
      </c>
      <c r="Q187" s="116">
        <v>684.55</v>
      </c>
      <c r="R187">
        <v>4267362</v>
      </c>
    </row>
    <row r="188" spans="1:18" x14ac:dyDescent="0.25">
      <c r="A188" s="165">
        <v>44872</v>
      </c>
      <c r="B188" s="116">
        <v>694</v>
      </c>
      <c r="C188" s="116">
        <v>684.15</v>
      </c>
      <c r="D188" s="116">
        <v>681</v>
      </c>
      <c r="E188" s="116">
        <v>687</v>
      </c>
      <c r="F188" s="116">
        <v>684.15</v>
      </c>
      <c r="G188">
        <v>126658</v>
      </c>
      <c r="H188" s="116"/>
      <c r="I188" s="116"/>
      <c r="L188" s="165">
        <v>44872</v>
      </c>
      <c r="M188" s="116">
        <v>684</v>
      </c>
      <c r="N188" s="116">
        <v>694</v>
      </c>
      <c r="O188" s="116">
        <v>680.5</v>
      </c>
      <c r="P188" s="116">
        <v>687.9</v>
      </c>
      <c r="Q188" s="116">
        <v>684</v>
      </c>
      <c r="R188">
        <v>2412228</v>
      </c>
    </row>
    <row r="189" spans="1:18" x14ac:dyDescent="0.25">
      <c r="A189" s="165">
        <v>44874</v>
      </c>
      <c r="B189" s="116">
        <v>703</v>
      </c>
      <c r="C189" s="116">
        <v>688.65</v>
      </c>
      <c r="D189" s="116">
        <v>681.15</v>
      </c>
      <c r="E189" s="116">
        <v>681.15</v>
      </c>
      <c r="F189" s="116">
        <v>688.65</v>
      </c>
      <c r="G189">
        <v>405824</v>
      </c>
      <c r="H189" s="116"/>
      <c r="I189" s="116"/>
      <c r="L189" s="165">
        <v>44874</v>
      </c>
      <c r="M189" s="116">
        <v>688.7</v>
      </c>
      <c r="N189" s="116">
        <v>703.4</v>
      </c>
      <c r="O189" s="116">
        <v>683.8</v>
      </c>
      <c r="P189" s="116">
        <v>690</v>
      </c>
      <c r="Q189" s="116">
        <v>688.7</v>
      </c>
      <c r="R189">
        <v>2886575</v>
      </c>
    </row>
    <row r="190" spans="1:18" x14ac:dyDescent="0.25">
      <c r="A190" s="165">
        <v>44875</v>
      </c>
      <c r="B190" s="116">
        <v>688</v>
      </c>
      <c r="C190" s="116">
        <v>679.8</v>
      </c>
      <c r="D190" s="116">
        <v>677.2</v>
      </c>
      <c r="E190" s="116">
        <v>682.05</v>
      </c>
      <c r="F190" s="116">
        <v>679.8</v>
      </c>
      <c r="G190">
        <v>79963</v>
      </c>
      <c r="H190" s="116"/>
      <c r="I190" s="116"/>
      <c r="L190" s="165">
        <v>44875</v>
      </c>
      <c r="M190" s="116">
        <v>679.75</v>
      </c>
      <c r="N190" s="116">
        <v>688.2</v>
      </c>
      <c r="O190" s="116">
        <v>677</v>
      </c>
      <c r="P190" s="116">
        <v>684</v>
      </c>
      <c r="Q190" s="116">
        <v>679.75</v>
      </c>
      <c r="R190">
        <v>1392887</v>
      </c>
    </row>
    <row r="191" spans="1:18" x14ac:dyDescent="0.25">
      <c r="A191" s="165">
        <v>44876</v>
      </c>
      <c r="B191" s="116">
        <v>690</v>
      </c>
      <c r="C191" s="116">
        <v>674.85</v>
      </c>
      <c r="D191" s="116">
        <v>671.2</v>
      </c>
      <c r="E191" s="116">
        <v>687.05</v>
      </c>
      <c r="F191" s="116">
        <v>674.85</v>
      </c>
      <c r="G191">
        <v>254984</v>
      </c>
      <c r="H191" s="116"/>
      <c r="I191" s="116"/>
      <c r="L191" s="165">
        <v>44876</v>
      </c>
      <c r="M191" s="116">
        <v>675.3</v>
      </c>
      <c r="N191" s="116">
        <v>690.55</v>
      </c>
      <c r="O191" s="116">
        <v>671.15</v>
      </c>
      <c r="P191" s="116">
        <v>688.7</v>
      </c>
      <c r="Q191" s="116">
        <v>675.3</v>
      </c>
      <c r="R191">
        <v>1490967</v>
      </c>
    </row>
    <row r="192" spans="1:18" x14ac:dyDescent="0.25">
      <c r="A192" s="165">
        <v>44879</v>
      </c>
      <c r="B192" s="116">
        <v>678.5</v>
      </c>
      <c r="C192" s="116">
        <v>667.9</v>
      </c>
      <c r="D192" s="116">
        <v>665.2</v>
      </c>
      <c r="E192" s="116">
        <v>670</v>
      </c>
      <c r="F192" s="116">
        <v>667.9</v>
      </c>
      <c r="G192">
        <v>128310</v>
      </c>
      <c r="H192" s="116"/>
      <c r="I192" s="116"/>
      <c r="L192" s="165">
        <v>44879</v>
      </c>
      <c r="M192" s="116">
        <v>667.75</v>
      </c>
      <c r="N192" s="116">
        <v>678.4</v>
      </c>
      <c r="O192" s="116">
        <v>665</v>
      </c>
      <c r="P192" s="116">
        <v>671.2</v>
      </c>
      <c r="Q192" s="116">
        <v>667.75</v>
      </c>
      <c r="R192">
        <v>1620233</v>
      </c>
    </row>
    <row r="193" spans="1:18" x14ac:dyDescent="0.25">
      <c r="A193" s="165">
        <v>44880</v>
      </c>
      <c r="B193" s="116">
        <v>674</v>
      </c>
      <c r="C193" s="116">
        <v>668</v>
      </c>
      <c r="D193" s="116">
        <v>665.1</v>
      </c>
      <c r="E193" s="116">
        <v>667.1</v>
      </c>
      <c r="F193" s="116">
        <v>668</v>
      </c>
      <c r="G193">
        <v>237307</v>
      </c>
      <c r="H193" s="116"/>
      <c r="I193" s="116"/>
      <c r="L193" s="165">
        <v>44880</v>
      </c>
      <c r="M193" s="116">
        <v>668.05</v>
      </c>
      <c r="N193" s="116">
        <v>674</v>
      </c>
      <c r="O193" s="116">
        <v>665</v>
      </c>
      <c r="P193" s="116">
        <v>669.2</v>
      </c>
      <c r="Q193" s="116">
        <v>668.05</v>
      </c>
      <c r="R193">
        <v>1172371</v>
      </c>
    </row>
    <row r="194" spans="1:18" x14ac:dyDescent="0.25">
      <c r="A194" s="165">
        <v>44881</v>
      </c>
      <c r="B194" s="116">
        <v>673</v>
      </c>
      <c r="C194" s="116">
        <v>652.79999999999995</v>
      </c>
      <c r="D194" s="116">
        <v>651</v>
      </c>
      <c r="E194" s="116">
        <v>670</v>
      </c>
      <c r="F194" s="116">
        <v>652.79999999999995</v>
      </c>
      <c r="G194">
        <v>127104</v>
      </c>
      <c r="H194" s="116"/>
      <c r="I194" s="116"/>
      <c r="L194" s="165">
        <v>44881</v>
      </c>
      <c r="M194" s="116">
        <v>653.1</v>
      </c>
      <c r="N194" s="116">
        <v>672.85</v>
      </c>
      <c r="O194" s="116">
        <v>651</v>
      </c>
      <c r="P194" s="116">
        <v>670.2</v>
      </c>
      <c r="Q194" s="116">
        <v>653.1</v>
      </c>
      <c r="R194">
        <v>1812221</v>
      </c>
    </row>
    <row r="195" spans="1:18" x14ac:dyDescent="0.25">
      <c r="A195" s="165">
        <v>44882</v>
      </c>
      <c r="B195" s="116">
        <v>659.55</v>
      </c>
      <c r="C195" s="116">
        <v>647.65</v>
      </c>
      <c r="D195" s="116">
        <v>645.1</v>
      </c>
      <c r="E195" s="116">
        <v>651.04999999999995</v>
      </c>
      <c r="F195" s="116">
        <v>647.65</v>
      </c>
      <c r="G195">
        <v>114474</v>
      </c>
      <c r="H195" s="116"/>
      <c r="I195" s="116"/>
      <c r="L195" s="165">
        <v>44882</v>
      </c>
      <c r="M195" s="116">
        <v>647.54999999999995</v>
      </c>
      <c r="N195" s="116">
        <v>658.3</v>
      </c>
      <c r="O195" s="116">
        <v>645.04999999999995</v>
      </c>
      <c r="P195" s="116">
        <v>653</v>
      </c>
      <c r="Q195" s="116">
        <v>647.54999999999995</v>
      </c>
      <c r="R195">
        <v>1417564</v>
      </c>
    </row>
    <row r="196" spans="1:18" x14ac:dyDescent="0.25">
      <c r="A196" s="165">
        <v>44883</v>
      </c>
      <c r="B196" s="116">
        <v>652.79999999999995</v>
      </c>
      <c r="C196" s="116">
        <v>636.5</v>
      </c>
      <c r="D196" s="116">
        <v>635</v>
      </c>
      <c r="E196" s="116">
        <v>649</v>
      </c>
      <c r="F196" s="116">
        <v>636.5</v>
      </c>
      <c r="G196">
        <v>224716</v>
      </c>
      <c r="H196" s="116"/>
      <c r="I196" s="116"/>
      <c r="L196" s="165">
        <v>44883</v>
      </c>
      <c r="M196" s="116">
        <v>636.6</v>
      </c>
      <c r="N196" s="116">
        <v>652.75</v>
      </c>
      <c r="O196" s="116">
        <v>635</v>
      </c>
      <c r="P196" s="116">
        <v>650</v>
      </c>
      <c r="Q196" s="116">
        <v>636.6</v>
      </c>
      <c r="R196">
        <v>1292186</v>
      </c>
    </row>
    <row r="197" spans="1:18" x14ac:dyDescent="0.25">
      <c r="A197" s="165">
        <v>44886</v>
      </c>
      <c r="B197" s="116">
        <v>635</v>
      </c>
      <c r="C197" s="116">
        <v>621.4</v>
      </c>
      <c r="D197" s="116">
        <v>620</v>
      </c>
      <c r="E197" s="116">
        <v>630.04999999999995</v>
      </c>
      <c r="F197" s="116">
        <v>621.4</v>
      </c>
      <c r="G197">
        <v>103510</v>
      </c>
      <c r="H197" s="116"/>
      <c r="I197" s="116"/>
      <c r="L197" s="165">
        <v>44886</v>
      </c>
      <c r="M197" s="116">
        <v>621.20000000000005</v>
      </c>
      <c r="N197" s="116">
        <v>635.6</v>
      </c>
      <c r="O197" s="116">
        <v>620</v>
      </c>
      <c r="P197" s="116">
        <v>633.79999999999995</v>
      </c>
      <c r="Q197" s="116">
        <v>621.20000000000005</v>
      </c>
      <c r="R197">
        <v>1410288</v>
      </c>
    </row>
    <row r="198" spans="1:18" x14ac:dyDescent="0.25">
      <c r="A198" s="165">
        <v>44887</v>
      </c>
      <c r="B198" s="116">
        <v>642.95000000000005</v>
      </c>
      <c r="C198" s="116">
        <v>637.20000000000005</v>
      </c>
      <c r="D198" s="116">
        <v>616</v>
      </c>
      <c r="E198" s="116">
        <v>622.1</v>
      </c>
      <c r="F198" s="116">
        <v>637.20000000000005</v>
      </c>
      <c r="G198">
        <v>348632</v>
      </c>
      <c r="H198" s="116"/>
      <c r="I198" s="116"/>
      <c r="L198" s="165">
        <v>44887</v>
      </c>
      <c r="M198" s="116">
        <v>637.25</v>
      </c>
      <c r="N198" s="116">
        <v>642.95000000000005</v>
      </c>
      <c r="O198" s="116">
        <v>615.04999999999995</v>
      </c>
      <c r="P198" s="116">
        <v>622.9</v>
      </c>
      <c r="Q198" s="116">
        <v>637.25</v>
      </c>
      <c r="R198">
        <v>1981078</v>
      </c>
    </row>
    <row r="199" spans="1:18" x14ac:dyDescent="0.25">
      <c r="A199" s="165">
        <v>44888</v>
      </c>
      <c r="B199" s="116">
        <v>648</v>
      </c>
      <c r="C199" s="116">
        <v>640.65</v>
      </c>
      <c r="D199" s="116">
        <v>634.4</v>
      </c>
      <c r="E199" s="116">
        <v>643</v>
      </c>
      <c r="F199" s="116">
        <v>640.65</v>
      </c>
      <c r="G199">
        <v>83986</v>
      </c>
      <c r="H199" s="116"/>
      <c r="I199" s="116"/>
      <c r="L199" s="165">
        <v>44888</v>
      </c>
      <c r="M199" s="116">
        <v>640.54999999999995</v>
      </c>
      <c r="N199" s="116">
        <v>648</v>
      </c>
      <c r="O199" s="116">
        <v>634</v>
      </c>
      <c r="P199" s="116">
        <v>642.9</v>
      </c>
      <c r="Q199" s="116">
        <v>640.54999999999995</v>
      </c>
      <c r="R199">
        <v>1223140</v>
      </c>
    </row>
    <row r="200" spans="1:18" x14ac:dyDescent="0.25">
      <c r="A200" s="165">
        <v>44889</v>
      </c>
      <c r="B200" s="116">
        <v>643.1</v>
      </c>
      <c r="C200" s="116">
        <v>632.29999999999995</v>
      </c>
      <c r="D200" s="116">
        <v>631.1</v>
      </c>
      <c r="E200" s="116">
        <v>641.9</v>
      </c>
      <c r="F200" s="116">
        <v>632.29999999999995</v>
      </c>
      <c r="G200">
        <v>159247</v>
      </c>
      <c r="H200" s="116"/>
      <c r="I200" s="116"/>
      <c r="L200" s="165">
        <v>44889</v>
      </c>
      <c r="M200" s="116">
        <v>632.45000000000005</v>
      </c>
      <c r="N200" s="116">
        <v>643.85</v>
      </c>
      <c r="O200" s="116">
        <v>631.20000000000005</v>
      </c>
      <c r="P200" s="116">
        <v>640.6</v>
      </c>
      <c r="Q200" s="116">
        <v>632.45000000000005</v>
      </c>
      <c r="R200">
        <v>956519</v>
      </c>
    </row>
    <row r="201" spans="1:18" x14ac:dyDescent="0.25">
      <c r="A201" s="165">
        <v>44890</v>
      </c>
      <c r="B201" s="116">
        <v>642</v>
      </c>
      <c r="C201" s="116">
        <v>631.5</v>
      </c>
      <c r="D201" s="116">
        <v>630.04999999999995</v>
      </c>
      <c r="E201" s="116">
        <v>633</v>
      </c>
      <c r="F201" s="116">
        <v>631.5</v>
      </c>
      <c r="G201">
        <v>109937</v>
      </c>
      <c r="H201" s="116"/>
      <c r="I201" s="116"/>
      <c r="L201" s="165">
        <v>44890</v>
      </c>
      <c r="M201" s="116">
        <v>631.5</v>
      </c>
      <c r="N201" s="116">
        <v>642</v>
      </c>
      <c r="O201" s="116">
        <v>630.1</v>
      </c>
      <c r="P201" s="116">
        <v>633</v>
      </c>
      <c r="Q201" s="116">
        <v>631.5</v>
      </c>
      <c r="R201">
        <v>1328014</v>
      </c>
    </row>
    <row r="202" spans="1:18" x14ac:dyDescent="0.25">
      <c r="A202" s="165">
        <v>44893</v>
      </c>
      <c r="B202" s="116">
        <v>640.79999999999995</v>
      </c>
      <c r="C202" s="116">
        <v>630.6</v>
      </c>
      <c r="D202" s="116">
        <v>628.15</v>
      </c>
      <c r="E202" s="116">
        <v>630.95000000000005</v>
      </c>
      <c r="F202" s="116">
        <v>630.6</v>
      </c>
      <c r="G202">
        <v>169201</v>
      </c>
      <c r="H202" s="116"/>
      <c r="I202" s="116"/>
      <c r="L202" s="165">
        <v>44893</v>
      </c>
      <c r="M202" s="116">
        <v>630.6</v>
      </c>
      <c r="N202" s="116">
        <v>641</v>
      </c>
      <c r="O202" s="116">
        <v>628.04999999999995</v>
      </c>
      <c r="P202" s="116">
        <v>631</v>
      </c>
      <c r="Q202" s="116">
        <v>630.6</v>
      </c>
      <c r="R202">
        <v>1079637</v>
      </c>
    </row>
    <row r="203" spans="1:18" x14ac:dyDescent="0.25">
      <c r="A203" s="165">
        <v>44894</v>
      </c>
      <c r="B203" s="116">
        <v>635</v>
      </c>
      <c r="C203" s="116">
        <v>623.1</v>
      </c>
      <c r="D203" s="116">
        <v>620</v>
      </c>
      <c r="E203" s="116">
        <v>630.70000000000005</v>
      </c>
      <c r="F203" s="116">
        <v>623.1</v>
      </c>
      <c r="G203">
        <v>187665</v>
      </c>
      <c r="H203" s="116"/>
      <c r="I203" s="116"/>
      <c r="L203" s="165">
        <v>44894</v>
      </c>
      <c r="M203" s="116">
        <v>622.75</v>
      </c>
      <c r="N203" s="116">
        <v>635</v>
      </c>
      <c r="O203" s="116">
        <v>620</v>
      </c>
      <c r="P203" s="116">
        <v>630</v>
      </c>
      <c r="Q203" s="116">
        <v>622.75</v>
      </c>
      <c r="R203">
        <v>1049196</v>
      </c>
    </row>
    <row r="204" spans="1:18" x14ac:dyDescent="0.25">
      <c r="A204" s="165">
        <v>44895</v>
      </c>
      <c r="B204" s="116">
        <v>634</v>
      </c>
      <c r="C204" s="116">
        <v>630.35</v>
      </c>
      <c r="D204" s="116">
        <v>623.04999999999995</v>
      </c>
      <c r="E204" s="116">
        <v>623.04999999999995</v>
      </c>
      <c r="F204" s="116">
        <v>630.35</v>
      </c>
      <c r="G204">
        <v>193157</v>
      </c>
      <c r="H204" s="116"/>
      <c r="I204" s="116"/>
      <c r="L204" s="165">
        <v>44895</v>
      </c>
      <c r="M204" s="116">
        <v>630.35</v>
      </c>
      <c r="N204" s="116">
        <v>634</v>
      </c>
      <c r="O204" s="116">
        <v>623</v>
      </c>
      <c r="P204" s="116">
        <v>624</v>
      </c>
      <c r="Q204" s="116">
        <v>630.35</v>
      </c>
      <c r="R204">
        <v>1127679</v>
      </c>
    </row>
    <row r="205" spans="1:18" x14ac:dyDescent="0.25">
      <c r="A205" s="165">
        <v>44896</v>
      </c>
      <c r="B205" s="116">
        <v>668</v>
      </c>
      <c r="C205" s="116">
        <v>647.54999999999995</v>
      </c>
      <c r="D205" s="116">
        <v>633.65</v>
      </c>
      <c r="E205" s="116">
        <v>634</v>
      </c>
      <c r="F205" s="116">
        <v>647.54999999999995</v>
      </c>
      <c r="G205">
        <v>447469</v>
      </c>
      <c r="H205" s="116"/>
      <c r="I205" s="116"/>
      <c r="L205" s="165">
        <v>44896</v>
      </c>
      <c r="M205" s="116">
        <v>647.4</v>
      </c>
      <c r="N205" s="116">
        <v>668.4</v>
      </c>
      <c r="O205" s="116">
        <v>633.5</v>
      </c>
      <c r="P205" s="116">
        <v>636</v>
      </c>
      <c r="Q205" s="116">
        <v>647.4</v>
      </c>
      <c r="R205">
        <v>4043896</v>
      </c>
    </row>
    <row r="206" spans="1:18" x14ac:dyDescent="0.25">
      <c r="A206" s="165">
        <v>44897</v>
      </c>
      <c r="B206" s="116">
        <v>660</v>
      </c>
      <c r="C206" s="116">
        <v>641.29999999999995</v>
      </c>
      <c r="D206" s="116">
        <v>640</v>
      </c>
      <c r="E206" s="116">
        <v>649.79999999999995</v>
      </c>
      <c r="F206" s="116">
        <v>641.29999999999995</v>
      </c>
      <c r="G206">
        <v>206678</v>
      </c>
      <c r="H206" s="116"/>
      <c r="I206" s="116"/>
      <c r="L206" s="165">
        <v>44897</v>
      </c>
      <c r="M206" s="116">
        <v>641.4</v>
      </c>
      <c r="N206" s="116">
        <v>653.65</v>
      </c>
      <c r="O206" s="116">
        <v>639</v>
      </c>
      <c r="P206" s="116">
        <v>649.9</v>
      </c>
      <c r="Q206" s="116">
        <v>641.4</v>
      </c>
      <c r="R206">
        <v>1375382</v>
      </c>
    </row>
    <row r="207" spans="1:18" x14ac:dyDescent="0.25">
      <c r="A207" s="165">
        <v>44900</v>
      </c>
      <c r="B207" s="116">
        <v>646</v>
      </c>
      <c r="C207" s="116">
        <v>639.75</v>
      </c>
      <c r="D207" s="116">
        <v>635.20000000000005</v>
      </c>
      <c r="E207" s="116">
        <v>641.54999999999995</v>
      </c>
      <c r="F207" s="116">
        <v>639.75</v>
      </c>
      <c r="G207">
        <v>80785</v>
      </c>
      <c r="H207" s="116"/>
      <c r="I207" s="116"/>
      <c r="L207" s="165">
        <v>44900</v>
      </c>
      <c r="M207" s="116">
        <v>639.70000000000005</v>
      </c>
      <c r="N207" s="116">
        <v>646.5</v>
      </c>
      <c r="O207" s="116">
        <v>635</v>
      </c>
      <c r="P207" s="116">
        <v>642.95000000000005</v>
      </c>
      <c r="Q207" s="116">
        <v>639.70000000000005</v>
      </c>
      <c r="R207">
        <v>1074443</v>
      </c>
    </row>
    <row r="208" spans="1:18" x14ac:dyDescent="0.25">
      <c r="A208" s="165">
        <v>44901</v>
      </c>
      <c r="B208" s="116">
        <v>660.7</v>
      </c>
      <c r="C208" s="116">
        <v>647.75</v>
      </c>
      <c r="D208" s="116">
        <v>637.79999999999995</v>
      </c>
      <c r="E208" s="116">
        <v>638</v>
      </c>
      <c r="F208" s="116">
        <v>647.75</v>
      </c>
      <c r="G208">
        <v>358850</v>
      </c>
      <c r="H208" s="116"/>
      <c r="I208" s="116"/>
      <c r="L208" s="165">
        <v>44901</v>
      </c>
      <c r="M208" s="116">
        <v>648.15</v>
      </c>
      <c r="N208" s="116">
        <v>661</v>
      </c>
      <c r="O208" s="116">
        <v>636.35</v>
      </c>
      <c r="P208" s="116">
        <v>639</v>
      </c>
      <c r="Q208" s="116">
        <v>648.15</v>
      </c>
      <c r="R208">
        <v>2736249</v>
      </c>
    </row>
    <row r="209" spans="1:18" x14ac:dyDescent="0.25">
      <c r="A209" s="165">
        <v>44902</v>
      </c>
      <c r="B209" s="116">
        <v>662.7</v>
      </c>
      <c r="C209" s="116">
        <v>651.9</v>
      </c>
      <c r="D209" s="116">
        <v>645.04999999999995</v>
      </c>
      <c r="E209" s="116">
        <v>645.04999999999995</v>
      </c>
      <c r="F209" s="116">
        <v>651.9</v>
      </c>
      <c r="G209">
        <v>172857</v>
      </c>
      <c r="H209" s="116"/>
      <c r="I209" s="116"/>
      <c r="L209" s="165">
        <v>44902</v>
      </c>
      <c r="M209" s="116">
        <v>651.70000000000005</v>
      </c>
      <c r="N209" s="116">
        <v>662.9</v>
      </c>
      <c r="O209" s="116">
        <v>646.20000000000005</v>
      </c>
      <c r="P209" s="116">
        <v>647</v>
      </c>
      <c r="Q209" s="116">
        <v>651.70000000000005</v>
      </c>
      <c r="R209">
        <v>2662884</v>
      </c>
    </row>
    <row r="210" spans="1:18" x14ac:dyDescent="0.25">
      <c r="A210" s="165">
        <v>44903</v>
      </c>
      <c r="B210" s="116">
        <v>664.3</v>
      </c>
      <c r="C210" s="116">
        <v>652.5</v>
      </c>
      <c r="D210" s="116">
        <v>650.54999999999995</v>
      </c>
      <c r="E210" s="116">
        <v>656</v>
      </c>
      <c r="F210" s="116">
        <v>652.5</v>
      </c>
      <c r="G210">
        <v>178741</v>
      </c>
      <c r="H210" s="116"/>
      <c r="I210" s="116"/>
      <c r="L210" s="165">
        <v>44903</v>
      </c>
      <c r="M210" s="116">
        <v>652.70000000000005</v>
      </c>
      <c r="N210" s="116">
        <v>664.9</v>
      </c>
      <c r="O210" s="116">
        <v>650.29999999999995</v>
      </c>
      <c r="P210" s="116">
        <v>656.8</v>
      </c>
      <c r="Q210" s="116">
        <v>652.70000000000005</v>
      </c>
      <c r="R210">
        <v>1265394</v>
      </c>
    </row>
    <row r="211" spans="1:18" x14ac:dyDescent="0.25">
      <c r="A211" s="165">
        <v>44904</v>
      </c>
      <c r="B211" s="116">
        <v>666</v>
      </c>
      <c r="C211" s="116">
        <v>639.29999999999995</v>
      </c>
      <c r="D211" s="116">
        <v>632.35</v>
      </c>
      <c r="E211" s="116">
        <v>655.1</v>
      </c>
      <c r="F211" s="116">
        <v>639.29999999999995</v>
      </c>
      <c r="G211">
        <v>137954</v>
      </c>
      <c r="H211" s="116"/>
      <c r="I211" s="116"/>
      <c r="L211" s="165">
        <v>44904</v>
      </c>
      <c r="M211" s="116">
        <v>639.1</v>
      </c>
      <c r="N211" s="116">
        <v>661.25</v>
      </c>
      <c r="O211" s="116">
        <v>632.04999999999995</v>
      </c>
      <c r="P211" s="116">
        <v>656</v>
      </c>
      <c r="Q211" s="116">
        <v>639.1</v>
      </c>
      <c r="R211">
        <v>1746933</v>
      </c>
    </row>
    <row r="212" spans="1:18" x14ac:dyDescent="0.25">
      <c r="A212" s="165">
        <v>44907</v>
      </c>
      <c r="B212" s="116">
        <v>644.75</v>
      </c>
      <c r="C212" s="116">
        <v>638.45000000000005</v>
      </c>
      <c r="D212" s="116">
        <v>633</v>
      </c>
      <c r="E212" s="116">
        <v>638.54999999999995</v>
      </c>
      <c r="F212" s="116">
        <v>638.45000000000005</v>
      </c>
      <c r="G212">
        <v>160393</v>
      </c>
      <c r="H212" s="116"/>
      <c r="I212" s="116"/>
      <c r="L212" s="165">
        <v>44907</v>
      </c>
      <c r="M212" s="116">
        <v>638.6</v>
      </c>
      <c r="N212" s="116">
        <v>645</v>
      </c>
      <c r="O212" s="116">
        <v>634.1</v>
      </c>
      <c r="P212" s="116">
        <v>640</v>
      </c>
      <c r="Q212" s="116">
        <v>638.6</v>
      </c>
      <c r="R212">
        <v>1159625</v>
      </c>
    </row>
    <row r="213" spans="1:18" x14ac:dyDescent="0.25">
      <c r="A213" s="165">
        <v>44908</v>
      </c>
      <c r="B213" s="116">
        <v>665.85</v>
      </c>
      <c r="C213" s="116">
        <v>652.20000000000005</v>
      </c>
      <c r="D213" s="116">
        <v>640.70000000000005</v>
      </c>
      <c r="E213" s="116">
        <v>640.70000000000005</v>
      </c>
      <c r="F213" s="116">
        <v>652.20000000000005</v>
      </c>
      <c r="G213">
        <v>204677</v>
      </c>
      <c r="H213" s="116"/>
      <c r="I213" s="116"/>
      <c r="L213" s="165">
        <v>44908</v>
      </c>
      <c r="M213" s="116">
        <v>651.25</v>
      </c>
      <c r="N213" s="116">
        <v>666</v>
      </c>
      <c r="O213" s="116">
        <v>640</v>
      </c>
      <c r="P213" s="116">
        <v>641.79999999999995</v>
      </c>
      <c r="Q213" s="116">
        <v>651.25</v>
      </c>
      <c r="R213">
        <v>4167135</v>
      </c>
    </row>
    <row r="214" spans="1:18" x14ac:dyDescent="0.25">
      <c r="A214" s="165">
        <v>44909</v>
      </c>
      <c r="B214" s="116">
        <v>654.9</v>
      </c>
      <c r="C214" s="116">
        <v>646.35</v>
      </c>
      <c r="D214" s="116">
        <v>645.5</v>
      </c>
      <c r="E214" s="116">
        <v>654</v>
      </c>
      <c r="F214" s="116">
        <v>646.35</v>
      </c>
      <c r="G214">
        <v>160374</v>
      </c>
      <c r="H214" s="116"/>
      <c r="I214" s="116"/>
      <c r="L214" s="165">
        <v>44909</v>
      </c>
      <c r="M214" s="116">
        <v>646.65</v>
      </c>
      <c r="N214" s="116">
        <v>655.25</v>
      </c>
      <c r="O214" s="116">
        <v>645.54999999999995</v>
      </c>
      <c r="P214" s="116">
        <v>654</v>
      </c>
      <c r="Q214" s="116">
        <v>646.65</v>
      </c>
      <c r="R214">
        <v>1201310</v>
      </c>
    </row>
    <row r="215" spans="1:18" x14ac:dyDescent="0.25">
      <c r="A215" s="165">
        <v>44910</v>
      </c>
      <c r="B215" s="116">
        <v>654</v>
      </c>
      <c r="C215" s="116">
        <v>641.75</v>
      </c>
      <c r="D215" s="116">
        <v>640</v>
      </c>
      <c r="E215" s="116">
        <v>644.25</v>
      </c>
      <c r="F215" s="116">
        <v>641.75</v>
      </c>
      <c r="G215">
        <v>87712</v>
      </c>
      <c r="H215" s="116"/>
      <c r="I215" s="116"/>
      <c r="L215" s="165">
        <v>44910</v>
      </c>
      <c r="M215" s="116">
        <v>641.65</v>
      </c>
      <c r="N215" s="116">
        <v>653.95000000000005</v>
      </c>
      <c r="O215" s="116">
        <v>640</v>
      </c>
      <c r="P215" s="116">
        <v>645.95000000000005</v>
      </c>
      <c r="Q215" s="116">
        <v>641.65</v>
      </c>
      <c r="R215">
        <v>1482082</v>
      </c>
    </row>
    <row r="216" spans="1:18" x14ac:dyDescent="0.25">
      <c r="A216" s="165">
        <v>44911</v>
      </c>
      <c r="B216" s="116">
        <v>652</v>
      </c>
      <c r="C216" s="116">
        <v>637.54999999999995</v>
      </c>
      <c r="D216" s="116">
        <v>630.15</v>
      </c>
      <c r="E216" s="116">
        <v>635</v>
      </c>
      <c r="F216" s="116">
        <v>637.54999999999995</v>
      </c>
      <c r="G216">
        <v>327182</v>
      </c>
      <c r="H216" s="116"/>
      <c r="I216" s="116"/>
      <c r="L216" s="165">
        <v>44911</v>
      </c>
      <c r="M216" s="116">
        <v>636.25</v>
      </c>
      <c r="N216" s="116">
        <v>652.29999999999995</v>
      </c>
      <c r="O216" s="116">
        <v>630</v>
      </c>
      <c r="P216" s="116">
        <v>638</v>
      </c>
      <c r="Q216" s="116">
        <v>636.25</v>
      </c>
      <c r="R216">
        <v>2950809</v>
      </c>
    </row>
    <row r="217" spans="1:18" x14ac:dyDescent="0.25">
      <c r="A217" s="165">
        <v>44914</v>
      </c>
      <c r="B217" s="116">
        <v>640.5</v>
      </c>
      <c r="C217" s="116">
        <v>629.29999999999995</v>
      </c>
      <c r="D217" s="116">
        <v>626.15</v>
      </c>
      <c r="E217" s="116">
        <v>640</v>
      </c>
      <c r="F217" s="116">
        <v>629.29999999999995</v>
      </c>
      <c r="G217">
        <v>197107</v>
      </c>
      <c r="H217" s="116"/>
      <c r="I217" s="116"/>
      <c r="L217" s="165">
        <v>44914</v>
      </c>
      <c r="M217" s="116">
        <v>629.4</v>
      </c>
      <c r="N217" s="116">
        <v>640</v>
      </c>
      <c r="O217" s="116">
        <v>626.25</v>
      </c>
      <c r="P217" s="116">
        <v>639.5</v>
      </c>
      <c r="Q217" s="116">
        <v>629.4</v>
      </c>
      <c r="R217">
        <v>1279734</v>
      </c>
    </row>
    <row r="218" spans="1:18" x14ac:dyDescent="0.25">
      <c r="A218" s="165">
        <v>44915</v>
      </c>
      <c r="B218" s="116">
        <v>635.1</v>
      </c>
      <c r="C218" s="116">
        <v>622.29999999999995</v>
      </c>
      <c r="D218" s="116">
        <v>618</v>
      </c>
      <c r="E218" s="116">
        <v>628</v>
      </c>
      <c r="F218" s="116">
        <v>622.29999999999995</v>
      </c>
      <c r="G218">
        <v>85019</v>
      </c>
      <c r="H218" s="116"/>
      <c r="I218" s="116"/>
      <c r="L218" s="165">
        <v>44915</v>
      </c>
      <c r="M218" s="116">
        <v>622.6</v>
      </c>
      <c r="N218" s="116">
        <v>635.5</v>
      </c>
      <c r="O218" s="116">
        <v>617.54999999999995</v>
      </c>
      <c r="P218" s="116">
        <v>626.65</v>
      </c>
      <c r="Q218" s="116">
        <v>622.6</v>
      </c>
      <c r="R218">
        <v>1461360</v>
      </c>
    </row>
    <row r="219" spans="1:18" x14ac:dyDescent="0.25">
      <c r="A219" s="165">
        <v>44916</v>
      </c>
      <c r="B219" s="116">
        <v>630.85</v>
      </c>
      <c r="C219" s="116">
        <v>587.85</v>
      </c>
      <c r="D219" s="116">
        <v>581.20000000000005</v>
      </c>
      <c r="E219" s="116">
        <v>627</v>
      </c>
      <c r="F219" s="116">
        <v>587.85</v>
      </c>
      <c r="G219">
        <v>243234</v>
      </c>
      <c r="H219" s="116"/>
      <c r="I219" s="116"/>
      <c r="L219" s="165">
        <v>44916</v>
      </c>
      <c r="M219" s="116">
        <v>588.1</v>
      </c>
      <c r="N219" s="116">
        <v>630.9</v>
      </c>
      <c r="O219" s="116">
        <v>580.79999999999995</v>
      </c>
      <c r="P219" s="116">
        <v>625.75</v>
      </c>
      <c r="Q219" s="116">
        <v>588.1</v>
      </c>
      <c r="R219">
        <v>3477994</v>
      </c>
    </row>
    <row r="220" spans="1:18" x14ac:dyDescent="0.25">
      <c r="A220" s="165">
        <v>44917</v>
      </c>
      <c r="B220" s="116">
        <v>598.04999999999995</v>
      </c>
      <c r="C220" s="116">
        <v>552.5</v>
      </c>
      <c r="D220" s="116">
        <v>548.35</v>
      </c>
      <c r="E220" s="116">
        <v>592.25</v>
      </c>
      <c r="F220" s="116">
        <v>552.5</v>
      </c>
      <c r="G220">
        <v>396854</v>
      </c>
      <c r="H220" s="116"/>
      <c r="I220" s="116"/>
      <c r="L220" s="165">
        <v>44917</v>
      </c>
      <c r="M220" s="116">
        <v>552.6</v>
      </c>
      <c r="N220" s="116">
        <v>597.85</v>
      </c>
      <c r="O220" s="116">
        <v>548</v>
      </c>
      <c r="P220" s="116">
        <v>594.4</v>
      </c>
      <c r="Q220" s="116">
        <v>552.6</v>
      </c>
      <c r="R220">
        <v>5191349</v>
      </c>
    </row>
    <row r="221" spans="1:18" x14ac:dyDescent="0.25">
      <c r="A221" s="165">
        <v>44918</v>
      </c>
      <c r="B221" s="116">
        <v>549</v>
      </c>
      <c r="C221" s="116">
        <v>499.7</v>
      </c>
      <c r="D221" s="116">
        <v>497.55</v>
      </c>
      <c r="E221" s="116">
        <v>541.5</v>
      </c>
      <c r="F221" s="116">
        <v>499.7</v>
      </c>
      <c r="G221">
        <v>555554</v>
      </c>
      <c r="H221" s="116"/>
      <c r="I221" s="116"/>
      <c r="L221" s="165">
        <v>44918</v>
      </c>
      <c r="M221" s="116">
        <v>499.65</v>
      </c>
      <c r="N221" s="116">
        <v>549.95000000000005</v>
      </c>
      <c r="O221" s="116">
        <v>497.4</v>
      </c>
      <c r="P221" s="116">
        <v>540</v>
      </c>
      <c r="Q221" s="116">
        <v>499.65</v>
      </c>
      <c r="R221">
        <v>7533918</v>
      </c>
    </row>
    <row r="222" spans="1:18" x14ac:dyDescent="0.25">
      <c r="A222" s="165">
        <v>44921</v>
      </c>
      <c r="B222" s="116">
        <v>524.65</v>
      </c>
      <c r="C222" s="116">
        <v>524.65</v>
      </c>
      <c r="D222" s="116">
        <v>492.3</v>
      </c>
      <c r="E222" s="116">
        <v>499.7</v>
      </c>
      <c r="F222" s="116">
        <v>524.65</v>
      </c>
      <c r="G222">
        <v>495508</v>
      </c>
      <c r="H222" s="116"/>
      <c r="I222" s="116"/>
      <c r="L222" s="165">
        <v>44921</v>
      </c>
      <c r="M222" s="116">
        <v>524.6</v>
      </c>
      <c r="N222" s="116">
        <v>524.6</v>
      </c>
      <c r="O222" s="116">
        <v>492.55</v>
      </c>
      <c r="P222" s="116">
        <v>505.5</v>
      </c>
      <c r="Q222" s="116">
        <v>524.6</v>
      </c>
      <c r="R222">
        <v>3587337</v>
      </c>
    </row>
    <row r="223" spans="1:18" x14ac:dyDescent="0.25">
      <c r="A223" s="165">
        <v>44922</v>
      </c>
      <c r="B223" s="116">
        <v>550.85</v>
      </c>
      <c r="C223" s="116">
        <v>550.85</v>
      </c>
      <c r="D223" s="116">
        <v>541</v>
      </c>
      <c r="E223" s="116">
        <v>546.9</v>
      </c>
      <c r="F223" s="116">
        <v>550.85</v>
      </c>
      <c r="G223">
        <v>502391</v>
      </c>
      <c r="H223" s="116"/>
      <c r="I223" s="116"/>
      <c r="L223" s="165">
        <v>44922</v>
      </c>
      <c r="M223" s="116">
        <v>550.79999999999995</v>
      </c>
      <c r="N223" s="116">
        <v>550.79999999999995</v>
      </c>
      <c r="O223" s="116">
        <v>542.20000000000005</v>
      </c>
      <c r="P223" s="116">
        <v>544</v>
      </c>
      <c r="Q223" s="116">
        <v>550.79999999999995</v>
      </c>
      <c r="R223">
        <v>2452403</v>
      </c>
    </row>
    <row r="224" spans="1:18" x14ac:dyDescent="0.25">
      <c r="A224" s="165">
        <v>44923</v>
      </c>
      <c r="B224" s="116">
        <v>578.35</v>
      </c>
      <c r="C224" s="116">
        <v>578.35</v>
      </c>
      <c r="D224" s="116">
        <v>570</v>
      </c>
      <c r="E224" s="116">
        <v>578.35</v>
      </c>
      <c r="F224" s="116">
        <v>578.35</v>
      </c>
      <c r="G224">
        <v>259733</v>
      </c>
      <c r="H224" s="116"/>
      <c r="I224" s="116"/>
      <c r="L224" s="165">
        <v>44923</v>
      </c>
      <c r="M224" s="116">
        <v>578.29999999999995</v>
      </c>
      <c r="N224" s="116">
        <v>578.29999999999995</v>
      </c>
      <c r="O224" s="116">
        <v>572.25</v>
      </c>
      <c r="P224" s="116">
        <v>578.29999999999995</v>
      </c>
      <c r="Q224" s="116">
        <v>578.29999999999995</v>
      </c>
      <c r="R224">
        <v>1060556</v>
      </c>
    </row>
    <row r="225" spans="1:18" x14ac:dyDescent="0.25">
      <c r="A225" s="165">
        <v>44924</v>
      </c>
      <c r="B225" s="116">
        <v>607.25</v>
      </c>
      <c r="C225" s="116">
        <v>605.04999999999995</v>
      </c>
      <c r="D225" s="116">
        <v>585</v>
      </c>
      <c r="E225" s="116">
        <v>601.95000000000005</v>
      </c>
      <c r="F225" s="116">
        <v>605.04999999999995</v>
      </c>
      <c r="G225">
        <v>720649</v>
      </c>
      <c r="H225" s="116"/>
      <c r="I225" s="116"/>
      <c r="L225" s="165">
        <v>44924</v>
      </c>
      <c r="M225" s="116">
        <v>605.20000000000005</v>
      </c>
      <c r="N225" s="116">
        <v>607.20000000000005</v>
      </c>
      <c r="O225" s="116">
        <v>585.6</v>
      </c>
      <c r="P225" s="116">
        <v>600</v>
      </c>
      <c r="Q225" s="116">
        <v>605.20000000000005</v>
      </c>
      <c r="R225">
        <v>5672387</v>
      </c>
    </row>
    <row r="226" spans="1:18" x14ac:dyDescent="0.25">
      <c r="A226" s="165">
        <v>44925</v>
      </c>
      <c r="B226" s="116">
        <v>627.79999999999995</v>
      </c>
      <c r="C226" s="116">
        <v>617.6</v>
      </c>
      <c r="D226" s="116">
        <v>608.54999999999995</v>
      </c>
      <c r="E226" s="116">
        <v>614.79999999999995</v>
      </c>
      <c r="F226" s="116">
        <v>617.6</v>
      </c>
      <c r="G226">
        <v>253903</v>
      </c>
      <c r="H226" s="116"/>
      <c r="I226" s="116"/>
      <c r="L226" s="165">
        <v>44925</v>
      </c>
      <c r="M226" s="116">
        <v>617.65</v>
      </c>
      <c r="N226" s="116">
        <v>627.79999999999995</v>
      </c>
      <c r="O226" s="116">
        <v>609</v>
      </c>
      <c r="P226" s="116">
        <v>614</v>
      </c>
      <c r="Q226" s="116">
        <v>617.65</v>
      </c>
      <c r="R226">
        <v>3993319</v>
      </c>
    </row>
    <row r="227" spans="1:18" x14ac:dyDescent="0.25">
      <c r="A227" s="165">
        <v>44928</v>
      </c>
      <c r="B227" s="116">
        <v>622.70000000000005</v>
      </c>
      <c r="C227" s="116">
        <v>604.04999999999995</v>
      </c>
      <c r="D227" s="116">
        <v>598.1</v>
      </c>
      <c r="E227" s="116">
        <v>618.9</v>
      </c>
      <c r="F227" s="116">
        <v>604.04999999999995</v>
      </c>
      <c r="G227">
        <v>129230</v>
      </c>
      <c r="H227" s="116"/>
      <c r="I227" s="116"/>
      <c r="L227" s="165">
        <v>44928</v>
      </c>
      <c r="M227" s="116">
        <v>603.95000000000005</v>
      </c>
      <c r="N227" s="116">
        <v>623.29999999999995</v>
      </c>
      <c r="O227" s="116">
        <v>598</v>
      </c>
      <c r="P227" s="116">
        <v>618.45000000000005</v>
      </c>
      <c r="Q227" s="116">
        <v>603.95000000000005</v>
      </c>
      <c r="R227">
        <v>1904864</v>
      </c>
    </row>
    <row r="228" spans="1:18" x14ac:dyDescent="0.25">
      <c r="A228" s="165">
        <v>44929</v>
      </c>
      <c r="B228" s="116">
        <v>611.95000000000005</v>
      </c>
      <c r="C228" s="116">
        <v>600.15</v>
      </c>
      <c r="D228" s="116">
        <v>595.1</v>
      </c>
      <c r="E228" s="116">
        <v>605</v>
      </c>
      <c r="F228" s="116">
        <v>600.15</v>
      </c>
      <c r="G228">
        <v>191902</v>
      </c>
      <c r="H228" s="116"/>
      <c r="I228" s="116"/>
      <c r="L228" s="165">
        <v>44929</v>
      </c>
      <c r="M228" s="116">
        <v>600.29999999999995</v>
      </c>
      <c r="N228" s="116">
        <v>611.85</v>
      </c>
      <c r="O228" s="116">
        <v>595.04999999999995</v>
      </c>
      <c r="P228" s="116">
        <v>606.4</v>
      </c>
      <c r="Q228" s="116">
        <v>600.29999999999995</v>
      </c>
      <c r="R228">
        <v>1217265</v>
      </c>
    </row>
    <row r="229" spans="1:18" x14ac:dyDescent="0.25">
      <c r="A229" s="165">
        <v>44930</v>
      </c>
      <c r="B229" s="116">
        <v>600</v>
      </c>
      <c r="C229" s="116">
        <v>584.25</v>
      </c>
      <c r="D229" s="116">
        <v>582.54999999999995</v>
      </c>
      <c r="E229" s="116">
        <v>599</v>
      </c>
      <c r="F229" s="116">
        <v>584.25</v>
      </c>
      <c r="G229">
        <v>102952</v>
      </c>
      <c r="H229" s="116"/>
      <c r="I229" s="116"/>
      <c r="L229" s="165">
        <v>44930</v>
      </c>
      <c r="M229" s="116">
        <v>584.35</v>
      </c>
      <c r="N229" s="116">
        <v>599.5</v>
      </c>
      <c r="O229" s="116">
        <v>582</v>
      </c>
      <c r="P229" s="116">
        <v>599.5</v>
      </c>
      <c r="Q229" s="116">
        <v>584.35</v>
      </c>
      <c r="R229">
        <v>1596696</v>
      </c>
    </row>
    <row r="230" spans="1:18" x14ac:dyDescent="0.25">
      <c r="A230" s="165">
        <v>44931</v>
      </c>
      <c r="B230" s="116">
        <v>590</v>
      </c>
      <c r="C230" s="116">
        <v>573.85</v>
      </c>
      <c r="D230" s="116">
        <v>570</v>
      </c>
      <c r="E230" s="116">
        <v>590</v>
      </c>
      <c r="F230" s="116">
        <v>573.85</v>
      </c>
      <c r="G230">
        <v>104754</v>
      </c>
      <c r="H230" s="116"/>
      <c r="I230" s="116"/>
      <c r="L230" s="165">
        <v>44931</v>
      </c>
      <c r="M230" s="116">
        <v>573.95000000000005</v>
      </c>
      <c r="N230" s="116">
        <v>589.75</v>
      </c>
      <c r="O230" s="116">
        <v>570</v>
      </c>
      <c r="P230" s="116">
        <v>589</v>
      </c>
      <c r="Q230" s="116">
        <v>573.95000000000005</v>
      </c>
      <c r="R230">
        <v>1615969</v>
      </c>
    </row>
    <row r="231" spans="1:18" x14ac:dyDescent="0.25">
      <c r="A231" s="165">
        <v>44932</v>
      </c>
      <c r="B231" s="116">
        <v>573.85</v>
      </c>
      <c r="C231" s="116">
        <v>568.35</v>
      </c>
      <c r="D231" s="116">
        <v>563</v>
      </c>
      <c r="E231" s="116">
        <v>573.85</v>
      </c>
      <c r="F231" s="116">
        <v>568.35</v>
      </c>
      <c r="G231">
        <v>84671</v>
      </c>
      <c r="H231" s="116"/>
      <c r="I231" s="116"/>
      <c r="L231" s="165">
        <v>44932</v>
      </c>
      <c r="M231" s="116">
        <v>568.35</v>
      </c>
      <c r="N231" s="116">
        <v>573.85</v>
      </c>
      <c r="O231" s="116">
        <v>562.79999999999995</v>
      </c>
      <c r="P231" s="116">
        <v>573.85</v>
      </c>
      <c r="Q231" s="116">
        <v>568.35</v>
      </c>
      <c r="R231">
        <v>1385827</v>
      </c>
    </row>
    <row r="232" spans="1:18" x14ac:dyDescent="0.25">
      <c r="A232" s="165">
        <v>44935</v>
      </c>
      <c r="B232" s="116">
        <v>596.75</v>
      </c>
      <c r="C232" s="116">
        <v>585.45000000000005</v>
      </c>
      <c r="D232" s="116">
        <v>573.54999999999995</v>
      </c>
      <c r="E232" s="116">
        <v>576.29999999999995</v>
      </c>
      <c r="F232" s="116">
        <v>585.45000000000005</v>
      </c>
      <c r="G232">
        <v>287861</v>
      </c>
      <c r="H232" s="116"/>
      <c r="I232" s="116"/>
      <c r="L232" s="165">
        <v>44935</v>
      </c>
      <c r="M232" s="116">
        <v>585.54999999999995</v>
      </c>
      <c r="N232" s="116">
        <v>596.75</v>
      </c>
      <c r="O232" s="116">
        <v>574</v>
      </c>
      <c r="P232" s="116">
        <v>577.5</v>
      </c>
      <c r="Q232" s="116">
        <v>585.54999999999995</v>
      </c>
      <c r="R232">
        <v>2765775</v>
      </c>
    </row>
    <row r="233" spans="1:18" x14ac:dyDescent="0.25">
      <c r="A233" s="165">
        <v>44936</v>
      </c>
      <c r="B233" s="116">
        <v>588.95000000000005</v>
      </c>
      <c r="C233" s="116">
        <v>571.85</v>
      </c>
      <c r="D233" s="116">
        <v>564.75</v>
      </c>
      <c r="E233" s="116">
        <v>587.95000000000005</v>
      </c>
      <c r="F233" s="116">
        <v>571.85</v>
      </c>
      <c r="G233">
        <v>84157</v>
      </c>
      <c r="H233" s="116"/>
      <c r="I233" s="116"/>
      <c r="L233" s="165">
        <v>44936</v>
      </c>
      <c r="M233" s="116">
        <v>571.45000000000005</v>
      </c>
      <c r="N233" s="116">
        <v>588.79999999999995</v>
      </c>
      <c r="O233" s="116">
        <v>564.45000000000005</v>
      </c>
      <c r="P233" s="116">
        <v>586</v>
      </c>
      <c r="Q233" s="116">
        <v>571.45000000000005</v>
      </c>
      <c r="R233">
        <v>1452148</v>
      </c>
    </row>
    <row r="234" spans="1:18" x14ac:dyDescent="0.25">
      <c r="A234" s="165">
        <v>44937</v>
      </c>
      <c r="B234" s="116">
        <v>596</v>
      </c>
      <c r="C234" s="116">
        <v>580.4</v>
      </c>
      <c r="D234" s="116">
        <v>578.1</v>
      </c>
      <c r="E234" s="116">
        <v>584</v>
      </c>
      <c r="F234" s="116">
        <v>580.4</v>
      </c>
      <c r="G234">
        <v>218423</v>
      </c>
      <c r="H234" s="116"/>
      <c r="I234" s="116"/>
      <c r="L234" s="165">
        <v>44937</v>
      </c>
      <c r="M234" s="116">
        <v>580.20000000000005</v>
      </c>
      <c r="N234" s="116">
        <v>596.85</v>
      </c>
      <c r="O234" s="116">
        <v>578.20000000000005</v>
      </c>
      <c r="P234" s="116">
        <v>585</v>
      </c>
      <c r="Q234" s="116">
        <v>580.20000000000005</v>
      </c>
      <c r="R234">
        <v>1709903</v>
      </c>
    </row>
    <row r="235" spans="1:18" x14ac:dyDescent="0.25">
      <c r="A235" s="165">
        <v>44938</v>
      </c>
      <c r="B235" s="116">
        <v>584</v>
      </c>
      <c r="C235" s="116">
        <v>571.4</v>
      </c>
      <c r="D235" s="116">
        <v>566.70000000000005</v>
      </c>
      <c r="E235" s="116">
        <v>584</v>
      </c>
      <c r="F235" s="116">
        <v>571.4</v>
      </c>
      <c r="G235">
        <v>150437</v>
      </c>
      <c r="H235" s="116"/>
      <c r="I235" s="116"/>
      <c r="L235" s="165">
        <v>44938</v>
      </c>
      <c r="M235" s="116">
        <v>571.4</v>
      </c>
      <c r="N235" s="116">
        <v>583.9</v>
      </c>
      <c r="O235" s="116">
        <v>570</v>
      </c>
      <c r="P235" s="116">
        <v>583.9</v>
      </c>
      <c r="Q235" s="116">
        <v>571.4</v>
      </c>
      <c r="R235">
        <v>1003738</v>
      </c>
    </row>
    <row r="236" spans="1:18" x14ac:dyDescent="0.25">
      <c r="A236" s="165">
        <v>44939</v>
      </c>
      <c r="B236" s="116">
        <v>577.29999999999995</v>
      </c>
      <c r="C236" s="116">
        <v>573.1</v>
      </c>
      <c r="D236" s="116">
        <v>568</v>
      </c>
      <c r="E236" s="116">
        <v>571.45000000000005</v>
      </c>
      <c r="F236" s="116">
        <v>573.1</v>
      </c>
      <c r="G236">
        <v>133145</v>
      </c>
      <c r="H236" s="116"/>
      <c r="I236" s="116"/>
      <c r="L236" s="165">
        <v>44939</v>
      </c>
      <c r="M236" s="116">
        <v>573.29999999999995</v>
      </c>
      <c r="N236" s="116">
        <v>577.5</v>
      </c>
      <c r="O236" s="116">
        <v>568.20000000000005</v>
      </c>
      <c r="P236" s="116">
        <v>572.95000000000005</v>
      </c>
      <c r="Q236" s="116">
        <v>573.29999999999995</v>
      </c>
      <c r="R236">
        <v>1116306</v>
      </c>
    </row>
    <row r="237" spans="1:18" x14ac:dyDescent="0.25">
      <c r="A237" s="165">
        <v>44942</v>
      </c>
      <c r="B237" s="116">
        <v>578.45000000000005</v>
      </c>
      <c r="C237" s="116">
        <v>568.4</v>
      </c>
      <c r="D237" s="116">
        <v>564.1</v>
      </c>
      <c r="E237" s="116">
        <v>576.95000000000005</v>
      </c>
      <c r="F237" s="116">
        <v>568.4</v>
      </c>
      <c r="G237">
        <v>63095</v>
      </c>
      <c r="H237" s="116"/>
      <c r="I237" s="116"/>
      <c r="L237" s="165">
        <v>44942</v>
      </c>
      <c r="M237" s="116">
        <v>568.29999999999995</v>
      </c>
      <c r="N237" s="116">
        <v>578.20000000000005</v>
      </c>
      <c r="O237" s="116">
        <v>563.75</v>
      </c>
      <c r="P237" s="116">
        <v>575</v>
      </c>
      <c r="Q237" s="116">
        <v>568.29999999999995</v>
      </c>
      <c r="R237">
        <v>863149</v>
      </c>
    </row>
    <row r="238" spans="1:18" x14ac:dyDescent="0.25">
      <c r="A238" s="165">
        <v>44943</v>
      </c>
      <c r="B238" s="116">
        <v>577.4</v>
      </c>
      <c r="C238" s="116">
        <v>572</v>
      </c>
      <c r="D238" s="116">
        <v>565</v>
      </c>
      <c r="E238" s="116">
        <v>569.95000000000005</v>
      </c>
      <c r="F238" s="116">
        <v>572</v>
      </c>
      <c r="G238">
        <v>152751</v>
      </c>
      <c r="H238" s="116"/>
      <c r="I238" s="116"/>
      <c r="L238" s="165">
        <v>44943</v>
      </c>
      <c r="M238" s="116">
        <v>572.25</v>
      </c>
      <c r="N238" s="116">
        <v>577.25</v>
      </c>
      <c r="O238" s="116">
        <v>565</v>
      </c>
      <c r="P238" s="116">
        <v>567.95000000000005</v>
      </c>
      <c r="Q238" s="116">
        <v>572.25</v>
      </c>
      <c r="R238">
        <v>1032218</v>
      </c>
    </row>
    <row r="239" spans="1:18" x14ac:dyDescent="0.25">
      <c r="A239" s="165">
        <v>44944</v>
      </c>
      <c r="B239" s="116">
        <v>574.9</v>
      </c>
      <c r="C239" s="116">
        <v>566.15</v>
      </c>
      <c r="D239" s="116">
        <v>565.5</v>
      </c>
      <c r="E239" s="116">
        <v>572.85</v>
      </c>
      <c r="F239" s="116">
        <v>566.15</v>
      </c>
      <c r="G239">
        <v>46356</v>
      </c>
      <c r="H239" s="116"/>
      <c r="I239" s="116"/>
      <c r="L239" s="165">
        <v>44944</v>
      </c>
      <c r="M239" s="116">
        <v>566</v>
      </c>
      <c r="N239" s="116">
        <v>573.95000000000005</v>
      </c>
      <c r="O239" s="116">
        <v>565.04999999999995</v>
      </c>
      <c r="P239" s="116">
        <v>573.95000000000005</v>
      </c>
      <c r="Q239" s="116">
        <v>566</v>
      </c>
      <c r="R239">
        <v>870228</v>
      </c>
    </row>
    <row r="240" spans="1:18" x14ac:dyDescent="0.25">
      <c r="A240" s="165">
        <v>44945</v>
      </c>
      <c r="B240" s="116">
        <v>563.75</v>
      </c>
      <c r="C240" s="116">
        <v>558.15</v>
      </c>
      <c r="D240" s="116">
        <v>555.65</v>
      </c>
      <c r="E240" s="116">
        <v>561.5</v>
      </c>
      <c r="F240" s="116">
        <v>558.15</v>
      </c>
      <c r="G240">
        <v>137273</v>
      </c>
      <c r="H240" s="116"/>
      <c r="I240" s="116"/>
      <c r="L240" s="165">
        <v>44945</v>
      </c>
      <c r="M240" s="116">
        <v>558.35</v>
      </c>
      <c r="N240" s="116">
        <v>563.65</v>
      </c>
      <c r="O240" s="116">
        <v>555.54999999999995</v>
      </c>
      <c r="P240" s="116">
        <v>560.9</v>
      </c>
      <c r="Q240" s="116">
        <v>558.35</v>
      </c>
      <c r="R240">
        <v>853177</v>
      </c>
    </row>
    <row r="241" spans="1:18" x14ac:dyDescent="0.25">
      <c r="A241" s="165">
        <v>44946</v>
      </c>
      <c r="B241" s="116">
        <v>559.20000000000005</v>
      </c>
      <c r="C241" s="116">
        <v>554.54999999999995</v>
      </c>
      <c r="D241" s="116">
        <v>552.5</v>
      </c>
      <c r="E241" s="116">
        <v>558.5</v>
      </c>
      <c r="F241" s="116">
        <v>554.54999999999995</v>
      </c>
      <c r="G241">
        <v>46921</v>
      </c>
      <c r="H241" s="116"/>
      <c r="I241" s="116"/>
      <c r="L241" s="165">
        <v>44946</v>
      </c>
      <c r="M241" s="116">
        <v>554.45000000000005</v>
      </c>
      <c r="N241" s="116">
        <v>559.9</v>
      </c>
      <c r="O241" s="116">
        <v>552.45000000000005</v>
      </c>
      <c r="P241" s="116">
        <v>559.79999999999995</v>
      </c>
      <c r="Q241" s="116">
        <v>554.45000000000005</v>
      </c>
      <c r="R241">
        <v>668493</v>
      </c>
    </row>
    <row r="242" spans="1:18" x14ac:dyDescent="0.25">
      <c r="A242" s="165">
        <v>44949</v>
      </c>
      <c r="B242" s="116">
        <v>559.15</v>
      </c>
      <c r="C242" s="116">
        <v>546.20000000000005</v>
      </c>
      <c r="D242" s="116">
        <v>541.54999999999995</v>
      </c>
      <c r="E242" s="116">
        <v>555</v>
      </c>
      <c r="F242" s="116">
        <v>546.20000000000005</v>
      </c>
      <c r="G242">
        <v>129278</v>
      </c>
      <c r="H242" s="116"/>
      <c r="I242" s="116"/>
      <c r="L242" s="165">
        <v>44949</v>
      </c>
      <c r="M242" s="116">
        <v>545.9</v>
      </c>
      <c r="N242" s="116">
        <v>560</v>
      </c>
      <c r="O242" s="116">
        <v>541</v>
      </c>
      <c r="P242" s="116">
        <v>556.65</v>
      </c>
      <c r="Q242" s="116">
        <v>545.9</v>
      </c>
      <c r="R242">
        <v>865429</v>
      </c>
    </row>
    <row r="243" spans="1:18" x14ac:dyDescent="0.25">
      <c r="A243" s="165">
        <v>44950</v>
      </c>
      <c r="B243" s="116">
        <v>573.5</v>
      </c>
      <c r="C243" s="116">
        <v>573.15</v>
      </c>
      <c r="D243" s="116">
        <v>546.54999999999995</v>
      </c>
      <c r="E243" s="116">
        <v>546.54999999999995</v>
      </c>
      <c r="F243" s="116">
        <v>573.15</v>
      </c>
      <c r="G243">
        <v>582105</v>
      </c>
      <c r="H243" s="116"/>
      <c r="I243" s="116"/>
      <c r="L243" s="165">
        <v>44950</v>
      </c>
      <c r="M243" s="116">
        <v>572.65</v>
      </c>
      <c r="N243" s="116">
        <v>573.15</v>
      </c>
      <c r="O243" s="116">
        <v>547</v>
      </c>
      <c r="P243" s="116">
        <v>548.1</v>
      </c>
      <c r="Q243" s="116">
        <v>572.65</v>
      </c>
      <c r="R243">
        <v>3755007</v>
      </c>
    </row>
    <row r="244" spans="1:18" x14ac:dyDescent="0.25">
      <c r="A244" s="165">
        <v>44951</v>
      </c>
      <c r="B244" s="116">
        <v>573.5</v>
      </c>
      <c r="C244" s="116">
        <v>544.5</v>
      </c>
      <c r="D244" s="116">
        <v>544.5</v>
      </c>
      <c r="E244" s="116">
        <v>570.15</v>
      </c>
      <c r="F244" s="116">
        <v>544.5</v>
      </c>
      <c r="G244">
        <v>473495</v>
      </c>
      <c r="H244" s="116"/>
      <c r="I244" s="116"/>
      <c r="L244" s="165">
        <v>44951</v>
      </c>
      <c r="M244" s="116">
        <v>544.04999999999995</v>
      </c>
      <c r="N244" s="116">
        <v>573.65</v>
      </c>
      <c r="O244" s="116">
        <v>544.04999999999995</v>
      </c>
      <c r="P244" s="116">
        <v>572.5</v>
      </c>
      <c r="Q244" s="116">
        <v>544.04999999999995</v>
      </c>
      <c r="R244">
        <v>3376652</v>
      </c>
    </row>
    <row r="245" spans="1:18" x14ac:dyDescent="0.25">
      <c r="A245" s="165">
        <v>44953</v>
      </c>
      <c r="B245" s="116">
        <v>527.25</v>
      </c>
      <c r="C245" s="116">
        <v>517.29999999999995</v>
      </c>
      <c r="D245" s="116">
        <v>517.29999999999995</v>
      </c>
      <c r="E245" s="116">
        <v>522</v>
      </c>
      <c r="F245" s="116">
        <v>517.29999999999995</v>
      </c>
      <c r="G245">
        <v>170439</v>
      </c>
      <c r="H245" s="116"/>
      <c r="I245" s="116"/>
      <c r="L245" s="165">
        <v>44953</v>
      </c>
      <c r="M245" s="116">
        <v>516.85</v>
      </c>
      <c r="N245" s="116">
        <v>527.65</v>
      </c>
      <c r="O245" s="116">
        <v>516.85</v>
      </c>
      <c r="P245" s="116">
        <v>525</v>
      </c>
      <c r="Q245" s="116">
        <v>516.85</v>
      </c>
      <c r="R245">
        <v>981654</v>
      </c>
    </row>
    <row r="246" spans="1:18" x14ac:dyDescent="0.25">
      <c r="A246" s="165">
        <v>44956</v>
      </c>
      <c r="B246" s="116">
        <v>491.45</v>
      </c>
      <c r="C246" s="116">
        <v>491.45</v>
      </c>
      <c r="D246" s="116">
        <v>491.45</v>
      </c>
      <c r="E246" s="116">
        <v>491.45</v>
      </c>
      <c r="F246" s="116">
        <v>491.45</v>
      </c>
      <c r="G246">
        <v>507551</v>
      </c>
      <c r="H246" s="116"/>
      <c r="I246" s="116"/>
      <c r="L246" s="165">
        <v>44956</v>
      </c>
      <c r="M246" s="116">
        <v>491</v>
      </c>
      <c r="N246" s="116">
        <v>500</v>
      </c>
      <c r="O246" s="116">
        <v>491</v>
      </c>
      <c r="P246" s="116">
        <v>491</v>
      </c>
      <c r="Q246" s="116">
        <v>491</v>
      </c>
      <c r="R246">
        <v>3176559</v>
      </c>
    </row>
    <row r="247" spans="1:18" x14ac:dyDescent="0.25">
      <c r="A247" s="165">
        <v>44957</v>
      </c>
      <c r="B247" s="116">
        <v>466.9</v>
      </c>
      <c r="C247" s="116">
        <v>466.9</v>
      </c>
      <c r="D247" s="116">
        <v>466.9</v>
      </c>
      <c r="E247" s="116">
        <v>466.9</v>
      </c>
      <c r="F247" s="116">
        <v>466.9</v>
      </c>
      <c r="G247">
        <v>121120</v>
      </c>
      <c r="H247" s="116"/>
      <c r="I247" s="116"/>
      <c r="L247" s="165">
        <v>44957</v>
      </c>
      <c r="M247" s="116">
        <v>466.45</v>
      </c>
      <c r="N247" s="116">
        <v>466.45</v>
      </c>
      <c r="O247" s="116">
        <v>466.45</v>
      </c>
      <c r="P247" s="116">
        <v>466.45</v>
      </c>
      <c r="Q247" s="116">
        <v>466.45</v>
      </c>
      <c r="R247">
        <v>879002</v>
      </c>
    </row>
    <row r="248" spans="1:18" x14ac:dyDescent="0.25">
      <c r="A248" s="165">
        <v>44958</v>
      </c>
      <c r="B248" s="116">
        <v>488.95</v>
      </c>
      <c r="C248" s="116">
        <v>443.6</v>
      </c>
      <c r="D248" s="116">
        <v>443.6</v>
      </c>
      <c r="E248" s="116">
        <v>470</v>
      </c>
      <c r="F248" s="116">
        <v>443.6</v>
      </c>
      <c r="G248">
        <v>1649748</v>
      </c>
      <c r="H248" s="116"/>
      <c r="I248" s="116"/>
      <c r="L248" s="165">
        <v>44958</v>
      </c>
      <c r="M248" s="116">
        <v>443.15</v>
      </c>
      <c r="N248" s="116">
        <v>488.7</v>
      </c>
      <c r="O248" s="116">
        <v>443.15</v>
      </c>
      <c r="P248" s="116">
        <v>475</v>
      </c>
      <c r="Q248" s="116">
        <v>443.15</v>
      </c>
      <c r="R248">
        <v>10404690</v>
      </c>
    </row>
    <row r="249" spans="1:18" x14ac:dyDescent="0.25">
      <c r="A249" s="165">
        <v>44959</v>
      </c>
      <c r="B249" s="116">
        <v>421.45</v>
      </c>
      <c r="C249" s="116">
        <v>421.45</v>
      </c>
      <c r="D249" s="116">
        <v>421.45</v>
      </c>
      <c r="E249" s="116">
        <v>421.45</v>
      </c>
      <c r="F249" s="116">
        <v>421.45</v>
      </c>
      <c r="G249">
        <v>50130</v>
      </c>
      <c r="H249" s="116"/>
      <c r="I249" s="116"/>
      <c r="L249" s="165">
        <v>44959</v>
      </c>
      <c r="M249" s="116">
        <v>421</v>
      </c>
      <c r="N249" s="116">
        <v>421</v>
      </c>
      <c r="O249" s="116">
        <v>421</v>
      </c>
      <c r="P249" s="116">
        <v>421</v>
      </c>
      <c r="Q249" s="116">
        <v>421</v>
      </c>
      <c r="R249">
        <v>362700</v>
      </c>
    </row>
    <row r="250" spans="1:18" x14ac:dyDescent="0.25">
      <c r="A250" s="165">
        <v>44960</v>
      </c>
      <c r="B250" s="116">
        <v>400.4</v>
      </c>
      <c r="C250" s="116">
        <v>400.4</v>
      </c>
      <c r="D250" s="116">
        <v>400.4</v>
      </c>
      <c r="E250" s="116">
        <v>400.4</v>
      </c>
      <c r="F250" s="116">
        <v>400.4</v>
      </c>
      <c r="G250">
        <v>82118</v>
      </c>
      <c r="H250" s="116"/>
      <c r="I250" s="116"/>
      <c r="L250" s="165">
        <v>44960</v>
      </c>
      <c r="M250" s="116">
        <v>399.95</v>
      </c>
      <c r="N250" s="116">
        <v>399.95</v>
      </c>
      <c r="O250" s="116">
        <v>399.95</v>
      </c>
      <c r="P250" s="116">
        <v>399.95</v>
      </c>
      <c r="Q250" s="116">
        <v>399.95</v>
      </c>
      <c r="R250">
        <v>807229</v>
      </c>
    </row>
    <row r="251" spans="1:18" x14ac:dyDescent="0.25">
      <c r="A251" s="165">
        <v>44963</v>
      </c>
      <c r="B251" s="116">
        <v>380.4</v>
      </c>
      <c r="C251" s="116">
        <v>380.4</v>
      </c>
      <c r="D251" s="116">
        <v>380.4</v>
      </c>
      <c r="E251" s="116">
        <v>380.4</v>
      </c>
      <c r="F251" s="116">
        <v>380.4</v>
      </c>
      <c r="G251">
        <v>87714</v>
      </c>
      <c r="H251" s="116"/>
      <c r="I251" s="116"/>
      <c r="L251" s="165">
        <v>44963</v>
      </c>
      <c r="M251" s="116">
        <v>379.95</v>
      </c>
      <c r="N251" s="116">
        <v>379.95</v>
      </c>
      <c r="O251" s="116">
        <v>379.95</v>
      </c>
      <c r="P251" s="116">
        <v>379.95</v>
      </c>
      <c r="Q251" s="116">
        <v>379.95</v>
      </c>
      <c r="R251">
        <v>665662</v>
      </c>
    </row>
    <row r="252" spans="1:18" x14ac:dyDescent="0.25">
      <c r="A252" s="165">
        <v>44964</v>
      </c>
      <c r="B252" s="116">
        <v>399.4</v>
      </c>
      <c r="C252" s="116">
        <v>399.4</v>
      </c>
      <c r="D252" s="116">
        <v>361.4</v>
      </c>
      <c r="E252" s="116">
        <v>363.5</v>
      </c>
      <c r="F252" s="116">
        <v>399.4</v>
      </c>
      <c r="G252">
        <v>3701656</v>
      </c>
      <c r="H252" s="116"/>
      <c r="I252" s="116"/>
      <c r="L252" s="165">
        <v>44964</v>
      </c>
      <c r="M252" s="116">
        <v>398.9</v>
      </c>
      <c r="N252" s="116">
        <v>398.9</v>
      </c>
      <c r="O252" s="116">
        <v>360.95</v>
      </c>
      <c r="P252" s="116">
        <v>360.95</v>
      </c>
      <c r="Q252" s="116">
        <v>398.9</v>
      </c>
      <c r="R252">
        <v>17681627</v>
      </c>
    </row>
    <row r="253" spans="1:18" x14ac:dyDescent="0.25">
      <c r="A253" s="165">
        <v>44965</v>
      </c>
      <c r="B253" s="116">
        <v>419.35</v>
      </c>
      <c r="C253" s="116">
        <v>419.35</v>
      </c>
      <c r="D253" s="116">
        <v>408.1</v>
      </c>
      <c r="E253" s="116">
        <v>417</v>
      </c>
      <c r="F253" s="116">
        <v>419.35</v>
      </c>
      <c r="G253">
        <v>204477</v>
      </c>
      <c r="H253" s="116"/>
      <c r="I253" s="116"/>
      <c r="L253" s="165">
        <v>44965</v>
      </c>
      <c r="M253" s="116">
        <v>418.8</v>
      </c>
      <c r="N253" s="116">
        <v>418.8</v>
      </c>
      <c r="O253" s="116">
        <v>415</v>
      </c>
      <c r="P253" s="116">
        <v>416.3</v>
      </c>
      <c r="Q253" s="116">
        <v>418.8</v>
      </c>
      <c r="R253">
        <v>919480</v>
      </c>
    </row>
    <row r="254" spans="1:18" x14ac:dyDescent="0.25">
      <c r="A254" s="165">
        <v>44966</v>
      </c>
      <c r="B254" s="116">
        <v>440.3</v>
      </c>
      <c r="C254" s="116">
        <v>440.3</v>
      </c>
      <c r="D254" s="116">
        <v>405.1</v>
      </c>
      <c r="E254" s="116">
        <v>440.3</v>
      </c>
      <c r="F254" s="116">
        <v>440.3</v>
      </c>
      <c r="G254">
        <v>3118514</v>
      </c>
      <c r="H254" s="116"/>
      <c r="I254" s="116"/>
      <c r="L254" s="165">
        <v>44966</v>
      </c>
      <c r="M254" s="116">
        <v>439.7</v>
      </c>
      <c r="N254" s="116">
        <v>439.7</v>
      </c>
      <c r="O254" s="116">
        <v>406.3</v>
      </c>
      <c r="P254" s="116">
        <v>439.7</v>
      </c>
      <c r="Q254" s="116">
        <v>439.7</v>
      </c>
      <c r="R254">
        <v>12704925</v>
      </c>
    </row>
    <row r="255" spans="1:18" x14ac:dyDescent="0.25">
      <c r="A255" s="165">
        <v>44967</v>
      </c>
      <c r="B255" s="116">
        <v>457</v>
      </c>
      <c r="C255" s="116">
        <v>436.1</v>
      </c>
      <c r="D255" s="116">
        <v>418.3</v>
      </c>
      <c r="E255" s="116">
        <v>435</v>
      </c>
      <c r="F255" s="116">
        <v>436.1</v>
      </c>
      <c r="G255">
        <v>1181731</v>
      </c>
      <c r="H255" s="116"/>
      <c r="I255" s="116"/>
      <c r="L255" s="165">
        <v>44967</v>
      </c>
      <c r="M255" s="116">
        <v>435.9</v>
      </c>
      <c r="N255" s="116">
        <v>456.95</v>
      </c>
      <c r="O255" s="116">
        <v>417.75</v>
      </c>
      <c r="P255" s="116">
        <v>434.8</v>
      </c>
      <c r="Q255" s="116">
        <v>435.9</v>
      </c>
      <c r="R255">
        <v>8116825</v>
      </c>
    </row>
    <row r="256" spans="1:18" x14ac:dyDescent="0.25">
      <c r="A256" s="165">
        <v>44970</v>
      </c>
      <c r="B256" s="116">
        <v>443</v>
      </c>
      <c r="C256" s="116">
        <v>414.3</v>
      </c>
      <c r="D256" s="116">
        <v>414.3</v>
      </c>
      <c r="E256" s="116">
        <v>425</v>
      </c>
      <c r="F256" s="116">
        <v>414.3</v>
      </c>
      <c r="G256">
        <v>599596</v>
      </c>
      <c r="H256" s="116"/>
      <c r="I256" s="116"/>
      <c r="L256" s="165">
        <v>44970</v>
      </c>
      <c r="M256" s="116">
        <v>414.1</v>
      </c>
      <c r="N256" s="116">
        <v>443.2</v>
      </c>
      <c r="O256" s="116">
        <v>414.1</v>
      </c>
      <c r="P256" s="116">
        <v>425</v>
      </c>
      <c r="Q256" s="116">
        <v>414.1</v>
      </c>
      <c r="R256">
        <v>3499118</v>
      </c>
    </row>
    <row r="257" spans="1:18" x14ac:dyDescent="0.25">
      <c r="A257" s="165">
        <v>44971</v>
      </c>
      <c r="B257" s="116">
        <v>401.4</v>
      </c>
      <c r="C257" s="116">
        <v>393.6</v>
      </c>
      <c r="D257" s="116">
        <v>393.6</v>
      </c>
      <c r="E257" s="116">
        <v>393.6</v>
      </c>
      <c r="F257" s="116">
        <v>393.6</v>
      </c>
      <c r="G257">
        <v>417046</v>
      </c>
      <c r="H257" s="116"/>
      <c r="I257" s="116"/>
      <c r="L257" s="165">
        <v>44971</v>
      </c>
      <c r="M257" s="116">
        <v>393.4</v>
      </c>
      <c r="N257" s="116">
        <v>401.5</v>
      </c>
      <c r="O257" s="116">
        <v>393.4</v>
      </c>
      <c r="P257" s="116">
        <v>393.4</v>
      </c>
      <c r="Q257" s="116">
        <v>393.4</v>
      </c>
      <c r="R257">
        <v>2889765</v>
      </c>
    </row>
    <row r="258" spans="1:18" x14ac:dyDescent="0.25">
      <c r="A258" s="165">
        <v>44972</v>
      </c>
      <c r="B258" s="116">
        <v>408.55</v>
      </c>
      <c r="C258" s="116">
        <v>397.25</v>
      </c>
      <c r="D258" s="116">
        <v>384</v>
      </c>
      <c r="E258" s="116">
        <v>387</v>
      </c>
      <c r="F258" s="116">
        <v>397.25</v>
      </c>
      <c r="G258">
        <v>839077</v>
      </c>
      <c r="H258" s="116"/>
      <c r="I258" s="116"/>
      <c r="L258" s="165">
        <v>44972</v>
      </c>
      <c r="M258" s="116">
        <v>397.55</v>
      </c>
      <c r="N258" s="116">
        <v>408.9</v>
      </c>
      <c r="O258" s="116">
        <v>383.25</v>
      </c>
      <c r="P258" s="116">
        <v>385</v>
      </c>
      <c r="Q258" s="116">
        <v>397.55</v>
      </c>
      <c r="R258">
        <v>5281042</v>
      </c>
    </row>
    <row r="259" spans="1:18" x14ac:dyDescent="0.25">
      <c r="A259" s="165">
        <v>44973</v>
      </c>
      <c r="B259" s="116">
        <v>417.1</v>
      </c>
      <c r="C259" s="116">
        <v>417.1</v>
      </c>
      <c r="D259" s="116">
        <v>407.1</v>
      </c>
      <c r="E259" s="116">
        <v>409</v>
      </c>
      <c r="F259" s="116">
        <v>417.1</v>
      </c>
      <c r="G259">
        <v>560895</v>
      </c>
      <c r="H259" s="116"/>
      <c r="I259" s="116"/>
      <c r="L259" s="165">
        <v>44973</v>
      </c>
      <c r="M259" s="116">
        <v>417.4</v>
      </c>
      <c r="N259" s="116">
        <v>417.4</v>
      </c>
      <c r="O259" s="116">
        <v>406.7</v>
      </c>
      <c r="P259" s="116">
        <v>410</v>
      </c>
      <c r="Q259" s="116">
        <v>417.4</v>
      </c>
      <c r="R259">
        <v>7344862</v>
      </c>
    </row>
    <row r="260" spans="1:18" x14ac:dyDescent="0.25">
      <c r="A260" s="165">
        <v>44974</v>
      </c>
      <c r="B260" s="116">
        <v>437.95</v>
      </c>
      <c r="C260" s="116">
        <v>437.95</v>
      </c>
      <c r="D260" s="116">
        <v>417.15</v>
      </c>
      <c r="E260" s="116">
        <v>417.15</v>
      </c>
      <c r="F260" s="116">
        <v>437.95</v>
      </c>
      <c r="G260">
        <v>385639</v>
      </c>
      <c r="H260" s="116"/>
      <c r="I260" s="116"/>
      <c r="L260" s="165">
        <v>44974</v>
      </c>
      <c r="M260" s="116">
        <v>438.25</v>
      </c>
      <c r="N260" s="116">
        <v>438.25</v>
      </c>
      <c r="O260" s="116">
        <v>418.85</v>
      </c>
      <c r="P260" s="116">
        <v>422.1</v>
      </c>
      <c r="Q260" s="116">
        <v>438.25</v>
      </c>
      <c r="R260">
        <v>4909261</v>
      </c>
    </row>
    <row r="261" spans="1:18" x14ac:dyDescent="0.25">
      <c r="A261" s="165">
        <v>44977</v>
      </c>
      <c r="B261" s="116">
        <v>455.1</v>
      </c>
      <c r="C261" s="116">
        <v>429.45</v>
      </c>
      <c r="D261" s="116">
        <v>420.1</v>
      </c>
      <c r="E261" s="116">
        <v>439</v>
      </c>
      <c r="F261" s="116">
        <v>429.45</v>
      </c>
      <c r="G261">
        <v>536289</v>
      </c>
      <c r="H261" s="116"/>
      <c r="I261" s="116"/>
      <c r="L261" s="165">
        <v>44977</v>
      </c>
      <c r="M261" s="116">
        <v>429.8</v>
      </c>
      <c r="N261" s="116">
        <v>455</v>
      </c>
      <c r="O261" s="116">
        <v>421</v>
      </c>
      <c r="P261" s="116">
        <v>438.95</v>
      </c>
      <c r="Q261" s="116">
        <v>429.8</v>
      </c>
      <c r="R261">
        <v>6612934</v>
      </c>
    </row>
    <row r="262" spans="1:18" x14ac:dyDescent="0.25">
      <c r="A262" s="165">
        <v>44978</v>
      </c>
      <c r="B262" s="116">
        <v>443.15</v>
      </c>
      <c r="C262" s="116">
        <v>410.85</v>
      </c>
      <c r="D262" s="116">
        <v>408</v>
      </c>
      <c r="E262" s="116">
        <v>434.9</v>
      </c>
      <c r="F262" s="116">
        <v>410.85</v>
      </c>
      <c r="G262">
        <v>299373</v>
      </c>
      <c r="H262" s="116"/>
      <c r="I262" s="116"/>
      <c r="L262" s="165">
        <v>44978</v>
      </c>
      <c r="M262" s="116">
        <v>410.85</v>
      </c>
      <c r="N262" s="116">
        <v>442.95</v>
      </c>
      <c r="O262" s="116">
        <v>408.35</v>
      </c>
      <c r="P262" s="116">
        <v>434.25</v>
      </c>
      <c r="Q262" s="116">
        <v>410.85</v>
      </c>
      <c r="R262">
        <v>4314226</v>
      </c>
    </row>
    <row r="263" spans="1:18" x14ac:dyDescent="0.25">
      <c r="A263" s="165">
        <v>44979</v>
      </c>
      <c r="B263" s="116">
        <v>409</v>
      </c>
      <c r="C263" s="116">
        <v>390.35</v>
      </c>
      <c r="D263" s="116">
        <v>390.35</v>
      </c>
      <c r="E263" s="116">
        <v>409</v>
      </c>
      <c r="F263" s="116">
        <v>390.35</v>
      </c>
      <c r="G263">
        <v>617722</v>
      </c>
      <c r="H263" s="116"/>
      <c r="I263" s="116"/>
      <c r="L263" s="165">
        <v>44979</v>
      </c>
      <c r="M263" s="116">
        <v>390.3</v>
      </c>
      <c r="N263" s="116">
        <v>409</v>
      </c>
      <c r="O263" s="116">
        <v>390.3</v>
      </c>
      <c r="P263" s="116">
        <v>409</v>
      </c>
      <c r="Q263" s="116">
        <v>390.3</v>
      </c>
      <c r="R263">
        <v>3393638</v>
      </c>
    </row>
    <row r="264" spans="1:18" x14ac:dyDescent="0.25">
      <c r="A264" s="165">
        <v>44980</v>
      </c>
      <c r="B264" s="116">
        <v>394.35</v>
      </c>
      <c r="C264" s="116">
        <v>374.85</v>
      </c>
      <c r="D264" s="116">
        <v>370.85</v>
      </c>
      <c r="E264" s="116">
        <v>373</v>
      </c>
      <c r="F264" s="116">
        <v>374.85</v>
      </c>
      <c r="G264">
        <v>781826</v>
      </c>
      <c r="H264" s="116"/>
      <c r="I264" s="116"/>
      <c r="L264" s="165">
        <v>44980</v>
      </c>
      <c r="M264" s="116">
        <v>374.3</v>
      </c>
      <c r="N264" s="116">
        <v>394.3</v>
      </c>
      <c r="O264" s="116">
        <v>370.8</v>
      </c>
      <c r="P264" s="116">
        <v>374</v>
      </c>
      <c r="Q264" s="116">
        <v>374.3</v>
      </c>
      <c r="R264">
        <v>6272834</v>
      </c>
    </row>
    <row r="265" spans="1:18" x14ac:dyDescent="0.25">
      <c r="A265" s="165">
        <v>44981</v>
      </c>
      <c r="B265" s="116">
        <v>387</v>
      </c>
      <c r="C265" s="116">
        <v>362.3</v>
      </c>
      <c r="D265" s="116">
        <v>356.4</v>
      </c>
      <c r="E265" s="116">
        <v>375.1</v>
      </c>
      <c r="F265" s="116">
        <v>362.3</v>
      </c>
      <c r="G265">
        <v>681972</v>
      </c>
      <c r="H265" s="116"/>
      <c r="I265" s="116"/>
      <c r="L265" s="165">
        <v>44981</v>
      </c>
      <c r="M265" s="116">
        <v>362.55</v>
      </c>
      <c r="N265" s="116">
        <v>387.4</v>
      </c>
      <c r="O265" s="116">
        <v>357.25</v>
      </c>
      <c r="P265" s="116">
        <v>376</v>
      </c>
      <c r="Q265" s="116">
        <v>362.55</v>
      </c>
      <c r="R265">
        <v>4274178</v>
      </c>
    </row>
    <row r="266" spans="1:18" x14ac:dyDescent="0.25">
      <c r="A266" s="165">
        <v>44984</v>
      </c>
      <c r="B266" s="116">
        <v>361.95</v>
      </c>
      <c r="C266" s="116">
        <v>344.2</v>
      </c>
      <c r="D266" s="116">
        <v>344.2</v>
      </c>
      <c r="E266" s="116">
        <v>358.05</v>
      </c>
      <c r="F266" s="116">
        <v>344.2</v>
      </c>
      <c r="G266">
        <v>224692</v>
      </c>
      <c r="H266" s="116"/>
      <c r="I266" s="116"/>
      <c r="L266" s="165">
        <v>44984</v>
      </c>
      <c r="M266" s="116">
        <v>344.45</v>
      </c>
      <c r="N266" s="116">
        <v>362.1</v>
      </c>
      <c r="O266" s="116">
        <v>344.45</v>
      </c>
      <c r="P266" s="116">
        <v>360</v>
      </c>
      <c r="Q266" s="116">
        <v>344.45</v>
      </c>
      <c r="R266">
        <v>2731387</v>
      </c>
    </row>
    <row r="267" spans="1:18" x14ac:dyDescent="0.25">
      <c r="A267" s="165">
        <v>44985</v>
      </c>
      <c r="B267" s="116">
        <v>361.4</v>
      </c>
      <c r="C267" s="116">
        <v>361.4</v>
      </c>
      <c r="D267" s="116">
        <v>327</v>
      </c>
      <c r="E267" s="116">
        <v>330</v>
      </c>
      <c r="F267" s="116">
        <v>361.4</v>
      </c>
      <c r="G267">
        <v>1254117</v>
      </c>
      <c r="H267" s="116"/>
      <c r="I267" s="116"/>
      <c r="L267" s="165">
        <v>44985</v>
      </c>
      <c r="M267" s="116">
        <v>361.65</v>
      </c>
      <c r="N267" s="116">
        <v>361.65</v>
      </c>
      <c r="O267" s="116">
        <v>327.25</v>
      </c>
      <c r="P267" s="116">
        <v>328</v>
      </c>
      <c r="Q267" s="116">
        <v>361.65</v>
      </c>
      <c r="R267">
        <v>14317673</v>
      </c>
    </row>
    <row r="268" spans="1:18" x14ac:dyDescent="0.25">
      <c r="A268" s="165">
        <v>44986</v>
      </c>
      <c r="B268" s="116">
        <v>379.45</v>
      </c>
      <c r="C268" s="116">
        <v>379.45</v>
      </c>
      <c r="D268" s="116">
        <v>369</v>
      </c>
      <c r="E268" s="116">
        <v>369</v>
      </c>
      <c r="F268" s="116">
        <v>379.45</v>
      </c>
      <c r="G268">
        <v>37851</v>
      </c>
      <c r="H268" s="116"/>
      <c r="I268" s="116"/>
      <c r="L268" s="165">
        <v>44986</v>
      </c>
      <c r="M268" s="116">
        <v>379.7</v>
      </c>
      <c r="N268" s="116">
        <v>379.7</v>
      </c>
      <c r="O268" s="116">
        <v>368.9</v>
      </c>
      <c r="P268" s="116">
        <v>369</v>
      </c>
      <c r="Q268" s="116">
        <v>379.7</v>
      </c>
      <c r="R268">
        <v>992060</v>
      </c>
    </row>
    <row r="269" spans="1:18" x14ac:dyDescent="0.25">
      <c r="A269" s="165">
        <v>44987</v>
      </c>
      <c r="B269" s="116">
        <v>398.4</v>
      </c>
      <c r="C269" s="116">
        <v>398.4</v>
      </c>
      <c r="D269" s="116">
        <v>380</v>
      </c>
      <c r="E269" s="116">
        <v>398.4</v>
      </c>
      <c r="F269" s="116">
        <v>398.4</v>
      </c>
      <c r="G269">
        <v>773253</v>
      </c>
      <c r="H269" s="116"/>
      <c r="I269" s="116"/>
      <c r="L269" s="165">
        <v>44987</v>
      </c>
      <c r="M269" s="116">
        <v>398.65</v>
      </c>
      <c r="N269" s="116">
        <v>398.65</v>
      </c>
      <c r="O269" s="116">
        <v>380</v>
      </c>
      <c r="P269" s="116">
        <v>398.65</v>
      </c>
      <c r="Q269" s="116">
        <v>398.65</v>
      </c>
      <c r="R269">
        <v>7268869</v>
      </c>
    </row>
    <row r="270" spans="1:18" x14ac:dyDescent="0.25">
      <c r="A270" s="165">
        <v>44988</v>
      </c>
      <c r="B270" s="116">
        <v>418.3</v>
      </c>
      <c r="C270" s="116">
        <v>418.3</v>
      </c>
      <c r="D270" s="116">
        <v>412</v>
      </c>
      <c r="E270" s="116">
        <v>418.3</v>
      </c>
      <c r="F270" s="116">
        <v>418.3</v>
      </c>
      <c r="G270">
        <v>69668</v>
      </c>
      <c r="H270" s="116"/>
      <c r="I270" s="116"/>
      <c r="L270" s="165">
        <v>44988</v>
      </c>
      <c r="M270" s="116">
        <v>418.55</v>
      </c>
      <c r="N270" s="116">
        <v>418.55</v>
      </c>
      <c r="O270" s="116">
        <v>415.15</v>
      </c>
      <c r="P270" s="116">
        <v>417.45</v>
      </c>
      <c r="Q270" s="116">
        <v>418.55</v>
      </c>
      <c r="R270">
        <v>952505</v>
      </c>
    </row>
    <row r="271" spans="1:18" x14ac:dyDescent="0.25">
      <c r="A271" s="165">
        <v>44991</v>
      </c>
      <c r="B271" s="116">
        <v>439.2</v>
      </c>
      <c r="C271" s="116">
        <v>439.2</v>
      </c>
      <c r="D271" s="116">
        <v>439.2</v>
      </c>
      <c r="E271" s="116">
        <v>439.2</v>
      </c>
      <c r="F271" s="116">
        <v>439.2</v>
      </c>
      <c r="G271">
        <v>78769</v>
      </c>
      <c r="H271" s="116"/>
      <c r="I271" s="116"/>
      <c r="L271" s="165">
        <v>44991</v>
      </c>
      <c r="M271" s="116">
        <v>439.45</v>
      </c>
      <c r="N271" s="116">
        <v>439.45</v>
      </c>
      <c r="O271" s="116">
        <v>439.45</v>
      </c>
      <c r="P271" s="116">
        <v>439.45</v>
      </c>
      <c r="Q271" s="116">
        <v>439.45</v>
      </c>
      <c r="R271">
        <v>755826</v>
      </c>
    </row>
    <row r="272" spans="1:18" x14ac:dyDescent="0.25">
      <c r="A272" s="165">
        <v>44993</v>
      </c>
      <c r="B272" s="116">
        <v>461.15</v>
      </c>
      <c r="C272" s="116">
        <v>461.15</v>
      </c>
      <c r="D272" s="116">
        <v>425.95</v>
      </c>
      <c r="E272" s="116">
        <v>449.8</v>
      </c>
      <c r="F272" s="116">
        <v>461.15</v>
      </c>
      <c r="G272">
        <v>588402</v>
      </c>
      <c r="H272" s="116"/>
      <c r="I272" s="116"/>
      <c r="L272" s="165">
        <v>44993</v>
      </c>
      <c r="M272" s="116">
        <v>461.4</v>
      </c>
      <c r="N272" s="116">
        <v>461.4</v>
      </c>
      <c r="O272" s="116">
        <v>425.75</v>
      </c>
      <c r="P272" s="116">
        <v>448.25</v>
      </c>
      <c r="Q272" s="116">
        <v>461.4</v>
      </c>
      <c r="R272">
        <v>9279040</v>
      </c>
    </row>
    <row r="273" spans="1:18" x14ac:dyDescent="0.25">
      <c r="A273" s="165">
        <v>44994</v>
      </c>
      <c r="B273" s="116">
        <v>484.2</v>
      </c>
      <c r="C273" s="116">
        <v>474.5</v>
      </c>
      <c r="D273" s="116">
        <v>463.3</v>
      </c>
      <c r="E273" s="116">
        <v>478</v>
      </c>
      <c r="F273" s="116">
        <v>474.5</v>
      </c>
      <c r="G273">
        <v>1173271</v>
      </c>
      <c r="H273" s="116"/>
      <c r="I273" s="116"/>
      <c r="L273" s="165">
        <v>44994</v>
      </c>
      <c r="M273" s="116">
        <v>474.4</v>
      </c>
      <c r="N273" s="116">
        <v>484.45</v>
      </c>
      <c r="O273" s="116">
        <v>463.15</v>
      </c>
      <c r="P273" s="116">
        <v>479.9</v>
      </c>
      <c r="Q273" s="116">
        <v>474.4</v>
      </c>
      <c r="R273">
        <v>16404681</v>
      </c>
    </row>
    <row r="274" spans="1:18" x14ac:dyDescent="0.25">
      <c r="A274" s="165">
        <v>44995</v>
      </c>
      <c r="B274" s="116">
        <v>469</v>
      </c>
      <c r="C274" s="116">
        <v>453.3</v>
      </c>
      <c r="D274" s="116">
        <v>450.8</v>
      </c>
      <c r="E274" s="116">
        <v>456</v>
      </c>
      <c r="F274" s="116">
        <v>453.3</v>
      </c>
      <c r="G274">
        <v>1175393</v>
      </c>
      <c r="H274" s="116"/>
      <c r="I274" s="116"/>
      <c r="L274" s="165">
        <v>44995</v>
      </c>
      <c r="M274" s="116">
        <v>453.5</v>
      </c>
      <c r="N274" s="116">
        <v>469</v>
      </c>
      <c r="O274" s="116">
        <v>450.7</v>
      </c>
      <c r="P274" s="116">
        <v>455</v>
      </c>
      <c r="Q274" s="116">
        <v>453.5</v>
      </c>
      <c r="R274">
        <v>7471742</v>
      </c>
    </row>
    <row r="275" spans="1:18" x14ac:dyDescent="0.25">
      <c r="A275" s="165">
        <v>44998</v>
      </c>
      <c r="B275" s="116">
        <v>473.3</v>
      </c>
      <c r="C275" s="116">
        <v>435.4</v>
      </c>
      <c r="D275" s="116">
        <v>432</v>
      </c>
      <c r="E275" s="116">
        <v>445.2</v>
      </c>
      <c r="F275" s="116">
        <v>435.4</v>
      </c>
      <c r="G275">
        <v>510478</v>
      </c>
      <c r="H275" s="116"/>
      <c r="I275" s="116"/>
      <c r="L275" s="165">
        <v>44998</v>
      </c>
      <c r="M275" s="116">
        <v>435.5</v>
      </c>
      <c r="N275" s="116">
        <v>471.75</v>
      </c>
      <c r="O275" s="116">
        <v>432.15</v>
      </c>
      <c r="P275" s="116">
        <v>450</v>
      </c>
      <c r="Q275" s="116">
        <v>435.5</v>
      </c>
      <c r="R275">
        <v>5813550</v>
      </c>
    </row>
    <row r="276" spans="1:18" x14ac:dyDescent="0.25">
      <c r="A276" s="165">
        <v>44999</v>
      </c>
      <c r="B276" s="116">
        <v>442.75</v>
      </c>
      <c r="C276" s="116">
        <v>413.8</v>
      </c>
      <c r="D276" s="116">
        <v>413.65</v>
      </c>
      <c r="E276" s="116">
        <v>438.05</v>
      </c>
      <c r="F276" s="116">
        <v>413.8</v>
      </c>
      <c r="G276">
        <v>354405</v>
      </c>
      <c r="H276" s="116"/>
      <c r="I276" s="116"/>
      <c r="L276" s="165">
        <v>44999</v>
      </c>
      <c r="M276" s="116">
        <v>414</v>
      </c>
      <c r="N276" s="116">
        <v>444</v>
      </c>
      <c r="O276" s="116">
        <v>413.75</v>
      </c>
      <c r="P276" s="116">
        <v>443</v>
      </c>
      <c r="Q276" s="116">
        <v>414</v>
      </c>
      <c r="R276">
        <v>5125469</v>
      </c>
    </row>
    <row r="277" spans="1:18" x14ac:dyDescent="0.25">
      <c r="A277" s="165">
        <v>45000</v>
      </c>
      <c r="B277" s="116">
        <v>434.45</v>
      </c>
      <c r="C277" s="116">
        <v>426.7</v>
      </c>
      <c r="D277" s="116">
        <v>408.35</v>
      </c>
      <c r="E277" s="116">
        <v>419</v>
      </c>
      <c r="F277" s="116">
        <v>426.7</v>
      </c>
      <c r="G277">
        <v>445157</v>
      </c>
      <c r="H277" s="116"/>
      <c r="I277" s="116"/>
      <c r="L277" s="165">
        <v>45000</v>
      </c>
      <c r="M277" s="116">
        <v>426.8</v>
      </c>
      <c r="N277" s="116">
        <v>434.7</v>
      </c>
      <c r="O277" s="116">
        <v>408.35</v>
      </c>
      <c r="P277" s="116">
        <v>418.75</v>
      </c>
      <c r="Q277" s="116">
        <v>426.8</v>
      </c>
      <c r="R277">
        <v>7078235</v>
      </c>
    </row>
    <row r="278" spans="1:18" x14ac:dyDescent="0.25">
      <c r="A278" s="165">
        <v>45001</v>
      </c>
      <c r="B278" s="116">
        <v>431</v>
      </c>
      <c r="C278" s="116">
        <v>420.95</v>
      </c>
      <c r="D278" s="116">
        <v>414.65</v>
      </c>
      <c r="E278" s="116">
        <v>422</v>
      </c>
      <c r="F278" s="116">
        <v>420.95</v>
      </c>
      <c r="G278">
        <v>192513</v>
      </c>
      <c r="H278" s="116"/>
      <c r="I278" s="116"/>
      <c r="L278" s="165">
        <v>45001</v>
      </c>
      <c r="M278" s="116">
        <v>420.65</v>
      </c>
      <c r="N278" s="116">
        <v>431</v>
      </c>
      <c r="O278" s="116">
        <v>414.2</v>
      </c>
      <c r="P278" s="116">
        <v>422</v>
      </c>
      <c r="Q278" s="116">
        <v>420.65</v>
      </c>
      <c r="R278">
        <v>2731224</v>
      </c>
    </row>
    <row r="279" spans="1:18" x14ac:dyDescent="0.25">
      <c r="A279" s="165">
        <v>45002</v>
      </c>
      <c r="B279" s="116">
        <v>439.35</v>
      </c>
      <c r="C279" s="116">
        <v>427.35</v>
      </c>
      <c r="D279" s="116">
        <v>423</v>
      </c>
      <c r="E279" s="116">
        <v>431</v>
      </c>
      <c r="F279" s="116">
        <v>427.35</v>
      </c>
      <c r="G279">
        <v>338227</v>
      </c>
      <c r="H279" s="116"/>
      <c r="I279" s="116"/>
      <c r="L279" s="165">
        <v>45002</v>
      </c>
      <c r="M279" s="116">
        <v>427.65</v>
      </c>
      <c r="N279" s="116">
        <v>439</v>
      </c>
      <c r="O279" s="116">
        <v>423.9</v>
      </c>
      <c r="P279" s="116">
        <v>429.4</v>
      </c>
      <c r="Q279" s="116">
        <v>427.65</v>
      </c>
      <c r="R279">
        <v>2423287</v>
      </c>
    </row>
    <row r="280" spans="1:18" x14ac:dyDescent="0.25">
      <c r="A280" s="165">
        <v>45005</v>
      </c>
      <c r="B280" s="116">
        <v>425</v>
      </c>
      <c r="C280" s="116">
        <v>413.85</v>
      </c>
      <c r="D280" s="116">
        <v>409</v>
      </c>
      <c r="E280" s="116">
        <v>425</v>
      </c>
      <c r="F280" s="116">
        <v>413.85</v>
      </c>
      <c r="G280">
        <v>182016</v>
      </c>
      <c r="H280" s="116"/>
      <c r="I280" s="116"/>
      <c r="L280" s="165">
        <v>45005</v>
      </c>
      <c r="M280" s="116">
        <v>413.85</v>
      </c>
      <c r="N280" s="116">
        <v>423</v>
      </c>
      <c r="O280" s="116">
        <v>409.3</v>
      </c>
      <c r="P280" s="116">
        <v>423</v>
      </c>
      <c r="Q280" s="116">
        <v>413.85</v>
      </c>
      <c r="R280">
        <v>2158387</v>
      </c>
    </row>
    <row r="281" spans="1:18" x14ac:dyDescent="0.25">
      <c r="A281" s="165">
        <v>45006</v>
      </c>
      <c r="B281" s="116">
        <v>425.2</v>
      </c>
      <c r="C281" s="116">
        <v>418.8</v>
      </c>
      <c r="D281" s="116">
        <v>410.2</v>
      </c>
      <c r="E281" s="116">
        <v>420</v>
      </c>
      <c r="F281" s="116">
        <v>418.8</v>
      </c>
      <c r="G281">
        <v>316581</v>
      </c>
      <c r="H281" s="116"/>
      <c r="I281" s="116"/>
      <c r="L281" s="165">
        <v>45006</v>
      </c>
      <c r="M281" s="116">
        <v>418.75</v>
      </c>
      <c r="N281" s="116">
        <v>425.8</v>
      </c>
      <c r="O281" s="116">
        <v>410.25</v>
      </c>
      <c r="P281" s="116">
        <v>419.75</v>
      </c>
      <c r="Q281" s="116">
        <v>418.75</v>
      </c>
      <c r="R281">
        <v>2787019</v>
      </c>
    </row>
    <row r="282" spans="1:18" x14ac:dyDescent="0.25">
      <c r="A282" s="165">
        <v>45007</v>
      </c>
      <c r="B282" s="116">
        <v>428.4</v>
      </c>
      <c r="C282" s="116">
        <v>419.8</v>
      </c>
      <c r="D282" s="116">
        <v>418</v>
      </c>
      <c r="E282" s="116">
        <v>419.25</v>
      </c>
      <c r="F282" s="116">
        <v>419.8</v>
      </c>
      <c r="G282">
        <v>312485</v>
      </c>
      <c r="H282" s="116"/>
      <c r="I282" s="116"/>
      <c r="L282" s="165">
        <v>45007</v>
      </c>
      <c r="M282" s="116">
        <v>419.8</v>
      </c>
      <c r="N282" s="116">
        <v>428.4</v>
      </c>
      <c r="O282" s="116">
        <v>418.05</v>
      </c>
      <c r="P282" s="116">
        <v>420.75</v>
      </c>
      <c r="Q282" s="116">
        <v>419.8</v>
      </c>
      <c r="R282">
        <v>1894070</v>
      </c>
    </row>
    <row r="283" spans="1:18" x14ac:dyDescent="0.25">
      <c r="A283" s="165">
        <v>45008</v>
      </c>
      <c r="B283" s="116">
        <v>435.65</v>
      </c>
      <c r="C283" s="116">
        <v>421.4</v>
      </c>
      <c r="D283" s="116">
        <v>414.6</v>
      </c>
      <c r="E283" s="116">
        <v>418.1</v>
      </c>
      <c r="F283" s="116">
        <v>421.4</v>
      </c>
      <c r="G283">
        <v>453886</v>
      </c>
      <c r="H283" s="116"/>
      <c r="I283" s="116"/>
      <c r="L283" s="165">
        <v>45008</v>
      </c>
      <c r="M283" s="116">
        <v>421.3</v>
      </c>
      <c r="N283" s="116">
        <v>435.5</v>
      </c>
      <c r="O283" s="116">
        <v>415</v>
      </c>
      <c r="P283" s="116">
        <v>418.85</v>
      </c>
      <c r="Q283" s="116">
        <v>421.3</v>
      </c>
      <c r="R283">
        <v>3167155</v>
      </c>
    </row>
    <row r="284" spans="1:18" x14ac:dyDescent="0.25">
      <c r="A284" s="165">
        <v>45009</v>
      </c>
      <c r="B284" s="116">
        <v>427.5</v>
      </c>
      <c r="C284" s="116">
        <v>407.75</v>
      </c>
      <c r="D284" s="116">
        <v>406.2</v>
      </c>
      <c r="E284" s="116">
        <v>427.2</v>
      </c>
      <c r="F284" s="116">
        <v>407.75</v>
      </c>
      <c r="G284">
        <v>535807</v>
      </c>
      <c r="H284" s="116"/>
      <c r="I284" s="116"/>
      <c r="L284" s="165">
        <v>45009</v>
      </c>
      <c r="M284" s="116">
        <v>407.7</v>
      </c>
      <c r="N284" s="116">
        <v>428.55</v>
      </c>
      <c r="O284" s="116">
        <v>406.5</v>
      </c>
      <c r="P284" s="116">
        <v>428.55</v>
      </c>
      <c r="Q284" s="116">
        <v>407.7</v>
      </c>
      <c r="R284">
        <v>2942880</v>
      </c>
    </row>
    <row r="285" spans="1:18" x14ac:dyDescent="0.25">
      <c r="A285" s="165">
        <v>45012</v>
      </c>
      <c r="B285" s="116">
        <v>411.6</v>
      </c>
      <c r="C285" s="116">
        <v>387.65</v>
      </c>
      <c r="D285" s="116">
        <v>387.4</v>
      </c>
      <c r="E285" s="116">
        <v>407.75</v>
      </c>
      <c r="F285" s="116">
        <v>387.65</v>
      </c>
      <c r="G285">
        <v>522448</v>
      </c>
      <c r="H285" s="116"/>
      <c r="I285" s="116"/>
      <c r="L285" s="165">
        <v>45012</v>
      </c>
      <c r="M285" s="116">
        <v>387.5</v>
      </c>
      <c r="N285" s="116">
        <v>411.8</v>
      </c>
      <c r="O285" s="116">
        <v>387.35</v>
      </c>
      <c r="P285" s="116">
        <v>409</v>
      </c>
      <c r="Q285" s="116">
        <v>387.5</v>
      </c>
      <c r="R285">
        <v>2784324</v>
      </c>
    </row>
    <row r="286" spans="1:18" x14ac:dyDescent="0.25">
      <c r="A286" s="165">
        <v>45013</v>
      </c>
      <c r="B286" s="116">
        <v>386.8</v>
      </c>
      <c r="C286" s="116">
        <v>368.3</v>
      </c>
      <c r="D286" s="116">
        <v>368.3</v>
      </c>
      <c r="E286" s="116">
        <v>386.05</v>
      </c>
      <c r="F286" s="116">
        <v>368.3</v>
      </c>
      <c r="G286">
        <v>660935</v>
      </c>
      <c r="H286" s="116"/>
      <c r="I286" s="116"/>
      <c r="L286" s="165">
        <v>45013</v>
      </c>
      <c r="M286" s="116">
        <v>368.15</v>
      </c>
      <c r="N286" s="116">
        <v>387</v>
      </c>
      <c r="O286" s="116">
        <v>368.15</v>
      </c>
      <c r="P286" s="116">
        <v>387</v>
      </c>
      <c r="Q286" s="116">
        <v>368.15</v>
      </c>
      <c r="R286">
        <v>2613054</v>
      </c>
    </row>
    <row r="287" spans="1:18" x14ac:dyDescent="0.25">
      <c r="A287" s="165">
        <v>45014</v>
      </c>
      <c r="B287" s="116">
        <v>386.7</v>
      </c>
      <c r="C287" s="116">
        <v>386.7</v>
      </c>
      <c r="D287" s="116">
        <v>356.25</v>
      </c>
      <c r="E287" s="116">
        <v>356.25</v>
      </c>
      <c r="F287" s="116">
        <v>386.7</v>
      </c>
      <c r="G287">
        <v>843711</v>
      </c>
      <c r="H287" s="116"/>
      <c r="I287" s="116"/>
      <c r="L287" s="165">
        <v>45014</v>
      </c>
      <c r="M287" s="116">
        <v>386.55</v>
      </c>
      <c r="N287" s="116">
        <v>386.55</v>
      </c>
      <c r="O287" s="116">
        <v>357.4</v>
      </c>
      <c r="P287" s="116">
        <v>358</v>
      </c>
      <c r="Q287" s="116">
        <v>386.55</v>
      </c>
      <c r="R287">
        <v>6223991</v>
      </c>
    </row>
    <row r="288" spans="1:18" x14ac:dyDescent="0.25">
      <c r="A288" s="165">
        <v>45016</v>
      </c>
      <c r="B288" s="116">
        <v>406</v>
      </c>
      <c r="C288" s="116">
        <v>406</v>
      </c>
      <c r="D288" s="116">
        <v>399</v>
      </c>
      <c r="E288" s="116">
        <v>401.05</v>
      </c>
      <c r="F288" s="116">
        <v>406</v>
      </c>
      <c r="G288">
        <v>759113</v>
      </c>
      <c r="H288" s="116"/>
      <c r="I288" s="116"/>
      <c r="L288" s="165">
        <v>45016</v>
      </c>
      <c r="M288" s="116">
        <v>405.85</v>
      </c>
      <c r="N288" s="116">
        <v>405.85</v>
      </c>
      <c r="O288" s="116">
        <v>399.05</v>
      </c>
      <c r="P288" s="116">
        <v>401.95</v>
      </c>
      <c r="Q288" s="116">
        <v>405.85</v>
      </c>
      <c r="R288">
        <v>4081988</v>
      </c>
    </row>
    <row r="289" spans="1:18" x14ac:dyDescent="0.25">
      <c r="A289" s="165">
        <v>45019</v>
      </c>
      <c r="B289" s="116">
        <v>408</v>
      </c>
      <c r="C289" s="116">
        <v>395.4</v>
      </c>
      <c r="D289" s="116">
        <v>391</v>
      </c>
      <c r="E289" s="116">
        <v>408</v>
      </c>
      <c r="F289" s="116">
        <v>395.4</v>
      </c>
      <c r="G289">
        <v>510493</v>
      </c>
      <c r="H289" s="116"/>
      <c r="I289" s="116"/>
      <c r="L289" s="165">
        <v>45019</v>
      </c>
      <c r="M289" s="116">
        <v>395.7</v>
      </c>
      <c r="N289" s="116">
        <v>407.75</v>
      </c>
      <c r="O289" s="116">
        <v>391.2</v>
      </c>
      <c r="P289" s="116">
        <v>405.85</v>
      </c>
      <c r="Q289" s="116">
        <v>395.7</v>
      </c>
      <c r="R289">
        <v>3348736</v>
      </c>
    </row>
    <row r="290" spans="1:18" x14ac:dyDescent="0.25">
      <c r="A290" s="165">
        <v>45021</v>
      </c>
      <c r="B290" s="116">
        <v>405.2</v>
      </c>
      <c r="C290" s="116">
        <v>396.3</v>
      </c>
      <c r="D290" s="116">
        <v>392.3</v>
      </c>
      <c r="E290" s="116">
        <v>393.9</v>
      </c>
      <c r="F290" s="116">
        <v>396.3</v>
      </c>
      <c r="G290">
        <v>136244</v>
      </c>
      <c r="H290" s="116"/>
      <c r="I290" s="116"/>
      <c r="L290" s="165">
        <v>45021</v>
      </c>
      <c r="M290" s="116">
        <v>396.95</v>
      </c>
      <c r="N290" s="116">
        <v>405.5</v>
      </c>
      <c r="O290" s="116">
        <v>391.85</v>
      </c>
      <c r="P290" s="116">
        <v>394.95</v>
      </c>
      <c r="Q290" s="116">
        <v>396.95</v>
      </c>
      <c r="R290">
        <v>2052727</v>
      </c>
    </row>
    <row r="291" spans="1:18" x14ac:dyDescent="0.25">
      <c r="A291" s="165">
        <v>45022</v>
      </c>
      <c r="B291" s="116">
        <v>414.5</v>
      </c>
      <c r="C291" s="116">
        <v>409.55</v>
      </c>
      <c r="D291" s="116">
        <v>396.25</v>
      </c>
      <c r="E291" s="116">
        <v>399.75</v>
      </c>
      <c r="F291" s="116">
        <v>409.55</v>
      </c>
      <c r="G291">
        <v>235314</v>
      </c>
      <c r="H291" s="116"/>
      <c r="I291" s="116"/>
      <c r="L291" s="165">
        <v>45022</v>
      </c>
      <c r="M291" s="116">
        <v>409.2</v>
      </c>
      <c r="N291" s="116">
        <v>414.75</v>
      </c>
      <c r="O291" s="116">
        <v>396.35</v>
      </c>
      <c r="P291" s="116">
        <v>399</v>
      </c>
      <c r="Q291" s="116">
        <v>409.2</v>
      </c>
      <c r="R291">
        <v>3426105</v>
      </c>
    </row>
    <row r="292" spans="1:18" x14ac:dyDescent="0.25">
      <c r="A292" s="165">
        <v>45026</v>
      </c>
      <c r="B292" s="116">
        <v>420</v>
      </c>
      <c r="C292" s="116">
        <v>409.65</v>
      </c>
      <c r="D292" s="116">
        <v>408.5</v>
      </c>
      <c r="E292" s="116">
        <v>409</v>
      </c>
      <c r="F292" s="116">
        <v>409.65</v>
      </c>
      <c r="G292">
        <v>448651</v>
      </c>
      <c r="H292" s="116"/>
      <c r="I292" s="116"/>
      <c r="L292" s="165">
        <v>45026</v>
      </c>
      <c r="M292" s="116">
        <v>410</v>
      </c>
      <c r="N292" s="116">
        <v>419.65</v>
      </c>
      <c r="O292" s="116">
        <v>408.05</v>
      </c>
      <c r="P292" s="116">
        <v>412</v>
      </c>
      <c r="Q292" s="116">
        <v>410</v>
      </c>
      <c r="R292">
        <v>2208915</v>
      </c>
    </row>
    <row r="293" spans="1:18" x14ac:dyDescent="0.25">
      <c r="A293" s="165">
        <v>45027</v>
      </c>
      <c r="B293" s="116">
        <v>425.8</v>
      </c>
      <c r="C293" s="116">
        <v>416.7</v>
      </c>
      <c r="D293" s="116">
        <v>412.25</v>
      </c>
      <c r="E293" s="116">
        <v>413</v>
      </c>
      <c r="F293" s="116">
        <v>416.7</v>
      </c>
      <c r="G293">
        <v>266016</v>
      </c>
      <c r="H293" s="116"/>
      <c r="I293" s="116"/>
      <c r="L293" s="165">
        <v>45027</v>
      </c>
      <c r="M293" s="116">
        <v>416.65</v>
      </c>
      <c r="N293" s="116">
        <v>426</v>
      </c>
      <c r="O293" s="116">
        <v>412.25</v>
      </c>
      <c r="P293" s="116">
        <v>412.25</v>
      </c>
      <c r="Q293" s="116">
        <v>416.65</v>
      </c>
      <c r="R293">
        <v>3076342</v>
      </c>
    </row>
    <row r="294" spans="1:18" x14ac:dyDescent="0.25">
      <c r="A294" s="165">
        <v>45028</v>
      </c>
      <c r="B294" s="116">
        <v>420</v>
      </c>
      <c r="C294" s="116">
        <v>412.2</v>
      </c>
      <c r="D294" s="116">
        <v>410.85</v>
      </c>
      <c r="E294" s="116">
        <v>419.95</v>
      </c>
      <c r="F294" s="116">
        <v>412.2</v>
      </c>
      <c r="G294">
        <v>351646</v>
      </c>
      <c r="H294" s="116"/>
      <c r="I294" s="116"/>
      <c r="L294" s="165">
        <v>45028</v>
      </c>
      <c r="M294" s="116">
        <v>412.3</v>
      </c>
      <c r="N294" s="116">
        <v>420.6</v>
      </c>
      <c r="O294" s="116">
        <v>410.65</v>
      </c>
      <c r="P294" s="116">
        <v>418.8</v>
      </c>
      <c r="Q294" s="116">
        <v>412.3</v>
      </c>
      <c r="R294">
        <v>1839128</v>
      </c>
    </row>
    <row r="295" spans="1:18" x14ac:dyDescent="0.25">
      <c r="A295" s="165">
        <v>45029</v>
      </c>
      <c r="B295" s="116">
        <v>414.95</v>
      </c>
      <c r="C295" s="116">
        <v>410.35</v>
      </c>
      <c r="D295" s="116">
        <v>408.5</v>
      </c>
      <c r="E295" s="116">
        <v>414.35</v>
      </c>
      <c r="F295" s="116">
        <v>410.35</v>
      </c>
      <c r="G295">
        <v>84431</v>
      </c>
      <c r="H295" s="116"/>
      <c r="I295" s="116"/>
      <c r="L295" s="165">
        <v>45029</v>
      </c>
      <c r="M295" s="116">
        <v>410.5</v>
      </c>
      <c r="N295" s="116">
        <v>415</v>
      </c>
      <c r="O295" s="116">
        <v>408.4</v>
      </c>
      <c r="P295" s="116">
        <v>412.3</v>
      </c>
      <c r="Q295" s="116">
        <v>410.5</v>
      </c>
      <c r="R295">
        <v>1164398</v>
      </c>
    </row>
    <row r="296" spans="1:18" x14ac:dyDescent="0.25">
      <c r="A296" s="165">
        <v>45033</v>
      </c>
      <c r="B296" s="116">
        <v>414</v>
      </c>
      <c r="C296" s="116">
        <v>407.05</v>
      </c>
      <c r="D296" s="116">
        <v>405.05</v>
      </c>
      <c r="E296" s="116">
        <v>410.3</v>
      </c>
      <c r="F296" s="116">
        <v>407.05</v>
      </c>
      <c r="G296">
        <v>102999</v>
      </c>
      <c r="H296" s="116"/>
      <c r="I296" s="116"/>
      <c r="L296" s="165">
        <v>45033</v>
      </c>
      <c r="M296" s="116">
        <v>406.9</v>
      </c>
      <c r="N296" s="116">
        <v>414</v>
      </c>
      <c r="O296" s="116">
        <v>404.4</v>
      </c>
      <c r="P296" s="116">
        <v>410.5</v>
      </c>
      <c r="Q296" s="116">
        <v>406.9</v>
      </c>
      <c r="R296">
        <v>1524545</v>
      </c>
    </row>
    <row r="297" spans="1:18" x14ac:dyDescent="0.25">
      <c r="A297" s="165">
        <v>45034</v>
      </c>
      <c r="B297" s="116">
        <v>410</v>
      </c>
      <c r="C297" s="116">
        <v>403.4</v>
      </c>
      <c r="D297" s="116">
        <v>401.4</v>
      </c>
      <c r="E297" s="116">
        <v>405.15</v>
      </c>
      <c r="F297" s="116">
        <v>403.4</v>
      </c>
      <c r="G297">
        <v>145537</v>
      </c>
      <c r="H297" s="116"/>
      <c r="I297" s="116"/>
      <c r="L297" s="165">
        <v>45034</v>
      </c>
      <c r="M297" s="116">
        <v>403.45</v>
      </c>
      <c r="N297" s="116">
        <v>410.55</v>
      </c>
      <c r="O297" s="116">
        <v>401.3</v>
      </c>
      <c r="P297" s="116">
        <v>407</v>
      </c>
      <c r="Q297" s="116">
        <v>403.45</v>
      </c>
      <c r="R297">
        <v>960774</v>
      </c>
    </row>
    <row r="298" spans="1:18" x14ac:dyDescent="0.25">
      <c r="A298" s="165">
        <v>45035</v>
      </c>
      <c r="B298" s="116">
        <v>416.75</v>
      </c>
      <c r="C298" s="116">
        <v>408.3</v>
      </c>
      <c r="D298" s="116">
        <v>399</v>
      </c>
      <c r="E298" s="116">
        <v>402.35</v>
      </c>
      <c r="F298" s="116">
        <v>408.3</v>
      </c>
      <c r="G298">
        <v>157212</v>
      </c>
      <c r="H298" s="116"/>
      <c r="I298" s="116"/>
      <c r="L298" s="165">
        <v>45035</v>
      </c>
      <c r="M298" s="116">
        <v>408.3</v>
      </c>
      <c r="N298" s="116">
        <v>417</v>
      </c>
      <c r="O298" s="116">
        <v>398.85</v>
      </c>
      <c r="P298" s="116">
        <v>405.8</v>
      </c>
      <c r="Q298" s="116">
        <v>408.3</v>
      </c>
      <c r="R298">
        <v>1750568</v>
      </c>
    </row>
    <row r="299" spans="1:18" x14ac:dyDescent="0.25">
      <c r="A299" s="165">
        <v>45036</v>
      </c>
      <c r="B299" s="116">
        <v>415.9</v>
      </c>
      <c r="C299" s="116">
        <v>411.45</v>
      </c>
      <c r="D299" s="116">
        <v>407.5</v>
      </c>
      <c r="E299" s="116">
        <v>409.55</v>
      </c>
      <c r="F299" s="116">
        <v>411.45</v>
      </c>
      <c r="G299">
        <v>270845</v>
      </c>
      <c r="H299" s="116"/>
      <c r="I299" s="116"/>
      <c r="L299" s="165">
        <v>45036</v>
      </c>
      <c r="M299" s="116">
        <v>411.5</v>
      </c>
      <c r="N299" s="116">
        <v>415.9</v>
      </c>
      <c r="O299" s="116">
        <v>407.05</v>
      </c>
      <c r="P299" s="116">
        <v>410.75</v>
      </c>
      <c r="Q299" s="116">
        <v>411.5</v>
      </c>
      <c r="R299">
        <v>2142458</v>
      </c>
    </row>
    <row r="300" spans="1:18" x14ac:dyDescent="0.25">
      <c r="A300" s="165">
        <v>45037</v>
      </c>
      <c r="B300" s="116">
        <v>412.9</v>
      </c>
      <c r="C300" s="116">
        <v>404.2</v>
      </c>
      <c r="D300" s="116">
        <v>403.15</v>
      </c>
      <c r="E300" s="116">
        <v>412.7</v>
      </c>
      <c r="F300" s="116">
        <v>404.2</v>
      </c>
      <c r="G300">
        <v>79540</v>
      </c>
      <c r="H300" s="116"/>
      <c r="I300" s="116"/>
      <c r="L300" s="165">
        <v>45037</v>
      </c>
      <c r="M300" s="116">
        <v>404.3</v>
      </c>
      <c r="N300" s="116">
        <v>412.95</v>
      </c>
      <c r="O300" s="116">
        <v>403.5</v>
      </c>
      <c r="P300" s="116">
        <v>411.55</v>
      </c>
      <c r="Q300" s="116">
        <v>404.3</v>
      </c>
      <c r="R300">
        <v>1289899</v>
      </c>
    </row>
    <row r="301" spans="1:18" x14ac:dyDescent="0.25">
      <c r="A301" s="165">
        <v>45040</v>
      </c>
      <c r="B301" s="116">
        <v>405.25</v>
      </c>
      <c r="C301" s="116">
        <v>399.55</v>
      </c>
      <c r="D301" s="116">
        <v>398.4</v>
      </c>
      <c r="E301" s="116">
        <v>403.2</v>
      </c>
      <c r="F301" s="116">
        <v>399.55</v>
      </c>
      <c r="G301">
        <v>70318</v>
      </c>
      <c r="H301" s="116"/>
      <c r="I301" s="116"/>
      <c r="L301" s="165">
        <v>45040</v>
      </c>
      <c r="M301" s="116">
        <v>399.7</v>
      </c>
      <c r="N301" s="116">
        <v>405.75</v>
      </c>
      <c r="O301" s="116">
        <v>398.2</v>
      </c>
      <c r="P301" s="116">
        <v>405.75</v>
      </c>
      <c r="Q301" s="116">
        <v>399.7</v>
      </c>
      <c r="R301">
        <v>1045860</v>
      </c>
    </row>
    <row r="302" spans="1:18" x14ac:dyDescent="0.25">
      <c r="A302" s="165">
        <v>45041</v>
      </c>
      <c r="B302" s="116">
        <v>414.9</v>
      </c>
      <c r="C302" s="116">
        <v>402.85</v>
      </c>
      <c r="D302" s="116">
        <v>399</v>
      </c>
      <c r="E302" s="116">
        <v>401</v>
      </c>
      <c r="F302" s="116">
        <v>402.85</v>
      </c>
      <c r="G302">
        <v>205607</v>
      </c>
      <c r="H302" s="116"/>
      <c r="I302" s="116"/>
      <c r="L302" s="165">
        <v>45041</v>
      </c>
      <c r="M302" s="116">
        <v>403.3</v>
      </c>
      <c r="N302" s="116">
        <v>414.9</v>
      </c>
      <c r="O302" s="116">
        <v>399</v>
      </c>
      <c r="P302" s="116">
        <v>400.2</v>
      </c>
      <c r="Q302" s="116">
        <v>403.3</v>
      </c>
      <c r="R302">
        <v>2637540</v>
      </c>
    </row>
    <row r="303" spans="1:18" x14ac:dyDescent="0.25">
      <c r="A303" s="165">
        <v>45042</v>
      </c>
      <c r="B303" s="116">
        <v>408.1</v>
      </c>
      <c r="C303" s="116">
        <v>403.1</v>
      </c>
      <c r="D303" s="116">
        <v>401</v>
      </c>
      <c r="E303" s="116">
        <v>404.05</v>
      </c>
      <c r="F303" s="116">
        <v>403.1</v>
      </c>
      <c r="G303">
        <v>97786</v>
      </c>
      <c r="H303" s="116"/>
      <c r="I303" s="116"/>
      <c r="L303" s="165">
        <v>45042</v>
      </c>
      <c r="M303" s="116">
        <v>403.45</v>
      </c>
      <c r="N303" s="116">
        <v>408.4</v>
      </c>
      <c r="O303" s="116">
        <v>401</v>
      </c>
      <c r="P303" s="116">
        <v>405.85</v>
      </c>
      <c r="Q303" s="116">
        <v>403.45</v>
      </c>
      <c r="R303">
        <v>1301597</v>
      </c>
    </row>
    <row r="304" spans="1:18" x14ac:dyDescent="0.25">
      <c r="A304" s="165">
        <v>45043</v>
      </c>
      <c r="B304" s="116">
        <v>407.55</v>
      </c>
      <c r="C304" s="116">
        <v>402.2</v>
      </c>
      <c r="D304" s="116">
        <v>400.75</v>
      </c>
      <c r="E304" s="116">
        <v>403</v>
      </c>
      <c r="F304" s="116">
        <v>402.2</v>
      </c>
      <c r="G304">
        <v>54381</v>
      </c>
      <c r="H304" s="116"/>
      <c r="I304" s="116"/>
      <c r="L304" s="165">
        <v>45043</v>
      </c>
      <c r="M304" s="116">
        <v>402.15</v>
      </c>
      <c r="N304" s="116">
        <v>407.5</v>
      </c>
      <c r="O304" s="116">
        <v>400.5</v>
      </c>
      <c r="P304" s="116">
        <v>403.3</v>
      </c>
      <c r="Q304" s="116">
        <v>402.15</v>
      </c>
      <c r="R304">
        <v>1314856</v>
      </c>
    </row>
    <row r="305" spans="1:18" x14ac:dyDescent="0.25">
      <c r="A305" s="165">
        <v>45044</v>
      </c>
      <c r="B305" s="116">
        <v>418.1</v>
      </c>
      <c r="C305" s="116">
        <v>411.9</v>
      </c>
      <c r="D305" s="116">
        <v>403</v>
      </c>
      <c r="E305" s="116">
        <v>404.25</v>
      </c>
      <c r="F305" s="116">
        <v>411.9</v>
      </c>
      <c r="G305">
        <v>507518</v>
      </c>
      <c r="H305" s="116"/>
      <c r="I305" s="116"/>
      <c r="L305" s="165">
        <v>45044</v>
      </c>
      <c r="M305" s="116">
        <v>411.85</v>
      </c>
      <c r="N305" s="116">
        <v>418.2</v>
      </c>
      <c r="O305" s="116">
        <v>403.05</v>
      </c>
      <c r="P305" s="116">
        <v>404.75</v>
      </c>
      <c r="Q305" s="116">
        <v>411.85</v>
      </c>
      <c r="R305">
        <v>3529935</v>
      </c>
    </row>
    <row r="306" spans="1:18" x14ac:dyDescent="0.25">
      <c r="A306" s="165">
        <v>45048</v>
      </c>
      <c r="B306" s="116">
        <v>423</v>
      </c>
      <c r="C306" s="116">
        <v>415.5</v>
      </c>
      <c r="D306" s="116">
        <v>413.6</v>
      </c>
      <c r="E306" s="116">
        <v>414</v>
      </c>
      <c r="F306" s="116">
        <v>415.5</v>
      </c>
      <c r="G306">
        <v>356509</v>
      </c>
      <c r="H306" s="116"/>
      <c r="I306" s="116"/>
      <c r="L306" s="165">
        <v>45048</v>
      </c>
      <c r="M306" s="116">
        <v>415.45</v>
      </c>
      <c r="N306" s="116">
        <v>423.2</v>
      </c>
      <c r="O306" s="116">
        <v>413.2</v>
      </c>
      <c r="P306" s="116">
        <v>414.5</v>
      </c>
      <c r="Q306" s="116">
        <v>415.45</v>
      </c>
      <c r="R306">
        <v>2441446</v>
      </c>
    </row>
    <row r="307" spans="1:18" x14ac:dyDescent="0.25">
      <c r="A307" s="165">
        <v>45049</v>
      </c>
      <c r="B307" s="116">
        <v>419</v>
      </c>
      <c r="C307" s="116">
        <v>397.65</v>
      </c>
      <c r="D307" s="116">
        <v>390.1</v>
      </c>
      <c r="E307" s="116">
        <v>414</v>
      </c>
      <c r="F307" s="116">
        <v>397.65</v>
      </c>
      <c r="G307">
        <v>678533</v>
      </c>
      <c r="H307" s="116"/>
      <c r="I307" s="116"/>
      <c r="L307" s="165">
        <v>45049</v>
      </c>
      <c r="M307" s="116">
        <v>397.45</v>
      </c>
      <c r="N307" s="116">
        <v>419</v>
      </c>
      <c r="O307" s="116">
        <v>390.3</v>
      </c>
      <c r="P307" s="116">
        <v>414.6</v>
      </c>
      <c r="Q307" s="116">
        <v>397.45</v>
      </c>
      <c r="R307">
        <v>4578768</v>
      </c>
    </row>
    <row r="308" spans="1:18" x14ac:dyDescent="0.25">
      <c r="A308" s="165">
        <v>45050</v>
      </c>
      <c r="B308" s="116">
        <v>401.25</v>
      </c>
      <c r="C308" s="116">
        <v>398.75</v>
      </c>
      <c r="D308" s="116">
        <v>388.05</v>
      </c>
      <c r="E308" s="116">
        <v>392</v>
      </c>
      <c r="F308" s="116">
        <v>398.75</v>
      </c>
      <c r="G308">
        <v>319449</v>
      </c>
      <c r="H308" s="116"/>
      <c r="I308" s="116"/>
      <c r="L308" s="165">
        <v>45050</v>
      </c>
      <c r="M308" s="116">
        <v>399</v>
      </c>
      <c r="N308" s="116">
        <v>401.5</v>
      </c>
      <c r="O308" s="116">
        <v>389.05</v>
      </c>
      <c r="P308" s="116">
        <v>392.6</v>
      </c>
      <c r="Q308" s="116">
        <v>399</v>
      </c>
      <c r="R308">
        <v>1678816</v>
      </c>
    </row>
    <row r="309" spans="1:18" x14ac:dyDescent="0.25">
      <c r="A309" s="165">
        <v>45051</v>
      </c>
      <c r="B309" s="116">
        <v>403.1</v>
      </c>
      <c r="C309" s="116">
        <v>396.85</v>
      </c>
      <c r="D309" s="116">
        <v>396</v>
      </c>
      <c r="E309" s="116">
        <v>400</v>
      </c>
      <c r="F309" s="116">
        <v>396.85</v>
      </c>
      <c r="G309">
        <v>84081</v>
      </c>
      <c r="H309" s="116"/>
      <c r="I309" s="116"/>
      <c r="L309" s="165">
        <v>45051</v>
      </c>
      <c r="M309" s="116">
        <v>397</v>
      </c>
      <c r="N309" s="116">
        <v>403.55</v>
      </c>
      <c r="O309" s="116">
        <v>396.05</v>
      </c>
      <c r="P309" s="116">
        <v>400</v>
      </c>
      <c r="Q309" s="116">
        <v>397</v>
      </c>
      <c r="R309">
        <v>1147292</v>
      </c>
    </row>
    <row r="310" spans="1:18" x14ac:dyDescent="0.25">
      <c r="A310" s="165">
        <v>45054</v>
      </c>
      <c r="B310" s="116">
        <v>400</v>
      </c>
      <c r="C310" s="116">
        <v>393.3</v>
      </c>
      <c r="D310" s="116">
        <v>392.1</v>
      </c>
      <c r="E310" s="116">
        <v>400</v>
      </c>
      <c r="F310" s="116">
        <v>393.3</v>
      </c>
      <c r="G310">
        <v>115740</v>
      </c>
      <c r="H310" s="116"/>
      <c r="I310" s="116"/>
      <c r="L310" s="165">
        <v>45054</v>
      </c>
      <c r="M310" s="116">
        <v>393.25</v>
      </c>
      <c r="N310" s="116">
        <v>400</v>
      </c>
      <c r="O310" s="116">
        <v>392</v>
      </c>
      <c r="P310" s="116">
        <v>399.4</v>
      </c>
      <c r="Q310" s="116">
        <v>393.25</v>
      </c>
      <c r="R310">
        <v>1414041</v>
      </c>
    </row>
    <row r="311" spans="1:18" x14ac:dyDescent="0.25">
      <c r="A311" s="165">
        <v>45055</v>
      </c>
      <c r="B311" s="116">
        <v>397</v>
      </c>
      <c r="C311" s="116">
        <v>390.4</v>
      </c>
      <c r="D311" s="116">
        <v>390</v>
      </c>
      <c r="E311" s="116">
        <v>393.55</v>
      </c>
      <c r="F311" s="116">
        <v>390.4</v>
      </c>
      <c r="G311">
        <v>193777</v>
      </c>
      <c r="H311" s="116"/>
      <c r="I311" s="116"/>
      <c r="L311" s="165">
        <v>45055</v>
      </c>
      <c r="M311" s="116">
        <v>390.3</v>
      </c>
      <c r="N311" s="116">
        <v>397.2</v>
      </c>
      <c r="O311" s="116">
        <v>390</v>
      </c>
      <c r="P311" s="116">
        <v>394.5</v>
      </c>
      <c r="Q311" s="116">
        <v>390.3</v>
      </c>
      <c r="R311">
        <v>935375</v>
      </c>
    </row>
    <row r="312" spans="1:18" x14ac:dyDescent="0.25">
      <c r="A312" s="165">
        <v>45056</v>
      </c>
      <c r="B312" s="116">
        <v>393.6</v>
      </c>
      <c r="C312" s="116">
        <v>388.95</v>
      </c>
      <c r="D312" s="116">
        <v>387.7</v>
      </c>
      <c r="E312" s="116">
        <v>390.4</v>
      </c>
      <c r="F312" s="116">
        <v>388.95</v>
      </c>
      <c r="G312">
        <v>159994</v>
      </c>
      <c r="H312" s="116"/>
      <c r="I312" s="116"/>
      <c r="L312" s="165">
        <v>45056</v>
      </c>
      <c r="M312" s="116">
        <v>388.85</v>
      </c>
      <c r="N312" s="116">
        <v>393.9</v>
      </c>
      <c r="O312" s="116">
        <v>387.75</v>
      </c>
      <c r="P312" s="116">
        <v>391</v>
      </c>
      <c r="Q312" s="116">
        <v>388.85</v>
      </c>
      <c r="R312">
        <v>607567</v>
      </c>
    </row>
    <row r="313" spans="1:18" x14ac:dyDescent="0.25">
      <c r="A313" s="165">
        <v>45057</v>
      </c>
      <c r="B313" s="116">
        <v>401.95</v>
      </c>
      <c r="C313" s="116">
        <v>395.15</v>
      </c>
      <c r="D313" s="116">
        <v>392.45</v>
      </c>
      <c r="E313" s="116">
        <v>392.6</v>
      </c>
      <c r="F313" s="116">
        <v>395.15</v>
      </c>
      <c r="G313">
        <v>255279</v>
      </c>
      <c r="H313" s="116"/>
      <c r="I313" s="116"/>
      <c r="L313" s="165">
        <v>45057</v>
      </c>
      <c r="M313" s="116">
        <v>395.25</v>
      </c>
      <c r="N313" s="116">
        <v>401.9</v>
      </c>
      <c r="O313" s="116">
        <v>392.5</v>
      </c>
      <c r="P313" s="116">
        <v>393</v>
      </c>
      <c r="Q313" s="116">
        <v>395.25</v>
      </c>
      <c r="R313">
        <v>1420899</v>
      </c>
    </row>
    <row r="314" spans="1:18" x14ac:dyDescent="0.25">
      <c r="A314" s="165">
        <v>45058</v>
      </c>
      <c r="B314" s="116">
        <v>398.1</v>
      </c>
      <c r="C314" s="116">
        <v>392.4</v>
      </c>
      <c r="D314" s="116">
        <v>392</v>
      </c>
      <c r="E314" s="116">
        <v>396.6</v>
      </c>
      <c r="F314" s="116">
        <v>392.4</v>
      </c>
      <c r="G314">
        <v>42629</v>
      </c>
      <c r="H314" s="116"/>
      <c r="I314" s="116"/>
      <c r="L314" s="165">
        <v>45058</v>
      </c>
      <c r="M314" s="116">
        <v>392.25</v>
      </c>
      <c r="N314" s="116">
        <v>398.05</v>
      </c>
      <c r="O314" s="116">
        <v>391.6</v>
      </c>
      <c r="P314" s="116">
        <v>398</v>
      </c>
      <c r="Q314" s="116">
        <v>392.25</v>
      </c>
      <c r="R314">
        <v>706405</v>
      </c>
    </row>
    <row r="315" spans="1:18" x14ac:dyDescent="0.25">
      <c r="A315" s="165">
        <v>45061</v>
      </c>
      <c r="B315" s="116">
        <v>394.4</v>
      </c>
      <c r="C315" s="116">
        <v>386.75</v>
      </c>
      <c r="D315" s="116">
        <v>384.85</v>
      </c>
      <c r="E315" s="116">
        <v>393.6</v>
      </c>
      <c r="F315" s="116">
        <v>386.75</v>
      </c>
      <c r="G315">
        <v>200844</v>
      </c>
      <c r="H315" s="116"/>
      <c r="I315" s="116"/>
      <c r="L315" s="165">
        <v>45061</v>
      </c>
      <c r="M315" s="116">
        <v>386.7</v>
      </c>
      <c r="N315" s="116">
        <v>394.95</v>
      </c>
      <c r="O315" s="116">
        <v>385</v>
      </c>
      <c r="P315" s="116">
        <v>394.95</v>
      </c>
      <c r="Q315" s="116">
        <v>386.7</v>
      </c>
      <c r="R315">
        <v>820378</v>
      </c>
    </row>
    <row r="316" spans="1:18" x14ac:dyDescent="0.25">
      <c r="A316" s="165">
        <v>45062</v>
      </c>
      <c r="B316" s="116">
        <v>392.1</v>
      </c>
      <c r="C316" s="116">
        <v>383.15</v>
      </c>
      <c r="D316" s="116">
        <v>382.55</v>
      </c>
      <c r="E316" s="116">
        <v>386.75</v>
      </c>
      <c r="F316" s="116">
        <v>383.15</v>
      </c>
      <c r="G316">
        <v>196054</v>
      </c>
      <c r="H316" s="116"/>
      <c r="I316" s="116"/>
      <c r="L316" s="165">
        <v>45062</v>
      </c>
      <c r="M316" s="116">
        <v>383.15</v>
      </c>
      <c r="N316" s="116">
        <v>392.5</v>
      </c>
      <c r="O316" s="116">
        <v>382.3</v>
      </c>
      <c r="P316" s="116">
        <v>386.5</v>
      </c>
      <c r="Q316" s="116">
        <v>383.15</v>
      </c>
      <c r="R316">
        <v>906136</v>
      </c>
    </row>
    <row r="317" spans="1:18" x14ac:dyDescent="0.25">
      <c r="A317" s="165">
        <v>45063</v>
      </c>
      <c r="B317" s="116">
        <v>388</v>
      </c>
      <c r="C317" s="116">
        <v>385.65</v>
      </c>
      <c r="D317" s="116">
        <v>377.25</v>
      </c>
      <c r="E317" s="116">
        <v>388</v>
      </c>
      <c r="F317" s="116">
        <v>385.65</v>
      </c>
      <c r="G317">
        <v>195063</v>
      </c>
      <c r="H317" s="116"/>
      <c r="I317" s="116"/>
      <c r="L317" s="165">
        <v>45063</v>
      </c>
      <c r="M317" s="116">
        <v>385.75</v>
      </c>
      <c r="N317" s="116">
        <v>388.8</v>
      </c>
      <c r="O317" s="116">
        <v>377.5</v>
      </c>
      <c r="P317" s="116">
        <v>388.8</v>
      </c>
      <c r="Q317" s="116">
        <v>385.75</v>
      </c>
      <c r="R317">
        <v>946145</v>
      </c>
    </row>
    <row r="318" spans="1:18" x14ac:dyDescent="0.25">
      <c r="A318" s="165">
        <v>45064</v>
      </c>
      <c r="B318" s="116">
        <v>388.05</v>
      </c>
      <c r="C318" s="116">
        <v>378.1</v>
      </c>
      <c r="D318" s="116">
        <v>376.7</v>
      </c>
      <c r="E318" s="116">
        <v>388</v>
      </c>
      <c r="F318" s="116">
        <v>378.1</v>
      </c>
      <c r="G318">
        <v>61832</v>
      </c>
      <c r="H318" s="116"/>
      <c r="I318" s="116"/>
      <c r="L318" s="165">
        <v>45064</v>
      </c>
      <c r="M318" s="116">
        <v>378</v>
      </c>
      <c r="N318" s="116">
        <v>388.2</v>
      </c>
      <c r="O318" s="116">
        <v>377</v>
      </c>
      <c r="P318" s="116">
        <v>388.2</v>
      </c>
      <c r="Q318" s="116">
        <v>378</v>
      </c>
      <c r="R318">
        <v>837536</v>
      </c>
    </row>
    <row r="319" spans="1:18" x14ac:dyDescent="0.25">
      <c r="A319" s="165">
        <v>45065</v>
      </c>
      <c r="B319" s="116">
        <v>412</v>
      </c>
      <c r="C319" s="116">
        <v>404</v>
      </c>
      <c r="D319" s="116">
        <v>366</v>
      </c>
      <c r="E319" s="116">
        <v>377.8</v>
      </c>
      <c r="F319" s="116">
        <v>404</v>
      </c>
      <c r="G319">
        <v>1040000</v>
      </c>
      <c r="H319" s="116"/>
      <c r="I319" s="116"/>
      <c r="L319" s="165">
        <v>45065</v>
      </c>
      <c r="M319" s="116">
        <v>403.95</v>
      </c>
      <c r="N319" s="116">
        <v>412.2</v>
      </c>
      <c r="O319" s="116">
        <v>366</v>
      </c>
      <c r="P319" s="116">
        <v>378.75</v>
      </c>
      <c r="Q319" s="116">
        <v>403.95</v>
      </c>
      <c r="R319">
        <v>6990238</v>
      </c>
    </row>
    <row r="320" spans="1:18" x14ac:dyDescent="0.25">
      <c r="A320" s="165">
        <v>45068</v>
      </c>
      <c r="B320" s="116">
        <v>444.4</v>
      </c>
      <c r="C320" s="116">
        <v>444.4</v>
      </c>
      <c r="D320" s="116">
        <v>414</v>
      </c>
      <c r="E320" s="116">
        <v>415.7</v>
      </c>
      <c r="F320" s="116">
        <v>444.4</v>
      </c>
      <c r="G320">
        <v>1565350</v>
      </c>
      <c r="H320" s="116"/>
      <c r="I320" s="116"/>
      <c r="L320" s="165">
        <v>45068</v>
      </c>
      <c r="M320" s="116">
        <v>444.3</v>
      </c>
      <c r="N320" s="116">
        <v>444.3</v>
      </c>
      <c r="O320" s="116">
        <v>413.1</v>
      </c>
      <c r="P320" s="116">
        <v>416</v>
      </c>
      <c r="Q320" s="116">
        <v>444.3</v>
      </c>
      <c r="R320">
        <v>9234176</v>
      </c>
    </row>
    <row r="321" spans="1:18" x14ac:dyDescent="0.25">
      <c r="A321" s="165">
        <v>45069</v>
      </c>
      <c r="B321" s="116">
        <v>488.8</v>
      </c>
      <c r="C321" s="116">
        <v>488.8</v>
      </c>
      <c r="D321" s="116">
        <v>469</v>
      </c>
      <c r="E321" s="116">
        <v>470.05</v>
      </c>
      <c r="F321" s="116">
        <v>488.8</v>
      </c>
      <c r="G321">
        <v>2280470</v>
      </c>
      <c r="H321" s="116"/>
      <c r="I321" s="116"/>
      <c r="L321" s="165">
        <v>45069</v>
      </c>
      <c r="M321" s="116">
        <v>488.7</v>
      </c>
      <c r="N321" s="116">
        <v>488.7</v>
      </c>
      <c r="O321" s="116">
        <v>468.3</v>
      </c>
      <c r="P321" s="116">
        <v>469.8</v>
      </c>
      <c r="Q321" s="116">
        <v>488.7</v>
      </c>
      <c r="R321">
        <v>13103654</v>
      </c>
    </row>
    <row r="322" spans="1:18" x14ac:dyDescent="0.25">
      <c r="A322" s="165">
        <v>45070</v>
      </c>
      <c r="B322" s="116">
        <v>509.4</v>
      </c>
      <c r="C322" s="116">
        <v>464.4</v>
      </c>
      <c r="D322" s="116">
        <v>464.4</v>
      </c>
      <c r="E322" s="116">
        <v>499</v>
      </c>
      <c r="F322" s="116">
        <v>464.4</v>
      </c>
      <c r="G322">
        <v>2062534</v>
      </c>
      <c r="H322" s="116"/>
      <c r="I322" s="116"/>
      <c r="L322" s="165">
        <v>45070</v>
      </c>
      <c r="M322" s="116">
        <v>464.3</v>
      </c>
      <c r="N322" s="116">
        <v>509</v>
      </c>
      <c r="O322" s="116">
        <v>464.3</v>
      </c>
      <c r="P322" s="116">
        <v>499</v>
      </c>
      <c r="Q322" s="116">
        <v>464.3</v>
      </c>
      <c r="R322">
        <v>12837676</v>
      </c>
    </row>
    <row r="323" spans="1:18" x14ac:dyDescent="0.25">
      <c r="A323" s="165">
        <v>45071</v>
      </c>
      <c r="B323" s="116">
        <v>469</v>
      </c>
      <c r="C323" s="116">
        <v>451.75</v>
      </c>
      <c r="D323" s="116">
        <v>442.3</v>
      </c>
      <c r="E323" s="116">
        <v>454</v>
      </c>
      <c r="F323" s="116">
        <v>451.75</v>
      </c>
      <c r="G323">
        <v>885449</v>
      </c>
      <c r="H323" s="116"/>
      <c r="I323" s="116"/>
      <c r="L323" s="165">
        <v>45071</v>
      </c>
      <c r="M323" s="116">
        <v>452.05</v>
      </c>
      <c r="N323" s="116">
        <v>468.95</v>
      </c>
      <c r="O323" s="116">
        <v>442.65</v>
      </c>
      <c r="P323" s="116">
        <v>453.2</v>
      </c>
      <c r="Q323" s="116">
        <v>452.05</v>
      </c>
      <c r="R323">
        <v>5556002</v>
      </c>
    </row>
    <row r="324" spans="1:18" x14ac:dyDescent="0.25">
      <c r="A324" s="165">
        <v>45072</v>
      </c>
      <c r="B324" s="116">
        <v>457.95</v>
      </c>
      <c r="C324" s="116">
        <v>450.35</v>
      </c>
      <c r="D324" s="116">
        <v>447.25</v>
      </c>
      <c r="E324" s="116">
        <v>455.85</v>
      </c>
      <c r="F324" s="116">
        <v>450.35</v>
      </c>
      <c r="G324">
        <v>183381</v>
      </c>
      <c r="H324" s="116"/>
      <c r="I324" s="116"/>
      <c r="L324" s="165">
        <v>45072</v>
      </c>
      <c r="M324" s="116">
        <v>450.4</v>
      </c>
      <c r="N324" s="116">
        <v>457.9</v>
      </c>
      <c r="O324" s="116">
        <v>447.25</v>
      </c>
      <c r="P324" s="116">
        <v>455</v>
      </c>
      <c r="Q324" s="116">
        <v>450.4</v>
      </c>
      <c r="R324">
        <v>2297571</v>
      </c>
    </row>
    <row r="325" spans="1:18" x14ac:dyDescent="0.25">
      <c r="A325" s="165">
        <v>45075</v>
      </c>
      <c r="B325" s="116">
        <v>457.85</v>
      </c>
      <c r="C325" s="116">
        <v>447.8</v>
      </c>
      <c r="D325" s="116">
        <v>444.5</v>
      </c>
      <c r="E325" s="116">
        <v>455.05</v>
      </c>
      <c r="F325" s="116">
        <v>447.8</v>
      </c>
      <c r="G325">
        <v>114969</v>
      </c>
      <c r="H325" s="116"/>
      <c r="I325" s="116"/>
      <c r="L325" s="165">
        <v>45075</v>
      </c>
      <c r="M325" s="116">
        <v>447.65</v>
      </c>
      <c r="N325" s="116">
        <v>457.65</v>
      </c>
      <c r="O325" s="116">
        <v>444.4</v>
      </c>
      <c r="P325" s="116">
        <v>455.95</v>
      </c>
      <c r="Q325" s="116">
        <v>447.65</v>
      </c>
      <c r="R325">
        <v>1481961</v>
      </c>
    </row>
    <row r="326" spans="1:18" x14ac:dyDescent="0.25">
      <c r="A326" s="165">
        <v>45076</v>
      </c>
      <c r="B326" s="116">
        <v>449.3</v>
      </c>
      <c r="C326" s="116">
        <v>435.75</v>
      </c>
      <c r="D326" s="116">
        <v>435</v>
      </c>
      <c r="E326" s="116">
        <v>447.85</v>
      </c>
      <c r="F326" s="116">
        <v>435.75</v>
      </c>
      <c r="G326">
        <v>273872</v>
      </c>
      <c r="H326" s="116"/>
      <c r="I326" s="116"/>
      <c r="L326" s="165">
        <v>45076</v>
      </c>
      <c r="M326" s="116">
        <v>435.7</v>
      </c>
      <c r="N326" s="116">
        <v>449.4</v>
      </c>
      <c r="O326" s="116">
        <v>435</v>
      </c>
      <c r="P326" s="116">
        <v>449</v>
      </c>
      <c r="Q326" s="116">
        <v>435.7</v>
      </c>
      <c r="R326">
        <v>1301678</v>
      </c>
    </row>
    <row r="327" spans="1:18" x14ac:dyDescent="0.25">
      <c r="A327" s="165">
        <v>45077</v>
      </c>
      <c r="B327" s="116">
        <v>450</v>
      </c>
      <c r="C327" s="116">
        <v>435.6</v>
      </c>
      <c r="D327" s="116">
        <v>425.45</v>
      </c>
      <c r="E327" s="116">
        <v>432.1</v>
      </c>
      <c r="F327" s="116">
        <v>435.6</v>
      </c>
      <c r="G327">
        <v>457244</v>
      </c>
      <c r="H327" s="116"/>
      <c r="I327" s="116"/>
      <c r="L327" s="165">
        <v>45077</v>
      </c>
      <c r="M327" s="116">
        <v>436.1</v>
      </c>
      <c r="N327" s="116">
        <v>450</v>
      </c>
      <c r="O327" s="116">
        <v>425.55</v>
      </c>
      <c r="P327" s="116">
        <v>432.95</v>
      </c>
      <c r="Q327" s="116">
        <v>436.1</v>
      </c>
      <c r="R327">
        <v>2571533</v>
      </c>
    </row>
    <row r="328" spans="1:18" x14ac:dyDescent="0.25">
      <c r="A328" s="165">
        <v>45078</v>
      </c>
      <c r="B328" s="116">
        <v>448.2</v>
      </c>
      <c r="C328" s="116">
        <v>442</v>
      </c>
      <c r="D328" s="116">
        <v>440</v>
      </c>
      <c r="E328" s="116">
        <v>440</v>
      </c>
      <c r="F328" s="116">
        <v>442</v>
      </c>
      <c r="G328">
        <v>129683</v>
      </c>
      <c r="H328" s="116"/>
      <c r="I328" s="116"/>
      <c r="L328" s="165">
        <v>45078</v>
      </c>
      <c r="M328" s="116">
        <v>442.05</v>
      </c>
      <c r="N328" s="116">
        <v>448.35</v>
      </c>
      <c r="O328" s="116">
        <v>440</v>
      </c>
      <c r="P328" s="116">
        <v>440</v>
      </c>
      <c r="Q328" s="116">
        <v>442.05</v>
      </c>
      <c r="R328">
        <v>1825488</v>
      </c>
    </row>
    <row r="329" spans="1:18" x14ac:dyDescent="0.25">
      <c r="A329" s="165">
        <v>45079</v>
      </c>
      <c r="B329" s="116">
        <v>446.3</v>
      </c>
      <c r="C329" s="116">
        <v>437.4</v>
      </c>
      <c r="D329" s="116">
        <v>436.05</v>
      </c>
      <c r="E329" s="116">
        <v>444.8</v>
      </c>
      <c r="F329" s="116">
        <v>437.4</v>
      </c>
      <c r="G329">
        <v>106109</v>
      </c>
      <c r="H329" s="116"/>
      <c r="I329" s="116"/>
      <c r="L329" s="165">
        <v>45079</v>
      </c>
      <c r="M329" s="116">
        <v>437.55</v>
      </c>
      <c r="N329" s="116">
        <v>446.7</v>
      </c>
      <c r="O329" s="116">
        <v>436</v>
      </c>
      <c r="P329" s="116">
        <v>444</v>
      </c>
      <c r="Q329" s="116">
        <v>437.55</v>
      </c>
      <c r="R329">
        <v>1215288</v>
      </c>
    </row>
    <row r="330" spans="1:18" x14ac:dyDescent="0.25">
      <c r="A330" s="165">
        <v>45082</v>
      </c>
      <c r="B330" s="116">
        <v>441</v>
      </c>
      <c r="C330" s="116">
        <v>432.25</v>
      </c>
      <c r="D330" s="116">
        <v>431.15</v>
      </c>
      <c r="E330" s="116">
        <v>440</v>
      </c>
      <c r="F330" s="116">
        <v>432.25</v>
      </c>
      <c r="G330">
        <v>116203</v>
      </c>
      <c r="H330" s="116"/>
      <c r="I330" s="116"/>
      <c r="L330" s="165">
        <v>45082</v>
      </c>
      <c r="M330" s="116">
        <v>432.25</v>
      </c>
      <c r="N330" s="116">
        <v>440.95</v>
      </c>
      <c r="O330" s="116">
        <v>431</v>
      </c>
      <c r="P330" s="116">
        <v>440</v>
      </c>
      <c r="Q330" s="116">
        <v>432.25</v>
      </c>
      <c r="R330">
        <v>1707574</v>
      </c>
    </row>
    <row r="331" spans="1:18" x14ac:dyDescent="0.25">
      <c r="A331" s="165">
        <v>45083</v>
      </c>
      <c r="B331" s="116">
        <v>437.5</v>
      </c>
      <c r="C331" s="116">
        <v>429.65</v>
      </c>
      <c r="D331" s="116">
        <v>428.45</v>
      </c>
      <c r="E331" s="116">
        <v>435</v>
      </c>
      <c r="F331" s="116">
        <v>429.65</v>
      </c>
      <c r="G331">
        <v>186931</v>
      </c>
      <c r="H331" s="116"/>
      <c r="I331" s="116"/>
      <c r="L331" s="165">
        <v>45083</v>
      </c>
      <c r="M331" s="116">
        <v>429.65</v>
      </c>
      <c r="N331" s="116">
        <v>437.4</v>
      </c>
      <c r="O331" s="116">
        <v>428.55</v>
      </c>
      <c r="P331" s="116">
        <v>435.8</v>
      </c>
      <c r="Q331" s="116">
        <v>429.65</v>
      </c>
      <c r="R331">
        <v>1098423</v>
      </c>
    </row>
    <row r="332" spans="1:18" x14ac:dyDescent="0.25">
      <c r="A332" s="165">
        <v>45084</v>
      </c>
      <c r="B332" s="116">
        <v>442</v>
      </c>
      <c r="C332" s="116">
        <v>433.85</v>
      </c>
      <c r="D332" s="116">
        <v>433.2</v>
      </c>
      <c r="E332" s="116">
        <v>435.35</v>
      </c>
      <c r="F332" s="116">
        <v>433.85</v>
      </c>
      <c r="G332">
        <v>322197</v>
      </c>
      <c r="H332" s="116"/>
      <c r="I332" s="116"/>
      <c r="L332" s="165">
        <v>45084</v>
      </c>
      <c r="M332" s="116">
        <v>433.8</v>
      </c>
      <c r="N332" s="116">
        <v>442</v>
      </c>
      <c r="O332" s="116">
        <v>433</v>
      </c>
      <c r="P332" s="116">
        <v>436</v>
      </c>
      <c r="Q332" s="116">
        <v>433.8</v>
      </c>
      <c r="R332">
        <v>1848769</v>
      </c>
    </row>
    <row r="333" spans="1:18" x14ac:dyDescent="0.25">
      <c r="A333" s="165">
        <v>45085</v>
      </c>
      <c r="B333" s="116">
        <v>436.95</v>
      </c>
      <c r="C333" s="116">
        <v>429.5</v>
      </c>
      <c r="D333" s="116">
        <v>428.55</v>
      </c>
      <c r="E333" s="116">
        <v>434.25</v>
      </c>
      <c r="F333" s="116">
        <v>429.5</v>
      </c>
      <c r="G333">
        <v>249857</v>
      </c>
      <c r="H333" s="116"/>
      <c r="I333" s="116"/>
      <c r="L333" s="165">
        <v>45085</v>
      </c>
      <c r="M333" s="116">
        <v>429.75</v>
      </c>
      <c r="N333" s="116">
        <v>437</v>
      </c>
      <c r="O333" s="116">
        <v>428.8</v>
      </c>
      <c r="P333" s="116">
        <v>436</v>
      </c>
      <c r="Q333" s="116">
        <v>429.75</v>
      </c>
      <c r="R333">
        <v>1373618</v>
      </c>
    </row>
    <row r="334" spans="1:18" x14ac:dyDescent="0.25">
      <c r="A334" s="165">
        <v>45086</v>
      </c>
      <c r="B334" s="116">
        <v>432.4</v>
      </c>
      <c r="C334" s="116">
        <v>425.6</v>
      </c>
      <c r="D334" s="116">
        <v>424.65</v>
      </c>
      <c r="E334" s="116">
        <v>430</v>
      </c>
      <c r="F334" s="116">
        <v>425.6</v>
      </c>
      <c r="G334">
        <v>85572</v>
      </c>
      <c r="H334" s="116"/>
      <c r="I334" s="116"/>
      <c r="L334" s="165">
        <v>45086</v>
      </c>
      <c r="M334" s="116">
        <v>425.55</v>
      </c>
      <c r="N334" s="116">
        <v>432.9</v>
      </c>
      <c r="O334" s="116">
        <v>424.75</v>
      </c>
      <c r="P334" s="116">
        <v>431</v>
      </c>
      <c r="Q334" s="116">
        <v>425.55</v>
      </c>
      <c r="R334">
        <v>1078061</v>
      </c>
    </row>
    <row r="335" spans="1:18" x14ac:dyDescent="0.25">
      <c r="A335" s="165">
        <v>45089</v>
      </c>
      <c r="B335" s="116">
        <v>427.1</v>
      </c>
      <c r="C335" s="116">
        <v>422.35</v>
      </c>
      <c r="D335" s="116">
        <v>420.8</v>
      </c>
      <c r="E335" s="116">
        <v>425.15</v>
      </c>
      <c r="F335" s="116">
        <v>422.35</v>
      </c>
      <c r="G335">
        <v>193852</v>
      </c>
      <c r="H335" s="116"/>
      <c r="I335" s="116"/>
      <c r="L335" s="165">
        <v>45089</v>
      </c>
      <c r="M335" s="116">
        <v>422.25</v>
      </c>
      <c r="N335" s="116">
        <v>427.85</v>
      </c>
      <c r="O335" s="116">
        <v>420.8</v>
      </c>
      <c r="P335" s="116">
        <v>426</v>
      </c>
      <c r="Q335" s="116">
        <v>422.25</v>
      </c>
      <c r="R335">
        <v>984979</v>
      </c>
    </row>
    <row r="336" spans="1:18" x14ac:dyDescent="0.25">
      <c r="A336" s="165">
        <v>45090</v>
      </c>
      <c r="B336" s="116">
        <v>425</v>
      </c>
      <c r="C336" s="116">
        <v>419.1</v>
      </c>
      <c r="D336" s="116">
        <v>418.1</v>
      </c>
      <c r="E336" s="116">
        <v>422.4</v>
      </c>
      <c r="F336" s="116">
        <v>419.1</v>
      </c>
      <c r="G336">
        <v>203909</v>
      </c>
      <c r="H336" s="116"/>
      <c r="I336" s="116"/>
      <c r="L336" s="165">
        <v>45090</v>
      </c>
      <c r="M336" s="116">
        <v>419.1</v>
      </c>
      <c r="N336" s="116">
        <v>425.4</v>
      </c>
      <c r="O336" s="116">
        <v>418.05</v>
      </c>
      <c r="P336" s="116">
        <v>423.25</v>
      </c>
      <c r="Q336" s="116">
        <v>419.1</v>
      </c>
      <c r="R336">
        <v>927783</v>
      </c>
    </row>
    <row r="337" spans="1:18" x14ac:dyDescent="0.25">
      <c r="A337" s="165">
        <v>45091</v>
      </c>
      <c r="B337" s="116">
        <v>423.75</v>
      </c>
      <c r="C337" s="116">
        <v>418.6</v>
      </c>
      <c r="D337" s="116">
        <v>418</v>
      </c>
      <c r="E337" s="116">
        <v>419.3</v>
      </c>
      <c r="F337" s="116">
        <v>418.6</v>
      </c>
      <c r="G337">
        <v>170800</v>
      </c>
      <c r="H337" s="116"/>
      <c r="I337" s="116"/>
      <c r="L337" s="165">
        <v>45091</v>
      </c>
      <c r="M337" s="116">
        <v>418.5</v>
      </c>
      <c r="N337" s="116">
        <v>424</v>
      </c>
      <c r="O337" s="116">
        <v>418</v>
      </c>
      <c r="P337" s="116">
        <v>420.1</v>
      </c>
      <c r="Q337" s="116">
        <v>418.5</v>
      </c>
      <c r="R337">
        <v>922993</v>
      </c>
    </row>
    <row r="338" spans="1:18" x14ac:dyDescent="0.25">
      <c r="A338" s="165">
        <v>45092</v>
      </c>
      <c r="B338" s="116">
        <v>438</v>
      </c>
      <c r="C338" s="116">
        <v>431.05</v>
      </c>
      <c r="D338" s="116">
        <v>422.4</v>
      </c>
      <c r="E338" s="116">
        <v>422.4</v>
      </c>
      <c r="F338" s="116">
        <v>431.05</v>
      </c>
      <c r="G338">
        <v>426328</v>
      </c>
      <c r="H338" s="116"/>
      <c r="I338" s="116"/>
      <c r="L338" s="165">
        <v>45092</v>
      </c>
      <c r="M338" s="116">
        <v>431.15</v>
      </c>
      <c r="N338" s="116">
        <v>437.9</v>
      </c>
      <c r="O338" s="116">
        <v>422.6</v>
      </c>
      <c r="P338" s="116">
        <v>424</v>
      </c>
      <c r="Q338" s="116">
        <v>431.15</v>
      </c>
      <c r="R338">
        <v>2488565</v>
      </c>
    </row>
    <row r="339" spans="1:18" x14ac:dyDescent="0.25">
      <c r="A339" s="165">
        <v>45093</v>
      </c>
      <c r="B339" s="116">
        <v>435.75</v>
      </c>
      <c r="C339" s="116">
        <v>419.4</v>
      </c>
      <c r="D339" s="116">
        <v>417.65</v>
      </c>
      <c r="E339" s="116">
        <v>434.95</v>
      </c>
      <c r="F339" s="116">
        <v>419.4</v>
      </c>
      <c r="G339">
        <v>156694</v>
      </c>
      <c r="H339" s="116"/>
      <c r="I339" s="116"/>
      <c r="L339" s="165">
        <v>45093</v>
      </c>
      <c r="M339" s="116">
        <v>419.35</v>
      </c>
      <c r="N339" s="116">
        <v>435.7</v>
      </c>
      <c r="O339" s="116">
        <v>418</v>
      </c>
      <c r="P339" s="116">
        <v>433.4</v>
      </c>
      <c r="Q339" s="116">
        <v>419.35</v>
      </c>
      <c r="R339">
        <v>2857160</v>
      </c>
    </row>
    <row r="340" spans="1:18" x14ac:dyDescent="0.25">
      <c r="A340" s="165">
        <v>45096</v>
      </c>
      <c r="B340" s="116">
        <v>423.9</v>
      </c>
      <c r="C340" s="116">
        <v>419.3</v>
      </c>
      <c r="D340" s="116">
        <v>416.2</v>
      </c>
      <c r="E340" s="116">
        <v>420.2</v>
      </c>
      <c r="F340" s="116">
        <v>419.3</v>
      </c>
      <c r="G340">
        <v>261906</v>
      </c>
      <c r="H340" s="116"/>
      <c r="I340" s="116"/>
      <c r="L340" s="165">
        <v>45096</v>
      </c>
      <c r="M340" s="116">
        <v>419.35</v>
      </c>
      <c r="N340" s="116">
        <v>423.9</v>
      </c>
      <c r="O340" s="116">
        <v>416.3</v>
      </c>
      <c r="P340" s="116">
        <v>420.2</v>
      </c>
      <c r="Q340" s="116">
        <v>419.35</v>
      </c>
      <c r="R340">
        <v>1245437</v>
      </c>
    </row>
    <row r="341" spans="1:18" x14ac:dyDescent="0.25">
      <c r="A341" s="165">
        <v>45097</v>
      </c>
      <c r="B341" s="116">
        <v>421.55</v>
      </c>
      <c r="C341" s="116">
        <v>417.05</v>
      </c>
      <c r="D341" s="116">
        <v>414.4</v>
      </c>
      <c r="E341" s="116">
        <v>418.55</v>
      </c>
      <c r="F341" s="116">
        <v>417.05</v>
      </c>
      <c r="G341">
        <v>64749</v>
      </c>
      <c r="H341" s="116"/>
      <c r="I341" s="116"/>
      <c r="L341" s="165">
        <v>45097</v>
      </c>
      <c r="M341" s="116">
        <v>417.1</v>
      </c>
      <c r="N341" s="116">
        <v>421.9</v>
      </c>
      <c r="O341" s="116">
        <v>415</v>
      </c>
      <c r="P341" s="116">
        <v>419.35</v>
      </c>
      <c r="Q341" s="116">
        <v>417.1</v>
      </c>
      <c r="R341">
        <v>869554</v>
      </c>
    </row>
    <row r="342" spans="1:18" x14ac:dyDescent="0.25">
      <c r="A342" s="165">
        <v>45098</v>
      </c>
      <c r="B342" s="116">
        <v>423.5</v>
      </c>
      <c r="C342" s="116">
        <v>418.6</v>
      </c>
      <c r="D342" s="116">
        <v>417</v>
      </c>
      <c r="E342" s="116">
        <v>417.1</v>
      </c>
      <c r="F342" s="116">
        <v>418.6</v>
      </c>
      <c r="G342">
        <v>73417</v>
      </c>
      <c r="H342" s="116"/>
      <c r="I342" s="116"/>
      <c r="L342" s="165">
        <v>45098</v>
      </c>
      <c r="M342" s="116">
        <v>418.5</v>
      </c>
      <c r="N342" s="116">
        <v>423.7</v>
      </c>
      <c r="O342" s="116">
        <v>416.55</v>
      </c>
      <c r="P342" s="116">
        <v>418.25</v>
      </c>
      <c r="Q342" s="116">
        <v>418.5</v>
      </c>
      <c r="R342">
        <v>1005144</v>
      </c>
    </row>
    <row r="343" spans="1:18" x14ac:dyDescent="0.25">
      <c r="A343" s="165">
        <v>45099</v>
      </c>
      <c r="B343" s="116">
        <v>422.45</v>
      </c>
      <c r="C343" s="116">
        <v>418.35</v>
      </c>
      <c r="D343" s="116">
        <v>408.25</v>
      </c>
      <c r="E343" s="116">
        <v>420.8</v>
      </c>
      <c r="F343" s="116">
        <v>418.35</v>
      </c>
      <c r="G343">
        <v>289394</v>
      </c>
      <c r="H343" s="116"/>
      <c r="I343" s="116"/>
      <c r="L343" s="165">
        <v>45099</v>
      </c>
      <c r="M343" s="116">
        <v>418.15</v>
      </c>
      <c r="N343" s="116">
        <v>422.45</v>
      </c>
      <c r="O343" s="116">
        <v>408.3</v>
      </c>
      <c r="P343" s="116">
        <v>419.45</v>
      </c>
      <c r="Q343" s="116">
        <v>418.15</v>
      </c>
      <c r="R343">
        <v>1558796</v>
      </c>
    </row>
    <row r="344" spans="1:18" x14ac:dyDescent="0.25">
      <c r="A344" s="165">
        <v>45100</v>
      </c>
      <c r="B344" s="116">
        <v>417.05</v>
      </c>
      <c r="C344" s="116">
        <v>404.05</v>
      </c>
      <c r="D344" s="116">
        <v>402.4</v>
      </c>
      <c r="E344" s="116">
        <v>417</v>
      </c>
      <c r="F344" s="116">
        <v>404.05</v>
      </c>
      <c r="G344">
        <v>456198</v>
      </c>
      <c r="H344" s="116"/>
      <c r="I344" s="116"/>
      <c r="L344" s="165">
        <v>45100</v>
      </c>
      <c r="M344" s="116">
        <v>404</v>
      </c>
      <c r="N344" s="116">
        <v>416.9</v>
      </c>
      <c r="O344" s="116">
        <v>402.1</v>
      </c>
      <c r="P344" s="116">
        <v>416.7</v>
      </c>
      <c r="Q344" s="116">
        <v>404</v>
      </c>
      <c r="R344">
        <v>1944691</v>
      </c>
    </row>
    <row r="345" spans="1:18" x14ac:dyDescent="0.25">
      <c r="A345" s="165">
        <v>45103</v>
      </c>
      <c r="B345" s="116">
        <v>410.5</v>
      </c>
      <c r="C345" s="116">
        <v>406.8</v>
      </c>
      <c r="D345" s="116">
        <v>393.65</v>
      </c>
      <c r="E345" s="116">
        <v>399.05</v>
      </c>
      <c r="F345" s="116">
        <v>406.8</v>
      </c>
      <c r="G345">
        <v>268074</v>
      </c>
      <c r="H345" s="116"/>
      <c r="I345" s="116"/>
      <c r="L345" s="165">
        <v>45103</v>
      </c>
      <c r="M345" s="116">
        <v>406.9</v>
      </c>
      <c r="N345" s="116">
        <v>410.75</v>
      </c>
      <c r="O345" s="116">
        <v>394</v>
      </c>
      <c r="P345" s="116">
        <v>400</v>
      </c>
      <c r="Q345" s="116">
        <v>406.9</v>
      </c>
      <c r="R345">
        <v>1288275</v>
      </c>
    </row>
    <row r="346" spans="1:18" x14ac:dyDescent="0.25">
      <c r="A346" s="165">
        <v>45104</v>
      </c>
      <c r="B346" s="116">
        <v>411.25</v>
      </c>
      <c r="C346" s="116">
        <v>406.5</v>
      </c>
      <c r="D346" s="116">
        <v>406.1</v>
      </c>
      <c r="E346" s="116">
        <v>407.05</v>
      </c>
      <c r="F346" s="116">
        <v>406.5</v>
      </c>
      <c r="G346">
        <v>53013</v>
      </c>
      <c r="H346" s="116"/>
      <c r="I346" s="116"/>
      <c r="L346" s="165">
        <v>45104</v>
      </c>
      <c r="M346" s="116">
        <v>406.55</v>
      </c>
      <c r="N346" s="116">
        <v>411.3</v>
      </c>
      <c r="O346" s="116">
        <v>406</v>
      </c>
      <c r="P346" s="116">
        <v>409.05</v>
      </c>
      <c r="Q346" s="116">
        <v>406.55</v>
      </c>
      <c r="R346">
        <v>609697</v>
      </c>
    </row>
    <row r="347" spans="1:18" x14ac:dyDescent="0.25">
      <c r="A347" s="165">
        <v>45105</v>
      </c>
      <c r="B347" s="116">
        <v>416.5</v>
      </c>
      <c r="C347" s="116">
        <v>413.95</v>
      </c>
      <c r="D347" s="116">
        <v>408</v>
      </c>
      <c r="E347" s="116">
        <v>408.05</v>
      </c>
      <c r="F347" s="116">
        <v>413.95</v>
      </c>
      <c r="G347">
        <v>91568</v>
      </c>
      <c r="H347" s="116"/>
      <c r="I347" s="116"/>
      <c r="L347" s="165">
        <v>45105</v>
      </c>
      <c r="M347" s="116">
        <v>414.05</v>
      </c>
      <c r="N347" s="116">
        <v>416.5</v>
      </c>
      <c r="O347" s="116">
        <v>407.3</v>
      </c>
      <c r="P347" s="116">
        <v>409.15</v>
      </c>
      <c r="Q347" s="116">
        <v>414.05</v>
      </c>
      <c r="R347">
        <v>1397787</v>
      </c>
    </row>
    <row r="348" spans="1:18" x14ac:dyDescent="0.25">
      <c r="A348" s="165">
        <v>45107</v>
      </c>
      <c r="B348" s="116">
        <v>417.9</v>
      </c>
      <c r="C348" s="116">
        <v>410.2</v>
      </c>
      <c r="D348" s="116">
        <v>409.25</v>
      </c>
      <c r="E348" s="116">
        <v>415.05</v>
      </c>
      <c r="F348" s="116">
        <v>410.2</v>
      </c>
      <c r="G348">
        <v>83823</v>
      </c>
      <c r="H348" s="116"/>
      <c r="I348" s="116"/>
      <c r="L348" s="165">
        <v>45107</v>
      </c>
      <c r="M348" s="116">
        <v>409.95</v>
      </c>
      <c r="N348" s="116">
        <v>417.8</v>
      </c>
      <c r="O348" s="116">
        <v>409.25</v>
      </c>
      <c r="P348" s="116">
        <v>415.4</v>
      </c>
      <c r="Q348" s="116">
        <v>409.95</v>
      </c>
      <c r="R348">
        <v>1029091</v>
      </c>
    </row>
    <row r="349" spans="1:18" x14ac:dyDescent="0.25">
      <c r="A349" s="165">
        <v>45110</v>
      </c>
      <c r="B349" s="116">
        <v>414.25</v>
      </c>
      <c r="C349" s="116">
        <v>406.3</v>
      </c>
      <c r="D349" s="116">
        <v>400.5</v>
      </c>
      <c r="E349" s="116">
        <v>413.2</v>
      </c>
      <c r="F349" s="116">
        <v>406.3</v>
      </c>
      <c r="G349">
        <v>240326</v>
      </c>
      <c r="H349" s="116"/>
      <c r="I349" s="116"/>
      <c r="L349" s="165">
        <v>45110</v>
      </c>
      <c r="M349" s="116">
        <v>406.25</v>
      </c>
      <c r="N349" s="116">
        <v>413.85</v>
      </c>
      <c r="O349" s="116">
        <v>405.6</v>
      </c>
      <c r="P349" s="116">
        <v>413.85</v>
      </c>
      <c r="Q349" s="116">
        <v>406.25</v>
      </c>
      <c r="R349">
        <v>899110</v>
      </c>
    </row>
    <row r="350" spans="1:18" x14ac:dyDescent="0.25">
      <c r="A350" s="165">
        <v>45111</v>
      </c>
      <c r="B350" s="116">
        <v>415</v>
      </c>
      <c r="C350" s="116">
        <v>407.75</v>
      </c>
      <c r="D350" s="116">
        <v>405.15</v>
      </c>
      <c r="E350" s="116">
        <v>405.55</v>
      </c>
      <c r="F350" s="116">
        <v>407.75</v>
      </c>
      <c r="G350">
        <v>234568</v>
      </c>
      <c r="H350" s="116"/>
      <c r="I350" s="116"/>
      <c r="L350" s="165">
        <v>45111</v>
      </c>
      <c r="M350" s="116">
        <v>407.9</v>
      </c>
      <c r="N350" s="116">
        <v>415.4</v>
      </c>
      <c r="O350" s="116">
        <v>405.6</v>
      </c>
      <c r="P350" s="116">
        <v>406.45</v>
      </c>
      <c r="Q350" s="116">
        <v>407.9</v>
      </c>
      <c r="R350">
        <v>1040901</v>
      </c>
    </row>
    <row r="351" spans="1:18" x14ac:dyDescent="0.25">
      <c r="A351" s="165">
        <v>45112</v>
      </c>
      <c r="B351" s="116">
        <v>410</v>
      </c>
      <c r="C351" s="116">
        <v>406.95</v>
      </c>
      <c r="D351" s="116">
        <v>405.9</v>
      </c>
      <c r="E351" s="116">
        <v>406.2</v>
      </c>
      <c r="F351" s="116">
        <v>406.95</v>
      </c>
      <c r="G351">
        <v>58734</v>
      </c>
      <c r="H351" s="116"/>
      <c r="I351" s="116"/>
      <c r="L351" s="165">
        <v>45112</v>
      </c>
      <c r="M351" s="116">
        <v>406.95</v>
      </c>
      <c r="N351" s="116">
        <v>410</v>
      </c>
      <c r="O351" s="116">
        <v>406.2</v>
      </c>
      <c r="P351" s="116">
        <v>407.9</v>
      </c>
      <c r="Q351" s="116">
        <v>406.95</v>
      </c>
      <c r="R351">
        <v>788982</v>
      </c>
    </row>
    <row r="352" spans="1:18" x14ac:dyDescent="0.25">
      <c r="A352" s="165">
        <v>45113</v>
      </c>
      <c r="B352" s="116">
        <v>412</v>
      </c>
      <c r="C352" s="116">
        <v>407.1</v>
      </c>
      <c r="D352" s="116">
        <v>406.3</v>
      </c>
      <c r="E352" s="116">
        <v>409.05</v>
      </c>
      <c r="F352" s="116">
        <v>407.1</v>
      </c>
      <c r="G352">
        <v>240195</v>
      </c>
      <c r="H352" s="116"/>
      <c r="I352" s="116"/>
      <c r="L352" s="165">
        <v>45113</v>
      </c>
      <c r="M352" s="116">
        <v>407</v>
      </c>
      <c r="N352" s="116">
        <v>412.5</v>
      </c>
      <c r="O352" s="116">
        <v>406.1</v>
      </c>
      <c r="P352" s="116">
        <v>409.95</v>
      </c>
      <c r="Q352" s="116">
        <v>407</v>
      </c>
      <c r="R352">
        <v>1054692</v>
      </c>
    </row>
    <row r="353" spans="1:18" x14ac:dyDescent="0.25">
      <c r="A353" s="165">
        <v>45114</v>
      </c>
      <c r="B353" s="116">
        <v>408</v>
      </c>
      <c r="C353" s="116">
        <v>403.85</v>
      </c>
      <c r="D353" s="116">
        <v>402.4</v>
      </c>
      <c r="E353" s="116">
        <v>406.1</v>
      </c>
      <c r="F353" s="116">
        <v>403.85</v>
      </c>
      <c r="G353">
        <v>198524</v>
      </c>
      <c r="H353" s="116"/>
      <c r="I353" s="116"/>
      <c r="L353" s="165">
        <v>45114</v>
      </c>
      <c r="M353" s="116">
        <v>403.9</v>
      </c>
      <c r="N353" s="116">
        <v>408.3</v>
      </c>
      <c r="O353" s="116">
        <v>401.8</v>
      </c>
      <c r="P353" s="116">
        <v>407</v>
      </c>
      <c r="Q353" s="116">
        <v>403.9</v>
      </c>
      <c r="R353">
        <v>763419</v>
      </c>
    </row>
    <row r="354" spans="1:18" x14ac:dyDescent="0.25">
      <c r="A354" s="165">
        <v>45117</v>
      </c>
      <c r="B354" s="116">
        <v>407.45</v>
      </c>
      <c r="C354" s="116">
        <v>400.75</v>
      </c>
      <c r="D354" s="116">
        <v>396.7</v>
      </c>
      <c r="E354" s="116">
        <v>404</v>
      </c>
      <c r="F354" s="116">
        <v>400.75</v>
      </c>
      <c r="G354">
        <v>78300</v>
      </c>
      <c r="H354" s="116"/>
      <c r="I354" s="116"/>
      <c r="L354" s="165">
        <v>45117</v>
      </c>
      <c r="M354" s="116">
        <v>400.7</v>
      </c>
      <c r="N354" s="116">
        <v>407.9</v>
      </c>
      <c r="O354" s="116">
        <v>396.3</v>
      </c>
      <c r="P354" s="116">
        <v>403.9</v>
      </c>
      <c r="Q354" s="116">
        <v>400.7</v>
      </c>
      <c r="R354">
        <v>1501529</v>
      </c>
    </row>
    <row r="355" spans="1:18" x14ac:dyDescent="0.25">
      <c r="A355" s="165">
        <v>45118</v>
      </c>
      <c r="B355" s="116">
        <v>405.5</v>
      </c>
      <c r="C355" s="116">
        <v>401.9</v>
      </c>
      <c r="D355" s="116">
        <v>400.15</v>
      </c>
      <c r="E355" s="116">
        <v>400.15</v>
      </c>
      <c r="F355" s="116">
        <v>401.9</v>
      </c>
      <c r="G355">
        <v>167119</v>
      </c>
      <c r="H355" s="116"/>
      <c r="I355" s="116"/>
      <c r="L355" s="165">
        <v>45118</v>
      </c>
      <c r="M355" s="116">
        <v>402</v>
      </c>
      <c r="N355" s="116">
        <v>405.9</v>
      </c>
      <c r="O355" s="116">
        <v>401.4</v>
      </c>
      <c r="P355" s="116">
        <v>402</v>
      </c>
      <c r="Q355" s="116">
        <v>402</v>
      </c>
      <c r="R355">
        <v>702017</v>
      </c>
    </row>
    <row r="356" spans="1:18" x14ac:dyDescent="0.25">
      <c r="A356" s="165">
        <v>45119</v>
      </c>
      <c r="B356" s="116">
        <v>405.5</v>
      </c>
      <c r="C356" s="116">
        <v>401.35</v>
      </c>
      <c r="D356" s="116">
        <v>400.5</v>
      </c>
      <c r="E356" s="116">
        <v>404.05</v>
      </c>
      <c r="F356" s="116">
        <v>401.35</v>
      </c>
      <c r="G356">
        <v>69036</v>
      </c>
      <c r="H356" s="116"/>
      <c r="I356" s="116"/>
      <c r="L356" s="165">
        <v>45119</v>
      </c>
      <c r="M356" s="116">
        <v>401.6</v>
      </c>
      <c r="N356" s="116">
        <v>405.35</v>
      </c>
      <c r="O356" s="116">
        <v>400.1</v>
      </c>
      <c r="P356" s="116">
        <v>404.5</v>
      </c>
      <c r="Q356" s="116">
        <v>401.6</v>
      </c>
      <c r="R356">
        <v>676793</v>
      </c>
    </row>
    <row r="357" spans="1:18" x14ac:dyDescent="0.25">
      <c r="A357" s="165">
        <v>45120</v>
      </c>
      <c r="B357" s="116">
        <v>403.6</v>
      </c>
      <c r="C357" s="116">
        <v>399.05</v>
      </c>
      <c r="D357" s="116">
        <v>397.05</v>
      </c>
      <c r="E357" s="116">
        <v>401</v>
      </c>
      <c r="F357" s="116">
        <v>399.05</v>
      </c>
      <c r="G357">
        <v>63292</v>
      </c>
      <c r="H357" s="116"/>
      <c r="I357" s="116"/>
      <c r="L357" s="165">
        <v>45120</v>
      </c>
      <c r="M357" s="116">
        <v>398.75</v>
      </c>
      <c r="N357" s="116">
        <v>404</v>
      </c>
      <c r="O357" s="116">
        <v>397</v>
      </c>
      <c r="P357" s="116">
        <v>402.1</v>
      </c>
      <c r="Q357" s="116">
        <v>398.75</v>
      </c>
      <c r="R357">
        <v>876459</v>
      </c>
    </row>
    <row r="358" spans="1:18" x14ac:dyDescent="0.25">
      <c r="A358" s="165">
        <v>45121</v>
      </c>
      <c r="B358" s="116">
        <v>403</v>
      </c>
      <c r="C358" s="116">
        <v>398.85</v>
      </c>
      <c r="D358" s="116">
        <v>397.45</v>
      </c>
      <c r="E358" s="116">
        <v>403</v>
      </c>
      <c r="F358" s="116">
        <v>398.85</v>
      </c>
      <c r="G358">
        <v>220158</v>
      </c>
      <c r="H358" s="116"/>
      <c r="I358" s="116"/>
      <c r="L358" s="165">
        <v>45121</v>
      </c>
      <c r="M358" s="116">
        <v>398.7</v>
      </c>
      <c r="N358" s="116">
        <v>403.95</v>
      </c>
      <c r="O358" s="116">
        <v>397.5</v>
      </c>
      <c r="P358" s="116">
        <v>403.95</v>
      </c>
      <c r="Q358" s="116">
        <v>398.7</v>
      </c>
      <c r="R358">
        <v>845027</v>
      </c>
    </row>
    <row r="359" spans="1:18" x14ac:dyDescent="0.25">
      <c r="A359" s="165">
        <v>45124</v>
      </c>
      <c r="B359" s="116">
        <v>410.9</v>
      </c>
      <c r="C359" s="116">
        <v>402.5</v>
      </c>
      <c r="D359" s="116">
        <v>401</v>
      </c>
      <c r="E359" s="116">
        <v>401</v>
      </c>
      <c r="F359" s="116">
        <v>402.5</v>
      </c>
      <c r="G359">
        <v>304005</v>
      </c>
      <c r="H359" s="116"/>
      <c r="I359" s="116"/>
      <c r="L359" s="165">
        <v>45124</v>
      </c>
      <c r="M359" s="116">
        <v>402.6</v>
      </c>
      <c r="N359" s="116">
        <v>410.95</v>
      </c>
      <c r="O359" s="116">
        <v>401.05</v>
      </c>
      <c r="P359" s="116">
        <v>402.5</v>
      </c>
      <c r="Q359" s="116">
        <v>402.6</v>
      </c>
      <c r="R359">
        <v>1426265</v>
      </c>
    </row>
    <row r="360" spans="1:18" x14ac:dyDescent="0.25">
      <c r="A360" s="165">
        <v>45125</v>
      </c>
      <c r="B360" s="116">
        <v>414.25</v>
      </c>
      <c r="C360" s="116">
        <v>405.8</v>
      </c>
      <c r="D360" s="116">
        <v>402.25</v>
      </c>
      <c r="E360" s="116">
        <v>404</v>
      </c>
      <c r="F360" s="116">
        <v>405.8</v>
      </c>
      <c r="G360">
        <v>156713</v>
      </c>
      <c r="H360" s="116"/>
      <c r="I360" s="116"/>
      <c r="L360" s="165">
        <v>45125</v>
      </c>
      <c r="M360" s="116">
        <v>406.05</v>
      </c>
      <c r="N360" s="116">
        <v>414.5</v>
      </c>
      <c r="O360" s="116">
        <v>402.15</v>
      </c>
      <c r="P360" s="116">
        <v>404</v>
      </c>
      <c r="Q360" s="116">
        <v>406.05</v>
      </c>
      <c r="R360">
        <v>1905701</v>
      </c>
    </row>
    <row r="361" spans="1:18" x14ac:dyDescent="0.25">
      <c r="A361" s="165">
        <v>45126</v>
      </c>
      <c r="B361" s="116">
        <v>408.9</v>
      </c>
      <c r="C361" s="116">
        <v>401.65</v>
      </c>
      <c r="D361" s="116">
        <v>400</v>
      </c>
      <c r="E361" s="116">
        <v>406.05</v>
      </c>
      <c r="F361" s="116">
        <v>401.65</v>
      </c>
      <c r="G361">
        <v>78227</v>
      </c>
      <c r="H361" s="116"/>
      <c r="I361" s="116"/>
      <c r="L361" s="165">
        <v>45126</v>
      </c>
      <c r="M361" s="116">
        <v>401.35</v>
      </c>
      <c r="N361" s="116">
        <v>409.45</v>
      </c>
      <c r="O361" s="116">
        <v>400</v>
      </c>
      <c r="P361" s="116">
        <v>407</v>
      </c>
      <c r="Q361" s="116">
        <v>401.35</v>
      </c>
      <c r="R361">
        <v>1040685</v>
      </c>
    </row>
    <row r="362" spans="1:18" x14ac:dyDescent="0.25">
      <c r="A362" s="165">
        <v>45127</v>
      </c>
      <c r="B362" s="116">
        <v>403.25</v>
      </c>
      <c r="C362" s="116">
        <v>401.35</v>
      </c>
      <c r="D362" s="116">
        <v>400.35</v>
      </c>
      <c r="E362" s="116">
        <v>401.05</v>
      </c>
      <c r="F362" s="116">
        <v>401.35</v>
      </c>
      <c r="G362">
        <v>151514</v>
      </c>
      <c r="H362" s="116"/>
      <c r="I362" s="116"/>
      <c r="L362" s="165">
        <v>45127</v>
      </c>
      <c r="M362" s="116">
        <v>401.4</v>
      </c>
      <c r="N362" s="116">
        <v>403.4</v>
      </c>
      <c r="O362" s="116">
        <v>400.3</v>
      </c>
      <c r="P362" s="116">
        <v>401.6</v>
      </c>
      <c r="Q362" s="116">
        <v>401.4</v>
      </c>
      <c r="R362">
        <v>698744</v>
      </c>
    </row>
    <row r="363" spans="1:18" x14ac:dyDescent="0.25">
      <c r="A363" s="165">
        <v>45128</v>
      </c>
      <c r="B363" s="116">
        <v>403.7</v>
      </c>
      <c r="C363" s="116">
        <v>399.95</v>
      </c>
      <c r="D363" s="116">
        <v>399.15</v>
      </c>
      <c r="E363" s="116">
        <v>400.25</v>
      </c>
      <c r="F363" s="116">
        <v>399.95</v>
      </c>
      <c r="G363">
        <v>74003</v>
      </c>
      <c r="H363" s="116"/>
      <c r="I363" s="116"/>
      <c r="L363" s="165">
        <v>45128</v>
      </c>
      <c r="M363" s="116">
        <v>399.85</v>
      </c>
      <c r="N363" s="116">
        <v>403.85</v>
      </c>
      <c r="O363" s="116">
        <v>399.1</v>
      </c>
      <c r="P363" s="116">
        <v>401.4</v>
      </c>
      <c r="Q363" s="116">
        <v>399.85</v>
      </c>
      <c r="R363">
        <v>891058</v>
      </c>
    </row>
    <row r="364" spans="1:18" x14ac:dyDescent="0.25">
      <c r="A364" s="165">
        <v>45131</v>
      </c>
      <c r="B364" s="116">
        <v>403</v>
      </c>
      <c r="C364" s="116">
        <v>398.7</v>
      </c>
      <c r="D364" s="116">
        <v>398</v>
      </c>
      <c r="E364" s="116">
        <v>403</v>
      </c>
      <c r="F364" s="116">
        <v>398.7</v>
      </c>
      <c r="G364">
        <v>162779</v>
      </c>
      <c r="H364" s="116"/>
      <c r="I364" s="116"/>
      <c r="L364" s="165">
        <v>45131</v>
      </c>
      <c r="M364" s="116">
        <v>398.55</v>
      </c>
      <c r="N364" s="116">
        <v>403.6</v>
      </c>
      <c r="O364" s="116">
        <v>398</v>
      </c>
      <c r="P364" s="116">
        <v>403.6</v>
      </c>
      <c r="Q364" s="116">
        <v>398.55</v>
      </c>
      <c r="R364">
        <v>730674</v>
      </c>
    </row>
    <row r="365" spans="1:18" x14ac:dyDescent="0.25">
      <c r="A365" s="165">
        <v>45132</v>
      </c>
      <c r="B365" s="116">
        <v>419.05</v>
      </c>
      <c r="C365" s="116">
        <v>416.65</v>
      </c>
      <c r="D365" s="116">
        <v>398</v>
      </c>
      <c r="E365" s="116">
        <v>398.2</v>
      </c>
      <c r="F365" s="116">
        <v>416.65</v>
      </c>
      <c r="G365">
        <v>737231</v>
      </c>
      <c r="H365" s="116"/>
      <c r="I365" s="116"/>
      <c r="L365" s="165">
        <v>45132</v>
      </c>
      <c r="M365" s="116">
        <v>416.75</v>
      </c>
      <c r="N365" s="116">
        <v>419.65</v>
      </c>
      <c r="O365" s="116">
        <v>398</v>
      </c>
      <c r="P365" s="116">
        <v>399</v>
      </c>
      <c r="Q365" s="116">
        <v>416.75</v>
      </c>
      <c r="R365">
        <v>4321691</v>
      </c>
    </row>
    <row r="366" spans="1:18" x14ac:dyDescent="0.25">
      <c r="A366" s="165">
        <v>45133</v>
      </c>
      <c r="B366" s="116">
        <v>422.55</v>
      </c>
      <c r="C366" s="116">
        <v>413.4</v>
      </c>
      <c r="D366" s="116">
        <v>412.5</v>
      </c>
      <c r="E366" s="116">
        <v>420</v>
      </c>
      <c r="F366" s="116">
        <v>413.4</v>
      </c>
      <c r="G366">
        <v>218018</v>
      </c>
      <c r="H366" s="116"/>
      <c r="I366" s="116"/>
      <c r="L366" s="165">
        <v>45133</v>
      </c>
      <c r="M366" s="116">
        <v>413.4</v>
      </c>
      <c r="N366" s="116">
        <v>422.7</v>
      </c>
      <c r="O366" s="116">
        <v>412.55</v>
      </c>
      <c r="P366" s="116">
        <v>419.4</v>
      </c>
      <c r="Q366" s="116">
        <v>413.4</v>
      </c>
      <c r="R366">
        <v>3248464</v>
      </c>
    </row>
    <row r="367" spans="1:18" x14ac:dyDescent="0.25">
      <c r="A367" s="165">
        <v>45134</v>
      </c>
      <c r="B367" s="116">
        <v>417.15</v>
      </c>
      <c r="C367" s="116">
        <v>407.55</v>
      </c>
      <c r="D367" s="116">
        <v>405.65</v>
      </c>
      <c r="E367" s="116">
        <v>414.1</v>
      </c>
      <c r="F367" s="116">
        <v>407.55</v>
      </c>
      <c r="G367">
        <v>214539</v>
      </c>
      <c r="H367" s="116"/>
      <c r="I367" s="116"/>
      <c r="L367" s="165">
        <v>45134</v>
      </c>
      <c r="M367" s="116">
        <v>407.5</v>
      </c>
      <c r="N367" s="116">
        <v>416.8</v>
      </c>
      <c r="O367" s="116">
        <v>405.45</v>
      </c>
      <c r="P367" s="116">
        <v>415.6</v>
      </c>
      <c r="Q367" s="116">
        <v>407.5</v>
      </c>
      <c r="R367">
        <v>1008306</v>
      </c>
    </row>
    <row r="368" spans="1:18" x14ac:dyDescent="0.25">
      <c r="A368" s="165">
        <v>45135</v>
      </c>
      <c r="B368" s="116">
        <v>413.6</v>
      </c>
      <c r="C368" s="116">
        <v>406.6</v>
      </c>
      <c r="D368" s="116">
        <v>400.25</v>
      </c>
      <c r="E368" s="116">
        <v>406.45</v>
      </c>
      <c r="F368" s="116">
        <v>406.6</v>
      </c>
      <c r="G368">
        <v>226199</v>
      </c>
      <c r="H368" s="116"/>
      <c r="I368" s="116"/>
      <c r="L368" s="165">
        <v>45135</v>
      </c>
      <c r="M368" s="116">
        <v>406.7</v>
      </c>
      <c r="N368" s="116">
        <v>413.7</v>
      </c>
      <c r="O368" s="116">
        <v>400</v>
      </c>
      <c r="P368" s="116">
        <v>407.5</v>
      </c>
      <c r="Q368" s="116">
        <v>406.7</v>
      </c>
      <c r="R368">
        <v>1301848</v>
      </c>
    </row>
    <row r="369" spans="1:18" x14ac:dyDescent="0.25">
      <c r="A369" s="165">
        <v>45138</v>
      </c>
      <c r="B369" s="116">
        <v>416.45</v>
      </c>
      <c r="C369" s="116">
        <v>411.85</v>
      </c>
      <c r="D369" s="116">
        <v>407.05</v>
      </c>
      <c r="E369" s="116">
        <v>407.05</v>
      </c>
      <c r="F369" s="116">
        <v>411.85</v>
      </c>
      <c r="G369">
        <v>118772</v>
      </c>
      <c r="H369" s="116"/>
      <c r="I369" s="116"/>
      <c r="L369" s="165">
        <v>45138</v>
      </c>
      <c r="M369" s="116">
        <v>411.9</v>
      </c>
      <c r="N369" s="116">
        <v>416.4</v>
      </c>
      <c r="O369" s="116">
        <v>407.35</v>
      </c>
      <c r="P369" s="116">
        <v>408</v>
      </c>
      <c r="Q369" s="116">
        <v>411.9</v>
      </c>
      <c r="R369">
        <v>1625215</v>
      </c>
    </row>
    <row r="370" spans="1:18" x14ac:dyDescent="0.25">
      <c r="A370" s="165">
        <v>45139</v>
      </c>
      <c r="B370" s="116">
        <v>416.1</v>
      </c>
      <c r="C370" s="116">
        <v>413.2</v>
      </c>
      <c r="D370" s="116">
        <v>408.5</v>
      </c>
      <c r="E370" s="116">
        <v>414.65</v>
      </c>
      <c r="F370" s="116">
        <v>413.2</v>
      </c>
      <c r="G370">
        <v>71310</v>
      </c>
      <c r="H370" s="116"/>
      <c r="I370" s="116"/>
      <c r="L370" s="165">
        <v>45139</v>
      </c>
      <c r="M370" s="116">
        <v>413.1</v>
      </c>
      <c r="N370" s="116">
        <v>416.45</v>
      </c>
      <c r="O370" s="116">
        <v>408.4</v>
      </c>
      <c r="P370" s="116">
        <v>414</v>
      </c>
      <c r="Q370" s="116">
        <v>413.1</v>
      </c>
      <c r="R370">
        <v>1149582</v>
      </c>
    </row>
    <row r="371" spans="1:18" x14ac:dyDescent="0.25">
      <c r="A371" s="165">
        <v>45140</v>
      </c>
      <c r="B371" s="116">
        <v>414.45</v>
      </c>
      <c r="C371" s="116">
        <v>400.4</v>
      </c>
      <c r="D371" s="116">
        <v>396</v>
      </c>
      <c r="E371" s="116">
        <v>412.95</v>
      </c>
      <c r="F371" s="116">
        <v>400.4</v>
      </c>
      <c r="G371">
        <v>389607</v>
      </c>
      <c r="H371" s="116"/>
      <c r="I371" s="116"/>
      <c r="L371" s="165">
        <v>45140</v>
      </c>
      <c r="M371" s="116">
        <v>400.5</v>
      </c>
      <c r="N371" s="116">
        <v>414.45</v>
      </c>
      <c r="O371" s="116">
        <v>395.65</v>
      </c>
      <c r="P371" s="116">
        <v>412</v>
      </c>
      <c r="Q371" s="116">
        <v>400.5</v>
      </c>
      <c r="R371">
        <v>2378610</v>
      </c>
    </row>
    <row r="372" spans="1:18" x14ac:dyDescent="0.25">
      <c r="A372" s="165">
        <v>45141</v>
      </c>
      <c r="B372" s="116">
        <v>400.55</v>
      </c>
      <c r="C372" s="116">
        <v>397.2</v>
      </c>
      <c r="D372" s="116">
        <v>388.85</v>
      </c>
      <c r="E372" s="116">
        <v>395.1</v>
      </c>
      <c r="F372" s="116">
        <v>397.2</v>
      </c>
      <c r="G372">
        <v>186342</v>
      </c>
      <c r="H372" s="116"/>
      <c r="I372" s="116"/>
      <c r="L372" s="165">
        <v>45141</v>
      </c>
      <c r="M372" s="116">
        <v>397.2</v>
      </c>
      <c r="N372" s="116">
        <v>400.5</v>
      </c>
      <c r="O372" s="116">
        <v>388.2</v>
      </c>
      <c r="P372" s="116">
        <v>396</v>
      </c>
      <c r="Q372" s="116">
        <v>397.2</v>
      </c>
      <c r="R372">
        <v>2294230</v>
      </c>
    </row>
    <row r="373" spans="1:18" x14ac:dyDescent="0.25">
      <c r="A373" s="165">
        <v>45142</v>
      </c>
      <c r="B373" s="116">
        <v>402</v>
      </c>
      <c r="C373" s="116">
        <v>398.2</v>
      </c>
      <c r="D373" s="116">
        <v>397</v>
      </c>
      <c r="E373" s="116">
        <v>397.25</v>
      </c>
      <c r="F373" s="116">
        <v>398.2</v>
      </c>
      <c r="G373">
        <v>201484</v>
      </c>
      <c r="H373" s="116"/>
      <c r="I373" s="116"/>
      <c r="L373" s="165">
        <v>45142</v>
      </c>
      <c r="M373" s="116">
        <v>398.1</v>
      </c>
      <c r="N373" s="116">
        <v>402</v>
      </c>
      <c r="O373" s="116">
        <v>396.9</v>
      </c>
      <c r="P373" s="116">
        <v>398.05</v>
      </c>
      <c r="Q373" s="116">
        <v>398.1</v>
      </c>
      <c r="R373">
        <v>812495</v>
      </c>
    </row>
    <row r="374" spans="1:18" x14ac:dyDescent="0.25">
      <c r="A374" s="165">
        <v>45145</v>
      </c>
      <c r="B374" s="116">
        <v>402</v>
      </c>
      <c r="C374" s="116">
        <v>395.2</v>
      </c>
      <c r="D374" s="116">
        <v>393.7</v>
      </c>
      <c r="E374" s="116">
        <v>400</v>
      </c>
      <c r="F374" s="116">
        <v>395.2</v>
      </c>
      <c r="G374">
        <v>243066</v>
      </c>
      <c r="H374" s="116"/>
      <c r="I374" s="116"/>
      <c r="L374" s="165">
        <v>45145</v>
      </c>
      <c r="M374" s="116">
        <v>394.3</v>
      </c>
      <c r="N374" s="116">
        <v>402</v>
      </c>
      <c r="O374" s="116">
        <v>390</v>
      </c>
      <c r="P374" s="116">
        <v>401.8</v>
      </c>
      <c r="Q374" s="116">
        <v>394.3</v>
      </c>
      <c r="R374">
        <v>1177593</v>
      </c>
    </row>
    <row r="375" spans="1:18" x14ac:dyDescent="0.25">
      <c r="A375" s="165">
        <v>45146</v>
      </c>
      <c r="B375" s="116">
        <v>396.5</v>
      </c>
      <c r="C375" s="116">
        <v>393.05</v>
      </c>
      <c r="D375" s="116">
        <v>390.2</v>
      </c>
      <c r="E375" s="116">
        <v>394.05</v>
      </c>
      <c r="F375" s="116">
        <v>393.05</v>
      </c>
      <c r="G375">
        <v>224675</v>
      </c>
      <c r="H375" s="116"/>
      <c r="I375" s="116"/>
      <c r="L375" s="165">
        <v>45146</v>
      </c>
      <c r="M375" s="116">
        <v>392.95</v>
      </c>
      <c r="N375" s="116">
        <v>396.4</v>
      </c>
      <c r="O375" s="116">
        <v>390</v>
      </c>
      <c r="P375" s="116">
        <v>394.9</v>
      </c>
      <c r="Q375" s="116">
        <v>392.95</v>
      </c>
      <c r="R375">
        <v>1210905</v>
      </c>
    </row>
    <row r="376" spans="1:18" x14ac:dyDescent="0.25">
      <c r="A376" s="165">
        <v>45147</v>
      </c>
      <c r="B376" s="116">
        <v>385</v>
      </c>
      <c r="C376" s="116">
        <v>378.2</v>
      </c>
      <c r="D376" s="116">
        <v>374</v>
      </c>
      <c r="E376" s="116">
        <v>374</v>
      </c>
      <c r="F376" s="116">
        <v>378.2</v>
      </c>
      <c r="G376">
        <v>1071775</v>
      </c>
      <c r="H376" s="116"/>
      <c r="I376" s="116"/>
      <c r="L376" s="165">
        <v>45147</v>
      </c>
      <c r="M376" s="116">
        <v>378.15</v>
      </c>
      <c r="N376" s="116">
        <v>384.8</v>
      </c>
      <c r="O376" s="116">
        <v>375.25</v>
      </c>
      <c r="P376" s="116">
        <v>375.25</v>
      </c>
      <c r="Q376" s="116">
        <v>378.15</v>
      </c>
      <c r="R376">
        <v>5535060</v>
      </c>
    </row>
    <row r="377" spans="1:18" x14ac:dyDescent="0.25">
      <c r="A377" s="165">
        <v>45148</v>
      </c>
      <c r="B377" s="116">
        <v>383.8</v>
      </c>
      <c r="C377" s="116">
        <v>373.25</v>
      </c>
      <c r="D377" s="116">
        <v>371.6</v>
      </c>
      <c r="E377" s="116">
        <v>375.05</v>
      </c>
      <c r="F377" s="116">
        <v>373.25</v>
      </c>
      <c r="G377">
        <v>618720</v>
      </c>
      <c r="H377" s="116"/>
      <c r="I377" s="116"/>
      <c r="L377" s="165">
        <v>45148</v>
      </c>
      <c r="M377" s="116">
        <v>373.3</v>
      </c>
      <c r="N377" s="116">
        <v>384</v>
      </c>
      <c r="O377" s="116">
        <v>372</v>
      </c>
      <c r="P377" s="116">
        <v>376.1</v>
      </c>
      <c r="Q377" s="116">
        <v>373.3</v>
      </c>
      <c r="R377">
        <v>3080541</v>
      </c>
    </row>
    <row r="378" spans="1:18" x14ac:dyDescent="0.25">
      <c r="A378" s="165">
        <v>45149</v>
      </c>
      <c r="B378" s="116">
        <v>388.2</v>
      </c>
      <c r="C378" s="116">
        <v>383.3</v>
      </c>
      <c r="D378" s="116">
        <v>381.8</v>
      </c>
      <c r="E378" s="116">
        <v>388.2</v>
      </c>
      <c r="F378" s="116">
        <v>383.3</v>
      </c>
      <c r="G378">
        <v>230045</v>
      </c>
      <c r="H378" s="116"/>
      <c r="I378" s="116"/>
      <c r="L378" s="165">
        <v>45149</v>
      </c>
      <c r="M378" s="116">
        <v>383.1</v>
      </c>
      <c r="N378" s="116">
        <v>390</v>
      </c>
      <c r="O378" s="116">
        <v>381.4</v>
      </c>
      <c r="P378" s="116">
        <v>388</v>
      </c>
      <c r="Q378" s="116">
        <v>383.1</v>
      </c>
      <c r="R378">
        <v>2303623</v>
      </c>
    </row>
    <row r="379" spans="1:18" x14ac:dyDescent="0.25">
      <c r="A379" s="165">
        <v>45152</v>
      </c>
      <c r="B379" s="116">
        <v>380</v>
      </c>
      <c r="C379" s="116">
        <v>375.8</v>
      </c>
      <c r="D379" s="116">
        <v>371.25</v>
      </c>
      <c r="E379" s="116">
        <v>380</v>
      </c>
      <c r="F379" s="116">
        <v>375.8</v>
      </c>
      <c r="G379">
        <v>281875</v>
      </c>
      <c r="H379" s="116"/>
      <c r="I379" s="116"/>
      <c r="L379" s="165">
        <v>45152</v>
      </c>
      <c r="M379" s="116">
        <v>375.8</v>
      </c>
      <c r="N379" s="116">
        <v>379.8</v>
      </c>
      <c r="O379" s="116">
        <v>371.2</v>
      </c>
      <c r="P379" s="116">
        <v>378.95</v>
      </c>
      <c r="Q379" s="116">
        <v>375.8</v>
      </c>
      <c r="R379">
        <v>1282172</v>
      </c>
    </row>
    <row r="380" spans="1:18" x14ac:dyDescent="0.25">
      <c r="A380" s="165">
        <v>45154</v>
      </c>
      <c r="B380" s="116">
        <v>376</v>
      </c>
      <c r="C380" s="116">
        <v>369.95</v>
      </c>
      <c r="D380" s="116">
        <v>369</v>
      </c>
      <c r="E380" s="116">
        <v>374.35</v>
      </c>
      <c r="F380" s="116">
        <v>369.95</v>
      </c>
      <c r="G380">
        <v>299659</v>
      </c>
      <c r="H380" s="116"/>
      <c r="I380" s="116"/>
      <c r="L380" s="165">
        <v>45154</v>
      </c>
      <c r="M380" s="116">
        <v>370.1</v>
      </c>
      <c r="N380" s="116">
        <v>376.25</v>
      </c>
      <c r="O380" s="116">
        <v>369.1</v>
      </c>
      <c r="P380" s="116">
        <v>375</v>
      </c>
      <c r="Q380" s="116">
        <v>370.1</v>
      </c>
      <c r="R380">
        <v>1195922</v>
      </c>
    </row>
    <row r="381" spans="1:18" x14ac:dyDescent="0.25">
      <c r="A381" s="165">
        <v>45155</v>
      </c>
      <c r="B381" s="116">
        <v>373.95</v>
      </c>
      <c r="C381" s="116">
        <v>368.2</v>
      </c>
      <c r="D381" s="116">
        <v>366.6</v>
      </c>
      <c r="E381" s="116">
        <v>367.65</v>
      </c>
      <c r="F381" s="116">
        <v>368.2</v>
      </c>
      <c r="G381">
        <v>88480</v>
      </c>
      <c r="H381" s="116"/>
      <c r="I381" s="116"/>
      <c r="L381" s="165">
        <v>45155</v>
      </c>
      <c r="M381" s="116">
        <v>368.1</v>
      </c>
      <c r="N381" s="116">
        <v>373.9</v>
      </c>
      <c r="O381" s="116">
        <v>366.8</v>
      </c>
      <c r="P381" s="116">
        <v>370.1</v>
      </c>
      <c r="Q381" s="116">
        <v>368.1</v>
      </c>
      <c r="R381">
        <v>1264158</v>
      </c>
    </row>
    <row r="382" spans="1:18" x14ac:dyDescent="0.25">
      <c r="A382" s="165">
        <v>45156</v>
      </c>
      <c r="B382" s="116">
        <v>393.55</v>
      </c>
      <c r="C382" s="116">
        <v>382.25</v>
      </c>
      <c r="D382" s="116">
        <v>366.4</v>
      </c>
      <c r="E382" s="116">
        <v>368</v>
      </c>
      <c r="F382" s="116">
        <v>382.25</v>
      </c>
      <c r="G382">
        <v>813420</v>
      </c>
      <c r="H382" s="116"/>
      <c r="I382" s="116"/>
      <c r="L382" s="165">
        <v>45156</v>
      </c>
      <c r="M382" s="116">
        <v>381.95</v>
      </c>
      <c r="N382" s="116">
        <v>393.55</v>
      </c>
      <c r="O382" s="116">
        <v>367</v>
      </c>
      <c r="P382" s="116">
        <v>368.1</v>
      </c>
      <c r="Q382" s="116">
        <v>381.95</v>
      </c>
      <c r="R382">
        <v>5306006</v>
      </c>
    </row>
    <row r="383" spans="1:18" x14ac:dyDescent="0.25">
      <c r="A383" s="165">
        <v>45159</v>
      </c>
      <c r="B383" s="116">
        <v>391.9</v>
      </c>
      <c r="C383" s="116">
        <v>382.6</v>
      </c>
      <c r="D383" s="116">
        <v>381.05</v>
      </c>
      <c r="E383" s="116">
        <v>381.25</v>
      </c>
      <c r="F383" s="116">
        <v>382.6</v>
      </c>
      <c r="G383">
        <v>465426</v>
      </c>
      <c r="H383" s="116"/>
      <c r="I383" s="116"/>
      <c r="L383" s="165">
        <v>45159</v>
      </c>
      <c r="M383" s="116">
        <v>382.5</v>
      </c>
      <c r="N383" s="116">
        <v>391.9</v>
      </c>
      <c r="O383" s="116">
        <v>381</v>
      </c>
      <c r="P383" s="116">
        <v>382</v>
      </c>
      <c r="Q383" s="116">
        <v>382.5</v>
      </c>
      <c r="R383">
        <v>2739213</v>
      </c>
    </row>
    <row r="384" spans="1:18" x14ac:dyDescent="0.25">
      <c r="A384" s="165">
        <v>45160</v>
      </c>
      <c r="B384" s="116">
        <v>388.7</v>
      </c>
      <c r="C384" s="116">
        <v>378.95</v>
      </c>
      <c r="D384" s="116">
        <v>377.25</v>
      </c>
      <c r="E384" s="116">
        <v>386.3</v>
      </c>
      <c r="F384" s="116">
        <v>378.95</v>
      </c>
      <c r="G384">
        <v>403922</v>
      </c>
      <c r="H384" s="116"/>
      <c r="I384" s="116"/>
      <c r="L384" s="165">
        <v>45160</v>
      </c>
      <c r="M384" s="116">
        <v>378.9</v>
      </c>
      <c r="N384" s="116">
        <v>389</v>
      </c>
      <c r="O384" s="116">
        <v>377</v>
      </c>
      <c r="P384" s="116">
        <v>385</v>
      </c>
      <c r="Q384" s="116">
        <v>378.9</v>
      </c>
      <c r="R384">
        <v>2180081</v>
      </c>
    </row>
    <row r="385" spans="1:18" x14ac:dyDescent="0.25">
      <c r="A385" s="165">
        <v>45161</v>
      </c>
      <c r="B385" s="116">
        <v>383.15</v>
      </c>
      <c r="C385" s="116">
        <v>374.85</v>
      </c>
      <c r="D385" s="116">
        <v>373.4</v>
      </c>
      <c r="E385" s="116">
        <v>381.3</v>
      </c>
      <c r="F385" s="116">
        <v>374.85</v>
      </c>
      <c r="G385">
        <v>369013</v>
      </c>
      <c r="H385" s="116"/>
      <c r="I385" s="116"/>
      <c r="L385" s="165">
        <v>45161</v>
      </c>
      <c r="M385" s="116">
        <v>374.85</v>
      </c>
      <c r="N385" s="116">
        <v>383</v>
      </c>
      <c r="O385" s="116">
        <v>373.2</v>
      </c>
      <c r="P385" s="116">
        <v>382</v>
      </c>
      <c r="Q385" s="116">
        <v>374.85</v>
      </c>
      <c r="R385">
        <v>1820623</v>
      </c>
    </row>
    <row r="386" spans="1:18" x14ac:dyDescent="0.25">
      <c r="A386" s="165">
        <v>45162</v>
      </c>
      <c r="B386" s="116">
        <v>380.95</v>
      </c>
      <c r="C386" s="116">
        <v>375.7</v>
      </c>
      <c r="D386" s="116">
        <v>375</v>
      </c>
      <c r="E386" s="116">
        <v>378.75</v>
      </c>
      <c r="F386" s="116">
        <v>375.7</v>
      </c>
      <c r="G386">
        <v>226225</v>
      </c>
      <c r="H386" s="116"/>
      <c r="I386" s="116"/>
      <c r="L386" s="165">
        <v>45162</v>
      </c>
      <c r="M386" s="116">
        <v>375.6</v>
      </c>
      <c r="N386" s="116">
        <v>381</v>
      </c>
      <c r="O386" s="116">
        <v>375</v>
      </c>
      <c r="P386" s="116">
        <v>378.1</v>
      </c>
      <c r="Q386" s="116">
        <v>375.6</v>
      </c>
      <c r="R386">
        <v>1209180</v>
      </c>
    </row>
    <row r="387" spans="1:18" x14ac:dyDescent="0.25">
      <c r="A387" s="165">
        <v>45163</v>
      </c>
      <c r="B387" s="116">
        <v>379</v>
      </c>
      <c r="C387" s="116">
        <v>373.65</v>
      </c>
      <c r="D387" s="116">
        <v>372.9</v>
      </c>
      <c r="E387" s="116">
        <v>376.7</v>
      </c>
      <c r="F387" s="116">
        <v>373.65</v>
      </c>
      <c r="G387">
        <v>185247</v>
      </c>
      <c r="H387" s="116"/>
      <c r="I387" s="116"/>
      <c r="L387" s="165">
        <v>45163</v>
      </c>
      <c r="M387" s="116">
        <v>373.55</v>
      </c>
      <c r="N387" s="116">
        <v>378.75</v>
      </c>
      <c r="O387" s="116">
        <v>373</v>
      </c>
      <c r="P387" s="116">
        <v>377</v>
      </c>
      <c r="Q387" s="116">
        <v>373.55</v>
      </c>
      <c r="R387">
        <v>1039562</v>
      </c>
    </row>
    <row r="388" spans="1:18" x14ac:dyDescent="0.25">
      <c r="A388" s="165">
        <v>45166</v>
      </c>
      <c r="B388" s="116">
        <v>377.85</v>
      </c>
      <c r="C388" s="116">
        <v>371.55</v>
      </c>
      <c r="D388" s="116">
        <v>370.55</v>
      </c>
      <c r="E388" s="116">
        <v>374.8</v>
      </c>
      <c r="F388" s="116">
        <v>371.55</v>
      </c>
      <c r="G388">
        <v>207482</v>
      </c>
      <c r="H388" s="116"/>
      <c r="I388" s="116"/>
      <c r="L388" s="165">
        <v>45166</v>
      </c>
      <c r="M388" s="116">
        <v>371.6</v>
      </c>
      <c r="N388" s="116">
        <v>378</v>
      </c>
      <c r="O388" s="116">
        <v>370.4</v>
      </c>
      <c r="P388" s="116">
        <v>373.55</v>
      </c>
      <c r="Q388" s="116">
        <v>371.6</v>
      </c>
      <c r="R388">
        <v>984070</v>
      </c>
    </row>
    <row r="389" spans="1:18" x14ac:dyDescent="0.25">
      <c r="A389" s="165">
        <v>45167</v>
      </c>
      <c r="B389" s="116">
        <v>374.35</v>
      </c>
      <c r="C389" s="116">
        <v>370.55</v>
      </c>
      <c r="D389" s="116">
        <v>368</v>
      </c>
      <c r="E389" s="116">
        <v>372.15</v>
      </c>
      <c r="F389" s="116">
        <v>370.55</v>
      </c>
      <c r="G389">
        <v>105179</v>
      </c>
      <c r="H389" s="116"/>
      <c r="I389" s="116"/>
      <c r="L389" s="165">
        <v>45167</v>
      </c>
      <c r="M389" s="116">
        <v>370.4</v>
      </c>
      <c r="N389" s="116">
        <v>374.85</v>
      </c>
      <c r="O389" s="116">
        <v>368.3</v>
      </c>
      <c r="P389" s="116">
        <v>372.35</v>
      </c>
      <c r="Q389" s="116">
        <v>370.4</v>
      </c>
      <c r="R389">
        <v>1394066</v>
      </c>
    </row>
    <row r="390" spans="1:18" x14ac:dyDescent="0.25">
      <c r="A390" s="165">
        <v>45168</v>
      </c>
      <c r="B390" s="116">
        <v>373.2</v>
      </c>
      <c r="C390" s="116">
        <v>368.95</v>
      </c>
      <c r="D390" s="116">
        <v>368.5</v>
      </c>
      <c r="E390" s="116">
        <v>372.15</v>
      </c>
      <c r="F390" s="116">
        <v>368.95</v>
      </c>
      <c r="G390">
        <v>249560</v>
      </c>
      <c r="H390" s="116"/>
      <c r="I390" s="116"/>
      <c r="L390" s="165">
        <v>45168</v>
      </c>
      <c r="M390" s="116">
        <v>368.95</v>
      </c>
      <c r="N390" s="116">
        <v>373.1</v>
      </c>
      <c r="O390" s="116">
        <v>368.65</v>
      </c>
      <c r="P390" s="116">
        <v>372.5</v>
      </c>
      <c r="Q390" s="116">
        <v>368.95</v>
      </c>
      <c r="R390">
        <v>1087363</v>
      </c>
    </row>
    <row r="391" spans="1:18" x14ac:dyDescent="0.25">
      <c r="A391" s="165">
        <v>45169</v>
      </c>
      <c r="B391" s="116">
        <v>368.15</v>
      </c>
      <c r="C391" s="116">
        <v>359.5</v>
      </c>
      <c r="D391" s="116">
        <v>358</v>
      </c>
      <c r="E391" s="116">
        <v>368.1</v>
      </c>
      <c r="F391" s="116">
        <v>359.5</v>
      </c>
      <c r="G391">
        <v>484310</v>
      </c>
      <c r="H391" s="116"/>
      <c r="I391" s="116"/>
      <c r="L391" s="165">
        <v>45169</v>
      </c>
      <c r="M391" s="116">
        <v>359.5</v>
      </c>
      <c r="N391" s="116">
        <v>368.25</v>
      </c>
      <c r="O391" s="116">
        <v>358</v>
      </c>
      <c r="P391" s="116">
        <v>368.25</v>
      </c>
      <c r="Q391" s="116">
        <v>359.5</v>
      </c>
      <c r="R391">
        <v>2190297</v>
      </c>
    </row>
    <row r="392" spans="1:18" x14ac:dyDescent="0.25">
      <c r="A392" s="165">
        <v>45170</v>
      </c>
      <c r="B392" s="116">
        <v>357</v>
      </c>
      <c r="C392" s="116">
        <v>352.4</v>
      </c>
      <c r="D392" s="116">
        <v>347.8</v>
      </c>
      <c r="E392" s="116">
        <v>352.6</v>
      </c>
      <c r="F392" s="116">
        <v>352.4</v>
      </c>
      <c r="G392">
        <v>611023</v>
      </c>
      <c r="H392" s="116"/>
      <c r="I392" s="116"/>
      <c r="L392" s="165">
        <v>45170</v>
      </c>
      <c r="M392" s="116">
        <v>352.25</v>
      </c>
      <c r="N392" s="116">
        <v>357</v>
      </c>
      <c r="O392" s="116">
        <v>348</v>
      </c>
      <c r="P392" s="116">
        <v>354.85</v>
      </c>
      <c r="Q392" s="116">
        <v>352.25</v>
      </c>
      <c r="R392">
        <v>3418923</v>
      </c>
    </row>
    <row r="393" spans="1:18" x14ac:dyDescent="0.25">
      <c r="A393" s="165">
        <v>45173</v>
      </c>
      <c r="B393" s="116">
        <v>357.85</v>
      </c>
      <c r="C393" s="116">
        <v>351.95</v>
      </c>
      <c r="D393" s="116">
        <v>351.45</v>
      </c>
      <c r="E393" s="116">
        <v>353.05</v>
      </c>
      <c r="F393" s="116">
        <v>351.95</v>
      </c>
      <c r="G393">
        <v>384431</v>
      </c>
      <c r="H393" s="116"/>
      <c r="I393" s="116"/>
      <c r="L393" s="165">
        <v>45173</v>
      </c>
      <c r="M393" s="116">
        <v>351.85</v>
      </c>
      <c r="N393" s="116">
        <v>357.7</v>
      </c>
      <c r="O393" s="116">
        <v>351.2</v>
      </c>
      <c r="P393" s="116">
        <v>355.15</v>
      </c>
      <c r="Q393" s="116">
        <v>351.85</v>
      </c>
      <c r="R393">
        <v>1853264</v>
      </c>
    </row>
    <row r="394" spans="1:18" x14ac:dyDescent="0.25">
      <c r="A394" s="165">
        <v>45174</v>
      </c>
      <c r="B394" s="116">
        <v>355</v>
      </c>
      <c r="C394" s="116">
        <v>350.5</v>
      </c>
      <c r="D394" s="116">
        <v>350.05</v>
      </c>
      <c r="E394" s="116">
        <v>354</v>
      </c>
      <c r="F394" s="116">
        <v>350.5</v>
      </c>
      <c r="G394">
        <v>344178</v>
      </c>
      <c r="H394" s="116"/>
      <c r="I394" s="116"/>
      <c r="L394" s="165">
        <v>45174</v>
      </c>
      <c r="M394" s="116">
        <v>350.4</v>
      </c>
      <c r="N394" s="116">
        <v>355</v>
      </c>
      <c r="O394" s="116">
        <v>350</v>
      </c>
      <c r="P394" s="116">
        <v>353.7</v>
      </c>
      <c r="Q394" s="116">
        <v>350.4</v>
      </c>
      <c r="R394">
        <v>1614088</v>
      </c>
    </row>
    <row r="395" spans="1:18" x14ac:dyDescent="0.25">
      <c r="A395" s="165">
        <v>45175</v>
      </c>
      <c r="B395" s="116">
        <v>355.4</v>
      </c>
      <c r="C395" s="116">
        <v>352.75</v>
      </c>
      <c r="D395" s="116">
        <v>348.4</v>
      </c>
      <c r="E395" s="116">
        <v>350.55</v>
      </c>
      <c r="F395" s="116">
        <v>352.75</v>
      </c>
      <c r="G395">
        <v>400226</v>
      </c>
      <c r="H395" s="116"/>
      <c r="I395" s="116"/>
      <c r="L395" s="165">
        <v>45175</v>
      </c>
      <c r="M395" s="116">
        <v>352.65</v>
      </c>
      <c r="N395" s="116">
        <v>355.3</v>
      </c>
      <c r="O395" s="116">
        <v>348.4</v>
      </c>
      <c r="P395" s="116">
        <v>351</v>
      </c>
      <c r="Q395" s="116">
        <v>352.65</v>
      </c>
      <c r="R395">
        <v>2208978</v>
      </c>
    </row>
    <row r="396" spans="1:18" x14ac:dyDescent="0.25">
      <c r="A396" s="165">
        <v>45176</v>
      </c>
      <c r="B396" s="116">
        <v>355.5</v>
      </c>
      <c r="C396" s="116">
        <v>353.3</v>
      </c>
      <c r="D396" s="116">
        <v>352.4</v>
      </c>
      <c r="E396" s="116">
        <v>353.75</v>
      </c>
      <c r="F396" s="116">
        <v>353.3</v>
      </c>
      <c r="G396">
        <v>264500</v>
      </c>
      <c r="H396" s="116"/>
      <c r="I396" s="116"/>
      <c r="L396" s="165">
        <v>45176</v>
      </c>
      <c r="M396" s="116">
        <v>353</v>
      </c>
      <c r="N396" s="116">
        <v>355.5</v>
      </c>
      <c r="O396" s="116">
        <v>352.3</v>
      </c>
      <c r="P396" s="116">
        <v>353.8</v>
      </c>
      <c r="Q396" s="116">
        <v>353</v>
      </c>
      <c r="R396">
        <v>1267899</v>
      </c>
    </row>
    <row r="397" spans="1:18" x14ac:dyDescent="0.25">
      <c r="A397" s="165">
        <v>45177</v>
      </c>
      <c r="B397" s="116">
        <v>361.55</v>
      </c>
      <c r="C397" s="116">
        <v>354.8</v>
      </c>
      <c r="D397" s="116">
        <v>352</v>
      </c>
      <c r="E397" s="116">
        <v>354.95</v>
      </c>
      <c r="F397" s="116">
        <v>354.8</v>
      </c>
      <c r="G397">
        <v>392467</v>
      </c>
      <c r="H397" s="116"/>
      <c r="I397" s="116"/>
      <c r="L397" s="165">
        <v>45177</v>
      </c>
      <c r="M397" s="116">
        <v>354.6</v>
      </c>
      <c r="N397" s="116">
        <v>361.8</v>
      </c>
      <c r="O397" s="116">
        <v>352.5</v>
      </c>
      <c r="P397" s="116">
        <v>354.25</v>
      </c>
      <c r="Q397" s="116">
        <v>354.6</v>
      </c>
      <c r="R397">
        <v>2293208</v>
      </c>
    </row>
    <row r="398" spans="1:18" x14ac:dyDescent="0.25">
      <c r="A398" s="165">
        <v>45180</v>
      </c>
      <c r="B398" s="116">
        <v>367.85</v>
      </c>
      <c r="C398" s="116">
        <v>363.95</v>
      </c>
      <c r="D398" s="116">
        <v>355.4</v>
      </c>
      <c r="E398" s="116">
        <v>357.6</v>
      </c>
      <c r="F398" s="116">
        <v>363.95</v>
      </c>
      <c r="G398">
        <v>711746</v>
      </c>
      <c r="H398" s="116"/>
      <c r="I398" s="116"/>
      <c r="L398" s="165">
        <v>45180</v>
      </c>
      <c r="M398" s="116">
        <v>363.8</v>
      </c>
      <c r="N398" s="116">
        <v>368.2</v>
      </c>
      <c r="O398" s="116">
        <v>355.4</v>
      </c>
      <c r="P398" s="116">
        <v>358.45</v>
      </c>
      <c r="Q398" s="116">
        <v>363.8</v>
      </c>
      <c r="R398">
        <v>3939397</v>
      </c>
    </row>
    <row r="399" spans="1:18" x14ac:dyDescent="0.25">
      <c r="A399" s="165">
        <v>45181</v>
      </c>
      <c r="B399" s="116">
        <v>369.7</v>
      </c>
      <c r="C399" s="116">
        <v>353.45</v>
      </c>
      <c r="D399" s="116">
        <v>351.95</v>
      </c>
      <c r="E399" s="116">
        <v>365.3</v>
      </c>
      <c r="F399" s="116">
        <v>353.45</v>
      </c>
      <c r="G399">
        <v>406782</v>
      </c>
      <c r="H399" s="116"/>
      <c r="I399" s="116"/>
      <c r="L399" s="165">
        <v>45181</v>
      </c>
      <c r="M399" s="116">
        <v>353.45</v>
      </c>
      <c r="N399" s="116">
        <v>369.5</v>
      </c>
      <c r="O399" s="116">
        <v>352.25</v>
      </c>
      <c r="P399" s="116">
        <v>368.5</v>
      </c>
      <c r="Q399" s="116">
        <v>353.45</v>
      </c>
      <c r="R399">
        <v>2104982</v>
      </c>
    </row>
    <row r="400" spans="1:18" x14ac:dyDescent="0.25">
      <c r="A400" s="165">
        <v>45182</v>
      </c>
      <c r="B400" s="116">
        <v>358.55</v>
      </c>
      <c r="C400" s="116">
        <v>352.4</v>
      </c>
      <c r="D400" s="116">
        <v>350.1</v>
      </c>
      <c r="E400" s="116">
        <v>353.55</v>
      </c>
      <c r="F400" s="116">
        <v>352.4</v>
      </c>
      <c r="G400">
        <v>230077</v>
      </c>
      <c r="H400" s="116"/>
      <c r="I400" s="116"/>
      <c r="L400" s="165">
        <v>45182</v>
      </c>
      <c r="M400" s="116">
        <v>352.3</v>
      </c>
      <c r="N400" s="116">
        <v>358.7</v>
      </c>
      <c r="O400" s="116">
        <v>350.3</v>
      </c>
      <c r="P400" s="116">
        <v>354.95</v>
      </c>
      <c r="Q400" s="116">
        <v>352.3</v>
      </c>
      <c r="R400">
        <v>1201859</v>
      </c>
    </row>
    <row r="401" spans="1:18" x14ac:dyDescent="0.25">
      <c r="A401" s="165">
        <v>45183</v>
      </c>
      <c r="B401" s="116">
        <v>356</v>
      </c>
      <c r="C401" s="116">
        <v>352.7</v>
      </c>
      <c r="D401" s="116">
        <v>352</v>
      </c>
      <c r="E401" s="116">
        <v>355.15</v>
      </c>
      <c r="F401" s="116">
        <v>352.7</v>
      </c>
      <c r="G401">
        <v>211062</v>
      </c>
      <c r="H401" s="116"/>
      <c r="I401" s="116"/>
      <c r="L401" s="165">
        <v>45183</v>
      </c>
      <c r="M401" s="116">
        <v>352.65</v>
      </c>
      <c r="N401" s="116">
        <v>356.05</v>
      </c>
      <c r="O401" s="116">
        <v>352</v>
      </c>
      <c r="P401" s="116">
        <v>356.05</v>
      </c>
      <c r="Q401" s="116">
        <v>352.65</v>
      </c>
      <c r="R401">
        <v>976710</v>
      </c>
    </row>
    <row r="402" spans="1:18" x14ac:dyDescent="0.25">
      <c r="A402" s="165">
        <v>45184</v>
      </c>
      <c r="B402" s="116">
        <v>355</v>
      </c>
      <c r="C402" s="116">
        <v>352.3</v>
      </c>
      <c r="D402" s="116">
        <v>351.85</v>
      </c>
      <c r="E402" s="116">
        <v>354.05</v>
      </c>
      <c r="F402" s="116">
        <v>352.3</v>
      </c>
      <c r="G402">
        <v>166087</v>
      </c>
      <c r="H402" s="116"/>
      <c r="I402" s="116"/>
      <c r="L402" s="165">
        <v>45184</v>
      </c>
      <c r="M402" s="116">
        <v>352.3</v>
      </c>
      <c r="N402" s="116">
        <v>354.65</v>
      </c>
      <c r="O402" s="116">
        <v>351.65</v>
      </c>
      <c r="P402" s="116">
        <v>354.65</v>
      </c>
      <c r="Q402" s="116">
        <v>352.3</v>
      </c>
      <c r="R402">
        <v>878952</v>
      </c>
    </row>
    <row r="403" spans="1:18" x14ac:dyDescent="0.25">
      <c r="A403" s="165">
        <v>45187</v>
      </c>
      <c r="B403" s="116">
        <v>358</v>
      </c>
      <c r="C403" s="116">
        <v>351.6</v>
      </c>
      <c r="D403" s="116">
        <v>350.85</v>
      </c>
      <c r="E403" s="116">
        <v>354.05</v>
      </c>
      <c r="F403" s="116">
        <v>351.6</v>
      </c>
      <c r="G403">
        <v>255717</v>
      </c>
      <c r="H403" s="116"/>
      <c r="I403" s="116"/>
      <c r="L403" s="165">
        <v>45187</v>
      </c>
      <c r="M403" s="116">
        <v>351.6</v>
      </c>
      <c r="N403" s="116">
        <v>358.05</v>
      </c>
      <c r="O403" s="116">
        <v>351</v>
      </c>
      <c r="P403" s="116">
        <v>354.45</v>
      </c>
      <c r="Q403" s="116">
        <v>351.6</v>
      </c>
      <c r="R403">
        <v>1334125</v>
      </c>
    </row>
    <row r="404" spans="1:18" x14ac:dyDescent="0.25">
      <c r="A404" s="165">
        <v>45189</v>
      </c>
      <c r="B404" s="116">
        <v>352.75</v>
      </c>
      <c r="C404" s="116">
        <v>349.25</v>
      </c>
      <c r="D404" s="116">
        <v>348.8</v>
      </c>
      <c r="E404" s="116">
        <v>351.05</v>
      </c>
      <c r="F404" s="116">
        <v>349.25</v>
      </c>
      <c r="G404">
        <v>187862</v>
      </c>
      <c r="H404" s="116"/>
      <c r="I404" s="116"/>
      <c r="L404" s="165">
        <v>45189</v>
      </c>
      <c r="M404" s="116">
        <v>349.25</v>
      </c>
      <c r="N404" s="116">
        <v>352.65</v>
      </c>
      <c r="O404" s="116">
        <v>349</v>
      </c>
      <c r="P404" s="116">
        <v>351.6</v>
      </c>
      <c r="Q404" s="116">
        <v>349.25</v>
      </c>
      <c r="R404">
        <v>885643</v>
      </c>
    </row>
    <row r="405" spans="1:18" x14ac:dyDescent="0.25">
      <c r="A405" s="165">
        <v>45190</v>
      </c>
      <c r="B405" s="116">
        <v>350.8</v>
      </c>
      <c r="C405" s="116">
        <v>346.3</v>
      </c>
      <c r="D405" s="116">
        <v>346</v>
      </c>
      <c r="E405" s="116">
        <v>349.25</v>
      </c>
      <c r="F405" s="116">
        <v>346.3</v>
      </c>
      <c r="G405">
        <v>213465</v>
      </c>
      <c r="H405" s="116"/>
      <c r="I405" s="116"/>
      <c r="L405" s="165">
        <v>45190</v>
      </c>
      <c r="M405" s="116">
        <v>346.25</v>
      </c>
      <c r="N405" s="116">
        <v>351.15</v>
      </c>
      <c r="O405" s="116">
        <v>345.8</v>
      </c>
      <c r="P405" s="116">
        <v>349.25</v>
      </c>
      <c r="Q405" s="116">
        <v>346.25</v>
      </c>
      <c r="R405">
        <v>929624</v>
      </c>
    </row>
    <row r="406" spans="1:18" x14ac:dyDescent="0.25">
      <c r="A406" s="165">
        <v>45191</v>
      </c>
      <c r="B406" s="116">
        <v>348.3</v>
      </c>
      <c r="C406" s="116">
        <v>343.1</v>
      </c>
      <c r="D406" s="116">
        <v>342.1</v>
      </c>
      <c r="E406" s="116">
        <v>346.3</v>
      </c>
      <c r="F406" s="116">
        <v>343.1</v>
      </c>
      <c r="G406">
        <v>228049</v>
      </c>
      <c r="H406" s="116"/>
      <c r="I406" s="116"/>
      <c r="L406" s="165">
        <v>45191</v>
      </c>
      <c r="M406" s="116">
        <v>342.8</v>
      </c>
      <c r="N406" s="116">
        <v>348.4</v>
      </c>
      <c r="O406" s="116">
        <v>342</v>
      </c>
      <c r="P406" s="116">
        <v>346.5</v>
      </c>
      <c r="Q406" s="116">
        <v>342.8</v>
      </c>
      <c r="R406">
        <v>874464</v>
      </c>
    </row>
    <row r="407" spans="1:18" x14ac:dyDescent="0.25">
      <c r="A407" s="165">
        <v>45194</v>
      </c>
      <c r="B407" s="116">
        <v>345.5</v>
      </c>
      <c r="C407" s="116">
        <v>340.35</v>
      </c>
      <c r="D407" s="116">
        <v>340</v>
      </c>
      <c r="E407" s="116">
        <v>343.15</v>
      </c>
      <c r="F407" s="116">
        <v>340.35</v>
      </c>
      <c r="G407">
        <v>184976</v>
      </c>
      <c r="H407" s="116"/>
      <c r="I407" s="116"/>
      <c r="L407" s="165">
        <v>45194</v>
      </c>
      <c r="M407" s="116">
        <v>340.2</v>
      </c>
      <c r="N407" s="116">
        <v>345.55</v>
      </c>
      <c r="O407" s="116">
        <v>339.9</v>
      </c>
      <c r="P407" s="116">
        <v>344</v>
      </c>
      <c r="Q407" s="116">
        <v>340.2</v>
      </c>
      <c r="R407">
        <v>861396</v>
      </c>
    </row>
    <row r="408" spans="1:18" x14ac:dyDescent="0.25">
      <c r="A408" s="165">
        <v>45195</v>
      </c>
      <c r="B408" s="116">
        <v>347.5</v>
      </c>
      <c r="C408" s="116">
        <v>342</v>
      </c>
      <c r="D408" s="116">
        <v>340</v>
      </c>
      <c r="E408" s="116">
        <v>340.35</v>
      </c>
      <c r="F408" s="116">
        <v>342</v>
      </c>
      <c r="G408">
        <v>143785</v>
      </c>
      <c r="H408" s="116"/>
      <c r="I408" s="116"/>
      <c r="L408" s="165">
        <v>45195</v>
      </c>
      <c r="M408" s="116">
        <v>341.85</v>
      </c>
      <c r="N408" s="116">
        <v>347.75</v>
      </c>
      <c r="O408" s="116">
        <v>339.5</v>
      </c>
      <c r="P408" s="116">
        <v>340.2</v>
      </c>
      <c r="Q408" s="116">
        <v>341.85</v>
      </c>
      <c r="R408">
        <v>756091</v>
      </c>
    </row>
    <row r="409" spans="1:18" x14ac:dyDescent="0.25">
      <c r="A409" s="165">
        <v>45196</v>
      </c>
      <c r="B409" s="116">
        <v>344.95</v>
      </c>
      <c r="C409" s="116">
        <v>341.6</v>
      </c>
      <c r="D409" s="116">
        <v>340.25</v>
      </c>
      <c r="E409" s="116">
        <v>344.95</v>
      </c>
      <c r="F409" s="116">
        <v>341.6</v>
      </c>
      <c r="G409">
        <v>115462</v>
      </c>
      <c r="H409" s="116"/>
      <c r="I409" s="116"/>
      <c r="L409" s="165">
        <v>45196</v>
      </c>
      <c r="M409" s="116">
        <v>341.55</v>
      </c>
      <c r="N409" s="116">
        <v>344.65</v>
      </c>
      <c r="O409" s="116">
        <v>340.25</v>
      </c>
      <c r="P409" s="116">
        <v>343.6</v>
      </c>
      <c r="Q409" s="116">
        <v>341.55</v>
      </c>
      <c r="R409">
        <v>556402</v>
      </c>
    </row>
    <row r="410" spans="1:18" x14ac:dyDescent="0.25">
      <c r="A410" s="165">
        <v>45197</v>
      </c>
      <c r="B410" s="116">
        <v>344</v>
      </c>
      <c r="C410" s="116">
        <v>338.9</v>
      </c>
      <c r="D410" s="116">
        <v>338.05</v>
      </c>
      <c r="E410" s="116">
        <v>341.8</v>
      </c>
      <c r="F410" s="116">
        <v>338.9</v>
      </c>
      <c r="G410">
        <v>175380</v>
      </c>
      <c r="H410" s="116"/>
      <c r="I410" s="116"/>
      <c r="L410" s="165">
        <v>45197</v>
      </c>
      <c r="M410" s="116">
        <v>338.8</v>
      </c>
      <c r="N410" s="116">
        <v>344.15</v>
      </c>
      <c r="O410" s="116">
        <v>338</v>
      </c>
      <c r="P410" s="116">
        <v>342</v>
      </c>
      <c r="Q410" s="116">
        <v>338.8</v>
      </c>
      <c r="R410">
        <v>797043</v>
      </c>
    </row>
    <row r="411" spans="1:18" x14ac:dyDescent="0.25">
      <c r="A411" s="165">
        <v>45198</v>
      </c>
      <c r="B411" s="116">
        <v>341.95</v>
      </c>
      <c r="C411" s="116">
        <v>337.55</v>
      </c>
      <c r="D411" s="116">
        <v>337</v>
      </c>
      <c r="E411" s="116">
        <v>339.4</v>
      </c>
      <c r="F411" s="116">
        <v>337.55</v>
      </c>
      <c r="G411">
        <v>174340</v>
      </c>
      <c r="H411" s="116"/>
      <c r="I411" s="116"/>
      <c r="L411" s="165">
        <v>45198</v>
      </c>
      <c r="M411" s="116">
        <v>337.4</v>
      </c>
      <c r="N411" s="116">
        <v>341.7</v>
      </c>
      <c r="O411" s="116">
        <v>337</v>
      </c>
      <c r="P411" s="116">
        <v>340.05</v>
      </c>
      <c r="Q411" s="116">
        <v>337.4</v>
      </c>
      <c r="R411">
        <v>647550</v>
      </c>
    </row>
    <row r="412" spans="1:18" x14ac:dyDescent="0.25">
      <c r="A412" s="165">
        <v>45202</v>
      </c>
      <c r="B412" s="116">
        <v>338.2</v>
      </c>
      <c r="C412" s="116">
        <v>333.4</v>
      </c>
      <c r="D412" s="116">
        <v>332.6</v>
      </c>
      <c r="E412" s="116">
        <v>337.85</v>
      </c>
      <c r="F412" s="116">
        <v>333.4</v>
      </c>
      <c r="G412">
        <v>215165</v>
      </c>
      <c r="H412" s="116"/>
      <c r="I412" s="116"/>
      <c r="L412" s="165">
        <v>45202</v>
      </c>
      <c r="M412" s="116">
        <v>333.4</v>
      </c>
      <c r="N412" s="116">
        <v>338.35</v>
      </c>
      <c r="O412" s="116">
        <v>332.7</v>
      </c>
      <c r="P412" s="116">
        <v>338.3</v>
      </c>
      <c r="Q412" s="116">
        <v>333.4</v>
      </c>
      <c r="R412">
        <v>915189</v>
      </c>
    </row>
    <row r="413" spans="1:18" x14ac:dyDescent="0.25">
      <c r="A413" s="165">
        <v>45203</v>
      </c>
      <c r="B413" s="116">
        <v>363.75</v>
      </c>
      <c r="C413" s="116">
        <v>352.6</v>
      </c>
      <c r="D413" s="116">
        <v>333</v>
      </c>
      <c r="E413" s="116">
        <v>333.05</v>
      </c>
      <c r="F413" s="116">
        <v>352.6</v>
      </c>
      <c r="G413">
        <v>398933</v>
      </c>
      <c r="H413" s="116"/>
      <c r="I413" s="116"/>
      <c r="L413" s="165">
        <v>45203</v>
      </c>
      <c r="M413" s="116">
        <v>352.8</v>
      </c>
      <c r="N413" s="116">
        <v>364</v>
      </c>
      <c r="O413" s="116">
        <v>332.6</v>
      </c>
      <c r="P413" s="116">
        <v>333.4</v>
      </c>
      <c r="Q413" s="116">
        <v>352.8</v>
      </c>
      <c r="R413">
        <v>8003426</v>
      </c>
    </row>
    <row r="414" spans="1:18" x14ac:dyDescent="0.25">
      <c r="A414" s="165">
        <v>45204</v>
      </c>
      <c r="B414" s="116">
        <v>358.85</v>
      </c>
      <c r="C414" s="116">
        <v>349.9</v>
      </c>
      <c r="D414" s="116">
        <v>346.85</v>
      </c>
      <c r="E414" s="116">
        <v>356.35</v>
      </c>
      <c r="F414" s="116">
        <v>349.9</v>
      </c>
      <c r="G414">
        <v>149930</v>
      </c>
      <c r="H414" s="116"/>
      <c r="I414" s="116"/>
      <c r="L414" s="165">
        <v>45204</v>
      </c>
      <c r="M414" s="116">
        <v>350</v>
      </c>
      <c r="N414" s="116">
        <v>358.8</v>
      </c>
      <c r="O414" s="116">
        <v>346.55</v>
      </c>
      <c r="P414" s="116">
        <v>355.8</v>
      </c>
      <c r="Q414" s="116">
        <v>350</v>
      </c>
      <c r="R414">
        <v>1937238</v>
      </c>
    </row>
    <row r="415" spans="1:18" x14ac:dyDescent="0.25">
      <c r="A415" s="165">
        <v>45205</v>
      </c>
      <c r="B415" s="116">
        <v>354.9</v>
      </c>
      <c r="C415" s="116">
        <v>348.7</v>
      </c>
      <c r="D415" s="116">
        <v>347.3</v>
      </c>
      <c r="E415" s="116">
        <v>354.45</v>
      </c>
      <c r="F415" s="116">
        <v>348.7</v>
      </c>
      <c r="G415">
        <v>87075</v>
      </c>
      <c r="H415" s="116"/>
      <c r="I415" s="116"/>
      <c r="L415" s="165">
        <v>45205</v>
      </c>
      <c r="M415" s="116">
        <v>349.05</v>
      </c>
      <c r="N415" s="116">
        <v>355</v>
      </c>
      <c r="O415" s="116">
        <v>347</v>
      </c>
      <c r="P415" s="116">
        <v>352.95</v>
      </c>
      <c r="Q415" s="116">
        <v>349.05</v>
      </c>
      <c r="R415">
        <v>1261269</v>
      </c>
    </row>
    <row r="416" spans="1:18" x14ac:dyDescent="0.25">
      <c r="A416" s="165">
        <v>45208</v>
      </c>
      <c r="B416" s="116">
        <v>342.7</v>
      </c>
      <c r="C416" s="116">
        <v>337.05</v>
      </c>
      <c r="D416" s="116">
        <v>336</v>
      </c>
      <c r="E416" s="116">
        <v>342</v>
      </c>
      <c r="F416" s="116">
        <v>337.05</v>
      </c>
      <c r="G416">
        <v>68635</v>
      </c>
      <c r="H416" s="116"/>
      <c r="I416" s="116"/>
      <c r="L416" s="165">
        <v>45208</v>
      </c>
      <c r="M416" s="116">
        <v>337.05</v>
      </c>
      <c r="N416" s="116">
        <v>343.4</v>
      </c>
      <c r="O416" s="116">
        <v>335.8</v>
      </c>
      <c r="P416" s="116">
        <v>342.1</v>
      </c>
      <c r="Q416" s="116">
        <v>337.05</v>
      </c>
      <c r="R416">
        <v>1429316</v>
      </c>
    </row>
    <row r="417" spans="1:18" x14ac:dyDescent="0.25">
      <c r="A417" s="165">
        <v>45209</v>
      </c>
      <c r="B417" s="116">
        <v>349.15</v>
      </c>
      <c r="C417" s="116">
        <v>345.95</v>
      </c>
      <c r="D417" s="116">
        <v>336.65</v>
      </c>
      <c r="E417" s="116">
        <v>336.65</v>
      </c>
      <c r="F417" s="116">
        <v>345.95</v>
      </c>
      <c r="G417">
        <v>193548</v>
      </c>
      <c r="H417" s="116"/>
      <c r="I417" s="116"/>
      <c r="L417" s="165">
        <v>45209</v>
      </c>
      <c r="M417" s="116">
        <v>345.9</v>
      </c>
      <c r="N417" s="116">
        <v>348.9</v>
      </c>
      <c r="O417" s="116">
        <v>337.2</v>
      </c>
      <c r="P417" s="116">
        <v>337.25</v>
      </c>
      <c r="Q417" s="116">
        <v>345.9</v>
      </c>
      <c r="R417">
        <v>1251808</v>
      </c>
    </row>
    <row r="418" spans="1:18" x14ac:dyDescent="0.25">
      <c r="A418" s="165">
        <v>45210</v>
      </c>
      <c r="B418" s="116">
        <v>353.95</v>
      </c>
      <c r="C418" s="116">
        <v>348.55</v>
      </c>
      <c r="D418" s="116">
        <v>347.65</v>
      </c>
      <c r="E418" s="116">
        <v>348.5</v>
      </c>
      <c r="F418" s="116">
        <v>348.55</v>
      </c>
      <c r="G418">
        <v>203324</v>
      </c>
      <c r="H418" s="116"/>
      <c r="I418" s="116"/>
      <c r="L418" s="165">
        <v>45210</v>
      </c>
      <c r="M418" s="116">
        <v>348.55</v>
      </c>
      <c r="N418" s="116">
        <v>354</v>
      </c>
      <c r="O418" s="116">
        <v>347.75</v>
      </c>
      <c r="P418" s="116">
        <v>349</v>
      </c>
      <c r="Q418" s="116">
        <v>348.55</v>
      </c>
      <c r="R418">
        <v>983621</v>
      </c>
    </row>
    <row r="419" spans="1:18" x14ac:dyDescent="0.25">
      <c r="A419" s="165">
        <v>45211</v>
      </c>
      <c r="B419" s="116">
        <v>352.75</v>
      </c>
      <c r="C419" s="116">
        <v>348.65</v>
      </c>
      <c r="D419" s="116">
        <v>348</v>
      </c>
      <c r="E419" s="116">
        <v>348.65</v>
      </c>
      <c r="F419" s="116">
        <v>348.65</v>
      </c>
      <c r="G419">
        <v>145147</v>
      </c>
      <c r="H419" s="116"/>
      <c r="I419" s="116"/>
      <c r="L419" s="165">
        <v>45211</v>
      </c>
      <c r="M419" s="116">
        <v>348.7</v>
      </c>
      <c r="N419" s="116">
        <v>353</v>
      </c>
      <c r="O419" s="116">
        <v>348</v>
      </c>
      <c r="P419" s="116">
        <v>349.95</v>
      </c>
      <c r="Q419" s="116">
        <v>348.7</v>
      </c>
      <c r="R419">
        <v>562174</v>
      </c>
    </row>
    <row r="420" spans="1:18" x14ac:dyDescent="0.25">
      <c r="A420" s="165">
        <v>45212</v>
      </c>
      <c r="B420" s="116">
        <v>348.55</v>
      </c>
      <c r="C420" s="116">
        <v>344.45</v>
      </c>
      <c r="D420" s="116">
        <v>344.05</v>
      </c>
      <c r="E420" s="116">
        <v>348</v>
      </c>
      <c r="F420" s="116">
        <v>344.45</v>
      </c>
      <c r="G420">
        <v>42147</v>
      </c>
      <c r="H420" s="116"/>
      <c r="I420" s="116"/>
      <c r="L420" s="165">
        <v>45212</v>
      </c>
      <c r="M420" s="116">
        <v>344.4</v>
      </c>
      <c r="N420" s="116">
        <v>349.4</v>
      </c>
      <c r="O420" s="116">
        <v>344</v>
      </c>
      <c r="P420" s="116">
        <v>348</v>
      </c>
      <c r="Q420" s="116">
        <v>344.4</v>
      </c>
      <c r="R420">
        <v>800721</v>
      </c>
    </row>
    <row r="421" spans="1:18" x14ac:dyDescent="0.25">
      <c r="A421" s="165">
        <v>45215</v>
      </c>
      <c r="B421" s="116">
        <v>345.95</v>
      </c>
      <c r="C421" s="116">
        <v>341.55</v>
      </c>
      <c r="D421" s="116">
        <v>340.45</v>
      </c>
      <c r="E421" s="116">
        <v>344.45</v>
      </c>
      <c r="F421" s="116">
        <v>341.55</v>
      </c>
      <c r="G421">
        <v>129703</v>
      </c>
      <c r="H421" s="116"/>
      <c r="I421" s="116"/>
      <c r="L421" s="165">
        <v>45215</v>
      </c>
      <c r="M421" s="116">
        <v>341.75</v>
      </c>
      <c r="N421" s="116">
        <v>346.15</v>
      </c>
      <c r="O421" s="116">
        <v>341.1</v>
      </c>
      <c r="P421" s="116">
        <v>344.4</v>
      </c>
      <c r="Q421" s="116">
        <v>341.75</v>
      </c>
      <c r="R421">
        <v>537842</v>
      </c>
    </row>
    <row r="422" spans="1:18" x14ac:dyDescent="0.25">
      <c r="A422" s="165">
        <v>45216</v>
      </c>
      <c r="B422" s="116">
        <v>345.95</v>
      </c>
      <c r="C422" s="116">
        <v>342.2</v>
      </c>
      <c r="D422" s="116">
        <v>341.5</v>
      </c>
      <c r="E422" s="116">
        <v>344.75</v>
      </c>
      <c r="F422" s="116">
        <v>342.2</v>
      </c>
      <c r="G422">
        <v>43229</v>
      </c>
      <c r="H422" s="116"/>
      <c r="I422" s="116"/>
      <c r="L422" s="165">
        <v>45216</v>
      </c>
      <c r="M422" s="116">
        <v>342.15</v>
      </c>
      <c r="N422" s="116">
        <v>346.15</v>
      </c>
      <c r="O422" s="116">
        <v>341.6</v>
      </c>
      <c r="P422" s="116">
        <v>344.25</v>
      </c>
      <c r="Q422" s="116">
        <v>342.15</v>
      </c>
      <c r="R422">
        <v>607246</v>
      </c>
    </row>
    <row r="423" spans="1:18" x14ac:dyDescent="0.25">
      <c r="A423" s="165">
        <v>45217</v>
      </c>
      <c r="B423" s="116">
        <v>343.75</v>
      </c>
      <c r="C423" s="116">
        <v>339.2</v>
      </c>
      <c r="D423" s="116">
        <v>338.7</v>
      </c>
      <c r="E423" s="116">
        <v>342</v>
      </c>
      <c r="F423" s="116">
        <v>339.2</v>
      </c>
      <c r="G423">
        <v>127711</v>
      </c>
      <c r="H423" s="116"/>
      <c r="I423" s="116"/>
      <c r="L423" s="165">
        <v>45217</v>
      </c>
      <c r="M423" s="116">
        <v>339.2</v>
      </c>
      <c r="N423" s="116">
        <v>343.9</v>
      </c>
      <c r="O423" s="116">
        <v>338.5</v>
      </c>
      <c r="P423" s="116">
        <v>342.15</v>
      </c>
      <c r="Q423" s="116">
        <v>339.2</v>
      </c>
      <c r="R423">
        <v>521923</v>
      </c>
    </row>
    <row r="424" spans="1:18" x14ac:dyDescent="0.25">
      <c r="A424" s="165">
        <v>45218</v>
      </c>
      <c r="B424" s="116">
        <v>341.3</v>
      </c>
      <c r="C424" s="116">
        <v>338.25</v>
      </c>
      <c r="D424" s="116">
        <v>334.8</v>
      </c>
      <c r="E424" s="116">
        <v>338.85</v>
      </c>
      <c r="F424" s="116">
        <v>338.25</v>
      </c>
      <c r="G424">
        <v>161052</v>
      </c>
      <c r="H424" s="116"/>
      <c r="I424" s="116"/>
      <c r="L424" s="165">
        <v>45218</v>
      </c>
      <c r="M424" s="116">
        <v>338.15</v>
      </c>
      <c r="N424" s="116">
        <v>341.75</v>
      </c>
      <c r="O424" s="116">
        <v>335</v>
      </c>
      <c r="P424" s="116">
        <v>338.55</v>
      </c>
      <c r="Q424" s="116">
        <v>338.15</v>
      </c>
      <c r="R424">
        <v>646916</v>
      </c>
    </row>
    <row r="425" spans="1:18" x14ac:dyDescent="0.25">
      <c r="A425" s="165">
        <v>45219</v>
      </c>
      <c r="B425" s="116">
        <v>341.55</v>
      </c>
      <c r="C425" s="116">
        <v>335.65</v>
      </c>
      <c r="D425" s="116">
        <v>334.95</v>
      </c>
      <c r="E425" s="116">
        <v>338.7</v>
      </c>
      <c r="F425" s="116">
        <v>335.65</v>
      </c>
      <c r="G425">
        <v>126436</v>
      </c>
      <c r="H425" s="116"/>
      <c r="I425" s="116"/>
      <c r="L425" s="165">
        <v>45219</v>
      </c>
      <c r="M425" s="116">
        <v>335.85</v>
      </c>
      <c r="N425" s="116">
        <v>341.6</v>
      </c>
      <c r="O425" s="116">
        <v>335.05</v>
      </c>
      <c r="P425" s="116">
        <v>340</v>
      </c>
      <c r="Q425" s="116">
        <v>335.85</v>
      </c>
      <c r="R425">
        <v>496643</v>
      </c>
    </row>
    <row r="426" spans="1:18" x14ac:dyDescent="0.25">
      <c r="A426" s="165">
        <v>45222</v>
      </c>
      <c r="B426" s="116">
        <v>337.35</v>
      </c>
      <c r="C426" s="116">
        <v>324.2</v>
      </c>
      <c r="D426" s="116">
        <v>320.25</v>
      </c>
      <c r="E426" s="116">
        <v>335.85</v>
      </c>
      <c r="F426" s="116">
        <v>324.2</v>
      </c>
      <c r="G426">
        <v>98480</v>
      </c>
      <c r="H426" s="116"/>
      <c r="I426" s="116"/>
      <c r="L426" s="165">
        <v>45222</v>
      </c>
      <c r="M426" s="116">
        <v>325.2</v>
      </c>
      <c r="N426" s="116">
        <v>337.3</v>
      </c>
      <c r="O426" s="116">
        <v>323</v>
      </c>
      <c r="P426" s="116">
        <v>335.85</v>
      </c>
      <c r="Q426" s="116">
        <v>325.2</v>
      </c>
      <c r="R426">
        <v>1211617</v>
      </c>
    </row>
    <row r="427" spans="1:18" x14ac:dyDescent="0.25">
      <c r="A427" s="165">
        <v>45224</v>
      </c>
      <c r="B427" s="116">
        <v>332.25</v>
      </c>
      <c r="C427" s="116">
        <v>320.39999999999998</v>
      </c>
      <c r="D427" s="116">
        <v>318.7</v>
      </c>
      <c r="E427" s="116">
        <v>327.7</v>
      </c>
      <c r="F427" s="116">
        <v>320.39999999999998</v>
      </c>
      <c r="G427">
        <v>78876</v>
      </c>
      <c r="H427" s="116"/>
      <c r="I427" s="116"/>
      <c r="L427" s="165">
        <v>45224</v>
      </c>
      <c r="M427" s="116">
        <v>320.35000000000002</v>
      </c>
      <c r="N427" s="116">
        <v>332.5</v>
      </c>
      <c r="O427" s="116">
        <v>318</v>
      </c>
      <c r="P427" s="116">
        <v>328</v>
      </c>
      <c r="Q427" s="116">
        <v>320.35000000000002</v>
      </c>
      <c r="R427">
        <v>1031276</v>
      </c>
    </row>
    <row r="428" spans="1:18" x14ac:dyDescent="0.25">
      <c r="A428" s="165">
        <v>45225</v>
      </c>
      <c r="B428" s="116">
        <v>320.39999999999998</v>
      </c>
      <c r="C428" s="116">
        <v>317.5</v>
      </c>
      <c r="D428" s="116">
        <v>303.45</v>
      </c>
      <c r="E428" s="116">
        <v>320</v>
      </c>
      <c r="F428" s="116">
        <v>317.5</v>
      </c>
      <c r="G428">
        <v>380410</v>
      </c>
      <c r="H428" s="116"/>
      <c r="I428" s="116"/>
      <c r="L428" s="165">
        <v>45225</v>
      </c>
      <c r="M428" s="116">
        <v>317.5</v>
      </c>
      <c r="N428" s="116">
        <v>320.35000000000002</v>
      </c>
      <c r="O428" s="116">
        <v>303.10000000000002</v>
      </c>
      <c r="P428" s="116">
        <v>320.35000000000002</v>
      </c>
      <c r="Q428" s="116">
        <v>317.5</v>
      </c>
      <c r="R428">
        <v>1621419</v>
      </c>
    </row>
    <row r="429" spans="1:18" x14ac:dyDescent="0.25">
      <c r="A429" s="165">
        <v>45226</v>
      </c>
      <c r="B429" s="116">
        <v>335.5</v>
      </c>
      <c r="C429" s="116">
        <v>331.25</v>
      </c>
      <c r="D429" s="116">
        <v>320.14999999999998</v>
      </c>
      <c r="E429" s="116">
        <v>320.14999999999998</v>
      </c>
      <c r="F429" s="116">
        <v>331.25</v>
      </c>
      <c r="G429">
        <v>244651</v>
      </c>
      <c r="H429" s="116"/>
      <c r="I429" s="116"/>
      <c r="L429" s="165">
        <v>45226</v>
      </c>
      <c r="M429" s="116">
        <v>331.4</v>
      </c>
      <c r="N429" s="116">
        <v>335.75</v>
      </c>
      <c r="O429" s="116">
        <v>320.3</v>
      </c>
      <c r="P429" s="116">
        <v>321</v>
      </c>
      <c r="Q429" s="116">
        <v>331.4</v>
      </c>
      <c r="R429">
        <v>1272301</v>
      </c>
    </row>
    <row r="430" spans="1:18" x14ac:dyDescent="0.25">
      <c r="A430" s="165">
        <v>45229</v>
      </c>
      <c r="B430" s="116">
        <v>334.8</v>
      </c>
      <c r="C430" s="116">
        <v>328.65</v>
      </c>
      <c r="D430" s="116">
        <v>326</v>
      </c>
      <c r="E430" s="116">
        <v>334</v>
      </c>
      <c r="F430" s="116">
        <v>328.65</v>
      </c>
      <c r="G430">
        <v>61935</v>
      </c>
      <c r="H430" s="116"/>
      <c r="I430" s="116"/>
      <c r="L430" s="165">
        <v>45229</v>
      </c>
      <c r="M430" s="116">
        <v>328.7</v>
      </c>
      <c r="N430" s="116">
        <v>334.4</v>
      </c>
      <c r="O430" s="116">
        <v>326.14999999999998</v>
      </c>
      <c r="P430" s="116">
        <v>333.7</v>
      </c>
      <c r="Q430" s="116">
        <v>328.7</v>
      </c>
      <c r="R430">
        <v>833574</v>
      </c>
    </row>
    <row r="431" spans="1:18" x14ac:dyDescent="0.25">
      <c r="A431" s="165">
        <v>45230</v>
      </c>
      <c r="B431" s="116">
        <v>331.95</v>
      </c>
      <c r="C431" s="116">
        <v>327.2</v>
      </c>
      <c r="D431" s="116">
        <v>325.8</v>
      </c>
      <c r="E431" s="116">
        <v>329.15</v>
      </c>
      <c r="F431" s="116">
        <v>327.2</v>
      </c>
      <c r="G431">
        <v>39861</v>
      </c>
      <c r="H431" s="116"/>
      <c r="I431" s="116"/>
      <c r="L431" s="165">
        <v>45230</v>
      </c>
      <c r="M431" s="116">
        <v>326.60000000000002</v>
      </c>
      <c r="N431" s="116">
        <v>331.95</v>
      </c>
      <c r="O431" s="116">
        <v>325.10000000000002</v>
      </c>
      <c r="P431" s="116">
        <v>330</v>
      </c>
      <c r="Q431" s="116">
        <v>326.60000000000002</v>
      </c>
      <c r="R431">
        <v>528865</v>
      </c>
    </row>
    <row r="432" spans="1:18" x14ac:dyDescent="0.25">
      <c r="A432" s="165">
        <v>45231</v>
      </c>
      <c r="B432" s="116">
        <v>331.5</v>
      </c>
      <c r="C432" s="116">
        <v>315.25</v>
      </c>
      <c r="D432" s="116">
        <v>313</v>
      </c>
      <c r="E432" s="116">
        <v>327</v>
      </c>
      <c r="F432" s="116">
        <v>315.25</v>
      </c>
      <c r="G432">
        <v>324436</v>
      </c>
      <c r="H432" s="116"/>
      <c r="I432" s="116"/>
      <c r="L432" s="165">
        <v>45231</v>
      </c>
      <c r="M432" s="116">
        <v>315.39999999999998</v>
      </c>
      <c r="N432" s="116">
        <v>332</v>
      </c>
      <c r="O432" s="116">
        <v>313</v>
      </c>
      <c r="P432" s="116">
        <v>327</v>
      </c>
      <c r="Q432" s="116">
        <v>315.39999999999998</v>
      </c>
      <c r="R432">
        <v>1946403</v>
      </c>
    </row>
    <row r="433" spans="1:18" x14ac:dyDescent="0.25">
      <c r="A433" s="165">
        <v>45232</v>
      </c>
      <c r="B433" s="116">
        <v>322.85000000000002</v>
      </c>
      <c r="C433" s="116">
        <v>315.75</v>
      </c>
      <c r="D433" s="116">
        <v>311.75</v>
      </c>
      <c r="E433" s="116">
        <v>312.3</v>
      </c>
      <c r="F433" s="116">
        <v>315.75</v>
      </c>
      <c r="G433">
        <v>123745</v>
      </c>
      <c r="H433" s="116"/>
      <c r="I433" s="116"/>
      <c r="L433" s="165">
        <v>45232</v>
      </c>
      <c r="M433" s="116">
        <v>315.95</v>
      </c>
      <c r="N433" s="116">
        <v>322.95</v>
      </c>
      <c r="O433" s="116">
        <v>311.85000000000002</v>
      </c>
      <c r="P433" s="116">
        <v>315.35000000000002</v>
      </c>
      <c r="Q433" s="116">
        <v>315.95</v>
      </c>
      <c r="R433">
        <v>1892363</v>
      </c>
    </row>
    <row r="434" spans="1:18" x14ac:dyDescent="0.25">
      <c r="A434" s="165">
        <v>45233</v>
      </c>
      <c r="B434" s="116">
        <v>322.55</v>
      </c>
      <c r="C434" s="116">
        <v>317.45</v>
      </c>
      <c r="D434" s="116">
        <v>317</v>
      </c>
      <c r="E434" s="116">
        <v>318.64999999999998</v>
      </c>
      <c r="F434" s="116">
        <v>317.45</v>
      </c>
      <c r="G434">
        <v>53236</v>
      </c>
      <c r="H434" s="116"/>
      <c r="I434" s="116"/>
      <c r="L434" s="165">
        <v>45233</v>
      </c>
      <c r="M434" s="116">
        <v>317.39999999999998</v>
      </c>
      <c r="N434" s="116">
        <v>322.5</v>
      </c>
      <c r="O434" s="116">
        <v>317</v>
      </c>
      <c r="P434" s="116">
        <v>318.25</v>
      </c>
      <c r="Q434" s="116">
        <v>317.39999999999998</v>
      </c>
      <c r="R434">
        <v>802628</v>
      </c>
    </row>
    <row r="435" spans="1:18" x14ac:dyDescent="0.25">
      <c r="A435" s="165">
        <v>45236</v>
      </c>
      <c r="B435" s="116">
        <v>320.14999999999998</v>
      </c>
      <c r="C435" s="116">
        <v>312</v>
      </c>
      <c r="D435" s="116">
        <v>311</v>
      </c>
      <c r="E435" s="116">
        <v>317.55</v>
      </c>
      <c r="F435" s="116">
        <v>312</v>
      </c>
      <c r="G435">
        <v>344829</v>
      </c>
      <c r="H435" s="116"/>
      <c r="I435" s="116"/>
      <c r="L435" s="165">
        <v>45236</v>
      </c>
      <c r="M435" s="116">
        <v>312</v>
      </c>
      <c r="N435" s="116">
        <v>320.89999999999998</v>
      </c>
      <c r="O435" s="116">
        <v>311.3</v>
      </c>
      <c r="P435" s="116">
        <v>317.95</v>
      </c>
      <c r="Q435" s="116">
        <v>312</v>
      </c>
      <c r="R435">
        <v>1430479</v>
      </c>
    </row>
    <row r="436" spans="1:18" x14ac:dyDescent="0.25">
      <c r="A436" s="165">
        <v>45237</v>
      </c>
      <c r="B436" s="116">
        <v>310</v>
      </c>
      <c r="C436" s="116">
        <v>304.45</v>
      </c>
      <c r="D436" s="116">
        <v>304</v>
      </c>
      <c r="E436" s="116">
        <v>308.10000000000002</v>
      </c>
      <c r="F436" s="116">
        <v>304.45</v>
      </c>
      <c r="G436">
        <v>587450</v>
      </c>
      <c r="H436" s="116"/>
      <c r="I436" s="116"/>
      <c r="L436" s="165">
        <v>45237</v>
      </c>
      <c r="M436" s="116">
        <v>304.5</v>
      </c>
      <c r="N436" s="116">
        <v>309.8</v>
      </c>
      <c r="O436" s="116">
        <v>304.05</v>
      </c>
      <c r="P436" s="116">
        <v>309.8</v>
      </c>
      <c r="Q436" s="116">
        <v>304.5</v>
      </c>
      <c r="R436">
        <v>2754359</v>
      </c>
    </row>
    <row r="437" spans="1:18" x14ac:dyDescent="0.25">
      <c r="A437" s="165">
        <v>45238</v>
      </c>
      <c r="B437" s="116">
        <v>309.89999999999998</v>
      </c>
      <c r="C437" s="116">
        <v>306.25</v>
      </c>
      <c r="D437" s="116">
        <v>304.05</v>
      </c>
      <c r="E437" s="116">
        <v>304.05</v>
      </c>
      <c r="F437" s="116">
        <v>306.25</v>
      </c>
      <c r="G437">
        <v>91321</v>
      </c>
      <c r="H437" s="116"/>
      <c r="I437" s="116"/>
      <c r="L437" s="165">
        <v>45238</v>
      </c>
      <c r="M437" s="116">
        <v>306.14999999999998</v>
      </c>
      <c r="N437" s="116">
        <v>312.35000000000002</v>
      </c>
      <c r="O437" s="116">
        <v>304.5</v>
      </c>
      <c r="P437" s="116">
        <v>304.55</v>
      </c>
      <c r="Q437" s="116">
        <v>306.14999999999998</v>
      </c>
      <c r="R437">
        <v>1468075</v>
      </c>
    </row>
    <row r="438" spans="1:18" x14ac:dyDescent="0.25">
      <c r="A438" s="165">
        <v>45239</v>
      </c>
      <c r="B438" s="116">
        <v>308</v>
      </c>
      <c r="C438" s="116">
        <v>300.5</v>
      </c>
      <c r="D438" s="116">
        <v>300</v>
      </c>
      <c r="E438" s="116">
        <v>306.3</v>
      </c>
      <c r="F438" s="116">
        <v>300.5</v>
      </c>
      <c r="G438">
        <v>382857</v>
      </c>
      <c r="H438" s="116"/>
      <c r="I438" s="116"/>
      <c r="L438" s="165">
        <v>45239</v>
      </c>
      <c r="M438" s="116">
        <v>300.55</v>
      </c>
      <c r="N438" s="116">
        <v>307.89999999999998</v>
      </c>
      <c r="O438" s="116">
        <v>300</v>
      </c>
      <c r="P438" s="116">
        <v>307</v>
      </c>
      <c r="Q438" s="116">
        <v>300.55</v>
      </c>
      <c r="R438">
        <v>1428993</v>
      </c>
    </row>
    <row r="439" spans="1:18" x14ac:dyDescent="0.25">
      <c r="A439" s="165">
        <v>45240</v>
      </c>
      <c r="B439" s="116">
        <v>300.35000000000002</v>
      </c>
      <c r="C439" s="116">
        <v>293.25</v>
      </c>
      <c r="D439" s="116">
        <v>292.5</v>
      </c>
      <c r="E439" s="116">
        <v>300</v>
      </c>
      <c r="F439" s="116">
        <v>293.25</v>
      </c>
      <c r="G439">
        <v>262741</v>
      </c>
      <c r="H439" s="116"/>
      <c r="I439" s="116"/>
      <c r="L439" s="165">
        <v>45240</v>
      </c>
      <c r="M439" s="116">
        <v>293.39999999999998</v>
      </c>
      <c r="N439" s="116">
        <v>300.55</v>
      </c>
      <c r="O439" s="116">
        <v>293</v>
      </c>
      <c r="P439" s="116">
        <v>300.35000000000002</v>
      </c>
      <c r="Q439" s="116">
        <v>293.39999999999998</v>
      </c>
      <c r="R439">
        <v>2470854</v>
      </c>
    </row>
    <row r="440" spans="1:18" x14ac:dyDescent="0.25">
      <c r="A440" s="165">
        <v>45242</v>
      </c>
      <c r="B440" s="116">
        <v>298.7</v>
      </c>
      <c r="C440" s="116">
        <v>297.39999999999998</v>
      </c>
      <c r="D440" s="116">
        <v>293.55</v>
      </c>
      <c r="E440" s="116">
        <v>293.55</v>
      </c>
      <c r="F440" s="116">
        <v>297.39999999999998</v>
      </c>
      <c r="G440">
        <v>47716</v>
      </c>
      <c r="H440" s="116"/>
      <c r="I440" s="116"/>
      <c r="L440" s="165">
        <v>45242</v>
      </c>
      <c r="M440" s="116">
        <v>297.2</v>
      </c>
      <c r="N440" s="116">
        <v>298.60000000000002</v>
      </c>
      <c r="O440" s="116">
        <v>294</v>
      </c>
      <c r="P440" s="116">
        <v>294</v>
      </c>
      <c r="Q440" s="116">
        <v>297.2</v>
      </c>
      <c r="R440">
        <v>558592</v>
      </c>
    </row>
    <row r="441" spans="1:18" x14ac:dyDescent="0.25">
      <c r="A441" s="165">
        <v>45243</v>
      </c>
      <c r="B441" s="116">
        <v>299.14999999999998</v>
      </c>
      <c r="C441" s="116">
        <v>295.25</v>
      </c>
      <c r="D441" s="116">
        <v>294</v>
      </c>
      <c r="E441" s="116">
        <v>298.45</v>
      </c>
      <c r="F441" s="116">
        <v>295.25</v>
      </c>
      <c r="G441">
        <v>208745</v>
      </c>
      <c r="H441" s="116"/>
      <c r="I441" s="116"/>
      <c r="L441" s="165">
        <v>45243</v>
      </c>
      <c r="M441" s="116">
        <v>295.10000000000002</v>
      </c>
      <c r="N441" s="116">
        <v>299.75</v>
      </c>
      <c r="O441" s="116">
        <v>294</v>
      </c>
      <c r="P441" s="116">
        <v>298.95</v>
      </c>
      <c r="Q441" s="116">
        <v>295.10000000000002</v>
      </c>
      <c r="R441">
        <v>910497</v>
      </c>
    </row>
    <row r="442" spans="1:18" x14ac:dyDescent="0.25">
      <c r="A442" s="165">
        <v>45245</v>
      </c>
      <c r="B442" s="116">
        <v>299</v>
      </c>
      <c r="C442" s="116">
        <v>296.55</v>
      </c>
      <c r="D442" s="116">
        <v>295.05</v>
      </c>
      <c r="E442" s="116">
        <v>295.05</v>
      </c>
      <c r="F442" s="116">
        <v>296.55</v>
      </c>
      <c r="G442">
        <v>267586</v>
      </c>
      <c r="H442" s="116"/>
      <c r="I442" s="116"/>
      <c r="L442" s="165">
        <v>45245</v>
      </c>
      <c r="M442" s="116">
        <v>296.55</v>
      </c>
      <c r="N442" s="116">
        <v>299</v>
      </c>
      <c r="O442" s="116">
        <v>295.05</v>
      </c>
      <c r="P442" s="116">
        <v>295.25</v>
      </c>
      <c r="Q442" s="116">
        <v>296.55</v>
      </c>
      <c r="R442">
        <v>1191632</v>
      </c>
    </row>
    <row r="443" spans="1:18" x14ac:dyDescent="0.25">
      <c r="A443" s="165">
        <v>45246</v>
      </c>
      <c r="B443" s="116">
        <v>298.5</v>
      </c>
      <c r="C443" s="116">
        <v>297.10000000000002</v>
      </c>
      <c r="D443" s="116">
        <v>293.7</v>
      </c>
      <c r="E443" s="116">
        <v>296.64999999999998</v>
      </c>
      <c r="F443" s="116">
        <v>297.10000000000002</v>
      </c>
      <c r="G443">
        <v>244660</v>
      </c>
      <c r="H443" s="116"/>
      <c r="I443" s="116"/>
      <c r="L443" s="165">
        <v>45246</v>
      </c>
      <c r="M443" s="116">
        <v>297.2</v>
      </c>
      <c r="N443" s="116">
        <v>298.5</v>
      </c>
      <c r="O443" s="116">
        <v>294.3</v>
      </c>
      <c r="P443" s="116">
        <v>296.55</v>
      </c>
      <c r="Q443" s="116">
        <v>297.2</v>
      </c>
      <c r="R443">
        <v>1120058</v>
      </c>
    </row>
    <row r="444" spans="1:18" x14ac:dyDescent="0.25">
      <c r="A444" s="165">
        <v>45247</v>
      </c>
      <c r="B444" s="116">
        <v>298.75</v>
      </c>
      <c r="C444" s="116">
        <v>295</v>
      </c>
      <c r="D444" s="116">
        <v>294.5</v>
      </c>
      <c r="E444" s="116">
        <v>298.75</v>
      </c>
      <c r="F444" s="116">
        <v>295</v>
      </c>
      <c r="G444">
        <v>68836</v>
      </c>
      <c r="H444" s="116"/>
      <c r="I444" s="116"/>
      <c r="L444" s="165">
        <v>45247</v>
      </c>
      <c r="M444" s="116">
        <v>295</v>
      </c>
      <c r="N444" s="116">
        <v>298.60000000000002</v>
      </c>
      <c r="O444" s="116">
        <v>294.5</v>
      </c>
      <c r="P444" s="116">
        <v>298.5</v>
      </c>
      <c r="Q444" s="116">
        <v>295</v>
      </c>
      <c r="R444">
        <v>881014</v>
      </c>
    </row>
    <row r="445" spans="1:18" x14ac:dyDescent="0.25">
      <c r="A445" s="165">
        <v>45250</v>
      </c>
      <c r="B445" s="116">
        <v>317</v>
      </c>
      <c r="C445" s="116">
        <v>309.89999999999998</v>
      </c>
      <c r="D445" s="116">
        <v>285.85000000000002</v>
      </c>
      <c r="E445" s="116">
        <v>294.39999999999998</v>
      </c>
      <c r="F445" s="116">
        <v>309.89999999999998</v>
      </c>
      <c r="G445">
        <v>871902</v>
      </c>
      <c r="H445" s="116"/>
      <c r="I445" s="116"/>
      <c r="L445" s="165">
        <v>45250</v>
      </c>
      <c r="M445" s="116">
        <v>310.7</v>
      </c>
      <c r="N445" s="116">
        <v>317.05</v>
      </c>
      <c r="O445" s="116">
        <v>285.8</v>
      </c>
      <c r="P445" s="116">
        <v>295</v>
      </c>
      <c r="Q445" s="116">
        <v>310.7</v>
      </c>
      <c r="R445">
        <v>5475091</v>
      </c>
    </row>
    <row r="446" spans="1:18" x14ac:dyDescent="0.25">
      <c r="A446" s="165">
        <v>45251</v>
      </c>
      <c r="B446" s="116">
        <v>327.5</v>
      </c>
      <c r="C446" s="116">
        <v>320.2</v>
      </c>
      <c r="D446" s="116">
        <v>314.3</v>
      </c>
      <c r="E446" s="116">
        <v>314.3</v>
      </c>
      <c r="F446" s="116">
        <v>320.2</v>
      </c>
      <c r="G446">
        <v>441113</v>
      </c>
      <c r="H446" s="116"/>
      <c r="I446" s="116"/>
      <c r="L446" s="165">
        <v>45251</v>
      </c>
      <c r="M446" s="116">
        <v>319.8</v>
      </c>
      <c r="N446" s="116">
        <v>327.5</v>
      </c>
      <c r="O446" s="116">
        <v>314</v>
      </c>
      <c r="P446" s="116">
        <v>314</v>
      </c>
      <c r="Q446" s="116">
        <v>319.8</v>
      </c>
      <c r="R446">
        <v>6570568</v>
      </c>
    </row>
    <row r="447" spans="1:18" x14ac:dyDescent="0.25">
      <c r="A447" s="165">
        <v>45252</v>
      </c>
      <c r="B447" s="116">
        <v>322.60000000000002</v>
      </c>
      <c r="C447" s="116">
        <v>313.95</v>
      </c>
      <c r="D447" s="116">
        <v>311</v>
      </c>
      <c r="E447" s="116">
        <v>320.5</v>
      </c>
      <c r="F447" s="116">
        <v>313.95</v>
      </c>
      <c r="G447">
        <v>326752</v>
      </c>
      <c r="H447" s="116"/>
      <c r="I447" s="116"/>
      <c r="L447" s="165">
        <v>45252</v>
      </c>
      <c r="M447" s="116">
        <v>314.35000000000002</v>
      </c>
      <c r="N447" s="116">
        <v>322.39999999999998</v>
      </c>
      <c r="O447" s="116">
        <v>311.05</v>
      </c>
      <c r="P447" s="116">
        <v>320</v>
      </c>
      <c r="Q447" s="116">
        <v>314.35000000000002</v>
      </c>
      <c r="R447">
        <v>1782582</v>
      </c>
    </row>
    <row r="448" spans="1:18" x14ac:dyDescent="0.25">
      <c r="A448" s="165">
        <v>45253</v>
      </c>
      <c r="B448" s="116">
        <v>320</v>
      </c>
      <c r="C448" s="116">
        <v>315.25</v>
      </c>
      <c r="D448" s="116">
        <v>313.85000000000002</v>
      </c>
      <c r="E448" s="116">
        <v>315.8</v>
      </c>
      <c r="F448" s="116">
        <v>315.25</v>
      </c>
      <c r="G448">
        <v>87892</v>
      </c>
      <c r="H448" s="116"/>
      <c r="I448" s="116"/>
      <c r="L448" s="165">
        <v>45253</v>
      </c>
      <c r="M448" s="116">
        <v>315.39999999999998</v>
      </c>
      <c r="N448" s="116">
        <v>320.8</v>
      </c>
      <c r="O448" s="116">
        <v>314</v>
      </c>
      <c r="P448" s="116">
        <v>318</v>
      </c>
      <c r="Q448" s="116">
        <v>315.39999999999998</v>
      </c>
      <c r="R448">
        <v>1056512</v>
      </c>
    </row>
    <row r="449" spans="1:18" x14ac:dyDescent="0.25">
      <c r="A449" s="165">
        <v>45254</v>
      </c>
      <c r="B449" s="116">
        <v>320.95</v>
      </c>
      <c r="C449" s="116">
        <v>316.89999999999998</v>
      </c>
      <c r="D449" s="116">
        <v>310.7</v>
      </c>
      <c r="E449" s="116">
        <v>315.95</v>
      </c>
      <c r="F449" s="116">
        <v>316.89999999999998</v>
      </c>
      <c r="G449">
        <v>148295</v>
      </c>
      <c r="H449" s="116"/>
      <c r="I449" s="116"/>
      <c r="L449" s="165">
        <v>45254</v>
      </c>
      <c r="M449" s="116">
        <v>316.95</v>
      </c>
      <c r="N449" s="116">
        <v>321</v>
      </c>
      <c r="O449" s="116">
        <v>310.8</v>
      </c>
      <c r="P449" s="116">
        <v>315.39999999999998</v>
      </c>
      <c r="Q449" s="116">
        <v>316.95</v>
      </c>
      <c r="R449">
        <v>2001218</v>
      </c>
    </row>
    <row r="450" spans="1:18" x14ac:dyDescent="0.25">
      <c r="A450" s="165">
        <v>45258</v>
      </c>
      <c r="B450" s="116">
        <v>348.55</v>
      </c>
      <c r="C450" s="116">
        <v>348.45</v>
      </c>
      <c r="D450" s="116">
        <v>320.39999999999998</v>
      </c>
      <c r="E450" s="116">
        <v>320.45</v>
      </c>
      <c r="F450" s="116">
        <v>348.45</v>
      </c>
      <c r="G450">
        <v>1300805</v>
      </c>
      <c r="H450" s="116"/>
      <c r="I450" s="116"/>
      <c r="L450" s="165">
        <v>45258</v>
      </c>
      <c r="M450" s="116">
        <v>348.45</v>
      </c>
      <c r="N450" s="116">
        <v>348.6</v>
      </c>
      <c r="O450" s="116">
        <v>320.10000000000002</v>
      </c>
      <c r="P450" s="116">
        <v>320.10000000000002</v>
      </c>
      <c r="Q450" s="116">
        <v>348.45</v>
      </c>
      <c r="R450">
        <v>16678984</v>
      </c>
    </row>
    <row r="451" spans="1:18" x14ac:dyDescent="0.25">
      <c r="A451" s="165">
        <v>45259</v>
      </c>
      <c r="B451" s="116">
        <v>372</v>
      </c>
      <c r="C451" s="116">
        <v>347.6</v>
      </c>
      <c r="D451" s="116">
        <v>344</v>
      </c>
      <c r="E451" s="116">
        <v>358.95</v>
      </c>
      <c r="F451" s="116">
        <v>347.6</v>
      </c>
      <c r="G451">
        <v>1787763</v>
      </c>
      <c r="H451" s="116"/>
      <c r="I451" s="116"/>
      <c r="L451" s="165">
        <v>45259</v>
      </c>
      <c r="M451" s="116">
        <v>347.3</v>
      </c>
      <c r="N451" s="116">
        <v>371.95</v>
      </c>
      <c r="O451" s="116">
        <v>344</v>
      </c>
      <c r="P451" s="116">
        <v>357</v>
      </c>
      <c r="Q451" s="116">
        <v>347.3</v>
      </c>
      <c r="R451">
        <v>12432730</v>
      </c>
    </row>
    <row r="452" spans="1:18" x14ac:dyDescent="0.25">
      <c r="A452" s="165">
        <v>45260</v>
      </c>
      <c r="B452" s="116">
        <v>349.45</v>
      </c>
      <c r="C452" s="116">
        <v>340.6</v>
      </c>
      <c r="D452" s="116">
        <v>336.95</v>
      </c>
      <c r="E452" s="116">
        <v>348.65</v>
      </c>
      <c r="F452" s="116">
        <v>340.6</v>
      </c>
      <c r="G452">
        <v>461790</v>
      </c>
      <c r="H452" s="116"/>
      <c r="I452" s="116"/>
      <c r="L452" s="165">
        <v>45260</v>
      </c>
      <c r="M452" s="116">
        <v>340.65</v>
      </c>
      <c r="N452" s="116">
        <v>349.8</v>
      </c>
      <c r="O452" s="116">
        <v>337.1</v>
      </c>
      <c r="P452" s="116">
        <v>349.8</v>
      </c>
      <c r="Q452" s="116">
        <v>340.65</v>
      </c>
      <c r="R452">
        <v>2821944</v>
      </c>
    </row>
    <row r="453" spans="1:18" x14ac:dyDescent="0.25">
      <c r="A453" s="165">
        <v>45261</v>
      </c>
      <c r="B453" s="116">
        <v>347</v>
      </c>
      <c r="C453" s="116">
        <v>340.45</v>
      </c>
      <c r="D453" s="116">
        <v>339</v>
      </c>
      <c r="E453" s="116">
        <v>343.55</v>
      </c>
      <c r="F453" s="116">
        <v>340.45</v>
      </c>
      <c r="G453">
        <v>160441</v>
      </c>
      <c r="H453" s="116"/>
      <c r="I453" s="116"/>
      <c r="L453" s="165">
        <v>45261</v>
      </c>
      <c r="M453" s="116">
        <v>340.25</v>
      </c>
      <c r="N453" s="116">
        <v>347</v>
      </c>
      <c r="O453" s="116">
        <v>339</v>
      </c>
      <c r="P453" s="116">
        <v>343.8</v>
      </c>
      <c r="Q453" s="116">
        <v>340.25</v>
      </c>
      <c r="R453">
        <v>2140231</v>
      </c>
    </row>
    <row r="454" spans="1:18" x14ac:dyDescent="0.25">
      <c r="A454" s="165">
        <v>45264</v>
      </c>
      <c r="B454" s="116">
        <v>365</v>
      </c>
      <c r="C454" s="116">
        <v>346.3</v>
      </c>
      <c r="D454" s="116">
        <v>344.25</v>
      </c>
      <c r="E454" s="116">
        <v>360</v>
      </c>
      <c r="F454" s="116">
        <v>346.3</v>
      </c>
      <c r="G454">
        <v>600498</v>
      </c>
      <c r="H454" s="116"/>
      <c r="I454" s="116"/>
      <c r="L454" s="165">
        <v>45264</v>
      </c>
      <c r="M454" s="116">
        <v>346.25</v>
      </c>
      <c r="N454" s="116">
        <v>364.8</v>
      </c>
      <c r="O454" s="116">
        <v>344.35</v>
      </c>
      <c r="P454" s="116">
        <v>361</v>
      </c>
      <c r="Q454" s="116">
        <v>346.25</v>
      </c>
      <c r="R454">
        <v>3412455</v>
      </c>
    </row>
    <row r="455" spans="1:18" x14ac:dyDescent="0.25">
      <c r="A455" s="165">
        <v>45265</v>
      </c>
      <c r="B455" s="116">
        <v>380.9</v>
      </c>
      <c r="C455" s="116">
        <v>380.7</v>
      </c>
      <c r="D455" s="116">
        <v>342.4</v>
      </c>
      <c r="E455" s="116">
        <v>348</v>
      </c>
      <c r="F455" s="116">
        <v>380.7</v>
      </c>
      <c r="G455">
        <v>3582729</v>
      </c>
      <c r="H455" s="116"/>
      <c r="I455" s="116"/>
      <c r="L455" s="165">
        <v>45265</v>
      </c>
      <c r="M455" s="116">
        <v>380.65</v>
      </c>
      <c r="N455" s="116">
        <v>380.85</v>
      </c>
      <c r="O455" s="116">
        <v>342.35</v>
      </c>
      <c r="P455" s="116">
        <v>348</v>
      </c>
      <c r="Q455" s="116">
        <v>380.65</v>
      </c>
      <c r="R455">
        <v>23471509</v>
      </c>
    </row>
    <row r="456" spans="1:18" x14ac:dyDescent="0.25">
      <c r="A456" s="165">
        <v>45266</v>
      </c>
      <c r="B456" s="116">
        <v>410</v>
      </c>
      <c r="C456" s="116">
        <v>396.35</v>
      </c>
      <c r="D456" s="116">
        <v>385</v>
      </c>
      <c r="E456" s="116">
        <v>388.35</v>
      </c>
      <c r="F456" s="116">
        <v>396.35</v>
      </c>
      <c r="G456">
        <v>3523994</v>
      </c>
      <c r="H456" s="116"/>
      <c r="I456" s="116"/>
      <c r="L456" s="165">
        <v>45266</v>
      </c>
      <c r="M456" s="116">
        <v>396.35</v>
      </c>
      <c r="N456" s="116">
        <v>410.5</v>
      </c>
      <c r="O456" s="116">
        <v>385</v>
      </c>
      <c r="P456" s="116">
        <v>387</v>
      </c>
      <c r="Q456" s="116">
        <v>396.35</v>
      </c>
      <c r="R456">
        <v>23410807</v>
      </c>
    </row>
    <row r="457" spans="1:18" x14ac:dyDescent="0.25">
      <c r="A457" s="165">
        <v>45267</v>
      </c>
      <c r="B457" s="116">
        <v>406</v>
      </c>
      <c r="C457" s="116">
        <v>395.45</v>
      </c>
      <c r="D457" s="116">
        <v>390.1</v>
      </c>
      <c r="E457" s="116">
        <v>399.95</v>
      </c>
      <c r="F457" s="116">
        <v>395.45</v>
      </c>
      <c r="G457">
        <v>1429533</v>
      </c>
      <c r="H457" s="116"/>
      <c r="I457" s="116"/>
      <c r="L457" s="165">
        <v>45267</v>
      </c>
      <c r="M457" s="116">
        <v>395.6</v>
      </c>
      <c r="N457" s="116">
        <v>406</v>
      </c>
      <c r="O457" s="116">
        <v>390.25</v>
      </c>
      <c r="P457" s="116">
        <v>398</v>
      </c>
      <c r="Q457" s="116">
        <v>395.6</v>
      </c>
      <c r="R457">
        <v>7533237</v>
      </c>
    </row>
    <row r="458" spans="1:18" x14ac:dyDescent="0.25">
      <c r="A458" s="165">
        <v>45268</v>
      </c>
      <c r="B458" s="116">
        <v>398.95</v>
      </c>
      <c r="C458" s="116">
        <v>377.7</v>
      </c>
      <c r="D458" s="116">
        <v>372</v>
      </c>
      <c r="E458" s="116">
        <v>398</v>
      </c>
      <c r="F458" s="116">
        <v>377.7</v>
      </c>
      <c r="G458">
        <v>617993</v>
      </c>
      <c r="H458" s="116"/>
      <c r="I458" s="116"/>
      <c r="L458" s="165">
        <v>45268</v>
      </c>
      <c r="M458" s="116">
        <v>377.9</v>
      </c>
      <c r="N458" s="116">
        <v>399</v>
      </c>
      <c r="O458" s="116">
        <v>372.05</v>
      </c>
      <c r="P458" s="116">
        <v>397.7</v>
      </c>
      <c r="Q458" s="116">
        <v>377.9</v>
      </c>
      <c r="R458">
        <v>6850140</v>
      </c>
    </row>
    <row r="459" spans="1:18" x14ac:dyDescent="0.25">
      <c r="A459" s="165">
        <v>45271</v>
      </c>
      <c r="B459" s="116">
        <v>382.8</v>
      </c>
      <c r="C459" s="116">
        <v>374.15</v>
      </c>
      <c r="D459" s="116">
        <v>368.6</v>
      </c>
      <c r="E459" s="116">
        <v>380</v>
      </c>
      <c r="F459" s="116">
        <v>374.15</v>
      </c>
      <c r="G459">
        <v>277210</v>
      </c>
      <c r="H459" s="116"/>
      <c r="I459" s="116"/>
      <c r="L459" s="165">
        <v>45271</v>
      </c>
      <c r="M459" s="116">
        <v>374.3</v>
      </c>
      <c r="N459" s="116">
        <v>382.95</v>
      </c>
      <c r="O459" s="116">
        <v>369</v>
      </c>
      <c r="P459" s="116">
        <v>379.75</v>
      </c>
      <c r="Q459" s="116">
        <v>374.3</v>
      </c>
      <c r="R459">
        <v>4205380</v>
      </c>
    </row>
    <row r="460" spans="1:18" x14ac:dyDescent="0.25">
      <c r="A460" s="165">
        <v>45272</v>
      </c>
      <c r="B460" s="116">
        <v>379</v>
      </c>
      <c r="C460" s="116">
        <v>373.4</v>
      </c>
      <c r="D460" s="116">
        <v>371.45</v>
      </c>
      <c r="E460" s="116">
        <v>376</v>
      </c>
      <c r="F460" s="116">
        <v>373.4</v>
      </c>
      <c r="G460">
        <v>183959</v>
      </c>
      <c r="H460" s="116"/>
      <c r="I460" s="116"/>
      <c r="L460" s="165">
        <v>45272</v>
      </c>
      <c r="M460" s="116">
        <v>373.7</v>
      </c>
      <c r="N460" s="116">
        <v>379.5</v>
      </c>
      <c r="O460" s="116">
        <v>371.3</v>
      </c>
      <c r="P460" s="116">
        <v>375.85</v>
      </c>
      <c r="Q460" s="116">
        <v>373.7</v>
      </c>
      <c r="R460">
        <v>2271626</v>
      </c>
    </row>
    <row r="461" spans="1:18" x14ac:dyDescent="0.25">
      <c r="A461" s="165">
        <v>45273</v>
      </c>
      <c r="B461" s="116">
        <v>375</v>
      </c>
      <c r="C461" s="116">
        <v>365.45</v>
      </c>
      <c r="D461" s="116">
        <v>363.5</v>
      </c>
      <c r="E461" s="116">
        <v>374.9</v>
      </c>
      <c r="F461" s="116">
        <v>365.45</v>
      </c>
      <c r="G461">
        <v>170547</v>
      </c>
      <c r="H461" s="116"/>
      <c r="I461" s="116"/>
      <c r="L461" s="165">
        <v>45273</v>
      </c>
      <c r="M461" s="116">
        <v>365.45</v>
      </c>
      <c r="N461" s="116">
        <v>374.95</v>
      </c>
      <c r="O461" s="116">
        <v>363.45</v>
      </c>
      <c r="P461" s="116">
        <v>374.8</v>
      </c>
      <c r="Q461" s="116">
        <v>365.45</v>
      </c>
      <c r="R461">
        <v>2727607</v>
      </c>
    </row>
    <row r="462" spans="1:18" x14ac:dyDescent="0.25">
      <c r="A462" s="165">
        <v>45274</v>
      </c>
      <c r="B462" s="116">
        <v>374.6</v>
      </c>
      <c r="C462" s="116">
        <v>369.95</v>
      </c>
      <c r="D462" s="116">
        <v>367</v>
      </c>
      <c r="E462" s="116">
        <v>367</v>
      </c>
      <c r="F462" s="116">
        <v>369.95</v>
      </c>
      <c r="G462">
        <v>370758</v>
      </c>
      <c r="H462" s="116"/>
      <c r="I462" s="116"/>
      <c r="L462" s="165">
        <v>45274</v>
      </c>
      <c r="M462" s="116">
        <v>370.05</v>
      </c>
      <c r="N462" s="116">
        <v>374.5</v>
      </c>
      <c r="O462" s="116">
        <v>367.75</v>
      </c>
      <c r="P462" s="116">
        <v>367.75</v>
      </c>
      <c r="Q462" s="116">
        <v>370.05</v>
      </c>
      <c r="R462">
        <v>1871370</v>
      </c>
    </row>
    <row r="463" spans="1:18" x14ac:dyDescent="0.25">
      <c r="A463" s="165">
        <v>45275</v>
      </c>
      <c r="B463" s="116">
        <v>374.25</v>
      </c>
      <c r="C463" s="116">
        <v>369.15</v>
      </c>
      <c r="D463" s="116">
        <v>367.65</v>
      </c>
      <c r="E463" s="116">
        <v>374.25</v>
      </c>
      <c r="F463" s="116">
        <v>369.15</v>
      </c>
      <c r="G463">
        <v>155491</v>
      </c>
      <c r="H463" s="116"/>
      <c r="I463" s="116"/>
      <c r="L463" s="165">
        <v>45275</v>
      </c>
      <c r="M463" s="116">
        <v>369.25</v>
      </c>
      <c r="N463" s="116">
        <v>373.9</v>
      </c>
      <c r="O463" s="116">
        <v>367.7</v>
      </c>
      <c r="P463" s="116">
        <v>372.9</v>
      </c>
      <c r="Q463" s="116">
        <v>369.25</v>
      </c>
      <c r="R463">
        <v>1964938</v>
      </c>
    </row>
    <row r="464" spans="1:18" x14ac:dyDescent="0.25">
      <c r="A464" s="165">
        <v>45278</v>
      </c>
      <c r="B464" s="116">
        <v>371.65</v>
      </c>
      <c r="C464" s="116">
        <v>366.55</v>
      </c>
      <c r="D464" s="116">
        <v>365.45</v>
      </c>
      <c r="E464" s="116">
        <v>371.6</v>
      </c>
      <c r="F464" s="116">
        <v>366.55</v>
      </c>
      <c r="G464">
        <v>89837</v>
      </c>
      <c r="H464" s="116"/>
      <c r="I464" s="116"/>
      <c r="L464" s="165">
        <v>45278</v>
      </c>
      <c r="M464" s="116">
        <v>366.8</v>
      </c>
      <c r="N464" s="116">
        <v>371.9</v>
      </c>
      <c r="O464" s="116">
        <v>365.25</v>
      </c>
      <c r="P464" s="116">
        <v>371.9</v>
      </c>
      <c r="Q464" s="116">
        <v>366.8</v>
      </c>
      <c r="R464">
        <v>1273909</v>
      </c>
    </row>
    <row r="465" spans="1:18" x14ac:dyDescent="0.25">
      <c r="A465" s="165">
        <v>45279</v>
      </c>
      <c r="B465" s="116">
        <v>369.15</v>
      </c>
      <c r="C465" s="116">
        <v>362.95</v>
      </c>
      <c r="D465" s="116">
        <v>361.45</v>
      </c>
      <c r="E465" s="116">
        <v>366.6</v>
      </c>
      <c r="F465" s="116">
        <v>362.95</v>
      </c>
      <c r="G465">
        <v>107121</v>
      </c>
      <c r="H465" s="116"/>
      <c r="I465" s="116"/>
      <c r="L465" s="165">
        <v>45279</v>
      </c>
      <c r="M465" s="116">
        <v>363</v>
      </c>
      <c r="N465" s="116">
        <v>369.2</v>
      </c>
      <c r="O465" s="116">
        <v>361.05</v>
      </c>
      <c r="P465" s="116">
        <v>367.05</v>
      </c>
      <c r="Q465" s="116">
        <v>363</v>
      </c>
      <c r="R465">
        <v>1654248</v>
      </c>
    </row>
    <row r="466" spans="1:18" x14ac:dyDescent="0.25">
      <c r="A466" s="165">
        <v>45280</v>
      </c>
      <c r="B466" s="116">
        <v>369.45</v>
      </c>
      <c r="C466" s="116">
        <v>345.95</v>
      </c>
      <c r="D466" s="116">
        <v>344</v>
      </c>
      <c r="E466" s="116">
        <v>364.05</v>
      </c>
      <c r="F466" s="116">
        <v>345.95</v>
      </c>
      <c r="G466">
        <v>191476</v>
      </c>
      <c r="H466" s="116"/>
      <c r="I466" s="116"/>
      <c r="L466" s="165">
        <v>45280</v>
      </c>
      <c r="M466" s="116">
        <v>345.95</v>
      </c>
      <c r="N466" s="116">
        <v>369.6</v>
      </c>
      <c r="O466" s="116">
        <v>344</v>
      </c>
      <c r="P466" s="116">
        <v>364.8</v>
      </c>
      <c r="Q466" s="116">
        <v>345.95</v>
      </c>
      <c r="R466">
        <v>3136444</v>
      </c>
    </row>
    <row r="467" spans="1:18" x14ac:dyDescent="0.25">
      <c r="A467" s="165">
        <v>45281</v>
      </c>
      <c r="B467" s="116">
        <v>353</v>
      </c>
      <c r="C467" s="116">
        <v>351.35</v>
      </c>
      <c r="D467" s="116">
        <v>334.7</v>
      </c>
      <c r="E467" s="116">
        <v>339.1</v>
      </c>
      <c r="F467" s="116">
        <v>351.35</v>
      </c>
      <c r="G467">
        <v>365643</v>
      </c>
      <c r="H467" s="116"/>
      <c r="I467" s="116"/>
      <c r="L467" s="165">
        <v>45281</v>
      </c>
      <c r="M467" s="116">
        <v>351.3</v>
      </c>
      <c r="N467" s="116">
        <v>353</v>
      </c>
      <c r="O467" s="116">
        <v>336.1</v>
      </c>
      <c r="P467" s="116">
        <v>339.55</v>
      </c>
      <c r="Q467" s="116">
        <v>351.3</v>
      </c>
      <c r="R467">
        <v>1703123</v>
      </c>
    </row>
    <row r="468" spans="1:18" x14ac:dyDescent="0.25">
      <c r="A468" s="165">
        <v>45282</v>
      </c>
      <c r="B468" s="116">
        <v>369.75</v>
      </c>
      <c r="C468" s="116">
        <v>365.2</v>
      </c>
      <c r="D468" s="116">
        <v>353.2</v>
      </c>
      <c r="E468" s="116">
        <v>353.95</v>
      </c>
      <c r="F468" s="116">
        <v>365.2</v>
      </c>
      <c r="G468">
        <v>490303</v>
      </c>
      <c r="H468" s="116"/>
      <c r="I468" s="116"/>
      <c r="L468" s="165">
        <v>45282</v>
      </c>
      <c r="M468" s="116">
        <v>365.25</v>
      </c>
      <c r="N468" s="116">
        <v>369.7</v>
      </c>
      <c r="O468" s="116">
        <v>353.25</v>
      </c>
      <c r="P468" s="116">
        <v>353.5</v>
      </c>
      <c r="Q468" s="116">
        <v>365.25</v>
      </c>
      <c r="R468">
        <v>3648100</v>
      </c>
    </row>
    <row r="469" spans="1:18" x14ac:dyDescent="0.25">
      <c r="A469" s="165">
        <v>45286</v>
      </c>
      <c r="B469" s="116">
        <v>368.1</v>
      </c>
      <c r="C469" s="116">
        <v>363</v>
      </c>
      <c r="D469" s="116">
        <v>360.2</v>
      </c>
      <c r="E469" s="116">
        <v>366.85</v>
      </c>
      <c r="F469" s="116">
        <v>363</v>
      </c>
      <c r="G469">
        <v>116371</v>
      </c>
      <c r="H469" s="116"/>
      <c r="I469" s="116"/>
      <c r="L469" s="165">
        <v>45286</v>
      </c>
      <c r="M469" s="116">
        <v>363.1</v>
      </c>
      <c r="N469" s="116">
        <v>368</v>
      </c>
      <c r="O469" s="116">
        <v>360.25</v>
      </c>
      <c r="P469" s="116">
        <v>365.45</v>
      </c>
      <c r="Q469" s="116">
        <v>363.1</v>
      </c>
      <c r="R469">
        <v>1522711</v>
      </c>
    </row>
    <row r="470" spans="1:18" x14ac:dyDescent="0.25">
      <c r="A470" s="165">
        <v>45287</v>
      </c>
      <c r="B470" s="116">
        <v>366.95</v>
      </c>
      <c r="C470" s="116">
        <v>358.2</v>
      </c>
      <c r="D470" s="116">
        <v>356.05</v>
      </c>
      <c r="E470" s="116">
        <v>365.05</v>
      </c>
      <c r="F470" s="116">
        <v>358.2</v>
      </c>
      <c r="G470">
        <v>123165</v>
      </c>
      <c r="H470" s="116"/>
      <c r="I470" s="116"/>
      <c r="L470" s="165">
        <v>45287</v>
      </c>
      <c r="M470" s="116">
        <v>357.9</v>
      </c>
      <c r="N470" s="116">
        <v>366.95</v>
      </c>
      <c r="O470" s="116">
        <v>356</v>
      </c>
      <c r="P470" s="116">
        <v>365.7</v>
      </c>
      <c r="Q470" s="116">
        <v>357.9</v>
      </c>
      <c r="R470">
        <v>1773339</v>
      </c>
    </row>
    <row r="471" spans="1:18" x14ac:dyDescent="0.25">
      <c r="A471" s="165">
        <v>45288</v>
      </c>
      <c r="B471" s="116">
        <v>360</v>
      </c>
      <c r="C471" s="116">
        <v>354.25</v>
      </c>
      <c r="D471" s="116">
        <v>353.05</v>
      </c>
      <c r="E471" s="116">
        <v>359.3</v>
      </c>
      <c r="F471" s="116">
        <v>354.25</v>
      </c>
      <c r="G471">
        <v>212200</v>
      </c>
      <c r="H471" s="116"/>
      <c r="I471" s="116"/>
      <c r="L471" s="165">
        <v>45288</v>
      </c>
      <c r="M471" s="116">
        <v>354.1</v>
      </c>
      <c r="N471" s="116">
        <v>360.3</v>
      </c>
      <c r="O471" s="116">
        <v>353</v>
      </c>
      <c r="P471" s="116">
        <v>360.1</v>
      </c>
      <c r="Q471" s="116">
        <v>354.1</v>
      </c>
      <c r="R471">
        <v>1377610</v>
      </c>
    </row>
    <row r="472" spans="1:18" x14ac:dyDescent="0.25">
      <c r="A472" s="165">
        <v>45289</v>
      </c>
      <c r="B472" s="116">
        <v>356.75</v>
      </c>
      <c r="C472" s="116">
        <v>354.9</v>
      </c>
      <c r="D472" s="116">
        <v>352.45</v>
      </c>
      <c r="E472" s="116">
        <v>354.2</v>
      </c>
      <c r="F472" s="116">
        <v>354.9</v>
      </c>
      <c r="G472">
        <v>194435</v>
      </c>
      <c r="H472" s="116"/>
      <c r="I472" s="116"/>
      <c r="L472" s="165">
        <v>45289</v>
      </c>
      <c r="M472" s="116">
        <v>354.9</v>
      </c>
      <c r="N472" s="116">
        <v>356.7</v>
      </c>
      <c r="O472" s="116">
        <v>352.6</v>
      </c>
      <c r="P472" s="116">
        <v>354.1</v>
      </c>
      <c r="Q472" s="116">
        <v>354.9</v>
      </c>
      <c r="R472">
        <v>1402154</v>
      </c>
    </row>
    <row r="473" spans="1:18" x14ac:dyDescent="0.25">
      <c r="A473" s="165">
        <v>45292</v>
      </c>
      <c r="B473" s="116">
        <v>375.45</v>
      </c>
      <c r="C473" s="116">
        <v>367</v>
      </c>
      <c r="D473" s="116">
        <v>355</v>
      </c>
      <c r="E473" s="116">
        <v>356.25</v>
      </c>
      <c r="F473" s="116">
        <v>367</v>
      </c>
      <c r="G473">
        <v>595912</v>
      </c>
      <c r="H473" s="116"/>
      <c r="I473" s="116"/>
      <c r="L473" s="165">
        <v>45292</v>
      </c>
      <c r="M473" s="116">
        <v>367</v>
      </c>
      <c r="N473" s="116">
        <v>375.6</v>
      </c>
      <c r="O473" s="116">
        <v>355.05</v>
      </c>
      <c r="P473" s="116">
        <v>356.75</v>
      </c>
      <c r="Q473" s="116">
        <v>367</v>
      </c>
      <c r="R473">
        <v>3843900</v>
      </c>
    </row>
    <row r="474" spans="1:18" x14ac:dyDescent="0.25">
      <c r="A474" s="165">
        <v>45293</v>
      </c>
      <c r="B474" s="116">
        <v>370.4</v>
      </c>
      <c r="C474" s="116">
        <v>366.5</v>
      </c>
      <c r="D474" s="116">
        <v>361</v>
      </c>
      <c r="E474" s="116">
        <v>369.85</v>
      </c>
      <c r="F474" s="116">
        <v>366.5</v>
      </c>
      <c r="G474">
        <v>323058</v>
      </c>
      <c r="H474" s="116"/>
      <c r="I474" s="116"/>
      <c r="L474" s="165">
        <v>45293</v>
      </c>
      <c r="M474" s="116">
        <v>366.6</v>
      </c>
      <c r="N474" s="116">
        <v>370.7</v>
      </c>
      <c r="O474" s="116">
        <v>361</v>
      </c>
      <c r="P474" s="116">
        <v>369.05</v>
      </c>
      <c r="Q474" s="116">
        <v>366.6</v>
      </c>
      <c r="R474">
        <v>1767457</v>
      </c>
    </row>
    <row r="475" spans="1:18" x14ac:dyDescent="0.25">
      <c r="A475" s="165">
        <v>45294</v>
      </c>
      <c r="B475" s="116">
        <v>397.75</v>
      </c>
      <c r="C475" s="116">
        <v>381.05</v>
      </c>
      <c r="D475" s="116">
        <v>376.85</v>
      </c>
      <c r="E475" s="116">
        <v>380</v>
      </c>
      <c r="F475" s="116">
        <v>381.05</v>
      </c>
      <c r="G475">
        <v>1341298</v>
      </c>
      <c r="H475" s="116"/>
      <c r="I475" s="116"/>
      <c r="L475" s="165">
        <v>45294</v>
      </c>
      <c r="M475" s="116">
        <v>380.95</v>
      </c>
      <c r="N475" s="116">
        <v>397.8</v>
      </c>
      <c r="O475" s="116">
        <v>376.35</v>
      </c>
      <c r="P475" s="116">
        <v>382</v>
      </c>
      <c r="Q475" s="116">
        <v>380.95</v>
      </c>
      <c r="R475">
        <v>18543241</v>
      </c>
    </row>
    <row r="476" spans="1:18" x14ac:dyDescent="0.25">
      <c r="A476" s="165">
        <v>45295</v>
      </c>
      <c r="B476" s="116">
        <v>389.45</v>
      </c>
      <c r="C476" s="116">
        <v>381.5</v>
      </c>
      <c r="D476" s="116">
        <v>380.7</v>
      </c>
      <c r="E476" s="116">
        <v>388.7</v>
      </c>
      <c r="F476" s="116">
        <v>381.5</v>
      </c>
      <c r="G476">
        <v>542922</v>
      </c>
      <c r="H476" s="116"/>
      <c r="I476" s="116"/>
      <c r="L476" s="165">
        <v>45295</v>
      </c>
      <c r="M476" s="116">
        <v>381.6</v>
      </c>
      <c r="N476" s="116">
        <v>389.4</v>
      </c>
      <c r="O476" s="116">
        <v>381</v>
      </c>
      <c r="P476" s="116">
        <v>386.95</v>
      </c>
      <c r="Q476" s="116">
        <v>381.6</v>
      </c>
      <c r="R476">
        <v>2615581</v>
      </c>
    </row>
    <row r="477" spans="1:18" x14ac:dyDescent="0.25">
      <c r="A477" s="165">
        <v>45296</v>
      </c>
      <c r="B477" s="116">
        <v>384.2</v>
      </c>
      <c r="C477" s="116">
        <v>377.95</v>
      </c>
      <c r="D477" s="116">
        <v>375.9</v>
      </c>
      <c r="E477" s="116">
        <v>384.2</v>
      </c>
      <c r="F477" s="116">
        <v>377.95</v>
      </c>
      <c r="G477">
        <v>168707</v>
      </c>
      <c r="H477" s="116"/>
      <c r="I477" s="116"/>
      <c r="L477" s="165">
        <v>45296</v>
      </c>
      <c r="M477" s="116">
        <v>377.7</v>
      </c>
      <c r="N477" s="116">
        <v>383.65</v>
      </c>
      <c r="O477" s="116">
        <v>376</v>
      </c>
      <c r="P477" s="116">
        <v>383.4</v>
      </c>
      <c r="Q477" s="116">
        <v>377.7</v>
      </c>
      <c r="R477">
        <v>2316000</v>
      </c>
    </row>
    <row r="478" spans="1:18" x14ac:dyDescent="0.25">
      <c r="A478" s="165">
        <v>45299</v>
      </c>
      <c r="B478" s="116">
        <v>378</v>
      </c>
      <c r="C478" s="116">
        <v>370.6</v>
      </c>
      <c r="D478" s="116">
        <v>368.45</v>
      </c>
      <c r="E478" s="116">
        <v>377.95</v>
      </c>
      <c r="F478" s="116">
        <v>370.6</v>
      </c>
      <c r="G478">
        <v>425954</v>
      </c>
      <c r="H478" s="116"/>
      <c r="I478" s="116"/>
      <c r="L478" s="165">
        <v>45299</v>
      </c>
      <c r="M478" s="116">
        <v>370.45</v>
      </c>
      <c r="N478" s="116">
        <v>378.7</v>
      </c>
      <c r="O478" s="116">
        <v>368.6</v>
      </c>
      <c r="P478" s="116">
        <v>378</v>
      </c>
      <c r="Q478" s="116">
        <v>370.45</v>
      </c>
      <c r="R478">
        <v>1884609</v>
      </c>
    </row>
    <row r="479" spans="1:18" x14ac:dyDescent="0.25">
      <c r="A479" s="165">
        <v>45300</v>
      </c>
      <c r="B479" s="116">
        <v>378.5</v>
      </c>
      <c r="C479" s="116">
        <v>372.35</v>
      </c>
      <c r="D479" s="116">
        <v>371</v>
      </c>
      <c r="E479" s="116">
        <v>372.3</v>
      </c>
      <c r="F479" s="116">
        <v>372.35</v>
      </c>
      <c r="G479">
        <v>344452</v>
      </c>
      <c r="H479" s="116"/>
      <c r="I479" s="116"/>
      <c r="L479" s="165">
        <v>45300</v>
      </c>
      <c r="M479" s="116">
        <v>372.15</v>
      </c>
      <c r="N479" s="116">
        <v>378.4</v>
      </c>
      <c r="O479" s="116">
        <v>371</v>
      </c>
      <c r="P479" s="116">
        <v>373</v>
      </c>
      <c r="Q479" s="116">
        <v>372.15</v>
      </c>
      <c r="R479">
        <v>1624709</v>
      </c>
    </row>
    <row r="480" spans="1:18" x14ac:dyDescent="0.25">
      <c r="A480" s="165">
        <v>45301</v>
      </c>
      <c r="B480" s="116">
        <v>373.95</v>
      </c>
      <c r="C480" s="116">
        <v>369.8</v>
      </c>
      <c r="D480" s="116">
        <v>367.35</v>
      </c>
      <c r="E480" s="116">
        <v>373.45</v>
      </c>
      <c r="F480" s="116">
        <v>369.8</v>
      </c>
      <c r="G480">
        <v>374776</v>
      </c>
      <c r="H480" s="116"/>
      <c r="I480" s="116"/>
      <c r="L480" s="165">
        <v>45301</v>
      </c>
      <c r="M480" s="116">
        <v>369.65</v>
      </c>
      <c r="N480" s="116">
        <v>374.1</v>
      </c>
      <c r="O480" s="116">
        <v>367.5</v>
      </c>
      <c r="P480" s="116">
        <v>373</v>
      </c>
      <c r="Q480" s="116">
        <v>369.65</v>
      </c>
      <c r="R480">
        <v>1539317</v>
      </c>
    </row>
    <row r="481" spans="1:18" x14ac:dyDescent="0.25">
      <c r="A481" s="165">
        <v>45302</v>
      </c>
      <c r="B481" s="116">
        <v>372.5</v>
      </c>
      <c r="C481" s="116">
        <v>369.1</v>
      </c>
      <c r="D481" s="116">
        <v>368.4</v>
      </c>
      <c r="E481" s="116">
        <v>370.05</v>
      </c>
      <c r="F481" s="116">
        <v>369.1</v>
      </c>
      <c r="G481">
        <v>219046</v>
      </c>
      <c r="H481" s="116"/>
      <c r="I481" s="116"/>
      <c r="L481" s="165">
        <v>45302</v>
      </c>
      <c r="M481" s="116">
        <v>369.35</v>
      </c>
      <c r="N481" s="116">
        <v>372.75</v>
      </c>
      <c r="O481" s="116">
        <v>368.5</v>
      </c>
      <c r="P481" s="116">
        <v>371</v>
      </c>
      <c r="Q481" s="116">
        <v>369.35</v>
      </c>
      <c r="R481">
        <v>950598</v>
      </c>
    </row>
    <row r="482" spans="1:18" x14ac:dyDescent="0.25">
      <c r="A482" s="165">
        <v>45303</v>
      </c>
      <c r="B482" s="116">
        <v>371.35</v>
      </c>
      <c r="C482" s="116">
        <v>367.6</v>
      </c>
      <c r="D482" s="116">
        <v>367</v>
      </c>
      <c r="E482" s="116">
        <v>370.15</v>
      </c>
      <c r="F482" s="116">
        <v>367.6</v>
      </c>
      <c r="G482">
        <v>78623</v>
      </c>
      <c r="H482" s="116"/>
      <c r="I482" s="116"/>
      <c r="L482" s="165">
        <v>45303</v>
      </c>
      <c r="M482" s="116">
        <v>367.6</v>
      </c>
      <c r="N482" s="116">
        <v>371.2</v>
      </c>
      <c r="O482" s="116">
        <v>367</v>
      </c>
      <c r="P482" s="116">
        <v>371</v>
      </c>
      <c r="Q482" s="116">
        <v>367.6</v>
      </c>
      <c r="R482">
        <v>1233417</v>
      </c>
    </row>
    <row r="483" spans="1:18" x14ac:dyDescent="0.25">
      <c r="A483" s="165">
        <v>45306</v>
      </c>
      <c r="B483" s="116">
        <v>370</v>
      </c>
      <c r="C483" s="116">
        <v>363.4</v>
      </c>
      <c r="D483" s="116">
        <v>362.5</v>
      </c>
      <c r="E483" s="116">
        <v>369</v>
      </c>
      <c r="F483" s="116">
        <v>363.4</v>
      </c>
      <c r="G483">
        <v>356543</v>
      </c>
      <c r="H483" s="116"/>
      <c r="I483" s="116"/>
      <c r="L483" s="165">
        <v>45306</v>
      </c>
      <c r="M483" s="116">
        <v>363.45</v>
      </c>
      <c r="N483" s="116">
        <v>369.55</v>
      </c>
      <c r="O483" s="116">
        <v>362.4</v>
      </c>
      <c r="P483" s="116">
        <v>369</v>
      </c>
      <c r="Q483" s="116">
        <v>363.45</v>
      </c>
      <c r="R483">
        <v>1154682</v>
      </c>
    </row>
    <row r="484" spans="1:18" x14ac:dyDescent="0.25">
      <c r="A484" s="165">
        <v>45307</v>
      </c>
      <c r="B484" s="116">
        <v>363.95</v>
      </c>
      <c r="C484" s="116">
        <v>360.75</v>
      </c>
      <c r="D484" s="116">
        <v>358.35</v>
      </c>
      <c r="E484" s="116">
        <v>363.05</v>
      </c>
      <c r="F484" s="116">
        <v>360.75</v>
      </c>
      <c r="G484">
        <v>84872</v>
      </c>
      <c r="H484" s="116"/>
      <c r="I484" s="116"/>
      <c r="L484" s="165">
        <v>45307</v>
      </c>
      <c r="M484" s="116">
        <v>360.5</v>
      </c>
      <c r="N484" s="116">
        <v>364</v>
      </c>
      <c r="O484" s="116">
        <v>358.1</v>
      </c>
      <c r="P484" s="116">
        <v>363.45</v>
      </c>
      <c r="Q484" s="116">
        <v>360.5</v>
      </c>
      <c r="R484">
        <v>1157077</v>
      </c>
    </row>
    <row r="485" spans="1:18" x14ac:dyDescent="0.25">
      <c r="A485" s="165">
        <v>45308</v>
      </c>
      <c r="B485" s="116">
        <v>358</v>
      </c>
      <c r="C485" s="116">
        <v>355.75</v>
      </c>
      <c r="D485" s="116">
        <v>353.2</v>
      </c>
      <c r="E485" s="116">
        <v>354.15</v>
      </c>
      <c r="F485" s="116">
        <v>355.75</v>
      </c>
      <c r="G485">
        <v>306264</v>
      </c>
      <c r="H485" s="116"/>
      <c r="I485" s="116"/>
      <c r="L485" s="165">
        <v>45308</v>
      </c>
      <c r="M485" s="116">
        <v>355.85</v>
      </c>
      <c r="N485" s="116">
        <v>358.5</v>
      </c>
      <c r="O485" s="116">
        <v>353.2</v>
      </c>
      <c r="P485" s="116">
        <v>355</v>
      </c>
      <c r="Q485" s="116">
        <v>355.85</v>
      </c>
      <c r="R485">
        <v>1282462</v>
      </c>
    </row>
    <row r="486" spans="1:18" x14ac:dyDescent="0.25">
      <c r="A486" s="165">
        <v>45309</v>
      </c>
      <c r="B486" s="116">
        <v>362.65</v>
      </c>
      <c r="C486" s="116">
        <v>356.75</v>
      </c>
      <c r="D486" s="116">
        <v>348.85</v>
      </c>
      <c r="E486" s="116">
        <v>354.55</v>
      </c>
      <c r="F486" s="116">
        <v>356.75</v>
      </c>
      <c r="G486">
        <v>106075</v>
      </c>
      <c r="H486" s="116"/>
      <c r="I486" s="116"/>
      <c r="L486" s="165">
        <v>45309</v>
      </c>
      <c r="M486" s="116">
        <v>356.6</v>
      </c>
      <c r="N486" s="116">
        <v>363.45</v>
      </c>
      <c r="O486" s="116">
        <v>348.55</v>
      </c>
      <c r="P486" s="116">
        <v>355</v>
      </c>
      <c r="Q486" s="116">
        <v>356.6</v>
      </c>
      <c r="R486">
        <v>1383535</v>
      </c>
    </row>
    <row r="487" spans="1:18" x14ac:dyDescent="0.25">
      <c r="A487" s="165">
        <v>45310</v>
      </c>
      <c r="B487" s="116">
        <v>360.35</v>
      </c>
      <c r="C487" s="116">
        <v>354.7</v>
      </c>
      <c r="D487" s="116">
        <v>353.85</v>
      </c>
      <c r="E487" s="116">
        <v>358</v>
      </c>
      <c r="F487" s="116">
        <v>354.7</v>
      </c>
      <c r="G487">
        <v>217433</v>
      </c>
      <c r="H487" s="116"/>
      <c r="I487" s="116"/>
      <c r="L487" s="165">
        <v>45310</v>
      </c>
      <c r="M487" s="116">
        <v>354.7</v>
      </c>
      <c r="N487" s="116">
        <v>360.15</v>
      </c>
      <c r="O487" s="116">
        <v>354</v>
      </c>
      <c r="P487" s="116">
        <v>357.85</v>
      </c>
      <c r="Q487" s="116">
        <v>354.7</v>
      </c>
      <c r="R487">
        <v>812083</v>
      </c>
    </row>
    <row r="488" spans="1:18" x14ac:dyDescent="0.25">
      <c r="A488" s="165">
        <v>45311</v>
      </c>
      <c r="B488" s="116">
        <v>369.8</v>
      </c>
      <c r="C488" s="116">
        <v>364.4</v>
      </c>
      <c r="D488" s="116">
        <v>351</v>
      </c>
      <c r="E488" s="116">
        <v>355</v>
      </c>
      <c r="F488" s="116">
        <v>364.4</v>
      </c>
      <c r="G488">
        <v>438473</v>
      </c>
      <c r="H488" s="116"/>
      <c r="I488" s="116"/>
      <c r="L488" s="165">
        <v>45311</v>
      </c>
      <c r="M488" s="116">
        <v>364.65</v>
      </c>
      <c r="N488" s="116">
        <v>369.9</v>
      </c>
      <c r="O488" s="116">
        <v>351.1</v>
      </c>
      <c r="P488" s="116">
        <v>355.05</v>
      </c>
      <c r="Q488" s="116">
        <v>364.65</v>
      </c>
      <c r="R488">
        <v>2383285</v>
      </c>
    </row>
    <row r="489" spans="1:18" x14ac:dyDescent="0.25">
      <c r="A489" s="165">
        <v>45314</v>
      </c>
      <c r="B489" s="116">
        <v>367.9</v>
      </c>
      <c r="C489" s="116">
        <v>351.65</v>
      </c>
      <c r="D489" s="116">
        <v>351</v>
      </c>
      <c r="E489" s="116">
        <v>367.65</v>
      </c>
      <c r="F489" s="116">
        <v>351.65</v>
      </c>
      <c r="G489">
        <v>157596</v>
      </c>
      <c r="H489" s="116"/>
      <c r="I489" s="116"/>
      <c r="L489" s="165">
        <v>45314</v>
      </c>
      <c r="M489" s="116">
        <v>351.7</v>
      </c>
      <c r="N489" s="116">
        <v>368</v>
      </c>
      <c r="O489" s="116">
        <v>351</v>
      </c>
      <c r="P489" s="116">
        <v>366.8</v>
      </c>
      <c r="Q489" s="116">
        <v>351.7</v>
      </c>
      <c r="R489">
        <v>1641849</v>
      </c>
    </row>
    <row r="490" spans="1:18" x14ac:dyDescent="0.25">
      <c r="A490" s="165">
        <v>45315</v>
      </c>
      <c r="B490" s="116">
        <v>354.5</v>
      </c>
      <c r="C490" s="116">
        <v>349.6</v>
      </c>
      <c r="D490" s="116">
        <v>346.55</v>
      </c>
      <c r="E490" s="116">
        <v>353.45</v>
      </c>
      <c r="F490" s="116">
        <v>349.6</v>
      </c>
      <c r="G490">
        <v>85576</v>
      </c>
      <c r="H490" s="116"/>
      <c r="I490" s="116"/>
      <c r="L490" s="165">
        <v>45315</v>
      </c>
      <c r="M490" s="116">
        <v>349.7</v>
      </c>
      <c r="N490" s="116">
        <v>354.4</v>
      </c>
      <c r="O490" s="116">
        <v>346.55</v>
      </c>
      <c r="P490" s="116">
        <v>353</v>
      </c>
      <c r="Q490" s="116">
        <v>349.7</v>
      </c>
      <c r="R490">
        <v>1215375</v>
      </c>
    </row>
    <row r="491" spans="1:18" x14ac:dyDescent="0.25">
      <c r="A491" s="165">
        <v>45316</v>
      </c>
      <c r="B491" s="116">
        <v>354.9</v>
      </c>
      <c r="C491" s="116">
        <v>351.1</v>
      </c>
      <c r="D491" s="116">
        <v>350.1</v>
      </c>
      <c r="E491" s="116">
        <v>352.25</v>
      </c>
      <c r="F491" s="116">
        <v>351.1</v>
      </c>
      <c r="G491">
        <v>66920</v>
      </c>
      <c r="H491" s="116"/>
      <c r="I491" s="116"/>
      <c r="L491" s="165">
        <v>45316</v>
      </c>
      <c r="M491" s="116">
        <v>351</v>
      </c>
      <c r="N491" s="116">
        <v>355</v>
      </c>
      <c r="O491" s="116">
        <v>350.1</v>
      </c>
      <c r="P491" s="116">
        <v>351.5</v>
      </c>
      <c r="Q491" s="116">
        <v>351</v>
      </c>
      <c r="R491">
        <v>1018148</v>
      </c>
    </row>
    <row r="492" spans="1:18" x14ac:dyDescent="0.25">
      <c r="A492" s="165">
        <v>45320</v>
      </c>
      <c r="B492" s="116">
        <v>364</v>
      </c>
      <c r="C492" s="116">
        <v>360.4</v>
      </c>
      <c r="D492" s="116">
        <v>351.55</v>
      </c>
      <c r="E492" s="116">
        <v>351.55</v>
      </c>
      <c r="F492" s="116">
        <v>360.4</v>
      </c>
      <c r="G492">
        <v>423235</v>
      </c>
      <c r="H492" s="116"/>
      <c r="I492" s="116"/>
      <c r="L492" s="165">
        <v>45320</v>
      </c>
      <c r="M492" s="116">
        <v>360.65</v>
      </c>
      <c r="N492" s="116">
        <v>364.25</v>
      </c>
      <c r="O492" s="116">
        <v>351.9</v>
      </c>
      <c r="P492" s="116">
        <v>352.95</v>
      </c>
      <c r="Q492" s="116">
        <v>360.65</v>
      </c>
      <c r="R492">
        <v>2266795</v>
      </c>
    </row>
    <row r="493" spans="1:18" x14ac:dyDescent="0.25">
      <c r="A493" s="165">
        <v>45321</v>
      </c>
      <c r="B493" s="116">
        <v>363.15</v>
      </c>
      <c r="C493" s="116">
        <v>357.65</v>
      </c>
      <c r="D493" s="116">
        <v>356</v>
      </c>
      <c r="E493" s="116">
        <v>362.15</v>
      </c>
      <c r="F493" s="116">
        <v>357.65</v>
      </c>
      <c r="G493">
        <v>96399</v>
      </c>
      <c r="H493" s="116"/>
      <c r="I493" s="116"/>
      <c r="L493" s="165">
        <v>45321</v>
      </c>
      <c r="M493" s="116">
        <v>357.1</v>
      </c>
      <c r="N493" s="116">
        <v>363.65</v>
      </c>
      <c r="O493" s="116">
        <v>356</v>
      </c>
      <c r="P493" s="116">
        <v>363</v>
      </c>
      <c r="Q493" s="116">
        <v>357.1</v>
      </c>
      <c r="R493">
        <v>1326663</v>
      </c>
    </row>
    <row r="494" spans="1:18" x14ac:dyDescent="0.25">
      <c r="A494" s="165">
        <v>45322</v>
      </c>
      <c r="B494" s="116">
        <v>362.95</v>
      </c>
      <c r="C494" s="116">
        <v>355.65</v>
      </c>
      <c r="D494" s="116">
        <v>354.2</v>
      </c>
      <c r="E494" s="116">
        <v>357.2</v>
      </c>
      <c r="F494" s="116">
        <v>355.65</v>
      </c>
      <c r="G494">
        <v>351985</v>
      </c>
      <c r="H494" s="116"/>
      <c r="I494" s="116"/>
      <c r="L494" s="165">
        <v>45322</v>
      </c>
      <c r="M494" s="116">
        <v>355.45</v>
      </c>
      <c r="N494" s="116">
        <v>363</v>
      </c>
      <c r="O494" s="116">
        <v>354</v>
      </c>
      <c r="P494" s="116">
        <v>358</v>
      </c>
      <c r="Q494" s="116">
        <v>355.45</v>
      </c>
      <c r="R494">
        <v>2398210</v>
      </c>
    </row>
    <row r="495" spans="1:18" x14ac:dyDescent="0.25">
      <c r="A495" s="165">
        <v>45323</v>
      </c>
      <c r="B495" s="116">
        <v>358.45</v>
      </c>
      <c r="C495" s="116">
        <v>351</v>
      </c>
      <c r="D495" s="116">
        <v>350</v>
      </c>
      <c r="E495" s="116">
        <v>355.65</v>
      </c>
      <c r="F495" s="116">
        <v>351</v>
      </c>
      <c r="G495">
        <v>349441</v>
      </c>
      <c r="H495" s="116"/>
      <c r="I495" s="116"/>
      <c r="L495" s="165">
        <v>45323</v>
      </c>
      <c r="M495" s="116">
        <v>350.85</v>
      </c>
      <c r="N495" s="116">
        <v>358.55</v>
      </c>
      <c r="O495" s="116">
        <v>350</v>
      </c>
      <c r="P495" s="116">
        <v>355.2</v>
      </c>
      <c r="Q495" s="116">
        <v>350.85</v>
      </c>
      <c r="R495">
        <v>1752886</v>
      </c>
    </row>
    <row r="496" spans="1:18" x14ac:dyDescent="0.25">
      <c r="A496" s="165">
        <v>45324</v>
      </c>
      <c r="B496" s="116">
        <v>359.2</v>
      </c>
      <c r="C496" s="116">
        <v>350.2</v>
      </c>
      <c r="D496" s="116">
        <v>349.5</v>
      </c>
      <c r="E496" s="116">
        <v>352.5</v>
      </c>
      <c r="F496" s="116">
        <v>350.2</v>
      </c>
      <c r="G496">
        <v>347481</v>
      </c>
      <c r="H496" s="116"/>
      <c r="I496" s="116"/>
      <c r="L496" s="165">
        <v>45324</v>
      </c>
      <c r="M496" s="116">
        <v>350.3</v>
      </c>
      <c r="N496" s="116">
        <v>359.05</v>
      </c>
      <c r="O496" s="116">
        <v>350</v>
      </c>
      <c r="P496" s="116">
        <v>354.7</v>
      </c>
      <c r="Q496" s="116">
        <v>350.3</v>
      </c>
      <c r="R496">
        <v>1532480</v>
      </c>
    </row>
    <row r="497" spans="1:18" x14ac:dyDescent="0.25">
      <c r="A497" s="165">
        <v>45327</v>
      </c>
      <c r="B497" s="116">
        <v>354</v>
      </c>
      <c r="C497" s="116">
        <v>343.55</v>
      </c>
      <c r="D497" s="116">
        <v>342.5</v>
      </c>
      <c r="E497" s="116">
        <v>352.4</v>
      </c>
      <c r="F497" s="116">
        <v>343.55</v>
      </c>
      <c r="G497">
        <v>135549</v>
      </c>
      <c r="H497" s="116"/>
      <c r="I497" s="116"/>
      <c r="L497" s="165">
        <v>45327</v>
      </c>
      <c r="M497" s="116">
        <v>343.35</v>
      </c>
      <c r="N497" s="116">
        <v>354.95</v>
      </c>
      <c r="O497" s="116">
        <v>342.4</v>
      </c>
      <c r="P497" s="116">
        <v>354.95</v>
      </c>
      <c r="Q497" s="116">
        <v>343.35</v>
      </c>
      <c r="R497">
        <v>1834038</v>
      </c>
    </row>
    <row r="498" spans="1:18" x14ac:dyDescent="0.25">
      <c r="A498" s="165">
        <v>45328</v>
      </c>
      <c r="B498" s="116">
        <v>350.75</v>
      </c>
      <c r="C498" s="116">
        <v>343.15</v>
      </c>
      <c r="D498" s="116">
        <v>340.25</v>
      </c>
      <c r="E498" s="116">
        <v>348.85</v>
      </c>
      <c r="F498" s="116">
        <v>343.15</v>
      </c>
      <c r="G498">
        <v>302600</v>
      </c>
      <c r="H498" s="116"/>
      <c r="I498" s="116"/>
      <c r="L498" s="165">
        <v>45328</v>
      </c>
      <c r="M498" s="116">
        <v>343.2</v>
      </c>
      <c r="N498" s="116">
        <v>351</v>
      </c>
      <c r="O498" s="116">
        <v>340.7</v>
      </c>
      <c r="P498" s="116">
        <v>346.75</v>
      </c>
      <c r="Q498" s="116">
        <v>343.2</v>
      </c>
      <c r="R498">
        <v>1257367</v>
      </c>
    </row>
    <row r="499" spans="1:18" x14ac:dyDescent="0.25">
      <c r="A499" s="165">
        <v>45329</v>
      </c>
      <c r="B499" s="116">
        <v>358</v>
      </c>
      <c r="C499" s="116">
        <v>354.95</v>
      </c>
      <c r="D499" s="116">
        <v>344.1</v>
      </c>
      <c r="E499" s="116">
        <v>344.45</v>
      </c>
      <c r="F499" s="116">
        <v>354.95</v>
      </c>
      <c r="G499">
        <v>235729</v>
      </c>
      <c r="H499" s="116"/>
      <c r="I499" s="116"/>
      <c r="L499" s="165">
        <v>45329</v>
      </c>
      <c r="M499" s="116">
        <v>355.05</v>
      </c>
      <c r="N499" s="116">
        <v>358</v>
      </c>
      <c r="O499" s="116">
        <v>344.05</v>
      </c>
      <c r="P499" s="116">
        <v>344.9</v>
      </c>
      <c r="Q499" s="116">
        <v>355.05</v>
      </c>
      <c r="R499">
        <v>3522792</v>
      </c>
    </row>
    <row r="500" spans="1:18" x14ac:dyDescent="0.25">
      <c r="A500" s="165">
        <v>45330</v>
      </c>
      <c r="B500" s="116">
        <v>357</v>
      </c>
      <c r="C500" s="116">
        <v>348.6</v>
      </c>
      <c r="D500" s="116">
        <v>347.95</v>
      </c>
      <c r="E500" s="116">
        <v>356.05</v>
      </c>
      <c r="F500" s="116">
        <v>348.6</v>
      </c>
      <c r="G500">
        <v>73484</v>
      </c>
      <c r="H500" s="116"/>
      <c r="I500" s="116"/>
      <c r="L500" s="165">
        <v>45330</v>
      </c>
      <c r="M500" s="116">
        <v>348.65</v>
      </c>
      <c r="N500" s="116">
        <v>357.45</v>
      </c>
      <c r="O500" s="116">
        <v>347.95</v>
      </c>
      <c r="P500" s="116">
        <v>357</v>
      </c>
      <c r="Q500" s="116">
        <v>348.65</v>
      </c>
      <c r="R500">
        <v>1287732</v>
      </c>
    </row>
    <row r="501" spans="1:18" x14ac:dyDescent="0.25">
      <c r="A501" s="165">
        <v>45331</v>
      </c>
      <c r="B501" s="116">
        <v>354.4</v>
      </c>
      <c r="C501" s="116">
        <v>345.5</v>
      </c>
      <c r="D501" s="116">
        <v>342.25</v>
      </c>
      <c r="E501" s="116">
        <v>349</v>
      </c>
      <c r="F501" s="116">
        <v>345.5</v>
      </c>
      <c r="G501">
        <v>81834</v>
      </c>
      <c r="H501" s="116"/>
      <c r="I501" s="116"/>
      <c r="L501" s="165">
        <v>45331</v>
      </c>
      <c r="M501" s="116">
        <v>344.95</v>
      </c>
      <c r="N501" s="116">
        <v>354.4</v>
      </c>
      <c r="O501" s="116">
        <v>342.35</v>
      </c>
      <c r="P501" s="116">
        <v>349</v>
      </c>
      <c r="Q501" s="116">
        <v>344.95</v>
      </c>
      <c r="R501">
        <v>1199105</v>
      </c>
    </row>
    <row r="502" spans="1:18" x14ac:dyDescent="0.25">
      <c r="A502" s="165">
        <v>45334</v>
      </c>
      <c r="B502" s="116">
        <v>348.45</v>
      </c>
      <c r="C502" s="116">
        <v>338.55</v>
      </c>
      <c r="D502" s="116">
        <v>337.95</v>
      </c>
      <c r="E502" s="116">
        <v>347.35</v>
      </c>
      <c r="F502" s="116">
        <v>338.55</v>
      </c>
      <c r="G502">
        <v>293040</v>
      </c>
      <c r="H502" s="116"/>
      <c r="I502" s="116"/>
      <c r="L502" s="165">
        <v>45334</v>
      </c>
      <c r="M502" s="116">
        <v>338.4</v>
      </c>
      <c r="N502" s="116">
        <v>348.4</v>
      </c>
      <c r="O502" s="116">
        <v>337</v>
      </c>
      <c r="P502" s="116">
        <v>346.9</v>
      </c>
      <c r="Q502" s="116">
        <v>338.4</v>
      </c>
      <c r="R502">
        <v>1142901</v>
      </c>
    </row>
    <row r="503" spans="1:18" x14ac:dyDescent="0.25">
      <c r="A503" s="165">
        <v>45335</v>
      </c>
      <c r="B503" s="116">
        <v>340.05</v>
      </c>
      <c r="C503" s="116">
        <v>333.75</v>
      </c>
      <c r="D503" s="116">
        <v>328.9</v>
      </c>
      <c r="E503" s="116">
        <v>339.55</v>
      </c>
      <c r="F503" s="116">
        <v>333.75</v>
      </c>
      <c r="G503">
        <v>255950</v>
      </c>
      <c r="H503" s="116"/>
      <c r="I503" s="116"/>
      <c r="L503" s="165">
        <v>45335</v>
      </c>
      <c r="M503" s="116">
        <v>333.8</v>
      </c>
      <c r="N503" s="116">
        <v>340</v>
      </c>
      <c r="O503" s="116">
        <v>328.8</v>
      </c>
      <c r="P503" s="116">
        <v>340</v>
      </c>
      <c r="Q503" s="116">
        <v>333.8</v>
      </c>
      <c r="R503">
        <v>963337</v>
      </c>
    </row>
    <row r="504" spans="1:18" x14ac:dyDescent="0.25">
      <c r="A504" s="165">
        <v>45336</v>
      </c>
      <c r="B504" s="116">
        <v>341.15</v>
      </c>
      <c r="C504" s="116">
        <v>337.9</v>
      </c>
      <c r="D504" s="116">
        <v>330.05</v>
      </c>
      <c r="E504" s="116">
        <v>333</v>
      </c>
      <c r="F504" s="116">
        <v>337.9</v>
      </c>
      <c r="G504">
        <v>68666</v>
      </c>
      <c r="H504" s="116"/>
      <c r="I504" s="116"/>
      <c r="L504" s="165">
        <v>45336</v>
      </c>
      <c r="M504" s="116">
        <v>337.85</v>
      </c>
      <c r="N504" s="116">
        <v>341.15</v>
      </c>
      <c r="O504" s="116">
        <v>330.45</v>
      </c>
      <c r="P504" s="116">
        <v>332</v>
      </c>
      <c r="Q504" s="116">
        <v>337.85</v>
      </c>
      <c r="R504">
        <v>1019035</v>
      </c>
    </row>
    <row r="505" spans="1:18" x14ac:dyDescent="0.25">
      <c r="A505" s="165">
        <v>45337</v>
      </c>
      <c r="B505" s="116">
        <v>343.75</v>
      </c>
      <c r="C505" s="116">
        <v>337.3</v>
      </c>
      <c r="D505" s="116">
        <v>336</v>
      </c>
      <c r="E505" s="116">
        <v>340.25</v>
      </c>
      <c r="F505" s="116">
        <v>337.3</v>
      </c>
      <c r="G505">
        <v>174659</v>
      </c>
      <c r="H505" s="116"/>
      <c r="I505" s="116"/>
      <c r="L505" s="165">
        <v>45337</v>
      </c>
      <c r="M505" s="116">
        <v>337.05</v>
      </c>
      <c r="N505" s="116">
        <v>344</v>
      </c>
      <c r="O505" s="116">
        <v>336</v>
      </c>
      <c r="P505" s="116">
        <v>340.8</v>
      </c>
      <c r="Q505" s="116">
        <v>337.05</v>
      </c>
      <c r="R505">
        <v>861690</v>
      </c>
    </row>
    <row r="506" spans="1:18" x14ac:dyDescent="0.25">
      <c r="A506" s="165">
        <v>45338</v>
      </c>
      <c r="B506" s="116">
        <v>353</v>
      </c>
      <c r="C506" s="116">
        <v>346.7</v>
      </c>
      <c r="D506" s="116">
        <v>336.4</v>
      </c>
      <c r="E506" s="116">
        <v>338.05</v>
      </c>
      <c r="F506" s="116">
        <v>346.7</v>
      </c>
      <c r="G506">
        <v>337799</v>
      </c>
      <c r="H506" s="116"/>
      <c r="I506" s="116"/>
      <c r="L506" s="165">
        <v>45338</v>
      </c>
      <c r="M506" s="116">
        <v>346.5</v>
      </c>
      <c r="N506" s="116">
        <v>353</v>
      </c>
      <c r="O506" s="116">
        <v>336.65</v>
      </c>
      <c r="P506" s="116">
        <v>339</v>
      </c>
      <c r="Q506" s="116">
        <v>346.5</v>
      </c>
      <c r="R506">
        <v>2547871</v>
      </c>
    </row>
    <row r="507" spans="1:18" x14ac:dyDescent="0.25">
      <c r="A507" s="165">
        <v>45341</v>
      </c>
      <c r="B507" s="116">
        <v>374.3</v>
      </c>
      <c r="C507" s="116">
        <v>366.4</v>
      </c>
      <c r="D507" s="116">
        <v>347.15</v>
      </c>
      <c r="E507" s="116">
        <v>347.15</v>
      </c>
      <c r="F507" s="116">
        <v>366.4</v>
      </c>
      <c r="G507">
        <v>1527715</v>
      </c>
      <c r="H507" s="116"/>
      <c r="I507" s="116"/>
      <c r="L507" s="165">
        <v>45341</v>
      </c>
      <c r="M507" s="116">
        <v>366.45</v>
      </c>
      <c r="N507" s="116">
        <v>374.75</v>
      </c>
      <c r="O507" s="116">
        <v>347.85</v>
      </c>
      <c r="P507" s="116">
        <v>348</v>
      </c>
      <c r="Q507" s="116">
        <v>366.45</v>
      </c>
      <c r="R507">
        <v>8004738</v>
      </c>
    </row>
    <row r="508" spans="1:18" x14ac:dyDescent="0.25">
      <c r="A508" s="165">
        <v>45342</v>
      </c>
      <c r="B508" s="116">
        <v>379</v>
      </c>
      <c r="C508" s="116">
        <v>369.65</v>
      </c>
      <c r="D508" s="116">
        <v>361.85</v>
      </c>
      <c r="E508" s="116">
        <v>369.85</v>
      </c>
      <c r="F508" s="116">
        <v>369.65</v>
      </c>
      <c r="G508">
        <v>354847</v>
      </c>
      <c r="H508" s="116"/>
      <c r="I508" s="116"/>
      <c r="L508" s="165">
        <v>45342</v>
      </c>
      <c r="M508" s="116">
        <v>369.7</v>
      </c>
      <c r="N508" s="116">
        <v>378.95</v>
      </c>
      <c r="O508" s="116">
        <v>361.8</v>
      </c>
      <c r="P508" s="116">
        <v>369.35</v>
      </c>
      <c r="Q508" s="116">
        <v>369.7</v>
      </c>
      <c r="R508">
        <v>5721766</v>
      </c>
    </row>
    <row r="509" spans="1:18" x14ac:dyDescent="0.25">
      <c r="A509" s="165">
        <v>45343</v>
      </c>
      <c r="B509" s="116">
        <v>372.6</v>
      </c>
      <c r="C509" s="116">
        <v>360.85</v>
      </c>
      <c r="D509" s="116">
        <v>356.25</v>
      </c>
      <c r="E509" s="116">
        <v>370.45</v>
      </c>
      <c r="F509" s="116">
        <v>360.85</v>
      </c>
      <c r="G509">
        <v>259509</v>
      </c>
      <c r="H509" s="116"/>
      <c r="I509" s="116"/>
      <c r="L509" s="165">
        <v>45343</v>
      </c>
      <c r="M509" s="116">
        <v>360.6</v>
      </c>
      <c r="N509" s="116">
        <v>373</v>
      </c>
      <c r="O509" s="116">
        <v>356.35</v>
      </c>
      <c r="P509" s="116">
        <v>370.7</v>
      </c>
      <c r="Q509" s="116">
        <v>360.6</v>
      </c>
      <c r="R509">
        <v>2925334</v>
      </c>
    </row>
    <row r="510" spans="1:18" x14ac:dyDescent="0.25">
      <c r="A510" s="165">
        <v>45344</v>
      </c>
      <c r="B510" s="116">
        <v>363.6</v>
      </c>
      <c r="C510" s="116">
        <v>360.3</v>
      </c>
      <c r="D510" s="116">
        <v>355.85</v>
      </c>
      <c r="E510" s="116">
        <v>362.85</v>
      </c>
      <c r="F510" s="116">
        <v>360.3</v>
      </c>
      <c r="G510">
        <v>210268</v>
      </c>
      <c r="H510" s="116"/>
      <c r="I510" s="116"/>
      <c r="L510" s="165">
        <v>45344</v>
      </c>
      <c r="M510" s="116">
        <v>360.65</v>
      </c>
      <c r="N510" s="116">
        <v>363.4</v>
      </c>
      <c r="O510" s="116">
        <v>355.6</v>
      </c>
      <c r="P510" s="116">
        <v>363.35</v>
      </c>
      <c r="Q510" s="116">
        <v>360.65</v>
      </c>
      <c r="R510">
        <v>1330394</v>
      </c>
    </row>
    <row r="511" spans="1:18" x14ac:dyDescent="0.25">
      <c r="A511" s="165">
        <v>45345</v>
      </c>
      <c r="B511" s="116">
        <v>393.5</v>
      </c>
      <c r="C511" s="116">
        <v>390.6</v>
      </c>
      <c r="D511" s="116">
        <v>362</v>
      </c>
      <c r="E511" s="116">
        <v>362.5</v>
      </c>
      <c r="F511" s="116">
        <v>390.6</v>
      </c>
      <c r="G511">
        <v>1141081</v>
      </c>
      <c r="H511" s="116"/>
      <c r="I511" s="116"/>
      <c r="L511" s="165">
        <v>45345</v>
      </c>
      <c r="M511" s="116">
        <v>389.95</v>
      </c>
      <c r="N511" s="116">
        <v>393.7</v>
      </c>
      <c r="O511" s="116">
        <v>362.05</v>
      </c>
      <c r="P511" s="116">
        <v>362.1</v>
      </c>
      <c r="Q511" s="116">
        <v>389.95</v>
      </c>
      <c r="R511">
        <v>22868786</v>
      </c>
    </row>
    <row r="512" spans="1:18" x14ac:dyDescent="0.25">
      <c r="A512" s="165">
        <v>45348</v>
      </c>
      <c r="B512" s="116">
        <v>408.7</v>
      </c>
      <c r="C512" s="116">
        <v>398.9</v>
      </c>
      <c r="D512" s="116">
        <v>385.8</v>
      </c>
      <c r="E512" s="116">
        <v>392</v>
      </c>
      <c r="F512" s="116">
        <v>398.9</v>
      </c>
      <c r="G512">
        <v>2064880</v>
      </c>
      <c r="H512" s="116"/>
      <c r="I512" s="116"/>
      <c r="L512" s="165">
        <v>45348</v>
      </c>
      <c r="M512" s="116">
        <v>398.7</v>
      </c>
      <c r="N512" s="116">
        <v>408.95</v>
      </c>
      <c r="O512" s="116">
        <v>386.1</v>
      </c>
      <c r="P512" s="116">
        <v>391</v>
      </c>
      <c r="Q512" s="116">
        <v>398.7</v>
      </c>
      <c r="R512">
        <v>17113132</v>
      </c>
    </row>
    <row r="513" spans="1:18" x14ac:dyDescent="0.25">
      <c r="A513" s="165">
        <v>45349</v>
      </c>
      <c r="B513" s="116">
        <v>403.8</v>
      </c>
      <c r="C513" s="116">
        <v>387.8</v>
      </c>
      <c r="D513" s="116">
        <v>386.1</v>
      </c>
      <c r="E513" s="116">
        <v>401.7</v>
      </c>
      <c r="F513" s="116">
        <v>387.8</v>
      </c>
      <c r="G513">
        <v>749241</v>
      </c>
      <c r="H513" s="116"/>
      <c r="I513" s="116"/>
      <c r="L513" s="165">
        <v>45349</v>
      </c>
      <c r="M513" s="116">
        <v>387.85</v>
      </c>
      <c r="N513" s="116">
        <v>403.7</v>
      </c>
      <c r="O513" s="116">
        <v>386</v>
      </c>
      <c r="P513" s="116">
        <v>400.8</v>
      </c>
      <c r="Q513" s="116">
        <v>387.85</v>
      </c>
      <c r="R513">
        <v>5944017</v>
      </c>
    </row>
    <row r="514" spans="1:18" x14ac:dyDescent="0.25">
      <c r="A514" s="165">
        <v>45350</v>
      </c>
      <c r="B514" s="116">
        <v>398.85</v>
      </c>
      <c r="C514" s="116">
        <v>381.55</v>
      </c>
      <c r="D514" s="116">
        <v>380</v>
      </c>
      <c r="E514" s="116">
        <v>388.15</v>
      </c>
      <c r="F514" s="116">
        <v>381.55</v>
      </c>
      <c r="G514">
        <v>293600</v>
      </c>
      <c r="H514" s="116"/>
      <c r="I514" s="116"/>
      <c r="L514" s="165">
        <v>45350</v>
      </c>
      <c r="M514" s="116">
        <v>381.55</v>
      </c>
      <c r="N514" s="116">
        <v>398.7</v>
      </c>
      <c r="O514" s="116">
        <v>380</v>
      </c>
      <c r="P514" s="116">
        <v>388.7</v>
      </c>
      <c r="Q514" s="116">
        <v>381.55</v>
      </c>
      <c r="R514">
        <v>6361852</v>
      </c>
    </row>
    <row r="515" spans="1:18" x14ac:dyDescent="0.25">
      <c r="A515" s="165">
        <v>45351</v>
      </c>
      <c r="B515" s="116">
        <v>384</v>
      </c>
      <c r="C515" s="116">
        <v>381.75</v>
      </c>
      <c r="D515" s="116">
        <v>372.8</v>
      </c>
      <c r="E515" s="116">
        <v>380.05</v>
      </c>
      <c r="F515" s="116">
        <v>381.75</v>
      </c>
      <c r="G515">
        <v>426868</v>
      </c>
      <c r="H515" s="116"/>
      <c r="I515" s="116"/>
      <c r="L515" s="165">
        <v>45351</v>
      </c>
      <c r="M515" s="116">
        <v>381.65</v>
      </c>
      <c r="N515" s="116">
        <v>384.75</v>
      </c>
      <c r="O515" s="116">
        <v>372.75</v>
      </c>
      <c r="P515" s="116">
        <v>380.95</v>
      </c>
      <c r="Q515" s="116">
        <v>381.65</v>
      </c>
      <c r="R515">
        <v>3172514</v>
      </c>
    </row>
    <row r="516" spans="1:18" x14ac:dyDescent="0.25">
      <c r="A516" s="165">
        <v>45352</v>
      </c>
      <c r="B516" s="116">
        <v>388.8</v>
      </c>
      <c r="C516" s="116">
        <v>381.35</v>
      </c>
      <c r="D516" s="116">
        <v>378.55</v>
      </c>
      <c r="E516" s="116">
        <v>385</v>
      </c>
      <c r="F516" s="116">
        <v>381.35</v>
      </c>
      <c r="G516">
        <v>345481</v>
      </c>
      <c r="H516" s="116"/>
      <c r="I516" s="116"/>
      <c r="L516" s="165">
        <v>45352</v>
      </c>
      <c r="M516" s="116">
        <v>381.15</v>
      </c>
      <c r="N516" s="116">
        <v>388.7</v>
      </c>
      <c r="O516" s="116">
        <v>378</v>
      </c>
      <c r="P516" s="116">
        <v>385</v>
      </c>
      <c r="Q516" s="116">
        <v>381.15</v>
      </c>
      <c r="R516">
        <v>2306169</v>
      </c>
    </row>
    <row r="517" spans="1:18" x14ac:dyDescent="0.25">
      <c r="A517" s="165">
        <v>45353</v>
      </c>
      <c r="B517" s="116">
        <v>389</v>
      </c>
      <c r="C517" s="116">
        <v>386.35</v>
      </c>
      <c r="D517" s="116">
        <v>378</v>
      </c>
      <c r="E517" s="116">
        <v>383.05</v>
      </c>
      <c r="F517" s="116">
        <v>386.35</v>
      </c>
      <c r="G517">
        <v>94644</v>
      </c>
      <c r="H517" s="116"/>
      <c r="I517" s="116"/>
      <c r="L517" s="165">
        <v>45353</v>
      </c>
      <c r="M517" s="116">
        <v>386.6</v>
      </c>
      <c r="N517" s="116">
        <v>389.55</v>
      </c>
      <c r="O517" s="116">
        <v>381</v>
      </c>
      <c r="P517" s="116">
        <v>383.5</v>
      </c>
      <c r="Q517" s="116">
        <v>386.6</v>
      </c>
      <c r="R517">
        <v>566369</v>
      </c>
    </row>
    <row r="518" spans="1:18" x14ac:dyDescent="0.25">
      <c r="A518" s="165">
        <v>45355</v>
      </c>
      <c r="B518" s="116">
        <v>388.65</v>
      </c>
      <c r="C518" s="116">
        <v>375.3</v>
      </c>
      <c r="D518" s="116">
        <v>372.85</v>
      </c>
      <c r="E518" s="116">
        <v>387.25</v>
      </c>
      <c r="F518" s="116">
        <v>375.3</v>
      </c>
      <c r="G518">
        <v>130632</v>
      </c>
      <c r="H518" s="116"/>
      <c r="I518" s="116"/>
      <c r="L518" s="165">
        <v>45355</v>
      </c>
      <c r="M518" s="116">
        <v>375.3</v>
      </c>
      <c r="N518" s="116">
        <v>388.8</v>
      </c>
      <c r="O518" s="116">
        <v>372</v>
      </c>
      <c r="P518" s="116">
        <v>388.5</v>
      </c>
      <c r="Q518" s="116">
        <v>375.3</v>
      </c>
      <c r="R518">
        <v>2068156</v>
      </c>
    </row>
    <row r="519" spans="1:18" x14ac:dyDescent="0.25">
      <c r="A519" s="165">
        <v>45356</v>
      </c>
      <c r="B519" s="116">
        <v>378.2</v>
      </c>
      <c r="C519" s="116">
        <v>366</v>
      </c>
      <c r="D519" s="116">
        <v>365</v>
      </c>
      <c r="E519" s="116">
        <v>376.35</v>
      </c>
      <c r="F519" s="116">
        <v>366</v>
      </c>
      <c r="G519">
        <v>305137</v>
      </c>
      <c r="H519" s="116"/>
      <c r="I519" s="116"/>
      <c r="L519" s="165">
        <v>45356</v>
      </c>
      <c r="M519" s="116">
        <v>366</v>
      </c>
      <c r="N519" s="116">
        <v>378.4</v>
      </c>
      <c r="O519" s="116">
        <v>365</v>
      </c>
      <c r="P519" s="116">
        <v>375.85</v>
      </c>
      <c r="Q519" s="116">
        <v>366</v>
      </c>
      <c r="R519">
        <v>2098762</v>
      </c>
    </row>
    <row r="520" spans="1:18" x14ac:dyDescent="0.25">
      <c r="A520" s="165">
        <v>45357</v>
      </c>
      <c r="B520" s="116">
        <v>372.1</v>
      </c>
      <c r="C520" s="116">
        <v>361.55</v>
      </c>
      <c r="D520" s="116">
        <v>356.6</v>
      </c>
      <c r="E520" s="116">
        <v>366.75</v>
      </c>
      <c r="F520" s="116">
        <v>361.55</v>
      </c>
      <c r="G520">
        <v>371496</v>
      </c>
      <c r="H520" s="116"/>
      <c r="I520" s="116"/>
      <c r="L520" s="165">
        <v>45357</v>
      </c>
      <c r="M520" s="116">
        <v>361.35</v>
      </c>
      <c r="N520" s="116">
        <v>372.3</v>
      </c>
      <c r="O520" s="116">
        <v>356.3</v>
      </c>
      <c r="P520" s="116">
        <v>366.6</v>
      </c>
      <c r="Q520" s="116">
        <v>361.35</v>
      </c>
      <c r="R520">
        <v>2233595</v>
      </c>
    </row>
    <row r="521" spans="1:18" x14ac:dyDescent="0.25">
      <c r="A521" s="165">
        <v>45358</v>
      </c>
      <c r="B521" s="116">
        <v>367.8</v>
      </c>
      <c r="C521" s="116">
        <v>362.4</v>
      </c>
      <c r="D521" s="116">
        <v>360.95</v>
      </c>
      <c r="E521" s="116">
        <v>362.55</v>
      </c>
      <c r="F521" s="116">
        <v>362.4</v>
      </c>
      <c r="G521">
        <v>206738</v>
      </c>
      <c r="H521" s="116"/>
      <c r="I521" s="116"/>
      <c r="L521" s="165">
        <v>45358</v>
      </c>
      <c r="M521" s="116">
        <v>362.45</v>
      </c>
      <c r="N521" s="116">
        <v>367.75</v>
      </c>
      <c r="O521" s="116">
        <v>361.05</v>
      </c>
      <c r="P521" s="116">
        <v>363.35</v>
      </c>
      <c r="Q521" s="116">
        <v>362.45</v>
      </c>
      <c r="R521">
        <v>1118321</v>
      </c>
    </row>
    <row r="522" spans="1:18" x14ac:dyDescent="0.25">
      <c r="A522" s="165">
        <v>45362</v>
      </c>
      <c r="B522" s="116">
        <v>364.6</v>
      </c>
      <c r="C522" s="116">
        <v>353.15</v>
      </c>
      <c r="D522" s="116">
        <v>352</v>
      </c>
      <c r="E522" s="116">
        <v>363.55</v>
      </c>
      <c r="F522" s="116">
        <v>353.15</v>
      </c>
      <c r="G522">
        <v>105448</v>
      </c>
      <c r="H522" s="116"/>
      <c r="I522" s="116"/>
      <c r="L522" s="165">
        <v>45362</v>
      </c>
      <c r="M522" s="116">
        <v>352.85</v>
      </c>
      <c r="N522" s="116">
        <v>364.25</v>
      </c>
      <c r="O522" s="116">
        <v>352</v>
      </c>
      <c r="P522" s="116">
        <v>364</v>
      </c>
      <c r="Q522" s="116">
        <v>352.85</v>
      </c>
      <c r="R522">
        <v>1539837</v>
      </c>
    </row>
    <row r="523" spans="1:18" x14ac:dyDescent="0.25">
      <c r="A523" s="165">
        <v>45363</v>
      </c>
      <c r="B523" s="116">
        <v>359</v>
      </c>
      <c r="C523" s="116">
        <v>347.35</v>
      </c>
      <c r="D523" s="116">
        <v>344</v>
      </c>
      <c r="E523" s="116">
        <v>354.55</v>
      </c>
      <c r="F523" s="116">
        <v>347.35</v>
      </c>
      <c r="G523">
        <v>414435</v>
      </c>
      <c r="H523" s="116"/>
      <c r="I523" s="116"/>
      <c r="L523" s="165">
        <v>45363</v>
      </c>
      <c r="M523" s="116">
        <v>347.1</v>
      </c>
      <c r="N523" s="116">
        <v>358.9</v>
      </c>
      <c r="O523" s="116">
        <v>343.8</v>
      </c>
      <c r="P523" s="116">
        <v>354</v>
      </c>
      <c r="Q523" s="116">
        <v>347.1</v>
      </c>
      <c r="R523">
        <v>2473806</v>
      </c>
    </row>
    <row r="524" spans="1:18" x14ac:dyDescent="0.25">
      <c r="A524" s="165">
        <v>45364</v>
      </c>
      <c r="B524" s="116">
        <v>353.85</v>
      </c>
      <c r="C524" s="116">
        <v>332.6</v>
      </c>
      <c r="D524" s="116">
        <v>325.25</v>
      </c>
      <c r="E524" s="116">
        <v>349.95</v>
      </c>
      <c r="F524" s="116">
        <v>332.6</v>
      </c>
      <c r="G524">
        <v>665819</v>
      </c>
      <c r="H524" s="116"/>
      <c r="I524" s="116"/>
      <c r="L524" s="165">
        <v>45364</v>
      </c>
      <c r="M524" s="116">
        <v>332.55</v>
      </c>
      <c r="N524" s="116">
        <v>353.7</v>
      </c>
      <c r="O524" s="116">
        <v>325.35000000000002</v>
      </c>
      <c r="P524" s="116">
        <v>348.9</v>
      </c>
      <c r="Q524" s="116">
        <v>332.55</v>
      </c>
      <c r="R524">
        <v>3833297</v>
      </c>
    </row>
    <row r="525" spans="1:18" x14ac:dyDescent="0.25">
      <c r="A525" s="165">
        <v>45365</v>
      </c>
      <c r="B525" s="116">
        <v>349.45</v>
      </c>
      <c r="C525" s="116">
        <v>347.25</v>
      </c>
      <c r="D525" s="116">
        <v>325.35000000000002</v>
      </c>
      <c r="E525" s="116">
        <v>330.85</v>
      </c>
      <c r="F525" s="116">
        <v>347.25</v>
      </c>
      <c r="G525">
        <v>453545</v>
      </c>
      <c r="H525" s="116"/>
      <c r="I525" s="116"/>
      <c r="L525" s="165">
        <v>45365</v>
      </c>
      <c r="M525" s="116">
        <v>347.45</v>
      </c>
      <c r="N525" s="116">
        <v>350</v>
      </c>
      <c r="O525" s="116">
        <v>324.85000000000002</v>
      </c>
      <c r="P525" s="116">
        <v>333</v>
      </c>
      <c r="Q525" s="116">
        <v>347.45</v>
      </c>
      <c r="R525">
        <v>2508962</v>
      </c>
    </row>
    <row r="526" spans="1:18" x14ac:dyDescent="0.25">
      <c r="A526" s="165">
        <v>45366</v>
      </c>
      <c r="B526" s="116">
        <v>355.55</v>
      </c>
      <c r="C526" s="116">
        <v>344.45</v>
      </c>
      <c r="D526" s="116">
        <v>341.8</v>
      </c>
      <c r="E526" s="116">
        <v>349.05</v>
      </c>
      <c r="F526" s="116">
        <v>344.45</v>
      </c>
      <c r="G526">
        <v>173502</v>
      </c>
      <c r="H526" s="116"/>
      <c r="I526" s="116"/>
      <c r="L526" s="165">
        <v>45366</v>
      </c>
      <c r="M526" s="116">
        <v>344.15</v>
      </c>
      <c r="N526" s="116">
        <v>355.8</v>
      </c>
      <c r="O526" s="116">
        <v>341.5</v>
      </c>
      <c r="P526" s="116">
        <v>348.5</v>
      </c>
      <c r="Q526" s="116">
        <v>344.15</v>
      </c>
      <c r="R526">
        <v>2180481</v>
      </c>
    </row>
    <row r="527" spans="1:18" x14ac:dyDescent="0.25">
      <c r="A527" s="165">
        <v>45369</v>
      </c>
      <c r="B527" s="116">
        <v>341.45</v>
      </c>
      <c r="C527" s="116">
        <v>337.4</v>
      </c>
      <c r="D527" s="116">
        <v>334.25</v>
      </c>
      <c r="E527" s="116">
        <v>339.95</v>
      </c>
      <c r="F527" s="116">
        <v>337.4</v>
      </c>
      <c r="G527">
        <v>242437</v>
      </c>
      <c r="H527" s="116"/>
      <c r="I527" s="116"/>
      <c r="L527" s="165">
        <v>45369</v>
      </c>
      <c r="M527" s="116">
        <v>337.35</v>
      </c>
      <c r="N527" s="116">
        <v>341.5</v>
      </c>
      <c r="O527" s="116">
        <v>334.2</v>
      </c>
      <c r="P527" s="116">
        <v>338.05</v>
      </c>
      <c r="Q527" s="116">
        <v>337.35</v>
      </c>
      <c r="R527">
        <v>1526899</v>
      </c>
    </row>
    <row r="528" spans="1:18" x14ac:dyDescent="0.25">
      <c r="A528" s="165">
        <v>45370</v>
      </c>
      <c r="B528" s="116">
        <v>344</v>
      </c>
      <c r="C528" s="116">
        <v>335.2</v>
      </c>
      <c r="D528" s="116">
        <v>334.15</v>
      </c>
      <c r="E528" s="116">
        <v>338.35</v>
      </c>
      <c r="F528" s="116">
        <v>335.2</v>
      </c>
      <c r="G528">
        <v>224895</v>
      </c>
      <c r="H528" s="116"/>
      <c r="I528" s="116"/>
      <c r="L528" s="165">
        <v>45370</v>
      </c>
      <c r="M528" s="116">
        <v>335.3</v>
      </c>
      <c r="N528" s="116">
        <v>344.65</v>
      </c>
      <c r="O528" s="116">
        <v>334.1</v>
      </c>
      <c r="P528" s="116">
        <v>338.8</v>
      </c>
      <c r="Q528" s="116">
        <v>335.3</v>
      </c>
      <c r="R528">
        <v>1444260</v>
      </c>
    </row>
    <row r="529" spans="1:18" x14ac:dyDescent="0.25">
      <c r="A529" s="165">
        <v>45371</v>
      </c>
      <c r="B529" s="116">
        <v>339.1</v>
      </c>
      <c r="C529" s="116">
        <v>331.15</v>
      </c>
      <c r="D529" s="116">
        <v>330.35</v>
      </c>
      <c r="E529" s="116">
        <v>337.55</v>
      </c>
      <c r="F529" s="116">
        <v>331.15</v>
      </c>
      <c r="G529">
        <v>82628</v>
      </c>
      <c r="H529" s="116"/>
      <c r="I529" s="116"/>
      <c r="L529" s="165">
        <v>45371</v>
      </c>
      <c r="M529" s="116">
        <v>330.95</v>
      </c>
      <c r="N529" s="116">
        <v>339.5</v>
      </c>
      <c r="O529" s="116">
        <v>330</v>
      </c>
      <c r="P529" s="116">
        <v>337.05</v>
      </c>
      <c r="Q529" s="116">
        <v>330.95</v>
      </c>
      <c r="R529">
        <v>1373270</v>
      </c>
    </row>
    <row r="530" spans="1:18" x14ac:dyDescent="0.25">
      <c r="A530" s="165">
        <v>45372</v>
      </c>
      <c r="B530" s="116">
        <v>336.95</v>
      </c>
      <c r="C530" s="116">
        <v>333.5</v>
      </c>
      <c r="D530" s="116">
        <v>332.65</v>
      </c>
      <c r="E530" s="116">
        <v>333.75</v>
      </c>
      <c r="F530" s="116">
        <v>333.5</v>
      </c>
      <c r="G530">
        <v>238681</v>
      </c>
      <c r="H530" s="116"/>
      <c r="I530" s="116"/>
      <c r="L530" s="165">
        <v>45372</v>
      </c>
      <c r="M530" s="116">
        <v>333.7</v>
      </c>
      <c r="N530" s="116">
        <v>337.5</v>
      </c>
      <c r="O530" s="116">
        <v>332.5</v>
      </c>
      <c r="P530" s="116">
        <v>334.45</v>
      </c>
      <c r="Q530" s="116">
        <v>333.7</v>
      </c>
      <c r="R530">
        <v>1222130</v>
      </c>
    </row>
    <row r="531" spans="1:18" x14ac:dyDescent="0.25">
      <c r="A531" s="165">
        <v>45373</v>
      </c>
      <c r="B531" s="116">
        <v>338</v>
      </c>
      <c r="C531" s="116">
        <v>335.75</v>
      </c>
      <c r="D531" s="116">
        <v>334.8</v>
      </c>
      <c r="E531" s="116">
        <v>335.35</v>
      </c>
      <c r="F531" s="116">
        <v>335.75</v>
      </c>
      <c r="G531">
        <v>104532</v>
      </c>
      <c r="H531" s="116"/>
      <c r="I531" s="116"/>
      <c r="L531" s="165">
        <v>45373</v>
      </c>
      <c r="M531" s="116">
        <v>335.7</v>
      </c>
      <c r="N531" s="116">
        <v>338.05</v>
      </c>
      <c r="O531" s="116">
        <v>334.05</v>
      </c>
      <c r="P531" s="116">
        <v>335</v>
      </c>
      <c r="Q531" s="116">
        <v>335.7</v>
      </c>
      <c r="R531">
        <v>1503391</v>
      </c>
    </row>
    <row r="532" spans="1:18" x14ac:dyDescent="0.25">
      <c r="A532" s="165">
        <v>45377</v>
      </c>
      <c r="B532" s="116">
        <v>341</v>
      </c>
      <c r="C532" s="116">
        <v>331.3</v>
      </c>
      <c r="D532" s="116">
        <v>330.55</v>
      </c>
      <c r="E532" s="116">
        <v>336.4</v>
      </c>
      <c r="F532" s="116">
        <v>331.3</v>
      </c>
      <c r="G532">
        <v>414576</v>
      </c>
      <c r="H532" s="116"/>
      <c r="I532" s="116"/>
      <c r="L532" s="165">
        <v>45377</v>
      </c>
      <c r="M532" s="116">
        <v>331.25</v>
      </c>
      <c r="N532" s="116">
        <v>341.6</v>
      </c>
      <c r="O532" s="116">
        <v>330.5</v>
      </c>
      <c r="P532" s="116">
        <v>336</v>
      </c>
      <c r="Q532" s="116">
        <v>331.25</v>
      </c>
      <c r="R532">
        <v>2004044</v>
      </c>
    </row>
    <row r="533" spans="1:18" x14ac:dyDescent="0.25">
      <c r="A533" s="165">
        <v>45378</v>
      </c>
      <c r="B533" s="116">
        <v>335</v>
      </c>
      <c r="C533" s="116">
        <v>323.60000000000002</v>
      </c>
      <c r="D533" s="116">
        <v>322</v>
      </c>
      <c r="E533" s="116">
        <v>333</v>
      </c>
      <c r="F533" s="116">
        <v>323.60000000000002</v>
      </c>
      <c r="G533">
        <v>526268</v>
      </c>
      <c r="H533" s="116"/>
      <c r="I533" s="116"/>
      <c r="L533" s="165">
        <v>45378</v>
      </c>
      <c r="M533" s="116">
        <v>323.5</v>
      </c>
      <c r="N533" s="116">
        <v>335.4</v>
      </c>
      <c r="O533" s="116">
        <v>321.64999999999998</v>
      </c>
      <c r="P533" s="116">
        <v>333</v>
      </c>
      <c r="Q533" s="116">
        <v>323.5</v>
      </c>
      <c r="R533">
        <v>3554876</v>
      </c>
    </row>
    <row r="534" spans="1:18" x14ac:dyDescent="0.25">
      <c r="A534" s="165">
        <v>45379</v>
      </c>
      <c r="B534" s="116">
        <v>329.95</v>
      </c>
      <c r="C534" s="116">
        <v>321.10000000000002</v>
      </c>
      <c r="D534" s="116">
        <v>320</v>
      </c>
      <c r="E534" s="116">
        <v>326.7</v>
      </c>
      <c r="F534" s="116">
        <v>321.10000000000002</v>
      </c>
      <c r="G534">
        <v>522109</v>
      </c>
      <c r="H534" s="116"/>
      <c r="I534" s="116"/>
      <c r="L534" s="165">
        <v>45379</v>
      </c>
      <c r="M534" s="116">
        <v>321.39999999999998</v>
      </c>
      <c r="N534" s="116">
        <v>330.95</v>
      </c>
      <c r="O534" s="116">
        <v>320.10000000000002</v>
      </c>
      <c r="P534" s="116">
        <v>327</v>
      </c>
      <c r="Q534" s="116">
        <v>321.39999999999998</v>
      </c>
      <c r="R534">
        <v>2237150</v>
      </c>
    </row>
    <row r="535" spans="1:18" x14ac:dyDescent="0.25">
      <c r="A535" s="165">
        <v>45383</v>
      </c>
      <c r="B535" s="116">
        <v>342</v>
      </c>
      <c r="C535" s="116">
        <v>340.1</v>
      </c>
      <c r="D535" s="116">
        <v>327.5</v>
      </c>
      <c r="E535" s="116">
        <v>327.60000000000002</v>
      </c>
      <c r="F535" s="116">
        <v>340.1</v>
      </c>
      <c r="G535">
        <v>213814</v>
      </c>
      <c r="H535" s="116"/>
      <c r="I535" s="116"/>
      <c r="L535" s="165">
        <v>45383</v>
      </c>
      <c r="M535" s="116">
        <v>340.2</v>
      </c>
      <c r="N535" s="116">
        <v>342</v>
      </c>
      <c r="O535" s="116">
        <v>326.14999999999998</v>
      </c>
      <c r="P535" s="116">
        <v>328</v>
      </c>
      <c r="Q535" s="116">
        <v>340.2</v>
      </c>
      <c r="R535">
        <v>3007473</v>
      </c>
    </row>
    <row r="536" spans="1:18" x14ac:dyDescent="0.25">
      <c r="A536" s="165">
        <v>45384</v>
      </c>
      <c r="B536" s="116">
        <v>362.65</v>
      </c>
      <c r="C536" s="116">
        <v>354.2</v>
      </c>
      <c r="D536" s="116">
        <v>336.65</v>
      </c>
      <c r="E536" s="116">
        <v>341.4</v>
      </c>
      <c r="F536" s="116">
        <v>354.2</v>
      </c>
      <c r="G536">
        <v>307092</v>
      </c>
      <c r="H536" s="116"/>
      <c r="I536" s="116"/>
      <c r="L536" s="165">
        <v>45384</v>
      </c>
      <c r="M536" s="116">
        <v>354.15</v>
      </c>
      <c r="N536" s="116">
        <v>362.5</v>
      </c>
      <c r="O536" s="116">
        <v>337.25</v>
      </c>
      <c r="P536" s="116">
        <v>341.05</v>
      </c>
      <c r="Q536" s="116">
        <v>354.15</v>
      </c>
      <c r="R536">
        <v>6117873</v>
      </c>
    </row>
    <row r="537" spans="1:18" x14ac:dyDescent="0.25">
      <c r="A537" s="165">
        <v>45385</v>
      </c>
      <c r="B537" s="116">
        <v>360.5</v>
      </c>
      <c r="C537" s="116">
        <v>353.45</v>
      </c>
      <c r="D537" s="116">
        <v>350.6</v>
      </c>
      <c r="E537" s="116">
        <v>352.8</v>
      </c>
      <c r="F537" s="116">
        <v>353.45</v>
      </c>
      <c r="G537">
        <v>358410</v>
      </c>
      <c r="H537" s="116"/>
      <c r="I537" s="116"/>
      <c r="L537" s="165">
        <v>45385</v>
      </c>
      <c r="M537" s="116">
        <v>353.7</v>
      </c>
      <c r="N537" s="116">
        <v>360.7</v>
      </c>
      <c r="O537" s="116">
        <v>351.15</v>
      </c>
      <c r="P537" s="116">
        <v>352.95</v>
      </c>
      <c r="Q537" s="116">
        <v>353.7</v>
      </c>
      <c r="R537">
        <v>2381515</v>
      </c>
    </row>
    <row r="538" spans="1:18" x14ac:dyDescent="0.25">
      <c r="A538" s="165">
        <v>45386</v>
      </c>
      <c r="B538" s="116">
        <v>358.95</v>
      </c>
      <c r="C538" s="116">
        <v>354.5</v>
      </c>
      <c r="D538" s="116">
        <v>352.5</v>
      </c>
      <c r="E538" s="116">
        <v>357.55</v>
      </c>
      <c r="F538" s="116">
        <v>354.5</v>
      </c>
      <c r="G538">
        <v>106537</v>
      </c>
      <c r="H538" s="116"/>
      <c r="I538" s="116"/>
      <c r="L538" s="165">
        <v>45386</v>
      </c>
      <c r="M538" s="116">
        <v>354.5</v>
      </c>
      <c r="N538" s="116">
        <v>358.8</v>
      </c>
      <c r="O538" s="116">
        <v>352.05</v>
      </c>
      <c r="P538" s="116">
        <v>356.4</v>
      </c>
      <c r="Q538" s="116">
        <v>354.5</v>
      </c>
      <c r="R538">
        <v>1654777</v>
      </c>
    </row>
    <row r="539" spans="1:18" x14ac:dyDescent="0.25">
      <c r="A539" s="165">
        <v>45387</v>
      </c>
      <c r="B539" s="116">
        <v>355.1</v>
      </c>
      <c r="C539" s="116">
        <v>352</v>
      </c>
      <c r="D539" s="116">
        <v>350.05</v>
      </c>
      <c r="E539" s="116">
        <v>354.45</v>
      </c>
      <c r="F539" s="116">
        <v>352</v>
      </c>
      <c r="G539">
        <v>176660</v>
      </c>
      <c r="H539" s="116"/>
      <c r="I539" s="116"/>
      <c r="L539" s="165">
        <v>45387</v>
      </c>
      <c r="M539" s="116">
        <v>352.2</v>
      </c>
      <c r="N539" s="116">
        <v>355.25</v>
      </c>
      <c r="O539" s="116">
        <v>350.25</v>
      </c>
      <c r="P539" s="116">
        <v>354</v>
      </c>
      <c r="Q539" s="116">
        <v>352.2</v>
      </c>
      <c r="R539">
        <v>1269063</v>
      </c>
    </row>
    <row r="540" spans="1:18" x14ac:dyDescent="0.25">
      <c r="A540" s="165">
        <v>45390</v>
      </c>
      <c r="B540" s="116">
        <v>366.9</v>
      </c>
      <c r="C540" s="116">
        <v>356.4</v>
      </c>
      <c r="D540" s="116">
        <v>354.4</v>
      </c>
      <c r="E540" s="116">
        <v>361.05</v>
      </c>
      <c r="F540" s="116">
        <v>356.4</v>
      </c>
      <c r="G540">
        <v>161669</v>
      </c>
      <c r="H540" s="116"/>
      <c r="I540" s="116"/>
      <c r="L540" s="165">
        <v>45390</v>
      </c>
      <c r="M540" s="116">
        <v>356.4</v>
      </c>
      <c r="N540" s="116">
        <v>366.7</v>
      </c>
      <c r="O540" s="116">
        <v>354.6</v>
      </c>
      <c r="P540" s="116">
        <v>363</v>
      </c>
      <c r="Q540" s="116">
        <v>356.4</v>
      </c>
      <c r="R540">
        <v>2576180</v>
      </c>
    </row>
    <row r="541" spans="1:18" x14ac:dyDescent="0.25">
      <c r="A541" s="165">
        <v>45391</v>
      </c>
      <c r="B541" s="116">
        <v>358.9</v>
      </c>
      <c r="C541" s="116">
        <v>352.2</v>
      </c>
      <c r="D541" s="116">
        <v>351.35</v>
      </c>
      <c r="E541" s="116">
        <v>358.35</v>
      </c>
      <c r="F541" s="116">
        <v>352.2</v>
      </c>
      <c r="G541">
        <v>154772</v>
      </c>
      <c r="H541" s="116"/>
      <c r="I541" s="116"/>
      <c r="L541" s="165">
        <v>45391</v>
      </c>
      <c r="M541" s="116">
        <v>352.2</v>
      </c>
      <c r="N541" s="116">
        <v>358.5</v>
      </c>
      <c r="O541" s="116">
        <v>351.55</v>
      </c>
      <c r="P541" s="116">
        <v>357.95</v>
      </c>
      <c r="Q541" s="116">
        <v>352.2</v>
      </c>
      <c r="R541">
        <v>921028</v>
      </c>
    </row>
    <row r="542" spans="1:18" x14ac:dyDescent="0.25">
      <c r="A542" s="165">
        <v>45392</v>
      </c>
      <c r="B542" s="116">
        <v>354.2</v>
      </c>
      <c r="C542" s="116">
        <v>350.6</v>
      </c>
      <c r="D542" s="116">
        <v>348.8</v>
      </c>
      <c r="E542" s="116">
        <v>353</v>
      </c>
      <c r="F542" s="116">
        <v>350.6</v>
      </c>
      <c r="G542">
        <v>154562</v>
      </c>
      <c r="H542" s="116"/>
      <c r="I542" s="116"/>
      <c r="L542" s="165">
        <v>45392</v>
      </c>
      <c r="M542" s="116">
        <v>350.65</v>
      </c>
      <c r="N542" s="116">
        <v>354.4</v>
      </c>
      <c r="O542" s="116">
        <v>348.65</v>
      </c>
      <c r="P542" s="116">
        <v>352.9</v>
      </c>
      <c r="Q542" s="116">
        <v>350.65</v>
      </c>
      <c r="R542">
        <v>897962</v>
      </c>
    </row>
    <row r="543" spans="1:18" x14ac:dyDescent="0.25">
      <c r="A543" s="165">
        <v>45394</v>
      </c>
      <c r="B543" s="116">
        <v>351</v>
      </c>
      <c r="C543" s="116">
        <v>345.3</v>
      </c>
      <c r="D543" s="116">
        <v>344.5</v>
      </c>
      <c r="E543" s="116">
        <v>348.6</v>
      </c>
      <c r="F543" s="116">
        <v>345.3</v>
      </c>
      <c r="G543">
        <v>103673</v>
      </c>
      <c r="H543" s="116"/>
      <c r="I543" s="116"/>
      <c r="L543" s="165">
        <v>45394</v>
      </c>
      <c r="M543" s="116">
        <v>345.05</v>
      </c>
      <c r="N543" s="116">
        <v>351</v>
      </c>
      <c r="O543" s="116">
        <v>344.1</v>
      </c>
      <c r="P543" s="116">
        <v>348.85</v>
      </c>
      <c r="Q543" s="116">
        <v>345.05</v>
      </c>
      <c r="R543">
        <v>1196013</v>
      </c>
    </row>
    <row r="544" spans="1:18" x14ac:dyDescent="0.25">
      <c r="A544" s="165">
        <v>45397</v>
      </c>
      <c r="B544" s="116">
        <v>341.9</v>
      </c>
      <c r="C544" s="116">
        <v>336.35</v>
      </c>
      <c r="D544" s="116">
        <v>331.05</v>
      </c>
      <c r="E544" s="116">
        <v>331.05</v>
      </c>
      <c r="F544" s="116">
        <v>336.35</v>
      </c>
      <c r="G544">
        <v>330438</v>
      </c>
      <c r="H544" s="116"/>
      <c r="I544" s="116"/>
      <c r="L544" s="165">
        <v>45397</v>
      </c>
      <c r="M544" s="116">
        <v>336.3</v>
      </c>
      <c r="N544" s="116">
        <v>341.95</v>
      </c>
      <c r="O544" s="116">
        <v>331.25</v>
      </c>
      <c r="P544" s="116">
        <v>335.95</v>
      </c>
      <c r="Q544" s="116">
        <v>336.3</v>
      </c>
      <c r="R544">
        <v>1360743</v>
      </c>
    </row>
    <row r="545" spans="1:18" x14ac:dyDescent="0.25">
      <c r="A545" s="165">
        <v>45398</v>
      </c>
      <c r="B545" s="116">
        <v>339.95</v>
      </c>
      <c r="C545" s="116">
        <v>336.05</v>
      </c>
      <c r="D545" s="116">
        <v>332</v>
      </c>
      <c r="E545" s="116">
        <v>332</v>
      </c>
      <c r="F545" s="116">
        <v>336.05</v>
      </c>
      <c r="G545">
        <v>222325</v>
      </c>
      <c r="H545" s="116"/>
      <c r="I545" s="116"/>
      <c r="L545" s="165">
        <v>45398</v>
      </c>
      <c r="M545" s="116">
        <v>336.2</v>
      </c>
      <c r="N545" s="116">
        <v>339.85</v>
      </c>
      <c r="O545" s="116">
        <v>332</v>
      </c>
      <c r="P545" s="116">
        <v>332</v>
      </c>
      <c r="Q545" s="116">
        <v>336.2</v>
      </c>
      <c r="R545">
        <v>874725</v>
      </c>
    </row>
    <row r="546" spans="1:18" x14ac:dyDescent="0.25">
      <c r="A546" s="165">
        <v>45400</v>
      </c>
      <c r="B546" s="116">
        <v>342.7</v>
      </c>
      <c r="C546" s="116">
        <v>336.2</v>
      </c>
      <c r="D546" s="116">
        <v>335</v>
      </c>
      <c r="E546" s="116">
        <v>339.1</v>
      </c>
      <c r="F546" s="116">
        <v>336.2</v>
      </c>
      <c r="G546">
        <v>64747</v>
      </c>
      <c r="H546" s="116"/>
      <c r="I546" s="116"/>
      <c r="L546" s="165">
        <v>45400</v>
      </c>
      <c r="M546" s="116">
        <v>336.1</v>
      </c>
      <c r="N546" s="116">
        <v>342.7</v>
      </c>
      <c r="O546" s="116">
        <v>334.85</v>
      </c>
      <c r="P546" s="116">
        <v>339.3</v>
      </c>
      <c r="Q546" s="116">
        <v>336.1</v>
      </c>
      <c r="R546">
        <v>989250</v>
      </c>
    </row>
    <row r="547" spans="1:18" x14ac:dyDescent="0.25">
      <c r="A547" s="165">
        <v>45401</v>
      </c>
      <c r="B547" s="116">
        <v>336.9</v>
      </c>
      <c r="C547" s="116">
        <v>335.75</v>
      </c>
      <c r="D547" s="116">
        <v>330</v>
      </c>
      <c r="E547" s="116">
        <v>331.55</v>
      </c>
      <c r="F547" s="116">
        <v>335.75</v>
      </c>
      <c r="G547">
        <v>174218</v>
      </c>
      <c r="H547" s="116"/>
      <c r="I547" s="116"/>
      <c r="L547" s="165">
        <v>45401</v>
      </c>
      <c r="M547" s="116">
        <v>335.4</v>
      </c>
      <c r="N547" s="116">
        <v>336.95</v>
      </c>
      <c r="O547" s="116">
        <v>330.1</v>
      </c>
      <c r="P547" s="116">
        <v>332.8</v>
      </c>
      <c r="Q547" s="116">
        <v>335.4</v>
      </c>
      <c r="R547">
        <v>847877</v>
      </c>
    </row>
    <row r="548" spans="1:18" x14ac:dyDescent="0.25">
      <c r="A548" s="165">
        <v>45404</v>
      </c>
      <c r="B548" s="116">
        <v>341</v>
      </c>
      <c r="C548" s="116">
        <v>338.65</v>
      </c>
      <c r="D548" s="116">
        <v>337.45</v>
      </c>
      <c r="E548" s="116">
        <v>340.5</v>
      </c>
      <c r="F548" s="116">
        <v>338.65</v>
      </c>
      <c r="G548">
        <v>144806</v>
      </c>
      <c r="H548" s="116"/>
      <c r="I548" s="116"/>
      <c r="L548" s="165">
        <v>45404</v>
      </c>
      <c r="M548" s="116">
        <v>338.7</v>
      </c>
      <c r="N548" s="116">
        <v>341.25</v>
      </c>
      <c r="O548" s="116">
        <v>337.1</v>
      </c>
      <c r="P548" s="116">
        <v>340</v>
      </c>
      <c r="Q548" s="116">
        <v>338.7</v>
      </c>
      <c r="R548">
        <v>795858</v>
      </c>
    </row>
    <row r="549" spans="1:18" x14ac:dyDescent="0.25">
      <c r="A549" s="165">
        <v>45405</v>
      </c>
      <c r="B549" s="116">
        <v>349.25</v>
      </c>
      <c r="C549" s="116">
        <v>342.05</v>
      </c>
      <c r="D549" s="116">
        <v>339.65</v>
      </c>
      <c r="E549" s="116">
        <v>339.65</v>
      </c>
      <c r="F549" s="116">
        <v>342.05</v>
      </c>
      <c r="G549">
        <v>66338</v>
      </c>
      <c r="H549" s="116"/>
      <c r="I549" s="116"/>
      <c r="L549" s="165">
        <v>45405</v>
      </c>
      <c r="M549" s="116">
        <v>342.1</v>
      </c>
      <c r="N549" s="116">
        <v>349.1</v>
      </c>
      <c r="O549" s="116">
        <v>339.5</v>
      </c>
      <c r="P549" s="116">
        <v>340</v>
      </c>
      <c r="Q549" s="116">
        <v>342.1</v>
      </c>
      <c r="R549">
        <v>1431610</v>
      </c>
    </row>
    <row r="550" spans="1:18" x14ac:dyDescent="0.25">
      <c r="A550" s="165">
        <v>45406</v>
      </c>
      <c r="B550" s="116">
        <v>344.9</v>
      </c>
      <c r="C550" s="116">
        <v>343.6</v>
      </c>
      <c r="D550" s="116">
        <v>342.45</v>
      </c>
      <c r="E550" s="116">
        <v>343.55</v>
      </c>
      <c r="F550" s="116">
        <v>343.6</v>
      </c>
      <c r="G550">
        <v>41130</v>
      </c>
      <c r="H550" s="116"/>
      <c r="I550" s="116"/>
      <c r="L550" s="165">
        <v>45406</v>
      </c>
      <c r="M550" s="116">
        <v>343.65</v>
      </c>
      <c r="N550" s="116">
        <v>345</v>
      </c>
      <c r="O550" s="116">
        <v>342.45</v>
      </c>
      <c r="P550" s="116">
        <v>343.95</v>
      </c>
      <c r="Q550" s="116">
        <v>343.65</v>
      </c>
      <c r="R550">
        <v>742111</v>
      </c>
    </row>
    <row r="551" spans="1:18" x14ac:dyDescent="0.25">
      <c r="A551" s="165">
        <v>45407</v>
      </c>
      <c r="B551" s="116">
        <v>343.6</v>
      </c>
      <c r="C551" s="116">
        <v>342.25</v>
      </c>
      <c r="D551" s="116">
        <v>341</v>
      </c>
      <c r="E551" s="116">
        <v>342.35</v>
      </c>
      <c r="F551" s="116">
        <v>342.25</v>
      </c>
      <c r="G551">
        <v>42962</v>
      </c>
      <c r="H551" s="116"/>
      <c r="I551" s="116"/>
      <c r="L551" s="165">
        <v>45407</v>
      </c>
      <c r="M551" s="116">
        <v>342.25</v>
      </c>
      <c r="N551" s="116">
        <v>343.85</v>
      </c>
      <c r="O551" s="116">
        <v>340.55</v>
      </c>
      <c r="P551" s="116">
        <v>342</v>
      </c>
      <c r="Q551" s="116">
        <v>342.25</v>
      </c>
      <c r="R551">
        <v>728211</v>
      </c>
    </row>
    <row r="552" spans="1:18" x14ac:dyDescent="0.25">
      <c r="A552" s="165">
        <v>45408</v>
      </c>
      <c r="B552" s="116">
        <v>346.95</v>
      </c>
      <c r="C552" s="116">
        <v>342.85</v>
      </c>
      <c r="D552" s="116">
        <v>342.25</v>
      </c>
      <c r="E552" s="116">
        <v>343.5</v>
      </c>
      <c r="F552" s="116">
        <v>342.85</v>
      </c>
      <c r="G552">
        <v>129091</v>
      </c>
      <c r="H552" s="116"/>
      <c r="I552" s="116"/>
      <c r="L552" s="165">
        <v>45408</v>
      </c>
      <c r="M552" s="116">
        <v>342.85</v>
      </c>
      <c r="N552" s="116">
        <v>347</v>
      </c>
      <c r="O552" s="116">
        <v>342.35</v>
      </c>
      <c r="P552" s="116">
        <v>343.95</v>
      </c>
      <c r="Q552" s="116">
        <v>342.85</v>
      </c>
      <c r="R552">
        <v>774168</v>
      </c>
    </row>
    <row r="553" spans="1:18" x14ac:dyDescent="0.25">
      <c r="A553" s="165">
        <v>45411</v>
      </c>
      <c r="B553" s="116">
        <v>348</v>
      </c>
      <c r="C553" s="116">
        <v>343.3</v>
      </c>
      <c r="D553" s="116">
        <v>342.65</v>
      </c>
      <c r="E553" s="116">
        <v>345.3</v>
      </c>
      <c r="F553" s="116">
        <v>343.3</v>
      </c>
      <c r="G553">
        <v>167819</v>
      </c>
      <c r="H553" s="116"/>
      <c r="I553" s="116"/>
      <c r="L553" s="165">
        <v>45411</v>
      </c>
      <c r="M553" s="116">
        <v>343.15</v>
      </c>
      <c r="N553" s="116">
        <v>348.45</v>
      </c>
      <c r="O553" s="116">
        <v>342.7</v>
      </c>
      <c r="P553" s="116">
        <v>344.7</v>
      </c>
      <c r="Q553" s="116">
        <v>343.15</v>
      </c>
      <c r="R553">
        <v>935698</v>
      </c>
    </row>
    <row r="554" spans="1:18" x14ac:dyDescent="0.25">
      <c r="A554" s="165">
        <v>45412</v>
      </c>
      <c r="B554" s="116">
        <v>359.4</v>
      </c>
      <c r="C554" s="116">
        <v>357.45</v>
      </c>
      <c r="D554" s="116">
        <v>344.75</v>
      </c>
      <c r="E554" s="116">
        <v>344.75</v>
      </c>
      <c r="F554" s="116">
        <v>357.45</v>
      </c>
      <c r="G554">
        <v>628995</v>
      </c>
      <c r="H554" s="116"/>
      <c r="I554" s="116"/>
      <c r="L554" s="165">
        <v>45412</v>
      </c>
      <c r="M554" s="116">
        <v>357.6</v>
      </c>
      <c r="N554" s="116">
        <v>359.5</v>
      </c>
      <c r="O554" s="116">
        <v>345.1</v>
      </c>
      <c r="P554" s="116">
        <v>345.1</v>
      </c>
      <c r="Q554" s="116">
        <v>357.6</v>
      </c>
      <c r="R554">
        <v>4020028</v>
      </c>
    </row>
    <row r="555" spans="1:18" x14ac:dyDescent="0.25">
      <c r="A555" s="165">
        <v>45414</v>
      </c>
      <c r="B555" s="116">
        <v>361.6</v>
      </c>
      <c r="C555" s="116">
        <v>351.5</v>
      </c>
      <c r="D555" s="116">
        <v>351</v>
      </c>
      <c r="E555" s="116">
        <v>361.4</v>
      </c>
      <c r="F555" s="116">
        <v>351.5</v>
      </c>
      <c r="G555">
        <v>165338</v>
      </c>
      <c r="H555" s="116"/>
      <c r="I555" s="116"/>
      <c r="L555" s="165">
        <v>45414</v>
      </c>
      <c r="M555" s="116">
        <v>351.45</v>
      </c>
      <c r="N555" s="116">
        <v>361.3</v>
      </c>
      <c r="O555" s="116">
        <v>350.7</v>
      </c>
      <c r="P555" s="116">
        <v>361</v>
      </c>
      <c r="Q555" s="116">
        <v>351.45</v>
      </c>
      <c r="R555">
        <v>2632127</v>
      </c>
    </row>
    <row r="556" spans="1:18" x14ac:dyDescent="0.25">
      <c r="A556" s="165">
        <v>45415</v>
      </c>
      <c r="B556" s="116">
        <v>352</v>
      </c>
      <c r="C556" s="116">
        <v>344.3</v>
      </c>
      <c r="D556" s="116">
        <v>342.7</v>
      </c>
      <c r="E556" s="116">
        <v>349.95</v>
      </c>
      <c r="F556" s="116">
        <v>344.3</v>
      </c>
      <c r="G556">
        <v>227415</v>
      </c>
      <c r="H556" s="116"/>
      <c r="I556" s="116"/>
      <c r="L556" s="165">
        <v>45415</v>
      </c>
      <c r="M556" s="116">
        <v>344.25</v>
      </c>
      <c r="N556" s="116">
        <v>351.9</v>
      </c>
      <c r="O556" s="116">
        <v>342.6</v>
      </c>
      <c r="P556" s="116">
        <v>348</v>
      </c>
      <c r="Q556" s="116">
        <v>344.25</v>
      </c>
      <c r="R556">
        <v>1392909</v>
      </c>
    </row>
    <row r="557" spans="1:18" x14ac:dyDescent="0.25">
      <c r="A557" s="165">
        <v>45418</v>
      </c>
      <c r="B557" s="116">
        <v>344.3</v>
      </c>
      <c r="C557" s="116">
        <v>337.9</v>
      </c>
      <c r="D557" s="116">
        <v>336</v>
      </c>
      <c r="E557" s="116">
        <v>344</v>
      </c>
      <c r="F557" s="116">
        <v>337.9</v>
      </c>
      <c r="G557">
        <v>228845</v>
      </c>
      <c r="H557" s="116"/>
      <c r="I557" s="116"/>
      <c r="L557" s="165">
        <v>45418</v>
      </c>
      <c r="M557" s="116">
        <v>337.8</v>
      </c>
      <c r="N557" s="116">
        <v>345</v>
      </c>
      <c r="O557" s="116">
        <v>336</v>
      </c>
      <c r="P557" s="116">
        <v>344</v>
      </c>
      <c r="Q557" s="116">
        <v>337.8</v>
      </c>
      <c r="R557">
        <v>1045201</v>
      </c>
    </row>
    <row r="558" spans="1:18" x14ac:dyDescent="0.25">
      <c r="A558" s="165">
        <v>45419</v>
      </c>
      <c r="B558" s="116">
        <v>346.2</v>
      </c>
      <c r="C558" s="116">
        <v>338.2</v>
      </c>
      <c r="D558" s="116">
        <v>335.5</v>
      </c>
      <c r="E558" s="116">
        <v>337.5</v>
      </c>
      <c r="F558" s="116">
        <v>338.2</v>
      </c>
      <c r="G558">
        <v>238934</v>
      </c>
      <c r="H558" s="116"/>
      <c r="I558" s="116"/>
      <c r="L558" s="165">
        <v>45419</v>
      </c>
      <c r="M558" s="116">
        <v>338</v>
      </c>
      <c r="N558" s="116">
        <v>346.2</v>
      </c>
      <c r="O558" s="116">
        <v>335.5</v>
      </c>
      <c r="P558" s="116">
        <v>338</v>
      </c>
      <c r="Q558" s="116">
        <v>338</v>
      </c>
      <c r="R558">
        <v>1542634</v>
      </c>
    </row>
    <row r="559" spans="1:18" x14ac:dyDescent="0.25">
      <c r="A559" s="165">
        <v>45420</v>
      </c>
      <c r="B559" s="116">
        <v>340.85</v>
      </c>
      <c r="C559" s="116">
        <v>336.9</v>
      </c>
      <c r="D559" s="116">
        <v>335.15</v>
      </c>
      <c r="E559" s="116">
        <v>338</v>
      </c>
      <c r="F559" s="116">
        <v>336.9</v>
      </c>
      <c r="G559">
        <v>108443</v>
      </c>
      <c r="H559" s="116"/>
      <c r="I559" s="116"/>
      <c r="L559" s="165">
        <v>45420</v>
      </c>
      <c r="M559" s="116">
        <v>337</v>
      </c>
      <c r="N559" s="116">
        <v>340.95</v>
      </c>
      <c r="O559" s="116">
        <v>335.55</v>
      </c>
      <c r="P559" s="116">
        <v>338</v>
      </c>
      <c r="Q559" s="116">
        <v>337</v>
      </c>
      <c r="R559">
        <v>750561</v>
      </c>
    </row>
    <row r="560" spans="1:18" x14ac:dyDescent="0.25">
      <c r="A560" s="165">
        <v>45421</v>
      </c>
      <c r="B560" s="116">
        <v>341.15</v>
      </c>
      <c r="C560" s="116">
        <v>331.3</v>
      </c>
      <c r="D560" s="116">
        <v>330.2</v>
      </c>
      <c r="E560" s="116">
        <v>337.15</v>
      </c>
      <c r="F560" s="116">
        <v>331.3</v>
      </c>
      <c r="G560">
        <v>55178</v>
      </c>
      <c r="H560" s="116"/>
      <c r="I560" s="116"/>
      <c r="L560" s="165">
        <v>45421</v>
      </c>
      <c r="M560" s="116">
        <v>330.9</v>
      </c>
      <c r="N560" s="116">
        <v>341.6</v>
      </c>
      <c r="O560" s="116">
        <v>330</v>
      </c>
      <c r="P560" s="116">
        <v>338</v>
      </c>
      <c r="Q560" s="116">
        <v>330.9</v>
      </c>
      <c r="R560">
        <v>1122343</v>
      </c>
    </row>
    <row r="561" spans="1:18" x14ac:dyDescent="0.25">
      <c r="A561" s="165">
        <v>45422</v>
      </c>
      <c r="B561" s="116">
        <v>334.35</v>
      </c>
      <c r="C561" s="116">
        <v>332.1</v>
      </c>
      <c r="D561" s="116">
        <v>327.25</v>
      </c>
      <c r="E561" s="116">
        <v>331.35</v>
      </c>
      <c r="F561" s="116">
        <v>332.1</v>
      </c>
      <c r="G561">
        <v>138801</v>
      </c>
      <c r="H561" s="116"/>
      <c r="I561" s="116"/>
      <c r="L561" s="165">
        <v>45422</v>
      </c>
      <c r="M561" s="116">
        <v>332.35</v>
      </c>
      <c r="N561" s="116">
        <v>334.95</v>
      </c>
      <c r="O561" s="116">
        <v>327.3</v>
      </c>
      <c r="P561" s="116">
        <v>333</v>
      </c>
      <c r="Q561" s="116">
        <v>332.35</v>
      </c>
      <c r="R561">
        <v>663071</v>
      </c>
    </row>
    <row r="562" spans="1:18" x14ac:dyDescent="0.25">
      <c r="A562" s="165">
        <v>45425</v>
      </c>
      <c r="B562" s="116">
        <v>334.75</v>
      </c>
      <c r="C562" s="116">
        <v>331.2</v>
      </c>
      <c r="D562" s="116">
        <v>327.5</v>
      </c>
      <c r="E562" s="116">
        <v>334.45</v>
      </c>
      <c r="F562" s="116">
        <v>331.2</v>
      </c>
      <c r="G562">
        <v>54851</v>
      </c>
      <c r="H562" s="116"/>
      <c r="I562" s="116"/>
      <c r="L562" s="165">
        <v>45425</v>
      </c>
      <c r="M562" s="116">
        <v>330.9</v>
      </c>
      <c r="N562" s="116">
        <v>334.9</v>
      </c>
      <c r="O562" s="116">
        <v>327.5</v>
      </c>
      <c r="P562" s="116">
        <v>334.1</v>
      </c>
      <c r="Q562" s="116">
        <v>330.9</v>
      </c>
      <c r="R562">
        <v>827737</v>
      </c>
    </row>
    <row r="563" spans="1:18" x14ac:dyDescent="0.25">
      <c r="A563" s="165">
        <v>45426</v>
      </c>
      <c r="B563" s="116">
        <v>342.5</v>
      </c>
      <c r="C563" s="116">
        <v>338.5</v>
      </c>
      <c r="D563" s="116">
        <v>332</v>
      </c>
      <c r="E563" s="116">
        <v>335.05</v>
      </c>
      <c r="F563" s="116">
        <v>338.5</v>
      </c>
      <c r="G563">
        <v>223102</v>
      </c>
      <c r="H563" s="116"/>
      <c r="I563" s="116"/>
      <c r="L563" s="165">
        <v>45426</v>
      </c>
      <c r="M563" s="116">
        <v>338.55</v>
      </c>
      <c r="N563" s="116">
        <v>342.45</v>
      </c>
      <c r="O563" s="116">
        <v>332</v>
      </c>
      <c r="P563" s="116">
        <v>334.7</v>
      </c>
      <c r="Q563" s="116">
        <v>338.55</v>
      </c>
      <c r="R563">
        <v>1752983</v>
      </c>
    </row>
    <row r="564" spans="1:18" x14ac:dyDescent="0.25">
      <c r="A564" s="165">
        <v>45427</v>
      </c>
      <c r="B564" s="116">
        <v>343.7</v>
      </c>
      <c r="C564" s="116">
        <v>334.95</v>
      </c>
      <c r="D564" s="116">
        <v>333.5</v>
      </c>
      <c r="E564" s="116">
        <v>341.35</v>
      </c>
      <c r="F564" s="116">
        <v>334.95</v>
      </c>
      <c r="G564">
        <v>76696</v>
      </c>
      <c r="H564" s="116"/>
      <c r="I564" s="116"/>
      <c r="L564" s="165">
        <v>45427</v>
      </c>
      <c r="M564" s="116">
        <v>334.8</v>
      </c>
      <c r="N564" s="116">
        <v>343.8</v>
      </c>
      <c r="O564" s="116">
        <v>333.3</v>
      </c>
      <c r="P564" s="116">
        <v>341</v>
      </c>
      <c r="Q564" s="116">
        <v>334.8</v>
      </c>
      <c r="R564">
        <v>1197943</v>
      </c>
    </row>
    <row r="565" spans="1:18" x14ac:dyDescent="0.25">
      <c r="A565" s="165">
        <v>45428</v>
      </c>
      <c r="B565" s="116">
        <v>338.8</v>
      </c>
      <c r="C565" s="116">
        <v>334.9</v>
      </c>
      <c r="D565" s="116">
        <v>334.05</v>
      </c>
      <c r="E565" s="116">
        <v>338.75</v>
      </c>
      <c r="F565" s="116">
        <v>334.9</v>
      </c>
      <c r="G565">
        <v>122093</v>
      </c>
      <c r="H565" s="116"/>
      <c r="I565" s="116"/>
      <c r="L565" s="165">
        <v>45428</v>
      </c>
      <c r="M565" s="116">
        <v>334.95</v>
      </c>
      <c r="N565" s="116">
        <v>338.5</v>
      </c>
      <c r="O565" s="116">
        <v>334</v>
      </c>
      <c r="P565" s="116">
        <v>337.95</v>
      </c>
      <c r="Q565" s="116">
        <v>334.95</v>
      </c>
      <c r="R565">
        <v>723290</v>
      </c>
    </row>
    <row r="566" spans="1:18" x14ac:dyDescent="0.25">
      <c r="A566" s="165">
        <v>45429</v>
      </c>
      <c r="B566" s="116">
        <v>339.7</v>
      </c>
      <c r="C566" s="116">
        <v>336.4</v>
      </c>
      <c r="D566" s="116">
        <v>334.9</v>
      </c>
      <c r="E566" s="116">
        <v>336.05</v>
      </c>
      <c r="F566" s="116">
        <v>336.4</v>
      </c>
      <c r="G566">
        <v>43926</v>
      </c>
      <c r="H566" s="116"/>
      <c r="I566" s="116"/>
      <c r="L566" s="165">
        <v>45429</v>
      </c>
      <c r="M566" s="116">
        <v>336.45</v>
      </c>
      <c r="N566" s="116">
        <v>339.7</v>
      </c>
      <c r="O566" s="116">
        <v>335</v>
      </c>
      <c r="P566" s="116">
        <v>336.4</v>
      </c>
      <c r="Q566" s="116">
        <v>336.45</v>
      </c>
      <c r="R566">
        <v>800719</v>
      </c>
    </row>
    <row r="567" spans="1:18" x14ac:dyDescent="0.25">
      <c r="A567" s="165">
        <v>45430</v>
      </c>
      <c r="B567" s="116">
        <v>338.75</v>
      </c>
      <c r="C567" s="116">
        <v>337.3</v>
      </c>
      <c r="D567" s="116">
        <v>335.5</v>
      </c>
      <c r="E567" s="116">
        <v>337.05</v>
      </c>
      <c r="F567" s="116">
        <v>337.3</v>
      </c>
      <c r="G567">
        <v>14800</v>
      </c>
      <c r="H567" s="116"/>
      <c r="I567" s="116"/>
      <c r="L567" s="165">
        <v>45430</v>
      </c>
      <c r="M567" s="116">
        <v>337.6</v>
      </c>
      <c r="N567" s="116">
        <v>338.5</v>
      </c>
      <c r="O567" s="116">
        <v>335</v>
      </c>
      <c r="P567" s="116">
        <v>337.9</v>
      </c>
      <c r="Q567" s="116">
        <v>337.6</v>
      </c>
      <c r="R567">
        <v>209227</v>
      </c>
    </row>
    <row r="568" spans="1:18" x14ac:dyDescent="0.25">
      <c r="A568" s="165">
        <v>45433</v>
      </c>
      <c r="B568" s="116">
        <v>351.3</v>
      </c>
      <c r="C568" s="116">
        <v>344</v>
      </c>
      <c r="D568" s="116">
        <v>335.05</v>
      </c>
      <c r="E568" s="116">
        <v>337.3</v>
      </c>
      <c r="F568" s="116">
        <v>344</v>
      </c>
      <c r="G568">
        <v>150870</v>
      </c>
      <c r="H568" s="116"/>
      <c r="I568" s="116"/>
      <c r="L568" s="165">
        <v>45433</v>
      </c>
      <c r="M568" s="116">
        <v>343.9</v>
      </c>
      <c r="N568" s="116">
        <v>351</v>
      </c>
      <c r="O568" s="116">
        <v>335.05</v>
      </c>
      <c r="P568" s="116">
        <v>337.6</v>
      </c>
      <c r="Q568" s="116">
        <v>343.9</v>
      </c>
      <c r="R568">
        <v>2818680</v>
      </c>
    </row>
    <row r="569" spans="1:18" x14ac:dyDescent="0.25">
      <c r="A569" s="165">
        <v>45434</v>
      </c>
      <c r="B569" s="116">
        <v>348.1</v>
      </c>
      <c r="C569" s="116">
        <v>340.35</v>
      </c>
      <c r="D569" s="116">
        <v>339.6</v>
      </c>
      <c r="E569" s="116">
        <v>346.4</v>
      </c>
      <c r="F569" s="116">
        <v>340.35</v>
      </c>
      <c r="G569">
        <v>192517</v>
      </c>
      <c r="H569" s="116"/>
      <c r="I569" s="116"/>
      <c r="L569" s="165">
        <v>45434</v>
      </c>
      <c r="M569" s="116">
        <v>340.35</v>
      </c>
      <c r="N569" s="116">
        <v>348</v>
      </c>
      <c r="O569" s="116">
        <v>339.35</v>
      </c>
      <c r="P569" s="116">
        <v>346.85</v>
      </c>
      <c r="Q569" s="116">
        <v>340.35</v>
      </c>
      <c r="R569">
        <v>1386775</v>
      </c>
    </row>
    <row r="570" spans="1:18" x14ac:dyDescent="0.25">
      <c r="A570" s="165">
        <v>45435</v>
      </c>
      <c r="B570" s="116">
        <v>353.75</v>
      </c>
      <c r="C570" s="116">
        <v>346.65</v>
      </c>
      <c r="D570" s="116">
        <v>338.3</v>
      </c>
      <c r="E570" s="116">
        <v>341.75</v>
      </c>
      <c r="F570" s="116">
        <v>346.65</v>
      </c>
      <c r="G570">
        <v>470598</v>
      </c>
      <c r="H570" s="116"/>
      <c r="I570" s="116"/>
      <c r="L570" s="165">
        <v>45435</v>
      </c>
      <c r="M570" s="116">
        <v>346.55</v>
      </c>
      <c r="N570" s="116">
        <v>353.9</v>
      </c>
      <c r="O570" s="116">
        <v>338.4</v>
      </c>
      <c r="P570" s="116">
        <v>342.4</v>
      </c>
      <c r="Q570" s="116">
        <v>346.55</v>
      </c>
      <c r="R570">
        <v>3270416</v>
      </c>
    </row>
    <row r="571" spans="1:18" x14ac:dyDescent="0.25">
      <c r="A571" s="165">
        <v>45436</v>
      </c>
      <c r="B571" s="116">
        <v>353</v>
      </c>
      <c r="C571" s="116">
        <v>344.95</v>
      </c>
      <c r="D571" s="116">
        <v>344</v>
      </c>
      <c r="E571" s="116">
        <v>346.65</v>
      </c>
      <c r="F571" s="116">
        <v>344.95</v>
      </c>
      <c r="G571">
        <v>382791</v>
      </c>
      <c r="H571" s="116"/>
      <c r="I571" s="116"/>
      <c r="L571" s="165">
        <v>45436</v>
      </c>
      <c r="M571" s="116">
        <v>345.05</v>
      </c>
      <c r="N571" s="116">
        <v>353.5</v>
      </c>
      <c r="O571" s="116">
        <v>343.65</v>
      </c>
      <c r="P571" s="116">
        <v>346.5</v>
      </c>
      <c r="Q571" s="116">
        <v>345.05</v>
      </c>
      <c r="R571">
        <v>2621886</v>
      </c>
    </row>
    <row r="572" spans="1:18" x14ac:dyDescent="0.25">
      <c r="A572" s="165">
        <v>45439</v>
      </c>
      <c r="B572" s="116">
        <v>347.85</v>
      </c>
      <c r="C572" s="116">
        <v>341.1</v>
      </c>
      <c r="D572" s="116">
        <v>340.5</v>
      </c>
      <c r="E572" s="116">
        <v>345.95</v>
      </c>
      <c r="F572" s="116">
        <v>341.1</v>
      </c>
      <c r="G572">
        <v>92090</v>
      </c>
      <c r="H572" s="116"/>
      <c r="I572" s="116"/>
      <c r="L572" s="165">
        <v>45439</v>
      </c>
      <c r="M572" s="116">
        <v>341.1</v>
      </c>
      <c r="N572" s="116">
        <v>347.6</v>
      </c>
      <c r="O572" s="116">
        <v>340.5</v>
      </c>
      <c r="P572" s="116">
        <v>346.35</v>
      </c>
      <c r="Q572" s="116">
        <v>341.1</v>
      </c>
      <c r="R572">
        <v>1546857</v>
      </c>
    </row>
    <row r="573" spans="1:18" x14ac:dyDescent="0.25">
      <c r="A573" s="165">
        <v>45440</v>
      </c>
      <c r="B573" s="116">
        <v>343</v>
      </c>
      <c r="C573" s="116">
        <v>338.15</v>
      </c>
      <c r="D573" s="116">
        <v>337</v>
      </c>
      <c r="E573" s="116">
        <v>341.1</v>
      </c>
      <c r="F573" s="116">
        <v>338.15</v>
      </c>
      <c r="G573">
        <v>175933</v>
      </c>
      <c r="H573" s="116"/>
      <c r="I573" s="116"/>
      <c r="L573" s="165">
        <v>45440</v>
      </c>
      <c r="M573" s="116">
        <v>338.25</v>
      </c>
      <c r="N573" s="116">
        <v>342.9</v>
      </c>
      <c r="O573" s="116">
        <v>337</v>
      </c>
      <c r="P573" s="116">
        <v>341.1</v>
      </c>
      <c r="Q573" s="116">
        <v>338.25</v>
      </c>
      <c r="R573">
        <v>1100792</v>
      </c>
    </row>
    <row r="574" spans="1:18" x14ac:dyDescent="0.25">
      <c r="A574" s="165">
        <v>45441</v>
      </c>
      <c r="B574" s="116">
        <v>347.5</v>
      </c>
      <c r="C574" s="116">
        <v>344.3</v>
      </c>
      <c r="D574" s="116">
        <v>338.5</v>
      </c>
      <c r="E574" s="116">
        <v>340.95</v>
      </c>
      <c r="F574" s="116">
        <v>344.3</v>
      </c>
      <c r="G574">
        <v>150386</v>
      </c>
      <c r="H574" s="116"/>
      <c r="I574" s="116"/>
      <c r="L574" s="165">
        <v>45441</v>
      </c>
      <c r="M574" s="116">
        <v>344.4</v>
      </c>
      <c r="N574" s="116">
        <v>347.85</v>
      </c>
      <c r="O574" s="116">
        <v>338.3</v>
      </c>
      <c r="P574" s="116">
        <v>340.05</v>
      </c>
      <c r="Q574" s="116">
        <v>344.4</v>
      </c>
      <c r="R574">
        <v>2113385</v>
      </c>
    </row>
    <row r="575" spans="1:18" x14ac:dyDescent="0.25">
      <c r="A575" s="165">
        <v>45442</v>
      </c>
      <c r="B575" s="116">
        <v>352.8</v>
      </c>
      <c r="C575" s="116">
        <v>344.45</v>
      </c>
      <c r="D575" s="116">
        <v>343</v>
      </c>
      <c r="E575" s="116">
        <v>344.75</v>
      </c>
      <c r="F575" s="116">
        <v>344.45</v>
      </c>
      <c r="G575">
        <v>114586</v>
      </c>
      <c r="H575" s="116"/>
      <c r="I575" s="116"/>
      <c r="L575" s="165">
        <v>45442</v>
      </c>
      <c r="M575" s="116">
        <v>344.5</v>
      </c>
      <c r="N575" s="116">
        <v>352.7</v>
      </c>
      <c r="O575" s="116">
        <v>343.05</v>
      </c>
      <c r="P575" s="116">
        <v>344.05</v>
      </c>
      <c r="Q575" s="116">
        <v>344.5</v>
      </c>
      <c r="R575">
        <v>2499768</v>
      </c>
    </row>
    <row r="576" spans="1:18" x14ac:dyDescent="0.25">
      <c r="A576" s="165">
        <v>45443</v>
      </c>
      <c r="B576" s="116">
        <v>361.35</v>
      </c>
      <c r="C576" s="116">
        <v>355.85</v>
      </c>
      <c r="D576" s="116">
        <v>343.85</v>
      </c>
      <c r="E576" s="116">
        <v>348.45</v>
      </c>
      <c r="F576" s="116">
        <v>355.85</v>
      </c>
      <c r="G576">
        <v>448917</v>
      </c>
      <c r="H576" s="116"/>
      <c r="I576" s="116"/>
      <c r="L576" s="165">
        <v>45443</v>
      </c>
      <c r="M576" s="116">
        <v>355.75</v>
      </c>
      <c r="N576" s="116">
        <v>361.55</v>
      </c>
      <c r="O576" s="116">
        <v>344</v>
      </c>
      <c r="P576" s="116">
        <v>348</v>
      </c>
      <c r="Q576" s="116">
        <v>355.75</v>
      </c>
      <c r="R576">
        <v>7024587</v>
      </c>
    </row>
    <row r="577" spans="1:18" x14ac:dyDescent="0.25">
      <c r="A577" s="165">
        <v>45446</v>
      </c>
      <c r="B577" s="116">
        <v>382</v>
      </c>
      <c r="C577" s="116">
        <v>368.35</v>
      </c>
      <c r="D577" s="116">
        <v>364</v>
      </c>
      <c r="E577" s="116">
        <v>380.55</v>
      </c>
      <c r="F577" s="116">
        <v>368.35</v>
      </c>
      <c r="G577">
        <v>1508667</v>
      </c>
      <c r="H577" s="116"/>
      <c r="I577" s="116"/>
      <c r="L577" s="165">
        <v>45446</v>
      </c>
      <c r="M577" s="116">
        <v>368.25</v>
      </c>
      <c r="N577" s="116">
        <v>383.95</v>
      </c>
      <c r="O577" s="116">
        <v>364.1</v>
      </c>
      <c r="P577" s="116">
        <v>381.95</v>
      </c>
      <c r="Q577" s="116">
        <v>368.25</v>
      </c>
      <c r="R577">
        <v>10215851</v>
      </c>
    </row>
    <row r="578" spans="1:18" x14ac:dyDescent="0.25">
      <c r="A578" s="165">
        <v>45447</v>
      </c>
      <c r="B578" s="116">
        <v>373.85</v>
      </c>
      <c r="C578" s="116">
        <v>331.6</v>
      </c>
      <c r="D578" s="116">
        <v>331.55</v>
      </c>
      <c r="E578" s="116">
        <v>373.85</v>
      </c>
      <c r="F578" s="116">
        <v>331.6</v>
      </c>
      <c r="G578">
        <v>1362456</v>
      </c>
      <c r="H578" s="116"/>
      <c r="I578" s="116"/>
      <c r="L578" s="165">
        <v>45447</v>
      </c>
      <c r="M578" s="116">
        <v>331.45</v>
      </c>
      <c r="N578" s="116">
        <v>369</v>
      </c>
      <c r="O578" s="116">
        <v>331.45</v>
      </c>
      <c r="P578" s="116">
        <v>369</v>
      </c>
      <c r="Q578" s="116">
        <v>331.45</v>
      </c>
      <c r="R578">
        <v>7245279</v>
      </c>
    </row>
    <row r="579" spans="1:18" x14ac:dyDescent="0.25">
      <c r="A579" s="165">
        <v>45448</v>
      </c>
      <c r="B579" s="116">
        <v>339</v>
      </c>
      <c r="C579" s="116">
        <v>334.15</v>
      </c>
      <c r="D579" s="116">
        <v>315.60000000000002</v>
      </c>
      <c r="E579" s="116">
        <v>333.35</v>
      </c>
      <c r="F579" s="116">
        <v>334.15</v>
      </c>
      <c r="G579">
        <v>610211</v>
      </c>
      <c r="H579" s="116"/>
      <c r="I579" s="116"/>
      <c r="L579" s="165">
        <v>45448</v>
      </c>
      <c r="M579" s="116">
        <v>334.2</v>
      </c>
      <c r="N579" s="116">
        <v>338.8</v>
      </c>
      <c r="O579" s="116">
        <v>316</v>
      </c>
      <c r="P579" s="116">
        <v>335</v>
      </c>
      <c r="Q579" s="116">
        <v>334.2</v>
      </c>
      <c r="R579">
        <v>3686678</v>
      </c>
    </row>
    <row r="580" spans="1:18" x14ac:dyDescent="0.25">
      <c r="A580" s="165">
        <v>45449</v>
      </c>
      <c r="B580" s="116">
        <v>348.2</v>
      </c>
      <c r="C580" s="116">
        <v>343.25</v>
      </c>
      <c r="D580" s="116">
        <v>337.9</v>
      </c>
      <c r="E580" s="116">
        <v>342.85</v>
      </c>
      <c r="F580" s="116">
        <v>343.25</v>
      </c>
      <c r="G580">
        <v>299432</v>
      </c>
      <c r="H580" s="116"/>
      <c r="I580" s="116"/>
      <c r="L580" s="165">
        <v>45449</v>
      </c>
      <c r="M580" s="116">
        <v>343.45</v>
      </c>
      <c r="N580" s="116">
        <v>348.15</v>
      </c>
      <c r="O580" s="116">
        <v>337</v>
      </c>
      <c r="P580" s="116">
        <v>342</v>
      </c>
      <c r="Q580" s="116">
        <v>343.45</v>
      </c>
      <c r="R580">
        <v>3458914</v>
      </c>
    </row>
    <row r="581" spans="1:18" x14ac:dyDescent="0.25">
      <c r="A581" s="165">
        <v>45450</v>
      </c>
      <c r="B581" s="116">
        <v>346.8</v>
      </c>
      <c r="C581" s="116">
        <v>344.9</v>
      </c>
      <c r="D581" s="116">
        <v>340.55</v>
      </c>
      <c r="E581" s="116">
        <v>340.55</v>
      </c>
      <c r="F581" s="116">
        <v>344.9</v>
      </c>
      <c r="G581">
        <v>102145</v>
      </c>
      <c r="H581" s="116"/>
      <c r="I581" s="116"/>
      <c r="L581" s="165">
        <v>45450</v>
      </c>
      <c r="M581" s="116">
        <v>345</v>
      </c>
      <c r="N581" s="116">
        <v>346.9</v>
      </c>
      <c r="O581" s="116">
        <v>340.05</v>
      </c>
      <c r="P581" s="116">
        <v>340.05</v>
      </c>
      <c r="Q581" s="116">
        <v>345</v>
      </c>
      <c r="R581">
        <v>1758072</v>
      </c>
    </row>
    <row r="582" spans="1:18" x14ac:dyDescent="0.25">
      <c r="A582" s="165">
        <v>45453</v>
      </c>
      <c r="B582" s="116">
        <v>351.05</v>
      </c>
      <c r="C582" s="116">
        <v>345.5</v>
      </c>
      <c r="D582" s="116">
        <v>344.75</v>
      </c>
      <c r="E582" s="116">
        <v>346.9</v>
      </c>
      <c r="F582" s="116">
        <v>345.5</v>
      </c>
      <c r="G582">
        <v>109136</v>
      </c>
      <c r="H582" s="116"/>
      <c r="I582" s="116"/>
      <c r="L582" s="165">
        <v>45453</v>
      </c>
      <c r="M582" s="116">
        <v>345.5</v>
      </c>
      <c r="N582" s="116">
        <v>351</v>
      </c>
      <c r="O582" s="116">
        <v>344.85</v>
      </c>
      <c r="P582" s="116">
        <v>347.85</v>
      </c>
      <c r="Q582" s="116">
        <v>345.5</v>
      </c>
      <c r="R582">
        <v>2083460</v>
      </c>
    </row>
    <row r="583" spans="1:18" x14ac:dyDescent="0.25">
      <c r="A583" s="165">
        <v>45454</v>
      </c>
      <c r="B583" s="116">
        <v>348</v>
      </c>
      <c r="C583" s="116">
        <v>343.95</v>
      </c>
      <c r="D583" s="116">
        <v>343.05</v>
      </c>
      <c r="E583" s="116">
        <v>346.45</v>
      </c>
      <c r="F583" s="116">
        <v>343.95</v>
      </c>
      <c r="G583">
        <v>213560</v>
      </c>
      <c r="H583" s="116"/>
      <c r="I583" s="116"/>
      <c r="L583" s="165">
        <v>45454</v>
      </c>
      <c r="M583" s="116">
        <v>343.9</v>
      </c>
      <c r="N583" s="116">
        <v>347.95</v>
      </c>
      <c r="O583" s="116">
        <v>343.3</v>
      </c>
      <c r="P583" s="116">
        <v>347.5</v>
      </c>
      <c r="Q583" s="116">
        <v>343.9</v>
      </c>
      <c r="R583">
        <v>1004598</v>
      </c>
    </row>
    <row r="584" spans="1:18" x14ac:dyDescent="0.25">
      <c r="A584" s="165">
        <v>45455</v>
      </c>
      <c r="B584" s="116">
        <v>346.75</v>
      </c>
      <c r="C584" s="116">
        <v>344.45</v>
      </c>
      <c r="D584" s="116">
        <v>343.9</v>
      </c>
      <c r="E584" s="116">
        <v>344.55</v>
      </c>
      <c r="F584" s="116">
        <v>344.45</v>
      </c>
      <c r="G584">
        <v>200263</v>
      </c>
      <c r="H584" s="116"/>
      <c r="I584" s="116"/>
      <c r="L584" s="165">
        <v>45455</v>
      </c>
      <c r="M584" s="116">
        <v>344.45</v>
      </c>
      <c r="N584" s="116">
        <v>346.9</v>
      </c>
      <c r="O584" s="116">
        <v>344.05</v>
      </c>
      <c r="P584" s="116">
        <v>344.95</v>
      </c>
      <c r="Q584" s="116">
        <v>344.45</v>
      </c>
      <c r="R584">
        <v>955655</v>
      </c>
    </row>
    <row r="585" spans="1:18" x14ac:dyDescent="0.25">
      <c r="A585" s="165">
        <v>45456</v>
      </c>
      <c r="B585" s="116">
        <v>348.7</v>
      </c>
      <c r="C585" s="116">
        <v>344.3</v>
      </c>
      <c r="D585" s="116">
        <v>343.8</v>
      </c>
      <c r="E585" s="116">
        <v>346.05</v>
      </c>
      <c r="F585" s="116">
        <v>344.3</v>
      </c>
      <c r="G585">
        <v>216053</v>
      </c>
      <c r="H585" s="116"/>
      <c r="I585" s="116"/>
      <c r="L585" s="165">
        <v>45456</v>
      </c>
      <c r="M585" s="116">
        <v>344.3</v>
      </c>
      <c r="N585" s="116">
        <v>348.7</v>
      </c>
      <c r="O585" s="116">
        <v>344</v>
      </c>
      <c r="P585" s="116">
        <v>346.45</v>
      </c>
      <c r="Q585" s="116">
        <v>344.3</v>
      </c>
      <c r="R585">
        <v>1031957</v>
      </c>
    </row>
    <row r="586" spans="1:18" x14ac:dyDescent="0.25">
      <c r="A586" s="165">
        <v>45457</v>
      </c>
      <c r="B586" s="116">
        <v>348.45</v>
      </c>
      <c r="C586" s="116">
        <v>344.3</v>
      </c>
      <c r="D586" s="116">
        <v>342.65</v>
      </c>
      <c r="E586" s="116">
        <v>345.35</v>
      </c>
      <c r="F586" s="116">
        <v>344.3</v>
      </c>
      <c r="G586">
        <v>222948</v>
      </c>
      <c r="H586" s="116"/>
      <c r="I586" s="116"/>
      <c r="L586" s="165">
        <v>45457</v>
      </c>
      <c r="M586" s="116">
        <v>344.4</v>
      </c>
      <c r="N586" s="116">
        <v>348.7</v>
      </c>
      <c r="O586" s="116">
        <v>343</v>
      </c>
      <c r="P586" s="116">
        <v>345.9</v>
      </c>
      <c r="Q586" s="116">
        <v>344.4</v>
      </c>
      <c r="R586">
        <v>1071246</v>
      </c>
    </row>
    <row r="587" spans="1:18" x14ac:dyDescent="0.25">
      <c r="A587" s="165">
        <v>45461</v>
      </c>
      <c r="B587" s="116">
        <v>346.55</v>
      </c>
      <c r="C587" s="116">
        <v>341.8</v>
      </c>
      <c r="D587" s="116">
        <v>340.95</v>
      </c>
      <c r="E587" s="116">
        <v>344.05</v>
      </c>
      <c r="F587" s="116">
        <v>341.8</v>
      </c>
      <c r="G587">
        <v>86066</v>
      </c>
      <c r="H587" s="116"/>
      <c r="I587" s="116"/>
      <c r="L587" s="165">
        <v>45461</v>
      </c>
      <c r="M587" s="116">
        <v>341.55</v>
      </c>
      <c r="N587" s="116">
        <v>346.7</v>
      </c>
      <c r="O587" s="116">
        <v>340.9</v>
      </c>
      <c r="P587" s="116">
        <v>344.55</v>
      </c>
      <c r="Q587" s="116">
        <v>341.55</v>
      </c>
      <c r="R587">
        <v>1467029</v>
      </c>
    </row>
    <row r="588" spans="1:18" x14ac:dyDescent="0.25">
      <c r="A588" s="165">
        <v>45462</v>
      </c>
      <c r="B588" s="116">
        <v>343</v>
      </c>
      <c r="C588" s="116">
        <v>337.4</v>
      </c>
      <c r="D588" s="116">
        <v>336</v>
      </c>
      <c r="E588" s="116">
        <v>342.1</v>
      </c>
      <c r="F588" s="116">
        <v>337.4</v>
      </c>
      <c r="G588">
        <v>230373</v>
      </c>
      <c r="H588" s="116"/>
      <c r="I588" s="116"/>
      <c r="L588" s="165">
        <v>45462</v>
      </c>
      <c r="M588" s="116">
        <v>337.1</v>
      </c>
      <c r="N588" s="116">
        <v>343</v>
      </c>
      <c r="O588" s="116">
        <v>335.75</v>
      </c>
      <c r="P588" s="116">
        <v>342.5</v>
      </c>
      <c r="Q588" s="116">
        <v>337.1</v>
      </c>
      <c r="R588">
        <v>1210968</v>
      </c>
    </row>
    <row r="589" spans="1:18" x14ac:dyDescent="0.25">
      <c r="A589" s="165">
        <v>45463</v>
      </c>
      <c r="B589" s="116">
        <v>343</v>
      </c>
      <c r="C589" s="116">
        <v>339.95</v>
      </c>
      <c r="D589" s="116">
        <v>337.25</v>
      </c>
      <c r="E589" s="116">
        <v>338.65</v>
      </c>
      <c r="F589" s="116">
        <v>339.95</v>
      </c>
      <c r="G589">
        <v>227242</v>
      </c>
      <c r="H589" s="116"/>
      <c r="I589" s="116"/>
      <c r="L589" s="165">
        <v>45463</v>
      </c>
      <c r="M589" s="116">
        <v>340.15</v>
      </c>
      <c r="N589" s="116">
        <v>343.05</v>
      </c>
      <c r="O589" s="116">
        <v>337.25</v>
      </c>
      <c r="P589" s="116">
        <v>339</v>
      </c>
      <c r="Q589" s="116">
        <v>340.15</v>
      </c>
      <c r="R589">
        <v>942532</v>
      </c>
    </row>
    <row r="590" spans="1:18" x14ac:dyDescent="0.25">
      <c r="A590" s="165">
        <v>45464</v>
      </c>
      <c r="B590" s="116">
        <v>342</v>
      </c>
      <c r="C590" s="116">
        <v>338.55</v>
      </c>
      <c r="D590" s="116">
        <v>337.25</v>
      </c>
      <c r="E590" s="116">
        <v>340.1</v>
      </c>
      <c r="F590" s="116">
        <v>338.55</v>
      </c>
      <c r="G590">
        <v>48643</v>
      </c>
      <c r="H590" s="116"/>
      <c r="I590" s="116"/>
      <c r="L590" s="165">
        <v>45464</v>
      </c>
      <c r="M590" s="116">
        <v>338.55</v>
      </c>
      <c r="N590" s="116">
        <v>341.9</v>
      </c>
      <c r="O590" s="116">
        <v>337.25</v>
      </c>
      <c r="P590" s="116">
        <v>340.95</v>
      </c>
      <c r="Q590" s="116">
        <v>338.55</v>
      </c>
      <c r="R590">
        <v>1022030</v>
      </c>
    </row>
    <row r="591" spans="1:18" x14ac:dyDescent="0.25">
      <c r="A591" s="165">
        <v>45467</v>
      </c>
      <c r="B591" s="116">
        <v>340</v>
      </c>
      <c r="C591" s="116">
        <v>336.6</v>
      </c>
      <c r="D591" s="116">
        <v>336</v>
      </c>
      <c r="E591" s="116">
        <v>337.5</v>
      </c>
      <c r="F591" s="116">
        <v>336.6</v>
      </c>
      <c r="G591">
        <v>194845</v>
      </c>
      <c r="H591" s="116"/>
      <c r="I591" s="116"/>
      <c r="L591" s="165">
        <v>45467</v>
      </c>
      <c r="M591" s="116">
        <v>336.65</v>
      </c>
      <c r="N591" s="116">
        <v>340.3</v>
      </c>
      <c r="O591" s="116">
        <v>336</v>
      </c>
      <c r="P591" s="116">
        <v>337.95</v>
      </c>
      <c r="Q591" s="116">
        <v>336.65</v>
      </c>
      <c r="R591">
        <v>920363</v>
      </c>
    </row>
    <row r="592" spans="1:18" x14ac:dyDescent="0.25">
      <c r="A592" s="165">
        <v>45468</v>
      </c>
      <c r="B592" s="116">
        <v>338.85</v>
      </c>
      <c r="C592" s="116">
        <v>335.15</v>
      </c>
      <c r="D592" s="116">
        <v>335</v>
      </c>
      <c r="E592" s="116">
        <v>337.75</v>
      </c>
      <c r="F592" s="116">
        <v>335.15</v>
      </c>
      <c r="G592">
        <v>56208</v>
      </c>
      <c r="H592" s="116"/>
      <c r="I592" s="116"/>
      <c r="L592" s="165">
        <v>45468</v>
      </c>
      <c r="M592" s="116">
        <v>335.2</v>
      </c>
      <c r="N592" s="116">
        <v>338.85</v>
      </c>
      <c r="O592" s="116">
        <v>335</v>
      </c>
      <c r="P592" s="116">
        <v>337.8</v>
      </c>
      <c r="Q592" s="116">
        <v>335.2</v>
      </c>
      <c r="R592">
        <v>809296</v>
      </c>
    </row>
    <row r="593" spans="1:18" x14ac:dyDescent="0.25">
      <c r="A593" s="165">
        <v>45469</v>
      </c>
      <c r="B593" s="116">
        <v>337.75</v>
      </c>
      <c r="C593" s="116">
        <v>335.25</v>
      </c>
      <c r="D593" s="116">
        <v>334.45</v>
      </c>
      <c r="E593" s="116">
        <v>336.95</v>
      </c>
      <c r="F593" s="116">
        <v>335.25</v>
      </c>
      <c r="G593">
        <v>52420</v>
      </c>
      <c r="H593" s="116"/>
      <c r="I593" s="116"/>
      <c r="L593" s="165">
        <v>45469</v>
      </c>
      <c r="M593" s="116">
        <v>334.9</v>
      </c>
      <c r="N593" s="116">
        <v>337.9</v>
      </c>
      <c r="O593" s="116">
        <v>334.4</v>
      </c>
      <c r="P593" s="116">
        <v>336</v>
      </c>
      <c r="Q593" s="116">
        <v>334.9</v>
      </c>
      <c r="R593">
        <v>830867</v>
      </c>
    </row>
    <row r="594" spans="1:18" x14ac:dyDescent="0.25">
      <c r="A594" s="165">
        <v>45470</v>
      </c>
      <c r="B594" s="116">
        <v>337.75</v>
      </c>
      <c r="C594" s="116">
        <v>333.8</v>
      </c>
      <c r="D594" s="116">
        <v>331.15</v>
      </c>
      <c r="E594" s="116">
        <v>336.15</v>
      </c>
      <c r="F594" s="116">
        <v>333.8</v>
      </c>
      <c r="G594">
        <v>164204</v>
      </c>
      <c r="H594" s="116"/>
      <c r="I594" s="116"/>
      <c r="L594" s="165">
        <v>45470</v>
      </c>
      <c r="M594" s="116">
        <v>333.65</v>
      </c>
      <c r="N594" s="116">
        <v>337.8</v>
      </c>
      <c r="O594" s="116">
        <v>331.1</v>
      </c>
      <c r="P594" s="116">
        <v>337</v>
      </c>
      <c r="Q594" s="116">
        <v>333.65</v>
      </c>
      <c r="R594">
        <v>995756</v>
      </c>
    </row>
    <row r="595" spans="1:18" x14ac:dyDescent="0.25">
      <c r="A595" s="165">
        <v>45471</v>
      </c>
      <c r="B595" s="116">
        <v>335.7</v>
      </c>
      <c r="C595" s="116">
        <v>331.55</v>
      </c>
      <c r="D595" s="116">
        <v>331</v>
      </c>
      <c r="E595" s="116">
        <v>334.8</v>
      </c>
      <c r="F595" s="116">
        <v>331.55</v>
      </c>
      <c r="G595">
        <v>217467</v>
      </c>
      <c r="H595" s="116"/>
      <c r="I595" s="116"/>
      <c r="L595" s="165">
        <v>45471</v>
      </c>
      <c r="M595" s="116">
        <v>332.1</v>
      </c>
      <c r="N595" s="116">
        <v>335.7</v>
      </c>
      <c r="O595" s="116">
        <v>331.05</v>
      </c>
      <c r="P595" s="116">
        <v>335</v>
      </c>
      <c r="Q595" s="116">
        <v>332.1</v>
      </c>
      <c r="R595">
        <v>851711</v>
      </c>
    </row>
    <row r="596" spans="1:18" x14ac:dyDescent="0.25">
      <c r="A596" s="165">
        <v>45474</v>
      </c>
      <c r="B596" s="116">
        <v>334.9</v>
      </c>
      <c r="C596" s="116">
        <v>332.75</v>
      </c>
      <c r="D596" s="116">
        <v>331.05</v>
      </c>
      <c r="E596" s="116">
        <v>332.8</v>
      </c>
      <c r="F596" s="116">
        <v>332.75</v>
      </c>
      <c r="G596">
        <v>58477</v>
      </c>
      <c r="H596" s="116"/>
      <c r="I596" s="116"/>
      <c r="L596" s="165">
        <v>45474</v>
      </c>
      <c r="M596" s="116">
        <v>332.6</v>
      </c>
      <c r="N596" s="116">
        <v>334.95</v>
      </c>
      <c r="O596" s="116">
        <v>331.15</v>
      </c>
      <c r="P596" s="116">
        <v>333.15</v>
      </c>
      <c r="Q596" s="116">
        <v>332.6</v>
      </c>
      <c r="R596">
        <v>911492</v>
      </c>
    </row>
    <row r="597" spans="1:18" x14ac:dyDescent="0.25">
      <c r="A597" s="165">
        <v>45475</v>
      </c>
      <c r="B597" s="116">
        <v>343.35</v>
      </c>
      <c r="C597" s="116">
        <v>335.85</v>
      </c>
      <c r="D597" s="116">
        <v>333.45</v>
      </c>
      <c r="E597" s="116">
        <v>334.25</v>
      </c>
      <c r="F597" s="116">
        <v>335.85</v>
      </c>
      <c r="G597">
        <v>360851</v>
      </c>
      <c r="H597" s="116"/>
      <c r="I597" s="116"/>
      <c r="L597" s="165">
        <v>45475</v>
      </c>
      <c r="M597" s="116">
        <v>335.75</v>
      </c>
      <c r="N597" s="116">
        <v>343.6</v>
      </c>
      <c r="O597" s="116">
        <v>333.5</v>
      </c>
      <c r="P597" s="116">
        <v>334.9</v>
      </c>
      <c r="Q597" s="116">
        <v>335.75</v>
      </c>
      <c r="R597">
        <v>2169382</v>
      </c>
    </row>
    <row r="598" spans="1:18" x14ac:dyDescent="0.25">
      <c r="A598" s="165">
        <v>45476</v>
      </c>
      <c r="B598" s="116">
        <v>338.85</v>
      </c>
      <c r="C598" s="116">
        <v>335.65</v>
      </c>
      <c r="D598" s="116">
        <v>335</v>
      </c>
      <c r="E598" s="116">
        <v>336.65</v>
      </c>
      <c r="F598" s="116">
        <v>335.65</v>
      </c>
      <c r="G598">
        <v>201552</v>
      </c>
      <c r="H598" s="116"/>
      <c r="I598" s="116"/>
      <c r="L598" s="165">
        <v>45476</v>
      </c>
      <c r="M598" s="116">
        <v>335.65</v>
      </c>
      <c r="N598" s="116">
        <v>338.85</v>
      </c>
      <c r="O598" s="116">
        <v>335</v>
      </c>
      <c r="P598" s="116">
        <v>337.05</v>
      </c>
      <c r="Q598" s="116">
        <v>335.65</v>
      </c>
      <c r="R598">
        <v>828736</v>
      </c>
    </row>
    <row r="599" spans="1:18" x14ac:dyDescent="0.25">
      <c r="A599" s="165">
        <v>45477</v>
      </c>
      <c r="B599" s="116">
        <v>337.45</v>
      </c>
      <c r="C599" s="116">
        <v>333.75</v>
      </c>
      <c r="D599" s="116">
        <v>333.35</v>
      </c>
      <c r="E599" s="116">
        <v>335.7</v>
      </c>
      <c r="F599" s="116">
        <v>333.75</v>
      </c>
      <c r="G599">
        <v>193862</v>
      </c>
      <c r="H599" s="116"/>
      <c r="I599" s="116"/>
      <c r="L599" s="165">
        <v>45477</v>
      </c>
      <c r="M599" s="116">
        <v>333.9</v>
      </c>
      <c r="N599" s="116">
        <v>337.7</v>
      </c>
      <c r="O599" s="116">
        <v>333.5</v>
      </c>
      <c r="P599" s="116">
        <v>336.05</v>
      </c>
      <c r="Q599" s="116">
        <v>333.9</v>
      </c>
      <c r="R599">
        <v>896649</v>
      </c>
    </row>
    <row r="600" spans="1:18" x14ac:dyDescent="0.25">
      <c r="A600" s="165">
        <v>45478</v>
      </c>
      <c r="B600" s="116">
        <v>334.95</v>
      </c>
      <c r="C600" s="116">
        <v>332.9</v>
      </c>
      <c r="D600" s="116">
        <v>332.1</v>
      </c>
      <c r="E600" s="116">
        <v>334.15</v>
      </c>
      <c r="F600" s="116">
        <v>332.9</v>
      </c>
      <c r="G600">
        <v>62604</v>
      </c>
      <c r="H600" s="116"/>
      <c r="I600" s="116"/>
      <c r="L600" s="165">
        <v>45478</v>
      </c>
      <c r="M600" s="116">
        <v>332.9</v>
      </c>
      <c r="N600" s="116">
        <v>335.2</v>
      </c>
      <c r="O600" s="116">
        <v>332</v>
      </c>
      <c r="P600" s="116">
        <v>334.5</v>
      </c>
      <c r="Q600" s="116">
        <v>332.9</v>
      </c>
      <c r="R600">
        <v>1170818</v>
      </c>
    </row>
    <row r="601" spans="1:18" x14ac:dyDescent="0.25">
      <c r="A601" s="165">
        <v>45481</v>
      </c>
      <c r="B601" s="116">
        <v>347.5</v>
      </c>
      <c r="C601" s="116">
        <v>339.3</v>
      </c>
      <c r="D601" s="116">
        <v>338</v>
      </c>
      <c r="E601" s="116">
        <v>344.25</v>
      </c>
      <c r="F601" s="116">
        <v>339.3</v>
      </c>
      <c r="G601">
        <v>492518</v>
      </c>
      <c r="H601" s="116"/>
      <c r="I601" s="116"/>
      <c r="L601" s="165">
        <v>45481</v>
      </c>
      <c r="M601" s="116">
        <v>339.3</v>
      </c>
      <c r="N601" s="116">
        <v>347</v>
      </c>
      <c r="O601" s="116">
        <v>338.1</v>
      </c>
      <c r="P601" s="116">
        <v>344.95</v>
      </c>
      <c r="Q601" s="116">
        <v>339.3</v>
      </c>
      <c r="R601">
        <v>2850289</v>
      </c>
    </row>
    <row r="602" spans="1:18" x14ac:dyDescent="0.25">
      <c r="A602" s="165">
        <v>45482</v>
      </c>
      <c r="B602" s="116">
        <v>345.65</v>
      </c>
      <c r="C602" s="116">
        <v>338.15</v>
      </c>
      <c r="D602" s="116">
        <v>337</v>
      </c>
      <c r="E602" s="116">
        <v>340.55</v>
      </c>
      <c r="F602" s="116">
        <v>338.15</v>
      </c>
      <c r="G602">
        <v>286130</v>
      </c>
      <c r="H602" s="116"/>
      <c r="I602" s="116"/>
      <c r="L602" s="165">
        <v>45482</v>
      </c>
      <c r="M602" s="116">
        <v>338.3</v>
      </c>
      <c r="N602" s="116">
        <v>345.85</v>
      </c>
      <c r="O602" s="116">
        <v>336.8</v>
      </c>
      <c r="P602" s="116">
        <v>340.9</v>
      </c>
      <c r="Q602" s="116">
        <v>338.3</v>
      </c>
      <c r="R602">
        <v>1816798</v>
      </c>
    </row>
    <row r="603" spans="1:18" x14ac:dyDescent="0.25">
      <c r="A603" s="165">
        <v>45483</v>
      </c>
      <c r="B603" s="116">
        <v>339.95</v>
      </c>
      <c r="C603" s="116">
        <v>335</v>
      </c>
      <c r="D603" s="116">
        <v>332.7</v>
      </c>
      <c r="E603" s="116">
        <v>338.05</v>
      </c>
      <c r="F603" s="116">
        <v>335</v>
      </c>
      <c r="G603">
        <v>54936</v>
      </c>
      <c r="H603" s="116"/>
      <c r="I603" s="116"/>
      <c r="L603" s="165">
        <v>45483</v>
      </c>
      <c r="M603" s="116">
        <v>335</v>
      </c>
      <c r="N603" s="116">
        <v>339.9</v>
      </c>
      <c r="O603" s="116">
        <v>332.5</v>
      </c>
      <c r="P603" s="116">
        <v>338.5</v>
      </c>
      <c r="Q603" s="116">
        <v>335</v>
      </c>
      <c r="R603">
        <v>992976</v>
      </c>
    </row>
    <row r="604" spans="1:18" x14ac:dyDescent="0.25">
      <c r="A604" s="165">
        <v>45484</v>
      </c>
      <c r="B604" s="116">
        <v>336.6</v>
      </c>
      <c r="C604" s="116">
        <v>334.2</v>
      </c>
      <c r="D604" s="116">
        <v>334</v>
      </c>
      <c r="E604" s="116">
        <v>336.25</v>
      </c>
      <c r="F604" s="116">
        <v>334.2</v>
      </c>
      <c r="G604">
        <v>165228</v>
      </c>
      <c r="H604" s="116"/>
      <c r="I604" s="116"/>
      <c r="L604" s="165">
        <v>45484</v>
      </c>
      <c r="M604" s="116">
        <v>334.2</v>
      </c>
      <c r="N604" s="116">
        <v>336.95</v>
      </c>
      <c r="O604" s="116">
        <v>333.8</v>
      </c>
      <c r="P604" s="116">
        <v>336.65</v>
      </c>
      <c r="Q604" s="116">
        <v>334.2</v>
      </c>
      <c r="R604">
        <v>752675</v>
      </c>
    </row>
    <row r="605" spans="1:18" x14ac:dyDescent="0.25">
      <c r="A605" s="165">
        <v>45485</v>
      </c>
      <c r="B605" s="116">
        <v>342.75</v>
      </c>
      <c r="C605" s="116">
        <v>336.05</v>
      </c>
      <c r="D605" s="116">
        <v>334.9</v>
      </c>
      <c r="E605" s="116">
        <v>339.85</v>
      </c>
      <c r="F605" s="116">
        <v>336.05</v>
      </c>
      <c r="G605">
        <v>274616</v>
      </c>
      <c r="H605" s="116"/>
      <c r="I605" s="116"/>
      <c r="L605" s="165">
        <v>45485</v>
      </c>
      <c r="M605" s="116">
        <v>335.75</v>
      </c>
      <c r="N605" s="116">
        <v>343</v>
      </c>
      <c r="O605" s="116">
        <v>334</v>
      </c>
      <c r="P605" s="116">
        <v>340</v>
      </c>
      <c r="Q605" s="116">
        <v>335.75</v>
      </c>
      <c r="R605">
        <v>1894394</v>
      </c>
    </row>
    <row r="606" spans="1:18" x14ac:dyDescent="0.25">
      <c r="A606" s="165">
        <v>45488</v>
      </c>
      <c r="B606" s="116">
        <v>337.3</v>
      </c>
      <c r="C606" s="116">
        <v>333.9</v>
      </c>
      <c r="D606" s="116">
        <v>333.25</v>
      </c>
      <c r="E606" s="116">
        <v>335.55</v>
      </c>
      <c r="F606" s="116">
        <v>333.9</v>
      </c>
      <c r="G606">
        <v>218277</v>
      </c>
      <c r="H606" s="116"/>
      <c r="I606" s="116"/>
      <c r="L606" s="165">
        <v>45488</v>
      </c>
      <c r="M606" s="116">
        <v>333.95</v>
      </c>
      <c r="N606" s="116">
        <v>337.4</v>
      </c>
      <c r="O606" s="116">
        <v>333.3</v>
      </c>
      <c r="P606" s="116">
        <v>336.4</v>
      </c>
      <c r="Q606" s="116">
        <v>333.95</v>
      </c>
      <c r="R606">
        <v>1241597</v>
      </c>
    </row>
    <row r="607" spans="1:18" x14ac:dyDescent="0.25">
      <c r="A607" s="165">
        <v>45489</v>
      </c>
      <c r="B607" s="116">
        <v>336.7</v>
      </c>
      <c r="C607" s="116">
        <v>330.75</v>
      </c>
      <c r="D607" s="116">
        <v>329.7</v>
      </c>
      <c r="E607" s="116">
        <v>335</v>
      </c>
      <c r="F607" s="116">
        <v>330.75</v>
      </c>
      <c r="G607">
        <v>86623</v>
      </c>
      <c r="H607" s="116"/>
      <c r="I607" s="116"/>
      <c r="L607" s="165">
        <v>45489</v>
      </c>
      <c r="M607" s="116">
        <v>330.75</v>
      </c>
      <c r="N607" s="116">
        <v>336.6</v>
      </c>
      <c r="O607" s="116">
        <v>329.4</v>
      </c>
      <c r="P607" s="116">
        <v>334.9</v>
      </c>
      <c r="Q607" s="116">
        <v>330.75</v>
      </c>
      <c r="R607">
        <v>2168694</v>
      </c>
    </row>
    <row r="608" spans="1:18" x14ac:dyDescent="0.25">
      <c r="A608" s="165">
        <v>45491</v>
      </c>
      <c r="B608" s="116">
        <v>331</v>
      </c>
      <c r="C608" s="116">
        <v>324.25</v>
      </c>
      <c r="D608" s="116">
        <v>323.39999999999998</v>
      </c>
      <c r="E608" s="116">
        <v>330.75</v>
      </c>
      <c r="F608" s="116">
        <v>324.25</v>
      </c>
      <c r="G608">
        <v>364640</v>
      </c>
      <c r="H608" s="116"/>
      <c r="I608" s="116"/>
      <c r="L608" s="165">
        <v>45491</v>
      </c>
      <c r="M608" s="116">
        <v>324.25</v>
      </c>
      <c r="N608" s="116">
        <v>331.3</v>
      </c>
      <c r="O608" s="116">
        <v>323.10000000000002</v>
      </c>
      <c r="P608" s="116">
        <v>330.75</v>
      </c>
      <c r="Q608" s="116">
        <v>324.25</v>
      </c>
      <c r="R608">
        <v>2079538</v>
      </c>
    </row>
    <row r="609" spans="1:18" x14ac:dyDescent="0.25">
      <c r="A609" s="165">
        <v>45492</v>
      </c>
      <c r="B609" s="116">
        <v>326.75</v>
      </c>
      <c r="C609" s="116">
        <v>320.35000000000002</v>
      </c>
      <c r="D609" s="116">
        <v>319.05</v>
      </c>
      <c r="E609" s="116">
        <v>324.3</v>
      </c>
      <c r="F609" s="116">
        <v>320.35000000000002</v>
      </c>
      <c r="G609">
        <v>313394</v>
      </c>
      <c r="H609" s="116"/>
      <c r="I609" s="116"/>
      <c r="L609" s="165">
        <v>45492</v>
      </c>
      <c r="M609" s="116">
        <v>319.95</v>
      </c>
      <c r="N609" s="116">
        <v>326.7</v>
      </c>
      <c r="O609" s="116">
        <v>319</v>
      </c>
      <c r="P609" s="116">
        <v>325</v>
      </c>
      <c r="Q609" s="116">
        <v>319.95</v>
      </c>
      <c r="R609">
        <v>1133458</v>
      </c>
    </row>
    <row r="610" spans="1:18" x14ac:dyDescent="0.25">
      <c r="A610" s="165">
        <v>45495</v>
      </c>
      <c r="B610" s="116">
        <v>326.5</v>
      </c>
      <c r="C610" s="116">
        <v>324.3</v>
      </c>
      <c r="D610" s="116">
        <v>315.60000000000002</v>
      </c>
      <c r="E610" s="116">
        <v>318</v>
      </c>
      <c r="F610" s="116">
        <v>324.3</v>
      </c>
      <c r="G610">
        <v>303482</v>
      </c>
      <c r="H610" s="116"/>
      <c r="I610" s="116"/>
      <c r="L610" s="165">
        <v>45495</v>
      </c>
      <c r="M610" s="116">
        <v>323.89999999999998</v>
      </c>
      <c r="N610" s="116">
        <v>326.8</v>
      </c>
      <c r="O610" s="116">
        <v>315.5</v>
      </c>
      <c r="P610" s="116">
        <v>318</v>
      </c>
      <c r="Q610" s="116">
        <v>323.89999999999998</v>
      </c>
      <c r="R610">
        <v>1114641</v>
      </c>
    </row>
    <row r="611" spans="1:18" x14ac:dyDescent="0.25">
      <c r="A611" s="165">
        <v>45496</v>
      </c>
      <c r="B611" s="116">
        <v>331.4</v>
      </c>
      <c r="C611" s="116">
        <v>322.05</v>
      </c>
      <c r="D611" s="116">
        <v>316.75</v>
      </c>
      <c r="E611" s="116">
        <v>325.8</v>
      </c>
      <c r="F611" s="116">
        <v>322.05</v>
      </c>
      <c r="G611">
        <v>290068</v>
      </c>
      <c r="H611" s="116"/>
      <c r="I611" s="116"/>
      <c r="L611" s="165">
        <v>45496</v>
      </c>
      <c r="M611" s="116">
        <v>322.35000000000002</v>
      </c>
      <c r="N611" s="116">
        <v>331.45</v>
      </c>
      <c r="O611" s="116">
        <v>316.8</v>
      </c>
      <c r="P611" s="116">
        <v>325.05</v>
      </c>
      <c r="Q611" s="116">
        <v>322.35000000000002</v>
      </c>
      <c r="R611">
        <v>1651906</v>
      </c>
    </row>
    <row r="612" spans="1:18" x14ac:dyDescent="0.25">
      <c r="A612" s="165">
        <v>45497</v>
      </c>
      <c r="B612" s="116">
        <v>328.5</v>
      </c>
      <c r="C612" s="116">
        <v>325.14999999999998</v>
      </c>
      <c r="D612" s="116">
        <v>322.95</v>
      </c>
      <c r="E612" s="116">
        <v>324.95</v>
      </c>
      <c r="F612" s="116">
        <v>325.14999999999998</v>
      </c>
      <c r="G612">
        <v>64887</v>
      </c>
      <c r="H612" s="116"/>
      <c r="I612" s="116"/>
      <c r="L612" s="165">
        <v>45497</v>
      </c>
      <c r="M612" s="116">
        <v>325.2</v>
      </c>
      <c r="N612" s="116">
        <v>328.4</v>
      </c>
      <c r="O612" s="116">
        <v>323.3</v>
      </c>
      <c r="P612" s="116">
        <v>324.64999999999998</v>
      </c>
      <c r="Q612" s="116">
        <v>325.2</v>
      </c>
      <c r="R612">
        <v>983727</v>
      </c>
    </row>
    <row r="613" spans="1:18" x14ac:dyDescent="0.25">
      <c r="A613" s="165">
        <v>45498</v>
      </c>
      <c r="B613" s="116">
        <v>329.85</v>
      </c>
      <c r="C613" s="116">
        <v>323.3</v>
      </c>
      <c r="D613" s="116">
        <v>322</v>
      </c>
      <c r="E613" s="116">
        <v>323.05</v>
      </c>
      <c r="F613" s="116">
        <v>323.3</v>
      </c>
      <c r="G613">
        <v>84494</v>
      </c>
      <c r="H613" s="116"/>
      <c r="I613" s="116"/>
      <c r="L613" s="165">
        <v>45498</v>
      </c>
      <c r="M613" s="116">
        <v>323.35000000000002</v>
      </c>
      <c r="N613" s="116">
        <v>329.8</v>
      </c>
      <c r="O613" s="116">
        <v>322.14999999999998</v>
      </c>
      <c r="P613" s="116">
        <v>323.39999999999998</v>
      </c>
      <c r="Q613" s="116">
        <v>323.35000000000002</v>
      </c>
      <c r="R613">
        <v>1082813</v>
      </c>
    </row>
    <row r="614" spans="1:18" x14ac:dyDescent="0.25">
      <c r="A614" s="165">
        <v>45499</v>
      </c>
      <c r="B614" s="116">
        <v>333.7</v>
      </c>
      <c r="C614" s="116">
        <v>325.35000000000002</v>
      </c>
      <c r="D614" s="116">
        <v>324.05</v>
      </c>
      <c r="E614" s="116">
        <v>324.05</v>
      </c>
      <c r="F614" s="116">
        <v>325.35000000000002</v>
      </c>
      <c r="G614">
        <v>124365</v>
      </c>
      <c r="H614" s="116"/>
      <c r="I614" s="116"/>
      <c r="L614" s="165">
        <v>45499</v>
      </c>
      <c r="M614" s="116">
        <v>325.14999999999998</v>
      </c>
      <c r="N614" s="116">
        <v>333.9</v>
      </c>
      <c r="O614" s="116">
        <v>324</v>
      </c>
      <c r="P614" s="116">
        <v>325.45</v>
      </c>
      <c r="Q614" s="116">
        <v>325.14999999999998</v>
      </c>
      <c r="R614">
        <v>2465354</v>
      </c>
    </row>
    <row r="615" spans="1:18" x14ac:dyDescent="0.25">
      <c r="A615" s="165">
        <v>45502</v>
      </c>
      <c r="B615" s="116">
        <v>349.55</v>
      </c>
      <c r="C615" s="116">
        <v>344.4</v>
      </c>
      <c r="D615" s="116">
        <v>327.35000000000002</v>
      </c>
      <c r="E615" s="116">
        <v>328</v>
      </c>
      <c r="F615" s="116">
        <v>344.4</v>
      </c>
      <c r="G615">
        <v>1596261</v>
      </c>
      <c r="H615" s="116"/>
      <c r="I615" s="116"/>
      <c r="L615" s="165">
        <v>45502</v>
      </c>
      <c r="M615" s="116">
        <v>344.6</v>
      </c>
      <c r="N615" s="116">
        <v>349.7</v>
      </c>
      <c r="O615" s="116">
        <v>327.10000000000002</v>
      </c>
      <c r="P615" s="116">
        <v>328</v>
      </c>
      <c r="Q615" s="116">
        <v>344.6</v>
      </c>
      <c r="R615">
        <v>14356770</v>
      </c>
    </row>
    <row r="616" spans="1:18" x14ac:dyDescent="0.25">
      <c r="A616" s="165">
        <v>45503</v>
      </c>
      <c r="B616" s="116">
        <v>354.9</v>
      </c>
      <c r="C616" s="116">
        <v>352.35</v>
      </c>
      <c r="D616" s="116">
        <v>347.25</v>
      </c>
      <c r="E616" s="116">
        <v>347.25</v>
      </c>
      <c r="F616" s="116">
        <v>352.35</v>
      </c>
      <c r="G616">
        <v>391953</v>
      </c>
      <c r="H616" s="116"/>
      <c r="I616" s="116"/>
      <c r="L616" s="165">
        <v>45503</v>
      </c>
      <c r="M616" s="116">
        <v>352.3</v>
      </c>
      <c r="N616" s="116">
        <v>354.6</v>
      </c>
      <c r="O616" s="116">
        <v>347.15</v>
      </c>
      <c r="P616" s="116">
        <v>347.8</v>
      </c>
      <c r="Q616" s="116">
        <v>352.3</v>
      </c>
      <c r="R616">
        <v>8155099</v>
      </c>
    </row>
    <row r="617" spans="1:18" x14ac:dyDescent="0.25">
      <c r="A617" s="165">
        <v>45504</v>
      </c>
      <c r="B617" s="116">
        <v>355.75</v>
      </c>
      <c r="C617" s="116">
        <v>347.95</v>
      </c>
      <c r="D617" s="116">
        <v>346.2</v>
      </c>
      <c r="E617" s="116">
        <v>354.6</v>
      </c>
      <c r="F617" s="116">
        <v>347.95</v>
      </c>
      <c r="G617">
        <v>498888</v>
      </c>
      <c r="H617" s="116"/>
      <c r="I617" s="116"/>
      <c r="L617" s="165">
        <v>45504</v>
      </c>
      <c r="M617" s="116">
        <v>348.15</v>
      </c>
      <c r="N617" s="116">
        <v>355.8</v>
      </c>
      <c r="O617" s="116">
        <v>346.4</v>
      </c>
      <c r="P617" s="116">
        <v>354.25</v>
      </c>
      <c r="Q617" s="116">
        <v>348.15</v>
      </c>
      <c r="R617">
        <v>2695268</v>
      </c>
    </row>
    <row r="618" spans="1:18" x14ac:dyDescent="0.25">
      <c r="A618" s="165">
        <v>45505</v>
      </c>
      <c r="B618" s="116">
        <v>357.5</v>
      </c>
      <c r="C618" s="116">
        <v>348.2</v>
      </c>
      <c r="D618" s="116">
        <v>342.55</v>
      </c>
      <c r="E618" s="116">
        <v>350</v>
      </c>
      <c r="F618" s="116">
        <v>348.2</v>
      </c>
      <c r="G618">
        <v>336901</v>
      </c>
      <c r="H618" s="116"/>
      <c r="I618" s="116"/>
      <c r="L618" s="165">
        <v>45505</v>
      </c>
      <c r="M618" s="116">
        <v>348.35</v>
      </c>
      <c r="N618" s="116">
        <v>357.7</v>
      </c>
      <c r="O618" s="116">
        <v>342.5</v>
      </c>
      <c r="P618" s="116">
        <v>349.9</v>
      </c>
      <c r="Q618" s="116">
        <v>348.35</v>
      </c>
      <c r="R618">
        <v>7025096</v>
      </c>
    </row>
    <row r="619" spans="1:18" x14ac:dyDescent="0.25">
      <c r="A619" s="165">
        <v>45506</v>
      </c>
      <c r="B619" s="116">
        <v>383</v>
      </c>
      <c r="C619" s="116">
        <v>383</v>
      </c>
      <c r="D619" s="116">
        <v>343.5</v>
      </c>
      <c r="E619" s="116">
        <v>343.95</v>
      </c>
      <c r="F619" s="116">
        <v>383</v>
      </c>
      <c r="G619">
        <v>1317708</v>
      </c>
      <c r="H619" s="116"/>
      <c r="I619" s="116"/>
      <c r="L619" s="165">
        <v>45506</v>
      </c>
      <c r="M619" s="116">
        <v>383.15</v>
      </c>
      <c r="N619" s="116">
        <v>383.15</v>
      </c>
      <c r="O619" s="116">
        <v>343.2</v>
      </c>
      <c r="P619" s="116">
        <v>344</v>
      </c>
      <c r="Q619" s="116">
        <v>383.15</v>
      </c>
      <c r="R619">
        <v>26955054</v>
      </c>
    </row>
    <row r="620" spans="1:18" x14ac:dyDescent="0.25">
      <c r="A620" s="165">
        <v>45509</v>
      </c>
      <c r="B620" s="116">
        <v>398.95</v>
      </c>
      <c r="C620" s="116">
        <v>382.45</v>
      </c>
      <c r="D620" s="116">
        <v>362.35</v>
      </c>
      <c r="E620" s="116">
        <v>369.7</v>
      </c>
      <c r="F620" s="116">
        <v>382.45</v>
      </c>
      <c r="G620">
        <v>1860715</v>
      </c>
      <c r="H620" s="116"/>
      <c r="I620" s="116"/>
      <c r="L620" s="165">
        <v>45509</v>
      </c>
      <c r="M620" s="116">
        <v>382.35</v>
      </c>
      <c r="N620" s="116">
        <v>399</v>
      </c>
      <c r="O620" s="116">
        <v>362.5</v>
      </c>
      <c r="P620" s="116">
        <v>369</v>
      </c>
      <c r="Q620" s="116">
        <v>382.35</v>
      </c>
      <c r="R620">
        <v>34428978</v>
      </c>
    </row>
    <row r="621" spans="1:18" x14ac:dyDescent="0.25">
      <c r="A621" s="165">
        <v>45510</v>
      </c>
      <c r="B621" s="116">
        <v>401</v>
      </c>
      <c r="C621" s="116">
        <v>364.65</v>
      </c>
      <c r="D621" s="116">
        <v>361.15</v>
      </c>
      <c r="E621" s="116">
        <v>392.25</v>
      </c>
      <c r="F621" s="116">
        <v>364.65</v>
      </c>
      <c r="G621">
        <v>1537692</v>
      </c>
      <c r="H621" s="116"/>
      <c r="I621" s="116"/>
      <c r="L621" s="165">
        <v>45510</v>
      </c>
      <c r="M621" s="116">
        <v>364.4</v>
      </c>
      <c r="N621" s="116">
        <v>402</v>
      </c>
      <c r="O621" s="116">
        <v>360.35</v>
      </c>
      <c r="P621" s="116">
        <v>394</v>
      </c>
      <c r="Q621" s="116">
        <v>364.4</v>
      </c>
      <c r="R621">
        <v>12339179</v>
      </c>
    </row>
    <row r="622" spans="1:18" x14ac:dyDescent="0.25">
      <c r="A622" s="165">
        <v>45511</v>
      </c>
      <c r="B622" s="116">
        <v>391</v>
      </c>
      <c r="C622" s="116">
        <v>386.95</v>
      </c>
      <c r="D622" s="116">
        <v>366.55</v>
      </c>
      <c r="E622" s="116">
        <v>375.95</v>
      </c>
      <c r="F622" s="116">
        <v>386.95</v>
      </c>
      <c r="G622">
        <v>1145958</v>
      </c>
      <c r="H622" s="116"/>
      <c r="I622" s="116"/>
      <c r="L622" s="165">
        <v>45511</v>
      </c>
      <c r="M622" s="116">
        <v>387.15</v>
      </c>
      <c r="N622" s="116">
        <v>391.45</v>
      </c>
      <c r="O622" s="116">
        <v>367.15</v>
      </c>
      <c r="P622" s="116">
        <v>374.9</v>
      </c>
      <c r="Q622" s="116">
        <v>387.15</v>
      </c>
      <c r="R622">
        <v>9614242</v>
      </c>
    </row>
    <row r="623" spans="1:18" x14ac:dyDescent="0.25">
      <c r="A623" s="165">
        <v>45512</v>
      </c>
      <c r="B623" s="116">
        <v>404</v>
      </c>
      <c r="C623" s="116">
        <v>387.45</v>
      </c>
      <c r="D623" s="116">
        <v>382.2</v>
      </c>
      <c r="E623" s="116">
        <v>386.7</v>
      </c>
      <c r="F623" s="116">
        <v>387.45</v>
      </c>
      <c r="G623">
        <v>707149</v>
      </c>
      <c r="H623" s="116"/>
      <c r="I623" s="116"/>
      <c r="L623" s="165">
        <v>45512</v>
      </c>
      <c r="M623" s="116">
        <v>387.5</v>
      </c>
      <c r="N623" s="116">
        <v>403.95</v>
      </c>
      <c r="O623" s="116">
        <v>382.05</v>
      </c>
      <c r="P623" s="116">
        <v>387.1</v>
      </c>
      <c r="Q623" s="116">
        <v>387.5</v>
      </c>
      <c r="R623">
        <v>14683067</v>
      </c>
    </row>
    <row r="624" spans="1:18" x14ac:dyDescent="0.25">
      <c r="A624" s="165">
        <v>45513</v>
      </c>
      <c r="B624" s="116">
        <v>396</v>
      </c>
      <c r="C624" s="116">
        <v>385</v>
      </c>
      <c r="D624" s="116">
        <v>383.15</v>
      </c>
      <c r="E624" s="116">
        <v>393.85</v>
      </c>
      <c r="F624" s="116">
        <v>385</v>
      </c>
      <c r="G624">
        <v>187208</v>
      </c>
      <c r="H624" s="116"/>
      <c r="I624" s="116"/>
      <c r="L624" s="165">
        <v>45513</v>
      </c>
      <c r="M624" s="116">
        <v>385.15</v>
      </c>
      <c r="N624" s="116">
        <v>395.95</v>
      </c>
      <c r="O624" s="116">
        <v>383</v>
      </c>
      <c r="P624" s="116">
        <v>393.4</v>
      </c>
      <c r="Q624" s="116">
        <v>385.15</v>
      </c>
      <c r="R624">
        <v>4656937</v>
      </c>
    </row>
    <row r="625" spans="1:18" x14ac:dyDescent="0.25">
      <c r="A625" s="165">
        <v>45516</v>
      </c>
      <c r="B625" s="116">
        <v>378.8</v>
      </c>
      <c r="C625" s="116">
        <v>369.05</v>
      </c>
      <c r="D625" s="116">
        <v>360</v>
      </c>
      <c r="E625" s="116">
        <v>370.05</v>
      </c>
      <c r="F625" s="116">
        <v>369.05</v>
      </c>
      <c r="G625">
        <v>754975</v>
      </c>
      <c r="H625" s="116"/>
      <c r="I625" s="116"/>
      <c r="L625" s="165">
        <v>45516</v>
      </c>
      <c r="M625" s="116">
        <v>369.1</v>
      </c>
      <c r="N625" s="116">
        <v>378.85</v>
      </c>
      <c r="O625" s="116">
        <v>360</v>
      </c>
      <c r="P625" s="116">
        <v>375</v>
      </c>
      <c r="Q625" s="116">
        <v>369.1</v>
      </c>
      <c r="R625">
        <v>12993594</v>
      </c>
    </row>
    <row r="626" spans="1:18" x14ac:dyDescent="0.25">
      <c r="A626" s="165">
        <v>45517</v>
      </c>
      <c r="B626" s="116">
        <v>377</v>
      </c>
      <c r="C626" s="116">
        <v>360.3</v>
      </c>
      <c r="D626" s="116">
        <v>358.25</v>
      </c>
      <c r="E626" s="116">
        <v>373</v>
      </c>
      <c r="F626" s="116">
        <v>360.3</v>
      </c>
      <c r="G626">
        <v>222430</v>
      </c>
      <c r="H626" s="116"/>
      <c r="I626" s="116"/>
      <c r="L626" s="165">
        <v>45517</v>
      </c>
      <c r="M626" s="116">
        <v>360.4</v>
      </c>
      <c r="N626" s="116">
        <v>376.9</v>
      </c>
      <c r="O626" s="116">
        <v>358.2</v>
      </c>
      <c r="P626" s="116">
        <v>373</v>
      </c>
      <c r="Q626" s="116">
        <v>360.4</v>
      </c>
      <c r="R626">
        <v>4596839</v>
      </c>
    </row>
    <row r="627" spans="1:18" x14ac:dyDescent="0.25">
      <c r="A627" s="165">
        <v>45518</v>
      </c>
      <c r="B627" s="116">
        <v>362.15</v>
      </c>
      <c r="C627" s="116">
        <v>352.35</v>
      </c>
      <c r="D627" s="116">
        <v>351.3</v>
      </c>
      <c r="E627" s="116">
        <v>361.55</v>
      </c>
      <c r="F627" s="116">
        <v>352.35</v>
      </c>
      <c r="G627">
        <v>174053</v>
      </c>
      <c r="H627" s="116"/>
      <c r="I627" s="116"/>
      <c r="L627" s="165">
        <v>45518</v>
      </c>
      <c r="M627" s="116">
        <v>352.3</v>
      </c>
      <c r="N627" s="116">
        <v>362.2</v>
      </c>
      <c r="O627" s="116">
        <v>351.25</v>
      </c>
      <c r="P627" s="116">
        <v>362</v>
      </c>
      <c r="Q627" s="116">
        <v>352.3</v>
      </c>
      <c r="R627">
        <v>3362861</v>
      </c>
    </row>
    <row r="628" spans="1:18" x14ac:dyDescent="0.25">
      <c r="A628" s="165">
        <v>45520</v>
      </c>
      <c r="B628" s="116">
        <v>365</v>
      </c>
      <c r="C628" s="116">
        <v>363.15</v>
      </c>
      <c r="D628" s="116">
        <v>352.9</v>
      </c>
      <c r="E628" s="116">
        <v>356.05</v>
      </c>
      <c r="F628" s="116">
        <v>363.15</v>
      </c>
      <c r="G628">
        <v>427396</v>
      </c>
      <c r="H628" s="116"/>
      <c r="I628" s="116"/>
      <c r="L628" s="165">
        <v>45520</v>
      </c>
      <c r="M628" s="116">
        <v>363.3</v>
      </c>
      <c r="N628" s="116">
        <v>365.25</v>
      </c>
      <c r="O628" s="116">
        <v>352.8</v>
      </c>
      <c r="P628" s="116">
        <v>356.8</v>
      </c>
      <c r="Q628" s="116">
        <v>363.3</v>
      </c>
      <c r="R628">
        <v>3905895</v>
      </c>
    </row>
    <row r="629" spans="1:18" x14ac:dyDescent="0.25">
      <c r="A629" s="165">
        <v>45523</v>
      </c>
      <c r="B629" s="116">
        <v>369.1</v>
      </c>
      <c r="C629" s="116">
        <v>359.8</v>
      </c>
      <c r="D629" s="116">
        <v>358.55</v>
      </c>
      <c r="E629" s="116">
        <v>364.95</v>
      </c>
      <c r="F629" s="116">
        <v>359.8</v>
      </c>
      <c r="G629">
        <v>141249</v>
      </c>
      <c r="H629" s="116"/>
      <c r="I629" s="116"/>
      <c r="L629" s="165">
        <v>45523</v>
      </c>
      <c r="M629" s="116">
        <v>359.8</v>
      </c>
      <c r="N629" s="116">
        <v>369</v>
      </c>
      <c r="O629" s="116">
        <v>358.55</v>
      </c>
      <c r="P629" s="116">
        <v>365</v>
      </c>
      <c r="Q629" s="116">
        <v>359.8</v>
      </c>
      <c r="R629">
        <v>2445290</v>
      </c>
    </row>
    <row r="630" spans="1:18" x14ac:dyDescent="0.25">
      <c r="A630" s="165">
        <v>45524</v>
      </c>
      <c r="B630" s="116">
        <v>363.4</v>
      </c>
      <c r="C630" s="116">
        <v>357.7</v>
      </c>
      <c r="D630" s="116">
        <v>357.15</v>
      </c>
      <c r="E630" s="116">
        <v>361.55</v>
      </c>
      <c r="F630" s="116">
        <v>357.7</v>
      </c>
      <c r="G630">
        <v>208750</v>
      </c>
      <c r="H630" s="116"/>
      <c r="I630" s="116"/>
      <c r="L630" s="165">
        <v>45524</v>
      </c>
      <c r="M630" s="116">
        <v>357.8</v>
      </c>
      <c r="N630" s="116">
        <v>363.75</v>
      </c>
      <c r="O630" s="116">
        <v>357.05</v>
      </c>
      <c r="P630" s="116">
        <v>362</v>
      </c>
      <c r="Q630" s="116">
        <v>357.8</v>
      </c>
      <c r="R630">
        <v>1599189</v>
      </c>
    </row>
    <row r="631" spans="1:18" x14ac:dyDescent="0.25">
      <c r="A631" s="165">
        <v>45525</v>
      </c>
      <c r="B631" s="116">
        <v>393.45</v>
      </c>
      <c r="C631" s="116">
        <v>393.45</v>
      </c>
      <c r="D631" s="116">
        <v>359.8</v>
      </c>
      <c r="E631" s="116">
        <v>360.5</v>
      </c>
      <c r="F631" s="116">
        <v>393.45</v>
      </c>
      <c r="G631">
        <v>896143</v>
      </c>
      <c r="H631" s="116"/>
      <c r="I631" s="116"/>
      <c r="L631" s="165">
        <v>45525</v>
      </c>
      <c r="M631" s="116">
        <v>393.55</v>
      </c>
      <c r="N631" s="116">
        <v>393.55</v>
      </c>
      <c r="O631" s="116">
        <v>359.8</v>
      </c>
      <c r="P631" s="116">
        <v>361.4</v>
      </c>
      <c r="Q631" s="116">
        <v>393.55</v>
      </c>
      <c r="R631">
        <v>13224588</v>
      </c>
    </row>
    <row r="632" spans="1:18" x14ac:dyDescent="0.25">
      <c r="A632" s="165">
        <v>45526</v>
      </c>
      <c r="B632" s="116">
        <v>402.2</v>
      </c>
      <c r="C632" s="116">
        <v>380.7</v>
      </c>
      <c r="D632" s="116">
        <v>378.5</v>
      </c>
      <c r="E632" s="116">
        <v>399.55</v>
      </c>
      <c r="F632" s="116">
        <v>380.7</v>
      </c>
      <c r="G632">
        <v>408656</v>
      </c>
      <c r="H632" s="116"/>
      <c r="I632" s="116"/>
      <c r="L632" s="165">
        <v>45526</v>
      </c>
      <c r="M632" s="116">
        <v>380.5</v>
      </c>
      <c r="N632" s="116">
        <v>401.9</v>
      </c>
      <c r="O632" s="116">
        <v>378.5</v>
      </c>
      <c r="P632" s="116">
        <v>401.35</v>
      </c>
      <c r="Q632" s="116">
        <v>380.5</v>
      </c>
      <c r="R632">
        <v>9587023</v>
      </c>
    </row>
    <row r="633" spans="1:18" x14ac:dyDescent="0.25">
      <c r="A633" s="165">
        <v>45527</v>
      </c>
      <c r="B633" s="116">
        <v>388.95</v>
      </c>
      <c r="C633" s="116">
        <v>377.25</v>
      </c>
      <c r="D633" s="116">
        <v>375</v>
      </c>
      <c r="E633" s="116">
        <v>382</v>
      </c>
      <c r="F633" s="116">
        <v>377.25</v>
      </c>
      <c r="G633">
        <v>410685</v>
      </c>
      <c r="H633" s="116"/>
      <c r="I633" s="116"/>
      <c r="L633" s="165">
        <v>45527</v>
      </c>
      <c r="M633" s="116">
        <v>376.95</v>
      </c>
      <c r="N633" s="116">
        <v>389</v>
      </c>
      <c r="O633" s="116">
        <v>374.9</v>
      </c>
      <c r="P633" s="116">
        <v>382.1</v>
      </c>
      <c r="Q633" s="116">
        <v>376.95</v>
      </c>
      <c r="R633">
        <v>4143715</v>
      </c>
    </row>
    <row r="634" spans="1:18" x14ac:dyDescent="0.25">
      <c r="A634" s="165">
        <v>45530</v>
      </c>
      <c r="B634" s="116">
        <v>385.25</v>
      </c>
      <c r="C634" s="116">
        <v>378.2</v>
      </c>
      <c r="D634" s="116">
        <v>375.75</v>
      </c>
      <c r="E634" s="116">
        <v>377.65</v>
      </c>
      <c r="F634" s="116">
        <v>378.2</v>
      </c>
      <c r="G634">
        <v>366739</v>
      </c>
      <c r="H634" s="116"/>
      <c r="I634" s="116"/>
      <c r="L634" s="165">
        <v>45530</v>
      </c>
      <c r="M634" s="116">
        <v>378.45</v>
      </c>
      <c r="N634" s="116">
        <v>385.5</v>
      </c>
      <c r="O634" s="116">
        <v>376</v>
      </c>
      <c r="P634" s="116">
        <v>378</v>
      </c>
      <c r="Q634" s="116">
        <v>378.45</v>
      </c>
      <c r="R634">
        <v>2847370</v>
      </c>
    </row>
    <row r="635" spans="1:18" x14ac:dyDescent="0.25">
      <c r="A635" s="165">
        <v>45531</v>
      </c>
      <c r="B635" s="116">
        <v>383.95</v>
      </c>
      <c r="C635" s="116">
        <v>374.05</v>
      </c>
      <c r="D635" s="116">
        <v>373.4</v>
      </c>
      <c r="E635" s="116">
        <v>379.05</v>
      </c>
      <c r="F635" s="116">
        <v>374.05</v>
      </c>
      <c r="G635">
        <v>128348</v>
      </c>
      <c r="H635" s="116"/>
      <c r="I635" s="116"/>
      <c r="L635" s="165">
        <v>45531</v>
      </c>
      <c r="M635" s="116">
        <v>373.95</v>
      </c>
      <c r="N635" s="116">
        <v>383.95</v>
      </c>
      <c r="O635" s="116">
        <v>373</v>
      </c>
      <c r="P635" s="116">
        <v>379.45</v>
      </c>
      <c r="Q635" s="116">
        <v>373.95</v>
      </c>
      <c r="R635">
        <v>2710949</v>
      </c>
    </row>
    <row r="636" spans="1:18" x14ac:dyDescent="0.25">
      <c r="A636" s="165">
        <v>45532</v>
      </c>
      <c r="B636" s="116">
        <v>377.65</v>
      </c>
      <c r="C636" s="116">
        <v>366.85</v>
      </c>
      <c r="D636" s="116">
        <v>365</v>
      </c>
      <c r="E636" s="116">
        <v>374.1</v>
      </c>
      <c r="F636" s="116">
        <v>366.85</v>
      </c>
      <c r="G636">
        <v>384785</v>
      </c>
      <c r="H636" s="116"/>
      <c r="I636" s="116"/>
      <c r="L636" s="165">
        <v>45532</v>
      </c>
      <c r="M636" s="116">
        <v>367.15</v>
      </c>
      <c r="N636" s="116">
        <v>377.85</v>
      </c>
      <c r="O636" s="116">
        <v>366</v>
      </c>
      <c r="P636" s="116">
        <v>375</v>
      </c>
      <c r="Q636" s="116">
        <v>367.15</v>
      </c>
      <c r="R636">
        <v>3403542</v>
      </c>
    </row>
    <row r="637" spans="1:18" x14ac:dyDescent="0.25">
      <c r="A637" s="165">
        <v>45533</v>
      </c>
      <c r="B637" s="116">
        <v>370.35</v>
      </c>
      <c r="C637" s="116">
        <v>363.6</v>
      </c>
      <c r="D637" s="116">
        <v>362</v>
      </c>
      <c r="E637" s="116">
        <v>367.95</v>
      </c>
      <c r="F637" s="116">
        <v>363.6</v>
      </c>
      <c r="G637">
        <v>86525</v>
      </c>
      <c r="H637" s="116"/>
      <c r="I637" s="116"/>
      <c r="L637" s="165">
        <v>45533</v>
      </c>
      <c r="M637" s="116">
        <v>363.65</v>
      </c>
      <c r="N637" s="116">
        <v>370.3</v>
      </c>
      <c r="O637" s="116">
        <v>361.9</v>
      </c>
      <c r="P637" s="116">
        <v>367.7</v>
      </c>
      <c r="Q637" s="116">
        <v>363.65</v>
      </c>
      <c r="R637">
        <v>2126465</v>
      </c>
    </row>
    <row r="638" spans="1:18" x14ac:dyDescent="0.25">
      <c r="A638" s="165">
        <v>45534</v>
      </c>
      <c r="B638" s="116">
        <v>369.2</v>
      </c>
      <c r="C638" s="116">
        <v>362.05</v>
      </c>
      <c r="D638" s="116">
        <v>361.15</v>
      </c>
      <c r="E638" s="116">
        <v>365.75</v>
      </c>
      <c r="F638" s="116">
        <v>362.05</v>
      </c>
      <c r="G638">
        <v>91824</v>
      </c>
      <c r="H638" s="116"/>
      <c r="I638" s="116"/>
      <c r="L638" s="165">
        <v>45534</v>
      </c>
      <c r="M638" s="116">
        <v>362</v>
      </c>
      <c r="N638" s="116">
        <v>369</v>
      </c>
      <c r="O638" s="116">
        <v>361</v>
      </c>
      <c r="P638" s="116">
        <v>365</v>
      </c>
      <c r="Q638" s="116">
        <v>362</v>
      </c>
      <c r="R638">
        <v>1706883</v>
      </c>
    </row>
    <row r="639" spans="1:18" x14ac:dyDescent="0.25">
      <c r="A639" s="165">
        <v>45537</v>
      </c>
      <c r="B639" s="116">
        <v>380</v>
      </c>
      <c r="C639" s="116">
        <v>376.3</v>
      </c>
      <c r="D639" s="116">
        <v>362.25</v>
      </c>
      <c r="E639" s="116">
        <v>362.4</v>
      </c>
      <c r="F639" s="116">
        <v>376.3</v>
      </c>
      <c r="G639">
        <v>567471</v>
      </c>
      <c r="H639" s="116"/>
      <c r="I639" s="116"/>
      <c r="L639" s="165">
        <v>45537</v>
      </c>
      <c r="M639" s="116">
        <v>376.3</v>
      </c>
      <c r="N639" s="116">
        <v>380.3</v>
      </c>
      <c r="O639" s="116">
        <v>362.1</v>
      </c>
      <c r="P639" s="116">
        <v>363</v>
      </c>
      <c r="Q639" s="116">
        <v>376.3</v>
      </c>
      <c r="R639">
        <v>6193965</v>
      </c>
    </row>
    <row r="640" spans="1:18" x14ac:dyDescent="0.25">
      <c r="A640" s="165">
        <v>45538</v>
      </c>
      <c r="B640" s="116">
        <v>378.85</v>
      </c>
      <c r="C640" s="116">
        <v>369.6</v>
      </c>
      <c r="D640" s="116">
        <v>368.35</v>
      </c>
      <c r="E640" s="116">
        <v>378.85</v>
      </c>
      <c r="F640" s="116">
        <v>369.6</v>
      </c>
      <c r="G640">
        <v>232610</v>
      </c>
      <c r="H640" s="116"/>
      <c r="I640" s="116"/>
      <c r="L640" s="165">
        <v>45538</v>
      </c>
      <c r="M640" s="116">
        <v>369.65</v>
      </c>
      <c r="N640" s="116">
        <v>378.8</v>
      </c>
      <c r="O640" s="116">
        <v>368.5</v>
      </c>
      <c r="P640" s="116">
        <v>377.05</v>
      </c>
      <c r="Q640" s="116">
        <v>369.65</v>
      </c>
      <c r="R640">
        <v>2154336</v>
      </c>
    </row>
    <row r="641" spans="1:18" x14ac:dyDescent="0.25">
      <c r="A641" s="165">
        <v>45539</v>
      </c>
      <c r="B641" s="116">
        <v>377</v>
      </c>
      <c r="C641" s="116">
        <v>372.9</v>
      </c>
      <c r="D641" s="116">
        <v>364.95</v>
      </c>
      <c r="E641" s="116">
        <v>365.65</v>
      </c>
      <c r="F641" s="116">
        <v>372.9</v>
      </c>
      <c r="G641">
        <v>99720</v>
      </c>
      <c r="H641" s="116"/>
      <c r="I641" s="116"/>
      <c r="L641" s="165">
        <v>45539</v>
      </c>
      <c r="M641" s="116">
        <v>372.95</v>
      </c>
      <c r="N641" s="116">
        <v>376.8</v>
      </c>
      <c r="O641" s="116">
        <v>365.1</v>
      </c>
      <c r="P641" s="116">
        <v>365.1</v>
      </c>
      <c r="Q641" s="116">
        <v>372.95</v>
      </c>
      <c r="R641">
        <v>2872489</v>
      </c>
    </row>
    <row r="642" spans="1:18" x14ac:dyDescent="0.25">
      <c r="A642" s="165">
        <v>45540</v>
      </c>
      <c r="B642" s="116">
        <v>376.8</v>
      </c>
      <c r="C642" s="116">
        <v>366.6</v>
      </c>
      <c r="D642" s="116">
        <v>366</v>
      </c>
      <c r="E642" s="116">
        <v>375.4</v>
      </c>
      <c r="F642" s="116">
        <v>366.6</v>
      </c>
      <c r="G642">
        <v>82557</v>
      </c>
      <c r="H642" s="116"/>
      <c r="I642" s="116"/>
      <c r="L642" s="165">
        <v>45540</v>
      </c>
      <c r="M642" s="116">
        <v>366.5</v>
      </c>
      <c r="N642" s="116">
        <v>376.7</v>
      </c>
      <c r="O642" s="116">
        <v>365.55</v>
      </c>
      <c r="P642" s="116">
        <v>375.5</v>
      </c>
      <c r="Q642" s="116">
        <v>366.5</v>
      </c>
      <c r="R642">
        <v>1809572</v>
      </c>
    </row>
    <row r="643" spans="1:18" x14ac:dyDescent="0.25">
      <c r="A643" s="165">
        <v>45541</v>
      </c>
      <c r="B643" s="116">
        <v>369.15</v>
      </c>
      <c r="C643" s="116">
        <v>362.6</v>
      </c>
      <c r="D643" s="116">
        <v>361</v>
      </c>
      <c r="E643" s="116">
        <v>367.35</v>
      </c>
      <c r="F643" s="116">
        <v>362.6</v>
      </c>
      <c r="G643">
        <v>203128</v>
      </c>
      <c r="H643" s="116"/>
      <c r="I643" s="116"/>
      <c r="L643" s="165">
        <v>45541</v>
      </c>
      <c r="M643" s="116">
        <v>362.6</v>
      </c>
      <c r="N643" s="116">
        <v>369.3</v>
      </c>
      <c r="O643" s="116">
        <v>361</v>
      </c>
      <c r="P643" s="116">
        <v>366.5</v>
      </c>
      <c r="Q643" s="116">
        <v>362.6</v>
      </c>
      <c r="R643">
        <v>1792270</v>
      </c>
    </row>
    <row r="644" spans="1:18" x14ac:dyDescent="0.25">
      <c r="A644" s="165">
        <v>45544</v>
      </c>
      <c r="B644" s="116">
        <v>363.25</v>
      </c>
      <c r="C644" s="116">
        <v>360.65</v>
      </c>
      <c r="D644" s="116">
        <v>355.15</v>
      </c>
      <c r="E644" s="116">
        <v>363.25</v>
      </c>
      <c r="F644" s="116">
        <v>360.65</v>
      </c>
      <c r="G644">
        <v>212139</v>
      </c>
      <c r="H644" s="116"/>
      <c r="I644" s="116"/>
      <c r="L644" s="165">
        <v>45544</v>
      </c>
      <c r="M644" s="116">
        <v>360.45</v>
      </c>
      <c r="N644" s="116">
        <v>363.45</v>
      </c>
      <c r="O644" s="116">
        <v>355.4</v>
      </c>
      <c r="P644" s="116">
        <v>362</v>
      </c>
      <c r="Q644" s="116">
        <v>360.45</v>
      </c>
      <c r="R644">
        <v>1724586</v>
      </c>
    </row>
    <row r="645" spans="1:18" x14ac:dyDescent="0.25">
      <c r="A645" s="165">
        <v>45545</v>
      </c>
      <c r="B645" s="116">
        <v>366.55</v>
      </c>
      <c r="C645" s="116">
        <v>361.45</v>
      </c>
      <c r="D645" s="116">
        <v>360.65</v>
      </c>
      <c r="E645" s="116">
        <v>361.55</v>
      </c>
      <c r="F645" s="116">
        <v>361.45</v>
      </c>
      <c r="G645">
        <v>129883</v>
      </c>
      <c r="H645" s="116"/>
      <c r="I645" s="116"/>
      <c r="L645" s="165">
        <v>45545</v>
      </c>
      <c r="M645" s="116">
        <v>361.8</v>
      </c>
      <c r="N645" s="116">
        <v>366.5</v>
      </c>
      <c r="O645" s="116">
        <v>361.15</v>
      </c>
      <c r="P645" s="116">
        <v>362</v>
      </c>
      <c r="Q645" s="116">
        <v>361.8</v>
      </c>
      <c r="R645">
        <v>1195332</v>
      </c>
    </row>
    <row r="646" spans="1:18" x14ac:dyDescent="0.25">
      <c r="A646" s="165">
        <v>45546</v>
      </c>
      <c r="B646" s="116">
        <v>365</v>
      </c>
      <c r="C646" s="116">
        <v>357.1</v>
      </c>
      <c r="D646" s="116">
        <v>356</v>
      </c>
      <c r="E646" s="116">
        <v>361.6</v>
      </c>
      <c r="F646" s="116">
        <v>357.1</v>
      </c>
      <c r="G646">
        <v>53554</v>
      </c>
      <c r="H646" s="116"/>
      <c r="I646" s="116"/>
      <c r="L646" s="165">
        <v>45546</v>
      </c>
      <c r="M646" s="116">
        <v>357.2</v>
      </c>
      <c r="N646" s="116">
        <v>365.05</v>
      </c>
      <c r="O646" s="116">
        <v>356.05</v>
      </c>
      <c r="P646" s="116">
        <v>362</v>
      </c>
      <c r="Q646" s="116">
        <v>357.2</v>
      </c>
      <c r="R646">
        <v>1311768</v>
      </c>
    </row>
    <row r="647" spans="1:18" x14ac:dyDescent="0.25">
      <c r="A647" s="165">
        <v>45547</v>
      </c>
      <c r="B647" s="116">
        <v>363.35</v>
      </c>
      <c r="C647" s="116">
        <v>362.2</v>
      </c>
      <c r="D647" s="116">
        <v>357.05</v>
      </c>
      <c r="E647" s="116">
        <v>359.85</v>
      </c>
      <c r="F647" s="116">
        <v>362.2</v>
      </c>
      <c r="G647">
        <v>64853</v>
      </c>
      <c r="H647" s="116"/>
      <c r="I647" s="116"/>
      <c r="L647" s="165">
        <v>45547</v>
      </c>
      <c r="M647" s="116">
        <v>362.05</v>
      </c>
      <c r="N647" s="116">
        <v>363.4</v>
      </c>
      <c r="O647" s="116">
        <v>357</v>
      </c>
      <c r="P647" s="116">
        <v>359.45</v>
      </c>
      <c r="Q647" s="116">
        <v>362.05</v>
      </c>
      <c r="R647">
        <v>1529924</v>
      </c>
    </row>
    <row r="648" spans="1:18" x14ac:dyDescent="0.25">
      <c r="A648" s="165">
        <v>45548</v>
      </c>
      <c r="B648" s="116">
        <v>369</v>
      </c>
      <c r="C648" s="116">
        <v>360.85</v>
      </c>
      <c r="D648" s="116">
        <v>358.3</v>
      </c>
      <c r="E648" s="116">
        <v>362.55</v>
      </c>
      <c r="F648" s="116">
        <v>360.85</v>
      </c>
      <c r="G648">
        <v>452227</v>
      </c>
      <c r="H648" s="116"/>
      <c r="I648" s="116"/>
      <c r="L648" s="165">
        <v>45548</v>
      </c>
      <c r="M648" s="116">
        <v>360.4</v>
      </c>
      <c r="N648" s="116">
        <v>369.85</v>
      </c>
      <c r="O648" s="116">
        <v>354.5</v>
      </c>
      <c r="P648" s="116">
        <v>363</v>
      </c>
      <c r="Q648" s="116">
        <v>360.4</v>
      </c>
      <c r="R648">
        <v>1957219</v>
      </c>
    </row>
    <row r="649" spans="1:18" x14ac:dyDescent="0.25">
      <c r="A649" s="165">
        <v>45551</v>
      </c>
      <c r="B649" s="116">
        <v>375.85</v>
      </c>
      <c r="C649" s="116">
        <v>366.55</v>
      </c>
      <c r="D649" s="116">
        <v>362.05</v>
      </c>
      <c r="E649" s="116">
        <v>362.05</v>
      </c>
      <c r="F649" s="116">
        <v>366.55</v>
      </c>
      <c r="G649">
        <v>571081</v>
      </c>
      <c r="H649" s="116"/>
      <c r="I649" s="116"/>
      <c r="L649" s="165">
        <v>45551</v>
      </c>
      <c r="M649" s="116">
        <v>365.6</v>
      </c>
      <c r="N649" s="116">
        <v>376</v>
      </c>
      <c r="O649" s="116">
        <v>362.05</v>
      </c>
      <c r="P649" s="116">
        <v>364</v>
      </c>
      <c r="Q649" s="116">
        <v>365.6</v>
      </c>
      <c r="R649">
        <v>4164002</v>
      </c>
    </row>
    <row r="650" spans="1:18" x14ac:dyDescent="0.25">
      <c r="A650" s="165">
        <v>45552</v>
      </c>
      <c r="B650" s="116">
        <v>365.8</v>
      </c>
      <c r="C650" s="116">
        <v>358.1</v>
      </c>
      <c r="D650" s="116">
        <v>357.25</v>
      </c>
      <c r="E650" s="116">
        <v>365</v>
      </c>
      <c r="F650" s="116">
        <v>358.1</v>
      </c>
      <c r="G650">
        <v>290377</v>
      </c>
      <c r="H650" s="116"/>
      <c r="I650" s="116"/>
      <c r="L650" s="165">
        <v>45552</v>
      </c>
      <c r="M650" s="116">
        <v>357.9</v>
      </c>
      <c r="N650" s="116">
        <v>365.4</v>
      </c>
      <c r="O650" s="116">
        <v>356.8</v>
      </c>
      <c r="P650" s="116">
        <v>365.2</v>
      </c>
      <c r="Q650" s="116">
        <v>357.9</v>
      </c>
      <c r="R650">
        <v>1766163</v>
      </c>
    </row>
    <row r="651" spans="1:18" x14ac:dyDescent="0.25">
      <c r="A651" s="165">
        <v>45553</v>
      </c>
      <c r="B651" s="116">
        <v>359.75</v>
      </c>
      <c r="C651" s="116">
        <v>353.55</v>
      </c>
      <c r="D651" s="116">
        <v>352.3</v>
      </c>
      <c r="E651" s="116">
        <v>357.9</v>
      </c>
      <c r="F651" s="116">
        <v>353.55</v>
      </c>
      <c r="G651">
        <v>253186</v>
      </c>
      <c r="H651" s="116"/>
      <c r="I651" s="116"/>
      <c r="L651" s="165">
        <v>45553</v>
      </c>
      <c r="M651" s="116">
        <v>353.55</v>
      </c>
      <c r="N651" s="116">
        <v>360.3</v>
      </c>
      <c r="O651" s="116">
        <v>352.5</v>
      </c>
      <c r="P651" s="116">
        <v>357.85</v>
      </c>
      <c r="Q651" s="116">
        <v>353.55</v>
      </c>
      <c r="R651">
        <v>1620308</v>
      </c>
    </row>
    <row r="652" spans="1:18" x14ac:dyDescent="0.25">
      <c r="A652" s="165">
        <v>45554</v>
      </c>
      <c r="B652" s="116">
        <v>357.75</v>
      </c>
      <c r="C652" s="116">
        <v>344.7</v>
      </c>
      <c r="D652" s="116">
        <v>341.3</v>
      </c>
      <c r="E652" s="116">
        <v>355.3</v>
      </c>
      <c r="F652" s="116">
        <v>344.7</v>
      </c>
      <c r="G652">
        <v>371294</v>
      </c>
      <c r="H652" s="116"/>
      <c r="I652" s="116"/>
      <c r="L652" s="165">
        <v>45554</v>
      </c>
      <c r="M652" s="116">
        <v>344.7</v>
      </c>
      <c r="N652" s="116">
        <v>357.4</v>
      </c>
      <c r="O652" s="116">
        <v>341.4</v>
      </c>
      <c r="P652" s="116">
        <v>355</v>
      </c>
      <c r="Q652" s="116">
        <v>344.7</v>
      </c>
      <c r="R652">
        <v>1948937</v>
      </c>
    </row>
    <row r="653" spans="1:18" x14ac:dyDescent="0.25">
      <c r="A653" s="165">
        <v>45555</v>
      </c>
      <c r="B653" s="116">
        <v>351.75</v>
      </c>
      <c r="C653" s="116">
        <v>346.5</v>
      </c>
      <c r="D653" s="116">
        <v>345</v>
      </c>
      <c r="E653" s="116">
        <v>348.5</v>
      </c>
      <c r="F653" s="116">
        <v>346.5</v>
      </c>
      <c r="G653">
        <v>275799</v>
      </c>
      <c r="H653" s="116"/>
      <c r="I653" s="116"/>
      <c r="L653" s="165">
        <v>45555</v>
      </c>
      <c r="M653" s="116">
        <v>346.2</v>
      </c>
      <c r="N653" s="116">
        <v>352</v>
      </c>
      <c r="O653" s="116">
        <v>344.7</v>
      </c>
      <c r="P653" s="116">
        <v>346</v>
      </c>
      <c r="Q653" s="116">
        <v>346.2</v>
      </c>
      <c r="R653">
        <v>1689807</v>
      </c>
    </row>
    <row r="654" spans="1:18" x14ac:dyDescent="0.25">
      <c r="A654" s="165">
        <v>45558</v>
      </c>
      <c r="B654" s="116">
        <v>355</v>
      </c>
      <c r="C654" s="116">
        <v>351.4</v>
      </c>
      <c r="D654" s="116">
        <v>348.25</v>
      </c>
      <c r="E654" s="116">
        <v>348.9</v>
      </c>
      <c r="F654" s="116">
        <v>351.4</v>
      </c>
      <c r="G654">
        <v>207750</v>
      </c>
      <c r="H654" s="116"/>
      <c r="I654" s="116"/>
      <c r="L654" s="165">
        <v>45558</v>
      </c>
      <c r="M654" s="116">
        <v>351.35</v>
      </c>
      <c r="N654" s="116">
        <v>355.4</v>
      </c>
      <c r="O654" s="116">
        <v>348.4</v>
      </c>
      <c r="P654" s="116">
        <v>349</v>
      </c>
      <c r="Q654" s="116">
        <v>351.35</v>
      </c>
      <c r="R654">
        <v>1485356</v>
      </c>
    </row>
    <row r="655" spans="1:18" x14ac:dyDescent="0.25">
      <c r="A655" s="165">
        <v>45559</v>
      </c>
      <c r="B655" s="116">
        <v>355.3</v>
      </c>
      <c r="C655" s="116">
        <v>349.6</v>
      </c>
      <c r="D655" s="116">
        <v>349.05</v>
      </c>
      <c r="E655" s="116">
        <v>353</v>
      </c>
      <c r="F655" s="116">
        <v>349.6</v>
      </c>
      <c r="G655">
        <v>180277</v>
      </c>
      <c r="H655" s="116"/>
      <c r="I655" s="116"/>
      <c r="L655" s="165">
        <v>45559</v>
      </c>
      <c r="M655" s="116">
        <v>349.65</v>
      </c>
      <c r="N655" s="116">
        <v>355.6</v>
      </c>
      <c r="O655" s="116">
        <v>349.25</v>
      </c>
      <c r="P655" s="116">
        <v>353</v>
      </c>
      <c r="Q655" s="116">
        <v>349.65</v>
      </c>
      <c r="R655">
        <v>1027612</v>
      </c>
    </row>
    <row r="656" spans="1:18" x14ac:dyDescent="0.25">
      <c r="A656" s="165">
        <v>45560</v>
      </c>
      <c r="B656" s="116">
        <v>350.95</v>
      </c>
      <c r="C656" s="116">
        <v>345.2</v>
      </c>
      <c r="D656" s="116">
        <v>342.35</v>
      </c>
      <c r="E656" s="116">
        <v>349.85</v>
      </c>
      <c r="F656" s="116">
        <v>345.2</v>
      </c>
      <c r="G656">
        <v>72139</v>
      </c>
      <c r="H656" s="116"/>
      <c r="I656" s="116"/>
      <c r="L656" s="165">
        <v>45560</v>
      </c>
      <c r="M656" s="116">
        <v>345.3</v>
      </c>
      <c r="N656" s="116">
        <v>350.8</v>
      </c>
      <c r="O656" s="116">
        <v>342.3</v>
      </c>
      <c r="P656" s="116">
        <v>350</v>
      </c>
      <c r="Q656" s="116">
        <v>345.3</v>
      </c>
      <c r="R656">
        <v>1113704</v>
      </c>
    </row>
    <row r="657" spans="1:18" x14ac:dyDescent="0.25">
      <c r="A657" s="165">
        <v>45561</v>
      </c>
      <c r="B657" s="116">
        <v>347.65</v>
      </c>
      <c r="C657" s="116">
        <v>345.55</v>
      </c>
      <c r="D657" s="116">
        <v>343.05</v>
      </c>
      <c r="E657" s="116">
        <v>346.15</v>
      </c>
      <c r="F657" s="116">
        <v>345.55</v>
      </c>
      <c r="G657">
        <v>48372</v>
      </c>
      <c r="H657" s="116"/>
      <c r="I657" s="116"/>
      <c r="L657" s="165">
        <v>45561</v>
      </c>
      <c r="M657" s="116">
        <v>345.65</v>
      </c>
      <c r="N657" s="116">
        <v>347.5</v>
      </c>
      <c r="O657" s="116">
        <v>343</v>
      </c>
      <c r="P657" s="116">
        <v>347</v>
      </c>
      <c r="Q657" s="116">
        <v>345.65</v>
      </c>
      <c r="R657">
        <v>903375</v>
      </c>
    </row>
    <row r="658" spans="1:18" x14ac:dyDescent="0.25">
      <c r="A658" s="165">
        <v>45562</v>
      </c>
      <c r="B658" s="116">
        <v>351.55</v>
      </c>
      <c r="C658" s="116">
        <v>344.1</v>
      </c>
      <c r="D658" s="116">
        <v>343.45</v>
      </c>
      <c r="E658" s="116">
        <v>346.65</v>
      </c>
      <c r="F658" s="116">
        <v>344.1</v>
      </c>
      <c r="G658">
        <v>49108</v>
      </c>
      <c r="H658" s="116"/>
      <c r="I658" s="116"/>
      <c r="L658" s="165">
        <v>45562</v>
      </c>
      <c r="M658" s="116">
        <v>344.05</v>
      </c>
      <c r="N658" s="116">
        <v>351.5</v>
      </c>
      <c r="O658" s="116">
        <v>343.05</v>
      </c>
      <c r="P658" s="116">
        <v>347.05</v>
      </c>
      <c r="Q658" s="116">
        <v>344.05</v>
      </c>
      <c r="R658">
        <v>1084642</v>
      </c>
    </row>
    <row r="659" spans="1:18" x14ac:dyDescent="0.25">
      <c r="A659" s="165">
        <v>45565</v>
      </c>
      <c r="B659" s="116">
        <v>350</v>
      </c>
      <c r="C659" s="116">
        <v>348.4</v>
      </c>
      <c r="D659" s="116">
        <v>340.7</v>
      </c>
      <c r="E659" s="116">
        <v>343.4</v>
      </c>
      <c r="F659" s="116">
        <v>348.4</v>
      </c>
      <c r="G659">
        <v>218147</v>
      </c>
      <c r="H659" s="116"/>
      <c r="I659" s="116"/>
      <c r="L659" s="165">
        <v>45565</v>
      </c>
      <c r="M659" s="116">
        <v>348.3</v>
      </c>
      <c r="N659" s="116">
        <v>350.45</v>
      </c>
      <c r="O659" s="116">
        <v>340.65</v>
      </c>
      <c r="P659" s="116">
        <v>344.3</v>
      </c>
      <c r="Q659" s="116">
        <v>348.3</v>
      </c>
      <c r="R659">
        <v>1557076</v>
      </c>
    </row>
    <row r="660" spans="1:18" x14ac:dyDescent="0.25">
      <c r="A660" s="165">
        <v>45566</v>
      </c>
      <c r="B660" s="116">
        <v>355.6</v>
      </c>
      <c r="C660" s="116">
        <v>349.05</v>
      </c>
      <c r="D660" s="116">
        <v>348</v>
      </c>
      <c r="E660" s="116">
        <v>350.35</v>
      </c>
      <c r="F660" s="116">
        <v>349.05</v>
      </c>
      <c r="G660">
        <v>199022</v>
      </c>
      <c r="H660" s="116"/>
      <c r="I660" s="116"/>
      <c r="L660" s="165">
        <v>45566</v>
      </c>
      <c r="M660" s="116">
        <v>349.1</v>
      </c>
      <c r="N660" s="116">
        <v>355.75</v>
      </c>
      <c r="O660" s="116">
        <v>347.8</v>
      </c>
      <c r="P660" s="116">
        <v>350</v>
      </c>
      <c r="Q660" s="116">
        <v>349.1</v>
      </c>
      <c r="R660">
        <v>1527163</v>
      </c>
    </row>
    <row r="661" spans="1:18" x14ac:dyDescent="0.25">
      <c r="A661" s="165">
        <v>45568</v>
      </c>
      <c r="B661" s="116">
        <v>348.95</v>
      </c>
      <c r="C661" s="116">
        <v>340</v>
      </c>
      <c r="D661" s="116">
        <v>338.4</v>
      </c>
      <c r="E661" s="116">
        <v>348.95</v>
      </c>
      <c r="F661" s="116">
        <v>340</v>
      </c>
      <c r="G661">
        <v>86878</v>
      </c>
      <c r="H661" s="116"/>
      <c r="I661" s="116"/>
      <c r="L661" s="165">
        <v>45568</v>
      </c>
      <c r="M661" s="116">
        <v>340.15</v>
      </c>
      <c r="N661" s="116">
        <v>347.45</v>
      </c>
      <c r="O661" s="116">
        <v>338.55</v>
      </c>
      <c r="P661" s="116">
        <v>345.5</v>
      </c>
      <c r="Q661" s="116">
        <v>340.15</v>
      </c>
      <c r="R661">
        <v>1547709</v>
      </c>
    </row>
    <row r="662" spans="1:18" x14ac:dyDescent="0.25">
      <c r="A662" s="165">
        <v>45569</v>
      </c>
      <c r="B662" s="116">
        <v>343.25</v>
      </c>
      <c r="C662" s="116">
        <v>336.3</v>
      </c>
      <c r="D662" s="116">
        <v>335.2</v>
      </c>
      <c r="E662" s="116">
        <v>340.35</v>
      </c>
      <c r="F662" s="116">
        <v>336.3</v>
      </c>
      <c r="G662">
        <v>65247</v>
      </c>
      <c r="H662" s="116"/>
      <c r="I662" s="116"/>
      <c r="L662" s="165">
        <v>45569</v>
      </c>
      <c r="M662" s="116">
        <v>336.45</v>
      </c>
      <c r="N662" s="116">
        <v>343</v>
      </c>
      <c r="O662" s="116">
        <v>335</v>
      </c>
      <c r="P662" s="116">
        <v>341.95</v>
      </c>
      <c r="Q662" s="116">
        <v>336.45</v>
      </c>
      <c r="R662">
        <v>1376292</v>
      </c>
    </row>
    <row r="663" spans="1:18" x14ac:dyDescent="0.25">
      <c r="A663" s="165">
        <v>45572</v>
      </c>
      <c r="B663" s="116">
        <v>347.15</v>
      </c>
      <c r="C663" s="116">
        <v>331.4</v>
      </c>
      <c r="D663" s="116">
        <v>328.2</v>
      </c>
      <c r="E663" s="116">
        <v>345.75</v>
      </c>
      <c r="F663" s="116">
        <v>331.4</v>
      </c>
      <c r="G663">
        <v>96938</v>
      </c>
      <c r="H663" s="116"/>
      <c r="I663" s="116"/>
      <c r="L663" s="165">
        <v>45572</v>
      </c>
      <c r="M663" s="116">
        <v>331.15</v>
      </c>
      <c r="N663" s="116">
        <v>346.5</v>
      </c>
      <c r="O663" s="116">
        <v>328</v>
      </c>
      <c r="P663" s="116">
        <v>345.55</v>
      </c>
      <c r="Q663" s="116">
        <v>331.15</v>
      </c>
      <c r="R663">
        <v>2037223</v>
      </c>
    </row>
    <row r="664" spans="1:18" x14ac:dyDescent="0.25">
      <c r="A664" s="165">
        <v>45573</v>
      </c>
      <c r="B664" s="116">
        <v>340</v>
      </c>
      <c r="C664" s="116">
        <v>339.2</v>
      </c>
      <c r="D664" s="116">
        <v>329.6</v>
      </c>
      <c r="E664" s="116">
        <v>331.25</v>
      </c>
      <c r="F664" s="116">
        <v>339.2</v>
      </c>
      <c r="G664">
        <v>179992</v>
      </c>
      <c r="H664" s="116"/>
      <c r="I664" s="116"/>
      <c r="L664" s="165">
        <v>45573</v>
      </c>
      <c r="M664" s="116">
        <v>339.1</v>
      </c>
      <c r="N664" s="116">
        <v>340.5</v>
      </c>
      <c r="O664" s="116">
        <v>329.35</v>
      </c>
      <c r="P664" s="116">
        <v>331.1</v>
      </c>
      <c r="Q664" s="116">
        <v>339.1</v>
      </c>
      <c r="R664">
        <v>1323665</v>
      </c>
    </row>
    <row r="665" spans="1:18" x14ac:dyDescent="0.25">
      <c r="A665" s="165">
        <v>45574</v>
      </c>
      <c r="B665" s="116">
        <v>343</v>
      </c>
      <c r="C665" s="116">
        <v>336.55</v>
      </c>
      <c r="D665" s="116">
        <v>335.65</v>
      </c>
      <c r="E665" s="116">
        <v>342.5</v>
      </c>
      <c r="F665" s="116">
        <v>336.55</v>
      </c>
      <c r="G665">
        <v>146691</v>
      </c>
      <c r="H665" s="116"/>
      <c r="I665" s="116"/>
      <c r="L665" s="165">
        <v>45574</v>
      </c>
      <c r="M665" s="116">
        <v>336.4</v>
      </c>
      <c r="N665" s="116">
        <v>343.75</v>
      </c>
      <c r="O665" s="116">
        <v>335.5</v>
      </c>
      <c r="P665" s="116">
        <v>341.5</v>
      </c>
      <c r="Q665" s="116">
        <v>336.4</v>
      </c>
      <c r="R665">
        <v>856557</v>
      </c>
    </row>
    <row r="666" spans="1:18" x14ac:dyDescent="0.25">
      <c r="A666" s="165">
        <v>45575</v>
      </c>
      <c r="B666" s="116">
        <v>339.4</v>
      </c>
      <c r="C666" s="116">
        <v>336.8</v>
      </c>
      <c r="D666" s="116">
        <v>335</v>
      </c>
      <c r="E666" s="116">
        <v>337.05</v>
      </c>
      <c r="F666" s="116">
        <v>336.8</v>
      </c>
      <c r="G666">
        <v>111995</v>
      </c>
      <c r="H666" s="116"/>
      <c r="I666" s="116"/>
      <c r="L666" s="165">
        <v>45575</v>
      </c>
      <c r="M666" s="116">
        <v>336.65</v>
      </c>
      <c r="N666" s="116">
        <v>339.6</v>
      </c>
      <c r="O666" s="116">
        <v>335</v>
      </c>
      <c r="P666" s="116">
        <v>338.1</v>
      </c>
      <c r="Q666" s="116">
        <v>336.65</v>
      </c>
      <c r="R666">
        <v>748054</v>
      </c>
    </row>
    <row r="667" spans="1:18" x14ac:dyDescent="0.25">
      <c r="A667" s="165">
        <v>45576</v>
      </c>
      <c r="B667" s="116">
        <v>339.35</v>
      </c>
      <c r="C667" s="116">
        <v>337.45</v>
      </c>
      <c r="D667" s="116">
        <v>334.3</v>
      </c>
      <c r="E667" s="116">
        <v>336.8</v>
      </c>
      <c r="F667" s="116">
        <v>337.45</v>
      </c>
      <c r="G667">
        <v>99208</v>
      </c>
      <c r="H667" s="116"/>
      <c r="I667" s="116"/>
      <c r="L667" s="165">
        <v>45576</v>
      </c>
      <c r="M667" s="116">
        <v>337.45</v>
      </c>
      <c r="N667" s="116">
        <v>339.45</v>
      </c>
      <c r="O667" s="116">
        <v>334.2</v>
      </c>
      <c r="P667" s="116">
        <v>336.8</v>
      </c>
      <c r="Q667" s="116">
        <v>337.45</v>
      </c>
      <c r="R667">
        <v>718030</v>
      </c>
    </row>
    <row r="668" spans="1:18" x14ac:dyDescent="0.25">
      <c r="A668" s="165">
        <v>45579</v>
      </c>
      <c r="B668" s="116">
        <v>340</v>
      </c>
      <c r="C668" s="116">
        <v>336.5</v>
      </c>
      <c r="D668" s="116">
        <v>335.3</v>
      </c>
      <c r="E668" s="116">
        <v>337.5</v>
      </c>
      <c r="F668" s="116">
        <v>336.5</v>
      </c>
      <c r="G668">
        <v>99689</v>
      </c>
      <c r="H668" s="116"/>
      <c r="I668" s="116"/>
      <c r="L668" s="165">
        <v>45579</v>
      </c>
      <c r="M668" s="116">
        <v>336.6</v>
      </c>
      <c r="N668" s="116">
        <v>339.85</v>
      </c>
      <c r="O668" s="116">
        <v>335.25</v>
      </c>
      <c r="P668" s="116">
        <v>338</v>
      </c>
      <c r="Q668" s="116">
        <v>336.6</v>
      </c>
      <c r="R668">
        <v>592059</v>
      </c>
    </row>
    <row r="669" spans="1:18" x14ac:dyDescent="0.25">
      <c r="A669" s="165">
        <v>45580</v>
      </c>
      <c r="B669" s="116">
        <v>338.75</v>
      </c>
      <c r="C669" s="116">
        <v>336</v>
      </c>
      <c r="D669" s="116">
        <v>335.1</v>
      </c>
      <c r="E669" s="116">
        <v>336.8</v>
      </c>
      <c r="F669" s="116">
        <v>336</v>
      </c>
      <c r="G669">
        <v>32602</v>
      </c>
      <c r="H669" s="116"/>
      <c r="I669" s="116"/>
      <c r="L669" s="165">
        <v>45580</v>
      </c>
      <c r="M669" s="116">
        <v>335.95</v>
      </c>
      <c r="N669" s="116">
        <v>339</v>
      </c>
      <c r="O669" s="116">
        <v>335</v>
      </c>
      <c r="P669" s="116">
        <v>337.6</v>
      </c>
      <c r="Q669" s="116">
        <v>335.95</v>
      </c>
      <c r="R669">
        <v>757519</v>
      </c>
    </row>
    <row r="670" spans="1:18" x14ac:dyDescent="0.25">
      <c r="A670" s="165">
        <v>45581</v>
      </c>
      <c r="B670" s="116">
        <v>337</v>
      </c>
      <c r="C670" s="116">
        <v>331.8</v>
      </c>
      <c r="D670" s="116">
        <v>331</v>
      </c>
      <c r="E670" s="116">
        <v>335.1</v>
      </c>
      <c r="F670" s="116">
        <v>331.8</v>
      </c>
      <c r="G670">
        <v>155792</v>
      </c>
      <c r="H670" s="116"/>
      <c r="I670" s="116"/>
      <c r="L670" s="165">
        <v>45581</v>
      </c>
      <c r="M670" s="116">
        <v>331.9</v>
      </c>
      <c r="N670" s="116">
        <v>336.85</v>
      </c>
      <c r="O670" s="116">
        <v>331.05</v>
      </c>
      <c r="P670" s="116">
        <v>335.5</v>
      </c>
      <c r="Q670" s="116">
        <v>331.9</v>
      </c>
      <c r="R670">
        <v>1039393</v>
      </c>
    </row>
    <row r="671" spans="1:18" x14ac:dyDescent="0.25">
      <c r="A671" s="165">
        <v>45582</v>
      </c>
      <c r="B671" s="116">
        <v>334</v>
      </c>
      <c r="C671" s="116">
        <v>327.5</v>
      </c>
      <c r="D671" s="116">
        <v>326.8</v>
      </c>
      <c r="E671" s="116">
        <v>331.85</v>
      </c>
      <c r="F671" s="116">
        <v>327.5</v>
      </c>
      <c r="G671">
        <v>52907</v>
      </c>
      <c r="H671" s="116"/>
      <c r="I671" s="116"/>
      <c r="L671" s="165">
        <v>45582</v>
      </c>
      <c r="M671" s="116">
        <v>327.60000000000002</v>
      </c>
      <c r="N671" s="116">
        <v>333.75</v>
      </c>
      <c r="O671" s="116">
        <v>326.95</v>
      </c>
      <c r="P671" s="116">
        <v>332.55</v>
      </c>
      <c r="Q671" s="116">
        <v>327.60000000000002</v>
      </c>
      <c r="R671">
        <v>1033669</v>
      </c>
    </row>
    <row r="672" spans="1:18" x14ac:dyDescent="0.25">
      <c r="A672" s="165">
        <v>45583</v>
      </c>
      <c r="B672" s="116">
        <v>331</v>
      </c>
      <c r="C672" s="116">
        <v>328.75</v>
      </c>
      <c r="D672" s="116">
        <v>322.75</v>
      </c>
      <c r="E672" s="116">
        <v>327.5</v>
      </c>
      <c r="F672" s="116">
        <v>328.75</v>
      </c>
      <c r="G672">
        <v>113364</v>
      </c>
      <c r="H672" s="116"/>
      <c r="I672" s="116"/>
      <c r="L672" s="165">
        <v>45583</v>
      </c>
      <c r="M672" s="116">
        <v>329</v>
      </c>
      <c r="N672" s="116">
        <v>331.8</v>
      </c>
      <c r="O672" s="116">
        <v>322.3</v>
      </c>
      <c r="P672" s="116">
        <v>326.05</v>
      </c>
      <c r="Q672" s="116">
        <v>329</v>
      </c>
      <c r="R672">
        <v>1129658</v>
      </c>
    </row>
    <row r="673" spans="1:18" x14ac:dyDescent="0.25">
      <c r="A673" s="165">
        <v>45586</v>
      </c>
      <c r="B673" s="116">
        <v>332</v>
      </c>
      <c r="C673" s="116">
        <v>324.3</v>
      </c>
      <c r="D673" s="116">
        <v>323.3</v>
      </c>
      <c r="E673" s="116">
        <v>331</v>
      </c>
      <c r="F673" s="116">
        <v>324.3</v>
      </c>
      <c r="G673">
        <v>50132</v>
      </c>
      <c r="H673" s="116"/>
      <c r="I673" s="116"/>
      <c r="L673" s="165">
        <v>45586</v>
      </c>
      <c r="M673" s="116">
        <v>324.2</v>
      </c>
      <c r="N673" s="116">
        <v>332.35</v>
      </c>
      <c r="O673" s="116">
        <v>323</v>
      </c>
      <c r="P673" s="116">
        <v>331</v>
      </c>
      <c r="Q673" s="116">
        <v>324.2</v>
      </c>
      <c r="R673">
        <v>1002742</v>
      </c>
    </row>
    <row r="674" spans="1:18" x14ac:dyDescent="0.25">
      <c r="A674" s="165">
        <v>45587</v>
      </c>
      <c r="B674" s="116">
        <v>326.85000000000002</v>
      </c>
      <c r="C674" s="116">
        <v>314.89999999999998</v>
      </c>
      <c r="D674" s="116">
        <v>313.3</v>
      </c>
      <c r="E674" s="116">
        <v>324.05</v>
      </c>
      <c r="F674" s="116">
        <v>314.89999999999998</v>
      </c>
      <c r="G674">
        <v>250248</v>
      </c>
      <c r="H674" s="116"/>
      <c r="I674" s="116"/>
      <c r="L674" s="165">
        <v>45587</v>
      </c>
      <c r="M674" s="116">
        <v>314.75</v>
      </c>
      <c r="N674" s="116">
        <v>326.95</v>
      </c>
      <c r="O674" s="116">
        <v>312.64999999999998</v>
      </c>
      <c r="P674" s="116">
        <v>324.5</v>
      </c>
      <c r="Q674" s="116">
        <v>314.75</v>
      </c>
      <c r="R674">
        <v>1277301</v>
      </c>
    </row>
    <row r="675" spans="1:18" x14ac:dyDescent="0.25">
      <c r="A675" s="165">
        <v>45588</v>
      </c>
      <c r="B675" s="116">
        <v>320.60000000000002</v>
      </c>
      <c r="C675" s="116">
        <v>318.89999999999998</v>
      </c>
      <c r="D675" s="116">
        <v>310.05</v>
      </c>
      <c r="E675" s="116">
        <v>314.89999999999998</v>
      </c>
      <c r="F675" s="116">
        <v>318.89999999999998</v>
      </c>
      <c r="G675">
        <v>182799</v>
      </c>
      <c r="H675" s="116"/>
      <c r="I675" s="116"/>
      <c r="L675" s="165">
        <v>45588</v>
      </c>
      <c r="M675" s="116">
        <v>318.25</v>
      </c>
      <c r="N675" s="116">
        <v>320.89999999999998</v>
      </c>
      <c r="O675" s="116">
        <v>310.2</v>
      </c>
      <c r="P675" s="116">
        <v>314.85000000000002</v>
      </c>
      <c r="Q675" s="116">
        <v>318.25</v>
      </c>
      <c r="R675">
        <v>1005761</v>
      </c>
    </row>
    <row r="676" spans="1:18" x14ac:dyDescent="0.25">
      <c r="A676" s="165">
        <v>45589</v>
      </c>
      <c r="B676" s="116">
        <v>344.6</v>
      </c>
      <c r="C676" s="116">
        <v>340.3</v>
      </c>
      <c r="D676" s="116">
        <v>317.7</v>
      </c>
      <c r="E676" s="116">
        <v>321.85000000000002</v>
      </c>
      <c r="F676" s="116">
        <v>340.3</v>
      </c>
      <c r="G676">
        <v>757469</v>
      </c>
      <c r="H676" s="116"/>
      <c r="I676" s="116"/>
      <c r="L676" s="165">
        <v>45589</v>
      </c>
      <c r="M676" s="116">
        <v>340.3</v>
      </c>
      <c r="N676" s="116">
        <v>344.65</v>
      </c>
      <c r="O676" s="116">
        <v>317.45</v>
      </c>
      <c r="P676" s="116">
        <v>321</v>
      </c>
      <c r="Q676" s="116">
        <v>340.3</v>
      </c>
      <c r="R676">
        <v>7969726</v>
      </c>
    </row>
    <row r="677" spans="1:18" x14ac:dyDescent="0.25">
      <c r="A677" s="165">
        <v>45590</v>
      </c>
      <c r="B677" s="116">
        <v>336.9</v>
      </c>
      <c r="C677" s="116">
        <v>324.25</v>
      </c>
      <c r="D677" s="116">
        <v>322.2</v>
      </c>
      <c r="E677" s="116">
        <v>336.9</v>
      </c>
      <c r="F677" s="116">
        <v>324.25</v>
      </c>
      <c r="G677">
        <v>442483</v>
      </c>
      <c r="H677" s="116"/>
      <c r="I677" s="116"/>
      <c r="L677" s="165">
        <v>45590</v>
      </c>
      <c r="M677" s="116">
        <v>324.25</v>
      </c>
      <c r="N677" s="116">
        <v>336.45</v>
      </c>
      <c r="O677" s="116">
        <v>321.95</v>
      </c>
      <c r="P677" s="116">
        <v>335.8</v>
      </c>
      <c r="Q677" s="116">
        <v>324.25</v>
      </c>
      <c r="R677">
        <v>3190430</v>
      </c>
    </row>
    <row r="678" spans="1:18" x14ac:dyDescent="0.25">
      <c r="A678" s="165">
        <v>45593</v>
      </c>
      <c r="B678" s="116">
        <v>329.8</v>
      </c>
      <c r="C678" s="116">
        <v>324.5</v>
      </c>
      <c r="D678" s="116">
        <v>316.35000000000002</v>
      </c>
      <c r="E678" s="116">
        <v>325.89999999999998</v>
      </c>
      <c r="F678" s="116">
        <v>324.5</v>
      </c>
      <c r="G678">
        <v>298479</v>
      </c>
      <c r="H678" s="116"/>
      <c r="I678" s="116"/>
      <c r="L678" s="165">
        <v>45593</v>
      </c>
      <c r="M678" s="116">
        <v>324.7</v>
      </c>
      <c r="N678" s="116">
        <v>329.9</v>
      </c>
      <c r="O678" s="116">
        <v>316.2</v>
      </c>
      <c r="P678" s="116">
        <v>325.10000000000002</v>
      </c>
      <c r="Q678" s="116">
        <v>324.7</v>
      </c>
      <c r="R678">
        <v>1831305</v>
      </c>
    </row>
    <row r="679" spans="1:18" x14ac:dyDescent="0.25">
      <c r="A679" s="165">
        <v>45594</v>
      </c>
      <c r="B679" s="116">
        <v>336.55</v>
      </c>
      <c r="C679" s="116">
        <v>335.3</v>
      </c>
      <c r="D679" s="116">
        <v>325.35000000000002</v>
      </c>
      <c r="E679" s="116">
        <v>325.35000000000002</v>
      </c>
      <c r="F679" s="116">
        <v>335.3</v>
      </c>
      <c r="G679">
        <v>114948</v>
      </c>
      <c r="H679" s="116"/>
      <c r="I679" s="116"/>
      <c r="L679" s="165">
        <v>45594</v>
      </c>
      <c r="M679" s="116">
        <v>335.3</v>
      </c>
      <c r="N679" s="116">
        <v>336.4</v>
      </c>
      <c r="O679" s="116">
        <v>325.60000000000002</v>
      </c>
      <c r="P679" s="116">
        <v>325.75</v>
      </c>
      <c r="Q679" s="116">
        <v>335.3</v>
      </c>
      <c r="R679">
        <v>2343363</v>
      </c>
    </row>
    <row r="680" spans="1:18" x14ac:dyDescent="0.25">
      <c r="A680" s="165">
        <v>45595</v>
      </c>
      <c r="B680" s="116">
        <v>342.2</v>
      </c>
      <c r="C680" s="116">
        <v>338.5</v>
      </c>
      <c r="D680" s="116">
        <v>332.8</v>
      </c>
      <c r="E680" s="116">
        <v>335.35</v>
      </c>
      <c r="F680" s="116">
        <v>338.5</v>
      </c>
      <c r="G680">
        <v>229920</v>
      </c>
      <c r="H680" s="116"/>
      <c r="I680" s="116"/>
      <c r="L680" s="165">
        <v>45595</v>
      </c>
      <c r="M680" s="116">
        <v>338.3</v>
      </c>
      <c r="N680" s="116">
        <v>342.3</v>
      </c>
      <c r="O680" s="116">
        <v>333</v>
      </c>
      <c r="P680" s="116">
        <v>336</v>
      </c>
      <c r="Q680" s="116">
        <v>338.3</v>
      </c>
      <c r="R680">
        <v>1676383</v>
      </c>
    </row>
    <row r="681" spans="1:18" x14ac:dyDescent="0.25">
      <c r="A681" s="165">
        <v>45596</v>
      </c>
      <c r="B681" s="116">
        <v>347.7</v>
      </c>
      <c r="C681" s="116">
        <v>346.1</v>
      </c>
      <c r="D681" s="116">
        <v>335.55</v>
      </c>
      <c r="E681" s="116">
        <v>336.5</v>
      </c>
      <c r="F681" s="116">
        <v>346.1</v>
      </c>
      <c r="G681">
        <v>273367</v>
      </c>
      <c r="H681" s="116"/>
      <c r="I681" s="116"/>
      <c r="L681" s="165">
        <v>45596</v>
      </c>
      <c r="M681" s="116">
        <v>346.1</v>
      </c>
      <c r="N681" s="116">
        <v>348</v>
      </c>
      <c r="O681" s="116">
        <v>335.7</v>
      </c>
      <c r="P681" s="116">
        <v>336.95</v>
      </c>
      <c r="Q681" s="116">
        <v>346.1</v>
      </c>
      <c r="R681">
        <v>1996743</v>
      </c>
    </row>
    <row r="682" spans="1:18" x14ac:dyDescent="0.25">
      <c r="A682" s="165">
        <v>45597</v>
      </c>
      <c r="B682" s="116">
        <v>349.7</v>
      </c>
      <c r="C682" s="116">
        <v>343.95</v>
      </c>
      <c r="D682" s="116">
        <v>342.15</v>
      </c>
      <c r="E682" s="116">
        <v>346.65</v>
      </c>
      <c r="F682" s="116">
        <v>343.95</v>
      </c>
      <c r="G682">
        <v>96065</v>
      </c>
      <c r="H682" s="116"/>
      <c r="I682" s="116"/>
      <c r="L682" s="165">
        <v>45597</v>
      </c>
      <c r="M682" s="116">
        <v>343.95</v>
      </c>
      <c r="N682" s="116">
        <v>352.8</v>
      </c>
      <c r="O682" s="116">
        <v>342.65</v>
      </c>
      <c r="P682" s="116">
        <v>348.75</v>
      </c>
      <c r="Q682" s="116">
        <v>343.95</v>
      </c>
      <c r="R682">
        <v>415048</v>
      </c>
    </row>
    <row r="683" spans="1:18" x14ac:dyDescent="0.25">
      <c r="A683" s="165">
        <v>45600</v>
      </c>
      <c r="B683" s="116">
        <v>343.9</v>
      </c>
      <c r="C683" s="116">
        <v>331.3</v>
      </c>
      <c r="D683" s="116">
        <v>328.1</v>
      </c>
      <c r="E683" s="116">
        <v>343.9</v>
      </c>
      <c r="F683" s="116">
        <v>331.3</v>
      </c>
      <c r="G683">
        <v>273765</v>
      </c>
      <c r="H683" s="116"/>
      <c r="I683" s="116"/>
      <c r="L683" s="165">
        <v>45600</v>
      </c>
      <c r="M683" s="116">
        <v>331.35</v>
      </c>
      <c r="N683" s="116">
        <v>342.85</v>
      </c>
      <c r="O683" s="116">
        <v>329.75</v>
      </c>
      <c r="P683" s="116">
        <v>342.7</v>
      </c>
      <c r="Q683" s="116">
        <v>331.35</v>
      </c>
      <c r="R683">
        <v>1085400</v>
      </c>
    </row>
    <row r="684" spans="1:18" x14ac:dyDescent="0.25">
      <c r="A684" s="165">
        <v>45601</v>
      </c>
      <c r="B684" s="116">
        <v>343.45</v>
      </c>
      <c r="C684" s="116">
        <v>342.25</v>
      </c>
      <c r="D684" s="116">
        <v>326</v>
      </c>
      <c r="E684" s="116">
        <v>328</v>
      </c>
      <c r="F684" s="116">
        <v>342.25</v>
      </c>
      <c r="G684">
        <v>87157</v>
      </c>
      <c r="H684" s="116"/>
      <c r="I684" s="116"/>
      <c r="L684" s="165">
        <v>45601</v>
      </c>
      <c r="M684" s="116">
        <v>342.35</v>
      </c>
      <c r="N684" s="116">
        <v>343.45</v>
      </c>
      <c r="O684" s="116">
        <v>326.2</v>
      </c>
      <c r="P684" s="116">
        <v>328</v>
      </c>
      <c r="Q684" s="116">
        <v>342.35</v>
      </c>
      <c r="R684">
        <v>1782176</v>
      </c>
    </row>
    <row r="685" spans="1:18" x14ac:dyDescent="0.25">
      <c r="A685" s="165">
        <v>45602</v>
      </c>
      <c r="B685" s="116">
        <v>349</v>
      </c>
      <c r="C685" s="116">
        <v>343.4</v>
      </c>
      <c r="D685" s="116">
        <v>339.55</v>
      </c>
      <c r="E685" s="116">
        <v>339.55</v>
      </c>
      <c r="F685" s="116">
        <v>343.4</v>
      </c>
      <c r="G685">
        <v>135271</v>
      </c>
      <c r="H685" s="116"/>
      <c r="I685" s="116"/>
      <c r="L685" s="165">
        <v>45602</v>
      </c>
      <c r="M685" s="116">
        <v>343.6</v>
      </c>
      <c r="N685" s="116">
        <v>349</v>
      </c>
      <c r="O685" s="116">
        <v>341.15</v>
      </c>
      <c r="P685" s="116">
        <v>343</v>
      </c>
      <c r="Q685" s="116">
        <v>343.6</v>
      </c>
      <c r="R685">
        <v>1557333</v>
      </c>
    </row>
    <row r="686" spans="1:18" x14ac:dyDescent="0.25">
      <c r="A686" s="165">
        <v>45603</v>
      </c>
      <c r="B686" s="116">
        <v>347.65</v>
      </c>
      <c r="C686" s="116">
        <v>345.5</v>
      </c>
      <c r="D686" s="116">
        <v>341.85</v>
      </c>
      <c r="E686" s="116">
        <v>344.95</v>
      </c>
      <c r="F686" s="116">
        <v>345.5</v>
      </c>
      <c r="G686">
        <v>62428</v>
      </c>
      <c r="H686" s="116"/>
      <c r="I686" s="116"/>
      <c r="L686" s="165">
        <v>45603</v>
      </c>
      <c r="M686" s="116">
        <v>345.7</v>
      </c>
      <c r="N686" s="116">
        <v>347.5</v>
      </c>
      <c r="O686" s="116">
        <v>341.85</v>
      </c>
      <c r="P686" s="116">
        <v>343.6</v>
      </c>
      <c r="Q686" s="116">
        <v>345.7</v>
      </c>
      <c r="R686">
        <v>1315477</v>
      </c>
    </row>
    <row r="687" spans="1:18" x14ac:dyDescent="0.25">
      <c r="A687" s="165">
        <v>45604</v>
      </c>
      <c r="B687" s="116">
        <v>344.5</v>
      </c>
      <c r="C687" s="116">
        <v>333.75</v>
      </c>
      <c r="D687" s="116">
        <v>332.1</v>
      </c>
      <c r="E687" s="116">
        <v>344.5</v>
      </c>
      <c r="F687" s="116">
        <v>333.75</v>
      </c>
      <c r="G687">
        <v>54004</v>
      </c>
      <c r="H687" s="116"/>
      <c r="I687" s="116"/>
      <c r="L687" s="165">
        <v>45604</v>
      </c>
      <c r="M687" s="116">
        <v>333.65</v>
      </c>
      <c r="N687" s="116">
        <v>344.9</v>
      </c>
      <c r="O687" s="116">
        <v>332</v>
      </c>
      <c r="P687" s="116">
        <v>344.9</v>
      </c>
      <c r="Q687" s="116">
        <v>333.65</v>
      </c>
      <c r="R687">
        <v>954831</v>
      </c>
    </row>
    <row r="688" spans="1:18" x14ac:dyDescent="0.25">
      <c r="A688" s="165">
        <v>45607</v>
      </c>
      <c r="B688" s="116">
        <v>334.6</v>
      </c>
      <c r="C688" s="116">
        <v>327.75</v>
      </c>
      <c r="D688" s="116">
        <v>327</v>
      </c>
      <c r="E688" s="116">
        <v>330.05</v>
      </c>
      <c r="F688" s="116">
        <v>327.75</v>
      </c>
      <c r="G688">
        <v>109256</v>
      </c>
      <c r="H688" s="116"/>
      <c r="I688" s="116"/>
      <c r="L688" s="165">
        <v>45607</v>
      </c>
      <c r="M688" s="116">
        <v>327.85</v>
      </c>
      <c r="N688" s="116">
        <v>334.95</v>
      </c>
      <c r="O688" s="116">
        <v>327</v>
      </c>
      <c r="P688" s="116">
        <v>332</v>
      </c>
      <c r="Q688" s="116">
        <v>327.85</v>
      </c>
      <c r="R688">
        <v>873339</v>
      </c>
    </row>
    <row r="689" spans="1:18" x14ac:dyDescent="0.25">
      <c r="A689" s="165">
        <v>45608</v>
      </c>
      <c r="B689" s="116">
        <v>337.45</v>
      </c>
      <c r="C689" s="116">
        <v>333.45</v>
      </c>
      <c r="D689" s="116">
        <v>328.05</v>
      </c>
      <c r="E689" s="116">
        <v>328.05</v>
      </c>
      <c r="F689" s="116">
        <v>333.45</v>
      </c>
      <c r="G689">
        <v>107196</v>
      </c>
      <c r="H689" s="116"/>
      <c r="I689" s="116"/>
      <c r="L689" s="165">
        <v>45608</v>
      </c>
      <c r="M689" s="116">
        <v>333.5</v>
      </c>
      <c r="N689" s="116">
        <v>337.5</v>
      </c>
      <c r="O689" s="116">
        <v>328.65</v>
      </c>
      <c r="P689" s="116">
        <v>328.95</v>
      </c>
      <c r="Q689" s="116">
        <v>333.5</v>
      </c>
      <c r="R689">
        <v>1251804</v>
      </c>
    </row>
    <row r="690" spans="1:18" x14ac:dyDescent="0.25">
      <c r="A690" s="165">
        <v>45609</v>
      </c>
      <c r="B690" s="116">
        <v>336.1</v>
      </c>
      <c r="C690" s="116">
        <v>324.45</v>
      </c>
      <c r="D690" s="116">
        <v>318</v>
      </c>
      <c r="E690" s="116">
        <v>334.1</v>
      </c>
      <c r="F690" s="116">
        <v>324.45</v>
      </c>
      <c r="G690">
        <v>65676</v>
      </c>
      <c r="H690" s="116"/>
      <c r="I690" s="116"/>
      <c r="L690" s="165">
        <v>45609</v>
      </c>
      <c r="M690" s="116">
        <v>323.45</v>
      </c>
      <c r="N690" s="116">
        <v>336.6</v>
      </c>
      <c r="O690" s="116">
        <v>316</v>
      </c>
      <c r="P690" s="116">
        <v>335</v>
      </c>
      <c r="Q690" s="116">
        <v>323.45</v>
      </c>
      <c r="R690">
        <v>1588687</v>
      </c>
    </row>
    <row r="691" spans="1:18" x14ac:dyDescent="0.25">
      <c r="A691" s="165">
        <v>45610</v>
      </c>
      <c r="B691" s="116">
        <v>333.8</v>
      </c>
      <c r="C691" s="116">
        <v>331.05</v>
      </c>
      <c r="D691" s="116">
        <v>323.5</v>
      </c>
      <c r="E691" s="116">
        <v>323.5</v>
      </c>
      <c r="F691" s="116">
        <v>331.05</v>
      </c>
      <c r="G691">
        <v>132301</v>
      </c>
      <c r="H691" s="116"/>
      <c r="I691" s="116"/>
      <c r="L691" s="165">
        <v>45610</v>
      </c>
      <c r="M691" s="116">
        <v>331.05</v>
      </c>
      <c r="N691" s="116">
        <v>334</v>
      </c>
      <c r="O691" s="116">
        <v>323.5</v>
      </c>
      <c r="P691" s="116">
        <v>324</v>
      </c>
      <c r="Q691" s="116">
        <v>331.05</v>
      </c>
      <c r="R691">
        <v>1111772</v>
      </c>
    </row>
    <row r="692" spans="1:18" x14ac:dyDescent="0.25">
      <c r="A692" s="165">
        <v>45614</v>
      </c>
      <c r="B692" s="116">
        <v>334</v>
      </c>
      <c r="C692" s="116">
        <v>325.2</v>
      </c>
      <c r="D692" s="116">
        <v>324</v>
      </c>
      <c r="E692" s="116">
        <v>333.2</v>
      </c>
      <c r="F692" s="116">
        <v>325.2</v>
      </c>
      <c r="G692">
        <v>97658</v>
      </c>
      <c r="H692" s="116"/>
      <c r="I692" s="116"/>
      <c r="L692" s="165">
        <v>45614</v>
      </c>
      <c r="M692" s="116">
        <v>325.14999999999998</v>
      </c>
      <c r="N692" s="116">
        <v>333.95</v>
      </c>
      <c r="O692" s="116">
        <v>324.10000000000002</v>
      </c>
      <c r="P692" s="116">
        <v>333.95</v>
      </c>
      <c r="Q692" s="116">
        <v>325.14999999999998</v>
      </c>
      <c r="R692">
        <v>729819</v>
      </c>
    </row>
    <row r="693" spans="1:18" x14ac:dyDescent="0.25">
      <c r="A693" s="165">
        <v>45615</v>
      </c>
      <c r="B693" s="116">
        <v>331.25</v>
      </c>
      <c r="C693" s="116">
        <v>327.10000000000002</v>
      </c>
      <c r="D693" s="116">
        <v>325.55</v>
      </c>
      <c r="E693" s="116">
        <v>326.55</v>
      </c>
      <c r="F693" s="116">
        <v>327.10000000000002</v>
      </c>
      <c r="G693">
        <v>108030</v>
      </c>
      <c r="H693" s="116"/>
      <c r="I693" s="116"/>
      <c r="L693" s="165">
        <v>45615</v>
      </c>
      <c r="M693" s="116">
        <v>327.64999999999998</v>
      </c>
      <c r="N693" s="116">
        <v>331.75</v>
      </c>
      <c r="O693" s="116">
        <v>326</v>
      </c>
      <c r="P693" s="116">
        <v>327</v>
      </c>
      <c r="Q693" s="116">
        <v>327.64999999999998</v>
      </c>
      <c r="R693">
        <v>715804</v>
      </c>
    </row>
    <row r="694" spans="1:18" x14ac:dyDescent="0.25">
      <c r="A694" s="165">
        <v>45617</v>
      </c>
      <c r="B694" s="116">
        <v>306.25</v>
      </c>
      <c r="C694" s="116">
        <v>294.45</v>
      </c>
      <c r="D694" s="116">
        <v>294.39999999999998</v>
      </c>
      <c r="E694" s="116">
        <v>299.95</v>
      </c>
      <c r="F694" s="116">
        <v>294.45</v>
      </c>
      <c r="G694">
        <v>1099250</v>
      </c>
      <c r="H694" s="116"/>
      <c r="I694" s="116"/>
      <c r="L694" s="165">
        <v>45617</v>
      </c>
      <c r="M694" s="116">
        <v>294.89999999999998</v>
      </c>
      <c r="N694" s="116">
        <v>306.95</v>
      </c>
      <c r="O694" s="116">
        <v>294.89999999999998</v>
      </c>
      <c r="P694" s="116">
        <v>302</v>
      </c>
      <c r="Q694" s="116">
        <v>294.89999999999998</v>
      </c>
      <c r="R694">
        <v>12427128</v>
      </c>
    </row>
    <row r="695" spans="1:18" x14ac:dyDescent="0.25">
      <c r="A695" s="165">
        <v>45618</v>
      </c>
      <c r="B695" s="116">
        <v>300</v>
      </c>
      <c r="C695" s="116">
        <v>292.3</v>
      </c>
      <c r="D695" s="116">
        <v>279.2</v>
      </c>
      <c r="E695" s="116">
        <v>280.14999999999998</v>
      </c>
      <c r="F695" s="116">
        <v>292.3</v>
      </c>
      <c r="G695">
        <v>430017</v>
      </c>
      <c r="H695" s="116"/>
      <c r="I695" s="116"/>
      <c r="L695" s="165">
        <v>45618</v>
      </c>
      <c r="M695" s="116">
        <v>292.35000000000002</v>
      </c>
      <c r="N695" s="116">
        <v>299.95</v>
      </c>
      <c r="O695" s="116">
        <v>279</v>
      </c>
      <c r="P695" s="116">
        <v>281.10000000000002</v>
      </c>
      <c r="Q695" s="116">
        <v>292.35000000000002</v>
      </c>
      <c r="R695">
        <v>7166108</v>
      </c>
    </row>
    <row r="696" spans="1:18" x14ac:dyDescent="0.25">
      <c r="A696" s="165">
        <v>45621</v>
      </c>
      <c r="B696" s="116">
        <v>301.75</v>
      </c>
      <c r="C696" s="116">
        <v>297.60000000000002</v>
      </c>
      <c r="D696" s="116">
        <v>293.14999999999998</v>
      </c>
      <c r="E696" s="116">
        <v>299.64999999999998</v>
      </c>
      <c r="F696" s="116">
        <v>297.60000000000002</v>
      </c>
      <c r="G696">
        <v>144298</v>
      </c>
      <c r="H696" s="116"/>
      <c r="I696" s="116"/>
      <c r="L696" s="165">
        <v>45621</v>
      </c>
      <c r="M696" s="116">
        <v>297.39999999999998</v>
      </c>
      <c r="N696" s="116">
        <v>301.8</v>
      </c>
      <c r="O696" s="116">
        <v>293</v>
      </c>
      <c r="P696" s="116">
        <v>299</v>
      </c>
      <c r="Q696" s="116">
        <v>297.39999999999998</v>
      </c>
      <c r="R696">
        <v>2733765</v>
      </c>
    </row>
    <row r="697" spans="1:18" x14ac:dyDescent="0.25">
      <c r="A697" s="165">
        <v>45622</v>
      </c>
      <c r="B697" s="116">
        <v>297.75</v>
      </c>
      <c r="C697" s="116">
        <v>290.35000000000002</v>
      </c>
      <c r="D697" s="116">
        <v>289.10000000000002</v>
      </c>
      <c r="E697" s="116">
        <v>297.75</v>
      </c>
      <c r="F697" s="116">
        <v>290.35000000000002</v>
      </c>
      <c r="G697">
        <v>210235</v>
      </c>
      <c r="H697" s="116"/>
      <c r="I697" s="116"/>
      <c r="L697" s="165">
        <v>45622</v>
      </c>
      <c r="M697" s="116">
        <v>290.45</v>
      </c>
      <c r="N697" s="116">
        <v>297.45</v>
      </c>
      <c r="O697" s="116">
        <v>288.95</v>
      </c>
      <c r="P697" s="116">
        <v>297.39999999999998</v>
      </c>
      <c r="Q697" s="116">
        <v>290.45</v>
      </c>
      <c r="R697">
        <v>1928044</v>
      </c>
    </row>
    <row r="698" spans="1:18" x14ac:dyDescent="0.25">
      <c r="A698" s="165">
        <v>45623</v>
      </c>
      <c r="B698" s="116">
        <v>317.89999999999998</v>
      </c>
      <c r="C698" s="116">
        <v>314.89999999999998</v>
      </c>
      <c r="D698" s="116">
        <v>288</v>
      </c>
      <c r="E698" s="116">
        <v>289.85000000000002</v>
      </c>
      <c r="F698" s="116">
        <v>314.89999999999998</v>
      </c>
      <c r="G698">
        <v>435394</v>
      </c>
      <c r="H698" s="116"/>
      <c r="I698" s="116"/>
      <c r="L698" s="165">
        <v>45623</v>
      </c>
      <c r="M698" s="116">
        <v>314.75</v>
      </c>
      <c r="N698" s="116">
        <v>317.95</v>
      </c>
      <c r="O698" s="116">
        <v>287.05</v>
      </c>
      <c r="P698" s="116">
        <v>290.45</v>
      </c>
      <c r="Q698" s="116">
        <v>314.75</v>
      </c>
      <c r="R698">
        <v>7848095</v>
      </c>
    </row>
    <row r="699" spans="1:18" x14ac:dyDescent="0.25">
      <c r="A699" s="165">
        <v>45624</v>
      </c>
      <c r="B699" s="116">
        <v>324.89999999999998</v>
      </c>
      <c r="C699" s="116">
        <v>313.5</v>
      </c>
      <c r="D699" s="116">
        <v>310.05</v>
      </c>
      <c r="E699" s="116">
        <v>316.55</v>
      </c>
      <c r="F699" s="116">
        <v>313.5</v>
      </c>
      <c r="G699">
        <v>616559</v>
      </c>
      <c r="H699" s="116"/>
      <c r="I699" s="116"/>
      <c r="L699" s="165">
        <v>45624</v>
      </c>
      <c r="M699" s="116">
        <v>313.39999999999998</v>
      </c>
      <c r="N699" s="116">
        <v>325</v>
      </c>
      <c r="O699" s="116">
        <v>310.2</v>
      </c>
      <c r="P699" s="116">
        <v>315.39999999999998</v>
      </c>
      <c r="Q699" s="116">
        <v>313.39999999999998</v>
      </c>
      <c r="R699">
        <v>6114139</v>
      </c>
    </row>
    <row r="700" spans="1:18" x14ac:dyDescent="0.25">
      <c r="A700" s="165">
        <v>45625</v>
      </c>
      <c r="B700" s="116">
        <v>320.55</v>
      </c>
      <c r="C700" s="116">
        <v>313.64999999999998</v>
      </c>
      <c r="D700" s="116">
        <v>310</v>
      </c>
      <c r="E700" s="116">
        <v>313.55</v>
      </c>
      <c r="F700" s="116">
        <v>313.64999999999998</v>
      </c>
      <c r="G700">
        <v>377893</v>
      </c>
      <c r="H700" s="116"/>
      <c r="I700" s="116"/>
      <c r="L700" s="165">
        <v>45625</v>
      </c>
      <c r="M700" s="116">
        <v>313.64999999999998</v>
      </c>
      <c r="N700" s="116">
        <v>320.64999999999998</v>
      </c>
      <c r="O700" s="116">
        <v>310.2</v>
      </c>
      <c r="P700" s="116">
        <v>314</v>
      </c>
      <c r="Q700" s="116">
        <v>313.64999999999998</v>
      </c>
      <c r="R700">
        <v>3306230</v>
      </c>
    </row>
    <row r="701" spans="1:18" x14ac:dyDescent="0.25">
      <c r="A701" s="165">
        <v>45628</v>
      </c>
      <c r="B701" s="116">
        <v>315.55</v>
      </c>
      <c r="C701" s="116">
        <v>309.8</v>
      </c>
      <c r="D701" s="116">
        <v>308.60000000000002</v>
      </c>
      <c r="E701" s="116">
        <v>313.7</v>
      </c>
      <c r="F701" s="116">
        <v>309.8</v>
      </c>
      <c r="G701">
        <v>215896</v>
      </c>
      <c r="H701" s="116"/>
      <c r="I701" s="116"/>
      <c r="L701" s="165">
        <v>45628</v>
      </c>
      <c r="M701" s="116">
        <v>309.8</v>
      </c>
      <c r="N701" s="116">
        <v>315.64999999999998</v>
      </c>
      <c r="O701" s="116">
        <v>308.60000000000002</v>
      </c>
      <c r="P701" s="116">
        <v>315</v>
      </c>
      <c r="Q701" s="116">
        <v>309.8</v>
      </c>
      <c r="R701">
        <v>1485539</v>
      </c>
    </row>
    <row r="702" spans="1:18" x14ac:dyDescent="0.25">
      <c r="A702" s="165">
        <v>45629</v>
      </c>
      <c r="B702" s="116">
        <v>316.60000000000002</v>
      </c>
      <c r="C702" s="116">
        <v>313.5</v>
      </c>
      <c r="D702" s="116">
        <v>310.7</v>
      </c>
      <c r="E702" s="116">
        <v>311.35000000000002</v>
      </c>
      <c r="F702" s="116">
        <v>313.5</v>
      </c>
      <c r="G702">
        <v>188438</v>
      </c>
      <c r="H702" s="116"/>
      <c r="I702" s="116"/>
      <c r="L702" s="165">
        <v>45629</v>
      </c>
      <c r="M702" s="116">
        <v>313.60000000000002</v>
      </c>
      <c r="N702" s="116">
        <v>317</v>
      </c>
      <c r="O702" s="116">
        <v>310.7</v>
      </c>
      <c r="P702" s="116">
        <v>311</v>
      </c>
      <c r="Q702" s="116">
        <v>313.60000000000002</v>
      </c>
      <c r="R702">
        <v>1752131</v>
      </c>
    </row>
    <row r="703" spans="1:18" x14ac:dyDescent="0.25">
      <c r="A703" s="165">
        <v>45630</v>
      </c>
      <c r="B703" s="116">
        <v>316.14999999999998</v>
      </c>
      <c r="C703" s="116">
        <v>312.14999999999998</v>
      </c>
      <c r="D703" s="116">
        <v>310.8</v>
      </c>
      <c r="E703" s="116">
        <v>315.8</v>
      </c>
      <c r="F703" s="116">
        <v>312.14999999999998</v>
      </c>
      <c r="G703">
        <v>57956</v>
      </c>
      <c r="H703" s="116"/>
      <c r="I703" s="116"/>
      <c r="L703" s="165">
        <v>45630</v>
      </c>
      <c r="M703" s="116">
        <v>312.14999999999998</v>
      </c>
      <c r="N703" s="116">
        <v>315.95</v>
      </c>
      <c r="O703" s="116">
        <v>310.64999999999998</v>
      </c>
      <c r="P703" s="116">
        <v>315.55</v>
      </c>
      <c r="Q703" s="116">
        <v>312.14999999999998</v>
      </c>
      <c r="R703">
        <v>1043933</v>
      </c>
    </row>
    <row r="704" spans="1:18" x14ac:dyDescent="0.25">
      <c r="A704" s="165">
        <v>45631</v>
      </c>
      <c r="B704" s="116">
        <v>313.85000000000002</v>
      </c>
      <c r="C704" s="116">
        <v>311</v>
      </c>
      <c r="D704" s="116">
        <v>310</v>
      </c>
      <c r="E704" s="116">
        <v>312.55</v>
      </c>
      <c r="F704" s="116">
        <v>311</v>
      </c>
      <c r="G704">
        <v>169691</v>
      </c>
      <c r="H704" s="116"/>
      <c r="I704" s="116"/>
      <c r="L704" s="165">
        <v>45631</v>
      </c>
      <c r="M704" s="116">
        <v>310.75</v>
      </c>
      <c r="N704" s="116">
        <v>313.89999999999998</v>
      </c>
      <c r="O704" s="116">
        <v>309.55</v>
      </c>
      <c r="P704" s="116">
        <v>313.89999999999998</v>
      </c>
      <c r="Q704" s="116">
        <v>310.75</v>
      </c>
      <c r="R704">
        <v>1058792</v>
      </c>
    </row>
    <row r="705" spans="1:18" x14ac:dyDescent="0.25">
      <c r="A705" s="165">
        <v>45632</v>
      </c>
      <c r="B705" s="116">
        <v>314.25</v>
      </c>
      <c r="C705" s="116">
        <v>312.85000000000002</v>
      </c>
      <c r="D705" s="116">
        <v>309.75</v>
      </c>
      <c r="E705" s="116">
        <v>310.55</v>
      </c>
      <c r="F705" s="116">
        <v>312.85000000000002</v>
      </c>
      <c r="G705">
        <v>148549</v>
      </c>
      <c r="H705" s="116"/>
      <c r="I705" s="116"/>
      <c r="L705" s="165">
        <v>45632</v>
      </c>
      <c r="M705" s="116">
        <v>312.85000000000002</v>
      </c>
      <c r="N705" s="116">
        <v>314.39999999999998</v>
      </c>
      <c r="O705" s="116">
        <v>309.10000000000002</v>
      </c>
      <c r="P705" s="116">
        <v>311</v>
      </c>
      <c r="Q705" s="116">
        <v>312.85000000000002</v>
      </c>
      <c r="R705">
        <v>1072280</v>
      </c>
    </row>
    <row r="706" spans="1:18" x14ac:dyDescent="0.25">
      <c r="A706" s="165">
        <v>45635</v>
      </c>
      <c r="B706" s="116">
        <v>314.45</v>
      </c>
      <c r="C706" s="116">
        <v>311.2</v>
      </c>
      <c r="D706" s="116">
        <v>310.95</v>
      </c>
      <c r="E706" s="116">
        <v>312.95</v>
      </c>
      <c r="F706" s="116">
        <v>311.2</v>
      </c>
      <c r="G706">
        <v>158529</v>
      </c>
      <c r="H706" s="116"/>
      <c r="I706" s="116"/>
      <c r="L706" s="165">
        <v>45635</v>
      </c>
      <c r="M706" s="116">
        <v>311.35000000000002</v>
      </c>
      <c r="N706" s="116">
        <v>314.5</v>
      </c>
      <c r="O706" s="116">
        <v>311</v>
      </c>
      <c r="P706" s="116">
        <v>312.64999999999998</v>
      </c>
      <c r="Q706" s="116">
        <v>311.35000000000002</v>
      </c>
      <c r="R706">
        <v>799567</v>
      </c>
    </row>
    <row r="707" spans="1:18" x14ac:dyDescent="0.25">
      <c r="A707" s="165">
        <v>45636</v>
      </c>
      <c r="B707" s="116">
        <v>312.14999999999998</v>
      </c>
      <c r="C707" s="116">
        <v>307.60000000000002</v>
      </c>
      <c r="D707" s="116">
        <v>306</v>
      </c>
      <c r="E707" s="116">
        <v>311</v>
      </c>
      <c r="F707" s="116">
        <v>307.60000000000002</v>
      </c>
      <c r="G707">
        <v>41408</v>
      </c>
      <c r="H707" s="116"/>
      <c r="I707" s="116"/>
      <c r="L707" s="165">
        <v>45636</v>
      </c>
      <c r="M707" s="116">
        <v>307.35000000000002</v>
      </c>
      <c r="N707" s="116">
        <v>312.3</v>
      </c>
      <c r="O707" s="116">
        <v>306.14999999999998</v>
      </c>
      <c r="P707" s="116">
        <v>310</v>
      </c>
      <c r="Q707" s="116">
        <v>307.35000000000002</v>
      </c>
      <c r="R707">
        <v>893670</v>
      </c>
    </row>
    <row r="708" spans="1:18" x14ac:dyDescent="0.25">
      <c r="A708" s="165">
        <v>45637</v>
      </c>
      <c r="B708" s="116">
        <v>309.7</v>
      </c>
      <c r="C708" s="116">
        <v>307.25</v>
      </c>
      <c r="D708" s="116">
        <v>306</v>
      </c>
      <c r="E708" s="116">
        <v>306</v>
      </c>
      <c r="F708" s="116">
        <v>307.25</v>
      </c>
      <c r="G708">
        <v>106469</v>
      </c>
      <c r="H708" s="116"/>
      <c r="I708" s="116"/>
      <c r="L708" s="165">
        <v>45637</v>
      </c>
      <c r="M708" s="116">
        <v>307.3</v>
      </c>
      <c r="N708" s="116">
        <v>309.75</v>
      </c>
      <c r="O708" s="116">
        <v>306</v>
      </c>
      <c r="P708" s="116">
        <v>306</v>
      </c>
      <c r="Q708" s="116">
        <v>307.3</v>
      </c>
      <c r="R708">
        <v>646577</v>
      </c>
    </row>
    <row r="709" spans="1:18" x14ac:dyDescent="0.25">
      <c r="A709" s="165">
        <v>45638</v>
      </c>
      <c r="B709" s="116">
        <v>314.8</v>
      </c>
      <c r="C709" s="116">
        <v>307.75</v>
      </c>
      <c r="D709" s="116">
        <v>305</v>
      </c>
      <c r="E709" s="116">
        <v>307.05</v>
      </c>
      <c r="F709" s="116">
        <v>307.75</v>
      </c>
      <c r="G709">
        <v>130420</v>
      </c>
      <c r="H709" s="116"/>
      <c r="I709" s="116"/>
      <c r="L709" s="165">
        <v>45638</v>
      </c>
      <c r="M709" s="116">
        <v>307.45</v>
      </c>
      <c r="N709" s="116">
        <v>314.8</v>
      </c>
      <c r="O709" s="116">
        <v>305</v>
      </c>
      <c r="P709" s="116">
        <v>307.5</v>
      </c>
      <c r="Q709" s="116">
        <v>307.45</v>
      </c>
      <c r="R709">
        <v>2014507</v>
      </c>
    </row>
    <row r="710" spans="1:18" x14ac:dyDescent="0.25">
      <c r="A710" s="165">
        <v>45639</v>
      </c>
      <c r="B710" s="116">
        <v>308.3</v>
      </c>
      <c r="C710" s="116">
        <v>306.14999999999998</v>
      </c>
      <c r="D710" s="116">
        <v>303</v>
      </c>
      <c r="E710" s="116">
        <v>307.5</v>
      </c>
      <c r="F710" s="116">
        <v>306.14999999999998</v>
      </c>
      <c r="G710">
        <v>134737</v>
      </c>
      <c r="H710" s="116"/>
      <c r="I710" s="116"/>
      <c r="L710" s="165">
        <v>45639</v>
      </c>
      <c r="M710" s="116">
        <v>306.05</v>
      </c>
      <c r="N710" s="116">
        <v>308.8</v>
      </c>
      <c r="O710" s="116">
        <v>303.05</v>
      </c>
      <c r="P710" s="116">
        <v>307.45</v>
      </c>
      <c r="Q710" s="116">
        <v>306.05</v>
      </c>
      <c r="R710">
        <v>1019376</v>
      </c>
    </row>
    <row r="711" spans="1:18" x14ac:dyDescent="0.25">
      <c r="A711" s="165">
        <v>45642</v>
      </c>
      <c r="B711" s="116">
        <v>309.35000000000002</v>
      </c>
      <c r="C711" s="116">
        <v>305.60000000000002</v>
      </c>
      <c r="D711" s="116">
        <v>305</v>
      </c>
      <c r="E711" s="116">
        <v>308.5</v>
      </c>
      <c r="F711" s="116">
        <v>305.60000000000002</v>
      </c>
      <c r="G711">
        <v>125880</v>
      </c>
      <c r="H711" s="116"/>
      <c r="I711" s="116"/>
      <c r="L711" s="165">
        <v>45642</v>
      </c>
      <c r="M711" s="116">
        <v>305.7</v>
      </c>
      <c r="N711" s="116">
        <v>309.39999999999998</v>
      </c>
      <c r="O711" s="116">
        <v>305.3</v>
      </c>
      <c r="P711" s="116">
        <v>308.8</v>
      </c>
      <c r="Q711" s="116">
        <v>305.7</v>
      </c>
      <c r="R711">
        <v>777347</v>
      </c>
    </row>
    <row r="712" spans="1:18" x14ac:dyDescent="0.25">
      <c r="A712" s="165">
        <v>45643</v>
      </c>
      <c r="B712" s="116">
        <v>306.2</v>
      </c>
      <c r="C712" s="116">
        <v>302.85000000000002</v>
      </c>
      <c r="D712" s="116">
        <v>302.2</v>
      </c>
      <c r="E712" s="116">
        <v>305.64999999999998</v>
      </c>
      <c r="F712" s="116">
        <v>302.85000000000002</v>
      </c>
      <c r="G712">
        <v>64227</v>
      </c>
      <c r="H712" s="116"/>
      <c r="I712" s="116"/>
      <c r="L712" s="165">
        <v>45643</v>
      </c>
      <c r="M712" s="116">
        <v>302.89999999999998</v>
      </c>
      <c r="N712" s="116">
        <v>306.39999999999998</v>
      </c>
      <c r="O712" s="116">
        <v>302.14999999999998</v>
      </c>
      <c r="P712" s="116">
        <v>306</v>
      </c>
      <c r="Q712" s="116">
        <v>302.89999999999998</v>
      </c>
      <c r="R712">
        <v>826133</v>
      </c>
    </row>
    <row r="713" spans="1:18" x14ac:dyDescent="0.25">
      <c r="A713" s="165">
        <v>45644</v>
      </c>
      <c r="B713" s="116">
        <v>303.89999999999998</v>
      </c>
      <c r="C713" s="116">
        <v>299.10000000000002</v>
      </c>
      <c r="D713" s="116">
        <v>298</v>
      </c>
      <c r="E713" s="116">
        <v>302.14999999999998</v>
      </c>
      <c r="F713" s="116">
        <v>299.10000000000002</v>
      </c>
      <c r="G713">
        <v>45117</v>
      </c>
      <c r="H713" s="116"/>
      <c r="I713" s="116"/>
      <c r="L713" s="165">
        <v>45644</v>
      </c>
      <c r="M713" s="116">
        <v>299.10000000000002</v>
      </c>
      <c r="N713" s="116">
        <v>304.45</v>
      </c>
      <c r="O713" s="116">
        <v>298.2</v>
      </c>
      <c r="P713" s="116">
        <v>304.45</v>
      </c>
      <c r="Q713" s="116">
        <v>299.10000000000002</v>
      </c>
      <c r="R713">
        <v>774279</v>
      </c>
    </row>
    <row r="714" spans="1:18" x14ac:dyDescent="0.25">
      <c r="A714" s="165">
        <v>45645</v>
      </c>
      <c r="B714" s="116">
        <v>298.85000000000002</v>
      </c>
      <c r="C714" s="116">
        <v>297.05</v>
      </c>
      <c r="D714" s="116">
        <v>293.55</v>
      </c>
      <c r="E714" s="116">
        <v>295.10000000000002</v>
      </c>
      <c r="F714" s="116">
        <v>297.05</v>
      </c>
      <c r="G714">
        <v>131101</v>
      </c>
      <c r="H714" s="116"/>
      <c r="I714" s="116"/>
      <c r="L714" s="165">
        <v>45645</v>
      </c>
      <c r="M714" s="116">
        <v>296.95</v>
      </c>
      <c r="N714" s="116">
        <v>298.75</v>
      </c>
      <c r="O714" s="116">
        <v>294.05</v>
      </c>
      <c r="P714" s="116">
        <v>295</v>
      </c>
      <c r="Q714" s="116">
        <v>296.95</v>
      </c>
      <c r="R714">
        <v>549823</v>
      </c>
    </row>
    <row r="715" spans="1:18" x14ac:dyDescent="0.25">
      <c r="A715" s="165">
        <v>45646</v>
      </c>
      <c r="B715" s="116">
        <v>300.55</v>
      </c>
      <c r="C715" s="116">
        <v>291</v>
      </c>
      <c r="D715" s="116">
        <v>290</v>
      </c>
      <c r="E715" s="116">
        <v>295.2</v>
      </c>
      <c r="F715" s="116">
        <v>291</v>
      </c>
      <c r="G715">
        <v>192251</v>
      </c>
      <c r="H715" s="116"/>
      <c r="I715" s="116"/>
      <c r="L715" s="165">
        <v>45646</v>
      </c>
      <c r="M715" s="116">
        <v>290.89999999999998</v>
      </c>
      <c r="N715" s="116">
        <v>300.35000000000002</v>
      </c>
      <c r="O715" s="116">
        <v>290</v>
      </c>
      <c r="P715" s="116">
        <v>295.89999999999998</v>
      </c>
      <c r="Q715" s="116">
        <v>290.89999999999998</v>
      </c>
      <c r="R715">
        <v>1010277</v>
      </c>
    </row>
    <row r="716" spans="1:18" x14ac:dyDescent="0.25">
      <c r="A716" s="165">
        <v>45649</v>
      </c>
      <c r="B716" s="116">
        <v>318.5</v>
      </c>
      <c r="C716" s="116">
        <v>315.55</v>
      </c>
      <c r="D716" s="116">
        <v>290.14999999999998</v>
      </c>
      <c r="E716" s="116">
        <v>295</v>
      </c>
      <c r="F716" s="116">
        <v>315.55</v>
      </c>
      <c r="G716">
        <v>739269</v>
      </c>
      <c r="H716" s="116"/>
      <c r="I716" s="116"/>
      <c r="L716" s="165">
        <v>45649</v>
      </c>
      <c r="M716" s="116">
        <v>315.85000000000002</v>
      </c>
      <c r="N716" s="116">
        <v>318.89999999999998</v>
      </c>
      <c r="O716" s="116">
        <v>290.2</v>
      </c>
      <c r="P716" s="116">
        <v>294.89999999999998</v>
      </c>
      <c r="Q716" s="116">
        <v>315.85000000000002</v>
      </c>
      <c r="R716">
        <v>5245677</v>
      </c>
    </row>
    <row r="717" spans="1:18" x14ac:dyDescent="0.25">
      <c r="A717" s="165">
        <v>45650</v>
      </c>
      <c r="B717" s="116">
        <v>320.2</v>
      </c>
      <c r="C717" s="116">
        <v>319.60000000000002</v>
      </c>
      <c r="D717" s="116">
        <v>310.55</v>
      </c>
      <c r="E717" s="116">
        <v>316.10000000000002</v>
      </c>
      <c r="F717" s="116">
        <v>319.60000000000002</v>
      </c>
      <c r="G717">
        <v>334763</v>
      </c>
      <c r="H717" s="116"/>
      <c r="I717" s="116"/>
      <c r="L717" s="165">
        <v>45650</v>
      </c>
      <c r="M717" s="116">
        <v>318.64999999999998</v>
      </c>
      <c r="N717" s="116">
        <v>320</v>
      </c>
      <c r="O717" s="116">
        <v>310.64999999999998</v>
      </c>
      <c r="P717" s="116">
        <v>315.85000000000002</v>
      </c>
      <c r="Q717" s="116">
        <v>318.64999999999998</v>
      </c>
      <c r="R717">
        <v>2201189</v>
      </c>
    </row>
    <row r="718" spans="1:18" x14ac:dyDescent="0.25">
      <c r="A718" s="165">
        <v>45652</v>
      </c>
      <c r="B718" s="116">
        <v>321.8</v>
      </c>
      <c r="C718" s="116">
        <v>320.64999999999998</v>
      </c>
      <c r="D718" s="116">
        <v>312.89999999999998</v>
      </c>
      <c r="E718" s="116">
        <v>319.55</v>
      </c>
      <c r="F718" s="116">
        <v>320.64999999999998</v>
      </c>
      <c r="G718">
        <v>217449</v>
      </c>
      <c r="H718" s="116"/>
      <c r="I718" s="116"/>
      <c r="L718" s="165">
        <v>45652</v>
      </c>
      <c r="M718" s="116">
        <v>320.89999999999998</v>
      </c>
      <c r="N718" s="116">
        <v>322</v>
      </c>
      <c r="O718" s="116">
        <v>313</v>
      </c>
      <c r="P718" s="116">
        <v>318.64999999999998</v>
      </c>
      <c r="Q718" s="116">
        <v>320.89999999999998</v>
      </c>
      <c r="R718">
        <v>1722984</v>
      </c>
    </row>
    <row r="719" spans="1:18" x14ac:dyDescent="0.25">
      <c r="A719" s="165">
        <v>45653</v>
      </c>
      <c r="B719" s="116">
        <v>330.35</v>
      </c>
      <c r="C719" s="116">
        <v>330.05</v>
      </c>
      <c r="D719" s="116">
        <v>317.45</v>
      </c>
      <c r="E719" s="116">
        <v>320.14999999999998</v>
      </c>
      <c r="F719" s="116">
        <v>330.05</v>
      </c>
      <c r="G719">
        <v>346450</v>
      </c>
      <c r="H719" s="116"/>
      <c r="I719" s="116"/>
      <c r="L719" s="165">
        <v>45653</v>
      </c>
      <c r="M719" s="116">
        <v>329.2</v>
      </c>
      <c r="N719" s="116">
        <v>330.55</v>
      </c>
      <c r="O719" s="116">
        <v>317.2</v>
      </c>
      <c r="P719" s="116">
        <v>320.89999999999998</v>
      </c>
      <c r="Q719" s="116">
        <v>329.2</v>
      </c>
      <c r="R719">
        <v>2781761</v>
      </c>
    </row>
    <row r="720" spans="1:18" x14ac:dyDescent="0.25">
      <c r="A720" s="165">
        <v>45656</v>
      </c>
      <c r="B720" s="116">
        <v>337</v>
      </c>
      <c r="C720" s="116">
        <v>329.5</v>
      </c>
      <c r="D720" s="116">
        <v>321.64999999999998</v>
      </c>
      <c r="E720" s="116">
        <v>327.9</v>
      </c>
      <c r="F720" s="116">
        <v>329.5</v>
      </c>
      <c r="G720">
        <v>310786</v>
      </c>
      <c r="H720" s="116"/>
      <c r="I720" s="116"/>
      <c r="L720" s="165">
        <v>45656</v>
      </c>
      <c r="M720" s="116">
        <v>328.75</v>
      </c>
      <c r="N720" s="116">
        <v>337.05</v>
      </c>
      <c r="O720" s="116">
        <v>321</v>
      </c>
      <c r="P720" s="116">
        <v>327</v>
      </c>
      <c r="Q720" s="116">
        <v>328.75</v>
      </c>
      <c r="R720">
        <v>3104722</v>
      </c>
    </row>
    <row r="721" spans="1:18" x14ac:dyDescent="0.25">
      <c r="A721" s="165">
        <v>45657</v>
      </c>
      <c r="B721" s="116">
        <v>314.45</v>
      </c>
      <c r="C721" s="116">
        <v>308.25</v>
      </c>
      <c r="D721" s="116">
        <v>303.3</v>
      </c>
      <c r="E721" s="116">
        <v>305.64999999999998</v>
      </c>
      <c r="F721" s="116">
        <v>308.25</v>
      </c>
      <c r="G721">
        <v>656322</v>
      </c>
      <c r="H721" s="116"/>
      <c r="I721" s="116"/>
      <c r="L721" s="165">
        <v>45657</v>
      </c>
      <c r="M721" s="116">
        <v>308.05</v>
      </c>
      <c r="N721" s="116">
        <v>314.35000000000002</v>
      </c>
      <c r="O721" s="116">
        <v>303.10000000000002</v>
      </c>
      <c r="P721" s="116">
        <v>310</v>
      </c>
      <c r="Q721" s="116">
        <v>308.05</v>
      </c>
      <c r="R721">
        <v>4531223</v>
      </c>
    </row>
    <row r="722" spans="1:18" x14ac:dyDescent="0.25">
      <c r="A722" s="165">
        <v>45658</v>
      </c>
      <c r="B722" s="116">
        <v>329.45</v>
      </c>
      <c r="C722" s="116">
        <v>329</v>
      </c>
      <c r="D722" s="116">
        <v>306.89999999999998</v>
      </c>
      <c r="E722" s="116">
        <v>307.64999999999998</v>
      </c>
      <c r="F722" s="116">
        <v>329</v>
      </c>
      <c r="G722">
        <v>616230</v>
      </c>
      <c r="H722" s="116"/>
      <c r="I722" s="116"/>
      <c r="L722" s="165">
        <v>45658</v>
      </c>
      <c r="M722" s="116">
        <v>328.7</v>
      </c>
      <c r="N722" s="116">
        <v>329.6</v>
      </c>
      <c r="O722" s="116">
        <v>308</v>
      </c>
      <c r="P722" s="116">
        <v>308</v>
      </c>
      <c r="Q722" s="116">
        <v>328.7</v>
      </c>
      <c r="R722">
        <v>5168533</v>
      </c>
    </row>
    <row r="723" spans="1:18" x14ac:dyDescent="0.25">
      <c r="A723" s="165">
        <v>45659</v>
      </c>
      <c r="B723" s="116">
        <v>331.9</v>
      </c>
      <c r="C723" s="116">
        <v>330.4</v>
      </c>
      <c r="D723" s="116">
        <v>324.64999999999998</v>
      </c>
      <c r="E723" s="116">
        <v>326.5</v>
      </c>
      <c r="F723" s="116">
        <v>330.4</v>
      </c>
      <c r="G723">
        <v>206371</v>
      </c>
      <c r="H723" s="116"/>
      <c r="I723" s="116"/>
      <c r="L723" s="165">
        <v>45659</v>
      </c>
      <c r="M723" s="116">
        <v>330.55</v>
      </c>
      <c r="N723" s="116">
        <v>332</v>
      </c>
      <c r="O723" s="116">
        <v>324.75</v>
      </c>
      <c r="P723" s="116">
        <v>326</v>
      </c>
      <c r="Q723" s="116">
        <v>330.55</v>
      </c>
      <c r="R723">
        <v>1555415</v>
      </c>
    </row>
    <row r="724" spans="1:18" x14ac:dyDescent="0.25">
      <c r="A724" s="165">
        <v>45660</v>
      </c>
      <c r="B724" s="116">
        <v>332.05</v>
      </c>
      <c r="C724" s="116">
        <v>328.55</v>
      </c>
      <c r="D724" s="116">
        <v>326.45</v>
      </c>
      <c r="E724" s="116">
        <v>329.55</v>
      </c>
      <c r="F724" s="116">
        <v>328.55</v>
      </c>
      <c r="G724">
        <v>54414</v>
      </c>
      <c r="H724" s="116"/>
      <c r="I724" s="116"/>
      <c r="L724" s="165">
        <v>45660</v>
      </c>
      <c r="M724" s="116">
        <v>328.6</v>
      </c>
      <c r="N724" s="116">
        <v>332.25</v>
      </c>
      <c r="O724" s="116">
        <v>326.39999999999998</v>
      </c>
      <c r="P724" s="116">
        <v>330</v>
      </c>
      <c r="Q724" s="116">
        <v>328.6</v>
      </c>
      <c r="R724">
        <v>1080726</v>
      </c>
    </row>
    <row r="725" spans="1:18" x14ac:dyDescent="0.25">
      <c r="A725" s="165">
        <v>45663</v>
      </c>
      <c r="B725" s="116">
        <v>332.6</v>
      </c>
      <c r="C725" s="116">
        <v>324.95</v>
      </c>
      <c r="D725" s="116">
        <v>322</v>
      </c>
      <c r="E725" s="116">
        <v>330.55</v>
      </c>
      <c r="F725" s="116">
        <v>324.95</v>
      </c>
      <c r="G725">
        <v>79621</v>
      </c>
      <c r="H725" s="116"/>
      <c r="I725" s="116"/>
      <c r="L725" s="165">
        <v>45663</v>
      </c>
      <c r="M725" s="116">
        <v>325.10000000000002</v>
      </c>
      <c r="N725" s="116">
        <v>333</v>
      </c>
      <c r="O725" s="116">
        <v>322</v>
      </c>
      <c r="P725" s="116">
        <v>331</v>
      </c>
      <c r="Q725" s="116">
        <v>325.10000000000002</v>
      </c>
      <c r="R725">
        <v>1968042</v>
      </c>
    </row>
    <row r="726" spans="1:18" x14ac:dyDescent="0.25">
      <c r="A726" s="165">
        <v>45664</v>
      </c>
      <c r="B726" s="116">
        <v>329.75</v>
      </c>
      <c r="C726" s="116">
        <v>329.65</v>
      </c>
      <c r="D726" s="116">
        <v>319.3</v>
      </c>
      <c r="E726" s="116">
        <v>325.64999999999998</v>
      </c>
      <c r="F726" s="116">
        <v>329.65</v>
      </c>
      <c r="G726">
        <v>158588</v>
      </c>
      <c r="H726" s="116"/>
      <c r="I726" s="116"/>
      <c r="L726" s="165">
        <v>45664</v>
      </c>
      <c r="M726" s="116">
        <v>329.1</v>
      </c>
      <c r="N726" s="116">
        <v>330</v>
      </c>
      <c r="O726" s="116">
        <v>319.5</v>
      </c>
      <c r="P726" s="116">
        <v>326.2</v>
      </c>
      <c r="Q726" s="116">
        <v>329.1</v>
      </c>
      <c r="R726">
        <v>2120008</v>
      </c>
    </row>
    <row r="727" spans="1:18" x14ac:dyDescent="0.25">
      <c r="A727" s="165">
        <v>45665</v>
      </c>
      <c r="B727" s="116">
        <v>328.95</v>
      </c>
      <c r="C727" s="116">
        <v>326.05</v>
      </c>
      <c r="D727" s="116">
        <v>323.5</v>
      </c>
      <c r="E727" s="116">
        <v>325</v>
      </c>
      <c r="F727" s="116">
        <v>326.05</v>
      </c>
      <c r="G727">
        <v>90013</v>
      </c>
      <c r="H727" s="116"/>
      <c r="I727" s="116"/>
      <c r="L727" s="165">
        <v>45665</v>
      </c>
      <c r="M727" s="116">
        <v>326.14999999999998</v>
      </c>
      <c r="N727" s="116">
        <v>329</v>
      </c>
      <c r="O727" s="116">
        <v>323.45</v>
      </c>
      <c r="P727" s="116">
        <v>326</v>
      </c>
      <c r="Q727" s="116">
        <v>326.14999999999998</v>
      </c>
      <c r="R727">
        <v>1143463</v>
      </c>
    </row>
    <row r="728" spans="1:18" x14ac:dyDescent="0.25">
      <c r="A728" s="165">
        <v>45666</v>
      </c>
      <c r="B728" s="116">
        <v>328.85</v>
      </c>
      <c r="C728" s="116">
        <v>323.95</v>
      </c>
      <c r="D728" s="116">
        <v>321</v>
      </c>
      <c r="E728" s="116">
        <v>323.5</v>
      </c>
      <c r="F728" s="116">
        <v>323.95</v>
      </c>
      <c r="G728">
        <v>148068</v>
      </c>
      <c r="H728" s="116"/>
      <c r="I728" s="116"/>
      <c r="L728" s="165">
        <v>45666</v>
      </c>
      <c r="M728" s="116">
        <v>323.45</v>
      </c>
      <c r="N728" s="116">
        <v>328.75</v>
      </c>
      <c r="O728" s="116">
        <v>320</v>
      </c>
      <c r="P728" s="116">
        <v>320</v>
      </c>
      <c r="Q728" s="116">
        <v>323.45</v>
      </c>
      <c r="R728">
        <v>1189208</v>
      </c>
    </row>
    <row r="729" spans="1:18" x14ac:dyDescent="0.25">
      <c r="A729" s="165">
        <v>45667</v>
      </c>
      <c r="B729" s="116">
        <v>301.45</v>
      </c>
      <c r="C729" s="116">
        <v>291.60000000000002</v>
      </c>
      <c r="D729" s="116">
        <v>291.60000000000002</v>
      </c>
      <c r="E729" s="116">
        <v>294.85000000000002</v>
      </c>
      <c r="F729" s="116">
        <v>291.60000000000002</v>
      </c>
      <c r="G729">
        <v>1162026</v>
      </c>
      <c r="H729" s="116"/>
      <c r="I729" s="116"/>
      <c r="L729" s="165">
        <v>45667</v>
      </c>
      <c r="M729" s="116">
        <v>291.10000000000002</v>
      </c>
      <c r="N729" s="116">
        <v>301.60000000000002</v>
      </c>
      <c r="O729" s="116">
        <v>291.10000000000002</v>
      </c>
      <c r="P729" s="116">
        <v>294</v>
      </c>
      <c r="Q729" s="116">
        <v>291.10000000000002</v>
      </c>
      <c r="R729">
        <v>17146054</v>
      </c>
    </row>
    <row r="730" spans="1:18" x14ac:dyDescent="0.25">
      <c r="A730" s="165">
        <v>45670</v>
      </c>
      <c r="B730" s="116">
        <v>274.35000000000002</v>
      </c>
      <c r="C730" s="116">
        <v>262.45</v>
      </c>
      <c r="D730" s="116">
        <v>262.45</v>
      </c>
      <c r="E730" s="116">
        <v>271.05</v>
      </c>
      <c r="F730" s="116">
        <v>262.45</v>
      </c>
      <c r="G730">
        <v>1076152</v>
      </c>
      <c r="H730" s="116"/>
      <c r="I730" s="116"/>
      <c r="L730" s="165">
        <v>45670</v>
      </c>
      <c r="M730" s="116">
        <v>262</v>
      </c>
      <c r="N730" s="116">
        <v>274.39999999999998</v>
      </c>
      <c r="O730" s="116">
        <v>262</v>
      </c>
      <c r="P730" s="116">
        <v>271.89999999999998</v>
      </c>
      <c r="Q730" s="116">
        <v>262</v>
      </c>
      <c r="R730">
        <v>21163348</v>
      </c>
    </row>
    <row r="731" spans="1:18" x14ac:dyDescent="0.25">
      <c r="A731" s="165">
        <v>45671</v>
      </c>
      <c r="B731" s="116">
        <v>270.5</v>
      </c>
      <c r="C731" s="116">
        <v>266.95</v>
      </c>
      <c r="D731" s="116">
        <v>257.95</v>
      </c>
      <c r="E731" s="116">
        <v>263.95</v>
      </c>
      <c r="F731" s="116">
        <v>266.95</v>
      </c>
      <c r="G731">
        <v>675630</v>
      </c>
      <c r="H731" s="116"/>
      <c r="I731" s="116"/>
      <c r="L731" s="165">
        <v>45671</v>
      </c>
      <c r="M731" s="116">
        <v>267</v>
      </c>
      <c r="N731" s="116">
        <v>270.5</v>
      </c>
      <c r="O731" s="116">
        <v>257.55</v>
      </c>
      <c r="P731" s="116">
        <v>263.2</v>
      </c>
      <c r="Q731" s="116">
        <v>267</v>
      </c>
      <c r="R731">
        <v>9750729</v>
      </c>
    </row>
    <row r="732" spans="1:18" x14ac:dyDescent="0.25">
      <c r="A732" s="165">
        <v>45672</v>
      </c>
      <c r="B732" s="116">
        <v>274.14999999999998</v>
      </c>
      <c r="C732" s="116">
        <v>273.5</v>
      </c>
      <c r="D732" s="116">
        <v>263.55</v>
      </c>
      <c r="E732" s="116">
        <v>267.14999999999998</v>
      </c>
      <c r="F732" s="116">
        <v>273.5</v>
      </c>
      <c r="G732">
        <v>444591</v>
      </c>
      <c r="H732" s="116"/>
      <c r="I732" s="116"/>
      <c r="L732" s="165">
        <v>45672</v>
      </c>
      <c r="M732" s="116">
        <v>273.64999999999998</v>
      </c>
      <c r="N732" s="116">
        <v>274.39999999999998</v>
      </c>
      <c r="O732" s="116">
        <v>263.5</v>
      </c>
      <c r="P732" s="116">
        <v>269.45</v>
      </c>
      <c r="Q732" s="116">
        <v>273.64999999999998</v>
      </c>
      <c r="R732">
        <v>15002432</v>
      </c>
    </row>
    <row r="733" spans="1:18" x14ac:dyDescent="0.25">
      <c r="A733" s="165">
        <v>45673</v>
      </c>
      <c r="B733" s="116">
        <v>275</v>
      </c>
      <c r="C733" s="116">
        <v>270.25</v>
      </c>
      <c r="D733" s="116">
        <v>269.05</v>
      </c>
      <c r="E733" s="116">
        <v>275</v>
      </c>
      <c r="F733" s="116">
        <v>270.25</v>
      </c>
      <c r="G733">
        <v>190537</v>
      </c>
      <c r="H733" s="116"/>
      <c r="I733" s="116"/>
      <c r="L733" s="165">
        <v>45673</v>
      </c>
      <c r="M733" s="116">
        <v>269.85000000000002</v>
      </c>
      <c r="N733" s="116">
        <v>275.7</v>
      </c>
      <c r="O733" s="116">
        <v>269</v>
      </c>
      <c r="P733" s="116">
        <v>275</v>
      </c>
      <c r="Q733" s="116">
        <v>269.85000000000002</v>
      </c>
      <c r="R733">
        <v>3348626</v>
      </c>
    </row>
    <row r="734" spans="1:18" x14ac:dyDescent="0.25">
      <c r="A734" s="165">
        <v>45674</v>
      </c>
      <c r="B734" s="116">
        <v>271.05</v>
      </c>
      <c r="C734" s="116">
        <v>267.75</v>
      </c>
      <c r="D734" s="116">
        <v>263.5</v>
      </c>
      <c r="E734" s="116">
        <v>270.3</v>
      </c>
      <c r="F734" s="116">
        <v>267.75</v>
      </c>
      <c r="G734">
        <v>271054</v>
      </c>
      <c r="H734" s="116"/>
      <c r="I734" s="116"/>
      <c r="L734" s="165">
        <v>45674</v>
      </c>
      <c r="M734" s="116">
        <v>268.05</v>
      </c>
      <c r="N734" s="116">
        <v>270.8</v>
      </c>
      <c r="O734" s="116">
        <v>263.5</v>
      </c>
      <c r="P734" s="116">
        <v>270.8</v>
      </c>
      <c r="Q734" s="116">
        <v>268.05</v>
      </c>
      <c r="R734">
        <v>3066191</v>
      </c>
    </row>
    <row r="735" spans="1:18" x14ac:dyDescent="0.25">
      <c r="A735" s="165">
        <v>45677</v>
      </c>
      <c r="B735" s="116">
        <v>270</v>
      </c>
      <c r="C735" s="116">
        <v>263.8</v>
      </c>
      <c r="D735" s="116">
        <v>262.45</v>
      </c>
      <c r="E735" s="116">
        <v>268.60000000000002</v>
      </c>
      <c r="F735" s="116">
        <v>263.8</v>
      </c>
      <c r="G735">
        <v>111256</v>
      </c>
      <c r="H735" s="116"/>
      <c r="I735" s="116"/>
      <c r="L735" s="165">
        <v>45677</v>
      </c>
      <c r="M735" s="116">
        <v>263.64999999999998</v>
      </c>
      <c r="N735" s="116">
        <v>270.10000000000002</v>
      </c>
      <c r="O735" s="116">
        <v>262.35000000000002</v>
      </c>
      <c r="P735" s="116">
        <v>269.89999999999998</v>
      </c>
      <c r="Q735" s="116">
        <v>263.64999999999998</v>
      </c>
      <c r="R735">
        <v>4498503</v>
      </c>
    </row>
    <row r="736" spans="1:18" x14ac:dyDescent="0.25">
      <c r="A736" s="165">
        <v>45678</v>
      </c>
      <c r="B736" s="116">
        <v>270.55</v>
      </c>
      <c r="C736" s="116">
        <v>268.14999999999998</v>
      </c>
      <c r="D736" s="116">
        <v>264.45</v>
      </c>
      <c r="E736" s="116">
        <v>266.2</v>
      </c>
      <c r="F736" s="116">
        <v>268.14999999999998</v>
      </c>
      <c r="G736">
        <v>263642</v>
      </c>
      <c r="H736" s="116"/>
      <c r="I736" s="116"/>
      <c r="L736" s="165">
        <v>45678</v>
      </c>
      <c r="M736" s="116">
        <v>268.10000000000002</v>
      </c>
      <c r="N736" s="116">
        <v>270.64999999999998</v>
      </c>
      <c r="O736" s="116">
        <v>264.45</v>
      </c>
      <c r="P736" s="116">
        <v>266.7</v>
      </c>
      <c r="Q736" s="116">
        <v>268.10000000000002</v>
      </c>
      <c r="R736">
        <v>3354228</v>
      </c>
    </row>
    <row r="737" spans="1:18" x14ac:dyDescent="0.25">
      <c r="A737" s="165">
        <v>45679</v>
      </c>
      <c r="B737" s="116">
        <v>269.35000000000002</v>
      </c>
      <c r="C737" s="116">
        <v>267.2</v>
      </c>
      <c r="D737" s="116">
        <v>262.05</v>
      </c>
      <c r="E737" s="116">
        <v>268.3</v>
      </c>
      <c r="F737" s="116">
        <v>267.2</v>
      </c>
      <c r="G737">
        <v>190921</v>
      </c>
      <c r="H737" s="116"/>
      <c r="I737" s="116"/>
      <c r="L737" s="165">
        <v>45679</v>
      </c>
      <c r="M737" s="116">
        <v>267.35000000000002</v>
      </c>
      <c r="N737" s="116">
        <v>269.35000000000002</v>
      </c>
      <c r="O737" s="116">
        <v>262.35000000000002</v>
      </c>
      <c r="P737" s="116">
        <v>268.7</v>
      </c>
      <c r="Q737" s="116">
        <v>267.35000000000002</v>
      </c>
      <c r="R737">
        <v>2061558</v>
      </c>
    </row>
    <row r="738" spans="1:18" x14ac:dyDescent="0.25">
      <c r="A738" s="165">
        <v>45680</v>
      </c>
      <c r="B738" s="116">
        <v>267.8</v>
      </c>
      <c r="C738" s="116">
        <v>261.55</v>
      </c>
      <c r="D738" s="116">
        <v>260.60000000000002</v>
      </c>
      <c r="E738" s="116">
        <v>267.8</v>
      </c>
      <c r="F738" s="116">
        <v>261.55</v>
      </c>
      <c r="G738">
        <v>72223</v>
      </c>
      <c r="H738" s="116"/>
      <c r="I738" s="116"/>
      <c r="L738" s="165">
        <v>45680</v>
      </c>
      <c r="M738" s="116">
        <v>261.45</v>
      </c>
      <c r="N738" s="116">
        <v>267</v>
      </c>
      <c r="O738" s="116">
        <v>260.7</v>
      </c>
      <c r="P738" s="116">
        <v>267</v>
      </c>
      <c r="Q738" s="116">
        <v>261.45</v>
      </c>
      <c r="R738">
        <v>2089263</v>
      </c>
    </row>
    <row r="739" spans="1:18" x14ac:dyDescent="0.25">
      <c r="A739" s="165">
        <v>45681</v>
      </c>
      <c r="B739" s="116">
        <v>267.39999999999998</v>
      </c>
      <c r="C739" s="116">
        <v>251.85</v>
      </c>
      <c r="D739" s="116">
        <v>251</v>
      </c>
      <c r="E739" s="116">
        <v>262.55</v>
      </c>
      <c r="F739" s="116">
        <v>251.85</v>
      </c>
      <c r="G739">
        <v>307738</v>
      </c>
      <c r="H739" s="116"/>
      <c r="I739" s="116"/>
      <c r="L739" s="165">
        <v>45681</v>
      </c>
      <c r="M739" s="116">
        <v>251.85</v>
      </c>
      <c r="N739" s="116">
        <v>267.8</v>
      </c>
      <c r="O739" s="116">
        <v>250.8</v>
      </c>
      <c r="P739" s="116">
        <v>263.3</v>
      </c>
      <c r="Q739" s="116">
        <v>251.85</v>
      </c>
      <c r="R739">
        <v>2965651</v>
      </c>
    </row>
    <row r="740" spans="1:18" x14ac:dyDescent="0.25">
      <c r="A740" s="165">
        <v>45684</v>
      </c>
      <c r="B740" s="116">
        <v>270</v>
      </c>
      <c r="C740" s="116">
        <v>261.95</v>
      </c>
      <c r="D740" s="116">
        <v>241.05</v>
      </c>
      <c r="E740" s="116">
        <v>252</v>
      </c>
      <c r="F740" s="116">
        <v>261.95</v>
      </c>
      <c r="G740">
        <v>1076421</v>
      </c>
      <c r="H740" s="116"/>
      <c r="I740" s="116"/>
      <c r="L740" s="165">
        <v>45684</v>
      </c>
      <c r="M740" s="116">
        <v>261.2</v>
      </c>
      <c r="N740" s="116">
        <v>270</v>
      </c>
      <c r="O740" s="116">
        <v>240.95</v>
      </c>
      <c r="P740" s="116">
        <v>251.85</v>
      </c>
      <c r="Q740" s="116">
        <v>261.2</v>
      </c>
      <c r="R740">
        <v>14223348</v>
      </c>
    </row>
    <row r="741" spans="1:18" x14ac:dyDescent="0.25">
      <c r="A741" s="165">
        <v>45685</v>
      </c>
      <c r="B741" s="116">
        <v>265</v>
      </c>
      <c r="C741" s="116">
        <v>260.75</v>
      </c>
      <c r="D741" s="116">
        <v>252.7</v>
      </c>
      <c r="E741" s="116">
        <v>258.3</v>
      </c>
      <c r="F741" s="116">
        <v>260.75</v>
      </c>
      <c r="G741">
        <v>386409</v>
      </c>
      <c r="H741" s="116"/>
      <c r="I741" s="116"/>
      <c r="L741" s="165">
        <v>45685</v>
      </c>
      <c r="M741" s="116">
        <v>260.60000000000002</v>
      </c>
      <c r="N741" s="116">
        <v>264.7</v>
      </c>
      <c r="O741" s="116">
        <v>252.6</v>
      </c>
      <c r="P741" s="116">
        <v>261</v>
      </c>
      <c r="Q741" s="116">
        <v>260.60000000000002</v>
      </c>
      <c r="R741">
        <v>4555061</v>
      </c>
    </row>
    <row r="742" spans="1:18" x14ac:dyDescent="0.25">
      <c r="A742" s="165">
        <v>45686</v>
      </c>
      <c r="B742" s="116">
        <v>266.5</v>
      </c>
      <c r="C742" s="116">
        <v>263.75</v>
      </c>
      <c r="D742" s="116">
        <v>258.05</v>
      </c>
      <c r="E742" s="116">
        <v>261.89999999999998</v>
      </c>
      <c r="F742" s="116">
        <v>263.75</v>
      </c>
      <c r="G742">
        <v>287108</v>
      </c>
      <c r="H742" s="116"/>
      <c r="I742" s="116"/>
      <c r="L742" s="165">
        <v>45686</v>
      </c>
      <c r="M742" s="116">
        <v>263.8</v>
      </c>
      <c r="N742" s="116">
        <v>266.7</v>
      </c>
      <c r="O742" s="116">
        <v>258.60000000000002</v>
      </c>
      <c r="P742" s="116">
        <v>261.8</v>
      </c>
      <c r="Q742" s="116">
        <v>263.8</v>
      </c>
      <c r="R742">
        <v>2078020</v>
      </c>
    </row>
    <row r="743" spans="1:18" x14ac:dyDescent="0.25">
      <c r="A743" s="165">
        <v>45687</v>
      </c>
      <c r="B743" s="116">
        <v>265</v>
      </c>
      <c r="C743" s="116">
        <v>258.7</v>
      </c>
      <c r="D743" s="116">
        <v>257.7</v>
      </c>
      <c r="E743" s="116">
        <v>264.89999999999998</v>
      </c>
      <c r="F743" s="116">
        <v>258.7</v>
      </c>
      <c r="G743">
        <v>68181</v>
      </c>
      <c r="H743" s="116"/>
      <c r="I743" s="116"/>
      <c r="L743" s="165">
        <v>45687</v>
      </c>
      <c r="M743" s="116">
        <v>258.85000000000002</v>
      </c>
      <c r="N743" s="116">
        <v>265.5</v>
      </c>
      <c r="O743" s="116">
        <v>257.75</v>
      </c>
      <c r="P743" s="116">
        <v>263.7</v>
      </c>
      <c r="Q743" s="116">
        <v>258.85000000000002</v>
      </c>
      <c r="R743">
        <v>1217171</v>
      </c>
    </row>
    <row r="744" spans="1:18" x14ac:dyDescent="0.25">
      <c r="A744" s="165">
        <v>45688</v>
      </c>
      <c r="B744" s="116">
        <v>268.10000000000002</v>
      </c>
      <c r="C744" s="116">
        <v>266.45</v>
      </c>
      <c r="D744" s="116">
        <v>258</v>
      </c>
      <c r="E744" s="116">
        <v>262.3</v>
      </c>
      <c r="F744" s="116">
        <v>266.45</v>
      </c>
      <c r="G744">
        <v>87067</v>
      </c>
      <c r="H744" s="116"/>
      <c r="I744" s="116"/>
      <c r="L744" s="165">
        <v>45688</v>
      </c>
      <c r="M744" s="116">
        <v>266.64999999999998</v>
      </c>
      <c r="N744" s="116">
        <v>268.5</v>
      </c>
      <c r="O744" s="116">
        <v>258</v>
      </c>
      <c r="P744" s="116">
        <v>261.89999999999998</v>
      </c>
      <c r="Q744" s="116">
        <v>266.64999999999998</v>
      </c>
      <c r="R744">
        <v>2020195</v>
      </c>
    </row>
    <row r="745" spans="1:18" x14ac:dyDescent="0.25">
      <c r="A745" s="165">
        <v>45689</v>
      </c>
      <c r="B745" s="116">
        <v>272.25</v>
      </c>
      <c r="C745" s="116">
        <v>266.64999999999998</v>
      </c>
      <c r="D745" s="116">
        <v>261.05</v>
      </c>
      <c r="E745" s="116">
        <v>268.85000000000002</v>
      </c>
      <c r="F745" s="116">
        <v>266.64999999999998</v>
      </c>
      <c r="G745">
        <v>105989</v>
      </c>
      <c r="H745" s="116"/>
      <c r="I745" s="116"/>
      <c r="L745" s="165">
        <v>45689</v>
      </c>
      <c r="M745" s="116">
        <v>266.8</v>
      </c>
      <c r="N745" s="116">
        <v>272.3</v>
      </c>
      <c r="O745" s="116">
        <v>261.14999999999998</v>
      </c>
      <c r="P745" s="116">
        <v>267.75</v>
      </c>
      <c r="Q745" s="116">
        <v>266.8</v>
      </c>
      <c r="R745">
        <v>2287952</v>
      </c>
    </row>
    <row r="746" spans="1:18" x14ac:dyDescent="0.25">
      <c r="A746" s="165">
        <v>45691</v>
      </c>
      <c r="B746" s="116">
        <v>267.5</v>
      </c>
      <c r="C746" s="116">
        <v>264.64999999999998</v>
      </c>
      <c r="D746" s="116">
        <v>261.64999999999998</v>
      </c>
      <c r="E746" s="116">
        <v>267</v>
      </c>
      <c r="F746" s="116">
        <v>264.64999999999998</v>
      </c>
      <c r="G746">
        <v>54046</v>
      </c>
      <c r="H746" s="116"/>
      <c r="I746" s="116"/>
      <c r="L746" s="165">
        <v>45691</v>
      </c>
      <c r="M746" s="116">
        <v>264.89999999999998</v>
      </c>
      <c r="N746" s="116">
        <v>266.8</v>
      </c>
      <c r="O746" s="116">
        <v>261.64999999999998</v>
      </c>
      <c r="P746" s="116">
        <v>266.8</v>
      </c>
      <c r="Q746" s="116">
        <v>264.89999999999998</v>
      </c>
      <c r="R746">
        <v>1017274</v>
      </c>
    </row>
    <row r="747" spans="1:18" x14ac:dyDescent="0.25">
      <c r="A747" s="165">
        <v>45692</v>
      </c>
      <c r="B747" s="116">
        <v>273.14999999999998</v>
      </c>
      <c r="C747" s="116">
        <v>272.45</v>
      </c>
      <c r="D747" s="116">
        <v>265.2</v>
      </c>
      <c r="E747" s="116">
        <v>266.05</v>
      </c>
      <c r="F747" s="116">
        <v>272.45</v>
      </c>
      <c r="G747">
        <v>81766</v>
      </c>
      <c r="H747" s="116"/>
      <c r="I747" s="116"/>
      <c r="L747" s="165">
        <v>45692</v>
      </c>
      <c r="M747" s="116">
        <v>272.55</v>
      </c>
      <c r="N747" s="116">
        <v>273</v>
      </c>
      <c r="O747" s="116">
        <v>265.10000000000002</v>
      </c>
      <c r="P747" s="116">
        <v>266.3</v>
      </c>
      <c r="Q747" s="116">
        <v>272.55</v>
      </c>
      <c r="R747">
        <v>2142672</v>
      </c>
    </row>
    <row r="748" spans="1:18" x14ac:dyDescent="0.25">
      <c r="A748" s="165">
        <v>45693</v>
      </c>
      <c r="B748" s="116">
        <v>273.60000000000002</v>
      </c>
      <c r="C748" s="116">
        <v>271.75</v>
      </c>
      <c r="D748" s="116">
        <v>268.5</v>
      </c>
      <c r="E748" s="116">
        <v>272.7</v>
      </c>
      <c r="F748" s="116">
        <v>271.75</v>
      </c>
      <c r="G748">
        <v>73981</v>
      </c>
      <c r="H748" s="116"/>
      <c r="I748" s="116"/>
      <c r="L748" s="165">
        <v>45693</v>
      </c>
      <c r="M748" s="116">
        <v>271.60000000000002</v>
      </c>
      <c r="N748" s="116">
        <v>273.85000000000002</v>
      </c>
      <c r="O748" s="116">
        <v>268.45</v>
      </c>
      <c r="P748" s="116">
        <v>273</v>
      </c>
      <c r="Q748" s="116">
        <v>271.60000000000002</v>
      </c>
      <c r="R748">
        <v>1804801</v>
      </c>
    </row>
    <row r="749" spans="1:18" x14ac:dyDescent="0.25">
      <c r="A749" s="165">
        <v>45694</v>
      </c>
      <c r="B749" s="116">
        <v>274.95</v>
      </c>
      <c r="C749" s="116">
        <v>269.45</v>
      </c>
      <c r="D749" s="116">
        <v>268.7</v>
      </c>
      <c r="E749" s="116">
        <v>272.05</v>
      </c>
      <c r="F749" s="116">
        <v>269.45</v>
      </c>
      <c r="G749">
        <v>112113</v>
      </c>
      <c r="H749" s="116"/>
      <c r="I749" s="116"/>
      <c r="L749" s="165">
        <v>45694</v>
      </c>
      <c r="M749" s="116">
        <v>269.45</v>
      </c>
      <c r="N749" s="116">
        <v>274.89999999999998</v>
      </c>
      <c r="O749" s="116">
        <v>268.5</v>
      </c>
      <c r="P749" s="116">
        <v>271.60000000000002</v>
      </c>
      <c r="Q749" s="116">
        <v>269.45</v>
      </c>
      <c r="R749">
        <v>1626139</v>
      </c>
    </row>
    <row r="750" spans="1:18" x14ac:dyDescent="0.25">
      <c r="A750" s="165">
        <v>45695</v>
      </c>
      <c r="B750" s="116">
        <v>271.5</v>
      </c>
      <c r="C750" s="116">
        <v>266.8</v>
      </c>
      <c r="D750" s="116">
        <v>263.55</v>
      </c>
      <c r="E750" s="116">
        <v>271.5</v>
      </c>
      <c r="F750" s="116">
        <v>266.8</v>
      </c>
      <c r="G750">
        <v>95710</v>
      </c>
      <c r="H750" s="116"/>
      <c r="I750" s="116"/>
      <c r="L750" s="165">
        <v>45695</v>
      </c>
      <c r="M750" s="116">
        <v>266.95</v>
      </c>
      <c r="N750" s="116">
        <v>271.5</v>
      </c>
      <c r="O750" s="116">
        <v>263.55</v>
      </c>
      <c r="P750" s="116">
        <v>271.5</v>
      </c>
      <c r="Q750" s="116">
        <v>266.95</v>
      </c>
      <c r="R750">
        <v>931733</v>
      </c>
    </row>
    <row r="751" spans="1:18" x14ac:dyDescent="0.25">
      <c r="A751" s="165">
        <v>45698</v>
      </c>
      <c r="B751" s="116">
        <v>266.8</v>
      </c>
      <c r="C751" s="116">
        <v>258.25</v>
      </c>
      <c r="D751" s="116">
        <v>258</v>
      </c>
      <c r="E751" s="116">
        <v>266.35000000000002</v>
      </c>
      <c r="F751" s="116">
        <v>258.25</v>
      </c>
      <c r="G751">
        <v>43805</v>
      </c>
      <c r="H751" s="116"/>
      <c r="I751" s="116"/>
      <c r="L751" s="165">
        <v>45698</v>
      </c>
      <c r="M751" s="116">
        <v>258.60000000000002</v>
      </c>
      <c r="N751" s="116">
        <v>266.75</v>
      </c>
      <c r="O751" s="116">
        <v>257.85000000000002</v>
      </c>
      <c r="P751" s="116">
        <v>265.64999999999998</v>
      </c>
      <c r="Q751" s="116">
        <v>258.60000000000002</v>
      </c>
      <c r="R751">
        <v>1030161</v>
      </c>
    </row>
    <row r="752" spans="1:18" x14ac:dyDescent="0.25">
      <c r="A752" s="165">
        <v>45699</v>
      </c>
      <c r="B752" s="116">
        <v>260.64999999999998</v>
      </c>
      <c r="C752" s="116">
        <v>244.45</v>
      </c>
      <c r="D752" s="116">
        <v>243.6</v>
      </c>
      <c r="E752" s="116">
        <v>258</v>
      </c>
      <c r="F752" s="116">
        <v>244.45</v>
      </c>
      <c r="G752">
        <v>104424</v>
      </c>
      <c r="H752" s="116"/>
      <c r="I752" s="116"/>
      <c r="L752" s="165">
        <v>45699</v>
      </c>
      <c r="M752" s="116">
        <v>244.65</v>
      </c>
      <c r="N752" s="116">
        <v>259.45</v>
      </c>
      <c r="O752" s="116">
        <v>243.35</v>
      </c>
      <c r="P752" s="116">
        <v>258.05</v>
      </c>
      <c r="Q752" s="116">
        <v>244.65</v>
      </c>
      <c r="R752">
        <v>2923132</v>
      </c>
    </row>
    <row r="753" spans="1:18" x14ac:dyDescent="0.25">
      <c r="A753" s="165">
        <v>45700</v>
      </c>
      <c r="B753" s="116">
        <v>248.95</v>
      </c>
      <c r="C753" s="116">
        <v>240.3</v>
      </c>
      <c r="D753" s="116">
        <v>231.7</v>
      </c>
      <c r="E753" s="116">
        <v>248.95</v>
      </c>
      <c r="F753" s="116">
        <v>240.3</v>
      </c>
      <c r="G753">
        <v>124431</v>
      </c>
      <c r="H753" s="116"/>
      <c r="I753" s="116"/>
      <c r="L753" s="165">
        <v>45700</v>
      </c>
      <c r="M753" s="116">
        <v>240.25</v>
      </c>
      <c r="N753" s="116">
        <v>247.25</v>
      </c>
      <c r="O753" s="116">
        <v>231.55</v>
      </c>
      <c r="P753" s="116">
        <v>246.7</v>
      </c>
      <c r="Q753" s="116">
        <v>240.25</v>
      </c>
      <c r="R753">
        <v>2623532</v>
      </c>
    </row>
    <row r="754" spans="1:18" x14ac:dyDescent="0.25">
      <c r="A754" s="165">
        <v>45701</v>
      </c>
      <c r="B754" s="116">
        <v>251.4</v>
      </c>
      <c r="C754" s="116">
        <v>244.05</v>
      </c>
      <c r="D754" s="116">
        <v>239.1</v>
      </c>
      <c r="E754" s="116">
        <v>242</v>
      </c>
      <c r="F754" s="116">
        <v>244.05</v>
      </c>
      <c r="G754">
        <v>188657</v>
      </c>
      <c r="H754" s="116"/>
      <c r="I754" s="116"/>
      <c r="L754" s="165">
        <v>45701</v>
      </c>
      <c r="M754" s="116">
        <v>244.2</v>
      </c>
      <c r="N754" s="116">
        <v>251.45</v>
      </c>
      <c r="O754" s="116">
        <v>239.15</v>
      </c>
      <c r="P754" s="116">
        <v>241.05</v>
      </c>
      <c r="Q754" s="116">
        <v>244.2</v>
      </c>
      <c r="R754">
        <v>2738948</v>
      </c>
    </row>
    <row r="755" spans="1:18" x14ac:dyDescent="0.25">
      <c r="A755" s="165">
        <v>45702</v>
      </c>
      <c r="B755" s="116">
        <v>246.75</v>
      </c>
      <c r="C755" s="116">
        <v>236.4</v>
      </c>
      <c r="D755" s="116">
        <v>234.35</v>
      </c>
      <c r="E755" s="116">
        <v>245.5</v>
      </c>
      <c r="F755" s="116">
        <v>236.4</v>
      </c>
      <c r="G755">
        <v>269100</v>
      </c>
      <c r="H755" s="116"/>
      <c r="I755" s="116"/>
      <c r="L755" s="165">
        <v>45702</v>
      </c>
      <c r="M755" s="116">
        <v>236.45</v>
      </c>
      <c r="N755" s="116">
        <v>246.75</v>
      </c>
      <c r="O755" s="116">
        <v>233.45</v>
      </c>
      <c r="P755" s="116">
        <v>245.7</v>
      </c>
      <c r="Q755" s="116">
        <v>236.45</v>
      </c>
      <c r="R755">
        <v>1293322</v>
      </c>
    </row>
    <row r="756" spans="1:18" x14ac:dyDescent="0.25">
      <c r="A756" s="165">
        <v>45705</v>
      </c>
      <c r="B756" s="116">
        <v>239</v>
      </c>
      <c r="C756" s="116">
        <v>235.7</v>
      </c>
      <c r="D756" s="116">
        <v>231.55</v>
      </c>
      <c r="E756" s="116">
        <v>237</v>
      </c>
      <c r="F756" s="116">
        <v>235.7</v>
      </c>
      <c r="G756">
        <v>75608</v>
      </c>
      <c r="H756" s="116"/>
      <c r="I756" s="116"/>
      <c r="L756" s="165">
        <v>45705</v>
      </c>
      <c r="M756" s="116">
        <v>235.75</v>
      </c>
      <c r="N756" s="116">
        <v>239.1</v>
      </c>
      <c r="O756" s="116">
        <v>231.8</v>
      </c>
      <c r="P756" s="116">
        <v>236</v>
      </c>
      <c r="Q756" s="116">
        <v>235.75</v>
      </c>
      <c r="R756">
        <v>1353405</v>
      </c>
    </row>
    <row r="757" spans="1:18" x14ac:dyDescent="0.25">
      <c r="A757" s="165">
        <v>45706</v>
      </c>
      <c r="B757" s="116">
        <v>259</v>
      </c>
      <c r="C757" s="116">
        <v>256.35000000000002</v>
      </c>
      <c r="D757" s="116">
        <v>235.7</v>
      </c>
      <c r="E757" s="116">
        <v>236</v>
      </c>
      <c r="F757" s="116">
        <v>256.35000000000002</v>
      </c>
      <c r="G757">
        <v>216396</v>
      </c>
      <c r="H757" s="116"/>
      <c r="I757" s="116"/>
      <c r="L757" s="165">
        <v>45706</v>
      </c>
      <c r="M757" s="116">
        <v>256.25</v>
      </c>
      <c r="N757" s="116">
        <v>259</v>
      </c>
      <c r="O757" s="116">
        <v>235.65</v>
      </c>
      <c r="P757" s="116">
        <v>236</v>
      </c>
      <c r="Q757" s="116">
        <v>256.25</v>
      </c>
      <c r="R757">
        <v>6032589</v>
      </c>
    </row>
    <row r="758" spans="1:18" x14ac:dyDescent="0.25">
      <c r="A758" s="165">
        <v>45707</v>
      </c>
      <c r="B758" s="116">
        <v>260.7</v>
      </c>
      <c r="C758" s="116">
        <v>254.05</v>
      </c>
      <c r="D758" s="116">
        <v>250</v>
      </c>
      <c r="E758" s="116">
        <v>255.65</v>
      </c>
      <c r="F758" s="116">
        <v>254.05</v>
      </c>
      <c r="G758">
        <v>240585</v>
      </c>
      <c r="H758" s="116"/>
      <c r="I758" s="116"/>
      <c r="L758" s="165">
        <v>45707</v>
      </c>
      <c r="M758" s="116">
        <v>253.7</v>
      </c>
      <c r="N758" s="116">
        <v>260.55</v>
      </c>
      <c r="O758" s="116">
        <v>250.1</v>
      </c>
      <c r="P758" s="116">
        <v>254.7</v>
      </c>
      <c r="Q758" s="116">
        <v>253.7</v>
      </c>
      <c r="R758">
        <v>2172569</v>
      </c>
    </row>
    <row r="759" spans="1:18" x14ac:dyDescent="0.25">
      <c r="A759" s="165">
        <v>45708</v>
      </c>
      <c r="B759" s="116">
        <v>263.95</v>
      </c>
      <c r="C759" s="116">
        <v>262.89999999999998</v>
      </c>
      <c r="D759" s="116">
        <v>250</v>
      </c>
      <c r="E759" s="116">
        <v>250.55</v>
      </c>
      <c r="F759" s="116">
        <v>262.89999999999998</v>
      </c>
      <c r="G759">
        <v>188766</v>
      </c>
      <c r="H759" s="116"/>
      <c r="I759" s="116"/>
      <c r="L759" s="165">
        <v>45708</v>
      </c>
      <c r="M759" s="116">
        <v>263</v>
      </c>
      <c r="N759" s="116">
        <v>264</v>
      </c>
      <c r="O759" s="116">
        <v>250</v>
      </c>
      <c r="P759" s="116">
        <v>250.15</v>
      </c>
      <c r="Q759" s="116">
        <v>263</v>
      </c>
      <c r="R759">
        <v>1676625</v>
      </c>
    </row>
    <row r="760" spans="1:18" x14ac:dyDescent="0.25">
      <c r="A760" s="165">
        <v>45709</v>
      </c>
      <c r="B760" s="116">
        <v>264.45</v>
      </c>
      <c r="C760" s="116">
        <v>260.39999999999998</v>
      </c>
      <c r="D760" s="116">
        <v>257.89999999999998</v>
      </c>
      <c r="E760" s="116">
        <v>263.35000000000002</v>
      </c>
      <c r="F760" s="116">
        <v>260.39999999999998</v>
      </c>
      <c r="G760">
        <v>58018</v>
      </c>
      <c r="H760" s="116"/>
      <c r="I760" s="116"/>
      <c r="L760" s="165">
        <v>45709</v>
      </c>
      <c r="M760" s="116">
        <v>260.35000000000002</v>
      </c>
      <c r="N760" s="116">
        <v>264.35000000000002</v>
      </c>
      <c r="O760" s="116">
        <v>257.5</v>
      </c>
      <c r="P760" s="116">
        <v>263</v>
      </c>
      <c r="Q760" s="116">
        <v>260.35000000000002</v>
      </c>
      <c r="R760">
        <v>1000368</v>
      </c>
    </row>
    <row r="761" spans="1:18" x14ac:dyDescent="0.25">
      <c r="A761" s="165">
        <v>45712</v>
      </c>
      <c r="B761" s="116">
        <v>263.89999999999998</v>
      </c>
      <c r="C761" s="116">
        <v>262.95</v>
      </c>
      <c r="D761" s="116">
        <v>252.65</v>
      </c>
      <c r="E761" s="116">
        <v>255.2</v>
      </c>
      <c r="F761" s="116">
        <v>262.95</v>
      </c>
      <c r="G761">
        <v>147849</v>
      </c>
      <c r="H761" s="116"/>
      <c r="I761" s="116"/>
      <c r="L761" s="165">
        <v>45712</v>
      </c>
      <c r="M761" s="116">
        <v>263</v>
      </c>
      <c r="N761" s="116">
        <v>264</v>
      </c>
      <c r="O761" s="116">
        <v>252.65</v>
      </c>
      <c r="P761" s="116">
        <v>257.5</v>
      </c>
      <c r="Q761" s="116">
        <v>263</v>
      </c>
      <c r="R761">
        <v>1442637</v>
      </c>
    </row>
    <row r="762" spans="1:18" x14ac:dyDescent="0.25">
      <c r="A762" s="165">
        <v>45713</v>
      </c>
      <c r="B762" s="116">
        <v>264.14999999999998</v>
      </c>
      <c r="C762" s="116">
        <v>257.39999999999998</v>
      </c>
      <c r="D762" s="116">
        <v>255.55</v>
      </c>
      <c r="E762" s="116">
        <v>263.75</v>
      </c>
      <c r="F762" s="116">
        <v>257.39999999999998</v>
      </c>
      <c r="G762">
        <v>54399</v>
      </c>
      <c r="H762" s="116"/>
      <c r="I762" s="116"/>
      <c r="L762" s="165">
        <v>45713</v>
      </c>
      <c r="M762" s="116">
        <v>257.35000000000002</v>
      </c>
      <c r="N762" s="116">
        <v>264.39999999999998</v>
      </c>
      <c r="O762" s="116">
        <v>255.6</v>
      </c>
      <c r="P762" s="116">
        <v>263.39999999999998</v>
      </c>
      <c r="Q762" s="116">
        <v>257.35000000000002</v>
      </c>
      <c r="R762">
        <v>983434</v>
      </c>
    </row>
    <row r="763" spans="1:18" x14ac:dyDescent="0.25">
      <c r="A763" s="165">
        <v>45715</v>
      </c>
      <c r="B763" s="116">
        <v>259</v>
      </c>
      <c r="C763" s="116">
        <v>245.75</v>
      </c>
      <c r="D763" s="116">
        <v>243.85</v>
      </c>
      <c r="E763" s="116">
        <v>259</v>
      </c>
      <c r="F763" s="116">
        <v>245.75</v>
      </c>
      <c r="G763">
        <v>151428</v>
      </c>
      <c r="H763" s="116"/>
      <c r="I763" s="116"/>
      <c r="L763" s="165">
        <v>45715</v>
      </c>
      <c r="M763" s="116">
        <v>245.75</v>
      </c>
      <c r="N763" s="116">
        <v>259.10000000000002</v>
      </c>
      <c r="O763" s="116">
        <v>243.95</v>
      </c>
      <c r="P763" s="116">
        <v>259</v>
      </c>
      <c r="Q763" s="116">
        <v>245.75</v>
      </c>
      <c r="R763">
        <v>1464119</v>
      </c>
    </row>
    <row r="764" spans="1:18" x14ac:dyDescent="0.25">
      <c r="A764" s="165">
        <v>45716</v>
      </c>
      <c r="B764" s="116">
        <v>247.75</v>
      </c>
      <c r="C764" s="116">
        <v>246.45</v>
      </c>
      <c r="D764" s="116">
        <v>240</v>
      </c>
      <c r="E764" s="116">
        <v>247.75</v>
      </c>
      <c r="F764" s="116">
        <v>246.45</v>
      </c>
      <c r="G764">
        <v>176419</v>
      </c>
      <c r="H764" s="116"/>
      <c r="I764" s="116"/>
      <c r="L764" s="165">
        <v>45716</v>
      </c>
      <c r="M764" s="116">
        <v>246.15</v>
      </c>
      <c r="N764" s="116">
        <v>247.4</v>
      </c>
      <c r="O764" s="116">
        <v>240.15</v>
      </c>
      <c r="P764" s="116">
        <v>244.9</v>
      </c>
      <c r="Q764" s="116">
        <v>246.15</v>
      </c>
      <c r="R764">
        <v>2014703</v>
      </c>
    </row>
    <row r="765" spans="1:18" x14ac:dyDescent="0.25">
      <c r="A765" s="165">
        <v>45719</v>
      </c>
      <c r="B765" s="116">
        <v>250.7</v>
      </c>
      <c r="C765" s="116">
        <v>242.55</v>
      </c>
      <c r="D765" s="116">
        <v>233.75</v>
      </c>
      <c r="E765" s="116">
        <v>246</v>
      </c>
      <c r="F765" s="116">
        <v>242.55</v>
      </c>
      <c r="G765">
        <v>268546</v>
      </c>
      <c r="H765" s="116"/>
      <c r="I765" s="116"/>
      <c r="L765" s="165">
        <v>45719</v>
      </c>
      <c r="M765" s="116">
        <v>242.72</v>
      </c>
      <c r="N765" s="116">
        <v>250.68</v>
      </c>
      <c r="O765" s="116">
        <v>233.94</v>
      </c>
      <c r="P765" s="116">
        <v>246.3</v>
      </c>
      <c r="Q765" s="116">
        <v>242.72</v>
      </c>
      <c r="R765">
        <v>1876678</v>
      </c>
    </row>
    <row r="766" spans="1:18" x14ac:dyDescent="0.25">
      <c r="A766" s="165">
        <v>45720</v>
      </c>
      <c r="B766" s="116">
        <v>245.35</v>
      </c>
      <c r="C766" s="116">
        <v>239.8</v>
      </c>
      <c r="D766" s="116">
        <v>238</v>
      </c>
      <c r="E766" s="116">
        <v>242.05</v>
      </c>
      <c r="F766" s="116">
        <v>239.8</v>
      </c>
      <c r="G766">
        <v>80198</v>
      </c>
      <c r="H766" s="116"/>
      <c r="I766" s="116"/>
      <c r="L766" s="165">
        <v>45720</v>
      </c>
      <c r="M766" s="116">
        <v>239.87</v>
      </c>
      <c r="N766" s="116">
        <v>245.44</v>
      </c>
      <c r="O766" s="116">
        <v>237.84</v>
      </c>
      <c r="P766" s="116">
        <v>242.5</v>
      </c>
      <c r="Q766" s="116">
        <v>239.87</v>
      </c>
      <c r="R766">
        <v>1693378</v>
      </c>
    </row>
    <row r="767" spans="1:18" x14ac:dyDescent="0.25">
      <c r="A767" s="165">
        <v>45721</v>
      </c>
      <c r="B767" s="116">
        <v>260.85000000000002</v>
      </c>
      <c r="C767" s="116">
        <v>258.39999999999998</v>
      </c>
      <c r="D767" s="116">
        <v>245.05</v>
      </c>
      <c r="E767" s="116">
        <v>245.05</v>
      </c>
      <c r="F767" s="116">
        <v>258.39999999999998</v>
      </c>
      <c r="G767">
        <v>264481</v>
      </c>
      <c r="H767" s="116"/>
      <c r="I767" s="116"/>
      <c r="L767" s="165">
        <v>45721</v>
      </c>
      <c r="M767" s="116">
        <v>258.42</v>
      </c>
      <c r="N767" s="116">
        <v>260.89999999999998</v>
      </c>
      <c r="O767" s="116">
        <v>245.6</v>
      </c>
      <c r="P767" s="116">
        <v>245.6</v>
      </c>
      <c r="Q767" s="116">
        <v>258.42</v>
      </c>
      <c r="R767">
        <v>4698429</v>
      </c>
    </row>
    <row r="768" spans="1:18" x14ac:dyDescent="0.25">
      <c r="A768" s="165">
        <v>45722</v>
      </c>
      <c r="B768" s="116">
        <v>262.05</v>
      </c>
      <c r="C768" s="116">
        <v>258.75</v>
      </c>
      <c r="D768" s="116">
        <v>255.65</v>
      </c>
      <c r="E768" s="116">
        <v>261</v>
      </c>
      <c r="F768" s="116">
        <v>258.75</v>
      </c>
      <c r="G768">
        <v>114347</v>
      </c>
      <c r="H768" s="116"/>
      <c r="I768" s="116"/>
      <c r="L768" s="165">
        <v>45722</v>
      </c>
      <c r="M768" s="116">
        <v>258.63</v>
      </c>
      <c r="N768" s="116">
        <v>261.7</v>
      </c>
      <c r="O768" s="116">
        <v>255.65</v>
      </c>
      <c r="P768" s="116">
        <v>261</v>
      </c>
      <c r="Q768" s="116">
        <v>258.63</v>
      </c>
      <c r="R768">
        <v>1648512</v>
      </c>
    </row>
    <row r="769" spans="1:18" x14ac:dyDescent="0.25">
      <c r="A769" s="165">
        <v>45723</v>
      </c>
      <c r="B769" s="116">
        <v>263</v>
      </c>
      <c r="C769" s="116">
        <v>260.75</v>
      </c>
      <c r="D769" s="116">
        <v>257.95</v>
      </c>
      <c r="E769" s="116">
        <v>259.89999999999998</v>
      </c>
      <c r="F769" s="116">
        <v>260.75</v>
      </c>
      <c r="G769">
        <v>182188</v>
      </c>
      <c r="H769" s="116"/>
      <c r="I769" s="116"/>
      <c r="L769" s="165">
        <v>45723</v>
      </c>
      <c r="M769" s="116">
        <v>260.83999999999997</v>
      </c>
      <c r="N769" s="116">
        <v>263.2</v>
      </c>
      <c r="O769" s="116">
        <v>257.29000000000002</v>
      </c>
      <c r="P769" s="116">
        <v>258.63</v>
      </c>
      <c r="Q769" s="116">
        <v>260.83999999999997</v>
      </c>
      <c r="R769">
        <v>1348933</v>
      </c>
    </row>
    <row r="770" spans="1:18" x14ac:dyDescent="0.25">
      <c r="A770" s="165">
        <v>45726</v>
      </c>
      <c r="B770" s="116">
        <v>265</v>
      </c>
      <c r="C770" s="116">
        <v>252.2</v>
      </c>
      <c r="D770" s="116">
        <v>250.45</v>
      </c>
      <c r="E770" s="116">
        <v>262.8</v>
      </c>
      <c r="F770" s="116">
        <v>252.2</v>
      </c>
      <c r="G770">
        <v>138504</v>
      </c>
      <c r="H770" s="116"/>
      <c r="I770" s="116"/>
      <c r="L770" s="165">
        <v>45726</v>
      </c>
      <c r="M770" s="116">
        <v>252.42</v>
      </c>
      <c r="N770" s="116">
        <v>264.8</v>
      </c>
      <c r="O770" s="116">
        <v>250.61</v>
      </c>
      <c r="P770" s="116">
        <v>261.7</v>
      </c>
      <c r="Q770" s="116">
        <v>252.42</v>
      </c>
      <c r="R770">
        <v>1704806</v>
      </c>
    </row>
    <row r="771" spans="1:18" x14ac:dyDescent="0.25">
      <c r="A771" s="165">
        <v>45727</v>
      </c>
      <c r="B771" s="116">
        <v>257.14999999999998</v>
      </c>
      <c r="C771" s="116">
        <v>255.25</v>
      </c>
      <c r="D771" s="116">
        <v>248.65</v>
      </c>
      <c r="E771" s="116">
        <v>248.65</v>
      </c>
      <c r="F771" s="116">
        <v>255.25</v>
      </c>
      <c r="G771">
        <v>125597</v>
      </c>
      <c r="H771" s="116"/>
      <c r="I771" s="116"/>
      <c r="L771" s="165">
        <v>45727</v>
      </c>
      <c r="M771" s="116">
        <v>255</v>
      </c>
      <c r="N771" s="116">
        <v>258.7</v>
      </c>
      <c r="O771" s="116">
        <v>248.92</v>
      </c>
      <c r="P771" s="116">
        <v>249</v>
      </c>
      <c r="Q771" s="116">
        <v>255</v>
      </c>
      <c r="R771">
        <v>1939401</v>
      </c>
    </row>
    <row r="772" spans="1:18" x14ac:dyDescent="0.25">
      <c r="A772" s="165">
        <v>45728</v>
      </c>
      <c r="B772" s="116">
        <v>258.95</v>
      </c>
      <c r="C772" s="116">
        <v>250.4</v>
      </c>
      <c r="D772" s="116">
        <v>247.6</v>
      </c>
      <c r="E772" s="116">
        <v>258.14999999999998</v>
      </c>
      <c r="F772" s="116">
        <v>250.4</v>
      </c>
      <c r="G772">
        <v>153329</v>
      </c>
      <c r="H772" s="116"/>
      <c r="I772" s="116"/>
      <c r="L772" s="165">
        <v>45728</v>
      </c>
      <c r="M772" s="116">
        <v>250.28</v>
      </c>
      <c r="N772" s="116">
        <v>258.7</v>
      </c>
      <c r="O772" s="116">
        <v>247.5</v>
      </c>
      <c r="P772" s="116">
        <v>257.7</v>
      </c>
      <c r="Q772" s="116">
        <v>250.28</v>
      </c>
      <c r="R772">
        <v>1552392</v>
      </c>
    </row>
    <row r="773" spans="1:18" x14ac:dyDescent="0.25">
      <c r="A773" s="165">
        <v>45729</v>
      </c>
      <c r="B773" s="116">
        <v>252.55</v>
      </c>
      <c r="C773" s="116">
        <v>246.9</v>
      </c>
      <c r="D773" s="116">
        <v>245.45</v>
      </c>
      <c r="E773" s="116">
        <v>250.75</v>
      </c>
      <c r="F773" s="116">
        <v>246.9</v>
      </c>
      <c r="G773">
        <v>158136</v>
      </c>
      <c r="H773" s="116"/>
      <c r="I773" s="116"/>
      <c r="L773" s="165">
        <v>45729</v>
      </c>
      <c r="M773" s="116">
        <v>247.07</v>
      </c>
      <c r="N773" s="116">
        <v>252.63</v>
      </c>
      <c r="O773" s="116">
        <v>246</v>
      </c>
      <c r="P773" s="116">
        <v>251</v>
      </c>
      <c r="Q773" s="116">
        <v>247.07</v>
      </c>
      <c r="R773">
        <v>942694</v>
      </c>
    </row>
    <row r="774" spans="1:18" x14ac:dyDescent="0.25">
      <c r="A774" s="165">
        <v>45733</v>
      </c>
      <c r="B774" s="116">
        <v>249.95</v>
      </c>
      <c r="C774" s="116">
        <v>245.25</v>
      </c>
      <c r="D774" s="116">
        <v>244.5</v>
      </c>
      <c r="E774" s="116">
        <v>247.25</v>
      </c>
      <c r="F774" s="116">
        <v>245.25</v>
      </c>
      <c r="G774">
        <v>142666</v>
      </c>
      <c r="H774" s="116"/>
      <c r="I774" s="116"/>
      <c r="L774" s="165">
        <v>45733</v>
      </c>
      <c r="M774" s="116">
        <v>245.36</v>
      </c>
      <c r="N774" s="116">
        <v>250</v>
      </c>
      <c r="O774" s="116">
        <v>244.5</v>
      </c>
      <c r="P774" s="116">
        <v>247.26</v>
      </c>
      <c r="Q774" s="116">
        <v>245.36</v>
      </c>
      <c r="R774">
        <v>1577992</v>
      </c>
    </row>
    <row r="775" spans="1:18" x14ac:dyDescent="0.25">
      <c r="A775" s="165">
        <v>45734</v>
      </c>
      <c r="B775" s="116">
        <v>249.6</v>
      </c>
      <c r="C775" s="116">
        <v>248.3</v>
      </c>
      <c r="D775" s="116">
        <v>245.8</v>
      </c>
      <c r="E775" s="116">
        <v>247.65</v>
      </c>
      <c r="F775" s="116">
        <v>248.3</v>
      </c>
      <c r="G775">
        <v>81006</v>
      </c>
      <c r="H775" s="116"/>
      <c r="I775" s="116"/>
      <c r="L775" s="165">
        <v>45734</v>
      </c>
      <c r="M775" s="116">
        <v>248.13</v>
      </c>
      <c r="N775" s="116">
        <v>249.55</v>
      </c>
      <c r="O775" s="116">
        <v>246</v>
      </c>
      <c r="P775" s="116">
        <v>248</v>
      </c>
      <c r="Q775" s="116">
        <v>248.13</v>
      </c>
      <c r="R775">
        <v>1110693</v>
      </c>
    </row>
    <row r="776" spans="1:18" x14ac:dyDescent="0.25">
      <c r="A776" s="165">
        <v>45735</v>
      </c>
      <c r="B776" s="116">
        <v>256</v>
      </c>
      <c r="C776" s="116">
        <v>255.05</v>
      </c>
      <c r="D776" s="116">
        <v>250</v>
      </c>
      <c r="E776" s="116">
        <v>250.85</v>
      </c>
      <c r="F776" s="116">
        <v>255.05</v>
      </c>
      <c r="G776">
        <v>229105</v>
      </c>
      <c r="H776" s="116"/>
      <c r="I776" s="116"/>
      <c r="L776" s="165">
        <v>45735</v>
      </c>
      <c r="M776" s="116">
        <v>255.1</v>
      </c>
      <c r="N776" s="116">
        <v>256.2</v>
      </c>
      <c r="O776" s="116">
        <v>249.5</v>
      </c>
      <c r="P776" s="116">
        <v>250</v>
      </c>
      <c r="Q776" s="116">
        <v>255.1</v>
      </c>
      <c r="R776">
        <v>1733594</v>
      </c>
    </row>
    <row r="777" spans="1:18" x14ac:dyDescent="0.25">
      <c r="A777" s="165">
        <v>45736</v>
      </c>
      <c r="B777" s="116">
        <v>261</v>
      </c>
      <c r="C777" s="116">
        <v>254.6</v>
      </c>
      <c r="D777" s="116">
        <v>253.55</v>
      </c>
      <c r="E777" s="116">
        <v>256.5</v>
      </c>
      <c r="F777" s="116">
        <v>254.6</v>
      </c>
      <c r="G777">
        <v>95451</v>
      </c>
      <c r="H777" s="116"/>
      <c r="I777" s="116"/>
      <c r="L777" s="165">
        <v>45736</v>
      </c>
      <c r="M777" s="116">
        <v>254.88</v>
      </c>
      <c r="N777" s="116">
        <v>261.05</v>
      </c>
      <c r="O777" s="116">
        <v>253.5</v>
      </c>
      <c r="P777" s="116">
        <v>257.7</v>
      </c>
      <c r="Q777" s="116">
        <v>254.88</v>
      </c>
      <c r="R777">
        <v>1914761</v>
      </c>
    </row>
    <row r="778" spans="1:18" x14ac:dyDescent="0.25">
      <c r="A778" s="165">
        <v>45737</v>
      </c>
      <c r="B778" s="116">
        <v>266.7</v>
      </c>
      <c r="C778" s="116">
        <v>265.39999999999998</v>
      </c>
      <c r="D778" s="116">
        <v>254.6</v>
      </c>
      <c r="E778" s="116">
        <v>254.6</v>
      </c>
      <c r="F778" s="116">
        <v>265.39999999999998</v>
      </c>
      <c r="G778">
        <v>157552</v>
      </c>
      <c r="H778" s="116"/>
      <c r="I778" s="116"/>
      <c r="L778" s="165">
        <v>45737</v>
      </c>
      <c r="M778" s="116">
        <v>265.25</v>
      </c>
      <c r="N778" s="116">
        <v>266.7</v>
      </c>
      <c r="O778" s="116">
        <v>254.54</v>
      </c>
      <c r="P778" s="116">
        <v>254.88</v>
      </c>
      <c r="Q778" s="116">
        <v>265.25</v>
      </c>
      <c r="R778">
        <v>2999650</v>
      </c>
    </row>
    <row r="779" spans="1:18" x14ac:dyDescent="0.25">
      <c r="A779" s="165">
        <v>45740</v>
      </c>
      <c r="B779" s="116">
        <v>271.64999999999998</v>
      </c>
      <c r="C779" s="116">
        <v>261.75</v>
      </c>
      <c r="D779" s="116">
        <v>260.85000000000002</v>
      </c>
      <c r="E779" s="116">
        <v>268</v>
      </c>
      <c r="F779" s="116">
        <v>261.75</v>
      </c>
      <c r="G779">
        <v>224670</v>
      </c>
      <c r="H779" s="116"/>
      <c r="I779" s="116"/>
      <c r="L779" s="165">
        <v>45740</v>
      </c>
      <c r="M779" s="116">
        <v>261.75</v>
      </c>
      <c r="N779" s="116">
        <v>270.13</v>
      </c>
      <c r="O779" s="116">
        <v>261</v>
      </c>
      <c r="P779" s="116">
        <v>267.7</v>
      </c>
      <c r="Q779" s="116">
        <v>261.75</v>
      </c>
      <c r="R779">
        <v>1896034</v>
      </c>
    </row>
    <row r="780" spans="1:18" x14ac:dyDescent="0.25">
      <c r="A780" s="165">
        <v>45741</v>
      </c>
      <c r="B780" s="116">
        <v>264.75</v>
      </c>
      <c r="C780" s="116">
        <v>259.3</v>
      </c>
      <c r="D780" s="116">
        <v>254.1</v>
      </c>
      <c r="E780" s="116">
        <v>264.25</v>
      </c>
      <c r="F780" s="116">
        <v>259.3</v>
      </c>
      <c r="G780">
        <v>310773</v>
      </c>
      <c r="H780" s="116"/>
      <c r="I780" s="116"/>
      <c r="L780" s="165">
        <v>45741</v>
      </c>
      <c r="M780" s="116">
        <v>259.55</v>
      </c>
      <c r="N780" s="116">
        <v>264.89</v>
      </c>
      <c r="O780" s="116">
        <v>254.1</v>
      </c>
      <c r="P780" s="116">
        <v>264.74</v>
      </c>
      <c r="Q780" s="116">
        <v>259.55</v>
      </c>
      <c r="R780">
        <v>2435621</v>
      </c>
    </row>
    <row r="781" spans="1:18" x14ac:dyDescent="0.25">
      <c r="A781" s="165">
        <v>45742</v>
      </c>
      <c r="B781" s="116">
        <v>261.25</v>
      </c>
      <c r="C781" s="116">
        <v>250.85</v>
      </c>
      <c r="D781" s="116">
        <v>249.8</v>
      </c>
      <c r="E781" s="116">
        <v>260.05</v>
      </c>
      <c r="F781" s="116">
        <v>250.85</v>
      </c>
      <c r="G781">
        <v>112877</v>
      </c>
      <c r="H781" s="116"/>
      <c r="I781" s="116"/>
      <c r="L781" s="165">
        <v>45742</v>
      </c>
      <c r="M781" s="116">
        <v>250.81</v>
      </c>
      <c r="N781" s="116">
        <v>262.39999999999998</v>
      </c>
      <c r="O781" s="116">
        <v>250</v>
      </c>
      <c r="P781" s="116">
        <v>260</v>
      </c>
      <c r="Q781" s="116">
        <v>250.81</v>
      </c>
      <c r="R781">
        <v>2048951</v>
      </c>
    </row>
    <row r="782" spans="1:18" x14ac:dyDescent="0.25">
      <c r="A782" s="165">
        <v>45743</v>
      </c>
      <c r="B782" s="116">
        <v>258</v>
      </c>
      <c r="C782" s="116">
        <v>255.5</v>
      </c>
      <c r="D782" s="116">
        <v>248.05</v>
      </c>
      <c r="E782" s="116">
        <v>250.85</v>
      </c>
      <c r="F782" s="116">
        <v>255.5</v>
      </c>
      <c r="G782">
        <v>473695</v>
      </c>
      <c r="H782" s="116"/>
      <c r="I782" s="116"/>
      <c r="L782" s="165">
        <v>45743</v>
      </c>
      <c r="M782" s="116">
        <v>255.99</v>
      </c>
      <c r="N782" s="116">
        <v>258</v>
      </c>
      <c r="O782" s="116">
        <v>248.28</v>
      </c>
      <c r="P782" s="116">
        <v>250.68</v>
      </c>
      <c r="Q782" s="116">
        <v>255.99</v>
      </c>
      <c r="R782">
        <v>3491989</v>
      </c>
    </row>
    <row r="783" spans="1:18" x14ac:dyDescent="0.25">
      <c r="A783" s="165">
        <v>45744</v>
      </c>
      <c r="B783" s="116">
        <v>261.89999999999998</v>
      </c>
      <c r="C783" s="116">
        <v>258.25</v>
      </c>
      <c r="D783" s="116">
        <v>254.75</v>
      </c>
      <c r="E783" s="116">
        <v>256.3</v>
      </c>
      <c r="F783" s="116">
        <v>258.25</v>
      </c>
      <c r="G783">
        <v>140823</v>
      </c>
      <c r="H783" s="116"/>
      <c r="I783" s="116"/>
      <c r="L783" s="165">
        <v>45744</v>
      </c>
      <c r="M783" s="116">
        <v>258.32</v>
      </c>
      <c r="N783" s="116">
        <v>261.99</v>
      </c>
      <c r="O783" s="116">
        <v>255</v>
      </c>
      <c r="P783" s="116">
        <v>256</v>
      </c>
      <c r="Q783" s="116">
        <v>258.32</v>
      </c>
      <c r="R783">
        <v>2878108</v>
      </c>
    </row>
    <row r="784" spans="1:18" x14ac:dyDescent="0.25">
      <c r="A784" s="165">
        <v>45748</v>
      </c>
      <c r="B784" s="116">
        <v>269.95</v>
      </c>
      <c r="C784" s="116">
        <v>265.5</v>
      </c>
      <c r="D784" s="116">
        <v>257.25</v>
      </c>
      <c r="E784" s="116">
        <v>257.55</v>
      </c>
      <c r="F784" s="116">
        <v>265.5</v>
      </c>
      <c r="G784">
        <v>110394</v>
      </c>
      <c r="H784" s="116"/>
      <c r="I784" s="116"/>
      <c r="L784" s="165">
        <v>45748</v>
      </c>
      <c r="M784" s="116">
        <v>265.5</v>
      </c>
      <c r="N784" s="116">
        <v>269.89999999999998</v>
      </c>
      <c r="O784" s="116">
        <v>257.2</v>
      </c>
      <c r="P784" s="116">
        <v>258</v>
      </c>
      <c r="Q784" s="116">
        <v>265.5</v>
      </c>
      <c r="R784">
        <v>2571238</v>
      </c>
    </row>
    <row r="785" spans="1:18" x14ac:dyDescent="0.25">
      <c r="A785" s="165">
        <v>45749</v>
      </c>
      <c r="B785" s="116">
        <v>268.2</v>
      </c>
      <c r="C785" s="116">
        <v>267.45</v>
      </c>
      <c r="D785" s="116">
        <v>259.35000000000002</v>
      </c>
      <c r="E785" s="116">
        <v>262</v>
      </c>
      <c r="F785" s="116">
        <v>267.45</v>
      </c>
      <c r="G785">
        <v>121080</v>
      </c>
      <c r="H785" s="116"/>
      <c r="I785" s="116"/>
      <c r="L785" s="165">
        <v>45749</v>
      </c>
      <c r="M785" s="116">
        <v>267.5</v>
      </c>
      <c r="N785" s="116">
        <v>268.5</v>
      </c>
      <c r="O785" s="116">
        <v>259.5</v>
      </c>
      <c r="P785" s="116">
        <v>265.5</v>
      </c>
      <c r="Q785" s="116">
        <v>267.5</v>
      </c>
      <c r="R785">
        <v>1280240</v>
      </c>
    </row>
    <row r="786" spans="1:18" x14ac:dyDescent="0.25">
      <c r="A786" s="165">
        <v>45750</v>
      </c>
      <c r="B786" s="116">
        <v>271.45</v>
      </c>
      <c r="C786" s="116">
        <v>270.7</v>
      </c>
      <c r="D786" s="116">
        <v>263</v>
      </c>
      <c r="E786" s="116">
        <v>264.75</v>
      </c>
      <c r="F786" s="116">
        <v>270.7</v>
      </c>
      <c r="G786">
        <v>56744</v>
      </c>
      <c r="H786" s="116"/>
      <c r="I786" s="116"/>
      <c r="L786" s="165">
        <v>45750</v>
      </c>
      <c r="M786" s="116">
        <v>270.35000000000002</v>
      </c>
      <c r="N786" s="116">
        <v>271.35000000000002</v>
      </c>
      <c r="O786" s="116">
        <v>263.14999999999998</v>
      </c>
      <c r="P786" s="116">
        <v>263.7</v>
      </c>
      <c r="Q786" s="116">
        <v>270.35000000000002</v>
      </c>
      <c r="R786">
        <v>1461193</v>
      </c>
    </row>
    <row r="787" spans="1:18" x14ac:dyDescent="0.25">
      <c r="A787" s="165">
        <v>45751</v>
      </c>
      <c r="B787" s="116">
        <v>274.45</v>
      </c>
      <c r="C787" s="116">
        <v>266.2</v>
      </c>
      <c r="D787" s="116">
        <v>263</v>
      </c>
      <c r="E787" s="116">
        <v>272.60000000000002</v>
      </c>
      <c r="F787" s="116">
        <v>266.2</v>
      </c>
      <c r="G787">
        <v>211491</v>
      </c>
      <c r="H787" s="116"/>
      <c r="I787" s="116"/>
      <c r="L787" s="165">
        <v>45751</v>
      </c>
      <c r="M787" s="116">
        <v>266.14999999999998</v>
      </c>
      <c r="N787" s="116">
        <v>274.35000000000002</v>
      </c>
      <c r="O787" s="116">
        <v>262.75</v>
      </c>
      <c r="P787" s="116">
        <v>272.25</v>
      </c>
      <c r="Q787" s="116">
        <v>266.14999999999998</v>
      </c>
      <c r="R787">
        <v>2039939</v>
      </c>
    </row>
    <row r="788" spans="1:18" x14ac:dyDescent="0.25">
      <c r="A788" s="165">
        <v>45754</v>
      </c>
      <c r="B788" s="116">
        <v>271.35000000000002</v>
      </c>
      <c r="C788" s="116">
        <v>269.85000000000002</v>
      </c>
      <c r="D788" s="116">
        <v>245.05</v>
      </c>
      <c r="E788" s="116">
        <v>245.05</v>
      </c>
      <c r="F788" s="116">
        <v>269.85000000000002</v>
      </c>
      <c r="G788">
        <v>443948</v>
      </c>
      <c r="H788" s="116"/>
      <c r="I788" s="116"/>
      <c r="L788" s="165">
        <v>45754</v>
      </c>
      <c r="M788" s="116">
        <v>269.75</v>
      </c>
      <c r="N788" s="116">
        <v>271.39999999999998</v>
      </c>
      <c r="O788" s="116">
        <v>246.15</v>
      </c>
      <c r="P788" s="116">
        <v>250</v>
      </c>
      <c r="Q788" s="116">
        <v>269.75</v>
      </c>
      <c r="R788">
        <v>3240382</v>
      </c>
    </row>
    <row r="789" spans="1:18" x14ac:dyDescent="0.25">
      <c r="A789" s="165">
        <v>45755</v>
      </c>
      <c r="B789" s="116">
        <v>277</v>
      </c>
      <c r="C789" s="116">
        <v>275.89999999999998</v>
      </c>
      <c r="D789" s="116">
        <v>270.45</v>
      </c>
      <c r="E789" s="116">
        <v>272.60000000000002</v>
      </c>
      <c r="F789" s="116">
        <v>275.89999999999998</v>
      </c>
      <c r="G789">
        <v>307018</v>
      </c>
      <c r="H789" s="116"/>
      <c r="I789" s="116"/>
      <c r="L789" s="165">
        <v>45755</v>
      </c>
      <c r="M789" s="116">
        <v>275.45</v>
      </c>
      <c r="N789" s="116">
        <v>277.25</v>
      </c>
      <c r="O789" s="116">
        <v>270.39999999999998</v>
      </c>
      <c r="P789" s="116">
        <v>273</v>
      </c>
      <c r="Q789" s="116">
        <v>275.45</v>
      </c>
      <c r="R789">
        <v>3005106</v>
      </c>
    </row>
    <row r="790" spans="1:18" x14ac:dyDescent="0.25">
      <c r="A790" s="165">
        <v>45756</v>
      </c>
      <c r="B790" s="116">
        <v>276</v>
      </c>
      <c r="C790" s="116">
        <v>271.64999999999998</v>
      </c>
      <c r="D790" s="116">
        <v>270.95</v>
      </c>
      <c r="E790" s="116">
        <v>275.2</v>
      </c>
      <c r="F790" s="116">
        <v>271.64999999999998</v>
      </c>
      <c r="G790">
        <v>132763</v>
      </c>
      <c r="H790" s="116"/>
      <c r="I790" s="116"/>
      <c r="L790" s="165">
        <v>45756</v>
      </c>
      <c r="M790" s="116">
        <v>271.7</v>
      </c>
      <c r="N790" s="116">
        <v>276</v>
      </c>
      <c r="O790" s="116">
        <v>270.75</v>
      </c>
      <c r="P790" s="116">
        <v>276</v>
      </c>
      <c r="Q790" s="116">
        <v>271.7</v>
      </c>
      <c r="R790">
        <v>933340</v>
      </c>
    </row>
    <row r="791" spans="1:18" x14ac:dyDescent="0.25">
      <c r="A791" s="165">
        <v>45758</v>
      </c>
      <c r="B791" s="116">
        <v>279.7</v>
      </c>
      <c r="C791" s="116">
        <v>272.45</v>
      </c>
      <c r="D791" s="116">
        <v>271.60000000000002</v>
      </c>
      <c r="E791" s="116">
        <v>275</v>
      </c>
      <c r="F791" s="116">
        <v>272.45</v>
      </c>
      <c r="G791">
        <v>77367</v>
      </c>
      <c r="H791" s="116"/>
      <c r="I791" s="116"/>
      <c r="L791" s="165">
        <v>45758</v>
      </c>
      <c r="M791" s="116">
        <v>272.55</v>
      </c>
      <c r="N791" s="116">
        <v>279.7</v>
      </c>
      <c r="O791" s="116">
        <v>271.3</v>
      </c>
      <c r="P791" s="116">
        <v>275</v>
      </c>
      <c r="Q791" s="116">
        <v>272.55</v>
      </c>
      <c r="R791">
        <v>1553155</v>
      </c>
    </row>
    <row r="792" spans="1:18" x14ac:dyDescent="0.25">
      <c r="A792" s="165">
        <v>45762</v>
      </c>
      <c r="B792" s="116">
        <v>284.45</v>
      </c>
      <c r="C792" s="116">
        <v>280.5</v>
      </c>
      <c r="D792" s="116">
        <v>275</v>
      </c>
      <c r="E792" s="116">
        <v>277.45</v>
      </c>
      <c r="F792" s="116">
        <v>280.5</v>
      </c>
      <c r="G792">
        <v>111022</v>
      </c>
      <c r="H792" s="116"/>
      <c r="I792" s="116"/>
      <c r="L792" s="165">
        <v>45762</v>
      </c>
      <c r="M792" s="116">
        <v>280.25</v>
      </c>
      <c r="N792" s="116">
        <v>284.5</v>
      </c>
      <c r="O792" s="116">
        <v>274.5</v>
      </c>
      <c r="P792" s="116">
        <v>275.7</v>
      </c>
      <c r="Q792" s="116">
        <v>280.25</v>
      </c>
      <c r="R792">
        <v>3379856</v>
      </c>
    </row>
    <row r="793" spans="1:18" x14ac:dyDescent="0.25">
      <c r="A793" s="165">
        <v>45763</v>
      </c>
      <c r="B793" s="116">
        <v>285.05</v>
      </c>
      <c r="C793" s="116">
        <v>283.05</v>
      </c>
      <c r="D793" s="116">
        <v>280</v>
      </c>
      <c r="E793" s="116">
        <v>282</v>
      </c>
      <c r="F793" s="116">
        <v>283.05</v>
      </c>
      <c r="G793">
        <v>115075</v>
      </c>
      <c r="H793" s="116"/>
      <c r="I793" s="116"/>
      <c r="L793" s="165">
        <v>45763</v>
      </c>
      <c r="M793" s="116">
        <v>283.05</v>
      </c>
      <c r="N793" s="116">
        <v>285.2</v>
      </c>
      <c r="O793" s="116">
        <v>280</v>
      </c>
      <c r="P793" s="116">
        <v>282.85000000000002</v>
      </c>
      <c r="Q793" s="116">
        <v>283.05</v>
      </c>
      <c r="R793">
        <v>1581195</v>
      </c>
    </row>
    <row r="794" spans="1:18" x14ac:dyDescent="0.25">
      <c r="A794" s="165">
        <v>45764</v>
      </c>
      <c r="B794" s="116">
        <v>287.2</v>
      </c>
      <c r="C794" s="116">
        <v>284.05</v>
      </c>
      <c r="D794" s="116">
        <v>281</v>
      </c>
      <c r="E794" s="116">
        <v>282.75</v>
      </c>
      <c r="F794" s="116">
        <v>284.05</v>
      </c>
      <c r="G794">
        <v>212319</v>
      </c>
      <c r="H794" s="116"/>
      <c r="I794" s="116"/>
      <c r="L794" s="165">
        <v>45764</v>
      </c>
      <c r="M794" s="116">
        <v>284.45</v>
      </c>
      <c r="N794" s="116">
        <v>287.35000000000002</v>
      </c>
      <c r="O794" s="116">
        <v>281.14999999999998</v>
      </c>
      <c r="P794" s="116">
        <v>283.2</v>
      </c>
      <c r="Q794" s="116">
        <v>284.45</v>
      </c>
      <c r="R794">
        <v>1999708</v>
      </c>
    </row>
    <row r="795" spans="1:18" x14ac:dyDescent="0.25">
      <c r="A795" s="165">
        <v>45768</v>
      </c>
      <c r="B795" s="116">
        <v>291.25</v>
      </c>
      <c r="C795" s="116">
        <v>285.10000000000002</v>
      </c>
      <c r="D795" s="116">
        <v>282</v>
      </c>
      <c r="E795" s="116">
        <v>284.8</v>
      </c>
      <c r="F795" s="116">
        <v>285.10000000000002</v>
      </c>
      <c r="G795">
        <v>104046</v>
      </c>
      <c r="H795" s="116"/>
      <c r="I795" s="116"/>
      <c r="L795" s="165">
        <v>45768</v>
      </c>
      <c r="M795" s="116">
        <v>285.35000000000002</v>
      </c>
      <c r="N795" s="116">
        <v>291.2</v>
      </c>
      <c r="O795" s="116">
        <v>281.75</v>
      </c>
      <c r="P795" s="116">
        <v>284.45</v>
      </c>
      <c r="Q795" s="116">
        <v>285.35000000000002</v>
      </c>
      <c r="R795">
        <v>2188740</v>
      </c>
    </row>
    <row r="796" spans="1:18" x14ac:dyDescent="0.25">
      <c r="A796" s="165">
        <v>45769</v>
      </c>
      <c r="B796" s="116">
        <v>289.05</v>
      </c>
      <c r="C796" s="116">
        <v>283.55</v>
      </c>
      <c r="D796" s="116">
        <v>283.10000000000002</v>
      </c>
      <c r="E796" s="116">
        <v>285.35000000000002</v>
      </c>
      <c r="F796" s="116">
        <v>283.55</v>
      </c>
      <c r="G796">
        <v>57197</v>
      </c>
      <c r="H796" s="116"/>
      <c r="I796" s="116"/>
      <c r="L796" s="165">
        <v>45769</v>
      </c>
      <c r="M796" s="116">
        <v>283.60000000000002</v>
      </c>
      <c r="N796" s="116">
        <v>289.3</v>
      </c>
      <c r="O796" s="116">
        <v>283.10000000000002</v>
      </c>
      <c r="P796" s="116">
        <v>285.5</v>
      </c>
      <c r="Q796" s="116">
        <v>283.60000000000002</v>
      </c>
      <c r="R796">
        <v>1170170</v>
      </c>
    </row>
    <row r="797" spans="1:18" x14ac:dyDescent="0.25">
      <c r="A797" s="165">
        <v>45770</v>
      </c>
      <c r="B797" s="116">
        <v>285.64999999999998</v>
      </c>
      <c r="C797" s="116">
        <v>283.89999999999998</v>
      </c>
      <c r="D797" s="116">
        <v>278.45</v>
      </c>
      <c r="E797" s="116">
        <v>285.64999999999998</v>
      </c>
      <c r="F797" s="116">
        <v>283.89999999999998</v>
      </c>
      <c r="G797">
        <v>41599</v>
      </c>
      <c r="H797" s="116"/>
      <c r="I797" s="116"/>
      <c r="L797" s="165">
        <v>45770</v>
      </c>
      <c r="M797" s="116">
        <v>283.89999999999998</v>
      </c>
      <c r="N797" s="116">
        <v>285.89999999999998</v>
      </c>
      <c r="O797" s="116">
        <v>278.35000000000002</v>
      </c>
      <c r="P797" s="116">
        <v>285.05</v>
      </c>
      <c r="Q797" s="116">
        <v>283.89999999999998</v>
      </c>
      <c r="R797">
        <v>1216106</v>
      </c>
    </row>
    <row r="798" spans="1:18" x14ac:dyDescent="0.25">
      <c r="A798" s="165">
        <v>45771</v>
      </c>
      <c r="B798" s="116">
        <v>286.39999999999998</v>
      </c>
      <c r="C798" s="116">
        <v>283.2</v>
      </c>
      <c r="D798" s="116">
        <v>282</v>
      </c>
      <c r="E798" s="116">
        <v>283.64999999999998</v>
      </c>
      <c r="F798" s="116">
        <v>283.2</v>
      </c>
      <c r="G798">
        <v>121598</v>
      </c>
      <c r="H798" s="116"/>
      <c r="I798" s="116"/>
      <c r="L798" s="165">
        <v>45771</v>
      </c>
      <c r="M798" s="116">
        <v>283.35000000000002</v>
      </c>
      <c r="N798" s="116">
        <v>286.3</v>
      </c>
      <c r="O798" s="116">
        <v>282.10000000000002</v>
      </c>
      <c r="P798" s="116">
        <v>282.10000000000002</v>
      </c>
      <c r="Q798" s="116">
        <v>283.35000000000002</v>
      </c>
      <c r="R798">
        <v>857186</v>
      </c>
    </row>
    <row r="799" spans="1:18" x14ac:dyDescent="0.25">
      <c r="A799" s="165">
        <v>45772</v>
      </c>
      <c r="B799" s="116">
        <v>284.14999999999998</v>
      </c>
      <c r="C799" s="116">
        <v>273.64999999999998</v>
      </c>
      <c r="D799" s="116">
        <v>270.85000000000002</v>
      </c>
      <c r="E799" s="116">
        <v>283.25</v>
      </c>
      <c r="F799" s="116">
        <v>273.64999999999998</v>
      </c>
      <c r="G799">
        <v>82806</v>
      </c>
      <c r="H799" s="116"/>
      <c r="I799" s="116"/>
      <c r="L799" s="165">
        <v>45772</v>
      </c>
      <c r="M799" s="116">
        <v>273.95</v>
      </c>
      <c r="N799" s="116">
        <v>284.45</v>
      </c>
      <c r="O799" s="116">
        <v>270.89999999999998</v>
      </c>
      <c r="P799" s="116">
        <v>284.45</v>
      </c>
      <c r="Q799" s="116">
        <v>273.95</v>
      </c>
      <c r="R799">
        <v>1505433</v>
      </c>
    </row>
    <row r="800" spans="1:18" x14ac:dyDescent="0.25">
      <c r="A800" s="165">
        <v>45775</v>
      </c>
      <c r="B800" s="116">
        <v>287</v>
      </c>
      <c r="C800" s="116">
        <v>279.10000000000002</v>
      </c>
      <c r="D800" s="116">
        <v>271.8</v>
      </c>
      <c r="E800" s="116">
        <v>273.64999999999998</v>
      </c>
      <c r="F800" s="116">
        <v>279.10000000000002</v>
      </c>
      <c r="G800">
        <v>88159</v>
      </c>
      <c r="H800" s="116"/>
      <c r="I800" s="116"/>
      <c r="L800" s="165">
        <v>45775</v>
      </c>
      <c r="M800" s="116">
        <v>279.25</v>
      </c>
      <c r="N800" s="116">
        <v>287</v>
      </c>
      <c r="O800" s="116">
        <v>271</v>
      </c>
      <c r="P800" s="116">
        <v>273.75</v>
      </c>
      <c r="Q800" s="116">
        <v>279.25</v>
      </c>
      <c r="R800">
        <v>2516895</v>
      </c>
    </row>
    <row r="801" spans="1:18" x14ac:dyDescent="0.25">
      <c r="A801" s="165">
        <v>45776</v>
      </c>
      <c r="B801" s="116">
        <v>276.95</v>
      </c>
      <c r="C801" s="116">
        <v>267.89999999999998</v>
      </c>
      <c r="D801" s="116">
        <v>261.45</v>
      </c>
      <c r="E801" s="116">
        <v>276.64999999999998</v>
      </c>
      <c r="F801" s="116">
        <v>267.89999999999998</v>
      </c>
      <c r="G801">
        <v>177085</v>
      </c>
      <c r="H801" s="116"/>
      <c r="I801" s="116"/>
      <c r="L801" s="165">
        <v>45776</v>
      </c>
      <c r="M801" s="116">
        <v>267.89999999999998</v>
      </c>
      <c r="N801" s="116">
        <v>277</v>
      </c>
      <c r="O801" s="116">
        <v>261.10000000000002</v>
      </c>
      <c r="P801" s="116">
        <v>275</v>
      </c>
      <c r="Q801" s="116">
        <v>267.89999999999998</v>
      </c>
      <c r="R801">
        <v>5928772</v>
      </c>
    </row>
    <row r="802" spans="1:18" x14ac:dyDescent="0.25">
      <c r="A802" s="165">
        <v>45777</v>
      </c>
      <c r="B802" s="116">
        <v>269.75</v>
      </c>
      <c r="C802" s="116">
        <v>267</v>
      </c>
      <c r="D802" s="116">
        <v>263.64999999999998</v>
      </c>
      <c r="E802" s="116">
        <v>268.10000000000002</v>
      </c>
      <c r="F802" s="116">
        <v>267</v>
      </c>
      <c r="G802">
        <v>201359</v>
      </c>
      <c r="H802" s="116"/>
      <c r="I802" s="116"/>
      <c r="L802" s="165">
        <v>45777</v>
      </c>
      <c r="M802" s="116">
        <v>267.05</v>
      </c>
      <c r="N802" s="116">
        <v>269.7</v>
      </c>
      <c r="O802" s="116">
        <v>263.60000000000002</v>
      </c>
      <c r="P802" s="116">
        <v>268.7</v>
      </c>
      <c r="Q802" s="116">
        <v>267.05</v>
      </c>
      <c r="R802">
        <v>1873412</v>
      </c>
    </row>
    <row r="803" spans="1:18" x14ac:dyDescent="0.25">
      <c r="A803" s="165">
        <v>45779</v>
      </c>
      <c r="B803" s="116">
        <v>272.5</v>
      </c>
      <c r="C803" s="116">
        <v>268.60000000000002</v>
      </c>
      <c r="D803" s="116">
        <v>265.5</v>
      </c>
      <c r="E803" s="116">
        <v>265.55</v>
      </c>
      <c r="F803" s="116">
        <v>268.60000000000002</v>
      </c>
      <c r="G803">
        <v>87057</v>
      </c>
      <c r="H803" s="116"/>
      <c r="I803" s="116"/>
      <c r="L803" s="165">
        <v>45779</v>
      </c>
      <c r="M803" s="116">
        <v>268.89999999999998</v>
      </c>
      <c r="N803" s="116">
        <v>272.7</v>
      </c>
      <c r="O803" s="116">
        <v>265.2</v>
      </c>
      <c r="P803" s="116">
        <v>267</v>
      </c>
      <c r="Q803" s="116">
        <v>268.89999999999998</v>
      </c>
      <c r="R803">
        <v>1697886</v>
      </c>
    </row>
    <row r="804" spans="1:18" x14ac:dyDescent="0.25">
      <c r="A804" s="165">
        <v>45782</v>
      </c>
      <c r="B804" s="116">
        <v>280.60000000000002</v>
      </c>
      <c r="C804" s="116">
        <v>273.95</v>
      </c>
      <c r="D804" s="116">
        <v>268.39999999999998</v>
      </c>
      <c r="E804" s="116">
        <v>268.39999999999998</v>
      </c>
      <c r="F804" s="116">
        <v>273.95</v>
      </c>
      <c r="G804">
        <v>96042</v>
      </c>
      <c r="H804" s="116"/>
      <c r="I804" s="116"/>
      <c r="L804" s="165">
        <v>45782</v>
      </c>
      <c r="M804" s="116">
        <v>274.05</v>
      </c>
      <c r="N804" s="116">
        <v>280.45</v>
      </c>
      <c r="O804" s="116">
        <v>268.5</v>
      </c>
      <c r="P804" s="116">
        <v>269.10000000000002</v>
      </c>
      <c r="Q804" s="116">
        <v>274.05</v>
      </c>
      <c r="R804">
        <v>2688915</v>
      </c>
    </row>
    <row r="805" spans="1:18" x14ac:dyDescent="0.25">
      <c r="A805" s="165">
        <v>45783</v>
      </c>
      <c r="B805" s="116">
        <v>274.7</v>
      </c>
      <c r="C805" s="116">
        <v>258.7</v>
      </c>
      <c r="D805" s="116">
        <v>257.35000000000002</v>
      </c>
      <c r="E805" s="116">
        <v>273.95</v>
      </c>
      <c r="F805" s="116">
        <v>258.7</v>
      </c>
      <c r="G805">
        <v>75222</v>
      </c>
      <c r="H805" s="116"/>
      <c r="I805" s="116"/>
      <c r="L805" s="165">
        <v>45783</v>
      </c>
      <c r="M805" s="116">
        <v>258.5</v>
      </c>
      <c r="N805" s="116">
        <v>275.89999999999998</v>
      </c>
      <c r="O805" s="116">
        <v>256.7</v>
      </c>
      <c r="P805" s="116">
        <v>274</v>
      </c>
      <c r="Q805" s="116">
        <v>258.5</v>
      </c>
      <c r="R805">
        <v>1640141</v>
      </c>
    </row>
    <row r="806" spans="1:18" x14ac:dyDescent="0.25">
      <c r="A806" s="165">
        <v>45784</v>
      </c>
      <c r="B806" s="116">
        <v>264.2</v>
      </c>
      <c r="C806" s="116">
        <v>261.8</v>
      </c>
      <c r="D806" s="116">
        <v>253</v>
      </c>
      <c r="E806" s="116">
        <v>254.2</v>
      </c>
      <c r="F806" s="116">
        <v>261.8</v>
      </c>
      <c r="G806">
        <v>193038</v>
      </c>
      <c r="H806" s="116"/>
      <c r="I806" s="116"/>
      <c r="L806" s="165">
        <v>45784</v>
      </c>
      <c r="M806" s="116">
        <v>261.64999999999998</v>
      </c>
      <c r="N806" s="116">
        <v>264.5</v>
      </c>
      <c r="O806" s="116">
        <v>254.7</v>
      </c>
      <c r="P806" s="116">
        <v>255.5</v>
      </c>
      <c r="Q806" s="116">
        <v>261.64999999999998</v>
      </c>
      <c r="R806">
        <v>1618598</v>
      </c>
    </row>
    <row r="807" spans="1:18" x14ac:dyDescent="0.25">
      <c r="A807" s="165">
        <v>45785</v>
      </c>
      <c r="B807" s="116">
        <v>266.35000000000002</v>
      </c>
      <c r="C807" s="116">
        <v>254.4</v>
      </c>
      <c r="D807" s="116">
        <v>253</v>
      </c>
      <c r="E807" s="116">
        <v>261.25</v>
      </c>
      <c r="F807" s="116">
        <v>254.4</v>
      </c>
      <c r="G807">
        <v>145956</v>
      </c>
      <c r="H807" s="116"/>
      <c r="I807" s="116"/>
      <c r="L807" s="165">
        <v>45785</v>
      </c>
      <c r="M807" s="116">
        <v>254.3</v>
      </c>
      <c r="N807" s="116">
        <v>266.45</v>
      </c>
      <c r="O807" s="116">
        <v>252.5</v>
      </c>
      <c r="P807" s="116">
        <v>262</v>
      </c>
      <c r="Q807" s="116">
        <v>254.3</v>
      </c>
      <c r="R807">
        <v>1778079</v>
      </c>
    </row>
    <row r="808" spans="1:18" x14ac:dyDescent="0.25">
      <c r="A808" s="165">
        <v>45786</v>
      </c>
      <c r="B808" s="116">
        <v>256.05</v>
      </c>
      <c r="C808" s="116">
        <v>252.8</v>
      </c>
      <c r="D808" s="116">
        <v>248.1</v>
      </c>
      <c r="E808" s="116">
        <v>249.15</v>
      </c>
      <c r="F808" s="116">
        <v>252.8</v>
      </c>
      <c r="G808">
        <v>200763</v>
      </c>
      <c r="H808" s="116"/>
      <c r="I808" s="116"/>
      <c r="L808" s="165">
        <v>45786</v>
      </c>
      <c r="M808" s="116">
        <v>252.6</v>
      </c>
      <c r="N808" s="116">
        <v>256.85000000000002</v>
      </c>
      <c r="O808" s="116">
        <v>248</v>
      </c>
      <c r="P808" s="116">
        <v>250.7</v>
      </c>
      <c r="Q808" s="116">
        <v>252.6</v>
      </c>
      <c r="R808">
        <v>1627356</v>
      </c>
    </row>
    <row r="809" spans="1:18" x14ac:dyDescent="0.25">
      <c r="A809" s="165">
        <v>45789</v>
      </c>
      <c r="B809" s="116">
        <v>268.45</v>
      </c>
      <c r="C809" s="116">
        <v>262.95</v>
      </c>
      <c r="D809" s="116">
        <v>257.75</v>
      </c>
      <c r="E809" s="116">
        <v>259.60000000000002</v>
      </c>
      <c r="F809" s="116">
        <v>262.95</v>
      </c>
      <c r="G809">
        <v>206305</v>
      </c>
      <c r="H809" s="116"/>
      <c r="I809" s="116"/>
      <c r="L809" s="165">
        <v>45789</v>
      </c>
      <c r="M809" s="116">
        <v>262.95</v>
      </c>
      <c r="N809" s="116">
        <v>268.3</v>
      </c>
      <c r="O809" s="116">
        <v>258.35000000000002</v>
      </c>
      <c r="P809" s="116">
        <v>259.75</v>
      </c>
      <c r="Q809" s="116">
        <v>262.95</v>
      </c>
      <c r="R809">
        <v>2682671</v>
      </c>
    </row>
    <row r="810" spans="1:18" x14ac:dyDescent="0.25">
      <c r="A810" s="165">
        <v>45790</v>
      </c>
      <c r="B810" s="116">
        <v>265.25</v>
      </c>
      <c r="C810" s="116">
        <v>263.10000000000002</v>
      </c>
      <c r="D810" s="116">
        <v>261.35000000000002</v>
      </c>
      <c r="E810" s="116">
        <v>265</v>
      </c>
      <c r="F810" s="116">
        <v>263.10000000000002</v>
      </c>
      <c r="G810">
        <v>160500</v>
      </c>
      <c r="H810" s="116"/>
      <c r="I810" s="116"/>
      <c r="L810" s="165">
        <v>45790</v>
      </c>
      <c r="M810" s="116">
        <v>263.10000000000002</v>
      </c>
      <c r="N810" s="116">
        <v>265.25</v>
      </c>
      <c r="O810" s="116">
        <v>261.45</v>
      </c>
      <c r="P810" s="116">
        <v>265</v>
      </c>
      <c r="Q810" s="116">
        <v>263.10000000000002</v>
      </c>
      <c r="R810">
        <v>2151291</v>
      </c>
    </row>
    <row r="811" spans="1:18" x14ac:dyDescent="0.25">
      <c r="A811" s="165">
        <v>45791</v>
      </c>
      <c r="B811" s="116">
        <v>270.60000000000002</v>
      </c>
      <c r="C811" s="116">
        <v>266.64999999999998</v>
      </c>
      <c r="D811" s="116">
        <v>263.55</v>
      </c>
      <c r="E811" s="116">
        <v>263.55</v>
      </c>
      <c r="F811" s="116">
        <v>266.64999999999998</v>
      </c>
      <c r="G811">
        <v>156745</v>
      </c>
      <c r="H811" s="116"/>
      <c r="I811" s="116"/>
      <c r="L811" s="165">
        <v>45791</v>
      </c>
      <c r="M811" s="116">
        <v>266.64999999999998</v>
      </c>
      <c r="N811" s="116">
        <v>270.89999999999998</v>
      </c>
      <c r="O811" s="116">
        <v>264.8</v>
      </c>
      <c r="P811" s="116">
        <v>265.89999999999998</v>
      </c>
      <c r="Q811" s="116">
        <v>266.64999999999998</v>
      </c>
      <c r="R811">
        <v>2169760</v>
      </c>
    </row>
    <row r="812" spans="1:18" x14ac:dyDescent="0.25">
      <c r="A812" s="165">
        <v>45792</v>
      </c>
      <c r="B812" s="116">
        <v>270.25</v>
      </c>
      <c r="C812" s="116">
        <v>267.10000000000002</v>
      </c>
      <c r="D812" s="116">
        <v>266.14999999999998</v>
      </c>
      <c r="E812" s="116">
        <v>267</v>
      </c>
      <c r="F812" s="116">
        <v>267.10000000000002</v>
      </c>
      <c r="G812">
        <v>152613</v>
      </c>
      <c r="H812" s="116"/>
      <c r="I812" s="116"/>
      <c r="L812" s="165">
        <v>45792</v>
      </c>
      <c r="M812" s="116">
        <v>267</v>
      </c>
      <c r="N812" s="116">
        <v>270.35000000000002</v>
      </c>
      <c r="O812" s="116">
        <v>266.2</v>
      </c>
      <c r="P812" s="116">
        <v>267.7</v>
      </c>
      <c r="Q812" s="116">
        <v>267</v>
      </c>
      <c r="R812">
        <v>1577098</v>
      </c>
    </row>
    <row r="813" spans="1:18" x14ac:dyDescent="0.25">
      <c r="A813" s="165">
        <v>45793</v>
      </c>
      <c r="B813" s="116">
        <v>272.89999999999998</v>
      </c>
      <c r="C813" s="116">
        <v>270.25</v>
      </c>
      <c r="D813" s="116">
        <v>267.25</v>
      </c>
      <c r="E813" s="116">
        <v>268.25</v>
      </c>
      <c r="F813" s="116">
        <v>270.25</v>
      </c>
      <c r="G813">
        <v>162832</v>
      </c>
      <c r="H813" s="116"/>
      <c r="I813" s="116"/>
      <c r="L813" s="165">
        <v>45793</v>
      </c>
      <c r="M813" s="116">
        <v>270.35000000000002</v>
      </c>
      <c r="N813" s="116">
        <v>272.89999999999998</v>
      </c>
      <c r="O813" s="116">
        <v>267.35000000000002</v>
      </c>
      <c r="P813" s="116">
        <v>268.5</v>
      </c>
      <c r="Q813" s="116">
        <v>270.35000000000002</v>
      </c>
      <c r="R813">
        <v>1729990</v>
      </c>
    </row>
    <row r="814" spans="1:18" x14ac:dyDescent="0.25">
      <c r="A814" s="165">
        <v>45796</v>
      </c>
      <c r="B814" s="116">
        <v>275.89999999999998</v>
      </c>
      <c r="C814" s="116">
        <v>269.10000000000002</v>
      </c>
      <c r="D814" s="116">
        <v>268.3</v>
      </c>
      <c r="E814" s="116">
        <v>270.25</v>
      </c>
      <c r="F814" s="116">
        <v>269.10000000000002</v>
      </c>
      <c r="G814">
        <v>78522</v>
      </c>
      <c r="H814" s="116"/>
      <c r="I814" s="116"/>
      <c r="L814" s="165">
        <v>45796</v>
      </c>
      <c r="M814" s="116">
        <v>269.05</v>
      </c>
      <c r="N814" s="116">
        <v>275.8</v>
      </c>
      <c r="O814" s="116">
        <v>268.3</v>
      </c>
      <c r="P814" s="116">
        <v>270.55</v>
      </c>
      <c r="Q814" s="116">
        <v>269.05</v>
      </c>
      <c r="R814">
        <v>1548977</v>
      </c>
    </row>
    <row r="815" spans="1:18" x14ac:dyDescent="0.25">
      <c r="A815" s="165">
        <v>45797</v>
      </c>
      <c r="B815" s="116">
        <v>272.55</v>
      </c>
      <c r="C815" s="116">
        <v>262.39999999999998</v>
      </c>
      <c r="D815" s="116">
        <v>261.3</v>
      </c>
      <c r="E815" s="116">
        <v>272.55</v>
      </c>
      <c r="F815" s="116">
        <v>262.39999999999998</v>
      </c>
      <c r="G815">
        <v>166802</v>
      </c>
      <c r="H815" s="116"/>
      <c r="I815" s="116"/>
      <c r="L815" s="165">
        <v>45797</v>
      </c>
      <c r="M815" s="116">
        <v>262.35000000000002</v>
      </c>
      <c r="N815" s="116">
        <v>272.55</v>
      </c>
      <c r="O815" s="116">
        <v>261.10000000000002</v>
      </c>
      <c r="P815" s="116">
        <v>270.89999999999998</v>
      </c>
      <c r="Q815" s="116">
        <v>262.35000000000002</v>
      </c>
      <c r="R815">
        <v>1638768</v>
      </c>
    </row>
    <row r="816" spans="1:18" x14ac:dyDescent="0.25">
      <c r="A816" s="165">
        <v>45798</v>
      </c>
      <c r="B816" s="116">
        <v>265.64999999999998</v>
      </c>
      <c r="C816" s="116">
        <v>260.35000000000002</v>
      </c>
      <c r="D816" s="116">
        <v>258.95</v>
      </c>
      <c r="E816" s="116">
        <v>262.05</v>
      </c>
      <c r="F816" s="116">
        <v>260.35000000000002</v>
      </c>
      <c r="G816">
        <v>172666</v>
      </c>
      <c r="H816" s="116"/>
      <c r="I816" s="116"/>
      <c r="L816" s="165">
        <v>45798</v>
      </c>
      <c r="M816" s="116">
        <v>260.25</v>
      </c>
      <c r="N816" s="116">
        <v>265.45</v>
      </c>
      <c r="O816" s="116">
        <v>258.75</v>
      </c>
      <c r="P816" s="116">
        <v>262.35000000000002</v>
      </c>
      <c r="Q816" s="116">
        <v>260.25</v>
      </c>
      <c r="R816">
        <v>1312941</v>
      </c>
    </row>
    <row r="817" spans="1:18" x14ac:dyDescent="0.25">
      <c r="A817" s="165">
        <v>45799</v>
      </c>
      <c r="B817" s="116">
        <v>263.35000000000002</v>
      </c>
      <c r="C817" s="116">
        <v>257.55</v>
      </c>
      <c r="D817" s="116">
        <v>256.3</v>
      </c>
      <c r="E817" s="116">
        <v>260.25</v>
      </c>
      <c r="F817" s="116">
        <v>257.55</v>
      </c>
      <c r="G817">
        <v>158119</v>
      </c>
      <c r="H817" s="116"/>
      <c r="I817" s="116"/>
      <c r="L817" s="165">
        <v>45799</v>
      </c>
      <c r="M817" s="116">
        <v>257.5</v>
      </c>
      <c r="N817" s="116">
        <v>263.60000000000002</v>
      </c>
      <c r="O817" s="116">
        <v>256.2</v>
      </c>
      <c r="P817" s="116">
        <v>261</v>
      </c>
      <c r="Q817" s="116">
        <v>257.5</v>
      </c>
      <c r="R817">
        <v>1698030</v>
      </c>
    </row>
    <row r="818" spans="1:18" x14ac:dyDescent="0.25">
      <c r="A818" s="165">
        <v>45800</v>
      </c>
      <c r="B818" s="116">
        <v>261.8</v>
      </c>
      <c r="C818" s="116">
        <v>259.89999999999998</v>
      </c>
      <c r="D818" s="116">
        <v>256.55</v>
      </c>
      <c r="E818" s="116">
        <v>258</v>
      </c>
      <c r="F818" s="116">
        <v>259.89999999999998</v>
      </c>
      <c r="G818">
        <v>118860</v>
      </c>
      <c r="H818" s="116"/>
      <c r="I818" s="116"/>
      <c r="L818" s="165">
        <v>45800</v>
      </c>
      <c r="M818" s="116">
        <v>259.95</v>
      </c>
      <c r="N818" s="116">
        <v>261.85000000000002</v>
      </c>
      <c r="O818" s="116">
        <v>256.75</v>
      </c>
      <c r="P818" s="116">
        <v>259.60000000000002</v>
      </c>
      <c r="Q818" s="116">
        <v>259.95</v>
      </c>
      <c r="R818">
        <v>1186946</v>
      </c>
    </row>
    <row r="819" spans="1:18" x14ac:dyDescent="0.25">
      <c r="A819" s="165">
        <v>45803</v>
      </c>
      <c r="B819" s="116">
        <v>265.85000000000002</v>
      </c>
      <c r="C819" s="116">
        <v>259.05</v>
      </c>
      <c r="D819" s="116">
        <v>258.10000000000002</v>
      </c>
      <c r="E819" s="116">
        <v>263.7</v>
      </c>
      <c r="F819" s="116">
        <v>259.05</v>
      </c>
      <c r="G819">
        <v>77496</v>
      </c>
      <c r="H819" s="116"/>
      <c r="I819" s="116"/>
      <c r="L819" s="165">
        <v>45803</v>
      </c>
      <c r="M819" s="116">
        <v>258.75</v>
      </c>
      <c r="N819" s="116">
        <v>265.64999999999998</v>
      </c>
      <c r="O819" s="116">
        <v>258</v>
      </c>
      <c r="P819" s="116">
        <v>260.7</v>
      </c>
      <c r="Q819" s="116">
        <v>258.75</v>
      </c>
      <c r="R819">
        <v>2194361</v>
      </c>
    </row>
    <row r="820" spans="1:18" x14ac:dyDescent="0.25">
      <c r="A820" s="165">
        <v>45804</v>
      </c>
      <c r="B820" s="116">
        <v>276</v>
      </c>
      <c r="C820" s="116">
        <v>267.75</v>
      </c>
      <c r="D820" s="116">
        <v>257.14999999999998</v>
      </c>
      <c r="E820" s="116">
        <v>260</v>
      </c>
      <c r="F820" s="116">
        <v>267.75</v>
      </c>
      <c r="G820">
        <v>677790</v>
      </c>
      <c r="H820" s="116"/>
      <c r="I820" s="116"/>
      <c r="L820" s="165">
        <v>45804</v>
      </c>
      <c r="M820" s="116">
        <v>267.60000000000002</v>
      </c>
      <c r="N820" s="116">
        <v>276.25</v>
      </c>
      <c r="O820" s="116">
        <v>257.2</v>
      </c>
      <c r="P820" s="116">
        <v>261.45</v>
      </c>
      <c r="Q820" s="116">
        <v>267.60000000000002</v>
      </c>
      <c r="R820">
        <v>6702440</v>
      </c>
    </row>
    <row r="821" spans="1:18" x14ac:dyDescent="0.25">
      <c r="A821" s="165">
        <v>45805</v>
      </c>
      <c r="B821" s="116">
        <v>269.25</v>
      </c>
      <c r="C821" s="116">
        <v>263.64999999999998</v>
      </c>
      <c r="D821" s="116">
        <v>262.5</v>
      </c>
      <c r="E821" s="116">
        <v>268</v>
      </c>
      <c r="F821" s="116">
        <v>263.64999999999998</v>
      </c>
      <c r="G821">
        <v>168591</v>
      </c>
      <c r="H821" s="116"/>
      <c r="I821" s="116"/>
      <c r="L821" s="165">
        <v>45805</v>
      </c>
      <c r="M821" s="116">
        <v>263.55</v>
      </c>
      <c r="N821" s="116">
        <v>269.39999999999998</v>
      </c>
      <c r="O821" s="116">
        <v>262.55</v>
      </c>
      <c r="P821" s="116">
        <v>267.75</v>
      </c>
      <c r="Q821" s="116">
        <v>263.55</v>
      </c>
      <c r="R821">
        <v>1702213</v>
      </c>
    </row>
    <row r="822" spans="1:18" x14ac:dyDescent="0.25">
      <c r="A822" s="165">
        <v>45806</v>
      </c>
      <c r="B822" s="116">
        <v>266.39999999999998</v>
      </c>
      <c r="C822" s="116">
        <v>264.05</v>
      </c>
      <c r="D822" s="116">
        <v>262.25</v>
      </c>
      <c r="E822" s="116">
        <v>264.05</v>
      </c>
      <c r="F822" s="116">
        <v>264.05</v>
      </c>
      <c r="G822">
        <v>131841</v>
      </c>
      <c r="H822" s="116"/>
      <c r="I822" s="116"/>
      <c r="L822" s="165">
        <v>45806</v>
      </c>
      <c r="M822" s="116">
        <v>263.95</v>
      </c>
      <c r="N822" s="116">
        <v>266.2</v>
      </c>
      <c r="O822" s="116">
        <v>262.3</v>
      </c>
      <c r="P822" s="116">
        <v>264.89999999999998</v>
      </c>
      <c r="Q822" s="116">
        <v>263.95</v>
      </c>
      <c r="R822">
        <v>932581</v>
      </c>
    </row>
    <row r="823" spans="1:18" x14ac:dyDescent="0.25">
      <c r="A823" s="165">
        <v>45807</v>
      </c>
      <c r="B823" s="116">
        <v>279.35000000000002</v>
      </c>
      <c r="C823" s="116">
        <v>274.5</v>
      </c>
      <c r="D823" s="116">
        <v>263.95</v>
      </c>
      <c r="E823" s="116">
        <v>265.75</v>
      </c>
      <c r="F823" s="116">
        <v>274.5</v>
      </c>
      <c r="G823">
        <v>746035</v>
      </c>
      <c r="H823" s="116"/>
      <c r="I823" s="116"/>
      <c r="L823" s="165">
        <v>45807</v>
      </c>
      <c r="M823" s="116">
        <v>275</v>
      </c>
      <c r="N823" s="116">
        <v>279.85000000000002</v>
      </c>
      <c r="O823" s="116">
        <v>263.8</v>
      </c>
      <c r="P823" s="116">
        <v>265</v>
      </c>
      <c r="Q823" s="116">
        <v>275</v>
      </c>
      <c r="R823">
        <v>17924411</v>
      </c>
    </row>
    <row r="824" spans="1:18" x14ac:dyDescent="0.25">
      <c r="A824" s="165">
        <v>45810</v>
      </c>
      <c r="B824" s="116">
        <v>274.10000000000002</v>
      </c>
      <c r="C824" s="116">
        <v>270.14999999999998</v>
      </c>
      <c r="D824" s="116">
        <v>268.2</v>
      </c>
      <c r="E824" s="116">
        <v>268.8</v>
      </c>
      <c r="F824" s="116">
        <v>270.14999999999998</v>
      </c>
      <c r="G824">
        <v>130109</v>
      </c>
      <c r="H824" s="116"/>
      <c r="I824" s="116"/>
      <c r="L824" s="165">
        <v>45810</v>
      </c>
      <c r="M824" s="116">
        <v>270.2</v>
      </c>
      <c r="N824" s="116">
        <v>273.89999999999998</v>
      </c>
      <c r="O824" s="116">
        <v>268.10000000000002</v>
      </c>
      <c r="P824" s="116">
        <v>268.95</v>
      </c>
      <c r="Q824" s="116">
        <v>270.2</v>
      </c>
      <c r="R824">
        <v>2373477</v>
      </c>
    </row>
    <row r="825" spans="1:18" x14ac:dyDescent="0.25">
      <c r="A825" s="165">
        <v>45811</v>
      </c>
      <c r="B825" s="116">
        <v>273.39999999999998</v>
      </c>
      <c r="C825" s="116">
        <v>270</v>
      </c>
      <c r="D825" s="116">
        <v>267.05</v>
      </c>
      <c r="E825" s="116">
        <v>271.7</v>
      </c>
      <c r="F825" s="116">
        <v>270</v>
      </c>
      <c r="G825">
        <v>40814</v>
      </c>
      <c r="H825" s="116"/>
      <c r="I825" s="116"/>
      <c r="L825" s="165">
        <v>45811</v>
      </c>
      <c r="M825" s="116">
        <v>270.10000000000002</v>
      </c>
      <c r="N825" s="116">
        <v>273.60000000000002</v>
      </c>
      <c r="O825" s="116">
        <v>267.05</v>
      </c>
      <c r="P825" s="116">
        <v>271.55</v>
      </c>
      <c r="Q825" s="116">
        <v>270.10000000000002</v>
      </c>
      <c r="R825">
        <v>1716464</v>
      </c>
    </row>
    <row r="826" spans="1:18" x14ac:dyDescent="0.25">
      <c r="A826" s="165">
        <v>45812</v>
      </c>
      <c r="B826" s="116">
        <v>270.35000000000002</v>
      </c>
      <c r="C826" s="116">
        <v>268.7</v>
      </c>
      <c r="D826" s="116">
        <v>266.5</v>
      </c>
      <c r="E826" s="116">
        <v>269.8</v>
      </c>
      <c r="F826" s="116">
        <v>268.7</v>
      </c>
      <c r="G826">
        <v>31020</v>
      </c>
      <c r="H826" s="116"/>
      <c r="I826" s="116"/>
      <c r="L826" s="165">
        <v>45812</v>
      </c>
      <c r="M826" s="116">
        <v>268.7</v>
      </c>
      <c r="N826" s="116">
        <v>270.64999999999998</v>
      </c>
      <c r="O826" s="116">
        <v>266.2</v>
      </c>
      <c r="P826" s="116">
        <v>269.45</v>
      </c>
      <c r="Q826" s="116">
        <v>268.7</v>
      </c>
      <c r="R826">
        <v>845015</v>
      </c>
    </row>
    <row r="827" spans="1:18" x14ac:dyDescent="0.25">
      <c r="A827" s="165">
        <v>45813</v>
      </c>
      <c r="B827" s="116">
        <v>269.95</v>
      </c>
      <c r="C827" s="116">
        <v>265.25</v>
      </c>
      <c r="D827" s="116">
        <v>265</v>
      </c>
      <c r="E827" s="116">
        <v>269.60000000000002</v>
      </c>
      <c r="F827" s="116">
        <v>265.25</v>
      </c>
      <c r="G827">
        <v>141519</v>
      </c>
      <c r="H827" s="116"/>
      <c r="I827" s="116"/>
      <c r="L827" s="165">
        <v>45813</v>
      </c>
      <c r="M827" s="116">
        <v>265.25</v>
      </c>
      <c r="N827" s="116">
        <v>270.2</v>
      </c>
      <c r="O827" s="116">
        <v>265.05</v>
      </c>
      <c r="P827" s="116">
        <v>269.10000000000002</v>
      </c>
      <c r="Q827" s="116">
        <v>265.25</v>
      </c>
      <c r="R827">
        <v>1416431</v>
      </c>
    </row>
    <row r="828" spans="1:18" x14ac:dyDescent="0.25">
      <c r="A828" s="165">
        <v>45814</v>
      </c>
      <c r="B828" s="116">
        <v>266.45</v>
      </c>
      <c r="C828" s="116">
        <v>263.95</v>
      </c>
      <c r="D828" s="116">
        <v>263.3</v>
      </c>
      <c r="E828" s="116">
        <v>265.35000000000002</v>
      </c>
      <c r="F828" s="116">
        <v>263.95</v>
      </c>
      <c r="G828">
        <v>140301</v>
      </c>
      <c r="H828" s="116"/>
      <c r="I828" s="116"/>
      <c r="L828" s="165">
        <v>45814</v>
      </c>
      <c r="M828" s="116">
        <v>263.85000000000002</v>
      </c>
      <c r="N828" s="116">
        <v>266.5</v>
      </c>
      <c r="O828" s="116">
        <v>263.2</v>
      </c>
      <c r="P828" s="116">
        <v>265.5</v>
      </c>
      <c r="Q828" s="116">
        <v>263.85000000000002</v>
      </c>
      <c r="R828">
        <v>1296719</v>
      </c>
    </row>
    <row r="829" spans="1:18" x14ac:dyDescent="0.25">
      <c r="A829" s="165">
        <v>45817</v>
      </c>
      <c r="B829" s="116">
        <v>268.45</v>
      </c>
      <c r="C829" s="116">
        <v>267.85000000000002</v>
      </c>
      <c r="D829" s="116">
        <v>264.7</v>
      </c>
      <c r="E829" s="116">
        <v>265.14999999999998</v>
      </c>
      <c r="F829" s="116">
        <v>267.85000000000002</v>
      </c>
      <c r="G829">
        <v>249009</v>
      </c>
      <c r="H829" s="116"/>
      <c r="I829" s="116"/>
      <c r="L829" s="165">
        <v>45817</v>
      </c>
      <c r="M829" s="116">
        <v>267.8</v>
      </c>
      <c r="N829" s="116">
        <v>268.5</v>
      </c>
      <c r="O829" s="116">
        <v>264.64999999999998</v>
      </c>
      <c r="P829" s="116">
        <v>265.5</v>
      </c>
      <c r="Q829" s="116">
        <v>267.8</v>
      </c>
      <c r="R829">
        <v>1162357</v>
      </c>
    </row>
    <row r="830" spans="1:18" x14ac:dyDescent="0.25">
      <c r="A830" s="165">
        <v>45818</v>
      </c>
      <c r="B830" s="116">
        <v>279.05</v>
      </c>
      <c r="C830" s="116">
        <v>278.14999999999998</v>
      </c>
      <c r="D830" s="116">
        <v>266.75</v>
      </c>
      <c r="E830" s="116">
        <v>269.89999999999998</v>
      </c>
      <c r="F830" s="116">
        <v>278.14999999999998</v>
      </c>
      <c r="G830">
        <v>748206</v>
      </c>
      <c r="H830" s="116"/>
      <c r="I830" s="116"/>
      <c r="L830" s="165">
        <v>45818</v>
      </c>
      <c r="M830" s="116">
        <v>278.05</v>
      </c>
      <c r="N830" s="116">
        <v>279.25</v>
      </c>
      <c r="O830" s="116">
        <v>266.8</v>
      </c>
      <c r="P830" s="116">
        <v>269.39999999999998</v>
      </c>
      <c r="Q830" s="116">
        <v>278.05</v>
      </c>
      <c r="R830">
        <v>4605354</v>
      </c>
    </row>
    <row r="831" spans="1:18" x14ac:dyDescent="0.25">
      <c r="A831" s="165">
        <v>45819</v>
      </c>
      <c r="B831" s="116">
        <v>280.8</v>
      </c>
      <c r="C831" s="116">
        <v>275.85000000000002</v>
      </c>
      <c r="D831" s="116">
        <v>272.45</v>
      </c>
      <c r="E831" s="116">
        <v>279.05</v>
      </c>
      <c r="F831" s="116">
        <v>275.85000000000002</v>
      </c>
      <c r="G831">
        <v>283394</v>
      </c>
      <c r="H831" s="116"/>
      <c r="I831" s="116"/>
      <c r="L831" s="165">
        <v>45819</v>
      </c>
      <c r="M831" s="116">
        <v>276</v>
      </c>
      <c r="N831" s="116">
        <v>280.7</v>
      </c>
      <c r="O831" s="116">
        <v>272.55</v>
      </c>
      <c r="P831" s="116">
        <v>280</v>
      </c>
      <c r="Q831" s="116">
        <v>276</v>
      </c>
      <c r="R831">
        <v>1726034</v>
      </c>
    </row>
    <row r="832" spans="1:18" x14ac:dyDescent="0.25">
      <c r="A832" s="165">
        <v>45820</v>
      </c>
      <c r="B832" s="116">
        <v>281.25</v>
      </c>
      <c r="C832" s="116">
        <v>267.64999999999998</v>
      </c>
      <c r="D832" s="116">
        <v>267</v>
      </c>
      <c r="E832" s="116">
        <v>281.25</v>
      </c>
      <c r="F832" s="116">
        <v>267.64999999999998</v>
      </c>
      <c r="G832">
        <v>127276</v>
      </c>
      <c r="H832" s="116"/>
      <c r="I832" s="116"/>
      <c r="L832" s="165">
        <v>45820</v>
      </c>
      <c r="M832" s="116">
        <v>267.60000000000002</v>
      </c>
      <c r="N832" s="116">
        <v>280.89999999999998</v>
      </c>
      <c r="O832" s="116">
        <v>267</v>
      </c>
      <c r="P832" s="116">
        <v>280.89999999999998</v>
      </c>
      <c r="Q832" s="116">
        <v>267.60000000000002</v>
      </c>
      <c r="R832">
        <v>2360592</v>
      </c>
    </row>
    <row r="833" spans="1:18" x14ac:dyDescent="0.25">
      <c r="A833" s="165">
        <v>45821</v>
      </c>
      <c r="B833" s="116">
        <v>267.35000000000002</v>
      </c>
      <c r="C833" s="116">
        <v>266.14999999999998</v>
      </c>
      <c r="D833" s="116">
        <v>263</v>
      </c>
      <c r="E833" s="116">
        <v>263.25</v>
      </c>
      <c r="F833" s="116">
        <v>266.14999999999998</v>
      </c>
      <c r="G833">
        <v>156209</v>
      </c>
      <c r="H833" s="116"/>
      <c r="I833" s="116"/>
      <c r="L833" s="165">
        <v>45821</v>
      </c>
      <c r="M833" s="116">
        <v>266.2</v>
      </c>
      <c r="N833" s="116">
        <v>267.25</v>
      </c>
      <c r="O833" s="116">
        <v>262.89999999999998</v>
      </c>
      <c r="P833" s="116">
        <v>263.75</v>
      </c>
      <c r="Q833" s="116">
        <v>266.2</v>
      </c>
      <c r="R833">
        <v>1056492</v>
      </c>
    </row>
    <row r="834" spans="1:18" x14ac:dyDescent="0.25">
      <c r="A834" s="165">
        <v>45824</v>
      </c>
      <c r="B834" s="116">
        <v>267.35000000000002</v>
      </c>
      <c r="C834" s="116">
        <v>264.39999999999998</v>
      </c>
      <c r="D834" s="116">
        <v>262.25</v>
      </c>
      <c r="E834" s="116">
        <v>264.2</v>
      </c>
      <c r="F834" s="116">
        <v>264.39999999999998</v>
      </c>
      <c r="G834">
        <v>49159</v>
      </c>
      <c r="H834" s="116"/>
      <c r="I834" s="116"/>
      <c r="L834" s="165">
        <v>45824</v>
      </c>
      <c r="M834" s="116">
        <v>264.60000000000002</v>
      </c>
      <c r="N834" s="116">
        <v>267.45</v>
      </c>
      <c r="O834" s="116">
        <v>262.35000000000002</v>
      </c>
      <c r="P834" s="116">
        <v>266.2</v>
      </c>
      <c r="Q834" s="116">
        <v>264.60000000000002</v>
      </c>
      <c r="R834">
        <v>1159919</v>
      </c>
    </row>
    <row r="835" spans="1:18" x14ac:dyDescent="0.25">
      <c r="A835" s="165">
        <v>45825</v>
      </c>
      <c r="B835" s="116">
        <v>266.60000000000002</v>
      </c>
      <c r="C835" s="116">
        <v>262.45</v>
      </c>
      <c r="D835" s="116">
        <v>261.10000000000002</v>
      </c>
      <c r="E835" s="116">
        <v>266.60000000000002</v>
      </c>
      <c r="F835" s="116">
        <v>262.45</v>
      </c>
      <c r="G835">
        <v>43226</v>
      </c>
      <c r="H835" s="116"/>
      <c r="I835" s="116"/>
      <c r="L835" s="165">
        <v>45825</v>
      </c>
      <c r="M835" s="116">
        <v>262.05</v>
      </c>
      <c r="N835" s="116">
        <v>265.8</v>
      </c>
      <c r="O835" s="116">
        <v>261</v>
      </c>
      <c r="P835" s="116">
        <v>264.7</v>
      </c>
      <c r="Q835" s="116">
        <v>262.05</v>
      </c>
      <c r="R835">
        <v>1119640</v>
      </c>
    </row>
    <row r="836" spans="1:18" x14ac:dyDescent="0.25">
      <c r="A836" s="165">
        <v>45826</v>
      </c>
      <c r="B836" s="116">
        <v>265</v>
      </c>
      <c r="C836" s="116">
        <v>264.35000000000002</v>
      </c>
      <c r="D836" s="116">
        <v>260.10000000000002</v>
      </c>
      <c r="E836" s="116">
        <v>261.14999999999998</v>
      </c>
      <c r="F836" s="116">
        <v>264.35000000000002</v>
      </c>
      <c r="G836">
        <v>102275</v>
      </c>
      <c r="H836" s="116"/>
      <c r="I836" s="116"/>
      <c r="L836" s="165">
        <v>45826</v>
      </c>
      <c r="M836" s="116">
        <v>264.10000000000002</v>
      </c>
      <c r="N836" s="116">
        <v>265</v>
      </c>
      <c r="O836" s="116">
        <v>260.10000000000002</v>
      </c>
      <c r="P836" s="116">
        <v>262</v>
      </c>
      <c r="Q836" s="116">
        <v>264.10000000000002</v>
      </c>
      <c r="R836">
        <v>1358406</v>
      </c>
    </row>
    <row r="837" spans="1:18" x14ac:dyDescent="0.25">
      <c r="A837" s="165">
        <v>45827</v>
      </c>
      <c r="B837" s="116">
        <v>263.05</v>
      </c>
      <c r="C837" s="116">
        <v>256.64999999999998</v>
      </c>
      <c r="D837" s="116">
        <v>255</v>
      </c>
      <c r="E837" s="116">
        <v>262.3</v>
      </c>
      <c r="F837" s="116">
        <v>256.64999999999998</v>
      </c>
      <c r="G837">
        <v>182187</v>
      </c>
      <c r="H837" s="116"/>
      <c r="I837" s="116"/>
      <c r="L837" s="165">
        <v>45827</v>
      </c>
      <c r="M837" s="116">
        <v>256.85000000000002</v>
      </c>
      <c r="N837" s="116">
        <v>263.25</v>
      </c>
      <c r="O837" s="116">
        <v>255</v>
      </c>
      <c r="P837" s="116">
        <v>262</v>
      </c>
      <c r="Q837" s="116">
        <v>256.85000000000002</v>
      </c>
      <c r="R837">
        <v>1374153</v>
      </c>
    </row>
    <row r="838" spans="1:18" x14ac:dyDescent="0.25">
      <c r="A838" s="165">
        <v>45828</v>
      </c>
      <c r="B838" s="116">
        <v>259</v>
      </c>
      <c r="C838" s="116">
        <v>256.75</v>
      </c>
      <c r="D838" s="116">
        <v>255</v>
      </c>
      <c r="E838" s="116">
        <v>257</v>
      </c>
      <c r="F838" s="116">
        <v>256.75</v>
      </c>
      <c r="G838">
        <v>86518</v>
      </c>
      <c r="H838" s="116"/>
      <c r="I838" s="116"/>
      <c r="L838" s="165">
        <v>45828</v>
      </c>
      <c r="M838" s="116">
        <v>256.7</v>
      </c>
      <c r="N838" s="116">
        <v>258.64999999999998</v>
      </c>
      <c r="O838" s="116">
        <v>254.7</v>
      </c>
      <c r="P838" s="116">
        <v>256.85000000000002</v>
      </c>
      <c r="Q838" s="116">
        <v>256.7</v>
      </c>
      <c r="R838">
        <v>1632206</v>
      </c>
    </row>
    <row r="839" spans="1:18" x14ac:dyDescent="0.25">
      <c r="A839" s="165">
        <v>45831</v>
      </c>
      <c r="B839" s="116">
        <v>258.2</v>
      </c>
      <c r="C839" s="116">
        <v>256.05</v>
      </c>
      <c r="D839" s="116">
        <v>255</v>
      </c>
      <c r="E839" s="116">
        <v>255.05</v>
      </c>
      <c r="F839" s="116">
        <v>256.05</v>
      </c>
      <c r="G839">
        <v>107684</v>
      </c>
      <c r="H839" s="116"/>
      <c r="I839" s="116"/>
      <c r="L839" s="165">
        <v>45831</v>
      </c>
      <c r="M839" s="116">
        <v>256</v>
      </c>
      <c r="N839" s="116">
        <v>258.3</v>
      </c>
      <c r="O839" s="116">
        <v>255.05</v>
      </c>
      <c r="P839" s="116">
        <v>256.2</v>
      </c>
      <c r="Q839" s="116">
        <v>256</v>
      </c>
      <c r="R839">
        <v>894768</v>
      </c>
    </row>
    <row r="840" spans="1:18" x14ac:dyDescent="0.25">
      <c r="A840" s="165">
        <v>45832</v>
      </c>
      <c r="B840" s="116">
        <v>260.55</v>
      </c>
      <c r="C840" s="116">
        <v>255.75</v>
      </c>
      <c r="D840" s="116">
        <v>253.8</v>
      </c>
      <c r="E840" s="116">
        <v>260.55</v>
      </c>
      <c r="F840" s="116">
        <v>255.75</v>
      </c>
      <c r="G840">
        <v>144328</v>
      </c>
      <c r="H840" s="116"/>
      <c r="I840" s="116"/>
      <c r="L840" s="165">
        <v>45832</v>
      </c>
      <c r="M840" s="116">
        <v>255.65</v>
      </c>
      <c r="N840" s="116">
        <v>260.60000000000002</v>
      </c>
      <c r="O840" s="116">
        <v>253.75</v>
      </c>
      <c r="P840" s="116">
        <v>259.05</v>
      </c>
      <c r="Q840" s="116">
        <v>255.65</v>
      </c>
      <c r="R840">
        <v>1747242</v>
      </c>
    </row>
    <row r="841" spans="1:18" x14ac:dyDescent="0.25">
      <c r="A841" s="165">
        <v>45833</v>
      </c>
      <c r="B841" s="116">
        <v>259.85000000000002</v>
      </c>
      <c r="C841" s="116">
        <v>259.5</v>
      </c>
      <c r="D841" s="116">
        <v>256.60000000000002</v>
      </c>
      <c r="E841" s="116">
        <v>256.60000000000002</v>
      </c>
      <c r="F841" s="116">
        <v>259.5</v>
      </c>
      <c r="G841">
        <v>109965</v>
      </c>
      <c r="H841" s="116"/>
      <c r="I841" s="116"/>
      <c r="L841" s="165">
        <v>45833</v>
      </c>
      <c r="M841" s="116">
        <v>259.5</v>
      </c>
      <c r="N841" s="116">
        <v>259.89999999999998</v>
      </c>
      <c r="O841" s="116">
        <v>256.3</v>
      </c>
      <c r="P841" s="116">
        <v>257</v>
      </c>
      <c r="Q841" s="116">
        <v>259.5</v>
      </c>
      <c r="R841">
        <v>826794</v>
      </c>
    </row>
    <row r="842" spans="1:18" x14ac:dyDescent="0.25">
      <c r="A842" s="165">
        <v>45834</v>
      </c>
      <c r="B842" s="116">
        <v>260.8</v>
      </c>
      <c r="C842" s="116">
        <v>257.55</v>
      </c>
      <c r="D842" s="116">
        <v>256.2</v>
      </c>
      <c r="E842" s="116">
        <v>260.75</v>
      </c>
      <c r="F842" s="116">
        <v>257.55</v>
      </c>
      <c r="G842">
        <v>59879</v>
      </c>
      <c r="H842" s="116"/>
      <c r="I842" s="116"/>
      <c r="L842" s="165">
        <v>45834</v>
      </c>
      <c r="M842" s="116">
        <v>257.60000000000002</v>
      </c>
      <c r="N842" s="116">
        <v>261.2</v>
      </c>
      <c r="O842" s="116">
        <v>256.39999999999998</v>
      </c>
      <c r="P842" s="116">
        <v>259.8</v>
      </c>
      <c r="Q842" s="116">
        <v>257.60000000000002</v>
      </c>
      <c r="R842">
        <v>1439756</v>
      </c>
    </row>
    <row r="843" spans="1:18" x14ac:dyDescent="0.25">
      <c r="A843" s="165">
        <v>45835</v>
      </c>
      <c r="B843" s="116">
        <v>265</v>
      </c>
      <c r="C843" s="116">
        <v>259.14999999999998</v>
      </c>
      <c r="D843" s="116">
        <v>258.3</v>
      </c>
      <c r="E843" s="116">
        <v>259.64999999999998</v>
      </c>
      <c r="F843" s="116">
        <v>259.14999999999998</v>
      </c>
      <c r="G843">
        <v>70546</v>
      </c>
      <c r="H843" s="116"/>
      <c r="I843" s="116"/>
      <c r="L843" s="165">
        <v>45835</v>
      </c>
      <c r="M843" s="116">
        <v>259.2</v>
      </c>
      <c r="N843" s="116">
        <v>265.2</v>
      </c>
      <c r="O843" s="116">
        <v>258.25</v>
      </c>
      <c r="P843" s="116">
        <v>258.85000000000002</v>
      </c>
      <c r="Q843" s="116">
        <v>259.2</v>
      </c>
      <c r="R843">
        <v>2487215</v>
      </c>
    </row>
    <row r="844" spans="1:18" x14ac:dyDescent="0.25">
      <c r="A844" s="165">
        <v>45838</v>
      </c>
      <c r="B844" s="116">
        <v>260.75</v>
      </c>
      <c r="C844" s="116">
        <v>259.60000000000002</v>
      </c>
      <c r="D844" s="116">
        <v>258.25</v>
      </c>
      <c r="E844" s="116">
        <v>260</v>
      </c>
      <c r="F844" s="116">
        <v>259.60000000000002</v>
      </c>
      <c r="G844">
        <v>38956</v>
      </c>
      <c r="H844" s="116"/>
      <c r="I844" s="116"/>
      <c r="L844" s="165">
        <v>45838</v>
      </c>
      <c r="M844" s="116">
        <v>259.95</v>
      </c>
      <c r="N844" s="116">
        <v>261</v>
      </c>
      <c r="O844" s="116">
        <v>258.3</v>
      </c>
      <c r="P844" s="116">
        <v>260</v>
      </c>
      <c r="Q844" s="116">
        <v>259.95</v>
      </c>
      <c r="R844">
        <v>1090525</v>
      </c>
    </row>
    <row r="845" spans="1:18" x14ac:dyDescent="0.25">
      <c r="A845" s="165">
        <v>45839</v>
      </c>
      <c r="B845" s="116">
        <v>260.7</v>
      </c>
      <c r="C845" s="116">
        <v>258.85000000000002</v>
      </c>
      <c r="D845" s="116">
        <v>257.85000000000002</v>
      </c>
      <c r="E845" s="116">
        <v>260.35000000000002</v>
      </c>
      <c r="F845" s="116">
        <v>258.85000000000002</v>
      </c>
      <c r="G845">
        <v>45526</v>
      </c>
      <c r="H845" s="116"/>
      <c r="I845" s="116"/>
      <c r="L845" s="165">
        <v>45839</v>
      </c>
      <c r="M845" s="116">
        <v>258.39999999999998</v>
      </c>
      <c r="N845" s="116">
        <v>260.89999999999998</v>
      </c>
      <c r="O845" s="116">
        <v>258</v>
      </c>
      <c r="P845" s="116">
        <v>260</v>
      </c>
      <c r="Q845" s="116">
        <v>258.39999999999998</v>
      </c>
      <c r="R845">
        <v>1266092</v>
      </c>
    </row>
    <row r="846" spans="1:18" x14ac:dyDescent="0.25">
      <c r="A846" s="165">
        <v>45840</v>
      </c>
      <c r="B846" s="116">
        <v>259.45</v>
      </c>
      <c r="C846" s="116">
        <v>257.39999999999998</v>
      </c>
      <c r="D846" s="116">
        <v>256.7</v>
      </c>
      <c r="E846" s="116">
        <v>259.45</v>
      </c>
      <c r="F846" s="116">
        <v>257.39999999999998</v>
      </c>
      <c r="G846">
        <v>141110</v>
      </c>
      <c r="H846" s="116"/>
      <c r="I846" s="116"/>
      <c r="L846" s="165">
        <v>45840</v>
      </c>
      <c r="M846" s="116">
        <v>257.45</v>
      </c>
      <c r="N846" s="116">
        <v>259.60000000000002</v>
      </c>
      <c r="O846" s="116">
        <v>256.7</v>
      </c>
      <c r="P846" s="116">
        <v>259.55</v>
      </c>
      <c r="Q846" s="116">
        <v>257.45</v>
      </c>
      <c r="R846">
        <v>1006354</v>
      </c>
    </row>
    <row r="847" spans="1:18" x14ac:dyDescent="0.25">
      <c r="A847" s="165">
        <v>45841</v>
      </c>
      <c r="B847" s="116">
        <v>258.39999999999998</v>
      </c>
      <c r="C847" s="116">
        <v>256.60000000000002</v>
      </c>
      <c r="D847" s="116">
        <v>256</v>
      </c>
      <c r="E847" s="116">
        <v>257.64999999999998</v>
      </c>
      <c r="F847" s="116">
        <v>256.60000000000002</v>
      </c>
      <c r="G847">
        <v>28660</v>
      </c>
      <c r="H847" s="116"/>
      <c r="I847" s="116"/>
      <c r="L847" s="165">
        <v>45841</v>
      </c>
      <c r="M847" s="116">
        <v>256.64999999999998</v>
      </c>
      <c r="N847" s="116">
        <v>258.5</v>
      </c>
      <c r="O847" s="116">
        <v>256</v>
      </c>
      <c r="P847" s="116">
        <v>258.05</v>
      </c>
      <c r="Q847" s="116">
        <v>256.64999999999998</v>
      </c>
      <c r="R847">
        <v>932814</v>
      </c>
    </row>
    <row r="848" spans="1:18" x14ac:dyDescent="0.25">
      <c r="A848" s="165">
        <v>45842</v>
      </c>
      <c r="B848" s="116">
        <v>257.64999999999998</v>
      </c>
      <c r="C848" s="116">
        <v>256.45</v>
      </c>
      <c r="D848" s="116">
        <v>255.1</v>
      </c>
      <c r="E848" s="116">
        <v>257</v>
      </c>
      <c r="F848" s="116">
        <v>256.45</v>
      </c>
      <c r="G848">
        <v>27518</v>
      </c>
      <c r="H848" s="116"/>
      <c r="I848" s="116"/>
      <c r="L848" s="165">
        <v>45842</v>
      </c>
      <c r="M848" s="116">
        <v>256.14999999999998</v>
      </c>
      <c r="N848" s="116">
        <v>257.75</v>
      </c>
      <c r="O848" s="116">
        <v>255</v>
      </c>
      <c r="P848" s="116">
        <v>256.64999999999998</v>
      </c>
      <c r="Q848" s="116">
        <v>256.14999999999998</v>
      </c>
      <c r="R848">
        <v>1099740</v>
      </c>
    </row>
    <row r="849" spans="1:18" x14ac:dyDescent="0.25">
      <c r="A849" s="165">
        <v>45845</v>
      </c>
      <c r="B849" s="116">
        <v>257.89999999999998</v>
      </c>
      <c r="C849" s="116">
        <v>257.25</v>
      </c>
      <c r="D849" s="116">
        <v>255.1</v>
      </c>
      <c r="E849" s="116">
        <v>256.3</v>
      </c>
      <c r="F849" s="116">
        <v>257.25</v>
      </c>
      <c r="G849">
        <v>89743</v>
      </c>
      <c r="H849" s="116"/>
      <c r="I849" s="116"/>
      <c r="L849" s="165">
        <v>45845</v>
      </c>
      <c r="M849" s="116">
        <v>257.2</v>
      </c>
      <c r="N849" s="116">
        <v>257.89999999999998</v>
      </c>
      <c r="O849" s="116">
        <v>255</v>
      </c>
      <c r="P849" s="116">
        <v>256.14999999999998</v>
      </c>
      <c r="Q849" s="116">
        <v>257.2</v>
      </c>
      <c r="R849">
        <v>1327747</v>
      </c>
    </row>
    <row r="850" spans="1:18" x14ac:dyDescent="0.25">
      <c r="A850" s="165">
        <v>45846</v>
      </c>
      <c r="B850" s="116">
        <v>263.8</v>
      </c>
      <c r="C850" s="116">
        <v>263.2</v>
      </c>
      <c r="D850" s="116">
        <v>256.5</v>
      </c>
      <c r="E850" s="116">
        <v>257.55</v>
      </c>
      <c r="F850" s="116">
        <v>263.2</v>
      </c>
      <c r="G850">
        <v>306702</v>
      </c>
      <c r="H850" s="116"/>
      <c r="I850" s="116"/>
      <c r="L850" s="165">
        <v>45846</v>
      </c>
      <c r="M850" s="116">
        <v>263.25</v>
      </c>
      <c r="N850" s="116">
        <v>263.89999999999998</v>
      </c>
      <c r="O850" s="116">
        <v>256.5</v>
      </c>
      <c r="P850" s="116">
        <v>257.85000000000002</v>
      </c>
      <c r="Q850" s="116">
        <v>263.25</v>
      </c>
      <c r="R850">
        <v>2514875</v>
      </c>
    </row>
    <row r="851" spans="1:18" x14ac:dyDescent="0.25">
      <c r="A851" s="165">
        <v>45847</v>
      </c>
      <c r="B851" s="116">
        <v>267.25</v>
      </c>
      <c r="C851" s="116">
        <v>262.25</v>
      </c>
      <c r="D851" s="116">
        <v>261.75</v>
      </c>
      <c r="E851" s="116">
        <v>264.25</v>
      </c>
      <c r="F851" s="116">
        <v>262.25</v>
      </c>
      <c r="G851">
        <v>87400</v>
      </c>
      <c r="H851" s="116"/>
      <c r="I851" s="116"/>
      <c r="L851" s="165">
        <v>45847</v>
      </c>
      <c r="M851" s="116">
        <v>262.75</v>
      </c>
      <c r="N851" s="116">
        <v>267.35000000000002</v>
      </c>
      <c r="O851" s="116">
        <v>261.64999999999998</v>
      </c>
      <c r="P851" s="116">
        <v>263.89999999999998</v>
      </c>
      <c r="Q851" s="116">
        <v>262.75</v>
      </c>
      <c r="R851">
        <v>1849784</v>
      </c>
    </row>
    <row r="852" spans="1:18" x14ac:dyDescent="0.25">
      <c r="A852" s="165">
        <v>45848</v>
      </c>
      <c r="B852" s="116">
        <v>271.05</v>
      </c>
      <c r="C852" s="116">
        <v>270.10000000000002</v>
      </c>
      <c r="D852" s="116">
        <v>262.25</v>
      </c>
      <c r="E852" s="116">
        <v>262.25</v>
      </c>
      <c r="F852" s="116">
        <v>270.10000000000002</v>
      </c>
      <c r="G852">
        <v>128212</v>
      </c>
      <c r="H852" s="116"/>
      <c r="I852" s="116"/>
      <c r="L852" s="165">
        <v>45848</v>
      </c>
      <c r="M852" s="116">
        <v>270.05</v>
      </c>
      <c r="N852" s="116">
        <v>271.10000000000002</v>
      </c>
      <c r="O852" s="116">
        <v>262.95</v>
      </c>
      <c r="P852" s="116">
        <v>263.89999999999998</v>
      </c>
      <c r="Q852" s="116">
        <v>270.05</v>
      </c>
      <c r="R852">
        <v>2933261</v>
      </c>
    </row>
    <row r="853" spans="1:18" x14ac:dyDescent="0.25">
      <c r="A853" s="165">
        <v>45849</v>
      </c>
      <c r="B853" s="116">
        <v>273.3</v>
      </c>
      <c r="C853" s="116">
        <v>269.75</v>
      </c>
      <c r="D853" s="116">
        <v>267.14999999999998</v>
      </c>
      <c r="E853" s="116">
        <v>269</v>
      </c>
      <c r="F853" s="116">
        <v>269.75</v>
      </c>
      <c r="G853">
        <v>195033</v>
      </c>
      <c r="H853" s="116"/>
      <c r="I853" s="116"/>
      <c r="L853" s="165">
        <v>45849</v>
      </c>
      <c r="M853" s="116">
        <v>269.89999999999998</v>
      </c>
      <c r="N853" s="116">
        <v>273.35000000000002</v>
      </c>
      <c r="O853" s="116">
        <v>267.5</v>
      </c>
      <c r="P853" s="116">
        <v>270</v>
      </c>
      <c r="Q853" s="116">
        <v>269.89999999999998</v>
      </c>
      <c r="R853">
        <v>1716249</v>
      </c>
    </row>
    <row r="854" spans="1:18" x14ac:dyDescent="0.25">
      <c r="A854" s="165">
        <v>45852</v>
      </c>
      <c r="B854" s="116">
        <v>271.55</v>
      </c>
      <c r="C854" s="116">
        <v>267.89999999999998</v>
      </c>
      <c r="D854" s="116">
        <v>266.7</v>
      </c>
      <c r="E854" s="116">
        <v>269.89999999999998</v>
      </c>
      <c r="F854" s="116">
        <v>267.89999999999998</v>
      </c>
      <c r="G854">
        <v>49778</v>
      </c>
      <c r="H854" s="116"/>
      <c r="I854" s="116"/>
      <c r="L854" s="165">
        <v>45852</v>
      </c>
      <c r="M854" s="116">
        <v>268</v>
      </c>
      <c r="N854" s="116">
        <v>271.45</v>
      </c>
      <c r="O854" s="116">
        <v>266.5</v>
      </c>
      <c r="P854" s="116">
        <v>269.89999999999998</v>
      </c>
      <c r="Q854" s="116">
        <v>268</v>
      </c>
      <c r="R854">
        <v>965397</v>
      </c>
    </row>
    <row r="855" spans="1:18" x14ac:dyDescent="0.25">
      <c r="A855" s="165">
        <v>45853</v>
      </c>
      <c r="B855" s="116">
        <v>273.60000000000002</v>
      </c>
      <c r="C855" s="116">
        <v>263.25</v>
      </c>
      <c r="D855" s="116">
        <v>261.60000000000002</v>
      </c>
      <c r="E855" s="116">
        <v>273.60000000000002</v>
      </c>
      <c r="F855" s="116">
        <v>263.25</v>
      </c>
      <c r="G855">
        <v>109240</v>
      </c>
      <c r="H855" s="116"/>
      <c r="I855" s="116"/>
      <c r="L855" s="165">
        <v>45853</v>
      </c>
      <c r="M855" s="116">
        <v>263.14999999999998</v>
      </c>
      <c r="N855" s="116">
        <v>270.8</v>
      </c>
      <c r="O855" s="116">
        <v>261.5</v>
      </c>
      <c r="P855" s="116">
        <v>270.3</v>
      </c>
      <c r="Q855" s="116">
        <v>263.14999999999998</v>
      </c>
      <c r="R855">
        <v>3135066</v>
      </c>
    </row>
    <row r="856" spans="1:18" x14ac:dyDescent="0.25">
      <c r="A856" s="165">
        <v>45854</v>
      </c>
      <c r="B856" s="116">
        <v>263.25</v>
      </c>
      <c r="C856" s="116">
        <v>262.35000000000002</v>
      </c>
      <c r="D856" s="116">
        <v>259.89999999999998</v>
      </c>
      <c r="E856" s="116">
        <v>262.3</v>
      </c>
      <c r="F856" s="116">
        <v>262.35000000000002</v>
      </c>
      <c r="G856">
        <v>273894</v>
      </c>
      <c r="H856" s="116"/>
      <c r="I856" s="116"/>
      <c r="L856" s="165">
        <v>45854</v>
      </c>
      <c r="M856" s="116">
        <v>262.35000000000002</v>
      </c>
      <c r="N856" s="116">
        <v>263.39999999999998</v>
      </c>
      <c r="O856" s="116">
        <v>259.95</v>
      </c>
      <c r="P856" s="116">
        <v>263.2</v>
      </c>
      <c r="Q856" s="116">
        <v>262.35000000000002</v>
      </c>
      <c r="R856">
        <v>1906804</v>
      </c>
    </row>
    <row r="857" spans="1:18" x14ac:dyDescent="0.25">
      <c r="A857" s="165">
        <v>45855</v>
      </c>
      <c r="B857" s="116">
        <v>283.85000000000002</v>
      </c>
      <c r="C857" s="116">
        <v>278.25</v>
      </c>
      <c r="D857" s="116">
        <v>263.25</v>
      </c>
      <c r="E857" s="116">
        <v>263.25</v>
      </c>
      <c r="F857" s="116">
        <v>278.25</v>
      </c>
      <c r="G857">
        <v>4098250</v>
      </c>
      <c r="H857" s="116"/>
      <c r="I857" s="116"/>
      <c r="L857" s="165">
        <v>45855</v>
      </c>
      <c r="M857" s="116">
        <v>278.3</v>
      </c>
      <c r="N857" s="116">
        <v>283.7</v>
      </c>
      <c r="O857" s="116">
        <v>263.95</v>
      </c>
      <c r="P857" s="116">
        <v>264.39999999999998</v>
      </c>
      <c r="Q857" s="116">
        <v>278.3</v>
      </c>
      <c r="R857">
        <v>31430970</v>
      </c>
    </row>
    <row r="858" spans="1:18" x14ac:dyDescent="0.25">
      <c r="A858" s="165">
        <v>45856</v>
      </c>
      <c r="B858" s="116">
        <v>285.39999999999998</v>
      </c>
      <c r="C858" s="116">
        <v>274.60000000000002</v>
      </c>
      <c r="D858" s="116">
        <v>267.55</v>
      </c>
      <c r="E858" s="116">
        <v>282.05</v>
      </c>
      <c r="F858" s="116">
        <v>274.60000000000002</v>
      </c>
      <c r="G858">
        <v>136337950</v>
      </c>
      <c r="H858" s="116"/>
      <c r="I858" s="116"/>
      <c r="L858" s="165">
        <v>45856</v>
      </c>
      <c r="M858" s="116">
        <v>274.55</v>
      </c>
      <c r="N858" s="116">
        <v>286</v>
      </c>
      <c r="O858" s="116">
        <v>267.7</v>
      </c>
      <c r="P858" s="116">
        <v>282</v>
      </c>
      <c r="Q858" s="116">
        <v>274.55</v>
      </c>
      <c r="R858">
        <v>13431891</v>
      </c>
    </row>
    <row r="859" spans="1:18" x14ac:dyDescent="0.25">
      <c r="A859" s="165">
        <v>45859</v>
      </c>
      <c r="B859" s="116">
        <v>281.95</v>
      </c>
      <c r="C859" s="116">
        <v>278.8</v>
      </c>
      <c r="D859" s="116">
        <v>273</v>
      </c>
      <c r="E859" s="116">
        <v>274.3</v>
      </c>
      <c r="F859" s="116">
        <v>278.8</v>
      </c>
      <c r="G859">
        <v>411526</v>
      </c>
      <c r="H859" s="116"/>
      <c r="I859" s="116"/>
      <c r="L859" s="165">
        <v>45859</v>
      </c>
      <c r="M859" s="116">
        <v>278.8</v>
      </c>
      <c r="N859" s="116">
        <v>281.89999999999998</v>
      </c>
      <c r="O859" s="116">
        <v>273.05</v>
      </c>
      <c r="P859" s="116">
        <v>274.95</v>
      </c>
      <c r="Q859" s="116">
        <v>278.8</v>
      </c>
      <c r="R859">
        <v>4243661</v>
      </c>
    </row>
    <row r="860" spans="1:18" x14ac:dyDescent="0.25">
      <c r="A860" s="165">
        <v>45860</v>
      </c>
      <c r="B860" s="116">
        <v>282</v>
      </c>
      <c r="C860" s="116">
        <v>280.35000000000002</v>
      </c>
      <c r="D860" s="116">
        <v>277.25</v>
      </c>
      <c r="E860" s="116">
        <v>279</v>
      </c>
      <c r="F860" s="116">
        <v>280.35000000000002</v>
      </c>
      <c r="G860">
        <v>295867</v>
      </c>
      <c r="H860" s="116"/>
      <c r="I860" s="116"/>
      <c r="L860" s="165">
        <v>45860</v>
      </c>
      <c r="M860" s="116">
        <v>280.5</v>
      </c>
      <c r="N860" s="116">
        <v>282.2</v>
      </c>
      <c r="O860" s="116">
        <v>277.3</v>
      </c>
      <c r="P860" s="116">
        <v>279.10000000000002</v>
      </c>
      <c r="Q860" s="116">
        <v>280.5</v>
      </c>
      <c r="R860">
        <v>2678379</v>
      </c>
    </row>
    <row r="861" spans="1:18" x14ac:dyDescent="0.25">
      <c r="A861" s="165">
        <v>45861</v>
      </c>
      <c r="B861" s="116">
        <v>282.10000000000002</v>
      </c>
      <c r="C861" s="116">
        <v>280.7</v>
      </c>
      <c r="D861" s="116">
        <v>276.85000000000002</v>
      </c>
      <c r="E861" s="116">
        <v>280</v>
      </c>
      <c r="F861" s="116">
        <v>280.7</v>
      </c>
      <c r="G861">
        <v>210063</v>
      </c>
      <c r="H861" s="116"/>
      <c r="I861" s="116"/>
      <c r="L861" s="165">
        <v>45861</v>
      </c>
      <c r="M861" s="116">
        <v>280.35000000000002</v>
      </c>
      <c r="N861" s="116">
        <v>281.95</v>
      </c>
      <c r="O861" s="116">
        <v>277</v>
      </c>
      <c r="P861" s="116">
        <v>280.2</v>
      </c>
      <c r="Q861" s="116">
        <v>280.35000000000002</v>
      </c>
      <c r="R861">
        <v>7536041</v>
      </c>
    </row>
    <row r="862" spans="1:18" x14ac:dyDescent="0.25">
      <c r="A862" s="165">
        <v>45862</v>
      </c>
      <c r="B862" s="116">
        <v>280.2</v>
      </c>
      <c r="C862" s="116">
        <v>276.5</v>
      </c>
      <c r="D862" s="116">
        <v>276</v>
      </c>
      <c r="E862" s="116">
        <v>280.14999999999998</v>
      </c>
      <c r="F862" s="116">
        <v>276.5</v>
      </c>
      <c r="G862">
        <v>124740</v>
      </c>
      <c r="H862" s="116"/>
      <c r="I862" s="116"/>
      <c r="L862" s="165">
        <v>45862</v>
      </c>
      <c r="M862" s="116">
        <v>276.60000000000002</v>
      </c>
      <c r="N862" s="116">
        <v>280.5</v>
      </c>
      <c r="O862" s="116">
        <v>275.75</v>
      </c>
      <c r="P862" s="116">
        <v>280.5</v>
      </c>
      <c r="Q862" s="116">
        <v>276.60000000000002</v>
      </c>
      <c r="R862">
        <v>1234128</v>
      </c>
    </row>
    <row r="863" spans="1:18" x14ac:dyDescent="0.25">
      <c r="A863" s="165">
        <v>45863</v>
      </c>
      <c r="B863" s="116">
        <v>276.55</v>
      </c>
      <c r="C863" s="116">
        <v>270.14999999999998</v>
      </c>
      <c r="D863" s="116">
        <v>269</v>
      </c>
      <c r="E863" s="116">
        <v>276.5</v>
      </c>
      <c r="F863" s="116">
        <v>270.14999999999998</v>
      </c>
      <c r="G863">
        <v>56682</v>
      </c>
      <c r="H863" s="116"/>
      <c r="I863" s="116"/>
      <c r="L863" s="165">
        <v>45863</v>
      </c>
      <c r="M863" s="116">
        <v>270.14999999999998</v>
      </c>
      <c r="N863" s="116">
        <v>276.95</v>
      </c>
      <c r="O863" s="116">
        <v>269.10000000000002</v>
      </c>
      <c r="P863" s="116">
        <v>276.60000000000002</v>
      </c>
      <c r="Q863" s="116">
        <v>270.14999999999998</v>
      </c>
      <c r="R863">
        <v>1601115</v>
      </c>
    </row>
    <row r="864" spans="1:18" x14ac:dyDescent="0.25">
      <c r="A864" s="165">
        <v>45866</v>
      </c>
      <c r="B864" s="116">
        <v>273.8</v>
      </c>
      <c r="C864" s="116">
        <v>267.10000000000002</v>
      </c>
      <c r="D864" s="116">
        <v>264.64999999999998</v>
      </c>
      <c r="E864" s="116">
        <v>268.10000000000002</v>
      </c>
      <c r="F864" s="116">
        <v>267.10000000000002</v>
      </c>
      <c r="G864">
        <v>139786</v>
      </c>
      <c r="H864" s="116"/>
      <c r="I864" s="116"/>
      <c r="L864" s="165">
        <v>45866</v>
      </c>
      <c r="M864" s="116">
        <v>267.05</v>
      </c>
      <c r="N864" s="116">
        <v>273.75</v>
      </c>
      <c r="O864" s="116">
        <v>264.55</v>
      </c>
      <c r="P864" s="116">
        <v>268.5</v>
      </c>
      <c r="Q864" s="116">
        <v>267.05</v>
      </c>
      <c r="R864">
        <v>1599739</v>
      </c>
    </row>
    <row r="865" spans="1:18" x14ac:dyDescent="0.25">
      <c r="A865" s="165">
        <v>45867</v>
      </c>
      <c r="B865" s="116">
        <v>266.95</v>
      </c>
      <c r="C865" s="116">
        <v>264.8</v>
      </c>
      <c r="D865" s="116">
        <v>262.85000000000002</v>
      </c>
      <c r="E865" s="116">
        <v>265.55</v>
      </c>
      <c r="F865" s="116">
        <v>264.8</v>
      </c>
      <c r="G865">
        <v>87563</v>
      </c>
      <c r="H865" s="116"/>
      <c r="I865" s="116"/>
      <c r="L865" s="165">
        <v>45867</v>
      </c>
      <c r="M865" s="116">
        <v>264.89999999999998</v>
      </c>
      <c r="N865" s="116">
        <v>266.89999999999998</v>
      </c>
      <c r="O865" s="116">
        <v>262.8</v>
      </c>
      <c r="P865" s="116">
        <v>266.75</v>
      </c>
      <c r="Q865" s="116">
        <v>264.89999999999998</v>
      </c>
      <c r="R865">
        <v>873625</v>
      </c>
    </row>
    <row r="866" spans="1:18" x14ac:dyDescent="0.25">
      <c r="A866" s="165">
        <v>45868</v>
      </c>
      <c r="B866" s="116">
        <v>269</v>
      </c>
      <c r="C866" s="116">
        <v>267.2</v>
      </c>
      <c r="D866" s="116">
        <v>262.3</v>
      </c>
      <c r="E866" s="116">
        <v>264.8</v>
      </c>
      <c r="F866" s="116">
        <v>267.2</v>
      </c>
      <c r="G866">
        <v>46329</v>
      </c>
      <c r="H866" s="116"/>
      <c r="I866" s="116"/>
      <c r="L866" s="165">
        <v>45868</v>
      </c>
      <c r="M866" s="116">
        <v>267.55</v>
      </c>
      <c r="N866" s="116">
        <v>269.10000000000002</v>
      </c>
      <c r="O866" s="116">
        <v>262.39999999999998</v>
      </c>
      <c r="P866" s="116">
        <v>265.14999999999998</v>
      </c>
      <c r="Q866" s="116">
        <v>267.55</v>
      </c>
      <c r="R866">
        <v>1052032</v>
      </c>
    </row>
    <row r="867" spans="1:18" x14ac:dyDescent="0.25">
      <c r="A867" s="165">
        <v>45869</v>
      </c>
      <c r="B867" s="116">
        <v>266.5</v>
      </c>
      <c r="C867" s="116">
        <v>262.5</v>
      </c>
      <c r="D867" s="116">
        <v>261.2</v>
      </c>
      <c r="E867" s="116">
        <v>262.7</v>
      </c>
      <c r="F867" s="116">
        <v>262.5</v>
      </c>
      <c r="G867">
        <v>41615</v>
      </c>
      <c r="H867" s="116"/>
      <c r="I867" s="116"/>
      <c r="L867" s="165">
        <v>45869</v>
      </c>
      <c r="M867" s="116">
        <v>262.2</v>
      </c>
      <c r="N867" s="116">
        <v>266.39999999999998</v>
      </c>
      <c r="O867" s="116">
        <v>261.10000000000002</v>
      </c>
      <c r="P867" s="116">
        <v>263.2</v>
      </c>
      <c r="Q867" s="116">
        <v>262.2</v>
      </c>
      <c r="R867">
        <v>830652</v>
      </c>
    </row>
    <row r="868" spans="1:18" x14ac:dyDescent="0.25">
      <c r="A868" s="165">
        <v>45870</v>
      </c>
      <c r="B868" s="116">
        <v>265.60000000000002</v>
      </c>
      <c r="C868" s="116">
        <v>257.39999999999998</v>
      </c>
      <c r="D868" s="116">
        <v>256.5</v>
      </c>
      <c r="E868" s="116">
        <v>263.95</v>
      </c>
      <c r="F868" s="116">
        <v>257.39999999999998</v>
      </c>
      <c r="G868">
        <v>125614</v>
      </c>
      <c r="H868" s="116"/>
      <c r="I868" s="116"/>
      <c r="L868" s="165">
        <v>45870</v>
      </c>
      <c r="M868" s="116">
        <v>257.3</v>
      </c>
      <c r="N868" s="116">
        <v>265.64999999999998</v>
      </c>
      <c r="O868" s="116">
        <v>256.2</v>
      </c>
      <c r="P868" s="116">
        <v>262.25</v>
      </c>
      <c r="Q868" s="116">
        <v>257.3</v>
      </c>
      <c r="R868">
        <v>1177272</v>
      </c>
    </row>
    <row r="869" spans="1:18" x14ac:dyDescent="0.25">
      <c r="A869" s="165">
        <v>45873</v>
      </c>
      <c r="B869" s="116">
        <v>259</v>
      </c>
      <c r="C869" s="116">
        <v>257.35000000000002</v>
      </c>
      <c r="D869" s="116">
        <v>255.65</v>
      </c>
      <c r="E869" s="116">
        <v>257.85000000000002</v>
      </c>
      <c r="F869" s="116">
        <v>257.35000000000002</v>
      </c>
      <c r="G869">
        <v>95565</v>
      </c>
      <c r="H869" s="116"/>
      <c r="I869" s="116"/>
      <c r="L869" s="165">
        <v>45873</v>
      </c>
      <c r="M869" s="116">
        <v>257.3</v>
      </c>
      <c r="N869" s="116">
        <v>259.14999999999998</v>
      </c>
      <c r="O869" s="116">
        <v>255.6</v>
      </c>
      <c r="P869" s="116">
        <v>258.2</v>
      </c>
      <c r="Q869" s="116">
        <v>257.3</v>
      </c>
      <c r="R869">
        <v>753893</v>
      </c>
    </row>
    <row r="870" spans="1:18" x14ac:dyDescent="0.25">
      <c r="A870" s="165">
        <v>45874</v>
      </c>
      <c r="B870" s="116">
        <v>259.05</v>
      </c>
      <c r="C870" s="116">
        <v>253.45</v>
      </c>
      <c r="D870" s="116">
        <v>252.5</v>
      </c>
      <c r="E870" s="116">
        <v>257.5</v>
      </c>
      <c r="F870" s="116">
        <v>253.45</v>
      </c>
      <c r="G870">
        <v>113937</v>
      </c>
      <c r="H870" s="116"/>
      <c r="I870" s="116"/>
      <c r="L870" s="165">
        <v>45874</v>
      </c>
      <c r="M870" s="116">
        <v>253.5</v>
      </c>
      <c r="N870" s="116">
        <v>259.14999999999998</v>
      </c>
      <c r="O870" s="116">
        <v>252.55</v>
      </c>
      <c r="P870" s="116">
        <v>257.75</v>
      </c>
      <c r="Q870" s="116">
        <v>253.5</v>
      </c>
      <c r="R870">
        <v>994237</v>
      </c>
    </row>
    <row r="871" spans="1:18" x14ac:dyDescent="0.25">
      <c r="A871" s="165">
        <v>45875</v>
      </c>
      <c r="B871" s="116">
        <v>255.2</v>
      </c>
      <c r="C871" s="116">
        <v>252.95</v>
      </c>
      <c r="D871" s="116">
        <v>252.2</v>
      </c>
      <c r="E871" s="116">
        <v>253.5</v>
      </c>
      <c r="F871" s="116">
        <v>252.95</v>
      </c>
      <c r="G871">
        <v>41456</v>
      </c>
      <c r="H871" s="116"/>
      <c r="I871" s="116"/>
      <c r="L871" s="165">
        <v>45875</v>
      </c>
      <c r="M871" s="116">
        <v>252.9</v>
      </c>
      <c r="N871" s="116">
        <v>255.2</v>
      </c>
      <c r="O871" s="116">
        <v>252.25</v>
      </c>
      <c r="P871" s="116">
        <v>253.45</v>
      </c>
      <c r="Q871" s="116">
        <v>252.9</v>
      </c>
      <c r="R871">
        <v>699759</v>
      </c>
    </row>
    <row r="872" spans="1:18" x14ac:dyDescent="0.25">
      <c r="A872" s="165">
        <v>45876</v>
      </c>
      <c r="B872" s="116">
        <v>252.5</v>
      </c>
      <c r="C872" s="116">
        <v>250.75</v>
      </c>
      <c r="D872" s="116">
        <v>247.25</v>
      </c>
      <c r="E872" s="116">
        <v>252.3</v>
      </c>
      <c r="F872" s="116">
        <v>250.75</v>
      </c>
      <c r="G872">
        <v>164504</v>
      </c>
      <c r="H872" s="116"/>
      <c r="I872" s="116"/>
      <c r="L872" s="165">
        <v>45876</v>
      </c>
      <c r="M872" s="116">
        <v>250.7</v>
      </c>
      <c r="N872" s="116">
        <v>252.5</v>
      </c>
      <c r="O872" s="116">
        <v>247.15</v>
      </c>
      <c r="P872" s="116">
        <v>252</v>
      </c>
      <c r="Q872" s="116">
        <v>250.7</v>
      </c>
      <c r="R872">
        <v>982652</v>
      </c>
    </row>
    <row r="873" spans="1:18" x14ac:dyDescent="0.25">
      <c r="A873" s="165">
        <v>45877</v>
      </c>
      <c r="B873" s="116">
        <v>256.60000000000002</v>
      </c>
      <c r="C873" s="116">
        <v>254.1</v>
      </c>
      <c r="D873" s="116">
        <v>251.45</v>
      </c>
      <c r="E873" s="116">
        <v>254</v>
      </c>
      <c r="F873" s="116">
        <v>254.1</v>
      </c>
      <c r="G873">
        <v>146509</v>
      </c>
      <c r="H873" s="116"/>
      <c r="I873" s="116"/>
      <c r="L873" s="165">
        <v>45877</v>
      </c>
      <c r="M873" s="116">
        <v>254.15</v>
      </c>
      <c r="N873" s="116">
        <v>256.7</v>
      </c>
      <c r="O873" s="116">
        <v>251.65</v>
      </c>
      <c r="P873" s="116">
        <v>254</v>
      </c>
      <c r="Q873" s="116">
        <v>254.15</v>
      </c>
      <c r="R873">
        <v>924491</v>
      </c>
    </row>
    <row r="874" spans="1:18" x14ac:dyDescent="0.25">
      <c r="A874" s="165">
        <v>45880</v>
      </c>
      <c r="B874" s="116">
        <v>255.95</v>
      </c>
      <c r="C874" s="116">
        <v>255.4</v>
      </c>
      <c r="D874" s="116">
        <v>250.6</v>
      </c>
      <c r="E874" s="116">
        <v>254.1</v>
      </c>
      <c r="F874" s="116">
        <v>255.4</v>
      </c>
      <c r="G874">
        <v>56724</v>
      </c>
      <c r="H874" s="116"/>
      <c r="I874" s="116"/>
      <c r="L874" s="165">
        <v>45880</v>
      </c>
      <c r="M874" s="116">
        <v>255.25</v>
      </c>
      <c r="N874" s="116">
        <v>256</v>
      </c>
      <c r="O874" s="116">
        <v>250.6</v>
      </c>
      <c r="P874" s="116">
        <v>254.15</v>
      </c>
      <c r="Q874" s="116">
        <v>255.25</v>
      </c>
      <c r="R874">
        <v>635151</v>
      </c>
    </row>
    <row r="875" spans="1:18" x14ac:dyDescent="0.25">
      <c r="A875" s="165">
        <v>45881</v>
      </c>
      <c r="B875" s="116">
        <v>256.5</v>
      </c>
      <c r="C875" s="116">
        <v>252.5</v>
      </c>
      <c r="D875" s="116">
        <v>251.5</v>
      </c>
      <c r="E875" s="116">
        <v>256.5</v>
      </c>
      <c r="F875" s="116">
        <v>252.5</v>
      </c>
      <c r="G875">
        <v>66951</v>
      </c>
      <c r="H875" s="116"/>
      <c r="I875" s="116"/>
      <c r="L875" s="165">
        <v>45881</v>
      </c>
      <c r="M875" s="116">
        <v>252.6</v>
      </c>
      <c r="N875" s="116">
        <v>256.14999999999998</v>
      </c>
      <c r="O875" s="116">
        <v>251.65</v>
      </c>
      <c r="P875" s="116">
        <v>256.05</v>
      </c>
      <c r="Q875" s="116">
        <v>252.6</v>
      </c>
      <c r="R875">
        <v>523944</v>
      </c>
    </row>
    <row r="876" spans="1:18" x14ac:dyDescent="0.25">
      <c r="A876" s="165">
        <v>45882</v>
      </c>
      <c r="B876" s="116">
        <v>254</v>
      </c>
      <c r="C876" s="116">
        <v>252.5</v>
      </c>
      <c r="D876" s="116">
        <v>252</v>
      </c>
      <c r="E876" s="116">
        <v>254</v>
      </c>
      <c r="F876" s="116">
        <v>252.5</v>
      </c>
      <c r="G876">
        <v>27553</v>
      </c>
      <c r="H876" s="116"/>
      <c r="I876" s="116"/>
      <c r="L876" s="165">
        <v>45882</v>
      </c>
      <c r="M876" s="116">
        <v>252.5</v>
      </c>
      <c r="N876" s="116">
        <v>253.95</v>
      </c>
      <c r="O876" s="116">
        <v>251.8</v>
      </c>
      <c r="P876" s="116">
        <v>253.85</v>
      </c>
      <c r="Q876" s="116">
        <v>252.5</v>
      </c>
      <c r="R876">
        <v>442708</v>
      </c>
    </row>
    <row r="877" spans="1:18" x14ac:dyDescent="0.25">
      <c r="A877" s="165">
        <v>45883</v>
      </c>
      <c r="B877" s="116">
        <v>254.25</v>
      </c>
      <c r="C877" s="116">
        <v>249.8</v>
      </c>
      <c r="D877" s="116">
        <v>248.85</v>
      </c>
      <c r="E877" s="116">
        <v>252.5</v>
      </c>
      <c r="F877" s="116">
        <v>249.8</v>
      </c>
      <c r="G877">
        <v>75355</v>
      </c>
      <c r="H877" s="116"/>
      <c r="I877" s="116"/>
      <c r="L877" s="165">
        <v>45883</v>
      </c>
      <c r="M877" s="116">
        <v>249.9</v>
      </c>
      <c r="N877" s="116">
        <v>254.1</v>
      </c>
      <c r="O877" s="116">
        <v>249</v>
      </c>
      <c r="P877" s="116">
        <v>252.5</v>
      </c>
      <c r="Q877" s="116">
        <v>249.9</v>
      </c>
      <c r="R877">
        <v>633770</v>
      </c>
    </row>
    <row r="878" spans="1:18" x14ac:dyDescent="0.25">
      <c r="A878" s="165">
        <v>45887</v>
      </c>
      <c r="B878" s="116">
        <v>253.3</v>
      </c>
      <c r="C878" s="116">
        <v>251</v>
      </c>
      <c r="D878" s="116">
        <v>250.1</v>
      </c>
      <c r="E878" s="116">
        <v>252.5</v>
      </c>
      <c r="F878" s="116">
        <v>251</v>
      </c>
      <c r="G878">
        <v>66453</v>
      </c>
      <c r="H878" s="116"/>
      <c r="I878" s="116"/>
      <c r="L878" s="165">
        <v>45887</v>
      </c>
      <c r="M878" s="116">
        <v>251.25</v>
      </c>
      <c r="N878" s="116">
        <v>253.7</v>
      </c>
      <c r="O878" s="116">
        <v>250.25</v>
      </c>
      <c r="P878" s="116">
        <v>252.65</v>
      </c>
      <c r="Q878" s="116">
        <v>251.25</v>
      </c>
      <c r="R878">
        <v>876276</v>
      </c>
    </row>
    <row r="879" spans="1:18" x14ac:dyDescent="0.25">
      <c r="A879" s="165">
        <v>45888</v>
      </c>
      <c r="B879" s="116">
        <v>260</v>
      </c>
      <c r="C879" s="116">
        <v>259.64999999999998</v>
      </c>
      <c r="D879" s="116">
        <v>251</v>
      </c>
      <c r="E879" s="116">
        <v>251.25</v>
      </c>
      <c r="F879" s="116">
        <v>259.64999999999998</v>
      </c>
      <c r="G879">
        <v>60077</v>
      </c>
      <c r="H879" s="116"/>
      <c r="I879" s="116"/>
      <c r="L879" s="165">
        <v>45888</v>
      </c>
      <c r="M879" s="116">
        <v>259.55</v>
      </c>
      <c r="N879" s="116">
        <v>260.7</v>
      </c>
      <c r="O879" s="116">
        <v>250.65</v>
      </c>
      <c r="P879" s="116">
        <v>251.25</v>
      </c>
      <c r="Q879" s="116">
        <v>259.55</v>
      </c>
      <c r="R879">
        <v>1369271</v>
      </c>
    </row>
    <row r="880" spans="1:18" x14ac:dyDescent="0.25">
      <c r="A880" s="165">
        <v>45889</v>
      </c>
      <c r="B880" s="116">
        <v>263</v>
      </c>
      <c r="C880" s="116">
        <v>260.95</v>
      </c>
      <c r="D880" s="116">
        <v>258</v>
      </c>
      <c r="E880" s="116">
        <v>259.7</v>
      </c>
      <c r="F880" s="116">
        <v>260.95</v>
      </c>
      <c r="G880">
        <v>106712</v>
      </c>
      <c r="H880" s="116"/>
      <c r="I880" s="116"/>
      <c r="L880" s="165">
        <v>45889</v>
      </c>
      <c r="M880" s="116">
        <v>260.95</v>
      </c>
      <c r="N880" s="116">
        <v>263.05</v>
      </c>
      <c r="O880" s="116">
        <v>258.05</v>
      </c>
      <c r="P880" s="116">
        <v>260</v>
      </c>
      <c r="Q880" s="116">
        <v>260.95</v>
      </c>
      <c r="R880">
        <v>686658</v>
      </c>
    </row>
    <row r="881" spans="1:18" x14ac:dyDescent="0.25">
      <c r="A881" s="165">
        <v>45890</v>
      </c>
      <c r="B881" s="116">
        <v>263</v>
      </c>
      <c r="C881" s="116">
        <v>259.89999999999998</v>
      </c>
      <c r="D881" s="116">
        <v>258.3</v>
      </c>
      <c r="E881" s="116">
        <v>262.3</v>
      </c>
      <c r="F881" s="116">
        <v>259.89999999999998</v>
      </c>
      <c r="G881">
        <v>155715</v>
      </c>
      <c r="H881" s="116"/>
      <c r="I881" s="116"/>
      <c r="L881" s="165">
        <v>45890</v>
      </c>
      <c r="M881" s="116">
        <v>260</v>
      </c>
      <c r="N881" s="116">
        <v>263.39999999999998</v>
      </c>
      <c r="O881" s="116">
        <v>259</v>
      </c>
      <c r="P881" s="116">
        <v>263.39999999999998</v>
      </c>
      <c r="Q881" s="116">
        <v>260</v>
      </c>
      <c r="R881">
        <v>484167</v>
      </c>
    </row>
    <row r="882" spans="1:18" x14ac:dyDescent="0.25">
      <c r="A882" s="165">
        <v>45891</v>
      </c>
      <c r="B882" s="116">
        <v>260.89999999999998</v>
      </c>
      <c r="C882" s="116">
        <v>258.35000000000002</v>
      </c>
      <c r="D882" s="116">
        <v>257.35000000000002</v>
      </c>
      <c r="E882" s="116">
        <v>260</v>
      </c>
      <c r="F882" s="116">
        <v>258.35000000000002</v>
      </c>
      <c r="G882">
        <v>24463</v>
      </c>
      <c r="H882" s="116"/>
      <c r="I882" s="116"/>
      <c r="L882" s="165">
        <v>45891</v>
      </c>
      <c r="M882" s="116">
        <v>258.39999999999998</v>
      </c>
      <c r="N882" s="116">
        <v>260.89999999999998</v>
      </c>
      <c r="O882" s="116">
        <v>257.25</v>
      </c>
      <c r="P882" s="116">
        <v>259.85000000000002</v>
      </c>
      <c r="Q882" s="116">
        <v>258.39999999999998</v>
      </c>
      <c r="R882">
        <v>466635</v>
      </c>
    </row>
    <row r="883" spans="1:18" x14ac:dyDescent="0.25">
      <c r="A883" s="165">
        <v>45894</v>
      </c>
      <c r="B883" s="116">
        <v>260</v>
      </c>
      <c r="C883" s="116">
        <v>259.75</v>
      </c>
      <c r="D883" s="116">
        <v>255.5</v>
      </c>
      <c r="E883" s="116">
        <v>258.5</v>
      </c>
      <c r="F883" s="116">
        <v>259.75</v>
      </c>
      <c r="G883">
        <v>43320</v>
      </c>
      <c r="H883" s="116"/>
      <c r="I883" s="116"/>
      <c r="L883" s="165">
        <v>45894</v>
      </c>
      <c r="M883" s="116">
        <v>259.64999999999998</v>
      </c>
      <c r="N883" s="116">
        <v>260.5</v>
      </c>
      <c r="O883" s="116">
        <v>255.6</v>
      </c>
      <c r="P883" s="116">
        <v>259</v>
      </c>
      <c r="Q883" s="116">
        <v>259.64999999999998</v>
      </c>
      <c r="R883">
        <v>679911</v>
      </c>
    </row>
    <row r="884" spans="1:18" x14ac:dyDescent="0.25">
      <c r="A884" s="165">
        <v>45895</v>
      </c>
      <c r="B884" s="116">
        <v>259.05</v>
      </c>
      <c r="C884" s="116">
        <v>251.9</v>
      </c>
      <c r="D884" s="116">
        <v>251.35</v>
      </c>
      <c r="E884" s="116">
        <v>258.39999999999998</v>
      </c>
      <c r="F884" s="116">
        <v>251.9</v>
      </c>
      <c r="G884">
        <v>97636</v>
      </c>
      <c r="H884" s="116"/>
      <c r="I884" s="116"/>
      <c r="L884" s="165">
        <v>45895</v>
      </c>
      <c r="M884" s="116">
        <v>251.95</v>
      </c>
      <c r="N884" s="116">
        <v>259.35000000000002</v>
      </c>
      <c r="O884" s="116">
        <v>251.3</v>
      </c>
      <c r="P884" s="116">
        <v>258.89999999999998</v>
      </c>
      <c r="Q884" s="116">
        <v>251.95</v>
      </c>
      <c r="R884">
        <v>946938</v>
      </c>
    </row>
    <row r="885" spans="1:18" x14ac:dyDescent="0.25">
      <c r="A885" s="165">
        <v>45897</v>
      </c>
      <c r="B885" s="116">
        <v>252.8</v>
      </c>
      <c r="C885" s="116">
        <v>249.4</v>
      </c>
      <c r="D885" s="116">
        <v>247.65</v>
      </c>
      <c r="E885" s="116">
        <v>251.9</v>
      </c>
      <c r="F885" s="116">
        <v>249.4</v>
      </c>
      <c r="G885">
        <v>102573</v>
      </c>
      <c r="H885" s="116"/>
      <c r="I885" s="116"/>
      <c r="L885" s="165">
        <v>45897</v>
      </c>
      <c r="M885" s="116">
        <v>249.6</v>
      </c>
      <c r="N885" s="116">
        <v>253.2</v>
      </c>
      <c r="O885" s="116">
        <v>247.55</v>
      </c>
      <c r="P885" s="116">
        <v>252.5</v>
      </c>
      <c r="Q885" s="116">
        <v>249.6</v>
      </c>
      <c r="R885">
        <v>1569139</v>
      </c>
    </row>
    <row r="886" spans="1:18" x14ac:dyDescent="0.25">
      <c r="A886" s="165">
        <v>45898</v>
      </c>
      <c r="B886" s="116">
        <v>254.55</v>
      </c>
      <c r="C886" s="116">
        <v>251.75</v>
      </c>
      <c r="D886" s="116">
        <v>249.45</v>
      </c>
      <c r="E886" s="116">
        <v>249.6</v>
      </c>
      <c r="F886" s="116">
        <v>251.75</v>
      </c>
      <c r="G886">
        <v>66756</v>
      </c>
      <c r="H886" s="116"/>
      <c r="I886" s="116"/>
      <c r="L886" s="165">
        <v>45898</v>
      </c>
      <c r="M886" s="116">
        <v>251.5</v>
      </c>
      <c r="N886" s="116">
        <v>254.65</v>
      </c>
      <c r="O886" s="116">
        <v>249.4</v>
      </c>
      <c r="P886" s="116">
        <v>249.65</v>
      </c>
      <c r="Q886" s="116">
        <v>251.5</v>
      </c>
      <c r="R886">
        <v>746956</v>
      </c>
    </row>
    <row r="887" spans="1:18" x14ac:dyDescent="0.25">
      <c r="A887" s="165">
        <v>45901</v>
      </c>
      <c r="B887" s="116">
        <v>253.2</v>
      </c>
      <c r="C887" s="116">
        <v>250</v>
      </c>
      <c r="D887" s="116">
        <v>249.6</v>
      </c>
      <c r="E887" s="116">
        <v>251.05</v>
      </c>
      <c r="F887" s="116">
        <v>250</v>
      </c>
      <c r="G887">
        <v>120910</v>
      </c>
      <c r="H887" s="116"/>
      <c r="I887" s="116"/>
      <c r="L887" s="165">
        <v>45901</v>
      </c>
      <c r="M887" s="116">
        <v>249.95</v>
      </c>
      <c r="N887" s="116">
        <v>253.25</v>
      </c>
      <c r="O887" s="116">
        <v>249.75</v>
      </c>
      <c r="P887" s="116">
        <v>252.5</v>
      </c>
      <c r="Q887" s="116">
        <v>249.95</v>
      </c>
      <c r="R887">
        <v>729499</v>
      </c>
    </row>
    <row r="888" spans="1:18" x14ac:dyDescent="0.25">
      <c r="A888" s="165">
        <v>45902</v>
      </c>
      <c r="B888" s="116">
        <v>259.5</v>
      </c>
      <c r="C888" s="116">
        <v>257.2</v>
      </c>
      <c r="D888" s="116">
        <v>250</v>
      </c>
      <c r="E888" s="116">
        <v>251.1</v>
      </c>
      <c r="F888" s="116">
        <v>257.2</v>
      </c>
      <c r="G888">
        <v>206059</v>
      </c>
      <c r="H888" s="116"/>
      <c r="I888" s="116"/>
      <c r="L888" s="165">
        <v>45902</v>
      </c>
      <c r="M888" s="116">
        <v>257.39999999999998</v>
      </c>
      <c r="N888" s="116">
        <v>259.7</v>
      </c>
      <c r="O888" s="116">
        <v>250</v>
      </c>
      <c r="P888" s="116">
        <v>251.4</v>
      </c>
      <c r="Q888" s="116">
        <v>257.39999999999998</v>
      </c>
      <c r="R888">
        <v>1831058</v>
      </c>
    </row>
    <row r="889" spans="1:18" x14ac:dyDescent="0.25">
      <c r="A889" s="165">
        <v>45903</v>
      </c>
      <c r="B889" s="116">
        <v>268.39999999999998</v>
      </c>
      <c r="C889" s="116">
        <v>267.25</v>
      </c>
      <c r="D889" s="116">
        <v>256</v>
      </c>
      <c r="E889" s="116">
        <v>256.8</v>
      </c>
      <c r="F889" s="116">
        <v>267.25</v>
      </c>
      <c r="G889">
        <v>113596</v>
      </c>
      <c r="H889" s="116"/>
      <c r="I889" s="116"/>
      <c r="L889" s="165">
        <v>45903</v>
      </c>
      <c r="M889" s="116">
        <v>267.25</v>
      </c>
      <c r="N889" s="116">
        <v>268.3</v>
      </c>
      <c r="O889" s="116">
        <v>255.6</v>
      </c>
      <c r="P889" s="116">
        <v>256</v>
      </c>
      <c r="Q889" s="116">
        <v>267.25</v>
      </c>
      <c r="R889">
        <v>2412811</v>
      </c>
    </row>
    <row r="890" spans="1:18" x14ac:dyDescent="0.25">
      <c r="A890" s="165">
        <v>45904</v>
      </c>
      <c r="B890" s="116">
        <v>271</v>
      </c>
      <c r="C890" s="116">
        <v>265.55</v>
      </c>
      <c r="D890" s="116">
        <v>264.85000000000002</v>
      </c>
      <c r="E890" s="116">
        <v>269.89999999999998</v>
      </c>
      <c r="F890" s="116">
        <v>265.55</v>
      </c>
      <c r="G890">
        <v>179231</v>
      </c>
      <c r="H890" s="116"/>
      <c r="I890" s="116"/>
      <c r="L890" s="165">
        <v>45904</v>
      </c>
      <c r="M890" s="116">
        <v>265.85000000000002</v>
      </c>
      <c r="N890" s="116">
        <v>271.2</v>
      </c>
      <c r="O890" s="116">
        <v>264.85000000000002</v>
      </c>
      <c r="P890" s="116">
        <v>269.7</v>
      </c>
      <c r="Q890" s="116">
        <v>265.85000000000002</v>
      </c>
      <c r="R890">
        <v>1557168</v>
      </c>
    </row>
    <row r="891" spans="1:18" x14ac:dyDescent="0.25">
      <c r="A891" s="165">
        <v>45905</v>
      </c>
      <c r="B891" s="116">
        <v>266.55</v>
      </c>
      <c r="C891" s="116">
        <v>262.85000000000002</v>
      </c>
      <c r="D891" s="116">
        <v>261.5</v>
      </c>
      <c r="E891" s="116">
        <v>265.14999999999998</v>
      </c>
      <c r="F891" s="116">
        <v>262.85000000000002</v>
      </c>
      <c r="G891">
        <v>50408</v>
      </c>
      <c r="H891" s="116"/>
      <c r="I891" s="116"/>
      <c r="L891" s="165">
        <v>45905</v>
      </c>
      <c r="M891" s="116">
        <v>262.75</v>
      </c>
      <c r="N891" s="116">
        <v>266.5</v>
      </c>
      <c r="O891" s="116">
        <v>261.39999999999998</v>
      </c>
      <c r="P891" s="116">
        <v>265.75</v>
      </c>
      <c r="Q891" s="116">
        <v>262.75</v>
      </c>
      <c r="R891">
        <v>533381</v>
      </c>
    </row>
    <row r="892" spans="1:18" x14ac:dyDescent="0.25">
      <c r="A892" s="165">
        <v>45908</v>
      </c>
      <c r="B892" s="116">
        <v>264</v>
      </c>
      <c r="C892" s="116">
        <v>261.10000000000002</v>
      </c>
      <c r="D892" s="116">
        <v>260.05</v>
      </c>
      <c r="E892" s="116">
        <v>262.2</v>
      </c>
      <c r="F892" s="116">
        <v>261.10000000000002</v>
      </c>
      <c r="G892">
        <v>114346</v>
      </c>
      <c r="H892" s="116"/>
      <c r="I892" s="116"/>
      <c r="L892" s="165">
        <v>45908</v>
      </c>
      <c r="M892" s="116">
        <v>261.10000000000002</v>
      </c>
      <c r="N892" s="116">
        <v>264.3</v>
      </c>
      <c r="O892" s="116">
        <v>259.95</v>
      </c>
      <c r="P892" s="116">
        <v>262.25</v>
      </c>
      <c r="Q892" s="116">
        <v>261.10000000000002</v>
      </c>
      <c r="R892">
        <v>814336</v>
      </c>
    </row>
    <row r="893" spans="1:18" x14ac:dyDescent="0.25">
      <c r="A893" s="165">
        <v>45909</v>
      </c>
      <c r="B893" s="116">
        <v>262.55</v>
      </c>
      <c r="C893" s="116">
        <v>256.8</v>
      </c>
      <c r="D893" s="116">
        <v>256.10000000000002</v>
      </c>
      <c r="E893" s="116">
        <v>260.2</v>
      </c>
      <c r="F893" s="116">
        <v>256.8</v>
      </c>
      <c r="G893">
        <v>98939</v>
      </c>
      <c r="H893" s="116"/>
      <c r="I893" s="116"/>
      <c r="L893" s="165">
        <v>45909</v>
      </c>
      <c r="M893" s="116">
        <v>256.89999999999998</v>
      </c>
      <c r="N893" s="116">
        <v>262.25</v>
      </c>
      <c r="O893" s="116">
        <v>256.2</v>
      </c>
      <c r="P893" s="116">
        <v>260.60000000000002</v>
      </c>
      <c r="Q893" s="116">
        <v>256.89999999999998</v>
      </c>
      <c r="R893">
        <v>697324</v>
      </c>
    </row>
    <row r="894" spans="1:18" x14ac:dyDescent="0.25">
      <c r="A894" s="165">
        <v>45910</v>
      </c>
      <c r="B894" s="116">
        <v>261</v>
      </c>
      <c r="C894" s="116">
        <v>256.3</v>
      </c>
      <c r="D894" s="116">
        <v>255.55</v>
      </c>
      <c r="E894" s="116">
        <v>257.39999999999998</v>
      </c>
      <c r="F894" s="116">
        <v>256.3</v>
      </c>
      <c r="G894">
        <v>40340</v>
      </c>
      <c r="H894" s="116"/>
      <c r="I894" s="116"/>
      <c r="L894" s="165">
        <v>45910</v>
      </c>
      <c r="M894" s="116">
        <v>256.25</v>
      </c>
      <c r="N894" s="116">
        <v>261.14999999999998</v>
      </c>
      <c r="O894" s="116">
        <v>255.55</v>
      </c>
      <c r="P894" s="116">
        <v>258.10000000000002</v>
      </c>
      <c r="Q894" s="116">
        <v>256.25</v>
      </c>
      <c r="R894">
        <v>737852</v>
      </c>
    </row>
    <row r="895" spans="1:18" x14ac:dyDescent="0.25">
      <c r="A895" s="165">
        <v>45911</v>
      </c>
      <c r="B895" s="116">
        <v>266.05</v>
      </c>
      <c r="C895" s="116">
        <v>258.55</v>
      </c>
      <c r="D895" s="116">
        <v>257.10000000000002</v>
      </c>
      <c r="E895" s="116">
        <v>257.55</v>
      </c>
      <c r="F895" s="116">
        <v>258.55</v>
      </c>
      <c r="G895">
        <v>208647</v>
      </c>
      <c r="H895" s="116"/>
      <c r="I895" s="116"/>
      <c r="L895" s="165">
        <v>45911</v>
      </c>
      <c r="M895" s="116">
        <v>258.8</v>
      </c>
      <c r="N895" s="116">
        <v>266.45</v>
      </c>
      <c r="O895" s="116">
        <v>256.45</v>
      </c>
      <c r="P895" s="116">
        <v>256.45</v>
      </c>
      <c r="Q895" s="116">
        <v>258.8</v>
      </c>
      <c r="R895">
        <v>1662201</v>
      </c>
    </row>
    <row r="896" spans="1:18" x14ac:dyDescent="0.25">
      <c r="A896" s="165">
        <v>45912</v>
      </c>
      <c r="B896" s="116">
        <v>261.95</v>
      </c>
      <c r="C896" s="116">
        <v>260.35000000000002</v>
      </c>
      <c r="D896" s="116">
        <v>258.89999999999998</v>
      </c>
      <c r="E896" s="116">
        <v>259.14999999999998</v>
      </c>
      <c r="F896" s="116">
        <v>260.35000000000002</v>
      </c>
      <c r="G896">
        <v>48736</v>
      </c>
      <c r="H896" s="116"/>
      <c r="I896" s="116"/>
      <c r="L896" s="165">
        <v>45912</v>
      </c>
      <c r="M896" s="116">
        <v>260.39999999999998</v>
      </c>
      <c r="N896" s="116">
        <v>261.89999999999998</v>
      </c>
      <c r="O896" s="116">
        <v>259</v>
      </c>
      <c r="P896" s="116">
        <v>259.89999999999998</v>
      </c>
      <c r="Q896" s="116">
        <v>260.39999999999998</v>
      </c>
      <c r="R896">
        <v>685947</v>
      </c>
    </row>
    <row r="897" spans="1:18" x14ac:dyDescent="0.25">
      <c r="A897" s="165">
        <v>45915</v>
      </c>
      <c r="B897" s="116">
        <v>260.95</v>
      </c>
      <c r="C897" s="116">
        <v>258.25</v>
      </c>
      <c r="D897" s="116">
        <v>257.64999999999998</v>
      </c>
      <c r="E897" s="116">
        <v>260.95</v>
      </c>
      <c r="F897" s="116">
        <v>258.25</v>
      </c>
      <c r="G897">
        <v>67636</v>
      </c>
      <c r="H897" s="116"/>
      <c r="I897" s="116"/>
      <c r="L897" s="165">
        <v>45915</v>
      </c>
      <c r="M897" s="116">
        <v>258.25</v>
      </c>
      <c r="N897" s="116">
        <v>260.89999999999998</v>
      </c>
      <c r="O897" s="116">
        <v>257.60000000000002</v>
      </c>
      <c r="P897" s="116">
        <v>260.39999999999998</v>
      </c>
      <c r="Q897" s="116">
        <v>258.25</v>
      </c>
      <c r="R897">
        <v>681054</v>
      </c>
    </row>
    <row r="898" spans="1:18" x14ac:dyDescent="0.25">
      <c r="A898" s="165">
        <v>45916</v>
      </c>
      <c r="B898" s="116">
        <v>261.95</v>
      </c>
      <c r="C898" s="116">
        <v>260.89999999999998</v>
      </c>
      <c r="D898" s="116">
        <v>258.35000000000002</v>
      </c>
      <c r="E898" s="116">
        <v>259.3</v>
      </c>
      <c r="F898" s="116">
        <v>260.89999999999998</v>
      </c>
      <c r="G898">
        <v>115200</v>
      </c>
      <c r="H898" s="116"/>
      <c r="I898" s="116"/>
      <c r="L898" s="165">
        <v>45916</v>
      </c>
      <c r="M898" s="116">
        <v>260.64999999999998</v>
      </c>
      <c r="N898" s="116">
        <v>261.89999999999998</v>
      </c>
      <c r="O898" s="116">
        <v>258.39999999999998</v>
      </c>
      <c r="P898" s="116">
        <v>260</v>
      </c>
      <c r="Q898" s="116">
        <v>260.64999999999998</v>
      </c>
      <c r="R898">
        <v>630666</v>
      </c>
    </row>
    <row r="899" spans="1:18" x14ac:dyDescent="0.25">
      <c r="A899" s="165">
        <v>45917</v>
      </c>
      <c r="B899" s="116">
        <v>262.89999999999998</v>
      </c>
      <c r="C899" s="116">
        <v>259.55</v>
      </c>
      <c r="D899" s="116">
        <v>258.75</v>
      </c>
      <c r="E899" s="116">
        <v>262</v>
      </c>
      <c r="F899" s="116">
        <v>259.55</v>
      </c>
      <c r="G899">
        <v>96322</v>
      </c>
      <c r="H899" s="116"/>
      <c r="I899" s="116"/>
      <c r="L899" s="165">
        <v>45917</v>
      </c>
      <c r="M899" s="116">
        <v>259.3</v>
      </c>
      <c r="N899" s="116">
        <v>262.8</v>
      </c>
      <c r="O899" s="116">
        <v>258.7</v>
      </c>
      <c r="P899" s="116">
        <v>261.8</v>
      </c>
      <c r="Q899" s="116">
        <v>259.3</v>
      </c>
      <c r="R899">
        <v>1064316</v>
      </c>
    </row>
    <row r="900" spans="1:18" x14ac:dyDescent="0.25">
      <c r="A900" s="165">
        <v>45918</v>
      </c>
      <c r="B900" s="116">
        <v>261.35000000000002</v>
      </c>
      <c r="C900" s="116">
        <v>259.5</v>
      </c>
      <c r="D900" s="116">
        <v>258.8</v>
      </c>
      <c r="E900" s="116">
        <v>259.25</v>
      </c>
      <c r="F900" s="116">
        <v>259.5</v>
      </c>
      <c r="G900">
        <v>82452</v>
      </c>
      <c r="H900" s="116"/>
      <c r="I900" s="116"/>
      <c r="L900" s="165">
        <v>45918</v>
      </c>
      <c r="M900" s="116">
        <v>259.60000000000002</v>
      </c>
      <c r="N900" s="116">
        <v>261.39999999999998</v>
      </c>
      <c r="O900" s="116">
        <v>258.75</v>
      </c>
      <c r="P900" s="116">
        <v>260.45</v>
      </c>
      <c r="Q900" s="116">
        <v>259.60000000000002</v>
      </c>
      <c r="R900">
        <v>789325</v>
      </c>
    </row>
    <row r="901" spans="1:18" x14ac:dyDescent="0.25">
      <c r="A901" s="165">
        <v>45919</v>
      </c>
      <c r="B901" s="116">
        <v>267.3</v>
      </c>
      <c r="C901" s="116">
        <v>257.14999999999998</v>
      </c>
      <c r="D901" s="116">
        <v>252.8</v>
      </c>
      <c r="E901" s="116">
        <v>264.3</v>
      </c>
      <c r="F901" s="116">
        <v>257.14999999999998</v>
      </c>
      <c r="G901">
        <v>504268</v>
      </c>
      <c r="H901" s="116"/>
      <c r="I901" s="116"/>
      <c r="L901" s="165">
        <v>45919</v>
      </c>
      <c r="M901" s="116">
        <v>256.95</v>
      </c>
      <c r="N901" s="116">
        <v>267.85000000000002</v>
      </c>
      <c r="O901" s="116">
        <v>252.05</v>
      </c>
      <c r="P901" s="116">
        <v>264</v>
      </c>
      <c r="Q901" s="116">
        <v>256.95</v>
      </c>
      <c r="R901">
        <v>12640297</v>
      </c>
    </row>
    <row r="902" spans="1:18" x14ac:dyDescent="0.25">
      <c r="A902" s="165">
        <v>45922</v>
      </c>
      <c r="B902" s="116">
        <v>278.5</v>
      </c>
      <c r="C902" s="116">
        <v>271.3</v>
      </c>
      <c r="D902" s="116">
        <v>254</v>
      </c>
      <c r="E902" s="116">
        <v>254.65</v>
      </c>
      <c r="F902" s="116">
        <v>271.3</v>
      </c>
      <c r="G902">
        <v>2543561</v>
      </c>
      <c r="H902" s="116"/>
      <c r="I902" s="116"/>
      <c r="L902" s="165">
        <v>45922</v>
      </c>
      <c r="M902" s="116">
        <v>271.10000000000002</v>
      </c>
      <c r="N902" s="116">
        <v>278.7</v>
      </c>
      <c r="O902" s="116">
        <v>253.75</v>
      </c>
      <c r="P902" s="116">
        <v>254</v>
      </c>
      <c r="Q902" s="116">
        <v>271.10000000000002</v>
      </c>
      <c r="R902">
        <v>30273044</v>
      </c>
    </row>
    <row r="903" spans="1:18" x14ac:dyDescent="0.25">
      <c r="A903" s="165">
        <v>45923</v>
      </c>
      <c r="B903" s="116">
        <v>273</v>
      </c>
      <c r="C903" s="116">
        <v>259.95</v>
      </c>
      <c r="D903" s="116">
        <v>259.35000000000002</v>
      </c>
      <c r="E903" s="116">
        <v>271.35000000000002</v>
      </c>
      <c r="F903" s="116">
        <v>259.95</v>
      </c>
      <c r="G903">
        <v>528835</v>
      </c>
      <c r="H903" s="116"/>
      <c r="I903" s="116"/>
      <c r="L903" s="165">
        <v>45923</v>
      </c>
      <c r="M903" s="116">
        <v>260.10000000000002</v>
      </c>
      <c r="N903" s="116">
        <v>273.39999999999998</v>
      </c>
      <c r="O903" s="116">
        <v>259.5</v>
      </c>
      <c r="P903" s="116">
        <v>272.2</v>
      </c>
      <c r="Q903" s="116">
        <v>260.10000000000002</v>
      </c>
      <c r="R903">
        <v>5377628</v>
      </c>
    </row>
    <row r="904" spans="1:18" x14ac:dyDescent="0.25">
      <c r="A904" s="165">
        <v>45924</v>
      </c>
      <c r="B904" s="116">
        <v>261.05</v>
      </c>
      <c r="C904" s="116">
        <v>252.85</v>
      </c>
      <c r="D904" s="116">
        <v>252</v>
      </c>
      <c r="E904" s="116">
        <v>260.25</v>
      </c>
      <c r="F904" s="116">
        <v>252.85</v>
      </c>
      <c r="G904">
        <v>164711</v>
      </c>
      <c r="H904" s="116"/>
      <c r="I904" s="116"/>
      <c r="L904" s="165">
        <v>45924</v>
      </c>
      <c r="M904" s="116">
        <v>252.8</v>
      </c>
      <c r="N904" s="116">
        <v>261</v>
      </c>
      <c r="O904" s="116">
        <v>252</v>
      </c>
      <c r="P904" s="116">
        <v>261</v>
      </c>
      <c r="Q904" s="116">
        <v>252.8</v>
      </c>
      <c r="R904">
        <v>4296168</v>
      </c>
    </row>
    <row r="905" spans="1:18" x14ac:dyDescent="0.25">
      <c r="A905" s="165">
        <v>45925</v>
      </c>
      <c r="B905" s="116">
        <v>262.45</v>
      </c>
      <c r="C905" s="116">
        <v>261.75</v>
      </c>
      <c r="D905" s="116">
        <v>252.9</v>
      </c>
      <c r="E905" s="116">
        <v>253.5</v>
      </c>
      <c r="F905" s="116">
        <v>261.75</v>
      </c>
      <c r="G905">
        <v>487027</v>
      </c>
      <c r="H905" s="116"/>
      <c r="I905" s="116"/>
      <c r="L905" s="165">
        <v>45925</v>
      </c>
      <c r="M905" s="116">
        <v>261.64999999999998</v>
      </c>
      <c r="N905" s="116">
        <v>262.45</v>
      </c>
      <c r="O905" s="116">
        <v>252.8</v>
      </c>
      <c r="P905" s="116">
        <v>253.75</v>
      </c>
      <c r="Q905" s="116">
        <v>261.64999999999998</v>
      </c>
      <c r="R905">
        <v>5237063</v>
      </c>
    </row>
    <row r="906" spans="1:18" x14ac:dyDescent="0.25">
      <c r="A906" s="165">
        <v>45926</v>
      </c>
      <c r="B906" s="116">
        <v>264.7</v>
      </c>
      <c r="C906" s="116">
        <v>261.45</v>
      </c>
      <c r="D906" s="116">
        <v>257.60000000000002</v>
      </c>
      <c r="E906" s="116">
        <v>261.75</v>
      </c>
      <c r="F906" s="116">
        <v>261.45</v>
      </c>
      <c r="G906">
        <v>334288</v>
      </c>
      <c r="H906" s="116"/>
      <c r="I906" s="116"/>
      <c r="L906" s="165">
        <v>45926</v>
      </c>
      <c r="M906" s="116">
        <v>261.45</v>
      </c>
      <c r="N906" s="116">
        <v>264.60000000000002</v>
      </c>
      <c r="O906" s="116">
        <v>257.39999999999998</v>
      </c>
      <c r="P906" s="116">
        <v>261.2</v>
      </c>
      <c r="Q906" s="116">
        <v>261.45</v>
      </c>
      <c r="R906">
        <v>2943487</v>
      </c>
    </row>
    <row r="907" spans="1:18" x14ac:dyDescent="0.25">
      <c r="A907" s="165">
        <v>45929</v>
      </c>
      <c r="B907" s="116">
        <v>262.39999999999998</v>
      </c>
      <c r="C907" s="116">
        <v>261.10000000000002</v>
      </c>
      <c r="D907" s="116">
        <v>258.10000000000002</v>
      </c>
      <c r="E907" s="116">
        <v>260.10000000000002</v>
      </c>
      <c r="F907" s="116">
        <v>261.10000000000002</v>
      </c>
      <c r="G907">
        <v>163670</v>
      </c>
      <c r="H907" s="116"/>
      <c r="I907" s="116"/>
      <c r="L907" s="165">
        <v>45929</v>
      </c>
      <c r="M907" s="116">
        <v>261.14999999999998</v>
      </c>
      <c r="N907" s="116">
        <v>262.89999999999998</v>
      </c>
      <c r="O907" s="116">
        <v>258.2</v>
      </c>
      <c r="P907" s="116">
        <v>261.5</v>
      </c>
      <c r="Q907" s="116">
        <v>261.14999999999998</v>
      </c>
      <c r="R907">
        <v>1687064</v>
      </c>
    </row>
    <row r="908" spans="1:18" x14ac:dyDescent="0.25">
      <c r="A908" s="165">
        <v>45930</v>
      </c>
      <c r="B908" s="116">
        <v>262.85000000000002</v>
      </c>
      <c r="C908" s="116">
        <v>261.55</v>
      </c>
      <c r="D908" s="116">
        <v>258.3</v>
      </c>
      <c r="E908" s="116">
        <v>258.39999999999998</v>
      </c>
      <c r="F908" s="116">
        <v>261.55</v>
      </c>
      <c r="G908">
        <v>50022</v>
      </c>
      <c r="H908" s="116"/>
      <c r="I908" s="116"/>
      <c r="L908" s="165">
        <v>45930</v>
      </c>
      <c r="M908" s="116">
        <v>261.55</v>
      </c>
      <c r="N908" s="116">
        <v>262.8</v>
      </c>
      <c r="O908" s="116">
        <v>258.25</v>
      </c>
      <c r="P908" s="116">
        <v>260.89999999999998</v>
      </c>
      <c r="Q908" s="116">
        <v>261.55</v>
      </c>
      <c r="R908">
        <v>1623151</v>
      </c>
    </row>
    <row r="909" spans="1:18" x14ac:dyDescent="0.25">
      <c r="A909" s="165">
        <v>45931</v>
      </c>
      <c r="B909" s="116">
        <v>264.7</v>
      </c>
      <c r="C909" s="116">
        <v>263</v>
      </c>
      <c r="D909" s="116">
        <v>260.25</v>
      </c>
      <c r="E909" s="116">
        <v>261.5</v>
      </c>
      <c r="F909" s="116">
        <v>263</v>
      </c>
      <c r="G909">
        <v>156346</v>
      </c>
      <c r="H909" s="116"/>
      <c r="I909" s="116"/>
      <c r="L909" s="165">
        <v>45931</v>
      </c>
      <c r="M909" s="116">
        <v>263.05</v>
      </c>
      <c r="N909" s="116">
        <v>264.75</v>
      </c>
      <c r="O909" s="116">
        <v>260.05</v>
      </c>
      <c r="P909" s="116">
        <v>261.55</v>
      </c>
      <c r="Q909" s="116">
        <v>263.05</v>
      </c>
      <c r="R909">
        <v>1516887</v>
      </c>
    </row>
    <row r="910" spans="1:18" x14ac:dyDescent="0.25">
      <c r="A910" s="165">
        <v>45933</v>
      </c>
      <c r="B910" s="116">
        <v>266.55</v>
      </c>
      <c r="C910" s="116">
        <v>265.60000000000002</v>
      </c>
      <c r="D910" s="116">
        <v>260.7</v>
      </c>
      <c r="E910" s="116">
        <v>262.95</v>
      </c>
      <c r="F910" s="116">
        <v>265.60000000000002</v>
      </c>
      <c r="G910">
        <v>79895</v>
      </c>
      <c r="H910" s="116"/>
      <c r="I910" s="116"/>
      <c r="L910" s="165">
        <v>45933</v>
      </c>
      <c r="M910" s="116">
        <v>265.39999999999998</v>
      </c>
      <c r="N910" s="116">
        <v>266.35000000000002</v>
      </c>
      <c r="O910" s="116">
        <v>260.60000000000002</v>
      </c>
      <c r="P910" s="116">
        <v>263.05</v>
      </c>
      <c r="Q910" s="116">
        <v>265.39999999999998</v>
      </c>
      <c r="R910">
        <v>1908970</v>
      </c>
    </row>
    <row r="911" spans="1:18" x14ac:dyDescent="0.25">
      <c r="A911" s="165">
        <v>45936</v>
      </c>
      <c r="B911" s="116">
        <v>267</v>
      </c>
      <c r="C911" s="116">
        <v>266.05</v>
      </c>
      <c r="D911" s="116">
        <v>263.95</v>
      </c>
      <c r="E911" s="116">
        <v>266.05</v>
      </c>
      <c r="F911" s="116">
        <v>266.05</v>
      </c>
      <c r="G911">
        <v>112088</v>
      </c>
      <c r="H911" s="116"/>
      <c r="I911" s="116"/>
      <c r="L911" s="165">
        <v>45936</v>
      </c>
      <c r="M911" s="116">
        <v>266.05</v>
      </c>
      <c r="N911" s="116">
        <v>267</v>
      </c>
      <c r="O911" s="116">
        <v>264</v>
      </c>
      <c r="P911" s="116">
        <v>266.39999999999998</v>
      </c>
      <c r="Q911" s="116">
        <v>266.05</v>
      </c>
      <c r="R911">
        <v>1378695</v>
      </c>
    </row>
    <row r="912" spans="1:18" x14ac:dyDescent="0.25">
      <c r="A912" s="165">
        <v>45937</v>
      </c>
      <c r="B912" s="116">
        <v>268.3</v>
      </c>
      <c r="C912" s="116">
        <v>264.95</v>
      </c>
      <c r="D912" s="116">
        <v>263.25</v>
      </c>
      <c r="E912" s="116">
        <v>266.05</v>
      </c>
      <c r="F912" s="116">
        <v>264.95</v>
      </c>
      <c r="G912">
        <v>135377</v>
      </c>
      <c r="H912" s="116"/>
      <c r="I912" s="116"/>
      <c r="L912" s="165">
        <v>45937</v>
      </c>
      <c r="M912" s="116">
        <v>265.10000000000002</v>
      </c>
      <c r="N912" s="116">
        <v>268.45</v>
      </c>
      <c r="O912" s="116">
        <v>263.3</v>
      </c>
      <c r="P912" s="116">
        <v>266</v>
      </c>
      <c r="Q912" s="116">
        <v>265.10000000000002</v>
      </c>
      <c r="R912">
        <v>1480139</v>
      </c>
    </row>
    <row r="913" spans="1:18" x14ac:dyDescent="0.25">
      <c r="A913" s="165">
        <v>45938</v>
      </c>
      <c r="B913" s="116">
        <v>267.95</v>
      </c>
      <c r="C913" s="116">
        <v>265.85000000000002</v>
      </c>
      <c r="D913" s="116">
        <v>262.2</v>
      </c>
      <c r="E913" s="116">
        <v>263.8</v>
      </c>
      <c r="F913" s="116">
        <v>265.85000000000002</v>
      </c>
      <c r="G913">
        <v>55299</v>
      </c>
      <c r="H913" s="116"/>
      <c r="I913" s="116"/>
      <c r="L913" s="165">
        <v>45938</v>
      </c>
      <c r="M913" s="116">
        <v>265.95</v>
      </c>
      <c r="N913" s="116">
        <v>267.05</v>
      </c>
      <c r="O913" s="116">
        <v>262.3</v>
      </c>
      <c r="P913" s="116">
        <v>265.10000000000002</v>
      </c>
      <c r="Q913" s="116">
        <v>265.95</v>
      </c>
      <c r="R913">
        <v>1077699</v>
      </c>
    </row>
    <row r="914" spans="1:18" x14ac:dyDescent="0.25">
      <c r="A914" s="165">
        <v>45939</v>
      </c>
      <c r="B914" s="116">
        <v>268.8</v>
      </c>
      <c r="C914" s="116">
        <v>268.10000000000002</v>
      </c>
      <c r="D914" s="116">
        <v>262.60000000000002</v>
      </c>
      <c r="E914" s="116">
        <v>265.55</v>
      </c>
      <c r="F914" s="116">
        <v>268.10000000000002</v>
      </c>
      <c r="G914">
        <v>47255</v>
      </c>
      <c r="H914" s="116"/>
      <c r="I914" s="116"/>
      <c r="L914" s="165">
        <v>45939</v>
      </c>
      <c r="M914" s="116">
        <v>268.14999999999998</v>
      </c>
      <c r="N914" s="116">
        <v>268.89999999999998</v>
      </c>
      <c r="O914" s="116">
        <v>262.5</v>
      </c>
      <c r="P914" s="116">
        <v>263.5</v>
      </c>
      <c r="Q914" s="116">
        <v>268.14999999999998</v>
      </c>
      <c r="R914">
        <v>1190828</v>
      </c>
    </row>
    <row r="915" spans="1:18" x14ac:dyDescent="0.25">
      <c r="A915" s="165">
        <v>45940</v>
      </c>
      <c r="B915" s="116">
        <v>270.3</v>
      </c>
      <c r="C915" s="116">
        <v>268.60000000000002</v>
      </c>
      <c r="D915" s="116">
        <v>265.89999999999998</v>
      </c>
      <c r="E915" s="116">
        <v>266.14999999999998</v>
      </c>
      <c r="F915" s="116">
        <v>268.60000000000002</v>
      </c>
      <c r="G915">
        <v>89170</v>
      </c>
      <c r="H915" s="116"/>
      <c r="I915" s="116"/>
      <c r="L915" s="165">
        <v>45940</v>
      </c>
      <c r="M915" s="116">
        <v>268.95</v>
      </c>
      <c r="N915" s="116">
        <v>270.25</v>
      </c>
      <c r="O915" s="116">
        <v>265.64999999999998</v>
      </c>
      <c r="P915" s="116">
        <v>266.5</v>
      </c>
      <c r="Q915" s="116">
        <v>268.95</v>
      </c>
      <c r="R915">
        <v>1253187</v>
      </c>
    </row>
    <row r="916" spans="1:18" x14ac:dyDescent="0.25">
      <c r="A916" s="165">
        <v>45943</v>
      </c>
      <c r="B916" s="116">
        <v>269.89999999999998</v>
      </c>
      <c r="C916" s="116">
        <v>268.60000000000002</v>
      </c>
      <c r="D916" s="116">
        <v>264.75</v>
      </c>
      <c r="E916" s="116">
        <v>267</v>
      </c>
      <c r="F916" s="116">
        <v>268.60000000000002</v>
      </c>
      <c r="G916">
        <v>49303</v>
      </c>
      <c r="H916" s="116"/>
      <c r="I916" s="116"/>
      <c r="L916" s="165">
        <v>45943</v>
      </c>
      <c r="M916" s="116">
        <v>268.7</v>
      </c>
      <c r="N916" s="116">
        <v>270</v>
      </c>
      <c r="O916" s="116">
        <v>264.89999999999998</v>
      </c>
      <c r="P916" s="116">
        <v>264.89999999999998</v>
      </c>
      <c r="Q916" s="116">
        <v>268.7</v>
      </c>
      <c r="R916">
        <v>980125</v>
      </c>
    </row>
    <row r="917" spans="1:18" x14ac:dyDescent="0.25">
      <c r="A917" s="165">
        <v>45944</v>
      </c>
      <c r="B917" s="116">
        <v>269.95</v>
      </c>
      <c r="C917" s="116">
        <v>268.45</v>
      </c>
      <c r="D917" s="116">
        <v>265.35000000000002</v>
      </c>
      <c r="E917" s="116">
        <v>267.14999999999998</v>
      </c>
      <c r="F917" s="116">
        <v>268.45</v>
      </c>
      <c r="G917">
        <v>50326</v>
      </c>
      <c r="H917" s="116"/>
      <c r="I917" s="116"/>
      <c r="L917" s="165">
        <v>45944</v>
      </c>
      <c r="M917" s="116">
        <v>268.64999999999998</v>
      </c>
      <c r="N917" s="116">
        <v>270.14999999999998</v>
      </c>
      <c r="O917" s="116">
        <v>265.14999999999998</v>
      </c>
      <c r="P917" s="116">
        <v>267.5</v>
      </c>
      <c r="Q917" s="116">
        <v>268.64999999999998</v>
      </c>
      <c r="R917">
        <v>1113807</v>
      </c>
    </row>
    <row r="918" spans="1:18" x14ac:dyDescent="0.25">
      <c r="A918" s="165">
        <v>45945</v>
      </c>
      <c r="B918" s="116">
        <v>269.85000000000002</v>
      </c>
      <c r="C918" s="116">
        <v>267.75</v>
      </c>
      <c r="D918" s="116">
        <v>265.85000000000002</v>
      </c>
      <c r="E918" s="116">
        <v>265.85000000000002</v>
      </c>
      <c r="F918" s="116">
        <v>267.75</v>
      </c>
      <c r="G918">
        <v>27157</v>
      </c>
      <c r="H918" s="116"/>
      <c r="I918" s="116"/>
      <c r="L918" s="165">
        <v>45945</v>
      </c>
      <c r="M918" s="116">
        <v>267.89999999999998</v>
      </c>
      <c r="N918" s="116">
        <v>269.89999999999998</v>
      </c>
      <c r="O918" s="116">
        <v>266.25</v>
      </c>
      <c r="P918" s="116">
        <v>266.25</v>
      </c>
      <c r="Q918" s="116">
        <v>267.89999999999998</v>
      </c>
      <c r="R918">
        <v>843568</v>
      </c>
    </row>
    <row r="919" spans="1:18" x14ac:dyDescent="0.25">
      <c r="A919" s="165">
        <v>45946</v>
      </c>
      <c r="B919" s="116">
        <v>271.14999999999998</v>
      </c>
      <c r="C919" s="116">
        <v>266</v>
      </c>
      <c r="D919" s="116">
        <v>265</v>
      </c>
      <c r="E919" s="116">
        <v>268.85000000000002</v>
      </c>
      <c r="F919" s="116">
        <v>266</v>
      </c>
      <c r="G919">
        <v>61925</v>
      </c>
      <c r="H919" s="116"/>
      <c r="I919" s="116"/>
      <c r="L919" s="165">
        <v>45946</v>
      </c>
      <c r="M919" s="116">
        <v>266.14999999999998</v>
      </c>
      <c r="N919" s="116">
        <v>271.14999999999998</v>
      </c>
      <c r="O919" s="116">
        <v>265</v>
      </c>
      <c r="P919" s="116">
        <v>267.60000000000002</v>
      </c>
      <c r="Q919" s="116">
        <v>266.14999999999998</v>
      </c>
      <c r="R919">
        <v>1088227</v>
      </c>
    </row>
    <row r="920" spans="1:18" x14ac:dyDescent="0.25">
      <c r="A920" s="165">
        <v>45947</v>
      </c>
      <c r="B920" s="116">
        <v>267.3</v>
      </c>
      <c r="C920" s="116">
        <v>261.7</v>
      </c>
      <c r="D920" s="116">
        <v>260</v>
      </c>
      <c r="E920" s="116">
        <v>266</v>
      </c>
      <c r="F920" s="116">
        <v>261.7</v>
      </c>
      <c r="G920">
        <v>51257</v>
      </c>
      <c r="H920" s="116"/>
      <c r="I920" s="116"/>
      <c r="L920" s="165">
        <v>45947</v>
      </c>
      <c r="M920" s="116">
        <v>261.5</v>
      </c>
      <c r="N920" s="116">
        <v>266.95</v>
      </c>
      <c r="O920" s="116">
        <v>260</v>
      </c>
      <c r="P920" s="116">
        <v>266.14999999999998</v>
      </c>
      <c r="Q920" s="116">
        <v>261.5</v>
      </c>
      <c r="R920">
        <v>2335217</v>
      </c>
    </row>
    <row r="921" spans="1:18" x14ac:dyDescent="0.25">
      <c r="A921" s="165">
        <v>45950</v>
      </c>
      <c r="B921" s="116">
        <v>263</v>
      </c>
      <c r="C921" s="116">
        <v>258.5</v>
      </c>
      <c r="D921" s="116">
        <v>257.75</v>
      </c>
      <c r="E921" s="116">
        <v>260.85000000000002</v>
      </c>
      <c r="F921" s="116">
        <v>258.5</v>
      </c>
      <c r="G921">
        <v>96113</v>
      </c>
      <c r="H921" s="116"/>
      <c r="I921" s="116"/>
      <c r="L921" s="165">
        <v>45950</v>
      </c>
      <c r="M921" s="116">
        <v>258.55</v>
      </c>
      <c r="N921" s="116">
        <v>263.05</v>
      </c>
      <c r="O921" s="116">
        <v>257.85000000000002</v>
      </c>
      <c r="P921" s="116">
        <v>261.45</v>
      </c>
      <c r="Q921" s="116">
        <v>258.55</v>
      </c>
      <c r="R921">
        <v>2704721</v>
      </c>
    </row>
    <row r="922" spans="1:18" x14ac:dyDescent="0.25">
      <c r="A922" s="165">
        <v>45951</v>
      </c>
      <c r="B922" s="116">
        <v>262.05</v>
      </c>
      <c r="C922" s="116">
        <v>261.10000000000002</v>
      </c>
      <c r="D922" s="116">
        <v>260</v>
      </c>
      <c r="E922" s="116">
        <v>260</v>
      </c>
      <c r="F922" s="116">
        <v>261.10000000000002</v>
      </c>
      <c r="G922">
        <v>14821</v>
      </c>
      <c r="H922" s="116"/>
      <c r="I922" s="116"/>
      <c r="L922" s="165">
        <v>45951</v>
      </c>
      <c r="M922" s="116">
        <v>261.39999999999998</v>
      </c>
      <c r="N922" s="116">
        <v>261.89999999999998</v>
      </c>
      <c r="O922" s="116">
        <v>260</v>
      </c>
      <c r="P922" s="116">
        <v>260</v>
      </c>
      <c r="Q922" s="116">
        <v>261.39999999999998</v>
      </c>
      <c r="R922">
        <v>202647</v>
      </c>
    </row>
    <row r="923" spans="1:18" x14ac:dyDescent="0.25">
      <c r="A923" s="165">
        <v>45953</v>
      </c>
      <c r="B923" s="116">
        <v>261.55</v>
      </c>
      <c r="C923" s="116">
        <v>260</v>
      </c>
      <c r="D923" s="116">
        <v>259.3</v>
      </c>
      <c r="E923" s="116">
        <v>260.45</v>
      </c>
      <c r="F923" s="116">
        <v>260</v>
      </c>
      <c r="G923">
        <v>108739</v>
      </c>
      <c r="H923" s="116"/>
      <c r="I923" s="116"/>
      <c r="L923" s="165">
        <v>45953</v>
      </c>
      <c r="M923" s="116">
        <v>260.10000000000002</v>
      </c>
      <c r="N923" s="116">
        <v>261.64999999999998</v>
      </c>
      <c r="O923" s="116">
        <v>259.3</v>
      </c>
      <c r="P923" s="116">
        <v>260.55</v>
      </c>
      <c r="Q923" s="116">
        <v>260.10000000000002</v>
      </c>
      <c r="R923">
        <v>1877668</v>
      </c>
    </row>
    <row r="924" spans="1:18" x14ac:dyDescent="0.25">
      <c r="A924" s="165">
        <v>45954</v>
      </c>
      <c r="B924" s="116">
        <v>264.3</v>
      </c>
      <c r="C924" s="116">
        <v>263.3</v>
      </c>
      <c r="D924" s="116">
        <v>259</v>
      </c>
      <c r="E924" s="116">
        <v>260</v>
      </c>
      <c r="F924" s="116">
        <v>263.3</v>
      </c>
      <c r="G924">
        <v>36452</v>
      </c>
      <c r="H924" s="116"/>
      <c r="I924" s="116"/>
      <c r="L924" s="165">
        <v>45954</v>
      </c>
      <c r="M924" s="116">
        <v>263.25</v>
      </c>
      <c r="N924" s="116">
        <v>264.25</v>
      </c>
      <c r="O924" s="116">
        <v>258.75</v>
      </c>
      <c r="P924" s="116">
        <v>260.3</v>
      </c>
      <c r="Q924" s="116">
        <v>263.25</v>
      </c>
      <c r="R924">
        <v>1071643</v>
      </c>
    </row>
    <row r="925" spans="1:18" x14ac:dyDescent="0.25">
      <c r="A925" s="165">
        <v>45957</v>
      </c>
      <c r="B925" s="116">
        <v>266</v>
      </c>
      <c r="C925" s="116">
        <v>265.7</v>
      </c>
      <c r="D925" s="116">
        <v>260.8</v>
      </c>
      <c r="E925" s="116">
        <v>262.75</v>
      </c>
      <c r="F925" s="116">
        <v>265.7</v>
      </c>
      <c r="G925">
        <v>132761</v>
      </c>
      <c r="H925" s="116"/>
      <c r="I925" s="116"/>
      <c r="L925" s="165">
        <v>45957</v>
      </c>
      <c r="M925" s="116">
        <v>265.7</v>
      </c>
      <c r="N925" s="116">
        <v>266.14999999999998</v>
      </c>
      <c r="O925" s="116">
        <v>261</v>
      </c>
      <c r="P925" s="116">
        <v>263</v>
      </c>
      <c r="Q925" s="116">
        <v>265.7</v>
      </c>
      <c r="R925">
        <v>1193409</v>
      </c>
    </row>
    <row r="926" spans="1:18" x14ac:dyDescent="0.25">
      <c r="A926" s="165">
        <v>45958</v>
      </c>
      <c r="B926" s="116">
        <v>268.64999999999998</v>
      </c>
      <c r="C926" s="116">
        <v>268.3</v>
      </c>
      <c r="D926" s="116">
        <v>264</v>
      </c>
      <c r="E926" s="116">
        <v>265.7</v>
      </c>
      <c r="F926" s="116">
        <v>268.3</v>
      </c>
      <c r="G926">
        <v>175343</v>
      </c>
      <c r="H926" s="116"/>
      <c r="I926" s="116"/>
      <c r="L926" s="165">
        <v>45958</v>
      </c>
      <c r="M926" s="116">
        <v>268.45</v>
      </c>
      <c r="N926" s="116">
        <v>268.8</v>
      </c>
      <c r="O926" s="116">
        <v>264.05</v>
      </c>
      <c r="P926" s="116">
        <v>265.7</v>
      </c>
      <c r="Q926" s="116">
        <v>268.45</v>
      </c>
      <c r="R926">
        <v>1192675</v>
      </c>
    </row>
    <row r="927" spans="1:18" x14ac:dyDescent="0.25">
      <c r="A927" s="165">
        <v>45959</v>
      </c>
      <c r="B927" s="116">
        <v>276.60000000000002</v>
      </c>
      <c r="C927" s="116">
        <v>275.7</v>
      </c>
      <c r="D927" s="116">
        <v>267.14999999999998</v>
      </c>
      <c r="E927" s="116">
        <v>268.60000000000002</v>
      </c>
      <c r="F927" s="116">
        <v>275.7</v>
      </c>
      <c r="G927">
        <v>176543</v>
      </c>
      <c r="H927" s="116"/>
      <c r="I927" s="116"/>
      <c r="L927" s="165">
        <v>45959</v>
      </c>
      <c r="M927" s="116">
        <v>275.55</v>
      </c>
      <c r="N927" s="116">
        <v>276.75</v>
      </c>
      <c r="O927" s="116">
        <v>267</v>
      </c>
      <c r="P927" s="116">
        <v>268.25</v>
      </c>
      <c r="Q927" s="116">
        <v>275.55</v>
      </c>
      <c r="R927">
        <v>7702429</v>
      </c>
    </row>
    <row r="928" spans="1:18" x14ac:dyDescent="0.25">
      <c r="A928" s="165">
        <v>45960</v>
      </c>
      <c r="B928" s="116">
        <v>276.75</v>
      </c>
      <c r="C928" s="116">
        <v>275.2</v>
      </c>
      <c r="D928" s="116">
        <v>271.8</v>
      </c>
      <c r="E928" s="116">
        <v>275.45</v>
      </c>
      <c r="F928" s="116">
        <v>275.2</v>
      </c>
      <c r="G928">
        <v>138046</v>
      </c>
      <c r="H928" s="116"/>
      <c r="I928" s="116"/>
      <c r="L928" s="165">
        <v>45960</v>
      </c>
      <c r="M928" s="116">
        <v>275.39999999999998</v>
      </c>
      <c r="N928" s="116">
        <v>276.89999999999998</v>
      </c>
      <c r="O928" s="116">
        <v>271.60000000000002</v>
      </c>
      <c r="P928" s="116">
        <v>275</v>
      </c>
      <c r="Q928" s="116">
        <v>275.39999999999998</v>
      </c>
      <c r="R928">
        <v>1585401</v>
      </c>
    </row>
    <row r="929" spans="1:18" x14ac:dyDescent="0.25">
      <c r="A929" s="165">
        <v>45961</v>
      </c>
      <c r="B929" s="116">
        <v>276.3</v>
      </c>
      <c r="C929" s="116">
        <v>274.60000000000002</v>
      </c>
      <c r="D929" s="116">
        <v>272.95</v>
      </c>
      <c r="E929" s="116">
        <v>276.3</v>
      </c>
      <c r="F929" s="116">
        <v>274.60000000000002</v>
      </c>
      <c r="G929">
        <v>40099</v>
      </c>
      <c r="H929" s="116"/>
      <c r="I929" s="116"/>
      <c r="L929" s="165">
        <v>45961</v>
      </c>
      <c r="M929" s="116">
        <v>274.85000000000002</v>
      </c>
      <c r="N929" s="116">
        <v>275.7</v>
      </c>
      <c r="O929" s="116">
        <v>272.75</v>
      </c>
      <c r="P929" s="116">
        <v>275</v>
      </c>
      <c r="Q929" s="116">
        <v>274.85000000000002</v>
      </c>
      <c r="R929">
        <v>1525168</v>
      </c>
    </row>
    <row r="930" spans="1:18" x14ac:dyDescent="0.25">
      <c r="A930" s="165">
        <v>45964</v>
      </c>
      <c r="B930" s="116">
        <v>276.39999999999998</v>
      </c>
      <c r="C930" s="116">
        <v>275.05</v>
      </c>
      <c r="D930" s="116">
        <v>266.85000000000002</v>
      </c>
      <c r="E930" s="116">
        <v>275</v>
      </c>
      <c r="F930" s="116">
        <v>275.05</v>
      </c>
      <c r="G930">
        <v>118561</v>
      </c>
      <c r="H930" s="116"/>
      <c r="I930" s="116"/>
      <c r="L930" s="165">
        <v>45964</v>
      </c>
      <c r="M930" s="116">
        <v>275.10000000000002</v>
      </c>
      <c r="N930" s="116">
        <v>276.2</v>
      </c>
      <c r="O930" s="116">
        <v>266.60000000000002</v>
      </c>
      <c r="P930" s="116">
        <v>275</v>
      </c>
      <c r="Q930" s="116">
        <v>275.10000000000002</v>
      </c>
      <c r="R930">
        <v>3690105</v>
      </c>
    </row>
    <row r="931" spans="1:18" x14ac:dyDescent="0.25">
      <c r="A931" s="165">
        <v>45965</v>
      </c>
      <c r="B931" s="116">
        <v>278</v>
      </c>
      <c r="C931" s="116">
        <v>277.3</v>
      </c>
      <c r="D931" s="116">
        <v>271.39999999999998</v>
      </c>
      <c r="E931" s="116">
        <v>273.05</v>
      </c>
      <c r="F931" s="116">
        <v>277.3</v>
      </c>
      <c r="G931">
        <v>94449</v>
      </c>
      <c r="H931" s="116"/>
      <c r="I931" s="116"/>
      <c r="L931" s="165">
        <v>45965</v>
      </c>
      <c r="M931" s="116">
        <v>277.35000000000002</v>
      </c>
      <c r="N931" s="116">
        <v>278.10000000000002</v>
      </c>
      <c r="O931" s="116">
        <v>271.39999999999998</v>
      </c>
      <c r="P931" s="116">
        <v>275</v>
      </c>
      <c r="Q931" s="116">
        <v>277.35000000000002</v>
      </c>
      <c r="R931">
        <v>3322377</v>
      </c>
    </row>
    <row r="932" spans="1:18" x14ac:dyDescent="0.25">
      <c r="A932" s="165">
        <v>45967</v>
      </c>
      <c r="B932" s="116">
        <v>281.2</v>
      </c>
      <c r="C932" s="116">
        <v>271.10000000000002</v>
      </c>
      <c r="D932" s="116">
        <v>270.05</v>
      </c>
      <c r="E932" s="116">
        <v>277.64999999999998</v>
      </c>
      <c r="F932" s="116">
        <v>271.10000000000002</v>
      </c>
      <c r="G932">
        <v>163420</v>
      </c>
      <c r="H932" s="116"/>
      <c r="I932" s="116"/>
      <c r="L932" s="165">
        <v>45967</v>
      </c>
      <c r="M932" s="116">
        <v>271.25</v>
      </c>
      <c r="N932" s="116">
        <v>281.3</v>
      </c>
      <c r="O932" s="116">
        <v>270.10000000000002</v>
      </c>
      <c r="P932" s="116">
        <v>277.35000000000002</v>
      </c>
      <c r="Q932" s="116">
        <v>271.25</v>
      </c>
      <c r="R932">
        <v>3217128</v>
      </c>
    </row>
    <row r="933" spans="1:18" x14ac:dyDescent="0.25">
      <c r="A933" s="165">
        <v>45968</v>
      </c>
      <c r="B933" s="116">
        <v>272.25</v>
      </c>
      <c r="C933" s="116">
        <v>270.10000000000002</v>
      </c>
      <c r="D933" s="116">
        <v>267</v>
      </c>
      <c r="E933" s="116">
        <v>270.10000000000002</v>
      </c>
      <c r="F933" s="116">
        <v>270.10000000000002</v>
      </c>
      <c r="G933">
        <v>60727</v>
      </c>
      <c r="H933" s="116"/>
      <c r="I933" s="116"/>
      <c r="L933" s="165">
        <v>45968</v>
      </c>
      <c r="M933" s="116">
        <v>270.8</v>
      </c>
      <c r="N933" s="116">
        <v>272.5</v>
      </c>
      <c r="O933" s="116">
        <v>267</v>
      </c>
      <c r="P933" s="116">
        <v>271.10000000000002</v>
      </c>
      <c r="Q933" s="116">
        <v>270.8</v>
      </c>
      <c r="R933">
        <v>2601124</v>
      </c>
    </row>
    <row r="934" spans="1:18" x14ac:dyDescent="0.25">
      <c r="A934" s="165">
        <v>45971</v>
      </c>
      <c r="B934" s="116">
        <v>272.10000000000002</v>
      </c>
      <c r="C934" s="116">
        <v>270.89999999999998</v>
      </c>
      <c r="D934" s="116">
        <v>267.60000000000002</v>
      </c>
      <c r="E934" s="116">
        <v>269.89999999999998</v>
      </c>
      <c r="F934" s="116">
        <v>270.89999999999998</v>
      </c>
      <c r="G934">
        <v>27725</v>
      </c>
      <c r="H934" s="116"/>
      <c r="I934" s="116"/>
      <c r="L934" s="165">
        <v>45971</v>
      </c>
      <c r="M934" s="116">
        <v>270.89999999999998</v>
      </c>
      <c r="N934" s="116">
        <v>272.25</v>
      </c>
      <c r="O934" s="116">
        <v>267.5</v>
      </c>
      <c r="P934" s="116">
        <v>268.89999999999998</v>
      </c>
      <c r="Q934" s="116">
        <v>270.89999999999998</v>
      </c>
      <c r="R934">
        <v>1438368</v>
      </c>
    </row>
    <row r="935" spans="1:18" x14ac:dyDescent="0.25">
      <c r="A935" s="165">
        <v>45972</v>
      </c>
      <c r="B935" s="116">
        <v>274.85000000000002</v>
      </c>
      <c r="C935" s="116">
        <v>274.39999999999998</v>
      </c>
      <c r="D935" s="116">
        <v>268.10000000000002</v>
      </c>
      <c r="E935" s="116">
        <v>270.14999999999998</v>
      </c>
      <c r="F935" s="116">
        <v>274.39999999999998</v>
      </c>
      <c r="G935">
        <v>112592</v>
      </c>
      <c r="H935" s="116"/>
      <c r="I935" s="116"/>
      <c r="L935" s="165">
        <v>45972</v>
      </c>
      <c r="M935" s="116">
        <v>273.95</v>
      </c>
      <c r="N935" s="116">
        <v>275</v>
      </c>
      <c r="O935" s="116">
        <v>268.45</v>
      </c>
      <c r="P935" s="116">
        <v>270.89999999999998</v>
      </c>
      <c r="Q935" s="116">
        <v>273.95</v>
      </c>
      <c r="R935">
        <v>1177054</v>
      </c>
    </row>
    <row r="936" spans="1:18" x14ac:dyDescent="0.25">
      <c r="A936" s="165">
        <v>45973</v>
      </c>
      <c r="B936" s="116">
        <v>274.64999999999998</v>
      </c>
      <c r="C936" s="116">
        <v>272.8</v>
      </c>
      <c r="D936" s="116">
        <v>271.8</v>
      </c>
      <c r="E936" s="116">
        <v>272.64999999999998</v>
      </c>
      <c r="F936" s="116">
        <v>272.8</v>
      </c>
      <c r="G936">
        <v>106385</v>
      </c>
      <c r="H936" s="116"/>
      <c r="I936" s="116"/>
      <c r="L936" s="165">
        <v>45973</v>
      </c>
      <c r="M936" s="116">
        <v>272.89999999999998</v>
      </c>
      <c r="N936" s="116">
        <v>274.7</v>
      </c>
      <c r="O936" s="116">
        <v>272</v>
      </c>
      <c r="P936" s="116">
        <v>272.60000000000002</v>
      </c>
      <c r="Q936" s="116">
        <v>272.89999999999998</v>
      </c>
      <c r="R936">
        <v>960840</v>
      </c>
    </row>
    <row r="937" spans="1:18" x14ac:dyDescent="0.25">
      <c r="A937" s="165">
        <v>45974</v>
      </c>
      <c r="B937" s="116">
        <v>275</v>
      </c>
      <c r="C937" s="116">
        <v>273</v>
      </c>
      <c r="D937" s="116">
        <v>271.7</v>
      </c>
      <c r="E937" s="116">
        <v>271.7</v>
      </c>
      <c r="F937" s="116">
        <v>273</v>
      </c>
      <c r="G937">
        <v>32753</v>
      </c>
      <c r="H937" s="116"/>
      <c r="I937" s="116"/>
      <c r="L937" s="165">
        <v>45974</v>
      </c>
      <c r="M937" s="116">
        <v>272.64999999999998</v>
      </c>
      <c r="N937" s="116">
        <v>275</v>
      </c>
      <c r="O937" s="116">
        <v>271.64999999999998</v>
      </c>
      <c r="P937" s="116">
        <v>272</v>
      </c>
      <c r="Q937" s="116">
        <v>272.64999999999998</v>
      </c>
      <c r="R937">
        <v>949872</v>
      </c>
    </row>
    <row r="938" spans="1:18" x14ac:dyDescent="0.25">
      <c r="A938" s="165">
        <v>45975</v>
      </c>
      <c r="B938" s="116">
        <v>274.64999999999998</v>
      </c>
      <c r="C938" s="116">
        <v>274.05</v>
      </c>
      <c r="D938" s="116">
        <v>270.2</v>
      </c>
      <c r="E938" s="116">
        <v>271.85000000000002</v>
      </c>
      <c r="F938" s="116">
        <v>274.05</v>
      </c>
      <c r="G938">
        <v>91874</v>
      </c>
      <c r="H938" s="116"/>
      <c r="I938" s="116"/>
      <c r="L938" s="165">
        <v>45975</v>
      </c>
      <c r="M938" s="116">
        <v>274.2</v>
      </c>
      <c r="N938" s="116">
        <v>274.7</v>
      </c>
      <c r="O938" s="116">
        <v>270.10000000000002</v>
      </c>
      <c r="P938" s="116">
        <v>271.7</v>
      </c>
      <c r="Q938" s="116">
        <v>274.2</v>
      </c>
      <c r="R938">
        <v>1268052</v>
      </c>
    </row>
    <row r="939" spans="1:18" x14ac:dyDescent="0.25">
      <c r="A939" s="165">
        <v>45978</v>
      </c>
      <c r="B939" s="116">
        <v>275.2</v>
      </c>
      <c r="C939" s="116">
        <v>274.85000000000002</v>
      </c>
      <c r="D939" s="116">
        <v>270.60000000000002</v>
      </c>
      <c r="E939" s="116">
        <v>274.05</v>
      </c>
      <c r="F939" s="116">
        <v>274.85000000000002</v>
      </c>
      <c r="G939">
        <v>60007</v>
      </c>
      <c r="H939" s="116"/>
      <c r="I939" s="116"/>
      <c r="L939" s="165">
        <v>45978</v>
      </c>
      <c r="M939" s="116">
        <v>274.95</v>
      </c>
      <c r="N939" s="116">
        <v>275.39999999999998</v>
      </c>
      <c r="O939" s="116">
        <v>270.5</v>
      </c>
      <c r="P939" s="116">
        <v>273.7</v>
      </c>
      <c r="Q939" s="116">
        <v>274.95</v>
      </c>
      <c r="R939">
        <v>2379897</v>
      </c>
    </row>
    <row r="940" spans="1:18" x14ac:dyDescent="0.25">
      <c r="A940" s="165">
        <v>45979</v>
      </c>
      <c r="B940" s="116">
        <v>274.75</v>
      </c>
      <c r="C940" s="116">
        <v>268.85000000000002</v>
      </c>
      <c r="D940" s="116">
        <v>266.60000000000002</v>
      </c>
      <c r="E940" s="116">
        <v>274.55</v>
      </c>
      <c r="F940" s="116">
        <v>268.85000000000002</v>
      </c>
      <c r="G940">
        <v>82519</v>
      </c>
      <c r="H940" s="116"/>
      <c r="I940" s="116"/>
      <c r="L940" s="165">
        <v>45979</v>
      </c>
      <c r="M940" s="116">
        <v>269.14999999999998</v>
      </c>
      <c r="N940" s="116">
        <v>275</v>
      </c>
      <c r="O940" s="116">
        <v>266.39999999999998</v>
      </c>
      <c r="P940" s="116">
        <v>274.95</v>
      </c>
      <c r="Q940" s="116">
        <v>269.14999999999998</v>
      </c>
      <c r="R940">
        <v>1771260</v>
      </c>
    </row>
    <row r="941" spans="1:18" x14ac:dyDescent="0.25">
      <c r="A941" s="165">
        <v>45980</v>
      </c>
      <c r="B941" s="116">
        <v>276.64999999999998</v>
      </c>
      <c r="C941" s="116">
        <v>275.95</v>
      </c>
      <c r="D941" s="116">
        <v>267.5</v>
      </c>
      <c r="E941" s="116">
        <v>269.35000000000002</v>
      </c>
      <c r="F941" s="116">
        <v>275.95</v>
      </c>
      <c r="G941">
        <v>78142</v>
      </c>
      <c r="H941" s="116"/>
      <c r="I941" s="116"/>
      <c r="L941" s="165">
        <v>45980</v>
      </c>
      <c r="M941" s="116">
        <v>275.8</v>
      </c>
      <c r="N941" s="116">
        <v>277</v>
      </c>
      <c r="O941" s="116">
        <v>267.3</v>
      </c>
      <c r="P941" s="116">
        <v>269.75</v>
      </c>
      <c r="Q941" s="116">
        <v>275.8</v>
      </c>
      <c r="R941">
        <v>2814297</v>
      </c>
    </row>
    <row r="942" spans="1:18" x14ac:dyDescent="0.25">
      <c r="A942" s="165">
        <v>45981</v>
      </c>
      <c r="B942" s="116">
        <v>277.35000000000002</v>
      </c>
      <c r="C942" s="116">
        <v>276.75</v>
      </c>
      <c r="D942" s="116">
        <v>273.7</v>
      </c>
      <c r="E942" s="116">
        <v>275.89999999999998</v>
      </c>
      <c r="F942" s="116">
        <v>276.75</v>
      </c>
      <c r="G942">
        <v>134905</v>
      </c>
      <c r="H942" s="116"/>
      <c r="I942" s="116"/>
      <c r="L942" s="165">
        <v>45981</v>
      </c>
      <c r="M942" s="116">
        <v>276.75</v>
      </c>
      <c r="N942" s="116">
        <v>277.39999999999998</v>
      </c>
      <c r="O942" s="116">
        <v>273.45</v>
      </c>
      <c r="P942" s="116">
        <v>275.10000000000002</v>
      </c>
      <c r="Q942" s="116">
        <v>276.75</v>
      </c>
      <c r="R942">
        <v>1700275</v>
      </c>
    </row>
    <row r="943" spans="1:18" x14ac:dyDescent="0.25">
      <c r="A943" s="165">
        <v>45982</v>
      </c>
      <c r="B943" s="116">
        <v>282.89999999999998</v>
      </c>
      <c r="C943" s="116">
        <v>274.10000000000002</v>
      </c>
      <c r="D943" s="116">
        <v>266.45</v>
      </c>
      <c r="E943" s="116">
        <v>280.05</v>
      </c>
      <c r="F943" s="116">
        <v>274.10000000000002</v>
      </c>
      <c r="G943">
        <v>56613098</v>
      </c>
      <c r="H943" s="116"/>
      <c r="I943" s="116"/>
      <c r="L943" s="165">
        <v>45982</v>
      </c>
      <c r="M943" s="116">
        <v>274.10000000000002</v>
      </c>
      <c r="N943" s="116">
        <v>282.89999999999998</v>
      </c>
      <c r="O943" s="116">
        <v>266.45</v>
      </c>
      <c r="P943" s="116">
        <v>280.7</v>
      </c>
      <c r="Q943" s="116">
        <v>274.10000000000002</v>
      </c>
      <c r="R943">
        <v>58517098</v>
      </c>
    </row>
    <row r="944" spans="1:18" x14ac:dyDescent="0.25">
      <c r="A944" s="165">
        <v>45985</v>
      </c>
      <c r="B944" s="116">
        <v>278.89999999999998</v>
      </c>
      <c r="C944" s="116">
        <v>277.60000000000002</v>
      </c>
      <c r="D944" s="116">
        <v>271.39999999999998</v>
      </c>
      <c r="E944" s="116">
        <v>274.14999999999998</v>
      </c>
      <c r="F944" s="116">
        <v>277.60000000000002</v>
      </c>
      <c r="G944">
        <v>2069140</v>
      </c>
      <c r="H944" s="116"/>
      <c r="I944" s="116"/>
      <c r="L944" s="165">
        <v>45985</v>
      </c>
      <c r="M944" s="116">
        <v>277.60000000000002</v>
      </c>
      <c r="N944" s="116">
        <v>279</v>
      </c>
      <c r="O944" s="116">
        <v>271.39999999999998</v>
      </c>
      <c r="P944" s="116">
        <v>274.45</v>
      </c>
      <c r="Q944" s="116">
        <v>277.60000000000002</v>
      </c>
      <c r="R944">
        <v>2693587</v>
      </c>
    </row>
    <row r="945" spans="1:18" x14ac:dyDescent="0.25">
      <c r="A945" s="165">
        <v>45986</v>
      </c>
      <c r="B945" s="116">
        <v>277.39999999999998</v>
      </c>
      <c r="C945" s="116">
        <v>271</v>
      </c>
      <c r="D945" s="116">
        <v>261.25</v>
      </c>
      <c r="E945" s="116">
        <v>277.14999999999998</v>
      </c>
      <c r="F945" s="116">
        <v>271</v>
      </c>
      <c r="G945">
        <v>16875769</v>
      </c>
      <c r="H945" s="116"/>
      <c r="I945" s="116"/>
      <c r="L945" s="165">
        <v>45986</v>
      </c>
      <c r="M945" s="116">
        <v>271.45</v>
      </c>
      <c r="N945" s="116">
        <v>277.45</v>
      </c>
      <c r="O945" s="116">
        <v>261.05</v>
      </c>
      <c r="P945" s="116">
        <v>277.45</v>
      </c>
      <c r="Q945" s="116">
        <v>271.45</v>
      </c>
      <c r="R945">
        <v>26240183</v>
      </c>
    </row>
    <row r="946" spans="1:18" x14ac:dyDescent="0.25">
      <c r="A946" s="165">
        <v>45987</v>
      </c>
      <c r="B946" s="116">
        <v>274</v>
      </c>
      <c r="C946" s="116">
        <v>264.8</v>
      </c>
      <c r="D946" s="116">
        <v>262.05</v>
      </c>
      <c r="E946" s="116">
        <v>271.45</v>
      </c>
      <c r="F946" s="116">
        <v>264.8</v>
      </c>
      <c r="G946">
        <v>88768</v>
      </c>
      <c r="H946" s="116"/>
      <c r="I946" s="116"/>
      <c r="L946" s="165">
        <v>45987</v>
      </c>
      <c r="M946" s="116">
        <v>264.25</v>
      </c>
      <c r="N946" s="116">
        <v>274</v>
      </c>
      <c r="O946" s="116">
        <v>262.10000000000002</v>
      </c>
      <c r="P946" s="116">
        <v>272.5</v>
      </c>
      <c r="Q946" s="116">
        <v>264.25</v>
      </c>
      <c r="R946">
        <v>2653613</v>
      </c>
    </row>
    <row r="947" spans="1:18" x14ac:dyDescent="0.25">
      <c r="A947" s="165">
        <v>45988</v>
      </c>
      <c r="B947" s="116">
        <v>266.7</v>
      </c>
      <c r="C947" s="116">
        <v>261.35000000000002</v>
      </c>
      <c r="D947" s="116">
        <v>261</v>
      </c>
      <c r="E947" s="116">
        <v>264.75</v>
      </c>
      <c r="F947" s="116">
        <v>261.35000000000002</v>
      </c>
      <c r="G947">
        <v>141777</v>
      </c>
      <c r="H947" s="116"/>
      <c r="I947" s="116"/>
      <c r="L947" s="165">
        <v>45988</v>
      </c>
      <c r="M947" s="116">
        <v>261.35000000000002</v>
      </c>
      <c r="N947" s="116">
        <v>266.7</v>
      </c>
      <c r="O947" s="116">
        <v>261</v>
      </c>
      <c r="P947" s="116">
        <v>264.39999999999998</v>
      </c>
      <c r="Q947" s="116">
        <v>261.35000000000002</v>
      </c>
      <c r="R947">
        <v>1311530</v>
      </c>
    </row>
    <row r="948" spans="1:18" x14ac:dyDescent="0.25">
      <c r="A948" s="165">
        <v>45989</v>
      </c>
      <c r="B948" s="116">
        <v>264.10000000000002</v>
      </c>
      <c r="C948" s="116">
        <v>259.14999999999998</v>
      </c>
      <c r="D948" s="116">
        <v>258.75</v>
      </c>
      <c r="E948" s="116">
        <v>261.39999999999998</v>
      </c>
      <c r="F948" s="116">
        <v>259.14999999999998</v>
      </c>
      <c r="G948">
        <v>88103</v>
      </c>
      <c r="H948" s="116"/>
      <c r="I948" s="116"/>
      <c r="L948" s="165">
        <v>45989</v>
      </c>
      <c r="M948" s="116">
        <v>259</v>
      </c>
      <c r="N948" s="116">
        <v>264.10000000000002</v>
      </c>
      <c r="O948" s="116">
        <v>258.5</v>
      </c>
      <c r="P948" s="116">
        <v>261.7</v>
      </c>
      <c r="Q948" s="116">
        <v>259</v>
      </c>
      <c r="R948">
        <v>1238984</v>
      </c>
    </row>
    <row r="949" spans="1:18" x14ac:dyDescent="0.25">
      <c r="A949" s="165">
        <v>45992</v>
      </c>
      <c r="B949" s="116">
        <v>261</v>
      </c>
      <c r="C949" s="116">
        <v>255.4</v>
      </c>
      <c r="D949" s="116">
        <v>255</v>
      </c>
      <c r="E949" s="116">
        <v>259.64999999999998</v>
      </c>
      <c r="F949" s="116">
        <v>255.4</v>
      </c>
      <c r="G949">
        <v>117168</v>
      </c>
      <c r="H949" s="116"/>
      <c r="I949" s="116"/>
      <c r="L949" s="165">
        <v>45992</v>
      </c>
      <c r="M949" s="116">
        <v>255.3</v>
      </c>
      <c r="N949" s="116">
        <v>261.5</v>
      </c>
      <c r="O949" s="116">
        <v>255.05</v>
      </c>
      <c r="P949" s="116">
        <v>260</v>
      </c>
      <c r="Q949" s="116">
        <v>255.3</v>
      </c>
      <c r="R949">
        <v>1049787</v>
      </c>
    </row>
    <row r="950" spans="1:18" x14ac:dyDescent="0.25">
      <c r="A950" s="165">
        <v>45993</v>
      </c>
      <c r="B950" s="116">
        <v>256</v>
      </c>
      <c r="C950" s="116">
        <v>249.3</v>
      </c>
      <c r="D950" s="116">
        <v>249</v>
      </c>
      <c r="E950" s="116">
        <v>255.45</v>
      </c>
      <c r="F950" s="116">
        <v>249.3</v>
      </c>
      <c r="G950">
        <v>153601</v>
      </c>
      <c r="H950" s="116"/>
      <c r="I950" s="116"/>
      <c r="L950" s="165">
        <v>45993</v>
      </c>
      <c r="M950" s="116">
        <v>249.4</v>
      </c>
      <c r="N950" s="116">
        <v>256.45</v>
      </c>
      <c r="O950" s="116">
        <v>248.9</v>
      </c>
      <c r="P950" s="116">
        <v>255.55</v>
      </c>
      <c r="Q950" s="116">
        <v>249.4</v>
      </c>
      <c r="R950">
        <v>2006702</v>
      </c>
    </row>
    <row r="951" spans="1:18" x14ac:dyDescent="0.25">
      <c r="A951" s="165">
        <v>45994</v>
      </c>
      <c r="B951" s="116">
        <v>251.3</v>
      </c>
      <c r="C951" s="116">
        <v>247.5</v>
      </c>
      <c r="D951" s="116">
        <v>246.6</v>
      </c>
      <c r="E951" s="116">
        <v>250.05</v>
      </c>
      <c r="F951" s="116">
        <v>247.5</v>
      </c>
      <c r="G951">
        <v>41344</v>
      </c>
      <c r="H951" s="116"/>
      <c r="I951" s="116"/>
      <c r="L951" s="165">
        <v>45994</v>
      </c>
      <c r="M951" s="116">
        <v>247.55</v>
      </c>
      <c r="N951" s="116">
        <v>251.2</v>
      </c>
      <c r="O951" s="116">
        <v>246.7</v>
      </c>
      <c r="P951" s="116">
        <v>250.4</v>
      </c>
      <c r="Q951" s="116">
        <v>247.55</v>
      </c>
      <c r="R951">
        <v>1037508</v>
      </c>
    </row>
    <row r="952" spans="1:18" x14ac:dyDescent="0.25">
      <c r="A952" s="165">
        <v>45995</v>
      </c>
      <c r="B952" s="116">
        <v>250</v>
      </c>
      <c r="C952" s="116">
        <v>248.9</v>
      </c>
      <c r="D952" s="116">
        <v>245.7</v>
      </c>
      <c r="E952" s="116">
        <v>247.05</v>
      </c>
      <c r="F952" s="116">
        <v>248.9</v>
      </c>
      <c r="G952">
        <v>41203</v>
      </c>
      <c r="H952" s="116"/>
      <c r="I952" s="116"/>
      <c r="L952" s="165">
        <v>45995</v>
      </c>
      <c r="M952" s="116">
        <v>249.25</v>
      </c>
      <c r="N952" s="116">
        <v>250.25</v>
      </c>
      <c r="O952" s="116">
        <v>245.5</v>
      </c>
      <c r="P952" s="116">
        <v>247.5</v>
      </c>
      <c r="Q952" s="116">
        <v>249.25</v>
      </c>
      <c r="R952">
        <v>1575472</v>
      </c>
    </row>
    <row r="953" spans="1:18" x14ac:dyDescent="0.25">
      <c r="A953" s="165">
        <v>45996</v>
      </c>
      <c r="B953" s="116">
        <v>253.9</v>
      </c>
      <c r="C953" s="116">
        <v>252.7</v>
      </c>
      <c r="D953" s="116">
        <v>248.9</v>
      </c>
      <c r="E953" s="116">
        <v>249</v>
      </c>
      <c r="F953" s="116">
        <v>252.7</v>
      </c>
      <c r="G953">
        <v>24221</v>
      </c>
      <c r="H953" s="116"/>
      <c r="I953" s="116"/>
      <c r="L953" s="165">
        <v>45996</v>
      </c>
      <c r="M953" s="116">
        <v>252.8</v>
      </c>
      <c r="N953" s="116">
        <v>254</v>
      </c>
      <c r="O953" s="116">
        <v>248.75</v>
      </c>
      <c r="P953" s="116">
        <v>249.25</v>
      </c>
      <c r="Q953" s="116">
        <v>252.8</v>
      </c>
      <c r="R953">
        <v>911245</v>
      </c>
    </row>
    <row r="954" spans="1:18" x14ac:dyDescent="0.25">
      <c r="A954" s="165">
        <v>45999</v>
      </c>
      <c r="B954" s="116">
        <v>252.85</v>
      </c>
      <c r="C954" s="116">
        <v>251</v>
      </c>
      <c r="D954" s="116">
        <v>249.5</v>
      </c>
      <c r="E954" s="116">
        <v>252.85</v>
      </c>
      <c r="F954" s="116">
        <v>251</v>
      </c>
      <c r="G954">
        <v>75734</v>
      </c>
      <c r="H954" s="116"/>
      <c r="I954" s="116"/>
      <c r="L954" s="165">
        <v>45999</v>
      </c>
      <c r="M954" s="116">
        <v>250.6</v>
      </c>
      <c r="N954" s="116">
        <v>253.8</v>
      </c>
      <c r="O954" s="116">
        <v>249.45</v>
      </c>
      <c r="P954" s="116">
        <v>253.8</v>
      </c>
      <c r="Q954" s="116">
        <v>250.6</v>
      </c>
      <c r="R954">
        <v>922289</v>
      </c>
    </row>
    <row r="955" spans="1:18" x14ac:dyDescent="0.25">
      <c r="A955" s="165">
        <v>46000</v>
      </c>
      <c r="B955" s="116">
        <v>249.9</v>
      </c>
      <c r="C955" s="116">
        <v>246.1</v>
      </c>
      <c r="D955" s="116">
        <v>245.05</v>
      </c>
      <c r="E955" s="116">
        <v>248.95</v>
      </c>
      <c r="F955" s="116">
        <v>246.1</v>
      </c>
      <c r="G955">
        <v>126822</v>
      </c>
      <c r="H955" s="116"/>
      <c r="I955" s="116"/>
      <c r="L955" s="165">
        <v>46000</v>
      </c>
      <c r="M955" s="116">
        <v>246.05</v>
      </c>
      <c r="N955" s="116">
        <v>250.5</v>
      </c>
      <c r="O955" s="116">
        <v>245</v>
      </c>
      <c r="P955" s="116">
        <v>249.95</v>
      </c>
      <c r="Q955" s="116">
        <v>246.05</v>
      </c>
      <c r="R955">
        <v>1076367</v>
      </c>
    </row>
    <row r="956" spans="1:18" x14ac:dyDescent="0.25">
      <c r="A956" s="165">
        <v>46001</v>
      </c>
      <c r="B956" s="116">
        <v>249.45</v>
      </c>
      <c r="C956" s="116">
        <v>246.95</v>
      </c>
      <c r="D956" s="116">
        <v>245.15</v>
      </c>
      <c r="E956" s="116">
        <v>246.35</v>
      </c>
      <c r="F956" s="116">
        <v>246.95</v>
      </c>
      <c r="G956">
        <v>84261</v>
      </c>
      <c r="H956" s="116"/>
      <c r="I956" s="116"/>
      <c r="L956" s="165">
        <v>46001</v>
      </c>
      <c r="M956" s="116">
        <v>247.15</v>
      </c>
      <c r="N956" s="116">
        <v>249.4</v>
      </c>
      <c r="O956" s="116">
        <v>245.1</v>
      </c>
      <c r="P956" s="116">
        <v>246.7</v>
      </c>
      <c r="Q956" s="116">
        <v>247.15</v>
      </c>
      <c r="R956">
        <v>1231962</v>
      </c>
    </row>
    <row r="957" spans="1:18" x14ac:dyDescent="0.25">
      <c r="A957" s="165">
        <v>46002</v>
      </c>
      <c r="B957" s="116">
        <v>248.6</v>
      </c>
      <c r="C957" s="116">
        <v>247.25</v>
      </c>
      <c r="D957" s="116">
        <v>244.5</v>
      </c>
      <c r="E957" s="116">
        <v>246.8</v>
      </c>
      <c r="F957" s="116">
        <v>247.25</v>
      </c>
      <c r="G957">
        <v>31682</v>
      </c>
      <c r="H957" s="116"/>
      <c r="I957" s="116"/>
      <c r="L957" s="165">
        <v>46002</v>
      </c>
      <c r="M957" s="116">
        <v>247.4</v>
      </c>
      <c r="N957" s="116">
        <v>248.8</v>
      </c>
      <c r="O957" s="116">
        <v>244.55</v>
      </c>
      <c r="P957" s="116">
        <v>247.15</v>
      </c>
      <c r="Q957" s="116">
        <v>247.4</v>
      </c>
      <c r="R957">
        <v>1378466</v>
      </c>
    </row>
    <row r="958" spans="1:18" x14ac:dyDescent="0.25">
      <c r="A958" s="165">
        <v>46003</v>
      </c>
      <c r="B958" s="116">
        <v>250.2</v>
      </c>
      <c r="C958" s="116">
        <v>249.25</v>
      </c>
      <c r="D958" s="116">
        <v>247.8</v>
      </c>
      <c r="E958" s="116">
        <v>248.55</v>
      </c>
      <c r="F958" s="116">
        <v>249.25</v>
      </c>
      <c r="G958">
        <v>32018</v>
      </c>
      <c r="H958" s="116"/>
      <c r="I958" s="116"/>
      <c r="L958" s="165">
        <v>46003</v>
      </c>
      <c r="M958" s="116">
        <v>249.1</v>
      </c>
      <c r="N958" s="116">
        <v>250.3</v>
      </c>
      <c r="O958" s="116">
        <v>247.5</v>
      </c>
      <c r="P958" s="116">
        <v>248.9</v>
      </c>
      <c r="Q958" s="116">
        <v>249.1</v>
      </c>
      <c r="R958">
        <v>1630348</v>
      </c>
    </row>
    <row r="959" spans="1:18" x14ac:dyDescent="0.25">
      <c r="A959" s="165">
        <v>46006</v>
      </c>
      <c r="B959" s="116">
        <v>251</v>
      </c>
      <c r="C959" s="116">
        <v>246.25</v>
      </c>
      <c r="D959" s="116">
        <v>245.45</v>
      </c>
      <c r="E959" s="116">
        <v>247.7</v>
      </c>
      <c r="F959" s="116">
        <v>246.25</v>
      </c>
      <c r="G959">
        <v>97467</v>
      </c>
      <c r="H959" s="116"/>
      <c r="I959" s="116"/>
      <c r="L959" s="165">
        <v>46006</v>
      </c>
      <c r="M959" s="116">
        <v>246.35</v>
      </c>
      <c r="N959" s="116">
        <v>251</v>
      </c>
      <c r="O959" s="116">
        <v>245.55</v>
      </c>
      <c r="P959" s="116">
        <v>248</v>
      </c>
      <c r="Q959" s="116">
        <v>246.35</v>
      </c>
      <c r="R959">
        <v>1030886</v>
      </c>
    </row>
    <row r="960" spans="1:18" x14ac:dyDescent="0.25">
      <c r="A960" s="165">
        <v>46007</v>
      </c>
      <c r="B960" s="116">
        <v>247.55</v>
      </c>
      <c r="C960" s="116">
        <v>242.5</v>
      </c>
      <c r="D960" s="116">
        <v>242</v>
      </c>
      <c r="E960" s="116">
        <v>246.3</v>
      </c>
      <c r="F960" s="116">
        <v>242.5</v>
      </c>
      <c r="G960">
        <v>49251</v>
      </c>
      <c r="H960" s="116"/>
      <c r="I960" s="116"/>
      <c r="L960" s="165">
        <v>46007</v>
      </c>
      <c r="M960" s="116">
        <v>243.1</v>
      </c>
      <c r="N960" s="116">
        <v>247.75</v>
      </c>
      <c r="O960" s="116">
        <v>242.1</v>
      </c>
      <c r="P960" s="116">
        <v>247</v>
      </c>
      <c r="Q960" s="116">
        <v>243.1</v>
      </c>
      <c r="R960">
        <v>2379959</v>
      </c>
    </row>
    <row r="961" spans="1:18" x14ac:dyDescent="0.25">
      <c r="A961" s="165">
        <v>46008</v>
      </c>
      <c r="B961" s="116">
        <v>243.35</v>
      </c>
      <c r="C961" s="116">
        <v>241.4</v>
      </c>
      <c r="D961" s="116">
        <v>240.1</v>
      </c>
      <c r="E961" s="116">
        <v>242.55</v>
      </c>
      <c r="F961" s="116">
        <v>241.4</v>
      </c>
      <c r="G961">
        <v>52055</v>
      </c>
      <c r="H961" s="116"/>
      <c r="I961" s="116"/>
      <c r="L961" s="165">
        <v>46008</v>
      </c>
      <c r="M961" s="116">
        <v>241.45</v>
      </c>
      <c r="N961" s="116">
        <v>243.75</v>
      </c>
      <c r="O961" s="116">
        <v>240.15</v>
      </c>
      <c r="P961" s="116">
        <v>243.05</v>
      </c>
      <c r="Q961" s="116">
        <v>241.45</v>
      </c>
      <c r="R961">
        <v>857143</v>
      </c>
    </row>
    <row r="962" spans="1:18" x14ac:dyDescent="0.25">
      <c r="A962" s="165">
        <v>46009</v>
      </c>
      <c r="B962" s="116">
        <v>241.75</v>
      </c>
      <c r="C962" s="116">
        <v>239.2</v>
      </c>
      <c r="D962" s="116">
        <v>237.3</v>
      </c>
      <c r="E962" s="116">
        <v>241.75</v>
      </c>
      <c r="F962" s="116">
        <v>239.2</v>
      </c>
      <c r="G962">
        <v>51187</v>
      </c>
      <c r="H962" s="116"/>
      <c r="I962" s="116"/>
      <c r="L962" s="165">
        <v>46009</v>
      </c>
      <c r="M962" s="116">
        <v>239.25</v>
      </c>
      <c r="N962" s="116">
        <v>241.2</v>
      </c>
      <c r="O962" s="116">
        <v>237.2</v>
      </c>
      <c r="P962" s="116">
        <v>241.1</v>
      </c>
      <c r="Q962" s="116">
        <v>239.25</v>
      </c>
      <c r="R962">
        <v>832985</v>
      </c>
    </row>
    <row r="963" spans="1:18" x14ac:dyDescent="0.25">
      <c r="A963" s="165">
        <v>46010</v>
      </c>
      <c r="B963" s="116">
        <v>247</v>
      </c>
      <c r="C963" s="116">
        <v>244.6</v>
      </c>
      <c r="D963" s="116">
        <v>237.15</v>
      </c>
      <c r="E963" s="116">
        <v>240</v>
      </c>
      <c r="F963" s="116">
        <v>244.6</v>
      </c>
      <c r="G963">
        <v>71215</v>
      </c>
      <c r="H963" s="116"/>
      <c r="I963" s="116"/>
      <c r="L963" s="165">
        <v>46010</v>
      </c>
      <c r="M963" s="116">
        <v>244.85</v>
      </c>
      <c r="N963" s="116">
        <v>247</v>
      </c>
      <c r="O963" s="116">
        <v>237.7</v>
      </c>
      <c r="P963" s="116">
        <v>240</v>
      </c>
      <c r="Q963" s="116">
        <v>244.85</v>
      </c>
      <c r="R963">
        <v>1309983</v>
      </c>
    </row>
    <row r="964" spans="1:18" x14ac:dyDescent="0.25">
      <c r="A964" s="165">
        <v>46013</v>
      </c>
      <c r="B964" s="116">
        <v>247.85</v>
      </c>
      <c r="C964" s="116">
        <v>241.75</v>
      </c>
      <c r="D964" s="116">
        <v>240.25</v>
      </c>
      <c r="E964" s="116">
        <v>244.75</v>
      </c>
      <c r="F964" s="116">
        <v>241.75</v>
      </c>
      <c r="G964">
        <v>52144</v>
      </c>
      <c r="H964" s="116"/>
      <c r="I964" s="116"/>
      <c r="L964" s="165">
        <v>46013</v>
      </c>
      <c r="M964" s="116">
        <v>241.7</v>
      </c>
      <c r="N964" s="116">
        <v>247.8</v>
      </c>
      <c r="O964" s="116">
        <v>240.15</v>
      </c>
      <c r="P964" s="116">
        <v>245.05</v>
      </c>
      <c r="Q964" s="116">
        <v>241.7</v>
      </c>
      <c r="R964">
        <v>1770672</v>
      </c>
    </row>
    <row r="965" spans="1:18" x14ac:dyDescent="0.25">
      <c r="A965" s="165">
        <v>46014</v>
      </c>
      <c r="B965" s="116">
        <v>243</v>
      </c>
      <c r="C965" s="116">
        <v>239.4</v>
      </c>
      <c r="D965" s="116">
        <v>238.6</v>
      </c>
      <c r="E965" s="116">
        <v>241.75</v>
      </c>
      <c r="F965" s="116">
        <v>239.4</v>
      </c>
      <c r="G965">
        <v>100738</v>
      </c>
      <c r="H965" s="116"/>
      <c r="I965" s="116"/>
      <c r="L965" s="165">
        <v>46014</v>
      </c>
      <c r="M965" s="116">
        <v>239.35</v>
      </c>
      <c r="N965" s="116">
        <v>243.4</v>
      </c>
      <c r="O965" s="116">
        <v>238.25</v>
      </c>
      <c r="P965" s="116">
        <v>241.5</v>
      </c>
      <c r="Q965" s="116">
        <v>239.35</v>
      </c>
      <c r="R965">
        <v>1170393</v>
      </c>
    </row>
    <row r="966" spans="1:18" x14ac:dyDescent="0.25">
      <c r="A966" s="165">
        <v>46015</v>
      </c>
      <c r="B966" s="116">
        <v>240.4</v>
      </c>
      <c r="C966" s="116">
        <v>237.15</v>
      </c>
      <c r="D966" s="116">
        <v>236.65</v>
      </c>
      <c r="E966" s="116">
        <v>239.95</v>
      </c>
      <c r="F966" s="116">
        <v>237.15</v>
      </c>
      <c r="G966">
        <v>138336</v>
      </c>
      <c r="H966" s="116"/>
      <c r="I966" s="116"/>
      <c r="L966" s="165">
        <v>46015</v>
      </c>
      <c r="M966" s="116">
        <v>236.95</v>
      </c>
      <c r="N966" s="116">
        <v>240.5</v>
      </c>
      <c r="O966" s="116">
        <v>236.5</v>
      </c>
      <c r="P966" s="116">
        <v>239</v>
      </c>
      <c r="Q966" s="116">
        <v>236.95</v>
      </c>
      <c r="R966">
        <v>1209241</v>
      </c>
    </row>
    <row r="967" spans="1:18" x14ac:dyDescent="0.25">
      <c r="A967" s="165">
        <v>46017</v>
      </c>
      <c r="B967" s="116">
        <v>237.75</v>
      </c>
      <c r="C967" s="116">
        <v>237</v>
      </c>
      <c r="D967" s="116">
        <v>235.5</v>
      </c>
      <c r="E967" s="116">
        <v>237.5</v>
      </c>
      <c r="F967" s="116">
        <v>237</v>
      </c>
      <c r="G967">
        <v>108859</v>
      </c>
      <c r="H967" s="116"/>
      <c r="I967" s="116"/>
      <c r="L967" s="165">
        <v>46017</v>
      </c>
      <c r="M967" s="116">
        <v>236.95</v>
      </c>
      <c r="N967" s="116">
        <v>237.75</v>
      </c>
      <c r="O967" s="116">
        <v>235.5</v>
      </c>
      <c r="P967" s="116">
        <v>237.75</v>
      </c>
      <c r="Q967" s="116">
        <v>236.95</v>
      </c>
      <c r="R967">
        <v>1020301</v>
      </c>
    </row>
    <row r="968" spans="1:18" x14ac:dyDescent="0.25">
      <c r="A968" s="165">
        <v>46020</v>
      </c>
      <c r="B968" s="116">
        <v>238</v>
      </c>
      <c r="C968" s="116">
        <v>237.5</v>
      </c>
      <c r="D968" s="116">
        <v>235</v>
      </c>
      <c r="E968" s="116">
        <v>236.75</v>
      </c>
      <c r="F968" s="116">
        <v>237.5</v>
      </c>
      <c r="G968">
        <v>100081</v>
      </c>
      <c r="H968" s="116"/>
      <c r="I968" s="116"/>
      <c r="L968" s="165">
        <v>46020</v>
      </c>
      <c r="M968" s="116">
        <v>237.5</v>
      </c>
      <c r="N968" s="116">
        <v>237.95</v>
      </c>
      <c r="O968" s="116">
        <v>235</v>
      </c>
      <c r="P968" s="116">
        <v>237.1</v>
      </c>
      <c r="Q968" s="116">
        <v>237.5</v>
      </c>
      <c r="R968">
        <v>721276</v>
      </c>
    </row>
    <row r="969" spans="1:18" x14ac:dyDescent="0.25">
      <c r="A969" s="165">
        <v>46021</v>
      </c>
      <c r="B969" s="116">
        <v>242.9</v>
      </c>
      <c r="C969" s="116">
        <v>239.8</v>
      </c>
      <c r="D969" s="116">
        <v>236</v>
      </c>
      <c r="E969" s="116">
        <v>238.9</v>
      </c>
      <c r="F969" s="116">
        <v>239.8</v>
      </c>
      <c r="G969">
        <v>136991</v>
      </c>
      <c r="H969" s="116"/>
      <c r="I969" s="116"/>
      <c r="L969" s="165">
        <v>46021</v>
      </c>
      <c r="M969" s="116">
        <v>240</v>
      </c>
      <c r="N969" s="116">
        <v>243</v>
      </c>
      <c r="O969" s="116">
        <v>236.05</v>
      </c>
      <c r="P969" s="116">
        <v>237.7</v>
      </c>
      <c r="Q969" s="116">
        <v>240</v>
      </c>
      <c r="R969">
        <v>1430706</v>
      </c>
    </row>
    <row r="970" spans="1:18" x14ac:dyDescent="0.25">
      <c r="A970" s="165">
        <v>46022</v>
      </c>
      <c r="B970" s="116">
        <v>240.7</v>
      </c>
      <c r="C970" s="116">
        <v>237.5</v>
      </c>
      <c r="D970" s="116">
        <v>236.4</v>
      </c>
      <c r="E970" s="116">
        <v>240.65</v>
      </c>
      <c r="F970" s="116">
        <v>237.5</v>
      </c>
      <c r="G970">
        <v>1539040</v>
      </c>
      <c r="H970" s="116"/>
      <c r="I970" s="116"/>
      <c r="L970" s="165">
        <v>46022</v>
      </c>
      <c r="M970" s="116">
        <v>237.3</v>
      </c>
      <c r="N970" s="116">
        <v>241</v>
      </c>
      <c r="O970" s="116">
        <v>236.45</v>
      </c>
      <c r="P970" s="116">
        <v>241</v>
      </c>
      <c r="Q970" s="116">
        <v>237.3</v>
      </c>
      <c r="R970">
        <v>1302946</v>
      </c>
    </row>
    <row r="971" spans="1:18" x14ac:dyDescent="0.25">
      <c r="A971" s="165">
        <v>46023</v>
      </c>
      <c r="B971" s="116">
        <v>242.2</v>
      </c>
      <c r="C971" s="116">
        <v>239.45</v>
      </c>
      <c r="D971" s="116">
        <v>237.05</v>
      </c>
      <c r="E971" s="116">
        <v>237.8</v>
      </c>
      <c r="F971" s="116">
        <v>239.45</v>
      </c>
      <c r="G971">
        <v>137751</v>
      </c>
      <c r="H971" s="116"/>
      <c r="I971" s="116"/>
      <c r="L971" s="165">
        <v>46023</v>
      </c>
      <c r="M971" s="116">
        <v>239.45</v>
      </c>
      <c r="N971" s="116">
        <v>242.4</v>
      </c>
      <c r="O971" s="116">
        <v>237</v>
      </c>
      <c r="P971" s="116">
        <v>238.1</v>
      </c>
      <c r="Q971" s="116">
        <v>239.45</v>
      </c>
      <c r="R971">
        <v>1249175</v>
      </c>
    </row>
    <row r="972" spans="1:18" x14ac:dyDescent="0.25">
      <c r="A972" s="165">
        <v>46024</v>
      </c>
      <c r="B972" s="116">
        <v>240</v>
      </c>
      <c r="C972" s="116">
        <v>238.4</v>
      </c>
      <c r="D972" s="116">
        <v>234.05</v>
      </c>
      <c r="E972" s="116">
        <v>239.5</v>
      </c>
      <c r="F972" s="116">
        <v>238.4</v>
      </c>
      <c r="G972">
        <v>478012</v>
      </c>
      <c r="H972" s="116"/>
      <c r="I972" s="116"/>
      <c r="L972" s="165">
        <v>46024</v>
      </c>
      <c r="M972" s="116">
        <v>236.27</v>
      </c>
      <c r="N972" s="116">
        <v>240</v>
      </c>
      <c r="O972" s="116">
        <v>234.1</v>
      </c>
      <c r="P972" s="116">
        <v>240</v>
      </c>
      <c r="Q972" s="116">
        <v>236.27</v>
      </c>
      <c r="R972">
        <v>2541764</v>
      </c>
    </row>
    <row r="973" spans="1:18" x14ac:dyDescent="0.25">
      <c r="A973" s="165">
        <v>46027</v>
      </c>
      <c r="B973" s="116">
        <v>237.4</v>
      </c>
      <c r="C973" s="116">
        <v>233.85</v>
      </c>
      <c r="D973" s="116">
        <v>233.35</v>
      </c>
      <c r="E973" s="116">
        <v>234.4</v>
      </c>
      <c r="F973" s="116">
        <v>233.85</v>
      </c>
      <c r="G973">
        <v>155989</v>
      </c>
      <c r="H973" s="116"/>
      <c r="I973" s="116"/>
      <c r="L973" s="165">
        <v>46027</v>
      </c>
      <c r="M973" s="116">
        <v>233.8</v>
      </c>
      <c r="N973" s="116">
        <v>237.44</v>
      </c>
      <c r="O973" s="116">
        <v>233.3</v>
      </c>
      <c r="P973" s="116">
        <v>235.65</v>
      </c>
      <c r="Q973" s="116">
        <v>233.8</v>
      </c>
      <c r="R973">
        <v>1302112</v>
      </c>
    </row>
    <row r="974" spans="1:18" x14ac:dyDescent="0.25">
      <c r="A974" s="165">
        <v>46028</v>
      </c>
      <c r="B974" s="116">
        <v>234.9</v>
      </c>
      <c r="C974" s="116">
        <v>230.7</v>
      </c>
      <c r="D974" s="116">
        <v>229.75</v>
      </c>
      <c r="E974" s="116">
        <v>233.9</v>
      </c>
      <c r="F974" s="116">
        <v>230.7</v>
      </c>
      <c r="G974">
        <v>114329</v>
      </c>
      <c r="H974" s="116"/>
      <c r="I974" s="116"/>
      <c r="L974" s="165">
        <v>46028</v>
      </c>
      <c r="M974" s="116">
        <v>230.8</v>
      </c>
      <c r="N974" s="116">
        <v>234.8</v>
      </c>
      <c r="O974" s="116">
        <v>229.47</v>
      </c>
      <c r="P974" s="116">
        <v>234</v>
      </c>
      <c r="Q974" s="116">
        <v>230.8</v>
      </c>
      <c r="R974">
        <v>1346201</v>
      </c>
    </row>
    <row r="975" spans="1:18" x14ac:dyDescent="0.25">
      <c r="A975" s="165">
        <v>46029</v>
      </c>
      <c r="B975" s="116">
        <v>233.6</v>
      </c>
      <c r="C975" s="116">
        <v>229.2</v>
      </c>
      <c r="D975" s="116">
        <v>228.5</v>
      </c>
      <c r="E975" s="116">
        <v>230</v>
      </c>
      <c r="F975" s="116">
        <v>229.2</v>
      </c>
      <c r="G975">
        <v>75444</v>
      </c>
      <c r="H975" s="116"/>
      <c r="I975" s="116"/>
      <c r="L975" s="165">
        <v>46029</v>
      </c>
      <c r="M975" s="116">
        <v>229.04</v>
      </c>
      <c r="N975" s="116">
        <v>233.5</v>
      </c>
      <c r="O975" s="116">
        <v>228.55</v>
      </c>
      <c r="P975" s="116">
        <v>230</v>
      </c>
      <c r="Q975" s="116">
        <v>229.04</v>
      </c>
      <c r="R975">
        <v>1583661</v>
      </c>
    </row>
    <row r="976" spans="1:18" x14ac:dyDescent="0.25">
      <c r="A976" s="165">
        <v>46030</v>
      </c>
      <c r="B976" s="116">
        <v>230.55</v>
      </c>
      <c r="C976" s="116">
        <v>227.75</v>
      </c>
      <c r="D976" s="116">
        <v>227.3</v>
      </c>
      <c r="E976" s="116">
        <v>228.8</v>
      </c>
      <c r="F976" s="116">
        <v>227.75</v>
      </c>
      <c r="G976">
        <v>136502</v>
      </c>
      <c r="H976" s="116"/>
      <c r="I976" s="116"/>
      <c r="L976" s="165">
        <v>46030</v>
      </c>
      <c r="M976" s="116">
        <v>227.85</v>
      </c>
      <c r="N976" s="116">
        <v>230.58</v>
      </c>
      <c r="O976" s="116">
        <v>227.5</v>
      </c>
      <c r="P976" s="116">
        <v>229.1</v>
      </c>
      <c r="Q976" s="116">
        <v>227.85</v>
      </c>
      <c r="R976">
        <v>850152</v>
      </c>
    </row>
    <row r="977" spans="1:18" x14ac:dyDescent="0.25">
      <c r="A977" s="165">
        <v>46031</v>
      </c>
      <c r="B977" s="116">
        <v>227.75</v>
      </c>
      <c r="C977" s="116">
        <v>222.95</v>
      </c>
      <c r="D977" s="116">
        <v>222.15</v>
      </c>
      <c r="E977" s="116">
        <v>227.4</v>
      </c>
      <c r="F977" s="116">
        <v>222.95</v>
      </c>
      <c r="G977">
        <v>2328017</v>
      </c>
      <c r="H977" s="116"/>
      <c r="I977" s="116"/>
      <c r="L977" s="165">
        <v>46031</v>
      </c>
      <c r="M977" s="116">
        <v>222.98</v>
      </c>
      <c r="N977" s="116">
        <v>227.75</v>
      </c>
      <c r="O977" s="116">
        <v>222.1</v>
      </c>
      <c r="P977" s="116">
        <v>227.6</v>
      </c>
      <c r="Q977" s="116">
        <v>222.98</v>
      </c>
      <c r="R977">
        <v>2380641</v>
      </c>
    </row>
    <row r="978" spans="1:18" x14ac:dyDescent="0.25">
      <c r="A978" s="165">
        <v>46034</v>
      </c>
      <c r="B978" s="116">
        <v>222.15</v>
      </c>
      <c r="C978" s="116">
        <v>219.9</v>
      </c>
      <c r="D978" s="116">
        <v>217.55</v>
      </c>
      <c r="E978" s="116">
        <v>221.75</v>
      </c>
      <c r="F978" s="116">
        <v>219.9</v>
      </c>
      <c r="G978">
        <v>1652657</v>
      </c>
      <c r="H978" s="116"/>
      <c r="I978" s="116"/>
      <c r="L978" s="165">
        <v>46034</v>
      </c>
      <c r="M978" s="116">
        <v>219.82</v>
      </c>
      <c r="N978" s="116">
        <v>222.56</v>
      </c>
      <c r="O978" s="116">
        <v>217.5</v>
      </c>
      <c r="P978" s="116">
        <v>222</v>
      </c>
      <c r="Q978" s="116">
        <v>219.82</v>
      </c>
      <c r="R978">
        <v>1609235</v>
      </c>
    </row>
    <row r="979" spans="1:18" x14ac:dyDescent="0.25">
      <c r="A979" s="165">
        <v>46035</v>
      </c>
      <c r="B979" s="116">
        <v>225.5</v>
      </c>
      <c r="C979" s="116">
        <v>219.85</v>
      </c>
      <c r="D979" s="116">
        <v>219.4</v>
      </c>
      <c r="E979" s="116">
        <v>220.15</v>
      </c>
      <c r="F979" s="116">
        <v>219.85</v>
      </c>
      <c r="G979">
        <v>753996</v>
      </c>
      <c r="H979" s="116"/>
      <c r="I979" s="116"/>
      <c r="L979" s="165">
        <v>46035</v>
      </c>
      <c r="M979" s="116">
        <v>219.78</v>
      </c>
      <c r="N979" s="116">
        <v>225.5</v>
      </c>
      <c r="O979" s="116">
        <v>219.01</v>
      </c>
      <c r="P979" s="116">
        <v>221</v>
      </c>
      <c r="Q979" s="116">
        <v>219.78</v>
      </c>
      <c r="R979">
        <v>890658</v>
      </c>
    </row>
    <row r="980" spans="1:18" x14ac:dyDescent="0.25">
      <c r="A980" s="165">
        <v>46036</v>
      </c>
      <c r="B980" s="116">
        <v>220.6</v>
      </c>
      <c r="C980" s="116">
        <v>217.9</v>
      </c>
      <c r="D980" s="116">
        <v>217.5</v>
      </c>
      <c r="E980" s="116">
        <v>219.05</v>
      </c>
      <c r="F980" s="116">
        <v>217.9</v>
      </c>
      <c r="G980">
        <v>103523</v>
      </c>
      <c r="H980" s="116"/>
      <c r="I980" s="116"/>
      <c r="L980" s="165">
        <v>46036</v>
      </c>
      <c r="M980" s="116">
        <v>217.91</v>
      </c>
      <c r="N980" s="116">
        <v>220.63</v>
      </c>
      <c r="O980" s="116">
        <v>217.5</v>
      </c>
      <c r="P980" s="116">
        <v>219.49</v>
      </c>
      <c r="Q980" s="116">
        <v>217.91</v>
      </c>
      <c r="R980">
        <v>849535</v>
      </c>
    </row>
    <row r="981" spans="1:18" x14ac:dyDescent="0.25">
      <c r="A981" s="165">
        <v>46038</v>
      </c>
      <c r="B981" s="116">
        <v>218.5</v>
      </c>
      <c r="C981" s="116">
        <v>212.65</v>
      </c>
      <c r="D981" s="116">
        <v>211.3</v>
      </c>
      <c r="E981" s="116">
        <v>217.65</v>
      </c>
      <c r="F981" s="116">
        <v>212.65</v>
      </c>
      <c r="G981">
        <v>1015927</v>
      </c>
      <c r="H981" s="116"/>
      <c r="I981" s="116"/>
      <c r="L981" s="165">
        <v>46038</v>
      </c>
      <c r="M981" s="116">
        <v>212.43</v>
      </c>
      <c r="N981" s="116">
        <v>218.5</v>
      </c>
      <c r="O981" s="116">
        <v>211</v>
      </c>
      <c r="P981" s="116">
        <v>217.91</v>
      </c>
      <c r="Q981" s="116">
        <v>212.43</v>
      </c>
      <c r="R981">
        <v>1831714</v>
      </c>
    </row>
    <row r="982" spans="1:18" x14ac:dyDescent="0.25">
      <c r="A982" s="165">
        <v>46041</v>
      </c>
      <c r="B982" s="116">
        <v>214.5</v>
      </c>
      <c r="C982" s="116">
        <v>212</v>
      </c>
      <c r="D982" s="116">
        <v>206.95</v>
      </c>
      <c r="E982" s="116">
        <v>211.35</v>
      </c>
      <c r="F982" s="116">
        <v>212</v>
      </c>
      <c r="G982">
        <v>260042</v>
      </c>
      <c r="H982" s="116"/>
      <c r="I982" s="116"/>
      <c r="L982" s="165">
        <v>46041</v>
      </c>
      <c r="M982" s="116">
        <v>212.02</v>
      </c>
      <c r="N982" s="116">
        <v>214.44</v>
      </c>
      <c r="O982" s="116">
        <v>206.95</v>
      </c>
      <c r="P982" s="116">
        <v>212</v>
      </c>
      <c r="Q982" s="116">
        <v>212.02</v>
      </c>
      <c r="R982">
        <v>1769529</v>
      </c>
    </row>
    <row r="983" spans="1:18" x14ac:dyDescent="0.25">
      <c r="A983" s="165">
        <v>46042</v>
      </c>
      <c r="B983" s="116">
        <v>213.5</v>
      </c>
      <c r="C983" s="116">
        <v>210.1</v>
      </c>
      <c r="D983" s="116">
        <v>209.2</v>
      </c>
      <c r="E983" s="116">
        <v>211.25</v>
      </c>
      <c r="F983" s="116">
        <v>210.1</v>
      </c>
      <c r="G983">
        <v>99828</v>
      </c>
      <c r="H983" s="116"/>
      <c r="I983" s="116"/>
      <c r="L983" s="165">
        <v>46042</v>
      </c>
      <c r="M983" s="116">
        <v>210.04</v>
      </c>
      <c r="N983" s="116">
        <v>213.44</v>
      </c>
      <c r="O983" s="116">
        <v>209.26</v>
      </c>
      <c r="P983" s="116">
        <v>211</v>
      </c>
      <c r="Q983" s="116">
        <v>210.04</v>
      </c>
      <c r="R983">
        <v>1745251</v>
      </c>
    </row>
    <row r="984" spans="1:18" x14ac:dyDescent="0.25">
      <c r="A984" s="165">
        <v>46043</v>
      </c>
      <c r="B984" s="116">
        <v>210.45</v>
      </c>
      <c r="C984" s="116">
        <v>208.85</v>
      </c>
      <c r="D984" s="116">
        <v>205.35</v>
      </c>
      <c r="E984" s="116">
        <v>209.65</v>
      </c>
      <c r="F984" s="116">
        <v>208.85</v>
      </c>
      <c r="G984">
        <v>269965</v>
      </c>
      <c r="H984" s="116"/>
      <c r="I984" s="116"/>
      <c r="L984" s="165">
        <v>46043</v>
      </c>
      <c r="M984" s="116">
        <v>208.91</v>
      </c>
      <c r="N984" s="116">
        <v>210.46</v>
      </c>
      <c r="O984" s="116">
        <v>205.42</v>
      </c>
      <c r="P984" s="116">
        <v>210</v>
      </c>
      <c r="Q984" s="116">
        <v>208.91</v>
      </c>
      <c r="R984">
        <v>1654274</v>
      </c>
    </row>
    <row r="985" spans="1:18" x14ac:dyDescent="0.25">
      <c r="A985" s="165">
        <v>46044</v>
      </c>
      <c r="B985" s="116">
        <v>213</v>
      </c>
      <c r="C985" s="116">
        <v>210.1</v>
      </c>
      <c r="D985" s="116">
        <v>208.3</v>
      </c>
      <c r="E985" s="116">
        <v>208.3</v>
      </c>
      <c r="F985" s="116">
        <v>210.1</v>
      </c>
      <c r="G985">
        <v>49056</v>
      </c>
      <c r="H985" s="116"/>
      <c r="I985" s="116"/>
      <c r="L985" s="165">
        <v>46044</v>
      </c>
      <c r="M985" s="116">
        <v>210.03</v>
      </c>
      <c r="N985" s="116">
        <v>212.88</v>
      </c>
      <c r="O985" s="116">
        <v>208.51</v>
      </c>
      <c r="P985" s="116">
        <v>210.19</v>
      </c>
      <c r="Q985" s="116">
        <v>210.03</v>
      </c>
      <c r="R985">
        <v>764013</v>
      </c>
    </row>
    <row r="986" spans="1:18" x14ac:dyDescent="0.25">
      <c r="A986" s="165">
        <v>46045</v>
      </c>
      <c r="B986" s="116">
        <v>211.65</v>
      </c>
      <c r="C986" s="116">
        <v>209.25</v>
      </c>
      <c r="D986" s="116">
        <v>207.15</v>
      </c>
      <c r="E986" s="116">
        <v>211.65</v>
      </c>
      <c r="F986" s="116">
        <v>209.25</v>
      </c>
      <c r="G986">
        <v>1899359</v>
      </c>
      <c r="H986" s="116"/>
      <c r="I986" s="116"/>
      <c r="L986" s="165">
        <v>46045</v>
      </c>
      <c r="M986" s="116">
        <v>209.06</v>
      </c>
      <c r="N986" s="116">
        <v>211.51</v>
      </c>
      <c r="O986" s="116">
        <v>207.94</v>
      </c>
      <c r="P986" s="116">
        <v>211.51</v>
      </c>
      <c r="Q986" s="116">
        <v>209.06</v>
      </c>
      <c r="R986">
        <v>997078</v>
      </c>
    </row>
    <row r="987" spans="1:18" x14ac:dyDescent="0.25">
      <c r="A987" s="165">
        <v>46049</v>
      </c>
      <c r="B987" s="116">
        <v>209.85</v>
      </c>
      <c r="C987" s="116">
        <v>207.6</v>
      </c>
      <c r="D987" s="116">
        <v>204</v>
      </c>
      <c r="E987" s="116">
        <v>209.25</v>
      </c>
      <c r="F987" s="116">
        <v>207.6</v>
      </c>
      <c r="G987">
        <v>239798</v>
      </c>
      <c r="H987" s="116"/>
      <c r="I987" s="116"/>
      <c r="L987" s="165">
        <v>46049</v>
      </c>
      <c r="M987" s="116">
        <v>207.59</v>
      </c>
      <c r="N987" s="116">
        <v>209.3</v>
      </c>
      <c r="O987" s="116">
        <v>204.12</v>
      </c>
      <c r="P987" s="116">
        <v>209.06</v>
      </c>
      <c r="Q987" s="116">
        <v>207.59</v>
      </c>
      <c r="R987">
        <v>1172041</v>
      </c>
    </row>
    <row r="988" spans="1:18" x14ac:dyDescent="0.25">
      <c r="A988" s="165">
        <v>46050</v>
      </c>
      <c r="B988" s="116">
        <v>210.85</v>
      </c>
      <c r="C988" s="116">
        <v>209.65</v>
      </c>
      <c r="D988" s="116">
        <v>206</v>
      </c>
      <c r="E988" s="116">
        <v>207.7</v>
      </c>
      <c r="F988" s="116">
        <v>209.65</v>
      </c>
      <c r="G988">
        <v>150812</v>
      </c>
      <c r="H988" s="116"/>
      <c r="I988" s="116"/>
      <c r="L988" s="165">
        <v>46050</v>
      </c>
      <c r="M988" s="116">
        <v>209.79</v>
      </c>
      <c r="N988" s="116">
        <v>210.8</v>
      </c>
      <c r="O988" s="116">
        <v>206.1</v>
      </c>
      <c r="P988" s="116">
        <v>207.99</v>
      </c>
      <c r="Q988" s="116">
        <v>209.79</v>
      </c>
      <c r="R988">
        <v>1229507</v>
      </c>
    </row>
    <row r="989" spans="1:18" x14ac:dyDescent="0.25">
      <c r="A989" s="165">
        <v>46051</v>
      </c>
      <c r="B989" s="116">
        <v>212.4</v>
      </c>
      <c r="C989" s="116">
        <v>208.65</v>
      </c>
      <c r="D989" s="116">
        <v>207.15</v>
      </c>
      <c r="E989" s="116">
        <v>211.15</v>
      </c>
      <c r="F989" s="116">
        <v>208.65</v>
      </c>
      <c r="G989">
        <v>71034</v>
      </c>
      <c r="H989" s="116"/>
      <c r="I989" s="116"/>
      <c r="L989" s="165">
        <v>46051</v>
      </c>
      <c r="M989" s="116">
        <v>208.63</v>
      </c>
      <c r="N989" s="116">
        <v>212.28</v>
      </c>
      <c r="O989" s="116">
        <v>207.1</v>
      </c>
      <c r="P989" s="116">
        <v>210.9</v>
      </c>
      <c r="Q989" s="116">
        <v>208.63</v>
      </c>
      <c r="R989">
        <v>866855</v>
      </c>
    </row>
    <row r="990" spans="1:18" x14ac:dyDescent="0.25">
      <c r="A990" s="165">
        <v>46052</v>
      </c>
      <c r="B990" s="116">
        <v>215.55</v>
      </c>
      <c r="C990" s="116">
        <v>213.9</v>
      </c>
      <c r="D990" s="116">
        <v>207.75</v>
      </c>
      <c r="E990" s="116">
        <v>207.75</v>
      </c>
      <c r="F990" s="116">
        <v>213.9</v>
      </c>
      <c r="G990">
        <v>222178</v>
      </c>
      <c r="H990" s="116"/>
      <c r="I990" s="116"/>
      <c r="L990" s="165">
        <v>46052</v>
      </c>
      <c r="M990" s="116">
        <v>213.97</v>
      </c>
      <c r="N990" s="116">
        <v>215.68</v>
      </c>
      <c r="O990" s="116">
        <v>207.87</v>
      </c>
      <c r="P990" s="116">
        <v>208</v>
      </c>
      <c r="Q990" s="116">
        <v>213.97</v>
      </c>
      <c r="R990">
        <v>2048383</v>
      </c>
    </row>
    <row r="991" spans="1:18" x14ac:dyDescent="0.25">
      <c r="A991" s="165">
        <v>46054</v>
      </c>
      <c r="B991" s="116">
        <v>214.55</v>
      </c>
      <c r="C991" s="116">
        <v>208.55</v>
      </c>
      <c r="D991" s="116">
        <v>207.3</v>
      </c>
      <c r="E991" s="116">
        <v>213.9</v>
      </c>
      <c r="F991" s="116">
        <v>208.55</v>
      </c>
      <c r="G991">
        <v>54628</v>
      </c>
      <c r="H991" s="116"/>
      <c r="I991" s="116"/>
      <c r="L991" s="165">
        <v>46054</v>
      </c>
      <c r="M991" s="116">
        <v>208.33</v>
      </c>
      <c r="N991" s="116">
        <v>214.45</v>
      </c>
      <c r="O991" s="116">
        <v>207.5</v>
      </c>
      <c r="P991" s="116">
        <v>213.97</v>
      </c>
      <c r="Q991" s="116">
        <v>208.33</v>
      </c>
      <c r="R991">
        <v>761593</v>
      </c>
    </row>
    <row r="992" spans="1:18" x14ac:dyDescent="0.25">
      <c r="A992" s="165">
        <v>46055</v>
      </c>
      <c r="B992" s="116">
        <v>214.75</v>
      </c>
      <c r="C992" s="116">
        <v>212.5</v>
      </c>
      <c r="D992" s="116">
        <v>208.1</v>
      </c>
      <c r="E992" s="116">
        <v>208.35</v>
      </c>
      <c r="F992" s="116">
        <v>212.5</v>
      </c>
      <c r="G992">
        <v>154617</v>
      </c>
      <c r="H992" s="116"/>
      <c r="I992" s="116"/>
      <c r="L992" s="165">
        <v>46055</v>
      </c>
      <c r="M992" s="116">
        <v>212.65</v>
      </c>
      <c r="N992" s="116">
        <v>214.89</v>
      </c>
      <c r="O992" s="116">
        <v>208</v>
      </c>
      <c r="P992" s="116">
        <v>208.33</v>
      </c>
      <c r="Q992" s="116">
        <v>212.65</v>
      </c>
      <c r="R992">
        <v>2429081</v>
      </c>
    </row>
    <row r="993" spans="1:18" x14ac:dyDescent="0.25">
      <c r="A993" s="165">
        <v>46056</v>
      </c>
      <c r="B993" s="116">
        <v>218.15</v>
      </c>
      <c r="C993" s="116">
        <v>215.15</v>
      </c>
      <c r="D993" s="116">
        <v>213.55</v>
      </c>
      <c r="E993" s="116">
        <v>216.35</v>
      </c>
      <c r="F993" s="116">
        <v>215.15</v>
      </c>
      <c r="G993">
        <v>1166966</v>
      </c>
      <c r="H993" s="116"/>
      <c r="I993" s="116"/>
      <c r="L993" s="165">
        <v>46056</v>
      </c>
      <c r="M993" s="116">
        <v>215.12</v>
      </c>
      <c r="N993" s="116">
        <v>218.52</v>
      </c>
      <c r="O993" s="116">
        <v>213.5</v>
      </c>
      <c r="P993" s="116">
        <v>216.95</v>
      </c>
      <c r="Q993" s="116">
        <v>215.12</v>
      </c>
      <c r="R993">
        <v>4237926</v>
      </c>
    </row>
    <row r="994" spans="1:18" x14ac:dyDescent="0.25">
      <c r="A994" s="165">
        <v>46057</v>
      </c>
      <c r="B994" s="116">
        <v>219.95</v>
      </c>
      <c r="C994" s="116">
        <v>216.9</v>
      </c>
      <c r="D994" s="116">
        <v>212.15</v>
      </c>
      <c r="E994" s="116">
        <v>214.45</v>
      </c>
      <c r="F994" s="116">
        <v>216.9</v>
      </c>
      <c r="G994">
        <v>864746</v>
      </c>
      <c r="H994" s="116"/>
      <c r="I994" s="116"/>
      <c r="L994" s="165">
        <v>46057</v>
      </c>
      <c r="M994" s="116">
        <v>216.88</v>
      </c>
      <c r="N994" s="116">
        <v>220</v>
      </c>
      <c r="O994" s="116">
        <v>212.2</v>
      </c>
      <c r="P994" s="116">
        <v>214</v>
      </c>
      <c r="Q994" s="116">
        <v>216.88</v>
      </c>
      <c r="R994">
        <v>1407707</v>
      </c>
    </row>
    <row r="995" spans="1:18" x14ac:dyDescent="0.25">
      <c r="A995" s="165">
        <v>46058</v>
      </c>
      <c r="B995" s="116">
        <v>217.8</v>
      </c>
      <c r="C995" s="116">
        <v>214.65</v>
      </c>
      <c r="D995" s="116">
        <v>213.95</v>
      </c>
      <c r="E995" s="116">
        <v>216.65</v>
      </c>
      <c r="F995" s="116">
        <v>214.65</v>
      </c>
      <c r="G995">
        <v>103572</v>
      </c>
      <c r="H995" s="116"/>
      <c r="I995" s="116"/>
      <c r="L995" s="165">
        <v>46058</v>
      </c>
      <c r="M995" s="116">
        <v>214.78</v>
      </c>
      <c r="N995" s="116">
        <v>217.74</v>
      </c>
      <c r="O995" s="116">
        <v>214.01</v>
      </c>
      <c r="P995" s="116">
        <v>216.81</v>
      </c>
      <c r="Q995" s="116">
        <v>214.78</v>
      </c>
      <c r="R995">
        <v>530310</v>
      </c>
    </row>
    <row r="996" spans="1:18" x14ac:dyDescent="0.25">
      <c r="A996" s="165">
        <v>46059</v>
      </c>
      <c r="B996" s="116">
        <v>213.35</v>
      </c>
      <c r="C996" s="116">
        <v>211</v>
      </c>
      <c r="D996" s="116">
        <v>209.4</v>
      </c>
      <c r="E996" s="116">
        <v>212</v>
      </c>
      <c r="F996" s="116">
        <v>211</v>
      </c>
      <c r="G996">
        <v>927655</v>
      </c>
      <c r="H996" s="116"/>
      <c r="I996" s="116"/>
      <c r="L996" s="165">
        <v>46059</v>
      </c>
      <c r="M996" s="116">
        <v>211.36</v>
      </c>
      <c r="N996" s="116">
        <v>213.12</v>
      </c>
      <c r="O996" s="116">
        <v>209.3</v>
      </c>
      <c r="P996" s="116">
        <v>212.1</v>
      </c>
      <c r="Q996" s="116">
        <v>211.36</v>
      </c>
      <c r="R996">
        <v>946031</v>
      </c>
    </row>
    <row r="997" spans="1:18" x14ac:dyDescent="0.25">
      <c r="A997" s="165">
        <v>46062</v>
      </c>
      <c r="B997" s="116">
        <v>215.4</v>
      </c>
      <c r="C997" s="116">
        <v>211.1</v>
      </c>
      <c r="D997" s="116">
        <v>209.5</v>
      </c>
      <c r="E997" s="116">
        <v>213.35</v>
      </c>
      <c r="F997" s="116">
        <v>211.1</v>
      </c>
      <c r="G997">
        <v>145622</v>
      </c>
      <c r="H997" s="116"/>
      <c r="I997" s="116"/>
      <c r="L997" s="165">
        <v>46062</v>
      </c>
      <c r="M997" s="116">
        <v>211.24</v>
      </c>
      <c r="N997" s="116">
        <v>215.44</v>
      </c>
      <c r="O997" s="116">
        <v>209.4</v>
      </c>
      <c r="P997" s="116">
        <v>213</v>
      </c>
      <c r="Q997" s="116">
        <v>211.24</v>
      </c>
      <c r="R997">
        <v>2375206</v>
      </c>
    </row>
    <row r="998" spans="1:18" x14ac:dyDescent="0.25">
      <c r="A998" s="165">
        <v>46063</v>
      </c>
      <c r="B998" s="116">
        <v>212.65</v>
      </c>
      <c r="C998" s="116">
        <v>209.85</v>
      </c>
      <c r="D998" s="116">
        <v>209.6</v>
      </c>
      <c r="E998" s="116">
        <v>211.45</v>
      </c>
      <c r="F998" s="116">
        <v>209.85</v>
      </c>
      <c r="G998">
        <v>53273</v>
      </c>
      <c r="H998" s="116"/>
      <c r="I998" s="116"/>
      <c r="L998" s="165">
        <v>46063</v>
      </c>
      <c r="M998" s="116">
        <v>209.85</v>
      </c>
      <c r="N998" s="116">
        <v>212.77</v>
      </c>
      <c r="O998" s="116">
        <v>209.48</v>
      </c>
      <c r="P998" s="116">
        <v>211.98</v>
      </c>
      <c r="Q998" s="116">
        <v>209.85</v>
      </c>
      <c r="R998">
        <v>1274817</v>
      </c>
    </row>
    <row r="999" spans="1:18" x14ac:dyDescent="0.25">
      <c r="A999" s="165">
        <v>46064</v>
      </c>
      <c r="B999" s="116">
        <v>211.45</v>
      </c>
      <c r="C999" s="116">
        <v>209.7</v>
      </c>
      <c r="D999" s="116">
        <v>209.1</v>
      </c>
      <c r="E999" s="116">
        <v>211</v>
      </c>
      <c r="F999" s="116">
        <v>209.7</v>
      </c>
      <c r="G999">
        <v>83756</v>
      </c>
      <c r="H999" s="116"/>
      <c r="I999" s="116"/>
      <c r="L999" s="165">
        <v>46064</v>
      </c>
      <c r="M999" s="116">
        <v>209.59</v>
      </c>
      <c r="N999" s="116">
        <v>211.74</v>
      </c>
      <c r="O999" s="116">
        <v>209</v>
      </c>
      <c r="P999" s="116">
        <v>211</v>
      </c>
      <c r="Q999" s="116">
        <v>209.59</v>
      </c>
      <c r="R999">
        <v>1280193</v>
      </c>
    </row>
    <row r="1000" spans="1:18" x14ac:dyDescent="0.25">
      <c r="A1000" s="165">
        <v>46065</v>
      </c>
      <c r="B1000" s="116">
        <v>210</v>
      </c>
      <c r="C1000" s="116">
        <v>206.3</v>
      </c>
      <c r="D1000" s="116">
        <v>205.5</v>
      </c>
      <c r="E1000" s="116">
        <v>210</v>
      </c>
      <c r="F1000" s="116">
        <v>206.3</v>
      </c>
      <c r="G1000">
        <v>137533</v>
      </c>
      <c r="H1000" s="116"/>
      <c r="I1000" s="116"/>
      <c r="L1000" s="165">
        <v>46065</v>
      </c>
      <c r="M1000" s="116">
        <v>206.3</v>
      </c>
      <c r="N1000" s="116">
        <v>209.99</v>
      </c>
      <c r="O1000" s="116">
        <v>205.7</v>
      </c>
      <c r="P1000" s="116">
        <v>209.74</v>
      </c>
      <c r="Q1000" s="116">
        <v>206.3</v>
      </c>
      <c r="R1000">
        <v>980045</v>
      </c>
    </row>
    <row r="1001" spans="1:18" x14ac:dyDescent="0.25">
      <c r="A1001" s="165">
        <v>46066</v>
      </c>
      <c r="B1001" s="116">
        <v>205.65</v>
      </c>
      <c r="C1001" s="116">
        <v>201.55</v>
      </c>
      <c r="D1001" s="116">
        <v>200.3</v>
      </c>
      <c r="E1001" s="116">
        <v>203.2</v>
      </c>
      <c r="F1001" s="116">
        <v>201.55</v>
      </c>
      <c r="G1001">
        <v>132193</v>
      </c>
      <c r="H1001" s="116"/>
      <c r="I1001" s="116"/>
      <c r="L1001" s="165">
        <v>46066</v>
      </c>
      <c r="M1001" s="116">
        <v>201.57</v>
      </c>
      <c r="N1001" s="116">
        <v>205.45</v>
      </c>
      <c r="O1001" s="116">
        <v>200.2</v>
      </c>
      <c r="P1001" s="116">
        <v>205</v>
      </c>
      <c r="Q1001" s="116">
        <v>201.57</v>
      </c>
      <c r="R1001">
        <v>1524928</v>
      </c>
    </row>
    <row r="1002" spans="1:18" x14ac:dyDescent="0.25">
      <c r="A1002" s="165">
        <v>46069</v>
      </c>
      <c r="B1002" s="116">
        <v>204.4</v>
      </c>
      <c r="C1002" s="116">
        <v>203.75</v>
      </c>
      <c r="D1002" s="116">
        <v>199.4</v>
      </c>
      <c r="E1002" s="116">
        <v>201.55</v>
      </c>
      <c r="F1002" s="116">
        <v>203.75</v>
      </c>
      <c r="G1002">
        <v>44786</v>
      </c>
      <c r="H1002" s="116"/>
      <c r="I1002" s="116"/>
      <c r="L1002" s="165">
        <v>46069</v>
      </c>
      <c r="M1002" s="116">
        <v>203.9</v>
      </c>
      <c r="N1002" s="116">
        <v>204.24</v>
      </c>
      <c r="O1002" s="116">
        <v>199.4</v>
      </c>
      <c r="P1002" s="116">
        <v>202</v>
      </c>
      <c r="Q1002" s="116">
        <v>203.9</v>
      </c>
      <c r="R1002">
        <v>1091640</v>
      </c>
    </row>
    <row r="1003" spans="1:18" x14ac:dyDescent="0.25">
      <c r="A1003" s="165">
        <v>46070</v>
      </c>
      <c r="B1003" s="116">
        <v>207.5</v>
      </c>
      <c r="C1003" s="116">
        <v>203.95</v>
      </c>
      <c r="D1003" s="116">
        <v>202.95</v>
      </c>
      <c r="E1003" s="116">
        <v>204.7</v>
      </c>
      <c r="F1003" s="116">
        <v>203.95</v>
      </c>
      <c r="G1003">
        <v>76892</v>
      </c>
      <c r="H1003" s="116"/>
      <c r="I1003" s="116"/>
      <c r="L1003" s="165">
        <v>46070</v>
      </c>
      <c r="M1003" s="116">
        <v>204.05</v>
      </c>
      <c r="N1003" s="116">
        <v>207.6</v>
      </c>
      <c r="O1003" s="116">
        <v>203</v>
      </c>
      <c r="P1003" s="116">
        <v>204</v>
      </c>
      <c r="Q1003" s="116">
        <v>204.05</v>
      </c>
      <c r="R1003">
        <v>1229815</v>
      </c>
    </row>
    <row r="1004" spans="1:18" x14ac:dyDescent="0.25">
      <c r="A1004" s="165">
        <v>46071</v>
      </c>
      <c r="B1004" s="116">
        <v>205.8</v>
      </c>
      <c r="C1004" s="116">
        <v>202.55</v>
      </c>
      <c r="D1004" s="116">
        <v>201.8</v>
      </c>
      <c r="E1004" s="116">
        <v>204.45</v>
      </c>
      <c r="F1004" s="116">
        <v>202.55</v>
      </c>
      <c r="G1004">
        <v>80965</v>
      </c>
      <c r="H1004" s="116"/>
      <c r="I1004" s="116"/>
      <c r="L1004" s="165">
        <v>46071</v>
      </c>
      <c r="M1004" s="116">
        <v>202.67</v>
      </c>
      <c r="N1004" s="116">
        <v>205.17</v>
      </c>
      <c r="O1004" s="116">
        <v>201.8</v>
      </c>
      <c r="P1004" s="116">
        <v>204.94</v>
      </c>
      <c r="Q1004" s="116">
        <v>202.67</v>
      </c>
      <c r="R1004">
        <v>1170168</v>
      </c>
    </row>
    <row r="1005" spans="1:18" x14ac:dyDescent="0.25">
      <c r="A1005" s="165">
        <v>46072</v>
      </c>
      <c r="B1005" s="116">
        <v>203.75</v>
      </c>
      <c r="C1005" s="116">
        <v>200.05</v>
      </c>
      <c r="D1005" s="116">
        <v>199.1</v>
      </c>
      <c r="E1005" s="116">
        <v>202.6</v>
      </c>
      <c r="F1005" s="116">
        <v>200.05</v>
      </c>
      <c r="G1005">
        <v>38162</v>
      </c>
      <c r="H1005" s="116"/>
      <c r="I1005" s="116"/>
      <c r="L1005" s="165">
        <v>46072</v>
      </c>
      <c r="M1005" s="116">
        <v>199.78</v>
      </c>
      <c r="N1005" s="116">
        <v>203.44</v>
      </c>
      <c r="O1005" s="116">
        <v>199.09</v>
      </c>
      <c r="P1005" s="116">
        <v>203.1</v>
      </c>
      <c r="Q1005" s="116">
        <v>199.78</v>
      </c>
      <c r="R1005">
        <v>916805</v>
      </c>
    </row>
    <row r="1006" spans="1:18" x14ac:dyDescent="0.25">
      <c r="A1006" s="165">
        <v>46073</v>
      </c>
      <c r="B1006" s="116">
        <v>201.4</v>
      </c>
      <c r="C1006" s="116">
        <v>198.35</v>
      </c>
      <c r="D1006" s="116">
        <v>195</v>
      </c>
      <c r="E1006" s="116">
        <v>201.4</v>
      </c>
      <c r="F1006" s="116">
        <v>198.35</v>
      </c>
      <c r="G1006">
        <v>606663</v>
      </c>
      <c r="H1006" s="116"/>
      <c r="I1006" s="116"/>
      <c r="L1006" s="165">
        <v>46073</v>
      </c>
      <c r="M1006" s="116">
        <v>198.52</v>
      </c>
      <c r="N1006" s="116">
        <v>200.7</v>
      </c>
      <c r="O1006" s="116">
        <v>194.79</v>
      </c>
      <c r="P1006" s="116">
        <v>200.6</v>
      </c>
      <c r="Q1006" s="116">
        <v>198.52</v>
      </c>
      <c r="R1006">
        <v>1799156</v>
      </c>
    </row>
    <row r="1007" spans="1:18" x14ac:dyDescent="0.25">
      <c r="A1007" s="165">
        <v>46076</v>
      </c>
      <c r="B1007" s="116">
        <v>202</v>
      </c>
      <c r="C1007" s="116">
        <v>195.75</v>
      </c>
      <c r="D1007" s="116">
        <v>195.25</v>
      </c>
      <c r="E1007" s="116">
        <v>200.6</v>
      </c>
      <c r="F1007" s="116">
        <v>195.75</v>
      </c>
      <c r="G1007">
        <v>102715</v>
      </c>
      <c r="H1007" s="116"/>
      <c r="I1007" s="116"/>
      <c r="L1007" s="165">
        <v>46076</v>
      </c>
      <c r="M1007" s="116">
        <v>195.66</v>
      </c>
      <c r="N1007" s="116">
        <v>201.54</v>
      </c>
      <c r="O1007" s="116">
        <v>195.31</v>
      </c>
      <c r="P1007" s="116">
        <v>201.45</v>
      </c>
      <c r="Q1007" s="116">
        <v>195.66</v>
      </c>
      <c r="R1007">
        <v>1396622</v>
      </c>
    </row>
    <row r="1008" spans="1:18" x14ac:dyDescent="0.25">
      <c r="A1008" s="165">
        <v>46077</v>
      </c>
      <c r="B1008" s="116">
        <v>197.9</v>
      </c>
      <c r="C1008" s="116">
        <v>191.6</v>
      </c>
      <c r="D1008" s="116">
        <v>189.8</v>
      </c>
      <c r="E1008" s="116">
        <v>197</v>
      </c>
      <c r="F1008" s="116">
        <v>191.6</v>
      </c>
      <c r="G1008">
        <v>202629</v>
      </c>
      <c r="H1008" s="116"/>
      <c r="I1008" s="116"/>
      <c r="L1008" s="165">
        <v>46077</v>
      </c>
      <c r="M1008" s="116">
        <v>191.73</v>
      </c>
      <c r="N1008" s="116">
        <v>198.01</v>
      </c>
      <c r="O1008" s="116">
        <v>189.82</v>
      </c>
      <c r="P1008" s="116">
        <v>198</v>
      </c>
      <c r="Q1008" s="116">
        <v>191.73</v>
      </c>
      <c r="R1008">
        <v>2699339</v>
      </c>
    </row>
    <row r="1009" spans="1:18" x14ac:dyDescent="0.25">
      <c r="A1009" s="165">
        <v>46078</v>
      </c>
      <c r="B1009" s="116">
        <v>194.7</v>
      </c>
      <c r="C1009" s="116">
        <v>190.75</v>
      </c>
      <c r="D1009" s="116">
        <v>189.6</v>
      </c>
      <c r="E1009" s="116">
        <v>193.25</v>
      </c>
      <c r="F1009" s="116">
        <v>190.75</v>
      </c>
      <c r="G1009">
        <v>177525</v>
      </c>
      <c r="H1009" s="116"/>
      <c r="I1009" s="116"/>
      <c r="L1009" s="165">
        <v>46078</v>
      </c>
      <c r="M1009" s="116">
        <v>190.73</v>
      </c>
      <c r="N1009" s="116">
        <v>194.69</v>
      </c>
      <c r="O1009" s="116">
        <v>189.7</v>
      </c>
      <c r="P1009" s="116">
        <v>194</v>
      </c>
      <c r="Q1009" s="116">
        <v>190.73</v>
      </c>
      <c r="R1009">
        <v>2314746</v>
      </c>
    </row>
    <row r="1010" spans="1:18" x14ac:dyDescent="0.25">
      <c r="A1010" s="165">
        <v>46079</v>
      </c>
      <c r="B1010" s="116">
        <v>192.95</v>
      </c>
      <c r="C1010" s="116">
        <v>189.3</v>
      </c>
      <c r="D1010" s="116">
        <v>188.1</v>
      </c>
      <c r="E1010" s="116">
        <v>190.8</v>
      </c>
      <c r="F1010" s="116">
        <v>189.3</v>
      </c>
      <c r="G1010">
        <v>130467</v>
      </c>
      <c r="H1010" s="116"/>
      <c r="I1010" s="116"/>
      <c r="L1010" s="165">
        <v>46079</v>
      </c>
      <c r="M1010" s="116">
        <v>189.41</v>
      </c>
      <c r="N1010" s="116">
        <v>191.62</v>
      </c>
      <c r="O1010" s="116">
        <v>188.08</v>
      </c>
      <c r="P1010" s="116">
        <v>191.1</v>
      </c>
      <c r="Q1010" s="116">
        <v>189.41</v>
      </c>
      <c r="R1010">
        <v>1421520</v>
      </c>
    </row>
    <row r="1011" spans="1:18" x14ac:dyDescent="0.25">
      <c r="A1011" s="165">
        <v>46080</v>
      </c>
      <c r="B1011" s="116">
        <v>190.15</v>
      </c>
      <c r="C1011" s="116">
        <v>189</v>
      </c>
      <c r="D1011" s="116">
        <v>188.2</v>
      </c>
      <c r="E1011" s="116">
        <v>189.3</v>
      </c>
      <c r="F1011" s="116">
        <v>189</v>
      </c>
      <c r="G1011">
        <v>58013</v>
      </c>
      <c r="H1011" s="116"/>
      <c r="I1011" s="116"/>
      <c r="L1011" s="165">
        <v>46080</v>
      </c>
      <c r="M1011" s="116">
        <v>189.1</v>
      </c>
      <c r="N1011" s="116">
        <v>190</v>
      </c>
      <c r="O1011" s="116">
        <v>188.1</v>
      </c>
      <c r="P1011" s="116">
        <v>188.8</v>
      </c>
      <c r="Q1011" s="116">
        <v>189.1</v>
      </c>
      <c r="R1011">
        <v>1183715</v>
      </c>
    </row>
    <row r="1012" spans="1:18" x14ac:dyDescent="0.25">
      <c r="A1012" s="165">
        <v>46083</v>
      </c>
      <c r="B1012" s="116">
        <v>184.55</v>
      </c>
      <c r="C1012" s="116">
        <v>180.25</v>
      </c>
      <c r="D1012" s="116">
        <v>179.05</v>
      </c>
      <c r="E1012" s="116">
        <v>180.15</v>
      </c>
      <c r="F1012" s="116">
        <v>180.25</v>
      </c>
      <c r="G1012">
        <v>155190</v>
      </c>
      <c r="H1012" s="116"/>
      <c r="I1012" s="116"/>
      <c r="L1012" s="165">
        <v>46083</v>
      </c>
      <c r="M1012" s="116">
        <v>180.29</v>
      </c>
      <c r="N1012" s="116">
        <v>184.44</v>
      </c>
      <c r="O1012" s="116">
        <v>179.06</v>
      </c>
      <c r="P1012" s="116">
        <v>180.2</v>
      </c>
      <c r="Q1012" s="116">
        <v>180.29</v>
      </c>
      <c r="R1012">
        <v>2799429</v>
      </c>
    </row>
    <row r="1013" spans="1:18" x14ac:dyDescent="0.25">
      <c r="A1013" s="165">
        <v>46085</v>
      </c>
      <c r="B1013" s="116">
        <v>186.45</v>
      </c>
      <c r="C1013" s="116">
        <v>179.65</v>
      </c>
      <c r="D1013" s="116">
        <v>178</v>
      </c>
      <c r="E1013" s="116">
        <v>181.6</v>
      </c>
      <c r="F1013" s="116">
        <v>179.65</v>
      </c>
      <c r="G1013">
        <v>220909</v>
      </c>
      <c r="H1013" s="116"/>
      <c r="I1013" s="116"/>
      <c r="L1013" s="165">
        <v>46085</v>
      </c>
      <c r="M1013" s="116">
        <v>179.7</v>
      </c>
      <c r="N1013" s="116">
        <v>186.5</v>
      </c>
      <c r="O1013" s="116">
        <v>178.02</v>
      </c>
      <c r="P1013" s="116">
        <v>180.11</v>
      </c>
      <c r="Q1013" s="116">
        <v>179.7</v>
      </c>
      <c r="R1013">
        <v>3428303</v>
      </c>
    </row>
    <row r="1014" spans="1:18" x14ac:dyDescent="0.25">
      <c r="A1014" s="165">
        <v>46086</v>
      </c>
      <c r="B1014" s="116">
        <v>183.8</v>
      </c>
      <c r="C1014" s="116">
        <v>178.85</v>
      </c>
      <c r="D1014" s="116">
        <v>177</v>
      </c>
      <c r="E1014" s="116">
        <v>180.25</v>
      </c>
      <c r="F1014" s="116">
        <v>178.85</v>
      </c>
      <c r="G1014">
        <v>66210</v>
      </c>
      <c r="H1014" s="116"/>
      <c r="I1014" s="116"/>
      <c r="L1014" s="165">
        <v>46086</v>
      </c>
      <c r="M1014" s="116">
        <v>178.84</v>
      </c>
      <c r="N1014" s="116">
        <v>181.99</v>
      </c>
      <c r="O1014" s="116">
        <v>176.93</v>
      </c>
      <c r="P1014" s="116">
        <v>181.99</v>
      </c>
      <c r="Q1014" s="116">
        <v>178.84</v>
      </c>
      <c r="R1014">
        <v>1863040</v>
      </c>
    </row>
    <row r="1015" spans="1:18" x14ac:dyDescent="0.25">
      <c r="A1015" s="165">
        <v>46087</v>
      </c>
      <c r="B1015" s="116">
        <v>182</v>
      </c>
      <c r="C1015" s="116">
        <v>177.2</v>
      </c>
      <c r="D1015" s="116">
        <v>176.95</v>
      </c>
      <c r="E1015" s="116">
        <v>178.85</v>
      </c>
      <c r="F1015" s="116">
        <v>177.2</v>
      </c>
      <c r="G1015">
        <v>158639</v>
      </c>
      <c r="H1015" s="116"/>
      <c r="I1015" s="116"/>
      <c r="L1015" s="165">
        <v>46087</v>
      </c>
      <c r="M1015" s="116">
        <v>177.24</v>
      </c>
      <c r="N1015" s="116">
        <v>181.99</v>
      </c>
      <c r="O1015" s="116">
        <v>176.94</v>
      </c>
      <c r="P1015" s="116">
        <v>179.02</v>
      </c>
      <c r="Q1015" s="116">
        <v>177.24</v>
      </c>
      <c r="R1015">
        <v>1501513</v>
      </c>
    </row>
    <row r="1016" spans="1:18" x14ac:dyDescent="0.25">
      <c r="A1016" s="165">
        <v>46090</v>
      </c>
      <c r="B1016" s="116">
        <v>177.9</v>
      </c>
      <c r="C1016" s="116">
        <v>175.75</v>
      </c>
      <c r="D1016" s="116">
        <v>172.1</v>
      </c>
      <c r="E1016" s="116">
        <v>175.45</v>
      </c>
      <c r="F1016" s="116">
        <v>175.75</v>
      </c>
      <c r="G1016">
        <v>237045</v>
      </c>
      <c r="H1016" s="116"/>
      <c r="I1016" s="116"/>
      <c r="L1016" s="165">
        <v>46090</v>
      </c>
      <c r="M1016" s="116">
        <v>175.6</v>
      </c>
      <c r="N1016" s="116">
        <v>177.9</v>
      </c>
      <c r="O1016" s="116">
        <v>172.01</v>
      </c>
      <c r="P1016" s="116">
        <v>174</v>
      </c>
      <c r="Q1016" s="116">
        <v>175.6</v>
      </c>
      <c r="R1016">
        <v>2105247</v>
      </c>
    </row>
    <row r="1017" spans="1:18" x14ac:dyDescent="0.25">
      <c r="A1017" s="165">
        <v>46091</v>
      </c>
      <c r="B1017" s="116">
        <v>180.9</v>
      </c>
      <c r="C1017" s="116">
        <v>179.2</v>
      </c>
      <c r="D1017" s="116">
        <v>175.9</v>
      </c>
      <c r="E1017" s="116">
        <v>176.75</v>
      </c>
      <c r="F1017" s="116">
        <v>179.2</v>
      </c>
      <c r="G1017">
        <v>237680</v>
      </c>
      <c r="H1017" s="116"/>
      <c r="I1017" s="116"/>
      <c r="L1017" s="165">
        <v>46091</v>
      </c>
      <c r="M1017" s="116">
        <v>179.01</v>
      </c>
      <c r="N1017" s="116">
        <v>180.95</v>
      </c>
      <c r="O1017" s="116">
        <v>176.29</v>
      </c>
      <c r="P1017" s="116">
        <v>177.01</v>
      </c>
      <c r="Q1017" s="116">
        <v>179.01</v>
      </c>
      <c r="R1017">
        <v>3607758</v>
      </c>
    </row>
    <row r="1018" spans="1:18" x14ac:dyDescent="0.25">
      <c r="A1018" s="165">
        <v>46092</v>
      </c>
      <c r="B1018" s="116">
        <v>198.75</v>
      </c>
      <c r="C1018" s="116">
        <v>179.45</v>
      </c>
      <c r="D1018" s="116">
        <v>178.1</v>
      </c>
      <c r="E1018" s="116">
        <v>179.8</v>
      </c>
      <c r="F1018" s="116">
        <v>179.45</v>
      </c>
      <c r="G1018">
        <v>1529032</v>
      </c>
      <c r="H1018" s="116"/>
      <c r="I1018" s="116"/>
      <c r="L1018" s="165">
        <v>46092</v>
      </c>
      <c r="M1018" s="116">
        <v>179.4</v>
      </c>
      <c r="N1018" s="116">
        <v>198.81</v>
      </c>
      <c r="O1018" s="116">
        <v>178</v>
      </c>
      <c r="P1018" s="116">
        <v>179.94</v>
      </c>
      <c r="Q1018" s="116">
        <v>179.4</v>
      </c>
      <c r="R1018">
        <v>36726500</v>
      </c>
    </row>
    <row r="1019" spans="1:18" x14ac:dyDescent="0.25">
      <c r="A1019" s="165">
        <v>46093</v>
      </c>
      <c r="B1019" s="116">
        <v>182</v>
      </c>
      <c r="C1019" s="116">
        <v>176.05</v>
      </c>
      <c r="D1019" s="116">
        <v>175.55</v>
      </c>
      <c r="E1019" s="116">
        <v>180.05</v>
      </c>
      <c r="F1019" s="116">
        <v>176.05</v>
      </c>
      <c r="G1019">
        <v>1179210</v>
      </c>
      <c r="H1019" s="116"/>
      <c r="I1019" s="116"/>
      <c r="L1019" s="165">
        <v>46093</v>
      </c>
      <c r="M1019" s="116">
        <v>176.15</v>
      </c>
      <c r="N1019" s="116">
        <v>181.1</v>
      </c>
      <c r="O1019" s="116">
        <v>175.6</v>
      </c>
      <c r="P1019" s="116">
        <v>181</v>
      </c>
      <c r="Q1019" s="116">
        <v>176.15</v>
      </c>
      <c r="R1019">
        <v>5229605</v>
      </c>
    </row>
    <row r="1020" spans="1:18" x14ac:dyDescent="0.25">
      <c r="A1020" s="165">
        <v>46094</v>
      </c>
      <c r="B1020" s="116">
        <v>179.5</v>
      </c>
      <c r="C1020" s="116">
        <v>172.85</v>
      </c>
      <c r="D1020" s="116">
        <v>172.5</v>
      </c>
      <c r="E1020" s="116">
        <v>177.2</v>
      </c>
      <c r="F1020" s="116">
        <v>172.85</v>
      </c>
      <c r="G1020">
        <v>252231</v>
      </c>
      <c r="H1020" s="116"/>
      <c r="I1020" s="116"/>
      <c r="L1020" s="165">
        <v>46094</v>
      </c>
      <c r="M1020" s="116">
        <v>172.89</v>
      </c>
      <c r="N1020" s="116">
        <v>179.65</v>
      </c>
      <c r="O1020" s="116">
        <v>172.21</v>
      </c>
      <c r="P1020" s="116">
        <v>177</v>
      </c>
      <c r="Q1020" s="116">
        <v>172.89</v>
      </c>
      <c r="R1020">
        <v>3318069</v>
      </c>
    </row>
    <row r="1021" spans="1:18" x14ac:dyDescent="0.25">
      <c r="A1021" s="165">
        <v>46097</v>
      </c>
      <c r="B1021" s="116">
        <v>175.95</v>
      </c>
      <c r="C1021" s="116">
        <v>172.4</v>
      </c>
      <c r="D1021" s="116">
        <v>171.2</v>
      </c>
      <c r="E1021" s="116">
        <v>172.85</v>
      </c>
      <c r="F1021" s="116">
        <v>172.4</v>
      </c>
      <c r="G1021">
        <v>194858</v>
      </c>
      <c r="H1021" s="116"/>
      <c r="I1021" s="116"/>
      <c r="L1021" s="165">
        <v>46097</v>
      </c>
      <c r="M1021" s="116">
        <v>172.3</v>
      </c>
      <c r="N1021" s="116">
        <v>175.96</v>
      </c>
      <c r="O1021" s="116">
        <v>171.19</v>
      </c>
      <c r="P1021" s="116">
        <v>173</v>
      </c>
      <c r="Q1021" s="116">
        <v>172.3</v>
      </c>
      <c r="R1021">
        <v>2930835</v>
      </c>
    </row>
    <row r="1022" spans="1:18" x14ac:dyDescent="0.25">
      <c r="A1022" s="165">
        <v>46098</v>
      </c>
      <c r="B1022" s="116">
        <v>177.95</v>
      </c>
      <c r="C1022" s="116">
        <v>175.05</v>
      </c>
      <c r="D1022" s="116">
        <v>172.45</v>
      </c>
      <c r="E1022" s="116">
        <v>172.45</v>
      </c>
      <c r="F1022" s="116">
        <v>175.05</v>
      </c>
      <c r="G1022">
        <v>460960</v>
      </c>
      <c r="H1022" s="116"/>
      <c r="I1022" s="116"/>
      <c r="L1022" s="165">
        <v>46098</v>
      </c>
      <c r="M1022" s="116">
        <v>175.01</v>
      </c>
      <c r="N1022" s="116">
        <v>178</v>
      </c>
      <c r="O1022" s="116">
        <v>173.06</v>
      </c>
      <c r="P1022" s="116">
        <v>173.55</v>
      </c>
      <c r="Q1022" s="116">
        <v>175.01</v>
      </c>
      <c r="R1022">
        <v>7193126</v>
      </c>
    </row>
    <row r="1023" spans="1:18" x14ac:dyDescent="0.25">
      <c r="A1023" s="165">
        <v>46099</v>
      </c>
      <c r="B1023" s="116">
        <v>180</v>
      </c>
      <c r="C1023" s="116">
        <v>177.25</v>
      </c>
      <c r="D1023" s="116">
        <v>175.55</v>
      </c>
      <c r="E1023" s="116">
        <v>175.55</v>
      </c>
      <c r="F1023" s="116">
        <v>177.25</v>
      </c>
      <c r="G1023">
        <v>319554</v>
      </c>
      <c r="H1023" s="116"/>
      <c r="I1023" s="116"/>
      <c r="L1023" s="165">
        <v>46099</v>
      </c>
      <c r="M1023" s="116">
        <v>177.27</v>
      </c>
      <c r="N1023" s="116">
        <v>180</v>
      </c>
      <c r="O1023" s="116">
        <v>175.28</v>
      </c>
      <c r="P1023" s="116">
        <v>176</v>
      </c>
      <c r="Q1023" s="116">
        <v>177.27</v>
      </c>
      <c r="R1023">
        <v>6886693</v>
      </c>
    </row>
    <row r="1024" spans="1:18" x14ac:dyDescent="0.25">
      <c r="A1024" s="165">
        <v>46100</v>
      </c>
      <c r="B1024" s="116">
        <v>178.7</v>
      </c>
      <c r="C1024" s="116">
        <v>176.4</v>
      </c>
      <c r="D1024" s="116">
        <v>174.25</v>
      </c>
      <c r="E1024" s="116">
        <v>175.2</v>
      </c>
      <c r="F1024" s="116">
        <v>176.4</v>
      </c>
      <c r="G1024">
        <v>121947</v>
      </c>
      <c r="H1024" s="116"/>
      <c r="I1024" s="116"/>
      <c r="L1024" s="165">
        <v>46100</v>
      </c>
      <c r="M1024" s="116">
        <v>176.28</v>
      </c>
      <c r="N1024" s="116">
        <v>178.75</v>
      </c>
      <c r="O1024" s="116">
        <v>174.31</v>
      </c>
      <c r="P1024" s="116">
        <v>175</v>
      </c>
      <c r="Q1024" s="116">
        <v>176.28</v>
      </c>
      <c r="R1024">
        <v>2471187</v>
      </c>
    </row>
    <row r="1025" spans="1:18" x14ac:dyDescent="0.25">
      <c r="A1025" s="165">
        <v>46101</v>
      </c>
      <c r="B1025" s="116">
        <v>196.1</v>
      </c>
      <c r="C1025" s="116">
        <v>191.95</v>
      </c>
      <c r="D1025" s="116">
        <v>177.15</v>
      </c>
      <c r="E1025" s="116">
        <v>177.15</v>
      </c>
      <c r="F1025" s="116">
        <v>191.95</v>
      </c>
      <c r="G1025">
        <v>1291787</v>
      </c>
      <c r="H1025" s="116"/>
      <c r="I1025" s="116"/>
      <c r="L1025" s="165">
        <v>46101</v>
      </c>
      <c r="M1025" s="116">
        <v>192.1</v>
      </c>
      <c r="N1025" s="116">
        <v>195.99</v>
      </c>
      <c r="O1025" s="116">
        <v>177.26</v>
      </c>
      <c r="P1025" s="116">
        <v>178.74</v>
      </c>
      <c r="Q1025" s="116">
        <v>192.1</v>
      </c>
      <c r="R1025">
        <v>25383780</v>
      </c>
    </row>
    <row r="1026" spans="1:18" x14ac:dyDescent="0.25">
      <c r="A1026" s="165">
        <v>46104</v>
      </c>
      <c r="B1026" s="116">
        <v>189.4</v>
      </c>
      <c r="C1026" s="116">
        <v>175.25</v>
      </c>
      <c r="D1026" s="116">
        <v>174.25</v>
      </c>
      <c r="E1026" s="116">
        <v>189.4</v>
      </c>
      <c r="F1026" s="116">
        <v>175.25</v>
      </c>
      <c r="G1026">
        <v>320272</v>
      </c>
      <c r="H1026" s="116"/>
      <c r="I1026" s="116"/>
      <c r="L1026" s="165">
        <v>46104</v>
      </c>
      <c r="M1026" s="116">
        <v>175.36</v>
      </c>
      <c r="N1026" s="116">
        <v>189.33</v>
      </c>
      <c r="O1026" s="116">
        <v>174</v>
      </c>
      <c r="P1026" s="116">
        <v>189.2</v>
      </c>
      <c r="Q1026" s="116">
        <v>175.36</v>
      </c>
      <c r="R1026">
        <v>6266809</v>
      </c>
    </row>
    <row r="1027" spans="1:18" x14ac:dyDescent="0.25">
      <c r="A1027" s="165">
        <v>46105</v>
      </c>
      <c r="B1027" s="116">
        <v>181.9</v>
      </c>
      <c r="C1027" s="116">
        <v>180.1</v>
      </c>
      <c r="D1027" s="116">
        <v>173.7</v>
      </c>
      <c r="E1027" s="116">
        <v>178.1</v>
      </c>
      <c r="F1027" s="116">
        <v>180.1</v>
      </c>
      <c r="G1027">
        <v>169387</v>
      </c>
      <c r="H1027" s="116"/>
      <c r="I1027" s="116"/>
      <c r="L1027" s="165">
        <v>46105</v>
      </c>
      <c r="M1027" s="116">
        <v>180.14</v>
      </c>
      <c r="N1027" s="116">
        <v>182</v>
      </c>
      <c r="O1027" s="116">
        <v>173.7</v>
      </c>
      <c r="P1027" s="116">
        <v>177.95</v>
      </c>
      <c r="Q1027" s="116">
        <v>180.14</v>
      </c>
      <c r="R1027">
        <v>3962812</v>
      </c>
    </row>
    <row r="1028" spans="1:18" x14ac:dyDescent="0.25">
      <c r="A1028" s="165">
        <v>46106</v>
      </c>
      <c r="B1028" s="116">
        <v>189.85</v>
      </c>
      <c r="C1028" s="116">
        <v>183.15</v>
      </c>
      <c r="D1028" s="116">
        <v>181</v>
      </c>
      <c r="E1028" s="116">
        <v>181</v>
      </c>
      <c r="F1028" s="116">
        <v>183.15</v>
      </c>
      <c r="G1028">
        <v>317152</v>
      </c>
      <c r="H1028" s="116"/>
      <c r="I1028" s="116"/>
      <c r="L1028" s="165">
        <v>46106</v>
      </c>
      <c r="M1028" s="116">
        <v>182.85</v>
      </c>
      <c r="N1028" s="116">
        <v>189.9</v>
      </c>
      <c r="O1028" s="116">
        <v>181.03</v>
      </c>
      <c r="P1028" s="116">
        <v>181.03</v>
      </c>
      <c r="Q1028" s="116">
        <v>182.85</v>
      </c>
      <c r="R1028">
        <v>5810302</v>
      </c>
    </row>
    <row r="1029" spans="1:18" x14ac:dyDescent="0.25">
      <c r="A1029" s="165">
        <v>46108</v>
      </c>
      <c r="B1029" s="116">
        <v>187.95</v>
      </c>
      <c r="C1029" s="116">
        <v>185.4</v>
      </c>
      <c r="D1029" s="116">
        <v>180.4</v>
      </c>
      <c r="E1029" s="116">
        <v>181.75</v>
      </c>
      <c r="F1029" s="116">
        <v>185.4</v>
      </c>
      <c r="G1029">
        <v>624980</v>
      </c>
      <c r="H1029" s="116"/>
      <c r="I1029" s="116"/>
      <c r="L1029" s="165">
        <v>46108</v>
      </c>
      <c r="M1029" s="116">
        <v>185.4</v>
      </c>
      <c r="N1029" s="116">
        <v>187.95</v>
      </c>
      <c r="O1029" s="116">
        <v>180.53</v>
      </c>
      <c r="P1029" s="116">
        <v>184</v>
      </c>
      <c r="Q1029" s="116">
        <v>185.4</v>
      </c>
      <c r="R1029">
        <v>5301802</v>
      </c>
    </row>
    <row r="1030" spans="1:18" x14ac:dyDescent="0.25">
      <c r="A1030" s="165">
        <v>46111</v>
      </c>
      <c r="B1030" s="116">
        <v>185.2</v>
      </c>
      <c r="C1030" s="116">
        <v>177.9</v>
      </c>
      <c r="D1030" s="116">
        <v>175</v>
      </c>
      <c r="E1030" s="116">
        <v>180.4</v>
      </c>
      <c r="F1030" s="116">
        <v>177.9</v>
      </c>
      <c r="G1030">
        <v>582406</v>
      </c>
      <c r="H1030" s="116"/>
      <c r="I1030" s="116"/>
      <c r="L1030" s="165">
        <v>46111</v>
      </c>
      <c r="M1030" s="116">
        <v>177.77</v>
      </c>
      <c r="N1030" s="116">
        <v>185.21</v>
      </c>
      <c r="O1030" s="116">
        <v>175</v>
      </c>
      <c r="P1030" s="116">
        <v>181.58</v>
      </c>
      <c r="Q1030" s="116">
        <v>177.77</v>
      </c>
      <c r="R1030">
        <v>4499593</v>
      </c>
    </row>
    <row r="1031" spans="1:18" x14ac:dyDescent="0.25">
      <c r="A1031" s="165">
        <v>46113</v>
      </c>
      <c r="B1031" s="116">
        <v>187.2</v>
      </c>
      <c r="C1031" s="116">
        <v>182.5</v>
      </c>
      <c r="D1031" s="116">
        <v>180.35</v>
      </c>
      <c r="E1031" s="116">
        <v>180.35</v>
      </c>
      <c r="F1031" s="116">
        <v>182.5</v>
      </c>
      <c r="G1031">
        <v>171057</v>
      </c>
      <c r="H1031" s="116"/>
      <c r="I1031" s="116"/>
      <c r="L1031" s="165">
        <v>46113</v>
      </c>
      <c r="M1031" s="116">
        <v>182.63</v>
      </c>
      <c r="N1031" s="116">
        <v>187.17</v>
      </c>
      <c r="O1031" s="116">
        <v>181.15</v>
      </c>
      <c r="P1031" s="116">
        <v>182.99</v>
      </c>
      <c r="Q1031" s="116">
        <v>182.63</v>
      </c>
      <c r="R1031">
        <v>2087071</v>
      </c>
    </row>
    <row r="1032" spans="1:18" x14ac:dyDescent="0.25">
      <c r="A1032" s="165">
        <v>46114</v>
      </c>
      <c r="B1032" s="116">
        <v>184.2</v>
      </c>
      <c r="C1032" s="116">
        <v>183.6</v>
      </c>
      <c r="D1032" s="116">
        <v>177.15</v>
      </c>
      <c r="E1032" s="116">
        <v>180</v>
      </c>
      <c r="F1032" s="116">
        <v>183.6</v>
      </c>
      <c r="G1032">
        <v>67164</v>
      </c>
      <c r="H1032" s="116"/>
      <c r="I1032" s="116"/>
      <c r="L1032" s="165">
        <v>46114</v>
      </c>
      <c r="M1032" s="116">
        <v>183.71</v>
      </c>
      <c r="N1032" s="116">
        <v>184.3</v>
      </c>
      <c r="O1032" s="116">
        <v>177.2</v>
      </c>
      <c r="P1032" s="116">
        <v>179.77</v>
      </c>
      <c r="Q1032" s="116">
        <v>183.71</v>
      </c>
      <c r="R1032">
        <v>1639682</v>
      </c>
    </row>
    <row r="1033" spans="1:18" x14ac:dyDescent="0.25">
      <c r="A1033" s="165">
        <v>46118</v>
      </c>
      <c r="B1033" s="116">
        <v>187.55</v>
      </c>
      <c r="C1033" s="116">
        <v>179.9</v>
      </c>
      <c r="D1033" s="116">
        <v>179.45</v>
      </c>
      <c r="E1033" s="116">
        <v>186</v>
      </c>
      <c r="F1033" s="116">
        <v>179.9</v>
      </c>
      <c r="G1033">
        <v>269121</v>
      </c>
      <c r="H1033" s="116"/>
      <c r="I1033" s="116"/>
      <c r="L1033" s="165">
        <v>46118</v>
      </c>
      <c r="M1033" s="116">
        <v>179.88</v>
      </c>
      <c r="N1033" s="116">
        <v>187.49</v>
      </c>
      <c r="O1033" s="116">
        <v>179.44</v>
      </c>
      <c r="P1033" s="116">
        <v>185.99</v>
      </c>
      <c r="Q1033" s="116">
        <v>179.88</v>
      </c>
      <c r="R1033">
        <v>2948455</v>
      </c>
    </row>
    <row r="1034" spans="1:18" x14ac:dyDescent="0.25">
      <c r="A1034" s="165">
        <v>46119</v>
      </c>
      <c r="B1034" s="116">
        <v>181.3</v>
      </c>
      <c r="C1034" s="116">
        <v>179.2</v>
      </c>
      <c r="D1034" s="116">
        <v>178.25</v>
      </c>
      <c r="E1034" s="116">
        <v>180</v>
      </c>
      <c r="F1034" s="116">
        <v>179.2</v>
      </c>
      <c r="G1034">
        <v>114286</v>
      </c>
      <c r="H1034" s="116"/>
      <c r="I1034" s="116"/>
      <c r="L1034" s="165">
        <v>46119</v>
      </c>
      <c r="M1034" s="116">
        <v>179.06</v>
      </c>
      <c r="N1034" s="116">
        <v>180.67</v>
      </c>
      <c r="O1034" s="116">
        <v>178.3</v>
      </c>
      <c r="P1034" s="116">
        <v>180.56</v>
      </c>
      <c r="Q1034" s="116">
        <v>179.06</v>
      </c>
      <c r="R1034">
        <v>1353041</v>
      </c>
    </row>
    <row r="1035" spans="1:18" x14ac:dyDescent="0.25">
      <c r="A1035" s="165">
        <v>46120</v>
      </c>
      <c r="B1035" s="116">
        <v>184.8</v>
      </c>
      <c r="C1035" s="116">
        <v>179</v>
      </c>
      <c r="D1035" s="116">
        <v>178.35</v>
      </c>
      <c r="E1035" s="116">
        <v>184.35</v>
      </c>
      <c r="F1035" s="116">
        <v>179</v>
      </c>
      <c r="G1035">
        <v>394987</v>
      </c>
      <c r="H1035" s="116"/>
      <c r="I1035" s="116"/>
      <c r="L1035" s="165">
        <v>46120</v>
      </c>
      <c r="M1035" s="116">
        <v>178.98</v>
      </c>
      <c r="N1035" s="116">
        <v>184.8</v>
      </c>
      <c r="O1035" s="116">
        <v>178.15</v>
      </c>
      <c r="P1035" s="116">
        <v>184</v>
      </c>
      <c r="Q1035" s="116">
        <v>178.98</v>
      </c>
      <c r="R1035">
        <v>8423584</v>
      </c>
    </row>
    <row r="1036" spans="1:18" x14ac:dyDescent="0.25">
      <c r="A1036" s="165">
        <v>46121</v>
      </c>
      <c r="B1036" s="116">
        <v>181.95</v>
      </c>
      <c r="C1036" s="116">
        <v>177.25</v>
      </c>
      <c r="D1036" s="116">
        <v>175.85</v>
      </c>
      <c r="E1036" s="116">
        <v>181.45</v>
      </c>
      <c r="F1036" s="116">
        <v>177.25</v>
      </c>
      <c r="G1036">
        <v>302154</v>
      </c>
      <c r="H1036" s="116"/>
      <c r="I1036" s="116"/>
      <c r="L1036" s="165">
        <v>46121</v>
      </c>
      <c r="M1036" s="116">
        <v>177.1</v>
      </c>
      <c r="N1036" s="116">
        <v>181.99</v>
      </c>
      <c r="O1036" s="116">
        <v>175.6</v>
      </c>
      <c r="P1036" s="116">
        <v>180.83</v>
      </c>
      <c r="Q1036" s="116">
        <v>177.1</v>
      </c>
      <c r="R1036">
        <v>3065571</v>
      </c>
    </row>
    <row r="1037" spans="1:18" x14ac:dyDescent="0.25">
      <c r="A1037" s="165">
        <v>46122</v>
      </c>
      <c r="B1037" s="116">
        <v>184.9</v>
      </c>
      <c r="C1037" s="116">
        <v>182.3</v>
      </c>
      <c r="D1037" s="116">
        <v>176.5</v>
      </c>
      <c r="E1037" s="116">
        <v>178.65</v>
      </c>
      <c r="F1037" s="116">
        <v>182.3</v>
      </c>
      <c r="G1037">
        <v>602682</v>
      </c>
      <c r="H1037" s="116"/>
      <c r="I1037" s="116"/>
      <c r="L1037" s="165">
        <v>46122</v>
      </c>
      <c r="M1037" s="116">
        <v>182.26</v>
      </c>
      <c r="N1037" s="116">
        <v>184.86</v>
      </c>
      <c r="O1037" s="116">
        <v>177.81</v>
      </c>
      <c r="P1037" s="116">
        <v>178</v>
      </c>
      <c r="Q1037" s="116">
        <v>182.26</v>
      </c>
      <c r="R1037">
        <v>4284850</v>
      </c>
    </row>
    <row r="1038" spans="1:18" x14ac:dyDescent="0.25">
      <c r="A1038" s="165">
        <v>46125</v>
      </c>
      <c r="B1038" s="116">
        <v>182.3</v>
      </c>
      <c r="C1038" s="116">
        <v>179.75</v>
      </c>
      <c r="D1038" s="116">
        <v>177.4</v>
      </c>
      <c r="E1038" s="116">
        <v>180</v>
      </c>
      <c r="F1038" s="116">
        <v>179.75</v>
      </c>
      <c r="G1038">
        <v>209586</v>
      </c>
      <c r="H1038" s="116"/>
      <c r="I1038" s="116"/>
      <c r="L1038" s="165">
        <v>46125</v>
      </c>
      <c r="M1038" s="116">
        <v>179.73</v>
      </c>
      <c r="N1038" s="116">
        <v>182.3</v>
      </c>
      <c r="O1038" s="116">
        <v>177.61</v>
      </c>
      <c r="P1038" s="116">
        <v>180</v>
      </c>
      <c r="Q1038" s="116">
        <v>179.73</v>
      </c>
      <c r="R1038">
        <v>1958372</v>
      </c>
    </row>
    <row r="1039" spans="1:18" x14ac:dyDescent="0.25">
      <c r="A1039" s="165">
        <v>46127</v>
      </c>
      <c r="B1039" s="116">
        <v>184.25</v>
      </c>
      <c r="C1039" s="116">
        <v>182.55</v>
      </c>
      <c r="D1039" s="116">
        <v>181.3</v>
      </c>
      <c r="E1039" s="116">
        <v>181.6</v>
      </c>
      <c r="F1039" s="116">
        <v>182.55</v>
      </c>
      <c r="G1039">
        <v>282673</v>
      </c>
      <c r="H1039" s="116"/>
      <c r="I1039" s="116"/>
      <c r="L1039" s="165">
        <v>46127</v>
      </c>
      <c r="M1039" s="116">
        <v>182.66</v>
      </c>
      <c r="N1039" s="116">
        <v>184.36</v>
      </c>
      <c r="O1039" s="116">
        <v>181.4</v>
      </c>
      <c r="P1039" s="116">
        <v>181.83</v>
      </c>
      <c r="Q1039" s="116">
        <v>182.66</v>
      </c>
      <c r="R1039">
        <v>2468231</v>
      </c>
    </row>
    <row r="1040" spans="1:18" x14ac:dyDescent="0.25">
      <c r="A1040" s="165">
        <v>46128</v>
      </c>
      <c r="B1040" s="116">
        <v>185.3</v>
      </c>
      <c r="C1040" s="116">
        <v>182.05</v>
      </c>
      <c r="D1040" s="116">
        <v>181.3</v>
      </c>
      <c r="E1040" s="116">
        <v>183</v>
      </c>
      <c r="F1040" s="116">
        <v>182.05</v>
      </c>
      <c r="G1040">
        <v>220802</v>
      </c>
      <c r="H1040" s="116"/>
      <c r="I1040" s="116"/>
      <c r="L1040" s="165">
        <v>46128</v>
      </c>
      <c r="M1040" s="116">
        <v>182.09</v>
      </c>
      <c r="N1040" s="116">
        <v>185.19</v>
      </c>
      <c r="O1040" s="116">
        <v>181.3</v>
      </c>
      <c r="P1040" s="116">
        <v>183</v>
      </c>
      <c r="Q1040" s="116">
        <v>182.09</v>
      </c>
      <c r="R1040">
        <v>2615893</v>
      </c>
    </row>
    <row r="1041" spans="1:18" x14ac:dyDescent="0.25">
      <c r="A1041" s="165">
        <v>46129</v>
      </c>
      <c r="B1041" s="116">
        <v>186.9</v>
      </c>
      <c r="C1041" s="116">
        <v>185.05</v>
      </c>
      <c r="D1041" s="116">
        <v>182.2</v>
      </c>
      <c r="E1041" s="116">
        <v>183.15</v>
      </c>
      <c r="F1041" s="116">
        <v>185.05</v>
      </c>
      <c r="G1041">
        <v>332219</v>
      </c>
      <c r="H1041" s="116"/>
      <c r="I1041" s="116"/>
      <c r="L1041" s="165">
        <v>46129</v>
      </c>
      <c r="M1041" s="116">
        <v>185.01</v>
      </c>
      <c r="N1041" s="116">
        <v>186.78</v>
      </c>
      <c r="O1041" s="116">
        <v>182.17</v>
      </c>
      <c r="P1041" s="116">
        <v>182.7</v>
      </c>
      <c r="Q1041" s="116">
        <v>185.01</v>
      </c>
      <c r="R1041">
        <v>5821739</v>
      </c>
    </row>
    <row r="1042" spans="1:18" x14ac:dyDescent="0.25">
      <c r="A1042" s="165">
        <v>46132</v>
      </c>
      <c r="B1042" s="116">
        <v>188.9</v>
      </c>
      <c r="C1042" s="116">
        <v>184.7</v>
      </c>
      <c r="D1042" s="116">
        <v>182.5</v>
      </c>
      <c r="E1042" s="116">
        <v>185.1</v>
      </c>
      <c r="F1042" s="116">
        <v>184.7</v>
      </c>
      <c r="G1042">
        <v>377310</v>
      </c>
      <c r="H1042" s="116"/>
      <c r="I1042" s="116"/>
      <c r="L1042" s="165">
        <v>46132</v>
      </c>
      <c r="M1042" s="116">
        <v>184.62</v>
      </c>
      <c r="N1042" s="116">
        <v>188.89</v>
      </c>
      <c r="O1042" s="116">
        <v>182.5</v>
      </c>
      <c r="P1042" s="116">
        <v>185.5</v>
      </c>
      <c r="Q1042" s="116">
        <v>184.62</v>
      </c>
      <c r="R1042">
        <v>3460303</v>
      </c>
    </row>
    <row r="1043" spans="1:18" x14ac:dyDescent="0.25">
      <c r="A1043" s="165">
        <v>46133</v>
      </c>
      <c r="B1043" s="116">
        <v>191.05</v>
      </c>
      <c r="C1043" s="116">
        <v>188.6</v>
      </c>
      <c r="D1043" s="116">
        <v>184.8</v>
      </c>
      <c r="E1043" s="116">
        <v>185</v>
      </c>
      <c r="F1043" s="116">
        <v>188.6</v>
      </c>
      <c r="G1043">
        <v>294250</v>
      </c>
      <c r="H1043" s="116"/>
      <c r="I1043" s="116"/>
      <c r="L1043" s="165">
        <v>46133</v>
      </c>
      <c r="M1043" s="116">
        <v>188.49</v>
      </c>
      <c r="N1043" s="116">
        <v>191.15</v>
      </c>
      <c r="O1043" s="116">
        <v>184.88</v>
      </c>
      <c r="P1043" s="116">
        <v>185</v>
      </c>
      <c r="Q1043" s="116">
        <v>188.49</v>
      </c>
      <c r="R1043">
        <v>3780000</v>
      </c>
    </row>
    <row r="1044" spans="1:18" x14ac:dyDescent="0.25">
      <c r="A1044" s="165">
        <v>46134</v>
      </c>
      <c r="B1044" s="116">
        <v>200.95</v>
      </c>
      <c r="C1044" s="116">
        <v>199.55</v>
      </c>
      <c r="D1044" s="116">
        <v>187.6</v>
      </c>
      <c r="E1044" s="116">
        <v>188.05</v>
      </c>
      <c r="F1044" s="116">
        <v>199.55</v>
      </c>
      <c r="G1044">
        <v>790223</v>
      </c>
      <c r="H1044" s="116"/>
      <c r="I1044" s="116"/>
      <c r="L1044" s="165">
        <v>46134</v>
      </c>
      <c r="M1044" s="116">
        <v>199.6</v>
      </c>
      <c r="N1044" s="116">
        <v>201.01</v>
      </c>
      <c r="O1044" s="116">
        <v>187.31</v>
      </c>
      <c r="P1044" s="116">
        <v>188.45</v>
      </c>
      <c r="Q1044" s="116">
        <v>199.6</v>
      </c>
      <c r="R1044">
        <v>12333012</v>
      </c>
    </row>
    <row r="1045" spans="1:18" x14ac:dyDescent="0.25">
      <c r="A1045" s="165">
        <v>46135</v>
      </c>
      <c r="B1045" s="116">
        <v>200.5</v>
      </c>
      <c r="C1045" s="116">
        <v>197.3</v>
      </c>
      <c r="D1045" s="116">
        <v>196</v>
      </c>
      <c r="E1045" s="116">
        <v>198.6</v>
      </c>
      <c r="F1045" s="116">
        <v>197.3</v>
      </c>
      <c r="G1045">
        <v>166543</v>
      </c>
      <c r="H1045" s="116"/>
      <c r="I1045" s="116"/>
      <c r="L1045" s="165">
        <v>46135</v>
      </c>
      <c r="M1045" s="116">
        <v>197.28</v>
      </c>
      <c r="N1045" s="116">
        <v>200.95</v>
      </c>
      <c r="O1045" s="116">
        <v>196</v>
      </c>
      <c r="P1045" s="116">
        <v>198.02</v>
      </c>
      <c r="Q1045" s="116">
        <v>197.28</v>
      </c>
      <c r="R1045">
        <v>2808011</v>
      </c>
    </row>
    <row r="1046" spans="1:18" x14ac:dyDescent="0.25">
      <c r="A1046" s="165">
        <v>46136</v>
      </c>
      <c r="B1046" s="116">
        <v>199.7</v>
      </c>
      <c r="C1046" s="116">
        <v>197.8</v>
      </c>
      <c r="D1046" s="116">
        <v>194.85</v>
      </c>
      <c r="E1046" s="116">
        <v>197.85</v>
      </c>
      <c r="F1046" s="116">
        <v>197.8</v>
      </c>
      <c r="G1046">
        <v>329353</v>
      </c>
      <c r="H1046" s="116"/>
      <c r="I1046" s="116"/>
      <c r="L1046" s="165">
        <v>46136</v>
      </c>
      <c r="M1046" s="116">
        <v>197.74</v>
      </c>
      <c r="N1046" s="116">
        <v>199.66</v>
      </c>
      <c r="O1046" s="116">
        <v>194.61</v>
      </c>
      <c r="P1046" s="116">
        <v>197.29</v>
      </c>
      <c r="Q1046" s="116">
        <v>197.74</v>
      </c>
      <c r="R1046">
        <v>2974983</v>
      </c>
    </row>
    <row r="1047" spans="1:18" x14ac:dyDescent="0.25">
      <c r="A1047" s="165">
        <v>46139</v>
      </c>
      <c r="B1047" s="116">
        <v>209.6</v>
      </c>
      <c r="C1047" s="116">
        <v>206</v>
      </c>
      <c r="D1047" s="116">
        <v>200</v>
      </c>
      <c r="E1047" s="116">
        <v>200.35</v>
      </c>
      <c r="F1047" s="116">
        <v>206</v>
      </c>
      <c r="G1047">
        <v>735715</v>
      </c>
      <c r="H1047" s="116"/>
      <c r="I1047" s="116"/>
      <c r="L1047" s="165">
        <v>46139</v>
      </c>
      <c r="M1047" s="116">
        <v>205.95</v>
      </c>
      <c r="N1047" s="116">
        <v>209.7</v>
      </c>
      <c r="O1047" s="116">
        <v>199.83</v>
      </c>
      <c r="P1047" s="116">
        <v>200.8</v>
      </c>
      <c r="Q1047" s="116">
        <v>205.95</v>
      </c>
      <c r="R1047">
        <v>6702429</v>
      </c>
    </row>
    <row r="1048" spans="1:18" x14ac:dyDescent="0.25">
      <c r="A1048" s="165">
        <v>46140</v>
      </c>
      <c r="B1048" s="116">
        <v>208.9</v>
      </c>
      <c r="C1048" s="116">
        <v>204.9</v>
      </c>
      <c r="D1048" s="116">
        <v>203.95</v>
      </c>
      <c r="E1048" s="116">
        <v>207.9</v>
      </c>
      <c r="F1048" s="116">
        <v>204.9</v>
      </c>
      <c r="G1048">
        <v>277582</v>
      </c>
      <c r="H1048" s="116"/>
      <c r="I1048" s="116"/>
      <c r="L1048" s="165">
        <v>46140</v>
      </c>
      <c r="M1048" s="116">
        <v>204.91</v>
      </c>
      <c r="N1048" s="116">
        <v>208.89</v>
      </c>
      <c r="O1048" s="116">
        <v>204.05</v>
      </c>
      <c r="P1048" s="116">
        <v>208.51</v>
      </c>
      <c r="Q1048" s="116">
        <v>204.91</v>
      </c>
      <c r="R1048">
        <v>2708182</v>
      </c>
    </row>
    <row r="1049" spans="1:18" x14ac:dyDescent="0.25">
      <c r="A1049" s="165">
        <v>46141</v>
      </c>
      <c r="B1049" s="116">
        <v>211.4</v>
      </c>
      <c r="C1049" s="116">
        <v>200.25</v>
      </c>
      <c r="D1049" s="116">
        <v>198.6</v>
      </c>
      <c r="E1049" s="116">
        <v>211.25</v>
      </c>
      <c r="F1049" s="116">
        <v>200.25</v>
      </c>
      <c r="G1049">
        <v>468905</v>
      </c>
      <c r="H1049" s="116"/>
      <c r="I1049" s="116"/>
      <c r="L1049" s="165">
        <v>46141</v>
      </c>
      <c r="M1049" s="116">
        <v>200.18</v>
      </c>
      <c r="N1049" s="116">
        <v>211.03</v>
      </c>
      <c r="O1049" s="116">
        <v>198.49</v>
      </c>
      <c r="P1049" s="116">
        <v>211.03</v>
      </c>
      <c r="Q1049" s="116">
        <v>200.18</v>
      </c>
      <c r="R1049">
        <v>8854816</v>
      </c>
    </row>
    <row r="1050" spans="1:18" x14ac:dyDescent="0.25">
      <c r="A1050" s="165">
        <v>46142</v>
      </c>
      <c r="B1050" s="116">
        <v>202.3</v>
      </c>
      <c r="C1050" s="116">
        <v>196.55</v>
      </c>
      <c r="D1050" s="116">
        <v>195.2</v>
      </c>
      <c r="E1050" s="116">
        <v>200.25</v>
      </c>
      <c r="F1050" s="116">
        <v>196.55</v>
      </c>
      <c r="G1050">
        <v>322749</v>
      </c>
      <c r="H1050" s="116"/>
      <c r="I1050" s="116"/>
      <c r="L1050" s="165">
        <v>46142</v>
      </c>
      <c r="M1050" s="116">
        <v>196.37</v>
      </c>
      <c r="N1050" s="116">
        <v>202.51</v>
      </c>
      <c r="O1050" s="116">
        <v>195.01</v>
      </c>
      <c r="P1050" s="116">
        <v>200</v>
      </c>
      <c r="Q1050" s="116">
        <v>196.37</v>
      </c>
      <c r="R1050">
        <v>2537711</v>
      </c>
    </row>
    <row r="1051" spans="1:18" x14ac:dyDescent="0.25">
      <c r="A1051" s="165">
        <v>46146</v>
      </c>
      <c r="B1051" s="116">
        <v>206</v>
      </c>
      <c r="C1051" s="116">
        <v>205.15</v>
      </c>
      <c r="D1051" s="116">
        <v>197.6</v>
      </c>
      <c r="E1051" s="116">
        <v>197.8</v>
      </c>
      <c r="F1051" s="116">
        <v>205.15</v>
      </c>
      <c r="G1051">
        <v>387329</v>
      </c>
      <c r="H1051" s="116"/>
      <c r="I1051" s="116"/>
      <c r="L1051" s="165">
        <v>46146</v>
      </c>
      <c r="M1051" s="116">
        <v>205.3</v>
      </c>
      <c r="N1051" s="116">
        <v>206</v>
      </c>
      <c r="O1051" s="116">
        <v>197.44</v>
      </c>
      <c r="P1051" s="116">
        <v>197.99</v>
      </c>
      <c r="Q1051" s="116">
        <v>205.3</v>
      </c>
      <c r="R1051">
        <v>4062588</v>
      </c>
    </row>
    <row r="1052" spans="1:18" x14ac:dyDescent="0.25">
      <c r="A1052" s="165">
        <v>46147</v>
      </c>
      <c r="B1052" s="116">
        <v>210</v>
      </c>
      <c r="C1052" s="116">
        <v>205.95</v>
      </c>
      <c r="D1052" s="116">
        <v>203.05</v>
      </c>
      <c r="E1052" s="116">
        <v>204.8</v>
      </c>
      <c r="F1052" s="116">
        <v>205.95</v>
      </c>
      <c r="G1052">
        <v>177888</v>
      </c>
      <c r="H1052" s="116"/>
      <c r="I1052" s="116"/>
      <c r="L1052" s="165">
        <v>46147</v>
      </c>
      <c r="M1052" s="116">
        <v>205.81</v>
      </c>
      <c r="N1052" s="116">
        <v>210</v>
      </c>
      <c r="O1052" s="116">
        <v>203.15</v>
      </c>
      <c r="P1052" s="116">
        <v>204.2</v>
      </c>
      <c r="Q1052" s="116">
        <v>205.81</v>
      </c>
      <c r="R1052">
        <v>4353116</v>
      </c>
    </row>
    <row r="1053" spans="1:18" x14ac:dyDescent="0.25">
      <c r="A1053" s="165">
        <v>46148</v>
      </c>
      <c r="B1053" s="116">
        <v>209.3</v>
      </c>
      <c r="C1053" s="116">
        <v>207.9</v>
      </c>
      <c r="D1053" s="116">
        <v>204.35</v>
      </c>
      <c r="E1053" s="116">
        <v>206.15</v>
      </c>
      <c r="F1053" s="116">
        <v>207.9</v>
      </c>
      <c r="G1053">
        <v>223821</v>
      </c>
      <c r="H1053" s="116"/>
      <c r="I1053" s="116"/>
      <c r="L1053" s="165">
        <v>46148</v>
      </c>
      <c r="M1053" s="116">
        <v>207.8</v>
      </c>
      <c r="N1053" s="116">
        <v>209.2</v>
      </c>
      <c r="O1053" s="116">
        <v>204.34</v>
      </c>
      <c r="P1053" s="116">
        <v>206.45</v>
      </c>
      <c r="Q1053" s="116">
        <v>207.8</v>
      </c>
      <c r="R1053">
        <v>2374842</v>
      </c>
    </row>
    <row r="1054" spans="1:18" x14ac:dyDescent="0.25">
      <c r="A1054" s="165">
        <v>46149</v>
      </c>
      <c r="B1054" s="116">
        <v>216</v>
      </c>
      <c r="C1054" s="116">
        <v>212</v>
      </c>
      <c r="D1054" s="116">
        <v>207.9</v>
      </c>
      <c r="E1054" s="116">
        <v>207.9</v>
      </c>
      <c r="F1054" s="116">
        <v>212</v>
      </c>
      <c r="G1054">
        <v>498570</v>
      </c>
      <c r="H1054" s="116"/>
      <c r="I1054" s="116"/>
      <c r="L1054" s="165">
        <v>46149</v>
      </c>
      <c r="M1054" s="116">
        <v>211.94</v>
      </c>
      <c r="N1054" s="116">
        <v>216.01</v>
      </c>
      <c r="O1054" s="116">
        <v>208.27</v>
      </c>
      <c r="P1054" s="116">
        <v>208.45</v>
      </c>
      <c r="Q1054" s="116">
        <v>211.94</v>
      </c>
      <c r="R1054">
        <v>5675541</v>
      </c>
    </row>
    <row r="1055" spans="1:18" x14ac:dyDescent="0.25">
      <c r="A1055" s="165">
        <v>46150</v>
      </c>
      <c r="B1055" s="116">
        <v>211.8</v>
      </c>
      <c r="C1055" s="116">
        <v>206.65</v>
      </c>
      <c r="D1055" s="116">
        <v>205.2</v>
      </c>
      <c r="E1055" s="116">
        <v>211.8</v>
      </c>
      <c r="F1055" s="116">
        <v>206.65</v>
      </c>
      <c r="G1055">
        <v>264433</v>
      </c>
      <c r="H1055" s="116"/>
      <c r="I1055" s="116"/>
      <c r="L1055" s="165">
        <v>46150</v>
      </c>
      <c r="M1055" s="116">
        <v>206.78</v>
      </c>
      <c r="N1055" s="116">
        <v>211.5</v>
      </c>
      <c r="O1055" s="116">
        <v>205</v>
      </c>
      <c r="P1055" s="116">
        <v>211.5</v>
      </c>
      <c r="Q1055" s="116">
        <v>206.78</v>
      </c>
      <c r="R1055">
        <v>3660874</v>
      </c>
    </row>
    <row r="1056" spans="1:18" x14ac:dyDescent="0.25">
      <c r="A1056" s="165">
        <v>46153</v>
      </c>
      <c r="B1056" s="116">
        <v>206.95</v>
      </c>
      <c r="C1056" s="116">
        <v>205.05</v>
      </c>
      <c r="D1056" s="116">
        <v>201.75</v>
      </c>
      <c r="E1056" s="116">
        <v>206.65</v>
      </c>
      <c r="F1056" s="116">
        <v>205.05</v>
      </c>
      <c r="G1056">
        <v>192695</v>
      </c>
      <c r="H1056" s="116"/>
      <c r="I1056" s="116"/>
      <c r="L1056" s="165">
        <v>46153</v>
      </c>
      <c r="M1056" s="116">
        <v>204.93</v>
      </c>
      <c r="N1056" s="116">
        <v>207</v>
      </c>
      <c r="O1056" s="116">
        <v>201.5</v>
      </c>
      <c r="P1056" s="116">
        <v>206</v>
      </c>
      <c r="Q1056" s="116">
        <v>204.93</v>
      </c>
      <c r="R1056">
        <v>4551393</v>
      </c>
    </row>
    <row r="1057" spans="1:18" x14ac:dyDescent="0.25">
      <c r="A1057" s="165">
        <v>46154</v>
      </c>
      <c r="B1057" s="116">
        <v>205.6</v>
      </c>
      <c r="C1057" s="116">
        <v>198.15</v>
      </c>
      <c r="D1057" s="116">
        <v>197</v>
      </c>
      <c r="E1057" s="116">
        <v>204.8</v>
      </c>
      <c r="F1057" s="116">
        <v>198.15</v>
      </c>
      <c r="G1057">
        <v>216728</v>
      </c>
      <c r="H1057" s="116"/>
      <c r="I1057" s="116"/>
      <c r="L1057" s="165">
        <v>46154</v>
      </c>
      <c r="M1057" s="116">
        <v>198.19</v>
      </c>
      <c r="N1057" s="116">
        <v>205.6</v>
      </c>
      <c r="O1057" s="116">
        <v>197</v>
      </c>
      <c r="P1057" s="116">
        <v>205</v>
      </c>
      <c r="Q1057" s="116">
        <v>198.19</v>
      </c>
      <c r="R1057">
        <v>2889393</v>
      </c>
    </row>
    <row r="1058" spans="1:18" x14ac:dyDescent="0.25">
      <c r="A1058" s="165">
        <v>46155</v>
      </c>
      <c r="B1058" s="116">
        <v>202</v>
      </c>
      <c r="C1058" s="116">
        <v>196.15</v>
      </c>
      <c r="D1058" s="116">
        <v>195.65</v>
      </c>
      <c r="E1058" s="116">
        <v>198.5</v>
      </c>
      <c r="F1058" s="116">
        <v>196.15</v>
      </c>
      <c r="G1058">
        <v>206423</v>
      </c>
      <c r="H1058" s="116"/>
      <c r="I1058" s="116"/>
      <c r="L1058" s="165">
        <v>46155</v>
      </c>
      <c r="M1058" s="116">
        <v>196.14</v>
      </c>
      <c r="N1058" s="116">
        <v>201.99</v>
      </c>
      <c r="O1058" s="116">
        <v>195.53</v>
      </c>
      <c r="P1058" s="116">
        <v>198.29</v>
      </c>
      <c r="Q1058" s="116">
        <v>196.14</v>
      </c>
      <c r="R1058">
        <v>2272432</v>
      </c>
    </row>
    <row r="1059" spans="1:18" x14ac:dyDescent="0.25">
      <c r="A1059" s="165">
        <v>46156</v>
      </c>
      <c r="B1059" s="116">
        <v>201.8</v>
      </c>
      <c r="C1059" s="116">
        <v>200.55</v>
      </c>
      <c r="D1059" s="116">
        <v>192.55</v>
      </c>
      <c r="E1059" s="116">
        <v>196.5</v>
      </c>
      <c r="F1059" s="116">
        <v>200.55</v>
      </c>
      <c r="G1059">
        <v>287079</v>
      </c>
      <c r="H1059" s="116"/>
      <c r="I1059" s="116"/>
      <c r="L1059" s="165">
        <v>46156</v>
      </c>
      <c r="M1059" s="116">
        <v>200.81</v>
      </c>
      <c r="N1059" s="116">
        <v>202</v>
      </c>
      <c r="O1059" s="116">
        <v>193.02</v>
      </c>
      <c r="P1059" s="116">
        <v>197.09</v>
      </c>
      <c r="Q1059" s="116">
        <v>200.81</v>
      </c>
      <c r="R1059">
        <v>1804072</v>
      </c>
    </row>
    <row r="1060" spans="1:18" x14ac:dyDescent="0.25">
      <c r="A1060" s="165">
        <v>46157</v>
      </c>
      <c r="B1060" s="116">
        <v>203.9</v>
      </c>
      <c r="C1060" s="116">
        <v>199.9</v>
      </c>
      <c r="D1060" s="116">
        <v>199.35</v>
      </c>
      <c r="E1060" s="116">
        <v>203.2</v>
      </c>
      <c r="F1060" s="116">
        <v>199.9</v>
      </c>
      <c r="G1060">
        <v>100879</v>
      </c>
      <c r="H1060" s="116"/>
      <c r="I1060" s="116"/>
      <c r="L1060" s="165">
        <v>46157</v>
      </c>
      <c r="M1060" s="116">
        <v>199.73</v>
      </c>
      <c r="N1060" s="116">
        <v>203.78</v>
      </c>
      <c r="O1060" s="116">
        <v>199.3</v>
      </c>
      <c r="P1060" s="116">
        <v>202.2</v>
      </c>
      <c r="Q1060" s="116">
        <v>199.73</v>
      </c>
      <c r="R1060">
        <v>1579468</v>
      </c>
    </row>
    <row r="1061" spans="1:18" x14ac:dyDescent="0.25">
      <c r="A1061" s="165">
        <v>46160</v>
      </c>
      <c r="B1061" s="116">
        <v>200.1</v>
      </c>
      <c r="C1061" s="116">
        <v>199.15</v>
      </c>
      <c r="D1061" s="116">
        <v>193.35</v>
      </c>
      <c r="E1061" s="116">
        <v>195.6</v>
      </c>
      <c r="F1061" s="116">
        <v>199.15</v>
      </c>
      <c r="G1061">
        <v>145581</v>
      </c>
      <c r="H1061" s="116"/>
      <c r="I1061" s="116"/>
      <c r="L1061" s="165">
        <v>46160</v>
      </c>
      <c r="M1061" s="116">
        <v>199.37</v>
      </c>
      <c r="N1061" s="116">
        <v>200.15</v>
      </c>
      <c r="O1061" s="116">
        <v>193.43</v>
      </c>
      <c r="P1061" s="116">
        <v>196.5</v>
      </c>
      <c r="Q1061" s="116">
        <v>199.37</v>
      </c>
      <c r="R1061">
        <v>1280438</v>
      </c>
    </row>
    <row r="1062" spans="1:18" x14ac:dyDescent="0.25">
      <c r="A1062" s="165">
        <v>46161</v>
      </c>
      <c r="B1062" s="116">
        <v>203.25</v>
      </c>
      <c r="C1062" s="116">
        <v>202.2</v>
      </c>
      <c r="D1062" s="116">
        <v>199.5</v>
      </c>
      <c r="E1062" s="116">
        <v>199.5</v>
      </c>
      <c r="F1062" s="116">
        <v>202.2</v>
      </c>
      <c r="G1062">
        <v>100670</v>
      </c>
      <c r="H1062" s="116"/>
      <c r="I1062" s="116"/>
      <c r="L1062" s="165">
        <v>46161</v>
      </c>
      <c r="M1062" s="116">
        <v>202.17</v>
      </c>
      <c r="N1062" s="116">
        <v>203.4</v>
      </c>
      <c r="O1062" s="116">
        <v>199.52</v>
      </c>
      <c r="P1062" s="116">
        <v>200.19</v>
      </c>
      <c r="Q1062" s="116">
        <v>202.17</v>
      </c>
      <c r="R1062">
        <v>1461706</v>
      </c>
    </row>
    <row r="1063" spans="1:18" x14ac:dyDescent="0.25">
      <c r="A1063" s="165">
        <v>46162</v>
      </c>
      <c r="B1063" s="116">
        <v>200</v>
      </c>
      <c r="C1063" s="116">
        <v>196.7</v>
      </c>
      <c r="D1063" s="116">
        <v>196.5</v>
      </c>
      <c r="E1063" s="116">
        <v>198.65</v>
      </c>
      <c r="F1063" s="116">
        <v>196.7</v>
      </c>
      <c r="G1063">
        <v>100286</v>
      </c>
      <c r="H1063" s="116"/>
      <c r="I1063" s="116"/>
      <c r="L1063" s="165">
        <v>46162</v>
      </c>
      <c r="M1063" s="116">
        <v>196.73</v>
      </c>
      <c r="N1063" s="116">
        <v>200.5</v>
      </c>
      <c r="O1063" s="116">
        <v>196.33</v>
      </c>
      <c r="P1063" s="116">
        <v>199.43</v>
      </c>
      <c r="Q1063" s="116">
        <v>196.73</v>
      </c>
      <c r="R1063">
        <v>1414324</v>
      </c>
    </row>
    <row r="1064" spans="1:18" x14ac:dyDescent="0.25">
      <c r="A1064" s="165">
        <v>46163</v>
      </c>
      <c r="B1064" s="116">
        <v>199.95</v>
      </c>
      <c r="C1064" s="116">
        <v>198.35</v>
      </c>
      <c r="D1064" s="116">
        <v>196.15</v>
      </c>
      <c r="E1064" s="116">
        <v>198.25</v>
      </c>
      <c r="F1064" s="116">
        <v>198.35</v>
      </c>
      <c r="G1064">
        <v>72923</v>
      </c>
      <c r="H1064" s="116"/>
      <c r="I1064" s="116"/>
      <c r="L1064" s="165">
        <v>46163</v>
      </c>
      <c r="M1064" s="116">
        <v>198.24</v>
      </c>
      <c r="N1064" s="116">
        <v>200</v>
      </c>
      <c r="O1064" s="116">
        <v>196.09</v>
      </c>
      <c r="P1064" s="116">
        <v>199.01</v>
      </c>
      <c r="Q1064" s="116">
        <v>198.24</v>
      </c>
      <c r="R1064">
        <v>1566676</v>
      </c>
    </row>
    <row r="1065" spans="1:18" x14ac:dyDescent="0.25">
      <c r="A1065" s="165">
        <v>46164</v>
      </c>
      <c r="B1065" s="116">
        <v>200.95</v>
      </c>
      <c r="C1065" s="116">
        <v>195.05</v>
      </c>
      <c r="D1065" s="116">
        <v>194.6</v>
      </c>
      <c r="E1065" s="116">
        <v>200</v>
      </c>
      <c r="F1065" s="116">
        <v>195.05</v>
      </c>
      <c r="G1065">
        <v>113792</v>
      </c>
      <c r="H1065" s="116"/>
      <c r="I1065" s="116"/>
      <c r="L1065" s="165">
        <v>46164</v>
      </c>
      <c r="M1065" s="116">
        <v>195.14</v>
      </c>
      <c r="N1065" s="116">
        <v>199.89</v>
      </c>
      <c r="O1065" s="116">
        <v>194.56</v>
      </c>
      <c r="P1065" s="116">
        <v>199.89</v>
      </c>
      <c r="Q1065" s="116">
        <v>195.14</v>
      </c>
      <c r="R1065">
        <v>1491497</v>
      </c>
    </row>
    <row r="1066" spans="1:18" x14ac:dyDescent="0.25">
      <c r="A1066" s="165">
        <v>46167</v>
      </c>
      <c r="B1066" s="116">
        <v>198.3</v>
      </c>
      <c r="C1066" s="116">
        <v>193.1</v>
      </c>
      <c r="D1066" s="116">
        <v>192.65</v>
      </c>
      <c r="E1066" s="116">
        <v>198.3</v>
      </c>
      <c r="F1066" s="116">
        <v>193.1</v>
      </c>
      <c r="G1066">
        <v>99682</v>
      </c>
      <c r="H1066" s="116"/>
      <c r="I1066" s="116"/>
      <c r="L1066" s="165">
        <v>46167</v>
      </c>
      <c r="M1066" s="116">
        <v>193.06</v>
      </c>
      <c r="N1066" s="116">
        <v>198.1</v>
      </c>
      <c r="O1066" s="116">
        <v>192.33</v>
      </c>
      <c r="P1066" s="116">
        <v>197.99</v>
      </c>
      <c r="Q1066" s="116">
        <v>193.06</v>
      </c>
      <c r="R1066">
        <v>1955714</v>
      </c>
    </row>
    <row r="1067" spans="1:18" x14ac:dyDescent="0.25">
      <c r="A1067" s="165">
        <v>46168</v>
      </c>
      <c r="B1067" s="116">
        <v>198</v>
      </c>
      <c r="C1067" s="116">
        <v>193.05</v>
      </c>
      <c r="D1067" s="116">
        <v>192.65</v>
      </c>
      <c r="E1067" s="116">
        <v>193</v>
      </c>
      <c r="F1067" s="116">
        <v>193.05</v>
      </c>
      <c r="G1067">
        <v>209537</v>
      </c>
      <c r="H1067" s="116"/>
      <c r="I1067" s="116"/>
      <c r="L1067" s="165">
        <v>46168</v>
      </c>
      <c r="M1067" s="116">
        <v>193.06</v>
      </c>
      <c r="N1067" s="116">
        <v>198.09</v>
      </c>
      <c r="O1067" s="116">
        <v>192.6</v>
      </c>
      <c r="P1067" s="116">
        <v>193</v>
      </c>
      <c r="Q1067" s="116">
        <v>193.06</v>
      </c>
      <c r="R1067">
        <v>2723114</v>
      </c>
    </row>
    <row r="1068" spans="1:18" x14ac:dyDescent="0.25">
      <c r="A1068" s="165">
        <v>46169</v>
      </c>
      <c r="B1068" s="116">
        <v>196.05</v>
      </c>
      <c r="C1068" s="116">
        <v>193.4</v>
      </c>
      <c r="D1068" s="116">
        <v>192.45</v>
      </c>
      <c r="E1068" s="116">
        <v>193.85</v>
      </c>
      <c r="F1068" s="116">
        <v>193.4</v>
      </c>
      <c r="G1068">
        <v>130716</v>
      </c>
      <c r="H1068" s="116"/>
      <c r="I1068" s="116"/>
      <c r="L1068" s="165">
        <v>46169</v>
      </c>
      <c r="M1068" s="116">
        <v>193.46</v>
      </c>
      <c r="N1068" s="116">
        <v>196.3</v>
      </c>
      <c r="O1068" s="116">
        <v>192.3</v>
      </c>
      <c r="P1068" s="116">
        <v>193.65</v>
      </c>
      <c r="Q1068" s="116">
        <v>193.46</v>
      </c>
      <c r="R1068">
        <v>2692167</v>
      </c>
    </row>
    <row r="1069" spans="1:18" x14ac:dyDescent="0.25">
      <c r="A1069" s="165">
        <v>46171</v>
      </c>
      <c r="B1069" s="116">
        <v>195.45</v>
      </c>
      <c r="C1069" s="116">
        <v>192.5</v>
      </c>
      <c r="D1069" s="116">
        <v>191.2</v>
      </c>
      <c r="E1069" s="116">
        <v>194</v>
      </c>
      <c r="F1069" s="116">
        <v>192.5</v>
      </c>
      <c r="G1069">
        <v>693848</v>
      </c>
      <c r="H1069" s="116"/>
      <c r="I1069" s="116"/>
      <c r="L1069" s="165">
        <v>46171</v>
      </c>
      <c r="M1069" s="116">
        <v>192.3</v>
      </c>
      <c r="N1069" s="116">
        <v>195.38</v>
      </c>
      <c r="O1069" s="116">
        <v>191.1</v>
      </c>
      <c r="P1069" s="116">
        <v>193.72</v>
      </c>
      <c r="Q1069" s="116">
        <v>192.3</v>
      </c>
      <c r="R1069">
        <v>2026013</v>
      </c>
    </row>
    <row r="1070" spans="1:18" x14ac:dyDescent="0.25">
      <c r="A1070" s="165">
        <v>46174</v>
      </c>
      <c r="B1070" s="116">
        <v>195.9</v>
      </c>
      <c r="C1070" s="116">
        <v>190.5</v>
      </c>
      <c r="D1070" s="116">
        <v>189.8</v>
      </c>
      <c r="E1070" s="116">
        <v>193.55</v>
      </c>
      <c r="F1070" s="116">
        <v>190.5</v>
      </c>
      <c r="G1070">
        <v>136441</v>
      </c>
      <c r="H1070" s="116"/>
      <c r="I1070" s="116"/>
      <c r="L1070" s="165">
        <v>46174</v>
      </c>
      <c r="M1070" s="116">
        <v>190.65</v>
      </c>
      <c r="N1070" s="116">
        <v>195.8</v>
      </c>
      <c r="O1070" s="116">
        <v>189.8</v>
      </c>
      <c r="P1070" s="116">
        <v>194</v>
      </c>
      <c r="Q1070" s="116">
        <v>190.65</v>
      </c>
      <c r="R1070">
        <v>1187192</v>
      </c>
    </row>
    <row r="1071" spans="1:18" x14ac:dyDescent="0.25">
      <c r="A1071" s="165">
        <v>46175</v>
      </c>
      <c r="B1071" s="116">
        <v>191.8</v>
      </c>
      <c r="C1071" s="116">
        <v>190.55</v>
      </c>
      <c r="D1071" s="116">
        <v>187.5</v>
      </c>
      <c r="E1071" s="116">
        <v>190.85</v>
      </c>
      <c r="F1071" s="116">
        <v>190.55</v>
      </c>
      <c r="G1071">
        <v>71315</v>
      </c>
      <c r="H1071" s="116"/>
      <c r="I1071" s="116"/>
      <c r="L1071" s="165">
        <v>46175</v>
      </c>
      <c r="M1071" s="116">
        <v>190.65</v>
      </c>
      <c r="N1071" s="116">
        <v>191.99</v>
      </c>
      <c r="O1071" s="116">
        <v>187.33</v>
      </c>
      <c r="P1071" s="116">
        <v>190.65</v>
      </c>
      <c r="Q1071" s="116">
        <v>190.65</v>
      </c>
      <c r="R1071">
        <v>1161980</v>
      </c>
    </row>
    <row r="1072" spans="1:18" x14ac:dyDescent="0.25">
      <c r="A1072" s="165">
        <v>46176</v>
      </c>
      <c r="B1072" s="116">
        <v>191.15</v>
      </c>
      <c r="C1072" s="116">
        <v>190.15</v>
      </c>
      <c r="D1072" s="116">
        <v>185.8</v>
      </c>
      <c r="E1072" s="116">
        <v>190.4</v>
      </c>
      <c r="F1072" s="116">
        <v>190.15</v>
      </c>
      <c r="G1072">
        <v>330981</v>
      </c>
      <c r="H1072" s="116"/>
      <c r="I1072" s="116"/>
      <c r="L1072" s="165">
        <v>46176</v>
      </c>
      <c r="M1072" s="116">
        <v>190.18</v>
      </c>
      <c r="N1072" s="116">
        <v>191.36</v>
      </c>
      <c r="O1072" s="116">
        <v>185.75</v>
      </c>
      <c r="P1072" s="116">
        <v>190.65</v>
      </c>
      <c r="Q1072" s="116">
        <v>190.18</v>
      </c>
      <c r="R1072">
        <v>1536314</v>
      </c>
    </row>
    <row r="1073" spans="1:18" x14ac:dyDescent="0.25">
      <c r="A1073" s="165">
        <v>46177</v>
      </c>
      <c r="B1073" s="116">
        <v>191</v>
      </c>
      <c r="C1073" s="116">
        <v>189.35</v>
      </c>
      <c r="D1073" s="116">
        <v>188.05</v>
      </c>
      <c r="E1073" s="116">
        <v>188.05</v>
      </c>
      <c r="F1073" s="116">
        <v>189.35</v>
      </c>
      <c r="G1073">
        <v>389732</v>
      </c>
      <c r="H1073" s="116"/>
      <c r="I1073" s="116"/>
      <c r="L1073" s="165">
        <v>46177</v>
      </c>
      <c r="M1073" s="116">
        <v>189.27</v>
      </c>
      <c r="N1073" s="116">
        <v>191.23</v>
      </c>
      <c r="O1073" s="116">
        <v>187.5</v>
      </c>
      <c r="P1073" s="116">
        <v>187.5</v>
      </c>
      <c r="Q1073" s="116">
        <v>189.27</v>
      </c>
      <c r="R1073">
        <v>1105028</v>
      </c>
    </row>
    <row r="1074" spans="1:18" x14ac:dyDescent="0.25">
      <c r="A1074" s="165">
        <v>46178</v>
      </c>
      <c r="B1074" s="116">
        <v>192.15</v>
      </c>
      <c r="C1074" s="116">
        <v>188.85</v>
      </c>
      <c r="D1074" s="116">
        <v>188.5</v>
      </c>
      <c r="E1074" s="116">
        <v>189.05</v>
      </c>
      <c r="F1074" s="116">
        <v>188.85</v>
      </c>
      <c r="G1074">
        <v>165647</v>
      </c>
      <c r="H1074" s="116"/>
      <c r="I1074" s="116"/>
      <c r="L1074" s="165">
        <v>46178</v>
      </c>
      <c r="M1074" s="116">
        <v>188.88</v>
      </c>
      <c r="N1074" s="116">
        <v>192.12</v>
      </c>
      <c r="O1074" s="116">
        <v>188.51</v>
      </c>
      <c r="P1074" s="116">
        <v>189.01</v>
      </c>
      <c r="Q1074" s="116">
        <v>188.88</v>
      </c>
      <c r="R1074">
        <v>1205409</v>
      </c>
    </row>
    <row r="1075" spans="1:18" x14ac:dyDescent="0.25">
      <c r="A1075" s="165">
        <v>46181</v>
      </c>
      <c r="B1075" s="116">
        <v>187.8</v>
      </c>
      <c r="C1075" s="116">
        <v>185.7</v>
      </c>
      <c r="D1075" s="116">
        <v>185.15</v>
      </c>
      <c r="E1075" s="116">
        <v>186.5</v>
      </c>
      <c r="F1075" s="116">
        <v>185.7</v>
      </c>
      <c r="G1075">
        <v>60597</v>
      </c>
      <c r="H1075" s="116"/>
      <c r="I1075" s="116"/>
      <c r="L1075" s="165">
        <v>46181</v>
      </c>
      <c r="M1075" s="116">
        <v>185.71</v>
      </c>
      <c r="N1075" s="116">
        <v>187.8</v>
      </c>
      <c r="O1075" s="116">
        <v>185.05</v>
      </c>
      <c r="P1075" s="116">
        <v>186.1</v>
      </c>
      <c r="Q1075" s="116">
        <v>185.71</v>
      </c>
      <c r="R1075">
        <v>666397</v>
      </c>
    </row>
    <row r="1076" spans="1:18" x14ac:dyDescent="0.25">
      <c r="A1076" s="165">
        <v>46182</v>
      </c>
      <c r="B1076" s="116">
        <v>189.4</v>
      </c>
      <c r="C1076" s="116">
        <v>188.65</v>
      </c>
      <c r="D1076" s="116">
        <v>187</v>
      </c>
      <c r="E1076" s="116">
        <v>188.15</v>
      </c>
      <c r="F1076" s="116">
        <v>188.65</v>
      </c>
      <c r="G1076">
        <v>78671</v>
      </c>
      <c r="H1076" s="116"/>
      <c r="I1076" s="116"/>
      <c r="L1076" s="165">
        <v>46182</v>
      </c>
      <c r="M1076" s="116">
        <v>188.7</v>
      </c>
      <c r="N1076" s="116">
        <v>189.5</v>
      </c>
      <c r="O1076" s="116">
        <v>185.75</v>
      </c>
      <c r="P1076" s="116">
        <v>185.75</v>
      </c>
      <c r="Q1076" s="116">
        <v>188.7</v>
      </c>
      <c r="R1076">
        <v>742733</v>
      </c>
    </row>
    <row r="1077" spans="1:18" x14ac:dyDescent="0.25">
      <c r="A1077" s="165">
        <v>46183</v>
      </c>
      <c r="B1077" s="116">
        <v>192.65</v>
      </c>
      <c r="C1077" s="116">
        <v>187.3</v>
      </c>
      <c r="D1077" s="116">
        <v>186.4</v>
      </c>
      <c r="E1077" s="116">
        <v>188.7</v>
      </c>
      <c r="F1077" s="116">
        <v>187.3</v>
      </c>
      <c r="G1077">
        <v>127725</v>
      </c>
      <c r="H1077" s="116"/>
      <c r="I1077" s="116"/>
      <c r="L1077" s="165">
        <v>46183</v>
      </c>
      <c r="M1077" s="116">
        <v>187.14</v>
      </c>
      <c r="N1077" s="116">
        <v>192.75</v>
      </c>
      <c r="O1077" s="116">
        <v>186.04</v>
      </c>
      <c r="P1077" s="116">
        <v>188.7</v>
      </c>
      <c r="Q1077" s="116">
        <v>187.14</v>
      </c>
      <c r="R1077">
        <v>2893648</v>
      </c>
    </row>
    <row r="1078" spans="1:18" x14ac:dyDescent="0.25">
      <c r="A1078" s="165">
        <v>46184</v>
      </c>
      <c r="B1078" s="116">
        <v>189.9</v>
      </c>
      <c r="C1078" s="116">
        <v>185.4</v>
      </c>
      <c r="D1078" s="116">
        <v>184.55</v>
      </c>
      <c r="E1078" s="116">
        <v>185.75</v>
      </c>
      <c r="F1078" s="116">
        <v>185.4</v>
      </c>
      <c r="G1078">
        <v>131440</v>
      </c>
      <c r="H1078" s="116"/>
      <c r="I1078" s="116"/>
      <c r="L1078" s="165">
        <v>46184</v>
      </c>
      <c r="M1078" s="116">
        <v>185.42</v>
      </c>
      <c r="N1078" s="116">
        <v>189.9</v>
      </c>
      <c r="O1078" s="116">
        <v>184.56</v>
      </c>
      <c r="P1078" s="116">
        <v>186</v>
      </c>
      <c r="Q1078" s="116">
        <v>185.42</v>
      </c>
      <c r="R1078">
        <v>2384058</v>
      </c>
    </row>
    <row r="1079" spans="1:18" x14ac:dyDescent="0.25">
      <c r="A1079" s="165">
        <v>46185</v>
      </c>
      <c r="B1079" s="116">
        <v>191.7</v>
      </c>
      <c r="C1079" s="116">
        <v>190.6</v>
      </c>
      <c r="D1079" s="116">
        <v>186.65</v>
      </c>
      <c r="E1079" s="116">
        <v>187.05</v>
      </c>
      <c r="F1079" s="116">
        <v>190.6</v>
      </c>
      <c r="G1079">
        <v>73773</v>
      </c>
      <c r="H1079" s="116"/>
      <c r="I1079" s="116"/>
      <c r="L1079" s="165">
        <v>46185</v>
      </c>
      <c r="M1079" s="116">
        <v>190.82</v>
      </c>
      <c r="N1079" s="116">
        <v>191.78</v>
      </c>
      <c r="O1079" s="116">
        <v>186.45</v>
      </c>
      <c r="P1079" s="116">
        <v>187.75</v>
      </c>
      <c r="Q1079" s="116">
        <v>190.82</v>
      </c>
      <c r="R1079">
        <v>3754363</v>
      </c>
    </row>
    <row r="1080" spans="1:18" x14ac:dyDescent="0.25">
      <c r="A1080" s="165">
        <v>46188</v>
      </c>
      <c r="B1080" s="116">
        <v>196.5</v>
      </c>
      <c r="C1080" s="116">
        <v>191.25</v>
      </c>
      <c r="D1080" s="116">
        <v>190.7</v>
      </c>
      <c r="E1080" s="116">
        <v>193.9</v>
      </c>
      <c r="F1080" s="116">
        <v>191.25</v>
      </c>
      <c r="G1080">
        <v>120712</v>
      </c>
      <c r="H1080" s="116"/>
      <c r="I1080" s="116"/>
      <c r="L1080" s="165">
        <v>46188</v>
      </c>
      <c r="M1080" s="116">
        <v>191.16</v>
      </c>
      <c r="N1080" s="116">
        <v>196.45</v>
      </c>
      <c r="O1080" s="116">
        <v>190.61</v>
      </c>
      <c r="P1080" s="116">
        <v>193</v>
      </c>
      <c r="Q1080" s="116">
        <v>191.16</v>
      </c>
      <c r="R1080">
        <v>4405486</v>
      </c>
    </row>
    <row r="1081" spans="1:18" x14ac:dyDescent="0.25">
      <c r="A1081" s="165">
        <v>46189</v>
      </c>
      <c r="B1081" s="116">
        <v>198.9</v>
      </c>
      <c r="C1081" s="116">
        <v>197.3</v>
      </c>
      <c r="D1081" s="116">
        <v>191.65</v>
      </c>
      <c r="E1081" s="116">
        <v>192.5</v>
      </c>
      <c r="F1081" s="116">
        <v>197.3</v>
      </c>
      <c r="G1081">
        <v>424732</v>
      </c>
      <c r="H1081" s="116"/>
      <c r="I1081" s="116"/>
      <c r="L1081" s="165">
        <v>46189</v>
      </c>
      <c r="M1081" s="116">
        <v>197.27</v>
      </c>
      <c r="N1081" s="116">
        <v>198.95</v>
      </c>
      <c r="O1081" s="116">
        <v>191.61</v>
      </c>
      <c r="P1081" s="116">
        <v>191.99</v>
      </c>
      <c r="Q1081" s="116">
        <v>197.27</v>
      </c>
      <c r="R1081">
        <v>5460601</v>
      </c>
    </row>
    <row r="1082" spans="1:18" x14ac:dyDescent="0.25">
      <c r="A1082" s="165"/>
      <c r="B1082" s="116"/>
      <c r="C1082" s="116"/>
      <c r="D1082" s="116"/>
      <c r="E1082" s="116"/>
      <c r="F1082" s="116"/>
      <c r="H1082" s="116"/>
      <c r="I1082" s="116"/>
      <c r="L1082" s="165"/>
    </row>
    <row r="1083" spans="1:18" x14ac:dyDescent="0.25">
      <c r="A1083" s="165"/>
      <c r="B1083" s="116"/>
      <c r="C1083" s="116"/>
      <c r="D1083" s="116"/>
      <c r="E1083" s="116"/>
      <c r="F1083" s="116"/>
      <c r="H1083" s="116"/>
      <c r="I1083" s="116"/>
      <c r="L1083" s="165"/>
    </row>
    <row r="1084" spans="1:18" x14ac:dyDescent="0.25">
      <c r="A1084" s="165"/>
      <c r="B1084" s="116"/>
      <c r="C1084" s="116"/>
      <c r="D1084" s="116"/>
      <c r="E1084" s="116"/>
      <c r="F1084" s="116"/>
      <c r="H1084" s="116"/>
      <c r="I1084" s="116"/>
      <c r="L1084" s="165"/>
    </row>
    <row r="1085" spans="1:18" x14ac:dyDescent="0.25">
      <c r="A1085" s="165"/>
      <c r="B1085" s="116"/>
      <c r="C1085" s="116"/>
      <c r="D1085" s="116"/>
      <c r="E1085" s="116"/>
      <c r="F1085" s="116"/>
      <c r="H1085" s="116"/>
      <c r="I1085" s="116"/>
      <c r="L1085" s="165"/>
    </row>
    <row r="1086" spans="1:18" x14ac:dyDescent="0.25">
      <c r="A1086" s="165"/>
      <c r="B1086" s="116"/>
      <c r="C1086" s="116"/>
      <c r="D1086" s="116"/>
      <c r="E1086" s="116"/>
      <c r="F1086" s="116"/>
      <c r="H1086" s="116"/>
      <c r="I1086" s="116"/>
      <c r="L1086" s="165"/>
    </row>
    <row r="1087" spans="1:18" x14ac:dyDescent="0.25">
      <c r="A1087" s="165"/>
      <c r="B1087" s="116"/>
      <c r="C1087" s="116"/>
      <c r="D1087" s="116"/>
      <c r="E1087" s="116"/>
      <c r="F1087" s="116"/>
      <c r="H1087" s="116"/>
      <c r="I1087" s="116"/>
      <c r="L1087" s="165"/>
    </row>
    <row r="1088" spans="1:18" x14ac:dyDescent="0.25">
      <c r="A1088" s="165"/>
      <c r="B1088" s="116"/>
      <c r="C1088" s="116"/>
      <c r="D1088" s="116"/>
      <c r="E1088" s="116"/>
      <c r="F1088" s="116"/>
      <c r="H1088" s="116"/>
      <c r="I1088" s="116"/>
      <c r="L1088" s="165"/>
    </row>
    <row r="1089" spans="1:12" x14ac:dyDescent="0.25">
      <c r="A1089" s="165"/>
      <c r="B1089" s="116"/>
      <c r="C1089" s="116"/>
      <c r="D1089" s="116"/>
      <c r="E1089" s="116"/>
      <c r="F1089" s="116"/>
      <c r="H1089" s="116"/>
      <c r="I1089" s="116"/>
      <c r="L1089" s="165"/>
    </row>
    <row r="1090" spans="1:12" x14ac:dyDescent="0.25">
      <c r="A1090" s="165"/>
      <c r="B1090" s="116"/>
      <c r="C1090" s="116"/>
      <c r="D1090" s="116"/>
      <c r="E1090" s="116"/>
      <c r="F1090" s="116"/>
      <c r="H1090" s="116"/>
      <c r="I1090" s="116"/>
      <c r="L1090" s="165"/>
    </row>
    <row r="1091" spans="1:12" x14ac:dyDescent="0.25">
      <c r="A1091" s="165"/>
      <c r="B1091" s="116"/>
      <c r="C1091" s="116"/>
      <c r="D1091" s="116"/>
      <c r="E1091" s="116"/>
      <c r="F1091" s="116"/>
      <c r="H1091" s="116"/>
      <c r="I1091" s="116"/>
      <c r="L1091" s="165"/>
    </row>
    <row r="1092" spans="1:12" x14ac:dyDescent="0.25">
      <c r="A1092" s="165"/>
      <c r="B1092" s="116"/>
      <c r="C1092" s="116"/>
      <c r="D1092" s="116"/>
      <c r="E1092" s="116"/>
      <c r="F1092" s="116"/>
      <c r="H1092" s="116"/>
      <c r="I1092" s="116"/>
      <c r="L1092" s="165"/>
    </row>
    <row r="1093" spans="1:12" x14ac:dyDescent="0.25">
      <c r="A1093" s="165"/>
      <c r="B1093" s="116"/>
      <c r="C1093" s="116"/>
      <c r="D1093" s="116"/>
      <c r="E1093" s="116"/>
      <c r="F1093" s="116"/>
      <c r="H1093" s="116"/>
      <c r="I1093" s="116"/>
      <c r="L1093" s="165"/>
    </row>
    <row r="1094" spans="1:12" x14ac:dyDescent="0.25">
      <c r="A1094" s="165"/>
      <c r="B1094" s="116"/>
      <c r="C1094" s="116"/>
      <c r="D1094" s="116"/>
      <c r="E1094" s="116"/>
      <c r="F1094" s="116"/>
      <c r="H1094" s="116"/>
      <c r="I1094" s="116"/>
      <c r="L1094" s="165"/>
    </row>
    <row r="1095" spans="1:12" x14ac:dyDescent="0.25">
      <c r="A1095" s="165"/>
      <c r="B1095" s="116"/>
      <c r="C1095" s="116"/>
      <c r="D1095" s="116"/>
      <c r="E1095" s="116"/>
      <c r="F1095" s="116"/>
      <c r="H1095" s="116"/>
      <c r="I1095" s="116"/>
      <c r="L1095" s="165"/>
    </row>
    <row r="1096" spans="1:12" x14ac:dyDescent="0.25">
      <c r="A1096" s="165"/>
      <c r="B1096" s="116"/>
      <c r="C1096" s="116"/>
      <c r="D1096" s="116"/>
      <c r="E1096" s="116"/>
      <c r="F1096" s="116"/>
      <c r="H1096" s="116"/>
      <c r="I1096" s="116"/>
      <c r="L1096" s="165"/>
    </row>
    <row r="1097" spans="1:12" x14ac:dyDescent="0.25">
      <c r="A1097" s="165"/>
      <c r="B1097" s="116"/>
      <c r="C1097" s="116"/>
      <c r="D1097" s="116"/>
      <c r="E1097" s="116"/>
      <c r="F1097" s="116"/>
      <c r="H1097" s="116"/>
      <c r="I1097" s="116"/>
      <c r="L1097" s="165"/>
    </row>
    <row r="1098" spans="1:12" x14ac:dyDescent="0.25">
      <c r="A1098" s="165"/>
      <c r="B1098" s="116"/>
      <c r="C1098" s="116"/>
      <c r="D1098" s="116"/>
      <c r="E1098" s="116"/>
      <c r="F1098" s="116"/>
      <c r="H1098" s="116"/>
      <c r="I1098" s="116"/>
      <c r="L1098" s="165"/>
    </row>
    <row r="1099" spans="1:12" x14ac:dyDescent="0.25">
      <c r="A1099" s="165"/>
      <c r="B1099" s="116"/>
      <c r="C1099" s="116"/>
      <c r="D1099" s="116"/>
      <c r="E1099" s="116"/>
      <c r="F1099" s="116"/>
      <c r="H1099" s="116"/>
      <c r="I1099" s="116"/>
      <c r="L1099" s="165"/>
    </row>
    <row r="1100" spans="1:12" x14ac:dyDescent="0.25">
      <c r="A1100" s="165"/>
      <c r="B1100" s="116"/>
      <c r="C1100" s="116"/>
      <c r="D1100" s="116"/>
      <c r="E1100" s="116"/>
      <c r="F1100" s="116"/>
      <c r="H1100" s="116"/>
      <c r="I1100" s="116"/>
      <c r="L1100" s="165"/>
    </row>
    <row r="1101" spans="1:12" x14ac:dyDescent="0.25">
      <c r="A1101" s="165"/>
      <c r="B1101" s="116"/>
      <c r="C1101" s="116"/>
      <c r="D1101" s="116"/>
      <c r="E1101" s="116"/>
      <c r="F1101" s="116"/>
      <c r="H1101" s="116"/>
      <c r="I1101" s="116"/>
      <c r="L1101" s="165"/>
    </row>
    <row r="1102" spans="1:12" x14ac:dyDescent="0.25">
      <c r="A1102" s="165"/>
      <c r="B1102" s="116"/>
      <c r="C1102" s="116"/>
      <c r="D1102" s="116"/>
      <c r="E1102" s="116"/>
      <c r="F1102" s="116"/>
      <c r="H1102" s="116"/>
      <c r="I1102" s="116"/>
      <c r="L1102" s="165"/>
    </row>
    <row r="1103" spans="1:12" x14ac:dyDescent="0.25">
      <c r="A1103" s="165"/>
      <c r="B1103" s="116"/>
      <c r="C1103" s="116"/>
      <c r="D1103" s="116"/>
      <c r="E1103" s="116"/>
      <c r="F1103" s="116"/>
      <c r="H1103" s="116"/>
      <c r="I1103" s="116"/>
      <c r="L1103" s="165"/>
    </row>
    <row r="1104" spans="1:12" x14ac:dyDescent="0.25">
      <c r="A1104" s="165"/>
      <c r="B1104" s="116"/>
      <c r="C1104" s="116"/>
      <c r="D1104" s="116"/>
      <c r="E1104" s="116"/>
      <c r="F1104" s="116"/>
      <c r="H1104" s="116"/>
      <c r="I1104" s="116"/>
      <c r="L1104" s="165"/>
    </row>
    <row r="1105" spans="1:12" x14ac:dyDescent="0.25">
      <c r="A1105" s="165"/>
      <c r="B1105" s="116"/>
      <c r="C1105" s="116"/>
      <c r="D1105" s="116"/>
      <c r="E1105" s="116"/>
      <c r="F1105" s="116"/>
      <c r="H1105" s="116"/>
      <c r="I1105" s="116"/>
      <c r="L1105" s="165"/>
    </row>
    <row r="1106" spans="1:12" x14ac:dyDescent="0.25">
      <c r="A1106" s="165"/>
      <c r="B1106" s="116"/>
      <c r="C1106" s="116"/>
      <c r="D1106" s="116"/>
      <c r="E1106" s="116"/>
      <c r="F1106" s="116"/>
      <c r="H1106" s="116"/>
      <c r="I1106" s="116"/>
      <c r="L1106" s="165"/>
    </row>
    <row r="1107" spans="1:12" x14ac:dyDescent="0.25">
      <c r="A1107" s="165"/>
      <c r="B1107" s="116"/>
      <c r="C1107" s="116"/>
      <c r="D1107" s="116"/>
      <c r="E1107" s="116"/>
      <c r="F1107" s="116"/>
      <c r="H1107" s="116"/>
      <c r="I1107" s="116"/>
      <c r="L1107" s="165"/>
    </row>
    <row r="1108" spans="1:12" x14ac:dyDescent="0.25">
      <c r="A1108" s="165"/>
      <c r="B1108" s="116"/>
      <c r="C1108" s="116"/>
      <c r="D1108" s="116"/>
      <c r="E1108" s="116"/>
      <c r="F1108" s="116"/>
      <c r="H1108" s="116"/>
      <c r="I1108" s="116"/>
      <c r="L1108" s="165"/>
    </row>
    <row r="1109" spans="1:12" x14ac:dyDescent="0.25">
      <c r="A1109" s="165"/>
      <c r="B1109" s="116"/>
      <c r="C1109" s="116"/>
      <c r="D1109" s="116"/>
      <c r="E1109" s="116"/>
      <c r="F1109" s="116"/>
      <c r="H1109" s="116"/>
      <c r="I1109" s="116"/>
      <c r="L1109" s="165"/>
    </row>
    <row r="1110" spans="1:12" x14ac:dyDescent="0.25">
      <c r="A1110" s="165"/>
      <c r="B1110" s="116"/>
      <c r="C1110" s="116"/>
      <c r="D1110" s="116"/>
      <c r="E1110" s="116"/>
      <c r="F1110" s="116"/>
      <c r="H1110" s="116"/>
      <c r="I1110" s="116"/>
      <c r="L1110" s="165"/>
    </row>
    <row r="1111" spans="1:12" x14ac:dyDescent="0.25">
      <c r="A1111" s="165"/>
      <c r="B1111" s="116"/>
      <c r="C1111" s="116"/>
      <c r="D1111" s="116"/>
      <c r="E1111" s="116"/>
      <c r="F1111" s="116"/>
      <c r="H1111" s="116"/>
      <c r="I1111" s="116"/>
      <c r="L1111" s="165"/>
    </row>
    <row r="1112" spans="1:12" x14ac:dyDescent="0.25">
      <c r="A1112" s="165"/>
      <c r="B1112" s="116"/>
      <c r="C1112" s="116"/>
      <c r="D1112" s="116"/>
      <c r="E1112" s="116"/>
      <c r="F1112" s="116"/>
      <c r="H1112" s="116"/>
      <c r="I1112" s="116"/>
      <c r="L1112" s="165"/>
    </row>
    <row r="1113" spans="1:12" x14ac:dyDescent="0.25">
      <c r="A1113" s="165"/>
      <c r="B1113" s="116"/>
      <c r="C1113" s="116"/>
      <c r="D1113" s="116"/>
      <c r="E1113" s="116"/>
      <c r="F1113" s="116"/>
      <c r="H1113" s="116"/>
      <c r="I1113" s="116"/>
      <c r="L1113" s="165"/>
    </row>
    <row r="1114" spans="1:12" x14ac:dyDescent="0.25">
      <c r="A1114" s="165"/>
      <c r="B1114" s="116"/>
      <c r="C1114" s="116"/>
      <c r="D1114" s="116"/>
      <c r="E1114" s="116"/>
      <c r="F1114" s="116"/>
      <c r="H1114" s="116"/>
      <c r="I1114" s="116"/>
      <c r="L1114" s="165"/>
    </row>
    <row r="1115" spans="1:12" x14ac:dyDescent="0.25">
      <c r="A1115" s="165"/>
      <c r="B1115" s="116"/>
      <c r="C1115" s="116"/>
      <c r="D1115" s="116"/>
      <c r="E1115" s="116"/>
      <c r="F1115" s="116"/>
      <c r="H1115" s="116"/>
      <c r="I1115" s="116"/>
      <c r="L1115" s="165"/>
    </row>
    <row r="1116" spans="1:12" x14ac:dyDescent="0.25">
      <c r="A1116" s="165"/>
      <c r="B1116" s="116"/>
      <c r="C1116" s="116"/>
      <c r="D1116" s="116"/>
      <c r="E1116" s="116"/>
      <c r="F1116" s="116"/>
      <c r="H1116" s="116"/>
      <c r="I1116" s="116"/>
      <c r="L1116" s="165"/>
    </row>
    <row r="1117" spans="1:12" x14ac:dyDescent="0.25">
      <c r="A1117" s="165"/>
      <c r="B1117" s="116"/>
      <c r="C1117" s="116"/>
      <c r="D1117" s="116"/>
      <c r="E1117" s="116"/>
      <c r="F1117" s="116"/>
      <c r="H1117" s="116"/>
      <c r="I1117" s="116"/>
      <c r="L1117" s="165"/>
    </row>
    <row r="1118" spans="1:12" x14ac:dyDescent="0.25">
      <c r="A1118" s="165"/>
      <c r="B1118" s="116"/>
      <c r="C1118" s="116"/>
      <c r="D1118" s="116"/>
      <c r="E1118" s="116"/>
      <c r="F1118" s="116"/>
      <c r="H1118" s="116"/>
      <c r="I1118" s="116"/>
      <c r="L1118" s="165"/>
    </row>
    <row r="1119" spans="1:12" x14ac:dyDescent="0.25">
      <c r="A1119" s="165"/>
      <c r="B1119" s="116"/>
      <c r="C1119" s="116"/>
      <c r="D1119" s="116"/>
      <c r="E1119" s="116"/>
      <c r="F1119" s="116"/>
      <c r="H1119" s="116"/>
      <c r="I1119" s="116"/>
      <c r="L1119" s="165"/>
    </row>
    <row r="1120" spans="1:12" x14ac:dyDescent="0.25">
      <c r="A1120" s="165"/>
      <c r="B1120" s="116"/>
      <c r="C1120" s="116"/>
      <c r="D1120" s="116"/>
      <c r="E1120" s="116"/>
      <c r="F1120" s="116"/>
      <c r="H1120" s="116"/>
      <c r="I1120" s="116"/>
      <c r="L1120" s="165"/>
    </row>
    <row r="1121" spans="1:12" x14ac:dyDescent="0.25">
      <c r="A1121" s="165"/>
      <c r="B1121" s="116"/>
      <c r="C1121" s="116"/>
      <c r="D1121" s="116"/>
      <c r="E1121" s="116"/>
      <c r="F1121" s="116"/>
      <c r="H1121" s="116"/>
      <c r="I1121" s="116"/>
      <c r="L1121" s="165"/>
    </row>
    <row r="1122" spans="1:12" x14ac:dyDescent="0.25">
      <c r="A1122" s="165"/>
      <c r="B1122" s="116"/>
      <c r="C1122" s="116"/>
      <c r="D1122" s="116"/>
      <c r="E1122" s="116"/>
      <c r="F1122" s="116"/>
      <c r="H1122" s="116"/>
      <c r="I1122" s="116"/>
      <c r="L1122" s="165"/>
    </row>
    <row r="1123" spans="1:12" x14ac:dyDescent="0.25">
      <c r="A1123" s="165"/>
      <c r="B1123" s="116"/>
      <c r="C1123" s="116"/>
      <c r="D1123" s="116"/>
      <c r="E1123" s="116"/>
      <c r="F1123" s="116"/>
      <c r="H1123" s="116"/>
      <c r="I1123" s="116"/>
      <c r="L1123" s="165"/>
    </row>
    <row r="1124" spans="1:12" x14ac:dyDescent="0.25">
      <c r="A1124" s="165"/>
      <c r="B1124" s="116"/>
      <c r="C1124" s="116"/>
      <c r="D1124" s="116"/>
      <c r="E1124" s="116"/>
      <c r="F1124" s="116"/>
      <c r="H1124" s="116"/>
      <c r="I1124" s="116"/>
      <c r="L1124" s="165"/>
    </row>
    <row r="1125" spans="1:12" x14ac:dyDescent="0.25">
      <c r="A1125" s="165"/>
      <c r="B1125" s="116"/>
      <c r="C1125" s="116"/>
      <c r="D1125" s="116"/>
      <c r="E1125" s="116"/>
      <c r="F1125" s="116"/>
      <c r="H1125" s="116"/>
      <c r="I1125" s="116"/>
      <c r="L1125" s="165"/>
    </row>
    <row r="1126" spans="1:12" x14ac:dyDescent="0.25">
      <c r="A1126" s="165"/>
      <c r="B1126" s="116"/>
      <c r="C1126" s="116"/>
      <c r="D1126" s="116"/>
      <c r="E1126" s="116"/>
      <c r="F1126" s="116"/>
      <c r="H1126" s="116"/>
      <c r="I1126" s="116"/>
      <c r="L1126" s="165"/>
    </row>
    <row r="1127" spans="1:12" x14ac:dyDescent="0.25">
      <c r="A1127" s="165"/>
      <c r="B1127" s="116"/>
      <c r="C1127" s="116"/>
      <c r="D1127" s="116"/>
      <c r="E1127" s="116"/>
      <c r="F1127" s="116"/>
      <c r="H1127" s="116"/>
      <c r="I1127" s="116"/>
      <c r="L1127" s="165"/>
    </row>
    <row r="1128" spans="1:12" x14ac:dyDescent="0.25">
      <c r="A1128" s="165"/>
      <c r="B1128" s="116"/>
      <c r="C1128" s="116"/>
      <c r="D1128" s="116"/>
      <c r="E1128" s="116"/>
      <c r="F1128" s="116"/>
      <c r="H1128" s="116"/>
      <c r="I1128" s="116"/>
      <c r="L1128" s="165"/>
    </row>
    <row r="1129" spans="1:12" x14ac:dyDescent="0.25">
      <c r="A1129" s="165"/>
      <c r="B1129" s="116"/>
      <c r="C1129" s="116"/>
      <c r="D1129" s="116"/>
      <c r="E1129" s="116"/>
      <c r="F1129" s="116"/>
      <c r="H1129" s="116"/>
      <c r="I1129" s="116"/>
      <c r="L1129" s="165"/>
    </row>
    <row r="1130" spans="1:12" x14ac:dyDescent="0.25">
      <c r="A1130" s="165"/>
      <c r="B1130" s="116"/>
      <c r="C1130" s="116"/>
      <c r="D1130" s="116"/>
      <c r="E1130" s="116"/>
      <c r="F1130" s="116"/>
      <c r="H1130" s="116"/>
      <c r="I1130" s="116"/>
      <c r="L1130" s="165"/>
    </row>
    <row r="1131" spans="1:12" x14ac:dyDescent="0.25">
      <c r="A1131" s="165"/>
      <c r="B1131" s="116"/>
      <c r="C1131" s="116"/>
      <c r="D1131" s="116"/>
      <c r="E1131" s="116"/>
      <c r="F1131" s="116"/>
      <c r="H1131" s="116"/>
      <c r="I1131" s="116"/>
      <c r="L1131" s="165"/>
    </row>
    <row r="1132" spans="1:12" x14ac:dyDescent="0.25">
      <c r="A1132" s="165"/>
      <c r="B1132" s="116"/>
      <c r="C1132" s="116"/>
      <c r="D1132" s="116"/>
      <c r="E1132" s="116"/>
      <c r="F1132" s="116"/>
      <c r="H1132" s="116"/>
      <c r="I1132" s="116"/>
      <c r="L1132" s="165"/>
    </row>
    <row r="1133" spans="1:12" x14ac:dyDescent="0.25">
      <c r="A1133" s="165"/>
      <c r="B1133" s="116"/>
      <c r="C1133" s="116"/>
      <c r="D1133" s="116"/>
      <c r="E1133" s="116"/>
      <c r="F1133" s="116"/>
      <c r="H1133" s="116"/>
      <c r="I1133" s="116"/>
      <c r="L1133" s="165"/>
    </row>
    <row r="1134" spans="1:12" x14ac:dyDescent="0.25">
      <c r="A1134" s="165"/>
      <c r="B1134" s="116"/>
      <c r="C1134" s="116"/>
      <c r="D1134" s="116"/>
      <c r="E1134" s="116"/>
      <c r="F1134" s="116"/>
      <c r="H1134" s="116"/>
      <c r="I1134" s="116"/>
      <c r="L1134" s="165"/>
    </row>
    <row r="1135" spans="1:12" x14ac:dyDescent="0.25">
      <c r="A1135" s="165"/>
      <c r="B1135" s="116"/>
      <c r="C1135" s="116"/>
      <c r="D1135" s="116"/>
      <c r="E1135" s="116"/>
      <c r="F1135" s="116"/>
      <c r="H1135" s="116"/>
      <c r="I1135" s="116"/>
      <c r="L1135" s="165"/>
    </row>
    <row r="1136" spans="1:12" x14ac:dyDescent="0.25">
      <c r="A1136" s="165"/>
      <c r="B1136" s="116"/>
      <c r="C1136" s="116"/>
      <c r="D1136" s="116"/>
      <c r="E1136" s="116"/>
      <c r="F1136" s="116"/>
      <c r="H1136" s="116"/>
      <c r="I1136" s="116"/>
      <c r="L1136" s="165"/>
    </row>
    <row r="1137" spans="1:12" x14ac:dyDescent="0.25">
      <c r="A1137" s="165"/>
      <c r="B1137" s="116"/>
      <c r="C1137" s="116"/>
      <c r="D1137" s="116"/>
      <c r="E1137" s="116"/>
      <c r="F1137" s="116"/>
      <c r="H1137" s="116"/>
      <c r="I1137" s="116"/>
      <c r="L1137" s="165"/>
    </row>
    <row r="1138" spans="1:12" x14ac:dyDescent="0.25">
      <c r="A1138" s="165"/>
      <c r="B1138" s="116"/>
      <c r="C1138" s="116"/>
      <c r="D1138" s="116"/>
      <c r="E1138" s="116"/>
      <c r="F1138" s="116"/>
      <c r="H1138" s="116"/>
      <c r="I1138" s="116"/>
      <c r="L1138" s="165"/>
    </row>
    <row r="1139" spans="1:12" x14ac:dyDescent="0.25">
      <c r="A1139" s="165"/>
      <c r="B1139" s="116"/>
      <c r="C1139" s="116"/>
      <c r="D1139" s="116"/>
      <c r="E1139" s="116"/>
      <c r="F1139" s="116"/>
      <c r="H1139" s="116"/>
      <c r="I1139" s="116"/>
      <c r="L1139" s="165"/>
    </row>
    <row r="1140" spans="1:12" x14ac:dyDescent="0.25">
      <c r="A1140" s="165"/>
      <c r="B1140" s="116"/>
      <c r="C1140" s="116"/>
      <c r="D1140" s="116"/>
      <c r="E1140" s="116"/>
      <c r="F1140" s="116"/>
      <c r="H1140" s="116"/>
      <c r="I1140" s="116"/>
      <c r="L1140" s="165"/>
    </row>
    <row r="1141" spans="1:12" x14ac:dyDescent="0.25">
      <c r="A1141" s="165"/>
      <c r="B1141" s="116"/>
      <c r="C1141" s="116"/>
      <c r="D1141" s="116"/>
      <c r="E1141" s="116"/>
      <c r="F1141" s="116"/>
      <c r="H1141" s="116"/>
      <c r="I1141" s="116"/>
      <c r="L1141" s="165"/>
    </row>
    <row r="1142" spans="1:12" x14ac:dyDescent="0.25">
      <c r="A1142" s="165"/>
      <c r="B1142" s="116"/>
      <c r="C1142" s="116"/>
      <c r="D1142" s="116"/>
      <c r="E1142" s="116"/>
      <c r="F1142" s="116"/>
      <c r="H1142" s="116"/>
      <c r="I1142" s="116"/>
      <c r="L1142" s="165"/>
    </row>
    <row r="1143" spans="1:12" x14ac:dyDescent="0.25">
      <c r="A1143" s="165"/>
      <c r="B1143" s="116"/>
      <c r="C1143" s="116"/>
      <c r="D1143" s="116"/>
      <c r="E1143" s="116"/>
      <c r="F1143" s="116"/>
      <c r="H1143" s="116"/>
      <c r="I1143" s="116"/>
      <c r="L1143" s="165"/>
    </row>
    <row r="1144" spans="1:12" x14ac:dyDescent="0.25">
      <c r="A1144" s="165"/>
      <c r="B1144" s="116"/>
      <c r="C1144" s="116"/>
      <c r="D1144" s="116"/>
      <c r="E1144" s="116"/>
      <c r="F1144" s="116"/>
      <c r="H1144" s="116"/>
      <c r="I1144" s="116"/>
      <c r="L1144" s="165"/>
    </row>
    <row r="1145" spans="1:12" x14ac:dyDescent="0.25">
      <c r="A1145" s="165"/>
      <c r="B1145" s="116"/>
      <c r="C1145" s="116"/>
      <c r="D1145" s="116"/>
      <c r="E1145" s="116"/>
      <c r="F1145" s="116"/>
      <c r="H1145" s="116"/>
      <c r="I1145" s="116"/>
      <c r="L1145" s="165"/>
    </row>
    <row r="1146" spans="1:12" x14ac:dyDescent="0.25">
      <c r="A1146" s="165"/>
      <c r="B1146" s="116"/>
      <c r="C1146" s="116"/>
      <c r="D1146" s="116"/>
      <c r="E1146" s="116"/>
      <c r="F1146" s="116"/>
      <c r="H1146" s="116"/>
      <c r="I1146" s="116"/>
      <c r="L1146" s="165"/>
    </row>
    <row r="1147" spans="1:12" x14ac:dyDescent="0.25">
      <c r="A1147" s="165"/>
      <c r="B1147" s="116"/>
      <c r="C1147" s="116"/>
      <c r="D1147" s="116"/>
      <c r="E1147" s="116"/>
      <c r="F1147" s="116"/>
      <c r="H1147" s="116"/>
      <c r="I1147" s="116"/>
      <c r="L1147" s="165"/>
    </row>
    <row r="1148" spans="1:12" x14ac:dyDescent="0.25">
      <c r="A1148" s="165"/>
      <c r="B1148" s="116"/>
      <c r="C1148" s="116"/>
      <c r="D1148" s="116"/>
      <c r="E1148" s="116"/>
      <c r="F1148" s="116"/>
      <c r="H1148" s="116"/>
      <c r="I1148" s="116"/>
      <c r="L1148" s="165"/>
    </row>
    <row r="1149" spans="1:12" x14ac:dyDescent="0.25">
      <c r="A1149" s="165"/>
      <c r="B1149" s="116"/>
      <c r="C1149" s="116"/>
      <c r="D1149" s="116"/>
      <c r="E1149" s="116"/>
      <c r="F1149" s="116"/>
      <c r="H1149" s="116"/>
      <c r="I1149" s="116"/>
      <c r="L1149" s="165"/>
    </row>
    <row r="1150" spans="1:12" x14ac:dyDescent="0.25">
      <c r="A1150" s="165"/>
      <c r="B1150" s="116"/>
      <c r="C1150" s="116"/>
      <c r="D1150" s="116"/>
      <c r="E1150" s="116"/>
      <c r="F1150" s="116"/>
      <c r="H1150" s="116"/>
      <c r="I1150" s="116"/>
      <c r="L1150" s="165"/>
    </row>
    <row r="1151" spans="1:12" x14ac:dyDescent="0.25">
      <c r="A1151" s="165"/>
      <c r="B1151" s="116"/>
      <c r="C1151" s="116"/>
      <c r="D1151" s="116"/>
      <c r="E1151" s="116"/>
      <c r="F1151" s="116"/>
      <c r="H1151" s="116"/>
      <c r="I1151" s="116"/>
      <c r="L1151" s="165"/>
    </row>
    <row r="1152" spans="1:12" x14ac:dyDescent="0.25">
      <c r="A1152" s="165"/>
      <c r="B1152" s="116"/>
      <c r="C1152" s="116"/>
      <c r="D1152" s="116"/>
      <c r="E1152" s="116"/>
      <c r="F1152" s="116"/>
      <c r="H1152" s="116"/>
      <c r="I1152" s="116"/>
      <c r="L1152" s="165"/>
    </row>
    <row r="1153" spans="1:12" x14ac:dyDescent="0.25">
      <c r="A1153" s="165"/>
      <c r="B1153" s="116"/>
      <c r="C1153" s="116"/>
      <c r="D1153" s="116"/>
      <c r="E1153" s="116"/>
      <c r="F1153" s="116"/>
      <c r="H1153" s="116"/>
      <c r="I1153" s="116"/>
      <c r="L1153" s="165"/>
    </row>
    <row r="1154" spans="1:12" x14ac:dyDescent="0.25">
      <c r="A1154" s="165"/>
      <c r="B1154" s="116"/>
      <c r="C1154" s="116"/>
      <c r="D1154" s="116"/>
      <c r="E1154" s="116"/>
      <c r="F1154" s="116"/>
      <c r="H1154" s="116"/>
      <c r="I1154" s="116"/>
      <c r="L1154" s="165"/>
    </row>
    <row r="1155" spans="1:12" x14ac:dyDescent="0.25">
      <c r="A1155" s="165"/>
      <c r="B1155" s="116"/>
      <c r="C1155" s="116"/>
      <c r="D1155" s="116"/>
      <c r="E1155" s="116"/>
      <c r="F1155" s="116"/>
      <c r="H1155" s="116"/>
      <c r="I1155" s="116"/>
      <c r="L1155" s="165"/>
    </row>
    <row r="1156" spans="1:12" x14ac:dyDescent="0.25">
      <c r="A1156" s="165"/>
      <c r="B1156" s="116"/>
      <c r="C1156" s="116"/>
      <c r="D1156" s="116"/>
      <c r="E1156" s="116"/>
      <c r="F1156" s="116"/>
      <c r="H1156" s="116"/>
      <c r="I1156" s="116"/>
      <c r="L1156" s="165"/>
    </row>
    <row r="1157" spans="1:12" x14ac:dyDescent="0.25">
      <c r="A1157" s="165"/>
      <c r="B1157" s="116"/>
      <c r="C1157" s="116"/>
      <c r="D1157" s="116"/>
      <c r="E1157" s="116"/>
      <c r="F1157" s="116"/>
      <c r="H1157" s="116"/>
      <c r="I1157" s="116"/>
      <c r="L1157" s="165"/>
    </row>
    <row r="1158" spans="1:12" x14ac:dyDescent="0.25">
      <c r="A1158" s="165"/>
      <c r="B1158" s="116"/>
      <c r="C1158" s="116"/>
      <c r="D1158" s="116"/>
      <c r="E1158" s="116"/>
      <c r="F1158" s="116"/>
      <c r="H1158" s="116"/>
      <c r="I1158" s="116"/>
      <c r="L1158" s="165"/>
    </row>
    <row r="1159" spans="1:12" x14ac:dyDescent="0.25">
      <c r="A1159" s="165"/>
      <c r="B1159" s="116"/>
      <c r="C1159" s="116"/>
      <c r="D1159" s="116"/>
      <c r="E1159" s="116"/>
      <c r="F1159" s="116"/>
      <c r="H1159" s="116"/>
      <c r="I1159" s="116"/>
      <c r="L1159" s="165"/>
    </row>
    <row r="1160" spans="1:12" x14ac:dyDescent="0.25">
      <c r="A1160" s="165"/>
      <c r="B1160" s="116"/>
      <c r="C1160" s="116"/>
      <c r="D1160" s="116"/>
      <c r="E1160" s="116"/>
      <c r="F1160" s="116"/>
      <c r="H1160" s="116"/>
      <c r="I1160" s="116"/>
      <c r="L1160" s="165"/>
    </row>
    <row r="1161" spans="1:12" x14ac:dyDescent="0.25">
      <c r="A1161" s="165"/>
      <c r="B1161" s="116"/>
      <c r="C1161" s="116"/>
      <c r="D1161" s="116"/>
      <c r="E1161" s="116"/>
      <c r="F1161" s="116"/>
      <c r="H1161" s="116"/>
      <c r="I1161" s="116"/>
      <c r="L1161" s="165"/>
    </row>
    <row r="1162" spans="1:12" x14ac:dyDescent="0.25">
      <c r="A1162" s="165"/>
      <c r="B1162" s="116"/>
      <c r="C1162" s="116"/>
      <c r="D1162" s="116"/>
      <c r="E1162" s="116"/>
      <c r="F1162" s="116"/>
      <c r="H1162" s="116"/>
      <c r="I1162" s="116"/>
      <c r="L1162" s="165"/>
    </row>
    <row r="1163" spans="1:12" x14ac:dyDescent="0.25">
      <c r="A1163" s="165"/>
      <c r="B1163" s="116"/>
      <c r="C1163" s="116"/>
      <c r="D1163" s="116"/>
      <c r="E1163" s="116"/>
      <c r="F1163" s="116"/>
      <c r="H1163" s="116"/>
      <c r="I1163" s="116"/>
      <c r="L1163" s="165"/>
    </row>
    <row r="1164" spans="1:12" x14ac:dyDescent="0.25">
      <c r="A1164" s="165"/>
      <c r="B1164" s="116"/>
      <c r="C1164" s="116"/>
      <c r="D1164" s="116"/>
      <c r="E1164" s="116"/>
      <c r="F1164" s="116"/>
      <c r="H1164" s="116"/>
      <c r="I1164" s="116"/>
      <c r="L1164" s="165"/>
    </row>
    <row r="1165" spans="1:12" x14ac:dyDescent="0.25">
      <c r="A1165" s="165"/>
      <c r="B1165" s="116"/>
      <c r="C1165" s="116"/>
      <c r="D1165" s="116"/>
      <c r="E1165" s="116"/>
      <c r="F1165" s="116"/>
      <c r="H1165" s="116"/>
      <c r="I1165" s="116"/>
      <c r="L1165" s="165"/>
    </row>
    <row r="1166" spans="1:12" x14ac:dyDescent="0.25">
      <c r="A1166" s="165"/>
      <c r="B1166" s="116"/>
      <c r="C1166" s="116"/>
      <c r="D1166" s="116"/>
      <c r="E1166" s="116"/>
      <c r="F1166" s="116"/>
      <c r="H1166" s="116"/>
      <c r="I1166" s="116"/>
      <c r="L1166" s="165"/>
    </row>
    <row r="1167" spans="1:12" x14ac:dyDescent="0.25">
      <c r="A1167" s="165"/>
      <c r="B1167" s="116"/>
      <c r="C1167" s="116"/>
      <c r="D1167" s="116"/>
      <c r="E1167" s="116"/>
      <c r="F1167" s="116"/>
      <c r="H1167" s="116"/>
      <c r="I1167" s="116"/>
      <c r="L1167" s="165"/>
    </row>
    <row r="1168" spans="1:12" x14ac:dyDescent="0.25">
      <c r="A1168" s="165"/>
      <c r="B1168" s="116"/>
      <c r="C1168" s="116"/>
      <c r="D1168" s="116"/>
      <c r="E1168" s="116"/>
      <c r="F1168" s="116"/>
      <c r="H1168" s="116"/>
      <c r="I1168" s="116"/>
      <c r="L1168" s="165"/>
    </row>
    <row r="1169" spans="1:12" x14ac:dyDescent="0.25">
      <c r="A1169" s="165"/>
      <c r="B1169" s="116"/>
      <c r="C1169" s="116"/>
      <c r="D1169" s="116"/>
      <c r="E1169" s="116"/>
      <c r="F1169" s="116"/>
      <c r="H1169" s="116"/>
      <c r="I1169" s="116"/>
      <c r="L1169" s="165"/>
    </row>
    <row r="1170" spans="1:12" x14ac:dyDescent="0.25">
      <c r="A1170" s="165"/>
      <c r="B1170" s="116"/>
      <c r="C1170" s="116"/>
      <c r="D1170" s="116"/>
      <c r="E1170" s="116"/>
      <c r="F1170" s="116"/>
      <c r="H1170" s="116"/>
      <c r="I1170" s="116"/>
      <c r="L1170" s="165"/>
    </row>
    <row r="1171" spans="1:12" x14ac:dyDescent="0.25">
      <c r="A1171" s="165"/>
      <c r="B1171" s="116"/>
      <c r="C1171" s="116"/>
      <c r="D1171" s="116"/>
      <c r="E1171" s="116"/>
      <c r="F1171" s="116"/>
      <c r="H1171" s="116"/>
      <c r="I1171" s="116"/>
      <c r="L1171" s="165"/>
    </row>
    <row r="1172" spans="1:12" x14ac:dyDescent="0.25">
      <c r="A1172" s="165"/>
      <c r="B1172" s="116"/>
      <c r="C1172" s="116"/>
      <c r="D1172" s="116"/>
      <c r="E1172" s="116"/>
      <c r="F1172" s="116"/>
      <c r="H1172" s="116"/>
      <c r="I1172" s="116"/>
      <c r="L1172" s="165"/>
    </row>
    <row r="1173" spans="1:12" x14ac:dyDescent="0.25">
      <c r="A1173" s="165"/>
      <c r="B1173" s="116"/>
      <c r="C1173" s="116"/>
      <c r="D1173" s="116"/>
      <c r="E1173" s="116"/>
      <c r="F1173" s="116"/>
      <c r="H1173" s="116"/>
      <c r="I1173" s="116"/>
      <c r="L1173" s="165"/>
    </row>
    <row r="1174" spans="1:12" x14ac:dyDescent="0.25">
      <c r="A1174" s="165"/>
      <c r="B1174" s="116"/>
      <c r="C1174" s="116"/>
      <c r="D1174" s="116"/>
      <c r="E1174" s="116"/>
      <c r="F1174" s="116"/>
      <c r="H1174" s="116"/>
      <c r="I1174" s="116"/>
      <c r="L1174" s="165"/>
    </row>
    <row r="1175" spans="1:12" x14ac:dyDescent="0.25">
      <c r="A1175" s="165"/>
      <c r="B1175" s="116"/>
      <c r="C1175" s="116"/>
      <c r="D1175" s="116"/>
      <c r="E1175" s="116"/>
      <c r="F1175" s="116"/>
      <c r="H1175" s="116"/>
      <c r="I1175" s="116"/>
      <c r="L1175" s="165"/>
    </row>
    <row r="1176" spans="1:12" x14ac:dyDescent="0.25">
      <c r="A1176" s="165"/>
      <c r="B1176" s="116"/>
      <c r="C1176" s="116"/>
      <c r="D1176" s="116"/>
      <c r="E1176" s="116"/>
      <c r="F1176" s="116"/>
      <c r="H1176" s="116"/>
      <c r="I1176" s="116"/>
      <c r="L1176" s="165"/>
    </row>
    <row r="1177" spans="1:12" x14ac:dyDescent="0.25">
      <c r="A1177" s="165"/>
      <c r="B1177" s="116"/>
      <c r="C1177" s="116"/>
      <c r="D1177" s="116"/>
      <c r="E1177" s="116"/>
      <c r="F1177" s="116"/>
      <c r="H1177" s="116"/>
      <c r="I1177" s="116"/>
      <c r="L1177" s="165"/>
    </row>
    <row r="1178" spans="1:12" x14ac:dyDescent="0.25">
      <c r="A1178" s="165"/>
      <c r="B1178" s="116"/>
      <c r="C1178" s="116"/>
      <c r="D1178" s="116"/>
      <c r="E1178" s="116"/>
      <c r="F1178" s="116"/>
      <c r="H1178" s="116"/>
      <c r="I1178" s="116"/>
      <c r="L1178" s="165"/>
    </row>
    <row r="1179" spans="1:12" x14ac:dyDescent="0.25">
      <c r="A1179" s="165"/>
      <c r="B1179" s="116"/>
      <c r="C1179" s="116"/>
      <c r="D1179" s="116"/>
      <c r="E1179" s="116"/>
      <c r="F1179" s="116"/>
      <c r="H1179" s="116"/>
      <c r="I1179" s="116"/>
      <c r="L1179" s="165"/>
    </row>
    <row r="1180" spans="1:12" x14ac:dyDescent="0.25">
      <c r="A1180" s="165"/>
      <c r="B1180" s="116"/>
      <c r="C1180" s="116"/>
      <c r="D1180" s="116"/>
      <c r="E1180" s="116"/>
      <c r="F1180" s="116"/>
      <c r="H1180" s="116"/>
      <c r="I1180" s="116"/>
      <c r="L1180" s="165"/>
    </row>
    <row r="1181" spans="1:12" x14ac:dyDescent="0.25">
      <c r="A1181" s="165"/>
      <c r="B1181" s="116"/>
      <c r="C1181" s="116"/>
      <c r="D1181" s="116"/>
      <c r="E1181" s="116"/>
      <c r="F1181" s="116"/>
      <c r="H1181" s="116"/>
      <c r="I1181" s="116"/>
      <c r="L1181" s="165"/>
    </row>
    <row r="1182" spans="1:12" x14ac:dyDescent="0.25">
      <c r="A1182" s="165"/>
      <c r="B1182" s="116"/>
      <c r="C1182" s="116"/>
      <c r="D1182" s="116"/>
      <c r="E1182" s="116"/>
      <c r="F1182" s="116"/>
      <c r="H1182" s="116"/>
      <c r="I1182" s="116"/>
      <c r="L1182" s="165"/>
    </row>
    <row r="1183" spans="1:12" x14ac:dyDescent="0.25">
      <c r="A1183" s="165"/>
      <c r="B1183" s="116"/>
      <c r="C1183" s="116"/>
      <c r="D1183" s="116"/>
      <c r="E1183" s="116"/>
      <c r="F1183" s="116"/>
      <c r="H1183" s="116"/>
      <c r="I1183" s="116"/>
      <c r="L1183" s="165"/>
    </row>
    <row r="1184" spans="1:12" x14ac:dyDescent="0.25">
      <c r="A1184" s="165"/>
      <c r="B1184" s="116"/>
      <c r="C1184" s="116"/>
      <c r="D1184" s="116"/>
      <c r="E1184" s="116"/>
      <c r="F1184" s="116"/>
      <c r="H1184" s="116"/>
      <c r="I1184" s="116"/>
      <c r="L1184" s="165"/>
    </row>
    <row r="1185" spans="1:12" x14ac:dyDescent="0.25">
      <c r="A1185" s="165"/>
      <c r="B1185" s="116"/>
      <c r="C1185" s="116"/>
      <c r="D1185" s="116"/>
      <c r="E1185" s="116"/>
      <c r="F1185" s="116"/>
      <c r="H1185" s="116"/>
      <c r="I1185" s="116"/>
      <c r="L1185" s="165"/>
    </row>
    <row r="1186" spans="1:12" x14ac:dyDescent="0.25">
      <c r="A1186" s="165"/>
      <c r="B1186" s="116"/>
      <c r="C1186" s="116"/>
      <c r="D1186" s="116"/>
      <c r="E1186" s="116"/>
      <c r="F1186" s="116"/>
      <c r="H1186" s="116"/>
      <c r="I1186" s="116"/>
      <c r="L1186" s="165"/>
    </row>
    <row r="1187" spans="1:12" x14ac:dyDescent="0.25">
      <c r="A1187" s="165"/>
      <c r="B1187" s="116"/>
      <c r="C1187" s="116"/>
      <c r="D1187" s="116"/>
      <c r="E1187" s="116"/>
      <c r="F1187" s="116"/>
      <c r="H1187" s="116"/>
      <c r="I1187" s="116"/>
      <c r="L1187" s="165"/>
    </row>
    <row r="1188" spans="1:12" x14ac:dyDescent="0.25">
      <c r="A1188" s="165"/>
      <c r="B1188" s="116"/>
      <c r="C1188" s="116"/>
      <c r="D1188" s="116"/>
      <c r="E1188" s="116"/>
      <c r="F1188" s="116"/>
      <c r="H1188" s="116"/>
      <c r="I1188" s="116"/>
      <c r="L1188" s="165"/>
    </row>
    <row r="1189" spans="1:12" x14ac:dyDescent="0.25">
      <c r="A1189" s="165"/>
      <c r="B1189" s="116"/>
      <c r="C1189" s="116"/>
      <c r="D1189" s="116"/>
      <c r="E1189" s="116"/>
      <c r="F1189" s="116"/>
      <c r="H1189" s="116"/>
      <c r="I1189" s="116"/>
      <c r="L1189" s="165"/>
    </row>
    <row r="1190" spans="1:12" x14ac:dyDescent="0.25">
      <c r="A1190" s="165"/>
      <c r="B1190" s="116"/>
      <c r="C1190" s="116"/>
      <c r="D1190" s="116"/>
      <c r="E1190" s="116"/>
      <c r="F1190" s="116"/>
      <c r="H1190" s="116"/>
      <c r="I1190" s="116"/>
      <c r="L1190" s="165"/>
    </row>
    <row r="1191" spans="1:12" x14ac:dyDescent="0.25">
      <c r="A1191" s="165"/>
      <c r="B1191" s="116"/>
      <c r="C1191" s="116"/>
      <c r="D1191" s="116"/>
      <c r="E1191" s="116"/>
      <c r="F1191" s="116"/>
      <c r="H1191" s="116"/>
      <c r="I1191" s="116"/>
      <c r="L1191" s="165"/>
    </row>
    <row r="1192" spans="1:12" x14ac:dyDescent="0.25">
      <c r="A1192" s="165"/>
      <c r="B1192" s="116"/>
      <c r="C1192" s="116"/>
      <c r="D1192" s="116"/>
      <c r="E1192" s="116"/>
      <c r="F1192" s="116"/>
      <c r="H1192" s="116"/>
      <c r="I1192" s="116"/>
      <c r="L1192" s="165"/>
    </row>
    <row r="1193" spans="1:12" x14ac:dyDescent="0.25">
      <c r="A1193" s="165"/>
      <c r="B1193" s="116"/>
      <c r="C1193" s="116"/>
      <c r="D1193" s="116"/>
      <c r="E1193" s="116"/>
      <c r="F1193" s="116"/>
      <c r="H1193" s="116"/>
      <c r="I1193" s="116"/>
      <c r="L1193" s="165"/>
    </row>
    <row r="1194" spans="1:12" x14ac:dyDescent="0.25">
      <c r="A1194" s="165"/>
      <c r="B1194" s="116"/>
      <c r="C1194" s="116"/>
      <c r="D1194" s="116"/>
      <c r="E1194" s="116"/>
      <c r="F1194" s="116"/>
      <c r="H1194" s="116"/>
      <c r="I1194" s="116"/>
      <c r="L1194" s="165"/>
    </row>
    <row r="1195" spans="1:12" x14ac:dyDescent="0.25">
      <c r="A1195" s="165"/>
      <c r="B1195" s="116"/>
      <c r="C1195" s="116"/>
      <c r="D1195" s="116"/>
      <c r="E1195" s="116"/>
      <c r="F1195" s="116"/>
      <c r="H1195" s="116"/>
      <c r="I1195" s="116"/>
      <c r="L1195" s="165"/>
    </row>
    <row r="1196" spans="1:12" x14ac:dyDescent="0.25">
      <c r="A1196" s="165"/>
      <c r="B1196" s="116"/>
      <c r="C1196" s="116"/>
      <c r="D1196" s="116"/>
      <c r="E1196" s="116"/>
      <c r="F1196" s="116"/>
      <c r="H1196" s="116"/>
      <c r="I1196" s="116"/>
      <c r="L1196" s="165"/>
    </row>
    <row r="1197" spans="1:12" x14ac:dyDescent="0.25">
      <c r="A1197" s="165"/>
      <c r="B1197" s="116"/>
      <c r="C1197" s="116"/>
      <c r="D1197" s="116"/>
      <c r="E1197" s="116"/>
      <c r="F1197" s="116"/>
      <c r="H1197" s="116"/>
      <c r="I1197" s="116"/>
      <c r="L1197" s="165"/>
    </row>
    <row r="1198" spans="1:12" x14ac:dyDescent="0.25">
      <c r="A1198" s="165"/>
      <c r="B1198" s="116"/>
      <c r="C1198" s="116"/>
      <c r="D1198" s="116"/>
      <c r="E1198" s="116"/>
      <c r="F1198" s="116"/>
      <c r="H1198" s="116"/>
      <c r="I1198" s="116"/>
      <c r="L1198" s="165"/>
    </row>
    <row r="1199" spans="1:12" x14ac:dyDescent="0.25">
      <c r="A1199" s="165"/>
      <c r="B1199" s="116"/>
      <c r="C1199" s="116"/>
      <c r="D1199" s="116"/>
      <c r="E1199" s="116"/>
      <c r="F1199" s="116"/>
      <c r="H1199" s="116"/>
      <c r="I1199" s="116"/>
      <c r="L1199" s="165"/>
    </row>
    <row r="1200" spans="1:12" x14ac:dyDescent="0.25">
      <c r="A1200" s="165"/>
      <c r="B1200" s="116"/>
      <c r="C1200" s="116"/>
      <c r="D1200" s="116"/>
      <c r="E1200" s="116"/>
      <c r="F1200" s="116"/>
      <c r="H1200" s="116"/>
      <c r="I1200" s="116"/>
      <c r="L1200" s="165"/>
    </row>
    <row r="1201" spans="1:12" x14ac:dyDescent="0.25">
      <c r="A1201" s="165"/>
      <c r="B1201" s="116"/>
      <c r="C1201" s="116"/>
      <c r="D1201" s="116"/>
      <c r="E1201" s="116"/>
      <c r="F1201" s="116"/>
      <c r="H1201" s="116"/>
      <c r="I1201" s="116"/>
      <c r="L1201" s="165"/>
    </row>
    <row r="1202" spans="1:12" x14ac:dyDescent="0.25">
      <c r="A1202" s="165"/>
      <c r="B1202" s="116"/>
      <c r="C1202" s="116"/>
      <c r="D1202" s="116"/>
      <c r="E1202" s="116"/>
      <c r="F1202" s="116"/>
      <c r="H1202" s="116"/>
      <c r="I1202" s="116"/>
      <c r="L1202" s="165"/>
    </row>
    <row r="1203" spans="1:12" x14ac:dyDescent="0.25">
      <c r="A1203" s="165"/>
      <c r="B1203" s="116"/>
      <c r="C1203" s="116"/>
      <c r="D1203" s="116"/>
      <c r="E1203" s="116"/>
      <c r="F1203" s="116"/>
      <c r="H1203" s="116"/>
      <c r="I1203" s="116"/>
      <c r="L1203" s="165"/>
    </row>
    <row r="1204" spans="1:12" x14ac:dyDescent="0.25">
      <c r="A1204" s="165"/>
      <c r="B1204" s="116"/>
      <c r="C1204" s="116"/>
      <c r="D1204" s="116"/>
      <c r="E1204" s="116"/>
      <c r="F1204" s="116"/>
      <c r="H1204" s="116"/>
      <c r="I1204" s="116"/>
      <c r="L1204" s="165"/>
    </row>
    <row r="1205" spans="1:12" x14ac:dyDescent="0.25">
      <c r="A1205" s="165"/>
      <c r="B1205" s="116"/>
      <c r="C1205" s="116"/>
      <c r="D1205" s="116"/>
      <c r="E1205" s="116"/>
      <c r="F1205" s="116"/>
      <c r="H1205" s="116"/>
      <c r="I1205" s="116"/>
      <c r="L1205" s="165"/>
    </row>
    <row r="1206" spans="1:12" x14ac:dyDescent="0.25">
      <c r="A1206" s="165"/>
      <c r="B1206" s="116"/>
      <c r="C1206" s="116"/>
      <c r="D1206" s="116"/>
      <c r="E1206" s="116"/>
      <c r="F1206" s="116"/>
      <c r="H1206" s="116"/>
      <c r="I1206" s="116"/>
      <c r="L1206" s="165"/>
    </row>
    <row r="1207" spans="1:12" x14ac:dyDescent="0.25">
      <c r="A1207" s="165"/>
      <c r="B1207" s="116"/>
      <c r="C1207" s="116"/>
      <c r="D1207" s="116"/>
      <c r="E1207" s="116"/>
      <c r="F1207" s="116"/>
      <c r="H1207" s="116"/>
      <c r="I1207" s="116"/>
      <c r="L1207" s="165"/>
    </row>
    <row r="1208" spans="1:12" x14ac:dyDescent="0.25">
      <c r="A1208" s="165"/>
      <c r="B1208" s="116"/>
      <c r="C1208" s="116"/>
      <c r="D1208" s="116"/>
      <c r="E1208" s="116"/>
      <c r="F1208" s="116"/>
      <c r="H1208" s="116"/>
      <c r="I1208" s="116"/>
      <c r="L1208" s="165"/>
    </row>
    <row r="1209" spans="1:12" x14ac:dyDescent="0.25">
      <c r="A1209" s="165"/>
      <c r="B1209" s="116"/>
      <c r="C1209" s="116"/>
      <c r="D1209" s="116"/>
      <c r="E1209" s="116"/>
      <c r="F1209" s="116"/>
      <c r="H1209" s="116"/>
      <c r="I1209" s="116"/>
      <c r="L1209" s="165"/>
    </row>
    <row r="1210" spans="1:12" x14ac:dyDescent="0.25">
      <c r="A1210" s="165"/>
      <c r="B1210" s="116"/>
      <c r="C1210" s="116"/>
      <c r="D1210" s="116"/>
      <c r="E1210" s="116"/>
      <c r="F1210" s="116"/>
      <c r="H1210" s="116"/>
      <c r="I1210" s="116"/>
      <c r="L1210" s="165"/>
    </row>
    <row r="1211" spans="1:12" x14ac:dyDescent="0.25">
      <c r="A1211" s="165"/>
      <c r="B1211" s="116"/>
      <c r="C1211" s="116"/>
      <c r="D1211" s="116"/>
      <c r="E1211" s="116"/>
      <c r="F1211" s="116"/>
      <c r="H1211" s="116"/>
      <c r="I1211" s="116"/>
      <c r="L1211" s="165"/>
    </row>
    <row r="1212" spans="1:12" x14ac:dyDescent="0.25">
      <c r="A1212" s="165"/>
      <c r="B1212" s="116"/>
      <c r="C1212" s="116"/>
      <c r="D1212" s="116"/>
      <c r="E1212" s="116"/>
      <c r="F1212" s="116"/>
      <c r="H1212" s="116"/>
      <c r="I1212" s="116"/>
      <c r="L1212" s="165"/>
    </row>
    <row r="1213" spans="1:12" x14ac:dyDescent="0.25">
      <c r="A1213" s="165"/>
      <c r="B1213" s="116"/>
      <c r="C1213" s="116"/>
      <c r="D1213" s="116"/>
      <c r="E1213" s="116"/>
      <c r="F1213" s="116"/>
      <c r="H1213" s="116"/>
      <c r="I1213" s="116"/>
      <c r="L1213" s="165"/>
    </row>
    <row r="1214" spans="1:12" x14ac:dyDescent="0.25">
      <c r="A1214" s="165"/>
      <c r="B1214" s="116"/>
      <c r="C1214" s="116"/>
      <c r="D1214" s="116"/>
      <c r="E1214" s="116"/>
      <c r="F1214" s="116"/>
      <c r="H1214" s="116"/>
      <c r="I1214" s="116"/>
      <c r="L1214" s="165"/>
    </row>
    <row r="1215" spans="1:12" x14ac:dyDescent="0.25">
      <c r="A1215" s="165"/>
      <c r="B1215" s="116"/>
      <c r="C1215" s="116"/>
      <c r="D1215" s="116"/>
      <c r="E1215" s="116"/>
      <c r="F1215" s="116"/>
      <c r="H1215" s="116"/>
      <c r="I1215" s="116"/>
      <c r="L1215" s="165"/>
    </row>
    <row r="1216" spans="1:12" x14ac:dyDescent="0.25">
      <c r="A1216" s="165"/>
      <c r="B1216" s="116"/>
      <c r="C1216" s="116"/>
      <c r="D1216" s="116"/>
      <c r="E1216" s="116"/>
      <c r="F1216" s="116"/>
      <c r="H1216" s="116"/>
      <c r="I1216" s="116"/>
      <c r="L1216" s="165"/>
    </row>
    <row r="1217" spans="1:18" x14ac:dyDescent="0.25">
      <c r="A1217" s="165"/>
      <c r="B1217" s="116"/>
      <c r="C1217" s="116"/>
      <c r="D1217" s="116"/>
      <c r="E1217" s="116"/>
      <c r="F1217" s="116"/>
      <c r="H1217" s="116"/>
      <c r="I1217" s="116"/>
      <c r="L1217" s="165"/>
    </row>
    <row r="1218" spans="1:18" x14ac:dyDescent="0.25">
      <c r="A1218" s="165"/>
      <c r="B1218" s="116"/>
      <c r="C1218" s="116"/>
      <c r="D1218" s="116"/>
      <c r="E1218" s="116"/>
      <c r="F1218" s="116"/>
      <c r="H1218" s="116"/>
      <c r="I1218" s="116"/>
      <c r="L1218" s="165"/>
    </row>
    <row r="1219" spans="1:18" x14ac:dyDescent="0.25">
      <c r="A1219" s="165"/>
      <c r="B1219" s="116"/>
      <c r="C1219" s="116"/>
      <c r="D1219" s="116"/>
      <c r="E1219" s="116"/>
      <c r="F1219" s="116"/>
      <c r="H1219" s="116"/>
      <c r="I1219" s="116"/>
      <c r="L1219" s="165"/>
    </row>
    <row r="1220" spans="1:18" x14ac:dyDescent="0.25">
      <c r="A1220" s="165"/>
      <c r="B1220" s="116"/>
      <c r="C1220" s="116"/>
      <c r="D1220" s="116"/>
      <c r="E1220" s="116"/>
      <c r="F1220" s="116"/>
      <c r="H1220" s="116"/>
      <c r="I1220" s="116"/>
      <c r="L1220" s="165"/>
    </row>
    <row r="1221" spans="1:18" x14ac:dyDescent="0.25">
      <c r="A1221" s="165"/>
      <c r="B1221" s="116"/>
      <c r="C1221" s="116"/>
      <c r="D1221" s="116"/>
      <c r="E1221" s="116"/>
      <c r="F1221" s="116"/>
      <c r="H1221" s="116"/>
      <c r="I1221" s="116"/>
      <c r="L1221" s="165"/>
    </row>
    <row r="1222" spans="1:18" x14ac:dyDescent="0.25">
      <c r="A1222" s="165"/>
      <c r="B1222" s="116"/>
      <c r="C1222" s="116"/>
      <c r="D1222" s="116"/>
      <c r="E1222" s="116"/>
      <c r="F1222" s="116"/>
      <c r="H1222" s="116"/>
      <c r="I1222" s="116"/>
      <c r="L1222" s="165"/>
    </row>
    <row r="1223" spans="1:18" x14ac:dyDescent="0.25">
      <c r="A1223" s="165"/>
      <c r="B1223" s="116"/>
      <c r="C1223" s="116"/>
      <c r="D1223" s="116"/>
      <c r="E1223" s="116"/>
      <c r="F1223" s="116"/>
      <c r="H1223" s="116"/>
      <c r="I1223" s="116"/>
      <c r="L1223" s="165"/>
    </row>
    <row r="1224" spans="1:18" x14ac:dyDescent="0.25">
      <c r="A1224" s="165"/>
      <c r="B1224" s="116"/>
      <c r="C1224" s="116"/>
      <c r="D1224" s="116"/>
      <c r="E1224" s="116"/>
      <c r="F1224" s="116"/>
      <c r="H1224" s="116"/>
      <c r="I1224" s="116"/>
      <c r="L1224" s="165"/>
    </row>
    <row r="1225" spans="1:18" x14ac:dyDescent="0.25">
      <c r="A1225" s="165"/>
      <c r="B1225" s="116"/>
      <c r="C1225" s="116"/>
      <c r="D1225" s="116"/>
      <c r="E1225" s="116"/>
      <c r="F1225" s="116"/>
      <c r="H1225" s="116"/>
      <c r="I1225" s="116"/>
      <c r="L1225" s="165"/>
    </row>
    <row r="1226" spans="1:18" x14ac:dyDescent="0.25">
      <c r="A1226" s="165"/>
      <c r="B1226" s="116"/>
      <c r="C1226" s="116"/>
      <c r="D1226" s="116"/>
      <c r="E1226" s="116"/>
      <c r="F1226" s="116"/>
      <c r="H1226" s="116"/>
      <c r="I1226" s="116"/>
      <c r="L1226" s="165"/>
    </row>
    <row r="1227" spans="1:18" x14ac:dyDescent="0.25">
      <c r="A1227" s="165"/>
      <c r="B1227" s="116"/>
      <c r="C1227" s="116"/>
      <c r="D1227" s="116"/>
      <c r="E1227" s="116"/>
      <c r="F1227" s="116"/>
      <c r="H1227" s="116"/>
      <c r="I1227" s="116"/>
      <c r="L1227" s="165"/>
    </row>
    <row r="1228" spans="1:18" x14ac:dyDescent="0.25">
      <c r="A1228" s="165"/>
      <c r="B1228" s="116"/>
      <c r="C1228" s="116"/>
      <c r="D1228" s="116"/>
      <c r="E1228" s="116"/>
      <c r="F1228" s="116"/>
      <c r="H1228" s="116"/>
      <c r="I1228" s="116"/>
      <c r="L1228" s="165"/>
    </row>
    <row r="1229" spans="1:18" x14ac:dyDescent="0.25">
      <c r="A1229" s="165"/>
      <c r="B1229" s="116"/>
      <c r="C1229" s="116"/>
      <c r="D1229" s="116"/>
      <c r="E1229" s="116"/>
      <c r="F1229" s="116"/>
      <c r="H1229" s="116"/>
      <c r="I1229" s="116"/>
      <c r="L1229" s="165"/>
    </row>
    <row r="1230" spans="1:18" x14ac:dyDescent="0.25">
      <c r="A1230" s="165"/>
      <c r="B1230" s="116"/>
      <c r="C1230" s="116"/>
      <c r="D1230" s="116"/>
      <c r="E1230" s="116"/>
      <c r="F1230" s="116"/>
      <c r="H1230" s="116"/>
      <c r="I1230" s="116"/>
      <c r="L1230" s="165"/>
    </row>
    <row r="1231" spans="1:18" x14ac:dyDescent="0.25">
      <c r="A1231" s="165"/>
      <c r="B1231" s="116"/>
      <c r="C1231" s="116"/>
      <c r="D1231" s="116"/>
      <c r="E1231" s="116"/>
      <c r="F1231" s="116"/>
      <c r="H1231" s="116"/>
      <c r="I1231" s="116"/>
      <c r="L1231" s="165"/>
    </row>
    <row r="1232" spans="1:18" x14ac:dyDescent="0.25">
      <c r="A1232" s="165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65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65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65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65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65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65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65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65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65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65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65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65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65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65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65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65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65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65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65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65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65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65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65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65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65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65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65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65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65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65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65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65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65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65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65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65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65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65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65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65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65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65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65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65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65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65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65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65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65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65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65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65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65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65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65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65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65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65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65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65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65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65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65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65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65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65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65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65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65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65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65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65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65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65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65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65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65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65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65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65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65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65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65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65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65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65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65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65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65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65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65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65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65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65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65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65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65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65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65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65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65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65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65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65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65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65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65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65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65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65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65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65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65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65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65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65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65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65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65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65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65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65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65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65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65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65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65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65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65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65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65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65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65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65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65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65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65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65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65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65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65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65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65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65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65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65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65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65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65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65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65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65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65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65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65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65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65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65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65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65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65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65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65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65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65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65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65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65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65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65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65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65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65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65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65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65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65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65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65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65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65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65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65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65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65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65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65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65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65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65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65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65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65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65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65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65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65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65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65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65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65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65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65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65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65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65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65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65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65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65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65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65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65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65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65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65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65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65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65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65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65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65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65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65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65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65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65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65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65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65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65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65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65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65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65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65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65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65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5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5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5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5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5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5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5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5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5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5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5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5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5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5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5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5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5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5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5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5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5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5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5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5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5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5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5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5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5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5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5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5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5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5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5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5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5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5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5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5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5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5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5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5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5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5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5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5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5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5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5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5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5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5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5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5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5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5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5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5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5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5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5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5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5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5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5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5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5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5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5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5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5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5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5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5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5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5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5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5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5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5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5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5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5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5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5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5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5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5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5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5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5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5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5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5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5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5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5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5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5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5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5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5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5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5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5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5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5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5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5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5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5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5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5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5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5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5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5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5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5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5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5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5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5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5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5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5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5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5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5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5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5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5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5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5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5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5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5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5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5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5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5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5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5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5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5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5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5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5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5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5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5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5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5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5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5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5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5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5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5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5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5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5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5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5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5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5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5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5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5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5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5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5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5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5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5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5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5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5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5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5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5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5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5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5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5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5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5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5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5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5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5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5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5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5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5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5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5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5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5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5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5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5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5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5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5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5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5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5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5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5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5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5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5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5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5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5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5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5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5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5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5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5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5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5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5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5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5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5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5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5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5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5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5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5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5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5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5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5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5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5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5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5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5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5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5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5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5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5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5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5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5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5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5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5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5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5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5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5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5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5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5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5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5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5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5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5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5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5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5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5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5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5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5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5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5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5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5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5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5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5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5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5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5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5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5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5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5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5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5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5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5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5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5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5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5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5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5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5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5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5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5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5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5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5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5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5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5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5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5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5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5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5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5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5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5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5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5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5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5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5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5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5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5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5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5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5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5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5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5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5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5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5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5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5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5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5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5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5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5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5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5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5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5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5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5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5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5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5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5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5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5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5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5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5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5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5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5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5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5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5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5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5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5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5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5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5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5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5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5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5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5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5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5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5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5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5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5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5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5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5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5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5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5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5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5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5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5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5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5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5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5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5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5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5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5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5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5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5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5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5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5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5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5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5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5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5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5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5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5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5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5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5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5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5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5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5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5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5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5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5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5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5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5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5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5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5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5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5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5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5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5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5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5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5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5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5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5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5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5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5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5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5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5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5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5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5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5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5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5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5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5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5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5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5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5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5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5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5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5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5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5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5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5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5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5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5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5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5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5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5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5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5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5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5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5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5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5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5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5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5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5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5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5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5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5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5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5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5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5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5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5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5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5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5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5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5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5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5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5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5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5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5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5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5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5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5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5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5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5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5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5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5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5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5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5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5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5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5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5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5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5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5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5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5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5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5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5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5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5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5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5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5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5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5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5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5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5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5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5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5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5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5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5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5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5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5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5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5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5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5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5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5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5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5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5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5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5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5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5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5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5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5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5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5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5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5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5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5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5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5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5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5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5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5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5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5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5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5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5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5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5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5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5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5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5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5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5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5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5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5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5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5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5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5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5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5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5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5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5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5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5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5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5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5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5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5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5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5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5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5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5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5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5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5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5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5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5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5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5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5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5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5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5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5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5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5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5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5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5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5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5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5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5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5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5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5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5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5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5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5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5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5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5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5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5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5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5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5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5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5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5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5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5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5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5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5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5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5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5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5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5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5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5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5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5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5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5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5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5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5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5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5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5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5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5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5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5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5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5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5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5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5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5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5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5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5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5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5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5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5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5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5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5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5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5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5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5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5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5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5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5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5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5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5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5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5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5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5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5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5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5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5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5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5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5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5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5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5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5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5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5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5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5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5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5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5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5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5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5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5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5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5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5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5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5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5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5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5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5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5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5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5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5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5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5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5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5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5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5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5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5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5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5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5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5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5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5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5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5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5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5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5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5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5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5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5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5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5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5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5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5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5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5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5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5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5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5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5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5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5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5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5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5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5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5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5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5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5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5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5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5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5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5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5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5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5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5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5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5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5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5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5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5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5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5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5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5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5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5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5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5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5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5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5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5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5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5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5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5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5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5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5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5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5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5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5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5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5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5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5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5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5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5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5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5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5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5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5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5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5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5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5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5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5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5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5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5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5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5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5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5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5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5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5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5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5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5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5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5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5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5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5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5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5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5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5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5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5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5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5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5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5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5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5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5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5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5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5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5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5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5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5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5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5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5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5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5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5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5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5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5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5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5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5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5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5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5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5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5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5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5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5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5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5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5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5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5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5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5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5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5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5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5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5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5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5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5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5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5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5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5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5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5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5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5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5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5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5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5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5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5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5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5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5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5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5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5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5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5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5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5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5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5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5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5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5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5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5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5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5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5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5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5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5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5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5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5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5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5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5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5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5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5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5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5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5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5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5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5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5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5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5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5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5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5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5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5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5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5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5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5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5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5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5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5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5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5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5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5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5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5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5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5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5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5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5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5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5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5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5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5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5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5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5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5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5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5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5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5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5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5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5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5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5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5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5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5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5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5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5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5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5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5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5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5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5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5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5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5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5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5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5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5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5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5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5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5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5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5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5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5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5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5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5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5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5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5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5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5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5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5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5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5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5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5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5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5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5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5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5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5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5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5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5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5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5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5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5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5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5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5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5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5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5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5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5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5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5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5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5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5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5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5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5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5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5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5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5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5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5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5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5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5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5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5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5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5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5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5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5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5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5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5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5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5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5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5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5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5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5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5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5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5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5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5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5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5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5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5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5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5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5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5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5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5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5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5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5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5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5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5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5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5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5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5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5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5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5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5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5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5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5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5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5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5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5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5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5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5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5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5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5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5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5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5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5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5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5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5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5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5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5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5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5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5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5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5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5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5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5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5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5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5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5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5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5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5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5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5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5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5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5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5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5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5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5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5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5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5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5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5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5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5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5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5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5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5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5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5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5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5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5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5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5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5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5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5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5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5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5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5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5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5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5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5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5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5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5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5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5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5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5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5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5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5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5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5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5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5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5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5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5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5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5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5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5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5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5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5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5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5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5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5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5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5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5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5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5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5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5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5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5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5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5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5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5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5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5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5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5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5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5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5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5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5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5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5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5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5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5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5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5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5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5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5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5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5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5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5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5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5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5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5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5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5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5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5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5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5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5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5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5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5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5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5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5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5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5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5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5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5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5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5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5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5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5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5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5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5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5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5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5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5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5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5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5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5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5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5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5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5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5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5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5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5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5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5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5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5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5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5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5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5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5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5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5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5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5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5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5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5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5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5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5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5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5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5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5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5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5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5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5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5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5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5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5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5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5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5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5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5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5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5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5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5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5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5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5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5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5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5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5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5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5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5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5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5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5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5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5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5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5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5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5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5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5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5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5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5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5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5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5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5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5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5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5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5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5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5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5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5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5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5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5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5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5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5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5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5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5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5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5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5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5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5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5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5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5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5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5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5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5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5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5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5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5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5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5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5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5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5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5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5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5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5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5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5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5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5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5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5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5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5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5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5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5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5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5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5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5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5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5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5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5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5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5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5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5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5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5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5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5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5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5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5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5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5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5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5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5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5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5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5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5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5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5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5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5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5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5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5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5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5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5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5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5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5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5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5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5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5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5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5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5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5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5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5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5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5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5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5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5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5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5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5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5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5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5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5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5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5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5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5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5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5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5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5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5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5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5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5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5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5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5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5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5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5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5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5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5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5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5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5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5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5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5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5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5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5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5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5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5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5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5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5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5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5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5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5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5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5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5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5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5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5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5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5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5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5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5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5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5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5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5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5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5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5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5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5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5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5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5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5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5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5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5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5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5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5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5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5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5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5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5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5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5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5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5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5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5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5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5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5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5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5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5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5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5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5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5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5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5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5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5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5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5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5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5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5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5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5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5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5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5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5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5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5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5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5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5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5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5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5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5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5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5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5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5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5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5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5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5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5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5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5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5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5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5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5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5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5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5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5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5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5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5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5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5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5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5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5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5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5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5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5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5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5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5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5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5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5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5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5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5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5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5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5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5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5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5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5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5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5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5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5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5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5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5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5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5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5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5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5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5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5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5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5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5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5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5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5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5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5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5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5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5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5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5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5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5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5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5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5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5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5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5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5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5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5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5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5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5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5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5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5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5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5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5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5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5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5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5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5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5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5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5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5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5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5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5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5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5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5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5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5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5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5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5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5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5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5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5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5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5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5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5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5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5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5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5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5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5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5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5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5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5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5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5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5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5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5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5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5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5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5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5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5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5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5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5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5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5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5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5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5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5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5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5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5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5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5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5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5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5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5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5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5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5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5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5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5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5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5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5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5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5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5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5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5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5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5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5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5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5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5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5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5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5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5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5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5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5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5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5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5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5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5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5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5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5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5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5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5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5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5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5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5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5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5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5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5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5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5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5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5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5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5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5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5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5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5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5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5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5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5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5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5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5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5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5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5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5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5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5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5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5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5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5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5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5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5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5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5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5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5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5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5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5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5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5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5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5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5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5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5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5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5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5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5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5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5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5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5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5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5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5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5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5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5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5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5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5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5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5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5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5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5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5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5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5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5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5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5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5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5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5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5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5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5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5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5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5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5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5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5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5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5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5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5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5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5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5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5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5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5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5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5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5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5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5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5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5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5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5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5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5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5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5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5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5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5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5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5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5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5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5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5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5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5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5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5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5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5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5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5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5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5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5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5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5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5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5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5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5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5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5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5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5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5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5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5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5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5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5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5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5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5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5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5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5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5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5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5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5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5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5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5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5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5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5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5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5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5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5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5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5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5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5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5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5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5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5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5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5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5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5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5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5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5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5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5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5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5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5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5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5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5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5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5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5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5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5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5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5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5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5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5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5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5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5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5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5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5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5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5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5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5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5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5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5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5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5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5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5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5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5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5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5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5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5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5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5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5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5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5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5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5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5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5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5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5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5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5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5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5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5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5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5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5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5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5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5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5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5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5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5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5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5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5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5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5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5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5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5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5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5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5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5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5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5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5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5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5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5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5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5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5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5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5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5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5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5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5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5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5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5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5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5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5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5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5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5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5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5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5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5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5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5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5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5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5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5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5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5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5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5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5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5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5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5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5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5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5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5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5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5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5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5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5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5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5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5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5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5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5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5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5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5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5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5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5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5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5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5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5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5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5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5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5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5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5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5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5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5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5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5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5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5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5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5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5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5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5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5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5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5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5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5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5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5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5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5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5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5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5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5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5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5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5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5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5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5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5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5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5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5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5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5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5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5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5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5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5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5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5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5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5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5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5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5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5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5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5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5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5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5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5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5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5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5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5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5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5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5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5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5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5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5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5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5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5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5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5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5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5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5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5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5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5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5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5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5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5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5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5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5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5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5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5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5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5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5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5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5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5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5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5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5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5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5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5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5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5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5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5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5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5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5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5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5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5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5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5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5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5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5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5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5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5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5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5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5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5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5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5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5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5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5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5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5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5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5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5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5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5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5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5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5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5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5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5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5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5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5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5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5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5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5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5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5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5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5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5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5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5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5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5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5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5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5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5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5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5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5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5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5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5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5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5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5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5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5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5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5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5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5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5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5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5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5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5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5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5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5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5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5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5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5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5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5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5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5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5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5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5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5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5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5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5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5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5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5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5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5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5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5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5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5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5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5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5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5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5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5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5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5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5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5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5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5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5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5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5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5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5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5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5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5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5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5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5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5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5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5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5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5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5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5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5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5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5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5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5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5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5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5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5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5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5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5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5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5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5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5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5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5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5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5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5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5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5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5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5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5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5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5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5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5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5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5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5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5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5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5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5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5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5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5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5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5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5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5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5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5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5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5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5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5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5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5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5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5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5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5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5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5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5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5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5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5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5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5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5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5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5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5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5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5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5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5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5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5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5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5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5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5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5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5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5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5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5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5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5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5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5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5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5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5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5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5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5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5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5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5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5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5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5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5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5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5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5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5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5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5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5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5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5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5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5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5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5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5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5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5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5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5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5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5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5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5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5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5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5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5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5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5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5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5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5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5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5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5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5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5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5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5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5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5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5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5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5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5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5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5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5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5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5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5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5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5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5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5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5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5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5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5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5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5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5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5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5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5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5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5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5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5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5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5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5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5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5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5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5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5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5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5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5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5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5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5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5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5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5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5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5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5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5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5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5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5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5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5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5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5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5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5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5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5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5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5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5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5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5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5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5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5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5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5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5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5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5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5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5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5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5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5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5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5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5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5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5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5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5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5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5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5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5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5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5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5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5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5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5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5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5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5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5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5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5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5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5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5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5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5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5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5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5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5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5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5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5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5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5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5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5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5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5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5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5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5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5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5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5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5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5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5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5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5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5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5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5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5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5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5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5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5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5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5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5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5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5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5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5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5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5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5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5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5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5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5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5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5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5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5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5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5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5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5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5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5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5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5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5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5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5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5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5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5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5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5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5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5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5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5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5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5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5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5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5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5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5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5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5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5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5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5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5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5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5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5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5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5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5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5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5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5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5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5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5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5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5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2026-06-17T10:59:34Z</dcterms:modified>
  <cp:category/>
  <cp:contentStatus/>
</cp:coreProperties>
</file>