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61A3BF7-4334-4D83-8538-932AB7967DA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5" i="1" l="1"/>
  <c r="CL20" i="1"/>
  <c r="CL24" i="1"/>
  <c r="CL25" i="1"/>
  <c r="CL12" i="1"/>
  <c r="CL13" i="1"/>
  <c r="CL8" i="1"/>
  <c r="CL275" i="1"/>
  <c r="CL172" i="1"/>
  <c r="AA19" i="1"/>
  <c r="AA18" i="1"/>
  <c r="AA17" i="1"/>
  <c r="AA16" i="1"/>
  <c r="AA7" i="1"/>
  <c r="AA6" i="1"/>
  <c r="AA13" i="1" s="1"/>
  <c r="AA5" i="1"/>
  <c r="X30" i="1"/>
  <c r="X29" i="1"/>
  <c r="CD31" i="1"/>
  <c r="CD36" i="1" s="1"/>
  <c r="CE31" i="1"/>
  <c r="CE36" i="1" s="1"/>
  <c r="CF31" i="1"/>
  <c r="CF36" i="1" s="1"/>
  <c r="CG31" i="1"/>
  <c r="CG36" i="1" s="1"/>
  <c r="CH31" i="1"/>
  <c r="CH36" i="1" s="1"/>
  <c r="CI31" i="1"/>
  <c r="CI36" i="1" s="1"/>
  <c r="CJ31" i="1"/>
  <c r="CJ36" i="1" s="1"/>
  <c r="CK31" i="1"/>
  <c r="BX31" i="1"/>
  <c r="BX36" i="1" s="1"/>
  <c r="BY31" i="1"/>
  <c r="BZ31" i="1"/>
  <c r="BZ36" i="1" s="1"/>
  <c r="CA31" i="1"/>
  <c r="CA36" i="1" s="1"/>
  <c r="CB31" i="1"/>
  <c r="CB36" i="1" s="1"/>
  <c r="CC31" i="1"/>
  <c r="CC36" i="1" s="1"/>
  <c r="BW31" i="1"/>
  <c r="BW36" i="1" s="1"/>
  <c r="BX33" i="1" s="1"/>
  <c r="V8" i="1"/>
  <c r="W8" i="1"/>
  <c r="X8" i="1"/>
  <c r="Y8" i="1"/>
  <c r="Z8" i="1"/>
  <c r="U8" i="1"/>
  <c r="Z31" i="1"/>
  <c r="Y31" i="1"/>
  <c r="BP13" i="1"/>
  <c r="BO13" i="1"/>
  <c r="BP12" i="1"/>
  <c r="BO12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CK13" i="1"/>
  <c r="CK12" i="1"/>
  <c r="CJ24" i="1"/>
  <c r="CK24" i="1"/>
  <c r="CJ25" i="1"/>
  <c r="CK25" i="1"/>
  <c r="CJ20" i="1"/>
  <c r="CK20" i="1"/>
  <c r="CJ8" i="1"/>
  <c r="CK8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BK25" i="1"/>
  <c r="BK24" i="1"/>
  <c r="CI20" i="1"/>
  <c r="CH20" i="1"/>
  <c r="CG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CF19" i="1"/>
  <c r="CF20" i="1" s="1"/>
  <c r="CB19" i="1"/>
  <c r="CB20" i="1" s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CI8" i="1"/>
  <c r="CH8" i="1"/>
  <c r="CG8" i="1"/>
  <c r="U25" i="1"/>
  <c r="U24" i="1"/>
  <c r="V25" i="1"/>
  <c r="W25" i="1"/>
  <c r="X25" i="1"/>
  <c r="Y25" i="1"/>
  <c r="Z25" i="1"/>
  <c r="W24" i="1"/>
  <c r="X24" i="1"/>
  <c r="Y24" i="1"/>
  <c r="Z24" i="1"/>
  <c r="V24" i="1"/>
  <c r="W12" i="1"/>
  <c r="X12" i="1"/>
  <c r="Y12" i="1"/>
  <c r="Z12" i="1"/>
  <c r="W13" i="1"/>
  <c r="X13" i="1"/>
  <c r="Y13" i="1"/>
  <c r="Z13" i="1"/>
  <c r="V13" i="1"/>
  <c r="V12" i="1"/>
  <c r="V20" i="1"/>
  <c r="W20" i="1"/>
  <c r="X20" i="1"/>
  <c r="Y20" i="1"/>
  <c r="Z20" i="1"/>
  <c r="U20" i="1"/>
  <c r="AE83" i="1"/>
  <c r="AD83" i="1"/>
  <c r="AC83" i="1"/>
  <c r="AE71" i="1"/>
  <c r="AD71" i="1"/>
  <c r="AC71" i="1"/>
  <c r="AE61" i="1"/>
  <c r="AD61" i="1"/>
  <c r="AC61" i="1"/>
  <c r="AB61" i="1"/>
  <c r="AE60" i="1"/>
  <c r="AD60" i="1"/>
  <c r="AC60" i="1"/>
  <c r="AE57" i="1"/>
  <c r="AD57" i="1"/>
  <c r="AC57" i="1"/>
  <c r="AE56" i="1"/>
  <c r="AD56" i="1"/>
  <c r="AC56" i="1"/>
  <c r="AE50" i="1"/>
  <c r="AD50" i="1"/>
  <c r="AC50" i="1"/>
  <c r="AE49" i="1"/>
  <c r="AD49" i="1"/>
  <c r="AC49" i="1"/>
  <c r="AE45" i="1"/>
  <c r="AD45" i="1"/>
  <c r="AC45" i="1"/>
  <c r="AE195" i="1"/>
  <c r="AD195" i="1"/>
  <c r="AC195" i="1"/>
  <c r="AB195" i="1"/>
  <c r="AE191" i="1"/>
  <c r="AD191" i="1"/>
  <c r="AC191" i="1"/>
  <c r="AB191" i="1"/>
  <c r="AE190" i="1"/>
  <c r="AD190" i="1"/>
  <c r="AC190" i="1"/>
  <c r="AB190" i="1"/>
  <c r="AE187" i="1"/>
  <c r="AD187" i="1"/>
  <c r="AC187" i="1"/>
  <c r="AB187" i="1"/>
  <c r="AE186" i="1"/>
  <c r="AD186" i="1"/>
  <c r="AC186" i="1"/>
  <c r="AB186" i="1"/>
  <c r="AE185" i="1"/>
  <c r="AD185" i="1"/>
  <c r="AC185" i="1"/>
  <c r="AB185" i="1"/>
  <c r="AE183" i="1"/>
  <c r="AD183" i="1"/>
  <c r="AC183" i="1"/>
  <c r="AB183" i="1"/>
  <c r="AE179" i="1"/>
  <c r="AD179" i="1"/>
  <c r="AC179" i="1"/>
  <c r="AB179" i="1"/>
  <c r="AE178" i="1"/>
  <c r="AD178" i="1"/>
  <c r="AC178" i="1"/>
  <c r="AB178" i="1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E108" i="2"/>
  <c r="AC90" i="2"/>
  <c r="AD105" i="2"/>
  <c r="AG93" i="2"/>
  <c r="AE84" i="2"/>
  <c r="AB98" i="2"/>
  <c r="AC65" i="2"/>
  <c r="AC32" i="2"/>
  <c r="AC51" i="2"/>
  <c r="AC67" i="2"/>
  <c r="AF20" i="2"/>
  <c r="AF55" i="2"/>
  <c r="AC108" i="2"/>
  <c r="AC26" i="2"/>
  <c r="AD110" i="2"/>
  <c r="AE91" i="2"/>
  <c r="AD106" i="2"/>
  <c r="AD97" i="2"/>
  <c r="AE86" i="2"/>
  <c r="AB99" i="2"/>
  <c r="AC85" i="2"/>
  <c r="AB78" i="2"/>
  <c r="AE30" i="2"/>
  <c r="AE49" i="2"/>
  <c r="AE65" i="2"/>
  <c r="AD80" i="2"/>
  <c r="AC63" i="2"/>
  <c r="AF32" i="2"/>
  <c r="AF67" i="2"/>
  <c r="AC106" i="2"/>
  <c r="AC41" i="2"/>
  <c r="AD88" i="2"/>
  <c r="AE42" i="2"/>
  <c r="AF109" i="2"/>
  <c r="AE104" i="2"/>
  <c r="AC97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83" i="2"/>
  <c r="AF36" i="2"/>
  <c r="AF71" i="2"/>
  <c r="AG86" i="2"/>
  <c r="AC96" i="2"/>
  <c r="AC10" i="2"/>
  <c r="AC45" i="2"/>
  <c r="AC77" i="2"/>
  <c r="AF96" i="2"/>
  <c r="AB6" i="2"/>
  <c r="AB41" i="2"/>
  <c r="AB57" i="2"/>
  <c r="AG96" i="2"/>
  <c r="AE11" i="2"/>
  <c r="AE46" i="2"/>
  <c r="AF97" i="2"/>
  <c r="AE92" i="2"/>
  <c r="AC107" i="2"/>
  <c r="AB104" i="2"/>
  <c r="AC88" i="2"/>
  <c r="AG99" i="2"/>
  <c r="AG91" i="2"/>
  <c r="AC92" i="2"/>
  <c r="AB19" i="2"/>
  <c r="AF5" i="2"/>
  <c r="AF112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22" i="2"/>
  <c r="AB73" i="2"/>
  <c r="AF87" i="2"/>
  <c r="AG108" i="2"/>
  <c r="AE27" i="2"/>
  <c r="AE82" i="2"/>
  <c r="AC69" i="2"/>
  <c r="AB110" i="2"/>
  <c r="AB62" i="2"/>
  <c r="AE22" i="2"/>
  <c r="AE73" i="2"/>
  <c r="AD48" i="2"/>
  <c r="AC12" i="2"/>
  <c r="AC6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G12" i="2"/>
  <c r="AG28" i="2"/>
  <c r="AG47" i="2"/>
  <c r="AF85" i="2"/>
  <c r="AE98" i="2"/>
  <c r="AC57" i="2"/>
  <c r="AD93" i="2"/>
  <c r="AB108" i="2"/>
  <c r="AF106" i="2"/>
  <c r="AC89" i="2"/>
  <c r="AF104" i="2"/>
  <c r="AF94" i="2"/>
  <c r="AC49" i="2"/>
  <c r="AD99" i="2"/>
  <c r="AG59" i="2"/>
  <c r="AD94" i="2"/>
  <c r="AF107" i="2"/>
  <c r="AE90" i="2"/>
  <c r="AE96" i="2"/>
  <c r="AD90" i="2"/>
  <c r="AB11" i="2"/>
  <c r="AC99" i="2"/>
  <c r="AE66" i="2"/>
  <c r="AB89" i="2"/>
  <c r="AG79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111" i="2" s="1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C14" i="2"/>
  <c r="AC30" i="2"/>
  <c r="AE87" i="2"/>
  <c r="AE62" i="2"/>
  <c r="AB109" i="2"/>
  <c r="AF105" i="2"/>
  <c r="AG98" i="2"/>
  <c r="AD104" i="2"/>
  <c r="AG75" i="2"/>
  <c r="AG67" i="2"/>
  <c r="AC95" i="2"/>
  <c r="AG109" i="2"/>
  <c r="AD109" i="2"/>
  <c r="AF91" i="2"/>
  <c r="AE106" i="2"/>
  <c r="AD98" i="2"/>
  <c r="AD60" i="2"/>
  <c r="AC59" i="2"/>
  <c r="AF12" i="2"/>
  <c r="AF63" i="2"/>
  <c r="AC104" i="2"/>
  <c r="AC34" i="2"/>
  <c r="AE78" i="2"/>
  <c r="AC81" i="2"/>
  <c r="AB70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G110" i="2"/>
  <c r="AE15" i="2"/>
  <c r="AE31" i="2"/>
  <c r="AE50" i="2"/>
  <c r="AG88" i="2"/>
  <c r="AD108" i="2"/>
  <c r="AF98" i="2"/>
  <c r="AB54" i="2"/>
  <c r="AB86" i="2"/>
  <c r="AE6" i="2"/>
  <c r="AE41" i="2"/>
  <c r="AE57" i="2"/>
  <c r="AD13" i="2"/>
  <c r="AD64" i="2"/>
  <c r="AF16" i="2"/>
  <c r="AF99" i="2"/>
  <c r="AE23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11" i="2"/>
  <c r="AG16" i="2"/>
  <c r="AG32" i="2"/>
  <c r="AG51" i="2"/>
  <c r="AG89" i="2"/>
  <c r="AC105" i="2"/>
  <c r="AB87" i="2"/>
  <c r="AC73" i="2"/>
  <c r="AB96" i="2"/>
  <c r="AF110" i="2"/>
  <c r="AF92" i="2"/>
  <c r="AD107" i="2"/>
  <c r="AB105" i="2"/>
  <c r="AB52" i="2"/>
  <c r="AB60" i="2"/>
  <c r="AB68" i="2"/>
  <c r="AB76" i="2"/>
  <c r="AB92" i="2"/>
  <c r="AE20" i="2"/>
  <c r="AE28" i="2"/>
  <c r="AE36" i="2"/>
  <c r="AE63" i="2"/>
  <c r="AE79" i="2"/>
  <c r="AD44" i="2"/>
  <c r="AD76" i="2"/>
  <c r="AC24" i="2"/>
  <c r="AC75" i="2"/>
  <c r="AF28" i="2"/>
  <c r="AF79" i="2"/>
  <c r="AC53" i="2"/>
  <c r="AF89" i="2"/>
  <c r="AF93" i="2"/>
  <c r="AB46" i="2"/>
  <c r="AB94" i="2"/>
  <c r="AB95" i="2"/>
  <c r="AB9" i="2"/>
  <c r="AB17" i="2"/>
  <c r="AB25" i="2"/>
  <c r="AB33" i="2"/>
  <c r="AB44" i="2"/>
  <c r="AB84" i="2"/>
  <c r="AE12" i="2"/>
  <c r="AE47" i="2"/>
  <c r="AE55" i="2"/>
  <c r="AE71" i="2"/>
  <c r="AD9" i="2"/>
  <c r="AD25" i="2"/>
  <c r="AC8" i="2"/>
  <c r="AC43" i="2"/>
  <c r="AF47" i="2"/>
  <c r="AC18" i="2"/>
  <c r="AB91" i="2"/>
  <c r="AB106" i="2"/>
  <c r="AB97" i="2"/>
  <c r="AE58" i="2"/>
  <c r="AB35" i="2"/>
  <c r="AE81" i="2"/>
  <c r="AC28" i="2"/>
  <c r="AC79" i="2"/>
  <c r="AF51" i="2"/>
  <c r="AF83" i="2"/>
  <c r="AC22" i="2"/>
  <c r="AF108" i="2"/>
  <c r="AD96" i="2"/>
  <c r="AE7" i="2"/>
  <c r="AG105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E19" i="2"/>
  <c r="AE35" i="2"/>
  <c r="AE54" i="2"/>
  <c r="AD92" i="2"/>
  <c r="AB107" i="2"/>
  <c r="AB93" i="2"/>
  <c r="AG83" i="2"/>
  <c r="AG97" i="2"/>
  <c r="AE70" i="2"/>
  <c r="AG63" i="2"/>
  <c r="AE94" i="2"/>
  <c r="AC109" i="2"/>
  <c r="AG61" i="2"/>
  <c r="AG77" i="2"/>
  <c r="AD15" i="2"/>
  <c r="AD31" i="2"/>
  <c r="AD50" i="2"/>
  <c r="AD66" i="2"/>
  <c r="AD82" i="2"/>
  <c r="AE93" i="2"/>
  <c r="AE105" i="2"/>
  <c r="AG20" i="2"/>
  <c r="AG36" i="2"/>
  <c r="AG55" i="2"/>
  <c r="AC93" i="2"/>
  <c r="AG107" i="2"/>
  <c r="AF95" i="2"/>
  <c r="AC86" i="2"/>
  <c r="AD95" i="2"/>
  <c r="AB27" i="2"/>
  <c r="AE14" i="2"/>
  <c r="AD29" i="2"/>
  <c r="AC47" i="2"/>
  <c r="AC94" i="2"/>
  <c r="AC61" i="2"/>
  <c r="AG87" i="2"/>
  <c r="AE74" i="2"/>
  <c r="AG90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A206" i="1" l="1"/>
  <c r="AB111" i="2"/>
  <c r="AF111" i="2"/>
  <c r="AA57" i="1"/>
  <c r="AA208" i="1"/>
  <c r="AA207" i="1"/>
  <c r="AA200" i="1"/>
  <c r="AA199" i="1"/>
  <c r="AA196" i="1"/>
  <c r="AA195" i="1"/>
  <c r="AA191" i="1"/>
  <c r="AA189" i="1"/>
  <c r="AA187" i="1"/>
  <c r="AA186" i="1"/>
  <c r="AA185" i="1"/>
  <c r="AA183" i="1"/>
  <c r="AA182" i="1"/>
  <c r="AA181" i="1"/>
  <c r="AA180" i="1"/>
  <c r="AA179" i="1"/>
  <c r="AA178" i="1"/>
  <c r="AA176" i="1"/>
  <c r="AA173" i="1"/>
  <c r="AA172" i="1"/>
  <c r="AA171" i="1"/>
  <c r="AA169" i="1"/>
  <c r="AA168" i="1"/>
  <c r="AA167" i="1"/>
  <c r="AA163" i="1"/>
  <c r="AA162" i="1"/>
  <c r="AA161" i="1"/>
  <c r="AA160" i="1"/>
  <c r="AA158" i="1"/>
  <c r="AA155" i="1"/>
  <c r="AA154" i="1"/>
  <c r="AA153" i="1"/>
  <c r="AA115" i="1"/>
  <c r="AA114" i="1"/>
  <c r="AA113" i="1"/>
  <c r="AA103" i="1"/>
  <c r="AA87" i="1"/>
  <c r="AA83" i="1"/>
  <c r="AA82" i="1"/>
  <c r="AA81" i="1"/>
  <c r="AA75" i="1"/>
  <c r="AA72" i="1"/>
  <c r="AA71" i="1"/>
  <c r="AA68" i="1"/>
  <c r="AA61" i="1"/>
  <c r="AA60" i="1"/>
  <c r="AA59" i="1"/>
  <c r="AA58" i="1"/>
  <c r="AA56" i="1"/>
  <c r="AA51" i="1"/>
  <c r="AA49" i="1"/>
  <c r="AA45" i="1"/>
  <c r="AA44" i="1"/>
  <c r="AA164" i="1"/>
  <c r="AA156" i="1"/>
  <c r="AA209" i="1"/>
  <c r="AA197" i="1"/>
  <c r="AA62" i="1"/>
  <c r="AG112" i="2"/>
  <c r="AB113" i="2"/>
  <c r="AA110" i="1" s="1"/>
  <c r="AB112" i="2"/>
  <c r="AA109" i="1" s="1"/>
  <c r="AG113" i="2"/>
  <c r="AC112" i="2"/>
  <c r="AC111" i="2"/>
  <c r="AC113" i="2"/>
  <c r="AA25" i="1"/>
  <c r="AE112" i="2"/>
  <c r="AE113" i="2"/>
  <c r="AA20" i="1"/>
  <c r="AA24" i="1"/>
  <c r="AA12" i="1"/>
  <c r="AA8" i="1"/>
  <c r="CE33" i="1"/>
  <c r="CD37" i="1"/>
  <c r="CF33" i="1"/>
  <c r="CE37" i="1"/>
  <c r="CF37" i="1"/>
  <c r="CG33" i="1"/>
  <c r="CG37" i="1"/>
  <c r="CH33" i="1"/>
  <c r="CI33" i="1"/>
  <c r="CH37" i="1"/>
  <c r="CJ33" i="1"/>
  <c r="CI37" i="1"/>
  <c r="CK33" i="1"/>
  <c r="CJ37" i="1"/>
  <c r="CK36" i="1"/>
  <c r="CL33" i="1" s="1"/>
  <c r="AA31" i="1"/>
  <c r="AA36" i="1" s="1"/>
  <c r="AB33" i="1" s="1"/>
  <c r="BY33" i="1"/>
  <c r="X31" i="1"/>
  <c r="BY36" i="1"/>
  <c r="CC37" i="1" s="1"/>
  <c r="CA33" i="1"/>
  <c r="CB33" i="1"/>
  <c r="CA37" i="1"/>
  <c r="CC33" i="1"/>
  <c r="CB37" i="1"/>
  <c r="CD33" i="1"/>
  <c r="AA33" i="1"/>
  <c r="Z36" i="1"/>
  <c r="Z33" i="1"/>
  <c r="Y36" i="1"/>
  <c r="CC20" i="1"/>
  <c r="CG188" i="1"/>
  <c r="AG111" i="2"/>
  <c r="AD113" i="2"/>
  <c r="AF113" i="2"/>
  <c r="AD112" i="2"/>
  <c r="AA211" i="1" l="1"/>
  <c r="AA190" i="1"/>
  <c r="AA192" i="1" s="1"/>
  <c r="AA184" i="1"/>
  <c r="AA46" i="1"/>
  <c r="AA63" i="1" s="1"/>
  <c r="AA170" i="1"/>
  <c r="AA73" i="1"/>
  <c r="AA289" i="1"/>
  <c r="AA288" i="1"/>
  <c r="AA267" i="1"/>
  <c r="AA230" i="1"/>
  <c r="AA219" i="1"/>
  <c r="AA216" i="1"/>
  <c r="AA215" i="1"/>
  <c r="AA193" i="1"/>
  <c r="AA218" i="1"/>
  <c r="AA52" i="1"/>
  <c r="AA134" i="1"/>
  <c r="AA165" i="1"/>
  <c r="AA204" i="1"/>
  <c r="AA145" i="1" s="1"/>
  <c r="AA284" i="1"/>
  <c r="AA221" i="1"/>
  <c r="AA220" i="1" s="1"/>
  <c r="CK37" i="1"/>
  <c r="AA37" i="1"/>
  <c r="Y33" i="1"/>
  <c r="X36" i="1"/>
  <c r="BZ33" i="1"/>
  <c r="Z37" i="1"/>
  <c r="Y37" i="1"/>
  <c r="CE20" i="1"/>
  <c r="CD20" i="1"/>
  <c r="CG159" i="1"/>
  <c r="AL172" i="1"/>
  <c r="AJ172" i="1"/>
  <c r="AP172" i="1"/>
  <c r="AN172" i="1"/>
  <c r="AT172" i="1"/>
  <c r="AR172" i="1"/>
  <c r="AX172" i="1"/>
  <c r="AV172" i="1"/>
  <c r="BB172" i="1"/>
  <c r="AZ172" i="1"/>
  <c r="BF172" i="1"/>
  <c r="BD172" i="1"/>
  <c r="BJ172" i="1"/>
  <c r="BH172" i="1"/>
  <c r="BN172" i="1"/>
  <c r="BL172" i="1"/>
  <c r="BR172" i="1"/>
  <c r="BP172" i="1"/>
  <c r="BV172" i="1"/>
  <c r="BT172" i="1"/>
  <c r="BZ172" i="1"/>
  <c r="BX172" i="1"/>
  <c r="CD172" i="1"/>
  <c r="CB172" i="1"/>
  <c r="CJ172" i="1"/>
  <c r="CH188" i="1"/>
  <c r="CF172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69" i="1" l="1"/>
  <c r="AA174" i="1"/>
  <c r="AA222" i="1"/>
  <c r="AA217" i="1"/>
  <c r="AA64" i="1"/>
  <c r="AA53" i="1"/>
  <c r="B1" i="9"/>
  <c r="A1" i="9"/>
  <c r="L1" i="9"/>
  <c r="AA201" i="1" l="1"/>
  <c r="AA202" i="1" s="1"/>
  <c r="AA282" i="1"/>
  <c r="AA280" i="1"/>
  <c r="AA268" i="1"/>
  <c r="AA269" i="1" s="1"/>
  <c r="AA148" i="1"/>
  <c r="AA70" i="1"/>
  <c r="AA6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K275" i="1"/>
  <c r="CJ275" i="1"/>
  <c r="Z275" i="1"/>
  <c r="AA74" i="1" l="1"/>
  <c r="AA91" i="1"/>
  <c r="CM172" i="1"/>
  <c r="CN172" i="1" s="1"/>
  <c r="CO172" i="1" s="1"/>
  <c r="CI275" i="1"/>
  <c r="CG275" i="1"/>
  <c r="CH275" i="1"/>
  <c r="AB209" i="1"/>
  <c r="AC209" i="1"/>
  <c r="AD209" i="1"/>
  <c r="AE209" i="1"/>
  <c r="CE275" i="1"/>
  <c r="CF275" i="1"/>
  <c r="AI245" i="1"/>
  <c r="AI275" i="1"/>
  <c r="Y275" i="1"/>
  <c r="CD275" i="1"/>
  <c r="CC275" i="1"/>
  <c r="AJ275" i="1"/>
  <c r="AK275" i="1"/>
  <c r="AL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C1" i="1"/>
  <c r="AA76" i="1" l="1"/>
  <c r="AA77" i="1"/>
  <c r="CP172" i="1"/>
  <c r="CQ172" i="1" s="1"/>
  <c r="CR172" i="1" s="1"/>
  <c r="CS172" i="1" s="1"/>
  <c r="AB172" i="1"/>
  <c r="A1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54" i="3" s="1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68" i="1" s="1"/>
  <c r="BI25" i="3"/>
  <c r="BL22" i="3"/>
  <c r="BO19" i="3"/>
  <c r="BR16" i="3"/>
  <c r="BU13" i="3"/>
  <c r="BG11" i="3"/>
  <c r="BJ8" i="3"/>
  <c r="BM5" i="3"/>
  <c r="BM58" i="3"/>
  <c r="BM76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75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P25" i="3"/>
  <c r="BM12" i="3"/>
  <c r="BK40" i="3"/>
  <c r="BJ23" i="3"/>
  <c r="BU42" i="3"/>
  <c r="BM28" i="3"/>
  <c r="BT5" i="3"/>
  <c r="BP33" i="3"/>
  <c r="BF11" i="3"/>
  <c r="CL51" i="1" s="1"/>
  <c r="BT42" i="3"/>
  <c r="BF40" i="3"/>
  <c r="BI37" i="3"/>
  <c r="BF34" i="3"/>
  <c r="CL81" i="1" s="1"/>
  <c r="BL28" i="3"/>
  <c r="BR22" i="3"/>
  <c r="BG17" i="3"/>
  <c r="BM11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87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K77" i="3"/>
  <c r="BH85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59" i="1" s="1"/>
  <c r="BI13" i="3"/>
  <c r="BL10" i="3"/>
  <c r="BO7" i="3"/>
  <c r="BK79" i="3"/>
  <c r="BP97" i="3"/>
  <c r="BH60" i="3"/>
  <c r="BH90" i="3"/>
  <c r="BM67" i="3"/>
  <c r="BM64" i="3"/>
  <c r="BE93" i="3"/>
  <c r="BM78" i="3"/>
  <c r="BM74" i="3"/>
  <c r="BM95" i="3"/>
  <c r="BN23" i="3"/>
  <c r="BU26" i="3"/>
  <c r="BM18" i="3"/>
  <c r="BQ25" i="3"/>
  <c r="BL14" i="3"/>
  <c r="BU5" i="3"/>
  <c r="BH69" i="3"/>
  <c r="BI16" i="3"/>
  <c r="BS14" i="3"/>
  <c r="BN40" i="3"/>
  <c r="BT34" i="3"/>
  <c r="BK29" i="3"/>
  <c r="BR6" i="3"/>
  <c r="BF45" i="3"/>
  <c r="CL99" i="1" s="1"/>
  <c r="BK34" i="3"/>
  <c r="BR11" i="3"/>
  <c r="BF21" i="3"/>
  <c r="CL45" i="1" s="1"/>
  <c r="AB45" i="1" s="1"/>
  <c r="BM25" i="3"/>
  <c r="BH14" i="3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49" i="1" s="1"/>
  <c r="AB49" i="1" s="1"/>
  <c r="BQ46" i="3"/>
  <c r="BT41" i="3"/>
  <c r="BF39" i="3"/>
  <c r="BI36" i="3"/>
  <c r="BE32" i="3"/>
  <c r="BK26" i="3"/>
  <c r="BQ20" i="3"/>
  <c r="BF15" i="3"/>
  <c r="CL56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60" i="1" s="1"/>
  <c r="AB60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R73" i="3"/>
  <c r="BM71" i="3"/>
  <c r="BR90" i="3"/>
  <c r="BH40" i="3"/>
  <c r="BR29" i="3"/>
  <c r="BJ21" i="3"/>
  <c r="BH7" i="3"/>
  <c r="BF20" i="3"/>
  <c r="BM84" i="3"/>
  <c r="BR37" i="3"/>
  <c r="BF18" i="3"/>
  <c r="CL57" i="1" s="1"/>
  <c r="AB57" i="1" s="1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58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R48" i="3"/>
  <c r="BR77" i="3"/>
  <c r="BN83" i="3"/>
  <c r="BM75" i="3"/>
  <c r="BM86" i="3"/>
  <c r="BF46" i="3"/>
  <c r="CL100" i="1" s="1"/>
  <c r="BG25" i="3"/>
  <c r="BG30" i="3"/>
  <c r="BM24" i="3"/>
  <c r="BN7" i="3"/>
  <c r="BO29" i="3"/>
  <c r="BU23" i="3"/>
  <c r="BP12" i="3"/>
  <c r="BF33" i="3"/>
  <c r="BU18" i="3"/>
  <c r="BJ13" i="3"/>
  <c r="BM10" i="3"/>
  <c r="BP7" i="3"/>
  <c r="BP34" i="3"/>
  <c r="BI9" i="3"/>
  <c r="BN18" i="3"/>
  <c r="BK37" i="3"/>
  <c r="BF6" i="3"/>
  <c r="CL44" i="1" s="1"/>
  <c r="BT22" i="3"/>
  <c r="BO11" i="3"/>
  <c r="BR79" i="3"/>
  <c r="BS46" i="3"/>
  <c r="BI40" i="3"/>
  <c r="BU39" i="3"/>
  <c r="BN22" i="3"/>
  <c r="BT16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83" i="1" s="1"/>
  <c r="AB83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72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R49" i="3"/>
  <c r="BR81" i="3"/>
  <c r="BN87" i="3"/>
  <c r="BN97" i="3"/>
  <c r="BJ80" i="3"/>
  <c r="BM56" i="3"/>
  <c r="BM90" i="3"/>
  <c r="BJ15" i="3"/>
  <c r="BM20" i="3"/>
  <c r="BL38" i="3"/>
  <c r="BO35" i="3"/>
  <c r="BR30" i="3"/>
  <c r="BS13" i="3"/>
  <c r="BH8" i="3"/>
  <c r="BR45" i="3"/>
  <c r="BU40" i="3"/>
  <c r="BG38" i="3"/>
  <c r="BJ35" i="3"/>
  <c r="BS18" i="3"/>
  <c r="BH13" i="3"/>
  <c r="BM45" i="3"/>
  <c r="BP40" i="3"/>
  <c r="BS37" i="3"/>
  <c r="BE35" i="3"/>
  <c r="BJ18" i="3"/>
  <c r="BE7" i="3"/>
  <c r="BI30" i="3"/>
  <c r="BL27" i="3"/>
  <c r="BO24" i="3"/>
  <c r="BR21" i="3"/>
  <c r="BG16" i="3"/>
  <c r="BS31" i="3"/>
  <c r="BE29" i="3"/>
  <c r="BH26" i="3"/>
  <c r="BK23" i="3"/>
  <c r="BN20" i="3"/>
  <c r="BQ17" i="3"/>
  <c r="BT14" i="3"/>
  <c r="BF12" i="3"/>
  <c r="CL50" i="1" s="1"/>
  <c r="AB50" i="1" s="1"/>
  <c r="BL6" i="3"/>
  <c r="BJ48" i="3"/>
  <c r="BM80" i="3"/>
  <c r="BJ45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R56" i="3"/>
  <c r="BR97" i="3"/>
  <c r="BN90" i="3"/>
  <c r="BN72" i="3"/>
  <c r="BJ84" i="3"/>
  <c r="BF57" i="3"/>
  <c r="BF82" i="3"/>
  <c r="BU54" i="3"/>
  <c r="BU73" i="3"/>
  <c r="BM69" i="3"/>
  <c r="BM87" i="3"/>
  <c r="BU38" i="3"/>
  <c r="BI41" i="3"/>
  <c r="BM19" i="3"/>
  <c r="BU6" i="3"/>
  <c r="BE17" i="3"/>
  <c r="BU34" i="3"/>
  <c r="BS36" i="3"/>
  <c r="BS6" i="3"/>
  <c r="BQ32" i="3"/>
  <c r="BG10" i="3"/>
  <c r="BK36" i="3"/>
  <c r="BP37" i="3"/>
  <c r="BI12" i="3"/>
  <c r="BE45" i="3"/>
  <c r="BQ11" i="3"/>
  <c r="BG24" i="3"/>
  <c r="BE10" i="3"/>
  <c r="BH34" i="3"/>
  <c r="BN28" i="3"/>
  <c r="BI17" i="3"/>
  <c r="BR8" i="3"/>
  <c r="BN50" i="3"/>
  <c r="BI42" i="3"/>
  <c r="BP9" i="3"/>
  <c r="BQ28" i="3"/>
  <c r="BG6" i="3"/>
  <c r="BH28" i="3"/>
  <c r="BI11" i="3"/>
  <c r="BO5" i="3"/>
  <c r="BN29" i="3"/>
  <c r="BQ26" i="3"/>
  <c r="BL15" i="3"/>
  <c r="BR9" i="3"/>
  <c r="BS19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82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M49" i="3"/>
  <c r="BT12" i="3"/>
  <c r="BJ34" i="3"/>
  <c r="BE23" i="3"/>
  <c r="BO32" i="3"/>
  <c r="BP15" i="3"/>
  <c r="BI32" i="3"/>
  <c r="BQ23" i="3"/>
  <c r="BL37" i="3"/>
  <c r="BL17" i="3"/>
  <c r="BG37" i="3"/>
  <c r="BI18" i="3"/>
  <c r="BG31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I7" i="3"/>
  <c r="BM40" i="3"/>
  <c r="BS34" i="3"/>
  <c r="BH29" i="3"/>
  <c r="BT17" i="3"/>
  <c r="BO6" i="3"/>
  <c r="BP28" i="3"/>
  <c r="BK17" i="3"/>
  <c r="BS12" i="3"/>
  <c r="BK31" i="3"/>
  <c r="BM47" i="3"/>
  <c r="BF27" i="3"/>
  <c r="BG36" i="3"/>
  <c r="BK45" i="3"/>
  <c r="BQ37" i="3"/>
  <c r="BL12" i="3"/>
  <c r="BF23" i="3"/>
  <c r="CL71" i="1" s="1"/>
  <c r="AB71" i="1" s="1"/>
  <c r="BR42" i="3"/>
  <c r="BS33" i="3"/>
  <c r="BK32" i="3"/>
  <c r="BT23" i="3"/>
  <c r="BO12" i="3"/>
  <c r="BU33" i="3"/>
  <c r="BJ28" i="3"/>
  <c r="BP22" i="3"/>
  <c r="BR71" i="3"/>
  <c r="BJ75" i="3"/>
  <c r="BM81" i="3"/>
  <c r="BF91" i="3"/>
  <c r="BN66" i="3"/>
  <c r="BJ70" i="3"/>
  <c r="BJ72" i="3"/>
  <c r="BM88" i="3"/>
  <c r="BR80" i="3"/>
  <c r="BJ89" i="3"/>
  <c r="BM89" i="3"/>
  <c r="BN8" i="3"/>
  <c r="BF86" i="3"/>
  <c r="BM61" i="3"/>
  <c r="BN60" i="3"/>
  <c r="BF76" i="3"/>
  <c r="BK11" i="3"/>
  <c r="BN58" i="3"/>
  <c r="BF95" i="3"/>
  <c r="BM54" i="3"/>
  <c r="BQ5" i="3"/>
  <c r="BN88" i="3"/>
  <c r="BF97" i="3"/>
  <c r="BF78" i="3"/>
  <c r="BJ94" i="3"/>
  <c r="BN78" i="3"/>
  <c r="BO58" i="3"/>
  <c r="BN65" i="3"/>
  <c r="BM55" i="3"/>
  <c r="BO75" i="3"/>
  <c r="BJ58" i="3"/>
  <c r="BU75" i="3"/>
  <c r="BO88" i="3"/>
  <c r="BU80" i="3"/>
  <c r="BU88" i="3"/>
  <c r="BR83" i="3"/>
  <c r="BU55" i="3"/>
  <c r="BU96" i="3"/>
  <c r="BU74" i="3"/>
  <c r="BU92" i="3"/>
  <c r="BU65" i="3"/>
  <c r="BU66" i="3"/>
  <c r="BR92" i="3"/>
  <c r="BR95" i="3"/>
  <c r="BN75" i="3"/>
  <c r="BN69" i="3"/>
  <c r="BN89" i="3"/>
  <c r="BN68" i="3"/>
  <c r="BN85" i="3"/>
  <c r="BN74" i="3"/>
  <c r="BN96" i="3"/>
  <c r="BN57" i="3"/>
  <c r="BJ73" i="3"/>
  <c r="BJ86" i="3"/>
  <c r="BJ56" i="3"/>
  <c r="BJ71" i="3"/>
  <c r="BJ92" i="3"/>
  <c r="BJ82" i="3"/>
  <c r="BJ97" i="3"/>
  <c r="BJ91" i="3"/>
  <c r="BJ47" i="3"/>
  <c r="BJ66" i="3"/>
  <c r="BF62" i="3"/>
  <c r="BF55" i="3"/>
  <c r="BF58" i="3"/>
  <c r="BF96" i="3"/>
  <c r="BF60" i="3"/>
  <c r="BF81" i="3"/>
  <c r="BF88" i="3"/>
  <c r="BF50" i="3"/>
  <c r="CL110" i="1" s="1"/>
  <c r="BF77" i="3"/>
  <c r="BF94" i="3"/>
  <c r="BF65" i="3"/>
  <c r="BF72" i="3"/>
  <c r="BF90" i="3"/>
  <c r="BF75" i="3"/>
  <c r="BF59" i="3"/>
  <c r="BF79" i="3"/>
  <c r="BO91" i="3"/>
  <c r="BO60" i="3"/>
  <c r="BO73" i="3"/>
  <c r="BO87" i="3"/>
  <c r="BO63" i="3"/>
  <c r="BO71" i="3"/>
  <c r="BO79" i="3"/>
  <c r="BO59" i="3"/>
  <c r="BO67" i="3"/>
  <c r="BO74" i="3"/>
  <c r="BO48" i="3"/>
  <c r="BO70" i="3"/>
  <c r="BO89" i="3"/>
  <c r="BO76" i="3"/>
  <c r="BO68" i="3"/>
  <c r="BO47" i="3"/>
  <c r="BO84" i="3"/>
  <c r="BO94" i="3"/>
  <c r="BQ75" i="3"/>
  <c r="BQ55" i="3"/>
  <c r="BQ91" i="3"/>
  <c r="BQ70" i="3"/>
  <c r="BQ60" i="3"/>
  <c r="BQ97" i="3"/>
  <c r="BQ94" i="3"/>
  <c r="BQ56" i="3"/>
  <c r="BQ50" i="3"/>
  <c r="BQ54" i="3"/>
  <c r="BQ86" i="3"/>
  <c r="BQ69" i="3"/>
  <c r="BQ89" i="3"/>
  <c r="BQ83" i="3"/>
  <c r="BQ92" i="3"/>
  <c r="BR58" i="3" l="1"/>
  <c r="BQ47" i="3"/>
  <c r="BQ93" i="3"/>
  <c r="BQ76" i="3"/>
  <c r="BR86" i="3"/>
  <c r="BR70" i="3"/>
  <c r="BQ82" i="3"/>
  <c r="BQ62" i="3"/>
  <c r="BQ88" i="3"/>
  <c r="BQ73" i="3"/>
  <c r="BQ67" i="3"/>
  <c r="BQ78" i="3"/>
  <c r="BQ77" i="3"/>
  <c r="BH56" i="3"/>
  <c r="BI84" i="3"/>
  <c r="BI54" i="3"/>
  <c r="BN59" i="3"/>
  <c r="BH86" i="3"/>
  <c r="BH89" i="3"/>
  <c r="BH66" i="3"/>
  <c r="BH71" i="3"/>
  <c r="BK55" i="3"/>
  <c r="BH96" i="3"/>
  <c r="BI97" i="3"/>
  <c r="BH70" i="3"/>
  <c r="BK95" i="3"/>
  <c r="BH64" i="3"/>
  <c r="BH93" i="3"/>
  <c r="BH94" i="3"/>
  <c r="BI88" i="3"/>
  <c r="BI89" i="3"/>
  <c r="BK74" i="3"/>
  <c r="BH68" i="3"/>
  <c r="BH97" i="3"/>
  <c r="BH80" i="3"/>
  <c r="BI87" i="3"/>
  <c r="BK47" i="3"/>
  <c r="BH49" i="3"/>
  <c r="BI50" i="3"/>
  <c r="BK64" i="3"/>
  <c r="BH62" i="3"/>
  <c r="BI48" i="3"/>
  <c r="BK84" i="3"/>
  <c r="BH47" i="3"/>
  <c r="BH72" i="3"/>
  <c r="BH67" i="3"/>
  <c r="BH84" i="3"/>
  <c r="BI95" i="3"/>
  <c r="BH48" i="3"/>
  <c r="BH88" i="3"/>
  <c r="BK75" i="3"/>
  <c r="BH54" i="3"/>
  <c r="BH76" i="3"/>
  <c r="BH73" i="3"/>
  <c r="BH92" i="3"/>
  <c r="BI69" i="3"/>
  <c r="BK56" i="3"/>
  <c r="BH58" i="3"/>
  <c r="BH61" i="3"/>
  <c r="BH65" i="3"/>
  <c r="BH75" i="3"/>
  <c r="BH57" i="3"/>
  <c r="BH82" i="3"/>
  <c r="BI68" i="3"/>
  <c r="BI78" i="3"/>
  <c r="BH83" i="3"/>
  <c r="BI59" i="3"/>
  <c r="BI60" i="3"/>
  <c r="BH95" i="3"/>
  <c r="BH74" i="3"/>
  <c r="BI86" i="3"/>
  <c r="BK69" i="3"/>
  <c r="BI94" i="3"/>
  <c r="BH63" i="3"/>
  <c r="BH55" i="3"/>
  <c r="BH81" i="3"/>
  <c r="BH87" i="3"/>
  <c r="BH78" i="3"/>
  <c r="BH77" i="3"/>
  <c r="BH59" i="3"/>
  <c r="BI82" i="3"/>
  <c r="BI71" i="3"/>
  <c r="BK86" i="3"/>
  <c r="BK76" i="3"/>
  <c r="AA78" i="1"/>
  <c r="AA281" i="1" s="1"/>
  <c r="AA84" i="1"/>
  <c r="AA270" i="1"/>
  <c r="BN93" i="3"/>
  <c r="BJ96" i="3"/>
  <c r="BJ57" i="3"/>
  <c r="BQ87" i="3"/>
  <c r="BP72" i="3"/>
  <c r="BP59" i="3"/>
  <c r="BP77" i="3"/>
  <c r="BP73" i="3"/>
  <c r="BP62" i="3"/>
  <c r="BP90" i="3"/>
  <c r="BP64" i="3"/>
  <c r="BP93" i="3"/>
  <c r="BS70" i="3"/>
  <c r="BS72" i="3"/>
  <c r="BS97" i="3"/>
  <c r="BS96" i="3"/>
  <c r="BS93" i="3"/>
  <c r="BE73" i="3"/>
  <c r="BE56" i="3"/>
  <c r="CK153" i="1" s="1"/>
  <c r="CL153" i="1" s="1"/>
  <c r="BE50" i="3"/>
  <c r="CK110" i="1" s="1"/>
  <c r="BE75" i="3"/>
  <c r="BE88" i="3"/>
  <c r="CK163" i="1" s="1"/>
  <c r="CL163" i="1" s="1"/>
  <c r="BE77" i="3"/>
  <c r="CK176" i="1" s="1"/>
  <c r="CL176" i="1" s="1"/>
  <c r="CL238" i="1" s="1"/>
  <c r="BE63" i="3"/>
  <c r="CK161" i="1" s="1"/>
  <c r="CL161" i="1" s="1"/>
  <c r="BE94" i="3"/>
  <c r="BE72" i="3"/>
  <c r="CK171" i="1" s="1"/>
  <c r="CL171" i="1" s="1"/>
  <c r="BE67" i="3"/>
  <c r="BE96" i="3"/>
  <c r="CK199" i="1" s="1"/>
  <c r="CL199" i="1" s="1"/>
  <c r="BE68" i="3"/>
  <c r="CK170" i="1" s="1"/>
  <c r="BE89" i="3"/>
  <c r="CK189" i="1" s="1"/>
  <c r="BE58" i="3"/>
  <c r="CK155" i="1" s="1"/>
  <c r="BU86" i="3"/>
  <c r="BU57" i="3"/>
  <c r="BU83" i="3"/>
  <c r="BU97" i="3"/>
  <c r="BU87" i="3"/>
  <c r="BU91" i="3"/>
  <c r="BU61" i="3"/>
  <c r="BU56" i="3"/>
  <c r="BU89" i="3"/>
  <c r="BU77" i="3"/>
  <c r="BU81" i="3"/>
  <c r="BU69" i="3"/>
  <c r="BU58" i="3"/>
  <c r="BU90" i="3"/>
  <c r="BU59" i="3"/>
  <c r="BO96" i="3"/>
  <c r="BO82" i="3"/>
  <c r="BO85" i="3"/>
  <c r="BO72" i="3"/>
  <c r="CL289" i="1"/>
  <c r="CL230" i="1"/>
  <c r="AB56" i="1"/>
  <c r="CL62" i="1"/>
  <c r="CL267" i="1"/>
  <c r="CL46" i="1"/>
  <c r="CL9" i="1" s="1"/>
  <c r="CL288" i="1"/>
  <c r="CL101" i="1"/>
  <c r="CK71" i="1"/>
  <c r="CK49" i="1"/>
  <c r="CK99" i="1"/>
  <c r="CK60" i="1"/>
  <c r="CK100" i="1"/>
  <c r="CK50" i="1"/>
  <c r="CK75" i="1"/>
  <c r="CK82" i="1"/>
  <c r="CK45" i="1"/>
  <c r="CK58" i="1"/>
  <c r="CK81" i="1"/>
  <c r="CK68" i="1"/>
  <c r="CK44" i="1"/>
  <c r="CK46" i="1" s="1"/>
  <c r="CL48" i="1" s="1"/>
  <c r="CK56" i="1"/>
  <c r="CK83" i="1"/>
  <c r="CK59" i="1"/>
  <c r="CK51" i="1"/>
  <c r="CK87" i="1"/>
  <c r="CK72" i="1"/>
  <c r="CK57" i="1"/>
  <c r="CT172" i="1"/>
  <c r="CU172" i="1" s="1"/>
  <c r="CV172" i="1" s="1"/>
  <c r="CW172" i="1" s="1"/>
  <c r="AC172" i="1"/>
  <c r="A1" i="6"/>
  <c r="A1" i="4"/>
  <c r="BH91" i="3"/>
  <c r="BT61" i="3"/>
  <c r="BT79" i="3"/>
  <c r="BT58" i="3"/>
  <c r="BT74" i="3"/>
  <c r="BL75" i="3"/>
  <c r="BL55" i="3"/>
  <c r="BL82" i="3"/>
  <c r="BL96" i="3"/>
  <c r="BS83" i="3"/>
  <c r="BS65" i="3"/>
  <c r="BK59" i="3"/>
  <c r="BK78" i="3"/>
  <c r="BK87" i="3"/>
  <c r="BP92" i="3"/>
  <c r="BP61" i="3"/>
  <c r="BP78" i="3"/>
  <c r="BG47" i="3"/>
  <c r="BG94" i="3"/>
  <c r="BG88" i="3"/>
  <c r="BF48" i="3"/>
  <c r="BS79" i="3"/>
  <c r="BO93" i="3"/>
  <c r="BO62" i="3"/>
  <c r="BG57" i="3"/>
  <c r="BR94" i="3"/>
  <c r="BR67" i="3"/>
  <c r="BR64" i="3"/>
  <c r="BN64" i="3"/>
  <c r="BJ74" i="3"/>
  <c r="BJ81" i="3"/>
  <c r="BF73" i="3"/>
  <c r="BF80" i="3"/>
  <c r="BU78" i="3"/>
  <c r="BU94" i="3"/>
  <c r="BQ85" i="3"/>
  <c r="BM72" i="3"/>
  <c r="BI61" i="3"/>
  <c r="BE69" i="3"/>
  <c r="BM91" i="3"/>
  <c r="BI73" i="3"/>
  <c r="BI81" i="3"/>
  <c r="BE91" i="3"/>
  <c r="BE84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GD12" i="4" a="1"/>
  <c r="FL14" i="4" a="1"/>
  <c r="HB15" i="4" a="1"/>
  <c r="FN14" i="4" a="1"/>
  <c r="FH15" i="4" a="1"/>
  <c r="HD15" i="4" a="1"/>
  <c r="GX16" i="4" a="1"/>
  <c r="GK13" i="4" a="1"/>
  <c r="FO14" i="4" a="1"/>
  <c r="GX8" i="4" a="1"/>
  <c r="FR14" i="4" a="1"/>
  <c r="HB16" i="4" a="1"/>
  <c r="GM13" i="4" a="1"/>
  <c r="FS14" i="4" a="1"/>
  <c r="FM15" i="4" a="1"/>
  <c r="FG16" i="4" a="1"/>
  <c r="FJ12" i="4" a="1"/>
  <c r="GY9" i="4" a="1"/>
  <c r="GS11" i="4" a="1"/>
  <c r="FP16" i="4" a="1"/>
  <c r="FP15" i="4" a="1"/>
  <c r="FJ16" i="4" a="1"/>
  <c r="HF16" i="4" a="1"/>
  <c r="BO65" i="3"/>
  <c r="BT66" i="3"/>
  <c r="BT83" i="3"/>
  <c r="BT54" i="3"/>
  <c r="BT78" i="3"/>
  <c r="BL70" i="3"/>
  <c r="BL50" i="3"/>
  <c r="BL78" i="3"/>
  <c r="BL48" i="3"/>
  <c r="BS86" i="3"/>
  <c r="BS69" i="3"/>
  <c r="BK57" i="3"/>
  <c r="BK62" i="3"/>
  <c r="BK70" i="3"/>
  <c r="BP88" i="3"/>
  <c r="BP50" i="3"/>
  <c r="BP82" i="3"/>
  <c r="BG55" i="3"/>
  <c r="BG58" i="3"/>
  <c r="BR74" i="3"/>
  <c r="BF67" i="3"/>
  <c r="BS95" i="3"/>
  <c r="BO66" i="3"/>
  <c r="BO81" i="3"/>
  <c r="BG63" i="3"/>
  <c r="BR55" i="3"/>
  <c r="BR88" i="3"/>
  <c r="BN49" i="3"/>
  <c r="BN73" i="3"/>
  <c r="BJ79" i="3"/>
  <c r="BJ63" i="3"/>
  <c r="BF89" i="3"/>
  <c r="BF93" i="3"/>
  <c r="BU72" i="3"/>
  <c r="BQ64" i="3"/>
  <c r="BQ71" i="3"/>
  <c r="BM63" i="3"/>
  <c r="BI70" i="3"/>
  <c r="BE57" i="3"/>
  <c r="BM70" i="3"/>
  <c r="BI64" i="3"/>
  <c r="BI62" i="3"/>
  <c r="BE85" i="3"/>
  <c r="BE47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FI15" i="4" a="1"/>
  <c r="HE15" i="4" a="1"/>
  <c r="GY16" i="4" a="1"/>
  <c r="FH7" i="4" a="1"/>
  <c r="HD7" i="4" a="1"/>
  <c r="GM12" i="4" a="1"/>
  <c r="GS6" i="4" a="1"/>
  <c r="HA5" i="4" a="1"/>
  <c r="FU9" i="4" a="1"/>
  <c r="GZ12" i="4" a="1"/>
  <c r="GD11" i="4" a="1"/>
  <c r="HA12" i="4" a="1"/>
  <c r="GK16" i="4" a="1"/>
  <c r="GW9" i="4" a="1"/>
  <c r="GQ11" i="4" a="1"/>
  <c r="HC16" i="4" a="1"/>
  <c r="HE14" i="4" a="1"/>
  <c r="GO13" i="4" a="1"/>
  <c r="BO57" i="3"/>
  <c r="BT88" i="3"/>
  <c r="BT87" i="3"/>
  <c r="BT56" i="3"/>
  <c r="BT82" i="3"/>
  <c r="BL57" i="3"/>
  <c r="BL62" i="3"/>
  <c r="BL71" i="3"/>
  <c r="BL54" i="3"/>
  <c r="BS62" i="3"/>
  <c r="BS73" i="3"/>
  <c r="BK58" i="3"/>
  <c r="BK83" i="3"/>
  <c r="BK80" i="3"/>
  <c r="BP75" i="3"/>
  <c r="BP96" i="3"/>
  <c r="BP47" i="3"/>
  <c r="BG59" i="3"/>
  <c r="BG74" i="3"/>
  <c r="BR96" i="3"/>
  <c r="BF85" i="3"/>
  <c r="BS77" i="3"/>
  <c r="BO80" i="3"/>
  <c r="BG64" i="3"/>
  <c r="BG49" i="3"/>
  <c r="BR87" i="3"/>
  <c r="BR62" i="3"/>
  <c r="BN47" i="3"/>
  <c r="BN91" i="3"/>
  <c r="BJ87" i="3"/>
  <c r="BJ78" i="3"/>
  <c r="BF61" i="3"/>
  <c r="BF87" i="3"/>
  <c r="BU71" i="3"/>
  <c r="BQ80" i="3"/>
  <c r="BQ49" i="3"/>
  <c r="BM65" i="3"/>
  <c r="BI47" i="3"/>
  <c r="BE55" i="3"/>
  <c r="BM97" i="3"/>
  <c r="BI79" i="3"/>
  <c r="BI72" i="3"/>
  <c r="BE82" i="3"/>
  <c r="BE64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O15" i="4" a="1"/>
  <c r="GC5" i="4" a="1"/>
  <c r="GM6" i="4" a="1"/>
  <c r="GG7" i="4" a="1"/>
  <c r="GA8" i="4" a="1"/>
  <c r="HH9" i="4" a="1"/>
  <c r="HG11" i="4" a="1"/>
  <c r="HD14" i="4" a="1"/>
  <c r="GR16" i="4" a="1"/>
  <c r="GI12" i="4" a="1"/>
  <c r="GD13" i="4" a="1"/>
  <c r="GW14" i="4" a="1"/>
  <c r="FS11" i="4" a="1"/>
  <c r="GG12" i="4" a="1"/>
  <c r="FT14" i="4" a="1"/>
  <c r="FH16" i="4" a="1"/>
  <c r="FL15" i="4" a="1"/>
  <c r="HH15" i="4" a="1"/>
  <c r="FJ15" i="4" a="1"/>
  <c r="GH13" i="4" a="1"/>
  <c r="FU11" i="4" a="1"/>
  <c r="GL12" i="4" a="1"/>
  <c r="GB14" i="4" a="1"/>
  <c r="FV14" i="4" a="1"/>
  <c r="FQ15" i="4" a="1"/>
  <c r="HG16" i="4" a="1"/>
  <c r="GZ11" i="4" a="1"/>
  <c r="BT47" i="3"/>
  <c r="BT92" i="3"/>
  <c r="BT91" i="3"/>
  <c r="BT48" i="3"/>
  <c r="BL66" i="3"/>
  <c r="BL76" i="3"/>
  <c r="BL49" i="3"/>
  <c r="BL73" i="3"/>
  <c r="BS85" i="3"/>
  <c r="BS92" i="3"/>
  <c r="BS68" i="3"/>
  <c r="BK82" i="3"/>
  <c r="BK88" i="3"/>
  <c r="BK96" i="3"/>
  <c r="BP94" i="3"/>
  <c r="BP84" i="3"/>
  <c r="BP58" i="3"/>
  <c r="BG56" i="3"/>
  <c r="BG93" i="3"/>
  <c r="BN48" i="3"/>
  <c r="BF71" i="3"/>
  <c r="BS76" i="3"/>
  <c r="BO92" i="3"/>
  <c r="BG73" i="3"/>
  <c r="BG96" i="3"/>
  <c r="BR66" i="3"/>
  <c r="BR61" i="3"/>
  <c r="BN61" i="3"/>
  <c r="BN92" i="3"/>
  <c r="BJ65" i="3"/>
  <c r="BJ67" i="3"/>
  <c r="BF54" i="3"/>
  <c r="BF69" i="3"/>
  <c r="BU67" i="3"/>
  <c r="BQ79" i="3"/>
  <c r="BQ58" i="3"/>
  <c r="BM96" i="3"/>
  <c r="BI91" i="3"/>
  <c r="BE65" i="3"/>
  <c r="BM94" i="3"/>
  <c r="BI92" i="3"/>
  <c r="BI85" i="3"/>
  <c r="BE54" i="3"/>
  <c r="BE62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HF12" i="4" a="1"/>
  <c r="GZ16" i="4" a="1"/>
  <c r="GN12" i="4" a="1"/>
  <c r="GS16" i="4" a="1"/>
  <c r="FW14" i="4" a="1"/>
  <c r="FK16" i="4" a="1"/>
  <c r="BT81" i="3"/>
  <c r="BT68" i="3"/>
  <c r="BT95" i="3"/>
  <c r="BT85" i="3"/>
  <c r="BL61" i="3"/>
  <c r="BL72" i="3"/>
  <c r="BL58" i="3"/>
  <c r="BL79" i="3"/>
  <c r="BS64" i="3"/>
  <c r="BS78" i="3"/>
  <c r="BS54" i="3"/>
  <c r="BK67" i="3"/>
  <c r="BK93" i="3"/>
  <c r="BK48" i="3"/>
  <c r="BP65" i="3"/>
  <c r="BP70" i="3"/>
  <c r="BP63" i="3"/>
  <c r="BG60" i="3"/>
  <c r="BG50" i="3"/>
  <c r="BN70" i="3"/>
  <c r="BU47" i="3"/>
  <c r="BS84" i="3"/>
  <c r="BO55" i="3"/>
  <c r="BG95" i="3"/>
  <c r="BG83" i="3"/>
  <c r="BR54" i="3"/>
  <c r="BR57" i="3"/>
  <c r="BN62" i="3"/>
  <c r="BN77" i="3"/>
  <c r="BJ68" i="3"/>
  <c r="BJ54" i="3"/>
  <c r="BF66" i="3"/>
  <c r="BF47" i="3"/>
  <c r="BU84" i="3"/>
  <c r="BQ48" i="3"/>
  <c r="BQ66" i="3"/>
  <c r="BM59" i="3"/>
  <c r="BI74" i="3"/>
  <c r="BE86" i="3"/>
  <c r="BM79" i="3"/>
  <c r="BI49" i="3"/>
  <c r="BI58" i="3"/>
  <c r="BE78" i="3"/>
  <c r="BE76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Z5" i="4" a="1"/>
  <c r="GS7" i="4" a="1"/>
  <c r="GR13" i="4" a="1"/>
  <c r="FT7" i="4" a="1"/>
  <c r="GR12" i="4" a="1"/>
  <c r="BT77" i="3"/>
  <c r="BT64" i="3"/>
  <c r="BT59" i="3"/>
  <c r="BT89" i="3"/>
  <c r="BL80" i="3"/>
  <c r="BL47" i="3"/>
  <c r="BL65" i="3"/>
  <c r="BL83" i="3"/>
  <c r="BS90" i="3"/>
  <c r="BS49" i="3"/>
  <c r="BS87" i="3"/>
  <c r="BK91" i="3"/>
  <c r="BK68" i="3"/>
  <c r="BP57" i="3"/>
  <c r="BP95" i="3"/>
  <c r="BP86" i="3"/>
  <c r="BP68" i="3"/>
  <c r="BG61" i="3"/>
  <c r="BG71" i="3"/>
  <c r="BN86" i="3"/>
  <c r="BU49" i="3"/>
  <c r="BO54" i="3"/>
  <c r="BO64" i="3"/>
  <c r="BG67" i="3"/>
  <c r="BG48" i="3"/>
  <c r="BR85" i="3"/>
  <c r="BR75" i="3"/>
  <c r="BN79" i="3"/>
  <c r="BN55" i="3"/>
  <c r="BJ76" i="3"/>
  <c r="BJ60" i="3"/>
  <c r="BF68" i="3"/>
  <c r="BU64" i="3"/>
  <c r="BU85" i="3"/>
  <c r="BQ96" i="3"/>
  <c r="BQ84" i="3"/>
  <c r="BM68" i="3"/>
  <c r="BI80" i="3"/>
  <c r="BS58" i="3"/>
  <c r="BM83" i="3"/>
  <c r="BI77" i="3"/>
  <c r="BI75" i="3"/>
  <c r="BE79" i="3"/>
  <c r="BE97" i="3"/>
  <c r="GM7" i="4" a="1"/>
  <c r="GK14" i="4" a="1"/>
  <c r="GY6" i="4" a="1"/>
  <c r="GM8" i="4" a="1"/>
  <c r="GH9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BT73" i="3"/>
  <c r="BT63" i="3"/>
  <c r="BT55" i="3"/>
  <c r="BT93" i="3"/>
  <c r="BL97" i="3"/>
  <c r="BL68" i="3"/>
  <c r="BL67" i="3"/>
  <c r="BL87" i="3"/>
  <c r="BS66" i="3"/>
  <c r="BS50" i="3"/>
  <c r="BS80" i="3"/>
  <c r="BK97" i="3"/>
  <c r="BK49" i="3"/>
  <c r="BP89" i="3"/>
  <c r="BP91" i="3"/>
  <c r="BP67" i="3"/>
  <c r="BP71" i="3"/>
  <c r="BG69" i="3"/>
  <c r="BG79" i="3"/>
  <c r="BN84" i="3"/>
  <c r="BS63" i="3"/>
  <c r="BO56" i="3"/>
  <c r="BO61" i="3"/>
  <c r="BG68" i="3"/>
  <c r="BG70" i="3"/>
  <c r="BR72" i="3"/>
  <c r="BR78" i="3"/>
  <c r="BN94" i="3"/>
  <c r="BN56" i="3"/>
  <c r="BJ90" i="3"/>
  <c r="BJ61" i="3"/>
  <c r="BF92" i="3"/>
  <c r="BU95" i="3"/>
  <c r="BU70" i="3"/>
  <c r="BQ72" i="3"/>
  <c r="BQ59" i="3"/>
  <c r="BM50" i="3"/>
  <c r="BI63" i="3"/>
  <c r="BS88" i="3"/>
  <c r="BM60" i="3"/>
  <c r="BI65" i="3"/>
  <c r="BI96" i="3"/>
  <c r="BE87" i="3"/>
  <c r="BE74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C14" i="4" a="1"/>
  <c r="GN11" i="4" a="1"/>
  <c r="FZ12" i="4" a="1"/>
  <c r="HB13" i="4" a="1"/>
  <c r="GX13" i="4" a="1"/>
  <c r="BT67" i="3"/>
  <c r="BT60" i="3"/>
  <c r="BT50" i="3"/>
  <c r="BT97" i="3"/>
  <c r="BL93" i="3"/>
  <c r="BL64" i="3"/>
  <c r="BL88" i="3"/>
  <c r="BL91" i="3"/>
  <c r="BS91" i="3"/>
  <c r="BS55" i="3"/>
  <c r="BS67" i="3"/>
  <c r="BK92" i="3"/>
  <c r="BK54" i="3"/>
  <c r="BP76" i="3"/>
  <c r="BP87" i="3"/>
  <c r="BP66" i="3"/>
  <c r="BP81" i="3"/>
  <c r="BG62" i="3"/>
  <c r="BG87" i="3"/>
  <c r="BN81" i="3"/>
  <c r="BS61" i="3"/>
  <c r="BO78" i="3"/>
  <c r="BO69" i="3"/>
  <c r="BG80" i="3"/>
  <c r="BG82" i="3"/>
  <c r="BR59" i="3"/>
  <c r="BR60" i="3"/>
  <c r="BN80" i="3"/>
  <c r="BN95" i="3"/>
  <c r="BJ85" i="3"/>
  <c r="BJ95" i="3"/>
  <c r="BF64" i="3"/>
  <c r="BU68" i="3"/>
  <c r="BU62" i="3"/>
  <c r="BQ74" i="3"/>
  <c r="BQ57" i="3"/>
  <c r="BM48" i="3"/>
  <c r="BE61" i="3"/>
  <c r="BS81" i="3"/>
  <c r="BM73" i="3"/>
  <c r="BI90" i="3"/>
  <c r="BI56" i="3"/>
  <c r="BE90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FP11" i="4" a="1"/>
  <c r="GP15" i="4" a="1"/>
  <c r="FH12" i="4" a="1"/>
  <c r="HD12" i="4" a="1"/>
  <c r="BT72" i="3"/>
  <c r="BT57" i="3"/>
  <c r="BT71" i="3"/>
  <c r="BT76" i="3"/>
  <c r="BL89" i="3"/>
  <c r="BL60" i="3"/>
  <c r="BL69" i="3"/>
  <c r="BL95" i="3"/>
  <c r="BS94" i="3"/>
  <c r="BS59" i="3"/>
  <c r="BK65" i="3"/>
  <c r="BK85" i="3"/>
  <c r="BK60" i="3"/>
  <c r="BP60" i="3"/>
  <c r="BP83" i="3"/>
  <c r="BP56" i="3"/>
  <c r="BG77" i="3"/>
  <c r="BG75" i="3"/>
  <c r="BG91" i="3"/>
  <c r="BJ62" i="3"/>
  <c r="BS74" i="3"/>
  <c r="BO90" i="3"/>
  <c r="BO86" i="3"/>
  <c r="BG84" i="3"/>
  <c r="BR65" i="3"/>
  <c r="BR68" i="3"/>
  <c r="BR50" i="3"/>
  <c r="BN71" i="3"/>
  <c r="BN67" i="3"/>
  <c r="BJ93" i="3"/>
  <c r="BJ69" i="3"/>
  <c r="BF49" i="3"/>
  <c r="CL109" i="1" s="1"/>
  <c r="BU79" i="3"/>
  <c r="BU76" i="3"/>
  <c r="BQ95" i="3"/>
  <c r="BQ63" i="3"/>
  <c r="BM62" i="3"/>
  <c r="BE83" i="3"/>
  <c r="BK50" i="3"/>
  <c r="BM93" i="3"/>
  <c r="BI57" i="3"/>
  <c r="BE49" i="3"/>
  <c r="BE59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H8" i="4" a="1"/>
  <c r="GV9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H13" i="4" a="1"/>
  <c r="FV15" i="4" a="1"/>
  <c r="HE16" i="4" a="1"/>
  <c r="GH16" i="4" a="1"/>
  <c r="GC13" i="4" a="1"/>
  <c r="GO15" i="4" a="1"/>
  <c r="GI16" i="4" a="1"/>
  <c r="BT90" i="3"/>
  <c r="BT70" i="3"/>
  <c r="BT80" i="3"/>
  <c r="BT96" i="3"/>
  <c r="BT86" i="3"/>
  <c r="BT65" i="3"/>
  <c r="BT49" i="3"/>
  <c r="BT84" i="3"/>
  <c r="BL85" i="3"/>
  <c r="BL56" i="3"/>
  <c r="BL94" i="3"/>
  <c r="BL74" i="3"/>
  <c r="BS71" i="3"/>
  <c r="BS56" i="3"/>
  <c r="BK66" i="3"/>
  <c r="BK63" i="3"/>
  <c r="BK71" i="3"/>
  <c r="BP49" i="3"/>
  <c r="BP79" i="3"/>
  <c r="BP55" i="3"/>
  <c r="BG97" i="3"/>
  <c r="BG78" i="3"/>
  <c r="BG81" i="3"/>
  <c r="BJ55" i="3"/>
  <c r="BS82" i="3"/>
  <c r="BO97" i="3"/>
  <c r="BO50" i="3"/>
  <c r="BG76" i="3"/>
  <c r="BR84" i="3"/>
  <c r="BR63" i="3"/>
  <c r="BR82" i="3"/>
  <c r="BN76" i="3"/>
  <c r="BN82" i="3"/>
  <c r="BJ77" i="3"/>
  <c r="BF56" i="3"/>
  <c r="BF84" i="3"/>
  <c r="BU48" i="3"/>
  <c r="BU60" i="3"/>
  <c r="BQ61" i="3"/>
  <c r="BQ68" i="3"/>
  <c r="BM92" i="3"/>
  <c r="BE66" i="3"/>
  <c r="BK89" i="3"/>
  <c r="BM85" i="3"/>
  <c r="BI67" i="3"/>
  <c r="BE48" i="3"/>
  <c r="BE70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FN7" i="4" a="1"/>
  <c r="HD8" i="4" a="1"/>
  <c r="GM15" i="4" a="1"/>
  <c r="FT11" i="4" a="1"/>
  <c r="FN12" i="4" a="1"/>
  <c r="GT14" i="4" a="1"/>
  <c r="GN15" i="4" a="1"/>
  <c r="HA13" i="4" a="1"/>
  <c r="GU14" i="4" a="1"/>
  <c r="BH50" i="3"/>
  <c r="BH79" i="3"/>
  <c r="BT94" i="3"/>
  <c r="BT75" i="3"/>
  <c r="BT62" i="3"/>
  <c r="BT69" i="3"/>
  <c r="BL77" i="3"/>
  <c r="BL59" i="3"/>
  <c r="BL86" i="3"/>
  <c r="BL92" i="3"/>
  <c r="BS48" i="3"/>
  <c r="BS57" i="3"/>
  <c r="BK81" i="3"/>
  <c r="BK73" i="3"/>
  <c r="BK72" i="3"/>
  <c r="BP85" i="3"/>
  <c r="BP69" i="3"/>
  <c r="BP80" i="3"/>
  <c r="BG89" i="3"/>
  <c r="BG90" i="3"/>
  <c r="BG72" i="3"/>
  <c r="BJ49" i="3"/>
  <c r="BS75" i="3"/>
  <c r="BO95" i="3"/>
  <c r="BO49" i="3"/>
  <c r="BG65" i="3"/>
  <c r="BR93" i="3"/>
  <c r="BR47" i="3"/>
  <c r="BR91" i="3"/>
  <c r="BN63" i="3"/>
  <c r="BJ64" i="3"/>
  <c r="BJ59" i="3"/>
  <c r="BF63" i="3"/>
  <c r="BF83" i="3"/>
  <c r="BU63" i="3"/>
  <c r="BU82" i="3"/>
  <c r="BQ81" i="3"/>
  <c r="BM57" i="3"/>
  <c r="BI93" i="3"/>
  <c r="BE92" i="3"/>
  <c r="BM66" i="3"/>
  <c r="BI55" i="3"/>
  <c r="BI76" i="3"/>
  <c r="BE81" i="3"/>
  <c r="BE71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BK90" i="3"/>
  <c r="BO77" i="3"/>
  <c r="BQ65" i="3"/>
  <c r="GT6" i="4" a="1"/>
  <c r="GZ9" i="4" a="1"/>
  <c r="GI9" i="4" a="1"/>
  <c r="HH14" i="4" a="1"/>
  <c r="GF15" i="4" a="1"/>
  <c r="GW13" i="4" a="1"/>
  <c r="GA16" i="4" a="1"/>
  <c r="HE13" i="4" a="1"/>
  <c r="GM16" i="4" a="1"/>
  <c r="GV15" i="4" a="1"/>
  <c r="BE95" i="3"/>
  <c r="GB9" i="4" a="1"/>
  <c r="GT11" i="4" a="1"/>
  <c r="FK11" i="4" a="1"/>
  <c r="GE14" i="4" a="1"/>
  <c r="FY15" i="4" a="1"/>
  <c r="BG85" i="3"/>
  <c r="FW6" i="4" a="1"/>
  <c r="GL14" i="4" a="1"/>
  <c r="GG15" i="4" a="1"/>
  <c r="GI15" i="4" a="1"/>
  <c r="HB14" i="4" a="1"/>
  <c r="GG13" i="4" a="1"/>
  <c r="HG8" i="4" a="1"/>
  <c r="GR14" i="4" a="1"/>
  <c r="FX15" i="4" a="1"/>
  <c r="FS16" i="4" a="1"/>
  <c r="BK61" i="3"/>
  <c r="BG66" i="3"/>
  <c r="BQ90" i="3"/>
  <c r="GL8" i="4" a="1"/>
  <c r="GN7" i="4" a="1"/>
  <c r="FQ16" i="4" a="1"/>
  <c r="GO9" i="4" a="1"/>
  <c r="GD15" i="4" a="1"/>
  <c r="GR15" i="4" a="1"/>
  <c r="HG9" i="4" a="1"/>
  <c r="GL15" i="4" a="1"/>
  <c r="GQ16" i="4" a="1"/>
  <c r="BR69" i="3"/>
  <c r="FX6" i="4" a="1"/>
  <c r="BK94" i="3"/>
  <c r="BR89" i="3"/>
  <c r="BI66" i="3"/>
  <c r="FV5" i="4" a="1"/>
  <c r="GH8" i="4" a="1"/>
  <c r="FV11" i="4" a="1"/>
  <c r="FG14" i="4" a="1"/>
  <c r="GF16" i="4" a="1"/>
  <c r="FR16" i="4" a="1"/>
  <c r="BP54" i="3"/>
  <c r="FL5" i="4" a="1"/>
  <c r="BP74" i="3"/>
  <c r="BR76" i="3"/>
  <c r="BM77" i="3"/>
  <c r="FR7" i="4" a="1"/>
  <c r="FI16" i="4" a="1"/>
  <c r="GK12" i="4" a="1"/>
  <c r="GC11" i="4" a="1"/>
  <c r="GV16" i="4" a="1"/>
  <c r="FZ16" i="4" a="1"/>
  <c r="GM14" i="4" a="1"/>
  <c r="GL16" i="4" a="1"/>
  <c r="HH8" i="4" a="1"/>
  <c r="FU5" i="4" a="1"/>
  <c r="HH11" i="4" a="1"/>
  <c r="GG16" i="4" a="1"/>
  <c r="FY13" i="4" a="1"/>
  <c r="BJ88" i="3"/>
  <c r="FV8" i="4" a="1"/>
  <c r="FQ14" i="4" a="1"/>
  <c r="HB12" i="4" a="1"/>
  <c r="BS89" i="3"/>
  <c r="HF5" i="4" a="1"/>
  <c r="BP48" i="3"/>
  <c r="BN54" i="3"/>
  <c r="BM82" i="3"/>
  <c r="FL8" i="4" a="1"/>
  <c r="GO8" i="4" a="1"/>
  <c r="FX14" i="4" a="1"/>
  <c r="GI11" i="4" a="1"/>
  <c r="HD13" i="4" a="1"/>
  <c r="GY14" i="4" a="1"/>
  <c r="BE80" i="3"/>
  <c r="FS12" i="4" a="1"/>
  <c r="GD14" i="4" a="1"/>
  <c r="BL90" i="3"/>
  <c r="BE60" i="3"/>
  <c r="FM13" i="4" a="1"/>
  <c r="BL84" i="3"/>
  <c r="BF70" i="3"/>
  <c r="FQ7" i="4" a="1"/>
  <c r="GX14" i="4" a="1"/>
  <c r="BS47" i="3"/>
  <c r="FK13" i="4" a="1"/>
  <c r="GW15" i="4" a="1"/>
  <c r="BO83" i="3"/>
  <c r="BL81" i="3"/>
  <c r="BG92" i="3"/>
  <c r="BJ50" i="3"/>
  <c r="BI83" i="3"/>
  <c r="FL16" i="4" a="1"/>
  <c r="HH13" i="4" a="1"/>
  <c r="GP16" i="4" a="1"/>
  <c r="HC14" i="4" a="1"/>
  <c r="HB9" i="4" a="1"/>
  <c r="FQ12" i="4" a="1"/>
  <c r="FU13" i="4" a="1"/>
  <c r="BF74" i="3"/>
  <c r="GT12" i="4" a="1"/>
  <c r="GS15" i="4" a="1"/>
  <c r="BU50" i="3"/>
  <c r="BS60" i="3"/>
  <c r="HG15" i="4" a="1"/>
  <c r="GS13" i="4" a="1"/>
  <c r="BL63" i="3"/>
  <c r="BG86" i="3"/>
  <c r="BJ83" i="3"/>
  <c r="GS5" i="4" a="1"/>
  <c r="GE13" i="4" a="1"/>
  <c r="FK8" i="4" a="1"/>
  <c r="BU93" i="3"/>
  <c r="AA88" i="1" l="1"/>
  <c r="AA90" i="1"/>
  <c r="AA229" i="1"/>
  <c r="AA231" i="1" s="1"/>
  <c r="CL52" i="1"/>
  <c r="CL63" i="1"/>
  <c r="CK62" i="1"/>
  <c r="CL69" i="1"/>
  <c r="CL170" i="1"/>
  <c r="CK158" i="1"/>
  <c r="CL158" i="1" s="1"/>
  <c r="CK195" i="1"/>
  <c r="CK180" i="1"/>
  <c r="CK215" i="1" s="1"/>
  <c r="CL215" i="1" s="1"/>
  <c r="CK191" i="1"/>
  <c r="CK169" i="1"/>
  <c r="CL169" i="1" s="1"/>
  <c r="CK187" i="1"/>
  <c r="CK109" i="1"/>
  <c r="CK196" i="1"/>
  <c r="CK162" i="1"/>
  <c r="CL162" i="1" s="1"/>
  <c r="CK173" i="1"/>
  <c r="CK188" i="1"/>
  <c r="CL188" i="1" s="1"/>
  <c r="CK179" i="1"/>
  <c r="CK178" i="1"/>
  <c r="CL178" i="1" s="1"/>
  <c r="CK160" i="1"/>
  <c r="CL160" i="1" s="1"/>
  <c r="CL164" i="1" s="1"/>
  <c r="CK186" i="1"/>
  <c r="CK185" i="1"/>
  <c r="CL185" i="1" s="1"/>
  <c r="CK181" i="1"/>
  <c r="CK216" i="1" s="1"/>
  <c r="CL216" i="1" s="1"/>
  <c r="CL181" i="1" s="1"/>
  <c r="CK183" i="1"/>
  <c r="CK154" i="1"/>
  <c r="CL154" i="1" s="1"/>
  <c r="CK182" i="1"/>
  <c r="CL182" i="1" s="1"/>
  <c r="CK190" i="1"/>
  <c r="CK52" i="1"/>
  <c r="CL55" i="1" s="1"/>
  <c r="CK9" i="1"/>
  <c r="CK35" i="1"/>
  <c r="CK101" i="1"/>
  <c r="CM170" i="1"/>
  <c r="CN170" i="1" s="1"/>
  <c r="CO170" i="1" s="1"/>
  <c r="CP170" i="1" s="1"/>
  <c r="CQ170" i="1" s="1"/>
  <c r="CR170" i="1" s="1"/>
  <c r="CS170" i="1" s="1"/>
  <c r="CT170" i="1" s="1"/>
  <c r="CU170" i="1" s="1"/>
  <c r="CV170" i="1" s="1"/>
  <c r="CW170" i="1" s="1"/>
  <c r="CX170" i="1" s="1"/>
  <c r="CY170" i="1" s="1"/>
  <c r="CZ170" i="1" s="1"/>
  <c r="DA170" i="1" s="1"/>
  <c r="CK219" i="1"/>
  <c r="CL219" i="1" s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72" i="1"/>
  <c r="CY172" i="1" s="1"/>
  <c r="CZ172" i="1" s="1"/>
  <c r="DA172" i="1" s="1"/>
  <c r="AE172" i="1" s="1"/>
  <c r="AD172" i="1"/>
  <c r="BQ1" i="1"/>
  <c r="BR1" i="1" s="1"/>
  <c r="BS1" i="1" s="1"/>
  <c r="BT1" i="1" s="1"/>
  <c r="CK63" i="1" l="1"/>
  <c r="CO63" i="1" s="1"/>
  <c r="CS63" i="1" s="1"/>
  <c r="CW63" i="1" s="1"/>
  <c r="DA63" i="1" s="1"/>
  <c r="CL64" i="1"/>
  <c r="CL53" i="1"/>
  <c r="CL180" i="1"/>
  <c r="CL191" i="1"/>
  <c r="CL187" i="1"/>
  <c r="CK174" i="1"/>
  <c r="CL173" i="1"/>
  <c r="CL174" i="1" s="1"/>
  <c r="CL179" i="1"/>
  <c r="CL186" i="1"/>
  <c r="CL183" i="1"/>
  <c r="CL190" i="1"/>
  <c r="CL189" i="1"/>
  <c r="CL192" i="1" s="1"/>
  <c r="KE14" i="4"/>
  <c r="KC15" i="4"/>
  <c r="JQ7" i="4"/>
  <c r="KG8" i="4"/>
  <c r="JY8" i="4"/>
  <c r="JX8" i="4"/>
  <c r="JQ8" i="4"/>
  <c r="JX7" i="4"/>
  <c r="KF15" i="4"/>
  <c r="JR14" i="4"/>
  <c r="JQ21" i="4"/>
  <c r="CK113" i="1" s="1"/>
  <c r="JS21" i="4"/>
  <c r="JW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Y19" i="4" s="1"/>
  <c r="JW15" i="4"/>
  <c r="KB7" i="4"/>
  <c r="JZ8" i="4"/>
  <c r="KE7" i="4"/>
  <c r="KE19" i="4" s="1"/>
  <c r="KC8" i="4"/>
  <c r="KC20" i="4" s="1"/>
  <c r="JR21" i="4"/>
  <c r="CL113" i="1" s="1"/>
  <c r="KF14" i="4"/>
  <c r="JZ14" i="4"/>
  <c r="JZ19" i="4" s="1"/>
  <c r="JX15" i="4"/>
  <c r="KF21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CK114" i="1" s="1"/>
  <c r="KG14" i="4"/>
  <c r="KE15" i="4"/>
  <c r="JT7" i="4"/>
  <c r="JR8" i="4"/>
  <c r="KH8" i="4"/>
  <c r="JW7" i="4"/>
  <c r="JW19" i="4" s="1"/>
  <c r="JU8" i="4"/>
  <c r="JU21" i="4"/>
  <c r="KD15" i="4"/>
  <c r="KD20" i="4" s="1"/>
  <c r="JV21" i="4"/>
  <c r="KF20" i="4"/>
  <c r="JX21" i="4"/>
  <c r="KC14" i="4"/>
  <c r="KA15" i="4"/>
  <c r="KH21" i="4"/>
  <c r="BU1" i="1"/>
  <c r="Z35" i="2"/>
  <c r="Z105" i="2"/>
  <c r="Z93" i="2"/>
  <c r="BC16" i="3"/>
  <c r="Z9" i="2"/>
  <c r="BC35" i="3"/>
  <c r="BC6" i="3"/>
  <c r="FA13" i="4" a="1"/>
  <c r="Z79" i="2"/>
  <c r="W6" i="2"/>
  <c r="Y81" i="2"/>
  <c r="BB14" i="3"/>
  <c r="Z88" i="2"/>
  <c r="BD25" i="3"/>
  <c r="BB23" i="3"/>
  <c r="Z99" i="2"/>
  <c r="BD46" i="3"/>
  <c r="AV10" i="3"/>
  <c r="BA15" i="3"/>
  <c r="AA45" i="2"/>
  <c r="BC33" i="3"/>
  <c r="Y12" i="2"/>
  <c r="Y29" i="2"/>
  <c r="AA77" i="2"/>
  <c r="BC9" i="3"/>
  <c r="Y58" i="2"/>
  <c r="EY16" i="4" a="1"/>
  <c r="V6" i="2"/>
  <c r="AA32" i="2"/>
  <c r="AA41" i="2"/>
  <c r="Y32" i="2"/>
  <c r="AA30" i="2"/>
  <c r="FC15" i="4" a="1"/>
  <c r="AS39" i="3"/>
  <c r="AA6" i="6" a="1"/>
  <c r="EO16" i="4" a="1"/>
  <c r="BB33" i="3"/>
  <c r="AA42" i="2"/>
  <c r="BB21" i="3"/>
  <c r="Y104" i="2"/>
  <c r="EY7" i="4" a="1"/>
  <c r="EZ6" i="4" a="1"/>
  <c r="AS9" i="3"/>
  <c r="AY5" i="3"/>
  <c r="AF6" i="3"/>
  <c r="Z106" i="2"/>
  <c r="BC24" i="3"/>
  <c r="AA27" i="2"/>
  <c r="Y43" i="2"/>
  <c r="FF16" i="4" a="1"/>
  <c r="EZ7" i="4" a="1"/>
  <c r="EY15" i="4" a="1"/>
  <c r="I5" i="6" a="1"/>
  <c r="AT42" i="3"/>
  <c r="AV15" i="3"/>
  <c r="EO6" i="4" a="1"/>
  <c r="AP7" i="3"/>
  <c r="AF42" i="3"/>
  <c r="E6" i="6" a="1"/>
  <c r="AV42" i="3"/>
  <c r="AY75" i="3"/>
  <c r="EL13" i="4" a="1"/>
  <c r="AZ6" i="3"/>
  <c r="AV34" i="3"/>
  <c r="EP14" i="4" a="1"/>
  <c r="AV21" i="3"/>
  <c r="EL8" i="4" a="1"/>
  <c r="AV31" i="3"/>
  <c r="AF5" i="3"/>
  <c r="AS8" i="3"/>
  <c r="L6" i="6" a="1"/>
  <c r="AT41" i="3"/>
  <c r="AS30" i="3"/>
  <c r="AU5" i="6" a="1"/>
  <c r="AW23" i="3"/>
  <c r="AY38" i="3"/>
  <c r="AU18" i="3"/>
  <c r="H6" i="6" a="1"/>
  <c r="M6" i="6" a="1"/>
  <c r="AZ42" i="3"/>
  <c r="AY16" i="3"/>
  <c r="AO5" i="6" a="1"/>
  <c r="AW20" i="3"/>
  <c r="T5" i="6" a="1"/>
  <c r="EO8" i="4" a="1"/>
  <c r="AS23" i="3"/>
  <c r="AU31" i="3"/>
  <c r="EN13" i="4" a="1"/>
  <c r="AT39" i="3"/>
  <c r="AX22" i="3"/>
  <c r="AJ6" i="6" a="1"/>
  <c r="AR5" i="6" a="1"/>
  <c r="ET14" i="4" a="1"/>
  <c r="EQ8" i="4" a="1"/>
  <c r="AU6" i="6" a="1"/>
  <c r="AS5" i="3"/>
  <c r="AF20" i="3"/>
  <c r="AU12" i="3"/>
  <c r="CZ12" i="4" a="1"/>
  <c r="U22" i="2"/>
  <c r="R24" i="2"/>
  <c r="I30" i="2"/>
  <c r="S11" i="2"/>
  <c r="I12" i="2"/>
  <c r="P17" i="2"/>
  <c r="T27" i="2"/>
  <c r="EH5" i="4" a="1"/>
  <c r="C19" i="2"/>
  <c r="G26" i="2"/>
  <c r="K30" i="2"/>
  <c r="AA43" i="2"/>
  <c r="Y90" i="2"/>
  <c r="AA79" i="2"/>
  <c r="AA8" i="2"/>
  <c r="BB37" i="3"/>
  <c r="EZ14" i="4" a="1"/>
  <c r="Y88" i="2"/>
  <c r="FE14" i="4" a="1"/>
  <c r="Y40" i="2"/>
  <c r="AA86" i="2"/>
  <c r="Y14" i="2"/>
  <c r="BA38" i="3"/>
  <c r="AA55" i="2"/>
  <c r="Y84" i="2"/>
  <c r="AA87" i="2"/>
  <c r="BB15" i="3"/>
  <c r="AA24" i="2"/>
  <c r="BB22" i="3"/>
  <c r="BB35" i="3"/>
  <c r="BB19" i="3"/>
  <c r="AA52" i="2"/>
  <c r="Y105" i="2"/>
  <c r="BB6" i="3"/>
  <c r="BA36" i="3"/>
  <c r="BC29" i="3"/>
  <c r="Y54" i="2"/>
  <c r="Z67" i="2"/>
  <c r="FC6" i="4" a="1"/>
  <c r="AA35" i="2"/>
  <c r="BA37" i="3"/>
  <c r="AA78" i="2"/>
  <c r="BC15" i="3"/>
  <c r="BB40" i="3"/>
  <c r="Y25" i="2"/>
  <c r="EY12" i="4" a="1"/>
  <c r="AB5" i="3"/>
  <c r="AS36" i="3"/>
  <c r="AY22" i="3"/>
  <c r="AA108" i="2"/>
  <c r="AA88" i="2"/>
  <c r="Z31" i="2"/>
  <c r="AA80" i="2"/>
  <c r="FE6" i="4" a="1"/>
  <c r="FD11" i="4" a="1"/>
  <c r="EW5" i="4" a="1"/>
  <c r="AR6" i="6" a="1"/>
  <c r="AV16" i="3"/>
  <c r="Y18" i="2"/>
  <c r="BD45" i="3"/>
  <c r="BC13" i="3"/>
  <c r="AA65" i="2"/>
  <c r="EX16" i="4" a="1"/>
  <c r="FE9" i="4" a="1"/>
  <c r="R5" i="6" a="1"/>
  <c r="AU39" i="3"/>
  <c r="AW46" i="3"/>
  <c r="AY80" i="3"/>
  <c r="C6" i="4" a="1"/>
  <c r="AY97" i="3"/>
  <c r="AA58" i="2"/>
  <c r="C4" i="2"/>
  <c r="AA51" i="2"/>
  <c r="AA70" i="2"/>
  <c r="AA106" i="2"/>
  <c r="EX7" i="4" a="1"/>
  <c r="Z62" i="2"/>
  <c r="FF8" i="4" a="1"/>
  <c r="BD20" i="3"/>
  <c r="Y99" i="2"/>
  <c r="AA15" i="2"/>
  <c r="Y80" i="2"/>
  <c r="Y55" i="2"/>
  <c r="AA81" i="2"/>
  <c r="AA46" i="2"/>
  <c r="Z59" i="2"/>
  <c r="AA63" i="2"/>
  <c r="Z43" i="2"/>
  <c r="Y47" i="2"/>
  <c r="BA5" i="3"/>
  <c r="BD15" i="3"/>
  <c r="Y10" i="2"/>
  <c r="Y20" i="2"/>
  <c r="Z82" i="2"/>
  <c r="AA12" i="2"/>
  <c r="AA89" i="2"/>
  <c r="BD28" i="3"/>
  <c r="BD34" i="3"/>
  <c r="BB16" i="3"/>
  <c r="Y96" i="2"/>
  <c r="BA22" i="3"/>
  <c r="FA14" i="4" a="1"/>
  <c r="Y65" i="2"/>
  <c r="AA62" i="2"/>
  <c r="FB6" i="4" a="1"/>
  <c r="AY40" i="3"/>
  <c r="AW26" i="3"/>
  <c r="AV6" i="3"/>
  <c r="BB26" i="3"/>
  <c r="AA96" i="2"/>
  <c r="BB20" i="3"/>
  <c r="BC46" i="3"/>
  <c r="FD9" i="4" a="1"/>
  <c r="FD7" i="4" a="1"/>
  <c r="AT34" i="3"/>
  <c r="AU7" i="3"/>
  <c r="AZ35" i="3"/>
  <c r="BC14" i="3"/>
  <c r="FB7" i="4" a="1"/>
  <c r="AA14" i="2"/>
  <c r="BA32" i="3"/>
  <c r="EZ16" i="4" a="1"/>
  <c r="FB14" i="4" a="1"/>
  <c r="AX32" i="3"/>
  <c r="AB6" i="6" a="1"/>
  <c r="AW21" i="3"/>
  <c r="AF7" i="3"/>
  <c r="AY65" i="3"/>
  <c r="AY25" i="3"/>
  <c r="FF5" i="4" a="1"/>
  <c r="AZ7" i="3"/>
  <c r="ES5" i="4" a="1"/>
  <c r="AY45" i="3"/>
  <c r="EQ15" i="4" a="1"/>
  <c r="AZ40" i="3"/>
  <c r="AU21" i="3"/>
  <c r="AY76" i="3"/>
  <c r="AT10" i="3"/>
  <c r="AZ39" i="3"/>
  <c r="EM12" i="4" a="1"/>
  <c r="AY69" i="3"/>
  <c r="AX17" i="3"/>
  <c r="AS22" i="3"/>
  <c r="EX5" i="4" a="1"/>
  <c r="AS34" i="3"/>
  <c r="AY74" i="3"/>
  <c r="EN12" i="4" a="1"/>
  <c r="Z5" i="6" a="1"/>
  <c r="AV6" i="6" a="1"/>
  <c r="AU42" i="3"/>
  <c r="AV14" i="3"/>
  <c r="AT24" i="3"/>
  <c r="AF37" i="3"/>
  <c r="AS45" i="3"/>
  <c r="AV5" i="3"/>
  <c r="AS25" i="3"/>
  <c r="AT18" i="3"/>
  <c r="AV5" i="6" a="1"/>
  <c r="D6" i="6" a="1"/>
  <c r="AF27" i="3"/>
  <c r="ER14" i="4" a="1"/>
  <c r="AW13" i="3"/>
  <c r="EV9" i="4" a="1"/>
  <c r="N6" i="6" a="1"/>
  <c r="AS6" i="6" a="1"/>
  <c r="AF9" i="3"/>
  <c r="AN5" i="6" a="1"/>
  <c r="EN7" i="4" a="1"/>
  <c r="S5" i="6" a="1"/>
  <c r="I23" i="2"/>
  <c r="ED16" i="4" a="1"/>
  <c r="E27" i="2"/>
  <c r="D10" i="2"/>
  <c r="Q22" i="2"/>
  <c r="P7" i="4" a="1"/>
  <c r="C18" i="2"/>
  <c r="N19" i="2"/>
  <c r="W36" i="2"/>
  <c r="CH15" i="4" a="1"/>
  <c r="L6" i="2"/>
  <c r="V5" i="2"/>
  <c r="W16" i="2"/>
  <c r="AM46" i="3"/>
  <c r="J20" i="2"/>
  <c r="D35" i="2"/>
  <c r="H7" i="2"/>
  <c r="CD7" i="4" a="1"/>
  <c r="T46" i="3"/>
  <c r="DX7" i="4" a="1"/>
  <c r="BA20" i="3"/>
  <c r="BB18" i="3"/>
  <c r="Z13" i="2"/>
  <c r="BA34" i="3"/>
  <c r="Z98" i="2"/>
  <c r="FD12" i="4" a="1"/>
  <c r="AA19" i="2"/>
  <c r="Y94" i="2"/>
  <c r="BD13" i="3"/>
  <c r="BC17" i="3"/>
  <c r="Z78" i="2"/>
  <c r="Z18" i="2"/>
  <c r="X6" i="2"/>
  <c r="AA60" i="2"/>
  <c r="BD7" i="3"/>
  <c r="BD6" i="3"/>
  <c r="BC34" i="3"/>
  <c r="Z49" i="2"/>
  <c r="Y63" i="2"/>
  <c r="AA74" i="2"/>
  <c r="BD29" i="3"/>
  <c r="BC21" i="3"/>
  <c r="BA39" i="3"/>
  <c r="AA25" i="2"/>
  <c r="BA9" i="3"/>
  <c r="Z58" i="2"/>
  <c r="BB38" i="3"/>
  <c r="Z97" i="2"/>
  <c r="BD42" i="3"/>
  <c r="Z24" i="2"/>
  <c r="Z66" i="2"/>
  <c r="AK5" i="6" a="1"/>
  <c r="EM7" i="4" a="1"/>
  <c r="AW24" i="3"/>
  <c r="BD21" i="3"/>
  <c r="BD10" i="3"/>
  <c r="Z71" i="2"/>
  <c r="Y64" i="2"/>
  <c r="FC14" i="4" a="1"/>
  <c r="FB12" i="4" a="1"/>
  <c r="AZ30" i="3"/>
  <c r="ES14" i="4" a="1"/>
  <c r="AT7" i="3"/>
  <c r="Z87" i="2"/>
  <c r="Z69" i="2"/>
  <c r="AA72" i="2"/>
  <c r="Z80" i="2"/>
  <c r="BC11" i="3"/>
  <c r="BD32" i="3"/>
  <c r="AV29" i="3"/>
  <c r="AW37" i="3"/>
  <c r="AT14" i="3"/>
  <c r="AV45" i="3"/>
  <c r="EN16" i="4" a="1"/>
  <c r="AV22" i="3"/>
  <c r="BA13" i="3"/>
  <c r="AX18" i="3"/>
  <c r="AT35" i="3"/>
  <c r="EU7" i="4" a="1"/>
  <c r="S6" i="6" a="1"/>
  <c r="AX8" i="3"/>
  <c r="EN6" i="4" a="1"/>
  <c r="AU46" i="3"/>
  <c r="AS28" i="3"/>
  <c r="AW5" i="6" a="1"/>
  <c r="EV8" i="4" a="1"/>
  <c r="AS16" i="3"/>
  <c r="AF15" i="3"/>
  <c r="AF32" i="3"/>
  <c r="EW11" i="4" a="1"/>
  <c r="AY81" i="3"/>
  <c r="AS20" i="3"/>
  <c r="EW12" i="4" a="1"/>
  <c r="AZ31" i="3"/>
  <c r="ES15" i="4" a="1"/>
  <c r="AT37" i="3"/>
  <c r="AS13" i="3"/>
  <c r="EU6" i="4" a="1"/>
  <c r="AF83" i="3"/>
  <c r="AY31" i="3"/>
  <c r="AX46" i="3"/>
  <c r="AZ32" i="3"/>
  <c r="AV35" i="3"/>
  <c r="G6" i="6" a="1"/>
  <c r="AW39" i="3"/>
  <c r="EL11" i="4" a="1"/>
  <c r="Y19" i="2"/>
  <c r="AA13" i="2"/>
  <c r="BA31" i="3"/>
  <c r="AA94" i="2"/>
  <c r="BB5" i="3"/>
  <c r="FA11" i="4" a="1"/>
  <c r="BC40" i="3"/>
  <c r="Z77" i="2"/>
  <c r="AA73" i="2"/>
  <c r="BD24" i="3"/>
  <c r="AA44" i="2"/>
  <c r="Z41" i="2"/>
  <c r="BA24" i="3"/>
  <c r="AA47" i="2"/>
  <c r="Y109" i="2"/>
  <c r="BB39" i="3"/>
  <c r="Y17" i="2"/>
  <c r="Z54" i="2"/>
  <c r="BB12" i="3"/>
  <c r="Z36" i="2"/>
  <c r="Z20" i="2"/>
  <c r="BA26" i="3"/>
  <c r="BD40" i="3"/>
  <c r="FB15" i="4" a="1"/>
  <c r="AA69" i="2"/>
  <c r="Z89" i="2"/>
  <c r="Z73" i="2"/>
  <c r="AA54" i="2"/>
  <c r="BB31" i="3"/>
  <c r="AA85" i="2"/>
  <c r="BB34" i="3"/>
  <c r="AA99" i="2"/>
  <c r="BB41" i="3"/>
  <c r="AS37" i="3"/>
  <c r="AY33" i="3"/>
  <c r="AQ6" i="6" a="1"/>
  <c r="Z96" i="2"/>
  <c r="Z11" i="2"/>
  <c r="BC23" i="3"/>
  <c r="FA16" i="4" a="1"/>
  <c r="FD6" i="4" a="1"/>
  <c r="AT21" i="3"/>
  <c r="AX14" i="3"/>
  <c r="ET13" i="4" a="1"/>
  <c r="AA17" i="2"/>
  <c r="BB30" i="3"/>
  <c r="BA40" i="3"/>
  <c r="BA11" i="3"/>
  <c r="FB8" i="4" a="1"/>
  <c r="EW13" i="4" a="1"/>
  <c r="Y70" i="2"/>
  <c r="AW42" i="3"/>
  <c r="EU8" i="4" a="1"/>
  <c r="AV17" i="3"/>
  <c r="AX13" i="3"/>
  <c r="EM6" i="4" a="1"/>
  <c r="FD15" i="4" a="1"/>
  <c r="AZ26" i="3"/>
  <c r="EQ13" i="4" a="1"/>
  <c r="AS32" i="3"/>
  <c r="AX24" i="3"/>
  <c r="AF17" i="3"/>
  <c r="P5" i="6" a="1"/>
  <c r="AF30" i="3"/>
  <c r="AT6" i="6" a="1"/>
  <c r="AY85" i="3"/>
  <c r="AX16" i="3"/>
  <c r="N5" i="6" a="1"/>
  <c r="EU9" i="4" a="1"/>
  <c r="EW15" i="4" a="1"/>
  <c r="AZ9" i="3"/>
  <c r="EP5" i="4" a="1"/>
  <c r="AX45" i="3"/>
  <c r="AU24" i="3"/>
  <c r="AY66" i="3"/>
  <c r="AS14" i="3"/>
  <c r="C6" i="6" a="1"/>
  <c r="EP12" i="4" a="1"/>
  <c r="AY6" i="3"/>
  <c r="ER16" i="4" a="1"/>
  <c r="AY32" i="3"/>
  <c r="AY39" i="3"/>
  <c r="AW41" i="3"/>
  <c r="W6" i="6" a="1"/>
  <c r="AY90" i="3"/>
  <c r="AE5" i="6" a="1"/>
  <c r="AU23" i="3"/>
  <c r="AX23" i="3"/>
  <c r="AZ15" i="3"/>
  <c r="AX12" i="3"/>
  <c r="AX37" i="3"/>
  <c r="AF45" i="3"/>
  <c r="AV20" i="3"/>
  <c r="AY14" i="3"/>
  <c r="AP5" i="6" a="1"/>
  <c r="EL16" i="4" a="1"/>
  <c r="AT17" i="3"/>
  <c r="AW5" i="3"/>
  <c r="AW83" i="3" s="1"/>
  <c r="ES16" i="4" a="1"/>
  <c r="E32" i="2"/>
  <c r="BS5" i="4" a="1"/>
  <c r="X46" i="3"/>
  <c r="C14" i="2"/>
  <c r="O8" i="2"/>
  <c r="BV5" i="4" a="1"/>
  <c r="C36" i="2"/>
  <c r="F26" i="2"/>
  <c r="G17" i="2"/>
  <c r="EC11" i="4" a="1"/>
  <c r="CC13" i="4" a="1"/>
  <c r="T20" i="2"/>
  <c r="G23" i="2"/>
  <c r="AM11" i="4" a="1"/>
  <c r="CY15" i="4" a="1"/>
  <c r="M17" i="2"/>
  <c r="W33" i="2"/>
  <c r="CS12" i="4" a="1"/>
  <c r="BU13" i="4" a="1"/>
  <c r="CT8" i="4" a="1"/>
  <c r="BH14" i="4" a="1"/>
  <c r="Y22" i="2"/>
  <c r="Y69" i="2"/>
  <c r="Y85" i="2"/>
  <c r="BB36" i="3"/>
  <c r="Y75" i="2"/>
  <c r="Z47" i="2"/>
  <c r="EX9" i="4" a="1"/>
  <c r="AA92" i="2"/>
  <c r="BB24" i="3"/>
  <c r="Y36" i="2"/>
  <c r="Y42" i="2"/>
  <c r="AA82" i="2"/>
  <c r="Z19" i="2"/>
  <c r="Y46" i="2"/>
  <c r="FF7" i="4" a="1"/>
  <c r="Z46" i="2"/>
  <c r="EY11" i="4" a="1"/>
  <c r="Y57" i="2"/>
  <c r="BD16" i="3"/>
  <c r="BD31" i="3"/>
  <c r="Y50" i="2"/>
  <c r="Y11" i="2"/>
  <c r="Y93" i="2"/>
  <c r="FC16" i="4" a="1"/>
  <c r="FE7" i="4" a="1"/>
  <c r="Z108" i="2"/>
  <c r="BA21" i="3"/>
  <c r="AA5" i="2"/>
  <c r="Z33" i="2"/>
  <c r="Y21" i="2"/>
  <c r="Y82" i="2"/>
  <c r="AA20" i="2"/>
  <c r="Z68" i="2"/>
  <c r="BA8" i="3"/>
  <c r="FC8" i="4" a="1"/>
  <c r="F6" i="6" a="1"/>
  <c r="EL15" i="4" a="1"/>
  <c r="AV12" i="3"/>
  <c r="AA6" i="2"/>
  <c r="FC5" i="4" a="1"/>
  <c r="BD8" i="3"/>
  <c r="BC41" i="3"/>
  <c r="FA15" i="4" a="1"/>
  <c r="AA84" i="2"/>
  <c r="ES12" i="4" a="1"/>
  <c r="AU40" i="3"/>
  <c r="AS31" i="3"/>
  <c r="Z28" i="2"/>
  <c r="BA33" i="3"/>
  <c r="AA107" i="2"/>
  <c r="Y28" i="2"/>
  <c r="Z55" i="2"/>
  <c r="BC30" i="3"/>
  <c r="Z64" i="2"/>
  <c r="Y61" i="2"/>
  <c r="Y13" i="2"/>
  <c r="Z34" i="2"/>
  <c r="Z104" i="2"/>
  <c r="Z16" i="2"/>
  <c r="Y62" i="2"/>
  <c r="BA7" i="3"/>
  <c r="BA14" i="3"/>
  <c r="BD27" i="3"/>
  <c r="EZ12" i="4" a="1"/>
  <c r="BC38" i="3"/>
  <c r="FE16" i="4" a="1"/>
  <c r="BB17" i="3"/>
  <c r="BD22" i="3"/>
  <c r="Y8" i="2"/>
  <c r="BA30" i="3"/>
  <c r="Y35" i="2"/>
  <c r="Y33" i="2"/>
  <c r="FA5" i="4" a="1"/>
  <c r="AA67" i="2"/>
  <c r="EX6" i="4" a="1"/>
  <c r="BA17" i="3"/>
  <c r="AA57" i="2"/>
  <c r="BA18" i="3"/>
  <c r="AA59" i="2"/>
  <c r="AA98" i="2"/>
  <c r="BB29" i="3"/>
  <c r="AA93" i="2"/>
  <c r="Z76" i="2"/>
  <c r="AA76" i="2"/>
  <c r="EX12" i="4" a="1"/>
  <c r="AW45" i="3"/>
  <c r="EW6" i="4" a="1"/>
  <c r="AW22" i="3"/>
  <c r="Z6" i="2"/>
  <c r="AA49" i="2"/>
  <c r="Y27" i="2"/>
  <c r="BA16" i="3"/>
  <c r="FE12" i="4" a="1"/>
  <c r="EZ8" i="4" a="1"/>
  <c r="AV28" i="3"/>
  <c r="ES8" i="4" a="1"/>
  <c r="AZ11" i="3"/>
  <c r="BC39" i="3"/>
  <c r="Y53" i="2"/>
  <c r="Z52" i="2"/>
  <c r="AA83" i="2"/>
  <c r="Z23" i="2"/>
  <c r="AX38" i="3"/>
  <c r="AZ21" i="3"/>
  <c r="AF23" i="3"/>
  <c r="K6" i="6" a="1"/>
  <c r="ET8" i="4" a="1"/>
  <c r="AX26" i="3"/>
  <c r="U6" i="6" a="1"/>
  <c r="AX27" i="3"/>
  <c r="EN9" i="4" a="1"/>
  <c r="AY84" i="3"/>
  <c r="AZ22" i="3"/>
  <c r="AX39" i="3"/>
  <c r="AS27" i="3"/>
  <c r="EV7" i="4" a="1"/>
  <c r="AZ12" i="3"/>
  <c r="AU36" i="3"/>
  <c r="AZ8" i="3"/>
  <c r="AW33" i="3"/>
  <c r="AF35" i="3"/>
  <c r="Y6" i="6" a="1"/>
  <c r="AX6" i="6" a="1"/>
  <c r="D5" i="6" a="1"/>
  <c r="AT27" i="3"/>
  <c r="AY58" i="3"/>
  <c r="AZ28" i="3"/>
  <c r="EW9" i="4" a="1"/>
  <c r="EO15" i="4" a="1"/>
  <c r="AY89" i="3"/>
  <c r="AW11" i="3"/>
  <c r="Z81" i="2"/>
  <c r="AA23" i="2"/>
  <c r="Y97" i="2"/>
  <c r="Y7" i="2"/>
  <c r="AA40" i="2"/>
  <c r="Z107" i="2"/>
  <c r="Z74" i="2"/>
  <c r="BD38" i="3"/>
  <c r="BC19" i="3"/>
  <c r="AA34" i="2"/>
  <c r="BD33" i="3"/>
  <c r="BC25" i="3"/>
  <c r="Y59" i="2"/>
  <c r="BC10" i="3"/>
  <c r="FA12" i="4" a="1"/>
  <c r="BD39" i="3"/>
  <c r="FE11" i="4" a="1"/>
  <c r="Y60" i="2"/>
  <c r="BD37" i="3"/>
  <c r="Z29" i="2"/>
  <c r="BD36" i="3"/>
  <c r="Z45" i="2"/>
  <c r="Z72" i="2"/>
  <c r="FF11" i="4" a="1"/>
  <c r="Y68" i="2"/>
  <c r="FD13" i="4" a="1"/>
  <c r="Y83" i="2"/>
  <c r="Z109" i="2"/>
  <c r="FE8" i="4" a="1"/>
  <c r="BD14" i="3"/>
  <c r="BB42" i="3"/>
  <c r="Z30" i="2"/>
  <c r="AA105" i="2"/>
  <c r="Y91" i="2"/>
  <c r="FB9" i="4" a="1"/>
  <c r="AU13" i="3"/>
  <c r="AW15" i="3"/>
  <c r="AY15" i="3"/>
  <c r="BC7" i="3"/>
  <c r="Z21" i="2"/>
  <c r="Z70" i="2"/>
  <c r="BB13" i="3"/>
  <c r="FC11" i="4" a="1"/>
  <c r="AY18" i="3"/>
  <c r="AS15" i="3"/>
  <c r="ER12" i="4" a="1"/>
  <c r="BB45" i="3"/>
  <c r="Z22" i="2"/>
  <c r="Z42" i="2"/>
  <c r="BB46" i="3"/>
  <c r="EY13" i="4" a="1"/>
  <c r="AR5" i="3"/>
  <c r="EM8" i="4" a="1"/>
  <c r="J5" i="6" a="1"/>
  <c r="EP9" i="4" a="1"/>
  <c r="AU28" i="3"/>
  <c r="AF13" i="3"/>
  <c r="AW6" i="6" a="1"/>
  <c r="AU6" i="3"/>
  <c r="AW27" i="3"/>
  <c r="AW9" i="3"/>
  <c r="ET6" i="4" a="1"/>
  <c r="AF6" i="6" a="1"/>
  <c r="AZ33" i="3"/>
  <c r="AU26" i="3"/>
  <c r="AX7" i="3"/>
  <c r="Y24" i="2"/>
  <c r="AF16" i="3"/>
  <c r="AV41" i="3"/>
  <c r="AT6" i="3"/>
  <c r="AV33" i="3"/>
  <c r="AS5" i="6" a="1"/>
  <c r="ES11" i="4" a="1"/>
  <c r="EV15" i="4" a="1"/>
  <c r="AL6" i="6" a="1"/>
  <c r="AV25" i="3"/>
  <c r="AV37" i="3"/>
  <c r="AX36" i="3"/>
  <c r="O6" i="6" a="1"/>
  <c r="ER8" i="4" a="1"/>
  <c r="EX15" i="4" a="1"/>
  <c r="AZ24" i="3"/>
  <c r="ES6" i="4" a="1"/>
  <c r="AT13" i="3"/>
  <c r="L5" i="6" a="1"/>
  <c r="AP6" i="6" a="1"/>
  <c r="ER5" i="4" a="1"/>
  <c r="AU9" i="3"/>
  <c r="AV13" i="3"/>
  <c r="AS35" i="3"/>
  <c r="EO5" i="4" a="1"/>
  <c r="AF22" i="3"/>
  <c r="AU29" i="3"/>
  <c r="EP6" i="4" a="1"/>
  <c r="AX34" i="3"/>
  <c r="AU15" i="3"/>
  <c r="AS40" i="3"/>
  <c r="AT30" i="3"/>
  <c r="AZ27" i="3"/>
  <c r="AZ14" i="3"/>
  <c r="J13" i="2"/>
  <c r="E19" i="2"/>
  <c r="W35" i="2"/>
  <c r="S11" i="4" a="1"/>
  <c r="G16" i="2"/>
  <c r="R54" i="2"/>
  <c r="D37" i="3"/>
  <c r="Q59" i="2"/>
  <c r="Q16" i="2"/>
  <c r="P34" i="2"/>
  <c r="M5" i="4" a="1"/>
  <c r="BZ7" i="4" a="1"/>
  <c r="L17" i="2"/>
  <c r="C24" i="2"/>
  <c r="AJ46" i="3"/>
  <c r="DW14" i="4" a="1"/>
  <c r="E12" i="2"/>
  <c r="AR19" i="3"/>
  <c r="CQ15" i="4" a="1"/>
  <c r="Z27" i="2"/>
  <c r="BC28" i="3"/>
  <c r="Z61" i="2"/>
  <c r="Y44" i="2"/>
  <c r="Z83" i="2"/>
  <c r="Z40" i="2"/>
  <c r="AA33" i="2"/>
  <c r="Y66" i="2"/>
  <c r="Y51" i="2"/>
  <c r="AY29" i="3"/>
  <c r="BA10" i="3"/>
  <c r="Z110" i="2"/>
  <c r="Y34" i="2"/>
  <c r="AA104" i="2"/>
  <c r="FA6" i="4" a="1"/>
  <c r="AA48" i="2"/>
  <c r="FB5" i="4" a="1"/>
  <c r="Z63" i="2"/>
  <c r="Z25" i="2"/>
  <c r="AA61" i="2"/>
  <c r="BD19" i="3"/>
  <c r="AA7" i="2"/>
  <c r="BD35" i="3"/>
  <c r="FD8" i="4" a="1"/>
  <c r="BC18" i="3"/>
  <c r="EY5" i="4" a="1"/>
  <c r="Y74" i="2"/>
  <c r="BC36" i="3"/>
  <c r="EZ5" i="4" a="1"/>
  <c r="AA53" i="2"/>
  <c r="Z51" i="2"/>
  <c r="AA31" i="2"/>
  <c r="FD16" i="4" a="1"/>
  <c r="BD41" i="3"/>
  <c r="BA12" i="3"/>
  <c r="BA27" i="3"/>
  <c r="Y86" i="2"/>
  <c r="Z53" i="2"/>
  <c r="Z56" i="2"/>
  <c r="Y41" i="2"/>
  <c r="BD23" i="3"/>
  <c r="FF6" i="4" a="1"/>
  <c r="AA109" i="2"/>
  <c r="BC27" i="3"/>
  <c r="BC37" i="3"/>
  <c r="Z90" i="2"/>
  <c r="BA41" i="3"/>
  <c r="Y30" i="2"/>
  <c r="FF12" i="4" a="1"/>
  <c r="BA28" i="3"/>
  <c r="EX14" i="4" a="1"/>
  <c r="Z7" i="2"/>
  <c r="Y49" i="2"/>
  <c r="AA75" i="2"/>
  <c r="BD26" i="3"/>
  <c r="AA9" i="2"/>
  <c r="EX13" i="4" a="1"/>
  <c r="Y23" i="2"/>
  <c r="EY6" i="4" a="1"/>
  <c r="Y31" i="2"/>
  <c r="BA45" i="3"/>
  <c r="Y110" i="2"/>
  <c r="BB9" i="3"/>
  <c r="Z94" i="2"/>
  <c r="Y67" i="2"/>
  <c r="AA50" i="2"/>
  <c r="FA7" i="4" a="1"/>
  <c r="FB13" i="4" a="1"/>
  <c r="EQ7" i="4" a="1"/>
  <c r="EQ16" i="4" a="1"/>
  <c r="AU30" i="3"/>
  <c r="Z8" i="2"/>
  <c r="BC22" i="3"/>
  <c r="Z57" i="2"/>
  <c r="BD17" i="3"/>
  <c r="EZ15" i="4" a="1"/>
  <c r="AZ23" i="3"/>
  <c r="AY30" i="3"/>
  <c r="AY13" i="3"/>
  <c r="Z60" i="2"/>
  <c r="AA97" i="2"/>
  <c r="EX11" i="4" a="1"/>
  <c r="Y108" i="2"/>
  <c r="EX8" i="4" a="1"/>
  <c r="FE15" i="4" a="1"/>
  <c r="EM13" i="4" a="1"/>
  <c r="EQ9" i="4" a="1"/>
  <c r="AT31" i="3"/>
  <c r="O5" i="6" a="1"/>
  <c r="AS41" i="3"/>
  <c r="AZ20" i="3"/>
  <c r="AT46" i="3"/>
  <c r="AF5" i="6" a="1"/>
  <c r="EQ11" i="4" a="1"/>
  <c r="AZ18" i="3"/>
  <c r="EN14" i="4" a="1"/>
  <c r="AY42" i="3"/>
  <c r="ER13" i="4" a="1"/>
  <c r="EO12" i="4" a="1"/>
  <c r="AS29" i="3"/>
  <c r="AY19" i="3"/>
  <c r="AV24" i="3"/>
  <c r="AO6" i="6" a="1"/>
  <c r="AX29" i="3"/>
  <c r="AY46" i="3"/>
  <c r="AZ19" i="3"/>
  <c r="C5" i="3"/>
  <c r="C90" i="3" s="1"/>
  <c r="BD30" i="3"/>
  <c r="Y56" i="2"/>
  <c r="BD11" i="3"/>
  <c r="Y72" i="2"/>
  <c r="BA46" i="3"/>
  <c r="FF9" i="4" a="1"/>
  <c r="BC8" i="3"/>
  <c r="AA64" i="2"/>
  <c r="Z65" i="2"/>
  <c r="Z91" i="2"/>
  <c r="H5" i="6" a="1"/>
  <c r="AA22" i="2"/>
  <c r="AU25" i="3"/>
  <c r="BC5" i="3"/>
  <c r="BC96" i="3" s="1"/>
  <c r="FF13" i="4" a="1"/>
  <c r="AF25" i="3"/>
  <c r="AU16" i="3"/>
  <c r="EP16" i="4" a="1"/>
  <c r="AD5" i="6" a="1"/>
  <c r="ES9" i="4" a="1"/>
  <c r="AX40" i="3"/>
  <c r="EV6" i="4" a="1"/>
  <c r="AP6" i="3"/>
  <c r="Q6" i="6" a="1"/>
  <c r="ET9" i="4" a="1"/>
  <c r="EN11" i="4" a="1"/>
  <c r="ET5" i="4" a="1"/>
  <c r="AW10" i="3"/>
  <c r="AT26" i="3"/>
  <c r="AY12" i="3"/>
  <c r="AY36" i="3"/>
  <c r="AZ38" i="3"/>
  <c r="AX35" i="3"/>
  <c r="AV36" i="3"/>
  <c r="AZ41" i="3"/>
  <c r="AV23" i="3"/>
  <c r="AZ45" i="3"/>
  <c r="Q46" i="2"/>
  <c r="K17" i="2"/>
  <c r="V11" i="2"/>
  <c r="H5" i="2"/>
  <c r="D13" i="4" a="1"/>
  <c r="I24" i="2"/>
  <c r="H30" i="2"/>
  <c r="H23" i="2"/>
  <c r="FB11" i="4" a="1"/>
  <c r="Z75" i="2"/>
  <c r="Z84" i="2"/>
  <c r="Y107" i="2"/>
  <c r="BB27" i="3"/>
  <c r="EP13" i="4" a="1"/>
  <c r="EY8" i="4" a="1"/>
  <c r="AD6" i="6" a="1"/>
  <c r="Y77" i="2"/>
  <c r="FC12" i="4" a="1"/>
  <c r="AW16" i="3"/>
  <c r="AY21" i="3"/>
  <c r="AS46" i="3"/>
  <c r="AT8" i="3"/>
  <c r="F45" i="3"/>
  <c r="AS26" i="3"/>
  <c r="AX5" i="6" a="1"/>
  <c r="EP15" i="4" a="1"/>
  <c r="AY11" i="3"/>
  <c r="R6" i="6" a="1"/>
  <c r="AN6" i="6" a="1"/>
  <c r="AU14" i="3"/>
  <c r="AY10" i="3"/>
  <c r="AV40" i="3"/>
  <c r="AX15" i="3"/>
  <c r="AV32" i="3"/>
  <c r="AW14" i="3"/>
  <c r="EU14" i="4" a="1"/>
  <c r="AF28" i="3"/>
  <c r="AX30" i="3"/>
  <c r="AW18" i="3"/>
  <c r="W5" i="6" a="1"/>
  <c r="AS10" i="3"/>
  <c r="I28" i="2"/>
  <c r="V9" i="2"/>
  <c r="AR46" i="3"/>
  <c r="BK6" i="4" a="1"/>
  <c r="D24" i="2"/>
  <c r="T35" i="2"/>
  <c r="J26" i="2"/>
  <c r="Q24" i="2"/>
  <c r="L13" i="2"/>
  <c r="F28" i="2"/>
  <c r="D13" i="2"/>
  <c r="D11" i="2"/>
  <c r="AW15" i="4" a="1"/>
  <c r="C8" i="4" a="1"/>
  <c r="AD15" i="3"/>
  <c r="E21" i="2"/>
  <c r="V16" i="2"/>
  <c r="J6" i="2"/>
  <c r="F7" i="2"/>
  <c r="N20" i="2"/>
  <c r="V24" i="2"/>
  <c r="R21" i="2"/>
  <c r="K27" i="2"/>
  <c r="U18" i="2"/>
  <c r="Q55" i="2"/>
  <c r="CT5" i="4" a="1"/>
  <c r="C15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T15" i="2"/>
  <c r="AA110" i="2"/>
  <c r="AA18" i="2"/>
  <c r="AA56" i="2"/>
  <c r="Y89" i="2"/>
  <c r="Z15" i="2"/>
  <c r="AZ46" i="3"/>
  <c r="Y79" i="2"/>
  <c r="AF10" i="3"/>
  <c r="AA68" i="2"/>
  <c r="AF36" i="3"/>
  <c r="EY14" i="4" a="1"/>
  <c r="C5" i="4" a="1"/>
  <c r="ER7" i="4" a="1"/>
  <c r="EW8" i="4" a="1"/>
  <c r="AF29" i="3"/>
  <c r="AY9" i="3"/>
  <c r="AW6" i="3"/>
  <c r="EO14" i="4" a="1"/>
  <c r="AX6" i="3"/>
  <c r="AS7" i="3"/>
  <c r="EQ5" i="4" a="1"/>
  <c r="AU27" i="3"/>
  <c r="EM5" i="4" a="1"/>
  <c r="AV7" i="3"/>
  <c r="EQ6" i="4" a="1"/>
  <c r="AS33" i="3"/>
  <c r="AZ17" i="3"/>
  <c r="P6" i="6" a="1"/>
  <c r="EM16" i="4" a="1"/>
  <c r="AX5" i="3"/>
  <c r="EL6" i="4" a="1"/>
  <c r="C11" i="2"/>
  <c r="N8" i="2"/>
  <c r="G30" i="2"/>
  <c r="BO8" i="4" a="1"/>
  <c r="S34" i="2"/>
  <c r="U27" i="2"/>
  <c r="O33" i="2"/>
  <c r="I7" i="2"/>
  <c r="E13" i="2"/>
  <c r="F35" i="2"/>
  <c r="J17" i="2"/>
  <c r="T25" i="2"/>
  <c r="BB14" i="4" a="1"/>
  <c r="DM6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Q17" i="2"/>
  <c r="U7" i="2"/>
  <c r="K24" i="2"/>
  <c r="V25" i="2"/>
  <c r="R32" i="2"/>
  <c r="W18" i="2"/>
  <c r="T13" i="2"/>
  <c r="DN7" i="4" a="1"/>
  <c r="I19" i="2"/>
  <c r="S26" i="2"/>
  <c r="K21" i="2"/>
  <c r="G33" i="2"/>
  <c r="BT16" i="4" a="1"/>
  <c r="BI7" i="4" a="1"/>
  <c r="DL11" i="4" a="1"/>
  <c r="G16" i="4" a="1"/>
  <c r="AM8" i="4" a="1"/>
  <c r="D29" i="3"/>
  <c r="DK14" i="4" a="1"/>
  <c r="Y6" i="2"/>
  <c r="AA95" i="2"/>
  <c r="Y98" i="2"/>
  <c r="Z92" i="2"/>
  <c r="AA16" i="2"/>
  <c r="AA10" i="2"/>
  <c r="AU38" i="3"/>
  <c r="BD9" i="3"/>
  <c r="AL5" i="6" a="1"/>
  <c r="FF14" i="4" a="1"/>
  <c r="M5" i="6" a="1"/>
  <c r="AS11" i="3"/>
  <c r="EZ9" i="4" a="1"/>
  <c r="AY26" i="3"/>
  <c r="AY41" i="3"/>
  <c r="FD14" i="4" a="1"/>
  <c r="AS18" i="3"/>
  <c r="AY37" i="3"/>
  <c r="AF26" i="3"/>
  <c r="AX42" i="3"/>
  <c r="AU17" i="3"/>
  <c r="AW35" i="3"/>
  <c r="AV38" i="3"/>
  <c r="ET15" i="4" a="1"/>
  <c r="ER11" i="4" a="1"/>
  <c r="AW8" i="3"/>
  <c r="AY23" i="3"/>
  <c r="AS12" i="3"/>
  <c r="ER6" i="4" a="1"/>
  <c r="Z6" i="6" a="1"/>
  <c r="AS42" i="3"/>
  <c r="Q54" i="2"/>
  <c r="DV7" i="4" a="1"/>
  <c r="X20" i="2"/>
  <c r="O17" i="2"/>
  <c r="X10" i="2"/>
  <c r="S27" i="2"/>
  <c r="Q33" i="2"/>
  <c r="S18" i="2"/>
  <c r="E9" i="2"/>
  <c r="X92" i="2"/>
  <c r="M23" i="2"/>
  <c r="D5" i="2"/>
  <c r="T12" i="4" a="1"/>
  <c r="DL8" i="4" a="1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S13" i="2"/>
  <c r="M28" i="2"/>
  <c r="E10" i="2"/>
  <c r="AD9" i="4" a="1"/>
  <c r="F31" i="2"/>
  <c r="N17" i="2"/>
  <c r="F9" i="2"/>
  <c r="BD5" i="4" a="1"/>
  <c r="AI11" i="4" a="1"/>
  <c r="H10" i="2"/>
  <c r="V31" i="2"/>
  <c r="Z85" i="2"/>
  <c r="BC12" i="3"/>
  <c r="Y78" i="2"/>
  <c r="Y76" i="2"/>
  <c r="BB28" i="3"/>
  <c r="BA23" i="3"/>
  <c r="AZ34" i="3"/>
  <c r="Z32" i="2"/>
  <c r="EV5" i="4" a="1"/>
  <c r="BC32" i="3"/>
  <c r="FC9" i="4" a="1"/>
  <c r="AM6" i="6" a="1"/>
  <c r="AH5" i="6" a="1"/>
  <c r="AX31" i="3"/>
  <c r="AU5" i="3"/>
  <c r="AY7" i="3"/>
  <c r="Z95" i="2"/>
  <c r="AF14" i="3"/>
  <c r="ES7" i="4" a="1"/>
  <c r="AX21" i="3"/>
  <c r="T6" i="6" a="1"/>
  <c r="AY17" i="3"/>
  <c r="AT20" i="3"/>
  <c r="FA8" i="4" a="1"/>
  <c r="AF38" i="3"/>
  <c r="AF21" i="3"/>
  <c r="AY5" i="6" a="1"/>
  <c r="AW32" i="3"/>
  <c r="AU11" i="3"/>
  <c r="EV11" i="4" a="1"/>
  <c r="EL9" i="4" a="1"/>
  <c r="EW16" i="4" a="1"/>
  <c r="AC5" i="6" a="1"/>
  <c r="EW7" i="4" a="1"/>
  <c r="U32" i="2"/>
  <c r="EC15" i="4" a="1"/>
  <c r="X25" i="2"/>
  <c r="H24" i="2"/>
  <c r="R23" i="2"/>
  <c r="Q78" i="2"/>
  <c r="J22" i="2"/>
  <c r="C7" i="2"/>
  <c r="E22" i="2"/>
  <c r="P31" i="2"/>
  <c r="AP15" i="4" a="1"/>
  <c r="F12" i="4" a="1"/>
  <c r="AR38" i="3"/>
  <c r="BN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F11" i="4" a="1"/>
  <c r="I33" i="2"/>
  <c r="BB7" i="3"/>
  <c r="Y92" i="2"/>
  <c r="BA42" i="3"/>
  <c r="AA11" i="2"/>
  <c r="Z5" i="2"/>
  <c r="Y48" i="2"/>
  <c r="AT23" i="3"/>
  <c r="BD18" i="3"/>
  <c r="AS19" i="3"/>
  <c r="Y5" i="2"/>
  <c r="FE13" i="4" a="1"/>
  <c r="AV18" i="3"/>
  <c r="AT32" i="3"/>
  <c r="AW30" i="3"/>
  <c r="EU13" i="4" a="1"/>
  <c r="Q5" i="6" a="1"/>
  <c r="EZ11" i="4" a="1"/>
  <c r="AX25" i="3"/>
  <c r="AW12" i="3"/>
  <c r="J6" i="6" a="1"/>
  <c r="EM9" i="4" a="1"/>
  <c r="V5" i="6" a="1"/>
  <c r="AF33" i="3"/>
  <c r="EN5" i="4" a="1"/>
  <c r="AY6" i="6" a="1"/>
  <c r="AS38" i="3"/>
  <c r="AU8" i="3"/>
  <c r="AS24" i="3"/>
  <c r="EU5" i="4" a="1"/>
  <c r="EL5" i="4" a="1"/>
  <c r="AZ10" i="3"/>
  <c r="AW36" i="3"/>
  <c r="AU35" i="3"/>
  <c r="AK8" i="4" a="1"/>
  <c r="D28" i="2"/>
  <c r="N7" i="2"/>
  <c r="R29" i="2"/>
  <c r="E29" i="2"/>
  <c r="P27" i="2"/>
  <c r="X30" i="2"/>
  <c r="BS13" i="4" a="1"/>
  <c r="C16" i="2"/>
  <c r="DM5" i="4" a="1"/>
  <c r="BY13" i="4" a="1"/>
  <c r="AG7" i="4" a="1"/>
  <c r="CV9" i="4" a="1"/>
  <c r="F34" i="3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C32" i="2"/>
  <c r="E31" i="2"/>
  <c r="T26" i="2"/>
  <c r="AF8" i="4" a="1"/>
  <c r="V15" i="2"/>
  <c r="S30" i="2"/>
  <c r="R15" i="2"/>
  <c r="C46" i="3"/>
  <c r="J7" i="2"/>
  <c r="N16" i="2"/>
  <c r="X34" i="2"/>
  <c r="L32" i="2"/>
  <c r="CF13" i="4" a="1"/>
  <c r="N45" i="3"/>
  <c r="P16" i="2"/>
  <c r="AU11" i="4" a="1"/>
  <c r="EH11" i="4" a="1"/>
  <c r="BD8" i="4" a="1"/>
  <c r="F13" i="3"/>
  <c r="I11" i="2"/>
  <c r="DL9" i="4" a="1"/>
  <c r="EG16" i="4" a="1"/>
  <c r="BG15" i="4" a="1"/>
  <c r="DQ11" i="4" a="1"/>
  <c r="C35" i="2"/>
  <c r="BB13" i="4" a="1"/>
  <c r="BW12" i="4" a="1"/>
  <c r="ED6" i="4" a="1"/>
  <c r="CV13" i="4" a="1"/>
  <c r="S12" i="2"/>
  <c r="DL13" i="4" a="1"/>
  <c r="CD12" i="4" a="1"/>
  <c r="CJ11" i="4" a="1"/>
  <c r="AC15" i="4" a="1"/>
  <c r="AR39" i="3"/>
  <c r="AR42" i="3"/>
  <c r="E20" i="2"/>
  <c r="C45" i="3"/>
  <c r="CR15" i="4" a="1"/>
  <c r="AQ9" i="4" a="1"/>
  <c r="F22" i="3"/>
  <c r="U6" i="4" a="1"/>
  <c r="DI14" i="4" a="1"/>
  <c r="E32" i="3"/>
  <c r="DW15" i="4" a="1"/>
  <c r="CV12" i="4" a="1"/>
  <c r="O13" i="2"/>
  <c r="L26" i="2"/>
  <c r="BC20" i="3"/>
  <c r="AA21" i="2"/>
  <c r="EZ13" i="4" a="1"/>
  <c r="BC42" i="3"/>
  <c r="Z10" i="2"/>
  <c r="BC31" i="3"/>
  <c r="EV14" i="4" a="1"/>
  <c r="Z48" i="2"/>
  <c r="AT38" i="3"/>
  <c r="Y73" i="2"/>
  <c r="E5" i="6" a="1"/>
  <c r="EQ12" i="4" a="1"/>
  <c r="AT40" i="3"/>
  <c r="EL12" i="4" a="1"/>
  <c r="EW14" i="4" a="1"/>
  <c r="ET12" i="4" a="1"/>
  <c r="AR6" i="3"/>
  <c r="AR7" i="3"/>
  <c r="ES13" i="4" a="1"/>
  <c r="AV8" i="3"/>
  <c r="Y5" i="6" a="1"/>
  <c r="AS17" i="3"/>
  <c r="EO9" i="4" a="1"/>
  <c r="AU10" i="3"/>
  <c r="AT9" i="3"/>
  <c r="AF41" i="3"/>
  <c r="AV19" i="3"/>
  <c r="AA5" i="6" a="1"/>
  <c r="C5" i="6" a="1"/>
  <c r="AX10" i="3"/>
  <c r="EV12" i="4" a="1"/>
  <c r="V6" i="6" a="1"/>
  <c r="AH6" i="6" a="1"/>
  <c r="EN15" i="4" a="1"/>
  <c r="CH5" i="4" a="1"/>
  <c r="I32" i="2"/>
  <c r="M22" i="2"/>
  <c r="N29" i="2"/>
  <c r="X5" i="2"/>
  <c r="W34" i="2"/>
  <c r="J5" i="2"/>
  <c r="AR15" i="3"/>
  <c r="R16" i="4" a="1"/>
  <c r="E5" i="3"/>
  <c r="O5" i="2"/>
  <c r="CG7" i="4" a="1"/>
  <c r="AD11" i="4" a="1"/>
  <c r="CH6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K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T8" i="2"/>
  <c r="S21" i="2"/>
  <c r="C21" i="2"/>
  <c r="AI9" i="4" a="1"/>
  <c r="M24" i="2"/>
  <c r="U26" i="2"/>
  <c r="T16" i="2"/>
  <c r="EI6" i="4" a="1"/>
  <c r="P5" i="2"/>
  <c r="N31" i="2"/>
  <c r="W11" i="2"/>
  <c r="M27" i="2"/>
  <c r="CN13" i="4" a="1"/>
  <c r="BR16" i="4" a="1"/>
  <c r="U8" i="2"/>
  <c r="CR12" i="4" a="1"/>
  <c r="AT8" i="4" a="1"/>
  <c r="Y11" i="4" a="1"/>
  <c r="Q5" i="4" a="1"/>
  <c r="E16" i="2"/>
  <c r="E41" i="3"/>
  <c r="EE13" i="4" a="1"/>
  <c r="AO14" i="4" a="1"/>
  <c r="CO5" i="4" a="1"/>
  <c r="X21" i="2"/>
  <c r="BK13" i="4" a="1"/>
  <c r="D11" i="4" a="1"/>
  <c r="E16" i="3"/>
  <c r="DT16" i="4" a="1"/>
  <c r="U11" i="2"/>
  <c r="C17" i="2"/>
  <c r="X66" i="2"/>
  <c r="Q30" i="2"/>
  <c r="CO9" i="4" a="1"/>
  <c r="G14" i="4" a="1"/>
  <c r="DR7" i="4" a="1"/>
  <c r="AR9" i="4" a="1"/>
  <c r="D27" i="3"/>
  <c r="DF11" i="4" a="1"/>
  <c r="EJ14" i="4" a="1"/>
  <c r="H27" i="2"/>
  <c r="CU13" i="4" a="1"/>
  <c r="DI6" i="4" a="1"/>
  <c r="CP11" i="4" a="1"/>
  <c r="DF7" i="4" a="1"/>
  <c r="F20" i="3"/>
  <c r="DE15" i="4" a="1"/>
  <c r="U36" i="2"/>
  <c r="D16" i="2"/>
  <c r="H8" i="2"/>
  <c r="X41" i="2"/>
  <c r="L21" i="2"/>
  <c r="BI16" i="4" a="1"/>
  <c r="EA7" i="4" a="1"/>
  <c r="M34" i="2"/>
  <c r="AP6" i="4" a="1"/>
  <c r="DF13" i="4" a="1"/>
  <c r="BE9" i="4" a="1"/>
  <c r="DK6" i="4" a="1"/>
  <c r="CO6" i="4" a="1"/>
  <c r="DU12" i="4" a="1"/>
  <c r="BJ9" i="4" a="1"/>
  <c r="G17" i="3"/>
  <c r="BQ12" i="4" a="1"/>
  <c r="Z14" i="2"/>
  <c r="AA28" i="2"/>
  <c r="FF15" i="4" a="1"/>
  <c r="Z86" i="2"/>
  <c r="Y106" i="2"/>
  <c r="FC13" i="4" a="1"/>
  <c r="AA71" i="2"/>
  <c r="AA36" i="2"/>
  <c r="AT36" i="3"/>
  <c r="BB8" i="3"/>
  <c r="AT28" i="3"/>
  <c r="AW28" i="3"/>
  <c r="AF46" i="3"/>
  <c r="AF39" i="3"/>
  <c r="AF24" i="3"/>
  <c r="AZ13" i="3"/>
  <c r="AW25" i="3"/>
  <c r="I6" i="6" a="1"/>
  <c r="AX28" i="3"/>
  <c r="AX41" i="3"/>
  <c r="EN8" i="4" a="1"/>
  <c r="EM14" i="4" a="1"/>
  <c r="AF34" i="3"/>
  <c r="AG6" i="6" a="1"/>
  <c r="AV26" i="3"/>
  <c r="AU34" i="3"/>
  <c r="AX19" i="3"/>
  <c r="AQ5" i="6" a="1"/>
  <c r="AU37" i="3"/>
  <c r="EO11" i="4" a="1"/>
  <c r="AB5" i="6" a="1"/>
  <c r="EV16" i="4" a="1"/>
  <c r="AY35" i="3"/>
  <c r="AF31" i="3"/>
  <c r="F5" i="6" a="1"/>
  <c r="R33" i="2"/>
  <c r="L19" i="2"/>
  <c r="G15" i="2"/>
  <c r="E14" i="2"/>
  <c r="X17" i="2"/>
  <c r="D14" i="2"/>
  <c r="F10" i="3"/>
  <c r="O36" i="2"/>
  <c r="EE14" i="4" a="1"/>
  <c r="P20" i="2"/>
  <c r="W29" i="2"/>
  <c r="BX12" i="4" a="1"/>
  <c r="DK9" i="4" a="1"/>
  <c r="DC15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G13" i="2"/>
  <c r="Q32" i="2"/>
  <c r="D9" i="2"/>
  <c r="W21" i="2"/>
  <c r="CI7" i="4" a="1"/>
  <c r="L14" i="2"/>
  <c r="L36" i="2"/>
  <c r="CD6" i="4" a="1"/>
  <c r="AX6" i="4" a="1"/>
  <c r="BD12" i="3"/>
  <c r="AA26" i="2"/>
  <c r="AA90" i="2"/>
  <c r="FB16" i="4" a="1"/>
  <c r="BA29" i="3"/>
  <c r="FE5" i="4" a="1"/>
  <c r="BC45" i="3"/>
  <c r="BB32" i="3"/>
  <c r="AU32" i="3"/>
  <c r="Z50" i="2"/>
  <c r="AV39" i="3"/>
  <c r="AY27" i="3"/>
  <c r="AU19" i="3"/>
  <c r="AZ25" i="3"/>
  <c r="AV9" i="3"/>
  <c r="AT29" i="3"/>
  <c r="AM5" i="6" a="1"/>
  <c r="AY28" i="3"/>
  <c r="AU33" i="3"/>
  <c r="AF18" i="3"/>
  <c r="EL14" i="4" a="1"/>
  <c r="ET7" i="4" a="1"/>
  <c r="AU45" i="3"/>
  <c r="X5" i="6" a="1"/>
  <c r="AX33" i="3"/>
  <c r="K5" i="6" a="1"/>
  <c r="AI5" i="6" a="1"/>
  <c r="AT19" i="3"/>
  <c r="AU22" i="3"/>
  <c r="AT5" i="3"/>
  <c r="ER15" i="4" a="1"/>
  <c r="AT33" i="3"/>
  <c r="AY24" i="3"/>
  <c r="FD5" i="4" a="1"/>
  <c r="AY20" i="3"/>
  <c r="F27" i="2"/>
  <c r="O22" i="2"/>
  <c r="U15" i="2"/>
  <c r="K10" i="2"/>
  <c r="L11" i="2"/>
  <c r="C30" i="2"/>
  <c r="F17" i="3"/>
  <c r="V18" i="2"/>
  <c r="C20" i="2"/>
  <c r="J25" i="2"/>
  <c r="P13" i="2"/>
  <c r="AM6" i="4" a="1"/>
  <c r="CP14" i="4" a="1"/>
  <c r="BH12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H20" i="2"/>
  <c r="AW14" i="4" a="1"/>
  <c r="T21" i="2"/>
  <c r="I14" i="2"/>
  <c r="X13" i="2"/>
  <c r="CK15" i="4" a="1"/>
  <c r="E34" i="2"/>
  <c r="M36" i="2"/>
  <c r="O7" i="4" a="1"/>
  <c r="Z17" i="2"/>
  <c r="BA25" i="3"/>
  <c r="Y87" i="2"/>
  <c r="Y52" i="2"/>
  <c r="Z26" i="2"/>
  <c r="Y9" i="2"/>
  <c r="Y71" i="2"/>
  <c r="G5" i="6" a="1"/>
  <c r="BB25" i="3"/>
  <c r="Y15" i="2"/>
  <c r="AW31" i="3"/>
  <c r="AW34" i="3"/>
  <c r="AZ36" i="3"/>
  <c r="AT25" i="3"/>
  <c r="AY8" i="3"/>
  <c r="AX11" i="3"/>
  <c r="AG5" i="6" a="1"/>
  <c r="AX9" i="3"/>
  <c r="AU20" i="3"/>
  <c r="EP8" i="4" a="1"/>
  <c r="F46" i="3"/>
  <c r="AY34" i="3"/>
  <c r="ER9" i="4" a="1"/>
  <c r="EO13" i="4" a="1"/>
  <c r="U5" i="6" a="1"/>
  <c r="EO7" i="4" a="1"/>
  <c r="ET16" i="4" a="1"/>
  <c r="AC6" i="6" a="1"/>
  <c r="AU41" i="3"/>
  <c r="AZ29" i="3"/>
  <c r="X6" i="6" a="1"/>
  <c r="H17" i="2"/>
  <c r="U25" i="2"/>
  <c r="S19" i="2"/>
  <c r="R25" i="2"/>
  <c r="O30" i="2"/>
  <c r="AJ11" i="4" a="1"/>
  <c r="CN7" i="4" a="1"/>
  <c r="N33" i="2"/>
  <c r="M14" i="2"/>
  <c r="I16" i="2"/>
  <c r="W8" i="2"/>
  <c r="K20" i="2"/>
  <c r="DB8" i="4" a="1"/>
  <c r="L46" i="3"/>
  <c r="DC12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T22" i="2"/>
  <c r="EF6" i="4" a="1"/>
  <c r="W46" i="3"/>
  <c r="U28" i="2"/>
  <c r="V14" i="4" a="1"/>
  <c r="U14" i="2"/>
  <c r="I31" i="2"/>
  <c r="AR34" i="3"/>
  <c r="AD10" i="3"/>
  <c r="Q58" i="2"/>
  <c r="D47" i="2"/>
  <c r="AA91" i="2"/>
  <c r="BC26" i="3"/>
  <c r="Y45" i="2"/>
  <c r="BB10" i="3"/>
  <c r="AA29" i="2"/>
  <c r="Z44" i="2"/>
  <c r="Y26" i="2"/>
  <c r="FC7" i="4" a="1"/>
  <c r="AA66" i="2"/>
  <c r="Y95" i="2"/>
  <c r="EM15" i="4" a="1"/>
  <c r="AI6" i="6" a="1"/>
  <c r="AT11" i="3"/>
  <c r="AT15" i="3"/>
  <c r="AF8" i="3"/>
  <c r="EU16" i="4" a="1"/>
  <c r="AW40" i="3"/>
  <c r="AS6" i="3"/>
  <c r="AP5" i="3"/>
  <c r="EQ14" i="4" a="1"/>
  <c r="AF40" i="3"/>
  <c r="EU15" i="4" a="1"/>
  <c r="EP11" i="4" a="1"/>
  <c r="AX20" i="3"/>
  <c r="AT5" i="6" a="1"/>
  <c r="AZ16" i="3"/>
  <c r="AV27" i="3"/>
  <c r="AT45" i="3"/>
  <c r="EP7" i="4" a="1"/>
  <c r="EV13" i="4" a="1"/>
  <c r="AS21" i="3"/>
  <c r="AW17" i="3"/>
  <c r="AV30" i="3"/>
  <c r="BA6" i="3"/>
  <c r="C5" i="2"/>
  <c r="Z12" i="2"/>
  <c r="BA19" i="3"/>
  <c r="Y16" i="2"/>
  <c r="FA9" i="4" a="1"/>
  <c r="BA35" i="3"/>
  <c r="BB11" i="3"/>
  <c r="BD5" i="3"/>
  <c r="EY9" i="4" a="1"/>
  <c r="AZ37" i="3"/>
  <c r="ET11" i="4" a="1"/>
  <c r="AW38" i="3"/>
  <c r="AT16" i="3"/>
  <c r="AJ5" i="6" a="1"/>
  <c r="EU11" i="4" a="1"/>
  <c r="AW29" i="3"/>
  <c r="AK6" i="6" a="1"/>
  <c r="AT12" i="3"/>
  <c r="AF11" i="3"/>
  <c r="AV11" i="3"/>
  <c r="AF12" i="3"/>
  <c r="EU12" i="4" a="1"/>
  <c r="AT22" i="3"/>
  <c r="AE6" i="6" a="1"/>
  <c r="EM11" i="4" a="1"/>
  <c r="AW19" i="3"/>
  <c r="EL7" i="4" a="1"/>
  <c r="AF19" i="3"/>
  <c r="AZ5" i="3"/>
  <c r="AV46" i="3"/>
  <c r="L8" i="2"/>
  <c r="D29" i="2"/>
  <c r="L30" i="2"/>
  <c r="F14" i="2"/>
  <c r="I11" i="4" a="1"/>
  <c r="I35" i="2"/>
  <c r="W17" i="2"/>
  <c r="D12" i="2"/>
  <c r="D6" i="2"/>
  <c r="I9" i="2"/>
  <c r="S20" i="2"/>
  <c r="E28" i="2"/>
  <c r="EH16" i="4" a="1"/>
  <c r="AL8" i="4" a="1"/>
  <c r="BM5" i="4" a="1"/>
  <c r="H33" i="2"/>
  <c r="P22" i="2"/>
  <c r="C28" i="2"/>
  <c r="R6" i="4" a="1"/>
  <c r="N24" i="2"/>
  <c r="O27" i="2"/>
  <c r="R31" i="2"/>
  <c r="DJ16" i="4" a="1"/>
  <c r="V7" i="2"/>
  <c r="W5" i="2"/>
  <c r="R13" i="2"/>
  <c r="BZ5" i="4" a="1"/>
  <c r="J27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I18" i="2"/>
  <c r="H13" i="2"/>
  <c r="BE7" i="4" a="1"/>
  <c r="G8" i="2"/>
  <c r="D26" i="2"/>
  <c r="N28" i="2"/>
  <c r="DM13" i="4" a="1"/>
  <c r="C23" i="2"/>
  <c r="W5" i="4" a="1"/>
  <c r="U6" i="2"/>
  <c r="CY8" i="4" a="1"/>
  <c r="K29" i="2"/>
  <c r="DU7" i="4" a="1"/>
  <c r="R7" i="2"/>
  <c r="N14" i="2"/>
  <c r="DY11" i="4" a="1"/>
  <c r="O19" i="2"/>
  <c r="S35" i="2"/>
  <c r="J15" i="2"/>
  <c r="EJ5" i="4" a="1"/>
  <c r="O26" i="2"/>
  <c r="Q69" i="2"/>
  <c r="F42" i="3"/>
  <c r="BI5" i="4" a="1"/>
  <c r="F29" i="2"/>
  <c r="AY7" i="4" a="1"/>
  <c r="CP5" i="4" a="1"/>
  <c r="AE15" i="4" a="1"/>
  <c r="F14" i="3"/>
  <c r="BB9" i="4" a="1"/>
  <c r="BO9" i="4" a="1"/>
  <c r="DR11" i="4" a="1"/>
  <c r="R22" i="2"/>
  <c r="DS8" i="4" a="1"/>
  <c r="AX16" i="4" a="1"/>
  <c r="Q7" i="4" a="1"/>
  <c r="M15" i="2"/>
  <c r="BZ15" i="4" a="1"/>
  <c r="C25" i="2"/>
  <c r="P19" i="2"/>
  <c r="ED9" i="4" a="1"/>
  <c r="AC16" i="4" a="1"/>
  <c r="Z8" i="4" a="1"/>
  <c r="O11" i="4" a="1"/>
  <c r="AR5" i="4" a="1"/>
  <c r="CV14" i="4" a="1"/>
  <c r="G28" i="3"/>
  <c r="R5" i="2"/>
  <c r="S10" i="2"/>
  <c r="AB13" i="4" a="1"/>
  <c r="F75" i="2"/>
  <c r="BM14" i="4" a="1"/>
  <c r="X15" i="2"/>
  <c r="K36" i="2"/>
  <c r="J21" i="2"/>
  <c r="G36" i="2"/>
  <c r="W32" i="2"/>
  <c r="I46" i="3"/>
  <c r="K7" i="4" a="1"/>
  <c r="H12" i="2"/>
  <c r="AB11" i="4" a="1"/>
  <c r="BL14" i="4" a="1"/>
  <c r="R26" i="2"/>
  <c r="D38" i="3"/>
  <c r="AK7" i="4" a="1"/>
  <c r="DF16" i="4" a="1"/>
  <c r="S46" i="3"/>
  <c r="CM15" i="4" a="1"/>
  <c r="W13" i="4" a="1"/>
  <c r="E33" i="3"/>
  <c r="I5" i="4" a="1"/>
  <c r="CX15" i="4" a="1"/>
  <c r="CA14" i="4" a="1"/>
  <c r="AK13" i="4" a="1"/>
  <c r="DP14" i="4" a="1"/>
  <c r="G32" i="2"/>
  <c r="K15" i="4" a="1"/>
  <c r="H18" i="2"/>
  <c r="AQ12" i="4" a="1"/>
  <c r="CK13" i="4" a="1"/>
  <c r="DT12" i="4" a="1"/>
  <c r="DQ5" i="4" a="1"/>
  <c r="DF12" i="4" a="1"/>
  <c r="DQ16" i="4" a="1"/>
  <c r="EC14" i="4" a="1"/>
  <c r="C13" i="4" a="1"/>
  <c r="DS11" i="4" a="1"/>
  <c r="AZ16" i="4" a="1"/>
  <c r="AD8" i="4" a="1"/>
  <c r="V28" i="2"/>
  <c r="S16" i="2"/>
  <c r="J29" i="2"/>
  <c r="BY9" i="4" a="1"/>
  <c r="DV5" i="4" a="1"/>
  <c r="P24" i="2"/>
  <c r="AY15" i="4" a="1"/>
  <c r="AG12" i="4" a="1"/>
  <c r="CH13" i="4" a="1"/>
  <c r="CL15" i="4" a="1"/>
  <c r="BK8" i="4" a="1"/>
  <c r="AD14" i="4" a="1"/>
  <c r="ED8" i="4" a="1"/>
  <c r="AH5" i="4" a="1"/>
  <c r="Q10" i="2"/>
  <c r="AY5" i="4" a="1"/>
  <c r="CM7" i="4" a="1"/>
  <c r="AO8" i="4" a="1"/>
  <c r="DG16" i="4" a="1"/>
  <c r="W30" i="2"/>
  <c r="DE6" i="4" a="1"/>
  <c r="DM9" i="4" a="1"/>
  <c r="F13" i="4" a="1"/>
  <c r="DN9" i="4" a="1"/>
  <c r="EE7" i="4" a="1"/>
  <c r="BK7" i="4" a="1"/>
  <c r="CS16" i="4" a="1"/>
  <c r="E30" i="3"/>
  <c r="AC9" i="4" a="1"/>
  <c r="F36" i="3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R25" i="3"/>
  <c r="DK5" i="4" a="1"/>
  <c r="AW7" i="3"/>
  <c r="H19" i="2"/>
  <c r="I13" i="2"/>
  <c r="M8" i="2"/>
  <c r="V26" i="2"/>
  <c r="DH12" i="4" a="1"/>
  <c r="BX8" i="4" a="1"/>
  <c r="J19" i="2"/>
  <c r="Q20" i="2"/>
  <c r="V12" i="2"/>
  <c r="S9" i="2"/>
  <c r="O7" i="2"/>
  <c r="O24" i="2"/>
  <c r="R30" i="2"/>
  <c r="DX12" i="4" a="1"/>
  <c r="DZ11" i="4" a="1"/>
  <c r="J14" i="2"/>
  <c r="AH16" i="4" a="1"/>
  <c r="BN16" i="4" a="1"/>
  <c r="DN15" i="4" a="1"/>
  <c r="CW14" i="4" a="1"/>
  <c r="AE16" i="4" a="1"/>
  <c r="T45" i="3"/>
  <c r="DS6" i="4" a="1"/>
  <c r="AJ8" i="4" a="1"/>
  <c r="DO16" i="4" a="1"/>
  <c r="AW9" i="4" a="1"/>
  <c r="N35" i="2"/>
  <c r="P12" i="2"/>
  <c r="S28" i="2"/>
  <c r="D27" i="2"/>
  <c r="U5" i="4" a="1"/>
  <c r="DW5" i="4" a="1"/>
  <c r="EG14" i="4" a="1"/>
  <c r="AZ14" i="4" a="1"/>
  <c r="DY12" i="4" a="1"/>
  <c r="D33" i="2"/>
  <c r="CZ8" i="4" a="1"/>
  <c r="J15" i="4" a="1"/>
  <c r="AR26" i="3"/>
  <c r="DJ14" i="4" a="1"/>
  <c r="CX14" i="4" a="1"/>
  <c r="F6" i="2"/>
  <c r="V14" i="2"/>
  <c r="CO14" i="4" a="1"/>
  <c r="G22" i="2"/>
  <c r="EG12" i="4" a="1"/>
  <c r="AU13" i="4" a="1"/>
  <c r="V13" i="2"/>
  <c r="BJ12" i="4" a="1"/>
  <c r="E25" i="3"/>
  <c r="K16" i="4" a="1"/>
  <c r="E15" i="4" a="1"/>
  <c r="BW7" i="4" a="1"/>
  <c r="AN15" i="4" a="1"/>
  <c r="L6" i="4" a="1"/>
  <c r="K59" i="2"/>
  <c r="DG11" i="4" a="1"/>
  <c r="AC8" i="4" a="1"/>
  <c r="G26" i="3"/>
  <c r="AB6" i="4" a="1"/>
  <c r="W9" i="2"/>
  <c r="X31" i="2"/>
  <c r="DO7" i="4" a="1"/>
  <c r="BS14" i="4" a="1"/>
  <c r="DK11" i="4" a="1"/>
  <c r="R46" i="3"/>
  <c r="CC6" i="4" a="1"/>
  <c r="CW6" i="4" a="1"/>
  <c r="Z11" i="4" a="1"/>
  <c r="X12" i="4" a="1"/>
  <c r="EK8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AY14" i="4" a="1"/>
  <c r="CT13" i="4" a="1"/>
  <c r="X11" i="4" a="1"/>
  <c r="EJ11" i="4" a="1"/>
  <c r="CE9" i="4" a="1"/>
  <c r="Q8" i="2"/>
  <c r="AD17" i="3"/>
  <c r="CK16" i="4" a="1"/>
  <c r="S24" i="2"/>
  <c r="DC8" i="4" a="1"/>
  <c r="DT11" i="4" a="1"/>
  <c r="AS6" i="4" a="1"/>
  <c r="AX14" i="4" a="1"/>
  <c r="AT12" i="4" a="1"/>
  <c r="AR30" i="3"/>
  <c r="DL7" i="4" a="1"/>
  <c r="AE5" i="4" a="1"/>
  <c r="K11" i="2"/>
  <c r="D15" i="2"/>
  <c r="R18" i="2"/>
  <c r="T23" i="2"/>
  <c r="X8" i="2"/>
  <c r="S15" i="4" a="1"/>
  <c r="P6" i="2"/>
  <c r="J32" i="2"/>
  <c r="AG15" i="4" a="1"/>
  <c r="I34" i="2"/>
  <c r="P28" i="2"/>
  <c r="Q35" i="2"/>
  <c r="W10" i="2"/>
  <c r="CI14" i="4" a="1"/>
  <c r="CR13" i="4" a="1"/>
  <c r="CO13" i="4" a="1"/>
  <c r="M31" i="2"/>
  <c r="F6" i="3"/>
  <c r="R7" i="4" a="1"/>
  <c r="DA5" i="4" a="1"/>
  <c r="DX5" i="4" a="1"/>
  <c r="BC13" i="4" a="1"/>
  <c r="DG13" i="4" a="1"/>
  <c r="P14" i="4" a="1"/>
  <c r="K46" i="3"/>
  <c r="CG14" i="4" a="1"/>
  <c r="CA7" i="4" a="1"/>
  <c r="CP15" i="4" a="1"/>
  <c r="D22" i="2"/>
  <c r="BG12" i="4" a="1"/>
  <c r="T34" i="2"/>
  <c r="AQ15" i="4" a="1"/>
  <c r="DD5" i="4" a="1"/>
  <c r="L18" i="2"/>
  <c r="E6" i="3"/>
  <c r="AD7" i="4" a="1"/>
  <c r="BM9" i="4" a="1"/>
  <c r="U10" i="2"/>
  <c r="BF11" i="4" a="1"/>
  <c r="AR24" i="3"/>
  <c r="DO12" i="4" a="1"/>
  <c r="DB14" i="4" a="1"/>
  <c r="DC9" i="4" a="1"/>
  <c r="W24" i="2"/>
  <c r="J46" i="3"/>
  <c r="I15" i="2"/>
  <c r="X22" i="2"/>
  <c r="CQ7" i="4" a="1"/>
  <c r="AC7" i="4" a="1"/>
  <c r="N6" i="2"/>
  <c r="CP6" i="4" a="1"/>
  <c r="BQ9" i="4" a="1"/>
  <c r="AF7" i="4" a="1"/>
  <c r="L31" i="2"/>
  <c r="CO7" i="4" a="1"/>
  <c r="AB16" i="4" a="1"/>
  <c r="EK16" i="4" a="1"/>
  <c r="CI5" i="4" a="1"/>
  <c r="T28" i="2"/>
  <c r="BY15" i="4" a="1"/>
  <c r="BB8" i="4" a="1"/>
  <c r="AD6" i="3"/>
  <c r="S9" i="4" a="1"/>
  <c r="L35" i="2"/>
  <c r="BK11" i="4" a="1"/>
  <c r="Q31" i="2"/>
  <c r="CJ16" i="4" a="1"/>
  <c r="DY14" i="4" a="1"/>
  <c r="DY5" i="4" a="1"/>
  <c r="CE5" i="4" a="1"/>
  <c r="F35" i="3"/>
  <c r="BC6" i="4" a="1"/>
  <c r="AV11" i="4" a="1"/>
  <c r="AP45" i="3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E35" i="3"/>
  <c r="AR35" i="3"/>
  <c r="BX14" i="4" a="1"/>
  <c r="BI8" i="4" a="1"/>
  <c r="T15" i="4" a="1"/>
  <c r="R10" i="2"/>
  <c r="P30" i="2"/>
  <c r="H15" i="4" a="1"/>
  <c r="Y16" i="4" a="1"/>
  <c r="CV6" i="4" a="1"/>
  <c r="AZ9" i="4" a="1"/>
  <c r="BJ5" i="4" a="1"/>
  <c r="EI7" i="4" a="1"/>
  <c r="EB13" i="4" a="1"/>
  <c r="EJ15" i="4" a="1"/>
  <c r="BI12" i="4" a="1"/>
  <c r="BB15" i="4" a="1"/>
  <c r="AJ15" i="4" a="1"/>
  <c r="AO13" i="4" a="1"/>
  <c r="CC9" i="4" a="1"/>
  <c r="EF12" i="4" a="1"/>
  <c r="DV11" i="4" a="1"/>
  <c r="CW9" i="4" a="1"/>
  <c r="T16" i="4" a="1"/>
  <c r="CE7" i="4" a="1"/>
  <c r="R12" i="4" a="1"/>
  <c r="AO7" i="4" a="1"/>
  <c r="BG9" i="4" a="1"/>
  <c r="CX6" i="4" a="1"/>
  <c r="BT5" i="4" a="1"/>
  <c r="G15" i="4" a="1"/>
  <c r="AX15" i="4" a="1"/>
  <c r="R6" i="2"/>
  <c r="H31" i="2"/>
  <c r="P23" i="2"/>
  <c r="BC5" i="4" a="1"/>
  <c r="H22" i="2"/>
  <c r="U19" i="2"/>
  <c r="X18" i="2"/>
  <c r="N23" i="2"/>
  <c r="C27" i="2"/>
  <c r="F30" i="2"/>
  <c r="Q36" i="2"/>
  <c r="CY12" i="4" a="1"/>
  <c r="X19" i="2"/>
  <c r="D34" i="2"/>
  <c r="CG8" i="4" a="1"/>
  <c r="BC8" i="4" a="1"/>
  <c r="Z16" i="4" a="1"/>
  <c r="DT7" i="4" a="1"/>
  <c r="CW13" i="4" a="1"/>
  <c r="P26" i="2"/>
  <c r="AT15" i="4" a="1"/>
  <c r="J13" i="4" a="1"/>
  <c r="C15" i="4" a="1"/>
  <c r="CB15" i="4" a="1"/>
  <c r="BC9" i="4" a="1"/>
  <c r="AH14" i="4" a="1"/>
  <c r="AB15" i="4" a="1"/>
  <c r="EI11" i="4" a="1"/>
  <c r="P25" i="2"/>
  <c r="K14" i="2"/>
  <c r="G25" i="2"/>
  <c r="C9" i="2"/>
  <c r="D32" i="2"/>
  <c r="T30" i="2"/>
  <c r="V35" i="2"/>
  <c r="K28" i="2"/>
  <c r="CS6" i="4" a="1"/>
  <c r="C34" i="2"/>
  <c r="BO14" i="4" a="1"/>
  <c r="R14" i="4" a="1"/>
  <c r="K13" i="2"/>
  <c r="X14" i="2"/>
  <c r="O10" i="2"/>
  <c r="BS7" i="4" a="1"/>
  <c r="CP9" i="4" a="1"/>
  <c r="CQ14" i="4" a="1"/>
  <c r="DL14" i="4" a="1"/>
  <c r="Z45" i="3"/>
  <c r="M13" i="2"/>
  <c r="CI16" i="4" a="1"/>
  <c r="DD9" i="4" a="1"/>
  <c r="AB12" i="4" a="1"/>
  <c r="DB16" i="4" a="1"/>
  <c r="DA7" i="4" a="1"/>
  <c r="DI15" i="4" a="1"/>
  <c r="BN14" i="4" a="1"/>
  <c r="O15" i="4" a="1"/>
  <c r="G29" i="3"/>
  <c r="N5" i="2"/>
  <c r="T17" i="2"/>
  <c r="G7" i="4" a="1"/>
  <c r="Y6" i="4" a="1"/>
  <c r="W27" i="2"/>
  <c r="D33" i="3"/>
  <c r="AD18" i="3"/>
  <c r="DN13" i="4" a="1"/>
  <c r="N12" i="2"/>
  <c r="BF12" i="4" a="1"/>
  <c r="AT14" i="4" a="1"/>
  <c r="DO14" i="4" a="1"/>
  <c r="T19" i="2"/>
  <c r="CK7" i="4" a="1"/>
  <c r="CI15" i="4" a="1"/>
  <c r="O20" i="2"/>
  <c r="W14" i="2"/>
  <c r="O6" i="4" a="1"/>
  <c r="BC15" i="4" a="1"/>
  <c r="V12" i="4" a="1"/>
  <c r="C65" i="2"/>
  <c r="O45" i="3"/>
  <c r="EF13" i="4" a="1"/>
  <c r="EA5" i="4" a="1"/>
  <c r="E24" i="2"/>
  <c r="BY8" i="4" a="1"/>
  <c r="AA8" i="4" a="1"/>
  <c r="CZ14" i="4" a="1"/>
  <c r="F21" i="3"/>
  <c r="X36" i="2"/>
  <c r="D16" i="3"/>
  <c r="AE6" i="4" a="1"/>
  <c r="CM11" i="4" a="1"/>
  <c r="L34" i="2"/>
  <c r="T9" i="2"/>
  <c r="AN11" i="4" a="1"/>
  <c r="CZ9" i="4" a="1"/>
  <c r="CQ6" i="4" a="1"/>
  <c r="DQ14" i="4" a="1"/>
  <c r="CT15" i="4" a="1"/>
  <c r="Z46" i="3"/>
  <c r="AO46" i="3"/>
  <c r="DB13" i="4" a="1"/>
  <c r="BR8" i="4" a="1"/>
  <c r="AY9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AZ12" i="4" a="1"/>
  <c r="D19" i="3"/>
  <c r="AD5" i="3"/>
  <c r="AD62" i="3" s="1"/>
  <c r="DS13" i="4" a="1"/>
  <c r="P18" i="2"/>
  <c r="M8" i="4" a="1"/>
  <c r="DB7" i="4" a="1"/>
  <c r="BL8" i="4" a="1"/>
  <c r="DK7" i="4" a="1"/>
  <c r="CJ5" i="4" a="1"/>
  <c r="AI46" i="3"/>
  <c r="BL11" i="4" a="1"/>
  <c r="D22" i="3"/>
  <c r="BF6" i="4" a="1"/>
  <c r="CW15" i="4" a="1"/>
  <c r="EC16" i="4" a="1"/>
  <c r="G8" i="4" a="1"/>
  <c r="P15" i="4" a="1"/>
  <c r="G46" i="3"/>
  <c r="BV11" i="4" a="1"/>
  <c r="CJ12" i="4" a="1"/>
  <c r="CH8" i="4" a="1"/>
  <c r="V46" i="3"/>
  <c r="CS9" i="4" a="1"/>
  <c r="AR17" i="3"/>
  <c r="DT15" i="4" a="1"/>
  <c r="O35" i="2"/>
  <c r="Q13" i="2"/>
  <c r="C22" i="2"/>
  <c r="C6" i="2"/>
  <c r="W20" i="2"/>
  <c r="N32" i="2"/>
  <c r="S25" i="2"/>
  <c r="G35" i="2"/>
  <c r="F5" i="2"/>
  <c r="W13" i="2"/>
  <c r="R9" i="2"/>
  <c r="V23" i="2"/>
  <c r="C13" i="2"/>
  <c r="DT6" i="4" a="1"/>
  <c r="G12" i="4" a="1"/>
  <c r="CL16" i="4" a="1"/>
  <c r="Y5" i="4" a="1"/>
  <c r="BV6" i="4" a="1"/>
  <c r="V7" i="4" a="1"/>
  <c r="F19" i="2"/>
  <c r="EB8" i="4" a="1"/>
  <c r="DJ15" i="4" a="1"/>
  <c r="E9" i="3"/>
  <c r="BC12" i="4" a="1"/>
  <c r="BZ13" i="4" a="1"/>
  <c r="AI13" i="4" a="1"/>
  <c r="G11" i="3"/>
  <c r="CK6" i="4" a="1"/>
  <c r="W26" i="2"/>
  <c r="L23" i="2"/>
  <c r="S36" i="2"/>
  <c r="AR11" i="3"/>
  <c r="CL7" i="4" a="1"/>
  <c r="F36" i="2"/>
  <c r="CA11" i="4" a="1"/>
  <c r="CB7" i="4" a="1"/>
  <c r="DF8" i="4" a="1"/>
  <c r="K22" i="2"/>
  <c r="CT7" i="4" a="1"/>
  <c r="DA14" i="4" a="1"/>
  <c r="CU9" i="4" a="1"/>
  <c r="L22" i="2"/>
  <c r="BP7" i="4" a="1"/>
  <c r="J9" i="2"/>
  <c r="U5" i="2"/>
  <c r="E14" i="3"/>
  <c r="P33" i="2"/>
  <c r="AR33" i="3"/>
  <c r="X7" i="4" a="1"/>
  <c r="D8" i="4" a="1"/>
  <c r="W6" i="4" a="1"/>
  <c r="AN7" i="4" a="1"/>
  <c r="CX11" i="4" a="1"/>
  <c r="P32" i="2"/>
  <c r="EI16" i="4" a="1"/>
  <c r="P8" i="4" a="1"/>
  <c r="EH8" i="4" a="1"/>
  <c r="AR40" i="3"/>
  <c r="N13" i="2"/>
  <c r="BZ6" i="4" a="1"/>
  <c r="CC8" i="4" a="1"/>
  <c r="BJ13" i="4" a="1"/>
  <c r="K12" i="2"/>
  <c r="AE9" i="4" a="1"/>
  <c r="F41" i="3"/>
  <c r="AI6" i="4" a="1"/>
  <c r="Q26" i="2"/>
  <c r="Q8" i="4" a="1"/>
  <c r="DI5" i="4" a="1"/>
  <c r="AL6" i="4" a="1"/>
  <c r="AV6" i="4" a="1"/>
  <c r="H12" i="4" a="1"/>
  <c r="C14" i="4" a="1"/>
  <c r="CF12" i="4" a="1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E17" i="3"/>
  <c r="N6" i="4" a="1"/>
  <c r="DT5" i="4" a="1"/>
  <c r="S14" i="4" a="1"/>
  <c r="DW11" i="4" a="1"/>
  <c r="R35" i="2"/>
  <c r="BK16" i="4" a="1"/>
  <c r="BP15" i="4" a="1"/>
  <c r="EF15" i="4" a="1"/>
  <c r="CD16" i="4" a="1"/>
  <c r="X24" i="2"/>
  <c r="AZ5" i="4" a="1"/>
  <c r="BA5" i="4" a="1"/>
  <c r="J33" i="2"/>
  <c r="P8" i="2"/>
  <c r="BD15" i="4" a="1"/>
  <c r="X12" i="2"/>
  <c r="U29" i="2"/>
  <c r="D23" i="2"/>
  <c r="I8" i="2"/>
  <c r="M35" i="2"/>
  <c r="O11" i="2"/>
  <c r="O12" i="4" a="1"/>
  <c r="N21" i="2"/>
  <c r="AD15" i="4" a="1"/>
  <c r="M14" i="4" a="1"/>
  <c r="I12" i="4" a="1"/>
  <c r="E9" i="4" a="1"/>
  <c r="BV7" i="4" a="1"/>
  <c r="P69" i="2"/>
  <c r="AS9" i="4" a="1"/>
  <c r="X8" i="4" a="1"/>
  <c r="EG7" i="4" a="1"/>
  <c r="BT14" i="4" a="1"/>
  <c r="DE12" i="4" a="1"/>
  <c r="AU16" i="4" a="1"/>
  <c r="CS8" i="4" a="1"/>
  <c r="DV6" i="4" a="1"/>
  <c r="G6" i="2"/>
  <c r="K15" i="2"/>
  <c r="O14" i="2"/>
  <c r="DE11" i="4" a="1"/>
  <c r="CW11" i="4" a="1"/>
  <c r="V20" i="2"/>
  <c r="D40" i="3"/>
  <c r="AI14" i="4" a="1"/>
  <c r="BA9" i="4" a="1"/>
  <c r="R11" i="2"/>
  <c r="D46" i="3"/>
  <c r="DM12" i="4" a="1"/>
  <c r="G9" i="4" a="1"/>
  <c r="P35" i="2"/>
  <c r="AZ7" i="4" a="1"/>
  <c r="G10" i="2"/>
  <c r="AD14" i="3"/>
  <c r="G27" i="2"/>
  <c r="E18" i="2"/>
  <c r="Q14" i="4" a="1"/>
  <c r="D17" i="3"/>
  <c r="DU16" i="4" a="1"/>
  <c r="BU12" i="4" a="1"/>
  <c r="CM16" i="4" a="1"/>
  <c r="CK11" i="4" a="1"/>
  <c r="U24" i="2"/>
  <c r="G24" i="3"/>
  <c r="BS15" i="4" a="1"/>
  <c r="AK11" i="4" a="1"/>
  <c r="AY6" i="4" a="1"/>
  <c r="K19" i="2"/>
  <c r="Z15" i="4" a="1"/>
  <c r="DP11" i="4" a="1"/>
  <c r="DA9" i="4" a="1"/>
  <c r="K7" i="2"/>
  <c r="DN12" i="4" a="1"/>
  <c r="DG15" i="4" a="1"/>
  <c r="BD12" i="4" a="1"/>
  <c r="J16" i="2"/>
  <c r="BF15" i="4" a="1"/>
  <c r="DF15" i="4" a="1"/>
  <c r="CR8" i="4" a="1"/>
  <c r="AK14" i="4" a="1"/>
  <c r="T24" i="2"/>
  <c r="X9" i="2"/>
  <c r="EI9" i="4" a="1"/>
  <c r="L10" i="2"/>
  <c r="D8" i="2"/>
  <c r="N9" i="2"/>
  <c r="AR12" i="3"/>
  <c r="U35" i="2"/>
  <c r="S31" i="2"/>
  <c r="S32" i="2"/>
  <c r="K87" i="2"/>
  <c r="R8" i="2"/>
  <c r="DM15" i="4" a="1"/>
  <c r="I45" i="3"/>
  <c r="EA13" i="4" a="1"/>
  <c r="DQ8" i="4" a="1"/>
  <c r="BS12" i="4" a="1"/>
  <c r="X32" i="2"/>
  <c r="DO6" i="4" a="1"/>
  <c r="BG8" i="4" a="1"/>
  <c r="Y45" i="3"/>
  <c r="L24" i="2"/>
  <c r="AU5" i="4" a="1"/>
  <c r="T8" i="4" a="1"/>
  <c r="AQ6" i="3"/>
  <c r="F13" i="2"/>
  <c r="M18" i="2"/>
  <c r="F17" i="2"/>
  <c r="I7" i="4" a="1"/>
  <c r="D18" i="3"/>
  <c r="K12" i="4" a="1"/>
  <c r="T32" i="2"/>
  <c r="AA5" i="4" a="1"/>
  <c r="CU16" i="4" a="1"/>
  <c r="CJ13" i="4" a="1"/>
  <c r="S29" i="2"/>
  <c r="R5" i="4" a="1"/>
  <c r="AT7" i="4" a="1"/>
  <c r="CB14" i="4" a="1"/>
  <c r="Q15" i="2"/>
  <c r="V15" i="4" a="1"/>
  <c r="H32" i="2"/>
  <c r="G24" i="2"/>
  <c r="P7" i="2"/>
  <c r="DY8" i="4" a="1"/>
  <c r="AO6" i="3"/>
  <c r="EE12" i="4" a="1"/>
  <c r="DZ6" i="4" a="1"/>
  <c r="EK15" i="4" a="1"/>
  <c r="BF14" i="4" a="1"/>
  <c r="DQ7" i="4" a="1"/>
  <c r="E5" i="2"/>
  <c r="DG12" i="4" a="1"/>
  <c r="X9" i="4" a="1"/>
  <c r="AL12" i="4" a="1"/>
  <c r="CG16" i="4" a="1"/>
  <c r="CN9" i="4" a="1"/>
  <c r="CQ5" i="4" a="1"/>
  <c r="BR11" i="4" a="1"/>
  <c r="CL11" i="4" a="1"/>
  <c r="X28" i="2"/>
  <c r="DZ12" i="4" a="1"/>
  <c r="AV16" i="4" a="1"/>
  <c r="BU11" i="4" a="1"/>
  <c r="CU6" i="4" a="1"/>
  <c r="DS14" i="4" a="1"/>
  <c r="BH6" i="4" a="1"/>
  <c r="CT6" i="4" a="1"/>
  <c r="C16" i="4" a="1"/>
  <c r="DX11" i="4" a="1"/>
  <c r="AT13" i="4" a="1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D12" i="3"/>
  <c r="DT8" i="4" a="1"/>
  <c r="Z14" i="4" a="1"/>
  <c r="I9" i="4" a="1"/>
  <c r="AR23" i="3"/>
  <c r="J12" i="2"/>
  <c r="AV8" i="4" a="1"/>
  <c r="DI16" i="4" a="1"/>
  <c r="EA9" i="4" a="1"/>
  <c r="Y15" i="4" a="1"/>
  <c r="S33" i="2"/>
  <c r="R11" i="4" a="1"/>
  <c r="N10" i="2"/>
  <c r="U34" i="2"/>
  <c r="J10" i="2"/>
  <c r="X11" i="2"/>
  <c r="BE6" i="4" a="1"/>
  <c r="G31" i="2"/>
  <c r="G21" i="2"/>
  <c r="F89" i="2"/>
  <c r="K14" i="4" a="1"/>
  <c r="E25" i="2"/>
  <c r="P9" i="4" a="1"/>
  <c r="CE8" i="4" a="1"/>
  <c r="CK14" i="4" a="1"/>
  <c r="E10" i="3"/>
  <c r="D21" i="3"/>
  <c r="M30" i="2"/>
  <c r="AX9" i="4" a="1"/>
  <c r="CI6" i="4" a="1"/>
  <c r="DM7" i="4" a="1"/>
  <c r="O29" i="2"/>
  <c r="BI6" i="4" a="1"/>
  <c r="F19" i="3"/>
  <c r="E42" i="3"/>
  <c r="O9" i="2"/>
  <c r="U9" i="2"/>
  <c r="E7" i="2"/>
  <c r="R28" i="2"/>
  <c r="CF8" i="4" a="1"/>
  <c r="E40" i="3"/>
  <c r="F32" i="2"/>
  <c r="D14" i="4" a="1"/>
  <c r="CP7" i="4" a="1"/>
  <c r="AE12" i="4" a="1"/>
  <c r="BP16" i="4" a="1"/>
  <c r="EK5" i="4" a="1"/>
  <c r="DO15" i="4" a="1"/>
  <c r="CS13" i="4" a="1"/>
  <c r="V17" i="2"/>
  <c r="BZ14" i="4" a="1"/>
  <c r="I29" i="2"/>
  <c r="Q56" i="2"/>
  <c r="U31" i="2"/>
  <c r="I8" i="4" a="1"/>
  <c r="EC13" i="4" a="1"/>
  <c r="DP7" i="4" a="1"/>
  <c r="CS14" i="4" a="1"/>
  <c r="CU12" i="4" a="1"/>
  <c r="BI15" i="4" a="1"/>
  <c r="AM5" i="4" a="1"/>
  <c r="S14" i="2"/>
  <c r="F7" i="4" a="1"/>
  <c r="AD13" i="3"/>
  <c r="DH15" i="4" a="1"/>
  <c r="BO16" i="4" a="1"/>
  <c r="BN9" i="4" a="1"/>
  <c r="J45" i="3"/>
  <c r="DU9" i="4" a="1"/>
  <c r="AA12" i="4" a="1"/>
  <c r="K32" i="2"/>
  <c r="BM15" i="4" a="1"/>
  <c r="E39" i="3"/>
  <c r="BQ15" i="4" a="1"/>
  <c r="BT7" i="4" a="1"/>
  <c r="CD8" i="4" a="1"/>
  <c r="DA8" i="4" a="1"/>
  <c r="BQ14" i="4" a="1"/>
  <c r="DW9" i="4" a="1"/>
  <c r="X16" i="2"/>
  <c r="DX16" i="4" a="1"/>
  <c r="J11" i="2"/>
  <c r="O18" i="2"/>
  <c r="E8" i="2"/>
  <c r="E15" i="2"/>
  <c r="I20" i="2"/>
  <c r="D30" i="2"/>
  <c r="BP11" i="4" a="1"/>
  <c r="P29" i="2"/>
  <c r="R16" i="2"/>
  <c r="N22" i="2"/>
  <c r="E36" i="2"/>
  <c r="H26" i="2"/>
  <c r="CY16" i="4" a="1"/>
  <c r="T14" i="2"/>
  <c r="C7" i="4" a="1"/>
  <c r="CS15" i="4" a="1"/>
  <c r="DM16" i="4" a="1"/>
  <c r="DP9" i="4" a="1"/>
  <c r="Q13" i="4" a="1"/>
  <c r="DD12" i="4" a="1"/>
  <c r="DG5" i="4" a="1"/>
  <c r="J8" i="2"/>
  <c r="M45" i="3"/>
  <c r="Y8" i="4" a="1"/>
  <c r="AS13" i="4" a="1"/>
  <c r="X35" i="2"/>
  <c r="O12" i="2"/>
  <c r="AA46" i="3"/>
  <c r="E26" i="2"/>
  <c r="X13" i="4" a="1"/>
  <c r="DZ16" i="4" a="1"/>
  <c r="AL45" i="3"/>
  <c r="AM12" i="4" a="1"/>
  <c r="AF15" i="4" a="1"/>
  <c r="CI13" i="4" a="1"/>
  <c r="BH15" i="4" a="1"/>
  <c r="E38" i="3"/>
  <c r="DA15" i="4" a="1"/>
  <c r="Q57" i="2"/>
  <c r="CS7" i="4" a="1"/>
  <c r="R12" i="2"/>
  <c r="J34" i="2"/>
  <c r="AR36" i="3"/>
  <c r="BE8" i="4" a="1"/>
  <c r="BO5" i="4" a="1"/>
  <c r="CG12" i="4" a="1"/>
  <c r="D13" i="3"/>
  <c r="L13" i="4" a="1"/>
  <c r="AR45" i="3"/>
  <c r="AJ45" i="3"/>
  <c r="EI5" i="4" a="1"/>
  <c r="AC12" i="4" a="1"/>
  <c r="DC13" i="4" a="1"/>
  <c r="AH12" i="4" a="1"/>
  <c r="BG5" i="4" a="1"/>
  <c r="CM12" i="4" a="1"/>
  <c r="BX7" i="4" a="1"/>
  <c r="BP5" i="4" a="1"/>
  <c r="W11" i="4" a="1"/>
  <c r="S23" i="2"/>
  <c r="BO13" i="4" a="1"/>
  <c r="AH8" i="4" a="1"/>
  <c r="AR13" i="4" a="1"/>
  <c r="EE16" i="4" a="1"/>
  <c r="AI7" i="4" a="1"/>
  <c r="CT14" i="4" a="1"/>
  <c r="AN5" i="4" a="1"/>
  <c r="BH8" i="4" a="1"/>
  <c r="CE6" i="4" a="1"/>
  <c r="EA8" i="4" a="1"/>
  <c r="J24" i="2"/>
  <c r="AS7" i="4" a="1"/>
  <c r="O15" i="2"/>
  <c r="E17" i="2"/>
  <c r="N34" i="2"/>
  <c r="S62" i="2"/>
  <c r="DI8" i="4" a="1"/>
  <c r="G29" i="2"/>
  <c r="D21" i="2"/>
  <c r="M16" i="4" a="1"/>
  <c r="BM7" i="4" a="1"/>
  <c r="AG45" i="3"/>
  <c r="I5" i="2"/>
  <c r="W22" i="2"/>
  <c r="F11" i="3"/>
  <c r="Q23" i="2"/>
  <c r="BY5" i="4" a="1"/>
  <c r="AI16" i="4" a="1"/>
  <c r="CB9" i="4" a="1"/>
  <c r="BW15" i="4" a="1"/>
  <c r="Q6" i="4" a="1"/>
  <c r="DL15" i="4" a="1"/>
  <c r="EJ7" i="4" a="1"/>
  <c r="H14" i="2"/>
  <c r="N7" i="4" a="1"/>
  <c r="X5" i="4" a="1"/>
  <c r="V5" i="4" a="1"/>
  <c r="AR37" i="3"/>
  <c r="V8" i="2"/>
  <c r="H54" i="2"/>
  <c r="F31" i="3"/>
  <c r="AL15" i="4" a="1"/>
  <c r="DG9" i="4" a="1"/>
  <c r="BD11" i="4" a="1"/>
  <c r="AP11" i="4" a="1"/>
  <c r="O13" i="4" a="1"/>
  <c r="H14" i="4" a="1"/>
  <c r="EA6" i="4" a="1"/>
  <c r="CK9" i="4" a="1"/>
  <c r="D15" i="3"/>
  <c r="DF14" i="4" a="1"/>
  <c r="I6" i="2"/>
  <c r="X15" i="4" a="1"/>
  <c r="BA15" i="4" a="1"/>
  <c r="DS15" i="4" a="1"/>
  <c r="L16" i="2"/>
  <c r="E26" i="3"/>
  <c r="DJ7" i="4" a="1"/>
  <c r="CJ6" i="4" a="1"/>
  <c r="BV14" i="4" a="1"/>
  <c r="DT14" i="4" a="1"/>
  <c r="BP13" i="4" a="1"/>
  <c r="AJ7" i="4" a="1"/>
  <c r="AC11" i="4" a="1"/>
  <c r="BN11" i="4" a="1"/>
  <c r="F29" i="3"/>
  <c r="I17" i="2"/>
  <c r="AL11" i="4" a="1"/>
  <c r="H49" i="2"/>
  <c r="AB14" i="4" a="1"/>
  <c r="CB5" i="4" a="1"/>
  <c r="X6" i="4" a="1"/>
  <c r="V30" i="2"/>
  <c r="D26" i="3"/>
  <c r="Z6" i="4" a="1"/>
  <c r="EB7" i="4" a="1"/>
  <c r="BJ15" i="4" a="1"/>
  <c r="AX5" i="4" a="1"/>
  <c r="CP12" i="4" a="1"/>
  <c r="H7" i="4" a="1"/>
  <c r="DB11" i="4" a="1"/>
  <c r="AZ15" i="4" a="1"/>
  <c r="CL6" i="4" a="1"/>
  <c r="BO15" i="4" a="1"/>
  <c r="DZ15" i="4" a="1"/>
  <c r="BX9" i="4" a="1"/>
  <c r="AD88" i="3"/>
  <c r="DF6" i="4" a="1"/>
  <c r="AC13" i="4" a="1"/>
  <c r="BL16" i="4" a="1"/>
  <c r="CC11" i="4" a="1"/>
  <c r="DN5" i="4" a="1"/>
  <c r="EG8" i="4" a="1"/>
  <c r="G12" i="3"/>
  <c r="AG11" i="4" a="1"/>
  <c r="EI8" i="4" a="1"/>
  <c r="CH7" i="4" a="1"/>
  <c r="BK5" i="4" a="1"/>
  <c r="N11" i="4" a="1"/>
  <c r="CG9" i="4" a="1"/>
  <c r="EJ8" i="4" a="1"/>
  <c r="CK12" i="4" a="1"/>
  <c r="AH7" i="4" a="1"/>
  <c r="EB15" i="4" a="1"/>
  <c r="K9" i="4" a="1"/>
  <c r="DE8" i="4" a="1"/>
  <c r="AD9" i="3"/>
  <c r="BB6" i="4" a="1"/>
  <c r="BJ11" i="4" a="1"/>
  <c r="AR14" i="3"/>
  <c r="DV15" i="4" a="1"/>
  <c r="Q7" i="2"/>
  <c r="CM8" i="4" a="1"/>
  <c r="F33" i="2"/>
  <c r="AO9" i="4" a="1"/>
  <c r="AV9" i="4" a="1"/>
  <c r="BW11" i="4" a="1"/>
  <c r="CI9" i="4" a="1"/>
  <c r="DL12" i="4" a="1"/>
  <c r="AU9" i="4" a="1"/>
  <c r="DG6" i="4" a="1"/>
  <c r="DC11" i="4" a="1"/>
  <c r="BV12" i="4" a="1"/>
  <c r="E46" i="3"/>
  <c r="EH14" i="4" a="1"/>
  <c r="CY13" i="4" a="1"/>
  <c r="T5" i="4" a="1"/>
  <c r="G22" i="3"/>
  <c r="CN16" i="4" a="1"/>
  <c r="AW75" i="3"/>
  <c r="CB8" i="4" a="1"/>
  <c r="AF6" i="4" a="1"/>
  <c r="DW13" i="4" a="1"/>
  <c r="AX75" i="3"/>
  <c r="T36" i="2"/>
  <c r="L9" i="4" a="1"/>
  <c r="E6" i="2"/>
  <c r="I13" i="4" a="1"/>
  <c r="AO11" i="4" a="1"/>
  <c r="I14" i="4" a="1"/>
  <c r="DK13" i="4" a="1"/>
  <c r="DN11" i="4" a="1"/>
  <c r="AU8" i="4" a="1"/>
  <c r="CZ5" i="4" a="1"/>
  <c r="CL5" i="4" a="1"/>
  <c r="AW16" i="4" a="1"/>
  <c r="DY9" i="4" a="1"/>
  <c r="DK8" i="4" a="1"/>
  <c r="L15" i="4" a="1"/>
  <c r="U11" i="4" a="1"/>
  <c r="AN45" i="3"/>
  <c r="U15" i="4" a="1"/>
  <c r="BP8" i="4" a="1"/>
  <c r="L28" i="2"/>
  <c r="AX8" i="4" a="1"/>
  <c r="AR9" i="3"/>
  <c r="EJ16" i="4" a="1"/>
  <c r="DW8" i="4" a="1"/>
  <c r="BN5" i="4" a="1"/>
  <c r="AT6" i="4" a="1"/>
  <c r="R9" i="4" a="1"/>
  <c r="DR13" i="4" a="1"/>
  <c r="BG13" i="4" a="1"/>
  <c r="X45" i="3"/>
  <c r="D10" i="3"/>
  <c r="J11" i="4" a="1"/>
  <c r="E22" i="3"/>
  <c r="DM14" i="4" a="1"/>
  <c r="DJ9" i="4" a="1"/>
  <c r="BC11" i="4" a="1"/>
  <c r="AQ8" i="4" a="1"/>
  <c r="CJ15" i="4" a="1"/>
  <c r="AU15" i="4" a="1"/>
  <c r="EH15" i="4" a="1"/>
  <c r="E12" i="4" a="1"/>
  <c r="E13" i="3"/>
  <c r="EC12" i="4" a="1"/>
  <c r="BO11" i="4" a="1"/>
  <c r="D25" i="2"/>
  <c r="J23" i="2"/>
  <c r="CR6" i="4" a="1"/>
  <c r="D24" i="3"/>
  <c r="R45" i="3"/>
  <c r="EB6" i="4" a="1"/>
  <c r="CN6" i="4" a="1"/>
  <c r="CC15" i="4" a="1"/>
  <c r="K45" i="3"/>
  <c r="EG13" i="4" a="1"/>
  <c r="BX13" i="4" a="1"/>
  <c r="P11" i="4" a="1"/>
  <c r="CL8" i="4" a="1"/>
  <c r="DJ8" i="4" a="1"/>
  <c r="X14" i="4" a="1"/>
  <c r="BH13" i="4" a="1"/>
  <c r="AS11" i="4" a="1"/>
  <c r="CM9" i="4" a="1"/>
  <c r="BB11" i="4" a="1"/>
  <c r="CN15" i="4" a="1"/>
  <c r="CR9" i="4" a="1"/>
  <c r="DJ5" i="4" a="1"/>
  <c r="BM16" i="4" a="1"/>
  <c r="P45" i="3"/>
  <c r="Q46" i="3"/>
  <c r="BZ8" i="4" a="1"/>
  <c r="CH16" i="4" a="1"/>
  <c r="AD46" i="3"/>
  <c r="E20" i="3"/>
  <c r="BY12" i="4" a="1"/>
  <c r="BU16" i="4" a="1"/>
  <c r="AV15" i="4" a="1"/>
  <c r="AZ94" i="3"/>
  <c r="AZ61" i="3"/>
  <c r="AZ72" i="3"/>
  <c r="AX47" i="3"/>
  <c r="AW61" i="3"/>
  <c r="D6" i="3"/>
  <c r="BS9" i="4" a="1"/>
  <c r="CK8" i="4" a="1"/>
  <c r="AD61" i="3"/>
  <c r="W9" i="4" a="1"/>
  <c r="AC6" i="4" a="1"/>
  <c r="DN16" i="4" a="1"/>
  <c r="D34" i="3"/>
  <c r="DL16" i="4" a="1"/>
  <c r="BY7" i="4" a="1"/>
  <c r="M12" i="2"/>
  <c r="DS9" i="4" a="1"/>
  <c r="EC6" i="4" a="1"/>
  <c r="EC7" i="4" a="1"/>
  <c r="DV8" i="4" a="1"/>
  <c r="BX11" i="4" a="1"/>
  <c r="DG7" i="4" a="1"/>
  <c r="BP14" i="4" a="1"/>
  <c r="AZ58" i="3"/>
  <c r="AX64" i="3"/>
  <c r="E6" i="4" a="1"/>
  <c r="L16" i="4" a="1"/>
  <c r="S12" i="4" a="1"/>
  <c r="CJ14" i="4" a="1"/>
  <c r="W8" i="4" a="1"/>
  <c r="AD45" i="3"/>
  <c r="BI13" i="4" a="1"/>
  <c r="AB5" i="4" a="1"/>
  <c r="AE8" i="4" a="1"/>
  <c r="EK9" i="4" a="1"/>
  <c r="AA7" i="4" a="1"/>
  <c r="CW16" i="4" a="1"/>
  <c r="AE13" i="4" a="1"/>
  <c r="BX15" i="4" a="1"/>
  <c r="F9" i="3"/>
  <c r="N9" i="4" a="1"/>
  <c r="AS8" i="4" a="1"/>
  <c r="AA11" i="4" a="1"/>
  <c r="AN46" i="3"/>
  <c r="L45" i="3"/>
  <c r="Q14" i="2"/>
  <c r="U33" i="2"/>
  <c r="CD13" i="4" a="1"/>
  <c r="BW5" i="4" a="1"/>
  <c r="U45" i="3"/>
  <c r="BS11" i="4" a="1"/>
  <c r="P16" i="4" a="1"/>
  <c r="H5" i="4" a="1"/>
  <c r="EF9" i="4" a="1"/>
  <c r="DU14" i="4" a="1"/>
  <c r="G18" i="3"/>
  <c r="BY16" i="4" a="1"/>
  <c r="AR16" i="3"/>
  <c r="DE7" i="4" a="1"/>
  <c r="L8" i="4" a="1"/>
  <c r="BQ16" i="4" a="1"/>
  <c r="AE11" i="4" a="1"/>
  <c r="AV14" i="4" a="1"/>
  <c r="I22" i="2"/>
  <c r="AF16" i="4" a="1"/>
  <c r="M11" i="4" a="1"/>
  <c r="AR29" i="3"/>
  <c r="AR32" i="3"/>
  <c r="E36" i="3"/>
  <c r="E45" i="2"/>
  <c r="DP8" i="4" a="1"/>
  <c r="AA45" i="3"/>
  <c r="BM8" i="4" a="1"/>
  <c r="CQ13" i="4" a="1"/>
  <c r="AR14" i="4" a="1"/>
  <c r="AP16" i="4" a="1"/>
  <c r="DO9" i="4" a="1"/>
  <c r="EC5" i="4" a="1"/>
  <c r="S8" i="4" a="1"/>
  <c r="DV14" i="4" a="1"/>
  <c r="DQ12" i="4" a="1"/>
  <c r="E23" i="3"/>
  <c r="G6" i="3"/>
  <c r="BN8" i="4" a="1"/>
  <c r="AR28" i="3"/>
  <c r="G8" i="3"/>
  <c r="BD16" i="4" a="1"/>
  <c r="DX9" i="4" a="1"/>
  <c r="CB16" i="4" a="1"/>
  <c r="CR16" i="4" a="1"/>
  <c r="BD7" i="4" a="1"/>
  <c r="AW6" i="4" a="1"/>
  <c r="CV8" i="4" a="1"/>
  <c r="AD89" i="3"/>
  <c r="CQ12" i="4" a="1"/>
  <c r="DI7" i="4" a="1"/>
  <c r="M9" i="4" a="1"/>
  <c r="BS16" i="4" a="1"/>
  <c r="BQ13" i="4" a="1"/>
  <c r="AQ45" i="3"/>
  <c r="AC5" i="4" a="1"/>
  <c r="AD8" i="3"/>
  <c r="AZ55" i="3"/>
  <c r="AZ95" i="3"/>
  <c r="AX69" i="3"/>
  <c r="AX96" i="3"/>
  <c r="AW84" i="3"/>
  <c r="AY13" i="4" a="1"/>
  <c r="DE9" i="4" a="1"/>
  <c r="BN15" i="4" a="1"/>
  <c r="BK14" i="4" a="1"/>
  <c r="DI11" i="4" a="1"/>
  <c r="AY12" i="4" a="1"/>
  <c r="E11" i="4" a="1"/>
  <c r="Q15" i="4" a="1"/>
  <c r="CB12" i="4" a="1"/>
  <c r="CF5" i="4" a="1"/>
  <c r="O14" i="4" a="1"/>
  <c r="U12" i="4" a="1"/>
  <c r="G31" i="3"/>
  <c r="ED11" i="4" a="1"/>
  <c r="F8" i="4" a="1"/>
  <c r="I16" i="4" a="1"/>
  <c r="F24" i="3"/>
  <c r="CE16" i="4" a="1"/>
  <c r="CH14" i="4" a="1"/>
  <c r="AB8" i="4" a="1"/>
  <c r="BH9" i="4" a="1"/>
  <c r="M26" i="2"/>
  <c r="BO12" i="4" a="1"/>
  <c r="T9" i="4" a="1"/>
  <c r="AL46" i="3"/>
  <c r="M29" i="2"/>
  <c r="O21" i="2"/>
  <c r="U16" i="4" a="1"/>
  <c r="BG6" i="4" a="1"/>
  <c r="AV5" i="4" a="1"/>
  <c r="N15" i="4" a="1"/>
  <c r="CG6" i="4" a="1"/>
  <c r="DC14" i="4" a="1"/>
  <c r="D45" i="3"/>
  <c r="DN6" i="4" a="1"/>
  <c r="AA15" i="4" a="1"/>
  <c r="DB9" i="4" a="1"/>
  <c r="CR5" i="4" a="1"/>
  <c r="DI13" i="4" a="1"/>
  <c r="AN6" i="4" a="1"/>
  <c r="EK12" i="4" a="1"/>
  <c r="K11" i="4" a="1"/>
  <c r="N25" i="2"/>
  <c r="AR27" i="3"/>
  <c r="DU5" i="4" a="1"/>
  <c r="D15" i="4" a="1"/>
  <c r="CS5" i="4" a="1"/>
  <c r="F14" i="4" a="1"/>
  <c r="CX12" i="4" a="1"/>
  <c r="CJ9" i="4" a="1"/>
  <c r="V22" i="2"/>
  <c r="P5" i="4" a="1"/>
  <c r="AM14" i="4" a="1"/>
  <c r="AL9" i="4" a="1"/>
  <c r="AE7" i="4" a="1"/>
  <c r="F23" i="2"/>
  <c r="DQ9" i="4" a="1"/>
  <c r="CD5" i="4" a="1"/>
  <c r="DE16" i="4" a="1"/>
  <c r="CE13" i="4" a="1"/>
  <c r="AD16" i="4" a="1"/>
  <c r="AP14" i="4" a="1"/>
  <c r="AS14" i="4" a="1"/>
  <c r="DY15" i="4" a="1"/>
  <c r="AQ46" i="3"/>
  <c r="BJ7" i="4" a="1"/>
  <c r="Z12" i="4" a="1"/>
  <c r="E31" i="3"/>
  <c r="DI9" i="4" a="1"/>
  <c r="N11" i="2"/>
  <c r="DX13" i="4" a="1"/>
  <c r="O8" i="4" a="1"/>
  <c r="BI9" i="4" a="1"/>
  <c r="W16" i="4" a="1"/>
  <c r="CA8" i="4" a="1"/>
  <c r="Q11" i="4" a="1"/>
  <c r="J6" i="4" a="1"/>
  <c r="AG5" i="4" a="1"/>
  <c r="CA16" i="4" a="1"/>
  <c r="EB14" i="4" a="1"/>
  <c r="H9" i="4" a="1"/>
  <c r="AC46" i="3"/>
  <c r="AO6" i="4" a="1"/>
  <c r="U7" i="4" a="1"/>
  <c r="U46" i="3"/>
  <c r="AO16" i="4" a="1"/>
  <c r="AD56" i="3"/>
  <c r="W70" i="2"/>
  <c r="AL16" i="4" a="1"/>
  <c r="BH16" i="4" a="1"/>
  <c r="V13" i="4" a="1"/>
  <c r="CW8" i="4" a="1"/>
  <c r="DH16" i="4" a="1"/>
  <c r="G12" i="2"/>
  <c r="DG14" i="4" a="1"/>
  <c r="E28" i="3"/>
  <c r="AI8" i="4" a="1"/>
  <c r="K18" i="2"/>
  <c r="AP9" i="4" a="1"/>
  <c r="CD15" i="4" a="1"/>
  <c r="AN9" i="4" a="1"/>
  <c r="E15" i="3"/>
  <c r="EB11" i="4" a="1"/>
  <c r="CT9" i="4" a="1"/>
  <c r="EE8" i="4" a="1"/>
  <c r="AH6" i="4" a="1"/>
  <c r="EF11" i="4" a="1"/>
  <c r="CA9" i="4" a="1"/>
  <c r="F25" i="3"/>
  <c r="AX7" i="4" a="1"/>
  <c r="DY7" i="4" a="1"/>
  <c r="BB16" i="4" a="1"/>
  <c r="CI11" i="4" a="1"/>
  <c r="ED5" i="4" a="1"/>
  <c r="D39" i="3"/>
  <c r="BM12" i="4" a="1"/>
  <c r="CK5" i="4" a="1"/>
  <c r="DZ9" i="4" a="1"/>
  <c r="BH11" i="4" a="1"/>
  <c r="DX14" i="4" a="1"/>
  <c r="DX8" i="4" a="1"/>
  <c r="AE45" i="3"/>
  <c r="AH45" i="3"/>
  <c r="AD66" i="3"/>
  <c r="AZ92" i="3"/>
  <c r="AZ90" i="3"/>
  <c r="AZ56" i="3"/>
  <c r="AX50" i="3"/>
  <c r="AX74" i="3"/>
  <c r="AW56" i="3"/>
  <c r="DW6" i="4" a="1"/>
  <c r="DX6" i="4" a="1"/>
  <c r="BN13" i="4" a="1"/>
  <c r="AR6" i="4" a="1"/>
  <c r="CU5" i="4" a="1"/>
  <c r="DF9" i="4" a="1"/>
  <c r="EK7" i="4" a="1"/>
  <c r="EB16" i="4" a="1"/>
  <c r="AJ12" i="4" a="1"/>
  <c r="DB6" i="4" a="1"/>
  <c r="CN5" i="4" a="1"/>
  <c r="BQ6" i="4" a="1"/>
  <c r="CC7" i="4" a="1"/>
  <c r="CH11" i="4" a="1"/>
  <c r="AO5" i="4" a="1"/>
  <c r="DA12" i="4" a="1"/>
  <c r="G30" i="3"/>
  <c r="G9" i="3"/>
  <c r="CZ6" i="4" a="1"/>
  <c r="T14" i="4" a="1"/>
  <c r="DU15" i="4" a="1"/>
  <c r="O5" i="4" a="1"/>
  <c r="AZ82" i="3"/>
  <c r="AZ65" i="3"/>
  <c r="AX91" i="3"/>
  <c r="AW91" i="3"/>
  <c r="CC5" i="4" a="1"/>
  <c r="BU5" i="4" a="1"/>
  <c r="AM16" i="4" a="1"/>
  <c r="AR41" i="3"/>
  <c r="AH13" i="4" a="1"/>
  <c r="AZ83" i="3"/>
  <c r="CD14" i="4" a="1"/>
  <c r="BR6" i="4" a="1"/>
  <c r="AN14" i="4" a="1"/>
  <c r="CF16" i="4" a="1"/>
  <c r="AR13" i="3"/>
  <c r="CP8" i="4" a="1"/>
  <c r="BF7" i="4" a="1"/>
  <c r="AY11" i="4" a="1"/>
  <c r="N18" i="2"/>
  <c r="AX13" i="4" a="1"/>
  <c r="DW12" i="4" a="1"/>
  <c r="AD12" i="4" a="1"/>
  <c r="BN12" i="4" a="1"/>
  <c r="DJ11" i="4" a="1"/>
  <c r="CZ15" i="4" a="1"/>
  <c r="E37" i="3"/>
  <c r="F40" i="3"/>
  <c r="DZ13" i="4" a="1"/>
  <c r="BV8" i="4" a="1"/>
  <c r="BJ8" i="4" a="1"/>
  <c r="G19" i="3"/>
  <c r="DU6" i="4" a="1"/>
  <c r="CQ9" i="4" a="1"/>
  <c r="N27" i="2"/>
  <c r="EF16" i="4" a="1"/>
  <c r="AK15" i="4" a="1"/>
  <c r="AI45" i="3"/>
  <c r="CZ7" i="4" a="1"/>
  <c r="BY6" i="4" a="1"/>
  <c r="F5" i="4" a="1"/>
  <c r="BR12" i="4" a="1"/>
  <c r="E19" i="3"/>
  <c r="AT11" i="4" a="1"/>
  <c r="EI13" i="4" a="1"/>
  <c r="AY8" i="4" a="1"/>
  <c r="CP13" i="4" a="1"/>
  <c r="DW7" i="4" a="1"/>
  <c r="D35" i="3"/>
  <c r="CY7" i="4" a="1"/>
  <c r="CU15" i="4" a="1"/>
  <c r="BD14" i="4" a="1"/>
  <c r="CX9" i="4" a="1"/>
  <c r="DK16" i="4" a="1"/>
  <c r="D41" i="3"/>
  <c r="W12" i="4" a="1"/>
  <c r="J8" i="4" a="1"/>
  <c r="AF14" i="4" a="1"/>
  <c r="D18" i="2"/>
  <c r="AG6" i="4" a="1"/>
  <c r="EH12" i="4" a="1"/>
  <c r="EE9" i="4" a="1"/>
  <c r="BR7" i="4" a="1"/>
  <c r="AP12" i="4" a="1"/>
  <c r="BR9" i="4" a="1"/>
  <c r="CY6" i="4" a="1"/>
  <c r="EF5" i="4" a="1"/>
  <c r="DW16" i="4" a="1"/>
  <c r="H13" i="4" a="1"/>
  <c r="AZ79" i="3"/>
  <c r="AW87" i="3"/>
  <c r="E14" i="4" a="1"/>
  <c r="N8" i="4" a="1"/>
  <c r="AK6" i="4" a="1"/>
  <c r="M21" i="2"/>
  <c r="M20" i="2"/>
  <c r="CW7" i="4" a="1"/>
  <c r="F32" i="3"/>
  <c r="P14" i="2"/>
  <c r="BX5" i="4" a="1"/>
  <c r="DH5" i="4" a="1"/>
  <c r="V9" i="4" a="1"/>
  <c r="CW12" i="4" a="1"/>
  <c r="BA13" i="4" a="1"/>
  <c r="AD13" i="4" a="1"/>
  <c r="D31" i="3"/>
  <c r="BA11" i="4" a="1"/>
  <c r="F12" i="2"/>
  <c r="CR14" i="4" a="1"/>
  <c r="AH11" i="4" a="1"/>
  <c r="BB5" i="4" a="1"/>
  <c r="H16" i="2"/>
  <c r="AB46" i="3"/>
  <c r="J28" i="2"/>
  <c r="ED14" i="4" a="1"/>
  <c r="R8" i="4" a="1"/>
  <c r="G45" i="3"/>
  <c r="BW13" i="4" a="1"/>
  <c r="EH6" i="4" a="1"/>
  <c r="EH9" i="4" a="1"/>
  <c r="BP9" i="4" a="1"/>
  <c r="AK16" i="4" a="1"/>
  <c r="AF12" i="4" a="1"/>
  <c r="N16" i="4" a="1"/>
  <c r="DZ5" i="4" a="1"/>
  <c r="S13" i="4" a="1"/>
  <c r="CZ13" i="4" a="1"/>
  <c r="AJ6" i="4" a="1"/>
  <c r="EJ6" i="4" a="1"/>
  <c r="BZ16" i="4" a="1"/>
  <c r="AP7" i="4" a="1"/>
  <c r="BD6" i="4" a="1"/>
  <c r="DY13" i="4" a="1"/>
  <c r="F28" i="3"/>
  <c r="CX13" i="4" a="1"/>
  <c r="EJ12" i="4" a="1"/>
  <c r="E34" i="3"/>
  <c r="C29" i="2"/>
  <c r="CZ11" i="4" a="1"/>
  <c r="DL5" i="4" a="1"/>
  <c r="DD14" i="4" a="1"/>
  <c r="AL5" i="4" a="1"/>
  <c r="D32" i="3"/>
  <c r="AM7" i="4" a="1"/>
  <c r="AF11" i="4" a="1"/>
  <c r="O9" i="4" a="1"/>
  <c r="DV13" i="4" a="1"/>
  <c r="BV16" i="4" a="1"/>
  <c r="AV7" i="4" a="1"/>
  <c r="F18" i="3"/>
  <c r="CU7" i="4" a="1"/>
  <c r="BE5" i="4" a="1"/>
  <c r="CO11" i="4" a="1"/>
  <c r="CE15" i="4" a="1"/>
  <c r="BE13" i="4" a="1"/>
  <c r="CR7" i="4" a="1"/>
  <c r="G13" i="4" a="1"/>
  <c r="G14" i="3"/>
  <c r="V45" i="3"/>
  <c r="CJ8" i="4" a="1"/>
  <c r="AU12" i="4" a="1"/>
  <c r="AW12" i="4" a="1"/>
  <c r="CE12" i="4" a="1"/>
  <c r="EA16" i="4" a="1"/>
  <c r="J5" i="4" a="1"/>
  <c r="AR8" i="4" a="1"/>
  <c r="BJ6" i="4" a="1"/>
  <c r="BX6" i="4" a="1"/>
  <c r="CF15" i="4" a="1"/>
  <c r="Q12" i="4" a="1"/>
  <c r="DK15" i="4" a="1"/>
  <c r="AZ66" i="3"/>
  <c r="AZ76" i="3"/>
  <c r="AX76" i="3"/>
  <c r="AW85" i="3"/>
  <c r="AW59" i="3"/>
  <c r="G21" i="3"/>
  <c r="DP5" i="4" a="1"/>
  <c r="CV15" i="4" a="1"/>
  <c r="AG9" i="4" a="1"/>
  <c r="M32" i="2"/>
  <c r="F9" i="4" a="1"/>
  <c r="BS8" i="4" a="1"/>
  <c r="AX57" i="3"/>
  <c r="AW55" i="3"/>
  <c r="CY5" i="4" a="1"/>
  <c r="N46" i="3"/>
  <c r="AY16" i="4" a="1"/>
  <c r="BG11" i="4" a="1"/>
  <c r="AW13" i="4" a="1"/>
  <c r="AD68" i="3"/>
  <c r="AW47" i="3"/>
  <c r="AZ6" i="4" a="1"/>
  <c r="H8" i="4" a="1"/>
  <c r="AZ70" i="3"/>
  <c r="AX55" i="3"/>
  <c r="AF13" i="4" a="1"/>
  <c r="AI5" i="4" a="1"/>
  <c r="EB9" i="4" a="1"/>
  <c r="X16" i="4" a="1"/>
  <c r="G9" i="2"/>
  <c r="R19" i="2"/>
  <c r="DU8" i="4" a="1"/>
  <c r="CL9" i="4" a="1"/>
  <c r="S45" i="3"/>
  <c r="DZ8" i="4" a="1"/>
  <c r="G5" i="4" a="1"/>
  <c r="E7" i="4" a="1"/>
  <c r="AW8" i="4" a="1"/>
  <c r="AI12" i="4" a="1"/>
  <c r="AA6" i="4" a="1"/>
  <c r="DS16" i="4" a="1"/>
  <c r="BA16" i="4" a="1"/>
  <c r="DP16" i="4" a="1"/>
  <c r="BB7" i="4" a="1"/>
  <c r="AB45" i="3"/>
  <c r="CL14" i="4" a="1"/>
  <c r="DR16" i="4" a="1"/>
  <c r="Q6" i="2"/>
  <c r="H11" i="2"/>
  <c r="BU8" i="4" a="1"/>
  <c r="AX11" i="4" a="1"/>
  <c r="J14" i="4" a="1"/>
  <c r="BT6" i="4" a="1"/>
  <c r="K13" i="4" a="1"/>
  <c r="AA9" i="4" a="1"/>
  <c r="CX8" i="4" a="1"/>
  <c r="AQ7" i="4" a="1"/>
  <c r="BA12" i="4" a="1"/>
  <c r="AI15" i="4" a="1"/>
  <c r="DA16" i="4" a="1"/>
  <c r="BC16" i="4" a="1"/>
  <c r="ED13" i="4" a="1"/>
  <c r="EG5" i="4" a="1"/>
  <c r="DM11" i="4" a="1"/>
  <c r="L14" i="4" a="1"/>
  <c r="O46" i="3"/>
  <c r="BX16" i="4" a="1"/>
  <c r="AM15" i="4" a="1"/>
  <c r="DE13" i="4" a="1"/>
  <c r="EE6" i="4" a="1"/>
  <c r="AV13" i="4" a="1"/>
  <c r="H16" i="4" a="1"/>
  <c r="BK15" i="4" a="1"/>
  <c r="M9" i="2"/>
  <c r="AQ13" i="4" a="1"/>
  <c r="AR15" i="4" a="1"/>
  <c r="BR13" i="4" a="1"/>
  <c r="AJ14" i="4" a="1"/>
  <c r="F6" i="4" a="1"/>
  <c r="DS12" i="4" a="1"/>
  <c r="E7" i="3"/>
  <c r="H11" i="4" a="1"/>
  <c r="CM5" i="4" a="1"/>
  <c r="AW11" i="4" a="1"/>
  <c r="CF6" i="4" a="1"/>
  <c r="Y12" i="4" a="1"/>
  <c r="G15" i="3"/>
  <c r="AR10" i="3"/>
  <c r="AM9" i="4" a="1"/>
  <c r="D11" i="3"/>
  <c r="DV9" i="4" a="1"/>
  <c r="EH7" i="4" a="1"/>
  <c r="U13" i="4" a="1"/>
  <c r="DH13" i="4" a="1"/>
  <c r="J7" i="4" a="1"/>
  <c r="I6" i="4" a="1"/>
  <c r="I15" i="4" a="1"/>
  <c r="D5" i="4" a="1"/>
  <c r="AH46" i="3"/>
  <c r="G10" i="3"/>
  <c r="D30" i="3"/>
  <c r="AZ91" i="3"/>
  <c r="AZ96" i="3"/>
  <c r="AX97" i="3"/>
  <c r="AW48" i="3"/>
  <c r="AW54" i="3"/>
  <c r="V8" i="4" a="1"/>
  <c r="CV7" i="4" a="1"/>
  <c r="L5" i="4" a="1"/>
  <c r="BM11" i="4" a="1"/>
  <c r="AZ93" i="3"/>
  <c r="CC16" i="4" a="1"/>
  <c r="DI12" i="4" a="1"/>
  <c r="AV12" i="4" a="1"/>
  <c r="D42" i="3"/>
  <c r="O34" i="2"/>
  <c r="CA15" i="4" a="1"/>
  <c r="D36" i="3"/>
  <c r="AL7" i="4" a="1"/>
  <c r="AL13" i="4" a="1"/>
  <c r="H6" i="4" a="1"/>
  <c r="D8" i="3"/>
  <c r="N5" i="4" a="1"/>
  <c r="AR20" i="3"/>
  <c r="BT9" i="4" a="1"/>
  <c r="DO13" i="4" a="1"/>
  <c r="EE15" i="4" a="1"/>
  <c r="DP12" i="4" a="1"/>
  <c r="BL13" i="4" a="1"/>
  <c r="CF7" i="4" a="1"/>
  <c r="F37" i="3"/>
  <c r="CX16" i="4" a="1"/>
  <c r="BT12" i="4" a="1"/>
  <c r="O16" i="4" a="1"/>
  <c r="P15" i="2"/>
  <c r="Q34" i="2"/>
  <c r="BT15" i="4" a="1"/>
  <c r="AZ8" i="4" a="1"/>
  <c r="DT13" i="4" a="1"/>
  <c r="AQ14" i="4" a="1"/>
  <c r="E45" i="3"/>
  <c r="AJ16" i="4" a="1"/>
  <c r="DA6" i="4" a="1"/>
  <c r="DA13" i="4" a="1"/>
  <c r="AR8" i="3"/>
  <c r="BZ11" i="4" a="1"/>
  <c r="DD16" i="4" a="1"/>
  <c r="S6" i="4" a="1"/>
  <c r="AK45" i="3"/>
  <c r="AD6" i="4" a="1"/>
  <c r="D28" i="3"/>
  <c r="V6" i="4" a="1"/>
  <c r="BC7" i="4" a="1"/>
  <c r="DC7" i="4" a="1"/>
  <c r="W74" i="2"/>
  <c r="Q9" i="4" a="1"/>
  <c r="T6" i="4" a="1"/>
  <c r="AQ5" i="4" a="1"/>
  <c r="G23" i="3"/>
  <c r="DD8" i="4" a="1"/>
  <c r="H21" i="2"/>
  <c r="DJ12" i="4" a="1"/>
  <c r="CX7" i="4" a="1"/>
  <c r="DR5" i="4" a="1"/>
  <c r="CH9" i="4" a="1"/>
  <c r="DY16" i="4" a="1"/>
  <c r="BQ11" i="4" a="1"/>
  <c r="EG9" i="4" a="1"/>
  <c r="BY14" i="4" a="1"/>
  <c r="CD11" i="4" a="1"/>
  <c r="J16" i="4" a="1"/>
  <c r="P12" i="4" a="1"/>
  <c r="BV9" i="4" a="1"/>
  <c r="CO15" i="4" a="1"/>
  <c r="AK46" i="3"/>
  <c r="CO12" i="4" a="1"/>
  <c r="CM14" i="4" a="1"/>
  <c r="CG11" i="4" a="1"/>
  <c r="EF7" i="4" a="1"/>
  <c r="D16" i="4" a="1"/>
  <c r="CN12" i="4" a="1"/>
  <c r="DB15" i="4" a="1"/>
  <c r="D25" i="3"/>
  <c r="P13" i="4" a="1"/>
  <c r="ED15" i="4" a="1"/>
  <c r="K6" i="4" a="1"/>
  <c r="AA14" i="4" a="1"/>
  <c r="AN13" i="4" a="1"/>
  <c r="F27" i="3"/>
  <c r="AZ11" i="4" a="1"/>
  <c r="EH13" i="4" a="1"/>
  <c r="CB11" i="4" a="1"/>
  <c r="BA8" i="4" a="1"/>
  <c r="AZ87" i="3"/>
  <c r="AZ80" i="3"/>
  <c r="AX67" i="3"/>
  <c r="AW69" i="3"/>
  <c r="AW64" i="3"/>
  <c r="AG46" i="3"/>
  <c r="AT5" i="4" a="1"/>
  <c r="AR16" i="4" a="1"/>
  <c r="BJ16" i="4" a="1"/>
  <c r="G13" i="3"/>
  <c r="CE11" i="4" a="1"/>
  <c r="CR11" i="4" a="1"/>
  <c r="Y46" i="3"/>
  <c r="BP12" i="4" a="1"/>
  <c r="AR11" i="4" a="1"/>
  <c r="CY11" i="4" a="1"/>
  <c r="BW9" i="4" a="1"/>
  <c r="EA15" i="4" a="1"/>
  <c r="AZ59" i="3"/>
  <c r="AZ13" i="4" a="1"/>
  <c r="D7" i="2"/>
  <c r="J12" i="4" a="1"/>
  <c r="N12" i="4" a="1"/>
  <c r="AK12" i="4" a="1"/>
  <c r="BK12" i="4" a="1"/>
  <c r="BE16" i="4" a="1"/>
  <c r="AU6" i="4" a="1"/>
  <c r="BW16" i="4" a="1"/>
  <c r="AP13" i="4" a="1"/>
  <c r="D23" i="3"/>
  <c r="CA13" i="4" a="1"/>
  <c r="AS16" i="4" a="1"/>
  <c r="AG8" i="4" a="1"/>
  <c r="BT11" i="4" a="1"/>
  <c r="CV5" i="4" a="1"/>
  <c r="DR8" i="4" a="1"/>
  <c r="F5" i="3"/>
  <c r="AD55" i="3"/>
  <c r="DR6" i="4" a="1"/>
  <c r="BV13" i="4" a="1"/>
  <c r="E16" i="4" a="1"/>
  <c r="CH12" i="4" a="1"/>
  <c r="W7" i="4" a="1"/>
  <c r="DN14" i="4" a="1"/>
  <c r="D9" i="3"/>
  <c r="BF13" i="4" a="1"/>
  <c r="CQ11" i="4" a="1"/>
  <c r="ED12" i="4" a="1"/>
  <c r="DN8" i="4" a="1"/>
  <c r="AP46" i="3"/>
  <c r="DE5" i="4" a="1"/>
  <c r="AR31" i="3"/>
  <c r="S5" i="4" a="1"/>
  <c r="Q16" i="4" a="1"/>
  <c r="D20" i="3"/>
  <c r="AO45" i="3"/>
  <c r="AD5" i="4" a="1"/>
  <c r="J9" i="4" a="1"/>
  <c r="M6" i="4" a="1"/>
  <c r="F26" i="3"/>
  <c r="DP13" i="4" a="1"/>
  <c r="DM8" i="4" a="1"/>
  <c r="AB7" i="4" a="1"/>
  <c r="M11" i="2"/>
  <c r="Q29" i="2"/>
  <c r="AJ13" i="4" a="1"/>
  <c r="CU8" i="4" a="1"/>
  <c r="DJ6" i="4" a="1"/>
  <c r="BE12" i="4" a="1"/>
  <c r="DS7" i="4" a="1"/>
  <c r="Z13" i="4" a="1"/>
  <c r="DB12" i="4" a="1"/>
  <c r="AD7" i="3"/>
  <c r="BI14" i="4" a="1"/>
  <c r="BC14" i="4" a="1"/>
  <c r="AW5" i="4" a="1"/>
  <c r="DR15" i="4" a="1"/>
  <c r="AW96" i="3"/>
  <c r="CB6" i="4" a="1"/>
  <c r="M15" i="4" a="1"/>
  <c r="D5" i="3"/>
  <c r="EA14" i="4" a="1"/>
  <c r="AZ47" i="3"/>
  <c r="AX60" i="3"/>
  <c r="AW57" i="3"/>
  <c r="DS5" i="4" a="1"/>
  <c r="AM13" i="4" a="1"/>
  <c r="AZ84" i="3"/>
  <c r="AZ57" i="3"/>
  <c r="AD94" i="3"/>
  <c r="DR9" i="4" a="1"/>
  <c r="DP15" i="4" a="1"/>
  <c r="Q21" i="2"/>
  <c r="BQ7" i="4" a="1"/>
  <c r="CT11" i="4" a="1"/>
  <c r="F12" i="3"/>
  <c r="C9" i="4" a="1"/>
  <c r="DH6" i="4" a="1"/>
  <c r="T13" i="4" a="1"/>
  <c r="G16" i="3"/>
  <c r="DR14" i="4" a="1"/>
  <c r="R15" i="4" a="1"/>
  <c r="AQ11" i="4" a="1"/>
  <c r="EB5" i="4" a="1"/>
  <c r="DC16" i="4" a="1"/>
  <c r="AO15" i="4" a="1"/>
  <c r="DH8" i="4" a="1"/>
  <c r="AS5" i="4" a="1"/>
  <c r="AT9" i="4" a="1"/>
  <c r="EG6" i="4" a="1"/>
  <c r="CT12" i="4" a="1"/>
  <c r="F16" i="4" a="1"/>
  <c r="CI8" i="4" a="1"/>
  <c r="AG13" i="4" a="1"/>
  <c r="AP8" i="4" a="1"/>
  <c r="AQ6" i="4" a="1"/>
  <c r="CL12" i="4" a="1"/>
  <c r="T7" i="4" a="1"/>
  <c r="K5" i="4" a="1"/>
  <c r="CD9" i="4" a="1"/>
  <c r="Y14" i="4" a="1"/>
  <c r="E11" i="3"/>
  <c r="DD6" i="4" a="1"/>
  <c r="D14" i="3"/>
  <c r="F48" i="3"/>
  <c r="BB12" i="4" a="1"/>
  <c r="CI12" i="4" a="1"/>
  <c r="AT16" i="4" a="1"/>
  <c r="CC14" i="4" a="1"/>
  <c r="CG13" i="4" a="1"/>
  <c r="C11" i="4" a="1"/>
  <c r="U8" i="4" a="1"/>
  <c r="CS11" i="4" a="1"/>
  <c r="E24" i="3"/>
  <c r="CO16" i="4" a="1"/>
  <c r="S8" i="2"/>
  <c r="C26" i="2"/>
  <c r="DZ7" i="4" a="1"/>
  <c r="CX5" i="4" a="1"/>
  <c r="CB13" i="4" a="1"/>
  <c r="N13" i="4" a="1"/>
  <c r="DC5" i="4" a="1"/>
  <c r="DO11" i="4" a="1"/>
  <c r="Y7" i="4" a="1"/>
  <c r="K8" i="4" a="1"/>
  <c r="W15" i="4" a="1"/>
  <c r="AU14" i="4" a="1"/>
  <c r="AZ89" i="3"/>
  <c r="DH9" i="4" a="1"/>
  <c r="F7" i="3"/>
  <c r="AW60" i="3"/>
  <c r="CG15" i="4" a="1"/>
  <c r="G14" i="2"/>
  <c r="U9" i="4" a="1"/>
  <c r="AW7" i="4" a="1"/>
  <c r="BW14" i="4" a="1"/>
  <c r="G11" i="4" a="1"/>
  <c r="G5" i="3"/>
  <c r="BO7" i="4" a="1"/>
  <c r="BU9" i="4" a="1"/>
  <c r="AA16" i="4" a="1"/>
  <c r="CE14" i="4" a="1"/>
  <c r="F30" i="3"/>
  <c r="AE46" i="3"/>
  <c r="EK14" i="4" a="1"/>
  <c r="BA14" i="4" a="1"/>
  <c r="R13" i="4" a="1"/>
  <c r="DF5" i="4" a="1"/>
  <c r="BD9" i="4" a="1"/>
  <c r="AS12" i="4" a="1"/>
  <c r="AD70" i="3"/>
  <c r="CA6" i="4" a="1"/>
  <c r="Y13" i="4" a="1"/>
  <c r="CV11" i="4" a="1"/>
  <c r="Q45" i="3"/>
  <c r="CF11" i="4" a="1"/>
  <c r="EF8" i="4" a="1"/>
  <c r="BL7" i="4" a="1"/>
  <c r="AR7" i="4" a="1"/>
  <c r="CA5" i="4" a="1"/>
  <c r="DD15" i="4" a="1"/>
  <c r="CJ7" i="4" a="1"/>
  <c r="P6" i="4" a="1"/>
  <c r="AF9" i="4" a="1"/>
  <c r="ED7" i="4" a="1"/>
  <c r="EE5" i="4" a="1"/>
  <c r="E12" i="3"/>
  <c r="BL15" i="4" a="1"/>
  <c r="AL14" i="4" a="1"/>
  <c r="AK9" i="4" a="1"/>
  <c r="AR12" i="4" a="1"/>
  <c r="BQ8" i="4" a="1"/>
  <c r="EK11" i="4" a="1"/>
  <c r="DD11" i="4" a="1"/>
  <c r="BV15" i="4" a="1"/>
  <c r="DB5" i="4" a="1"/>
  <c r="W28" i="2"/>
  <c r="EJ13" i="4" a="1"/>
  <c r="BR14" i="4" a="1"/>
  <c r="AO12" i="4" a="1"/>
  <c r="DQ6" i="4" a="1"/>
  <c r="AR21" i="3"/>
  <c r="DV12" i="4" a="1"/>
  <c r="BO6" i="4" a="1"/>
  <c r="T11" i="4" a="1"/>
  <c r="F15" i="4" a="1"/>
  <c r="G20" i="3"/>
  <c r="BA6" i="4" a="1"/>
  <c r="AG16" i="4" a="1"/>
  <c r="AN12" i="4" a="1"/>
  <c r="BG7" i="4" a="1"/>
  <c r="D9" i="4" a="1"/>
  <c r="DH11" i="4" a="1"/>
  <c r="W14" i="4" a="1"/>
  <c r="CC12" i="4" a="1"/>
  <c r="Y9" i="4" a="1"/>
  <c r="CU14" i="4" a="1"/>
  <c r="F23" i="3"/>
  <c r="AQ16" i="4" a="1"/>
  <c r="D92" i="3"/>
  <c r="BH7" i="4" a="1"/>
  <c r="DE14" i="4" a="1"/>
  <c r="E13" i="4" a="1"/>
  <c r="CY9" i="4" a="1"/>
  <c r="EA11" i="4" a="1"/>
  <c r="AX12" i="4" a="1"/>
  <c r="L12" i="4" a="1"/>
  <c r="DX15" i="4" a="1"/>
  <c r="F71" i="3"/>
  <c r="AZ97" i="3"/>
  <c r="AZ78" i="3"/>
  <c r="AZ48" i="3"/>
  <c r="AZ62" i="3"/>
  <c r="AX86" i="3"/>
  <c r="AW77" i="3"/>
  <c r="AW62" i="3"/>
  <c r="EJ9" i="4" a="1"/>
  <c r="DK12" i="4" a="1"/>
  <c r="DC6" i="4" a="1"/>
  <c r="F15" i="3"/>
  <c r="CO8" i="4" a="1"/>
  <c r="EG11" i="4" a="1"/>
  <c r="AN16" i="4" a="1"/>
  <c r="AZ63" i="3"/>
  <c r="BD88" i="3"/>
  <c r="BD54" i="3"/>
  <c r="BD60" i="3"/>
  <c r="BD85" i="3"/>
  <c r="AR56" i="3"/>
  <c r="AF67" i="3"/>
  <c r="AT86" i="3"/>
  <c r="AT78" i="3"/>
  <c r="AT64" i="3"/>
  <c r="AT66" i="3"/>
  <c r="AY54" i="3"/>
  <c r="AY93" i="3"/>
  <c r="BC58" i="3"/>
  <c r="BC75" i="3"/>
  <c r="BC86" i="3"/>
  <c r="AR64" i="3"/>
  <c r="AR97" i="3"/>
  <c r="AF94" i="3"/>
  <c r="AF87" i="3"/>
  <c r="AT91" i="3"/>
  <c r="AZ49" i="3"/>
  <c r="AX85" i="3"/>
  <c r="AX68" i="3"/>
  <c r="AW82" i="3"/>
  <c r="G71" i="3"/>
  <c r="G88" i="3"/>
  <c r="D80" i="3"/>
  <c r="AT74" i="3"/>
  <c r="AX83" i="3"/>
  <c r="AD96" i="3"/>
  <c r="F72" i="3"/>
  <c r="D91" i="3"/>
  <c r="D95" i="3"/>
  <c r="D81" i="3"/>
  <c r="G75" i="3"/>
  <c r="G92" i="3"/>
  <c r="AD72" i="3"/>
  <c r="F66" i="3"/>
  <c r="BD57" i="3"/>
  <c r="BD63" i="3"/>
  <c r="BD96" i="3"/>
  <c r="AR96" i="3"/>
  <c r="AR89" i="3"/>
  <c r="AF89" i="3"/>
  <c r="AT48" i="3"/>
  <c r="AT67" i="3"/>
  <c r="AT82" i="3"/>
  <c r="AD86" i="3"/>
  <c r="AY73" i="3"/>
  <c r="BC73" i="3"/>
  <c r="BC66" i="3"/>
  <c r="BC94" i="3"/>
  <c r="BC64" i="3"/>
  <c r="AR61" i="3"/>
  <c r="AR75" i="3"/>
  <c r="AF79" i="3"/>
  <c r="AF65" i="3"/>
  <c r="AF57" i="3"/>
  <c r="BD49" i="3"/>
  <c r="BD73" i="3"/>
  <c r="BD62" i="3"/>
  <c r="AR66" i="3"/>
  <c r="AR67" i="3"/>
  <c r="AF86" i="3"/>
  <c r="AT69" i="3"/>
  <c r="AT79" i="3"/>
  <c r="AT60" i="3"/>
  <c r="AD93" i="3"/>
  <c r="AY63" i="3"/>
  <c r="BC80" i="3"/>
  <c r="BC62" i="3"/>
  <c r="BC69" i="3"/>
  <c r="BC82" i="3"/>
  <c r="AR84" i="3"/>
  <c r="AR94" i="3"/>
  <c r="AF64" i="3"/>
  <c r="AF63" i="3"/>
  <c r="AF92" i="3"/>
  <c r="AT58" i="3"/>
  <c r="AZ86" i="3"/>
  <c r="AX81" i="3"/>
  <c r="AX59" i="3"/>
  <c r="AW65" i="3"/>
  <c r="G96" i="3"/>
  <c r="G93" i="3"/>
  <c r="D68" i="3"/>
  <c r="AT93" i="3"/>
  <c r="AW97" i="3"/>
  <c r="AD95" i="3"/>
  <c r="F84" i="3"/>
  <c r="D73" i="3"/>
  <c r="D97" i="3"/>
  <c r="D69" i="3"/>
  <c r="BD67" i="3"/>
  <c r="BD79" i="3"/>
  <c r="AF91" i="3"/>
  <c r="G76" i="3"/>
  <c r="G86" i="3"/>
  <c r="AD84" i="3"/>
  <c r="F56" i="3"/>
  <c r="BD55" i="3"/>
  <c r="BD93" i="3"/>
  <c r="BD91" i="3"/>
  <c r="AR74" i="3"/>
  <c r="AR48" i="3"/>
  <c r="AF55" i="3"/>
  <c r="AT77" i="3"/>
  <c r="AT90" i="3"/>
  <c r="AT88" i="3"/>
  <c r="AY72" i="3"/>
  <c r="BC47" i="3"/>
  <c r="BC74" i="3"/>
  <c r="BC97" i="3"/>
  <c r="BC95" i="3"/>
  <c r="AR63" i="3"/>
  <c r="AR93" i="3"/>
  <c r="AF90" i="3"/>
  <c r="AF50" i="3"/>
  <c r="AT84" i="3"/>
  <c r="AZ54" i="3"/>
  <c r="AX78" i="3"/>
  <c r="AX73" i="3"/>
  <c r="AW80" i="3"/>
  <c r="G66" i="3"/>
  <c r="G65" i="3"/>
  <c r="AT73" i="3"/>
  <c r="AW93" i="3"/>
  <c r="AD60" i="3"/>
  <c r="F58" i="3"/>
  <c r="D82" i="3"/>
  <c r="D63" i="3"/>
  <c r="Y112" i="2"/>
  <c r="BD72" i="3"/>
  <c r="G63" i="3"/>
  <c r="AD75" i="3"/>
  <c r="AD81" i="3"/>
  <c r="F79" i="3"/>
  <c r="BD70" i="3"/>
  <c r="BD47" i="3"/>
  <c r="BD68" i="3"/>
  <c r="AR78" i="3"/>
  <c r="AR92" i="3"/>
  <c r="AT71" i="3"/>
  <c r="AT62" i="3"/>
  <c r="AT59" i="3"/>
  <c r="AY77" i="3"/>
  <c r="BC49" i="3"/>
  <c r="BC68" i="3"/>
  <c r="BC72" i="3"/>
  <c r="BC48" i="3"/>
  <c r="AR83" i="3"/>
  <c r="AR73" i="3"/>
  <c r="AF74" i="3"/>
  <c r="AX58" i="3"/>
  <c r="AX93" i="3"/>
  <c r="AW81" i="3"/>
  <c r="AW63" i="3"/>
  <c r="G82" i="3"/>
  <c r="G69" i="3"/>
  <c r="AX84" i="3"/>
  <c r="AW72" i="3"/>
  <c r="AD67" i="3"/>
  <c r="F78" i="3"/>
  <c r="F63" i="3"/>
  <c r="D67" i="3"/>
  <c r="D93" i="3"/>
  <c r="BD61" i="3"/>
  <c r="BD81" i="3"/>
  <c r="BD89" i="3"/>
  <c r="AR71" i="3"/>
  <c r="AR57" i="3"/>
  <c r="AT65" i="3"/>
  <c r="AT55" i="3"/>
  <c r="AT54" i="3"/>
  <c r="AY83" i="3"/>
  <c r="BC65" i="3"/>
  <c r="BC89" i="3"/>
  <c r="BC63" i="3"/>
  <c r="AR85" i="3"/>
  <c r="AR59" i="3"/>
  <c r="AR55" i="3"/>
  <c r="AX88" i="3"/>
  <c r="AX95" i="3"/>
  <c r="AW68" i="3"/>
  <c r="AW74" i="3"/>
  <c r="AX89" i="3"/>
  <c r="AW86" i="3"/>
  <c r="BC57" i="3"/>
  <c r="AD78" i="3"/>
  <c r="BD56" i="3"/>
  <c r="BD95" i="3"/>
  <c r="AR49" i="3"/>
  <c r="AR88" i="3"/>
  <c r="AT95" i="3"/>
  <c r="AT63" i="3"/>
  <c r="AT83" i="3"/>
  <c r="BC59" i="3"/>
  <c r="BC92" i="3"/>
  <c r="BC81" i="3"/>
  <c r="AR60" i="3"/>
  <c r="AR91" i="3"/>
  <c r="AF85" i="3"/>
  <c r="AF88" i="3"/>
  <c r="AX80" i="3"/>
  <c r="AX56" i="3"/>
  <c r="AW88" i="3"/>
  <c r="AW92" i="3"/>
  <c r="AX87" i="3"/>
  <c r="AW79" i="3"/>
  <c r="AD69" i="3"/>
  <c r="BD69" i="3"/>
  <c r="BD58" i="3"/>
  <c r="AR95" i="3"/>
  <c r="AR90" i="3"/>
  <c r="AT89" i="3"/>
  <c r="AT72" i="3"/>
  <c r="AT75" i="3"/>
  <c r="BC91" i="3"/>
  <c r="BC71" i="3"/>
  <c r="BC87" i="3"/>
  <c r="AR87" i="3"/>
  <c r="AR65" i="3"/>
  <c r="AX48" i="3"/>
  <c r="AX77" i="3"/>
  <c r="AW66" i="3"/>
  <c r="AX71" i="3"/>
  <c r="AW50" i="3"/>
  <c r="BD94" i="3"/>
  <c r="BD66" i="3"/>
  <c r="AR82" i="3"/>
  <c r="AT94" i="3"/>
  <c r="AT76" i="3"/>
  <c r="AT87" i="3"/>
  <c r="AY64" i="3"/>
  <c r="BC56" i="3"/>
  <c r="BC77" i="3"/>
  <c r="BC85" i="3"/>
  <c r="AR80" i="3"/>
  <c r="AR76" i="3"/>
  <c r="AX72" i="3"/>
  <c r="AX92" i="3"/>
  <c r="AW90" i="3"/>
  <c r="AW58" i="3"/>
  <c r="AX65" i="3"/>
  <c r="AD97" i="3"/>
  <c r="BD71" i="3"/>
  <c r="BD92" i="3"/>
  <c r="BD48" i="3"/>
  <c r="AR81" i="3"/>
  <c r="AT96" i="3"/>
  <c r="AT61" i="3"/>
  <c r="AT85" i="3"/>
  <c r="AY60" i="3"/>
  <c r="BC55" i="3"/>
  <c r="BD84" i="3"/>
  <c r="BD78" i="3"/>
  <c r="BD87" i="3"/>
  <c r="BD64" i="3"/>
  <c r="AR77" i="3"/>
  <c r="AT81" i="3"/>
  <c r="AT70" i="3"/>
  <c r="AT92" i="3"/>
  <c r="AT50" i="3"/>
  <c r="AY88" i="3"/>
  <c r="BC50" i="3"/>
  <c r="BC79" i="3"/>
  <c r="BC84" i="3"/>
  <c r="AR68" i="3"/>
  <c r="AR79" i="3"/>
  <c r="AF48" i="3"/>
  <c r="AX61" i="3"/>
  <c r="AX66" i="3"/>
  <c r="AW67" i="3"/>
  <c r="AX79" i="3"/>
  <c r="BD90" i="3"/>
  <c r="BD76" i="3"/>
  <c r="AR70" i="3"/>
  <c r="AF75" i="3"/>
  <c r="AT47" i="3"/>
  <c r="AT49" i="3"/>
  <c r="AT80" i="3"/>
  <c r="AT68" i="3"/>
  <c r="AY59" i="3"/>
  <c r="AY47" i="3"/>
  <c r="BC61" i="3"/>
  <c r="BC76" i="3"/>
  <c r="BC93" i="3"/>
  <c r="AR62" i="3"/>
  <c r="AR72" i="3"/>
  <c r="AZ50" i="3"/>
  <c r="AX70" i="3"/>
  <c r="BC88" i="3"/>
  <c r="AW49" i="3"/>
  <c r="AD54" i="3"/>
  <c r="BC67" i="3"/>
  <c r="AW76" i="3"/>
  <c r="BD77" i="3"/>
  <c r="AR69" i="3"/>
  <c r="AX94" i="3"/>
  <c r="BD74" i="3"/>
  <c r="AR54" i="3"/>
  <c r="AX49" i="3"/>
  <c r="BC90" i="3"/>
  <c r="AD91" i="3"/>
  <c r="AX82" i="3"/>
  <c r="AR86" i="3"/>
  <c r="AD58" i="3"/>
  <c r="AX63" i="3"/>
  <c r="AD87" i="3"/>
  <c r="Y111" i="2"/>
  <c r="AR58" i="3"/>
  <c r="AT56" i="3"/>
  <c r="AR50" i="3"/>
  <c r="AD79" i="3"/>
  <c r="AR47" i="3"/>
  <c r="AD73" i="3"/>
  <c r="AX90" i="3"/>
  <c r="AX62" i="3"/>
  <c r="AX54" i="3"/>
  <c r="AD65" i="3"/>
  <c r="AD76" i="3"/>
  <c r="AW89" i="3"/>
  <c r="AW95" i="3"/>
  <c r="AW71" i="3"/>
  <c r="AW73" i="3"/>
  <c r="AD71" i="3"/>
  <c r="Y113" i="2"/>
  <c r="BC83" i="3"/>
  <c r="AZ73" i="3"/>
  <c r="AZ64" i="3"/>
  <c r="AZ81" i="3"/>
  <c r="AD59" i="3"/>
  <c r="AD92" i="3"/>
  <c r="AT97" i="3" l="1"/>
  <c r="AT57" i="3"/>
  <c r="AA113" i="2"/>
  <c r="C80" i="3"/>
  <c r="C91" i="3"/>
  <c r="BC60" i="3"/>
  <c r="BC70" i="3"/>
  <c r="BC54" i="3"/>
  <c r="BC78" i="3"/>
  <c r="C89" i="3"/>
  <c r="C84" i="3"/>
  <c r="C81" i="3"/>
  <c r="C57" i="3"/>
  <c r="BB56" i="3"/>
  <c r="BB69" i="3"/>
  <c r="BB66" i="3"/>
  <c r="BB48" i="3"/>
  <c r="C82" i="3"/>
  <c r="C74" i="3"/>
  <c r="C92" i="3"/>
  <c r="BB89" i="3"/>
  <c r="BB55" i="3"/>
  <c r="BB60" i="3"/>
  <c r="C77" i="3"/>
  <c r="C65" i="3"/>
  <c r="C55" i="3"/>
  <c r="BB62" i="3"/>
  <c r="BB82" i="3"/>
  <c r="BB58" i="3"/>
  <c r="C95" i="3"/>
  <c r="C69" i="3"/>
  <c r="C70" i="3"/>
  <c r="BB47" i="3"/>
  <c r="BB96" i="3"/>
  <c r="BB78" i="3"/>
  <c r="C56" i="3"/>
  <c r="C97" i="3"/>
  <c r="C94" i="3"/>
  <c r="BB54" i="3"/>
  <c r="C76" i="3"/>
  <c r="C72" i="3"/>
  <c r="C78" i="3"/>
  <c r="BB76" i="3"/>
  <c r="C96" i="3"/>
  <c r="C68" i="3"/>
  <c r="C63" i="3"/>
  <c r="BB70" i="3"/>
  <c r="BB92" i="3"/>
  <c r="C66" i="3"/>
  <c r="C73" i="3"/>
  <c r="C75" i="3"/>
  <c r="C93" i="3"/>
  <c r="BB65" i="3"/>
  <c r="BB87" i="3"/>
  <c r="C85" i="3"/>
  <c r="C67" i="3"/>
  <c r="C64" i="3"/>
  <c r="C60" i="3"/>
  <c r="BB61" i="3"/>
  <c r="BB88" i="3"/>
  <c r="C59" i="3"/>
  <c r="C83" i="3"/>
  <c r="C88" i="3"/>
  <c r="C62" i="3"/>
  <c r="BB49" i="3"/>
  <c r="C50" i="3"/>
  <c r="C79" i="3"/>
  <c r="C87" i="3"/>
  <c r="C71" i="3"/>
  <c r="C86" i="3"/>
  <c r="C58" i="3"/>
  <c r="BB86" i="3"/>
  <c r="BB85" i="3"/>
  <c r="AF81" i="3"/>
  <c r="AF60" i="3"/>
  <c r="AF61" i="3"/>
  <c r="AF59" i="3"/>
  <c r="AF68" i="3"/>
  <c r="AF62" i="3"/>
  <c r="AZ68" i="3"/>
  <c r="AZ74" i="3"/>
  <c r="AZ69" i="3"/>
  <c r="AD77" i="3"/>
  <c r="AZ75" i="3"/>
  <c r="AZ71" i="3"/>
  <c r="AZ88" i="3"/>
  <c r="AZ67" i="3"/>
  <c r="AZ77" i="3"/>
  <c r="G60" i="3"/>
  <c r="AD57" i="3"/>
  <c r="F50" i="3"/>
  <c r="D56" i="3"/>
  <c r="D78" i="3"/>
  <c r="AD90" i="3"/>
  <c r="F83" i="3"/>
  <c r="BD97" i="3"/>
  <c r="G80" i="3"/>
  <c r="F80" i="3"/>
  <c r="F69" i="3"/>
  <c r="D85" i="3"/>
  <c r="BD75" i="3"/>
  <c r="BD86" i="3"/>
  <c r="G77" i="3"/>
  <c r="G79" i="3"/>
  <c r="AD82" i="3"/>
  <c r="F68" i="3"/>
  <c r="D58" i="3"/>
  <c r="BD82" i="3"/>
  <c r="BD50" i="3"/>
  <c r="F70" i="3"/>
  <c r="D87" i="3"/>
  <c r="BD65" i="3"/>
  <c r="F94" i="3"/>
  <c r="AD74" i="3"/>
  <c r="D84" i="3"/>
  <c r="D79" i="3"/>
  <c r="BD83" i="3"/>
  <c r="BD59" i="3"/>
  <c r="G90" i="3"/>
  <c r="D96" i="3"/>
  <c r="AZ60" i="3"/>
  <c r="D57" i="3"/>
  <c r="F90" i="3"/>
  <c r="G78" i="3"/>
  <c r="G72" i="3"/>
  <c r="AD85" i="3"/>
  <c r="G67" i="3"/>
  <c r="G68" i="3"/>
  <c r="F76" i="3"/>
  <c r="AD83" i="3"/>
  <c r="BD80" i="3"/>
  <c r="F57" i="3"/>
  <c r="AD80" i="3"/>
  <c r="AD64" i="3"/>
  <c r="AD63" i="3"/>
  <c r="G83" i="3"/>
  <c r="F85" i="3"/>
  <c r="G59" i="3"/>
  <c r="G54" i="3"/>
  <c r="D66" i="3"/>
  <c r="F67" i="3"/>
  <c r="D62" i="3"/>
  <c r="G62" i="3"/>
  <c r="D59" i="3"/>
  <c r="G91" i="3"/>
  <c r="G73" i="3"/>
  <c r="F60" i="3"/>
  <c r="D54" i="3"/>
  <c r="F65" i="3"/>
  <c r="D65" i="3"/>
  <c r="D64" i="3"/>
  <c r="F47" i="3"/>
  <c r="F49" i="3"/>
  <c r="F86" i="3"/>
  <c r="D74" i="3"/>
  <c r="D86" i="3"/>
  <c r="G57" i="3"/>
  <c r="F61" i="3"/>
  <c r="G61" i="3"/>
  <c r="F74" i="3"/>
  <c r="D76" i="3"/>
  <c r="G94" i="3"/>
  <c r="D90" i="3"/>
  <c r="G87" i="3"/>
  <c r="G95" i="3"/>
  <c r="G81" i="3"/>
  <c r="D60" i="3"/>
  <c r="F59" i="3"/>
  <c r="D77" i="3"/>
  <c r="G58" i="3"/>
  <c r="F92" i="3"/>
  <c r="D70" i="3"/>
  <c r="D71" i="3"/>
  <c r="F54" i="3"/>
  <c r="F88" i="3"/>
  <c r="F95" i="3"/>
  <c r="F81" i="3"/>
  <c r="D61" i="3"/>
  <c r="C54" i="3"/>
  <c r="AU85" i="3"/>
  <c r="AU63" i="3"/>
  <c r="AU78" i="3"/>
  <c r="AU47" i="3"/>
  <c r="AU84" i="3"/>
  <c r="AU76" i="3"/>
  <c r="AU50" i="3"/>
  <c r="AU58" i="3"/>
  <c r="AU95" i="3"/>
  <c r="AU86" i="3"/>
  <c r="AU61" i="3"/>
  <c r="AU64" i="3"/>
  <c r="AU71" i="3"/>
  <c r="AU67" i="3"/>
  <c r="AU90" i="3"/>
  <c r="AU54" i="3"/>
  <c r="AU75" i="3"/>
  <c r="AU77" i="3"/>
  <c r="AU97" i="3"/>
  <c r="AU55" i="3"/>
  <c r="AU66" i="3"/>
  <c r="AU79" i="3"/>
  <c r="AU92" i="3"/>
  <c r="AU83" i="3"/>
  <c r="AU72" i="3"/>
  <c r="AU81" i="3"/>
  <c r="AU49" i="3"/>
  <c r="AU57" i="3"/>
  <c r="AU87" i="3"/>
  <c r="AU93" i="3"/>
  <c r="AU74" i="3"/>
  <c r="AU48" i="3"/>
  <c r="AU82" i="3"/>
  <c r="AU73" i="3"/>
  <c r="AU60" i="3"/>
  <c r="AU91" i="3"/>
  <c r="AU65" i="3"/>
  <c r="AU70" i="3"/>
  <c r="AU62" i="3"/>
  <c r="AU68" i="3"/>
  <c r="AU88" i="3"/>
  <c r="AU96" i="3"/>
  <c r="AU89" i="3"/>
  <c r="AU94" i="3"/>
  <c r="AU59" i="3"/>
  <c r="AU69" i="3"/>
  <c r="AU80" i="3"/>
  <c r="AU56" i="3"/>
  <c r="Z113" i="2"/>
  <c r="Z111" i="2"/>
  <c r="Z112" i="2"/>
  <c r="AY57" i="3"/>
  <c r="AF73" i="3"/>
  <c r="AA112" i="2"/>
  <c r="AY68" i="3"/>
  <c r="AY82" i="3"/>
  <c r="BB75" i="3"/>
  <c r="AY78" i="3"/>
  <c r="AF66" i="3"/>
  <c r="AY79" i="3"/>
  <c r="AS47" i="3"/>
  <c r="BB84" i="3"/>
  <c r="AY95" i="3"/>
  <c r="AY67" i="3"/>
  <c r="AY92" i="3"/>
  <c r="AA111" i="2"/>
  <c r="AY50" i="3"/>
  <c r="AY49" i="3"/>
  <c r="AY56" i="3"/>
  <c r="BB64" i="3"/>
  <c r="AF76" i="3"/>
  <c r="AY86" i="3"/>
  <c r="AF47" i="3"/>
  <c r="AS49" i="3"/>
  <c r="AY55" i="3"/>
  <c r="BB63" i="3"/>
  <c r="AF95" i="3"/>
  <c r="AF71" i="3"/>
  <c r="AW78" i="3"/>
  <c r="BB80" i="3"/>
  <c r="AW94" i="3"/>
  <c r="BB72" i="3"/>
  <c r="AF69" i="3"/>
  <c r="AV96" i="3"/>
  <c r="AS77" i="3"/>
  <c r="AW70" i="3"/>
  <c r="AY62" i="3"/>
  <c r="AF54" i="3"/>
  <c r="BA77" i="3"/>
  <c r="AY87" i="3"/>
  <c r="AY94" i="3"/>
  <c r="AF77" i="3"/>
  <c r="AY71" i="3"/>
  <c r="BB93" i="3"/>
  <c r="AY96" i="3"/>
  <c r="AF82" i="3"/>
  <c r="AY91" i="3"/>
  <c r="AS72" i="3"/>
  <c r="AS48" i="3"/>
  <c r="AS91" i="3"/>
  <c r="AS62" i="3"/>
  <c r="AS57" i="3"/>
  <c r="BB57" i="3"/>
  <c r="AF78" i="3"/>
  <c r="BB59" i="3"/>
  <c r="AF58" i="3"/>
  <c r="AV69" i="3"/>
  <c r="AF80" i="3"/>
  <c r="BB95" i="3"/>
  <c r="AY70" i="3"/>
  <c r="AS75" i="3"/>
  <c r="AY48" i="3"/>
  <c r="AS71" i="3"/>
  <c r="AF93" i="3"/>
  <c r="BB90" i="3"/>
  <c r="AY61" i="3"/>
  <c r="AF96" i="3"/>
  <c r="BB97" i="3"/>
  <c r="BB74" i="3"/>
  <c r="BB71" i="3"/>
  <c r="AF84" i="3"/>
  <c r="AS96" i="3"/>
  <c r="AS73" i="3"/>
  <c r="AS93" i="3"/>
  <c r="AS63" i="3"/>
  <c r="AS58" i="3"/>
  <c r="AS50" i="3"/>
  <c r="AS70" i="3"/>
  <c r="AS68" i="3"/>
  <c r="AS65" i="3"/>
  <c r="AS61" i="3"/>
  <c r="AS85" i="3"/>
  <c r="AS78" i="3"/>
  <c r="AS86" i="3"/>
  <c r="AS60" i="3"/>
  <c r="AS81" i="3"/>
  <c r="AS64" i="3"/>
  <c r="AS97" i="3"/>
  <c r="AS83" i="3"/>
  <c r="AS94" i="3"/>
  <c r="AS55" i="3"/>
  <c r="AS90" i="3"/>
  <c r="BB83" i="3"/>
  <c r="BB81" i="3"/>
  <c r="AV73" i="3"/>
  <c r="AF97" i="3"/>
  <c r="BB91" i="3"/>
  <c r="BB94" i="3"/>
  <c r="BB77" i="3"/>
  <c r="AF56" i="3"/>
  <c r="BB68" i="3"/>
  <c r="AF70" i="3"/>
  <c r="AF72" i="3"/>
  <c r="AF49" i="3"/>
  <c r="BB79" i="3"/>
  <c r="AS76" i="3"/>
  <c r="AS89" i="3"/>
  <c r="AS88" i="3"/>
  <c r="AS95" i="3"/>
  <c r="AS80" i="3"/>
  <c r="AS69" i="3"/>
  <c r="AS84" i="3"/>
  <c r="AS54" i="3"/>
  <c r="AS82" i="3"/>
  <c r="AV82" i="3"/>
  <c r="AV84" i="3"/>
  <c r="AS66" i="3"/>
  <c r="AV65" i="3"/>
  <c r="BB50" i="3"/>
  <c r="AV83" i="3"/>
  <c r="BB67" i="3"/>
  <c r="AS79" i="3"/>
  <c r="BB73" i="3"/>
  <c r="AS56" i="3"/>
  <c r="AS74" i="3"/>
  <c r="AS59" i="3"/>
  <c r="AS87" i="3"/>
  <c r="AS92" i="3"/>
  <c r="AV94" i="3"/>
  <c r="AV63" i="3"/>
  <c r="AV57" i="3"/>
  <c r="AV71" i="3"/>
  <c r="AV81" i="3"/>
  <c r="AV93" i="3"/>
  <c r="AV55" i="3"/>
  <c r="AV60" i="3"/>
  <c r="AV56" i="3"/>
  <c r="AS67" i="3"/>
  <c r="AV97" i="3"/>
  <c r="AV85" i="3"/>
  <c r="C61" i="3"/>
  <c r="G97" i="3"/>
  <c r="G85" i="3"/>
  <c r="G55" i="3"/>
  <c r="F75" i="3"/>
  <c r="F82" i="3"/>
  <c r="F55" i="3"/>
  <c r="F73" i="3"/>
  <c r="D89" i="3"/>
  <c r="G64" i="3"/>
  <c r="G84" i="3"/>
  <c r="E65" i="3"/>
  <c r="E73" i="3"/>
  <c r="E83" i="3"/>
  <c r="E55" i="3"/>
  <c r="E67" i="3"/>
  <c r="E89" i="3"/>
  <c r="E91" i="3"/>
  <c r="E57" i="3"/>
  <c r="E87" i="3"/>
  <c r="E58" i="3"/>
  <c r="E82" i="3"/>
  <c r="CL184" i="1"/>
  <c r="BA56" i="3"/>
  <c r="BA61" i="3"/>
  <c r="BA86" i="3"/>
  <c r="BA58" i="3"/>
  <c r="BA96" i="3"/>
  <c r="CG199" i="1" s="1"/>
  <c r="CH199" i="1" s="1"/>
  <c r="BA59" i="3"/>
  <c r="BA84" i="3"/>
  <c r="BA68" i="3"/>
  <c r="BA49" i="3"/>
  <c r="CG109" i="1" s="1"/>
  <c r="BA76" i="3"/>
  <c r="BA93" i="3"/>
  <c r="BA80" i="3"/>
  <c r="BA66" i="3"/>
  <c r="BA63" i="3"/>
  <c r="BA48" i="3"/>
  <c r="BA97" i="3"/>
  <c r="BA65" i="3"/>
  <c r="BA83" i="3"/>
  <c r="BA88" i="3"/>
  <c r="BA89" i="3"/>
  <c r="BA71" i="3"/>
  <c r="BA57" i="3"/>
  <c r="BA69" i="3"/>
  <c r="BA55" i="3"/>
  <c r="BA50" i="3"/>
  <c r="CG110" i="1" s="1"/>
  <c r="BA75" i="3"/>
  <c r="BA72" i="3"/>
  <c r="BA81" i="3"/>
  <c r="BA82" i="3"/>
  <c r="BA78" i="3"/>
  <c r="BA74" i="3"/>
  <c r="BA87" i="3"/>
  <c r="BA70" i="3"/>
  <c r="BA94" i="3"/>
  <c r="BA47" i="3"/>
  <c r="BA73" i="3"/>
  <c r="BA92" i="3"/>
  <c r="BA91" i="3"/>
  <c r="BA62" i="3"/>
  <c r="BA85" i="3"/>
  <c r="BA67" i="3"/>
  <c r="BA54" i="3"/>
  <c r="BA79" i="3"/>
  <c r="BA60" i="3"/>
  <c r="BA90" i="3"/>
  <c r="BA64" i="3"/>
  <c r="BA95" i="3"/>
  <c r="CG200" i="1" s="1"/>
  <c r="CH200" i="1" s="1"/>
  <c r="AV78" i="3"/>
  <c r="AV89" i="3"/>
  <c r="AV47" i="3"/>
  <c r="AV61" i="3"/>
  <c r="AV86" i="3"/>
  <c r="AV58" i="3"/>
  <c r="AV80" i="3"/>
  <c r="AV64" i="3"/>
  <c r="AV48" i="3"/>
  <c r="AV59" i="3"/>
  <c r="AV77" i="3"/>
  <c r="AV87" i="3"/>
  <c r="AV74" i="3"/>
  <c r="AV88" i="3"/>
  <c r="AV72" i="3"/>
  <c r="AV70" i="3"/>
  <c r="AV95" i="3"/>
  <c r="AV66" i="3"/>
  <c r="AV54" i="3"/>
  <c r="AV90" i="3"/>
  <c r="AV67" i="3"/>
  <c r="AV75" i="3"/>
  <c r="AV76" i="3"/>
  <c r="AV91" i="3"/>
  <c r="AV50" i="3"/>
  <c r="CB110" i="1" s="1"/>
  <c r="AV49" i="3"/>
  <c r="CB109" i="1" s="1"/>
  <c r="AV92" i="3"/>
  <c r="AV79" i="3"/>
  <c r="AV68" i="3"/>
  <c r="AV62" i="3"/>
  <c r="CL268" i="1"/>
  <c r="CL269" i="1" s="1"/>
  <c r="CL70" i="1"/>
  <c r="CL74" i="1" s="1"/>
  <c r="CL21" i="1" s="1"/>
  <c r="CL65" i="1"/>
  <c r="CL239" i="1"/>
  <c r="CL237" i="1" s="1"/>
  <c r="JR19" i="4"/>
  <c r="CL114" i="1" s="1"/>
  <c r="E71" i="3"/>
  <c r="E95" i="3"/>
  <c r="AK200" i="1" s="1"/>
  <c r="AL200" i="1" s="1"/>
  <c r="E61" i="3"/>
  <c r="E88" i="3"/>
  <c r="AK163" i="1" s="1"/>
  <c r="AL163" i="1" s="1"/>
  <c r="E56" i="3"/>
  <c r="AK153" i="1" s="1"/>
  <c r="E76" i="3"/>
  <c r="E80" i="3"/>
  <c r="AK195" i="1" s="1"/>
  <c r="E85" i="3"/>
  <c r="AK183" i="1" s="1"/>
  <c r="AL183" i="1" s="1"/>
  <c r="E77" i="3"/>
  <c r="AK176" i="1" s="1"/>
  <c r="E60" i="3"/>
  <c r="AK158" i="1" s="1"/>
  <c r="AL158" i="1" s="1"/>
  <c r="E74" i="3"/>
  <c r="AK173" i="1" s="1"/>
  <c r="AL173" i="1" s="1"/>
  <c r="E64" i="3"/>
  <c r="AK185" i="1" s="1"/>
  <c r="AL185" i="1" s="1"/>
  <c r="E72" i="3"/>
  <c r="AK171" i="1" s="1"/>
  <c r="AL171" i="1" s="1"/>
  <c r="E69" i="3"/>
  <c r="E78" i="3"/>
  <c r="AK178" i="1" s="1"/>
  <c r="AL178" i="1" s="1"/>
  <c r="E59" i="3"/>
  <c r="E63" i="3"/>
  <c r="AK161" i="1" s="1"/>
  <c r="AL161" i="1" s="1"/>
  <c r="E79" i="3"/>
  <c r="AK179" i="1" s="1"/>
  <c r="AL179" i="1" s="1"/>
  <c r="E93" i="3"/>
  <c r="E62" i="3"/>
  <c r="AK160" i="1" s="1"/>
  <c r="AL160" i="1" s="1"/>
  <c r="E66" i="3"/>
  <c r="AK187" i="1" s="1"/>
  <c r="AL187" i="1" s="1"/>
  <c r="E94" i="3"/>
  <c r="E90" i="3"/>
  <c r="AK162" i="1" s="1"/>
  <c r="AL162" i="1" s="1"/>
  <c r="E92" i="3"/>
  <c r="AK191" i="1" s="1"/>
  <c r="AL191" i="1" s="1"/>
  <c r="E54" i="3"/>
  <c r="E96" i="3"/>
  <c r="AK199" i="1" s="1"/>
  <c r="AL199" i="1" s="1"/>
  <c r="E70" i="3"/>
  <c r="AK169" i="1" s="1"/>
  <c r="E84" i="3"/>
  <c r="AK182" i="1" s="1"/>
  <c r="AL182" i="1" s="1"/>
  <c r="E86" i="3"/>
  <c r="E68" i="3"/>
  <c r="AK167" i="1" s="1"/>
  <c r="E97" i="3"/>
  <c r="E81" i="3"/>
  <c r="AK180" i="1" s="1"/>
  <c r="E75" i="3"/>
  <c r="F62" i="3"/>
  <c r="F91" i="3"/>
  <c r="F93" i="3"/>
  <c r="F89" i="3"/>
  <c r="F96" i="3"/>
  <c r="F87" i="3"/>
  <c r="F97" i="3"/>
  <c r="F64" i="3"/>
  <c r="F77" i="3"/>
  <c r="D83" i="3"/>
  <c r="D75" i="3"/>
  <c r="D88" i="3"/>
  <c r="D55" i="3"/>
  <c r="D94" i="3"/>
  <c r="D72" i="3"/>
  <c r="G74" i="3"/>
  <c r="AM173" i="1" s="1"/>
  <c r="AN173" i="1" s="1"/>
  <c r="G70" i="3"/>
  <c r="AM169" i="1" s="1"/>
  <c r="G89" i="3"/>
  <c r="AM189" i="1" s="1"/>
  <c r="G56" i="3"/>
  <c r="AM153" i="1" s="1"/>
  <c r="CC200" i="1"/>
  <c r="CD200" i="1" s="1"/>
  <c r="CC189" i="1"/>
  <c r="BX110" i="1"/>
  <c r="CI162" i="1"/>
  <c r="CJ162" i="1" s="1"/>
  <c r="CD109" i="1"/>
  <c r="CC109" i="1"/>
  <c r="CI163" i="1"/>
  <c r="CJ163" i="1" s="1"/>
  <c r="CF110" i="1"/>
  <c r="BZ109" i="1"/>
  <c r="CI182" i="1"/>
  <c r="CJ182" i="1" s="1"/>
  <c r="CI179" i="1"/>
  <c r="CJ179" i="1" s="1"/>
  <c r="CI110" i="1"/>
  <c r="CE163" i="1"/>
  <c r="CF163" i="1" s="1"/>
  <c r="BZ110" i="1"/>
  <c r="CE158" i="1"/>
  <c r="CF158" i="1" s="1"/>
  <c r="CC155" i="1"/>
  <c r="CC162" i="1"/>
  <c r="CD162" i="1" s="1"/>
  <c r="CI183" i="1"/>
  <c r="CJ183" i="1" s="1"/>
  <c r="CI176" i="1"/>
  <c r="CJ176" i="1" s="1"/>
  <c r="CJ238" i="1" s="1"/>
  <c r="CI153" i="1"/>
  <c r="CE185" i="1"/>
  <c r="CF185" i="1" s="1"/>
  <c r="CC110" i="1"/>
  <c r="CC187" i="1"/>
  <c r="CD187" i="1" s="1"/>
  <c r="CI188" i="1"/>
  <c r="CJ188" i="1" s="1"/>
  <c r="CI190" i="1"/>
  <c r="CJ190" i="1" s="1"/>
  <c r="CC179" i="1"/>
  <c r="CD179" i="1" s="1"/>
  <c r="CC191" i="1"/>
  <c r="CD191" i="1" s="1"/>
  <c r="CC163" i="1"/>
  <c r="CD163" i="1" s="1"/>
  <c r="CI180" i="1"/>
  <c r="CI191" i="1"/>
  <c r="CJ191" i="1" s="1"/>
  <c r="BX109" i="1"/>
  <c r="CI154" i="1"/>
  <c r="CC173" i="1"/>
  <c r="CD173" i="1" s="1"/>
  <c r="CC167" i="1"/>
  <c r="CI161" i="1"/>
  <c r="CJ161" i="1" s="1"/>
  <c r="CI189" i="1"/>
  <c r="CI186" i="1"/>
  <c r="CJ186" i="1" s="1"/>
  <c r="CE196" i="1"/>
  <c r="CC171" i="1"/>
  <c r="CD171" i="1" s="1"/>
  <c r="AM181" i="1"/>
  <c r="CC161" i="1"/>
  <c r="CD161" i="1" s="1"/>
  <c r="CC180" i="1"/>
  <c r="CI171" i="1"/>
  <c r="CJ171" i="1" s="1"/>
  <c r="CI170" i="1"/>
  <c r="CI109" i="1"/>
  <c r="CE176" i="1"/>
  <c r="AM161" i="1"/>
  <c r="AN161" i="1" s="1"/>
  <c r="X109" i="1"/>
  <c r="AM186" i="1"/>
  <c r="AN186" i="1" s="1"/>
  <c r="AM187" i="1"/>
  <c r="AN187" i="1" s="1"/>
  <c r="CC195" i="1"/>
  <c r="BL110" i="1"/>
  <c r="CI200" i="1"/>
  <c r="CJ200" i="1" s="1"/>
  <c r="CK200" i="1" s="1"/>
  <c r="CL200" i="1" s="1"/>
  <c r="CM200" i="1" s="1"/>
  <c r="CN200" i="1" s="1"/>
  <c r="CO200" i="1" s="1"/>
  <c r="CI173" i="1"/>
  <c r="CJ173" i="1" s="1"/>
  <c r="CE171" i="1"/>
  <c r="CF171" i="1" s="1"/>
  <c r="AM199" i="1"/>
  <c r="AN199" i="1" s="1"/>
  <c r="CC186" i="1"/>
  <c r="CD186" i="1" s="1"/>
  <c r="CI181" i="1"/>
  <c r="CI160" i="1"/>
  <c r="CJ160" i="1" s="1"/>
  <c r="CI195" i="1"/>
  <c r="CE161" i="1"/>
  <c r="CF161" i="1" s="1"/>
  <c r="CJ109" i="1"/>
  <c r="CI185" i="1"/>
  <c r="CJ185" i="1" s="1"/>
  <c r="CI187" i="1"/>
  <c r="CJ187" i="1" s="1"/>
  <c r="AM191" i="1"/>
  <c r="AN191" i="1" s="1"/>
  <c r="AM163" i="1"/>
  <c r="CC181" i="1"/>
  <c r="CF109" i="1"/>
  <c r="CI155" i="1"/>
  <c r="AL56" i="1"/>
  <c r="CC160" i="1"/>
  <c r="CD160" i="1" s="1"/>
  <c r="CC176" i="1"/>
  <c r="CD176" i="1" s="1"/>
  <c r="CE238" i="1" s="1"/>
  <c r="AL71" i="1"/>
  <c r="HY16" i="4" s="1"/>
  <c r="BX45" i="1"/>
  <c r="IL14" i="4" s="1"/>
  <c r="IA14" i="4" s="1"/>
  <c r="IJ15" i="4" s="1"/>
  <c r="AK50" i="1"/>
  <c r="IX15" i="4" s="1"/>
  <c r="IC7" i="4" s="1"/>
  <c r="F59" i="1"/>
  <c r="CC158" i="1"/>
  <c r="CD158" i="1" s="1"/>
  <c r="AJ58" i="1"/>
  <c r="AK51" i="1"/>
  <c r="HW14" i="4" s="1"/>
  <c r="HP16" i="4" s="1"/>
  <c r="AM59" i="1"/>
  <c r="AL50" i="1"/>
  <c r="CC154" i="1"/>
  <c r="CD154" i="1" s="1"/>
  <c r="HS15" i="4" s="1"/>
  <c r="CC199" i="1"/>
  <c r="CD199" i="1" s="1"/>
  <c r="II14" i="4" s="1"/>
  <c r="P83" i="1"/>
  <c r="L49" i="1"/>
  <c r="HX7" i="4" s="1"/>
  <c r="AL83" i="1"/>
  <c r="JB14" i="4" s="1"/>
  <c r="IC16" i="4" s="1"/>
  <c r="AJ71" i="1"/>
  <c r="IM16" i="4" s="1"/>
  <c r="IG16" i="4" s="1"/>
  <c r="C45" i="1"/>
  <c r="CC185" i="1"/>
  <c r="AJ72" i="1"/>
  <c r="JE16" i="4" s="1"/>
  <c r="AM71" i="1"/>
  <c r="AJ68" i="1"/>
  <c r="IX16" i="4" s="1"/>
  <c r="HZ16" i="4" s="1"/>
  <c r="O58" i="1"/>
  <c r="HS16" i="4" s="1"/>
  <c r="AJ87" i="1"/>
  <c r="IO16" i="4" s="1"/>
  <c r="AM49" i="1"/>
  <c r="JD9" i="4" s="1"/>
  <c r="AJ51" i="1"/>
  <c r="IA9" i="4" s="1"/>
  <c r="BX49" i="1"/>
  <c r="AM56" i="1"/>
  <c r="IW16" i="4" s="1"/>
  <c r="HW9" i="4" s="1"/>
  <c r="G49" i="1"/>
  <c r="P44" i="1"/>
  <c r="JB16" i="4" s="1"/>
  <c r="JC16" i="4" s="1"/>
  <c r="IR9" i="4" s="1"/>
  <c r="Q61" i="1"/>
  <c r="HV16" i="4" s="1"/>
  <c r="JF9" i="4" s="1"/>
  <c r="L81" i="1"/>
  <c r="HY9" i="4" s="1"/>
  <c r="AM45" i="1"/>
  <c r="CC183" i="1"/>
  <c r="CD183" i="1" s="1"/>
  <c r="AM58" i="1"/>
  <c r="AL57" i="1"/>
  <c r="HS9" i="4" s="1"/>
  <c r="B83" i="1"/>
  <c r="AK81" i="1"/>
  <c r="AL68" i="1"/>
  <c r="IN16" i="4" s="1"/>
  <c r="JH9" i="4" s="1"/>
  <c r="E51" i="1"/>
  <c r="O59" i="1"/>
  <c r="IV7" i="4" s="1"/>
  <c r="CC188" i="1"/>
  <c r="CD188" i="1" s="1"/>
  <c r="C57" i="1"/>
  <c r="HR8" i="4" s="1"/>
  <c r="IV9" i="4" s="1"/>
  <c r="IW7" i="4" s="1"/>
  <c r="AJ82" i="1"/>
  <c r="M68" i="1"/>
  <c r="M57" i="1"/>
  <c r="IH7" i="4" s="1"/>
  <c r="IT8" i="4" s="1"/>
  <c r="IP16" i="4" s="1"/>
  <c r="IB14" i="4" s="1"/>
  <c r="CC190" i="1"/>
  <c r="CD190" i="1" s="1"/>
  <c r="CC153" i="1"/>
  <c r="CD110" i="1"/>
  <c r="AL72" i="1"/>
  <c r="AK56" i="1"/>
  <c r="IP15" i="4" s="1"/>
  <c r="IB9" i="4" s="1"/>
  <c r="J57" i="1"/>
  <c r="AK68" i="1"/>
  <c r="AK230" i="1" s="1"/>
  <c r="F51" i="1"/>
  <c r="IH16" i="4" s="1"/>
  <c r="M49" i="1"/>
  <c r="II7" i="4" s="1"/>
  <c r="HX16" i="4" s="1"/>
  <c r="E71" i="1"/>
  <c r="M72" i="1"/>
  <c r="HU16" i="4" s="1"/>
  <c r="L83" i="1"/>
  <c r="IH9" i="4" s="1"/>
  <c r="HQ16" i="4" s="1"/>
  <c r="CC182" i="1"/>
  <c r="CD182" i="1" s="1"/>
  <c r="BX68" i="1"/>
  <c r="AM44" i="1"/>
  <c r="AM267" i="1" s="1"/>
  <c r="AK71" i="1"/>
  <c r="IB16" i="4" s="1"/>
  <c r="IB21" i="4" s="1"/>
  <c r="AV113" i="1" s="1"/>
  <c r="IC14" i="4" s="1"/>
  <c r="D158" i="1"/>
  <c r="BX75" i="1"/>
  <c r="IK16" i="4" s="1"/>
  <c r="BX59" i="1"/>
  <c r="AM57" i="1"/>
  <c r="T82" i="1"/>
  <c r="P59" i="1"/>
  <c r="JI9" i="4" s="1"/>
  <c r="HR16" i="4" s="1"/>
  <c r="JD8" i="4" s="1"/>
  <c r="JG7" i="4" s="1"/>
  <c r="JC9" i="4" s="1"/>
  <c r="L51" i="1"/>
  <c r="IN7" i="4" s="1"/>
  <c r="AJ81" i="1"/>
  <c r="AJ44" i="1"/>
  <c r="AJ267" i="1" s="1"/>
  <c r="IN8" i="4" s="1"/>
  <c r="IT9" i="4" s="1"/>
  <c r="I71" i="1"/>
  <c r="C72" i="1"/>
  <c r="AJ49" i="1"/>
  <c r="HT9" i="4" s="1"/>
  <c r="IE8" i="4" s="1"/>
  <c r="JE9" i="4" s="1"/>
  <c r="D44" i="1"/>
  <c r="HR9" i="4" s="1"/>
  <c r="HR21" i="4" s="1"/>
  <c r="AL113" i="1" s="1"/>
  <c r="E82" i="1"/>
  <c r="P45" i="1"/>
  <c r="BX58" i="1"/>
  <c r="AM50" i="1"/>
  <c r="AJ83" i="1"/>
  <c r="U75" i="1"/>
  <c r="G199" i="1"/>
  <c r="H60" i="1"/>
  <c r="AL75" i="1"/>
  <c r="AK83" i="1"/>
  <c r="H44" i="1"/>
  <c r="AJ56" i="1"/>
  <c r="IY9" i="4" s="1"/>
  <c r="G189" i="1"/>
  <c r="G59" i="1"/>
  <c r="P71" i="1"/>
  <c r="AL51" i="1"/>
  <c r="F83" i="1"/>
  <c r="D60" i="1"/>
  <c r="N58" i="1"/>
  <c r="HZ7" i="4" s="1"/>
  <c r="JG16" i="4" s="1"/>
  <c r="JG21" i="4" s="1"/>
  <c r="CA113" i="1" s="1"/>
  <c r="R71" i="1"/>
  <c r="Q51" i="1"/>
  <c r="P191" i="1"/>
  <c r="N51" i="1"/>
  <c r="W87" i="1"/>
  <c r="HW8" i="4" s="1"/>
  <c r="JB9" i="4" s="1"/>
  <c r="JA16" i="4" s="1"/>
  <c r="S59" i="1"/>
  <c r="O83" i="1"/>
  <c r="C75" i="1"/>
  <c r="D58" i="1"/>
  <c r="N57" i="1"/>
  <c r="I49" i="1"/>
  <c r="J81" i="1"/>
  <c r="IJ9" i="4" s="1"/>
  <c r="R59" i="1"/>
  <c r="P163" i="1"/>
  <c r="H83" i="1"/>
  <c r="U60" i="1"/>
  <c r="IT7" i="4" s="1"/>
  <c r="E81" i="1"/>
  <c r="D45" i="1"/>
  <c r="AK87" i="1"/>
  <c r="N83" i="1"/>
  <c r="L75" i="1"/>
  <c r="AJ45" i="1"/>
  <c r="AK49" i="1"/>
  <c r="IP8" i="4" s="1"/>
  <c r="D72" i="1"/>
  <c r="W49" i="1"/>
  <c r="R82" i="1"/>
  <c r="HW15" i="4" s="1"/>
  <c r="I51" i="1"/>
  <c r="BX71" i="1"/>
  <c r="HQ9" i="4" s="1"/>
  <c r="AJ50" i="1"/>
  <c r="BJ59" i="1"/>
  <c r="ID16" i="4" s="1"/>
  <c r="HV9" i="4" s="1"/>
  <c r="O45" i="1"/>
  <c r="G81" i="1"/>
  <c r="P58" i="1"/>
  <c r="R83" i="1"/>
  <c r="IU16" i="4" s="1"/>
  <c r="S81" i="1"/>
  <c r="AJ57" i="1"/>
  <c r="E60" i="1"/>
  <c r="L57" i="1"/>
  <c r="E56" i="1"/>
  <c r="W81" i="1"/>
  <c r="R81" i="1"/>
  <c r="T87" i="1"/>
  <c r="BX50" i="1"/>
  <c r="J45" i="1"/>
  <c r="IW9" i="4" s="1"/>
  <c r="J61" i="1"/>
  <c r="AJ60" i="1"/>
  <c r="D57" i="1"/>
  <c r="F68" i="1"/>
  <c r="BJ58" i="1"/>
  <c r="O87" i="1"/>
  <c r="Q49" i="1"/>
  <c r="N59" i="1"/>
  <c r="J58" i="1"/>
  <c r="F44" i="1"/>
  <c r="IC9" i="4" s="1"/>
  <c r="N49" i="1"/>
  <c r="L87" i="1"/>
  <c r="C71" i="1"/>
  <c r="T83" i="1"/>
  <c r="W51" i="1"/>
  <c r="I82" i="1"/>
  <c r="JH15" i="4" s="1"/>
  <c r="IK15" i="4" s="1"/>
  <c r="II16" i="4" s="1"/>
  <c r="Q87" i="1"/>
  <c r="AK60" i="1"/>
  <c r="BJ50" i="1"/>
  <c r="IF7" i="4" s="1"/>
  <c r="J51" i="1"/>
  <c r="M56" i="1"/>
  <c r="O81" i="1"/>
  <c r="O82" i="1"/>
  <c r="AK58" i="1"/>
  <c r="IU9" i="4" s="1"/>
  <c r="BX51" i="1"/>
  <c r="K71" i="1"/>
  <c r="AM51" i="1"/>
  <c r="E61" i="1"/>
  <c r="IR16" i="4" s="1"/>
  <c r="IR21" i="4" s="1"/>
  <c r="BL113" i="1" s="1"/>
  <c r="B56" i="1"/>
  <c r="U71" i="1"/>
  <c r="V56" i="1"/>
  <c r="F87" i="1"/>
  <c r="R72" i="1"/>
  <c r="R288" i="1" s="1"/>
  <c r="M81" i="1"/>
  <c r="B44" i="1"/>
  <c r="P56" i="1"/>
  <c r="N87" i="1"/>
  <c r="JD15" i="4" s="1"/>
  <c r="BX60" i="1"/>
  <c r="HT15" i="4" s="1"/>
  <c r="IV15" i="4" s="1"/>
  <c r="JA7" i="4" s="1"/>
  <c r="IJ8" i="4" s="1"/>
  <c r="HS8" i="4" s="1"/>
  <c r="O57" i="1"/>
  <c r="AM72" i="1"/>
  <c r="AM288" i="1" s="1"/>
  <c r="BJ51" i="1"/>
  <c r="AK75" i="1"/>
  <c r="IM15" i="4" s="1"/>
  <c r="IE9" i="4" s="1"/>
  <c r="AJ59" i="1"/>
  <c r="AL45" i="1"/>
  <c r="V59" i="1"/>
  <c r="S61" i="1"/>
  <c r="M51" i="1"/>
  <c r="BJ57" i="1"/>
  <c r="V68" i="1"/>
  <c r="S60" i="1"/>
  <c r="AM75" i="1"/>
  <c r="IJ14" i="4" s="1"/>
  <c r="IZ15" i="4" s="1"/>
  <c r="IX9" i="4" s="1"/>
  <c r="IQ16" i="4" s="1"/>
  <c r="L56" i="1"/>
  <c r="IL7" i="4" s="1"/>
  <c r="W59" i="1"/>
  <c r="J56" i="1"/>
  <c r="IK14" i="4" s="1"/>
  <c r="U87" i="1"/>
  <c r="S75" i="1"/>
  <c r="C81" i="1"/>
  <c r="F72" i="1"/>
  <c r="F288" i="1" s="1"/>
  <c r="J59" i="1"/>
  <c r="O72" i="1"/>
  <c r="W61" i="1"/>
  <c r="E75" i="1"/>
  <c r="B68" i="1"/>
  <c r="M71" i="1"/>
  <c r="W57" i="1"/>
  <c r="T61" i="1"/>
  <c r="O71" i="1"/>
  <c r="Q44" i="1"/>
  <c r="HQ15" i="4" s="1"/>
  <c r="IO9" i="4" s="1"/>
  <c r="HZ15" i="4" s="1"/>
  <c r="IF15" i="4" s="1"/>
  <c r="JI15" i="4" s="1"/>
  <c r="O75" i="1"/>
  <c r="II8" i="4" s="1"/>
  <c r="IN14" i="4" s="1"/>
  <c r="BX82" i="1"/>
  <c r="AK82" i="1"/>
  <c r="II9" i="4" s="1"/>
  <c r="AK45" i="1"/>
  <c r="AL82" i="1"/>
  <c r="K87" i="1"/>
  <c r="BJ44" i="1"/>
  <c r="BJ267" i="1" s="1"/>
  <c r="JI16" i="4" s="1"/>
  <c r="JI21" i="4" s="1"/>
  <c r="CC113" i="1" s="1"/>
  <c r="IK9" i="4" s="1"/>
  <c r="M44" i="1"/>
  <c r="H58" i="1"/>
  <c r="IX14" i="4" s="1"/>
  <c r="AK44" i="1"/>
  <c r="AK267" i="1" s="1"/>
  <c r="K57" i="1"/>
  <c r="IO7" i="4" s="1"/>
  <c r="HT14" i="4" s="1"/>
  <c r="AL44" i="1"/>
  <c r="P87" i="1"/>
  <c r="HY15" i="4" s="1"/>
  <c r="I81" i="1"/>
  <c r="O44" i="1"/>
  <c r="HU15" i="4" s="1"/>
  <c r="S71" i="1"/>
  <c r="Q57" i="1"/>
  <c r="C58" i="1"/>
  <c r="J49" i="1"/>
  <c r="BJ60" i="1"/>
  <c r="AL59" i="1"/>
  <c r="BX57" i="1"/>
  <c r="JI8" i="4" s="1"/>
  <c r="AK72" i="1"/>
  <c r="U56" i="1"/>
  <c r="U59" i="1"/>
  <c r="E44" i="1"/>
  <c r="E267" i="1" s="1"/>
  <c r="BX83" i="1"/>
  <c r="C82" i="1"/>
  <c r="C68" i="1"/>
  <c r="O51" i="1"/>
  <c r="M87" i="1"/>
  <c r="IJ16" i="4" s="1"/>
  <c r="I59" i="1"/>
  <c r="Q75" i="1"/>
  <c r="N45" i="1"/>
  <c r="U51" i="1"/>
  <c r="I61" i="1"/>
  <c r="H56" i="1"/>
  <c r="G61" i="1"/>
  <c r="BX72" i="1"/>
  <c r="IM14" i="4" s="1"/>
  <c r="JA9" i="4" s="1"/>
  <c r="V75" i="1"/>
  <c r="IY16" i="4" s="1"/>
  <c r="IS7" i="4" s="1"/>
  <c r="I83" i="1"/>
  <c r="G57" i="1"/>
  <c r="F81" i="1"/>
  <c r="G51" i="1"/>
  <c r="V81" i="1"/>
  <c r="W58" i="1"/>
  <c r="E195" i="1"/>
  <c r="AM68" i="1"/>
  <c r="AM230" i="1" s="1"/>
  <c r="O61" i="1"/>
  <c r="B72" i="1"/>
  <c r="L58" i="1"/>
  <c r="IF9" i="4" s="1"/>
  <c r="AL58" i="1"/>
  <c r="E83" i="1"/>
  <c r="AL87" i="1"/>
  <c r="I58" i="1"/>
  <c r="R87" i="1"/>
  <c r="N61" i="1"/>
  <c r="M59" i="1"/>
  <c r="Q45" i="1"/>
  <c r="J83" i="1"/>
  <c r="T44" i="1"/>
  <c r="T267" i="1" s="1"/>
  <c r="B71" i="1"/>
  <c r="G56" i="1"/>
  <c r="H57" i="1"/>
  <c r="G83" i="1"/>
  <c r="F61" i="1"/>
  <c r="K82" i="1"/>
  <c r="V61" i="1"/>
  <c r="L72" i="1"/>
  <c r="V71" i="1"/>
  <c r="I68" i="1"/>
  <c r="Q56" i="1"/>
  <c r="U45" i="1"/>
  <c r="IZ16" i="4" s="1"/>
  <c r="N68" i="1"/>
  <c r="N230" i="1" s="1"/>
  <c r="G82" i="1"/>
  <c r="JH16" i="4" s="1"/>
  <c r="JH21" i="4" s="1"/>
  <c r="CB113" i="1" s="1"/>
  <c r="C44" i="1"/>
  <c r="C51" i="1"/>
  <c r="V60" i="1"/>
  <c r="H87" i="1"/>
  <c r="E59" i="1"/>
  <c r="K75" i="1"/>
  <c r="C83" i="1"/>
  <c r="AE7" i="6" s="1"/>
  <c r="BL50" i="1"/>
  <c r="CB51" i="1"/>
  <c r="BL51" i="1"/>
  <c r="BZ50" i="1"/>
  <c r="CC75" i="1"/>
  <c r="BZ59" i="1"/>
  <c r="CH51" i="1"/>
  <c r="CG82" i="1"/>
  <c r="Y51" i="1"/>
  <c r="CG44" i="1"/>
  <c r="CG267" i="1" s="1"/>
  <c r="CC60" i="1"/>
  <c r="BY45" i="1"/>
  <c r="CF59" i="1"/>
  <c r="BY44" i="1"/>
  <c r="BZ56" i="1"/>
  <c r="BZ51" i="1"/>
  <c r="AI7" i="6" s="1"/>
  <c r="X207" i="1"/>
  <c r="Z83" i="1"/>
  <c r="CH49" i="1"/>
  <c r="X158" i="1"/>
  <c r="CI83" i="1"/>
  <c r="C160" i="1"/>
  <c r="BJ49" i="1"/>
  <c r="BX81" i="1"/>
  <c r="T59" i="1"/>
  <c r="K45" i="1"/>
  <c r="N81" i="1"/>
  <c r="Q60" i="1"/>
  <c r="W71" i="1"/>
  <c r="T51" i="1"/>
  <c r="IN9" i="4" s="1"/>
  <c r="V51" i="1"/>
  <c r="S51" i="1"/>
  <c r="T71" i="1"/>
  <c r="L59" i="1"/>
  <c r="M82" i="1"/>
  <c r="N75" i="1"/>
  <c r="Q72" i="1"/>
  <c r="R61" i="1"/>
  <c r="T72" i="1"/>
  <c r="G60" i="1"/>
  <c r="X7" i="6" s="1"/>
  <c r="CF75" i="1"/>
  <c r="AC7" i="6" s="1"/>
  <c r="JL16" i="4" s="1"/>
  <c r="CE81" i="1"/>
  <c r="CD51" i="1"/>
  <c r="BZ72" i="1"/>
  <c r="CC81" i="1"/>
  <c r="X58" i="1"/>
  <c r="CH72" i="1"/>
  <c r="X176" i="1"/>
  <c r="X187" i="1"/>
  <c r="X162" i="1"/>
  <c r="X190" i="1" s="1"/>
  <c r="CG72" i="1"/>
  <c r="CG288" i="1" s="1"/>
  <c r="Y60" i="1"/>
  <c r="W56" i="1"/>
  <c r="H59" i="1"/>
  <c r="H68" i="1"/>
  <c r="R45" i="1"/>
  <c r="L61" i="1"/>
  <c r="V72" i="1"/>
  <c r="P72" i="1"/>
  <c r="I57" i="1"/>
  <c r="S49" i="1"/>
  <c r="T75" i="1"/>
  <c r="O56" i="1"/>
  <c r="I72" i="1"/>
  <c r="U57" i="1"/>
  <c r="AL60" i="1"/>
  <c r="B75" i="1"/>
  <c r="K49" i="1"/>
  <c r="T58" i="1"/>
  <c r="E68" i="1"/>
  <c r="E230" i="1" s="1"/>
  <c r="BL57" i="1"/>
  <c r="CE68" i="1"/>
  <c r="CE230" i="1" s="1"/>
  <c r="BZ75" i="1"/>
  <c r="CF72" i="1"/>
  <c r="Y185" i="1"/>
  <c r="CG75" i="1"/>
  <c r="CJ50" i="1"/>
  <c r="K59" i="1"/>
  <c r="P81" i="1"/>
  <c r="F56" i="1"/>
  <c r="U61" i="1"/>
  <c r="F45" i="1"/>
  <c r="N71" i="1"/>
  <c r="M75" i="1"/>
  <c r="K72" i="1"/>
  <c r="K51" i="1"/>
  <c r="L45" i="1"/>
  <c r="E57" i="1"/>
  <c r="C61" i="1"/>
  <c r="J44" i="1"/>
  <c r="T60" i="1"/>
  <c r="Q68" i="1"/>
  <c r="N44" i="1"/>
  <c r="V83" i="1"/>
  <c r="AL49" i="1"/>
  <c r="C59" i="1"/>
  <c r="W60" i="1"/>
  <c r="D59" i="1"/>
  <c r="F58" i="1"/>
  <c r="K61" i="1"/>
  <c r="Q82" i="1"/>
  <c r="CE82" i="1"/>
  <c r="CA81" i="1"/>
  <c r="CB83" i="1"/>
  <c r="AG7" i="6" s="1"/>
  <c r="BL81" i="1"/>
  <c r="CD68" i="1"/>
  <c r="I7" i="6" s="1"/>
  <c r="CC72" i="1"/>
  <c r="CC68" i="1"/>
  <c r="CC230" i="1" s="1"/>
  <c r="BZ68" i="1"/>
  <c r="Z176" i="1"/>
  <c r="AA238" i="1" s="1"/>
  <c r="X113" i="1"/>
  <c r="Y171" i="1"/>
  <c r="Y167" i="1" s="1"/>
  <c r="Y59" i="1"/>
  <c r="AM60" i="1"/>
  <c r="IG9" i="4" s="1"/>
  <c r="W153" i="1"/>
  <c r="G68" i="1"/>
  <c r="IS9" i="4" s="1"/>
  <c r="P75" i="1"/>
  <c r="B60" i="1"/>
  <c r="T49" i="1"/>
  <c r="AK59" i="1"/>
  <c r="L68" i="1"/>
  <c r="L230" i="1" s="1"/>
  <c r="V49" i="1"/>
  <c r="V45" i="1"/>
  <c r="P61" i="1"/>
  <c r="S44" i="1"/>
  <c r="S267" i="1" s="1"/>
  <c r="AK57" i="1"/>
  <c r="F57" i="1"/>
  <c r="K58" i="1"/>
  <c r="J82" i="1"/>
  <c r="HT16" i="4" s="1"/>
  <c r="BX56" i="1"/>
  <c r="M83" i="1"/>
  <c r="H81" i="1"/>
  <c r="AH7" i="6" s="1"/>
  <c r="V7" i="6" s="1"/>
  <c r="CD49" i="1"/>
  <c r="CA49" i="1"/>
  <c r="BY60" i="1"/>
  <c r="BX44" i="1"/>
  <c r="BX267" i="1" s="1"/>
  <c r="X179" i="1"/>
  <c r="Y161" i="1"/>
  <c r="JM14" i="4" s="1"/>
  <c r="CI87" i="1"/>
  <c r="N56" i="1"/>
  <c r="IZ14" i="4" s="1"/>
  <c r="BX87" i="1"/>
  <c r="R51" i="1"/>
  <c r="B87" i="1"/>
  <c r="H49" i="1"/>
  <c r="K81" i="1"/>
  <c r="I45" i="1"/>
  <c r="Q58" i="1"/>
  <c r="R75" i="1"/>
  <c r="U58" i="1"/>
  <c r="B81" i="1"/>
  <c r="D49" i="1"/>
  <c r="W45" i="1"/>
  <c r="P68" i="1"/>
  <c r="M58" i="1"/>
  <c r="Q59" i="1"/>
  <c r="F49" i="1"/>
  <c r="W82" i="1"/>
  <c r="J155" i="1"/>
  <c r="D82" i="1"/>
  <c r="D71" i="1"/>
  <c r="K83" i="1"/>
  <c r="AL81" i="1"/>
  <c r="W75" i="1"/>
  <c r="O68" i="1"/>
  <c r="D83" i="1"/>
  <c r="Q83" i="1"/>
  <c r="M45" i="1"/>
  <c r="CA82" i="1"/>
  <c r="CF49" i="1"/>
  <c r="AY7" i="6" s="1"/>
  <c r="J7" i="6" s="1"/>
  <c r="CC50" i="1"/>
  <c r="CD72" i="1"/>
  <c r="CB57" i="1"/>
  <c r="CJ57" i="1"/>
  <c r="BZ71" i="1"/>
  <c r="X161" i="1"/>
  <c r="Z49" i="1"/>
  <c r="CG87" i="1"/>
  <c r="H82" i="1"/>
  <c r="P51" i="1"/>
  <c r="V58" i="1"/>
  <c r="U81" i="1"/>
  <c r="JD16" i="4" s="1"/>
  <c r="P57" i="1"/>
  <c r="B45" i="1"/>
  <c r="P196" i="1"/>
  <c r="Q71" i="1"/>
  <c r="W72" i="1"/>
  <c r="T81" i="1"/>
  <c r="JM16" i="4" s="1"/>
  <c r="JM21" i="4" s="1"/>
  <c r="CG113" i="1" s="1"/>
  <c r="CA51" i="1"/>
  <c r="BL45" i="1"/>
  <c r="CE60" i="1"/>
  <c r="CD45" i="1"/>
  <c r="BL58" i="1"/>
  <c r="Y207" i="1"/>
  <c r="AM7" i="6" s="1"/>
  <c r="JO9" i="4" s="1"/>
  <c r="Y81" i="1"/>
  <c r="CF81" i="1"/>
  <c r="CG71" i="1"/>
  <c r="CH68" i="1"/>
  <c r="CH230" i="1" s="1"/>
  <c r="X180" i="1"/>
  <c r="X196" i="1"/>
  <c r="CI50" i="1"/>
  <c r="Y206" i="1"/>
  <c r="M60" i="1"/>
  <c r="HX9" i="4" s="1"/>
  <c r="R56" i="1"/>
  <c r="E58" i="1"/>
  <c r="E72" i="1"/>
  <c r="C60" i="1"/>
  <c r="L44" i="1"/>
  <c r="W68" i="1"/>
  <c r="W230" i="1" s="1"/>
  <c r="R58" i="1"/>
  <c r="U83" i="1"/>
  <c r="G58" i="1"/>
  <c r="J87" i="1"/>
  <c r="L82" i="1"/>
  <c r="I75" i="1"/>
  <c r="S45" i="1"/>
  <c r="B51" i="1"/>
  <c r="I87" i="1"/>
  <c r="L71" i="1"/>
  <c r="R57" i="1"/>
  <c r="P82" i="1"/>
  <c r="R68" i="1"/>
  <c r="N60" i="1"/>
  <c r="P189" i="1"/>
  <c r="BY87" i="1"/>
  <c r="Z7" i="6" s="1"/>
  <c r="BY50" i="1"/>
  <c r="CE71" i="1"/>
  <c r="CC82" i="1"/>
  <c r="CA60" i="1"/>
  <c r="CD87" i="1"/>
  <c r="BL83" i="1"/>
  <c r="BY57" i="1"/>
  <c r="CE83" i="1"/>
  <c r="JN9" i="4" s="1"/>
  <c r="BY51" i="1"/>
  <c r="Z207" i="1"/>
  <c r="X44" i="1"/>
  <c r="AJ75" i="1"/>
  <c r="IL16" i="4" s="1"/>
  <c r="F82" i="1"/>
  <c r="H61" i="1"/>
  <c r="S56" i="1"/>
  <c r="V57" i="1"/>
  <c r="Q81" i="1"/>
  <c r="U72" i="1"/>
  <c r="T45" i="1"/>
  <c r="P60" i="1"/>
  <c r="W83" i="1"/>
  <c r="W168" i="1"/>
  <c r="D87" i="1"/>
  <c r="P49" i="1"/>
  <c r="B82" i="1"/>
  <c r="S57" i="1"/>
  <c r="R60" i="1"/>
  <c r="K68" i="1"/>
  <c r="O49" i="1"/>
  <c r="D75" i="1"/>
  <c r="G87" i="1"/>
  <c r="S83" i="1"/>
  <c r="N72" i="1"/>
  <c r="T56" i="1"/>
  <c r="J72" i="1"/>
  <c r="S82" i="1"/>
  <c r="U68" i="1"/>
  <c r="R44" i="1"/>
  <c r="S72" i="1"/>
  <c r="I60" i="1"/>
  <c r="E87" i="1"/>
  <c r="D56" i="1"/>
  <c r="H45" i="1"/>
  <c r="N82" i="1"/>
  <c r="T68" i="1"/>
  <c r="T230" i="1" s="1"/>
  <c r="F75" i="1"/>
  <c r="B49" i="1"/>
  <c r="P7" i="6" s="1"/>
  <c r="CF60" i="1"/>
  <c r="CD44" i="1"/>
  <c r="CC44" i="1"/>
  <c r="BL75" i="1"/>
  <c r="Z172" i="1"/>
  <c r="CG172" i="1" s="1"/>
  <c r="CH172" i="1" s="1"/>
  <c r="BL49" i="1"/>
  <c r="X182" i="1"/>
  <c r="Y58" i="1"/>
  <c r="Z163" i="1"/>
  <c r="CG163" i="1" s="1"/>
  <c r="CH163" i="1" s="1"/>
  <c r="Z57" i="1"/>
  <c r="Z103" i="1"/>
  <c r="S58" i="1"/>
  <c r="H72" i="1"/>
  <c r="IP9" i="4" s="1"/>
  <c r="E49" i="1"/>
  <c r="U82" i="1"/>
  <c r="G72" i="1"/>
  <c r="G44" i="1"/>
  <c r="J71" i="1"/>
  <c r="B58" i="1"/>
  <c r="T57" i="1"/>
  <c r="J68" i="1"/>
  <c r="J230" i="1" s="1"/>
  <c r="E45" i="1"/>
  <c r="I44" i="1"/>
  <c r="BJ56" i="1"/>
  <c r="C49" i="1"/>
  <c r="C56" i="1"/>
  <c r="K56" i="1"/>
  <c r="S87" i="1"/>
  <c r="BY49" i="1"/>
  <c r="CC57" i="1"/>
  <c r="BL68" i="1"/>
  <c r="BL230" i="1" s="1"/>
  <c r="CC58" i="1"/>
  <c r="CD56" i="1"/>
  <c r="CE49" i="1"/>
  <c r="CA58" i="1"/>
  <c r="AN7" i="6" s="1"/>
  <c r="R7" i="6" s="1"/>
  <c r="CE51" i="1"/>
  <c r="BY83" i="1"/>
  <c r="CE45" i="1"/>
  <c r="CC59" i="1"/>
  <c r="X181" i="1"/>
  <c r="AD7" i="6" s="1"/>
  <c r="X114" i="1"/>
  <c r="Y195" i="1"/>
  <c r="G71" i="1"/>
  <c r="G75" i="1"/>
  <c r="U49" i="1"/>
  <c r="J60" i="1"/>
  <c r="CB71" i="1"/>
  <c r="CD82" i="1"/>
  <c r="CE50" i="1"/>
  <c r="BZ83" i="1"/>
  <c r="CC49" i="1"/>
  <c r="JL9" i="4" s="1"/>
  <c r="Q7" i="6" s="1"/>
  <c r="CA59" i="1"/>
  <c r="BL72" i="1"/>
  <c r="CI199" i="1"/>
  <c r="CJ199" i="1" s="1"/>
  <c r="CA72" i="1"/>
  <c r="Z169" i="1"/>
  <c r="CG169" i="1" s="1"/>
  <c r="JP9" i="4" s="1"/>
  <c r="X178" i="1"/>
  <c r="CJ51" i="1"/>
  <c r="X163" i="1"/>
  <c r="AI162" i="1"/>
  <c r="AJ162" i="1" s="1"/>
  <c r="CD75" i="1"/>
  <c r="AO7" i="6" s="1"/>
  <c r="BY75" i="1"/>
  <c r="CE87" i="1"/>
  <c r="CF57" i="1"/>
  <c r="X115" i="1"/>
  <c r="CF71" i="1"/>
  <c r="CJ60" i="1"/>
  <c r="Y191" i="1"/>
  <c r="JK16" i="4" s="1"/>
  <c r="Z185" i="1"/>
  <c r="CG185" i="1" s="1"/>
  <c r="X173" i="1"/>
  <c r="X103" i="1"/>
  <c r="X71" i="1"/>
  <c r="CJ83" i="1"/>
  <c r="Z195" i="1"/>
  <c r="X199" i="1"/>
  <c r="Y45" i="1"/>
  <c r="CG68" i="1"/>
  <c r="X75" i="1"/>
  <c r="CJ71" i="1"/>
  <c r="X153" i="1"/>
  <c r="Y163" i="1"/>
  <c r="X171" i="1"/>
  <c r="X167" i="1" s="1"/>
  <c r="CG50" i="1"/>
  <c r="Y186" i="1"/>
  <c r="CI57" i="1"/>
  <c r="CJ82" i="1"/>
  <c r="Z45" i="1"/>
  <c r="Y72" i="1"/>
  <c r="Y168" i="1"/>
  <c r="Z161" i="1"/>
  <c r="CG161" i="1" s="1"/>
  <c r="CH161" i="1" s="1"/>
  <c r="Y103" i="1"/>
  <c r="CG49" i="1"/>
  <c r="CE75" i="1"/>
  <c r="X186" i="1"/>
  <c r="Z82" i="1"/>
  <c r="Y200" i="1"/>
  <c r="CI68" i="1"/>
  <c r="Y68" i="1"/>
  <c r="Y230" i="1" s="1"/>
  <c r="D51" i="1"/>
  <c r="K60" i="1"/>
  <c r="Q189" i="1"/>
  <c r="V87" i="1"/>
  <c r="D61" i="1"/>
  <c r="I56" i="1"/>
  <c r="CF58" i="1"/>
  <c r="CA56" i="1"/>
  <c r="CD81" i="1"/>
  <c r="CA75" i="1"/>
  <c r="BY82" i="1"/>
  <c r="AP7" i="6" s="1"/>
  <c r="O7" i="6" s="1"/>
  <c r="CB72" i="1"/>
  <c r="AL7" i="6" s="1"/>
  <c r="BZ44" i="1"/>
  <c r="BL59" i="1"/>
  <c r="CA83" i="1"/>
  <c r="AF7" i="6" s="1"/>
  <c r="CA44" i="1"/>
  <c r="AW7" i="6" s="1"/>
  <c r="CA68" i="1"/>
  <c r="Y154" i="1"/>
  <c r="BY56" i="1"/>
  <c r="CE57" i="1"/>
  <c r="CE56" i="1"/>
  <c r="CC56" i="1"/>
  <c r="Y75" i="1"/>
  <c r="CH87" i="1"/>
  <c r="CJ58" i="1"/>
  <c r="X200" i="1"/>
  <c r="X172" i="1"/>
  <c r="Y178" i="1"/>
  <c r="Y158" i="1"/>
  <c r="Y83" i="1"/>
  <c r="CI49" i="1"/>
  <c r="CI72" i="1"/>
  <c r="Y114" i="1"/>
  <c r="X45" i="1"/>
  <c r="Z71" i="1"/>
  <c r="CC51" i="1"/>
  <c r="CE189" i="1"/>
  <c r="JM9" i="4" s="1"/>
  <c r="CF68" i="1"/>
  <c r="CF230" i="1" s="1"/>
  <c r="CE155" i="1"/>
  <c r="AX7" i="6" s="1"/>
  <c r="Y7" i="6" s="1"/>
  <c r="BL82" i="1"/>
  <c r="CF50" i="1"/>
  <c r="CE182" i="1"/>
  <c r="CF182" i="1" s="1"/>
  <c r="JJ9" i="4" s="1"/>
  <c r="U7" i="6" s="1"/>
  <c r="CD83" i="1"/>
  <c r="K7" i="6" s="1"/>
  <c r="BL71" i="1"/>
  <c r="CF45" i="1"/>
  <c r="Y71" i="1"/>
  <c r="Z200" i="1"/>
  <c r="Y187" i="1"/>
  <c r="CF51" i="1"/>
  <c r="CB68" i="1"/>
  <c r="CG59" i="1"/>
  <c r="CO59" i="1" s="1"/>
  <c r="CS59" i="1" s="1"/>
  <c r="CW59" i="1" s="1"/>
  <c r="DA59" i="1" s="1"/>
  <c r="X68" i="1"/>
  <c r="X230" i="1" s="1"/>
  <c r="Z199" i="1"/>
  <c r="Y44" i="1"/>
  <c r="Z180" i="1"/>
  <c r="Y180" i="1"/>
  <c r="Y215" i="1" s="1"/>
  <c r="Z208" i="1"/>
  <c r="CH75" i="1"/>
  <c r="CG57" i="1"/>
  <c r="Z191" i="1"/>
  <c r="CG191" i="1" s="1"/>
  <c r="CH191" i="1" s="1"/>
  <c r="CG60" i="1"/>
  <c r="Z173" i="1"/>
  <c r="CG173" i="1" s="1"/>
  <c r="CH173" i="1" s="1"/>
  <c r="X82" i="1"/>
  <c r="X87" i="1"/>
  <c r="CH60" i="1"/>
  <c r="CG58" i="1"/>
  <c r="X56" i="1"/>
  <c r="Y169" i="1"/>
  <c r="Z114" i="1"/>
  <c r="Z44" i="1"/>
  <c r="CB50" i="1"/>
  <c r="F7" i="6" s="1"/>
  <c r="Y172" i="1"/>
  <c r="Y82" i="1"/>
  <c r="CG45" i="1"/>
  <c r="Y115" i="1"/>
  <c r="JO16" i="4" s="1"/>
  <c r="X208" i="1"/>
  <c r="X49" i="1"/>
  <c r="X185" i="1"/>
  <c r="CJ59" i="1"/>
  <c r="X191" i="1"/>
  <c r="Y61" i="1"/>
  <c r="X154" i="1"/>
  <c r="Y160" i="1"/>
  <c r="X195" i="1"/>
  <c r="X206" i="1"/>
  <c r="V82" i="1"/>
  <c r="L60" i="1"/>
  <c r="F71" i="1"/>
  <c r="F60" i="1"/>
  <c r="B59" i="1"/>
  <c r="D81" i="1"/>
  <c r="CC196" i="1"/>
  <c r="BZ60" i="1"/>
  <c r="CE58" i="1"/>
  <c r="CD50" i="1"/>
  <c r="CF56" i="1"/>
  <c r="CD71" i="1"/>
  <c r="CA71" i="1"/>
  <c r="CE162" i="1"/>
  <c r="CF162" i="1" s="1"/>
  <c r="W7" i="6" s="1"/>
  <c r="CE44" i="1"/>
  <c r="BY58" i="1"/>
  <c r="CE187" i="1"/>
  <c r="CF187" i="1" s="1"/>
  <c r="JM15" i="4" s="1"/>
  <c r="CD59" i="1"/>
  <c r="CE183" i="1"/>
  <c r="CF183" i="1" s="1"/>
  <c r="AT7" i="6" s="1"/>
  <c r="BL60" i="1"/>
  <c r="CF83" i="1"/>
  <c r="CB60" i="1"/>
  <c r="CC87" i="1"/>
  <c r="CG51" i="1"/>
  <c r="Z60" i="1"/>
  <c r="CD58" i="1"/>
  <c r="BZ45" i="1"/>
  <c r="BZ46" i="1" s="1"/>
  <c r="CI71" i="1"/>
  <c r="Y49" i="1"/>
  <c r="AQ7" i="6" s="1"/>
  <c r="CH81" i="1"/>
  <c r="Z206" i="1"/>
  <c r="Z189" i="1"/>
  <c r="CG189" i="1" s="1"/>
  <c r="Y179" i="1"/>
  <c r="JO15" i="4" s="1"/>
  <c r="CG83" i="1"/>
  <c r="CH50" i="1"/>
  <c r="Y189" i="1"/>
  <c r="Y219" i="1" s="1"/>
  <c r="X60" i="1"/>
  <c r="Z160" i="1"/>
  <c r="Y153" i="1"/>
  <c r="Z179" i="1"/>
  <c r="CG179" i="1" s="1"/>
  <c r="CH179" i="1" s="1"/>
  <c r="Y181" i="1"/>
  <c r="Y216" i="1" s="1"/>
  <c r="Z56" i="1"/>
  <c r="X61" i="1"/>
  <c r="G7" i="6" s="1"/>
  <c r="CB82" i="1"/>
  <c r="JL15" i="4" s="1"/>
  <c r="CE180" i="1"/>
  <c r="BL56" i="1"/>
  <c r="BY59" i="1"/>
  <c r="BY68" i="1"/>
  <c r="S7" i="6" s="1"/>
  <c r="BZ82" i="1"/>
  <c r="CD57" i="1"/>
  <c r="BZ58" i="1"/>
  <c r="CB75" i="1"/>
  <c r="CI51" i="1"/>
  <c r="Y183" i="1"/>
  <c r="Z178" i="1"/>
  <c r="CG178" i="1" s="1"/>
  <c r="Y162" i="1"/>
  <c r="Y190" i="1" s="1"/>
  <c r="X169" i="1"/>
  <c r="Y176" i="1"/>
  <c r="CJ49" i="1"/>
  <c r="CJ45" i="1"/>
  <c r="CJ87" i="1"/>
  <c r="Z72" i="1"/>
  <c r="CI45" i="1"/>
  <c r="CJ75" i="1"/>
  <c r="X168" i="1"/>
  <c r="Y199" i="1"/>
  <c r="CI81" i="1"/>
  <c r="CJ44" i="1"/>
  <c r="W44" i="1"/>
  <c r="W267" i="1" s="1"/>
  <c r="Y57" i="1"/>
  <c r="Y196" i="1"/>
  <c r="CI60" i="1"/>
  <c r="Z61" i="1"/>
  <c r="CG81" i="1"/>
  <c r="Y56" i="1"/>
  <c r="CH57" i="1"/>
  <c r="G45" i="1"/>
  <c r="C87" i="1"/>
  <c r="K44" i="1"/>
  <c r="M61" i="1"/>
  <c r="B57" i="1"/>
  <c r="D68" i="1"/>
  <c r="H71" i="1"/>
  <c r="AS7" i="6" s="1"/>
  <c r="N7" i="6" s="1"/>
  <c r="D7" i="6" s="1"/>
  <c r="BZ57" i="1"/>
  <c r="BY72" i="1"/>
  <c r="CB58" i="1"/>
  <c r="CA87" i="1"/>
  <c r="AV7" i="6" s="1"/>
  <c r="CE173" i="1"/>
  <c r="BY81" i="1"/>
  <c r="CD60" i="1"/>
  <c r="BZ49" i="1"/>
  <c r="CA45" i="1"/>
  <c r="CE72" i="1"/>
  <c r="CE186" i="1"/>
  <c r="CF186" i="1" s="1"/>
  <c r="CC45" i="1"/>
  <c r="AB7" i="6" s="1"/>
  <c r="JN16" i="4" s="1"/>
  <c r="Z59" i="1"/>
  <c r="CI58" i="1"/>
  <c r="CF82" i="1"/>
  <c r="BZ81" i="1"/>
  <c r="CH83" i="1"/>
  <c r="CB44" i="1"/>
  <c r="CC83" i="1"/>
  <c r="CH59" i="1"/>
  <c r="CJ81" i="1"/>
  <c r="CM81" i="1" s="1"/>
  <c r="CN81" i="1" s="1"/>
  <c r="CO81" i="1" s="1"/>
  <c r="CP81" i="1" s="1"/>
  <c r="CJ68" i="1"/>
  <c r="Z51" i="1"/>
  <c r="CJ56" i="1"/>
  <c r="X160" i="1"/>
  <c r="Y155" i="1"/>
  <c r="Z168" i="1"/>
  <c r="CG168" i="1" s="1"/>
  <c r="X183" i="1"/>
  <c r="Z58" i="1"/>
  <c r="Z113" i="1"/>
  <c r="Z186" i="1"/>
  <c r="CG186" i="1" s="1"/>
  <c r="CH186" i="1" s="1"/>
  <c r="A1" i="1"/>
  <c r="CE195" i="1"/>
  <c r="CJ99" i="1"/>
  <c r="X57" i="1"/>
  <c r="CB59" i="1"/>
  <c r="AR7" i="6" s="1"/>
  <c r="Z183" i="1"/>
  <c r="CG183" i="1" s="1"/>
  <c r="CH183" i="1" s="1"/>
  <c r="Z115" i="1"/>
  <c r="X72" i="1"/>
  <c r="CI56" i="1"/>
  <c r="Z196" i="1"/>
  <c r="CG196" i="1" s="1"/>
  <c r="Z87" i="1"/>
  <c r="Y173" i="1"/>
  <c r="X189" i="1"/>
  <c r="CI75" i="1"/>
  <c r="CH44" i="1"/>
  <c r="CH267" i="1" s="1"/>
  <c r="Z187" i="1"/>
  <c r="CG187" i="1" s="1"/>
  <c r="CH187" i="1" s="1"/>
  <c r="CH82" i="1"/>
  <c r="CH56" i="1"/>
  <c r="Z162" i="1"/>
  <c r="CG162" i="1" s="1"/>
  <c r="CH162" i="1" s="1"/>
  <c r="X59" i="1"/>
  <c r="Z171" i="1"/>
  <c r="CG171" i="1" s="1"/>
  <c r="CH171" i="1" s="1"/>
  <c r="Z182" i="1"/>
  <c r="CG182" i="1" s="1"/>
  <c r="CH182" i="1" s="1"/>
  <c r="Z155" i="1"/>
  <c r="CG155" i="1" s="1"/>
  <c r="J75" i="1"/>
  <c r="B61" i="1"/>
  <c r="S68" i="1"/>
  <c r="O60" i="1"/>
  <c r="H51" i="1"/>
  <c r="R49" i="1"/>
  <c r="H75" i="1"/>
  <c r="CA50" i="1"/>
  <c r="AU7" i="6" s="1"/>
  <c r="AJ7" i="6" s="1"/>
  <c r="BY71" i="1"/>
  <c r="CE59" i="1"/>
  <c r="CF87" i="1"/>
  <c r="M7" i="6" s="1"/>
  <c r="H7" i="6" s="1"/>
  <c r="CA57" i="1"/>
  <c r="CC71" i="1"/>
  <c r="L7" i="6" s="1"/>
  <c r="CB45" i="1"/>
  <c r="CB81" i="1"/>
  <c r="CF44" i="1"/>
  <c r="CB87" i="1"/>
  <c r="E7" i="6" s="1"/>
  <c r="BL87" i="1"/>
  <c r="CB56" i="1"/>
  <c r="BZ87" i="1"/>
  <c r="JP16" i="4" s="1"/>
  <c r="X155" i="1"/>
  <c r="Z68" i="1"/>
  <c r="Z230" i="1" s="1"/>
  <c r="Y113" i="1"/>
  <c r="BL44" i="1"/>
  <c r="BL267" i="1" s="1"/>
  <c r="JN7" i="4" s="1"/>
  <c r="CH45" i="1"/>
  <c r="Z154" i="1"/>
  <c r="CG154" i="1" s="1"/>
  <c r="CH154" i="1" s="1"/>
  <c r="AA7" i="6" s="1"/>
  <c r="Z75" i="1"/>
  <c r="X81" i="1"/>
  <c r="Z153" i="1"/>
  <c r="CG153" i="1" s="1"/>
  <c r="Z81" i="1"/>
  <c r="U44" i="1"/>
  <c r="U267" i="1" s="1"/>
  <c r="Z181" i="1"/>
  <c r="CG181" i="1" s="1"/>
  <c r="X83" i="1"/>
  <c r="X51" i="1"/>
  <c r="Z158" i="1"/>
  <c r="CG158" i="1" s="1"/>
  <c r="CH158" i="1" s="1"/>
  <c r="CG56" i="1"/>
  <c r="CB49" i="1"/>
  <c r="CJ100" i="1"/>
  <c r="CH71" i="1"/>
  <c r="CJ72" i="1"/>
  <c r="CH58" i="1"/>
  <c r="V44" i="1"/>
  <c r="V267" i="1" s="1"/>
  <c r="Y182" i="1"/>
  <c r="CI44" i="1"/>
  <c r="CI82" i="1"/>
  <c r="CI59" i="1"/>
  <c r="CM59" i="1" s="1"/>
  <c r="CQ59" i="1" s="1"/>
  <c r="CU59" i="1" s="1"/>
  <c r="CY59" i="1" s="1"/>
  <c r="Y208" i="1"/>
  <c r="Y87" i="1"/>
  <c r="JW20" i="4"/>
  <c r="JU20" i="4"/>
  <c r="JX19" i="4"/>
  <c r="JX20" i="4"/>
  <c r="KD19" i="4"/>
  <c r="KA20" i="4"/>
  <c r="KE21" i="4"/>
  <c r="JS14" i="4"/>
  <c r="JS19" i="4" s="1"/>
  <c r="JQ15" i="4"/>
  <c r="JQ20" i="4" s="1"/>
  <c r="CK115" i="1" s="1"/>
  <c r="KG15" i="4"/>
  <c r="KG20" i="4" s="1"/>
  <c r="CK192" i="1"/>
  <c r="JY21" i="4"/>
  <c r="CK39" i="1"/>
  <c r="CO39" i="1" s="1"/>
  <c r="CS39" i="1" s="1"/>
  <c r="CW39" i="1" s="1"/>
  <c r="DA39" i="1" s="1"/>
  <c r="CK34" i="1"/>
  <c r="CO34" i="1" s="1"/>
  <c r="CS34" i="1" s="1"/>
  <c r="CW34" i="1" s="1"/>
  <c r="DA34" i="1" s="1"/>
  <c r="CK164" i="1"/>
  <c r="CK197" i="1"/>
  <c r="CL245" i="1" s="1"/>
  <c r="KB14" i="4"/>
  <c r="KB19" i="4" s="1"/>
  <c r="CK64" i="1"/>
  <c r="CK53" i="1"/>
  <c r="CK184" i="1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115" i="1" s="1"/>
  <c r="JT19" i="4"/>
  <c r="CI196" i="1"/>
  <c r="X110" i="1"/>
  <c r="CI267" i="1"/>
  <c r="CI99" i="1"/>
  <c r="CJ101" i="1"/>
  <c r="CM154" i="1"/>
  <c r="CN154" i="1" s="1"/>
  <c r="CO154" i="1" s="1"/>
  <c r="CM171" i="1"/>
  <c r="CN171" i="1" s="1"/>
  <c r="CO171" i="1" s="1"/>
  <c r="CM161" i="1"/>
  <c r="CN161" i="1" s="1"/>
  <c r="CO161" i="1" s="1"/>
  <c r="Z167" i="1"/>
  <c r="JP21" i="4"/>
  <c r="CJ113" i="1" s="1"/>
  <c r="CF267" i="1"/>
  <c r="Z190" i="1"/>
  <c r="CG190" i="1" s="1"/>
  <c r="CH190" i="1" s="1"/>
  <c r="CI100" i="1"/>
  <c r="CH100" i="1" s="1"/>
  <c r="CG100" i="1" s="1"/>
  <c r="CF100" i="1" s="1"/>
  <c r="CE100" i="1" s="1"/>
  <c r="CD100" i="1" s="1"/>
  <c r="CC100" i="1" s="1"/>
  <c r="CB100" i="1" s="1"/>
  <c r="CA100" i="1" s="1"/>
  <c r="BZ100" i="1" s="1"/>
  <c r="BY100" i="1" s="1"/>
  <c r="BX100" i="1" s="1"/>
  <c r="BW100" i="1" s="1"/>
  <c r="BV100" i="1" s="1"/>
  <c r="BU100" i="1" s="1"/>
  <c r="BT100" i="1" s="1"/>
  <c r="BS100" i="1" s="1"/>
  <c r="BR100" i="1" s="1"/>
  <c r="BQ100" i="1" s="1"/>
  <c r="BP100" i="1" s="1"/>
  <c r="BO100" i="1" s="1"/>
  <c r="BN100" i="1" s="1"/>
  <c r="BM100" i="1" s="1"/>
  <c r="BL100" i="1" s="1"/>
  <c r="BK100" i="1" s="1"/>
  <c r="BJ100" i="1" s="1"/>
  <c r="BI100" i="1" s="1"/>
  <c r="BH100" i="1" s="1"/>
  <c r="BG100" i="1" s="1"/>
  <c r="BF100" i="1" s="1"/>
  <c r="BE100" i="1" s="1"/>
  <c r="BD100" i="1" s="1"/>
  <c r="BC100" i="1" s="1"/>
  <c r="BB100" i="1" s="1"/>
  <c r="BA100" i="1" s="1"/>
  <c r="AZ100" i="1" s="1"/>
  <c r="AY100" i="1" s="1"/>
  <c r="AX100" i="1" s="1"/>
  <c r="AW100" i="1" s="1"/>
  <c r="AV100" i="1" s="1"/>
  <c r="AU100" i="1" s="1"/>
  <c r="AT100" i="1" s="1"/>
  <c r="AS100" i="1" s="1"/>
  <c r="AR100" i="1" s="1"/>
  <c r="AQ100" i="1" s="1"/>
  <c r="AP100" i="1" s="1"/>
  <c r="AO100" i="1" s="1"/>
  <c r="AN100" i="1" s="1"/>
  <c r="AM100" i="1" s="1"/>
  <c r="AL100" i="1" s="1"/>
  <c r="AK100" i="1" s="1"/>
  <c r="AJ100" i="1" s="1"/>
  <c r="AI100" i="1" s="1"/>
  <c r="CM82" i="1"/>
  <c r="CN82" i="1" s="1"/>
  <c r="CO82" i="1" s="1"/>
  <c r="CP82" i="1" s="1"/>
  <c r="CM162" i="1"/>
  <c r="CN162" i="1" s="1"/>
  <c r="CO162" i="1" s="1"/>
  <c r="CM199" i="1"/>
  <c r="CN199" i="1" s="1"/>
  <c r="CO199" i="1" s="1"/>
  <c r="CM163" i="1"/>
  <c r="CN163" i="1" s="1"/>
  <c r="CO163" i="1" s="1"/>
  <c r="JK14" i="4"/>
  <c r="HX14" i="4"/>
  <c r="CM158" i="1"/>
  <c r="CN158" i="1" s="1"/>
  <c r="CO158" i="1" s="1"/>
  <c r="CM173" i="1"/>
  <c r="CN173" i="1" s="1"/>
  <c r="CO173" i="1" s="1"/>
  <c r="HR14" i="4"/>
  <c r="HR7" i="4"/>
  <c r="CM169" i="1"/>
  <c r="CN169" i="1" s="1"/>
  <c r="CO169" i="1" s="1"/>
  <c r="CB267" i="1"/>
  <c r="JK7" i="4"/>
  <c r="IA8" i="4"/>
  <c r="IV14" i="4"/>
  <c r="HY14" i="4"/>
  <c r="BV1" i="1"/>
  <c r="BW1" i="1" s="1"/>
  <c r="BX1" i="1" s="1"/>
  <c r="AZ85" i="3"/>
  <c r="Z110" i="1" l="1"/>
  <c r="AK215" i="1"/>
  <c r="AL215" i="1" s="1"/>
  <c r="AM219" i="1"/>
  <c r="AN219" i="1" s="1"/>
  <c r="CJ69" i="1"/>
  <c r="AJ230" i="1"/>
  <c r="CG180" i="1"/>
  <c r="AI179" i="1"/>
  <c r="AJ179" i="1" s="1"/>
  <c r="AI160" i="1"/>
  <c r="AJ160" i="1" s="1"/>
  <c r="AI196" i="1"/>
  <c r="AI185" i="1"/>
  <c r="AJ185" i="1" s="1"/>
  <c r="AI183" i="1"/>
  <c r="AJ183" i="1" s="1"/>
  <c r="AI167" i="1"/>
  <c r="AI153" i="1"/>
  <c r="AI176" i="1"/>
  <c r="CI169" i="1"/>
  <c r="CJ169" i="1" s="1"/>
  <c r="JG9" i="4" s="1"/>
  <c r="AI155" i="1"/>
  <c r="AI188" i="1"/>
  <c r="AJ188" i="1" s="1"/>
  <c r="AI110" i="1"/>
  <c r="CH109" i="1"/>
  <c r="AI163" i="1"/>
  <c r="AJ163" i="1" s="1"/>
  <c r="AI158" i="1"/>
  <c r="AJ158" i="1" s="1"/>
  <c r="AI187" i="1"/>
  <c r="AJ187" i="1" s="1"/>
  <c r="AI161" i="1"/>
  <c r="AJ161" i="1" s="1"/>
  <c r="AI199" i="1"/>
  <c r="AJ199" i="1" s="1"/>
  <c r="AI178" i="1"/>
  <c r="AI171" i="1"/>
  <c r="AJ171" i="1" s="1"/>
  <c r="AI169" i="1"/>
  <c r="AI200" i="1"/>
  <c r="AJ200" i="1" s="1"/>
  <c r="AI186" i="1"/>
  <c r="AJ186" i="1" s="1"/>
  <c r="AI195" i="1"/>
  <c r="AI191" i="1"/>
  <c r="AJ191" i="1" s="1"/>
  <c r="AI173" i="1"/>
  <c r="AJ173" i="1" s="1"/>
  <c r="AI181" i="1"/>
  <c r="AI154" i="1"/>
  <c r="AJ154" i="1" s="1"/>
  <c r="AI180" i="1"/>
  <c r="AI182" i="1"/>
  <c r="AJ182" i="1" s="1"/>
  <c r="CI178" i="1"/>
  <c r="CJ178" i="1" s="1"/>
  <c r="CI158" i="1"/>
  <c r="CJ158" i="1" s="1"/>
  <c r="IF16" i="4" s="1"/>
  <c r="AI189" i="1"/>
  <c r="CD185" i="1"/>
  <c r="CB288" i="1"/>
  <c r="AI190" i="1"/>
  <c r="AJ190" i="1" s="1"/>
  <c r="Y238" i="1"/>
  <c r="JN21" i="4"/>
  <c r="CH113" i="1" s="1"/>
  <c r="AM200" i="1"/>
  <c r="AN200" i="1" s="1"/>
  <c r="AM154" i="1"/>
  <c r="AM179" i="1"/>
  <c r="AN179" i="1" s="1"/>
  <c r="AM195" i="1"/>
  <c r="AL110" i="1"/>
  <c r="AM158" i="1"/>
  <c r="AN158" i="1" s="1"/>
  <c r="CL193" i="1"/>
  <c r="AL109" i="1"/>
  <c r="AM155" i="1"/>
  <c r="AM190" i="1"/>
  <c r="AN190" i="1" s="1"/>
  <c r="AM167" i="1"/>
  <c r="AM170" i="1" s="1"/>
  <c r="AM171" i="1"/>
  <c r="AN171" i="1" s="1"/>
  <c r="AM178" i="1"/>
  <c r="AN178" i="1" s="1"/>
  <c r="AM180" i="1"/>
  <c r="AM188" i="1"/>
  <c r="AN188" i="1" s="1"/>
  <c r="AM162" i="1"/>
  <c r="AN162" i="1" s="1"/>
  <c r="AM160" i="1"/>
  <c r="AN160" i="1" s="1"/>
  <c r="CJ110" i="1"/>
  <c r="AM176" i="1"/>
  <c r="AN176" i="1" s="1"/>
  <c r="AM196" i="1"/>
  <c r="CG289" i="1"/>
  <c r="CG46" i="1"/>
  <c r="CG35" i="1" s="1"/>
  <c r="CG39" i="1" s="1"/>
  <c r="X209" i="1"/>
  <c r="CG219" i="1"/>
  <c r="CH219" i="1" s="1"/>
  <c r="CG215" i="1"/>
  <c r="CH215" i="1" s="1"/>
  <c r="IN21" i="4"/>
  <c r="BH113" i="1" s="1"/>
  <c r="Y109" i="1"/>
  <c r="Y110" i="1"/>
  <c r="CA153" i="1"/>
  <c r="CB153" i="1" s="1"/>
  <c r="CA195" i="1"/>
  <c r="CA189" i="1"/>
  <c r="CA199" i="1"/>
  <c r="CB199" i="1" s="1"/>
  <c r="CA163" i="1"/>
  <c r="CB163" i="1" s="1"/>
  <c r="CA167" i="1"/>
  <c r="CA160" i="1"/>
  <c r="CA186" i="1"/>
  <c r="CB186" i="1" s="1"/>
  <c r="CA190" i="1"/>
  <c r="CB190" i="1" s="1"/>
  <c r="CA181" i="1"/>
  <c r="CA109" i="1"/>
  <c r="CA171" i="1"/>
  <c r="CB171" i="1" s="1"/>
  <c r="CA162" i="1"/>
  <c r="CB162" i="1" s="1"/>
  <c r="CA185" i="1"/>
  <c r="CB185" i="1" s="1"/>
  <c r="CA110" i="1"/>
  <c r="CA178" i="1"/>
  <c r="CB178" i="1" s="1"/>
  <c r="CA169" i="1"/>
  <c r="CA170" i="1" s="1"/>
  <c r="CA158" i="1"/>
  <c r="CB158" i="1" s="1"/>
  <c r="CA173" i="1"/>
  <c r="CB173" i="1" s="1"/>
  <c r="CA154" i="1"/>
  <c r="CB154" i="1" s="1"/>
  <c r="CA179" i="1"/>
  <c r="CB179" i="1" s="1"/>
  <c r="CA187" i="1"/>
  <c r="CB187" i="1" s="1"/>
  <c r="CA182" i="1"/>
  <c r="CB182" i="1" s="1"/>
  <c r="HX21" i="4"/>
  <c r="AR113" i="1" s="1"/>
  <c r="D62" i="1"/>
  <c r="CA183" i="1"/>
  <c r="CB183" i="1" s="1"/>
  <c r="AK7" i="6" s="1"/>
  <c r="CD230" i="1"/>
  <c r="CG176" i="1"/>
  <c r="BZ230" i="1"/>
  <c r="Q230" i="1"/>
  <c r="V288" i="1"/>
  <c r="O230" i="1"/>
  <c r="N267" i="1"/>
  <c r="P230" i="1"/>
  <c r="H230" i="1"/>
  <c r="J267" i="1"/>
  <c r="G230" i="1"/>
  <c r="CH288" i="1"/>
  <c r="BL288" i="1"/>
  <c r="AJ178" i="1"/>
  <c r="R230" i="1"/>
  <c r="L267" i="1"/>
  <c r="CA188" i="1"/>
  <c r="CB188" i="1" s="1"/>
  <c r="CA180" i="1"/>
  <c r="CA196" i="1"/>
  <c r="CA191" i="1"/>
  <c r="CB191" i="1" s="1"/>
  <c r="CA176" i="1"/>
  <c r="CB176" i="1" s="1"/>
  <c r="CA200" i="1"/>
  <c r="CB200" i="1" s="1"/>
  <c r="CA155" i="1"/>
  <c r="CA161" i="1"/>
  <c r="CB161" i="1" s="1"/>
  <c r="CE169" i="1"/>
  <c r="BY153" i="1"/>
  <c r="BZ153" i="1" s="1"/>
  <c r="BY154" i="1"/>
  <c r="BZ154" i="1" s="1"/>
  <c r="BY160" i="1"/>
  <c r="BZ160" i="1" s="1"/>
  <c r="BY196" i="1"/>
  <c r="BY180" i="1"/>
  <c r="IE16" i="4" s="1"/>
  <c r="BY178" i="1"/>
  <c r="BZ178" i="1" s="1"/>
  <c r="BL109" i="1"/>
  <c r="BY179" i="1"/>
  <c r="BZ179" i="1" s="1"/>
  <c r="CC169" i="1"/>
  <c r="BY176" i="1"/>
  <c r="BZ176" i="1" s="1"/>
  <c r="CH110" i="1"/>
  <c r="BY187" i="1"/>
  <c r="BZ187" i="1" s="1"/>
  <c r="CC178" i="1"/>
  <c r="CD178" i="1" s="1"/>
  <c r="BY181" i="1"/>
  <c r="BY216" i="1" s="1"/>
  <c r="BZ216" i="1" s="1"/>
  <c r="BY191" i="1"/>
  <c r="BZ191" i="1" s="1"/>
  <c r="BY188" i="1"/>
  <c r="BZ188" i="1" s="1"/>
  <c r="BY173" i="1"/>
  <c r="BZ173" i="1" s="1"/>
  <c r="IS16" i="4" s="1"/>
  <c r="HU8" i="4" s="1"/>
  <c r="IO14" i="4" s="1"/>
  <c r="BY162" i="1"/>
  <c r="BZ162" i="1" s="1"/>
  <c r="JF15" i="4" s="1"/>
  <c r="IM9" i="4" s="1"/>
  <c r="BY182" i="1"/>
  <c r="BZ182" i="1" s="1"/>
  <c r="BY190" i="1"/>
  <c r="BZ190" i="1" s="1"/>
  <c r="BY185" i="1"/>
  <c r="BZ185" i="1" s="1"/>
  <c r="BY158" i="1"/>
  <c r="BZ158" i="1" s="1"/>
  <c r="HP9" i="4" s="1"/>
  <c r="BY183" i="1"/>
  <c r="BZ183" i="1" s="1"/>
  <c r="BY171" i="1"/>
  <c r="BZ171" i="1" s="1"/>
  <c r="BY195" i="1"/>
  <c r="BY197" i="1" s="1"/>
  <c r="BY186" i="1"/>
  <c r="BZ186" i="1" s="1"/>
  <c r="BY200" i="1"/>
  <c r="BZ200" i="1" s="1"/>
  <c r="IA16" i="4" s="1"/>
  <c r="IA21" i="4" s="1"/>
  <c r="AU113" i="1" s="1"/>
  <c r="BY167" i="1"/>
  <c r="BY163" i="1"/>
  <c r="BZ163" i="1" s="1"/>
  <c r="BY169" i="1"/>
  <c r="BY110" i="1"/>
  <c r="BY155" i="1"/>
  <c r="BY189" i="1"/>
  <c r="BY161" i="1"/>
  <c r="BZ161" i="1" s="1"/>
  <c r="IV8" i="4" s="1"/>
  <c r="IT16" i="4" s="1"/>
  <c r="BY199" i="1"/>
  <c r="BZ199" i="1" s="1"/>
  <c r="IQ9" i="4" s="1"/>
  <c r="CE190" i="1"/>
  <c r="CF190" i="1" s="1"/>
  <c r="CE199" i="1"/>
  <c r="CF199" i="1" s="1"/>
  <c r="V46" i="1"/>
  <c r="V9" i="1" s="1"/>
  <c r="HZ9" i="4" s="1"/>
  <c r="BY109" i="1"/>
  <c r="BL46" i="1"/>
  <c r="CE153" i="1"/>
  <c r="CF153" i="1" s="1"/>
  <c r="T7" i="6" s="1"/>
  <c r="CE109" i="1"/>
  <c r="CE110" i="1"/>
  <c r="CE154" i="1"/>
  <c r="CF154" i="1" s="1"/>
  <c r="CF46" i="1"/>
  <c r="AA94" i="1" s="1"/>
  <c r="CE191" i="1"/>
  <c r="CF191" i="1" s="1"/>
  <c r="CE200" i="1"/>
  <c r="CF200" i="1" s="1"/>
  <c r="CE179" i="1"/>
  <c r="CF179" i="1" s="1"/>
  <c r="CE178" i="1"/>
  <c r="CF178" i="1" s="1"/>
  <c r="CE181" i="1"/>
  <c r="CE167" i="1"/>
  <c r="JK9" i="4" s="1"/>
  <c r="Z109" i="1"/>
  <c r="CE188" i="1"/>
  <c r="CF188" i="1" s="1"/>
  <c r="JJ16" i="4" s="1"/>
  <c r="JJ21" i="4" s="1"/>
  <c r="CD113" i="1" s="1"/>
  <c r="CE160" i="1"/>
  <c r="AM182" i="1"/>
  <c r="AN182" i="1" s="1"/>
  <c r="AM183" i="1"/>
  <c r="AN183" i="1" s="1"/>
  <c r="AM185" i="1"/>
  <c r="AN185" i="1" s="1"/>
  <c r="AK181" i="1"/>
  <c r="AK155" i="1"/>
  <c r="AK188" i="1"/>
  <c r="AL188" i="1" s="1"/>
  <c r="AK154" i="1"/>
  <c r="AL154" i="1" s="1"/>
  <c r="O288" i="1"/>
  <c r="HX15" i="4" s="1"/>
  <c r="ID15" i="4" s="1"/>
  <c r="IG8" i="4" s="1"/>
  <c r="IQ8" i="4" s="1"/>
  <c r="CI215" i="1"/>
  <c r="CJ215" i="1" s="1"/>
  <c r="AK190" i="1"/>
  <c r="AL190" i="1" s="1"/>
  <c r="CC215" i="1"/>
  <c r="CD215" i="1" s="1"/>
  <c r="AK189" i="1"/>
  <c r="AK219" i="1" s="1"/>
  <c r="AL219" i="1" s="1"/>
  <c r="CI216" i="1"/>
  <c r="CJ216" i="1" s="1"/>
  <c r="CM216" i="1" s="1"/>
  <c r="CN216" i="1" s="1"/>
  <c r="CO216" i="1" s="1"/>
  <c r="CP216" i="1" s="1"/>
  <c r="CQ216" i="1" s="1"/>
  <c r="CR216" i="1" s="1"/>
  <c r="CS216" i="1" s="1"/>
  <c r="CT216" i="1" s="1"/>
  <c r="CU216" i="1" s="1"/>
  <c r="CV216" i="1" s="1"/>
  <c r="CW216" i="1" s="1"/>
  <c r="CX216" i="1" s="1"/>
  <c r="CY216" i="1" s="1"/>
  <c r="CZ216" i="1" s="1"/>
  <c r="DA216" i="1" s="1"/>
  <c r="AK196" i="1"/>
  <c r="CC216" i="1"/>
  <c r="CD216" i="1" s="1"/>
  <c r="HY21" i="4"/>
  <c r="AS113" i="1" s="1"/>
  <c r="AK186" i="1"/>
  <c r="AL186" i="1" s="1"/>
  <c r="HW16" i="4" s="1"/>
  <c r="HW21" i="4" s="1"/>
  <c r="AQ113" i="1" s="1"/>
  <c r="IK7" i="4" s="1"/>
  <c r="HU9" i="4" s="1"/>
  <c r="C46" i="1"/>
  <c r="JE21" i="4"/>
  <c r="BY113" i="1" s="1"/>
  <c r="HS21" i="4"/>
  <c r="AM113" i="1" s="1"/>
  <c r="IV16" i="4" s="1"/>
  <c r="IF21" i="4"/>
  <c r="AZ113" i="1" s="1"/>
  <c r="IH21" i="4"/>
  <c r="BB113" i="1" s="1"/>
  <c r="IO8" i="4" s="1"/>
  <c r="IK21" i="4"/>
  <c r="BE113" i="1" s="1"/>
  <c r="II21" i="4"/>
  <c r="BC113" i="1" s="1"/>
  <c r="AI197" i="1"/>
  <c r="AJ245" i="1" s="1"/>
  <c r="N46" i="1"/>
  <c r="CC288" i="1"/>
  <c r="HT21" i="4"/>
  <c r="AN113" i="1" s="1"/>
  <c r="W46" i="1"/>
  <c r="W9" i="1" s="1"/>
  <c r="JD21" i="4"/>
  <c r="BX113" i="1" s="1"/>
  <c r="X46" i="1"/>
  <c r="X9" i="1" s="1"/>
  <c r="JO21" i="4"/>
  <c r="CI113" i="1" s="1"/>
  <c r="CG134" i="1"/>
  <c r="C7" i="6" s="1"/>
  <c r="Z209" i="1"/>
  <c r="Z164" i="1"/>
  <c r="CD62" i="1"/>
  <c r="CL134" i="1"/>
  <c r="CL135" i="1" s="1"/>
  <c r="CL138" i="1" s="1"/>
  <c r="X219" i="1"/>
  <c r="X288" i="1"/>
  <c r="X267" i="1"/>
  <c r="CD289" i="1"/>
  <c r="CC267" i="1"/>
  <c r="J288" i="1"/>
  <c r="G267" i="1"/>
  <c r="K230" i="1"/>
  <c r="H267" i="1"/>
  <c r="IX21" i="4"/>
  <c r="BR113" i="1" s="1"/>
  <c r="IO21" i="4"/>
  <c r="BI113" i="1" s="1"/>
  <c r="CC219" i="1"/>
  <c r="CD219" i="1" s="1"/>
  <c r="C267" i="1"/>
  <c r="U230" i="1"/>
  <c r="U289" i="1"/>
  <c r="N289" i="1"/>
  <c r="U46" i="1"/>
  <c r="U9" i="1" s="1"/>
  <c r="H289" i="1"/>
  <c r="E46" i="1"/>
  <c r="CJ153" i="1"/>
  <c r="CD267" i="1"/>
  <c r="BY288" i="1"/>
  <c r="D230" i="1"/>
  <c r="R267" i="1"/>
  <c r="R46" i="1"/>
  <c r="N288" i="1"/>
  <c r="I230" i="1"/>
  <c r="U62" i="1"/>
  <c r="CE134" i="1"/>
  <c r="X216" i="1"/>
  <c r="CE288" i="1"/>
  <c r="CD288" i="1"/>
  <c r="W288" i="1"/>
  <c r="K46" i="1"/>
  <c r="G288" i="1"/>
  <c r="U288" i="1"/>
  <c r="IP21" i="4"/>
  <c r="BJ113" i="1" s="1"/>
  <c r="CD153" i="1"/>
  <c r="HQ21" i="4"/>
  <c r="AK113" i="1" s="1"/>
  <c r="C288" i="1"/>
  <c r="IC8" i="4" s="1"/>
  <c r="IZ9" i="4" s="1"/>
  <c r="ID21" i="4"/>
  <c r="AX113" i="1" s="1"/>
  <c r="E62" i="1"/>
  <c r="IX7" i="4"/>
  <c r="IF8" i="4"/>
  <c r="IL15" i="4"/>
  <c r="IY14" i="4"/>
  <c r="IY21" i="4"/>
  <c r="BS113" i="1" s="1"/>
  <c r="JB21" i="4"/>
  <c r="BV113" i="1" s="1"/>
  <c r="HP8" i="4"/>
  <c r="HP15" i="4"/>
  <c r="HR15" i="4"/>
  <c r="IB8" i="4"/>
  <c r="AK62" i="1"/>
  <c r="IM7" i="4"/>
  <c r="HY8" i="4"/>
  <c r="JG15" i="4"/>
  <c r="IY8" i="4"/>
  <c r="IW14" i="4"/>
  <c r="JA8" i="4"/>
  <c r="JJ15" i="4"/>
  <c r="IH14" i="4"/>
  <c r="IU8" i="4"/>
  <c r="CC197" i="1"/>
  <c r="JE7" i="4"/>
  <c r="IP7" i="4"/>
  <c r="CJ154" i="1"/>
  <c r="CI156" i="1"/>
  <c r="CF176" i="1"/>
  <c r="CF238" i="1"/>
  <c r="AJ153" i="1"/>
  <c r="AI156" i="1"/>
  <c r="AJ176" i="1"/>
  <c r="AK238" i="1" s="1"/>
  <c r="AI238" i="1"/>
  <c r="AN163" i="1"/>
  <c r="AL289" i="1"/>
  <c r="AL230" i="1"/>
  <c r="M230" i="1"/>
  <c r="M289" i="1"/>
  <c r="BX230" i="1"/>
  <c r="BX289" i="1"/>
  <c r="D288" i="1"/>
  <c r="D267" i="1"/>
  <c r="D46" i="1"/>
  <c r="D289" i="1"/>
  <c r="F289" i="1"/>
  <c r="F230" i="1"/>
  <c r="F46" i="1"/>
  <c r="F267" i="1"/>
  <c r="B267" i="1"/>
  <c r="B288" i="1"/>
  <c r="V230" i="1"/>
  <c r="V289" i="1"/>
  <c r="M46" i="1"/>
  <c r="M267" i="1"/>
  <c r="AL46" i="1"/>
  <c r="AL180" i="1" s="1"/>
  <c r="AL267" i="1"/>
  <c r="O267" i="1"/>
  <c r="O289" i="1"/>
  <c r="CI219" i="1"/>
  <c r="CJ219" i="1" s="1"/>
  <c r="IG21" i="4"/>
  <c r="BA113" i="1" s="1"/>
  <c r="IA7" i="4"/>
  <c r="IK8" i="4"/>
  <c r="H46" i="1"/>
  <c r="G219" i="1"/>
  <c r="IJ7" i="4"/>
  <c r="IT14" i="4"/>
  <c r="IT19" i="4" s="1"/>
  <c r="BN114" i="1" s="1"/>
  <c r="J62" i="1"/>
  <c r="Q288" i="1"/>
  <c r="H62" i="1"/>
  <c r="IX8" i="4"/>
  <c r="IX20" i="4" s="1"/>
  <c r="BR115" i="1" s="1"/>
  <c r="JL8" i="4"/>
  <c r="JL20" i="4" s="1"/>
  <c r="CF115" i="1" s="1"/>
  <c r="HS7" i="4"/>
  <c r="JB7" i="4"/>
  <c r="IW8" i="4"/>
  <c r="C289" i="1"/>
  <c r="JO8" i="4"/>
  <c r="CD46" i="1"/>
  <c r="JL7" i="4"/>
  <c r="X184" i="1"/>
  <c r="Y209" i="1"/>
  <c r="R289" i="1"/>
  <c r="Y164" i="1"/>
  <c r="CJ46" i="1"/>
  <c r="JL14" i="4"/>
  <c r="CC46" i="1"/>
  <c r="JP7" i="4"/>
  <c r="CD134" i="1"/>
  <c r="CG195" i="1"/>
  <c r="CG197" i="1" s="1"/>
  <c r="Z197" i="1"/>
  <c r="AA245" i="1" s="1"/>
  <c r="CI168" i="1"/>
  <c r="CI230" i="1"/>
  <c r="BZ267" i="1"/>
  <c r="BZ289" i="1"/>
  <c r="CA267" i="1"/>
  <c r="CA230" i="1"/>
  <c r="CA289" i="1"/>
  <c r="CL76" i="1"/>
  <c r="CL77" i="1"/>
  <c r="CL143" i="1"/>
  <c r="JE15" i="4"/>
  <c r="BX46" i="1"/>
  <c r="JH8" i="4"/>
  <c r="JH20" i="4" s="1"/>
  <c r="CB115" i="1" s="1"/>
  <c r="JI14" i="4"/>
  <c r="IM21" i="4"/>
  <c r="BG113" i="1" s="1"/>
  <c r="Z62" i="1"/>
  <c r="AM62" i="1"/>
  <c r="IW21" i="4"/>
  <c r="BQ113" i="1" s="1"/>
  <c r="IM8" i="4"/>
  <c r="IM20" i="4" s="1"/>
  <c r="BG115" i="1" s="1"/>
  <c r="P219" i="1"/>
  <c r="JF8" i="4"/>
  <c r="AM46" i="1"/>
  <c r="IU7" i="4"/>
  <c r="HT8" i="4"/>
  <c r="HT20" i="4" s="1"/>
  <c r="AN115" i="1" s="1"/>
  <c r="JG14" i="4"/>
  <c r="JG19" i="4" s="1"/>
  <c r="CA114" i="1" s="1"/>
  <c r="IG14" i="4"/>
  <c r="IU15" i="4"/>
  <c r="IA15" i="4"/>
  <c r="IA20" i="4" s="1"/>
  <c r="AU115" i="1" s="1"/>
  <c r="IP14" i="4"/>
  <c r="JI7" i="4"/>
  <c r="JE8" i="4"/>
  <c r="JE14" i="4"/>
  <c r="IE7" i="4"/>
  <c r="AL288" i="1"/>
  <c r="JG8" i="4"/>
  <c r="HZ8" i="4"/>
  <c r="HZ20" i="4" s="1"/>
  <c r="AT115" i="1" s="1"/>
  <c r="HU7" i="4"/>
  <c r="HY7" i="4"/>
  <c r="HY19" i="4" s="1"/>
  <c r="AS114" i="1" s="1"/>
  <c r="M288" i="1"/>
  <c r="HS14" i="4"/>
  <c r="IG7" i="4"/>
  <c r="JD14" i="4"/>
  <c r="HW7" i="4"/>
  <c r="HW19" i="4" s="1"/>
  <c r="AQ114" i="1" s="1"/>
  <c r="IY7" i="4"/>
  <c r="IR8" i="4"/>
  <c r="HQ14" i="4"/>
  <c r="IS8" i="4"/>
  <c r="JF7" i="4"/>
  <c r="IU14" i="4"/>
  <c r="IW15" i="4"/>
  <c r="IH15" i="4"/>
  <c r="N62" i="1"/>
  <c r="HP14" i="4"/>
  <c r="IR14" i="4"/>
  <c r="BJ62" i="1"/>
  <c r="O46" i="1"/>
  <c r="IU21" i="4"/>
  <c r="BO113" i="1" s="1"/>
  <c r="AJ62" i="1"/>
  <c r="HQ7" i="4"/>
  <c r="JA15" i="4"/>
  <c r="IY15" i="4"/>
  <c r="J46" i="1"/>
  <c r="HZ14" i="4"/>
  <c r="HZ19" i="4" s="1"/>
  <c r="AT114" i="1" s="1"/>
  <c r="JH7" i="4"/>
  <c r="HV8" i="4"/>
  <c r="IC21" i="4"/>
  <c r="AW113" i="1" s="1"/>
  <c r="IG15" i="4"/>
  <c r="HU14" i="4"/>
  <c r="IB7" i="4"/>
  <c r="IB19" i="4" s="1"/>
  <c r="AV114" i="1" s="1"/>
  <c r="IR7" i="4"/>
  <c r="HV7" i="4"/>
  <c r="IL8" i="4"/>
  <c r="V62" i="1"/>
  <c r="IQ15" i="4"/>
  <c r="L62" i="1"/>
  <c r="JD7" i="4"/>
  <c r="IZ7" i="4"/>
  <c r="IZ19" i="4" s="1"/>
  <c r="BT114" i="1" s="1"/>
  <c r="AK46" i="1"/>
  <c r="IT15" i="4"/>
  <c r="IT20" i="4" s="1"/>
  <c r="BN115" i="1" s="1"/>
  <c r="IQ14" i="4"/>
  <c r="IB15" i="4"/>
  <c r="BL62" i="1"/>
  <c r="B62" i="1"/>
  <c r="JM8" i="4"/>
  <c r="JM20" i="4" s="1"/>
  <c r="CG115" i="1" s="1"/>
  <c r="IJ21" i="4"/>
  <c r="BD113" i="1" s="1"/>
  <c r="BX288" i="1"/>
  <c r="HP7" i="4"/>
  <c r="JA21" i="4"/>
  <c r="BU113" i="1" s="1"/>
  <c r="IE15" i="4"/>
  <c r="IE20" i="4" s="1"/>
  <c r="AY115" i="1" s="1"/>
  <c r="IS15" i="4"/>
  <c r="IC15" i="4"/>
  <c r="JJ7" i="4"/>
  <c r="BY46" i="1"/>
  <c r="HV14" i="4"/>
  <c r="HV19" i="4" s="1"/>
  <c r="AP114" i="1" s="1"/>
  <c r="G62" i="1"/>
  <c r="BZ288" i="1"/>
  <c r="IR15" i="4"/>
  <c r="W62" i="1"/>
  <c r="JC15" i="4"/>
  <c r="I62" i="1"/>
  <c r="F62" i="1"/>
  <c r="JF14" i="4"/>
  <c r="L46" i="1"/>
  <c r="BX62" i="1"/>
  <c r="BY62" i="1"/>
  <c r="BY63" i="1" s="1"/>
  <c r="M62" i="1"/>
  <c r="JP14" i="4"/>
  <c r="S62" i="1"/>
  <c r="IF14" i="4"/>
  <c r="IF19" i="4" s="1"/>
  <c r="AZ114" i="1" s="1"/>
  <c r="S288" i="1"/>
  <c r="CF62" i="1"/>
  <c r="JN14" i="4"/>
  <c r="JN19" i="4" s="1"/>
  <c r="CH114" i="1" s="1"/>
  <c r="H288" i="1"/>
  <c r="G289" i="1"/>
  <c r="I288" i="1"/>
  <c r="C62" i="1"/>
  <c r="CC62" i="1"/>
  <c r="JK15" i="4"/>
  <c r="JL21" i="4"/>
  <c r="CF113" i="1" s="1"/>
  <c r="CA288" i="1"/>
  <c r="JK21" i="4"/>
  <c r="CE113" i="1" s="1"/>
  <c r="JN8" i="4"/>
  <c r="JP8" i="4"/>
  <c r="Q219" i="1"/>
  <c r="Y192" i="1"/>
  <c r="Y221" i="1" s="1"/>
  <c r="Y220" i="1" s="1"/>
  <c r="Z184" i="1"/>
  <c r="AA232" i="1" s="1"/>
  <c r="X192" i="1"/>
  <c r="X164" i="1"/>
  <c r="S289" i="1"/>
  <c r="CA62" i="1"/>
  <c r="JJ8" i="4"/>
  <c r="CB46" i="1"/>
  <c r="CF288" i="1"/>
  <c r="JN15" i="4"/>
  <c r="JN20" i="4" s="1"/>
  <c r="CH115" i="1" s="1"/>
  <c r="CG216" i="1"/>
  <c r="CH216" i="1" s="1"/>
  <c r="CJ288" i="1"/>
  <c r="CJ134" i="1"/>
  <c r="CJ135" i="1" s="1"/>
  <c r="CJ138" i="1" s="1"/>
  <c r="AL153" i="1"/>
  <c r="AL176" i="1"/>
  <c r="AM216" i="1"/>
  <c r="AN216" i="1" s="1"/>
  <c r="CB289" i="1"/>
  <c r="CB230" i="1"/>
  <c r="Y288" i="1"/>
  <c r="Y289" i="1"/>
  <c r="Y267" i="1"/>
  <c r="Z267" i="1"/>
  <c r="Z216" i="1"/>
  <c r="CN59" i="1"/>
  <c r="CH134" i="1"/>
  <c r="CF134" i="1"/>
  <c r="CE267" i="1"/>
  <c r="CE46" i="1"/>
  <c r="BY289" i="1"/>
  <c r="BY230" i="1"/>
  <c r="K267" i="1"/>
  <c r="K288" i="1"/>
  <c r="K289" i="1"/>
  <c r="CF173" i="1"/>
  <c r="CK221" i="1"/>
  <c r="CK220" i="1" s="1"/>
  <c r="CL220" i="1" s="1"/>
  <c r="CL221" i="1" s="1"/>
  <c r="CL233" i="1"/>
  <c r="CL285" i="1"/>
  <c r="CL242" i="1"/>
  <c r="CL286" i="1"/>
  <c r="CL287" i="1" s="1"/>
  <c r="CL67" i="1"/>
  <c r="CL144" i="1"/>
  <c r="CL232" i="1"/>
  <c r="CL234" i="1" s="1"/>
  <c r="AL164" i="1"/>
  <c r="AK170" i="1"/>
  <c r="AM134" i="1"/>
  <c r="HV15" i="4"/>
  <c r="CE197" i="1"/>
  <c r="P288" i="1"/>
  <c r="HQ8" i="4"/>
  <c r="II15" i="4"/>
  <c r="II20" i="4" s="1"/>
  <c r="BC115" i="1" s="1"/>
  <c r="ID14" i="4"/>
  <c r="O62" i="1"/>
  <c r="CI174" i="1"/>
  <c r="AJ46" i="1"/>
  <c r="ID7" i="4"/>
  <c r="IS14" i="4"/>
  <c r="IS19" i="4" s="1"/>
  <c r="BM114" i="1" s="1"/>
  <c r="CI184" i="1"/>
  <c r="CI218" i="1" s="1"/>
  <c r="AJ164" i="1"/>
  <c r="JB8" i="4"/>
  <c r="AK164" i="1"/>
  <c r="AI164" i="1"/>
  <c r="CI164" i="1"/>
  <c r="P46" i="1"/>
  <c r="JC7" i="4"/>
  <c r="CC192" i="1"/>
  <c r="CC221" i="1" s="1"/>
  <c r="IO15" i="4"/>
  <c r="AI184" i="1"/>
  <c r="P267" i="1"/>
  <c r="AI192" i="1"/>
  <c r="AI233" i="1" s="1"/>
  <c r="P289" i="1"/>
  <c r="JC8" i="4"/>
  <c r="CC164" i="1"/>
  <c r="CD164" i="1"/>
  <c r="CC156" i="1"/>
  <c r="CC289" i="1"/>
  <c r="BL289" i="1"/>
  <c r="CG230" i="1"/>
  <c r="Q267" i="1"/>
  <c r="AN153" i="1"/>
  <c r="G46" i="1"/>
  <c r="CC134" i="1"/>
  <c r="CI46" i="1"/>
  <c r="CI35" i="1" s="1"/>
  <c r="CI39" i="1" s="1"/>
  <c r="CM39" i="1" s="1"/>
  <c r="CG62" i="1"/>
  <c r="JK8" i="4"/>
  <c r="I46" i="1"/>
  <c r="C230" i="1"/>
  <c r="CI289" i="1"/>
  <c r="CI197" i="1"/>
  <c r="CJ289" i="1"/>
  <c r="CB62" i="1"/>
  <c r="CH62" i="1"/>
  <c r="X170" i="1"/>
  <c r="JM7" i="4"/>
  <c r="JM19" i="4" s="1"/>
  <c r="CG114" i="1" s="1"/>
  <c r="CI288" i="1"/>
  <c r="JO7" i="4"/>
  <c r="Y197" i="1"/>
  <c r="Z245" i="1" s="1"/>
  <c r="CH289" i="1"/>
  <c r="AL62" i="1"/>
  <c r="T288" i="1"/>
  <c r="IN15" i="4"/>
  <c r="IN20" i="4" s="1"/>
  <c r="BH115" i="1" s="1"/>
  <c r="JB15" i="4"/>
  <c r="JB20" i="4" s="1"/>
  <c r="BV115" i="1" s="1"/>
  <c r="JH14" i="4"/>
  <c r="JH19" i="4" s="1"/>
  <c r="CB114" i="1" s="1"/>
  <c r="HX8" i="4"/>
  <c r="T289" i="1"/>
  <c r="Y62" i="1"/>
  <c r="JP15" i="4"/>
  <c r="X197" i="1"/>
  <c r="JA14" i="4"/>
  <c r="JA19" i="4" s="1"/>
  <c r="BU114" i="1" s="1"/>
  <c r="S46" i="1"/>
  <c r="Q62" i="1"/>
  <c r="IQ7" i="4"/>
  <c r="ID8" i="4"/>
  <c r="JJ14" i="4"/>
  <c r="JJ19" i="4" s="1"/>
  <c r="CD114" i="1" s="1"/>
  <c r="R62" i="1"/>
  <c r="HQ20" i="4"/>
  <c r="AK115" i="1" s="1"/>
  <c r="J289" i="1"/>
  <c r="I267" i="1"/>
  <c r="Z289" i="1"/>
  <c r="CJ267" i="1"/>
  <c r="T46" i="1"/>
  <c r="CI192" i="1"/>
  <c r="CI221" i="1" s="1"/>
  <c r="I289" i="1"/>
  <c r="CA134" i="1"/>
  <c r="X215" i="1"/>
  <c r="JO14" i="4"/>
  <c r="HT7" i="4"/>
  <c r="Z288" i="1"/>
  <c r="K62" i="1"/>
  <c r="CJ62" i="1"/>
  <c r="P62" i="1"/>
  <c r="T62" i="1"/>
  <c r="X156" i="1"/>
  <c r="X211" i="1" s="1"/>
  <c r="X62" i="1"/>
  <c r="CE289" i="1"/>
  <c r="BZ62" i="1"/>
  <c r="BZ63" i="1" s="1"/>
  <c r="CE62" i="1"/>
  <c r="Y170" i="1"/>
  <c r="S230" i="1"/>
  <c r="L289" i="1"/>
  <c r="Z238" i="1"/>
  <c r="B46" i="1"/>
  <c r="B52" i="1" s="1"/>
  <c r="CJ170" i="1"/>
  <c r="CK69" i="1" s="1"/>
  <c r="CM69" i="1" s="1"/>
  <c r="CN69" i="1" s="1"/>
  <c r="CO69" i="1" s="1"/>
  <c r="CP69" i="1" s="1"/>
  <c r="CQ69" i="1" s="1"/>
  <c r="CR69" i="1" s="1"/>
  <c r="CS69" i="1" s="1"/>
  <c r="CT69" i="1" s="1"/>
  <c r="CU69" i="1" s="1"/>
  <c r="CV69" i="1" s="1"/>
  <c r="CW69" i="1" s="1"/>
  <c r="CX69" i="1" s="1"/>
  <c r="CY69" i="1" s="1"/>
  <c r="CZ69" i="1" s="1"/>
  <c r="DA69" i="1" s="1"/>
  <c r="Y184" i="1"/>
  <c r="CI62" i="1"/>
  <c r="B289" i="1"/>
  <c r="W289" i="1"/>
  <c r="Q46" i="1"/>
  <c r="Z156" i="1"/>
  <c r="AA243" i="1" s="1"/>
  <c r="Y156" i="1"/>
  <c r="Y211" i="1" s="1"/>
  <c r="Z215" i="1"/>
  <c r="Y46" i="1"/>
  <c r="Z219" i="1"/>
  <c r="CK193" i="1"/>
  <c r="CK218" i="1"/>
  <c r="X289" i="1"/>
  <c r="CJ230" i="1"/>
  <c r="CB134" i="1"/>
  <c r="JC21" i="4"/>
  <c r="BW113" i="1" s="1"/>
  <c r="HV21" i="4"/>
  <c r="AP113" i="1" s="1"/>
  <c r="CI134" i="1"/>
  <c r="HS20" i="4"/>
  <c r="AM115" i="1" s="1"/>
  <c r="Q289" i="1"/>
  <c r="AM289" i="1"/>
  <c r="Z46" i="1"/>
  <c r="CH46" i="1"/>
  <c r="CH35" i="1" s="1"/>
  <c r="CH39" i="1" s="1"/>
  <c r="CL39" i="1" s="1"/>
  <c r="BY267" i="1"/>
  <c r="CA46" i="1"/>
  <c r="CG160" i="1"/>
  <c r="CK70" i="1"/>
  <c r="CK74" i="1" s="1"/>
  <c r="CK65" i="1"/>
  <c r="CF289" i="1"/>
  <c r="IE14" i="4"/>
  <c r="L288" i="1"/>
  <c r="BZ9" i="1"/>
  <c r="BZ35" i="1"/>
  <c r="BZ39" i="1" s="1"/>
  <c r="JD20" i="4"/>
  <c r="BX115" i="1" s="1"/>
  <c r="IJ20" i="4"/>
  <c r="BD115" i="1" s="1"/>
  <c r="JI20" i="4"/>
  <c r="CC115" i="1" s="1"/>
  <c r="HW20" i="4"/>
  <c r="AQ115" i="1" s="1"/>
  <c r="IN19" i="4"/>
  <c r="BH114" i="1" s="1"/>
  <c r="II19" i="4"/>
  <c r="BC114" i="1" s="1"/>
  <c r="IP20" i="4"/>
  <c r="BJ115" i="1" s="1"/>
  <c r="IV20" i="4"/>
  <c r="BP115" i="1" s="1"/>
  <c r="IC19" i="4"/>
  <c r="AW114" i="1" s="1"/>
  <c r="CD238" i="1"/>
  <c r="AB81" i="1"/>
  <c r="AB169" i="1"/>
  <c r="CP169" i="1"/>
  <c r="CQ169" i="1" s="1"/>
  <c r="CR169" i="1" s="1"/>
  <c r="CS169" i="1" s="1"/>
  <c r="HR19" i="4"/>
  <c r="AL114" i="1" s="1"/>
  <c r="IV19" i="4"/>
  <c r="BP114" i="1" s="1"/>
  <c r="JK19" i="4"/>
  <c r="CE114" i="1" s="1"/>
  <c r="AB163" i="1"/>
  <c r="CP163" i="1"/>
  <c r="CQ163" i="1" s="1"/>
  <c r="CR163" i="1" s="1"/>
  <c r="CS163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CM113" i="1"/>
  <c r="CN113" i="1" s="1"/>
  <c r="CO113" i="1" s="1"/>
  <c r="CG167" i="1"/>
  <c r="CG170" i="1" s="1"/>
  <c r="Z170" i="1"/>
  <c r="CH178" i="1"/>
  <c r="CP158" i="1"/>
  <c r="CQ158" i="1" s="1"/>
  <c r="CR158" i="1" s="1"/>
  <c r="CS158" i="1" s="1"/>
  <c r="AB158" i="1"/>
  <c r="CP200" i="1"/>
  <c r="CQ200" i="1" s="1"/>
  <c r="CR200" i="1" s="1"/>
  <c r="CS200" i="1" s="1"/>
  <c r="AB200" i="1"/>
  <c r="CP162" i="1"/>
  <c r="CQ162" i="1" s="1"/>
  <c r="CR162" i="1" s="1"/>
  <c r="CS162" i="1" s="1"/>
  <c r="AB162" i="1"/>
  <c r="CH99" i="1"/>
  <c r="CI101" i="1"/>
  <c r="CQ81" i="1"/>
  <c r="CR81" i="1" s="1"/>
  <c r="CS81" i="1" s="1"/>
  <c r="CT81" i="1" s="1"/>
  <c r="CJ164" i="1"/>
  <c r="AB173" i="1"/>
  <c r="CP173" i="1"/>
  <c r="CQ173" i="1" s="1"/>
  <c r="CR173" i="1" s="1"/>
  <c r="CS173" i="1" s="1"/>
  <c r="AB199" i="1"/>
  <c r="CP199" i="1"/>
  <c r="CQ199" i="1" s="1"/>
  <c r="CR199" i="1" s="1"/>
  <c r="CS199" i="1" s="1"/>
  <c r="CP59" i="1"/>
  <c r="CQ82" i="1"/>
  <c r="CR82" i="1" s="1"/>
  <c r="CS82" i="1" s="1"/>
  <c r="CT82" i="1" s="1"/>
  <c r="AB171" i="1"/>
  <c r="CP171" i="1"/>
  <c r="CQ171" i="1" s="1"/>
  <c r="CR171" i="1" s="1"/>
  <c r="CS171" i="1" s="1"/>
  <c r="AB154" i="1"/>
  <c r="CP154" i="1"/>
  <c r="CQ154" i="1" s="1"/>
  <c r="CR154" i="1" s="1"/>
  <c r="CS154" i="1" s="1"/>
  <c r="CH185" i="1"/>
  <c r="CG192" i="1"/>
  <c r="CM153" i="1"/>
  <c r="CN153" i="1" s="1"/>
  <c r="CO153" i="1" s="1"/>
  <c r="HX19" i="4"/>
  <c r="AR114" i="1" s="1"/>
  <c r="CK238" i="1"/>
  <c r="IL19" i="4"/>
  <c r="BF114" i="1" s="1"/>
  <c r="BZ52" i="1"/>
  <c r="AB82" i="1"/>
  <c r="CG156" i="1"/>
  <c r="CH153" i="1"/>
  <c r="CP161" i="1"/>
  <c r="CQ161" i="1" s="1"/>
  <c r="CR161" i="1" s="1"/>
  <c r="CS161" i="1" s="1"/>
  <c r="AB161" i="1"/>
  <c r="Z192" i="1"/>
  <c r="AA233" i="1" s="1"/>
  <c r="BY1" i="1"/>
  <c r="AI170" i="1" l="1"/>
  <c r="F63" i="1"/>
  <c r="M63" i="1"/>
  <c r="CG184" i="1"/>
  <c r="AM215" i="1"/>
  <c r="AN215" i="1" s="1"/>
  <c r="AM197" i="1"/>
  <c r="AK156" i="1"/>
  <c r="CF69" i="1"/>
  <c r="CE164" i="1"/>
  <c r="CE184" i="1"/>
  <c r="AM184" i="1"/>
  <c r="AM218" i="1" s="1"/>
  <c r="CE192" i="1"/>
  <c r="CF160" i="1"/>
  <c r="CF164" i="1" s="1"/>
  <c r="AA242" i="1"/>
  <c r="AA241" i="1" s="1"/>
  <c r="AA285" i="1"/>
  <c r="AA224" i="1"/>
  <c r="AA47" i="1"/>
  <c r="AA234" i="1"/>
  <c r="AA235" i="1" s="1"/>
  <c r="HP21" i="4"/>
  <c r="AJ113" i="1" s="1"/>
  <c r="IZ8" i="4" s="1"/>
  <c r="JC14" i="4" s="1"/>
  <c r="HS19" i="4"/>
  <c r="AM114" i="1" s="1"/>
  <c r="IT21" i="4"/>
  <c r="BN113" i="1" s="1"/>
  <c r="JD19" i="4"/>
  <c r="BX114" i="1" s="1"/>
  <c r="IU19" i="4"/>
  <c r="BO114" i="1" s="1"/>
  <c r="IW20" i="4"/>
  <c r="BQ115" i="1" s="1"/>
  <c r="JP19" i="4"/>
  <c r="CJ114" i="1" s="1"/>
  <c r="CJ143" i="1" s="1"/>
  <c r="CE174" i="1"/>
  <c r="CJ35" i="1"/>
  <c r="CJ39" i="1" s="1"/>
  <c r="JB19" i="4"/>
  <c r="BV114" i="1" s="1"/>
  <c r="HT19" i="4"/>
  <c r="AN114" i="1" s="1"/>
  <c r="CK48" i="1"/>
  <c r="CJ9" i="1"/>
  <c r="JO20" i="4"/>
  <c r="CI115" i="1" s="1"/>
  <c r="IA19" i="4"/>
  <c r="AU114" i="1" s="1"/>
  <c r="IK19" i="4"/>
  <c r="BE114" i="1" s="1"/>
  <c r="HU20" i="4"/>
  <c r="AO115" i="1" s="1"/>
  <c r="ID9" i="4"/>
  <c r="IQ21" i="4"/>
  <c r="BK113" i="1" s="1"/>
  <c r="AM156" i="1"/>
  <c r="AN154" i="1"/>
  <c r="CC170" i="1"/>
  <c r="IE21" i="4"/>
  <c r="AY113" i="1" s="1"/>
  <c r="E63" i="1"/>
  <c r="IH8" i="4" s="1"/>
  <c r="BZ164" i="1"/>
  <c r="CE170" i="1"/>
  <c r="CF170" i="1" s="1"/>
  <c r="AN164" i="1"/>
  <c r="AM164" i="1"/>
  <c r="AM165" i="1" s="1"/>
  <c r="CA219" i="1"/>
  <c r="CB219" i="1" s="1"/>
  <c r="CA197" i="1"/>
  <c r="CA238" i="1"/>
  <c r="CA216" i="1"/>
  <c r="CB216" i="1" s="1"/>
  <c r="CA215" i="1"/>
  <c r="CB215" i="1" s="1"/>
  <c r="CC238" i="1"/>
  <c r="IS21" i="4"/>
  <c r="BM113" i="1" s="1"/>
  <c r="JF20" i="4"/>
  <c r="BZ115" i="1" s="1"/>
  <c r="BY156" i="1"/>
  <c r="CA164" i="1"/>
  <c r="BY184" i="1"/>
  <c r="BY218" i="1" s="1"/>
  <c r="BY164" i="1"/>
  <c r="BY219" i="1"/>
  <c r="BZ219" i="1" s="1"/>
  <c r="BZ189" i="1" s="1"/>
  <c r="BZ192" i="1" s="1"/>
  <c r="CC184" i="1"/>
  <c r="CC218" i="1" s="1"/>
  <c r="CG63" i="1"/>
  <c r="CB160" i="1"/>
  <c r="BY215" i="1"/>
  <c r="BZ215" i="1" s="1"/>
  <c r="BZ180" i="1" s="1"/>
  <c r="BY192" i="1"/>
  <c r="BY221" i="1" s="1"/>
  <c r="CA192" i="1"/>
  <c r="CA221" i="1" s="1"/>
  <c r="CA184" i="1"/>
  <c r="CE156" i="1"/>
  <c r="CG34" i="1"/>
  <c r="CK47" i="1"/>
  <c r="CG9" i="1"/>
  <c r="IO19" i="4"/>
  <c r="BI114" i="1" s="1"/>
  <c r="BZ238" i="1"/>
  <c r="CG52" i="1"/>
  <c r="CK54" i="1" s="1"/>
  <c r="AM174" i="1"/>
  <c r="AN170" i="1"/>
  <c r="AN174" i="1" s="1"/>
  <c r="CA156" i="1"/>
  <c r="HZ21" i="4"/>
  <c r="AT113" i="1" s="1"/>
  <c r="V63" i="1"/>
  <c r="BL63" i="1"/>
  <c r="Y73" i="1"/>
  <c r="CF9" i="1"/>
  <c r="CF35" i="1"/>
  <c r="CF39" i="1" s="1"/>
  <c r="CD9" i="1"/>
  <c r="CD35" i="1"/>
  <c r="CD39" i="1" s="1"/>
  <c r="BL52" i="1"/>
  <c r="BL9" i="1"/>
  <c r="IK20" i="4"/>
  <c r="BE115" i="1" s="1"/>
  <c r="CB69" i="1"/>
  <c r="CB170" i="1"/>
  <c r="CA174" i="1"/>
  <c r="CB238" i="1"/>
  <c r="AL52" i="1"/>
  <c r="V52" i="1"/>
  <c r="V134" i="1"/>
  <c r="H52" i="1"/>
  <c r="H134" i="1"/>
  <c r="CH176" i="1"/>
  <c r="CI238" i="1" s="1"/>
  <c r="D52" i="1"/>
  <c r="CF52" i="1"/>
  <c r="CG48" i="1"/>
  <c r="X218" i="1"/>
  <c r="M52" i="1"/>
  <c r="M134" i="1"/>
  <c r="D63" i="1"/>
  <c r="CD48" i="1"/>
  <c r="CG47" i="1"/>
  <c r="CC52" i="1"/>
  <c r="CD47" i="1"/>
  <c r="BY170" i="1"/>
  <c r="CF63" i="1"/>
  <c r="JK20" i="4"/>
  <c r="CE115" i="1" s="1"/>
  <c r="CI220" i="1"/>
  <c r="CJ220" i="1" s="1"/>
  <c r="BZ181" i="1"/>
  <c r="JL19" i="4"/>
  <c r="CF114" i="1" s="1"/>
  <c r="CD180" i="1"/>
  <c r="CD181" i="1"/>
  <c r="AJ238" i="1"/>
  <c r="IV21" i="4"/>
  <c r="BP113" i="1" s="1"/>
  <c r="IL9" i="4"/>
  <c r="IL21" i="4" s="1"/>
  <c r="BF113" i="1" s="1"/>
  <c r="IZ21" i="4"/>
  <c r="BT113" i="1" s="1"/>
  <c r="CL139" i="1"/>
  <c r="AK184" i="1"/>
  <c r="AK218" i="1" s="1"/>
  <c r="JI19" i="4"/>
  <c r="CC114" i="1" s="1"/>
  <c r="Z73" i="1"/>
  <c r="IU20" i="4"/>
  <c r="BO115" i="1" s="1"/>
  <c r="IP19" i="4"/>
  <c r="BJ114" i="1" s="1"/>
  <c r="JE19" i="4"/>
  <c r="BY114" i="1" s="1"/>
  <c r="HU21" i="4"/>
  <c r="AO113" i="1" s="1"/>
  <c r="IY19" i="4"/>
  <c r="BS114" i="1" s="1"/>
  <c r="IH20" i="4"/>
  <c r="BB115" i="1" s="1"/>
  <c r="N63" i="1"/>
  <c r="HP19" i="4"/>
  <c r="AJ114" i="1" s="1"/>
  <c r="IR19" i="4"/>
  <c r="BL114" i="1" s="1"/>
  <c r="AJ63" i="1"/>
  <c r="JA20" i="4"/>
  <c r="BU115" i="1" s="1"/>
  <c r="IY20" i="4"/>
  <c r="BS115" i="1" s="1"/>
  <c r="IG20" i="4"/>
  <c r="BA115" i="1" s="1"/>
  <c r="HU19" i="4"/>
  <c r="AO114" i="1" s="1"/>
  <c r="IQ20" i="4"/>
  <c r="BK115" i="1" s="1"/>
  <c r="IB20" i="4"/>
  <c r="AV115" i="1" s="1"/>
  <c r="IS20" i="4"/>
  <c r="BM115" i="1" s="1"/>
  <c r="IC20" i="4"/>
  <c r="AW115" i="1" s="1"/>
  <c r="IR20" i="4"/>
  <c r="BL115" i="1" s="1"/>
  <c r="W63" i="1"/>
  <c r="JF19" i="4"/>
  <c r="BZ114" i="1" s="1"/>
  <c r="BX63" i="1"/>
  <c r="C63" i="1"/>
  <c r="IM19" i="4"/>
  <c r="BG114" i="1" s="1"/>
  <c r="CL140" i="1"/>
  <c r="JC19" i="4"/>
  <c r="BW114" i="1" s="1"/>
  <c r="AK197" i="1"/>
  <c r="CC220" i="1"/>
  <c r="CD220" i="1" s="1"/>
  <c r="CD221" i="1" s="1"/>
  <c r="IO20" i="4"/>
  <c r="BI115" i="1" s="1"/>
  <c r="CG238" i="1"/>
  <c r="CB63" i="1"/>
  <c r="JO19" i="4"/>
  <c r="CI114" i="1" s="1"/>
  <c r="HX20" i="4"/>
  <c r="AR115" i="1" s="1"/>
  <c r="IL20" i="4"/>
  <c r="BF115" i="1" s="1"/>
  <c r="JP20" i="4"/>
  <c r="CJ115" i="1" s="1"/>
  <c r="CJ144" i="1" s="1"/>
  <c r="ID20" i="4"/>
  <c r="AX115" i="1" s="1"/>
  <c r="R63" i="1"/>
  <c r="AK216" i="1"/>
  <c r="AL216" i="1" s="1"/>
  <c r="CM220" i="1"/>
  <c r="CN220" i="1" s="1"/>
  <c r="CO220" i="1" s="1"/>
  <c r="CP220" i="1" s="1"/>
  <c r="CQ220" i="1" s="1"/>
  <c r="CR220" i="1" s="1"/>
  <c r="CS220" i="1" s="1"/>
  <c r="CT220" i="1" s="1"/>
  <c r="CU220" i="1" s="1"/>
  <c r="CV220" i="1" s="1"/>
  <c r="CW220" i="1" s="1"/>
  <c r="CX220" i="1" s="1"/>
  <c r="CY220" i="1" s="1"/>
  <c r="CZ220" i="1" s="1"/>
  <c r="DA220" i="1" s="1"/>
  <c r="AK192" i="1"/>
  <c r="AK221" i="1" s="1"/>
  <c r="AK220" i="1" s="1"/>
  <c r="AL220" i="1" s="1"/>
  <c r="AL221" i="1" s="1"/>
  <c r="IE19" i="4"/>
  <c r="AY114" i="1" s="1"/>
  <c r="U63" i="1"/>
  <c r="IH19" i="4"/>
  <c r="BB114" i="1" s="1"/>
  <c r="HR20" i="4"/>
  <c r="AL115" i="1" s="1"/>
  <c r="K63" i="1"/>
  <c r="CJ63" i="1"/>
  <c r="CN63" i="1" s="1"/>
  <c r="CR63" i="1" s="1"/>
  <c r="CV63" i="1" s="1"/>
  <c r="CZ63" i="1" s="1"/>
  <c r="X63" i="1"/>
  <c r="CE63" i="1"/>
  <c r="AM192" i="1"/>
  <c r="AM221" i="1" s="1"/>
  <c r="AM220" i="1" s="1"/>
  <c r="AN220" i="1" s="1"/>
  <c r="AN221" i="1" s="1"/>
  <c r="HP20" i="4"/>
  <c r="AJ115" i="1" s="1"/>
  <c r="IW19" i="4"/>
  <c r="BQ114" i="1" s="1"/>
  <c r="IX19" i="4"/>
  <c r="BR114" i="1" s="1"/>
  <c r="IF20" i="4"/>
  <c r="AZ115" i="1" s="1"/>
  <c r="IZ20" i="4"/>
  <c r="BT115" i="1" s="1"/>
  <c r="F52" i="1"/>
  <c r="F134" i="1"/>
  <c r="F47" i="1"/>
  <c r="F224" i="1"/>
  <c r="W134" i="1"/>
  <c r="W47" i="1"/>
  <c r="CD52" i="1"/>
  <c r="CJ189" i="1"/>
  <c r="CJ192" i="1" s="1"/>
  <c r="H63" i="1"/>
  <c r="AL189" i="1"/>
  <c r="AL192" i="1" s="1"/>
  <c r="E134" i="1"/>
  <c r="E224" i="1"/>
  <c r="E47" i="1"/>
  <c r="E52" i="1"/>
  <c r="IJ19" i="4"/>
  <c r="BD114" i="1" s="1"/>
  <c r="W224" i="1"/>
  <c r="V47" i="1"/>
  <c r="V224" i="1"/>
  <c r="W52" i="1"/>
  <c r="CH245" i="1"/>
  <c r="CI167" i="1"/>
  <c r="CJ168" i="1"/>
  <c r="D224" i="1"/>
  <c r="D47" i="1"/>
  <c r="K134" i="1"/>
  <c r="K52" i="1"/>
  <c r="R134" i="1"/>
  <c r="R52" i="1"/>
  <c r="U52" i="1"/>
  <c r="U134" i="1"/>
  <c r="C52" i="1"/>
  <c r="CD63" i="1"/>
  <c r="CJ47" i="1"/>
  <c r="HY20" i="4"/>
  <c r="AS115" i="1" s="1"/>
  <c r="N134" i="1"/>
  <c r="N52" i="1"/>
  <c r="N224" i="1"/>
  <c r="N47" i="1"/>
  <c r="CJ180" i="1"/>
  <c r="CD189" i="1"/>
  <c r="CD192" i="1" s="1"/>
  <c r="CF261" i="1"/>
  <c r="X134" i="1"/>
  <c r="X52" i="1"/>
  <c r="X224" i="1"/>
  <c r="X47" i="1"/>
  <c r="Z204" i="1"/>
  <c r="Z145" i="1" s="1"/>
  <c r="Z285" i="1"/>
  <c r="Z242" i="1"/>
  <c r="Z218" i="1"/>
  <c r="Z221" i="1"/>
  <c r="AM63" i="1"/>
  <c r="JE20" i="4"/>
  <c r="BY115" i="1" s="1"/>
  <c r="JG20" i="4"/>
  <c r="CA115" i="1" s="1"/>
  <c r="CC63" i="1"/>
  <c r="JJ20" i="4"/>
  <c r="CD115" i="1" s="1"/>
  <c r="O63" i="1"/>
  <c r="AL63" i="1"/>
  <c r="IQ19" i="4"/>
  <c r="BK114" i="1" s="1"/>
  <c r="CC9" i="1"/>
  <c r="CC35" i="1"/>
  <c r="CC39" i="1" s="1"/>
  <c r="BX9" i="1"/>
  <c r="BX35" i="1"/>
  <c r="BX39" i="1" s="1"/>
  <c r="Z63" i="1"/>
  <c r="IG19" i="4"/>
  <c r="BA114" i="1" s="1"/>
  <c r="I63" i="1"/>
  <c r="CA63" i="1"/>
  <c r="L63" i="1"/>
  <c r="G63" i="1"/>
  <c r="JC20" i="4"/>
  <c r="BW115" i="1" s="1"/>
  <c r="ID19" i="4"/>
  <c r="AX114" i="1" s="1"/>
  <c r="AJ242" i="1"/>
  <c r="Q63" i="1"/>
  <c r="CH63" i="1"/>
  <c r="CP63" i="1" s="1"/>
  <c r="CT63" i="1" s="1"/>
  <c r="CX63" i="1" s="1"/>
  <c r="CJ181" i="1"/>
  <c r="CJ52" i="1"/>
  <c r="BY9" i="1"/>
  <c r="BY35" i="1"/>
  <c r="CB9" i="1"/>
  <c r="CB35" i="1"/>
  <c r="CR59" i="1"/>
  <c r="CV59" i="1" s="1"/>
  <c r="CZ59" i="1" s="1"/>
  <c r="AB59" i="1"/>
  <c r="CE9" i="1"/>
  <c r="CE35" i="1"/>
  <c r="Y9" i="1"/>
  <c r="Y35" i="1"/>
  <c r="Z9" i="1"/>
  <c r="Z35" i="1"/>
  <c r="CL84" i="1"/>
  <c r="CL270" i="1"/>
  <c r="CL78" i="1"/>
  <c r="CL281" i="1" s="1"/>
  <c r="T47" i="1"/>
  <c r="HV20" i="4"/>
  <c r="AP115" i="1" s="1"/>
  <c r="CI193" i="1"/>
  <c r="CI201" i="1" s="1"/>
  <c r="AI193" i="1"/>
  <c r="CC165" i="1"/>
  <c r="T63" i="1"/>
  <c r="CI63" i="1"/>
  <c r="CM63" i="1" s="1"/>
  <c r="CQ63" i="1" s="1"/>
  <c r="CU63" i="1" s="1"/>
  <c r="CY63" i="1" s="1"/>
  <c r="Q224" i="1"/>
  <c r="HQ19" i="4"/>
  <c r="AK114" i="1" s="1"/>
  <c r="BX52" i="1"/>
  <c r="BY48" i="1"/>
  <c r="CA261" i="1"/>
  <c r="CB47" i="1"/>
  <c r="AM52" i="1"/>
  <c r="AM48" i="1"/>
  <c r="O52" i="1"/>
  <c r="O224" i="1"/>
  <c r="O134" i="1"/>
  <c r="O47" i="1"/>
  <c r="J224" i="1"/>
  <c r="J47" i="1"/>
  <c r="J52" i="1"/>
  <c r="J63" i="1"/>
  <c r="K47" i="1"/>
  <c r="K224" i="1"/>
  <c r="J134" i="1"/>
  <c r="AK63" i="1"/>
  <c r="AK52" i="1"/>
  <c r="AL48" i="1"/>
  <c r="CB261" i="1"/>
  <c r="CC47" i="1"/>
  <c r="BZ48" i="1"/>
  <c r="BY52" i="1"/>
  <c r="CD224" i="1"/>
  <c r="L224" i="1"/>
  <c r="L47" i="1"/>
  <c r="L134" i="1"/>
  <c r="L52" i="1"/>
  <c r="M47" i="1"/>
  <c r="M224" i="1"/>
  <c r="X221" i="1"/>
  <c r="Y233" i="1"/>
  <c r="X193" i="1"/>
  <c r="X73" i="1"/>
  <c r="Y242" i="1"/>
  <c r="X165" i="1"/>
  <c r="Y285" i="1"/>
  <c r="X204" i="1"/>
  <c r="X145" i="1" s="1"/>
  <c r="CC224" i="1"/>
  <c r="CF47" i="1"/>
  <c r="CE261" i="1"/>
  <c r="CG224" i="1"/>
  <c r="CC48" i="1"/>
  <c r="CB52" i="1"/>
  <c r="AM238" i="1"/>
  <c r="AL238" i="1"/>
  <c r="CE52" i="1"/>
  <c r="CE48" i="1"/>
  <c r="CG261" i="1"/>
  <c r="CF224" i="1"/>
  <c r="CF48" i="1"/>
  <c r="CE224" i="1"/>
  <c r="AL242" i="1"/>
  <c r="AL69" i="1"/>
  <c r="AK174" i="1"/>
  <c r="AL170" i="1"/>
  <c r="AM261" i="1"/>
  <c r="AJ52" i="1"/>
  <c r="AK48" i="1"/>
  <c r="AL285" i="1"/>
  <c r="AI204" i="1"/>
  <c r="AJ73" i="1" s="1"/>
  <c r="AI165" i="1"/>
  <c r="AI242" i="1"/>
  <c r="CI204" i="1"/>
  <c r="CI165" i="1"/>
  <c r="P52" i="1"/>
  <c r="P134" i="1"/>
  <c r="P47" i="1"/>
  <c r="P224" i="1"/>
  <c r="P63" i="1"/>
  <c r="CC204" i="1"/>
  <c r="CD242" i="1"/>
  <c r="CD285" i="1"/>
  <c r="G134" i="1"/>
  <c r="G224" i="1"/>
  <c r="G47" i="1"/>
  <c r="G52" i="1"/>
  <c r="H224" i="1"/>
  <c r="H47" i="1"/>
  <c r="CI224" i="1"/>
  <c r="CL261" i="1"/>
  <c r="I224" i="1"/>
  <c r="I134" i="1"/>
  <c r="I47" i="1"/>
  <c r="I52" i="1"/>
  <c r="X174" i="1"/>
  <c r="X69" i="1"/>
  <c r="Y245" i="1"/>
  <c r="X284" i="1"/>
  <c r="S134" i="1"/>
  <c r="S224" i="1"/>
  <c r="T134" i="1"/>
  <c r="T52" i="1"/>
  <c r="U47" i="1"/>
  <c r="T224" i="1"/>
  <c r="U224" i="1"/>
  <c r="CE242" i="1"/>
  <c r="CE285" i="1"/>
  <c r="Y174" i="1"/>
  <c r="Y69" i="1"/>
  <c r="Y193" i="1"/>
  <c r="Y201" i="1" s="1"/>
  <c r="Z232" i="1"/>
  <c r="Y218" i="1"/>
  <c r="Y232" i="1"/>
  <c r="Q47" i="1"/>
  <c r="R47" i="1"/>
  <c r="Q134" i="1"/>
  <c r="Z284" i="1"/>
  <c r="Z165" i="1"/>
  <c r="Z211" i="1"/>
  <c r="Y134" i="1"/>
  <c r="Y47" i="1"/>
  <c r="Y94" i="1"/>
  <c r="Y52" i="1"/>
  <c r="Z94" i="1"/>
  <c r="Z134" i="1"/>
  <c r="Z52" i="1"/>
  <c r="AA54" i="1" s="1"/>
  <c r="CH189" i="1"/>
  <c r="CH192" i="1" s="1"/>
  <c r="CH233" i="1" s="1"/>
  <c r="CI261" i="1"/>
  <c r="CH52" i="1"/>
  <c r="CH224" i="1"/>
  <c r="CL47" i="1"/>
  <c r="CL224" i="1"/>
  <c r="CA35" i="1"/>
  <c r="CA52" i="1"/>
  <c r="CA48" i="1"/>
  <c r="CC261" i="1"/>
  <c r="CG164" i="1"/>
  <c r="CH160" i="1"/>
  <c r="CH164" i="1" s="1"/>
  <c r="AK242" i="1"/>
  <c r="AI232" i="1"/>
  <c r="AI234" i="1" s="1"/>
  <c r="CE204" i="1"/>
  <c r="B64" i="1"/>
  <c r="B53" i="1"/>
  <c r="CI48" i="1"/>
  <c r="CI9" i="1"/>
  <c r="Y204" i="1"/>
  <c r="Y145" i="1" s="1"/>
  <c r="CH181" i="1"/>
  <c r="CH47" i="1"/>
  <c r="S52" i="1"/>
  <c r="Y63" i="1"/>
  <c r="CF242" i="1"/>
  <c r="R224" i="1"/>
  <c r="CI52" i="1"/>
  <c r="CH261" i="1"/>
  <c r="CH9" i="1"/>
  <c r="S63" i="1"/>
  <c r="C224" i="1"/>
  <c r="CJ224" i="1"/>
  <c r="B63" i="1"/>
  <c r="CB48" i="1"/>
  <c r="Z224" i="1"/>
  <c r="CI47" i="1"/>
  <c r="CH180" i="1"/>
  <c r="CH184" i="1" s="1"/>
  <c r="CH232" i="1" s="1"/>
  <c r="CJ48" i="1"/>
  <c r="CJ261" i="1"/>
  <c r="CD261" i="1"/>
  <c r="Z47" i="1"/>
  <c r="C47" i="1"/>
  <c r="Q52" i="1"/>
  <c r="Q53" i="1" s="1"/>
  <c r="CH48" i="1"/>
  <c r="CE47" i="1"/>
  <c r="S47" i="1"/>
  <c r="Y224" i="1"/>
  <c r="Y165" i="1"/>
  <c r="CA9" i="1"/>
  <c r="Y284" i="1"/>
  <c r="CK21" i="1"/>
  <c r="CK77" i="1"/>
  <c r="CL80" i="1" s="1"/>
  <c r="CK76" i="1"/>
  <c r="CQ39" i="1"/>
  <c r="CU39" i="1" s="1"/>
  <c r="CY39" i="1" s="1"/>
  <c r="CN39" i="1"/>
  <c r="CR39" i="1" s="1"/>
  <c r="CV39" i="1" s="1"/>
  <c r="CZ39" i="1" s="1"/>
  <c r="CK222" i="1"/>
  <c r="CK217" i="1"/>
  <c r="CL217" i="1" s="1"/>
  <c r="CL218" i="1" s="1"/>
  <c r="CL222" i="1" s="1"/>
  <c r="CP39" i="1"/>
  <c r="CT39" i="1" s="1"/>
  <c r="CX39" i="1" s="1"/>
  <c r="CL35" i="1"/>
  <c r="CI34" i="1"/>
  <c r="CM34" i="1" s="1"/>
  <c r="CQ34" i="1" s="1"/>
  <c r="CU34" i="1" s="1"/>
  <c r="CY34" i="1" s="1"/>
  <c r="CH34" i="1"/>
  <c r="CL34" i="1" s="1"/>
  <c r="BZ34" i="1"/>
  <c r="CI128" i="1"/>
  <c r="CI135" i="1"/>
  <c r="AC82" i="1"/>
  <c r="Z193" i="1"/>
  <c r="CU82" i="1"/>
  <c r="CV82" i="1" s="1"/>
  <c r="CW82" i="1" s="1"/>
  <c r="CX82" i="1" s="1"/>
  <c r="CT199" i="1"/>
  <c r="CU199" i="1" s="1"/>
  <c r="CV199" i="1" s="1"/>
  <c r="CW199" i="1" s="1"/>
  <c r="AC199" i="1"/>
  <c r="CT173" i="1"/>
  <c r="CU173" i="1" s="1"/>
  <c r="CV173" i="1" s="1"/>
  <c r="CW173" i="1" s="1"/>
  <c r="AC173" i="1"/>
  <c r="CI222" i="1"/>
  <c r="CI217" i="1"/>
  <c r="CJ217" i="1" s="1"/>
  <c r="CH170" i="1"/>
  <c r="CG174" i="1"/>
  <c r="CH69" i="1"/>
  <c r="CT163" i="1"/>
  <c r="CU163" i="1" s="1"/>
  <c r="CV163" i="1" s="1"/>
  <c r="CW163" i="1" s="1"/>
  <c r="AC163" i="1"/>
  <c r="BZ64" i="1"/>
  <c r="BZ53" i="1"/>
  <c r="CG221" i="1"/>
  <c r="CG220" i="1" s="1"/>
  <c r="CH220" i="1" s="1"/>
  <c r="CH221" i="1" s="1"/>
  <c r="CT171" i="1"/>
  <c r="CU171" i="1" s="1"/>
  <c r="CV171" i="1" s="1"/>
  <c r="CW171" i="1" s="1"/>
  <c r="AC171" i="1"/>
  <c r="AC81" i="1"/>
  <c r="AC200" i="1"/>
  <c r="CT200" i="1"/>
  <c r="CU200" i="1" s="1"/>
  <c r="CV200" i="1" s="1"/>
  <c r="CW200" i="1" s="1"/>
  <c r="AB113" i="1"/>
  <c r="CP113" i="1"/>
  <c r="CQ113" i="1" s="1"/>
  <c r="CR113" i="1" s="1"/>
  <c r="CS113" i="1" s="1"/>
  <c r="CT59" i="1"/>
  <c r="AC59" i="1"/>
  <c r="CU81" i="1"/>
  <c r="CV81" i="1" s="1"/>
  <c r="CW81" i="1" s="1"/>
  <c r="CX81" i="1" s="1"/>
  <c r="CG99" i="1"/>
  <c r="CH101" i="1"/>
  <c r="Z233" i="1"/>
  <c r="AC162" i="1"/>
  <c r="CT162" i="1"/>
  <c r="CU162" i="1" s="1"/>
  <c r="CV162" i="1" s="1"/>
  <c r="CW162" i="1" s="1"/>
  <c r="CT158" i="1"/>
  <c r="CU158" i="1" s="1"/>
  <c r="CV158" i="1" s="1"/>
  <c r="CW158" i="1" s="1"/>
  <c r="AC158" i="1"/>
  <c r="CT169" i="1"/>
  <c r="CU169" i="1" s="1"/>
  <c r="CV169" i="1" s="1"/>
  <c r="CW169" i="1" s="1"/>
  <c r="AC169" i="1"/>
  <c r="CT161" i="1"/>
  <c r="CU161" i="1" s="1"/>
  <c r="CV161" i="1" s="1"/>
  <c r="CW161" i="1" s="1"/>
  <c r="AC161" i="1"/>
  <c r="CP153" i="1"/>
  <c r="CQ153" i="1" s="1"/>
  <c r="CR153" i="1" s="1"/>
  <c r="CS153" i="1" s="1"/>
  <c r="AB153" i="1"/>
  <c r="CT154" i="1"/>
  <c r="CU154" i="1" s="1"/>
  <c r="CV154" i="1" s="1"/>
  <c r="CW154" i="1" s="1"/>
  <c r="AC154" i="1"/>
  <c r="CJ242" i="1"/>
  <c r="CJ285" i="1"/>
  <c r="CM99" i="1"/>
  <c r="Z174" i="1"/>
  <c r="AA239" i="1" s="1"/>
  <c r="AA237" i="1" s="1"/>
  <c r="Z69" i="1"/>
  <c r="BZ1" i="1"/>
  <c r="CB164" i="1" l="1"/>
  <c r="CA220" i="1"/>
  <c r="CB220" i="1" s="1"/>
  <c r="CB221" i="1" s="1"/>
  <c r="AK165" i="1"/>
  <c r="CD69" i="1"/>
  <c r="CD170" i="1"/>
  <c r="CC174" i="1"/>
  <c r="CF285" i="1"/>
  <c r="CB181" i="1"/>
  <c r="CE193" i="1"/>
  <c r="CE201" i="1" s="1"/>
  <c r="AJ69" i="1"/>
  <c r="AJ170" i="1"/>
  <c r="AI174" i="1"/>
  <c r="L54" i="1"/>
  <c r="X201" i="1"/>
  <c r="CB189" i="1"/>
  <c r="CB192" i="1" s="1"/>
  <c r="CA285" i="1"/>
  <c r="CA242" i="1"/>
  <c r="CG193" i="1"/>
  <c r="CG218" i="1"/>
  <c r="AM204" i="1"/>
  <c r="AM242" i="1"/>
  <c r="AM285" i="1"/>
  <c r="AM217" i="1"/>
  <c r="AN217" i="1" s="1"/>
  <c r="AN218" i="1" s="1"/>
  <c r="CA193" i="1"/>
  <c r="BZ242" i="1"/>
  <c r="BZ285" i="1"/>
  <c r="AA95" i="1"/>
  <c r="CF174" i="1"/>
  <c r="CF239" i="1" s="1"/>
  <c r="CF237" i="1" s="1"/>
  <c r="CG69" i="1"/>
  <c r="AL181" i="1"/>
  <c r="CB180" i="1"/>
  <c r="CB184" i="1" s="1"/>
  <c r="CJ139" i="1"/>
  <c r="CK139" i="1" s="1"/>
  <c r="CI144" i="1"/>
  <c r="AA249" i="1"/>
  <c r="AA246" i="1"/>
  <c r="AA247" i="1" s="1"/>
  <c r="CB242" i="1"/>
  <c r="CA204" i="1"/>
  <c r="BY165" i="1"/>
  <c r="CC193" i="1"/>
  <c r="CC201" i="1" s="1"/>
  <c r="BY204" i="1"/>
  <c r="CA218" i="1"/>
  <c r="BY220" i="1"/>
  <c r="BZ220" i="1" s="1"/>
  <c r="BZ221" i="1" s="1"/>
  <c r="CE165" i="1"/>
  <c r="BY193" i="1"/>
  <c r="CJ34" i="1"/>
  <c r="CN34" i="1" s="1"/>
  <c r="CR34" i="1" s="1"/>
  <c r="CV34" i="1" s="1"/>
  <c r="CZ34" i="1" s="1"/>
  <c r="CK38" i="1"/>
  <c r="AM193" i="1"/>
  <c r="AM201" i="1" s="1"/>
  <c r="AM202" i="1" s="1"/>
  <c r="AK193" i="1"/>
  <c r="AL184" i="1"/>
  <c r="CD174" i="1"/>
  <c r="CE69" i="1"/>
  <c r="AM222" i="1"/>
  <c r="AN222" i="1"/>
  <c r="CC217" i="1"/>
  <c r="CD217" i="1" s="1"/>
  <c r="CD218" i="1" s="1"/>
  <c r="CC222" i="1"/>
  <c r="BY217" i="1"/>
  <c r="BZ217" i="1" s="1"/>
  <c r="BZ218" i="1" s="1"/>
  <c r="BY222" i="1"/>
  <c r="CG64" i="1"/>
  <c r="CK66" i="1" s="1"/>
  <c r="CG53" i="1"/>
  <c r="BZ184" i="1"/>
  <c r="BZ193" i="1" s="1"/>
  <c r="CC285" i="1"/>
  <c r="Y202" i="1"/>
  <c r="CH54" i="1"/>
  <c r="CB285" i="1"/>
  <c r="CA165" i="1"/>
  <c r="CF34" i="1"/>
  <c r="CD34" i="1"/>
  <c r="CD38" i="1" s="1"/>
  <c r="BL64" i="1"/>
  <c r="BL268" i="1" s="1"/>
  <c r="BL269" i="1" s="1"/>
  <c r="CC69" i="1"/>
  <c r="CJ221" i="1"/>
  <c r="CH238" i="1"/>
  <c r="CG54" i="1"/>
  <c r="CC53" i="1"/>
  <c r="CC64" i="1"/>
  <c r="V54" i="1"/>
  <c r="U53" i="1"/>
  <c r="R64" i="1"/>
  <c r="AL53" i="1"/>
  <c r="CF53" i="1"/>
  <c r="CF64" i="1"/>
  <c r="CG55" i="1"/>
  <c r="H64" i="1"/>
  <c r="C64" i="1"/>
  <c r="F53" i="1"/>
  <c r="D53" i="1"/>
  <c r="D64" i="1"/>
  <c r="E54" i="1"/>
  <c r="V53" i="1"/>
  <c r="V64" i="1"/>
  <c r="E53" i="1"/>
  <c r="CC242" i="1"/>
  <c r="S54" i="1"/>
  <c r="C54" i="1"/>
  <c r="BL53" i="1"/>
  <c r="CD184" i="1"/>
  <c r="CB174" i="1"/>
  <c r="CD55" i="1"/>
  <c r="X217" i="1"/>
  <c r="U64" i="1"/>
  <c r="R53" i="1"/>
  <c r="AL64" i="1"/>
  <c r="H53" i="1"/>
  <c r="CD64" i="1"/>
  <c r="CD53" i="1"/>
  <c r="M53" i="1"/>
  <c r="M64" i="1"/>
  <c r="D54" i="1"/>
  <c r="C53" i="1"/>
  <c r="F64" i="1"/>
  <c r="W54" i="1"/>
  <c r="E64" i="1"/>
  <c r="F54" i="1"/>
  <c r="BY174" i="1"/>
  <c r="JF16" i="4"/>
  <c r="JF21" i="4" s="1"/>
  <c r="BZ113" i="1" s="1"/>
  <c r="BZ69" i="1"/>
  <c r="BZ170" i="1"/>
  <c r="CJ184" i="1"/>
  <c r="CJ193" i="1" s="1"/>
  <c r="Z220" i="1"/>
  <c r="AK204" i="1"/>
  <c r="CI143" i="1"/>
  <c r="AM55" i="1"/>
  <c r="Z222" i="1"/>
  <c r="AA225" i="1" s="1"/>
  <c r="AA226" i="1" s="1"/>
  <c r="Z217" i="1"/>
  <c r="CJ140" i="1"/>
  <c r="CK140" i="1" s="1"/>
  <c r="O54" i="1"/>
  <c r="X202" i="1"/>
  <c r="Y234" i="1"/>
  <c r="Y54" i="1"/>
  <c r="CJ167" i="1"/>
  <c r="CK168" i="1"/>
  <c r="CC34" i="1"/>
  <c r="BX34" i="1"/>
  <c r="CA201" i="1"/>
  <c r="AJ53" i="1"/>
  <c r="AJ64" i="1"/>
  <c r="AK55" i="1"/>
  <c r="CA55" i="1"/>
  <c r="CD54" i="1"/>
  <c r="N53" i="1"/>
  <c r="N64" i="1"/>
  <c r="K53" i="1"/>
  <c r="K64" i="1"/>
  <c r="X54" i="1"/>
  <c r="W53" i="1"/>
  <c r="W64" i="1"/>
  <c r="AK217" i="1"/>
  <c r="AL217" i="1" s="1"/>
  <c r="AL218" i="1" s="1"/>
  <c r="AL222" i="1" s="1"/>
  <c r="AK222" i="1"/>
  <c r="CG204" i="1"/>
  <c r="CG165" i="1"/>
  <c r="CG242" i="1"/>
  <c r="CG285" i="1"/>
  <c r="X53" i="1"/>
  <c r="X64" i="1"/>
  <c r="N54" i="1"/>
  <c r="CE55" i="1"/>
  <c r="CI202" i="1"/>
  <c r="AI201" i="1"/>
  <c r="AI202" i="1" s="1"/>
  <c r="Y239" i="1"/>
  <c r="Y237" i="1" s="1"/>
  <c r="CK55" i="1"/>
  <c r="CJ64" i="1"/>
  <c r="CK67" i="1" s="1"/>
  <c r="CJ54" i="1"/>
  <c r="CJ53" i="1"/>
  <c r="BY39" i="1"/>
  <c r="BY34" i="1"/>
  <c r="CB39" i="1"/>
  <c r="CB34" i="1"/>
  <c r="CE39" i="1"/>
  <c r="CE34" i="1"/>
  <c r="Y39" i="1"/>
  <c r="Y34" i="1"/>
  <c r="Z39" i="1"/>
  <c r="Z34" i="1"/>
  <c r="J53" i="1"/>
  <c r="J64" i="1"/>
  <c r="K54" i="1"/>
  <c r="BY55" i="1"/>
  <c r="BZ55" i="1"/>
  <c r="BY53" i="1"/>
  <c r="BY64" i="1"/>
  <c r="CC54" i="1"/>
  <c r="X220" i="1"/>
  <c r="X222" i="1"/>
  <c r="CB54" i="1"/>
  <c r="CB53" i="1"/>
  <c r="CF54" i="1"/>
  <c r="CC55" i="1"/>
  <c r="CB64" i="1"/>
  <c r="AL174" i="1"/>
  <c r="AM69" i="1"/>
  <c r="P64" i="1"/>
  <c r="P53" i="1"/>
  <c r="G54" i="1"/>
  <c r="H54" i="1"/>
  <c r="G53" i="1"/>
  <c r="G64" i="1"/>
  <c r="J54" i="1"/>
  <c r="I54" i="1"/>
  <c r="I53" i="1"/>
  <c r="I64" i="1"/>
  <c r="X282" i="1"/>
  <c r="X280" i="1"/>
  <c r="T64" i="1"/>
  <c r="T53" i="1"/>
  <c r="U54" i="1"/>
  <c r="Y280" i="1"/>
  <c r="Y282" i="1"/>
  <c r="Y217" i="1"/>
  <c r="Y222" i="1"/>
  <c r="CA39" i="1"/>
  <c r="CA34" i="1"/>
  <c r="CA64" i="1"/>
  <c r="CB55" i="1"/>
  <c r="CA53" i="1"/>
  <c r="CE54" i="1"/>
  <c r="CH285" i="1"/>
  <c r="CH242" i="1"/>
  <c r="CI242" i="1"/>
  <c r="CI285" i="1"/>
  <c r="CL155" i="1"/>
  <c r="CL156" i="1" s="1"/>
  <c r="CL229" i="1"/>
  <c r="CL231" i="1" s="1"/>
  <c r="CL235" i="1" s="1"/>
  <c r="CL249" i="1" s="1"/>
  <c r="CL102" i="1"/>
  <c r="CL88" i="1"/>
  <c r="BX64" i="1"/>
  <c r="BX53" i="1"/>
  <c r="AM53" i="1"/>
  <c r="AM64" i="1"/>
  <c r="Z234" i="1"/>
  <c r="AK69" i="1"/>
  <c r="AJ174" i="1"/>
  <c r="O53" i="1"/>
  <c r="P54" i="1"/>
  <c r="O64" i="1"/>
  <c r="AL55" i="1"/>
  <c r="AK64" i="1"/>
  <c r="AK53" i="1"/>
  <c r="L53" i="1"/>
  <c r="M54" i="1"/>
  <c r="L64" i="1"/>
  <c r="CE53" i="1"/>
  <c r="CI54" i="1"/>
  <c r="CF55" i="1"/>
  <c r="CE64" i="1"/>
  <c r="Y64" i="1"/>
  <c r="Z54" i="1"/>
  <c r="Y53" i="1"/>
  <c r="Y95" i="1"/>
  <c r="Z53" i="1"/>
  <c r="Z95" i="1"/>
  <c r="Z64" i="1"/>
  <c r="CL54" i="1"/>
  <c r="CH53" i="1"/>
  <c r="CI55" i="1"/>
  <c r="CH64" i="1"/>
  <c r="CH55" i="1"/>
  <c r="B70" i="1"/>
  <c r="B74" i="1" s="1"/>
  <c r="B65" i="1"/>
  <c r="B148" i="1"/>
  <c r="B268" i="1"/>
  <c r="B269" i="1" s="1"/>
  <c r="CJ55" i="1"/>
  <c r="CI64" i="1"/>
  <c r="CI53" i="1"/>
  <c r="S64" i="1"/>
  <c r="S53" i="1"/>
  <c r="Q54" i="1"/>
  <c r="Q64" i="1"/>
  <c r="T54" i="1"/>
  <c r="R54" i="1"/>
  <c r="CK84" i="1"/>
  <c r="CK78" i="1"/>
  <c r="CP34" i="1"/>
  <c r="CT34" i="1" s="1"/>
  <c r="CX34" i="1" s="1"/>
  <c r="CL36" i="1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CM139" i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CI130" i="1"/>
  <c r="CI131" i="1"/>
  <c r="CI132" i="1"/>
  <c r="CI138" i="1"/>
  <c r="CI140" i="1"/>
  <c r="CI139" i="1"/>
  <c r="CH193" i="1"/>
  <c r="CG201" i="1"/>
  <c r="CH234" i="1"/>
  <c r="CM219" i="1"/>
  <c r="Z280" i="1"/>
  <c r="Z239" i="1"/>
  <c r="Z237" i="1" s="1"/>
  <c r="Z282" i="1"/>
  <c r="CX158" i="1"/>
  <c r="CY158" i="1" s="1"/>
  <c r="CZ158" i="1" s="1"/>
  <c r="DA158" i="1" s="1"/>
  <c r="AE158" i="1" s="1"/>
  <c r="AD158" i="1"/>
  <c r="CH143" i="1"/>
  <c r="CH135" i="1"/>
  <c r="CY81" i="1"/>
  <c r="CZ81" i="1" s="1"/>
  <c r="DA81" i="1" s="1"/>
  <c r="CK285" i="1"/>
  <c r="CK242" i="1"/>
  <c r="AD59" i="1"/>
  <c r="CX59" i="1"/>
  <c r="AE59" i="1" s="1"/>
  <c r="AD171" i="1"/>
  <c r="CX171" i="1"/>
  <c r="CY171" i="1" s="1"/>
  <c r="CZ171" i="1" s="1"/>
  <c r="DA171" i="1" s="1"/>
  <c r="AE171" i="1" s="1"/>
  <c r="CY82" i="1"/>
  <c r="CZ82" i="1" s="1"/>
  <c r="DA82" i="1" s="1"/>
  <c r="AD154" i="1"/>
  <c r="CX154" i="1"/>
  <c r="CY154" i="1" s="1"/>
  <c r="CZ154" i="1" s="1"/>
  <c r="DA154" i="1" s="1"/>
  <c r="AE154" i="1" s="1"/>
  <c r="CT153" i="1"/>
  <c r="CU153" i="1" s="1"/>
  <c r="CV153" i="1" s="1"/>
  <c r="CW153" i="1" s="1"/>
  <c r="AC153" i="1"/>
  <c r="CX161" i="1"/>
  <c r="CY161" i="1" s="1"/>
  <c r="CZ161" i="1" s="1"/>
  <c r="DA161" i="1" s="1"/>
  <c r="AE161" i="1" s="1"/>
  <c r="AD161" i="1"/>
  <c r="CG222" i="1"/>
  <c r="CG217" i="1"/>
  <c r="CH217" i="1" s="1"/>
  <c r="CH218" i="1" s="1"/>
  <c r="CH222" i="1" s="1"/>
  <c r="CX162" i="1"/>
  <c r="CY162" i="1" s="1"/>
  <c r="CZ162" i="1" s="1"/>
  <c r="DA162" i="1" s="1"/>
  <c r="AE162" i="1" s="1"/>
  <c r="AD162" i="1"/>
  <c r="CG101" i="1"/>
  <c r="CF99" i="1"/>
  <c r="AC113" i="1"/>
  <c r="CT113" i="1"/>
  <c r="CU113" i="1" s="1"/>
  <c r="CV113" i="1" s="1"/>
  <c r="CW113" i="1" s="1"/>
  <c r="AD200" i="1"/>
  <c r="CX200" i="1"/>
  <c r="CY200" i="1" s="1"/>
  <c r="CZ200" i="1" s="1"/>
  <c r="DA200" i="1" s="1"/>
  <c r="AE200" i="1" s="1"/>
  <c r="BZ70" i="1"/>
  <c r="BZ65" i="1"/>
  <c r="BZ268" i="1"/>
  <c r="BZ269" i="1" s="1"/>
  <c r="CX163" i="1"/>
  <c r="CY163" i="1" s="1"/>
  <c r="CZ163" i="1" s="1"/>
  <c r="DA163" i="1" s="1"/>
  <c r="AE163" i="1" s="1"/>
  <c r="AD163" i="1"/>
  <c r="CX173" i="1"/>
  <c r="CY173" i="1" s="1"/>
  <c r="CZ173" i="1" s="1"/>
  <c r="DA173" i="1" s="1"/>
  <c r="AE173" i="1" s="1"/>
  <c r="AD173" i="1"/>
  <c r="AD169" i="1"/>
  <c r="CX169" i="1"/>
  <c r="CY169" i="1" s="1"/>
  <c r="CZ169" i="1" s="1"/>
  <c r="DA169" i="1" s="1"/>
  <c r="AE169" i="1" s="1"/>
  <c r="CM160" i="1"/>
  <c r="CM176" i="1"/>
  <c r="CM238" i="1" s="1"/>
  <c r="CG282" i="1"/>
  <c r="CG280" i="1"/>
  <c r="CJ218" i="1"/>
  <c r="CX199" i="1"/>
  <c r="CY199" i="1" s="1"/>
  <c r="CZ199" i="1" s="1"/>
  <c r="DA199" i="1" s="1"/>
  <c r="AE199" i="1" s="1"/>
  <c r="AD199" i="1"/>
  <c r="Z201" i="1"/>
  <c r="Z202" i="1" s="1"/>
  <c r="CN99" i="1"/>
  <c r="CM101" i="1"/>
  <c r="AD81" i="1"/>
  <c r="CH144" i="1"/>
  <c r="CM215" i="1"/>
  <c r="CH174" i="1"/>
  <c r="CI239" i="1" s="1"/>
  <c r="CI237" i="1" s="1"/>
  <c r="CI69" i="1"/>
  <c r="AD82" i="1"/>
  <c r="CA1" i="1"/>
  <c r="CB1" i="1" s="1"/>
  <c r="AL193" i="1" l="1"/>
  <c r="CE65" i="1"/>
  <c r="CE70" i="1"/>
  <c r="CE74" i="1" s="1"/>
  <c r="CE21" i="1" s="1"/>
  <c r="CE268" i="1"/>
  <c r="CE269" i="1" s="1"/>
  <c r="CB193" i="1"/>
  <c r="AA96" i="1"/>
  <c r="CA67" i="1"/>
  <c r="CG239" i="1"/>
  <c r="CG237" i="1" s="1"/>
  <c r="CA65" i="1"/>
  <c r="CA70" i="1"/>
  <c r="CA74" i="1" s="1"/>
  <c r="CA21" i="1" s="1"/>
  <c r="CA268" i="1"/>
  <c r="CA269" i="1" s="1"/>
  <c r="CA286" i="1"/>
  <c r="CA287" i="1" s="1"/>
  <c r="CA222" i="1"/>
  <c r="CA217" i="1"/>
  <c r="CB217" i="1" s="1"/>
  <c r="CB218" i="1" s="1"/>
  <c r="CB222" i="1" s="1"/>
  <c r="CH73" i="1"/>
  <c r="CG145" i="1"/>
  <c r="AA286" i="1"/>
  <c r="AA287" i="1" s="1"/>
  <c r="AA66" i="1"/>
  <c r="BY201" i="1"/>
  <c r="CD193" i="1"/>
  <c r="BL65" i="1"/>
  <c r="BL70" i="1"/>
  <c r="BL74" i="1" s="1"/>
  <c r="BL21" i="1" s="1"/>
  <c r="CD222" i="1"/>
  <c r="CE202" i="1"/>
  <c r="CC202" i="1"/>
  <c r="C66" i="1"/>
  <c r="AK201" i="1"/>
  <c r="AK202" i="1" s="1"/>
  <c r="BZ222" i="1"/>
  <c r="AM67" i="1"/>
  <c r="BY202" i="1"/>
  <c r="CJ38" i="1"/>
  <c r="CH38" i="1"/>
  <c r="CE239" i="1"/>
  <c r="CE237" i="1" s="1"/>
  <c r="CD239" i="1"/>
  <c r="CD237" i="1" s="1"/>
  <c r="CC239" i="1"/>
  <c r="CC237" i="1" s="1"/>
  <c r="CB239" i="1"/>
  <c r="CB237" i="1" s="1"/>
  <c r="Z225" i="1"/>
  <c r="Z226" i="1" s="1"/>
  <c r="V65" i="1"/>
  <c r="W66" i="1"/>
  <c r="V148" i="1"/>
  <c r="V70" i="1"/>
  <c r="V74" i="1" s="1"/>
  <c r="V21" i="1" s="1"/>
  <c r="V268" i="1"/>
  <c r="V269" i="1" s="1"/>
  <c r="V286" i="1"/>
  <c r="Y65" i="1"/>
  <c r="Y70" i="1"/>
  <c r="Z66" i="1"/>
  <c r="Y268" i="1"/>
  <c r="Y269" i="1" s="1"/>
  <c r="Y286" i="1"/>
  <c r="Y287" i="1" s="1"/>
  <c r="X65" i="1"/>
  <c r="X148" i="1"/>
  <c r="Y66" i="1"/>
  <c r="AJ268" i="1"/>
  <c r="AJ269" i="1" s="1"/>
  <c r="AJ65" i="1"/>
  <c r="AJ70" i="1"/>
  <c r="AJ74" i="1" s="1"/>
  <c r="D286" i="1"/>
  <c r="D268" i="1"/>
  <c r="D269" i="1" s="1"/>
  <c r="D65" i="1"/>
  <c r="D148" i="1"/>
  <c r="D70" i="1"/>
  <c r="D74" i="1" s="1"/>
  <c r="E66" i="1"/>
  <c r="CE286" i="1"/>
  <c r="CE287" i="1" s="1"/>
  <c r="CF67" i="1"/>
  <c r="CH148" i="1"/>
  <c r="CH262" i="1"/>
  <c r="CE262" i="1"/>
  <c r="CB65" i="1"/>
  <c r="CB286" i="1"/>
  <c r="CB287" i="1" s="1"/>
  <c r="CF66" i="1"/>
  <c r="CD268" i="1"/>
  <c r="CD269" i="1" s="1"/>
  <c r="CD65" i="1"/>
  <c r="CD286" i="1"/>
  <c r="CD287" i="1" s="1"/>
  <c r="CD70" i="1"/>
  <c r="CD74" i="1" s="1"/>
  <c r="CD21" i="1" s="1"/>
  <c r="CG67" i="1"/>
  <c r="CF268" i="1"/>
  <c r="CF269" i="1" s="1"/>
  <c r="CF70" i="1"/>
  <c r="CF65" i="1"/>
  <c r="CD66" i="1"/>
  <c r="CG70" i="1"/>
  <c r="CG74" i="1" s="1"/>
  <c r="CG21" i="1" s="1"/>
  <c r="CG65" i="1"/>
  <c r="CG286" i="1"/>
  <c r="CG268" i="1"/>
  <c r="CG269" i="1" s="1"/>
  <c r="F286" i="1"/>
  <c r="F268" i="1"/>
  <c r="F269" i="1" s="1"/>
  <c r="F148" i="1"/>
  <c r="F70" i="1"/>
  <c r="F74" i="1" s="1"/>
  <c r="F65" i="1"/>
  <c r="W65" i="1"/>
  <c r="W286" i="1"/>
  <c r="W148" i="1"/>
  <c r="X66" i="1"/>
  <c r="W70" i="1"/>
  <c r="W74" i="1" s="1"/>
  <c r="W21" i="1" s="1"/>
  <c r="W268" i="1"/>
  <c r="W269" i="1" s="1"/>
  <c r="K148" i="1"/>
  <c r="K70" i="1"/>
  <c r="K74" i="1" s="1"/>
  <c r="K268" i="1"/>
  <c r="K269" i="1" s="1"/>
  <c r="K65" i="1"/>
  <c r="BL77" i="1"/>
  <c r="BL270" i="1" s="1"/>
  <c r="BL76" i="1"/>
  <c r="CJ222" i="1"/>
  <c r="R70" i="1"/>
  <c r="R74" i="1" s="1"/>
  <c r="R268" i="1"/>
  <c r="R269" i="1" s="1"/>
  <c r="R148" i="1"/>
  <c r="R65" i="1"/>
  <c r="V66" i="1"/>
  <c r="U70" i="1"/>
  <c r="U74" i="1" s="1"/>
  <c r="U21" i="1" s="1"/>
  <c r="U65" i="1"/>
  <c r="U268" i="1"/>
  <c r="U269" i="1" s="1"/>
  <c r="U148" i="1"/>
  <c r="CC70" i="1"/>
  <c r="CC74" i="1" s="1"/>
  <c r="CC21" i="1" s="1"/>
  <c r="CD67" i="1"/>
  <c r="CC268" i="1"/>
  <c r="CC269" i="1" s="1"/>
  <c r="CC65" i="1"/>
  <c r="CG66" i="1"/>
  <c r="E65" i="1"/>
  <c r="F66" i="1"/>
  <c r="E268" i="1"/>
  <c r="E269" i="1" s="1"/>
  <c r="E148" i="1"/>
  <c r="E70" i="1"/>
  <c r="E74" i="1" s="1"/>
  <c r="C65" i="1"/>
  <c r="D66" i="1"/>
  <c r="C286" i="1"/>
  <c r="C70" i="1"/>
  <c r="C74" i="1" s="1"/>
  <c r="C148" i="1"/>
  <c r="C268" i="1"/>
  <c r="C269" i="1" s="1"/>
  <c r="M148" i="1"/>
  <c r="M65" i="1"/>
  <c r="N66" i="1"/>
  <c r="M268" i="1"/>
  <c r="M269" i="1" s="1"/>
  <c r="M70" i="1"/>
  <c r="M74" i="1" s="1"/>
  <c r="H70" i="1"/>
  <c r="H74" i="1" s="1"/>
  <c r="H268" i="1"/>
  <c r="H269" i="1" s="1"/>
  <c r="H148" i="1"/>
  <c r="H65" i="1"/>
  <c r="N70" i="1"/>
  <c r="N74" i="1" s="1"/>
  <c r="N286" i="1"/>
  <c r="N148" i="1"/>
  <c r="N65" i="1"/>
  <c r="N268" i="1"/>
  <c r="N269" i="1" s="1"/>
  <c r="AL65" i="1"/>
  <c r="AL268" i="1"/>
  <c r="AL269" i="1" s="1"/>
  <c r="AL70" i="1"/>
  <c r="AL74" i="1" s="1"/>
  <c r="B77" i="1"/>
  <c r="B76" i="1"/>
  <c r="CA202" i="1"/>
  <c r="CA69" i="1"/>
  <c r="BZ174" i="1"/>
  <c r="CD225" i="1"/>
  <c r="CK167" i="1"/>
  <c r="CL168" i="1"/>
  <c r="CL167" i="1" s="1"/>
  <c r="Z38" i="1"/>
  <c r="CG38" i="1"/>
  <c r="CG202" i="1"/>
  <c r="Y148" i="1"/>
  <c r="CJ268" i="1"/>
  <c r="CJ269" i="1" s="1"/>
  <c r="CJ65" i="1"/>
  <c r="CJ286" i="1"/>
  <c r="CJ287" i="1" s="1"/>
  <c r="CJ70" i="1"/>
  <c r="CJ74" i="1" s="1"/>
  <c r="CJ21" i="1" s="1"/>
  <c r="CB268" i="1"/>
  <c r="CB269" i="1" s="1"/>
  <c r="CE67" i="1"/>
  <c r="CG262" i="1"/>
  <c r="CG148" i="1"/>
  <c r="CH66" i="1"/>
  <c r="CG287" i="1"/>
  <c r="CF262" i="1"/>
  <c r="CE38" i="1"/>
  <c r="CF38" i="1"/>
  <c r="CB38" i="1"/>
  <c r="CI38" i="1"/>
  <c r="CC38" i="1"/>
  <c r="Y225" i="1"/>
  <c r="Y226" i="1" s="1"/>
  <c r="Y96" i="1"/>
  <c r="X70" i="1"/>
  <c r="X268" i="1"/>
  <c r="X269" i="1" s="1"/>
  <c r="X286" i="1"/>
  <c r="Z286" i="1"/>
  <c r="Z287" i="1" s="1"/>
  <c r="Z70" i="1"/>
  <c r="Z96" i="1"/>
  <c r="Z268" i="1"/>
  <c r="Z269" i="1" s="1"/>
  <c r="Z148" i="1"/>
  <c r="Z65" i="1"/>
  <c r="CI66" i="1"/>
  <c r="CB70" i="1"/>
  <c r="CE148" i="1"/>
  <c r="CC67" i="1"/>
  <c r="CF286" i="1"/>
  <c r="CF287" i="1" s="1"/>
  <c r="CJ66" i="1"/>
  <c r="CC262" i="1"/>
  <c r="BZ286" i="1"/>
  <c r="BZ287" i="1" s="1"/>
  <c r="CC148" i="1"/>
  <c r="BZ67" i="1"/>
  <c r="BY65" i="1"/>
  <c r="BY268" i="1"/>
  <c r="BY269" i="1" s="1"/>
  <c r="BY70" i="1"/>
  <c r="CB148" i="1"/>
  <c r="CC66" i="1"/>
  <c r="CJ148" i="1"/>
  <c r="CJ262" i="1"/>
  <c r="CH67" i="1"/>
  <c r="CH65" i="1"/>
  <c r="CB67" i="1"/>
  <c r="CE66" i="1"/>
  <c r="CD262" i="1"/>
  <c r="CD148" i="1"/>
  <c r="CF148" i="1"/>
  <c r="CC286" i="1"/>
  <c r="CC287" i="1" s="1"/>
  <c r="J148" i="1"/>
  <c r="K66" i="1"/>
  <c r="J70" i="1"/>
  <c r="J74" i="1" s="1"/>
  <c r="J286" i="1"/>
  <c r="J65" i="1"/>
  <c r="J268" i="1"/>
  <c r="J269" i="1" s="1"/>
  <c r="K286" i="1"/>
  <c r="AM239" i="1"/>
  <c r="AM237" i="1" s="1"/>
  <c r="AL239" i="1"/>
  <c r="AL237" i="1" s="1"/>
  <c r="P65" i="1"/>
  <c r="P286" i="1"/>
  <c r="P268" i="1"/>
  <c r="P269" i="1" s="1"/>
  <c r="P70" i="1"/>
  <c r="P74" i="1" s="1"/>
  <c r="P148" i="1"/>
  <c r="Q66" i="1"/>
  <c r="G268" i="1"/>
  <c r="G269" i="1" s="1"/>
  <c r="G70" i="1"/>
  <c r="G74" i="1" s="1"/>
  <c r="G148" i="1"/>
  <c r="H286" i="1"/>
  <c r="G65" i="1"/>
  <c r="H66" i="1"/>
  <c r="G66" i="1"/>
  <c r="G286" i="1"/>
  <c r="I70" i="1"/>
  <c r="I74" i="1" s="1"/>
  <c r="I268" i="1"/>
  <c r="I269" i="1" s="1"/>
  <c r="I286" i="1"/>
  <c r="I148" i="1"/>
  <c r="I65" i="1"/>
  <c r="I66" i="1"/>
  <c r="J66" i="1"/>
  <c r="T268" i="1"/>
  <c r="T269" i="1" s="1"/>
  <c r="U66" i="1"/>
  <c r="T70" i="1"/>
  <c r="T74" i="1" s="1"/>
  <c r="T65" i="1"/>
  <c r="T286" i="1"/>
  <c r="U286" i="1"/>
  <c r="T148" i="1"/>
  <c r="CA148" i="1"/>
  <c r="CB66" i="1"/>
  <c r="BY286" i="1"/>
  <c r="AK239" i="1"/>
  <c r="AK237" i="1" s="1"/>
  <c r="AJ239" i="1"/>
  <c r="AJ237" i="1" s="1"/>
  <c r="O268" i="1"/>
  <c r="O269" i="1" s="1"/>
  <c r="O148" i="1"/>
  <c r="O286" i="1"/>
  <c r="O70" i="1"/>
  <c r="O74" i="1" s="1"/>
  <c r="O65" i="1"/>
  <c r="O66" i="1"/>
  <c r="P66" i="1"/>
  <c r="AK65" i="1"/>
  <c r="AL67" i="1"/>
  <c r="AM262" i="1"/>
  <c r="AK70" i="1"/>
  <c r="AK74" i="1" s="1"/>
  <c r="AK268" i="1"/>
  <c r="AK269" i="1" s="1"/>
  <c r="AL286" i="1"/>
  <c r="AL287" i="1" s="1"/>
  <c r="AM148" i="1"/>
  <c r="AK67" i="1"/>
  <c r="M286" i="1"/>
  <c r="L66" i="1"/>
  <c r="L268" i="1"/>
  <c r="L269" i="1" s="1"/>
  <c r="M66" i="1"/>
  <c r="L65" i="1"/>
  <c r="L148" i="1"/>
  <c r="L70" i="1"/>
  <c r="L74" i="1" s="1"/>
  <c r="L286" i="1"/>
  <c r="S66" i="1"/>
  <c r="T66" i="1"/>
  <c r="S286" i="1"/>
  <c r="CL165" i="1"/>
  <c r="CL128" i="1"/>
  <c r="BX65" i="1"/>
  <c r="BX268" i="1"/>
  <c r="BX269" i="1" s="1"/>
  <c r="BX70" i="1"/>
  <c r="BX74" i="1" s="1"/>
  <c r="BY67" i="1"/>
  <c r="AM70" i="1"/>
  <c r="AM74" i="1" s="1"/>
  <c r="AM286" i="1"/>
  <c r="AM287" i="1" s="1"/>
  <c r="AM65" i="1"/>
  <c r="AM268" i="1"/>
  <c r="AM269" i="1" s="1"/>
  <c r="CL148" i="1"/>
  <c r="CL262" i="1"/>
  <c r="CL66" i="1"/>
  <c r="CI262" i="1"/>
  <c r="CI67" i="1"/>
  <c r="CH70" i="1"/>
  <c r="CH74" i="1" s="1"/>
  <c r="CH21" i="1" s="1"/>
  <c r="CH268" i="1"/>
  <c r="CH269" i="1" s="1"/>
  <c r="CH286" i="1"/>
  <c r="CH287" i="1" s="1"/>
  <c r="CI148" i="1"/>
  <c r="CI286" i="1"/>
  <c r="CI287" i="1" s="1"/>
  <c r="CI268" i="1"/>
  <c r="CI269" i="1" s="1"/>
  <c r="CI65" i="1"/>
  <c r="CJ67" i="1"/>
  <c r="CI70" i="1"/>
  <c r="CI74" i="1" s="1"/>
  <c r="CI21" i="1" s="1"/>
  <c r="Q148" i="1"/>
  <c r="Q286" i="1"/>
  <c r="R66" i="1"/>
  <c r="CH225" i="1"/>
  <c r="CL225" i="1"/>
  <c r="Q70" i="1"/>
  <c r="Q74" i="1" s="1"/>
  <c r="Q268" i="1"/>
  <c r="Q269" i="1" s="1"/>
  <c r="R286" i="1"/>
  <c r="Q65" i="1"/>
  <c r="S65" i="1"/>
  <c r="S268" i="1"/>
  <c r="S269" i="1" s="1"/>
  <c r="S70" i="1"/>
  <c r="S74" i="1" s="1"/>
  <c r="S148" i="1"/>
  <c r="CL37" i="1"/>
  <c r="CM33" i="1"/>
  <c r="CK102" i="1"/>
  <c r="CK88" i="1"/>
  <c r="L76" i="1"/>
  <c r="L77" i="1"/>
  <c r="Q77" i="1"/>
  <c r="Q76" i="1"/>
  <c r="AD113" i="1"/>
  <c r="CX113" i="1"/>
  <c r="CY113" i="1" s="1"/>
  <c r="CM53" i="1"/>
  <c r="CN53" i="1" s="1"/>
  <c r="CM164" i="1"/>
  <c r="CN160" i="1"/>
  <c r="CH77" i="1"/>
  <c r="CL79" i="1" s="1"/>
  <c r="CH76" i="1"/>
  <c r="CD77" i="1"/>
  <c r="CD76" i="1"/>
  <c r="CF101" i="1"/>
  <c r="CE99" i="1"/>
  <c r="AE82" i="1"/>
  <c r="CH138" i="1"/>
  <c r="CH139" i="1"/>
  <c r="CH140" i="1"/>
  <c r="CN215" i="1"/>
  <c r="CO99" i="1"/>
  <c r="CN101" i="1"/>
  <c r="CA77" i="1"/>
  <c r="CA76" i="1"/>
  <c r="CN176" i="1"/>
  <c r="CO176" i="1" s="1"/>
  <c r="CI77" i="1"/>
  <c r="CI76" i="1"/>
  <c r="CG76" i="1"/>
  <c r="CG77" i="1"/>
  <c r="CK79" i="1" s="1"/>
  <c r="BZ74" i="1"/>
  <c r="BZ21" i="1" s="1"/>
  <c r="CF74" i="1"/>
  <c r="CF21" i="1" s="1"/>
  <c r="CI91" i="1"/>
  <c r="CG91" i="1"/>
  <c r="CG144" i="1"/>
  <c r="CG147" i="1" s="1"/>
  <c r="CG135" i="1"/>
  <c r="CG143" i="1"/>
  <c r="CG146" i="1" s="1"/>
  <c r="CG128" i="1"/>
  <c r="D76" i="1"/>
  <c r="D77" i="1"/>
  <c r="AJ77" i="1"/>
  <c r="AJ76" i="1"/>
  <c r="Y91" i="1"/>
  <c r="Y74" i="1"/>
  <c r="Y21" i="1" s="1"/>
  <c r="V77" i="1"/>
  <c r="V76" i="1"/>
  <c r="CC77" i="1"/>
  <c r="CC76" i="1"/>
  <c r="CH239" i="1"/>
  <c r="CH237" i="1" s="1"/>
  <c r="W76" i="1"/>
  <c r="W77" i="1"/>
  <c r="AE81" i="1"/>
  <c r="AL77" i="1"/>
  <c r="AL76" i="1"/>
  <c r="BL84" i="1"/>
  <c r="BL78" i="1"/>
  <c r="BL281" i="1" s="1"/>
  <c r="CE77" i="1"/>
  <c r="CE76" i="1"/>
  <c r="CX153" i="1"/>
  <c r="CY153" i="1" s="1"/>
  <c r="CZ153" i="1" s="1"/>
  <c r="DA153" i="1" s="1"/>
  <c r="AE153" i="1" s="1"/>
  <c r="AD153" i="1"/>
  <c r="CN219" i="1"/>
  <c r="CM221" i="1"/>
  <c r="B78" i="1"/>
  <c r="CC1" i="1"/>
  <c r="B270" i="1"/>
  <c r="B84" i="1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F110" i="2"/>
  <c r="K88" i="2"/>
  <c r="I97" i="2"/>
  <c r="K94" i="2"/>
  <c r="C53" i="2"/>
  <c r="L94" i="2"/>
  <c r="P113" i="2"/>
  <c r="G87" i="2"/>
  <c r="E93" i="2"/>
  <c r="K99" i="2"/>
  <c r="R77" i="2"/>
  <c r="I57" i="2"/>
  <c r="K76" i="2"/>
  <c r="U92" i="2"/>
  <c r="K84" i="2"/>
  <c r="D87" i="2"/>
  <c r="G71" i="2"/>
  <c r="H63" i="2"/>
  <c r="O81" i="2"/>
  <c r="F83" i="2"/>
  <c r="P108" i="2"/>
  <c r="K61" i="2"/>
  <c r="S54" i="2"/>
  <c r="O71" i="2"/>
  <c r="E99" i="2"/>
  <c r="Q83" i="2"/>
  <c r="K97" i="2"/>
  <c r="J58" i="2"/>
  <c r="M78" i="2"/>
  <c r="U41" i="2"/>
  <c r="D59" i="2"/>
  <c r="J69" i="2"/>
  <c r="K71" i="2"/>
  <c r="N105" i="2"/>
  <c r="X67" i="2"/>
  <c r="D52" i="2"/>
  <c r="J84" i="2"/>
  <c r="H61" i="2"/>
  <c r="L104" i="2"/>
  <c r="P89" i="2"/>
  <c r="E65" i="2"/>
  <c r="R72" i="2"/>
  <c r="P104" i="2"/>
  <c r="O111" i="2"/>
  <c r="I61" i="2"/>
  <c r="W80" i="2"/>
  <c r="G42" i="2"/>
  <c r="E98" i="2"/>
  <c r="X50" i="2"/>
  <c r="J70" i="2"/>
  <c r="G49" i="2"/>
  <c r="E47" i="2"/>
  <c r="R95" i="2"/>
  <c r="N86" i="2"/>
  <c r="O108" i="2"/>
  <c r="E89" i="2"/>
  <c r="O66" i="2"/>
  <c r="H105" i="2"/>
  <c r="X89" i="2"/>
  <c r="V70" i="2"/>
  <c r="W44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L70" i="2"/>
  <c r="P107" i="2"/>
  <c r="U62" i="2"/>
  <c r="F44" i="2"/>
  <c r="J68" i="2"/>
  <c r="P68" i="2"/>
  <c r="D57" i="2"/>
  <c r="M41" i="2"/>
  <c r="X43" i="2"/>
  <c r="Q44" i="2"/>
  <c r="U47" i="2"/>
  <c r="G45" i="2"/>
  <c r="P90" i="2"/>
  <c r="N108" i="2"/>
  <c r="G107" i="2"/>
  <c r="R108" i="2"/>
  <c r="L71" i="2"/>
  <c r="N73" i="2"/>
  <c r="P105" i="2"/>
  <c r="G54" i="2"/>
  <c r="O41" i="2"/>
  <c r="W58" i="2"/>
  <c r="U53" i="2"/>
  <c r="F49" i="2"/>
  <c r="X72" i="2"/>
  <c r="U80" i="2"/>
  <c r="C78" i="2"/>
  <c r="F78" i="2"/>
  <c r="C82" i="2"/>
  <c r="Q79" i="2"/>
  <c r="S47" i="2"/>
  <c r="X93" i="2"/>
  <c r="N80" i="2"/>
  <c r="D89" i="2"/>
  <c r="P78" i="2"/>
  <c r="H79" i="2"/>
  <c r="T55" i="2"/>
  <c r="J83" i="2"/>
  <c r="L40" i="2"/>
  <c r="R104" i="2"/>
  <c r="E71" i="2"/>
  <c r="J112" i="2"/>
  <c r="E70" i="2"/>
  <c r="S105" i="2"/>
  <c r="T108" i="2"/>
  <c r="G77" i="2"/>
  <c r="Q71" i="2"/>
  <c r="I90" i="2"/>
  <c r="C64" i="2"/>
  <c r="C48" i="2"/>
  <c r="N53" i="2"/>
  <c r="S84" i="2"/>
  <c r="K57" i="2"/>
  <c r="O75" i="2"/>
  <c r="R56" i="2"/>
  <c r="W105" i="2"/>
  <c r="X107" i="2"/>
  <c r="N63" i="2"/>
  <c r="J97" i="2"/>
  <c r="H93" i="2"/>
  <c r="X110" i="2"/>
  <c r="L86" i="2"/>
  <c r="C106" i="2"/>
  <c r="G108" i="2"/>
  <c r="F62" i="2"/>
  <c r="G67" i="2"/>
  <c r="Q75" i="2"/>
  <c r="R82" i="2"/>
  <c r="U68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N99" i="2"/>
  <c r="D49" i="2"/>
  <c r="E57" i="2"/>
  <c r="O91" i="2"/>
  <c r="J81" i="2"/>
  <c r="N68" i="2"/>
  <c r="E96" i="2"/>
  <c r="R68" i="2"/>
  <c r="H111" i="2"/>
  <c r="S80" i="2"/>
  <c r="P65" i="2"/>
  <c r="Q53" i="2"/>
  <c r="S77" i="2"/>
  <c r="I70" i="2"/>
  <c r="I64" i="2"/>
  <c r="H58" i="2"/>
  <c r="F42" i="2"/>
  <c r="P66" i="2"/>
  <c r="N91" i="2"/>
  <c r="P67" i="2"/>
  <c r="G70" i="2"/>
  <c r="Q41" i="2"/>
  <c r="U77" i="2"/>
  <c r="N97" i="2"/>
  <c r="J45" i="2"/>
  <c r="M72" i="2"/>
  <c r="H80" i="2"/>
  <c r="H96" i="2"/>
  <c r="V86" i="2"/>
  <c r="V64" i="2"/>
  <c r="L77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82" i="2"/>
  <c r="C81" i="2"/>
  <c r="S104" i="2"/>
  <c r="N59" i="2"/>
  <c r="E50" i="2"/>
  <c r="I50" i="2"/>
  <c r="J65" i="2"/>
  <c r="F106" i="2"/>
  <c r="J74" i="2"/>
  <c r="S58" i="2"/>
  <c r="J49" i="2"/>
  <c r="V48" i="2"/>
  <c r="N75" i="2"/>
  <c r="R78" i="2"/>
  <c r="H94" i="2"/>
  <c r="O52" i="2"/>
  <c r="W88" i="2"/>
  <c r="V105" i="2"/>
  <c r="D98" i="2"/>
  <c r="V52" i="2"/>
  <c r="H91" i="2"/>
  <c r="I71" i="2"/>
  <c r="G89" i="2"/>
  <c r="P74" i="2"/>
  <c r="U55" i="2"/>
  <c r="K75" i="2"/>
  <c r="R92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V107" i="2"/>
  <c r="O82" i="2"/>
  <c r="U75" i="2"/>
  <c r="T64" i="2"/>
  <c r="G110" i="2"/>
  <c r="V91" i="2"/>
  <c r="I87" i="2"/>
  <c r="M99" i="2"/>
  <c r="V84" i="2"/>
  <c r="F69" i="2"/>
  <c r="E44" i="2"/>
  <c r="T110" i="2"/>
  <c r="C66" i="2"/>
  <c r="N42" i="2"/>
  <c r="R40" i="2"/>
  <c r="N62" i="2"/>
  <c r="L43" i="2"/>
  <c r="R112" i="2"/>
  <c r="I74" i="2"/>
  <c r="G99" i="2"/>
  <c r="R61" i="2"/>
  <c r="E69" i="2"/>
  <c r="W113" i="2"/>
  <c r="V82" i="2"/>
  <c r="C90" i="2"/>
  <c r="V97" i="2"/>
  <c r="F97" i="2"/>
  <c r="X45" i="2"/>
  <c r="V79" i="2"/>
  <c r="O42" i="2"/>
  <c r="X58" i="2"/>
  <c r="T45" i="2"/>
  <c r="W111" i="2"/>
  <c r="C57" i="2"/>
  <c r="V75" i="2"/>
  <c r="X76" i="2"/>
  <c r="D40" i="2"/>
  <c r="P53" i="2"/>
  <c r="U84" i="2"/>
  <c r="N74" i="2"/>
  <c r="J63" i="2"/>
  <c r="G97" i="2"/>
  <c r="L67" i="2"/>
  <c r="E97" i="2"/>
  <c r="V42" i="2"/>
  <c r="U97" i="2"/>
  <c r="O84" i="2"/>
  <c r="J94" i="2"/>
  <c r="K112" i="2"/>
  <c r="J104" i="2"/>
  <c r="M106" i="2"/>
  <c r="R71" i="2"/>
  <c r="N61" i="2"/>
  <c r="R113" i="2"/>
  <c r="J67" i="2"/>
  <c r="W78" i="2"/>
  <c r="I66" i="2"/>
  <c r="S48" i="2"/>
  <c r="W108" i="2"/>
  <c r="L52" i="2"/>
  <c r="T54" i="2"/>
  <c r="G91" i="2"/>
  <c r="J59" i="2"/>
  <c r="X113" i="2"/>
  <c r="I89" i="2"/>
  <c r="M96" i="2"/>
  <c r="K74" i="2"/>
  <c r="W82" i="2"/>
  <c r="O58" i="2"/>
  <c r="O112" i="2"/>
  <c r="U85" i="2"/>
  <c r="V93" i="2"/>
  <c r="X62" i="2"/>
  <c r="K58" i="2"/>
  <c r="U61" i="2"/>
  <c r="K68" i="2"/>
  <c r="W97" i="2"/>
  <c r="K67" i="2"/>
  <c r="U111" i="2"/>
  <c r="L50" i="2"/>
  <c r="H90" i="2"/>
  <c r="E107" i="2"/>
  <c r="U60" i="2"/>
  <c r="V92" i="2"/>
  <c r="W112" i="2"/>
  <c r="X48" i="2"/>
  <c r="P88" i="2"/>
  <c r="D108" i="2"/>
  <c r="R44" i="2"/>
  <c r="V56" i="2"/>
  <c r="L87" i="2"/>
  <c r="F111" i="2"/>
  <c r="L63" i="2"/>
  <c r="F52" i="2"/>
  <c r="L51" i="2"/>
  <c r="X77" i="2"/>
  <c r="L55" i="2"/>
  <c r="V95" i="2"/>
  <c r="T96" i="2"/>
  <c r="T106" i="2"/>
  <c r="U58" i="2"/>
  <c r="I47" i="2"/>
  <c r="U79" i="2"/>
  <c r="O89" i="2"/>
  <c r="W107" i="2"/>
  <c r="S85" i="2"/>
  <c r="G84" i="2"/>
  <c r="X104" i="2"/>
  <c r="O76" i="2"/>
  <c r="C94" i="2"/>
  <c r="U42" i="2"/>
  <c r="O92" i="2"/>
  <c r="O50" i="2"/>
  <c r="Q77" i="2"/>
  <c r="H50" i="2"/>
  <c r="X109" i="2"/>
  <c r="W104" i="2"/>
  <c r="I53" i="2"/>
  <c r="Q94" i="2"/>
  <c r="T111" i="2"/>
  <c r="S99" i="2"/>
  <c r="N92" i="2"/>
  <c r="P86" i="2"/>
  <c r="W75" i="2"/>
  <c r="G92" i="2"/>
  <c r="N79" i="2"/>
  <c r="X112" i="2"/>
  <c r="R107" i="2"/>
  <c r="L78" i="2"/>
  <c r="T78" i="2"/>
  <c r="W99" i="2"/>
  <c r="U91" i="2"/>
  <c r="P54" i="2"/>
  <c r="W47" i="2"/>
  <c r="J61" i="2"/>
  <c r="M61" i="2"/>
  <c r="C107" i="2"/>
  <c r="L98" i="2"/>
  <c r="X52" i="2"/>
  <c r="T61" i="2"/>
  <c r="X46" i="2"/>
  <c r="C99" i="2"/>
  <c r="K54" i="2"/>
  <c r="I62" i="2"/>
  <c r="O72" i="2"/>
  <c r="O45" i="2"/>
  <c r="P79" i="2"/>
  <c r="V66" i="2"/>
  <c r="W96" i="2"/>
  <c r="L64" i="2"/>
  <c r="H81" i="2"/>
  <c r="E79" i="2"/>
  <c r="D110" i="2"/>
  <c r="R47" i="2"/>
  <c r="J86" i="2"/>
  <c r="V108" i="2"/>
  <c r="W87" i="2"/>
  <c r="C70" i="2"/>
  <c r="N58" i="2"/>
  <c r="K98" i="2"/>
  <c r="Q109" i="2"/>
  <c r="S91" i="2"/>
  <c r="X54" i="2"/>
  <c r="I111" i="2"/>
  <c r="N95" i="2"/>
  <c r="D95" i="2"/>
  <c r="M88" i="2"/>
  <c r="G104" i="2"/>
  <c r="M111" i="2"/>
  <c r="E76" i="2"/>
  <c r="Q74" i="2"/>
  <c r="C67" i="2"/>
  <c r="I63" i="2"/>
  <c r="I52" i="2"/>
  <c r="V112" i="2"/>
  <c r="C80" i="2"/>
  <c r="N83" i="2"/>
  <c r="U95" i="2"/>
  <c r="O97" i="2"/>
  <c r="W56" i="2"/>
  <c r="I108" i="2"/>
  <c r="K81" i="2"/>
  <c r="K96" i="2"/>
  <c r="R45" i="2"/>
  <c r="Q47" i="2"/>
  <c r="F54" i="2"/>
  <c r="U54" i="2"/>
  <c r="R88" i="2"/>
  <c r="U83" i="2"/>
  <c r="L75" i="2"/>
  <c r="W43" i="2"/>
  <c r="V80" i="2"/>
  <c r="J79" i="2"/>
  <c r="P106" i="2"/>
  <c r="D111" i="2"/>
  <c r="I80" i="2"/>
  <c r="T69" i="2"/>
  <c r="H60" i="2"/>
  <c r="O43" i="2"/>
  <c r="W94" i="2"/>
  <c r="I58" i="2"/>
  <c r="O99" i="2"/>
  <c r="I46" i="2"/>
  <c r="X61" i="2"/>
  <c r="J111" i="2"/>
  <c r="L45" i="2"/>
  <c r="S69" i="2"/>
  <c r="M60" i="2"/>
  <c r="S96" i="2"/>
  <c r="P58" i="2"/>
  <c r="M81" i="2"/>
  <c r="G83" i="2"/>
  <c r="E86" i="2"/>
  <c r="O83" i="2"/>
  <c r="I91" i="2"/>
  <c r="K72" i="2"/>
  <c r="T62" i="2"/>
  <c r="I88" i="2"/>
  <c r="N110" i="2"/>
  <c r="X82" i="2"/>
  <c r="G88" i="2"/>
  <c r="H106" i="2"/>
  <c r="T87" i="2"/>
  <c r="C41" i="2"/>
  <c r="N77" i="2"/>
  <c r="D77" i="2"/>
  <c r="E73" i="2"/>
  <c r="N57" i="2"/>
  <c r="O53" i="2"/>
  <c r="G109" i="2"/>
  <c r="N104" i="2"/>
  <c r="U73" i="2"/>
  <c r="U72" i="2"/>
  <c r="H82" i="2"/>
  <c r="R49" i="2"/>
  <c r="W61" i="2"/>
  <c r="M66" i="2"/>
  <c r="H62" i="2"/>
  <c r="Q82" i="2"/>
  <c r="K109" i="2"/>
  <c r="P42" i="2"/>
  <c r="W66" i="2"/>
  <c r="F63" i="2"/>
  <c r="U112" i="2"/>
  <c r="G85" i="2"/>
  <c r="H48" i="2"/>
  <c r="V71" i="2"/>
  <c r="R57" i="2"/>
  <c r="S70" i="2"/>
  <c r="F91" i="2"/>
  <c r="W73" i="2"/>
  <c r="O96" i="2"/>
  <c r="C51" i="2"/>
  <c r="U78" i="2"/>
  <c r="N56" i="2"/>
  <c r="J108" i="2"/>
  <c r="H55" i="2"/>
  <c r="R94" i="2"/>
  <c r="H92" i="2"/>
  <c r="P71" i="2"/>
  <c r="R65" i="2"/>
  <c r="K89" i="2"/>
  <c r="K69" i="2"/>
  <c r="M47" i="2"/>
  <c r="T74" i="2"/>
  <c r="G80" i="2"/>
  <c r="X44" i="2"/>
  <c r="X51" i="2"/>
  <c r="D92" i="2"/>
  <c r="C42" i="2"/>
  <c r="D86" i="2"/>
  <c r="F51" i="2"/>
  <c r="W42" i="2"/>
  <c r="L111" i="2"/>
  <c r="N98" i="2"/>
  <c r="C43" i="2"/>
  <c r="F80" i="2"/>
  <c r="Q107" i="2"/>
  <c r="T93" i="2"/>
  <c r="G62" i="2"/>
  <c r="N69" i="2"/>
  <c r="N60" i="2"/>
  <c r="O47" i="2"/>
  <c r="U99" i="2"/>
  <c r="D42" i="2"/>
  <c r="E60" i="2"/>
  <c r="V77" i="2"/>
  <c r="J66" i="2"/>
  <c r="T76" i="2"/>
  <c r="O94" i="2"/>
  <c r="G40" i="2"/>
  <c r="W79" i="2"/>
  <c r="Q81" i="2"/>
  <c r="O105" i="2"/>
  <c r="U70" i="2"/>
  <c r="J87" i="2"/>
  <c r="R50" i="2"/>
  <c r="J54" i="2"/>
  <c r="M95" i="2"/>
  <c r="F108" i="2"/>
  <c r="I54" i="2"/>
  <c r="M62" i="2"/>
  <c r="V54" i="2"/>
  <c r="Q98" i="2"/>
  <c r="N106" i="2"/>
  <c r="H86" i="2"/>
  <c r="R46" i="2"/>
  <c r="G60" i="2"/>
  <c r="S42" i="2"/>
  <c r="I79" i="2"/>
  <c r="M57" i="2"/>
  <c r="M58" i="2"/>
  <c r="N46" i="2"/>
  <c r="C60" i="2"/>
  <c r="S78" i="2"/>
  <c r="F86" i="2"/>
  <c r="J43" i="2"/>
  <c r="J53" i="2"/>
  <c r="F74" i="2"/>
  <c r="J99" i="2"/>
  <c r="X84" i="2"/>
  <c r="N47" i="2"/>
  <c r="T89" i="2"/>
  <c r="O88" i="2"/>
  <c r="I73" i="2"/>
  <c r="K41" i="2"/>
  <c r="G94" i="2"/>
  <c r="S95" i="2"/>
  <c r="K77" i="1" l="1"/>
  <c r="K76" i="1"/>
  <c r="F76" i="1"/>
  <c r="F77" i="1"/>
  <c r="R77" i="1"/>
  <c r="R76" i="1"/>
  <c r="E77" i="1"/>
  <c r="E84" i="1" s="1"/>
  <c r="E76" i="1"/>
  <c r="C77" i="1"/>
  <c r="C78" i="1" s="1"/>
  <c r="C76" i="1"/>
  <c r="M76" i="1"/>
  <c r="M77" i="1"/>
  <c r="H77" i="1"/>
  <c r="H76" i="1"/>
  <c r="N76" i="1"/>
  <c r="U77" i="1"/>
  <c r="U76" i="1"/>
  <c r="CJ77" i="1"/>
  <c r="CJ76" i="1"/>
  <c r="CG150" i="1"/>
  <c r="CG149" i="1"/>
  <c r="N77" i="1"/>
  <c r="CC91" i="1"/>
  <c r="G77" i="1"/>
  <c r="G76" i="1"/>
  <c r="J76" i="1"/>
  <c r="J77" i="1"/>
  <c r="I76" i="1"/>
  <c r="I77" i="1"/>
  <c r="T77" i="1"/>
  <c r="T76" i="1"/>
  <c r="O77" i="1"/>
  <c r="O76" i="1"/>
  <c r="P77" i="1"/>
  <c r="P76" i="1"/>
  <c r="AK76" i="1"/>
  <c r="AK77" i="1"/>
  <c r="Z74" i="1"/>
  <c r="Z21" i="1" s="1"/>
  <c r="Z91" i="1"/>
  <c r="X91" i="1"/>
  <c r="X74" i="1"/>
  <c r="X21" i="1" s="1"/>
  <c r="BY74" i="1"/>
  <c r="BY21" i="1" s="1"/>
  <c r="CB74" i="1"/>
  <c r="CB21" i="1" s="1"/>
  <c r="CE91" i="1"/>
  <c r="BZ239" i="1"/>
  <c r="BZ237" i="1" s="1"/>
  <c r="CA239" i="1"/>
  <c r="CA237" i="1" s="1"/>
  <c r="CA91" i="1"/>
  <c r="L79" i="1"/>
  <c r="J270" i="1"/>
  <c r="CL132" i="1"/>
  <c r="CL131" i="1"/>
  <c r="CL130" i="1"/>
  <c r="BX77" i="1"/>
  <c r="BX76" i="1"/>
  <c r="BX21" i="1"/>
  <c r="AM77" i="1"/>
  <c r="AM76" i="1"/>
  <c r="CL91" i="1"/>
  <c r="S76" i="1"/>
  <c r="S77" i="1"/>
  <c r="K79" i="1"/>
  <c r="C79" i="1"/>
  <c r="E79" i="1"/>
  <c r="H79" i="1"/>
  <c r="F79" i="1"/>
  <c r="J78" i="1"/>
  <c r="J281" i="1" s="1"/>
  <c r="J84" i="1"/>
  <c r="J229" i="1" s="1"/>
  <c r="J231" i="1" s="1"/>
  <c r="E78" i="1"/>
  <c r="E281" i="1" s="1"/>
  <c r="CM35" i="1"/>
  <c r="CM44" i="1" s="1"/>
  <c r="E270" i="1"/>
  <c r="G270" i="1"/>
  <c r="G84" i="1"/>
  <c r="G78" i="1"/>
  <c r="G281" i="1" s="1"/>
  <c r="D79" i="1"/>
  <c r="CO53" i="1"/>
  <c r="K84" i="1"/>
  <c r="K270" i="1"/>
  <c r="K78" i="1"/>
  <c r="K281" i="1" s="1"/>
  <c r="Q78" i="1"/>
  <c r="Q281" i="1" s="1"/>
  <c r="Q84" i="1"/>
  <c r="Q270" i="1"/>
  <c r="R79" i="1"/>
  <c r="T270" i="1"/>
  <c r="T78" i="1"/>
  <c r="T281" i="1" s="1"/>
  <c r="T84" i="1"/>
  <c r="R270" i="1"/>
  <c r="R78" i="1"/>
  <c r="R281" i="1" s="1"/>
  <c r="R84" i="1"/>
  <c r="O270" i="1"/>
  <c r="O84" i="1"/>
  <c r="O78" i="1"/>
  <c r="O281" i="1" s="1"/>
  <c r="P79" i="1"/>
  <c r="P84" i="1"/>
  <c r="P270" i="1"/>
  <c r="P78" i="1"/>
  <c r="P281" i="1" s="1"/>
  <c r="Q79" i="1"/>
  <c r="H84" i="1"/>
  <c r="H270" i="1"/>
  <c r="H78" i="1"/>
  <c r="H281" i="1" s="1"/>
  <c r="N78" i="1"/>
  <c r="N281" i="1" s="1"/>
  <c r="N270" i="1"/>
  <c r="N84" i="1"/>
  <c r="O79" i="1"/>
  <c r="M79" i="1"/>
  <c r="L270" i="1"/>
  <c r="L84" i="1"/>
  <c r="L78" i="1"/>
  <c r="L281" i="1" s="1"/>
  <c r="I79" i="1"/>
  <c r="J79" i="1"/>
  <c r="I84" i="1"/>
  <c r="I78" i="1"/>
  <c r="I281" i="1" s="1"/>
  <c r="I270" i="1"/>
  <c r="G79" i="1"/>
  <c r="F84" i="1"/>
  <c r="F78" i="1"/>
  <c r="F281" i="1" s="1"/>
  <c r="F270" i="1"/>
  <c r="E88" i="1"/>
  <c r="E229" i="1"/>
  <c r="E231" i="1" s="1"/>
  <c r="C270" i="1"/>
  <c r="C84" i="1"/>
  <c r="N79" i="1"/>
  <c r="M84" i="1"/>
  <c r="M78" i="1"/>
  <c r="M281" i="1" s="1"/>
  <c r="M270" i="1"/>
  <c r="CP53" i="1"/>
  <c r="CQ53" i="1" s="1"/>
  <c r="CN238" i="1"/>
  <c r="CG131" i="1"/>
  <c r="CG132" i="1"/>
  <c r="CG130" i="1"/>
  <c r="BZ77" i="1"/>
  <c r="BZ76" i="1"/>
  <c r="CI78" i="1"/>
  <c r="CI281" i="1" s="1"/>
  <c r="CI84" i="1"/>
  <c r="CJ80" i="1"/>
  <c r="CI270" i="1"/>
  <c r="CN164" i="1"/>
  <c r="CO160" i="1"/>
  <c r="CO219" i="1"/>
  <c r="CN221" i="1"/>
  <c r="CI79" i="1"/>
  <c r="CE84" i="1"/>
  <c r="CE78" i="1"/>
  <c r="CE281" i="1" s="1"/>
  <c r="CE270" i="1"/>
  <c r="BY77" i="1"/>
  <c r="BY76" i="1"/>
  <c r="CM217" i="1"/>
  <c r="V84" i="1"/>
  <c r="V78" i="1"/>
  <c r="V281" i="1" s="1"/>
  <c r="W79" i="1"/>
  <c r="V270" i="1"/>
  <c r="AJ84" i="1"/>
  <c r="AJ270" i="1"/>
  <c r="AJ78" i="1"/>
  <c r="AK80" i="1"/>
  <c r="AM263" i="1"/>
  <c r="CG79" i="1"/>
  <c r="CG270" i="1"/>
  <c r="CG84" i="1"/>
  <c r="CJ263" i="1"/>
  <c r="CH80" i="1"/>
  <c r="CG78" i="1"/>
  <c r="CG281" i="1" s="1"/>
  <c r="CA270" i="1"/>
  <c r="CE79" i="1"/>
  <c r="CA84" i="1"/>
  <c r="CA78" i="1"/>
  <c r="CA281" i="1" s="1"/>
  <c r="CO101" i="1"/>
  <c r="CP99" i="1"/>
  <c r="CJ270" i="1"/>
  <c r="CJ84" i="1"/>
  <c r="CJ78" i="1"/>
  <c r="CJ281" i="1" s="1"/>
  <c r="CD80" i="1"/>
  <c r="CD78" i="1"/>
  <c r="CD281" i="1" s="1"/>
  <c r="CD270" i="1"/>
  <c r="CE80" i="1"/>
  <c r="CD84" i="1"/>
  <c r="CH79" i="1"/>
  <c r="CM285" i="1"/>
  <c r="CM242" i="1"/>
  <c r="Z77" i="1"/>
  <c r="AA79" i="1" s="1"/>
  <c r="Z76" i="1"/>
  <c r="Y77" i="1"/>
  <c r="Y76" i="1"/>
  <c r="D78" i="1"/>
  <c r="D84" i="1"/>
  <c r="D270" i="1"/>
  <c r="CG139" i="1"/>
  <c r="CG138" i="1"/>
  <c r="CG140" i="1"/>
  <c r="CF77" i="1"/>
  <c r="AA97" i="1" s="1"/>
  <c r="CF76" i="1"/>
  <c r="AK84" i="1"/>
  <c r="AK78" i="1"/>
  <c r="AK270" i="1"/>
  <c r="AL80" i="1"/>
  <c r="CD99" i="1"/>
  <c r="CE101" i="1"/>
  <c r="CB76" i="1"/>
  <c r="CB77" i="1"/>
  <c r="BL88" i="1"/>
  <c r="BL229" i="1"/>
  <c r="BL231" i="1" s="1"/>
  <c r="AL270" i="1"/>
  <c r="AL84" i="1"/>
  <c r="AL78" i="1"/>
  <c r="AL281" i="1" s="1"/>
  <c r="AM80" i="1"/>
  <c r="X77" i="1"/>
  <c r="X79" i="1" s="1"/>
  <c r="X76" i="1"/>
  <c r="W78" i="1"/>
  <c r="W281" i="1" s="1"/>
  <c r="W270" i="1"/>
  <c r="W84" i="1"/>
  <c r="W88" i="1" s="1"/>
  <c r="CC270" i="1"/>
  <c r="CC78" i="1"/>
  <c r="CC281" i="1" s="1"/>
  <c r="CC84" i="1"/>
  <c r="CO238" i="1"/>
  <c r="CP176" i="1"/>
  <c r="CP238" i="1" s="1"/>
  <c r="AB176" i="1"/>
  <c r="CO215" i="1"/>
  <c r="CF135" i="1"/>
  <c r="CF143" i="1"/>
  <c r="CF144" i="1"/>
  <c r="CH270" i="1"/>
  <c r="CH84" i="1"/>
  <c r="CH78" i="1"/>
  <c r="CH281" i="1" s="1"/>
  <c r="CI80" i="1"/>
  <c r="U270" i="1"/>
  <c r="U79" i="1"/>
  <c r="V79" i="1"/>
  <c r="U78" i="1"/>
  <c r="U281" i="1" s="1"/>
  <c r="U84" i="1"/>
  <c r="W169" i="1"/>
  <c r="T208" i="1"/>
  <c r="T115" i="1"/>
  <c r="L191" i="1"/>
  <c r="N168" i="1"/>
  <c r="R173" i="1"/>
  <c r="T114" i="1"/>
  <c r="G113" i="1"/>
  <c r="S176" i="1"/>
  <c r="F186" i="1"/>
  <c r="W183" i="1"/>
  <c r="B168" i="1"/>
  <c r="U180" i="1"/>
  <c r="U215" i="1" s="1"/>
  <c r="R187" i="1"/>
  <c r="D207" i="1"/>
  <c r="F180" i="1"/>
  <c r="F215" i="1" s="1"/>
  <c r="J109" i="1"/>
  <c r="E199" i="1"/>
  <c r="H207" i="1"/>
  <c r="F207" i="1"/>
  <c r="I207" i="1"/>
  <c r="Q163" i="1"/>
  <c r="O195" i="1"/>
  <c r="Q181" i="1"/>
  <c r="Q216" i="1" s="1"/>
  <c r="I199" i="1"/>
  <c r="S189" i="1"/>
  <c r="S219" i="1" s="1"/>
  <c r="I176" i="1"/>
  <c r="S191" i="1"/>
  <c r="L180" i="1"/>
  <c r="L215" i="1" s="1"/>
  <c r="L172" i="1"/>
  <c r="V162" i="1"/>
  <c r="V190" i="1" s="1"/>
  <c r="K185" i="1"/>
  <c r="B162" i="1"/>
  <c r="B190" i="1" s="1"/>
  <c r="N155" i="1"/>
  <c r="C103" i="1"/>
  <c r="G186" i="1"/>
  <c r="S208" i="1"/>
  <c r="M153" i="1"/>
  <c r="B186" i="1"/>
  <c r="U179" i="1"/>
  <c r="K110" i="1"/>
  <c r="S186" i="1"/>
  <c r="I185" i="1"/>
  <c r="K154" i="1"/>
  <c r="I208" i="1"/>
  <c r="H196" i="1"/>
  <c r="N115" i="1"/>
  <c r="E182" i="1"/>
  <c r="W171" i="1"/>
  <c r="W167" i="1" s="1"/>
  <c r="W155" i="1"/>
  <c r="B100" i="1"/>
  <c r="K171" i="1"/>
  <c r="K167" i="1" s="1"/>
  <c r="H200" i="1"/>
  <c r="B196" i="1"/>
  <c r="D153" i="1"/>
  <c r="T158" i="1"/>
  <c r="K169" i="1"/>
  <c r="T179" i="1"/>
  <c r="N109" i="1"/>
  <c r="H160" i="1"/>
  <c r="G115" i="1"/>
  <c r="W196" i="1"/>
  <c r="V113" i="1"/>
  <c r="J185" i="1"/>
  <c r="P114" i="1"/>
  <c r="V168" i="1"/>
  <c r="T109" i="1"/>
  <c r="B200" i="1"/>
  <c r="R163" i="1"/>
  <c r="I196" i="1"/>
  <c r="V179" i="1"/>
  <c r="F154" i="1"/>
  <c r="J153" i="1"/>
  <c r="V207" i="1"/>
  <c r="B173" i="1"/>
  <c r="V183" i="1"/>
  <c r="T178" i="1"/>
  <c r="R161" i="1"/>
  <c r="T182" i="1"/>
  <c r="I114" i="1"/>
  <c r="B208" i="1"/>
  <c r="O191" i="1"/>
  <c r="S103" i="1"/>
  <c r="D189" i="1"/>
  <c r="D219" i="1" s="1"/>
  <c r="K180" i="1"/>
  <c r="K215" i="1" s="1"/>
  <c r="S173" i="1"/>
  <c r="V103" i="1"/>
  <c r="C169" i="1"/>
  <c r="P200" i="1"/>
  <c r="D187" i="1"/>
  <c r="M103" i="1"/>
  <c r="K168" i="1"/>
  <c r="E114" i="1"/>
  <c r="C206" i="1"/>
  <c r="E154" i="1"/>
  <c r="T110" i="1"/>
  <c r="O179" i="1"/>
  <c r="Q200" i="1"/>
  <c r="U173" i="1"/>
  <c r="D169" i="1"/>
  <c r="U153" i="1"/>
  <c r="P180" i="1"/>
  <c r="P215" i="1" s="1"/>
  <c r="J178" i="1"/>
  <c r="L154" i="1"/>
  <c r="J182" i="1"/>
  <c r="D172" i="1"/>
  <c r="O208" i="1"/>
  <c r="E169" i="1"/>
  <c r="W154" i="1"/>
  <c r="M173" i="1"/>
  <c r="V169" i="1"/>
  <c r="K160" i="1"/>
  <c r="R182" i="1"/>
  <c r="I103" i="1"/>
  <c r="K163" i="1"/>
  <c r="W176" i="1"/>
  <c r="X238" i="1" s="1"/>
  <c r="T103" i="1"/>
  <c r="L153" i="1"/>
  <c r="F206" i="1"/>
  <c r="U110" i="1"/>
  <c r="P161" i="1"/>
  <c r="S154" i="1"/>
  <c r="J208" i="1"/>
  <c r="G160" i="1"/>
  <c r="I183" i="1"/>
  <c r="K195" i="1"/>
  <c r="K189" i="1"/>
  <c r="K219" i="1" s="1"/>
  <c r="L207" i="1"/>
  <c r="D196" i="1"/>
  <c r="Q169" i="1"/>
  <c r="V187" i="1"/>
  <c r="C155" i="1"/>
  <c r="B206" i="1"/>
  <c r="P179" i="1"/>
  <c r="F208" i="1"/>
  <c r="M185" i="1"/>
  <c r="Q110" i="1"/>
  <c r="Q186" i="1"/>
  <c r="V158" i="1"/>
  <c r="N110" i="1"/>
  <c r="D185" i="1"/>
  <c r="M110" i="1"/>
  <c r="V115" i="1"/>
  <c r="S180" i="1"/>
  <c r="S215" i="1" s="1"/>
  <c r="G171" i="1"/>
  <c r="G167" i="1" s="1"/>
  <c r="V200" i="1"/>
  <c r="K196" i="1"/>
  <c r="E162" i="1"/>
  <c r="E190" i="1" s="1"/>
  <c r="J173" i="1"/>
  <c r="Q103" i="1"/>
  <c r="U206" i="1"/>
  <c r="O183" i="1"/>
  <c r="L186" i="1"/>
  <c r="N206" i="1"/>
  <c r="R195" i="1"/>
  <c r="W115" i="1"/>
  <c r="J179" i="1"/>
  <c r="P178" i="1"/>
  <c r="F103" i="1"/>
  <c r="C195" i="1"/>
  <c r="B199" i="1"/>
  <c r="Q206" i="1"/>
  <c r="U182" i="1"/>
  <c r="N158" i="1"/>
  <c r="O196" i="1"/>
  <c r="Q176" i="1"/>
  <c r="R178" i="1"/>
  <c r="L168" i="1"/>
  <c r="F171" i="1"/>
  <c r="F167" i="1" s="1"/>
  <c r="T162" i="1"/>
  <c r="T190" i="1" s="1"/>
  <c r="W103" i="1"/>
  <c r="O168" i="1"/>
  <c r="V153" i="1"/>
  <c r="N199" i="1"/>
  <c r="I186" i="1"/>
  <c r="M196" i="1"/>
  <c r="O115" i="1"/>
  <c r="F169" i="1"/>
  <c r="R153" i="1"/>
  <c r="F115" i="1"/>
  <c r="U160" i="1"/>
  <c r="U200" i="1"/>
  <c r="W189" i="1"/>
  <c r="D110" i="1"/>
  <c r="L115" i="1"/>
  <c r="H154" i="1"/>
  <c r="H114" i="1"/>
  <c r="Q208" i="1"/>
  <c r="N161" i="1"/>
  <c r="P199" i="1"/>
  <c r="V182" i="1"/>
  <c r="B169" i="1"/>
  <c r="R171" i="1"/>
  <c r="R167" i="1" s="1"/>
  <c r="M154" i="1"/>
  <c r="V181" i="1"/>
  <c r="V216" i="1" s="1"/>
  <c r="G185" i="1"/>
  <c r="C154" i="1"/>
  <c r="N114" i="1"/>
  <c r="O114" i="1"/>
  <c r="C173" i="1"/>
  <c r="N113" i="1"/>
  <c r="U163" i="1"/>
  <c r="P169" i="1"/>
  <c r="U186" i="1"/>
  <c r="G176" i="1"/>
  <c r="N160" i="1"/>
  <c r="T113" i="1"/>
  <c r="F189" i="1"/>
  <c r="F219" i="1" s="1"/>
  <c r="R110" i="1"/>
  <c r="U185" i="1"/>
  <c r="U171" i="1"/>
  <c r="U167" i="1" s="1"/>
  <c r="L182" i="1"/>
  <c r="C158" i="1"/>
  <c r="E115" i="1"/>
  <c r="R179" i="1"/>
  <c r="E181" i="1"/>
  <c r="E216" i="1" s="1"/>
  <c r="K115" i="1"/>
  <c r="R206" i="1"/>
  <c r="V191" i="1"/>
  <c r="G196" i="1"/>
  <c r="V109" i="1"/>
  <c r="P155" i="1"/>
  <c r="L160" i="1"/>
  <c r="U207" i="1"/>
  <c r="I172" i="1"/>
  <c r="R196" i="1"/>
  <c r="E109" i="1"/>
  <c r="J183" i="1"/>
  <c r="E189" i="1"/>
  <c r="E219" i="1" s="1"/>
  <c r="W114" i="1"/>
  <c r="S153" i="1"/>
  <c r="W110" i="1"/>
  <c r="B182" i="1"/>
  <c r="J172" i="1"/>
  <c r="U168" i="1"/>
  <c r="Q171" i="1"/>
  <c r="Q167" i="1" s="1"/>
  <c r="U172" i="1"/>
  <c r="U109" i="1"/>
  <c r="H161" i="1"/>
  <c r="F172" i="1"/>
  <c r="N196" i="1"/>
  <c r="B103" i="1"/>
  <c r="M180" i="1"/>
  <c r="M215" i="1" s="1"/>
  <c r="O181" i="1"/>
  <c r="O216" i="1" s="1"/>
  <c r="P208" i="1"/>
  <c r="V208" i="1"/>
  <c r="O110" i="1"/>
  <c r="O171" i="1"/>
  <c r="O167" i="1" s="1"/>
  <c r="H176" i="1"/>
  <c r="N103" i="1"/>
  <c r="Q196" i="1"/>
  <c r="H155" i="1"/>
  <c r="T168" i="1"/>
  <c r="T160" i="1"/>
  <c r="U158" i="1"/>
  <c r="O155" i="1"/>
  <c r="E113" i="1"/>
  <c r="W182" i="1"/>
  <c r="D181" i="1"/>
  <c r="D216" i="1" s="1"/>
  <c r="N186" i="1"/>
  <c r="O206" i="1"/>
  <c r="F163" i="1"/>
  <c r="I187" i="1"/>
  <c r="M189" i="1"/>
  <c r="M219" i="1" s="1"/>
  <c r="T176" i="1"/>
  <c r="L173" i="1"/>
  <c r="M115" i="1"/>
  <c r="T154" i="1"/>
  <c r="M161" i="1"/>
  <c r="S161" i="1"/>
  <c r="P186" i="1"/>
  <c r="D163" i="1"/>
  <c r="E158" i="1"/>
  <c r="W113" i="1"/>
  <c r="H181" i="1"/>
  <c r="H216" i="1" s="1"/>
  <c r="V180" i="1"/>
  <c r="V215" i="1" s="1"/>
  <c r="N179" i="1"/>
  <c r="C163" i="1"/>
  <c r="N187" i="1"/>
  <c r="B181" i="1"/>
  <c r="B216" i="1" s="1"/>
  <c r="R200" i="1"/>
  <c r="N185" i="1"/>
  <c r="V163" i="1"/>
  <c r="C189" i="1"/>
  <c r="C219" i="1" s="1"/>
  <c r="F161" i="1"/>
  <c r="S113" i="1"/>
  <c r="P160" i="1"/>
  <c r="D191" i="1"/>
  <c r="I189" i="1"/>
  <c r="I219" i="1" s="1"/>
  <c r="C110" i="1"/>
  <c r="O189" i="1"/>
  <c r="O219" i="1" s="1"/>
  <c r="U196" i="1"/>
  <c r="B172" i="1"/>
  <c r="U208" i="1"/>
  <c r="F162" i="1"/>
  <c r="F190" i="1" s="1"/>
  <c r="F200" i="1"/>
  <c r="O160" i="1"/>
  <c r="S207" i="1"/>
  <c r="D109" i="1"/>
  <c r="G206" i="1"/>
  <c r="M208" i="1"/>
  <c r="E196" i="1"/>
  <c r="E197" i="1" s="1"/>
  <c r="F245" i="1" s="1"/>
  <c r="Q182" i="1"/>
  <c r="S187" i="1"/>
  <c r="D113" i="1"/>
  <c r="K200" i="1"/>
  <c r="I109" i="1"/>
  <c r="C162" i="1"/>
  <c r="C190" i="1" s="1"/>
  <c r="Q160" i="1"/>
  <c r="N207" i="1"/>
  <c r="R172" i="1"/>
  <c r="B167" i="1"/>
  <c r="S169" i="1"/>
  <c r="G180" i="1"/>
  <c r="G215" i="1" s="1"/>
  <c r="B113" i="1"/>
  <c r="E178" i="1"/>
  <c r="E186" i="1"/>
  <c r="N180" i="1"/>
  <c r="N215" i="1" s="1"/>
  <c r="H169" i="1"/>
  <c r="T187" i="1"/>
  <c r="V196" i="1"/>
  <c r="E191" i="1"/>
  <c r="R115" i="1"/>
  <c r="L206" i="1"/>
  <c r="K179" i="1"/>
  <c r="F196" i="1"/>
  <c r="J169" i="1"/>
  <c r="H191" i="1"/>
  <c r="M178" i="1"/>
  <c r="T163" i="1"/>
  <c r="Q154" i="1"/>
  <c r="I173" i="1"/>
  <c r="K181" i="1"/>
  <c r="K216" i="1" s="1"/>
  <c r="E153" i="1"/>
  <c r="W162" i="1"/>
  <c r="W190" i="1" s="1"/>
  <c r="R154" i="1"/>
  <c r="U155" i="1"/>
  <c r="C113" i="1"/>
  <c r="Q207" i="1"/>
  <c r="N181" i="1"/>
  <c r="N216" i="1" s="1"/>
  <c r="W172" i="1"/>
  <c r="P115" i="1"/>
  <c r="F185" i="1"/>
  <c r="S163" i="1"/>
  <c r="O109" i="1"/>
  <c r="G109" i="1"/>
  <c r="R185" i="1"/>
  <c r="M206" i="1"/>
  <c r="Q113" i="1"/>
  <c r="I110" i="1"/>
  <c r="C183" i="1"/>
  <c r="M162" i="1"/>
  <c r="M190" i="1" s="1"/>
  <c r="C161" i="1"/>
  <c r="D182" i="1"/>
  <c r="U181" i="1"/>
  <c r="U216" i="1" s="1"/>
  <c r="Q172" i="1"/>
  <c r="J207" i="1"/>
  <c r="F195" i="1"/>
  <c r="D200" i="1"/>
  <c r="H171" i="1"/>
  <c r="H167" i="1" s="1"/>
  <c r="L114" i="1"/>
  <c r="E187" i="1"/>
  <c r="Q168" i="1"/>
  <c r="N171" i="1"/>
  <c r="N167" i="1" s="1"/>
  <c r="F199" i="1"/>
  <c r="Q114" i="1"/>
  <c r="S185" i="1"/>
  <c r="V154" i="1"/>
  <c r="J115" i="1"/>
  <c r="E110" i="1"/>
  <c r="C99" i="1"/>
  <c r="C200" i="1"/>
  <c r="H158" i="1"/>
  <c r="P187" i="1"/>
  <c r="K178" i="1"/>
  <c r="C153" i="1"/>
  <c r="M187" i="1"/>
  <c r="D115" i="1"/>
  <c r="J196" i="1"/>
  <c r="T206" i="1"/>
  <c r="S115" i="1"/>
  <c r="B187" i="1"/>
  <c r="R207" i="1"/>
  <c r="H172" i="1"/>
  <c r="R199" i="1"/>
  <c r="B161" i="1"/>
  <c r="G187" i="1"/>
  <c r="L183" i="1"/>
  <c r="K183" i="1"/>
  <c r="H186" i="1"/>
  <c r="J187" i="1"/>
  <c r="J163" i="1"/>
  <c r="G182" i="1"/>
  <c r="E160" i="1"/>
  <c r="W181" i="1"/>
  <c r="B178" i="1"/>
  <c r="G154" i="1"/>
  <c r="O153" i="1"/>
  <c r="J154" i="1"/>
  <c r="O172" i="1"/>
  <c r="Q191" i="1"/>
  <c r="V189" i="1"/>
  <c r="V219" i="1" s="1"/>
  <c r="M207" i="1"/>
  <c r="L199" i="1"/>
  <c r="N191" i="1"/>
  <c r="Q179" i="1"/>
  <c r="C179" i="1"/>
  <c r="N208" i="1"/>
  <c r="I158" i="1"/>
  <c r="Q161" i="1"/>
  <c r="E208" i="1"/>
  <c r="R168" i="1"/>
  <c r="I191" i="1"/>
  <c r="V160" i="1"/>
  <c r="R176" i="1"/>
  <c r="N189" i="1"/>
  <c r="N219" i="1" s="1"/>
  <c r="I161" i="1"/>
  <c r="U195" i="1"/>
  <c r="G168" i="1"/>
  <c r="L181" i="1"/>
  <c r="L216" i="1" s="1"/>
  <c r="V161" i="1"/>
  <c r="O199" i="1"/>
  <c r="G173" i="1"/>
  <c r="K207" i="1"/>
  <c r="N154" i="1"/>
  <c r="O180" i="1"/>
  <c r="O215" i="1" s="1"/>
  <c r="R189" i="1"/>
  <c r="R219" i="1" s="1"/>
  <c r="B195" i="1"/>
  <c r="L161" i="1"/>
  <c r="K109" i="1"/>
  <c r="D178" i="1"/>
  <c r="U103" i="1"/>
  <c r="L178" i="1"/>
  <c r="P153" i="1"/>
  <c r="H189" i="1"/>
  <c r="H219" i="1" s="1"/>
  <c r="G153" i="1"/>
  <c r="I171" i="1"/>
  <c r="I167" i="1" s="1"/>
  <c r="L169" i="1"/>
  <c r="Q187" i="1"/>
  <c r="C172" i="1"/>
  <c r="S196" i="1"/>
  <c r="H179" i="1"/>
  <c r="C196" i="1"/>
  <c r="D199" i="1"/>
  <c r="D176" i="1"/>
  <c r="D160" i="1"/>
  <c r="E173" i="1"/>
  <c r="E206" i="1"/>
  <c r="S199" i="1"/>
  <c r="U113" i="1"/>
  <c r="H195" i="1"/>
  <c r="K162" i="1"/>
  <c r="K190" i="1" s="1"/>
  <c r="I162" i="1"/>
  <c r="I190" i="1" s="1"/>
  <c r="S168" i="1"/>
  <c r="I115" i="1"/>
  <c r="T195" i="1"/>
  <c r="E180" i="1"/>
  <c r="E215" i="1" s="1"/>
  <c r="J186" i="1"/>
  <c r="W208" i="1"/>
  <c r="B158" i="1"/>
  <c r="M158" i="1"/>
  <c r="Q162" i="1"/>
  <c r="Q190" i="1" s="1"/>
  <c r="W187" i="1"/>
  <c r="P109" i="1"/>
  <c r="G178" i="1"/>
  <c r="C208" i="1"/>
  <c r="N178" i="1"/>
  <c r="G103" i="1"/>
  <c r="R208" i="1"/>
  <c r="I206" i="1"/>
  <c r="O163" i="1"/>
  <c r="T173" i="1"/>
  <c r="F168" i="1"/>
  <c r="O113" i="1"/>
  <c r="R109" i="1"/>
  <c r="M182" i="1"/>
  <c r="K153" i="1"/>
  <c r="O103" i="1"/>
  <c r="P168" i="1"/>
  <c r="U114" i="1"/>
  <c r="C187" i="1"/>
  <c r="W161" i="1"/>
  <c r="F187" i="1"/>
  <c r="J180" i="1"/>
  <c r="J215" i="1" s="1"/>
  <c r="W200" i="1"/>
  <c r="M169" i="1"/>
  <c r="F178" i="1"/>
  <c r="V186" i="1"/>
  <c r="K187" i="1"/>
  <c r="Q155" i="1"/>
  <c r="E168" i="1"/>
  <c r="U115" i="1"/>
  <c r="O176" i="1"/>
  <c r="M176" i="1"/>
  <c r="B191" i="1"/>
  <c r="M191" i="1"/>
  <c r="L179" i="1"/>
  <c r="M114" i="1"/>
  <c r="H110" i="1"/>
  <c r="B180" i="1"/>
  <c r="B215" i="1" s="1"/>
  <c r="W160" i="1"/>
  <c r="M179" i="1"/>
  <c r="B153" i="1"/>
  <c r="G191" i="1"/>
  <c r="I169" i="1"/>
  <c r="V199" i="1"/>
  <c r="N183" i="1"/>
  <c r="F179" i="1"/>
  <c r="N182" i="1"/>
  <c r="T185" i="1"/>
  <c r="I163" i="1"/>
  <c r="K114" i="1"/>
  <c r="T153" i="1"/>
  <c r="H162" i="1"/>
  <c r="H190" i="1" s="1"/>
  <c r="N176" i="1"/>
  <c r="C100" i="1"/>
  <c r="J195" i="1"/>
  <c r="L208" i="1"/>
  <c r="O169" i="1"/>
  <c r="F160" i="1"/>
  <c r="T207" i="1"/>
  <c r="W163" i="1"/>
  <c r="J199" i="1"/>
  <c r="D186" i="1"/>
  <c r="C182" i="1"/>
  <c r="O185" i="1"/>
  <c r="W109" i="1"/>
  <c r="W173" i="1"/>
  <c r="I113" i="1"/>
  <c r="L195" i="1"/>
  <c r="E161" i="1"/>
  <c r="L200" i="1"/>
  <c r="R155" i="1"/>
  <c r="C199" i="1"/>
  <c r="J189" i="1"/>
  <c r="J219" i="1" s="1"/>
  <c r="Q195" i="1"/>
  <c r="G183" i="1"/>
  <c r="F181" i="1"/>
  <c r="F216" i="1" s="1"/>
  <c r="H180" i="1"/>
  <c r="H215" i="1" s="1"/>
  <c r="Q153" i="1"/>
  <c r="R158" i="1"/>
  <c r="P207" i="1"/>
  <c r="O161" i="1"/>
  <c r="H208" i="1"/>
  <c r="F182" i="1"/>
  <c r="M186" i="1"/>
  <c r="B163" i="1"/>
  <c r="H178" i="1"/>
  <c r="N200" i="1"/>
  <c r="R114" i="1"/>
  <c r="G163" i="1"/>
  <c r="G207" i="1"/>
  <c r="O200" i="1"/>
  <c r="P195" i="1"/>
  <c r="P197" i="1" s="1"/>
  <c r="Q245" i="1" s="1"/>
  <c r="B99" i="1"/>
  <c r="K176" i="1"/>
  <c r="M183" i="1"/>
  <c r="O173" i="1"/>
  <c r="U161" i="1"/>
  <c r="I179" i="1"/>
  <c r="L185" i="1"/>
  <c r="H173" i="1"/>
  <c r="T172" i="1"/>
  <c r="E207" i="1"/>
  <c r="T155" i="1"/>
  <c r="T189" i="1"/>
  <c r="T219" i="1" s="1"/>
  <c r="Q109" i="1"/>
  <c r="U189" i="1"/>
  <c r="U219" i="1" s="1"/>
  <c r="R180" i="1"/>
  <c r="R215" i="1" s="1"/>
  <c r="G155" i="1"/>
  <c r="C185" i="1"/>
  <c r="M109" i="1"/>
  <c r="D167" i="1"/>
  <c r="B155" i="1"/>
  <c r="E155" i="1"/>
  <c r="M172" i="1"/>
  <c r="U199" i="1"/>
  <c r="G114" i="1"/>
  <c r="G172" i="1"/>
  <c r="H199" i="1"/>
  <c r="I181" i="1"/>
  <c r="I216" i="1" s="1"/>
  <c r="B207" i="1"/>
  <c r="H206" i="1"/>
  <c r="J103" i="1"/>
  <c r="C191" i="1"/>
  <c r="D154" i="1"/>
  <c r="T199" i="1"/>
  <c r="U176" i="1"/>
  <c r="F158" i="1"/>
  <c r="M113" i="1"/>
  <c r="C168" i="1"/>
  <c r="D173" i="1"/>
  <c r="W206" i="1"/>
  <c r="D195" i="1"/>
  <c r="G110" i="1"/>
  <c r="S160" i="1"/>
  <c r="D161" i="1"/>
  <c r="C180" i="1"/>
  <c r="C215" i="1" s="1"/>
  <c r="D100" i="1"/>
  <c r="K172" i="1"/>
  <c r="D208" i="1"/>
  <c r="E172" i="1"/>
  <c r="B189" i="1"/>
  <c r="B219" i="1" s="1"/>
  <c r="P103" i="1"/>
  <c r="C207" i="1"/>
  <c r="L171" i="1"/>
  <c r="L167" i="1" s="1"/>
  <c r="E185" i="1"/>
  <c r="V171" i="1"/>
  <c r="V167" i="1" s="1"/>
  <c r="L110" i="1"/>
  <c r="T181" i="1"/>
  <c r="T216" i="1" s="1"/>
  <c r="V185" i="1"/>
  <c r="K199" i="1"/>
  <c r="I195" i="1"/>
  <c r="K113" i="1"/>
  <c r="K186" i="1"/>
  <c r="M181" i="1"/>
  <c r="M216" i="1" s="1"/>
  <c r="P206" i="1"/>
  <c r="F114" i="1"/>
  <c r="J113" i="1"/>
  <c r="K173" i="1"/>
  <c r="P154" i="1"/>
  <c r="E171" i="1"/>
  <c r="E167" i="1" s="1"/>
  <c r="V173" i="1"/>
  <c r="R181" i="1"/>
  <c r="R216" i="1" s="1"/>
  <c r="S181" i="1"/>
  <c r="S216" i="1" s="1"/>
  <c r="S155" i="1"/>
  <c r="B171" i="1"/>
  <c r="J110" i="1"/>
  <c r="N163" i="1"/>
  <c r="M160" i="1"/>
  <c r="O187" i="1"/>
  <c r="O182" i="1"/>
  <c r="J114" i="1"/>
  <c r="H103" i="1"/>
  <c r="O186" i="1"/>
  <c r="W185" i="1"/>
  <c r="P185" i="1"/>
  <c r="S195" i="1"/>
  <c r="L189" i="1"/>
  <c r="L219" i="1" s="1"/>
  <c r="K155" i="1"/>
  <c r="S179" i="1"/>
  <c r="T196" i="1"/>
  <c r="G208" i="1"/>
  <c r="G169" i="1"/>
  <c r="I154" i="1"/>
  <c r="S172" i="1"/>
  <c r="D183" i="1"/>
  <c r="N195" i="1"/>
  <c r="B179" i="1"/>
  <c r="L162" i="1"/>
  <c r="L190" i="1" s="1"/>
  <c r="C115" i="1"/>
  <c r="K161" i="1"/>
  <c r="D103" i="1"/>
  <c r="L109" i="1"/>
  <c r="F110" i="1"/>
  <c r="J171" i="1"/>
  <c r="J167" i="1" s="1"/>
  <c r="W195" i="1"/>
  <c r="T186" i="1"/>
  <c r="E183" i="1"/>
  <c r="F109" i="1"/>
  <c r="U154" i="1"/>
  <c r="S182" i="1"/>
  <c r="W178" i="1"/>
  <c r="L113" i="1"/>
  <c r="S110" i="1"/>
  <c r="W180" i="1"/>
  <c r="P183" i="1"/>
  <c r="S178" i="1"/>
  <c r="U187" i="1"/>
  <c r="N162" i="1"/>
  <c r="N190" i="1" s="1"/>
  <c r="H183" i="1"/>
  <c r="I182" i="1"/>
  <c r="I155" i="1"/>
  <c r="K158" i="1"/>
  <c r="I178" i="1"/>
  <c r="M199" i="1"/>
  <c r="H163" i="1"/>
  <c r="U169" i="1"/>
  <c r="N169" i="1"/>
  <c r="O154" i="1"/>
  <c r="R103" i="1"/>
  <c r="S158" i="1"/>
  <c r="H109" i="1"/>
  <c r="W191" i="1"/>
  <c r="D168" i="1"/>
  <c r="I180" i="1"/>
  <c r="I215" i="1" s="1"/>
  <c r="F113" i="1"/>
  <c r="C114" i="1"/>
  <c r="I168" i="1"/>
  <c r="R186" i="1"/>
  <c r="G179" i="1"/>
  <c r="J176" i="1"/>
  <c r="W199" i="1"/>
  <c r="B114" i="1"/>
  <c r="G162" i="1"/>
  <c r="G190" i="1" s="1"/>
  <c r="S114" i="1"/>
  <c r="F183" i="1"/>
  <c r="F155" i="1"/>
  <c r="R113" i="1"/>
  <c r="P110" i="1"/>
  <c r="M168" i="1"/>
  <c r="P182" i="1"/>
  <c r="G158" i="1"/>
  <c r="C181" i="1"/>
  <c r="C216" i="1" s="1"/>
  <c r="J162" i="1"/>
  <c r="J190" i="1" s="1"/>
  <c r="T161" i="1"/>
  <c r="L196" i="1"/>
  <c r="W179" i="1"/>
  <c r="W158" i="1"/>
  <c r="V114" i="1"/>
  <c r="N153" i="1"/>
  <c r="T183" i="1"/>
  <c r="P173" i="1"/>
  <c r="P162" i="1"/>
  <c r="P190" i="1" s="1"/>
  <c r="P172" i="1"/>
  <c r="L158" i="1"/>
  <c r="H168" i="1"/>
  <c r="J158" i="1"/>
  <c r="M171" i="1"/>
  <c r="M167" i="1" s="1"/>
  <c r="Q180" i="1"/>
  <c r="Q215" i="1" s="1"/>
  <c r="V206" i="1"/>
  <c r="M195" i="1"/>
  <c r="H153" i="1"/>
  <c r="B154" i="1"/>
  <c r="S200" i="1"/>
  <c r="O162" i="1"/>
  <c r="O190" i="1" s="1"/>
  <c r="P113" i="1"/>
  <c r="P158" i="1"/>
  <c r="G200" i="1"/>
  <c r="P181" i="1"/>
  <c r="P216" i="1" s="1"/>
  <c r="F173" i="1"/>
  <c r="Q183" i="1"/>
  <c r="R169" i="1"/>
  <c r="I200" i="1"/>
  <c r="P176" i="1"/>
  <c r="Q178" i="1"/>
  <c r="K208" i="1"/>
  <c r="T171" i="1"/>
  <c r="T167" i="1" s="1"/>
  <c r="V176" i="1"/>
  <c r="D206" i="1"/>
  <c r="F176" i="1"/>
  <c r="L103" i="1"/>
  <c r="U178" i="1"/>
  <c r="D114" i="1"/>
  <c r="H185" i="1"/>
  <c r="O178" i="1"/>
  <c r="B115" i="1"/>
  <c r="T169" i="1"/>
  <c r="M155" i="1"/>
  <c r="B185" i="1"/>
  <c r="L187" i="1"/>
  <c r="R191" i="1"/>
  <c r="U162" i="1"/>
  <c r="U190" i="1" s="1"/>
  <c r="I160" i="1"/>
  <c r="I153" i="1"/>
  <c r="F153" i="1"/>
  <c r="F191" i="1"/>
  <c r="U191" i="1"/>
  <c r="S206" i="1"/>
  <c r="E163" i="1"/>
  <c r="C186" i="1"/>
  <c r="S183" i="1"/>
  <c r="B176" i="1"/>
  <c r="B160" i="1"/>
  <c r="W207" i="1"/>
  <c r="K191" i="1"/>
  <c r="M200" i="1"/>
  <c r="D162" i="1"/>
  <c r="D190" i="1" s="1"/>
  <c r="H113" i="1"/>
  <c r="N172" i="1"/>
  <c r="V178" i="1"/>
  <c r="V110" i="1"/>
  <c r="C178" i="1"/>
  <c r="K182" i="1"/>
  <c r="D99" i="1"/>
  <c r="V155" i="1"/>
  <c r="J161" i="1"/>
  <c r="L176" i="1"/>
  <c r="Q199" i="1"/>
  <c r="D155" i="1"/>
  <c r="R183" i="1"/>
  <c r="G195" i="1"/>
  <c r="E103" i="1"/>
  <c r="C176" i="1"/>
  <c r="S162" i="1"/>
  <c r="S190" i="1" s="1"/>
  <c r="R162" i="1"/>
  <c r="R190" i="1" s="1"/>
  <c r="S171" i="1"/>
  <c r="S167" i="1" s="1"/>
  <c r="J200" i="1"/>
  <c r="T180" i="1"/>
  <c r="T215" i="1" s="1"/>
  <c r="E179" i="1"/>
  <c r="Q158" i="1"/>
  <c r="J206" i="1"/>
  <c r="J181" i="1"/>
  <c r="J216" i="1" s="1"/>
  <c r="J160" i="1"/>
  <c r="B183" i="1"/>
  <c r="J191" i="1"/>
  <c r="V195" i="1"/>
  <c r="O158" i="1"/>
  <c r="L163" i="1"/>
  <c r="R160" i="1"/>
  <c r="T191" i="1"/>
  <c r="O207" i="1"/>
  <c r="U183" i="1"/>
  <c r="S109" i="1"/>
  <c r="E176" i="1"/>
  <c r="H187" i="1"/>
  <c r="P171" i="1"/>
  <c r="P167" i="1" s="1"/>
  <c r="H115" i="1"/>
  <c r="C109" i="1"/>
  <c r="K103" i="1"/>
  <c r="C171" i="1"/>
  <c r="D179" i="1"/>
  <c r="Q185" i="1"/>
  <c r="W186" i="1"/>
  <c r="L155" i="1"/>
  <c r="C167" i="1"/>
  <c r="Q115" i="1"/>
  <c r="N173" i="1"/>
  <c r="G181" i="1"/>
  <c r="G216" i="1" s="1"/>
  <c r="D171" i="1"/>
  <c r="E200" i="1"/>
  <c r="T200" i="1"/>
  <c r="K206" i="1"/>
  <c r="Q173" i="1"/>
  <c r="J168" i="1"/>
  <c r="H182" i="1"/>
  <c r="D180" i="1"/>
  <c r="D215" i="1" s="1"/>
  <c r="V172" i="1"/>
  <c r="G161" i="1"/>
  <c r="M163" i="1"/>
  <c r="CZ113" i="1"/>
  <c r="CD1" i="1"/>
  <c r="CE1" i="1" s="1"/>
  <c r="CF1" i="1" s="1"/>
  <c r="CG1" i="1" s="1"/>
  <c r="CH1" i="1" s="1"/>
  <c r="CI1" i="1" s="1"/>
  <c r="CJ1" i="1" s="1"/>
  <c r="B88" i="1"/>
  <c r="AP73" i="3"/>
  <c r="AB86" i="3"/>
  <c r="AB49" i="3"/>
  <c r="L36" i="3"/>
  <c r="AO40" i="3"/>
  <c r="AM12" i="3"/>
  <c r="V13" i="3"/>
  <c r="V18" i="3"/>
  <c r="T13" i="3"/>
  <c r="AN20" i="3"/>
  <c r="X15" i="3"/>
  <c r="P41" i="3"/>
  <c r="X12" i="3"/>
  <c r="S26" i="3"/>
  <c r="AC26" i="3"/>
  <c r="W40" i="3"/>
  <c r="AC35" i="3"/>
  <c r="AM11" i="3"/>
  <c r="V32" i="3"/>
  <c r="AP24" i="3"/>
  <c r="Z6" i="3"/>
  <c r="AG11" i="3"/>
  <c r="Y9" i="3"/>
  <c r="AL33" i="3"/>
  <c r="AP36" i="3"/>
  <c r="P6" i="3"/>
  <c r="N29" i="3"/>
  <c r="E50" i="3"/>
  <c r="G49" i="3"/>
  <c r="AO33" i="3"/>
  <c r="M16" i="3"/>
  <c r="AA32" i="3"/>
  <c r="N23" i="3"/>
  <c r="AM29" i="3"/>
  <c r="L39" i="3"/>
  <c r="S9" i="3"/>
  <c r="AO38" i="3"/>
  <c r="W20" i="3"/>
  <c r="AQ22" i="3"/>
  <c r="AM27" i="3"/>
  <c r="AB6" i="3"/>
  <c r="Y33" i="3"/>
  <c r="AQ38" i="3"/>
  <c r="U35" i="3"/>
  <c r="M27" i="3"/>
  <c r="O26" i="3"/>
  <c r="AC18" i="3"/>
  <c r="S5" i="3"/>
  <c r="S94" i="3" s="1"/>
  <c r="I16" i="3"/>
  <c r="AQ33" i="3"/>
  <c r="P36" i="3"/>
  <c r="S37" i="3"/>
  <c r="Y21" i="3"/>
  <c r="M24" i="3"/>
  <c r="AB60" i="3"/>
  <c r="AP50" i="3"/>
  <c r="AB48" i="3"/>
  <c r="AI23" i="3"/>
  <c r="C10" i="3"/>
  <c r="AC27" i="3"/>
  <c r="AM22" i="3"/>
  <c r="AM16" i="3"/>
  <c r="AA34" i="3"/>
  <c r="AM26" i="3"/>
  <c r="AC22" i="3"/>
  <c r="P5" i="3"/>
  <c r="AG36" i="3"/>
  <c r="U39" i="3"/>
  <c r="AD25" i="3"/>
  <c r="Z30" i="3"/>
  <c r="X41" i="3"/>
  <c r="AQ34" i="3"/>
  <c r="Z19" i="3"/>
  <c r="Y5" i="3"/>
  <c r="AL21" i="3"/>
  <c r="AH36" i="3"/>
  <c r="R10" i="3"/>
  <c r="AN6" i="3"/>
  <c r="AI21" i="3"/>
  <c r="H10" i="3"/>
  <c r="O31" i="3"/>
  <c r="J13" i="3"/>
  <c r="AP74" i="3"/>
  <c r="AP79" i="3"/>
  <c r="Z10" i="3"/>
  <c r="AB8" i="3"/>
  <c r="AL25" i="3"/>
  <c r="AJ21" i="3"/>
  <c r="AO14" i="3"/>
  <c r="AL9" i="3"/>
  <c r="C34" i="3"/>
  <c r="AD19" i="3"/>
  <c r="AK5" i="3"/>
  <c r="AG42" i="3"/>
  <c r="J37" i="3"/>
  <c r="M39" i="3"/>
  <c r="O33" i="3"/>
  <c r="I13" i="3"/>
  <c r="AD31" i="3"/>
  <c r="O24" i="3"/>
  <c r="AP13" i="3"/>
  <c r="AB41" i="3"/>
  <c r="T10" i="3"/>
  <c r="AP15" i="3"/>
  <c r="H23" i="3"/>
  <c r="X28" i="3"/>
  <c r="AQ5" i="3"/>
  <c r="AD23" i="3"/>
  <c r="AQ13" i="3"/>
  <c r="AD48" i="3"/>
  <c r="X7" i="3"/>
  <c r="O7" i="3"/>
  <c r="AM10" i="3"/>
  <c r="U42" i="3"/>
  <c r="H39" i="3"/>
  <c r="S34" i="3"/>
  <c r="Q32" i="3"/>
  <c r="AA9" i="3"/>
  <c r="I40" i="3"/>
  <c r="W38" i="3"/>
  <c r="C36" i="3"/>
  <c r="AB79" i="3"/>
  <c r="AK37" i="3"/>
  <c r="R26" i="3"/>
  <c r="I32" i="3"/>
  <c r="AG16" i="3"/>
  <c r="AP25" i="3"/>
  <c r="AL32" i="3"/>
  <c r="Q27" i="3"/>
  <c r="S24" i="3"/>
  <c r="AJ6" i="3"/>
  <c r="H24" i="3"/>
  <c r="AC16" i="3"/>
  <c r="V27" i="3"/>
  <c r="Y80" i="3"/>
  <c r="AH29" i="3"/>
  <c r="AA27" i="3"/>
  <c r="AH15" i="3"/>
  <c r="AO19" i="3"/>
  <c r="W14" i="3"/>
  <c r="V42" i="3"/>
  <c r="V7" i="3"/>
  <c r="H26" i="3"/>
  <c r="Z14" i="3"/>
  <c r="W19" i="3"/>
  <c r="AP64" i="3"/>
  <c r="AG26" i="3"/>
  <c r="AA42" i="3"/>
  <c r="AO24" i="3"/>
  <c r="V29" i="3"/>
  <c r="AA25" i="3"/>
  <c r="R34" i="3"/>
  <c r="AN28" i="3"/>
  <c r="AA23" i="3"/>
  <c r="AM20" i="3"/>
  <c r="Z23" i="3"/>
  <c r="I39" i="3"/>
  <c r="J25" i="3"/>
  <c r="O35" i="3"/>
  <c r="V28" i="3"/>
  <c r="S29" i="3"/>
  <c r="AP16" i="3"/>
  <c r="T41" i="3"/>
  <c r="AG38" i="3"/>
  <c r="C11" i="3"/>
  <c r="Z32" i="3"/>
  <c r="X10" i="3"/>
  <c r="AL42" i="3"/>
  <c r="AO42" i="3"/>
  <c r="AN13" i="3"/>
  <c r="S15" i="3"/>
  <c r="S38" i="3"/>
  <c r="N7" i="3"/>
  <c r="AB40" i="3"/>
  <c r="AL6" i="3"/>
  <c r="AJ22" i="3"/>
  <c r="AP71" i="3"/>
  <c r="AJ28" i="3"/>
  <c r="O38" i="3"/>
  <c r="V14" i="3"/>
  <c r="N10" i="3"/>
  <c r="I35" i="3"/>
  <c r="AA17" i="3"/>
  <c r="AE31" i="3"/>
  <c r="AP85" i="3"/>
  <c r="AE32" i="3"/>
  <c r="U19" i="3"/>
  <c r="Q25" i="3"/>
  <c r="AB47" i="3"/>
  <c r="G35" i="3"/>
  <c r="AB84" i="3"/>
  <c r="M13" i="3"/>
  <c r="S32" i="3"/>
  <c r="AJ29" i="3"/>
  <c r="AP70" i="3"/>
  <c r="AP54" i="3"/>
  <c r="AB38" i="3"/>
  <c r="AP31" i="3"/>
  <c r="AN33" i="3"/>
  <c r="J5" i="3"/>
  <c r="AA18" i="3"/>
  <c r="AA8" i="3"/>
  <c r="V15" i="3"/>
  <c r="O25" i="3"/>
  <c r="P14" i="3"/>
  <c r="Q19" i="3"/>
  <c r="AC14" i="3"/>
  <c r="U38" i="3"/>
  <c r="V26" i="3"/>
  <c r="AD26" i="3"/>
  <c r="AQ27" i="3"/>
  <c r="W18" i="3"/>
  <c r="AD34" i="3"/>
  <c r="H27" i="3"/>
  <c r="AK35" i="3"/>
  <c r="U5" i="3"/>
  <c r="W24" i="3"/>
  <c r="J21" i="3"/>
  <c r="AJ32" i="3"/>
  <c r="C48" i="3"/>
  <c r="E48" i="3"/>
  <c r="H5" i="3"/>
  <c r="I8" i="3"/>
  <c r="AQ12" i="3"/>
  <c r="AI11" i="3"/>
  <c r="AA15" i="3"/>
  <c r="AI10" i="3"/>
  <c r="AQ21" i="3"/>
  <c r="U23" i="3"/>
  <c r="AH35" i="3"/>
  <c r="AP18" i="3"/>
  <c r="S6" i="3"/>
  <c r="V24" i="3"/>
  <c r="Q7" i="3"/>
  <c r="N13" i="3"/>
  <c r="I23" i="3"/>
  <c r="R39" i="3"/>
  <c r="L30" i="3"/>
  <c r="X31" i="3"/>
  <c r="AQ40" i="3"/>
  <c r="AC21" i="3"/>
  <c r="I11" i="3"/>
  <c r="J42" i="3"/>
  <c r="T15" i="3"/>
  <c r="K20" i="3"/>
  <c r="O12" i="3"/>
  <c r="AB73" i="3"/>
  <c r="AB59" i="3"/>
  <c r="AH22" i="3"/>
  <c r="AB16" i="3"/>
  <c r="AD35" i="3"/>
  <c r="U33" i="3"/>
  <c r="AQ15" i="3"/>
  <c r="Q33" i="3"/>
  <c r="M14" i="3"/>
  <c r="AC33" i="3"/>
  <c r="T33" i="3"/>
  <c r="S10" i="3"/>
  <c r="AE11" i="3"/>
  <c r="AQ28" i="3"/>
  <c r="AJ39" i="3"/>
  <c r="W28" i="3"/>
  <c r="AN37" i="3"/>
  <c r="L5" i="3"/>
  <c r="U24" i="3"/>
  <c r="AB39" i="3"/>
  <c r="L25" i="3"/>
  <c r="N16" i="3"/>
  <c r="AN19" i="3"/>
  <c r="AG40" i="3"/>
  <c r="AQ36" i="3"/>
  <c r="AC15" i="3"/>
  <c r="J17" i="3"/>
  <c r="AP58" i="3"/>
  <c r="AP78" i="3"/>
  <c r="AO11" i="3"/>
  <c r="Z9" i="3"/>
  <c r="AO25" i="3"/>
  <c r="V16" i="3"/>
  <c r="W6" i="3"/>
  <c r="R9" i="3"/>
  <c r="AH27" i="3"/>
  <c r="W16" i="3"/>
  <c r="AI37" i="3"/>
  <c r="Y23" i="3"/>
  <c r="Z21" i="3"/>
  <c r="AG34" i="3"/>
  <c r="L40" i="3"/>
  <c r="N39" i="3"/>
  <c r="O37" i="3"/>
  <c r="T5" i="3"/>
  <c r="X40" i="3"/>
  <c r="AI13" i="3"/>
  <c r="AM32" i="3"/>
  <c r="Q40" i="3"/>
  <c r="H6" i="3"/>
  <c r="AO18" i="3"/>
  <c r="AA22" i="3"/>
  <c r="C29" i="3"/>
  <c r="V9" i="3"/>
  <c r="AB9" i="3"/>
  <c r="W13" i="3"/>
  <c r="K40" i="3"/>
  <c r="V19" i="3"/>
  <c r="J47" i="3"/>
  <c r="L14" i="3"/>
  <c r="AQ37" i="3"/>
  <c r="M33" i="3"/>
  <c r="AC6" i="3"/>
  <c r="Z25" i="3"/>
  <c r="O23" i="3"/>
  <c r="Q42" i="3"/>
  <c r="AM30" i="3"/>
  <c r="T29" i="3"/>
  <c r="AM42" i="3"/>
  <c r="P25" i="3"/>
  <c r="Y28" i="3"/>
  <c r="R31" i="3"/>
  <c r="P12" i="3"/>
  <c r="AD42" i="3"/>
  <c r="AO29" i="3"/>
  <c r="V5" i="3"/>
  <c r="AC39" i="3"/>
  <c r="S28" i="3"/>
  <c r="W11" i="3"/>
  <c r="K11" i="3"/>
  <c r="AO10" i="3"/>
  <c r="R32" i="3"/>
  <c r="K8" i="3"/>
  <c r="L15" i="3"/>
  <c r="AE40" i="3"/>
  <c r="E47" i="3"/>
  <c r="Y16" i="3"/>
  <c r="C40" i="3"/>
  <c r="D49" i="3"/>
  <c r="AP61" i="3"/>
  <c r="G41" i="3"/>
  <c r="AG30" i="3"/>
  <c r="AE33" i="3"/>
  <c r="P27" i="3"/>
  <c r="K13" i="3"/>
  <c r="C17" i="3"/>
  <c r="I19" i="3"/>
  <c r="J26" i="3"/>
  <c r="AE9" i="3"/>
  <c r="AA13" i="3"/>
  <c r="AK40" i="3"/>
  <c r="AM35" i="3"/>
  <c r="Q30" i="3"/>
  <c r="AA41" i="3"/>
  <c r="AM7" i="3"/>
  <c r="AA33" i="3"/>
  <c r="L35" i="3"/>
  <c r="AJ19" i="3"/>
  <c r="AG39" i="3"/>
  <c r="AI42" i="3"/>
  <c r="C21" i="3"/>
  <c r="M42" i="3"/>
  <c r="AP83" i="3"/>
  <c r="AD30" i="3"/>
  <c r="AH16" i="3"/>
  <c r="M31" i="3"/>
  <c r="X19" i="3"/>
  <c r="N27" i="3"/>
  <c r="AP93" i="3"/>
  <c r="AB80" i="3"/>
  <c r="AB30" i="3"/>
  <c r="L21" i="3"/>
  <c r="R23" i="3"/>
  <c r="AM15" i="3"/>
  <c r="Q34" i="3"/>
  <c r="R21" i="3"/>
  <c r="AH26" i="3"/>
  <c r="AL26" i="3"/>
  <c r="I27" i="3"/>
  <c r="M37" i="3"/>
  <c r="L18" i="3"/>
  <c r="H36" i="3"/>
  <c r="AL30" i="3"/>
  <c r="Z7" i="3"/>
  <c r="V40" i="3"/>
  <c r="AI12" i="3"/>
  <c r="W12" i="3"/>
  <c r="AP39" i="3"/>
  <c r="AL12" i="3"/>
  <c r="AN10" i="3"/>
  <c r="O9" i="3"/>
  <c r="P19" i="3"/>
  <c r="Z33" i="3"/>
  <c r="M17" i="3"/>
  <c r="AQ29" i="3"/>
  <c r="K12" i="3"/>
  <c r="AP84" i="3"/>
  <c r="AB72" i="3"/>
  <c r="AG18" i="3"/>
  <c r="C25" i="3"/>
  <c r="Q39" i="3"/>
  <c r="V25" i="3"/>
  <c r="AC12" i="3"/>
  <c r="AO20" i="3"/>
  <c r="AG31" i="3"/>
  <c r="AH10" i="3"/>
  <c r="H17" i="3"/>
  <c r="AO35" i="3"/>
  <c r="Q9" i="3"/>
  <c r="AH17" i="3"/>
  <c r="L17" i="3"/>
  <c r="J35" i="3"/>
  <c r="AM18" i="3"/>
  <c r="Y42" i="3"/>
  <c r="V20" i="3"/>
  <c r="AP11" i="3"/>
  <c r="Z29" i="3"/>
  <c r="J7" i="3"/>
  <c r="AK7" i="3"/>
  <c r="AG29" i="3"/>
  <c r="P40" i="3"/>
  <c r="Z16" i="3"/>
  <c r="R5" i="3"/>
  <c r="L33" i="3"/>
  <c r="AP76" i="3"/>
  <c r="AB58" i="3"/>
  <c r="AE38" i="3"/>
  <c r="AB22" i="3"/>
  <c r="AL27" i="3"/>
  <c r="J6" i="3"/>
  <c r="AO16" i="3"/>
  <c r="U36" i="3"/>
  <c r="AH37" i="3"/>
  <c r="AQ26" i="3"/>
  <c r="AE29" i="3"/>
  <c r="V12" i="3"/>
  <c r="AI14" i="3"/>
  <c r="J31" i="3"/>
  <c r="S42" i="3"/>
  <c r="X22" i="3"/>
  <c r="U15" i="3"/>
  <c r="T19" i="3"/>
  <c r="M29" i="3"/>
  <c r="L37" i="3"/>
  <c r="AP17" i="3"/>
  <c r="AL35" i="3"/>
  <c r="Y19" i="3"/>
  <c r="AA11" i="3"/>
  <c r="Y90" i="3"/>
  <c r="P17" i="3"/>
  <c r="AP30" i="3"/>
  <c r="S8" i="3"/>
  <c r="Y37" i="3"/>
  <c r="E49" i="3"/>
  <c r="AP92" i="3"/>
  <c r="AG8" i="3"/>
  <c r="AM21" i="3"/>
  <c r="J14" i="3"/>
  <c r="AH21" i="3"/>
  <c r="J10" i="3"/>
  <c r="C28" i="3"/>
  <c r="AI15" i="3"/>
  <c r="AI7" i="3"/>
  <c r="W39" i="3"/>
  <c r="O19" i="3"/>
  <c r="K28" i="3"/>
  <c r="K39" i="3"/>
  <c r="O21" i="3"/>
  <c r="M7" i="3"/>
  <c r="AK15" i="3"/>
  <c r="AG9" i="3"/>
  <c r="AI30" i="3"/>
  <c r="AB29" i="3"/>
  <c r="AL7" i="3"/>
  <c r="AA20" i="3"/>
  <c r="AN14" i="3"/>
  <c r="I37" i="3"/>
  <c r="V21" i="3"/>
  <c r="Z40" i="3"/>
  <c r="AL24" i="3"/>
  <c r="X27" i="3"/>
  <c r="AE35" i="3"/>
  <c r="U31" i="3"/>
  <c r="V69" i="3"/>
  <c r="AC5" i="3"/>
  <c r="L12" i="3"/>
  <c r="J29" i="3"/>
  <c r="L27" i="3"/>
  <c r="U32" i="3"/>
  <c r="X39" i="3"/>
  <c r="Y36" i="3"/>
  <c r="AC85" i="3"/>
  <c r="J40" i="3"/>
  <c r="AD24" i="3"/>
  <c r="AQ24" i="3"/>
  <c r="AB18" i="3"/>
  <c r="V8" i="3"/>
  <c r="AC20" i="3"/>
  <c r="J19" i="3"/>
  <c r="AP56" i="3"/>
  <c r="AP20" i="3"/>
  <c r="Y14" i="3"/>
  <c r="M21" i="3"/>
  <c r="AK36" i="3"/>
  <c r="P42" i="3"/>
  <c r="O29" i="3"/>
  <c r="AQ14" i="3"/>
  <c r="AH23" i="3"/>
  <c r="AK8" i="3"/>
  <c r="AE30" i="3"/>
  <c r="T28" i="3"/>
  <c r="U14" i="3"/>
  <c r="AH42" i="3"/>
  <c r="S70" i="3"/>
  <c r="AC67" i="3"/>
  <c r="I42" i="3"/>
  <c r="R36" i="3"/>
  <c r="O30" i="3"/>
  <c r="I24" i="3"/>
  <c r="Y69" i="3"/>
  <c r="AG15" i="3"/>
  <c r="M19" i="3"/>
  <c r="U16" i="3"/>
  <c r="AO8" i="3"/>
  <c r="N18" i="3"/>
  <c r="AB21" i="3"/>
  <c r="W22" i="3"/>
  <c r="AD37" i="3"/>
  <c r="Q15" i="3"/>
  <c r="AM34" i="3"/>
  <c r="H37" i="3"/>
  <c r="I17" i="3"/>
  <c r="S16" i="3"/>
  <c r="L9" i="3"/>
  <c r="AQ11" i="3"/>
  <c r="AP95" i="3"/>
  <c r="O41" i="3"/>
  <c r="AB26" i="3"/>
  <c r="H25" i="3"/>
  <c r="H15" i="3"/>
  <c r="AP97" i="3"/>
  <c r="P29" i="3"/>
  <c r="AG10" i="3"/>
  <c r="Z20" i="3"/>
  <c r="AD20" i="3"/>
  <c r="K22" i="3"/>
  <c r="AP66" i="3"/>
  <c r="C35" i="3"/>
  <c r="L13" i="3"/>
  <c r="X18" i="3"/>
  <c r="W5" i="3"/>
  <c r="W57" i="3" s="1"/>
  <c r="AP91" i="3"/>
  <c r="X5" i="3"/>
  <c r="R41" i="3"/>
  <c r="I30" i="3"/>
  <c r="X25" i="3"/>
  <c r="T31" i="3"/>
  <c r="AB88" i="3"/>
  <c r="X8" i="3"/>
  <c r="P15" i="3"/>
  <c r="U22" i="3"/>
  <c r="N14" i="3"/>
  <c r="U40" i="3"/>
  <c r="AB68" i="3"/>
  <c r="AP65" i="3"/>
  <c r="AE36" i="3"/>
  <c r="N36" i="3"/>
  <c r="AE5" i="3"/>
  <c r="AD39" i="3"/>
  <c r="AK10" i="3"/>
  <c r="AE8" i="3"/>
  <c r="I36" i="3"/>
  <c r="AG5" i="3"/>
  <c r="AG65" i="3" s="1"/>
  <c r="AA31" i="3"/>
  <c r="K32" i="3"/>
  <c r="AJ9" i="3"/>
  <c r="R17" i="3"/>
  <c r="M5" i="3"/>
  <c r="H21" i="3"/>
  <c r="Y17" i="3"/>
  <c r="AP42" i="3"/>
  <c r="Z28" i="3"/>
  <c r="AN11" i="3"/>
  <c r="G32" i="3"/>
  <c r="Z37" i="3"/>
  <c r="L6" i="3"/>
  <c r="T11" i="3"/>
  <c r="T16" i="3"/>
  <c r="Q11" i="3"/>
  <c r="AO34" i="3"/>
  <c r="AQ25" i="3"/>
  <c r="AP59" i="3"/>
  <c r="AB57" i="3"/>
  <c r="C13" i="3"/>
  <c r="AL41" i="3"/>
  <c r="AB14" i="3"/>
  <c r="U34" i="3"/>
  <c r="C37" i="3"/>
  <c r="Z13" i="3"/>
  <c r="H34" i="3"/>
  <c r="G38" i="3"/>
  <c r="AH14" i="3"/>
  <c r="Y41" i="3"/>
  <c r="X35" i="3"/>
  <c r="C32" i="3"/>
  <c r="AI22" i="3"/>
  <c r="N21" i="3"/>
  <c r="U20" i="3"/>
  <c r="C7" i="3"/>
  <c r="O40" i="3"/>
  <c r="AD32" i="3"/>
  <c r="P24" i="3"/>
  <c r="AM14" i="3"/>
  <c r="U9" i="3"/>
  <c r="Y31" i="3"/>
  <c r="C24" i="3"/>
  <c r="AQ20" i="3"/>
  <c r="M15" i="3"/>
  <c r="AL34" i="3"/>
  <c r="AP68" i="3"/>
  <c r="C49" i="3"/>
  <c r="AI35" i="3"/>
  <c r="U18" i="3"/>
  <c r="AC23" i="3"/>
  <c r="Y15" i="3"/>
  <c r="AN8" i="3"/>
  <c r="Y20" i="3"/>
  <c r="AE10" i="3"/>
  <c r="H28" i="3"/>
  <c r="S41" i="3"/>
  <c r="O32" i="3"/>
  <c r="U13" i="3"/>
  <c r="W37" i="3"/>
  <c r="K30" i="3"/>
  <c r="N8" i="3"/>
  <c r="Y26" i="3"/>
  <c r="AO15" i="3"/>
  <c r="O11" i="3"/>
  <c r="W8" i="3"/>
  <c r="X42" i="3"/>
  <c r="AG19" i="3"/>
  <c r="H22" i="3"/>
  <c r="AL17" i="3"/>
  <c r="Q12" i="3"/>
  <c r="C14" i="3"/>
  <c r="AB42" i="3"/>
  <c r="V37" i="3"/>
  <c r="K21" i="3"/>
  <c r="AP48" i="3"/>
  <c r="C26" i="3"/>
  <c r="AH11" i="3"/>
  <c r="AD50" i="3"/>
  <c r="R38" i="3"/>
  <c r="P28" i="3"/>
  <c r="N30" i="3"/>
  <c r="Q24" i="3"/>
  <c r="AH39" i="3"/>
  <c r="Q5" i="3"/>
  <c r="Q49" i="3" s="1"/>
  <c r="W77" i="3"/>
  <c r="AB19" i="3"/>
  <c r="Q92" i="3"/>
  <c r="U10" i="3"/>
  <c r="AP19" i="3"/>
  <c r="AH8" i="3"/>
  <c r="AQ23" i="3"/>
  <c r="P7" i="3"/>
  <c r="Q18" i="3"/>
  <c r="AM39" i="3"/>
  <c r="J41" i="3"/>
  <c r="M41" i="3"/>
  <c r="W10" i="3"/>
  <c r="G40" i="3"/>
  <c r="G42" i="3"/>
  <c r="L31" i="3"/>
  <c r="AD41" i="3"/>
  <c r="S68" i="3"/>
  <c r="R16" i="3"/>
  <c r="AB37" i="3"/>
  <c r="H69" i="3"/>
  <c r="AB55" i="3"/>
  <c r="AD27" i="3"/>
  <c r="M25" i="3"/>
  <c r="AH31" i="3"/>
  <c r="T9" i="3"/>
  <c r="AJ17" i="3"/>
  <c r="AB87" i="3"/>
  <c r="AB90" i="3"/>
  <c r="AO9" i="3"/>
  <c r="N35" i="3"/>
  <c r="I12" i="3"/>
  <c r="R18" i="3"/>
  <c r="K31" i="3"/>
  <c r="AP12" i="3"/>
  <c r="U11" i="3"/>
  <c r="AO28" i="3"/>
  <c r="Q23" i="3"/>
  <c r="AL8" i="3"/>
  <c r="S18" i="3"/>
  <c r="W42" i="3"/>
  <c r="AI36" i="3"/>
  <c r="AE25" i="3"/>
  <c r="U8" i="3"/>
  <c r="K7" i="3"/>
  <c r="AC28" i="3"/>
  <c r="AC37" i="3"/>
  <c r="AH20" i="3"/>
  <c r="AC19" i="3"/>
  <c r="AI27" i="3"/>
  <c r="I18" i="3"/>
  <c r="T25" i="3"/>
  <c r="AE56" i="3"/>
  <c r="U17" i="3"/>
  <c r="AB70" i="3"/>
  <c r="AB56" i="3"/>
  <c r="AP10" i="3"/>
  <c r="H16" i="3"/>
  <c r="AM41" i="3"/>
  <c r="AI33" i="3"/>
  <c r="S17" i="3"/>
  <c r="X32" i="3"/>
  <c r="P34" i="3"/>
  <c r="AA24" i="3"/>
  <c r="U28" i="3"/>
  <c r="AD49" i="3"/>
  <c r="S22" i="3"/>
  <c r="AQ19" i="3"/>
  <c r="Z12" i="3"/>
  <c r="AH28" i="3"/>
  <c r="C39" i="3"/>
  <c r="Z35" i="3"/>
  <c r="AE14" i="3"/>
  <c r="AO5" i="3"/>
  <c r="AP34" i="3"/>
  <c r="H41" i="3"/>
  <c r="M20" i="3"/>
  <c r="K23" i="3"/>
  <c r="AH6" i="3"/>
  <c r="M40" i="3"/>
  <c r="AL22" i="3"/>
  <c r="AB61" i="3"/>
  <c r="G48" i="3"/>
  <c r="P32" i="3"/>
  <c r="AM8" i="3"/>
  <c r="AG32" i="3"/>
  <c r="O28" i="3"/>
  <c r="AK27" i="3"/>
  <c r="AO7" i="3"/>
  <c r="AI32" i="3"/>
  <c r="AN27" i="3"/>
  <c r="R30" i="3"/>
  <c r="M28" i="3"/>
  <c r="AK23" i="3"/>
  <c r="T35" i="3"/>
  <c r="N5" i="3"/>
  <c r="V36" i="3"/>
  <c r="X6" i="3"/>
  <c r="AJ37" i="3"/>
  <c r="R27" i="3"/>
  <c r="AG22" i="3"/>
  <c r="C8" i="3"/>
  <c r="W15" i="3"/>
  <c r="M36" i="3"/>
  <c r="R14" i="3"/>
  <c r="O18" i="3"/>
  <c r="H30" i="3"/>
  <c r="C19" i="3"/>
  <c r="AP21" i="3"/>
  <c r="AO59" i="3"/>
  <c r="AC70" i="3"/>
  <c r="W7" i="3"/>
  <c r="Q13" i="3"/>
  <c r="AL19" i="3"/>
  <c r="AM9" i="3"/>
  <c r="G33" i="3"/>
  <c r="AN12" i="3"/>
  <c r="AB33" i="3"/>
  <c r="AC40" i="3"/>
  <c r="AA26" i="3"/>
  <c r="AB89" i="3"/>
  <c r="U21" i="3"/>
  <c r="AB32" i="3"/>
  <c r="U7" i="3"/>
  <c r="R19" i="3"/>
  <c r="AM38" i="3"/>
  <c r="AK22" i="3"/>
  <c r="V34" i="3"/>
  <c r="V73" i="3"/>
  <c r="P18" i="3"/>
  <c r="N56" i="3"/>
  <c r="V30" i="3"/>
  <c r="V79" i="3"/>
  <c r="AE7" i="3"/>
  <c r="K16" i="3"/>
  <c r="AI24" i="3"/>
  <c r="U25" i="3"/>
  <c r="AJ18" i="3"/>
  <c r="T17" i="3"/>
  <c r="L28" i="3"/>
  <c r="AP96" i="3"/>
  <c r="AA19" i="3"/>
  <c r="AM33" i="3"/>
  <c r="AI41" i="3"/>
  <c r="P35" i="3"/>
  <c r="D50" i="3"/>
  <c r="AB85" i="3"/>
  <c r="AC10" i="3"/>
  <c r="Y6" i="3"/>
  <c r="K34" i="3"/>
  <c r="AP9" i="3"/>
  <c r="AA12" i="3"/>
  <c r="S77" i="3"/>
  <c r="AN18" i="3"/>
  <c r="U29" i="3"/>
  <c r="AO65" i="3"/>
  <c r="I15" i="3"/>
  <c r="T30" i="3"/>
  <c r="K38" i="3"/>
  <c r="AL29" i="3"/>
  <c r="AJ35" i="3"/>
  <c r="I34" i="3"/>
  <c r="C16" i="3"/>
  <c r="AA35" i="3"/>
  <c r="K37" i="3"/>
  <c r="N31" i="3"/>
  <c r="AG35" i="3"/>
  <c r="S19" i="3"/>
  <c r="O13" i="3"/>
  <c r="AP29" i="3"/>
  <c r="R56" i="3"/>
  <c r="AB15" i="3"/>
  <c r="AN30" i="3"/>
  <c r="W35" i="3"/>
  <c r="AB81" i="3"/>
  <c r="AP80" i="3"/>
  <c r="O16" i="3"/>
  <c r="AP28" i="3"/>
  <c r="AK6" i="3"/>
  <c r="AL39" i="3"/>
  <c r="AN21" i="3"/>
  <c r="AG17" i="3"/>
  <c r="R33" i="3"/>
  <c r="V11" i="3"/>
  <c r="AL16" i="3"/>
  <c r="K17" i="3"/>
  <c r="P38" i="3"/>
  <c r="AB24" i="3"/>
  <c r="Z31" i="3"/>
  <c r="C6" i="3"/>
  <c r="AM28" i="3"/>
  <c r="X13" i="3"/>
  <c r="AK26" i="3"/>
  <c r="Y38" i="3"/>
  <c r="AD36" i="3"/>
  <c r="AO26" i="3"/>
  <c r="AQ41" i="3"/>
  <c r="AN39" i="3"/>
  <c r="H9" i="3"/>
  <c r="N28" i="3"/>
  <c r="J67" i="3"/>
  <c r="AE58" i="3"/>
  <c r="AP62" i="3"/>
  <c r="AP86" i="3"/>
  <c r="AO32" i="3"/>
  <c r="T21" i="3"/>
  <c r="Y13" i="3"/>
  <c r="I26" i="3"/>
  <c r="AB12" i="3"/>
  <c r="AG13" i="3"/>
  <c r="V6" i="3"/>
  <c r="AK24" i="3"/>
  <c r="T27" i="3"/>
  <c r="AD33" i="3"/>
  <c r="H40" i="3"/>
  <c r="Y7" i="3"/>
  <c r="G34" i="3"/>
  <c r="AQ17" i="3"/>
  <c r="AJ24" i="3"/>
  <c r="AJ5" i="3"/>
  <c r="M26" i="3"/>
  <c r="AH34" i="3"/>
  <c r="L24" i="3"/>
  <c r="K6" i="3"/>
  <c r="AL40" i="3"/>
  <c r="Y27" i="3"/>
  <c r="AO13" i="3"/>
  <c r="Q36" i="3"/>
  <c r="AM36" i="3"/>
  <c r="AJ93" i="3"/>
  <c r="AP77" i="3"/>
  <c r="AB93" i="3"/>
  <c r="AI9" i="3"/>
  <c r="AD38" i="3"/>
  <c r="K33" i="3"/>
  <c r="Y25" i="3"/>
  <c r="Q6" i="3"/>
  <c r="AJ33" i="3"/>
  <c r="X26" i="3"/>
  <c r="V10" i="3"/>
  <c r="J38" i="3"/>
  <c r="AD22" i="3"/>
  <c r="P22" i="3"/>
  <c r="I21" i="3"/>
  <c r="S7" i="3"/>
  <c r="S12" i="3"/>
  <c r="U6" i="3"/>
  <c r="P33" i="3"/>
  <c r="N67" i="3"/>
  <c r="AB23" i="3"/>
  <c r="J50" i="3"/>
  <c r="AK29" i="3"/>
  <c r="AG33" i="3"/>
  <c r="AA40" i="3"/>
  <c r="Y29" i="3"/>
  <c r="AK9" i="3"/>
  <c r="Y65" i="3"/>
  <c r="W25" i="3"/>
  <c r="AB64" i="3"/>
  <c r="AB62" i="3"/>
  <c r="AC25" i="3"/>
  <c r="Z5" i="3"/>
  <c r="AO39" i="3"/>
  <c r="AM31" i="3"/>
  <c r="L20" i="3"/>
  <c r="T12" i="3"/>
  <c r="J32" i="3"/>
  <c r="J34" i="3"/>
  <c r="Q35" i="3"/>
  <c r="AE12" i="3"/>
  <c r="AM13" i="3"/>
  <c r="M32" i="3"/>
  <c r="X24" i="3"/>
  <c r="L19" i="3"/>
  <c r="O42" i="3"/>
  <c r="T23" i="3"/>
  <c r="O10" i="3"/>
  <c r="AP38" i="3"/>
  <c r="AG27" i="3"/>
  <c r="AP32" i="3"/>
  <c r="AA14" i="3"/>
  <c r="V17" i="3"/>
  <c r="K18" i="3"/>
  <c r="AD40" i="3"/>
  <c r="I31" i="3"/>
  <c r="AQ8" i="3"/>
  <c r="K9" i="3"/>
  <c r="I28" i="3"/>
  <c r="H33" i="3"/>
  <c r="AC50" i="3"/>
  <c r="AC74" i="3"/>
  <c r="I29" i="3"/>
  <c r="Z15" i="3"/>
  <c r="J8" i="3"/>
  <c r="AC57" i="3"/>
  <c r="AL18" i="3"/>
  <c r="N38" i="3"/>
  <c r="W29" i="3"/>
  <c r="I5" i="3"/>
  <c r="H8" i="3"/>
  <c r="N12" i="3"/>
  <c r="AN42" i="3"/>
  <c r="AB28" i="3"/>
  <c r="S55" i="3"/>
  <c r="N95" i="3"/>
  <c r="X29" i="3"/>
  <c r="AH12" i="3"/>
  <c r="AE48" i="3"/>
  <c r="AC41" i="3"/>
  <c r="P88" i="3"/>
  <c r="N26" i="3"/>
  <c r="AN41" i="3"/>
  <c r="P9" i="3"/>
  <c r="X30" i="3"/>
  <c r="D48" i="3"/>
  <c r="N9" i="3"/>
  <c r="R42" i="3"/>
  <c r="W23" i="3"/>
  <c r="Z17" i="3"/>
  <c r="Y10" i="3"/>
  <c r="AP35" i="3"/>
  <c r="AB76" i="3"/>
  <c r="M12" i="3"/>
  <c r="AI19" i="3"/>
  <c r="T37" i="3"/>
  <c r="P10" i="3"/>
  <c r="AM24" i="3"/>
  <c r="Y18" i="3"/>
  <c r="AP22" i="3"/>
  <c r="AN31" i="3"/>
  <c r="AJ20" i="3"/>
  <c r="AK25" i="3"/>
  <c r="K14" i="3"/>
  <c r="P30" i="3"/>
  <c r="AB77" i="3"/>
  <c r="C12" i="3"/>
  <c r="AJ12" i="3"/>
  <c r="AL15" i="3"/>
  <c r="AH19" i="3"/>
  <c r="AK33" i="3"/>
  <c r="AQ32" i="3"/>
  <c r="Y32" i="3"/>
  <c r="AJ41" i="3"/>
  <c r="P13" i="3"/>
  <c r="Q29" i="3"/>
  <c r="AN26" i="3"/>
  <c r="Z42" i="3"/>
  <c r="AC80" i="3"/>
  <c r="J11" i="3"/>
  <c r="O36" i="3"/>
  <c r="AM5" i="3"/>
  <c r="AH25" i="3"/>
  <c r="L41" i="3"/>
  <c r="AN15" i="3"/>
  <c r="AG6" i="3"/>
  <c r="V39" i="3"/>
  <c r="AA29" i="3"/>
  <c r="AE24" i="3"/>
  <c r="L26" i="3"/>
  <c r="Q37" i="3"/>
  <c r="C47" i="3"/>
  <c r="M9" i="3"/>
  <c r="AK16" i="3"/>
  <c r="AK21" i="3"/>
  <c r="Y35" i="3"/>
  <c r="Y30" i="3"/>
  <c r="AB75" i="3"/>
  <c r="W9" i="3"/>
  <c r="AM6" i="3"/>
  <c r="AQ10" i="3"/>
  <c r="T39" i="3"/>
  <c r="AI40" i="3"/>
  <c r="L32" i="3"/>
  <c r="AJ15" i="3"/>
  <c r="AI8" i="3"/>
  <c r="R6" i="3"/>
  <c r="AL37" i="3"/>
  <c r="I10" i="3"/>
  <c r="AJ34" i="3"/>
  <c r="AP49" i="3"/>
  <c r="AK42" i="3"/>
  <c r="Q26" i="3"/>
  <c r="P37" i="3"/>
  <c r="Y24" i="3"/>
  <c r="AJ7" i="3"/>
  <c r="K41" i="3"/>
  <c r="Z38" i="3"/>
  <c r="AC42" i="3"/>
  <c r="AC31" i="3"/>
  <c r="T42" i="3"/>
  <c r="AP75" i="3"/>
  <c r="J33" i="3"/>
  <c r="T38" i="3"/>
  <c r="AQ7" i="3"/>
  <c r="AK31" i="3"/>
  <c r="M22" i="3"/>
  <c r="AL10" i="3"/>
  <c r="V38" i="3"/>
  <c r="O22" i="3"/>
  <c r="AQ16" i="3"/>
  <c r="N17" i="3"/>
  <c r="S13" i="3"/>
  <c r="AL14" i="3"/>
  <c r="R11" i="3"/>
  <c r="AP81" i="3"/>
  <c r="AP69" i="3"/>
  <c r="AN35" i="3"/>
  <c r="U37" i="3"/>
  <c r="AO41" i="3"/>
  <c r="S36" i="3"/>
  <c r="I33" i="3"/>
  <c r="AK34" i="3"/>
  <c r="O20" i="3"/>
  <c r="AD21" i="3"/>
  <c r="AC34" i="3"/>
  <c r="N19" i="3"/>
  <c r="AK38" i="3"/>
  <c r="Z26" i="3"/>
  <c r="C18" i="3"/>
  <c r="AK17" i="3"/>
  <c r="AJ14" i="3"/>
  <c r="AC13" i="3"/>
  <c r="J20" i="3"/>
  <c r="S39" i="3"/>
  <c r="S23" i="3"/>
  <c r="AJ23" i="3"/>
  <c r="AC30" i="3"/>
  <c r="P11" i="3"/>
  <c r="I14" i="3"/>
  <c r="AE80" i="3"/>
  <c r="AB50" i="3"/>
  <c r="AB54" i="3"/>
  <c r="AO30" i="3"/>
  <c r="I22" i="3"/>
  <c r="AO12" i="3"/>
  <c r="AP8" i="3"/>
  <c r="R13" i="3"/>
  <c r="R15" i="3"/>
  <c r="AE20" i="3"/>
  <c r="AI17" i="3"/>
  <c r="Y40" i="3"/>
  <c r="J24" i="3"/>
  <c r="AE39" i="3"/>
  <c r="AH13" i="3"/>
  <c r="N40" i="3"/>
  <c r="O27" i="3"/>
  <c r="AG12" i="3"/>
  <c r="AE37" i="3"/>
  <c r="J12" i="3"/>
  <c r="V35" i="3"/>
  <c r="AN5" i="3"/>
  <c r="AE26" i="3"/>
  <c r="R37" i="3"/>
  <c r="W68" i="3"/>
  <c r="AJ27" i="3"/>
  <c r="Z39" i="3"/>
  <c r="AB69" i="3"/>
  <c r="AB74" i="3"/>
  <c r="AA10" i="3"/>
  <c r="X21" i="3"/>
  <c r="AD28" i="3"/>
  <c r="S30" i="3"/>
  <c r="AJ26" i="3"/>
  <c r="AE6" i="3"/>
  <c r="T8" i="3"/>
  <c r="X36" i="3"/>
  <c r="AG23" i="3"/>
  <c r="Z11" i="3"/>
  <c r="K5" i="3"/>
  <c r="K95" i="3" s="1"/>
  <c r="AQ30" i="3"/>
  <c r="H32" i="3"/>
  <c r="AA36" i="3"/>
  <c r="AI29" i="3"/>
  <c r="K36" i="3"/>
  <c r="AK18" i="3"/>
  <c r="AP27" i="3"/>
  <c r="H31" i="3"/>
  <c r="AA5" i="3"/>
  <c r="O8" i="3"/>
  <c r="H13" i="3"/>
  <c r="Q8" i="3"/>
  <c r="AB25" i="3"/>
  <c r="AC9" i="3"/>
  <c r="J22" i="3"/>
  <c r="AK32" i="3"/>
  <c r="AM23" i="3"/>
  <c r="AP63" i="3"/>
  <c r="AB63" i="3"/>
  <c r="AI28" i="3"/>
  <c r="AB11" i="3"/>
  <c r="AC7" i="3"/>
  <c r="I6" i="3"/>
  <c r="Q38" i="3"/>
  <c r="Q20" i="3"/>
  <c r="P20" i="3"/>
  <c r="R35" i="3"/>
  <c r="AB13" i="3"/>
  <c r="AM40" i="3"/>
  <c r="N22" i="3"/>
  <c r="AN24" i="3"/>
  <c r="T18" i="3"/>
  <c r="P8" i="3"/>
  <c r="R24" i="3"/>
  <c r="S40" i="3"/>
  <c r="J30" i="3"/>
  <c r="H18" i="3"/>
  <c r="AH32" i="3"/>
  <c r="AL31" i="3"/>
  <c r="J18" i="3"/>
  <c r="AN34" i="3"/>
  <c r="AI6" i="3"/>
  <c r="AA39" i="3"/>
  <c r="AP41" i="3"/>
  <c r="M23" i="3"/>
  <c r="J28" i="3"/>
  <c r="AK28" i="3"/>
  <c r="AC90" i="3"/>
  <c r="AL5" i="3"/>
  <c r="AL47" i="3" s="1"/>
  <c r="AI38" i="3"/>
  <c r="AB17" i="3"/>
  <c r="X16" i="3"/>
  <c r="AB31" i="3"/>
  <c r="AI16" i="3"/>
  <c r="K27" i="3"/>
  <c r="L42" i="3"/>
  <c r="W27" i="3"/>
  <c r="K25" i="3"/>
  <c r="AB82" i="3"/>
  <c r="C20" i="3"/>
  <c r="W32" i="3"/>
  <c r="C23" i="3"/>
  <c r="AD47" i="3"/>
  <c r="AC32" i="3"/>
  <c r="W34" i="3"/>
  <c r="I7" i="3"/>
  <c r="C38" i="3"/>
  <c r="J9" i="3"/>
  <c r="M8" i="3"/>
  <c r="L7" i="3"/>
  <c r="AN16" i="3"/>
  <c r="Q31" i="3"/>
  <c r="J79" i="3"/>
  <c r="AB67" i="3"/>
  <c r="R8" i="3"/>
  <c r="V23" i="3"/>
  <c r="H38" i="3"/>
  <c r="J36" i="3"/>
  <c r="X17" i="3"/>
  <c r="M38" i="3"/>
  <c r="Q22" i="3"/>
  <c r="P23" i="3"/>
  <c r="AQ9" i="3"/>
  <c r="AI20" i="3"/>
  <c r="AO27" i="3"/>
  <c r="AC29" i="3"/>
  <c r="AM25" i="3"/>
  <c r="AB35" i="3"/>
  <c r="T26" i="3"/>
  <c r="AH41" i="3"/>
  <c r="N33" i="3"/>
  <c r="T20" i="3"/>
  <c r="AG25" i="3"/>
  <c r="AO36" i="3"/>
  <c r="AM17" i="3"/>
  <c r="AN36" i="3"/>
  <c r="Z27" i="3"/>
  <c r="K66" i="3"/>
  <c r="M10" i="3"/>
  <c r="N41" i="3"/>
  <c r="M34" i="3"/>
  <c r="Q28" i="3"/>
  <c r="AQ39" i="3"/>
  <c r="R22" i="3"/>
  <c r="AP23" i="3"/>
  <c r="K19" i="3"/>
  <c r="O6" i="3"/>
  <c r="Q21" i="3"/>
  <c r="V22" i="3"/>
  <c r="X37" i="3"/>
  <c r="AB27" i="3"/>
  <c r="AC89" i="3"/>
  <c r="K15" i="3"/>
  <c r="Q62" i="3"/>
  <c r="T7" i="3"/>
  <c r="T6" i="3"/>
  <c r="AN40" i="3"/>
  <c r="W30" i="3"/>
  <c r="AI31" i="3"/>
  <c r="AA38" i="3"/>
  <c r="AP14" i="3"/>
  <c r="AO23" i="3"/>
  <c r="AL11" i="3"/>
  <c r="I9" i="3"/>
  <c r="X20" i="3"/>
  <c r="S31" i="3"/>
  <c r="AC11" i="3"/>
  <c r="I25" i="3"/>
  <c r="W31" i="3"/>
  <c r="AA7" i="3"/>
  <c r="J15" i="3"/>
  <c r="P21" i="3"/>
  <c r="AE41" i="3"/>
  <c r="AK11" i="3"/>
  <c r="AN9" i="3"/>
  <c r="AK12" i="3"/>
  <c r="U27" i="3"/>
  <c r="AG14" i="3"/>
  <c r="L11" i="3"/>
  <c r="AL38" i="3"/>
  <c r="AK30" i="3"/>
  <c r="C30" i="3"/>
  <c r="AL23" i="3"/>
  <c r="Y39" i="3"/>
  <c r="AH5" i="3"/>
  <c r="AH72" i="3" s="1"/>
  <c r="C15" i="3"/>
  <c r="P39" i="3"/>
  <c r="I20" i="3"/>
  <c r="G50" i="3"/>
  <c r="AB97" i="3"/>
  <c r="AB7" i="3"/>
  <c r="AJ40" i="3"/>
  <c r="H11" i="3"/>
  <c r="S14" i="3"/>
  <c r="Q16" i="3"/>
  <c r="AO31" i="3"/>
  <c r="W21" i="3"/>
  <c r="AG7" i="3"/>
  <c r="H20" i="3"/>
  <c r="AO21" i="3"/>
  <c r="Z24" i="3"/>
  <c r="AE15" i="3"/>
  <c r="AB20" i="3"/>
  <c r="N11" i="3"/>
  <c r="T32" i="3"/>
  <c r="AQ42" i="3"/>
  <c r="X33" i="3"/>
  <c r="AJ11" i="3"/>
  <c r="W33" i="3"/>
  <c r="AG28" i="3"/>
  <c r="AN23" i="3"/>
  <c r="AQ35" i="3"/>
  <c r="H29" i="3"/>
  <c r="AN25" i="3"/>
  <c r="AN38" i="3"/>
  <c r="J39" i="3"/>
  <c r="AB92" i="3"/>
  <c r="AB94" i="3"/>
  <c r="N6" i="3"/>
  <c r="O17" i="3"/>
  <c r="AL13" i="3"/>
  <c r="AA6" i="3"/>
  <c r="C9" i="3"/>
  <c r="T22" i="3"/>
  <c r="Z18" i="3"/>
  <c r="Y8" i="3"/>
  <c r="S33" i="3"/>
  <c r="AJ8" i="3"/>
  <c r="X14" i="3"/>
  <c r="M11" i="3"/>
  <c r="U41" i="3"/>
  <c r="H42" i="3"/>
  <c r="S25" i="3"/>
  <c r="AA37" i="3"/>
  <c r="Z8" i="3"/>
  <c r="AJ75" i="3"/>
  <c r="AO37" i="3"/>
  <c r="X23" i="3"/>
  <c r="AP60" i="3"/>
  <c r="AN32" i="3"/>
  <c r="C22" i="3"/>
  <c r="AC17" i="3"/>
  <c r="AK13" i="3"/>
  <c r="C42" i="3"/>
  <c r="S20" i="3"/>
  <c r="AH33" i="3"/>
  <c r="AE34" i="3"/>
  <c r="AJ36" i="3"/>
  <c r="O5" i="3"/>
  <c r="R7" i="3"/>
  <c r="K26" i="3"/>
  <c r="AP26" i="3"/>
  <c r="N20" i="3"/>
  <c r="AJ10" i="3"/>
  <c r="C41" i="3"/>
  <c r="AC93" i="3"/>
  <c r="AP72" i="3"/>
  <c r="AP87" i="3"/>
  <c r="AE13" i="3"/>
  <c r="J16" i="3"/>
  <c r="N15" i="3"/>
  <c r="P16" i="3"/>
  <c r="O73" i="3"/>
  <c r="H12" i="3"/>
  <c r="L23" i="3"/>
  <c r="AG41" i="3"/>
  <c r="AE19" i="3"/>
  <c r="AC36" i="3"/>
  <c r="AO17" i="3"/>
  <c r="W36" i="3"/>
  <c r="P26" i="3"/>
  <c r="Y11" i="3"/>
  <c r="AM19" i="3"/>
  <c r="AH40" i="3"/>
  <c r="S21" i="3"/>
  <c r="AC24" i="3"/>
  <c r="R25" i="3"/>
  <c r="K10" i="3"/>
  <c r="I41" i="3"/>
  <c r="N25" i="3"/>
  <c r="AQ31" i="3"/>
  <c r="N34" i="3"/>
  <c r="AC38" i="3"/>
  <c r="W17" i="3"/>
  <c r="AP90" i="3"/>
  <c r="G47" i="3"/>
  <c r="AJ25" i="3"/>
  <c r="AE18" i="3"/>
  <c r="Q10" i="3"/>
  <c r="AI25" i="3"/>
  <c r="AJ38" i="3"/>
  <c r="U30" i="3"/>
  <c r="H19" i="3"/>
  <c r="G37" i="3"/>
  <c r="L38" i="3"/>
  <c r="K42" i="3"/>
  <c r="W41" i="3"/>
  <c r="C4" i="3"/>
  <c r="AB95" i="3"/>
  <c r="AH38" i="3"/>
  <c r="O34" i="3"/>
  <c r="N24" i="3"/>
  <c r="L8" i="3"/>
  <c r="AP33" i="3"/>
  <c r="AK39" i="3"/>
  <c r="AC72" i="3"/>
  <c r="R69" i="3"/>
  <c r="AO22" i="3"/>
  <c r="K24" i="3"/>
  <c r="Y12" i="3"/>
  <c r="Y22" i="3"/>
  <c r="AL28" i="3"/>
  <c r="AB36" i="3"/>
  <c r="AJ13" i="3"/>
  <c r="O15" i="3"/>
  <c r="AJ42" i="3"/>
  <c r="S27" i="3"/>
  <c r="AP94" i="3"/>
  <c r="U26" i="3"/>
  <c r="T34" i="3"/>
  <c r="AE27" i="3"/>
  <c r="L34" i="3"/>
  <c r="AP57" i="3"/>
  <c r="K35" i="3"/>
  <c r="O14" i="3"/>
  <c r="V31" i="3"/>
  <c r="AA21" i="3"/>
  <c r="X11" i="3"/>
  <c r="T24" i="3"/>
  <c r="C31" i="3"/>
  <c r="M18" i="3"/>
  <c r="AP88" i="3"/>
  <c r="AB65" i="3"/>
  <c r="AG24" i="3"/>
  <c r="U12" i="3"/>
  <c r="N42" i="3"/>
  <c r="Q17" i="3"/>
  <c r="C27" i="3"/>
  <c r="O39" i="3"/>
  <c r="AK41" i="3"/>
  <c r="Z41" i="3"/>
  <c r="P31" i="3"/>
  <c r="R29" i="3"/>
  <c r="AI5" i="3"/>
  <c r="T36" i="3"/>
  <c r="J23" i="3"/>
  <c r="AE42" i="3"/>
  <c r="Y34" i="3"/>
  <c r="S11" i="3"/>
  <c r="O95" i="3"/>
  <c r="AE28" i="3"/>
  <c r="X38" i="3"/>
  <c r="AB34" i="3"/>
  <c r="N32" i="3"/>
  <c r="AK19" i="3"/>
  <c r="C33" i="3"/>
  <c r="X9" i="3"/>
  <c r="AP67" i="3"/>
  <c r="AB91" i="3"/>
  <c r="AB96" i="3"/>
  <c r="W26" i="3"/>
  <c r="M30" i="3"/>
  <c r="AC8" i="3"/>
  <c r="Q41" i="3"/>
  <c r="V41" i="3"/>
  <c r="AE22" i="3"/>
  <c r="L29" i="3"/>
  <c r="AE16" i="3"/>
  <c r="H35" i="3"/>
  <c r="AE21" i="3"/>
  <c r="AJ31" i="3"/>
  <c r="AH30" i="3"/>
  <c r="AI18" i="3"/>
  <c r="T40" i="3"/>
  <c r="H7" i="3"/>
  <c r="M6" i="3"/>
  <c r="R12" i="3"/>
  <c r="R28" i="3"/>
  <c r="AA16" i="3"/>
  <c r="AI34" i="3"/>
  <c r="R20" i="3"/>
  <c r="L16" i="3"/>
  <c r="G39" i="3"/>
  <c r="I38" i="3"/>
  <c r="AH9" i="3"/>
  <c r="D47" i="3"/>
  <c r="AG37" i="3"/>
  <c r="AP82" i="3"/>
  <c r="AB78" i="3"/>
  <c r="M35" i="3"/>
  <c r="J27" i="3"/>
  <c r="V33" i="3"/>
  <c r="K29" i="3"/>
  <c r="AG21" i="3"/>
  <c r="Z34" i="3"/>
  <c r="AE23" i="3"/>
  <c r="L22" i="3"/>
  <c r="AN7" i="3"/>
  <c r="AH7" i="3"/>
  <c r="AK14" i="3"/>
  <c r="AP37" i="3"/>
  <c r="AL20" i="3"/>
  <c r="AI26" i="3"/>
  <c r="AE17" i="3"/>
  <c r="Z22" i="3"/>
  <c r="AD29" i="3"/>
  <c r="AG20" i="3"/>
  <c r="AL36" i="3"/>
  <c r="AP40" i="3"/>
  <c r="AI39" i="3"/>
  <c r="L10" i="3"/>
  <c r="AA30" i="3"/>
  <c r="R40" i="3"/>
  <c r="AJ30" i="3"/>
  <c r="N37" i="3"/>
  <c r="AN22" i="3"/>
  <c r="AB83" i="3"/>
  <c r="AB66" i="3"/>
  <c r="AP89" i="3"/>
  <c r="AQ18" i="3"/>
  <c r="AM37" i="3"/>
  <c r="S35" i="3"/>
  <c r="X34" i="3"/>
  <c r="AH18" i="3"/>
  <c r="T14" i="3"/>
  <c r="AA28" i="3"/>
  <c r="AB10" i="3"/>
  <c r="Q14" i="3"/>
  <c r="AJ16" i="3"/>
  <c r="Z36" i="3"/>
  <c r="H14" i="3"/>
  <c r="AP47" i="3"/>
  <c r="AP55" i="3"/>
  <c r="AB71" i="3"/>
  <c r="AH24" i="3"/>
  <c r="AN17" i="3"/>
  <c r="AK20" i="3"/>
  <c r="G36" i="3"/>
  <c r="AN29" i="3"/>
  <c r="R63" i="3"/>
  <c r="AC79" i="3"/>
  <c r="AC66" i="3"/>
  <c r="I56" i="3"/>
  <c r="O64" i="3"/>
  <c r="CL263" i="1" l="1"/>
  <c r="CK80" i="1"/>
  <c r="AQ90" i="3"/>
  <c r="AQ67" i="3"/>
  <c r="AQ95" i="3"/>
  <c r="AQ77" i="3"/>
  <c r="S62" i="3"/>
  <c r="R95" i="3"/>
  <c r="AE83" i="3"/>
  <c r="AJ71" i="3"/>
  <c r="S66" i="3"/>
  <c r="R64" i="3"/>
  <c r="AG96" i="3"/>
  <c r="O76" i="3"/>
  <c r="R87" i="3"/>
  <c r="K84" i="3"/>
  <c r="AI60" i="3"/>
  <c r="AC77" i="3"/>
  <c r="W86" i="3"/>
  <c r="V62" i="3"/>
  <c r="AE47" i="3"/>
  <c r="S57" i="3"/>
  <c r="U49" i="3"/>
  <c r="I49" i="3"/>
  <c r="AC84" i="3"/>
  <c r="AE49" i="3"/>
  <c r="I83" i="3"/>
  <c r="AN83" i="3"/>
  <c r="AC91" i="3"/>
  <c r="AE93" i="3"/>
  <c r="AJ78" i="3"/>
  <c r="V77" i="3"/>
  <c r="V81" i="3"/>
  <c r="AE62" i="3"/>
  <c r="AJ61" i="3"/>
  <c r="I68" i="3"/>
  <c r="V57" i="3"/>
  <c r="AN97" i="3"/>
  <c r="I86" i="3"/>
  <c r="I59" i="3"/>
  <c r="AJ95" i="3"/>
  <c r="AN61" i="3"/>
  <c r="AO61" i="3"/>
  <c r="AN75" i="3"/>
  <c r="I62" i="3"/>
  <c r="CF263" i="1"/>
  <c r="AN74" i="3"/>
  <c r="AN79" i="3"/>
  <c r="AN60" i="3"/>
  <c r="O57" i="3"/>
  <c r="AU154" i="1" s="1"/>
  <c r="AV154" i="1" s="1"/>
  <c r="O47" i="3"/>
  <c r="O75" i="3"/>
  <c r="CL90" i="1"/>
  <c r="BX78" i="1"/>
  <c r="BX281" i="1" s="1"/>
  <c r="BX270" i="1"/>
  <c r="BX84" i="1"/>
  <c r="AM78" i="1"/>
  <c r="AM281" i="1" s="1"/>
  <c r="AM270" i="1"/>
  <c r="G238" i="1"/>
  <c r="J77" i="3"/>
  <c r="J83" i="3"/>
  <c r="U75" i="3"/>
  <c r="U92" i="3"/>
  <c r="BA191" i="1" s="1"/>
  <c r="BB191" i="1" s="1"/>
  <c r="V75" i="3"/>
  <c r="V64" i="3"/>
  <c r="V96" i="3"/>
  <c r="R50" i="3"/>
  <c r="AX110" i="1" s="1"/>
  <c r="R68" i="3"/>
  <c r="AC47" i="3"/>
  <c r="AC82" i="3"/>
  <c r="BI181" i="1" s="1"/>
  <c r="AC76" i="3"/>
  <c r="AO93" i="3"/>
  <c r="AO89" i="3"/>
  <c r="BU189" i="1" s="1"/>
  <c r="AO56" i="3"/>
  <c r="BU153" i="1" s="1"/>
  <c r="AJ72" i="3"/>
  <c r="AJ65" i="3"/>
  <c r="AJ79" i="3"/>
  <c r="AJ47" i="3"/>
  <c r="AJ82" i="3"/>
  <c r="I92" i="3"/>
  <c r="AO191" i="1" s="1"/>
  <c r="AP191" i="1" s="1"/>
  <c r="I89" i="3"/>
  <c r="AO189" i="1" s="1"/>
  <c r="I61" i="3"/>
  <c r="I65" i="3"/>
  <c r="AO186" i="1" s="1"/>
  <c r="AP186" i="1" s="1"/>
  <c r="I95" i="3"/>
  <c r="AO200" i="1" s="1"/>
  <c r="AP200" i="1" s="1"/>
  <c r="I81" i="3"/>
  <c r="AO180" i="1" s="1"/>
  <c r="I71" i="3"/>
  <c r="K92" i="3"/>
  <c r="AQ191" i="1" s="1"/>
  <c r="AR191" i="1" s="1"/>
  <c r="K69" i="3"/>
  <c r="K96" i="3"/>
  <c r="AQ199" i="1" s="1"/>
  <c r="AR199" i="1" s="1"/>
  <c r="K72" i="3"/>
  <c r="AQ171" i="1" s="1"/>
  <c r="AR171" i="1" s="1"/>
  <c r="AL89" i="3"/>
  <c r="AL97" i="3"/>
  <c r="AL57" i="3"/>
  <c r="AH90" i="3"/>
  <c r="AH70" i="3"/>
  <c r="AH84" i="3"/>
  <c r="AH97" i="3"/>
  <c r="AH82" i="3"/>
  <c r="AH78" i="3"/>
  <c r="O78" i="3"/>
  <c r="AU178" i="1" s="1"/>
  <c r="O63" i="3"/>
  <c r="AU161" i="1" s="1"/>
  <c r="AV161" i="1" s="1"/>
  <c r="O74" i="3"/>
  <c r="AU173" i="1" s="1"/>
  <c r="AV173" i="1" s="1"/>
  <c r="O80" i="3"/>
  <c r="AU195" i="1" s="1"/>
  <c r="O68" i="3"/>
  <c r="AU167" i="1" s="1"/>
  <c r="O70" i="3"/>
  <c r="AU169" i="1" s="1"/>
  <c r="O58" i="3"/>
  <c r="AU155" i="1" s="1"/>
  <c r="O62" i="3"/>
  <c r="AU160" i="1" s="1"/>
  <c r="O89" i="3"/>
  <c r="AU189" i="1" s="1"/>
  <c r="O59" i="3"/>
  <c r="O67" i="3"/>
  <c r="O81" i="3"/>
  <c r="AU180" i="1" s="1"/>
  <c r="O84" i="3"/>
  <c r="AU182" i="1" s="1"/>
  <c r="AV182" i="1" s="1"/>
  <c r="O54" i="3"/>
  <c r="O60" i="3"/>
  <c r="AU158" i="1" s="1"/>
  <c r="AV158" i="1" s="1"/>
  <c r="O97" i="3"/>
  <c r="O93" i="3"/>
  <c r="O94" i="3"/>
  <c r="O83" i="3"/>
  <c r="AU196" i="1" s="1"/>
  <c r="O87" i="3"/>
  <c r="AU188" i="1" s="1"/>
  <c r="AV188" i="1" s="1"/>
  <c r="O90" i="3"/>
  <c r="AU162" i="1" s="1"/>
  <c r="AV162" i="1" s="1"/>
  <c r="O48" i="3"/>
  <c r="O50" i="3"/>
  <c r="AU110" i="1" s="1"/>
  <c r="AI87" i="3"/>
  <c r="BO188" i="1" s="1"/>
  <c r="BP188" i="1" s="1"/>
  <c r="AI76" i="3"/>
  <c r="AI50" i="3"/>
  <c r="BO110" i="1" s="1"/>
  <c r="AI78" i="3"/>
  <c r="BO178" i="1" s="1"/>
  <c r="AI80" i="3"/>
  <c r="BO195" i="1" s="1"/>
  <c r="J88" i="1"/>
  <c r="S78" i="1"/>
  <c r="S281" i="1" s="1"/>
  <c r="S79" i="1"/>
  <c r="S84" i="1"/>
  <c r="S270" i="1"/>
  <c r="T79" i="1"/>
  <c r="CM36" i="1"/>
  <c r="G88" i="1"/>
  <c r="G229" i="1"/>
  <c r="G231" i="1" s="1"/>
  <c r="F197" i="1"/>
  <c r="G245" i="1" s="1"/>
  <c r="K229" i="1"/>
  <c r="K231" i="1" s="1"/>
  <c r="K88" i="1"/>
  <c r="B101" i="1"/>
  <c r="L229" i="1"/>
  <c r="L231" i="1" s="1"/>
  <c r="L88" i="1"/>
  <c r="I88" i="1"/>
  <c r="I229" i="1"/>
  <c r="I231" i="1" s="1"/>
  <c r="F229" i="1"/>
  <c r="F231" i="1" s="1"/>
  <c r="F88" i="1"/>
  <c r="C88" i="1"/>
  <c r="C229" i="1"/>
  <c r="C231" i="1" s="1"/>
  <c r="M229" i="1"/>
  <c r="M231" i="1" s="1"/>
  <c r="M88" i="1"/>
  <c r="Q229" i="1"/>
  <c r="Q231" i="1" s="1"/>
  <c r="Q88" i="1"/>
  <c r="T229" i="1"/>
  <c r="T231" i="1" s="1"/>
  <c r="T88" i="1"/>
  <c r="R88" i="1"/>
  <c r="R229" i="1"/>
  <c r="R231" i="1" s="1"/>
  <c r="O88" i="1"/>
  <c r="O229" i="1"/>
  <c r="O231" i="1" s="1"/>
  <c r="P229" i="1"/>
  <c r="P231" i="1" s="1"/>
  <c r="P88" i="1"/>
  <c r="H229" i="1"/>
  <c r="H231" i="1" s="1"/>
  <c r="H88" i="1"/>
  <c r="N88" i="1"/>
  <c r="N229" i="1"/>
  <c r="N231" i="1" s="1"/>
  <c r="T238" i="1"/>
  <c r="M238" i="1"/>
  <c r="F238" i="1"/>
  <c r="I170" i="1"/>
  <c r="CR53" i="1"/>
  <c r="AL155" i="1"/>
  <c r="AL156" i="1" s="1"/>
  <c r="AL88" i="1"/>
  <c r="AL229" i="1"/>
  <c r="AL231" i="1" s="1"/>
  <c r="CB80" i="1"/>
  <c r="CB270" i="1"/>
  <c r="CF79" i="1"/>
  <c r="CB78" i="1"/>
  <c r="CB281" i="1" s="1"/>
  <c r="CC80" i="1"/>
  <c r="CB84" i="1"/>
  <c r="CE263" i="1"/>
  <c r="CB79" i="1"/>
  <c r="CJ229" i="1"/>
  <c r="CJ231" i="1" s="1"/>
  <c r="CJ155" i="1"/>
  <c r="CJ156" i="1" s="1"/>
  <c r="CJ102" i="1"/>
  <c r="CJ88" i="1"/>
  <c r="CD263" i="1"/>
  <c r="CC79" i="1"/>
  <c r="BY270" i="1"/>
  <c r="BY78" i="1"/>
  <c r="BY281" i="1" s="1"/>
  <c r="BY84" i="1"/>
  <c r="BY80" i="1"/>
  <c r="CP219" i="1"/>
  <c r="CO221" i="1"/>
  <c r="BZ80" i="1"/>
  <c r="CC263" i="1"/>
  <c r="BZ78" i="1"/>
  <c r="BZ281" i="1" s="1"/>
  <c r="CA80" i="1"/>
  <c r="CD79" i="1"/>
  <c r="BZ270" i="1"/>
  <c r="BZ84" i="1"/>
  <c r="CH229" i="1"/>
  <c r="CH231" i="1" s="1"/>
  <c r="CH235" i="1" s="1"/>
  <c r="CH249" i="1" s="1"/>
  <c r="CH102" i="1"/>
  <c r="CH88" i="1"/>
  <c r="CH155" i="1"/>
  <c r="CH156" i="1" s="1"/>
  <c r="CI243" i="1" s="1"/>
  <c r="CI241" i="1" s="1"/>
  <c r="CF140" i="1"/>
  <c r="CF139" i="1"/>
  <c r="CF138" i="1"/>
  <c r="AB238" i="1"/>
  <c r="CC229" i="1"/>
  <c r="CC231" i="1" s="1"/>
  <c r="CC88" i="1"/>
  <c r="X270" i="1"/>
  <c r="X84" i="1"/>
  <c r="X78" i="1"/>
  <c r="X281" i="1" s="1"/>
  <c r="Y79" i="1"/>
  <c r="CG80" i="1"/>
  <c r="CF84" i="1"/>
  <c r="CG90" i="1" s="1"/>
  <c r="CF78" i="1"/>
  <c r="CF281" i="1" s="1"/>
  <c r="CI263" i="1"/>
  <c r="CJ79" i="1"/>
  <c r="CF270" i="1"/>
  <c r="Y78" i="1"/>
  <c r="Y281" i="1" s="1"/>
  <c r="Z79" i="1"/>
  <c r="Y97" i="1"/>
  <c r="Y84" i="1"/>
  <c r="Y270" i="1"/>
  <c r="CG263" i="1"/>
  <c r="CE229" i="1"/>
  <c r="CE231" i="1" s="1"/>
  <c r="CE102" i="1"/>
  <c r="CE88" i="1"/>
  <c r="CP160" i="1"/>
  <c r="CO164" i="1"/>
  <c r="AB160" i="1"/>
  <c r="CI229" i="1"/>
  <c r="CI231" i="1" s="1"/>
  <c r="CI88" i="1"/>
  <c r="CI102" i="1"/>
  <c r="CL105" i="1" s="1"/>
  <c r="U88" i="1"/>
  <c r="U229" i="1"/>
  <c r="U231" i="1" s="1"/>
  <c r="CQ176" i="1"/>
  <c r="CQ238" i="1" s="1"/>
  <c r="CE144" i="1"/>
  <c r="CE128" i="1"/>
  <c r="CE135" i="1"/>
  <c r="CE143" i="1"/>
  <c r="D88" i="1"/>
  <c r="D229" i="1"/>
  <c r="D231" i="1" s="1"/>
  <c r="CD88" i="1"/>
  <c r="CD155" i="1"/>
  <c r="CD156" i="1" s="1"/>
  <c r="CE243" i="1" s="1"/>
  <c r="CE241" i="1" s="1"/>
  <c r="CD229" i="1"/>
  <c r="CD231" i="1" s="1"/>
  <c r="CQ99" i="1"/>
  <c r="CP101" i="1"/>
  <c r="CA229" i="1"/>
  <c r="CA231" i="1" s="1"/>
  <c r="CA88" i="1"/>
  <c r="AJ155" i="1"/>
  <c r="AJ156" i="1" s="1"/>
  <c r="AK243" i="1" s="1"/>
  <c r="AK241" i="1" s="1"/>
  <c r="AJ229" i="1"/>
  <c r="AJ231" i="1" s="1"/>
  <c r="AJ88" i="1"/>
  <c r="V88" i="1"/>
  <c r="V229" i="1"/>
  <c r="V231" i="1" s="1"/>
  <c r="CN217" i="1"/>
  <c r="CM218" i="1"/>
  <c r="CM222" i="1" s="1"/>
  <c r="CF80" i="1"/>
  <c r="CN285" i="1"/>
  <c r="CN242" i="1"/>
  <c r="CP215" i="1"/>
  <c r="CD101" i="1"/>
  <c r="CD102" i="1" s="1"/>
  <c r="CC99" i="1"/>
  <c r="AK88" i="1"/>
  <c r="AK229" i="1"/>
  <c r="AK231" i="1" s="1"/>
  <c r="Z270" i="1"/>
  <c r="Z78" i="1"/>
  <c r="Z281" i="1" s="1"/>
  <c r="Z97" i="1"/>
  <c r="Z84" i="1"/>
  <c r="CG88" i="1"/>
  <c r="CG229" i="1"/>
  <c r="CG231" i="1" s="1"/>
  <c r="CG102" i="1"/>
  <c r="CH263" i="1"/>
  <c r="AW191" i="1"/>
  <c r="AX191" i="1" s="1"/>
  <c r="AW160" i="1"/>
  <c r="BI183" i="1"/>
  <c r="BJ183" i="1" s="1"/>
  <c r="BI195" i="1"/>
  <c r="BI173" i="1"/>
  <c r="BJ173" i="1" s="1"/>
  <c r="BI154" i="1"/>
  <c r="BJ154" i="1" s="1"/>
  <c r="BI169" i="1"/>
  <c r="BI189" i="1"/>
  <c r="AY176" i="1"/>
  <c r="AZ176" i="1" s="1"/>
  <c r="BI171" i="1"/>
  <c r="BJ171" i="1" s="1"/>
  <c r="BI179" i="1"/>
  <c r="BJ179" i="1" s="1"/>
  <c r="BI187" i="1"/>
  <c r="BJ187" i="1" s="1"/>
  <c r="AY167" i="1"/>
  <c r="BI162" i="1"/>
  <c r="BJ162" i="1" s="1"/>
  <c r="AO153" i="1"/>
  <c r="BE195" i="1"/>
  <c r="BK195" i="1"/>
  <c r="AY169" i="1"/>
  <c r="BK155" i="1"/>
  <c r="BL155" i="1" s="1"/>
  <c r="BE186" i="1"/>
  <c r="BF186" i="1" s="1"/>
  <c r="BC176" i="1"/>
  <c r="BD176" i="1" s="1"/>
  <c r="BE162" i="1"/>
  <c r="BF162" i="1" s="1"/>
  <c r="BK153" i="1"/>
  <c r="BM186" i="1"/>
  <c r="BN186" i="1" s="1"/>
  <c r="AU200" i="1"/>
  <c r="AV200" i="1" s="1"/>
  <c r="AQ187" i="1"/>
  <c r="AR187" i="1" s="1"/>
  <c r="BU186" i="1"/>
  <c r="BV186" i="1" s="1"/>
  <c r="BC154" i="1"/>
  <c r="BD154" i="1" s="1"/>
  <c r="BC167" i="1"/>
  <c r="AQ200" i="1"/>
  <c r="AR200" i="1" s="1"/>
  <c r="AU185" i="1"/>
  <c r="E238" i="1"/>
  <c r="U238" i="1"/>
  <c r="J156" i="1"/>
  <c r="J90" i="1" s="1"/>
  <c r="D238" i="1"/>
  <c r="G197" i="1"/>
  <c r="H245" i="1" s="1"/>
  <c r="M197" i="1"/>
  <c r="N245" i="1" s="1"/>
  <c r="S197" i="1"/>
  <c r="T245" i="1" s="1"/>
  <c r="L170" i="1"/>
  <c r="L69" i="1" s="1"/>
  <c r="D197" i="1"/>
  <c r="E245" i="1" s="1"/>
  <c r="B209" i="1"/>
  <c r="D170" i="1"/>
  <c r="D69" i="1" s="1"/>
  <c r="R164" i="1"/>
  <c r="R73" i="1" s="1"/>
  <c r="F156" i="1"/>
  <c r="F211" i="1" s="1"/>
  <c r="T197" i="1"/>
  <c r="U245" i="1" s="1"/>
  <c r="D164" i="1"/>
  <c r="D73" i="1" s="1"/>
  <c r="P156" i="1"/>
  <c r="P284" i="1" s="1"/>
  <c r="M156" i="1"/>
  <c r="M211" i="1" s="1"/>
  <c r="F170" i="1"/>
  <c r="L156" i="1"/>
  <c r="W238" i="1"/>
  <c r="N156" i="1"/>
  <c r="N90" i="1" s="1"/>
  <c r="N170" i="1"/>
  <c r="N174" i="1" s="1"/>
  <c r="P164" i="1"/>
  <c r="P204" i="1" s="1"/>
  <c r="P145" i="1" s="1"/>
  <c r="U170" i="1"/>
  <c r="U69" i="1" s="1"/>
  <c r="E156" i="1"/>
  <c r="E211" i="1" s="1"/>
  <c r="J170" i="1"/>
  <c r="J174" i="1" s="1"/>
  <c r="V170" i="1"/>
  <c r="V69" i="1" s="1"/>
  <c r="B197" i="1"/>
  <c r="C245" i="1" s="1"/>
  <c r="R170" i="1"/>
  <c r="R69" i="1" s="1"/>
  <c r="P209" i="1"/>
  <c r="O156" i="1"/>
  <c r="O90" i="1" s="1"/>
  <c r="U209" i="1"/>
  <c r="I238" i="1"/>
  <c r="D156" i="1"/>
  <c r="D90" i="1" s="1"/>
  <c r="J238" i="1"/>
  <c r="G156" i="1"/>
  <c r="G211" i="1" s="1"/>
  <c r="N164" i="1"/>
  <c r="N73" i="1" s="1"/>
  <c r="K209" i="1"/>
  <c r="U184" i="1"/>
  <c r="U218" i="1" s="1"/>
  <c r="U217" i="1" s="1"/>
  <c r="Q238" i="1"/>
  <c r="G192" i="1"/>
  <c r="G221" i="1" s="1"/>
  <c r="G220" i="1" s="1"/>
  <c r="I184" i="1"/>
  <c r="I218" i="1" s="1"/>
  <c r="I217" i="1" s="1"/>
  <c r="J197" i="1"/>
  <c r="K245" i="1" s="1"/>
  <c r="M164" i="1"/>
  <c r="M73" i="1" s="1"/>
  <c r="S192" i="1"/>
  <c r="S221" i="1" s="1"/>
  <c r="S220" i="1" s="1"/>
  <c r="J164" i="1"/>
  <c r="J73" i="1" s="1"/>
  <c r="M170" i="1"/>
  <c r="I197" i="1"/>
  <c r="J245" i="1" s="1"/>
  <c r="E170" i="1"/>
  <c r="E69" i="1" s="1"/>
  <c r="AW109" i="1"/>
  <c r="AV68" i="1"/>
  <c r="AV230" i="1" s="1"/>
  <c r="BA60" i="1"/>
  <c r="BF58" i="1"/>
  <c r="AY72" i="1"/>
  <c r="BU87" i="1"/>
  <c r="AQ60" i="1"/>
  <c r="BE49" i="1"/>
  <c r="AP83" i="1"/>
  <c r="AQ72" i="1"/>
  <c r="AU58" i="1"/>
  <c r="BG83" i="1"/>
  <c r="AW57" i="1"/>
  <c r="AY56" i="1"/>
  <c r="AW60" i="1"/>
  <c r="BJ75" i="1"/>
  <c r="AR81" i="1"/>
  <c r="BV82" i="1"/>
  <c r="AQ58" i="1"/>
  <c r="BM75" i="1"/>
  <c r="BK83" i="1"/>
  <c r="BK50" i="1"/>
  <c r="BF59" i="1"/>
  <c r="AW87" i="1"/>
  <c r="BJ109" i="1"/>
  <c r="BG75" i="1"/>
  <c r="BU44" i="1"/>
  <c r="BU267" i="1" s="1"/>
  <c r="BQ59" i="1"/>
  <c r="AQ51" i="1"/>
  <c r="BS57" i="1"/>
  <c r="AX51" i="1"/>
  <c r="BS68" i="1"/>
  <c r="BS230" i="1" s="1"/>
  <c r="BC58" i="1"/>
  <c r="BB60" i="1"/>
  <c r="AI51" i="1"/>
  <c r="BM72" i="1"/>
  <c r="BG82" i="1"/>
  <c r="AS87" i="1"/>
  <c r="BB71" i="1"/>
  <c r="BB87" i="1"/>
  <c r="AR82" i="1"/>
  <c r="AU50" i="1"/>
  <c r="AW45" i="1"/>
  <c r="BD44" i="1"/>
  <c r="BD267" i="1" s="1"/>
  <c r="AP51" i="1"/>
  <c r="BB83" i="1"/>
  <c r="BM58" i="1"/>
  <c r="BK82" i="1"/>
  <c r="BK59" i="1"/>
  <c r="AT71" i="1"/>
  <c r="BW72" i="1"/>
  <c r="BI56" i="1"/>
  <c r="BJ81" i="1"/>
  <c r="AS68" i="1"/>
  <c r="AT72" i="1"/>
  <c r="BQ57" i="1"/>
  <c r="AT60" i="1"/>
  <c r="BT51" i="1"/>
  <c r="BI49" i="1"/>
  <c r="BE50" i="1"/>
  <c r="AY58" i="1"/>
  <c r="BH109" i="1"/>
  <c r="AP82" i="1"/>
  <c r="AS45" i="1"/>
  <c r="AY68" i="1"/>
  <c r="AY230" i="1" s="1"/>
  <c r="AR50" i="1"/>
  <c r="AR45" i="1"/>
  <c r="BP75" i="1"/>
  <c r="BE82" i="1"/>
  <c r="AQ81" i="1"/>
  <c r="BB56" i="1"/>
  <c r="BW49" i="1"/>
  <c r="BC60" i="1"/>
  <c r="BD87" i="1"/>
  <c r="BO75" i="1"/>
  <c r="AI75" i="1"/>
  <c r="BI51" i="1"/>
  <c r="BQ44" i="1"/>
  <c r="BF87" i="1"/>
  <c r="BV45" i="1"/>
  <c r="AV58" i="1"/>
  <c r="AT51" i="1"/>
  <c r="BT87" i="1"/>
  <c r="AQ59" i="1"/>
  <c r="BS82" i="1"/>
  <c r="BB68" i="1"/>
  <c r="BB230" i="1" s="1"/>
  <c r="BT56" i="1"/>
  <c r="BQ83" i="1"/>
  <c r="BN44" i="1"/>
  <c r="BN267" i="1" s="1"/>
  <c r="BR71" i="1"/>
  <c r="BU82" i="1"/>
  <c r="AX81" i="1"/>
  <c r="BI110" i="1"/>
  <c r="AN50" i="1"/>
  <c r="AT50" i="1"/>
  <c r="BK56" i="1"/>
  <c r="BJ71" i="1"/>
  <c r="AP58" i="1"/>
  <c r="AX50" i="1"/>
  <c r="BR58" i="1"/>
  <c r="BM82" i="1"/>
  <c r="BP45" i="1"/>
  <c r="BP87" i="1"/>
  <c r="BA75" i="1"/>
  <c r="BM51" i="1"/>
  <c r="BQ72" i="1"/>
  <c r="AZ87" i="1"/>
  <c r="BE75" i="1"/>
  <c r="AI83" i="1"/>
  <c r="BU83" i="1"/>
  <c r="BB82" i="1"/>
  <c r="BF57" i="1"/>
  <c r="BD57" i="1"/>
  <c r="BM59" i="1"/>
  <c r="BT59" i="1"/>
  <c r="BQ68" i="1"/>
  <c r="BQ230" i="1" s="1"/>
  <c r="AS58" i="1"/>
  <c r="AJ109" i="1"/>
  <c r="BP82" i="1"/>
  <c r="AW49" i="1"/>
  <c r="AV50" i="1"/>
  <c r="BI50" i="1"/>
  <c r="AS57" i="1"/>
  <c r="AV83" i="1"/>
  <c r="BI81" i="1"/>
  <c r="BP49" i="1"/>
  <c r="AZ57" i="1"/>
  <c r="AY75" i="1"/>
  <c r="BH59" i="1"/>
  <c r="BA57" i="1"/>
  <c r="BF60" i="1"/>
  <c r="BC72" i="1"/>
  <c r="BW60" i="1"/>
  <c r="BR68" i="1"/>
  <c r="AX59" i="1"/>
  <c r="BS49" i="1"/>
  <c r="BQ56" i="1"/>
  <c r="BE56" i="1"/>
  <c r="BI45" i="1"/>
  <c r="BP44" i="1"/>
  <c r="BP267" i="1" s="1"/>
  <c r="AO60" i="1"/>
  <c r="BA49" i="1"/>
  <c r="BV87" i="1"/>
  <c r="BT45" i="1"/>
  <c r="AY49" i="1"/>
  <c r="BI82" i="1"/>
  <c r="BN57" i="1"/>
  <c r="AS59" i="1"/>
  <c r="AW51" i="1"/>
  <c r="AU81" i="1"/>
  <c r="AI49" i="1"/>
  <c r="AT44" i="1"/>
  <c r="AT267" i="1" s="1"/>
  <c r="BT83" i="1"/>
  <c r="BE87" i="1"/>
  <c r="BR57" i="1"/>
  <c r="BA59" i="1"/>
  <c r="AI59" i="1"/>
  <c r="AP110" i="1"/>
  <c r="BD60" i="1"/>
  <c r="AN75" i="1"/>
  <c r="BW82" i="1"/>
  <c r="BE45" i="1"/>
  <c r="AY44" i="1"/>
  <c r="BW51" i="1"/>
  <c r="AM81" i="1"/>
  <c r="AT59" i="1"/>
  <c r="BE58" i="1"/>
  <c r="AR49" i="1"/>
  <c r="BM50" i="1"/>
  <c r="BC71" i="1"/>
  <c r="BG68" i="1"/>
  <c r="BG230" i="1" s="1"/>
  <c r="AZ75" i="1"/>
  <c r="BH56" i="1"/>
  <c r="BJ87" i="1"/>
  <c r="BS87" i="1"/>
  <c r="BR82" i="1"/>
  <c r="BE83" i="1"/>
  <c r="AY57" i="1"/>
  <c r="BV75" i="1"/>
  <c r="BQ87" i="1"/>
  <c r="AI82" i="1"/>
  <c r="AN83" i="1"/>
  <c r="AQ83" i="1"/>
  <c r="BW59" i="1"/>
  <c r="AO51" i="1"/>
  <c r="AW50" i="1"/>
  <c r="BR51" i="1"/>
  <c r="BH60" i="1"/>
  <c r="BH58" i="1"/>
  <c r="AI57" i="1"/>
  <c r="BO83" i="1"/>
  <c r="BO60" i="1"/>
  <c r="AP68" i="1"/>
  <c r="AP230" i="1" s="1"/>
  <c r="AQ68" i="1"/>
  <c r="BT57" i="1"/>
  <c r="AY83" i="1"/>
  <c r="AZ56" i="1"/>
  <c r="BK71" i="1"/>
  <c r="BH110" i="1"/>
  <c r="BH68" i="1"/>
  <c r="BH230" i="1" s="1"/>
  <c r="AT57" i="1"/>
  <c r="BR87" i="1"/>
  <c r="BP83" i="1"/>
  <c r="AN71" i="1"/>
  <c r="BS56" i="1"/>
  <c r="BB45" i="1"/>
  <c r="AX87" i="1"/>
  <c r="AZ49" i="1"/>
  <c r="BB58" i="1"/>
  <c r="AW72" i="1"/>
  <c r="BD51" i="1"/>
  <c r="BN68" i="1"/>
  <c r="BM44" i="1"/>
  <c r="AO50" i="1"/>
  <c r="BK60" i="1"/>
  <c r="BN50" i="1"/>
  <c r="BH44" i="1"/>
  <c r="BH267" i="1" s="1"/>
  <c r="BA72" i="1"/>
  <c r="BA87" i="1"/>
  <c r="BH87" i="1"/>
  <c r="AP71" i="1"/>
  <c r="BI60" i="1"/>
  <c r="BS71" i="1"/>
  <c r="BN49" i="1"/>
  <c r="AY71" i="1"/>
  <c r="AV59" i="1"/>
  <c r="BW83" i="1"/>
  <c r="BO57" i="1"/>
  <c r="BO58" i="1"/>
  <c r="BB49" i="1"/>
  <c r="BI83" i="1"/>
  <c r="AN72" i="1"/>
  <c r="AU49" i="1"/>
  <c r="BT75" i="1"/>
  <c r="BQ81" i="1"/>
  <c r="BG56" i="1"/>
  <c r="BU72" i="1"/>
  <c r="BQ71" i="1"/>
  <c r="BO68" i="1"/>
  <c r="BO230" i="1" s="1"/>
  <c r="BG57" i="1"/>
  <c r="AM109" i="1"/>
  <c r="BO87" i="1"/>
  <c r="AO75" i="1"/>
  <c r="BV57" i="1"/>
  <c r="BS44" i="1"/>
  <c r="BH72" i="1"/>
  <c r="AZ50" i="1"/>
  <c r="BG58" i="1"/>
  <c r="AQ45" i="1"/>
  <c r="AQ57" i="1"/>
  <c r="AP44" i="1"/>
  <c r="AP267" i="1" s="1"/>
  <c r="AO49" i="1"/>
  <c r="BD71" i="1"/>
  <c r="BD75" i="1"/>
  <c r="BW81" i="1"/>
  <c r="BR50" i="1"/>
  <c r="AT75" i="1"/>
  <c r="BT58" i="1"/>
  <c r="BU60" i="1"/>
  <c r="AN82" i="1"/>
  <c r="AZ44" i="1"/>
  <c r="AZ267" i="1" s="1"/>
  <c r="AN56" i="1"/>
  <c r="BV51" i="1"/>
  <c r="AQ50" i="1"/>
  <c r="BP68" i="1"/>
  <c r="BI58" i="1"/>
  <c r="BA81" i="1"/>
  <c r="AZ83" i="1"/>
  <c r="BW68" i="1"/>
  <c r="BW230" i="1" s="1"/>
  <c r="AV51" i="1"/>
  <c r="AO57" i="1"/>
  <c r="BO71" i="1"/>
  <c r="BM71" i="1"/>
  <c r="AP49" i="1"/>
  <c r="AS50" i="1"/>
  <c r="BG51" i="1"/>
  <c r="BV109" i="1"/>
  <c r="AQ49" i="1"/>
  <c r="AX58" i="1"/>
  <c r="BK44" i="1"/>
  <c r="AR83" i="1"/>
  <c r="AU51" i="1"/>
  <c r="BT49" i="1"/>
  <c r="AI44" i="1"/>
  <c r="BU75" i="1"/>
  <c r="BC82" i="1"/>
  <c r="AV45" i="1"/>
  <c r="BA83" i="1"/>
  <c r="BD83" i="1"/>
  <c r="BW50" i="1"/>
  <c r="BF45" i="1"/>
  <c r="BV60" i="1"/>
  <c r="BG59" i="1"/>
  <c r="AO81" i="1"/>
  <c r="BN82" i="1"/>
  <c r="AW68" i="1"/>
  <c r="AW230" i="1" s="1"/>
  <c r="BC49" i="1"/>
  <c r="AM110" i="1"/>
  <c r="BS81" i="1"/>
  <c r="BU59" i="1"/>
  <c r="BU71" i="1"/>
  <c r="BN83" i="1"/>
  <c r="BR83" i="1"/>
  <c r="BA44" i="1"/>
  <c r="AZ59" i="1"/>
  <c r="BO72" i="1"/>
  <c r="AI58" i="1"/>
  <c r="BE71" i="1"/>
  <c r="AW44" i="1"/>
  <c r="AZ45" i="1"/>
  <c r="BP50" i="1"/>
  <c r="BR81" i="1"/>
  <c r="AR56" i="1"/>
  <c r="BF71" i="1"/>
  <c r="BT60" i="1"/>
  <c r="AR60" i="1"/>
  <c r="BO82" i="1"/>
  <c r="BA71" i="1"/>
  <c r="AZ51" i="1"/>
  <c r="AV82" i="1"/>
  <c r="BQ58" i="1"/>
  <c r="AX68" i="1"/>
  <c r="AX230" i="1" s="1"/>
  <c r="AO44" i="1"/>
  <c r="BV56" i="1"/>
  <c r="BJ45" i="1"/>
  <c r="BJ46" i="1" s="1"/>
  <c r="AJ110" i="1"/>
  <c r="BC59" i="1"/>
  <c r="BI59" i="1"/>
  <c r="BA68" i="1"/>
  <c r="BS60" i="1"/>
  <c r="AO87" i="1"/>
  <c r="BB44" i="1"/>
  <c r="AV60" i="1"/>
  <c r="BW71" i="1"/>
  <c r="BK68" i="1"/>
  <c r="AO58" i="1"/>
  <c r="AW56" i="1"/>
  <c r="AU83" i="1"/>
  <c r="AP45" i="1"/>
  <c r="BE59" i="1"/>
  <c r="BR72" i="1"/>
  <c r="BS75" i="1"/>
  <c r="AV71" i="1"/>
  <c r="BU57" i="1"/>
  <c r="BR44" i="1"/>
  <c r="BR267" i="1" s="1"/>
  <c r="BM57" i="1"/>
  <c r="BN81" i="1"/>
  <c r="AU44" i="1"/>
  <c r="BC87" i="1"/>
  <c r="AX83" i="1"/>
  <c r="BI68" i="1"/>
  <c r="BM81" i="1"/>
  <c r="BW58" i="1"/>
  <c r="BM45" i="1"/>
  <c r="AP56" i="1"/>
  <c r="BA82" i="1"/>
  <c r="BN75" i="1"/>
  <c r="AR68" i="1"/>
  <c r="AR230" i="1" s="1"/>
  <c r="BI71" i="1"/>
  <c r="BU50" i="1"/>
  <c r="AK110" i="1"/>
  <c r="BT68" i="1"/>
  <c r="AI87" i="1"/>
  <c r="BJ83" i="1"/>
  <c r="AX49" i="1"/>
  <c r="AR71" i="1"/>
  <c r="BI72" i="1"/>
  <c r="AP75" i="1"/>
  <c r="AZ58" i="1"/>
  <c r="BQ82" i="1"/>
  <c r="AN49" i="1"/>
  <c r="AR87" i="1"/>
  <c r="AV87" i="1"/>
  <c r="AN57" i="1"/>
  <c r="AQ87" i="1"/>
  <c r="BK75" i="1"/>
  <c r="BH50" i="1"/>
  <c r="AV75" i="1"/>
  <c r="BC51" i="1"/>
  <c r="AO82" i="1"/>
  <c r="AT68" i="1"/>
  <c r="AT230" i="1" s="1"/>
  <c r="AW58" i="1"/>
  <c r="BD72" i="1"/>
  <c r="AV56" i="1"/>
  <c r="BD45" i="1"/>
  <c r="AI56" i="1"/>
  <c r="AT87" i="1"/>
  <c r="AN87" i="1"/>
  <c r="BR60" i="1"/>
  <c r="AR57" i="1"/>
  <c r="BR56" i="1"/>
  <c r="BP57" i="1"/>
  <c r="BF75" i="1"/>
  <c r="BU51" i="1"/>
  <c r="BR75" i="1"/>
  <c r="BH75" i="1"/>
  <c r="AI81" i="1"/>
  <c r="AU72" i="1"/>
  <c r="AR59" i="1"/>
  <c r="BQ49" i="1"/>
  <c r="BU81" i="1"/>
  <c r="BG49" i="1"/>
  <c r="BH83" i="1"/>
  <c r="BI44" i="1"/>
  <c r="BW87" i="1"/>
  <c r="AS44" i="1"/>
  <c r="BB72" i="1"/>
  <c r="BW56" i="1"/>
  <c r="BK57" i="1"/>
  <c r="AX45" i="1"/>
  <c r="AY45" i="1"/>
  <c r="AO45" i="1"/>
  <c r="BA58" i="1"/>
  <c r="BG71" i="1"/>
  <c r="BU49" i="1"/>
  <c r="AN59" i="1"/>
  <c r="BP51" i="1"/>
  <c r="BJ72" i="1"/>
  <c r="BJ288" i="1" s="1"/>
  <c r="BO81" i="1"/>
  <c r="BU68" i="1"/>
  <c r="BR45" i="1"/>
  <c r="AO72" i="1"/>
  <c r="AQ44" i="1"/>
  <c r="AQ56" i="1"/>
  <c r="BP81" i="1"/>
  <c r="BH82" i="1"/>
  <c r="BG45" i="1"/>
  <c r="BW45" i="1"/>
  <c r="BC44" i="1"/>
  <c r="BB51" i="1"/>
  <c r="BR59" i="1"/>
  <c r="BN72" i="1"/>
  <c r="BA50" i="1"/>
  <c r="AP60" i="1"/>
  <c r="AR58" i="1"/>
  <c r="BS51" i="1"/>
  <c r="AX71" i="1"/>
  <c r="BV68" i="1"/>
  <c r="BV230" i="1" s="1"/>
  <c r="BD68" i="1"/>
  <c r="BD230" i="1" s="1"/>
  <c r="BF83" i="1"/>
  <c r="BD58" i="1"/>
  <c r="BD59" i="1"/>
  <c r="BD50" i="1"/>
  <c r="AS83" i="1"/>
  <c r="BS83" i="1"/>
  <c r="AO71" i="1"/>
  <c r="AV57" i="1"/>
  <c r="BF68" i="1"/>
  <c r="BF230" i="1" s="1"/>
  <c r="BA51" i="1"/>
  <c r="BK87" i="1"/>
  <c r="BK58" i="1"/>
  <c r="BS50" i="1"/>
  <c r="AW82" i="1"/>
  <c r="AV44" i="1"/>
  <c r="AV267" i="1" s="1"/>
  <c r="AO68" i="1"/>
  <c r="AX60" i="1"/>
  <c r="AR72" i="1"/>
  <c r="BR49" i="1"/>
  <c r="AI50" i="1"/>
  <c r="BU56" i="1"/>
  <c r="BT82" i="1"/>
  <c r="BT44" i="1"/>
  <c r="AM82" i="1"/>
  <c r="AV72" i="1"/>
  <c r="BN58" i="1"/>
  <c r="AP87" i="1"/>
  <c r="AV49" i="1"/>
  <c r="BH49" i="1"/>
  <c r="BQ75" i="1"/>
  <c r="AY81" i="1"/>
  <c r="AR75" i="1"/>
  <c r="BM49" i="1"/>
  <c r="BW57" i="1"/>
  <c r="AV81" i="1"/>
  <c r="BT81" i="1"/>
  <c r="AP72" i="1"/>
  <c r="AZ68" i="1"/>
  <c r="BK72" i="1"/>
  <c r="AU45" i="1"/>
  <c r="AY82" i="1"/>
  <c r="BQ51" i="1"/>
  <c r="BE60" i="1"/>
  <c r="BV58" i="1"/>
  <c r="BD81" i="1"/>
  <c r="BM87" i="1"/>
  <c r="BM83" i="1"/>
  <c r="BH45" i="1"/>
  <c r="BV81" i="1"/>
  <c r="BN45" i="1"/>
  <c r="BI87" i="1"/>
  <c r="AT56" i="1"/>
  <c r="BD56" i="1"/>
  <c r="BF44" i="1"/>
  <c r="AX44" i="1"/>
  <c r="AT81" i="1"/>
  <c r="BP58" i="1"/>
  <c r="BC57" i="1"/>
  <c r="AK109" i="1"/>
  <c r="BP56" i="1"/>
  <c r="BC45" i="1"/>
  <c r="BF49" i="1"/>
  <c r="BM60" i="1"/>
  <c r="AO59" i="1"/>
  <c r="BV83" i="1"/>
  <c r="BK49" i="1"/>
  <c r="AO56" i="1"/>
  <c r="AZ82" i="1"/>
  <c r="BW75" i="1"/>
  <c r="AY60" i="1"/>
  <c r="AS51" i="1"/>
  <c r="AY59" i="1"/>
  <c r="AU75" i="1"/>
  <c r="AQ82" i="1"/>
  <c r="BJ110" i="1"/>
  <c r="BM56" i="1"/>
  <c r="AQ75" i="1"/>
  <c r="AX72" i="1"/>
  <c r="BG60" i="1"/>
  <c r="BF50" i="1"/>
  <c r="AU60" i="1"/>
  <c r="BE72" i="1"/>
  <c r="BK45" i="1"/>
  <c r="AZ72" i="1"/>
  <c r="BF82" i="1"/>
  <c r="BS72" i="1"/>
  <c r="AT45" i="1"/>
  <c r="BG50" i="1"/>
  <c r="BF72" i="1"/>
  <c r="BC83" i="1"/>
  <c r="BE68" i="1"/>
  <c r="BE230" i="1" s="1"/>
  <c r="BE57" i="1"/>
  <c r="BE44" i="1"/>
  <c r="BT71" i="1"/>
  <c r="BN60" i="1"/>
  <c r="BC68" i="1"/>
  <c r="BC230" i="1" s="1"/>
  <c r="BI75" i="1"/>
  <c r="AW59" i="1"/>
  <c r="AP81" i="1"/>
  <c r="AS49" i="1"/>
  <c r="BS58" i="1"/>
  <c r="AT58" i="1"/>
  <c r="AW71" i="1"/>
  <c r="BG44" i="1"/>
  <c r="BP59" i="1"/>
  <c r="AR51" i="1"/>
  <c r="AW81" i="1"/>
  <c r="BF81" i="1"/>
  <c r="BV49" i="1"/>
  <c r="AI60" i="1"/>
  <c r="AT82" i="1"/>
  <c r="BH71" i="1"/>
  <c r="AP59" i="1"/>
  <c r="AS71" i="1"/>
  <c r="BO51" i="1"/>
  <c r="BP71" i="1"/>
  <c r="BC50" i="1"/>
  <c r="BB81" i="1"/>
  <c r="BE51" i="1"/>
  <c r="BV72" i="1"/>
  <c r="AP57" i="1"/>
  <c r="AX82" i="1"/>
  <c r="AU71" i="1"/>
  <c r="AZ60" i="1"/>
  <c r="BD49" i="1"/>
  <c r="AS60" i="1"/>
  <c r="BN51" i="1"/>
  <c r="BM68" i="1"/>
  <c r="BJ68" i="1"/>
  <c r="AM83" i="1"/>
  <c r="BQ60" i="1"/>
  <c r="AU57" i="1"/>
  <c r="AX56" i="1"/>
  <c r="BS59" i="1"/>
  <c r="BB75" i="1"/>
  <c r="BC56" i="1"/>
  <c r="AT83" i="1"/>
  <c r="AW75" i="1"/>
  <c r="BV71" i="1"/>
  <c r="BH81" i="1"/>
  <c r="AN58" i="1"/>
  <c r="AX57" i="1"/>
  <c r="BS45" i="1"/>
  <c r="AP50" i="1"/>
  <c r="BP60" i="1"/>
  <c r="AQ71" i="1"/>
  <c r="BV110" i="1"/>
  <c r="AM87" i="1"/>
  <c r="BH51" i="1"/>
  <c r="BA45" i="1"/>
  <c r="AU59" i="1"/>
  <c r="BA56" i="1"/>
  <c r="AN45" i="1"/>
  <c r="BE81" i="1"/>
  <c r="AS75" i="1"/>
  <c r="AI71" i="1"/>
  <c r="AY87" i="1"/>
  <c r="BN71" i="1"/>
  <c r="BO49" i="1"/>
  <c r="BG81" i="1"/>
  <c r="BI57" i="1"/>
  <c r="AY51" i="1"/>
  <c r="BU45" i="1"/>
  <c r="BU58" i="1"/>
  <c r="BF56" i="1"/>
  <c r="BB59" i="1"/>
  <c r="BV59" i="1"/>
  <c r="BG72" i="1"/>
  <c r="BT72" i="1"/>
  <c r="AN51" i="1"/>
  <c r="BO50" i="1"/>
  <c r="BT50" i="1"/>
  <c r="AZ81" i="1"/>
  <c r="AS82" i="1"/>
  <c r="BH57" i="1"/>
  <c r="BO59" i="1"/>
  <c r="BC81" i="1"/>
  <c r="BO56" i="1"/>
  <c r="AN68" i="1"/>
  <c r="AN230" i="1" s="1"/>
  <c r="AN44" i="1"/>
  <c r="AW83" i="1"/>
  <c r="BK81" i="1"/>
  <c r="BV50" i="1"/>
  <c r="AS72" i="1"/>
  <c r="AO83" i="1"/>
  <c r="AI109" i="1"/>
  <c r="BB57" i="1"/>
  <c r="BN59" i="1"/>
  <c r="AN60" i="1"/>
  <c r="AU56" i="1"/>
  <c r="AU68" i="1"/>
  <c r="AU230" i="1" s="1"/>
  <c r="AI72" i="1"/>
  <c r="AI73" i="1" s="1"/>
  <c r="BW44" i="1"/>
  <c r="BO44" i="1"/>
  <c r="BG87" i="1"/>
  <c r="BC75" i="1"/>
  <c r="AR44" i="1"/>
  <c r="BN56" i="1"/>
  <c r="BP72" i="1"/>
  <c r="BK51" i="1"/>
  <c r="AS56" i="1"/>
  <c r="AY50" i="1"/>
  <c r="AU87" i="1"/>
  <c r="BB50" i="1"/>
  <c r="AX75" i="1"/>
  <c r="BD82" i="1"/>
  <c r="BQ50" i="1"/>
  <c r="AI45" i="1"/>
  <c r="BF51" i="1"/>
  <c r="BJ82" i="1"/>
  <c r="AN81" i="1"/>
  <c r="BN87" i="1"/>
  <c r="BQ45" i="1"/>
  <c r="AI68" i="1"/>
  <c r="AI230" i="1" s="1"/>
  <c r="BV44" i="1"/>
  <c r="BV267" i="1" s="1"/>
  <c r="AZ71" i="1"/>
  <c r="AT49" i="1"/>
  <c r="AS81" i="1"/>
  <c r="AU82" i="1"/>
  <c r="BO45" i="1"/>
  <c r="V238" i="1"/>
  <c r="B156" i="1"/>
  <c r="B211" i="1" s="1"/>
  <c r="O164" i="1"/>
  <c r="G184" i="1"/>
  <c r="G218" i="1" s="1"/>
  <c r="G217" i="1" s="1"/>
  <c r="N184" i="1"/>
  <c r="N218" i="1" s="1"/>
  <c r="N217" i="1" s="1"/>
  <c r="F184" i="1"/>
  <c r="F218" i="1" s="1"/>
  <c r="F217" i="1" s="1"/>
  <c r="N192" i="1"/>
  <c r="N221" i="1" s="1"/>
  <c r="N220" i="1" s="1"/>
  <c r="C192" i="1"/>
  <c r="C221" i="1" s="1"/>
  <c r="C220" i="1" s="1"/>
  <c r="L238" i="1"/>
  <c r="B164" i="1"/>
  <c r="N238" i="1"/>
  <c r="L184" i="1"/>
  <c r="L218" i="1" s="1"/>
  <c r="R238" i="1"/>
  <c r="E209" i="1"/>
  <c r="N209" i="1"/>
  <c r="C156" i="1"/>
  <c r="C211" i="1" s="1"/>
  <c r="C101" i="1"/>
  <c r="C143" i="1" s="1"/>
  <c r="M209" i="1"/>
  <c r="K184" i="1"/>
  <c r="K218" i="1" s="1"/>
  <c r="K217" i="1" s="1"/>
  <c r="V197" i="1"/>
  <c r="W245" i="1" s="1"/>
  <c r="B170" i="1"/>
  <c r="B69" i="1" s="1"/>
  <c r="U197" i="1"/>
  <c r="V245" i="1" s="1"/>
  <c r="H156" i="1"/>
  <c r="H211" i="1" s="1"/>
  <c r="O170" i="1"/>
  <c r="O174" i="1" s="1"/>
  <c r="N197" i="1"/>
  <c r="P170" i="1"/>
  <c r="P174" i="1" s="1"/>
  <c r="R156" i="1"/>
  <c r="R211" i="1" s="1"/>
  <c r="C197" i="1"/>
  <c r="J184" i="1"/>
  <c r="J218" i="1" s="1"/>
  <c r="M192" i="1"/>
  <c r="M221" i="1" s="1"/>
  <c r="M220" i="1" s="1"/>
  <c r="L209" i="1"/>
  <c r="U156" i="1"/>
  <c r="C170" i="1"/>
  <c r="C174" i="1" s="1"/>
  <c r="H164" i="1"/>
  <c r="W170" i="1"/>
  <c r="W69" i="1" s="1"/>
  <c r="T192" i="1"/>
  <c r="T221" i="1" s="1"/>
  <c r="T220" i="1" s="1"/>
  <c r="U192" i="1"/>
  <c r="U221" i="1" s="1"/>
  <c r="U220" i="1" s="1"/>
  <c r="T170" i="1"/>
  <c r="T174" i="1" s="1"/>
  <c r="G170" i="1"/>
  <c r="F164" i="1"/>
  <c r="F73" i="1" s="1"/>
  <c r="T209" i="1"/>
  <c r="S238" i="1"/>
  <c r="V192" i="1"/>
  <c r="V221" i="1" s="1"/>
  <c r="V220" i="1" s="1"/>
  <c r="E192" i="1"/>
  <c r="E221" i="1" s="1"/>
  <c r="E220" i="1" s="1"/>
  <c r="C164" i="1"/>
  <c r="C73" i="1" s="1"/>
  <c r="U164" i="1"/>
  <c r="V164" i="1"/>
  <c r="V73" i="1" s="1"/>
  <c r="O238" i="1"/>
  <c r="S170" i="1"/>
  <c r="S69" i="1" s="1"/>
  <c r="V184" i="1"/>
  <c r="S156" i="1"/>
  <c r="S211" i="1" s="1"/>
  <c r="H197" i="1"/>
  <c r="I245" i="1" s="1"/>
  <c r="G164" i="1"/>
  <c r="T184" i="1"/>
  <c r="T218" i="1" s="1"/>
  <c r="T217" i="1" s="1"/>
  <c r="G209" i="1"/>
  <c r="O197" i="1"/>
  <c r="D101" i="1"/>
  <c r="D102" i="1" s="1"/>
  <c r="K238" i="1"/>
  <c r="S164" i="1"/>
  <c r="C184" i="1"/>
  <c r="C218" i="1" s="1"/>
  <c r="C217" i="1" s="1"/>
  <c r="Q156" i="1"/>
  <c r="K170" i="1"/>
  <c r="K69" i="1" s="1"/>
  <c r="H184" i="1"/>
  <c r="I164" i="1"/>
  <c r="E184" i="1"/>
  <c r="E218" i="1" s="1"/>
  <c r="E217" i="1" s="1"/>
  <c r="L192" i="1"/>
  <c r="L221" i="1" s="1"/>
  <c r="L220" i="1" s="1"/>
  <c r="S184" i="1"/>
  <c r="S218" i="1" s="1"/>
  <c r="W209" i="1"/>
  <c r="H209" i="1"/>
  <c r="T156" i="1"/>
  <c r="Q184" i="1"/>
  <c r="Q218" i="1" s="1"/>
  <c r="Q217" i="1" s="1"/>
  <c r="T164" i="1"/>
  <c r="T73" i="1" s="1"/>
  <c r="Q197" i="1"/>
  <c r="R245" i="1" s="1"/>
  <c r="R209" i="1"/>
  <c r="R184" i="1"/>
  <c r="R218" i="1" s="1"/>
  <c r="R217" i="1" s="1"/>
  <c r="R197" i="1"/>
  <c r="S245" i="1" s="1"/>
  <c r="P184" i="1"/>
  <c r="P218" i="1" s="1"/>
  <c r="P217" i="1" s="1"/>
  <c r="C209" i="1"/>
  <c r="V209" i="1"/>
  <c r="I209" i="1"/>
  <c r="D209" i="1"/>
  <c r="Q192" i="1"/>
  <c r="Q221" i="1" s="1"/>
  <c r="Q220" i="1" s="1"/>
  <c r="R192" i="1"/>
  <c r="P192" i="1"/>
  <c r="P221" i="1" s="1"/>
  <c r="P220" i="1" s="1"/>
  <c r="O192" i="1"/>
  <c r="O221" i="1" s="1"/>
  <c r="O220" i="1" s="1"/>
  <c r="D192" i="1"/>
  <c r="D221" i="1" s="1"/>
  <c r="D220" i="1" s="1"/>
  <c r="J192" i="1"/>
  <c r="I192" i="1"/>
  <c r="I193" i="1" s="1"/>
  <c r="M184" i="1"/>
  <c r="M218" i="1" s="1"/>
  <c r="M217" i="1" s="1"/>
  <c r="F192" i="1"/>
  <c r="P238" i="1"/>
  <c r="E164" i="1"/>
  <c r="Q170" i="1"/>
  <c r="K197" i="1"/>
  <c r="B184" i="1"/>
  <c r="H192" i="1"/>
  <c r="O184" i="1"/>
  <c r="O218" i="1" s="1"/>
  <c r="F209" i="1"/>
  <c r="D184" i="1"/>
  <c r="D218" i="1" s="1"/>
  <c r="S209" i="1"/>
  <c r="I156" i="1"/>
  <c r="H170" i="1"/>
  <c r="O209" i="1"/>
  <c r="H238" i="1"/>
  <c r="L164" i="1"/>
  <c r="K156" i="1"/>
  <c r="Q164" i="1"/>
  <c r="K192" i="1"/>
  <c r="B192" i="1"/>
  <c r="B221" i="1" s="1"/>
  <c r="B220" i="1" s="1"/>
  <c r="C238" i="1"/>
  <c r="L197" i="1"/>
  <c r="M245" i="1" s="1"/>
  <c r="V156" i="1"/>
  <c r="K164" i="1"/>
  <c r="J209" i="1"/>
  <c r="W164" i="1"/>
  <c r="Q209" i="1"/>
  <c r="DA113" i="1"/>
  <c r="AE113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O61" i="3"/>
  <c r="M65" i="3"/>
  <c r="U71" i="3"/>
  <c r="Y60" i="3"/>
  <c r="AC88" i="3"/>
  <c r="AE89" i="3"/>
  <c r="AE94" i="3"/>
  <c r="J93" i="3"/>
  <c r="J90" i="3"/>
  <c r="J95" i="3"/>
  <c r="AG67" i="3"/>
  <c r="AG49" i="3"/>
  <c r="AI70" i="3"/>
  <c r="M49" i="3"/>
  <c r="M77" i="3"/>
  <c r="M71" i="3"/>
  <c r="H84" i="3"/>
  <c r="AN77" i="3"/>
  <c r="P85" i="3"/>
  <c r="K74" i="3"/>
  <c r="AA81" i="3"/>
  <c r="Z71" i="3"/>
  <c r="T49" i="3"/>
  <c r="AC48" i="3"/>
  <c r="AL86" i="3"/>
  <c r="I80" i="3"/>
  <c r="O55" i="3"/>
  <c r="AE67" i="3"/>
  <c r="AG74" i="3"/>
  <c r="AI74" i="3"/>
  <c r="AI64" i="3"/>
  <c r="M68" i="3"/>
  <c r="U83" i="3"/>
  <c r="U72" i="3"/>
  <c r="H74" i="3"/>
  <c r="AJ66" i="3"/>
  <c r="AO96" i="3"/>
  <c r="AO63" i="3"/>
  <c r="S85" i="3"/>
  <c r="S63" i="3"/>
  <c r="W71" i="3"/>
  <c r="W48" i="3"/>
  <c r="AN54" i="3"/>
  <c r="AH50" i="3"/>
  <c r="AH63" i="3"/>
  <c r="R49" i="3"/>
  <c r="X65" i="3"/>
  <c r="X90" i="3"/>
  <c r="X49" i="3"/>
  <c r="P61" i="3"/>
  <c r="P86" i="3"/>
  <c r="P62" i="3"/>
  <c r="K93" i="3"/>
  <c r="N78" i="3"/>
  <c r="L55" i="3"/>
  <c r="L81" i="3"/>
  <c r="Y55" i="3"/>
  <c r="AA48" i="3"/>
  <c r="Z69" i="3"/>
  <c r="Z81" i="3"/>
  <c r="AK92" i="3"/>
  <c r="T96" i="3"/>
  <c r="AQ64" i="3"/>
  <c r="AQ88" i="3"/>
  <c r="AL88" i="3"/>
  <c r="Q97" i="3"/>
  <c r="Q73" i="3"/>
  <c r="I97" i="3"/>
  <c r="I74" i="3"/>
  <c r="O88" i="3"/>
  <c r="J84" i="3"/>
  <c r="U61" i="3"/>
  <c r="H86" i="3"/>
  <c r="AJ77" i="3"/>
  <c r="AJ97" i="3"/>
  <c r="AO82" i="3"/>
  <c r="S65" i="3"/>
  <c r="S76" i="3"/>
  <c r="W58" i="3"/>
  <c r="AN86" i="3"/>
  <c r="AN47" i="3"/>
  <c r="AH73" i="3"/>
  <c r="AH85" i="3"/>
  <c r="R84" i="3"/>
  <c r="X77" i="3"/>
  <c r="K88" i="3"/>
  <c r="N48" i="3"/>
  <c r="N50" i="3"/>
  <c r="N54" i="3"/>
  <c r="L56" i="3"/>
  <c r="L79" i="3"/>
  <c r="Y83" i="3"/>
  <c r="Y87" i="3"/>
  <c r="AA97" i="3"/>
  <c r="AA94" i="3"/>
  <c r="Z66" i="3"/>
  <c r="AK65" i="3"/>
  <c r="AK54" i="3"/>
  <c r="T97" i="3"/>
  <c r="T94" i="3"/>
  <c r="T72" i="3"/>
  <c r="V92" i="3"/>
  <c r="V48" i="3"/>
  <c r="AQ71" i="3"/>
  <c r="AQ89" i="3"/>
  <c r="AQ54" i="3"/>
  <c r="AL49" i="3"/>
  <c r="AL91" i="3"/>
  <c r="Q77" i="3"/>
  <c r="AM54" i="3"/>
  <c r="AM56" i="3"/>
  <c r="AM91" i="3"/>
  <c r="AM62" i="3"/>
  <c r="S67" i="3"/>
  <c r="W74" i="3"/>
  <c r="AN84" i="3"/>
  <c r="AN73" i="3"/>
  <c r="AH81" i="3"/>
  <c r="R58" i="3"/>
  <c r="R59" i="3"/>
  <c r="X71" i="3"/>
  <c r="K94" i="3"/>
  <c r="N82" i="3"/>
  <c r="N68" i="3"/>
  <c r="N84" i="3"/>
  <c r="L92" i="3"/>
  <c r="Y94" i="3"/>
  <c r="Y54" i="3"/>
  <c r="AA54" i="3"/>
  <c r="AA66" i="3"/>
  <c r="Z73" i="3"/>
  <c r="AK74" i="3"/>
  <c r="T59" i="3"/>
  <c r="T63" i="3"/>
  <c r="T64" i="3"/>
  <c r="V49" i="3"/>
  <c r="AQ56" i="3"/>
  <c r="AQ57" i="3"/>
  <c r="AL94" i="3"/>
  <c r="Q75" i="3"/>
  <c r="AM48" i="3"/>
  <c r="AM70" i="3"/>
  <c r="S84" i="3"/>
  <c r="K65" i="3"/>
  <c r="M72" i="3"/>
  <c r="H63" i="3"/>
  <c r="Y97" i="3"/>
  <c r="AC83" i="3"/>
  <c r="AE85" i="3"/>
  <c r="AE64" i="3"/>
  <c r="J76" i="3"/>
  <c r="J73" i="3"/>
  <c r="AG48" i="3"/>
  <c r="AG79" i="3"/>
  <c r="AG50" i="3"/>
  <c r="AI62" i="3"/>
  <c r="M88" i="3"/>
  <c r="M50" i="3"/>
  <c r="U95" i="3"/>
  <c r="H97" i="3"/>
  <c r="AN62" i="3"/>
  <c r="P94" i="3"/>
  <c r="K63" i="3"/>
  <c r="AA84" i="3"/>
  <c r="Z67" i="3"/>
  <c r="T60" i="3"/>
  <c r="AC92" i="3"/>
  <c r="AL55" i="3"/>
  <c r="I79" i="3"/>
  <c r="O96" i="3"/>
  <c r="AE69" i="3"/>
  <c r="AG94" i="3"/>
  <c r="AI59" i="3"/>
  <c r="AI85" i="3"/>
  <c r="M69" i="3"/>
  <c r="U97" i="3"/>
  <c r="U48" i="3"/>
  <c r="H68" i="3"/>
  <c r="AJ67" i="3"/>
  <c r="AO49" i="3"/>
  <c r="AO47" i="3"/>
  <c r="S95" i="3"/>
  <c r="S80" i="3"/>
  <c r="W82" i="3"/>
  <c r="W89" i="3"/>
  <c r="AN78" i="3"/>
  <c r="AH91" i="3"/>
  <c r="R57" i="3"/>
  <c r="R91" i="3"/>
  <c r="X70" i="3"/>
  <c r="X85" i="3"/>
  <c r="X66" i="3"/>
  <c r="P92" i="3"/>
  <c r="P72" i="3"/>
  <c r="P87" i="3"/>
  <c r="K73" i="3"/>
  <c r="N61" i="3"/>
  <c r="L94" i="3"/>
  <c r="L68" i="3"/>
  <c r="Y61" i="3"/>
  <c r="AA56" i="3"/>
  <c r="Z94" i="3"/>
  <c r="Z49" i="3"/>
  <c r="AK48" i="3"/>
  <c r="T70" i="3"/>
  <c r="AQ82" i="3"/>
  <c r="AC49" i="3"/>
  <c r="AL61" i="3"/>
  <c r="Q72" i="3"/>
  <c r="Q48" i="3"/>
  <c r="I82" i="3"/>
  <c r="I75" i="3"/>
  <c r="O82" i="3"/>
  <c r="J61" i="3"/>
  <c r="U68" i="3"/>
  <c r="H57" i="3"/>
  <c r="AJ86" i="3"/>
  <c r="AJ68" i="3"/>
  <c r="AO54" i="3"/>
  <c r="S83" i="3"/>
  <c r="S60" i="3"/>
  <c r="L87" i="3"/>
  <c r="AK61" i="3"/>
  <c r="V94" i="3"/>
  <c r="AQ79" i="3"/>
  <c r="AL48" i="3"/>
  <c r="AM94" i="3"/>
  <c r="AM69" i="3"/>
  <c r="K89" i="3"/>
  <c r="N93" i="3"/>
  <c r="AJ90" i="3"/>
  <c r="AI67" i="3"/>
  <c r="M84" i="3"/>
  <c r="H81" i="3"/>
  <c r="Z90" i="3"/>
  <c r="AC96" i="3"/>
  <c r="AE81" i="3"/>
  <c r="AE84" i="3"/>
  <c r="J96" i="3"/>
  <c r="J71" i="3"/>
  <c r="AG82" i="3"/>
  <c r="AG86" i="3"/>
  <c r="AG61" i="3"/>
  <c r="AI81" i="3"/>
  <c r="M70" i="3"/>
  <c r="M47" i="3"/>
  <c r="U55" i="3"/>
  <c r="AJ76" i="3"/>
  <c r="AN67" i="3"/>
  <c r="P93" i="3"/>
  <c r="L64" i="3"/>
  <c r="AA65" i="3"/>
  <c r="Z60" i="3"/>
  <c r="T73" i="3"/>
  <c r="AC86" i="3"/>
  <c r="Q47" i="3"/>
  <c r="I66" i="3"/>
  <c r="O56" i="3"/>
  <c r="AE60" i="3"/>
  <c r="AG62" i="3"/>
  <c r="AI77" i="3"/>
  <c r="AI47" i="3"/>
  <c r="M85" i="3"/>
  <c r="U50" i="3"/>
  <c r="H91" i="3"/>
  <c r="H66" i="3"/>
  <c r="AJ50" i="3"/>
  <c r="AO90" i="3"/>
  <c r="AO91" i="3"/>
  <c r="S56" i="3"/>
  <c r="S86" i="3"/>
  <c r="W70" i="3"/>
  <c r="W59" i="3"/>
  <c r="AN48" i="3"/>
  <c r="AH68" i="3"/>
  <c r="R65" i="3"/>
  <c r="R62" i="3"/>
  <c r="X69" i="3"/>
  <c r="X83" i="3"/>
  <c r="X56" i="3"/>
  <c r="P97" i="3"/>
  <c r="P78" i="3"/>
  <c r="P60" i="3"/>
  <c r="K80" i="3"/>
  <c r="N87" i="3"/>
  <c r="L78" i="3"/>
  <c r="L66" i="3"/>
  <c r="Y84" i="3"/>
  <c r="AA77" i="3"/>
  <c r="Z70" i="3"/>
  <c r="AK56" i="3"/>
  <c r="AK70" i="3"/>
  <c r="T74" i="3"/>
  <c r="AQ74" i="3"/>
  <c r="AC78" i="3"/>
  <c r="AL96" i="3"/>
  <c r="Q76" i="3"/>
  <c r="Q64" i="3"/>
  <c r="I85" i="3"/>
  <c r="I55" i="3"/>
  <c r="O69" i="3"/>
  <c r="J85" i="3"/>
  <c r="U77" i="3"/>
  <c r="H87" i="3"/>
  <c r="AJ55" i="3"/>
  <c r="AO76" i="3"/>
  <c r="AO68" i="3"/>
  <c r="S75" i="3"/>
  <c r="W97" i="3"/>
  <c r="W56" i="3"/>
  <c r="AN57" i="3"/>
  <c r="AN82" i="3"/>
  <c r="AH74" i="3"/>
  <c r="R74" i="3"/>
  <c r="R97" i="3"/>
  <c r="X92" i="3"/>
  <c r="K60" i="3"/>
  <c r="N76" i="3"/>
  <c r="N86" i="3"/>
  <c r="N72" i="3"/>
  <c r="L62" i="3"/>
  <c r="L50" i="3"/>
  <c r="Y88" i="3"/>
  <c r="AA60" i="3"/>
  <c r="AA72" i="3"/>
  <c r="Z59" i="3"/>
  <c r="Z58" i="3"/>
  <c r="AK86" i="3"/>
  <c r="AK76" i="3"/>
  <c r="T95" i="3"/>
  <c r="T81" i="3"/>
  <c r="T68" i="3"/>
  <c r="V61" i="3"/>
  <c r="V74" i="3"/>
  <c r="AQ55" i="3"/>
  <c r="AQ81" i="3"/>
  <c r="AQ78" i="3"/>
  <c r="AL60" i="3"/>
  <c r="AL78" i="3"/>
  <c r="Q94" i="3"/>
  <c r="AM72" i="3"/>
  <c r="AM66" i="3"/>
  <c r="AM80" i="3"/>
  <c r="AM93" i="3"/>
  <c r="AI63" i="3"/>
  <c r="AL74" i="3"/>
  <c r="U86" i="3"/>
  <c r="S48" i="3"/>
  <c r="AN80" i="3"/>
  <c r="AH54" i="3"/>
  <c r="AK50" i="3"/>
  <c r="AQ48" i="3"/>
  <c r="Q87" i="3"/>
  <c r="AG69" i="3"/>
  <c r="AI84" i="3"/>
  <c r="U73" i="3"/>
  <c r="H95" i="3"/>
  <c r="Z84" i="3"/>
  <c r="AC62" i="3"/>
  <c r="AE82" i="3"/>
  <c r="AE68" i="3"/>
  <c r="J78" i="3"/>
  <c r="J92" i="3"/>
  <c r="AG87" i="3"/>
  <c r="AG93" i="3"/>
  <c r="AG75" i="3"/>
  <c r="AI94" i="3"/>
  <c r="M92" i="3"/>
  <c r="M67" i="3"/>
  <c r="U94" i="3"/>
  <c r="AJ59" i="3"/>
  <c r="AN76" i="3"/>
  <c r="P55" i="3"/>
  <c r="L65" i="3"/>
  <c r="AA93" i="3"/>
  <c r="Z61" i="3"/>
  <c r="AC69" i="3"/>
  <c r="AC65" i="3"/>
  <c r="Q81" i="3"/>
  <c r="I63" i="3"/>
  <c r="O79" i="3"/>
  <c r="AE50" i="3"/>
  <c r="AG71" i="3"/>
  <c r="AI96" i="3"/>
  <c r="AI82" i="3"/>
  <c r="M62" i="3"/>
  <c r="U87" i="3"/>
  <c r="H83" i="3"/>
  <c r="H78" i="3"/>
  <c r="AJ80" i="3"/>
  <c r="AO67" i="3"/>
  <c r="AO57" i="3"/>
  <c r="S82" i="3"/>
  <c r="W69" i="3"/>
  <c r="W85" i="3"/>
  <c r="W79" i="3"/>
  <c r="AH66" i="3"/>
  <c r="AH83" i="3"/>
  <c r="R78" i="3"/>
  <c r="R82" i="3"/>
  <c r="X79" i="3"/>
  <c r="X48" i="3"/>
  <c r="X75" i="3"/>
  <c r="P59" i="3"/>
  <c r="P89" i="3"/>
  <c r="K91" i="3"/>
  <c r="K97" i="3"/>
  <c r="N91" i="3"/>
  <c r="L83" i="3"/>
  <c r="L88" i="3"/>
  <c r="Y95" i="3"/>
  <c r="AA73" i="3"/>
  <c r="Z88" i="3"/>
  <c r="AK93" i="3"/>
  <c r="AK79" i="3"/>
  <c r="T77" i="3"/>
  <c r="AQ87" i="3"/>
  <c r="AC95" i="3"/>
  <c r="AL67" i="3"/>
  <c r="Q58" i="3"/>
  <c r="Q69" i="3"/>
  <c r="I64" i="3"/>
  <c r="AM73" i="3"/>
  <c r="O65" i="3"/>
  <c r="AG80" i="3"/>
  <c r="U79" i="3"/>
  <c r="H54" i="3"/>
  <c r="AJ70" i="3"/>
  <c r="AO74" i="3"/>
  <c r="AO66" i="3"/>
  <c r="S54" i="3"/>
  <c r="W49" i="3"/>
  <c r="W91" i="3"/>
  <c r="AN69" i="3"/>
  <c r="AN85" i="3"/>
  <c r="AH65" i="3"/>
  <c r="R83" i="3"/>
  <c r="R86" i="3"/>
  <c r="X58" i="3"/>
  <c r="K75" i="3"/>
  <c r="N73" i="3"/>
  <c r="N80" i="3"/>
  <c r="L73" i="3"/>
  <c r="L60" i="3"/>
  <c r="Y77" i="3"/>
  <c r="Y78" i="3"/>
  <c r="AA47" i="3"/>
  <c r="AA55" i="3"/>
  <c r="Z57" i="3"/>
  <c r="Z93" i="3"/>
  <c r="AK81" i="3"/>
  <c r="AK69" i="3"/>
  <c r="T62" i="3"/>
  <c r="T67" i="3"/>
  <c r="T69" i="3"/>
  <c r="V88" i="3"/>
  <c r="V47" i="3"/>
  <c r="AQ72" i="3"/>
  <c r="AQ92" i="3"/>
  <c r="AQ75" i="3"/>
  <c r="AL75" i="3"/>
  <c r="AL66" i="3"/>
  <c r="Q82" i="3"/>
  <c r="AM59" i="3"/>
  <c r="AM95" i="3"/>
  <c r="AM64" i="3"/>
  <c r="AL72" i="3"/>
  <c r="AL56" i="3"/>
  <c r="J82" i="3"/>
  <c r="AJ91" i="3"/>
  <c r="AN58" i="3"/>
  <c r="R92" i="3"/>
  <c r="X96" i="3"/>
  <c r="N85" i="3"/>
  <c r="Y85" i="3"/>
  <c r="Z89" i="3"/>
  <c r="I77" i="3"/>
  <c r="J64" i="3"/>
  <c r="AJ94" i="3"/>
  <c r="AN55" i="3"/>
  <c r="K49" i="3"/>
  <c r="L96" i="3"/>
  <c r="T83" i="3"/>
  <c r="AQ62" i="3"/>
  <c r="AE96" i="3"/>
  <c r="AI91" i="3"/>
  <c r="U47" i="3"/>
  <c r="H47" i="3"/>
  <c r="Z97" i="3"/>
  <c r="AC54" i="3"/>
  <c r="AE77" i="3"/>
  <c r="AE75" i="3"/>
  <c r="J72" i="3"/>
  <c r="J87" i="3"/>
  <c r="AG89" i="3"/>
  <c r="AG81" i="3"/>
  <c r="AI61" i="3"/>
  <c r="AI72" i="3"/>
  <c r="M86" i="3"/>
  <c r="M97" i="3"/>
  <c r="U74" i="3"/>
  <c r="AO62" i="3"/>
  <c r="X93" i="3"/>
  <c r="P73" i="3"/>
  <c r="L48" i="3"/>
  <c r="AA62" i="3"/>
  <c r="Z56" i="3"/>
  <c r="AC58" i="3"/>
  <c r="AC56" i="3"/>
  <c r="Q93" i="3"/>
  <c r="I67" i="3"/>
  <c r="O77" i="3"/>
  <c r="AE72" i="3"/>
  <c r="AG73" i="3"/>
  <c r="AI56" i="3"/>
  <c r="M89" i="3"/>
  <c r="M75" i="3"/>
  <c r="U82" i="3"/>
  <c r="H49" i="3"/>
  <c r="H76" i="3"/>
  <c r="AJ49" i="3"/>
  <c r="AO69" i="3"/>
  <c r="AO50" i="3"/>
  <c r="S50" i="3"/>
  <c r="W80" i="3"/>
  <c r="W95" i="3"/>
  <c r="AN91" i="3"/>
  <c r="AH79" i="3"/>
  <c r="AH86" i="3"/>
  <c r="R54" i="3"/>
  <c r="R94" i="3"/>
  <c r="X54" i="3"/>
  <c r="X88" i="3"/>
  <c r="X84" i="3"/>
  <c r="P83" i="3"/>
  <c r="P79" i="3"/>
  <c r="K87" i="3"/>
  <c r="K83" i="3"/>
  <c r="N66" i="3"/>
  <c r="L89" i="3"/>
  <c r="L97" i="3"/>
  <c r="Y70" i="3"/>
  <c r="AA89" i="3"/>
  <c r="Z47" i="3"/>
  <c r="AK97" i="3"/>
  <c r="AK78" i="3"/>
  <c r="T87" i="3"/>
  <c r="AQ66" i="3"/>
  <c r="AC75" i="3"/>
  <c r="Q85" i="3"/>
  <c r="Q88" i="3"/>
  <c r="Q83" i="3"/>
  <c r="I76" i="3"/>
  <c r="AM81" i="3"/>
  <c r="O66" i="3"/>
  <c r="AG83" i="3"/>
  <c r="U64" i="3"/>
  <c r="H89" i="3"/>
  <c r="AJ69" i="3"/>
  <c r="AO70" i="3"/>
  <c r="AO87" i="3"/>
  <c r="S64" i="3"/>
  <c r="W72" i="3"/>
  <c r="W83" i="3"/>
  <c r="AN50" i="3"/>
  <c r="AN70" i="3"/>
  <c r="AH59" i="3"/>
  <c r="R47" i="3"/>
  <c r="R61" i="3"/>
  <c r="K79" i="3"/>
  <c r="K48" i="3"/>
  <c r="N71" i="3"/>
  <c r="N79" i="3"/>
  <c r="L86" i="3"/>
  <c r="L82" i="3"/>
  <c r="Y75" i="3"/>
  <c r="Y96" i="3"/>
  <c r="AA68" i="3"/>
  <c r="AA61" i="3"/>
  <c r="Z79" i="3"/>
  <c r="AK75" i="3"/>
  <c r="AK91" i="3"/>
  <c r="AK49" i="3"/>
  <c r="T93" i="3"/>
  <c r="T79" i="3"/>
  <c r="V89" i="3"/>
  <c r="V76" i="3"/>
  <c r="V78" i="3"/>
  <c r="AQ65" i="3"/>
  <c r="AQ96" i="3"/>
  <c r="AQ73" i="3"/>
  <c r="AL58" i="3"/>
  <c r="AL80" i="3"/>
  <c r="Q57" i="3"/>
  <c r="AM92" i="3"/>
  <c r="AM49" i="3"/>
  <c r="AM78" i="3"/>
  <c r="AM79" i="3"/>
  <c r="AC97" i="3"/>
  <c r="AL95" i="3"/>
  <c r="W66" i="3"/>
  <c r="AH55" i="3"/>
  <c r="X47" i="3"/>
  <c r="P58" i="3"/>
  <c r="N55" i="3"/>
  <c r="AK94" i="3"/>
  <c r="Q91" i="3"/>
  <c r="AJ87" i="3"/>
  <c r="R48" i="3"/>
  <c r="Y79" i="3"/>
  <c r="T89" i="3"/>
  <c r="AM90" i="3"/>
  <c r="R80" i="3"/>
  <c r="AI95" i="3"/>
  <c r="U57" i="3"/>
  <c r="H65" i="3"/>
  <c r="Z50" i="3"/>
  <c r="AL65" i="3"/>
  <c r="AE88" i="3"/>
  <c r="AE95" i="3"/>
  <c r="J49" i="3"/>
  <c r="J68" i="3"/>
  <c r="AG70" i="3"/>
  <c r="AG47" i="3"/>
  <c r="AI48" i="3"/>
  <c r="AI49" i="3"/>
  <c r="M74" i="3"/>
  <c r="M80" i="3"/>
  <c r="H70" i="3"/>
  <c r="AO94" i="3"/>
  <c r="X74" i="3"/>
  <c r="P49" i="3"/>
  <c r="L70" i="3"/>
  <c r="AA85" i="3"/>
  <c r="Z83" i="3"/>
  <c r="AC87" i="3"/>
  <c r="AC55" i="3"/>
  <c r="Q95" i="3"/>
  <c r="I50" i="3"/>
  <c r="AE76" i="3"/>
  <c r="J86" i="3"/>
  <c r="AG56" i="3"/>
  <c r="AI79" i="3"/>
  <c r="M96" i="3"/>
  <c r="M93" i="3"/>
  <c r="U85" i="3"/>
  <c r="H73" i="3"/>
  <c r="H64" i="3"/>
  <c r="AJ85" i="3"/>
  <c r="AO88" i="3"/>
  <c r="AO79" i="3"/>
  <c r="S74" i="3"/>
  <c r="W87" i="3"/>
  <c r="W75" i="3"/>
  <c r="AN88" i="3"/>
  <c r="AH96" i="3"/>
  <c r="AH62" i="3"/>
  <c r="R93" i="3"/>
  <c r="R96" i="3"/>
  <c r="X60" i="3"/>
  <c r="X94" i="3"/>
  <c r="X57" i="3"/>
  <c r="P68" i="3"/>
  <c r="P64" i="3"/>
  <c r="K58" i="3"/>
  <c r="K78" i="3"/>
  <c r="N88" i="3"/>
  <c r="L84" i="3"/>
  <c r="Y76" i="3"/>
  <c r="Y67" i="3"/>
  <c r="AA91" i="3"/>
  <c r="Z48" i="3"/>
  <c r="AK64" i="3"/>
  <c r="AK72" i="3"/>
  <c r="V80" i="3"/>
  <c r="AQ47" i="3"/>
  <c r="AC60" i="3"/>
  <c r="Q96" i="3"/>
  <c r="Q74" i="3"/>
  <c r="Q55" i="3"/>
  <c r="I54" i="3"/>
  <c r="AM55" i="3"/>
  <c r="O71" i="3"/>
  <c r="AG90" i="3"/>
  <c r="U54" i="3"/>
  <c r="H92" i="3"/>
  <c r="AJ58" i="3"/>
  <c r="AO73" i="3"/>
  <c r="AO64" i="3"/>
  <c r="S89" i="3"/>
  <c r="W94" i="3"/>
  <c r="W96" i="3"/>
  <c r="AN66" i="3"/>
  <c r="AN68" i="3"/>
  <c r="AH94" i="3"/>
  <c r="R81" i="3"/>
  <c r="R67" i="3"/>
  <c r="K86" i="3"/>
  <c r="K76" i="3"/>
  <c r="N69" i="3"/>
  <c r="N81" i="3"/>
  <c r="L63" i="3"/>
  <c r="L49" i="3"/>
  <c r="Y71" i="3"/>
  <c r="Y82" i="3"/>
  <c r="AA78" i="3"/>
  <c r="AA70" i="3"/>
  <c r="Z76" i="3"/>
  <c r="AK67" i="3"/>
  <c r="AK90" i="3"/>
  <c r="AK59" i="3"/>
  <c r="T85" i="3"/>
  <c r="T90" i="3"/>
  <c r="V85" i="3"/>
  <c r="V58" i="3"/>
  <c r="V87" i="3"/>
  <c r="AQ58" i="3"/>
  <c r="AQ69" i="3"/>
  <c r="AQ76" i="3"/>
  <c r="AL50" i="3"/>
  <c r="AL76" i="3"/>
  <c r="Q80" i="3"/>
  <c r="AM89" i="3"/>
  <c r="AM67" i="3"/>
  <c r="AM65" i="3"/>
  <c r="I88" i="3"/>
  <c r="AI93" i="3"/>
  <c r="AI92" i="3"/>
  <c r="P77" i="3"/>
  <c r="AC94" i="3"/>
  <c r="AE57" i="3"/>
  <c r="M76" i="3"/>
  <c r="U66" i="3"/>
  <c r="AJ88" i="3"/>
  <c r="P57" i="3"/>
  <c r="Y74" i="3"/>
  <c r="V67" i="3"/>
  <c r="X82" i="3"/>
  <c r="L91" i="3"/>
  <c r="AA76" i="3"/>
  <c r="AK71" i="3"/>
  <c r="V86" i="3"/>
  <c r="AL63" i="3"/>
  <c r="AM63" i="3"/>
  <c r="AG66" i="3"/>
  <c r="T71" i="3"/>
  <c r="AI55" i="3"/>
  <c r="U96" i="3"/>
  <c r="H67" i="3"/>
  <c r="Z65" i="3"/>
  <c r="AL59" i="3"/>
  <c r="AE79" i="3"/>
  <c r="J75" i="3"/>
  <c r="J70" i="3"/>
  <c r="J58" i="3"/>
  <c r="AG59" i="3"/>
  <c r="AG88" i="3"/>
  <c r="AI69" i="3"/>
  <c r="AI58" i="3"/>
  <c r="M55" i="3"/>
  <c r="M87" i="3"/>
  <c r="H61" i="3"/>
  <c r="AO71" i="3"/>
  <c r="X67" i="3"/>
  <c r="P66" i="3"/>
  <c r="L75" i="3"/>
  <c r="AA90" i="3"/>
  <c r="Z91" i="3"/>
  <c r="AC59" i="3"/>
  <c r="AL84" i="3"/>
  <c r="Q68" i="3"/>
  <c r="I47" i="3"/>
  <c r="AE54" i="3"/>
  <c r="J74" i="3"/>
  <c r="AG68" i="3"/>
  <c r="AI75" i="3"/>
  <c r="M81" i="3"/>
  <c r="M82" i="3"/>
  <c r="U84" i="3"/>
  <c r="H85" i="3"/>
  <c r="H96" i="3"/>
  <c r="AJ73" i="3"/>
  <c r="AO92" i="3"/>
  <c r="AO77" i="3"/>
  <c r="S72" i="3"/>
  <c r="W84" i="3"/>
  <c r="W67" i="3"/>
  <c r="AN94" i="3"/>
  <c r="AH56" i="3"/>
  <c r="AH64" i="3"/>
  <c r="R72" i="3"/>
  <c r="R71" i="3"/>
  <c r="X64" i="3"/>
  <c r="X62" i="3"/>
  <c r="X61" i="3"/>
  <c r="P47" i="3"/>
  <c r="P90" i="3"/>
  <c r="K47" i="3"/>
  <c r="N90" i="3"/>
  <c r="N65" i="3"/>
  <c r="L95" i="3"/>
  <c r="Y50" i="3"/>
  <c r="Y93" i="3"/>
  <c r="AA67" i="3"/>
  <c r="Z92" i="3"/>
  <c r="AK82" i="3"/>
  <c r="T56" i="3"/>
  <c r="V68" i="3"/>
  <c r="AQ91" i="3"/>
  <c r="AC81" i="3"/>
  <c r="Q66" i="3"/>
  <c r="Q78" i="3"/>
  <c r="Q50" i="3"/>
  <c r="I94" i="3"/>
  <c r="AM75" i="3"/>
  <c r="AE55" i="3"/>
  <c r="AG78" i="3"/>
  <c r="U59" i="3"/>
  <c r="H62" i="3"/>
  <c r="AJ60" i="3"/>
  <c r="AO72" i="3"/>
  <c r="AO84" i="3"/>
  <c r="S81" i="3"/>
  <c r="W65" i="3"/>
  <c r="W73" i="3"/>
  <c r="AN81" i="3"/>
  <c r="AH87" i="3"/>
  <c r="AH92" i="3"/>
  <c r="R88" i="3"/>
  <c r="R77" i="3"/>
  <c r="K59" i="3"/>
  <c r="K67" i="3"/>
  <c r="N94" i="3"/>
  <c r="N64" i="3"/>
  <c r="L76" i="3"/>
  <c r="L77" i="3"/>
  <c r="Y68" i="3"/>
  <c r="Y49" i="3"/>
  <c r="AA49" i="3"/>
  <c r="AA50" i="3"/>
  <c r="Z55" i="3"/>
  <c r="AK55" i="3"/>
  <c r="AK58" i="3"/>
  <c r="AK88" i="3"/>
  <c r="T76" i="3"/>
  <c r="T91" i="3"/>
  <c r="V66" i="3"/>
  <c r="V55" i="3"/>
  <c r="V60" i="3"/>
  <c r="AQ61" i="3"/>
  <c r="AQ97" i="3"/>
  <c r="AL62" i="3"/>
  <c r="AL69" i="3"/>
  <c r="AL90" i="3"/>
  <c r="I73" i="3"/>
  <c r="AM58" i="3"/>
  <c r="AM61" i="3"/>
  <c r="AM57" i="3"/>
  <c r="AM71" i="3"/>
  <c r="J97" i="3"/>
  <c r="AG72" i="3"/>
  <c r="M79" i="3"/>
  <c r="AA59" i="3"/>
  <c r="O85" i="3"/>
  <c r="U63" i="3"/>
  <c r="AO97" i="3"/>
  <c r="K71" i="3"/>
  <c r="Z54" i="3"/>
  <c r="O86" i="3"/>
  <c r="S90" i="3"/>
  <c r="T50" i="3"/>
  <c r="AK84" i="3"/>
  <c r="AI83" i="3"/>
  <c r="U89" i="3"/>
  <c r="H50" i="3"/>
  <c r="Z62" i="3"/>
  <c r="AE90" i="3"/>
  <c r="AE78" i="3"/>
  <c r="J54" i="3"/>
  <c r="J88" i="3"/>
  <c r="J65" i="3"/>
  <c r="AG55" i="3"/>
  <c r="AG97" i="3"/>
  <c r="AI71" i="3"/>
  <c r="M59" i="3"/>
  <c r="M90" i="3"/>
  <c r="M60" i="3"/>
  <c r="H72" i="3"/>
  <c r="S92" i="3"/>
  <c r="P81" i="3"/>
  <c r="P82" i="3"/>
  <c r="L72" i="3"/>
  <c r="AA64" i="3"/>
  <c r="Z86" i="3"/>
  <c r="AC68" i="3"/>
  <c r="AL71" i="3"/>
  <c r="Q65" i="3"/>
  <c r="I57" i="3"/>
  <c r="AE65" i="3"/>
  <c r="J81" i="3"/>
  <c r="AG84" i="3"/>
  <c r="AI65" i="3"/>
  <c r="M48" i="3"/>
  <c r="U93" i="3"/>
  <c r="U56" i="3"/>
  <c r="H88" i="3"/>
  <c r="H59" i="3"/>
  <c r="AJ74" i="3"/>
  <c r="AO95" i="3"/>
  <c r="AO85" i="3"/>
  <c r="S71" i="3"/>
  <c r="W81" i="3"/>
  <c r="W47" i="3"/>
  <c r="AN92" i="3"/>
  <c r="AH67" i="3"/>
  <c r="AH77" i="3"/>
  <c r="R76" i="3"/>
  <c r="R89" i="3"/>
  <c r="X59" i="3"/>
  <c r="X81" i="3"/>
  <c r="X50" i="3"/>
  <c r="P75" i="3"/>
  <c r="P50" i="3"/>
  <c r="K81" i="3"/>
  <c r="N57" i="3"/>
  <c r="N60" i="3"/>
  <c r="L61" i="3"/>
  <c r="Y56" i="3"/>
  <c r="Y64" i="3"/>
  <c r="AA86" i="3"/>
  <c r="Z96" i="3"/>
  <c r="AK73" i="3"/>
  <c r="T86" i="3"/>
  <c r="V90" i="3"/>
  <c r="AQ63" i="3"/>
  <c r="AC64" i="3"/>
  <c r="Q59" i="3"/>
  <c r="Q54" i="3"/>
  <c r="Q84" i="3"/>
  <c r="I58" i="3"/>
  <c r="AM68" i="3"/>
  <c r="AE97" i="3"/>
  <c r="U81" i="3"/>
  <c r="H55" i="3"/>
  <c r="H79" i="3"/>
  <c r="AJ84" i="3"/>
  <c r="AO60" i="3"/>
  <c r="AO81" i="3"/>
  <c r="S87" i="3"/>
  <c r="W63" i="3"/>
  <c r="AN65" i="3"/>
  <c r="AN49" i="3"/>
  <c r="AH75" i="3"/>
  <c r="AH58" i="3"/>
  <c r="R75" i="3"/>
  <c r="R73" i="3"/>
  <c r="K85" i="3"/>
  <c r="K62" i="3"/>
  <c r="N62" i="3"/>
  <c r="N58" i="3"/>
  <c r="L59" i="3"/>
  <c r="L74" i="3"/>
  <c r="Y58" i="3"/>
  <c r="Y81" i="3"/>
  <c r="AA71" i="3"/>
  <c r="AA57" i="3"/>
  <c r="Z75" i="3"/>
  <c r="AK83" i="3"/>
  <c r="AK60" i="3"/>
  <c r="AK62" i="3"/>
  <c r="T47" i="3"/>
  <c r="T58" i="3"/>
  <c r="V50" i="3"/>
  <c r="V84" i="3"/>
  <c r="V70" i="3"/>
  <c r="AQ70" i="3"/>
  <c r="AQ50" i="3"/>
  <c r="AL81" i="3"/>
  <c r="AL85" i="3"/>
  <c r="Q60" i="3"/>
  <c r="I78" i="3"/>
  <c r="AM88" i="3"/>
  <c r="AM60" i="3"/>
  <c r="AM84" i="3"/>
  <c r="AM77" i="3"/>
  <c r="AE73" i="3"/>
  <c r="J94" i="3"/>
  <c r="AN72" i="3"/>
  <c r="Z87" i="3"/>
  <c r="AG54" i="3"/>
  <c r="S88" i="3"/>
  <c r="AA80" i="3"/>
  <c r="P69" i="3"/>
  <c r="AI73" i="3"/>
  <c r="U76" i="3"/>
  <c r="AN93" i="3"/>
  <c r="Z74" i="3"/>
  <c r="AE86" i="3"/>
  <c r="AE61" i="3"/>
  <c r="J69" i="3"/>
  <c r="J91" i="3"/>
  <c r="J48" i="3"/>
  <c r="AG64" i="3"/>
  <c r="AG60" i="3"/>
  <c r="AI86" i="3"/>
  <c r="M83" i="3"/>
  <c r="M58" i="3"/>
  <c r="M64" i="3"/>
  <c r="H90" i="3"/>
  <c r="S61" i="3"/>
  <c r="P67" i="3"/>
  <c r="P96" i="3"/>
  <c r="L58" i="3"/>
  <c r="AA88" i="3"/>
  <c r="Z80" i="3"/>
  <c r="AC63" i="3"/>
  <c r="AL92" i="3"/>
  <c r="I84" i="3"/>
  <c r="AE71" i="3"/>
  <c r="J56" i="3"/>
  <c r="AG57" i="3"/>
  <c r="AI57" i="3"/>
  <c r="M63" i="3"/>
  <c r="U90" i="3"/>
  <c r="U69" i="3"/>
  <c r="H77" i="3"/>
  <c r="AJ54" i="3"/>
  <c r="AJ81" i="3"/>
  <c r="AO83" i="3"/>
  <c r="S49" i="3"/>
  <c r="S73" i="3"/>
  <c r="W92" i="3"/>
  <c r="W88" i="3"/>
  <c r="AN90" i="3"/>
  <c r="AH49" i="3"/>
  <c r="AH89" i="3"/>
  <c r="R70" i="3"/>
  <c r="R55" i="3"/>
  <c r="X87" i="3"/>
  <c r="X86" i="3"/>
  <c r="P63" i="3"/>
  <c r="P95" i="3"/>
  <c r="P56" i="3"/>
  <c r="K90" i="3"/>
  <c r="N89" i="3"/>
  <c r="N92" i="3"/>
  <c r="L90" i="3"/>
  <c r="Y73" i="3"/>
  <c r="Y47" i="3"/>
  <c r="AA82" i="3"/>
  <c r="Z68" i="3"/>
  <c r="AK85" i="3"/>
  <c r="T48" i="3"/>
  <c r="V83" i="3"/>
  <c r="AQ80" i="3"/>
  <c r="AL93" i="3"/>
  <c r="Q71" i="3"/>
  <c r="Q67" i="3"/>
  <c r="I69" i="3"/>
  <c r="I90" i="3"/>
  <c r="AE91" i="3"/>
  <c r="U70" i="3"/>
  <c r="H58" i="3"/>
  <c r="AJ89" i="3"/>
  <c r="AJ96" i="3"/>
  <c r="AO55" i="3"/>
  <c r="AO80" i="3"/>
  <c r="S96" i="3"/>
  <c r="W62" i="3"/>
  <c r="AN71" i="3"/>
  <c r="AN63" i="3"/>
  <c r="AH88" i="3"/>
  <c r="AH95" i="3"/>
  <c r="R90" i="3"/>
  <c r="X63" i="3"/>
  <c r="K68" i="3"/>
  <c r="K64" i="3"/>
  <c r="N75" i="3"/>
  <c r="N97" i="3"/>
  <c r="L47" i="3"/>
  <c r="L69" i="3"/>
  <c r="Y59" i="3"/>
  <c r="Y86" i="3"/>
  <c r="AA75" i="3"/>
  <c r="AA95" i="3"/>
  <c r="Z78" i="3"/>
  <c r="AK96" i="3"/>
  <c r="AK77" i="3"/>
  <c r="AK87" i="3"/>
  <c r="T55" i="3"/>
  <c r="T61" i="3"/>
  <c r="V56" i="3"/>
  <c r="V97" i="3"/>
  <c r="V95" i="3"/>
  <c r="AQ86" i="3"/>
  <c r="AQ59" i="3"/>
  <c r="AL70" i="3"/>
  <c r="Q56" i="3"/>
  <c r="AM87" i="3"/>
  <c r="AE70" i="3"/>
  <c r="M91" i="3"/>
  <c r="H48" i="3"/>
  <c r="P91" i="3"/>
  <c r="T82" i="3"/>
  <c r="I60" i="3"/>
  <c r="H71" i="3"/>
  <c r="W60" i="3"/>
  <c r="K50" i="3"/>
  <c r="S58" i="3"/>
  <c r="AI68" i="3"/>
  <c r="U91" i="3"/>
  <c r="AN64" i="3"/>
  <c r="Z82" i="3"/>
  <c r="AE74" i="3"/>
  <c r="AE92" i="3"/>
  <c r="J60" i="3"/>
  <c r="J62" i="3"/>
  <c r="J80" i="3"/>
  <c r="AG77" i="3"/>
  <c r="AG85" i="3"/>
  <c r="AI89" i="3"/>
  <c r="M57" i="3"/>
  <c r="M56" i="3"/>
  <c r="M61" i="3"/>
  <c r="H82" i="3"/>
  <c r="W64" i="3"/>
  <c r="P84" i="3"/>
  <c r="P76" i="3"/>
  <c r="AA96" i="3"/>
  <c r="AA92" i="3"/>
  <c r="T75" i="3"/>
  <c r="AC73" i="3"/>
  <c r="AL77" i="3"/>
  <c r="I87" i="3"/>
  <c r="O72" i="3"/>
  <c r="AE59" i="3"/>
  <c r="J55" i="3"/>
  <c r="AG63" i="3"/>
  <c r="AI66" i="3"/>
  <c r="M94" i="3"/>
  <c r="U78" i="3"/>
  <c r="U80" i="3"/>
  <c r="H93" i="3"/>
  <c r="AJ92" i="3"/>
  <c r="AJ48" i="3"/>
  <c r="AO75" i="3"/>
  <c r="S79" i="3"/>
  <c r="S97" i="3"/>
  <c r="W76" i="3"/>
  <c r="W50" i="3"/>
  <c r="AN59" i="3"/>
  <c r="AH60" i="3"/>
  <c r="AH61" i="3"/>
  <c r="R66" i="3"/>
  <c r="X76" i="3"/>
  <c r="X72" i="3"/>
  <c r="X97" i="3"/>
  <c r="P80" i="3"/>
  <c r="P65" i="3"/>
  <c r="P71" i="3"/>
  <c r="K55" i="3"/>
  <c r="N77" i="3"/>
  <c r="N49" i="3"/>
  <c r="L93" i="3"/>
  <c r="Y72" i="3"/>
  <c r="Y63" i="3"/>
  <c r="AA79" i="3"/>
  <c r="Z63" i="3"/>
  <c r="AK63" i="3"/>
  <c r="T57" i="3"/>
  <c r="V54" i="3"/>
  <c r="AQ83" i="3"/>
  <c r="AL68" i="3"/>
  <c r="Q79" i="3"/>
  <c r="Q70" i="3"/>
  <c r="I93" i="3"/>
  <c r="I96" i="3"/>
  <c r="O91" i="3"/>
  <c r="J57" i="3"/>
  <c r="U88" i="3"/>
  <c r="H56" i="3"/>
  <c r="AJ64" i="3"/>
  <c r="AJ57" i="3"/>
  <c r="AO58" i="3"/>
  <c r="S47" i="3"/>
  <c r="S91" i="3"/>
  <c r="W54" i="3"/>
  <c r="AN87" i="3"/>
  <c r="AN95" i="3"/>
  <c r="AH76" i="3"/>
  <c r="AH93" i="3"/>
  <c r="R79" i="3"/>
  <c r="X95" i="3"/>
  <c r="K54" i="3"/>
  <c r="K77" i="3"/>
  <c r="N83" i="3"/>
  <c r="N59" i="3"/>
  <c r="L85" i="3"/>
  <c r="L71" i="3"/>
  <c r="Y91" i="3"/>
  <c r="Y48" i="3"/>
  <c r="AA83" i="3"/>
  <c r="AA74" i="3"/>
  <c r="Z95" i="3"/>
  <c r="AK57" i="3"/>
  <c r="AK68" i="3"/>
  <c r="AK89" i="3"/>
  <c r="T66" i="3"/>
  <c r="T88" i="3"/>
  <c r="V93" i="3"/>
  <c r="V71" i="3"/>
  <c r="V63" i="3"/>
  <c r="AQ49" i="3"/>
  <c r="AQ60" i="3"/>
  <c r="AL73" i="3"/>
  <c r="AL64" i="3"/>
  <c r="Q86" i="3"/>
  <c r="AM97" i="3"/>
  <c r="AM82" i="3"/>
  <c r="AM96" i="3"/>
  <c r="AM47" i="3"/>
  <c r="AK66" i="3"/>
  <c r="I72" i="3"/>
  <c r="AN96" i="3"/>
  <c r="AH69" i="3"/>
  <c r="X89" i="3"/>
  <c r="N74" i="3"/>
  <c r="L57" i="3"/>
  <c r="Y57" i="3"/>
  <c r="AA87" i="3"/>
  <c r="Z85" i="3"/>
  <c r="AK80" i="3"/>
  <c r="T84" i="3"/>
  <c r="T78" i="3"/>
  <c r="T65" i="3"/>
  <c r="V72" i="3"/>
  <c r="V59" i="3"/>
  <c r="V82" i="3"/>
  <c r="AQ94" i="3"/>
  <c r="AQ68" i="3"/>
  <c r="AL54" i="3"/>
  <c r="AL83" i="3"/>
  <c r="AM86" i="3"/>
  <c r="AM50" i="3"/>
  <c r="U62" i="3"/>
  <c r="AI90" i="3"/>
  <c r="H94" i="3"/>
  <c r="AH47" i="3"/>
  <c r="X55" i="3"/>
  <c r="L67" i="3"/>
  <c r="AQ93" i="3"/>
  <c r="Q61" i="3"/>
  <c r="AO86" i="3"/>
  <c r="AH71" i="3"/>
  <c r="N96" i="3"/>
  <c r="Y62" i="3"/>
  <c r="Z77" i="3"/>
  <c r="V91" i="3"/>
  <c r="AQ85" i="3"/>
  <c r="AL87" i="3"/>
  <c r="AM83" i="3"/>
  <c r="AI97" i="3"/>
  <c r="U65" i="3"/>
  <c r="X73" i="3"/>
  <c r="AC71" i="3"/>
  <c r="AE87" i="3"/>
  <c r="AE63" i="3"/>
  <c r="J63" i="3"/>
  <c r="J66" i="3"/>
  <c r="J59" i="3"/>
  <c r="AG91" i="3"/>
  <c r="AG95" i="3"/>
  <c r="AI54" i="3"/>
  <c r="M73" i="3"/>
  <c r="M66" i="3"/>
  <c r="M95" i="3"/>
  <c r="H75" i="3"/>
  <c r="W78" i="3"/>
  <c r="P48" i="3"/>
  <c r="K56" i="3"/>
  <c r="AA58" i="3"/>
  <c r="AA63" i="3"/>
  <c r="T80" i="3"/>
  <c r="AC61" i="3"/>
  <c r="AL82" i="3"/>
  <c r="I48" i="3"/>
  <c r="O49" i="3"/>
  <c r="AE66" i="3"/>
  <c r="AG76" i="3"/>
  <c r="AG92" i="3"/>
  <c r="AI88" i="3"/>
  <c r="M54" i="3"/>
  <c r="U60" i="3"/>
  <c r="U58" i="3"/>
  <c r="H80" i="3"/>
  <c r="AJ83" i="3"/>
  <c r="AJ62" i="3"/>
  <c r="AO48" i="3"/>
  <c r="S78" i="3"/>
  <c r="S93" i="3"/>
  <c r="W93" i="3"/>
  <c r="W90" i="3"/>
  <c r="AN89" i="3"/>
  <c r="AH57" i="3"/>
  <c r="AH80" i="3"/>
  <c r="R60" i="3"/>
  <c r="X80" i="3"/>
  <c r="X78" i="3"/>
  <c r="X91" i="3"/>
  <c r="P70" i="3"/>
  <c r="P54" i="3"/>
  <c r="P74" i="3"/>
  <c r="K70" i="3"/>
  <c r="N70" i="3"/>
  <c r="N47" i="3"/>
  <c r="L80" i="3"/>
  <c r="Y89" i="3"/>
  <c r="Y92" i="3"/>
  <c r="Z64" i="3"/>
  <c r="Z72" i="3"/>
  <c r="AK47" i="3"/>
  <c r="T54" i="3"/>
  <c r="V65" i="3"/>
  <c r="AQ84" i="3"/>
  <c r="AL79" i="3"/>
  <c r="Q89" i="3"/>
  <c r="Q63" i="3"/>
  <c r="I70" i="3"/>
  <c r="O92" i="3"/>
  <c r="J89" i="3"/>
  <c r="U67" i="3"/>
  <c r="H60" i="3"/>
  <c r="AJ56" i="3"/>
  <c r="AJ63" i="3"/>
  <c r="AO78" i="3"/>
  <c r="S69" i="3"/>
  <c r="S59" i="3"/>
  <c r="W61" i="3"/>
  <c r="AN56" i="3"/>
  <c r="AH48" i="3"/>
  <c r="R85" i="3"/>
  <c r="K57" i="3"/>
  <c r="K61" i="3"/>
  <c r="N63" i="3"/>
  <c r="L54" i="3"/>
  <c r="Y66" i="3"/>
  <c r="AA69" i="3"/>
  <c r="AK95" i="3"/>
  <c r="Q90" i="3"/>
  <c r="AM74" i="3"/>
  <c r="AM76" i="3"/>
  <c r="X68" i="3"/>
  <c r="AG58" i="3"/>
  <c r="M78" i="3"/>
  <c r="K82" i="3"/>
  <c r="T92" i="3"/>
  <c r="I91" i="3"/>
  <c r="W55" i="3"/>
  <c r="AM85" i="3"/>
  <c r="BW176" i="1" l="1"/>
  <c r="BX176" i="1" s="1"/>
  <c r="BY238" i="1" s="1"/>
  <c r="BW200" i="1"/>
  <c r="BX200" i="1" s="1"/>
  <c r="BW162" i="1"/>
  <c r="BX162" i="1" s="1"/>
  <c r="BM199" i="1"/>
  <c r="BN199" i="1" s="1"/>
  <c r="AY187" i="1"/>
  <c r="AZ187" i="1" s="1"/>
  <c r="AQ182" i="1"/>
  <c r="AR182" i="1" s="1"/>
  <c r="AY160" i="1"/>
  <c r="BO158" i="1"/>
  <c r="BP158" i="1" s="1"/>
  <c r="BK196" i="1"/>
  <c r="BI182" i="1"/>
  <c r="BJ182" i="1" s="1"/>
  <c r="AO160" i="1"/>
  <c r="AO196" i="1"/>
  <c r="BI176" i="1"/>
  <c r="BJ176" i="1" s="1"/>
  <c r="BI190" i="1"/>
  <c r="BJ190" i="1" s="1"/>
  <c r="AO167" i="1"/>
  <c r="AY154" i="1"/>
  <c r="AZ154" i="1" s="1"/>
  <c r="BK160" i="1"/>
  <c r="BA109" i="1"/>
  <c r="AO109" i="1"/>
  <c r="BK109" i="1"/>
  <c r="BX88" i="1"/>
  <c r="BX229" i="1"/>
  <c r="BX231" i="1" s="1"/>
  <c r="B143" i="1"/>
  <c r="B144" i="1"/>
  <c r="CL121" i="1"/>
  <c r="CL122" i="1"/>
  <c r="CL123" i="1"/>
  <c r="G90" i="1"/>
  <c r="N211" i="1"/>
  <c r="S285" i="1"/>
  <c r="S287" i="1" s="1"/>
  <c r="S88" i="1"/>
  <c r="S229" i="1"/>
  <c r="S231" i="1" s="1"/>
  <c r="BS183" i="1"/>
  <c r="BT183" i="1" s="1"/>
  <c r="AO190" i="1"/>
  <c r="AP190" i="1" s="1"/>
  <c r="AQ181" i="1"/>
  <c r="AQ216" i="1" s="1"/>
  <c r="AS178" i="1"/>
  <c r="AT178" i="1" s="1"/>
  <c r="BM155" i="1"/>
  <c r="BS173" i="1"/>
  <c r="BT173" i="1" s="1"/>
  <c r="AW162" i="1"/>
  <c r="AX162" i="1" s="1"/>
  <c r="BQ200" i="1"/>
  <c r="BR200" i="1" s="1"/>
  <c r="BE187" i="1"/>
  <c r="BF187" i="1" s="1"/>
  <c r="AQ154" i="1"/>
  <c r="AR154" i="1" s="1"/>
  <c r="BU178" i="1"/>
  <c r="AU191" i="1"/>
  <c r="AV191" i="1" s="1"/>
  <c r="AO169" i="1"/>
  <c r="AO170" i="1" s="1"/>
  <c r="AP170" i="1" s="1"/>
  <c r="AW161" i="1"/>
  <c r="AX161" i="1" s="1"/>
  <c r="AW189" i="1"/>
  <c r="AW219" i="1" s="1"/>
  <c r="BW182" i="1"/>
  <c r="BX182" i="1" s="1"/>
  <c r="BE191" i="1"/>
  <c r="BF191" i="1" s="1"/>
  <c r="BE189" i="1"/>
  <c r="BE219" i="1" s="1"/>
  <c r="AQ169" i="1"/>
  <c r="BC162" i="1"/>
  <c r="BD162" i="1" s="1"/>
  <c r="AY178" i="1"/>
  <c r="BA155" i="1"/>
  <c r="BA158" i="1"/>
  <c r="BB158" i="1" s="1"/>
  <c r="BO163" i="1"/>
  <c r="BP163" i="1" s="1"/>
  <c r="BM191" i="1"/>
  <c r="BN191" i="1" s="1"/>
  <c r="BK187" i="1"/>
  <c r="BL187" i="1" s="1"/>
  <c r="AU109" i="1"/>
  <c r="BG161" i="1"/>
  <c r="BH161" i="1" s="1"/>
  <c r="BG155" i="1"/>
  <c r="AQ153" i="1"/>
  <c r="AR153" i="1" s="1"/>
  <c r="BC178" i="1"/>
  <c r="BD178" i="1" s="1"/>
  <c r="AS200" i="1"/>
  <c r="AT200" i="1" s="1"/>
  <c r="AS187" i="1"/>
  <c r="AT187" i="1" s="1"/>
  <c r="BM200" i="1"/>
  <c r="BN200" i="1" s="1"/>
  <c r="BM190" i="1"/>
  <c r="BN190" i="1" s="1"/>
  <c r="BK161" i="1"/>
  <c r="BL161" i="1" s="1"/>
  <c r="BK188" i="1"/>
  <c r="BL188" i="1" s="1"/>
  <c r="BA186" i="1"/>
  <c r="BB186" i="1" s="1"/>
  <c r="BS196" i="1"/>
  <c r="BW183" i="1"/>
  <c r="BX183" i="1" s="1"/>
  <c r="BE160" i="1"/>
  <c r="BF160" i="1" s="1"/>
  <c r="BO162" i="1"/>
  <c r="BP162" i="1" s="1"/>
  <c r="BA160" i="1"/>
  <c r="BB160" i="1" s="1"/>
  <c r="BS110" i="1"/>
  <c r="BW167" i="1"/>
  <c r="BQ195" i="1"/>
  <c r="BG188" i="1"/>
  <c r="BH188" i="1" s="1"/>
  <c r="BE154" i="1"/>
  <c r="BF154" i="1" s="1"/>
  <c r="AO171" i="1"/>
  <c r="AP171" i="1" s="1"/>
  <c r="BS199" i="1"/>
  <c r="BT199" i="1" s="1"/>
  <c r="BS181" i="1"/>
  <c r="BS216" i="1" s="1"/>
  <c r="BW158" i="1"/>
  <c r="BX158" i="1" s="1"/>
  <c r="BW109" i="1"/>
  <c r="BQ189" i="1"/>
  <c r="BQ219" i="1" s="1"/>
  <c r="BQ167" i="1"/>
  <c r="BQ154" i="1"/>
  <c r="BR154" i="1" s="1"/>
  <c r="BG173" i="1"/>
  <c r="BH173" i="1" s="1"/>
  <c r="BG196" i="1"/>
  <c r="BE190" i="1"/>
  <c r="BF190" i="1" s="1"/>
  <c r="AQ176" i="1"/>
  <c r="AY190" i="1"/>
  <c r="AZ190" i="1" s="1"/>
  <c r="BU155" i="1"/>
  <c r="BA163" i="1"/>
  <c r="BB163" i="1" s="1"/>
  <c r="AU190" i="1"/>
  <c r="AV190" i="1" s="1"/>
  <c r="AO199" i="1"/>
  <c r="AP199" i="1" s="1"/>
  <c r="AW169" i="1"/>
  <c r="AW179" i="1"/>
  <c r="AX179" i="1" s="1"/>
  <c r="BW196" i="1"/>
  <c r="BQ161" i="1"/>
  <c r="BR161" i="1" s="1"/>
  <c r="BG179" i="1"/>
  <c r="BH179" i="1" s="1"/>
  <c r="BE161" i="1"/>
  <c r="BF161" i="1" s="1"/>
  <c r="BE171" i="1"/>
  <c r="BF171" i="1" s="1"/>
  <c r="AT109" i="1"/>
  <c r="BC110" i="1"/>
  <c r="AY179" i="1"/>
  <c r="AZ179" i="1" s="1"/>
  <c r="BA195" i="1"/>
  <c r="BA178" i="1"/>
  <c r="BO187" i="1"/>
  <c r="BP187" i="1" s="1"/>
  <c r="BM161" i="1"/>
  <c r="BN161" i="1" s="1"/>
  <c r="AU171" i="1"/>
  <c r="AV171" i="1" s="1"/>
  <c r="AO188" i="1"/>
  <c r="AP188" i="1" s="1"/>
  <c r="BG191" i="1"/>
  <c r="BH191" i="1" s="1"/>
  <c r="BG199" i="1"/>
  <c r="BH199" i="1" s="1"/>
  <c r="BC185" i="1"/>
  <c r="AS153" i="1"/>
  <c r="AS154" i="1"/>
  <c r="AT154" i="1" s="1"/>
  <c r="BO189" i="1"/>
  <c r="BM183" i="1"/>
  <c r="BN183" i="1" s="1"/>
  <c r="BM176" i="1"/>
  <c r="BK191" i="1"/>
  <c r="BL191" i="1" s="1"/>
  <c r="BK173" i="1"/>
  <c r="BL173" i="1" s="1"/>
  <c r="BA190" i="1"/>
  <c r="BB190" i="1" s="1"/>
  <c r="BO167" i="1"/>
  <c r="AY155" i="1"/>
  <c r="AQ110" i="1"/>
  <c r="BC158" i="1"/>
  <c r="BD158" i="1" s="1"/>
  <c r="AO158" i="1"/>
  <c r="AP158" i="1" s="1"/>
  <c r="AS190" i="1"/>
  <c r="AT190" i="1" s="1"/>
  <c r="BK169" i="1"/>
  <c r="BS188" i="1"/>
  <c r="BT188" i="1" s="1"/>
  <c r="AW153" i="1"/>
  <c r="BQ188" i="1"/>
  <c r="BR188" i="1" s="1"/>
  <c r="BQ176" i="1"/>
  <c r="BR176" i="1" s="1"/>
  <c r="BQ199" i="1"/>
  <c r="BR199" i="1" s="1"/>
  <c r="BG200" i="1"/>
  <c r="BH200" i="1" s="1"/>
  <c r="AQ185" i="1"/>
  <c r="AR185" i="1" s="1"/>
  <c r="AQ167" i="1"/>
  <c r="BC160" i="1"/>
  <c r="AY199" i="1"/>
  <c r="AZ199" i="1" s="1"/>
  <c r="BU195" i="1"/>
  <c r="BA169" i="1"/>
  <c r="BK190" i="1"/>
  <c r="BL190" i="1" s="1"/>
  <c r="AO162" i="1"/>
  <c r="AP162" i="1" s="1"/>
  <c r="BW195" i="1"/>
  <c r="BW197" i="1" s="1"/>
  <c r="BQ183" i="1"/>
  <c r="BR183" i="1" s="1"/>
  <c r="BG181" i="1"/>
  <c r="BG216" i="1" s="1"/>
  <c r="AQ162" i="1"/>
  <c r="AR162" i="1" s="1"/>
  <c r="BN109" i="1"/>
  <c r="BC163" i="1"/>
  <c r="BD163" i="1" s="1"/>
  <c r="BC191" i="1"/>
  <c r="BD191" i="1" s="1"/>
  <c r="AY109" i="1"/>
  <c r="BU196" i="1"/>
  <c r="BA162" i="1"/>
  <c r="BB162" i="1" s="1"/>
  <c r="AS161" i="1"/>
  <c r="AT161" i="1" s="1"/>
  <c r="BO154" i="1"/>
  <c r="BP154" i="1" s="1"/>
  <c r="BM154" i="1"/>
  <c r="BN154" i="1" s="1"/>
  <c r="AO182" i="1"/>
  <c r="AP182" i="1" s="1"/>
  <c r="BI161" i="1"/>
  <c r="BJ161" i="1" s="1"/>
  <c r="BG163" i="1"/>
  <c r="BH163" i="1" s="1"/>
  <c r="AS185" i="1"/>
  <c r="AT185" i="1" s="1"/>
  <c r="AS155" i="1"/>
  <c r="AS196" i="1"/>
  <c r="BM158" i="1"/>
  <c r="BN158" i="1" s="1"/>
  <c r="BM185" i="1"/>
  <c r="BG195" i="1"/>
  <c r="AY163" i="1"/>
  <c r="AZ163" i="1" s="1"/>
  <c r="BS176" i="1"/>
  <c r="BT176" i="1" s="1"/>
  <c r="BS182" i="1"/>
  <c r="BT182" i="1" s="1"/>
  <c r="BS158" i="1"/>
  <c r="BT158" i="1" s="1"/>
  <c r="BS163" i="1"/>
  <c r="BT163" i="1" s="1"/>
  <c r="AO178" i="1"/>
  <c r="AW158" i="1"/>
  <c r="AX158" i="1" s="1"/>
  <c r="BW110" i="1"/>
  <c r="BW169" i="1"/>
  <c r="BB110" i="1"/>
  <c r="BQ160" i="1"/>
  <c r="BQ158" i="1"/>
  <c r="BR158" i="1" s="1"/>
  <c r="BQ196" i="1"/>
  <c r="BG154" i="1"/>
  <c r="BH154" i="1" s="1"/>
  <c r="BE180" i="1"/>
  <c r="BE215" i="1" s="1"/>
  <c r="BE155" i="1"/>
  <c r="AQ160" i="1"/>
  <c r="AQ183" i="1"/>
  <c r="AR183" i="1" s="1"/>
  <c r="BT109" i="1"/>
  <c r="BC161" i="1"/>
  <c r="BD161" i="1" s="1"/>
  <c r="AY188" i="1"/>
  <c r="AZ188" i="1" s="1"/>
  <c r="BU180" i="1"/>
  <c r="BU158" i="1"/>
  <c r="BV158" i="1" s="1"/>
  <c r="BA180" i="1"/>
  <c r="BA215" i="1" s="1"/>
  <c r="BS167" i="1"/>
  <c r="AO155" i="1"/>
  <c r="AW182" i="1"/>
  <c r="AX182" i="1" s="1"/>
  <c r="BI185" i="1"/>
  <c r="BJ185" i="1" s="1"/>
  <c r="BW161" i="1"/>
  <c r="BX161" i="1" s="1"/>
  <c r="BE185" i="1"/>
  <c r="BE153" i="1"/>
  <c r="AQ180" i="1"/>
  <c r="AQ215" i="1" s="1"/>
  <c r="AV110" i="1"/>
  <c r="BD110" i="1"/>
  <c r="BC180" i="1"/>
  <c r="BU183" i="1"/>
  <c r="BV183" i="1" s="1"/>
  <c r="BU200" i="1"/>
  <c r="BV200" i="1" s="1"/>
  <c r="BA153" i="1"/>
  <c r="BB153" i="1" s="1"/>
  <c r="BO186" i="1"/>
  <c r="BP186" i="1" s="1"/>
  <c r="BM182" i="1"/>
  <c r="BN182" i="1" s="1"/>
  <c r="BK186" i="1"/>
  <c r="BL186" i="1" s="1"/>
  <c r="AO154" i="1"/>
  <c r="AP154" i="1" s="1"/>
  <c r="AW186" i="1"/>
  <c r="AX186" i="1" s="1"/>
  <c r="BI167" i="1"/>
  <c r="BI170" i="1" s="1"/>
  <c r="BG185" i="1"/>
  <c r="BH185" i="1" s="1"/>
  <c r="AY191" i="1"/>
  <c r="AZ191" i="1" s="1"/>
  <c r="AS158" i="1"/>
  <c r="AT158" i="1" s="1"/>
  <c r="AS162" i="1"/>
  <c r="AT162" i="1" s="1"/>
  <c r="BK178" i="1"/>
  <c r="BL178" i="1" s="1"/>
  <c r="BK162" i="1"/>
  <c r="BL162" i="1" s="1"/>
  <c r="AN110" i="1"/>
  <c r="BA189" i="1"/>
  <c r="BO196" i="1"/>
  <c r="BO197" i="1" s="1"/>
  <c r="BQ182" i="1"/>
  <c r="BR182" i="1" s="1"/>
  <c r="AZ110" i="1"/>
  <c r="AY162" i="1"/>
  <c r="AZ162" i="1" s="1"/>
  <c r="BA161" i="1"/>
  <c r="BB161" i="1" s="1"/>
  <c r="AU183" i="1"/>
  <c r="AV183" i="1" s="1"/>
  <c r="AS179" i="1"/>
  <c r="AT179" i="1" s="1"/>
  <c r="BM171" i="1"/>
  <c r="BN171" i="1" s="1"/>
  <c r="BS154" i="1"/>
  <c r="BT154" i="1" s="1"/>
  <c r="BS155" i="1"/>
  <c r="BQ163" i="1"/>
  <c r="BR163" i="1" s="1"/>
  <c r="BQ155" i="1"/>
  <c r="BG110" i="1"/>
  <c r="BG109" i="1"/>
  <c r="BE109" i="1"/>
  <c r="BE167" i="1"/>
  <c r="BC186" i="1"/>
  <c r="BD186" i="1" s="1"/>
  <c r="AY180" i="1"/>
  <c r="BU182" i="1"/>
  <c r="BV182" i="1" s="1"/>
  <c r="BU171" i="1"/>
  <c r="BV171" i="1" s="1"/>
  <c r="BM178" i="1"/>
  <c r="BN178" i="1" s="1"/>
  <c r="AW110" i="1"/>
  <c r="AW178" i="1"/>
  <c r="AX178" i="1" s="1"/>
  <c r="AW187" i="1"/>
  <c r="AX187" i="1" s="1"/>
  <c r="BI180" i="1"/>
  <c r="BI215" i="1" s="1"/>
  <c r="BW190" i="1"/>
  <c r="BX190" i="1" s="1"/>
  <c r="BQ181" i="1"/>
  <c r="BE110" i="1"/>
  <c r="BC182" i="1"/>
  <c r="BD182" i="1" s="1"/>
  <c r="AY171" i="1"/>
  <c r="AZ171" i="1" s="1"/>
  <c r="BU176" i="1"/>
  <c r="BU191" i="1"/>
  <c r="BV191" i="1" s="1"/>
  <c r="BA182" i="1"/>
  <c r="BB182" i="1" s="1"/>
  <c r="AS181" i="1"/>
  <c r="AS180" i="1"/>
  <c r="AS215" i="1" s="1"/>
  <c r="BM167" i="1"/>
  <c r="AW167" i="1"/>
  <c r="BG162" i="1"/>
  <c r="BH162" i="1" s="1"/>
  <c r="AS188" i="1"/>
  <c r="AT188" i="1" s="1"/>
  <c r="BO155" i="1"/>
  <c r="BM163" i="1"/>
  <c r="BN163" i="1" s="1"/>
  <c r="BK179" i="1"/>
  <c r="BL179" i="1" s="1"/>
  <c r="BA199" i="1"/>
  <c r="BS161" i="1"/>
  <c r="BT161" i="1" s="1"/>
  <c r="BE173" i="1"/>
  <c r="BF173" i="1" s="1"/>
  <c r="BA187" i="1"/>
  <c r="BB187" i="1" s="1"/>
  <c r="BK154" i="1"/>
  <c r="BL154" i="1" s="1"/>
  <c r="BO191" i="1"/>
  <c r="BP191" i="1" s="1"/>
  <c r="AO163" i="1"/>
  <c r="AP163" i="1" s="1"/>
  <c r="BS186" i="1"/>
  <c r="BT186" i="1" s="1"/>
  <c r="BS189" i="1"/>
  <c r="BS219" i="1" s="1"/>
  <c r="AW195" i="1"/>
  <c r="BR110" i="1"/>
  <c r="BW155" i="1"/>
  <c r="BX155" i="1" s="1"/>
  <c r="BQ162" i="1"/>
  <c r="BR162" i="1" s="1"/>
  <c r="BG169" i="1"/>
  <c r="BG178" i="1"/>
  <c r="BE181" i="1"/>
  <c r="BE216" i="1" s="1"/>
  <c r="AR109" i="1"/>
  <c r="BC199" i="1"/>
  <c r="BD199" i="1" s="1"/>
  <c r="AY189" i="1"/>
  <c r="AY219" i="1" s="1"/>
  <c r="BU185" i="1"/>
  <c r="BV185" i="1" s="1"/>
  <c r="BM162" i="1"/>
  <c r="BN162" i="1" s="1"/>
  <c r="AW173" i="1"/>
  <c r="AX173" i="1" s="1"/>
  <c r="AW199" i="1"/>
  <c r="AX199" i="1" s="1"/>
  <c r="BI158" i="1"/>
  <c r="BJ158" i="1" s="1"/>
  <c r="BQ171" i="1"/>
  <c r="BR171" i="1" s="1"/>
  <c r="BQ185" i="1"/>
  <c r="BR185" i="1" s="1"/>
  <c r="BG190" i="1"/>
  <c r="BH190" i="1" s="1"/>
  <c r="AQ178" i="1"/>
  <c r="AR178" i="1" s="1"/>
  <c r="AQ155" i="1"/>
  <c r="BC188" i="1"/>
  <c r="BD188" i="1" s="1"/>
  <c r="AY173" i="1"/>
  <c r="AZ173" i="1" s="1"/>
  <c r="BU179" i="1"/>
  <c r="BV179" i="1" s="1"/>
  <c r="BU163" i="1"/>
  <c r="BV163" i="1" s="1"/>
  <c r="BA183" i="1"/>
  <c r="BB183" i="1" s="1"/>
  <c r="AS199" i="1"/>
  <c r="AT199" i="1" s="1"/>
  <c r="BO179" i="1"/>
  <c r="BP179" i="1" s="1"/>
  <c r="BM153" i="1"/>
  <c r="BN153" i="1" s="1"/>
  <c r="AO110" i="1"/>
  <c r="AW200" i="1"/>
  <c r="AX200" i="1" s="1"/>
  <c r="BI188" i="1"/>
  <c r="BJ188" i="1" s="1"/>
  <c r="BG183" i="1"/>
  <c r="BH183" i="1" s="1"/>
  <c r="AV109" i="1"/>
  <c r="AS195" i="1"/>
  <c r="AS173" i="1"/>
  <c r="AT173" i="1" s="1"/>
  <c r="BO109" i="1"/>
  <c r="BM169" i="1"/>
  <c r="AP109" i="1"/>
  <c r="BK200" i="1"/>
  <c r="BL200" i="1" s="1"/>
  <c r="BK163" i="1"/>
  <c r="BL163" i="1" s="1"/>
  <c r="BF110" i="1"/>
  <c r="BA154" i="1"/>
  <c r="BB154" i="1" s="1"/>
  <c r="BO200" i="1"/>
  <c r="BP200" i="1" s="1"/>
  <c r="BS162" i="1"/>
  <c r="BT162" i="1" s="1"/>
  <c r="BE179" i="1"/>
  <c r="BF179" i="1" s="1"/>
  <c r="AW190" i="1"/>
  <c r="AX190" i="1" s="1"/>
  <c r="BC187" i="1"/>
  <c r="BD187" i="1" s="1"/>
  <c r="BS179" i="1"/>
  <c r="BT179" i="1" s="1"/>
  <c r="BS178" i="1"/>
  <c r="BT178" i="1" s="1"/>
  <c r="BS109" i="1"/>
  <c r="BS191" i="1"/>
  <c r="BT191" i="1" s="1"/>
  <c r="AW154" i="1"/>
  <c r="AX154" i="1" s="1"/>
  <c r="BW199" i="1"/>
  <c r="BX199" i="1" s="1"/>
  <c r="BW186" i="1"/>
  <c r="BX186" i="1" s="1"/>
  <c r="BQ109" i="1"/>
  <c r="BQ190" i="1"/>
  <c r="BR190" i="1" s="1"/>
  <c r="BG167" i="1"/>
  <c r="BE199" i="1"/>
  <c r="BF199" i="1" s="1"/>
  <c r="AQ179" i="1"/>
  <c r="AR179" i="1" s="1"/>
  <c r="BT110" i="1"/>
  <c r="BC196" i="1"/>
  <c r="BC171" i="1"/>
  <c r="BD171" i="1" s="1"/>
  <c r="AY185" i="1"/>
  <c r="AZ185" i="1" s="1"/>
  <c r="BU188" i="1"/>
  <c r="BV188" i="1" s="1"/>
  <c r="BU169" i="1"/>
  <c r="BA185" i="1"/>
  <c r="BB185" i="1" s="1"/>
  <c r="BM196" i="1"/>
  <c r="BM197" i="1" s="1"/>
  <c r="AU187" i="1"/>
  <c r="AV187" i="1" s="1"/>
  <c r="BS180" i="1"/>
  <c r="BS215" i="1" s="1"/>
  <c r="AW196" i="1"/>
  <c r="AW163" i="1"/>
  <c r="AX163" i="1" s="1"/>
  <c r="AW183" i="1"/>
  <c r="AX183" i="1" s="1"/>
  <c r="BW187" i="1"/>
  <c r="BX187" i="1" s="1"/>
  <c r="BQ178" i="1"/>
  <c r="BR178" i="1" s="1"/>
  <c r="BG189" i="1"/>
  <c r="BG219" i="1" s="1"/>
  <c r="BE169" i="1"/>
  <c r="AQ196" i="1"/>
  <c r="AQ188" i="1"/>
  <c r="AR188" i="1" s="1"/>
  <c r="BC200" i="1"/>
  <c r="BD200" i="1" s="1"/>
  <c r="BC195" i="1"/>
  <c r="AY110" i="1"/>
  <c r="BU110" i="1"/>
  <c r="BP109" i="1"/>
  <c r="AN109" i="1"/>
  <c r="BA181" i="1"/>
  <c r="BA216" i="1" s="1"/>
  <c r="AS189" i="1"/>
  <c r="AS219" i="1" s="1"/>
  <c r="BO153" i="1"/>
  <c r="BP153" i="1" s="1"/>
  <c r="BK171" i="1"/>
  <c r="BL171" i="1" s="1"/>
  <c r="AU176" i="1"/>
  <c r="AV176" i="1" s="1"/>
  <c r="BI153" i="1"/>
  <c r="BJ153" i="1" s="1"/>
  <c r="BI155" i="1"/>
  <c r="BG160" i="1"/>
  <c r="BU160" i="1"/>
  <c r="BV160" i="1" s="1"/>
  <c r="BA173" i="1"/>
  <c r="BB173" i="1" s="1"/>
  <c r="BO171" i="1"/>
  <c r="BP171" i="1" s="1"/>
  <c r="BM180" i="1"/>
  <c r="BM215" i="1" s="1"/>
  <c r="BM189" i="1"/>
  <c r="BM219" i="1" s="1"/>
  <c r="BK176" i="1"/>
  <c r="BO190" i="1"/>
  <c r="BP190" i="1" s="1"/>
  <c r="BK199" i="1"/>
  <c r="BL199" i="1" s="1"/>
  <c r="BW160" i="1"/>
  <c r="BX160" i="1" s="1"/>
  <c r="AQ109" i="1"/>
  <c r="AO176" i="1"/>
  <c r="AP176" i="1" s="1"/>
  <c r="BE183" i="1"/>
  <c r="BF183" i="1" s="1"/>
  <c r="BS185" i="1"/>
  <c r="BT185" i="1" s="1"/>
  <c r="BS200" i="1"/>
  <c r="BT200" i="1" s="1"/>
  <c r="AW181" i="1"/>
  <c r="AW216" i="1" s="1"/>
  <c r="BW191" i="1"/>
  <c r="BX191" i="1" s="1"/>
  <c r="BW171" i="1"/>
  <c r="BX171" i="1" s="1"/>
  <c r="BQ180" i="1"/>
  <c r="BQ215" i="1" s="1"/>
  <c r="BE178" i="1"/>
  <c r="BF178" i="1" s="1"/>
  <c r="BE176" i="1"/>
  <c r="BE238" i="1" s="1"/>
  <c r="BC190" i="1"/>
  <c r="BD190" i="1" s="1"/>
  <c r="BC109" i="1"/>
  <c r="BU187" i="1"/>
  <c r="BV187" i="1" s="1"/>
  <c r="BU173" i="1"/>
  <c r="BV173" i="1" s="1"/>
  <c r="BA179" i="1"/>
  <c r="BB179" i="1" s="1"/>
  <c r="BM195" i="1"/>
  <c r="AU186" i="1"/>
  <c r="AV186" i="1" s="1"/>
  <c r="AO185" i="1"/>
  <c r="AW155" i="1"/>
  <c r="BI200" i="1"/>
  <c r="BJ200" i="1" s="1"/>
  <c r="BW188" i="1"/>
  <c r="BX188" i="1" s="1"/>
  <c r="BQ179" i="1"/>
  <c r="BR179" i="1" s="1"/>
  <c r="BE200" i="1"/>
  <c r="BF200" i="1" s="1"/>
  <c r="AQ190" i="1"/>
  <c r="AR190" i="1" s="1"/>
  <c r="BC179" i="1"/>
  <c r="BD179" i="1" s="1"/>
  <c r="BC183" i="1"/>
  <c r="BD183" i="1" s="1"/>
  <c r="AY181" i="1"/>
  <c r="AY216" i="1" s="1"/>
  <c r="BU154" i="1"/>
  <c r="BV154" i="1" s="1"/>
  <c r="BA188" i="1"/>
  <c r="BB188" i="1" s="1"/>
  <c r="AS160" i="1"/>
  <c r="BO181" i="1"/>
  <c r="BO216" i="1" s="1"/>
  <c r="BO199" i="1"/>
  <c r="BP199" i="1" s="1"/>
  <c r="BK110" i="1"/>
  <c r="AU179" i="1"/>
  <c r="AO161" i="1"/>
  <c r="AP161" i="1" s="1"/>
  <c r="AW180" i="1"/>
  <c r="AW215" i="1" s="1"/>
  <c r="BI186" i="1"/>
  <c r="BJ186" i="1" s="1"/>
  <c r="AS191" i="1"/>
  <c r="AT191" i="1" s="1"/>
  <c r="BM188" i="1"/>
  <c r="BN188" i="1" s="1"/>
  <c r="BK167" i="1"/>
  <c r="BK181" i="1"/>
  <c r="BI160" i="1"/>
  <c r="BO182" i="1"/>
  <c r="BP182" i="1" s="1"/>
  <c r="AW188" i="1"/>
  <c r="AX188" i="1" s="1"/>
  <c r="BQ110" i="1"/>
  <c r="BO161" i="1"/>
  <c r="BP161" i="1" s="1"/>
  <c r="BS195" i="1"/>
  <c r="BS187" i="1"/>
  <c r="BT187" i="1" s="1"/>
  <c r="BS171" i="1"/>
  <c r="BT171" i="1" s="1"/>
  <c r="BW178" i="1"/>
  <c r="BX178" i="1" s="1"/>
  <c r="BW180" i="1"/>
  <c r="BW215" i="1" s="1"/>
  <c r="BG171" i="1"/>
  <c r="BH171" i="1" s="1"/>
  <c r="BG158" i="1"/>
  <c r="BH158" i="1" s="1"/>
  <c r="BE163" i="1"/>
  <c r="BF163" i="1" s="1"/>
  <c r="AR110" i="1"/>
  <c r="AQ158" i="1"/>
  <c r="AR158" i="1" s="1"/>
  <c r="BC153" i="1"/>
  <c r="BD153" i="1" s="1"/>
  <c r="BU167" i="1"/>
  <c r="BA176" i="1"/>
  <c r="AO183" i="1"/>
  <c r="AP183" i="1" s="1"/>
  <c r="AW185" i="1"/>
  <c r="AX185" i="1" s="1"/>
  <c r="BI178" i="1"/>
  <c r="BW173" i="1"/>
  <c r="BX173" i="1" s="1"/>
  <c r="BQ169" i="1"/>
  <c r="BQ153" i="1"/>
  <c r="BG176" i="1"/>
  <c r="BH176" i="1" s="1"/>
  <c r="BE182" i="1"/>
  <c r="BF182" i="1" s="1"/>
  <c r="AQ195" i="1"/>
  <c r="BC169" i="1"/>
  <c r="BC170" i="1" s="1"/>
  <c r="AY153" i="1"/>
  <c r="AZ153" i="1" s="1"/>
  <c r="BU190" i="1"/>
  <c r="BV190" i="1" s="1"/>
  <c r="BU162" i="1"/>
  <c r="BV162" i="1" s="1"/>
  <c r="BP110" i="1"/>
  <c r="BA110" i="1"/>
  <c r="AS183" i="1"/>
  <c r="AT183" i="1" s="1"/>
  <c r="BO176" i="1"/>
  <c r="BP176" i="1" s="1"/>
  <c r="BM160" i="1"/>
  <c r="BN160" i="1" s="1"/>
  <c r="BK158" i="1"/>
  <c r="BL158" i="1" s="1"/>
  <c r="AU153" i="1"/>
  <c r="AV153" i="1" s="1"/>
  <c r="AO187" i="1"/>
  <c r="AP187" i="1" s="1"/>
  <c r="BG186" i="1"/>
  <c r="BH186" i="1" s="1"/>
  <c r="AS169" i="1"/>
  <c r="BO180" i="1"/>
  <c r="BO215" i="1" s="1"/>
  <c r="BM181" i="1"/>
  <c r="BM216" i="1" s="1"/>
  <c r="BK182" i="1"/>
  <c r="BL182" i="1" s="1"/>
  <c r="BK180" i="1"/>
  <c r="BK215" i="1" s="1"/>
  <c r="BI199" i="1"/>
  <c r="BJ199" i="1" s="1"/>
  <c r="AS182" i="1"/>
  <c r="AT182" i="1" s="1"/>
  <c r="BW179" i="1"/>
  <c r="BX179" i="1" s="1"/>
  <c r="AY158" i="1"/>
  <c r="AZ158" i="1" s="1"/>
  <c r="AY196" i="1"/>
  <c r="BA167" i="1"/>
  <c r="AU181" i="1"/>
  <c r="AU216" i="1" s="1"/>
  <c r="AO181" i="1"/>
  <c r="AO216" i="1" s="1"/>
  <c r="AW171" i="1"/>
  <c r="AX171" i="1" s="1"/>
  <c r="BI109" i="1"/>
  <c r="BW181" i="1"/>
  <c r="BW216" i="1" s="1"/>
  <c r="BF109" i="1"/>
  <c r="BG153" i="1"/>
  <c r="BH153" i="1" s="1"/>
  <c r="BC189" i="1"/>
  <c r="BC219" i="1" s="1"/>
  <c r="BC181" i="1"/>
  <c r="BC216" i="1" s="1"/>
  <c r="AY195" i="1"/>
  <c r="AY200" i="1"/>
  <c r="AZ200" i="1" s="1"/>
  <c r="BU109" i="1"/>
  <c r="BO183" i="1"/>
  <c r="BP183" i="1" s="1"/>
  <c r="AU199" i="1"/>
  <c r="AV199" i="1" s="1"/>
  <c r="AO179" i="1"/>
  <c r="AP179" i="1" s="1"/>
  <c r="BI191" i="1"/>
  <c r="BJ191" i="1" s="1"/>
  <c r="BG182" i="1"/>
  <c r="BH182" i="1" s="1"/>
  <c r="AQ161" i="1"/>
  <c r="AR161" i="1" s="1"/>
  <c r="BA200" i="1"/>
  <c r="BB200" i="1" s="1"/>
  <c r="AS110" i="1"/>
  <c r="AS163" i="1"/>
  <c r="AT163" i="1" s="1"/>
  <c r="BO160" i="1"/>
  <c r="BM110" i="1"/>
  <c r="BM179" i="1"/>
  <c r="BN179" i="1" s="1"/>
  <c r="BK185" i="1"/>
  <c r="BL185" i="1" s="1"/>
  <c r="BK183" i="1"/>
  <c r="BL183" i="1" s="1"/>
  <c r="BI196" i="1"/>
  <c r="BI197" i="1" s="1"/>
  <c r="AS171" i="1"/>
  <c r="AT171" i="1" s="1"/>
  <c r="AQ186" i="1"/>
  <c r="AR186" i="1" s="1"/>
  <c r="AY182" i="1"/>
  <c r="AZ182" i="1" s="1"/>
  <c r="BS169" i="1"/>
  <c r="BW154" i="1"/>
  <c r="BX154" i="1" s="1"/>
  <c r="BW153" i="1"/>
  <c r="BB109" i="1"/>
  <c r="BQ173" i="1"/>
  <c r="BR173" i="1" s="1"/>
  <c r="BG187" i="1"/>
  <c r="BH187" i="1" s="1"/>
  <c r="BC173" i="1"/>
  <c r="BD173" i="1" s="1"/>
  <c r="BS160" i="1"/>
  <c r="BT160" i="1" s="1"/>
  <c r="BS190" i="1"/>
  <c r="BT190" i="1" s="1"/>
  <c r="BS153" i="1"/>
  <c r="BT153" i="1" s="1"/>
  <c r="AW176" i="1"/>
  <c r="BR109" i="1"/>
  <c r="BW189" i="1"/>
  <c r="BW219" i="1" s="1"/>
  <c r="BQ186" i="1"/>
  <c r="BR186" i="1" s="1"/>
  <c r="BE188" i="1"/>
  <c r="BF188" i="1" s="1"/>
  <c r="BE196" i="1"/>
  <c r="BE197" i="1" s="1"/>
  <c r="AT110" i="1"/>
  <c r="AQ163" i="1"/>
  <c r="AR163" i="1" s="1"/>
  <c r="BC155" i="1"/>
  <c r="AY186" i="1"/>
  <c r="AZ186" i="1" s="1"/>
  <c r="BU181" i="1"/>
  <c r="BU216" i="1" s="1"/>
  <c r="BV216" i="1" s="1"/>
  <c r="AU163" i="1"/>
  <c r="AV163" i="1" s="1"/>
  <c r="AO173" i="1"/>
  <c r="AP173" i="1" s="1"/>
  <c r="BW163" i="1"/>
  <c r="BX163" i="1" s="1"/>
  <c r="BW185" i="1"/>
  <c r="BX185" i="1" s="1"/>
  <c r="BQ191" i="1"/>
  <c r="BR191" i="1" s="1"/>
  <c r="BD109" i="1"/>
  <c r="AX109" i="1"/>
  <c r="BN110" i="1"/>
  <c r="AY161" i="1"/>
  <c r="AZ161" i="1" s="1"/>
  <c r="AY183" i="1"/>
  <c r="AZ183" i="1" s="1"/>
  <c r="BU161" i="1"/>
  <c r="BV161" i="1" s="1"/>
  <c r="BU199" i="1"/>
  <c r="BV199" i="1" s="1"/>
  <c r="BA171" i="1"/>
  <c r="BB171" i="1" s="1"/>
  <c r="BA196" i="1"/>
  <c r="AS167" i="1"/>
  <c r="BO185" i="1"/>
  <c r="BP185" i="1" s="1"/>
  <c r="BO173" i="1"/>
  <c r="BP173" i="1" s="1"/>
  <c r="BM173" i="1"/>
  <c r="BN173" i="1" s="1"/>
  <c r="AO195" i="1"/>
  <c r="AZ109" i="1"/>
  <c r="BG180" i="1"/>
  <c r="BG215" i="1" s="1"/>
  <c r="AQ173" i="1"/>
  <c r="AR173" i="1" s="1"/>
  <c r="AS176" i="1"/>
  <c r="AS109" i="1"/>
  <c r="BO169" i="1"/>
  <c r="BM109" i="1"/>
  <c r="BK189" i="1"/>
  <c r="BK219" i="1" s="1"/>
  <c r="BI163" i="1"/>
  <c r="BJ163" i="1" s="1"/>
  <c r="BE158" i="1"/>
  <c r="BF158" i="1" s="1"/>
  <c r="AS186" i="1"/>
  <c r="AT186" i="1" s="1"/>
  <c r="CM37" i="1"/>
  <c r="CN33" i="1"/>
  <c r="CN35" i="1" s="1"/>
  <c r="B102" i="1"/>
  <c r="B104" i="1" s="1"/>
  <c r="CK105" i="1"/>
  <c r="CK123" i="1" s="1"/>
  <c r="AU197" i="1"/>
  <c r="BU46" i="1"/>
  <c r="BU9" i="1" s="1"/>
  <c r="BN288" i="1"/>
  <c r="I174" i="1"/>
  <c r="I282" i="1" s="1"/>
  <c r="I69" i="1"/>
  <c r="F69" i="1"/>
  <c r="F174" i="1"/>
  <c r="M69" i="1"/>
  <c r="M174" i="1"/>
  <c r="M282" i="1" s="1"/>
  <c r="H233" i="1"/>
  <c r="U174" i="1"/>
  <c r="U280" i="1" s="1"/>
  <c r="CS53" i="1"/>
  <c r="CT53" i="1" s="1"/>
  <c r="CU53" i="1" s="1"/>
  <c r="J69" i="1"/>
  <c r="N285" i="1"/>
  <c r="N287" i="1" s="1"/>
  <c r="N284" i="1"/>
  <c r="BN289" i="1"/>
  <c r="BK288" i="1"/>
  <c r="BM46" i="1"/>
  <c r="BU288" i="1"/>
  <c r="CJ105" i="1"/>
  <c r="CJ123" i="1" s="1"/>
  <c r="CQ101" i="1"/>
  <c r="CR99" i="1"/>
  <c r="CO285" i="1"/>
  <c r="CO242" i="1"/>
  <c r="CH128" i="1"/>
  <c r="CH90" i="1"/>
  <c r="CH243" i="1"/>
  <c r="CH241" i="1" s="1"/>
  <c r="CH246" i="1" s="1"/>
  <c r="CH196" i="1" s="1"/>
  <c r="CH197" i="1" s="1"/>
  <c r="CH165" i="1"/>
  <c r="CH91" i="1" s="1"/>
  <c r="BZ229" i="1"/>
  <c r="BZ231" i="1" s="1"/>
  <c r="CC90" i="1"/>
  <c r="BZ88" i="1"/>
  <c r="BZ155" i="1"/>
  <c r="BZ156" i="1" s="1"/>
  <c r="CQ219" i="1"/>
  <c r="CP221" i="1"/>
  <c r="AL165" i="1"/>
  <c r="AL243" i="1"/>
  <c r="AL241" i="1" s="1"/>
  <c r="CQ215" i="1"/>
  <c r="CO217" i="1"/>
  <c r="CN218" i="1"/>
  <c r="CN222" i="1" s="1"/>
  <c r="CE140" i="1"/>
  <c r="CE138" i="1"/>
  <c r="CE139" i="1"/>
  <c r="CR176" i="1"/>
  <c r="CR238" i="1" s="1"/>
  <c r="CQ160" i="1"/>
  <c r="CP164" i="1"/>
  <c r="X90" i="1"/>
  <c r="X229" i="1"/>
  <c r="X231" i="1" s="1"/>
  <c r="X88" i="1"/>
  <c r="CJ243" i="1"/>
  <c r="CJ241" i="1" s="1"/>
  <c r="CJ165" i="1"/>
  <c r="CJ91" i="1" s="1"/>
  <c r="CJ90" i="1"/>
  <c r="CJ128" i="1"/>
  <c r="CE90" i="1"/>
  <c r="CB155" i="1"/>
  <c r="CB156" i="1" s="1"/>
  <c r="CB88" i="1"/>
  <c r="CB229" i="1"/>
  <c r="CB231" i="1" s="1"/>
  <c r="CC101" i="1"/>
  <c r="CB99" i="1"/>
  <c r="AJ165" i="1"/>
  <c r="AJ243" i="1"/>
  <c r="AJ241" i="1" s="1"/>
  <c r="CE130" i="1"/>
  <c r="CE132" i="1"/>
  <c r="CE131" i="1"/>
  <c r="Y88" i="1"/>
  <c r="Y243" i="1"/>
  <c r="Y241" i="1" s="1"/>
  <c r="Y90" i="1"/>
  <c r="Y229" i="1"/>
  <c r="Y231" i="1" s="1"/>
  <c r="Y235" i="1" s="1"/>
  <c r="Y249" i="1" s="1"/>
  <c r="CF229" i="1"/>
  <c r="CF231" i="1" s="1"/>
  <c r="CF155" i="1"/>
  <c r="CF156" i="1" s="1"/>
  <c r="CI90" i="1"/>
  <c r="CF102" i="1"/>
  <c r="CI105" i="1" s="1"/>
  <c r="CF88" i="1"/>
  <c r="BY229" i="1"/>
  <c r="BY231" i="1" s="1"/>
  <c r="BY88" i="1"/>
  <c r="CA90" i="1"/>
  <c r="N165" i="1"/>
  <c r="N91" i="1" s="1"/>
  <c r="Z243" i="1"/>
  <c r="Z241" i="1" s="1"/>
  <c r="Z88" i="1"/>
  <c r="Z229" i="1"/>
  <c r="Z231" i="1" s="1"/>
  <c r="Z235" i="1" s="1"/>
  <c r="Z249" i="1" s="1"/>
  <c r="Z90" i="1"/>
  <c r="CD143" i="1"/>
  <c r="CD144" i="1"/>
  <c r="CD135" i="1"/>
  <c r="CD90" i="1"/>
  <c r="CD128" i="1"/>
  <c r="CD243" i="1"/>
  <c r="CD241" i="1" s="1"/>
  <c r="CD165" i="1"/>
  <c r="CD91" i="1" s="1"/>
  <c r="BM187" i="1"/>
  <c r="AQ189" i="1"/>
  <c r="AU170" i="1"/>
  <c r="V174" i="1"/>
  <c r="BQ187" i="1"/>
  <c r="BR187" i="1" s="1"/>
  <c r="N242" i="1"/>
  <c r="M242" i="1"/>
  <c r="D174" i="1"/>
  <c r="D239" i="1" s="1"/>
  <c r="D237" i="1" s="1"/>
  <c r="BF288" i="1"/>
  <c r="AV185" i="1"/>
  <c r="BV178" i="1"/>
  <c r="BL153" i="1"/>
  <c r="AV178" i="1"/>
  <c r="AP160" i="1"/>
  <c r="AX160" i="1"/>
  <c r="L174" i="1"/>
  <c r="AO289" i="1"/>
  <c r="BX238" i="1"/>
  <c r="BJ52" i="1"/>
  <c r="BJ64" i="1" s="1"/>
  <c r="AP153" i="1"/>
  <c r="AZ178" i="1"/>
  <c r="BL160" i="1"/>
  <c r="AZ160" i="1"/>
  <c r="BV153" i="1"/>
  <c r="AV160" i="1"/>
  <c r="BR160" i="1"/>
  <c r="BP178" i="1"/>
  <c r="BK197" i="1"/>
  <c r="AY170" i="1"/>
  <c r="R90" i="1"/>
  <c r="BC267" i="1"/>
  <c r="BC215" i="1"/>
  <c r="AS267" i="1"/>
  <c r="AU219" i="1"/>
  <c r="AU215" i="1"/>
  <c r="BQ267" i="1"/>
  <c r="BD46" i="1"/>
  <c r="BD52" i="1" s="1"/>
  <c r="U165" i="1"/>
  <c r="U91" i="1" s="1"/>
  <c r="AO219" i="1"/>
  <c r="AO215" i="1"/>
  <c r="AW46" i="1"/>
  <c r="AW52" i="1" s="1"/>
  <c r="AW53" i="1" s="1"/>
  <c r="BS267" i="1"/>
  <c r="W174" i="1"/>
  <c r="X239" i="1" s="1"/>
  <c r="X237" i="1" s="1"/>
  <c r="BE267" i="1"/>
  <c r="AQ267" i="1"/>
  <c r="BI267" i="1"/>
  <c r="BI219" i="1"/>
  <c r="BI216" i="1"/>
  <c r="BA267" i="1"/>
  <c r="BA219" i="1"/>
  <c r="AI215" i="1"/>
  <c r="AI216" i="1"/>
  <c r="AI219" i="1"/>
  <c r="AI221" i="1"/>
  <c r="AI218" i="1"/>
  <c r="BM267" i="1"/>
  <c r="AY288" i="1"/>
  <c r="AY215" i="1"/>
  <c r="BU215" i="1"/>
  <c r="BU219" i="1"/>
  <c r="B174" i="1"/>
  <c r="C239" i="1" s="1"/>
  <c r="C237" i="1" s="1"/>
  <c r="BH288" i="1"/>
  <c r="U73" i="1"/>
  <c r="BI288" i="1"/>
  <c r="P243" i="1"/>
  <c r="D284" i="1"/>
  <c r="Q243" i="1"/>
  <c r="O284" i="1"/>
  <c r="AY46" i="1"/>
  <c r="AY52" i="1" s="1"/>
  <c r="P211" i="1"/>
  <c r="O211" i="1"/>
  <c r="G284" i="1"/>
  <c r="B204" i="1"/>
  <c r="B145" i="1" s="1"/>
  <c r="B146" i="1" s="1"/>
  <c r="B149" i="1" s="1"/>
  <c r="C284" i="1"/>
  <c r="D242" i="1"/>
  <c r="E165" i="1"/>
  <c r="E91" i="1" s="1"/>
  <c r="F284" i="1"/>
  <c r="G165" i="1"/>
  <c r="G91" i="1" s="1"/>
  <c r="G204" i="1"/>
  <c r="G145" i="1" s="1"/>
  <c r="N243" i="1"/>
  <c r="M243" i="1"/>
  <c r="P165" i="1"/>
  <c r="P91" i="1" s="1"/>
  <c r="R174" i="1"/>
  <c r="R282" i="1" s="1"/>
  <c r="M284" i="1"/>
  <c r="E243" i="1"/>
  <c r="J165" i="1"/>
  <c r="J91" i="1" s="1"/>
  <c r="D204" i="1"/>
  <c r="D145" i="1" s="1"/>
  <c r="P242" i="1"/>
  <c r="J211" i="1"/>
  <c r="R165" i="1"/>
  <c r="R91" i="1" s="1"/>
  <c r="L232" i="1"/>
  <c r="G243" i="1"/>
  <c r="J284" i="1"/>
  <c r="F90" i="1"/>
  <c r="K285" i="1"/>
  <c r="K287" i="1" s="1"/>
  <c r="M165" i="1"/>
  <c r="M91" i="1" s="1"/>
  <c r="J243" i="1"/>
  <c r="D211" i="1"/>
  <c r="AR267" i="1"/>
  <c r="BP288" i="1"/>
  <c r="AP288" i="1"/>
  <c r="AP46" i="1"/>
  <c r="AP47" i="1" s="1"/>
  <c r="AX62" i="1"/>
  <c r="L211" i="1"/>
  <c r="P73" i="1"/>
  <c r="P285" i="1"/>
  <c r="P287" i="1" s="1"/>
  <c r="D165" i="1"/>
  <c r="D91" i="1" s="1"/>
  <c r="P90" i="1"/>
  <c r="R243" i="1"/>
  <c r="J204" i="1"/>
  <c r="J145" i="1" s="1"/>
  <c r="O243" i="1"/>
  <c r="O285" i="1"/>
  <c r="O287" i="1" s="1"/>
  <c r="N69" i="1"/>
  <c r="AO230" i="1"/>
  <c r="K243" i="1"/>
  <c r="M90" i="1"/>
  <c r="F243" i="1"/>
  <c r="S233" i="1"/>
  <c r="R284" i="1"/>
  <c r="AP289" i="1"/>
  <c r="BQ46" i="1"/>
  <c r="BR134" i="1"/>
  <c r="M204" i="1"/>
  <c r="M145" i="1" s="1"/>
  <c r="V242" i="1"/>
  <c r="U284" i="1"/>
  <c r="BK46" i="1"/>
  <c r="C144" i="1"/>
  <c r="K232" i="1"/>
  <c r="U90" i="1"/>
  <c r="C69" i="1"/>
  <c r="D245" i="1"/>
  <c r="C102" i="1"/>
  <c r="C104" i="1" s="1"/>
  <c r="L90" i="1"/>
  <c r="BD62" i="1"/>
  <c r="AN69" i="1"/>
  <c r="BD289" i="1"/>
  <c r="BW289" i="1"/>
  <c r="BO62" i="1"/>
  <c r="BA46" i="1"/>
  <c r="BA52" i="1" s="1"/>
  <c r="BA53" i="1" s="1"/>
  <c r="AW62" i="1"/>
  <c r="AM84" i="1"/>
  <c r="AM229" i="1" s="1"/>
  <c r="AM231" i="1" s="1"/>
  <c r="BR62" i="1"/>
  <c r="AZ46" i="1"/>
  <c r="BD238" i="1"/>
  <c r="AU62" i="1"/>
  <c r="J232" i="1"/>
  <c r="O73" i="1"/>
  <c r="U204" i="1"/>
  <c r="U145" i="1" s="1"/>
  <c r="BO134" i="1"/>
  <c r="BS134" i="1"/>
  <c r="BK62" i="1"/>
  <c r="G73" i="1"/>
  <c r="O245" i="1"/>
  <c r="N282" i="1"/>
  <c r="O165" i="1"/>
  <c r="O91" i="1" s="1"/>
  <c r="K193" i="1"/>
  <c r="BO288" i="1"/>
  <c r="J193" i="1"/>
  <c r="J201" i="1" s="1"/>
  <c r="BP134" i="1"/>
  <c r="AN288" i="1"/>
  <c r="BW62" i="1"/>
  <c r="BQ288" i="1"/>
  <c r="BU62" i="1"/>
  <c r="O204" i="1"/>
  <c r="O145" i="1" s="1"/>
  <c r="U211" i="1"/>
  <c r="B90" i="1"/>
  <c r="N280" i="1"/>
  <c r="N204" i="1"/>
  <c r="N145" i="1" s="1"/>
  <c r="R204" i="1"/>
  <c r="R145" i="1" s="1"/>
  <c r="C242" i="1"/>
  <c r="C204" i="1"/>
  <c r="C145" i="1" s="1"/>
  <c r="C146" i="1" s="1"/>
  <c r="C149" i="1" s="1"/>
  <c r="B73" i="1"/>
  <c r="BC134" i="1"/>
  <c r="BB289" i="1"/>
  <c r="P245" i="1"/>
  <c r="S284" i="1"/>
  <c r="W285" i="1"/>
  <c r="W287" i="1" s="1"/>
  <c r="C90" i="1"/>
  <c r="AU134" i="1"/>
  <c r="AN242" i="1"/>
  <c r="BN134" i="1"/>
  <c r="BJ134" i="1"/>
  <c r="BG134" i="1"/>
  <c r="AI239" i="1"/>
  <c r="AI237" i="1" s="1"/>
  <c r="R221" i="1"/>
  <c r="R220" i="1" s="1"/>
  <c r="O69" i="1"/>
  <c r="R193" i="1"/>
  <c r="AI62" i="1"/>
  <c r="H285" i="1"/>
  <c r="H287" i="1" s="1"/>
  <c r="E90" i="1"/>
  <c r="O242" i="1"/>
  <c r="H242" i="1"/>
  <c r="U243" i="1"/>
  <c r="H204" i="1"/>
  <c r="H145" i="1" s="1"/>
  <c r="P69" i="1"/>
  <c r="H165" i="1"/>
  <c r="H91" i="1" s="1"/>
  <c r="BV289" i="1"/>
  <c r="G222" i="1"/>
  <c r="N193" i="1"/>
  <c r="N201" i="1" s="1"/>
  <c r="J285" i="1"/>
  <c r="J287" i="1" s="1"/>
  <c r="H90" i="1"/>
  <c r="H73" i="1"/>
  <c r="T211" i="1"/>
  <c r="G193" i="1"/>
  <c r="BJ63" i="1"/>
  <c r="F193" i="1"/>
  <c r="F201" i="1" s="1"/>
  <c r="H232" i="1"/>
  <c r="U285" i="1"/>
  <c r="U287" i="1" s="1"/>
  <c r="BV46" i="1"/>
  <c r="BV9" i="1" s="1"/>
  <c r="H243" i="1"/>
  <c r="G232" i="1"/>
  <c r="T243" i="1"/>
  <c r="U232" i="1"/>
  <c r="F232" i="1"/>
  <c r="O233" i="1"/>
  <c r="D233" i="1"/>
  <c r="U193" i="1"/>
  <c r="C222" i="1"/>
  <c r="C193" i="1"/>
  <c r="C201" i="1" s="1"/>
  <c r="H221" i="1"/>
  <c r="H220" i="1" s="1"/>
  <c r="T204" i="1"/>
  <c r="T145" i="1" s="1"/>
  <c r="E232" i="1"/>
  <c r="BO46" i="1"/>
  <c r="AR289" i="1"/>
  <c r="BU134" i="1"/>
  <c r="BW134" i="1"/>
  <c r="AZ134" i="1"/>
  <c r="BG62" i="1"/>
  <c r="BA288" i="1"/>
  <c r="AY289" i="1"/>
  <c r="AT46" i="1"/>
  <c r="AT52" i="1" s="1"/>
  <c r="AZ62" i="1"/>
  <c r="AS62" i="1"/>
  <c r="E242" i="1"/>
  <c r="I204" i="1"/>
  <c r="I145" i="1" s="1"/>
  <c r="H284" i="1"/>
  <c r="L193" i="1"/>
  <c r="D243" i="1"/>
  <c r="C165" i="1"/>
  <c r="C91" i="1" s="1"/>
  <c r="I243" i="1"/>
  <c r="BO267" i="1"/>
  <c r="AS288" i="1"/>
  <c r="BA62" i="1"/>
  <c r="AZ288" i="1"/>
  <c r="BE62" i="1"/>
  <c r="BR46" i="1"/>
  <c r="BR9" i="1" s="1"/>
  <c r="AR62" i="1"/>
  <c r="BD288" i="1"/>
  <c r="BI62" i="1"/>
  <c r="BQ62" i="1"/>
  <c r="AR46" i="1"/>
  <c r="AR52" i="1" s="1"/>
  <c r="AR53" i="1" s="1"/>
  <c r="AS46" i="1"/>
  <c r="AS52" i="1" s="1"/>
  <c r="AS53" i="1" s="1"/>
  <c r="AT62" i="1"/>
  <c r="E174" i="1"/>
  <c r="BP62" i="1"/>
  <c r="BT289" i="1"/>
  <c r="AP62" i="1"/>
  <c r="U222" i="1"/>
  <c r="T69" i="1"/>
  <c r="B165" i="1"/>
  <c r="B91" i="1" s="1"/>
  <c r="AI46" i="1"/>
  <c r="BX134" i="1"/>
  <c r="BG289" i="1"/>
  <c r="BV134" i="1"/>
  <c r="AL134" i="1"/>
  <c r="AT288" i="1"/>
  <c r="AT134" i="1"/>
  <c r="BT134" i="1"/>
  <c r="AW289" i="1"/>
  <c r="BS288" i="1"/>
  <c r="AX288" i="1"/>
  <c r="AO288" i="1"/>
  <c r="AN62" i="1"/>
  <c r="BT62" i="1"/>
  <c r="AQ62" i="1"/>
  <c r="AV62" i="1"/>
  <c r="BH62" i="1"/>
  <c r="BI46" i="1"/>
  <c r="BI52" i="1" s="1"/>
  <c r="BP46" i="1"/>
  <c r="AY62" i="1"/>
  <c r="BF62" i="1"/>
  <c r="I233" i="1"/>
  <c r="BN62" i="1"/>
  <c r="AU46" i="1"/>
  <c r="B284" i="1"/>
  <c r="AY267" i="1"/>
  <c r="BV288" i="1"/>
  <c r="BS46" i="1"/>
  <c r="BQ134" i="1"/>
  <c r="BE46" i="1"/>
  <c r="BE52" i="1" s="1"/>
  <c r="BY134" i="1"/>
  <c r="BE288" i="1"/>
  <c r="BL134" i="1"/>
  <c r="AT289" i="1"/>
  <c r="BT288" i="1"/>
  <c r="BM289" i="1"/>
  <c r="BM230" i="1"/>
  <c r="BP289" i="1"/>
  <c r="BP230" i="1"/>
  <c r="BR289" i="1"/>
  <c r="BR230" i="1"/>
  <c r="M193" i="1"/>
  <c r="T193" i="1"/>
  <c r="T201" i="1" s="1"/>
  <c r="N233" i="1"/>
  <c r="BC46" i="1"/>
  <c r="AU289" i="1"/>
  <c r="BH134" i="1"/>
  <c r="BF289" i="1"/>
  <c r="BD134" i="1"/>
  <c r="AI69" i="1"/>
  <c r="BH46" i="1"/>
  <c r="AX134" i="1"/>
  <c r="BQ289" i="1"/>
  <c r="T222" i="1"/>
  <c r="BK134" i="1"/>
  <c r="AX289" i="1"/>
  <c r="AR134" i="1"/>
  <c r="AQ288" i="1"/>
  <c r="AS134" i="1"/>
  <c r="AQ46" i="1"/>
  <c r="BT230" i="1"/>
  <c r="AR288" i="1"/>
  <c r="BU230" i="1"/>
  <c r="BU289" i="1"/>
  <c r="BK289" i="1"/>
  <c r="BK230" i="1"/>
  <c r="BK267" i="1"/>
  <c r="BM134" i="1"/>
  <c r="BM288" i="1"/>
  <c r="BS62" i="1"/>
  <c r="AN46" i="1"/>
  <c r="AN267" i="1"/>
  <c r="AN134" i="1"/>
  <c r="AO134" i="1"/>
  <c r="E193" i="1"/>
  <c r="AU267" i="1"/>
  <c r="BO289" i="1"/>
  <c r="BF134" i="1"/>
  <c r="BF46" i="1"/>
  <c r="AV46" i="1"/>
  <c r="AY134" i="1"/>
  <c r="AW134" i="1"/>
  <c r="AV288" i="1"/>
  <c r="AP134" i="1"/>
  <c r="AV134" i="1"/>
  <c r="BW46" i="1"/>
  <c r="BW9" i="1" s="1"/>
  <c r="BW267" i="1"/>
  <c r="BZ134" i="1"/>
  <c r="AO62" i="1"/>
  <c r="BR288" i="1"/>
  <c r="BN230" i="1"/>
  <c r="AQ289" i="1"/>
  <c r="AQ230" i="1"/>
  <c r="BN46" i="1"/>
  <c r="BN9" i="1" s="1"/>
  <c r="BW288" i="1"/>
  <c r="AZ238" i="1"/>
  <c r="BI289" i="1"/>
  <c r="BI230" i="1"/>
  <c r="BB267" i="1"/>
  <c r="BB46" i="1"/>
  <c r="BM62" i="1"/>
  <c r="BI134" i="1"/>
  <c r="BF267" i="1"/>
  <c r="BE134" i="1"/>
  <c r="AN289" i="1"/>
  <c r="M233" i="1"/>
  <c r="BC288" i="1"/>
  <c r="AV289" i="1"/>
  <c r="BC289" i="1"/>
  <c r="BE289" i="1"/>
  <c r="AQ134" i="1"/>
  <c r="BH289" i="1"/>
  <c r="BB288" i="1"/>
  <c r="BV62" i="1"/>
  <c r="BJ289" i="1"/>
  <c r="BJ230" i="1"/>
  <c r="BG288" i="1"/>
  <c r="BG267" i="1"/>
  <c r="BC62" i="1"/>
  <c r="AX267" i="1"/>
  <c r="AX46" i="1"/>
  <c r="AZ289" i="1"/>
  <c r="AZ230" i="1"/>
  <c r="BT267" i="1"/>
  <c r="BT46" i="1"/>
  <c r="BT9" i="1" s="1"/>
  <c r="BG46" i="1"/>
  <c r="AU288" i="1"/>
  <c r="BA289" i="1"/>
  <c r="BA230" i="1"/>
  <c r="AO267" i="1"/>
  <c r="AO46" i="1"/>
  <c r="AW288" i="1"/>
  <c r="AW267" i="1"/>
  <c r="AI267" i="1"/>
  <c r="BB62" i="1"/>
  <c r="BA134" i="1"/>
  <c r="BB134" i="1"/>
  <c r="AN238" i="1"/>
  <c r="AS289" i="1"/>
  <c r="AS230" i="1"/>
  <c r="BS289" i="1"/>
  <c r="Q284" i="1"/>
  <c r="V233" i="1"/>
  <c r="T233" i="1"/>
  <c r="C243" i="1"/>
  <c r="U233" i="1"/>
  <c r="P233" i="1"/>
  <c r="S174" i="1"/>
  <c r="S282" i="1" s="1"/>
  <c r="V193" i="1"/>
  <c r="C285" i="1"/>
  <c r="C287" i="1" s="1"/>
  <c r="G174" i="1"/>
  <c r="G69" i="1"/>
  <c r="D285" i="1"/>
  <c r="D287" i="1" s="1"/>
  <c r="AN285" i="1"/>
  <c r="S242" i="1"/>
  <c r="V232" i="1"/>
  <c r="T232" i="1"/>
  <c r="F204" i="1"/>
  <c r="F145" i="1" s="1"/>
  <c r="F285" i="1"/>
  <c r="F287" i="1" s="1"/>
  <c r="I232" i="1"/>
  <c r="G242" i="1"/>
  <c r="T242" i="1"/>
  <c r="V218" i="1"/>
  <c r="V222" i="1" s="1"/>
  <c r="V285" i="1"/>
  <c r="V287" i="1" s="1"/>
  <c r="G285" i="1"/>
  <c r="G287" i="1" s="1"/>
  <c r="V204" i="1"/>
  <c r="V145" i="1" s="1"/>
  <c r="F165" i="1"/>
  <c r="F91" i="1" s="1"/>
  <c r="Q204" i="1"/>
  <c r="Q145" i="1" s="1"/>
  <c r="S90" i="1"/>
  <c r="S243" i="1"/>
  <c r="S165" i="1"/>
  <c r="S91" i="1" s="1"/>
  <c r="R232" i="1"/>
  <c r="Q232" i="1"/>
  <c r="S204" i="1"/>
  <c r="S145" i="1" s="1"/>
  <c r="D232" i="1"/>
  <c r="D143" i="1"/>
  <c r="T285" i="1"/>
  <c r="T287" i="1" s="1"/>
  <c r="S73" i="1"/>
  <c r="I73" i="1"/>
  <c r="D144" i="1"/>
  <c r="H218" i="1"/>
  <c r="H217" i="1" s="1"/>
  <c r="L165" i="1"/>
  <c r="L91" i="1" s="1"/>
  <c r="D193" i="1"/>
  <c r="E233" i="1"/>
  <c r="V243" i="1"/>
  <c r="O232" i="1"/>
  <c r="P232" i="1"/>
  <c r="E222" i="1"/>
  <c r="K174" i="1"/>
  <c r="J221" i="1"/>
  <c r="J220" i="1" s="1"/>
  <c r="V284" i="1"/>
  <c r="T90" i="1"/>
  <c r="T284" i="1"/>
  <c r="J282" i="1"/>
  <c r="Q90" i="1"/>
  <c r="Q211" i="1"/>
  <c r="I242" i="1"/>
  <c r="J242" i="1"/>
  <c r="R233" i="1"/>
  <c r="Q222" i="1"/>
  <c r="N232" i="1"/>
  <c r="O282" i="1"/>
  <c r="H193" i="1"/>
  <c r="I165" i="1"/>
  <c r="I91" i="1" s="1"/>
  <c r="I285" i="1"/>
  <c r="I287" i="1" s="1"/>
  <c r="Q285" i="1"/>
  <c r="Q287" i="1" s="1"/>
  <c r="T165" i="1"/>
  <c r="T91" i="1" s="1"/>
  <c r="O193" i="1"/>
  <c r="O201" i="1" s="1"/>
  <c r="Q193" i="1"/>
  <c r="R285" i="1"/>
  <c r="R287" i="1" s="1"/>
  <c r="P222" i="1"/>
  <c r="Q233" i="1"/>
  <c r="I221" i="1"/>
  <c r="I220" i="1" s="1"/>
  <c r="Q242" i="1"/>
  <c r="U242" i="1"/>
  <c r="M232" i="1"/>
  <c r="S232" i="1"/>
  <c r="P193" i="1"/>
  <c r="P201" i="1" s="1"/>
  <c r="S193" i="1"/>
  <c r="J233" i="1"/>
  <c r="C233" i="1"/>
  <c r="K233" i="1"/>
  <c r="J280" i="1"/>
  <c r="H69" i="1"/>
  <c r="H174" i="1"/>
  <c r="E73" i="1"/>
  <c r="E204" i="1"/>
  <c r="E145" i="1" s="1"/>
  <c r="F242" i="1"/>
  <c r="T282" i="1"/>
  <c r="I284" i="1"/>
  <c r="I90" i="1"/>
  <c r="I211" i="1"/>
  <c r="D105" i="1"/>
  <c r="D104" i="1"/>
  <c r="K204" i="1"/>
  <c r="K145" i="1" s="1"/>
  <c r="K73" i="1"/>
  <c r="K165" i="1"/>
  <c r="K242" i="1"/>
  <c r="B218" i="1"/>
  <c r="C232" i="1"/>
  <c r="B193" i="1"/>
  <c r="F221" i="1"/>
  <c r="G233" i="1"/>
  <c r="S217" i="1"/>
  <c r="S222" i="1"/>
  <c r="M222" i="1"/>
  <c r="K221" i="1"/>
  <c r="L233" i="1"/>
  <c r="Q73" i="1"/>
  <c r="Q165" i="1"/>
  <c r="Q91" i="1" s="1"/>
  <c r="R242" i="1"/>
  <c r="L285" i="1"/>
  <c r="L287" i="1" s="1"/>
  <c r="L73" i="1"/>
  <c r="L204" i="1"/>
  <c r="L145" i="1" s="1"/>
  <c r="L242" i="1"/>
  <c r="M285" i="1"/>
  <c r="M287" i="1" s="1"/>
  <c r="L245" i="1"/>
  <c r="K284" i="1"/>
  <c r="F233" i="1"/>
  <c r="P280" i="1"/>
  <c r="V211" i="1"/>
  <c r="V90" i="1"/>
  <c r="V165" i="1"/>
  <c r="Q69" i="1"/>
  <c r="Q174" i="1"/>
  <c r="L243" i="1"/>
  <c r="K211" i="1"/>
  <c r="K90" i="1"/>
  <c r="W73" i="1"/>
  <c r="X285" i="1"/>
  <c r="X287" i="1" s="1"/>
  <c r="X242" i="1"/>
  <c r="W242" i="1"/>
  <c r="L284" i="1"/>
  <c r="P282" i="1"/>
  <c r="T280" i="1"/>
  <c r="O280" i="1"/>
  <c r="N222" i="1"/>
  <c r="O217" i="1"/>
  <c r="O222" i="1"/>
  <c r="L217" i="1"/>
  <c r="L222" i="1"/>
  <c r="D217" i="1"/>
  <c r="D222" i="1"/>
  <c r="J217" i="1"/>
  <c r="O239" i="1"/>
  <c r="O237" i="1" s="1"/>
  <c r="P239" i="1"/>
  <c r="P237" i="1" s="1"/>
  <c r="BK238" i="1" l="1"/>
  <c r="BI184" i="1"/>
  <c r="BI218" i="1" s="1"/>
  <c r="BI238" i="1"/>
  <c r="BN185" i="1"/>
  <c r="BO219" i="1"/>
  <c r="AO197" i="1"/>
  <c r="BJ238" i="1"/>
  <c r="BD185" i="1"/>
  <c r="BB178" i="1"/>
  <c r="BU197" i="1"/>
  <c r="BD160" i="1"/>
  <c r="AT153" i="1"/>
  <c r="BB199" i="1"/>
  <c r="BH178" i="1"/>
  <c r="BS197" i="1"/>
  <c r="BG164" i="1"/>
  <c r="BA170" i="1"/>
  <c r="AV164" i="1"/>
  <c r="AV179" i="1"/>
  <c r="AU184" i="1"/>
  <c r="AU218" i="1" s="1"/>
  <c r="AT176" i="1"/>
  <c r="AT238" i="1"/>
  <c r="AQ170" i="1"/>
  <c r="BB164" i="1"/>
  <c r="BQ170" i="1"/>
  <c r="AW170" i="1"/>
  <c r="AW156" i="1"/>
  <c r="AS197" i="1"/>
  <c r="AQ238" i="1"/>
  <c r="BU170" i="1"/>
  <c r="BV69" i="1" s="1"/>
  <c r="AS170" i="1"/>
  <c r="N202" i="1"/>
  <c r="M201" i="1"/>
  <c r="AR176" i="1"/>
  <c r="AS238" i="1" s="1"/>
  <c r="AR238" i="1"/>
  <c r="BN176" i="1"/>
  <c r="BO238" i="1" s="1"/>
  <c r="BN238" i="1"/>
  <c r="BV176" i="1"/>
  <c r="BW238" i="1" s="1"/>
  <c r="BV238" i="1"/>
  <c r="BF176" i="1"/>
  <c r="BG238" i="1" s="1"/>
  <c r="BF238" i="1"/>
  <c r="BB176" i="1"/>
  <c r="BA238" i="1"/>
  <c r="BX164" i="1"/>
  <c r="BL164" i="1"/>
  <c r="AX153" i="1"/>
  <c r="AS156" i="1"/>
  <c r="AP174" i="1"/>
  <c r="BE170" i="1"/>
  <c r="BF170" i="1" s="1"/>
  <c r="AQ197" i="1"/>
  <c r="BH160" i="1"/>
  <c r="BH164" i="1" s="1"/>
  <c r="BT238" i="1"/>
  <c r="BJ178" i="1"/>
  <c r="BL156" i="1"/>
  <c r="BL165" i="1" s="1"/>
  <c r="BS170" i="1"/>
  <c r="BT170" i="1" s="1"/>
  <c r="BT174" i="1" s="1"/>
  <c r="BG170" i="1"/>
  <c r="BH69" i="1" s="1"/>
  <c r="BS238" i="1"/>
  <c r="BA164" i="1"/>
  <c r="AV238" i="1"/>
  <c r="BO192" i="1"/>
  <c r="BO221" i="1" s="1"/>
  <c r="BO220" i="1" s="1"/>
  <c r="BP220" i="1" s="1"/>
  <c r="AU164" i="1"/>
  <c r="AV285" i="1" s="1"/>
  <c r="BL176" i="1"/>
  <c r="BL238" i="1" s="1"/>
  <c r="BA197" i="1"/>
  <c r="AW238" i="1"/>
  <c r="BI156" i="1"/>
  <c r="AU238" i="1"/>
  <c r="BM156" i="1"/>
  <c r="BW164" i="1"/>
  <c r="BW204" i="1" s="1"/>
  <c r="U201" i="1"/>
  <c r="U202" i="1" s="1"/>
  <c r="BC156" i="1"/>
  <c r="BC197" i="1"/>
  <c r="BO156" i="1"/>
  <c r="AY192" i="1"/>
  <c r="AY221" i="1" s="1"/>
  <c r="AY220" i="1" s="1"/>
  <c r="AZ220" i="1" s="1"/>
  <c r="BO164" i="1"/>
  <c r="AY197" i="1"/>
  <c r="BI164" i="1"/>
  <c r="BI285" i="1" s="1"/>
  <c r="AS164" i="1"/>
  <c r="AS165" i="1" s="1"/>
  <c r="AO192" i="1"/>
  <c r="AO221" i="1" s="1"/>
  <c r="AO220" i="1" s="1"/>
  <c r="AP220" i="1" s="1"/>
  <c r="BQ184" i="1"/>
  <c r="BQ218" i="1" s="1"/>
  <c r="BE156" i="1"/>
  <c r="AY156" i="1"/>
  <c r="BG197" i="1"/>
  <c r="BG204" i="1" s="1"/>
  <c r="BQ197" i="1"/>
  <c r="B105" i="1"/>
  <c r="B123" i="1" s="1"/>
  <c r="BR164" i="1"/>
  <c r="BE184" i="1"/>
  <c r="BE218" i="1" s="1"/>
  <c r="BW156" i="1"/>
  <c r="BW165" i="1" s="1"/>
  <c r="BK184" i="1"/>
  <c r="BK218" i="1" s="1"/>
  <c r="BO170" i="1"/>
  <c r="BP69" i="1" s="1"/>
  <c r="BW170" i="1"/>
  <c r="BX170" i="1" s="1"/>
  <c r="BQ164" i="1"/>
  <c r="AY164" i="1"/>
  <c r="AP164" i="1"/>
  <c r="BK156" i="1"/>
  <c r="BK170" i="1"/>
  <c r="BN164" i="1"/>
  <c r="BQ156" i="1"/>
  <c r="BE192" i="1"/>
  <c r="BE221" i="1" s="1"/>
  <c r="BE220" i="1" s="1"/>
  <c r="BF220" i="1" s="1"/>
  <c r="AO184" i="1"/>
  <c r="AO218" i="1" s="1"/>
  <c r="AO222" i="1" s="1"/>
  <c r="AY184" i="1"/>
  <c r="AY218" i="1" s="1"/>
  <c r="AY217" i="1" s="1"/>
  <c r="AZ217" i="1" s="1"/>
  <c r="BQ238" i="1"/>
  <c r="AQ164" i="1"/>
  <c r="BM164" i="1"/>
  <c r="BM285" i="1" s="1"/>
  <c r="BG156" i="1"/>
  <c r="BG165" i="1" s="1"/>
  <c r="BA184" i="1"/>
  <c r="BA218" i="1" s="1"/>
  <c r="BA217" i="1" s="1"/>
  <c r="BB217" i="1" s="1"/>
  <c r="AQ184" i="1"/>
  <c r="AQ218" i="1" s="1"/>
  <c r="AS184" i="1"/>
  <c r="BS156" i="1"/>
  <c r="BU238" i="1"/>
  <c r="BF164" i="1"/>
  <c r="BG242" i="1" s="1"/>
  <c r="BC192" i="1"/>
  <c r="BC221" i="1" s="1"/>
  <c r="BC220" i="1" s="1"/>
  <c r="BD220" i="1" s="1"/>
  <c r="BF153" i="1"/>
  <c r="BR238" i="1"/>
  <c r="BU192" i="1"/>
  <c r="BU221" i="1" s="1"/>
  <c r="AT160" i="1"/>
  <c r="AT164" i="1" s="1"/>
  <c r="AW192" i="1"/>
  <c r="AW221" i="1" s="1"/>
  <c r="AW220" i="1" s="1"/>
  <c r="AX220" i="1" s="1"/>
  <c r="BG184" i="1"/>
  <c r="AW184" i="1"/>
  <c r="AW218" i="1" s="1"/>
  <c r="BR153" i="1"/>
  <c r="BU184" i="1"/>
  <c r="BU218" i="1" s="1"/>
  <c r="BU217" i="1" s="1"/>
  <c r="BV217" i="1" s="1"/>
  <c r="BO184" i="1"/>
  <c r="BO218" i="1" s="1"/>
  <c r="BM170" i="1"/>
  <c r="BN170" i="1" s="1"/>
  <c r="BN174" i="1" s="1"/>
  <c r="AW197" i="1"/>
  <c r="BC184" i="1"/>
  <c r="BC218" i="1" s="1"/>
  <c r="BC217" i="1" s="1"/>
  <c r="BD217" i="1" s="1"/>
  <c r="BP160" i="1"/>
  <c r="BP164" i="1" s="1"/>
  <c r="BW184" i="1"/>
  <c r="BW218" i="1" s="1"/>
  <c r="BW217" i="1" s="1"/>
  <c r="BX217" i="1" s="1"/>
  <c r="BK164" i="1"/>
  <c r="AO164" i="1"/>
  <c r="AQ192" i="1"/>
  <c r="AQ221" i="1" s="1"/>
  <c r="CN36" i="1"/>
  <c r="CN44" i="1"/>
  <c r="AZ164" i="1"/>
  <c r="BE164" i="1"/>
  <c r="AU156" i="1"/>
  <c r="BK192" i="1"/>
  <c r="BK221" i="1" s="1"/>
  <c r="BK220" i="1" s="1"/>
  <c r="BL220" i="1" s="1"/>
  <c r="AX176" i="1"/>
  <c r="BH238" i="1"/>
  <c r="H234" i="1"/>
  <c r="H235" i="1" s="1"/>
  <c r="BU63" i="1"/>
  <c r="BK216" i="1"/>
  <c r="BL216" i="1" s="1"/>
  <c r="BL181" i="1" s="1"/>
  <c r="AS216" i="1"/>
  <c r="AT216" i="1" s="1"/>
  <c r="AT181" i="1" s="1"/>
  <c r="AO174" i="1"/>
  <c r="AO239" i="1" s="1"/>
  <c r="BS192" i="1"/>
  <c r="BS221" i="1" s="1"/>
  <c r="BS220" i="1" s="1"/>
  <c r="BT220" i="1" s="1"/>
  <c r="BU164" i="1"/>
  <c r="BA192" i="1"/>
  <c r="BA221" i="1" s="1"/>
  <c r="BA220" i="1" s="1"/>
  <c r="BB220" i="1" s="1"/>
  <c r="AW164" i="1"/>
  <c r="E239" i="1"/>
  <c r="E237" i="1" s="1"/>
  <c r="BI192" i="1"/>
  <c r="BI221" i="1" s="1"/>
  <c r="BI220" i="1" s="1"/>
  <c r="BJ220" i="1" s="1"/>
  <c r="BW192" i="1"/>
  <c r="BW221" i="1" s="1"/>
  <c r="BW220" i="1" s="1"/>
  <c r="BX220" i="1" s="1"/>
  <c r="BC164" i="1"/>
  <c r="AR160" i="1"/>
  <c r="AR164" i="1" s="1"/>
  <c r="BS164" i="1"/>
  <c r="BJ160" i="1"/>
  <c r="BJ164" i="1" s="1"/>
  <c r="AP185" i="1"/>
  <c r="BX153" i="1"/>
  <c r="BX156" i="1" s="1"/>
  <c r="BY243" i="1" s="1"/>
  <c r="AU192" i="1"/>
  <c r="AX164" i="1"/>
  <c r="AP178" i="1"/>
  <c r="AO156" i="1"/>
  <c r="BT164" i="1"/>
  <c r="BG192" i="1"/>
  <c r="BG221" i="1" s="1"/>
  <c r="BG220" i="1" s="1"/>
  <c r="BH220" i="1" s="1"/>
  <c r="BQ216" i="1"/>
  <c r="BR216" i="1" s="1"/>
  <c r="BR181" i="1" s="1"/>
  <c r="BA156" i="1"/>
  <c r="BF185" i="1"/>
  <c r="AS192" i="1"/>
  <c r="AS221" i="1" s="1"/>
  <c r="AS220" i="1" s="1"/>
  <c r="AT220" i="1" s="1"/>
  <c r="BS184" i="1"/>
  <c r="BS218" i="1" s="1"/>
  <c r="BS217" i="1" s="1"/>
  <c r="BT217" i="1" s="1"/>
  <c r="BM184" i="1"/>
  <c r="BM218" i="1" s="1"/>
  <c r="BM217" i="1" s="1"/>
  <c r="BN217" i="1" s="1"/>
  <c r="BV164" i="1"/>
  <c r="BV242" i="1" s="1"/>
  <c r="BU156" i="1"/>
  <c r="BU165" i="1" s="1"/>
  <c r="AQ156" i="1"/>
  <c r="CK122" i="1"/>
  <c r="CK121" i="1"/>
  <c r="BM48" i="1"/>
  <c r="BM9" i="1"/>
  <c r="BQ52" i="1"/>
  <c r="BQ9" i="1"/>
  <c r="BM261" i="1"/>
  <c r="BK9" i="1"/>
  <c r="BO52" i="1"/>
  <c r="BO9" i="1"/>
  <c r="BP52" i="1"/>
  <c r="BP64" i="1" s="1"/>
  <c r="BP70" i="1" s="1"/>
  <c r="BP74" i="1" s="1"/>
  <c r="BP21" i="1" s="1"/>
  <c r="BP9" i="1"/>
  <c r="BS52" i="1"/>
  <c r="BS9" i="1"/>
  <c r="BY47" i="1"/>
  <c r="BU52" i="1"/>
  <c r="BU64" i="1" s="1"/>
  <c r="N241" i="1"/>
  <c r="M241" i="1"/>
  <c r="BM63" i="1"/>
  <c r="G239" i="1"/>
  <c r="G237" i="1" s="1"/>
  <c r="BN187" i="1"/>
  <c r="BM192" i="1"/>
  <c r="BD170" i="1"/>
  <c r="BD174" i="1" s="1"/>
  <c r="BC174" i="1"/>
  <c r="V201" i="1"/>
  <c r="V202" i="1" s="1"/>
  <c r="V280" i="1"/>
  <c r="V282" i="1"/>
  <c r="L282" i="1"/>
  <c r="M239" i="1"/>
  <c r="M237" i="1" s="1"/>
  <c r="I239" i="1"/>
  <c r="I237" i="1" s="1"/>
  <c r="I280" i="1"/>
  <c r="I201" i="1"/>
  <c r="I202" i="1" s="1"/>
  <c r="J239" i="1"/>
  <c r="J237" i="1" s="1"/>
  <c r="F282" i="1"/>
  <c r="F280" i="1"/>
  <c r="N239" i="1"/>
  <c r="N237" i="1" s="1"/>
  <c r="M280" i="1"/>
  <c r="U282" i="1"/>
  <c r="V239" i="1"/>
  <c r="V237" i="1" s="1"/>
  <c r="U239" i="1"/>
  <c r="U237" i="1" s="1"/>
  <c r="AU174" i="1"/>
  <c r="AV170" i="1"/>
  <c r="AJ48" i="1"/>
  <c r="AI52" i="1"/>
  <c r="BE64" i="1"/>
  <c r="CJ122" i="1"/>
  <c r="CV53" i="1"/>
  <c r="CW53" i="1" s="1"/>
  <c r="AW63" i="1"/>
  <c r="AQ219" i="1"/>
  <c r="CJ121" i="1"/>
  <c r="AS64" i="1"/>
  <c r="Z246" i="1"/>
  <c r="Z247" i="1" s="1"/>
  <c r="D201" i="1"/>
  <c r="AT63" i="1"/>
  <c r="AQ69" i="1"/>
  <c r="BM52" i="1"/>
  <c r="Y246" i="1"/>
  <c r="Y247" i="1" s="1"/>
  <c r="Q241" i="1"/>
  <c r="E280" i="1"/>
  <c r="CH105" i="1"/>
  <c r="CL106" i="1" s="1"/>
  <c r="CG105" i="1"/>
  <c r="CK106" i="1" s="1"/>
  <c r="BQ192" i="1"/>
  <c r="BQ221" i="1" s="1"/>
  <c r="BQ220" i="1" s="1"/>
  <c r="BR220" i="1" s="1"/>
  <c r="L280" i="1"/>
  <c r="W239" i="1"/>
  <c r="W237" i="1" s="1"/>
  <c r="L201" i="1"/>
  <c r="L202" i="1" s="1"/>
  <c r="BJ53" i="1"/>
  <c r="L239" i="1"/>
  <c r="L237" i="1" s="1"/>
  <c r="CG243" i="1"/>
  <c r="CG241" i="1" s="1"/>
  <c r="CF128" i="1"/>
  <c r="CF243" i="1"/>
  <c r="CF241" i="1" s="1"/>
  <c r="CF165" i="1"/>
  <c r="CF91" i="1" s="1"/>
  <c r="CF90" i="1"/>
  <c r="CA99" i="1"/>
  <c r="CB101" i="1"/>
  <c r="CB128" i="1" s="1"/>
  <c r="CR160" i="1"/>
  <c r="CQ164" i="1"/>
  <c r="CR219" i="1"/>
  <c r="CQ221" i="1"/>
  <c r="CD130" i="1"/>
  <c r="CD132" i="1"/>
  <c r="CD131" i="1"/>
  <c r="CC143" i="1"/>
  <c r="CC135" i="1"/>
  <c r="CC128" i="1"/>
  <c r="CC144" i="1"/>
  <c r="CC102" i="1"/>
  <c r="CF105" i="1" s="1"/>
  <c r="CB165" i="1"/>
  <c r="CB91" i="1" s="1"/>
  <c r="CB90" i="1"/>
  <c r="CB243" i="1"/>
  <c r="CB241" i="1" s="1"/>
  <c r="CC243" i="1"/>
  <c r="CC241" i="1" s="1"/>
  <c r="CR215" i="1"/>
  <c r="CH132" i="1"/>
  <c r="CH131" i="1"/>
  <c r="CH130" i="1"/>
  <c r="CI122" i="1"/>
  <c r="CI121" i="1"/>
  <c r="CI123" i="1"/>
  <c r="CS176" i="1"/>
  <c r="BZ165" i="1"/>
  <c r="BZ243" i="1"/>
  <c r="BZ241" i="1" s="1"/>
  <c r="CA243" i="1"/>
  <c r="CA241" i="1" s="1"/>
  <c r="CS99" i="1"/>
  <c r="CR101" i="1"/>
  <c r="CD138" i="1"/>
  <c r="CD140" i="1"/>
  <c r="CD139" i="1"/>
  <c r="CJ132" i="1"/>
  <c r="CK132" i="1" s="1"/>
  <c r="CJ131" i="1"/>
  <c r="CK131" i="1" s="1"/>
  <c r="CJ130" i="1"/>
  <c r="CP242" i="1"/>
  <c r="CP285" i="1"/>
  <c r="CP217" i="1"/>
  <c r="CO218" i="1"/>
  <c r="CO222" i="1" s="1"/>
  <c r="CH247" i="1"/>
  <c r="CI245" i="1"/>
  <c r="CH201" i="1"/>
  <c r="CH202" i="1" s="1"/>
  <c r="CH284" i="1"/>
  <c r="CH280" i="1"/>
  <c r="CH282" i="1"/>
  <c r="CH204" i="1"/>
  <c r="BU224" i="1"/>
  <c r="R94" i="1"/>
  <c r="AT55" i="1"/>
  <c r="BU47" i="1"/>
  <c r="AM47" i="1"/>
  <c r="AW54" i="1"/>
  <c r="F239" i="1"/>
  <c r="F237" i="1" s="1"/>
  <c r="R280" i="1"/>
  <c r="N94" i="1"/>
  <c r="S94" i="1"/>
  <c r="BJ47" i="1"/>
  <c r="T94" i="1"/>
  <c r="W94" i="1"/>
  <c r="BD47" i="1"/>
  <c r="AZ170" i="1"/>
  <c r="AZ174" i="1" s="1"/>
  <c r="AY174" i="1"/>
  <c r="B201" i="1"/>
  <c r="AP52" i="1"/>
  <c r="AP54" i="1" s="1"/>
  <c r="V94" i="1"/>
  <c r="BV48" i="1"/>
  <c r="X94" i="1"/>
  <c r="R201" i="1"/>
  <c r="R202" i="1" s="1"/>
  <c r="BD63" i="1"/>
  <c r="BV181" i="1"/>
  <c r="BJ170" i="1"/>
  <c r="BI174" i="1"/>
  <c r="U94" i="1"/>
  <c r="BN219" i="1"/>
  <c r="AI222" i="1"/>
  <c r="AI217" i="1"/>
  <c r="AJ217" i="1" s="1"/>
  <c r="BB219" i="1"/>
  <c r="BF216" i="1"/>
  <c r="BF181" i="1" s="1"/>
  <c r="BT219" i="1"/>
  <c r="AX219" i="1"/>
  <c r="AX189" i="1" s="1"/>
  <c r="AX192" i="1" s="1"/>
  <c r="BR219" i="1"/>
  <c r="AV216" i="1"/>
  <c r="AV181" i="1" s="1"/>
  <c r="AT215" i="1"/>
  <c r="AZ215" i="1"/>
  <c r="BN215" i="1"/>
  <c r="BN180" i="1" s="1"/>
  <c r="BL219" i="1"/>
  <c r="AI220" i="1"/>
  <c r="AJ220" i="1" s="1"/>
  <c r="BB215" i="1"/>
  <c r="BJ216" i="1"/>
  <c r="BJ181" i="1" s="1"/>
  <c r="BF215" i="1"/>
  <c r="BF180" i="1" s="1"/>
  <c r="BT215" i="1"/>
  <c r="AP216" i="1"/>
  <c r="AP181" i="1" s="1"/>
  <c r="BX216" i="1"/>
  <c r="BX181" i="1" s="1"/>
  <c r="BD219" i="1"/>
  <c r="BP216" i="1"/>
  <c r="BP181" i="1" s="1"/>
  <c r="BH219" i="1"/>
  <c r="AJ215" i="1"/>
  <c r="BP215" i="1"/>
  <c r="AY63" i="1"/>
  <c r="BV215" i="1"/>
  <c r="AZ219" i="1"/>
  <c r="AJ219" i="1"/>
  <c r="BJ215" i="1"/>
  <c r="AR215" i="1"/>
  <c r="AR180" i="1" s="1"/>
  <c r="BT216" i="1"/>
  <c r="BT181" i="1" s="1"/>
  <c r="AX215" i="1"/>
  <c r="AX180" i="1" s="1"/>
  <c r="AP219" i="1"/>
  <c r="BX219" i="1"/>
  <c r="BX189" i="1" s="1"/>
  <c r="BX192" i="1" s="1"/>
  <c r="BR215" i="1"/>
  <c r="AV215" i="1"/>
  <c r="BD216" i="1"/>
  <c r="BD181" i="1" s="1"/>
  <c r="BH215" i="1"/>
  <c r="BH180" i="1" s="1"/>
  <c r="AP215" i="1"/>
  <c r="R241" i="1"/>
  <c r="AN181" i="1"/>
  <c r="AN189" i="1"/>
  <c r="AN192" i="1" s="1"/>
  <c r="AN180" i="1"/>
  <c r="BV219" i="1"/>
  <c r="AZ216" i="1"/>
  <c r="AZ181" i="1" s="1"/>
  <c r="BN216" i="1"/>
  <c r="BN181" i="1" s="1"/>
  <c r="BL215" i="1"/>
  <c r="BL180" i="1" s="1"/>
  <c r="AJ216" i="1"/>
  <c r="AJ181" i="1" s="1"/>
  <c r="BB216" i="1"/>
  <c r="BB181" i="1" s="1"/>
  <c r="BJ219" i="1"/>
  <c r="AR216" i="1"/>
  <c r="AR181" i="1" s="1"/>
  <c r="BF219" i="1"/>
  <c r="AX216" i="1"/>
  <c r="AX181" i="1" s="1"/>
  <c r="BX215" i="1"/>
  <c r="BX180" i="1" s="1"/>
  <c r="AV219" i="1"/>
  <c r="AT219" i="1"/>
  <c r="BD215" i="1"/>
  <c r="BD180" i="1" s="1"/>
  <c r="BH216" i="1"/>
  <c r="BH181" i="1" s="1"/>
  <c r="AZ48" i="1"/>
  <c r="BA54" i="1"/>
  <c r="P241" i="1"/>
  <c r="L234" i="1"/>
  <c r="L235" i="1" s="1"/>
  <c r="G234" i="1"/>
  <c r="G235" i="1" s="1"/>
  <c r="BD224" i="1"/>
  <c r="AZ52" i="1"/>
  <c r="AZ64" i="1" s="1"/>
  <c r="B147" i="1"/>
  <c r="B150" i="1" s="1"/>
  <c r="AU63" i="1"/>
  <c r="BQ47" i="1"/>
  <c r="BQ63" i="1"/>
  <c r="BH63" i="1"/>
  <c r="U234" i="1"/>
  <c r="U235" i="1" s="1"/>
  <c r="BA64" i="1"/>
  <c r="BA65" i="1" s="1"/>
  <c r="BO47" i="1"/>
  <c r="BC63" i="1"/>
  <c r="BC47" i="1"/>
  <c r="P202" i="1"/>
  <c r="D241" i="1"/>
  <c r="O241" i="1"/>
  <c r="AI63" i="1"/>
  <c r="D147" i="1"/>
  <c r="D150" i="1" s="1"/>
  <c r="D146" i="1"/>
  <c r="D149" i="1" s="1"/>
  <c r="F241" i="1"/>
  <c r="G241" i="1"/>
  <c r="J234" i="1"/>
  <c r="J235" i="1" s="1"/>
  <c r="J241" i="1"/>
  <c r="K234" i="1"/>
  <c r="K235" i="1" s="1"/>
  <c r="J202" i="1"/>
  <c r="K241" i="1"/>
  <c r="O234" i="1"/>
  <c r="O235" i="1" s="1"/>
  <c r="O249" i="1" s="1"/>
  <c r="S234" i="1"/>
  <c r="S235" i="1" s="1"/>
  <c r="V225" i="1"/>
  <c r="V226" i="1" s="1"/>
  <c r="V217" i="1"/>
  <c r="BS224" i="1"/>
  <c r="V241" i="1"/>
  <c r="AT47" i="1"/>
  <c r="BC52" i="1"/>
  <c r="BC54" i="1" s="1"/>
  <c r="AQ48" i="1"/>
  <c r="BS261" i="1"/>
  <c r="AL261" i="1"/>
  <c r="BL48" i="1"/>
  <c r="AM243" i="1"/>
  <c r="AM241" i="1" s="1"/>
  <c r="AP69" i="1"/>
  <c r="BU261" i="1"/>
  <c r="BX224" i="1"/>
  <c r="E241" i="1"/>
  <c r="K201" i="1"/>
  <c r="K202" i="1" s="1"/>
  <c r="AW64" i="1"/>
  <c r="BE63" i="1"/>
  <c r="AT224" i="1"/>
  <c r="I241" i="1"/>
  <c r="AQ224" i="1"/>
  <c r="AT53" i="1"/>
  <c r="AP261" i="1"/>
  <c r="U241" i="1"/>
  <c r="AO69" i="1"/>
  <c r="E201" i="1"/>
  <c r="E202" i="1" s="1"/>
  <c r="U225" i="1"/>
  <c r="U226" i="1" s="1"/>
  <c r="AP63" i="1"/>
  <c r="BS48" i="1"/>
  <c r="H241" i="1"/>
  <c r="BE53" i="1"/>
  <c r="BR261" i="1"/>
  <c r="AM88" i="1"/>
  <c r="BO63" i="1"/>
  <c r="BV47" i="1"/>
  <c r="BE54" i="1"/>
  <c r="AT64" i="1"/>
  <c r="F234" i="1"/>
  <c r="F235" i="1" s="1"/>
  <c r="AY47" i="1"/>
  <c r="BL261" i="1"/>
  <c r="BE224" i="1"/>
  <c r="BJ224" i="1"/>
  <c r="C105" i="1"/>
  <c r="C123" i="1" s="1"/>
  <c r="AU48" i="1"/>
  <c r="D234" i="1"/>
  <c r="D235" i="1" s="1"/>
  <c r="D249" i="1" s="1"/>
  <c r="C241" i="1"/>
  <c r="C147" i="1"/>
  <c r="C150" i="1" s="1"/>
  <c r="BK63" i="1"/>
  <c r="BK48" i="1"/>
  <c r="BT48" i="1"/>
  <c r="AS261" i="1"/>
  <c r="BI224" i="1"/>
  <c r="BP224" i="1"/>
  <c r="BW47" i="1"/>
  <c r="BS63" i="1"/>
  <c r="AU52" i="1"/>
  <c r="AU55" i="1" s="1"/>
  <c r="BK52" i="1"/>
  <c r="BK53" i="1" s="1"/>
  <c r="BI47" i="1"/>
  <c r="BP48" i="1"/>
  <c r="R222" i="1"/>
  <c r="S225" i="1" s="1"/>
  <c r="S226" i="1" s="1"/>
  <c r="BE47" i="1"/>
  <c r="E234" i="1"/>
  <c r="E235" i="1" s="1"/>
  <c r="BE48" i="1"/>
  <c r="BK261" i="1"/>
  <c r="BM47" i="1"/>
  <c r="BF48" i="1"/>
  <c r="AW261" i="1"/>
  <c r="BT261" i="1"/>
  <c r="BA63" i="1"/>
  <c r="BA48" i="1"/>
  <c r="BG261" i="1"/>
  <c r="BR63" i="1"/>
  <c r="AZ63" i="1"/>
  <c r="BA47" i="1"/>
  <c r="BD53" i="1"/>
  <c r="BK47" i="1"/>
  <c r="BH47" i="1"/>
  <c r="E282" i="1"/>
  <c r="BF52" i="1"/>
  <c r="AU261" i="1"/>
  <c r="BQ224" i="1"/>
  <c r="BD69" i="1"/>
  <c r="AY224" i="1"/>
  <c r="BV63" i="1"/>
  <c r="AW47" i="1"/>
  <c r="BV52" i="1"/>
  <c r="BD64" i="1"/>
  <c r="BD65" i="1" s="1"/>
  <c r="BL224" i="1"/>
  <c r="BH224" i="1"/>
  <c r="BQ48" i="1"/>
  <c r="AT48" i="1"/>
  <c r="BV224" i="1"/>
  <c r="AS48" i="1"/>
  <c r="BF63" i="1"/>
  <c r="BR52" i="1"/>
  <c r="AX261" i="1"/>
  <c r="BF261" i="1"/>
  <c r="AV224" i="1"/>
  <c r="BF224" i="1"/>
  <c r="V234" i="1"/>
  <c r="V235" i="1" s="1"/>
  <c r="BS47" i="1"/>
  <c r="BR48" i="1"/>
  <c r="BT224" i="1"/>
  <c r="AY48" i="1"/>
  <c r="BI261" i="1"/>
  <c r="BG48" i="1"/>
  <c r="T241" i="1"/>
  <c r="BP63" i="1"/>
  <c r="AR63" i="1"/>
  <c r="I222" i="1"/>
  <c r="R234" i="1"/>
  <c r="R235" i="1" s="1"/>
  <c r="BZ47" i="1"/>
  <c r="BZ224" i="1"/>
  <c r="S239" i="1"/>
  <c r="S237" i="1" s="1"/>
  <c r="S280" i="1"/>
  <c r="I234" i="1"/>
  <c r="I235" i="1" s="1"/>
  <c r="N234" i="1"/>
  <c r="N235" i="1" s="1"/>
  <c r="P234" i="1"/>
  <c r="P235" i="1" s="1"/>
  <c r="P249" i="1" s="1"/>
  <c r="BK224" i="1"/>
  <c r="BH261" i="1"/>
  <c r="AR261" i="1"/>
  <c r="AV261" i="1"/>
  <c r="AS63" i="1"/>
  <c r="AS55" i="1"/>
  <c r="AS224" i="1"/>
  <c r="AN63" i="1"/>
  <c r="T202" i="1"/>
  <c r="BI54" i="1"/>
  <c r="BI53" i="1"/>
  <c r="BI64" i="1"/>
  <c r="BJ286" i="1" s="1"/>
  <c r="BJ55" i="1"/>
  <c r="BE55" i="1"/>
  <c r="T239" i="1"/>
  <c r="T237" i="1" s="1"/>
  <c r="BV261" i="1"/>
  <c r="AP48" i="1"/>
  <c r="K239" i="1"/>
  <c r="K237" i="1" s="1"/>
  <c r="BA261" i="1"/>
  <c r="AZ224" i="1"/>
  <c r="AU47" i="1"/>
  <c r="AY261" i="1"/>
  <c r="AU224" i="1"/>
  <c r="BP47" i="1"/>
  <c r="BJ48" i="1"/>
  <c r="BT63" i="1"/>
  <c r="BI63" i="1"/>
  <c r="AX63" i="1"/>
  <c r="S201" i="1"/>
  <c r="S202" i="1" s="1"/>
  <c r="AQ261" i="1"/>
  <c r="BM224" i="1"/>
  <c r="BB48" i="1"/>
  <c r="BB224" i="1"/>
  <c r="BD261" i="1"/>
  <c r="BB52" i="1"/>
  <c r="BN47" i="1"/>
  <c r="BN224" i="1"/>
  <c r="BN52" i="1"/>
  <c r="BN48" i="1"/>
  <c r="BR47" i="1"/>
  <c r="BR224" i="1"/>
  <c r="AR64" i="1"/>
  <c r="AR65" i="1" s="1"/>
  <c r="C234" i="1"/>
  <c r="C235" i="1" s="1"/>
  <c r="BE261" i="1"/>
  <c r="BQ261" i="1"/>
  <c r="BO48" i="1"/>
  <c r="AP224" i="1"/>
  <c r="T234" i="1"/>
  <c r="T235" i="1" s="1"/>
  <c r="BB63" i="1"/>
  <c r="BX47" i="1"/>
  <c r="BU48" i="1"/>
  <c r="BT52" i="1"/>
  <c r="BY224" i="1"/>
  <c r="BW261" i="1"/>
  <c r="AX224" i="1"/>
  <c r="AX48" i="1"/>
  <c r="AX52" i="1"/>
  <c r="BB47" i="1"/>
  <c r="AZ261" i="1"/>
  <c r="AT261" i="1"/>
  <c r="AQ52" i="1"/>
  <c r="AQ47" i="1"/>
  <c r="AR48" i="1"/>
  <c r="AX47" i="1"/>
  <c r="AR224" i="1"/>
  <c r="AP238" i="1"/>
  <c r="AO238" i="1"/>
  <c r="BC48" i="1"/>
  <c r="BP261" i="1"/>
  <c r="M234" i="1"/>
  <c r="M235" i="1" s="1"/>
  <c r="BC261" i="1"/>
  <c r="BO261" i="1"/>
  <c r="AO47" i="1"/>
  <c r="AS47" i="1"/>
  <c r="AO224" i="1"/>
  <c r="AO52" i="1"/>
  <c r="AO63" i="1"/>
  <c r="CA224" i="1"/>
  <c r="CB224" i="1"/>
  <c r="BW52" i="1"/>
  <c r="CA47" i="1"/>
  <c r="BW48" i="1"/>
  <c r="BY261" i="1"/>
  <c r="BZ261" i="1"/>
  <c r="BX48" i="1"/>
  <c r="BX261" i="1"/>
  <c r="AV63" i="1"/>
  <c r="AW224" i="1"/>
  <c r="AV52" i="1"/>
  <c r="AW48" i="1"/>
  <c r="BA224" i="1"/>
  <c r="AZ47" i="1"/>
  <c r="AN47" i="1"/>
  <c r="AO261" i="1"/>
  <c r="AN52" i="1"/>
  <c r="AN48" i="1"/>
  <c r="AN261" i="1"/>
  <c r="AO48" i="1"/>
  <c r="AR47" i="1"/>
  <c r="BH52" i="1"/>
  <c r="BL47" i="1"/>
  <c r="BI48" i="1"/>
  <c r="BT47" i="1"/>
  <c r="AV48" i="1"/>
  <c r="BN63" i="1"/>
  <c r="BC224" i="1"/>
  <c r="BB261" i="1"/>
  <c r="BO224" i="1"/>
  <c r="BN261" i="1"/>
  <c r="BG224" i="1"/>
  <c r="BG63" i="1"/>
  <c r="BJ261" i="1"/>
  <c r="BH48" i="1"/>
  <c r="BG52" i="1"/>
  <c r="BW224" i="1"/>
  <c r="BF47" i="1"/>
  <c r="BW63" i="1"/>
  <c r="BP238" i="1"/>
  <c r="BD48" i="1"/>
  <c r="BG47" i="1"/>
  <c r="AN224" i="1"/>
  <c r="AV47" i="1"/>
  <c r="AQ63" i="1"/>
  <c r="G280" i="1"/>
  <c r="G282" i="1"/>
  <c r="G201" i="1"/>
  <c r="G202" i="1" s="1"/>
  <c r="Q234" i="1"/>
  <c r="Q235" i="1" s="1"/>
  <c r="S241" i="1"/>
  <c r="J222" i="1"/>
  <c r="H222" i="1"/>
  <c r="Q201" i="1"/>
  <c r="Q202" i="1" s="1"/>
  <c r="K280" i="1"/>
  <c r="K282" i="1"/>
  <c r="AZ69" i="1"/>
  <c r="Q225" i="1"/>
  <c r="Q226" i="1" s="1"/>
  <c r="N225" i="1"/>
  <c r="N226" i="1" s="1"/>
  <c r="L241" i="1"/>
  <c r="K91" i="1"/>
  <c r="H239" i="1"/>
  <c r="H237" i="1" s="1"/>
  <c r="H282" i="1"/>
  <c r="H280" i="1"/>
  <c r="R239" i="1"/>
  <c r="R237" i="1" s="1"/>
  <c r="B217" i="1"/>
  <c r="B222" i="1"/>
  <c r="C225" i="1" s="1"/>
  <c r="C226" i="1" s="1"/>
  <c r="C125" i="1"/>
  <c r="D123" i="1"/>
  <c r="D122" i="1"/>
  <c r="D121" i="1"/>
  <c r="V91" i="1"/>
  <c r="BJ65" i="1"/>
  <c r="BJ70" i="1"/>
  <c r="BJ74" i="1" s="1"/>
  <c r="BJ268" i="1"/>
  <c r="BJ269" i="1" s="1"/>
  <c r="AY53" i="1"/>
  <c r="AY64" i="1"/>
  <c r="T225" i="1"/>
  <c r="T226" i="1" s="1"/>
  <c r="H201" i="1"/>
  <c r="H202" i="1" s="1"/>
  <c r="Q282" i="1"/>
  <c r="Q280" i="1"/>
  <c r="K220" i="1"/>
  <c r="K222" i="1"/>
  <c r="L225" i="1" s="1"/>
  <c r="L226" i="1" s="1"/>
  <c r="F220" i="1"/>
  <c r="F222" i="1"/>
  <c r="Q239" i="1"/>
  <c r="Q237" i="1" s="1"/>
  <c r="C280" i="1"/>
  <c r="C202" i="1"/>
  <c r="P225" i="1"/>
  <c r="P226" i="1" s="1"/>
  <c r="O225" i="1"/>
  <c r="O226" i="1" s="1"/>
  <c r="D225" i="1"/>
  <c r="D226" i="1" s="1"/>
  <c r="E225" i="1"/>
  <c r="E226" i="1" s="1"/>
  <c r="M225" i="1"/>
  <c r="M226" i="1" s="1"/>
  <c r="O202" i="1"/>
  <c r="F202" i="1"/>
  <c r="AB164" i="1"/>
  <c r="AB285" i="1" s="1"/>
  <c r="BI217" i="1" l="1"/>
  <c r="BJ217" i="1" s="1"/>
  <c r="BP219" i="1"/>
  <c r="M202" i="1"/>
  <c r="BS53" i="1"/>
  <c r="AT285" i="1"/>
  <c r="BD164" i="1"/>
  <c r="BD242" i="1" s="1"/>
  <c r="BS64" i="1"/>
  <c r="BB170" i="1"/>
  <c r="BA174" i="1"/>
  <c r="BR242" i="1"/>
  <c r="AW222" i="1"/>
  <c r="AU217" i="1"/>
  <c r="AV217" i="1" s="1"/>
  <c r="BU53" i="1"/>
  <c r="BA285" i="1"/>
  <c r="BT55" i="1"/>
  <c r="BW54" i="1"/>
  <c r="BL285" i="1"/>
  <c r="CL126" i="1"/>
  <c r="BX285" i="1"/>
  <c r="BS242" i="1"/>
  <c r="BB242" i="1"/>
  <c r="BB285" i="1"/>
  <c r="BR170" i="1"/>
  <c r="BQ174" i="1"/>
  <c r="AX170" i="1"/>
  <c r="AW174" i="1"/>
  <c r="AT69" i="1"/>
  <c r="AT170" i="1"/>
  <c r="AS174" i="1"/>
  <c r="BC238" i="1"/>
  <c r="BB238" i="1"/>
  <c r="BX242" i="1"/>
  <c r="BY285" i="1"/>
  <c r="BY287" i="1" s="1"/>
  <c r="BY242" i="1"/>
  <c r="BY241" i="1" s="1"/>
  <c r="BX165" i="1"/>
  <c r="BG69" i="1"/>
  <c r="BF174" i="1"/>
  <c r="BL69" i="1"/>
  <c r="BK174" i="1"/>
  <c r="BL170" i="1"/>
  <c r="BU242" i="1"/>
  <c r="BU204" i="1"/>
  <c r="BU285" i="1"/>
  <c r="AU221" i="1"/>
  <c r="AU193" i="1"/>
  <c r="AU201" i="1" s="1"/>
  <c r="BP242" i="1"/>
  <c r="BU222" i="1"/>
  <c r="AU165" i="1"/>
  <c r="AW165" i="1"/>
  <c r="BC242" i="1"/>
  <c r="AR285" i="1"/>
  <c r="BP55" i="1"/>
  <c r="AQ174" i="1"/>
  <c r="AR170" i="1"/>
  <c r="BV170" i="1"/>
  <c r="BU174" i="1"/>
  <c r="BU239" i="1" s="1"/>
  <c r="BU237" i="1" s="1"/>
  <c r="BH285" i="1"/>
  <c r="BH242" i="1"/>
  <c r="BG174" i="1"/>
  <c r="BH170" i="1"/>
  <c r="B121" i="1"/>
  <c r="B122" i="1"/>
  <c r="BP170" i="1"/>
  <c r="BO174" i="1"/>
  <c r="BO239" i="1" s="1"/>
  <c r="BO237" i="1" s="1"/>
  <c r="BY69" i="1"/>
  <c r="BX174" i="1"/>
  <c r="BY239" i="1" s="1"/>
  <c r="BY237" i="1" s="1"/>
  <c r="AZ242" i="1"/>
  <c r="AY204" i="1"/>
  <c r="AY165" i="1"/>
  <c r="AZ285" i="1"/>
  <c r="AQ204" i="1"/>
  <c r="AQ285" i="1"/>
  <c r="AS193" i="1"/>
  <c r="AS201" i="1" s="1"/>
  <c r="AS202" i="1" s="1"/>
  <c r="AS218" i="1"/>
  <c r="BO222" i="1"/>
  <c r="BO217" i="1"/>
  <c r="BP217" i="1" s="1"/>
  <c r="BP218" i="1" s="1"/>
  <c r="BT69" i="1"/>
  <c r="BG285" i="1"/>
  <c r="BI165" i="1"/>
  <c r="BC204" i="1"/>
  <c r="BU220" i="1"/>
  <c r="BV220" i="1" s="1"/>
  <c r="BV221" i="1" s="1"/>
  <c r="BQ242" i="1"/>
  <c r="BW193" i="1"/>
  <c r="BE222" i="1"/>
  <c r="BR285" i="1"/>
  <c r="BW222" i="1"/>
  <c r="AS204" i="1"/>
  <c r="BE174" i="1"/>
  <c r="AR242" i="1"/>
  <c r="AS285" i="1"/>
  <c r="AV242" i="1"/>
  <c r="BM242" i="1"/>
  <c r="BF69" i="1"/>
  <c r="BS174" i="1"/>
  <c r="BT239" i="1" s="1"/>
  <c r="BT237" i="1" s="1"/>
  <c r="AU204" i="1"/>
  <c r="AQ222" i="1"/>
  <c r="BA204" i="1"/>
  <c r="AU285" i="1"/>
  <c r="AT242" i="1"/>
  <c r="BQ204" i="1"/>
  <c r="BM204" i="1"/>
  <c r="AQ242" i="1"/>
  <c r="BC222" i="1"/>
  <c r="BQ285" i="1"/>
  <c r="BW174" i="1"/>
  <c r="BX239" i="1" s="1"/>
  <c r="BX237" i="1" s="1"/>
  <c r="BG193" i="1"/>
  <c r="BG201" i="1" s="1"/>
  <c r="BG202" i="1" s="1"/>
  <c r="BM165" i="1"/>
  <c r="BQ165" i="1"/>
  <c r="BP285" i="1"/>
  <c r="BN69" i="1"/>
  <c r="BS165" i="1"/>
  <c r="BI222" i="1"/>
  <c r="BI204" i="1"/>
  <c r="BE193" i="1"/>
  <c r="BM238" i="1"/>
  <c r="BO53" i="1"/>
  <c r="BI242" i="1"/>
  <c r="BO64" i="1"/>
  <c r="BS54" i="1"/>
  <c r="BF285" i="1"/>
  <c r="AO217" i="1"/>
  <c r="AP217" i="1" s="1"/>
  <c r="AP218" i="1" s="1"/>
  <c r="BO69" i="1"/>
  <c r="AY193" i="1"/>
  <c r="AY201" i="1" s="1"/>
  <c r="BO242" i="1"/>
  <c r="AO193" i="1"/>
  <c r="AO201" i="1" s="1"/>
  <c r="BS193" i="1"/>
  <c r="BO204" i="1"/>
  <c r="AQ193" i="1"/>
  <c r="BA165" i="1"/>
  <c r="BJ285" i="1"/>
  <c r="BJ287" i="1" s="1"/>
  <c r="BO285" i="1"/>
  <c r="BP53" i="1"/>
  <c r="BA242" i="1"/>
  <c r="BO193" i="1"/>
  <c r="BE69" i="1"/>
  <c r="BO165" i="1"/>
  <c r="AP285" i="1"/>
  <c r="BP54" i="1"/>
  <c r="BE217" i="1"/>
  <c r="BF217" i="1" s="1"/>
  <c r="BF218" i="1" s="1"/>
  <c r="AU242" i="1"/>
  <c r="BQ55" i="1"/>
  <c r="BQ64" i="1"/>
  <c r="BQ70" i="1" s="1"/>
  <c r="BQ74" i="1" s="1"/>
  <c r="BQ21" i="1" s="1"/>
  <c r="BI193" i="1"/>
  <c r="BI201" i="1" s="1"/>
  <c r="BM174" i="1"/>
  <c r="BT285" i="1"/>
  <c r="BC165" i="1"/>
  <c r="BY54" i="1"/>
  <c r="AP242" i="1"/>
  <c r="AW193" i="1"/>
  <c r="BG218" i="1"/>
  <c r="BJ242" i="1"/>
  <c r="BK242" i="1"/>
  <c r="AO242" i="1"/>
  <c r="BN242" i="1"/>
  <c r="BN285" i="1"/>
  <c r="BC285" i="1"/>
  <c r="AY222" i="1"/>
  <c r="AQ165" i="1"/>
  <c r="AO165" i="1"/>
  <c r="BK285" i="1"/>
  <c r="BD285" i="1"/>
  <c r="BT242" i="1"/>
  <c r="AO285" i="1"/>
  <c r="BS285" i="1"/>
  <c r="AS242" i="1"/>
  <c r="AO204" i="1"/>
  <c r="BK204" i="1"/>
  <c r="BC193" i="1"/>
  <c r="BC201" i="1" s="1"/>
  <c r="BC202" i="1" s="1"/>
  <c r="BS204" i="1"/>
  <c r="BL242" i="1"/>
  <c r="BK165" i="1"/>
  <c r="AX285" i="1"/>
  <c r="BA222" i="1"/>
  <c r="BE242" i="1"/>
  <c r="BU193" i="1"/>
  <c r="AY242" i="1"/>
  <c r="AW285" i="1"/>
  <c r="BE204" i="1"/>
  <c r="BN239" i="1"/>
  <c r="BN237" i="1" s="1"/>
  <c r="CN37" i="1"/>
  <c r="CO33" i="1"/>
  <c r="CO35" i="1" s="1"/>
  <c r="BV285" i="1"/>
  <c r="AX242" i="1"/>
  <c r="CM131" i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AW204" i="1"/>
  <c r="BW285" i="1"/>
  <c r="BA193" i="1"/>
  <c r="BA201" i="1" s="1"/>
  <c r="BA202" i="1" s="1"/>
  <c r="BU54" i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BE165" i="1"/>
  <c r="AW242" i="1"/>
  <c r="AY285" i="1"/>
  <c r="V95" i="1"/>
  <c r="BW242" i="1"/>
  <c r="BQ53" i="1"/>
  <c r="BF242" i="1"/>
  <c r="BS222" i="1"/>
  <c r="BK193" i="1"/>
  <c r="AX238" i="1"/>
  <c r="AY238" i="1"/>
  <c r="BN184" i="1"/>
  <c r="AR184" i="1"/>
  <c r="E246" i="1"/>
  <c r="E247" i="1" s="1"/>
  <c r="G249" i="1"/>
  <c r="L249" i="1"/>
  <c r="S95" i="1"/>
  <c r="AP55" i="1"/>
  <c r="BM221" i="1"/>
  <c r="BM193" i="1"/>
  <c r="AR219" i="1"/>
  <c r="AR189" i="1" s="1"/>
  <c r="AR192" i="1" s="1"/>
  <c r="AQ220" i="1"/>
  <c r="AR220" i="1" s="1"/>
  <c r="BM64" i="1"/>
  <c r="BM55" i="1"/>
  <c r="BM54" i="1"/>
  <c r="AZ221" i="1"/>
  <c r="U249" i="1"/>
  <c r="J249" i="1"/>
  <c r="AW66" i="1"/>
  <c r="AT67" i="1"/>
  <c r="V249" i="1"/>
  <c r="N246" i="1"/>
  <c r="N247" i="1" s="1"/>
  <c r="M249" i="1"/>
  <c r="AV174" i="1"/>
  <c r="AW69" i="1"/>
  <c r="AI64" i="1"/>
  <c r="N95" i="1"/>
  <c r="AJ55" i="1"/>
  <c r="AI53" i="1"/>
  <c r="AM54" i="1"/>
  <c r="BE70" i="1"/>
  <c r="BE74" i="1" s="1"/>
  <c r="BE65" i="1"/>
  <c r="BE268" i="1"/>
  <c r="BE269" i="1" s="1"/>
  <c r="BE286" i="1"/>
  <c r="AS268" i="1"/>
  <c r="AS269" i="1" s="1"/>
  <c r="AS70" i="1"/>
  <c r="AS74" i="1" s="1"/>
  <c r="AS65" i="1"/>
  <c r="D280" i="1"/>
  <c r="D202" i="1"/>
  <c r="BK222" i="1"/>
  <c r="BK217" i="1"/>
  <c r="BL217" i="1" s="1"/>
  <c r="BL218" i="1" s="1"/>
  <c r="BD221" i="1"/>
  <c r="AT221" i="1"/>
  <c r="F249" i="1"/>
  <c r="BM53" i="1"/>
  <c r="BQ54" i="1"/>
  <c r="BQ217" i="1"/>
  <c r="BR217" i="1" s="1"/>
  <c r="BR218" i="1" s="1"/>
  <c r="BQ222" i="1"/>
  <c r="B280" i="1"/>
  <c r="B202" i="1"/>
  <c r="AT54" i="1"/>
  <c r="AP53" i="1"/>
  <c r="AP64" i="1"/>
  <c r="AP66" i="1" s="1"/>
  <c r="CX53" i="1"/>
  <c r="CY53" i="1" s="1"/>
  <c r="CZ53" i="1" s="1"/>
  <c r="BJ221" i="1"/>
  <c r="R95" i="1"/>
  <c r="BU69" i="1"/>
  <c r="AP221" i="1"/>
  <c r="CH121" i="1"/>
  <c r="CH123" i="1"/>
  <c r="CH122" i="1"/>
  <c r="CK126" i="1" s="1"/>
  <c r="CG122" i="1"/>
  <c r="CJ126" i="1" s="1"/>
  <c r="CG123" i="1"/>
  <c r="CG121" i="1"/>
  <c r="S249" i="1"/>
  <c r="BF221" i="1"/>
  <c r="AQ217" i="1"/>
  <c r="AR217" i="1" s="1"/>
  <c r="AR218" i="1" s="1"/>
  <c r="BQ193" i="1"/>
  <c r="BH221" i="1"/>
  <c r="L246" i="1"/>
  <c r="L247" i="1" s="1"/>
  <c r="AC176" i="1"/>
  <c r="CT176" i="1"/>
  <c r="CR164" i="1"/>
  <c r="CS160" i="1"/>
  <c r="CS215" i="1"/>
  <c r="CC131" i="1"/>
  <c r="CC130" i="1"/>
  <c r="CC132" i="1"/>
  <c r="CB135" i="1"/>
  <c r="CB143" i="1"/>
  <c r="CB144" i="1"/>
  <c r="CB102" i="1"/>
  <c r="CE105" i="1" s="1"/>
  <c r="CH145" i="1"/>
  <c r="CI73" i="1"/>
  <c r="CQ217" i="1"/>
  <c r="CP218" i="1"/>
  <c r="CP222" i="1" s="1"/>
  <c r="CT99" i="1"/>
  <c r="CS101" i="1"/>
  <c r="CB130" i="1"/>
  <c r="CB131" i="1"/>
  <c r="CB132" i="1"/>
  <c r="CC138" i="1"/>
  <c r="CC140" i="1"/>
  <c r="CC139" i="1"/>
  <c r="CR221" i="1"/>
  <c r="CS219" i="1"/>
  <c r="BZ99" i="1"/>
  <c r="CA101" i="1"/>
  <c r="CF131" i="1"/>
  <c r="CF130" i="1"/>
  <c r="CF132" i="1"/>
  <c r="CS238" i="1"/>
  <c r="CF123" i="1"/>
  <c r="CF122" i="1"/>
  <c r="CJ106" i="1"/>
  <c r="CF121" i="1"/>
  <c r="CQ285" i="1"/>
  <c r="CQ242" i="1"/>
  <c r="BA69" i="1"/>
  <c r="AW217" i="1"/>
  <c r="AX217" i="1" s="1"/>
  <c r="AX218" i="1" s="1"/>
  <c r="BP221" i="1"/>
  <c r="AT189" i="1"/>
  <c r="AT192" i="1" s="1"/>
  <c r="BJ189" i="1"/>
  <c r="BJ192" i="1" s="1"/>
  <c r="BR180" i="1"/>
  <c r="BR184" i="1" s="1"/>
  <c r="BL221" i="1"/>
  <c r="U95" i="1"/>
  <c r="BJ174" i="1"/>
  <c r="BK69" i="1"/>
  <c r="W95" i="1"/>
  <c r="D246" i="1"/>
  <c r="D247" i="1" s="1"/>
  <c r="X95" i="1"/>
  <c r="T95" i="1"/>
  <c r="BH184" i="1"/>
  <c r="AX184" i="1"/>
  <c r="AX193" i="1" s="1"/>
  <c r="AJ218" i="1"/>
  <c r="BE67" i="1"/>
  <c r="BP189" i="1"/>
  <c r="BP192" i="1" s="1"/>
  <c r="AV189" i="1"/>
  <c r="AV192" i="1" s="1"/>
  <c r="BF189" i="1"/>
  <c r="BF192" i="1" s="1"/>
  <c r="BV189" i="1"/>
  <c r="BV192" i="1" s="1"/>
  <c r="AZ189" i="1"/>
  <c r="AZ192" i="1" s="1"/>
  <c r="AJ180" i="1"/>
  <c r="AJ184" i="1" s="1"/>
  <c r="BD189" i="1"/>
  <c r="BD192" i="1" s="1"/>
  <c r="BT218" i="1"/>
  <c r="BB218" i="1"/>
  <c r="BX184" i="1"/>
  <c r="BX193" i="1" s="1"/>
  <c r="AX221" i="1"/>
  <c r="G246" i="1"/>
  <c r="G247" i="1" s="1"/>
  <c r="BD218" i="1"/>
  <c r="AN184" i="1"/>
  <c r="AN193" i="1" s="1"/>
  <c r="AP180" i="1"/>
  <c r="AP184" i="1" s="1"/>
  <c r="AV180" i="1"/>
  <c r="AV184" i="1" s="1"/>
  <c r="AP189" i="1"/>
  <c r="AP192" i="1" s="1"/>
  <c r="BJ218" i="1"/>
  <c r="AJ221" i="1"/>
  <c r="BV218" i="1"/>
  <c r="BT180" i="1"/>
  <c r="BT184" i="1" s="1"/>
  <c r="BB180" i="1"/>
  <c r="BB184" i="1" s="1"/>
  <c r="BL189" i="1"/>
  <c r="BL192" i="1" s="1"/>
  <c r="AZ218" i="1"/>
  <c r="BR221" i="1"/>
  <c r="BT221" i="1"/>
  <c r="BB221" i="1"/>
  <c r="BF184" i="1"/>
  <c r="BD70" i="1"/>
  <c r="BD74" i="1" s="1"/>
  <c r="BD268" i="1"/>
  <c r="BD269" i="1" s="1"/>
  <c r="BD184" i="1"/>
  <c r="BX218" i="1"/>
  <c r="BL184" i="1"/>
  <c r="BX221" i="1"/>
  <c r="BJ180" i="1"/>
  <c r="BJ184" i="1" s="1"/>
  <c r="AJ189" i="1"/>
  <c r="AJ192" i="1" s="1"/>
  <c r="AJ233" i="1" s="1"/>
  <c r="BV180" i="1"/>
  <c r="BV184" i="1" s="1"/>
  <c r="BP180" i="1"/>
  <c r="BP184" i="1" s="1"/>
  <c r="BH189" i="1"/>
  <c r="BH192" i="1" s="1"/>
  <c r="BN218" i="1"/>
  <c r="AZ180" i="1"/>
  <c r="AZ184" i="1" s="1"/>
  <c r="AT180" i="1"/>
  <c r="AT184" i="1" s="1"/>
  <c r="BR189" i="1"/>
  <c r="BR192" i="1" s="1"/>
  <c r="BT189" i="1"/>
  <c r="BT192" i="1" s="1"/>
  <c r="BB189" i="1"/>
  <c r="BB192" i="1" s="1"/>
  <c r="BN189" i="1"/>
  <c r="BN192" i="1" s="1"/>
  <c r="BC55" i="1"/>
  <c r="BC53" i="1"/>
  <c r="BC64" i="1"/>
  <c r="AU64" i="1"/>
  <c r="AU67" i="1" s="1"/>
  <c r="F246" i="1"/>
  <c r="F247" i="1" s="1"/>
  <c r="I246" i="1"/>
  <c r="I247" i="1" s="1"/>
  <c r="M246" i="1"/>
  <c r="M247" i="1" s="1"/>
  <c r="BD55" i="1"/>
  <c r="O246" i="1"/>
  <c r="O247" i="1" s="1"/>
  <c r="AY54" i="1"/>
  <c r="AU53" i="1"/>
  <c r="AU54" i="1"/>
  <c r="AN239" i="1"/>
  <c r="AN237" i="1" s="1"/>
  <c r="BD54" i="1"/>
  <c r="BA268" i="1"/>
  <c r="BA269" i="1" s="1"/>
  <c r="AZ55" i="1"/>
  <c r="AM91" i="1"/>
  <c r="AZ53" i="1"/>
  <c r="BA55" i="1"/>
  <c r="I249" i="1"/>
  <c r="BE66" i="1"/>
  <c r="BA70" i="1"/>
  <c r="BA74" i="1" s="1"/>
  <c r="AT65" i="1"/>
  <c r="AO237" i="1"/>
  <c r="C246" i="1"/>
  <c r="C247" i="1" s="1"/>
  <c r="AT70" i="1"/>
  <c r="AT74" i="1" s="1"/>
  <c r="BA286" i="1"/>
  <c r="BV54" i="1"/>
  <c r="U246" i="1"/>
  <c r="U247" i="1" s="1"/>
  <c r="J246" i="1"/>
  <c r="J247" i="1" s="1"/>
  <c r="BK64" i="1"/>
  <c r="BL262" i="1" s="1"/>
  <c r="BP66" i="1"/>
  <c r="AV55" i="1"/>
  <c r="I225" i="1"/>
  <c r="I226" i="1" s="1"/>
  <c r="BP65" i="1"/>
  <c r="AW65" i="1"/>
  <c r="BP268" i="1"/>
  <c r="BP269" i="1" s="1"/>
  <c r="J225" i="1"/>
  <c r="J226" i="1" s="1"/>
  <c r="K246" i="1"/>
  <c r="K247" i="1" s="1"/>
  <c r="S246" i="1"/>
  <c r="S247" i="1" s="1"/>
  <c r="V246" i="1"/>
  <c r="V247" i="1" s="1"/>
  <c r="BA67" i="1"/>
  <c r="BA66" i="1"/>
  <c r="BL55" i="1"/>
  <c r="E249" i="1"/>
  <c r="AT268" i="1"/>
  <c r="AT269" i="1" s="1"/>
  <c r="AW268" i="1"/>
  <c r="AW269" i="1" s="1"/>
  <c r="AW70" i="1"/>
  <c r="AW74" i="1" s="1"/>
  <c r="AT286" i="1"/>
  <c r="AT287" i="1" s="1"/>
  <c r="BI65" i="1"/>
  <c r="BK55" i="1"/>
  <c r="AM90" i="1"/>
  <c r="C249" i="1"/>
  <c r="B125" i="1"/>
  <c r="BS55" i="1"/>
  <c r="BV64" i="1"/>
  <c r="BV55" i="1"/>
  <c r="AP239" i="1"/>
  <c r="AP237" i="1" s="1"/>
  <c r="BI268" i="1"/>
  <c r="BI269" i="1" s="1"/>
  <c r="BO54" i="1"/>
  <c r="P246" i="1"/>
  <c r="P247" i="1" s="1"/>
  <c r="BI66" i="1"/>
  <c r="C122" i="1"/>
  <c r="C106" i="1"/>
  <c r="D106" i="1"/>
  <c r="AS286" i="1"/>
  <c r="BQ286" i="1"/>
  <c r="C121" i="1"/>
  <c r="BD66" i="1"/>
  <c r="BI70" i="1"/>
  <c r="BI74" i="1" s="1"/>
  <c r="BJ67" i="1"/>
  <c r="R225" i="1"/>
  <c r="R226" i="1" s="1"/>
  <c r="AS67" i="1"/>
  <c r="T249" i="1"/>
  <c r="BV53" i="1"/>
  <c r="BZ54" i="1"/>
  <c r="BF64" i="1"/>
  <c r="BF55" i="1"/>
  <c r="BJ54" i="1"/>
  <c r="BF53" i="1"/>
  <c r="AX69" i="1"/>
  <c r="H225" i="1"/>
  <c r="H226" i="1" s="1"/>
  <c r="BR64" i="1"/>
  <c r="BR55" i="1"/>
  <c r="BR53" i="1"/>
  <c r="AZ65" i="1"/>
  <c r="AZ268" i="1"/>
  <c r="AZ269" i="1" s="1"/>
  <c r="AZ70" i="1"/>
  <c r="AZ74" i="1" s="1"/>
  <c r="K249" i="1"/>
  <c r="R246" i="1"/>
  <c r="R247" i="1" s="1"/>
  <c r="N249" i="1"/>
  <c r="T246" i="1"/>
  <c r="T247" i="1" s="1"/>
  <c r="AQ55" i="1"/>
  <c r="AR69" i="1"/>
  <c r="BU65" i="1"/>
  <c r="BU268" i="1"/>
  <c r="BU269" i="1" s="1"/>
  <c r="BY66" i="1"/>
  <c r="BU70" i="1"/>
  <c r="BU74" i="1" s="1"/>
  <c r="BU21" i="1" s="1"/>
  <c r="K225" i="1"/>
  <c r="K226" i="1" s="1"/>
  <c r="BH64" i="1"/>
  <c r="BH53" i="1"/>
  <c r="BL54" i="1"/>
  <c r="BH54" i="1"/>
  <c r="BR69" i="1"/>
  <c r="BB54" i="1"/>
  <c r="AX55" i="1"/>
  <c r="AX53" i="1"/>
  <c r="AX54" i="1"/>
  <c r="AX64" i="1"/>
  <c r="BB69" i="1"/>
  <c r="BN54" i="1"/>
  <c r="BR54" i="1"/>
  <c r="BN64" i="1"/>
  <c r="BN53" i="1"/>
  <c r="BN55" i="1"/>
  <c r="AR268" i="1"/>
  <c r="AR269" i="1" s="1"/>
  <c r="BO55" i="1"/>
  <c r="BG55" i="1"/>
  <c r="BG54" i="1"/>
  <c r="BG53" i="1"/>
  <c r="BH55" i="1"/>
  <c r="BK54" i="1"/>
  <c r="BG64" i="1"/>
  <c r="AN64" i="1"/>
  <c r="AO55" i="1"/>
  <c r="AN54" i="1"/>
  <c r="AR54" i="1"/>
  <c r="AN55" i="1"/>
  <c r="AN53" i="1"/>
  <c r="AV64" i="1"/>
  <c r="AV53" i="1"/>
  <c r="AW55" i="1"/>
  <c r="AV54" i="1"/>
  <c r="AZ54" i="1"/>
  <c r="BW55" i="1"/>
  <c r="BW53" i="1"/>
  <c r="CA54" i="1"/>
  <c r="BX55" i="1"/>
  <c r="BW64" i="1"/>
  <c r="BU55" i="1"/>
  <c r="BT64" i="1"/>
  <c r="BT286" i="1" s="1"/>
  <c r="BX54" i="1"/>
  <c r="BT53" i="1"/>
  <c r="BT54" i="1"/>
  <c r="BX69" i="1"/>
  <c r="AR70" i="1"/>
  <c r="AR74" i="1" s="1"/>
  <c r="Q249" i="1"/>
  <c r="AY55" i="1"/>
  <c r="BI55" i="1"/>
  <c r="AO54" i="1"/>
  <c r="AO64" i="1"/>
  <c r="AO53" i="1"/>
  <c r="AS54" i="1"/>
  <c r="AV69" i="1"/>
  <c r="AQ64" i="1"/>
  <c r="AQ54" i="1"/>
  <c r="AQ53" i="1"/>
  <c r="AR55" i="1"/>
  <c r="BJ69" i="1"/>
  <c r="BB53" i="1"/>
  <c r="BB64" i="1"/>
  <c r="BF54" i="1"/>
  <c r="BB55" i="1"/>
  <c r="AZ239" i="1"/>
  <c r="AZ237" i="1" s="1"/>
  <c r="BS65" i="1"/>
  <c r="BS268" i="1"/>
  <c r="BS269" i="1" s="1"/>
  <c r="BS70" i="1"/>
  <c r="BJ77" i="1"/>
  <c r="BJ76" i="1"/>
  <c r="Q246" i="1"/>
  <c r="Q247" i="1" s="1"/>
  <c r="F225" i="1"/>
  <c r="F226" i="1" s="1"/>
  <c r="G225" i="1"/>
  <c r="G226" i="1" s="1"/>
  <c r="AY65" i="1"/>
  <c r="AY268" i="1"/>
  <c r="AY269" i="1" s="1"/>
  <c r="AY70" i="1"/>
  <c r="AY74" i="1" s="1"/>
  <c r="AZ286" i="1"/>
  <c r="AZ67" i="1"/>
  <c r="R249" i="1"/>
  <c r="H249" i="1"/>
  <c r="H246" i="1"/>
  <c r="H247" i="1" s="1"/>
  <c r="BP77" i="1"/>
  <c r="BP76" i="1"/>
  <c r="AB242" i="1"/>
  <c r="BE285" i="1" l="1"/>
  <c r="BB174" i="1"/>
  <c r="BC239" i="1" s="1"/>
  <c r="BC69" i="1"/>
  <c r="AV218" i="1"/>
  <c r="BA287" i="1"/>
  <c r="BQ67" i="1"/>
  <c r="BQ268" i="1"/>
  <c r="BQ269" i="1" s="1"/>
  <c r="BU66" i="1"/>
  <c r="AU202" i="1"/>
  <c r="AW201" i="1"/>
  <c r="AW202" i="1" s="1"/>
  <c r="BQ66" i="1"/>
  <c r="BM66" i="1"/>
  <c r="BM67" i="1"/>
  <c r="BM70" i="1"/>
  <c r="BM74" i="1" s="1"/>
  <c r="BM21" i="1" s="1"/>
  <c r="AY202" i="1"/>
  <c r="AO202" i="1"/>
  <c r="BK201" i="1"/>
  <c r="BK202" i="1" s="1"/>
  <c r="AS287" i="1"/>
  <c r="BW69" i="1"/>
  <c r="BV174" i="1"/>
  <c r="BV239" i="1" s="1"/>
  <c r="BV237" i="1" s="1"/>
  <c r="BG239" i="1"/>
  <c r="BG237" i="1" s="1"/>
  <c r="AQ201" i="1"/>
  <c r="BO201" i="1"/>
  <c r="BO202" i="1" s="1"/>
  <c r="BU201" i="1"/>
  <c r="BU202" i="1" s="1"/>
  <c r="BQ201" i="1"/>
  <c r="BK239" i="1"/>
  <c r="BK237" i="1" s="1"/>
  <c r="BC237" i="1"/>
  <c r="BQ287" i="1"/>
  <c r="BR174" i="1"/>
  <c r="BS69" i="1"/>
  <c r="AX174" i="1"/>
  <c r="AY69" i="1"/>
  <c r="AT174" i="1"/>
  <c r="AU69" i="1"/>
  <c r="BL174" i="1"/>
  <c r="BL239" i="1" s="1"/>
  <c r="BL237" i="1" s="1"/>
  <c r="BM69" i="1"/>
  <c r="AR174" i="1"/>
  <c r="AS69" i="1"/>
  <c r="BH174" i="1"/>
  <c r="BI69" i="1"/>
  <c r="BP174" i="1"/>
  <c r="BQ69" i="1"/>
  <c r="AS222" i="1"/>
  <c r="AS217" i="1"/>
  <c r="AT217" i="1" s="1"/>
  <c r="AT218" i="1" s="1"/>
  <c r="BF239" i="1"/>
  <c r="BF237" i="1" s="1"/>
  <c r="BE239" i="1"/>
  <c r="BE237" i="1" s="1"/>
  <c r="BO268" i="1"/>
  <c r="BO269" i="1" s="1"/>
  <c r="BP67" i="1"/>
  <c r="BO70" i="1"/>
  <c r="BO74" i="1" s="1"/>
  <c r="BO21" i="1" s="1"/>
  <c r="BG222" i="1"/>
  <c r="BG217" i="1"/>
  <c r="BH217" i="1" s="1"/>
  <c r="BH218" i="1" s="1"/>
  <c r="BH222" i="1" s="1"/>
  <c r="AU220" i="1"/>
  <c r="AV220" i="1" s="1"/>
  <c r="AV221" i="1" s="1"/>
  <c r="AV222" i="1" s="1"/>
  <c r="AU222" i="1"/>
  <c r="BI202" i="1"/>
  <c r="AZ287" i="1"/>
  <c r="BW201" i="1"/>
  <c r="BW202" i="1" s="1"/>
  <c r="BE201" i="1"/>
  <c r="BE202" i="1" s="1"/>
  <c r="BS201" i="1"/>
  <c r="BS202" i="1" s="1"/>
  <c r="V96" i="1"/>
  <c r="BM201" i="1"/>
  <c r="BM202" i="1" s="1"/>
  <c r="BO65" i="1"/>
  <c r="BQ65" i="1"/>
  <c r="BP286" i="1"/>
  <c r="BP287" i="1" s="1"/>
  <c r="BS66" i="1"/>
  <c r="BT287" i="1"/>
  <c r="AR221" i="1"/>
  <c r="AR222" i="1" s="1"/>
  <c r="AR225" i="1" s="1"/>
  <c r="BN193" i="1"/>
  <c r="CI126" i="1"/>
  <c r="AR193" i="1"/>
  <c r="CO36" i="1"/>
  <c r="CO44" i="1"/>
  <c r="BE287" i="1"/>
  <c r="AP67" i="1"/>
  <c r="BM286" i="1"/>
  <c r="BM287" i="1" s="1"/>
  <c r="BM268" i="1"/>
  <c r="BM269" i="1" s="1"/>
  <c r="BM65" i="1"/>
  <c r="BM222" i="1"/>
  <c r="BM220" i="1"/>
  <c r="BN220" i="1" s="1"/>
  <c r="BN221" i="1" s="1"/>
  <c r="BN222" i="1" s="1"/>
  <c r="BD193" i="1"/>
  <c r="BL193" i="1"/>
  <c r="S96" i="1"/>
  <c r="AZ222" i="1"/>
  <c r="AI65" i="1"/>
  <c r="AM66" i="1"/>
  <c r="AI70" i="1"/>
  <c r="N96" i="1"/>
  <c r="AL262" i="1"/>
  <c r="AI268" i="1"/>
  <c r="AI269" i="1" s="1"/>
  <c r="AJ67" i="1"/>
  <c r="AL148" i="1"/>
  <c r="BE77" i="1"/>
  <c r="BE76" i="1"/>
  <c r="AS76" i="1"/>
  <c r="AS77" i="1"/>
  <c r="BC66" i="1"/>
  <c r="BC268" i="1"/>
  <c r="BC269" i="1" s="1"/>
  <c r="AP222" i="1"/>
  <c r="BP222" i="1"/>
  <c r="BR222" i="1"/>
  <c r="BF222" i="1"/>
  <c r="AT193" i="1"/>
  <c r="BD222" i="1"/>
  <c r="BJ222" i="1"/>
  <c r="BJ193" i="1"/>
  <c r="AS148" i="1"/>
  <c r="AT66" i="1"/>
  <c r="AP65" i="1"/>
  <c r="AP268" i="1"/>
  <c r="AP269" i="1" s="1"/>
  <c r="AP70" i="1"/>
  <c r="AP74" i="1" s="1"/>
  <c r="DA53" i="1"/>
  <c r="AV193" i="1"/>
  <c r="AX222" i="1"/>
  <c r="BL222" i="1"/>
  <c r="BV222" i="1"/>
  <c r="BZ225" i="1" s="1"/>
  <c r="BY99" i="1"/>
  <c r="BZ101" i="1"/>
  <c r="CH146" i="1"/>
  <c r="CH149" i="1" s="1"/>
  <c r="CH147" i="1"/>
  <c r="CH150" i="1" s="1"/>
  <c r="CU176" i="1"/>
  <c r="CV176" i="1" s="1"/>
  <c r="CT219" i="1"/>
  <c r="CS221" i="1"/>
  <c r="CT101" i="1"/>
  <c r="CU99" i="1"/>
  <c r="CB138" i="1"/>
  <c r="CB139" i="1"/>
  <c r="CB140" i="1"/>
  <c r="AC160" i="1"/>
  <c r="CT160" i="1"/>
  <c r="CS164" i="1"/>
  <c r="AC238" i="1"/>
  <c r="CR217" i="1"/>
  <c r="CQ218" i="1"/>
  <c r="CQ222" i="1" s="1"/>
  <c r="CI106" i="1"/>
  <c r="CE121" i="1"/>
  <c r="CE123" i="1"/>
  <c r="CE122" i="1"/>
  <c r="CH126" i="1" s="1"/>
  <c r="CT215" i="1"/>
  <c r="CR285" i="1"/>
  <c r="CR242" i="1"/>
  <c r="CA143" i="1"/>
  <c r="CA144" i="1"/>
  <c r="CA135" i="1"/>
  <c r="CA128" i="1"/>
  <c r="CA102" i="1"/>
  <c r="CD105" i="1" s="1"/>
  <c r="CT238" i="1"/>
  <c r="BR193" i="1"/>
  <c r="BJ239" i="1"/>
  <c r="BJ237" i="1" s="1"/>
  <c r="BF193" i="1"/>
  <c r="BX222" i="1"/>
  <c r="CB225" i="1" s="1"/>
  <c r="BT222" i="1"/>
  <c r="AP193" i="1"/>
  <c r="BA262" i="1"/>
  <c r="R96" i="1"/>
  <c r="T96" i="1"/>
  <c r="BD67" i="1"/>
  <c r="BK67" i="1"/>
  <c r="U96" i="1"/>
  <c r="BV193" i="1"/>
  <c r="BS262" i="1"/>
  <c r="W96" i="1"/>
  <c r="BV286" i="1"/>
  <c r="BV287" i="1" s="1"/>
  <c r="X96" i="1"/>
  <c r="BB222" i="1"/>
  <c r="AJ222" i="1"/>
  <c r="BB193" i="1"/>
  <c r="BT193" i="1"/>
  <c r="BH193" i="1"/>
  <c r="BK148" i="1"/>
  <c r="AZ193" i="1"/>
  <c r="BP193" i="1"/>
  <c r="AJ193" i="1"/>
  <c r="AJ232" i="1"/>
  <c r="AJ234" i="1" s="1"/>
  <c r="AJ235" i="1" s="1"/>
  <c r="AU148" i="1"/>
  <c r="AU262" i="1"/>
  <c r="AU65" i="1"/>
  <c r="BK70" i="1"/>
  <c r="BK74" i="1" s="1"/>
  <c r="BK21" i="1" s="1"/>
  <c r="AU268" i="1"/>
  <c r="AU269" i="1" s="1"/>
  <c r="BT262" i="1"/>
  <c r="BK268" i="1"/>
  <c r="BK269" i="1" s="1"/>
  <c r="BV67" i="1"/>
  <c r="AY66" i="1"/>
  <c r="AU286" i="1"/>
  <c r="AU287" i="1" s="1"/>
  <c r="BD239" i="1"/>
  <c r="BD237" i="1" s="1"/>
  <c r="BV65" i="1"/>
  <c r="BC70" i="1"/>
  <c r="BC74" i="1" s="1"/>
  <c r="BC76" i="1" s="1"/>
  <c r="AU70" i="1"/>
  <c r="AU74" i="1" s="1"/>
  <c r="AU77" i="1" s="1"/>
  <c r="AV262" i="1"/>
  <c r="AW262" i="1"/>
  <c r="BC65" i="1"/>
  <c r="BC67" i="1"/>
  <c r="BG66" i="1"/>
  <c r="BD286" i="1"/>
  <c r="BD287" i="1" s="1"/>
  <c r="BW239" i="1"/>
  <c r="BW237" i="1" s="1"/>
  <c r="BF262" i="1"/>
  <c r="AU66" i="1"/>
  <c r="BL286" i="1"/>
  <c r="BL287" i="1" s="1"/>
  <c r="BL67" i="1"/>
  <c r="AQ286" i="1"/>
  <c r="AQ287" i="1" s="1"/>
  <c r="BO66" i="1"/>
  <c r="BM148" i="1"/>
  <c r="BV70" i="1"/>
  <c r="BV74" i="1" s="1"/>
  <c r="BX262" i="1"/>
  <c r="BV66" i="1"/>
  <c r="BK286" i="1"/>
  <c r="BK287" i="1" s="1"/>
  <c r="BK65" i="1"/>
  <c r="BS286" i="1"/>
  <c r="BS287" i="1" s="1"/>
  <c r="BL148" i="1"/>
  <c r="BM262" i="1"/>
  <c r="AQ67" i="1"/>
  <c r="BK66" i="1"/>
  <c r="AV67" i="1"/>
  <c r="BZ66" i="1"/>
  <c r="BV268" i="1"/>
  <c r="BV269" i="1" s="1"/>
  <c r="BS148" i="1"/>
  <c r="BF148" i="1"/>
  <c r="AW148" i="1"/>
  <c r="AV286" i="1"/>
  <c r="AV287" i="1" s="1"/>
  <c r="AS262" i="1"/>
  <c r="AW239" i="1"/>
  <c r="AW237" i="1" s="1"/>
  <c r="BF65" i="1"/>
  <c r="BF67" i="1"/>
  <c r="BF286" i="1"/>
  <c r="BF287" i="1" s="1"/>
  <c r="BF268" i="1"/>
  <c r="BF269" i="1" s="1"/>
  <c r="BJ66" i="1"/>
  <c r="BF70" i="1"/>
  <c r="BF74" i="1" s="1"/>
  <c r="AX262" i="1"/>
  <c r="AQ262" i="1"/>
  <c r="AZ77" i="1"/>
  <c r="AZ76" i="1"/>
  <c r="BV262" i="1"/>
  <c r="BR286" i="1"/>
  <c r="BR287" i="1" s="1"/>
  <c r="BR65" i="1"/>
  <c r="BR67" i="1"/>
  <c r="BS67" i="1"/>
  <c r="BR262" i="1"/>
  <c r="BR268" i="1"/>
  <c r="BR269" i="1" s="1"/>
  <c r="BR148" i="1"/>
  <c r="BR70" i="1"/>
  <c r="BN148" i="1"/>
  <c r="BN262" i="1"/>
  <c r="BA148" i="1"/>
  <c r="AX148" i="1"/>
  <c r="AY148" i="1"/>
  <c r="AY262" i="1"/>
  <c r="AY67" i="1"/>
  <c r="AY286" i="1"/>
  <c r="AY287" i="1" s="1"/>
  <c r="AZ148" i="1"/>
  <c r="BV148" i="1"/>
  <c r="AQ148" i="1"/>
  <c r="BT148" i="1"/>
  <c r="BT67" i="1"/>
  <c r="AR262" i="1"/>
  <c r="AP262" i="1"/>
  <c r="AP286" i="1"/>
  <c r="AP287" i="1" s="1"/>
  <c r="AP148" i="1"/>
  <c r="BK262" i="1"/>
  <c r="BX148" i="1"/>
  <c r="AQ239" i="1"/>
  <c r="AQ237" i="1" s="1"/>
  <c r="AV148" i="1"/>
  <c r="BU77" i="1"/>
  <c r="BU76" i="1"/>
  <c r="BB239" i="1"/>
  <c r="BB237" i="1" s="1"/>
  <c r="BA239" i="1"/>
  <c r="BA237" i="1" s="1"/>
  <c r="BD262" i="1"/>
  <c r="BC148" i="1"/>
  <c r="BC262" i="1"/>
  <c r="BB262" i="1"/>
  <c r="AV70" i="1"/>
  <c r="AZ66" i="1"/>
  <c r="AV65" i="1"/>
  <c r="AV268" i="1"/>
  <c r="AV269" i="1" s="1"/>
  <c r="AW286" i="1"/>
  <c r="AW287" i="1" s="1"/>
  <c r="AW67" i="1"/>
  <c r="BG65" i="1"/>
  <c r="BH262" i="1"/>
  <c r="BG148" i="1"/>
  <c r="BJ148" i="1"/>
  <c r="BG286" i="1"/>
  <c r="BG287" i="1" s="1"/>
  <c r="BI262" i="1"/>
  <c r="BG70" i="1"/>
  <c r="BI148" i="1"/>
  <c r="BG268" i="1"/>
  <c r="BG269" i="1" s="1"/>
  <c r="BH148" i="1"/>
  <c r="BJ262" i="1"/>
  <c r="BH67" i="1"/>
  <c r="BG262" i="1"/>
  <c r="BG67" i="1"/>
  <c r="BL66" i="1"/>
  <c r="BH65" i="1"/>
  <c r="BH70" i="1"/>
  <c r="BH74" i="1" s="1"/>
  <c r="BH268" i="1"/>
  <c r="BH269" i="1" s="1"/>
  <c r="BH286" i="1"/>
  <c r="BH287" i="1" s="1"/>
  <c r="BH66" i="1"/>
  <c r="BI286" i="1"/>
  <c r="BI287" i="1" s="1"/>
  <c r="BI67" i="1"/>
  <c r="AV239" i="1"/>
  <c r="AV237" i="1" s="1"/>
  <c r="BW66" i="1"/>
  <c r="AN286" i="1"/>
  <c r="AN287" i="1" s="1"/>
  <c r="AN70" i="1"/>
  <c r="AO262" i="1"/>
  <c r="AN67" i="1"/>
  <c r="AN65" i="1"/>
  <c r="AN268" i="1"/>
  <c r="AN269" i="1" s="1"/>
  <c r="AN262" i="1"/>
  <c r="AR66" i="1"/>
  <c r="AO148" i="1"/>
  <c r="AN148" i="1"/>
  <c r="AO67" i="1"/>
  <c r="AN66" i="1"/>
  <c r="BW67" i="1"/>
  <c r="BN70" i="1"/>
  <c r="BP262" i="1"/>
  <c r="BO262" i="1"/>
  <c r="BR66" i="1"/>
  <c r="BQ148" i="1"/>
  <c r="BN65" i="1"/>
  <c r="BO67" i="1"/>
  <c r="BN67" i="1"/>
  <c r="BN268" i="1"/>
  <c r="BN269" i="1" s="1"/>
  <c r="BO286" i="1"/>
  <c r="BO287" i="1" s="1"/>
  <c r="BN286" i="1"/>
  <c r="BN287" i="1" s="1"/>
  <c r="BN66" i="1"/>
  <c r="BP148" i="1"/>
  <c r="BQ262" i="1"/>
  <c r="BO148" i="1"/>
  <c r="AX286" i="1"/>
  <c r="AX287" i="1" s="1"/>
  <c r="AX268" i="1"/>
  <c r="AX269" i="1" s="1"/>
  <c r="AX66" i="1"/>
  <c r="BB66" i="1"/>
  <c r="AZ262" i="1"/>
  <c r="AX70" i="1"/>
  <c r="AX67" i="1"/>
  <c r="AX65" i="1"/>
  <c r="BB70" i="1"/>
  <c r="BF66" i="1"/>
  <c r="BB268" i="1"/>
  <c r="BB269" i="1" s="1"/>
  <c r="BB148" i="1"/>
  <c r="BD148" i="1"/>
  <c r="BB65" i="1"/>
  <c r="BB286" i="1"/>
  <c r="BB287" i="1" s="1"/>
  <c r="BB67" i="1"/>
  <c r="BW262" i="1"/>
  <c r="BW268" i="1"/>
  <c r="BW269" i="1" s="1"/>
  <c r="BX67" i="1"/>
  <c r="BW65" i="1"/>
  <c r="BZ148" i="1"/>
  <c r="BZ262" i="1"/>
  <c r="BW286" i="1"/>
  <c r="BW287" i="1" s="1"/>
  <c r="BW70" i="1"/>
  <c r="BY148" i="1"/>
  <c r="CA66" i="1"/>
  <c r="BX286" i="1"/>
  <c r="BX287" i="1" s="1"/>
  <c r="BY262" i="1"/>
  <c r="BC286" i="1"/>
  <c r="BC287" i="1" s="1"/>
  <c r="BE262" i="1"/>
  <c r="BE148" i="1"/>
  <c r="AQ65" i="1"/>
  <c r="AT262" i="1"/>
  <c r="AQ268" i="1"/>
  <c r="AQ269" i="1" s="1"/>
  <c r="AQ70" i="1"/>
  <c r="AQ66" i="1"/>
  <c r="AR67" i="1"/>
  <c r="AR286" i="1"/>
  <c r="AR287" i="1" s="1"/>
  <c r="AT148" i="1"/>
  <c r="AO268" i="1"/>
  <c r="AO269" i="1" s="1"/>
  <c r="AO70" i="1"/>
  <c r="AO74" i="1" s="1"/>
  <c r="AO76" i="1" s="1"/>
  <c r="AR148" i="1"/>
  <c r="AO286" i="1"/>
  <c r="AO287" i="1" s="1"/>
  <c r="AO66" i="1"/>
  <c r="AS66" i="1"/>
  <c r="AO65" i="1"/>
  <c r="AR77" i="1"/>
  <c r="AR76" i="1"/>
  <c r="BT70" i="1"/>
  <c r="BU286" i="1"/>
  <c r="BU287" i="1" s="1"/>
  <c r="BT65" i="1"/>
  <c r="BX66" i="1"/>
  <c r="BU67" i="1"/>
  <c r="BT268" i="1"/>
  <c r="BT269" i="1" s="1"/>
  <c r="BT66" i="1"/>
  <c r="BW148" i="1"/>
  <c r="BU148" i="1"/>
  <c r="AV66" i="1"/>
  <c r="AY76" i="1"/>
  <c r="AY77" i="1"/>
  <c r="BJ270" i="1"/>
  <c r="BJ78" i="1"/>
  <c r="BJ281" i="1" s="1"/>
  <c r="BJ84" i="1"/>
  <c r="BJ155" i="1" s="1"/>
  <c r="BJ156" i="1" s="1"/>
  <c r="BS74" i="1"/>
  <c r="BS21" i="1" s="1"/>
  <c r="BI76" i="1"/>
  <c r="BI77" i="1"/>
  <c r="BP78" i="1"/>
  <c r="BP281" i="1" s="1"/>
  <c r="BP270" i="1"/>
  <c r="BP79" i="1"/>
  <c r="BP84" i="1"/>
  <c r="BP155" i="1" s="1"/>
  <c r="BP156" i="1" s="1"/>
  <c r="BQ76" i="1"/>
  <c r="BQ77" i="1"/>
  <c r="BA77" i="1"/>
  <c r="BA76" i="1"/>
  <c r="AW76" i="1"/>
  <c r="AW77" i="1"/>
  <c r="BD76" i="1"/>
  <c r="BD77" i="1"/>
  <c r="BM76" i="1"/>
  <c r="BM77" i="1"/>
  <c r="AT77" i="1"/>
  <c r="AT76" i="1"/>
  <c r="BO77" i="1"/>
  <c r="BO76" i="1"/>
  <c r="BQ202" i="1" l="1"/>
  <c r="AQ202" i="1"/>
  <c r="BM239" i="1"/>
  <c r="BM237" i="1" s="1"/>
  <c r="AT222" i="1"/>
  <c r="BS239" i="1"/>
  <c r="BS237" i="1" s="1"/>
  <c r="BR239" i="1"/>
  <c r="BR237" i="1" s="1"/>
  <c r="AY239" i="1"/>
  <c r="AY237" i="1" s="1"/>
  <c r="AX239" i="1"/>
  <c r="AX237" i="1" s="1"/>
  <c r="AU239" i="1"/>
  <c r="AU237" i="1" s="1"/>
  <c r="AT239" i="1"/>
  <c r="AT237" i="1" s="1"/>
  <c r="AS239" i="1"/>
  <c r="AS237" i="1" s="1"/>
  <c r="AR239" i="1"/>
  <c r="AR237" i="1" s="1"/>
  <c r="BH239" i="1"/>
  <c r="BH237" i="1" s="1"/>
  <c r="BI239" i="1"/>
  <c r="BI237" i="1" s="1"/>
  <c r="BP239" i="1"/>
  <c r="BP237" i="1" s="1"/>
  <c r="BQ239" i="1"/>
  <c r="BQ237" i="1" s="1"/>
  <c r="AX225" i="1"/>
  <c r="BR225" i="1"/>
  <c r="BJ225" i="1"/>
  <c r="AV225" i="1"/>
  <c r="AB36" i="1"/>
  <c r="CO37" i="1"/>
  <c r="CP33" i="1"/>
  <c r="CP35" i="1" s="1"/>
  <c r="BV77" i="1"/>
  <c r="BV80" i="1" s="1"/>
  <c r="BV21" i="1"/>
  <c r="BL225" i="1"/>
  <c r="AI74" i="1"/>
  <c r="AI76" i="1" s="1"/>
  <c r="AL91" i="1"/>
  <c r="BN225" i="1"/>
  <c r="AZ225" i="1"/>
  <c r="BP225" i="1"/>
  <c r="BT225" i="1"/>
  <c r="AS84" i="1"/>
  <c r="AS270" i="1"/>
  <c r="AS78" i="1"/>
  <c r="AS281" i="1" s="1"/>
  <c r="BE78" i="1"/>
  <c r="BE281" i="1" s="1"/>
  <c r="BE84" i="1"/>
  <c r="BE270" i="1"/>
  <c r="AT225" i="1"/>
  <c r="AP225" i="1"/>
  <c r="BH225" i="1"/>
  <c r="BD225" i="1"/>
  <c r="AP76" i="1"/>
  <c r="AP77" i="1"/>
  <c r="BB225" i="1"/>
  <c r="BF225" i="1"/>
  <c r="BK77" i="1"/>
  <c r="BK76" i="1"/>
  <c r="BV225" i="1"/>
  <c r="CV99" i="1"/>
  <c r="CU101" i="1"/>
  <c r="CV238" i="1"/>
  <c r="CW176" i="1"/>
  <c r="CD121" i="1"/>
  <c r="CD123" i="1"/>
  <c r="CD122" i="1"/>
  <c r="CG126" i="1" s="1"/>
  <c r="CH106" i="1"/>
  <c r="BZ125" i="1"/>
  <c r="CS217" i="1"/>
  <c r="CR218" i="1"/>
  <c r="CR222" i="1" s="1"/>
  <c r="CU238" i="1"/>
  <c r="CA130" i="1"/>
  <c r="CA131" i="1"/>
  <c r="CA132" i="1"/>
  <c r="CS285" i="1"/>
  <c r="CS242" i="1"/>
  <c r="BZ143" i="1"/>
  <c r="BZ144" i="1"/>
  <c r="BZ102" i="1"/>
  <c r="CC105" i="1" s="1"/>
  <c r="BZ128" i="1"/>
  <c r="BZ135" i="1"/>
  <c r="CA140" i="1"/>
  <c r="CA138" i="1"/>
  <c r="CA139" i="1"/>
  <c r="CU215" i="1"/>
  <c r="CT164" i="1"/>
  <c r="CU160" i="1"/>
  <c r="CT221" i="1"/>
  <c r="CU219" i="1"/>
  <c r="BX99" i="1"/>
  <c r="BY101" i="1"/>
  <c r="BC77" i="1"/>
  <c r="BC79" i="1" s="1"/>
  <c r="BL91" i="1"/>
  <c r="BX225" i="1"/>
  <c r="BP165" i="1"/>
  <c r="BP91" i="1" s="1"/>
  <c r="BJ165" i="1"/>
  <c r="BJ91" i="1" s="1"/>
  <c r="AJ249" i="1"/>
  <c r="AJ246" i="1"/>
  <c r="AU76" i="1"/>
  <c r="BV76" i="1"/>
  <c r="BF76" i="1"/>
  <c r="BF77" i="1"/>
  <c r="AZ270" i="1"/>
  <c r="AZ84" i="1"/>
  <c r="AZ155" i="1" s="1"/>
  <c r="AZ156" i="1" s="1"/>
  <c r="AZ78" i="1"/>
  <c r="AZ281" i="1" s="1"/>
  <c r="BR74" i="1"/>
  <c r="BR21" i="1" s="1"/>
  <c r="AO77" i="1"/>
  <c r="BU78" i="1"/>
  <c r="BU281" i="1" s="1"/>
  <c r="BU270" i="1"/>
  <c r="BU84" i="1"/>
  <c r="BY79" i="1"/>
  <c r="AS80" i="1"/>
  <c r="AR78" i="1"/>
  <c r="AR281" i="1" s="1"/>
  <c r="AR84" i="1"/>
  <c r="AR155" i="1" s="1"/>
  <c r="AR156" i="1" s="1"/>
  <c r="AR270" i="1"/>
  <c r="AX74" i="1"/>
  <c r="BN74" i="1"/>
  <c r="BN21" i="1" s="1"/>
  <c r="BH77" i="1"/>
  <c r="BI80" i="1" s="1"/>
  <c r="BH76" i="1"/>
  <c r="AQ74" i="1"/>
  <c r="BX91" i="1"/>
  <c r="BZ91" i="1"/>
  <c r="BW74" i="1"/>
  <c r="BW21" i="1" s="1"/>
  <c r="BB74" i="1"/>
  <c r="AN74" i="1"/>
  <c r="AV74" i="1"/>
  <c r="BT74" i="1"/>
  <c r="BT21" i="1" s="1"/>
  <c r="BY91" i="1"/>
  <c r="BG74" i="1"/>
  <c r="BS76" i="1"/>
  <c r="BS77" i="1"/>
  <c r="BS79" i="1" s="1"/>
  <c r="AU78" i="1"/>
  <c r="AU281" i="1" s="1"/>
  <c r="AU270" i="1"/>
  <c r="AY79" i="1"/>
  <c r="AU84" i="1"/>
  <c r="AZ80" i="1"/>
  <c r="AY84" i="1"/>
  <c r="AY270" i="1"/>
  <c r="AY78" i="1"/>
  <c r="AY281" i="1" s="1"/>
  <c r="BJ88" i="1"/>
  <c r="BJ229" i="1"/>
  <c r="BJ231" i="1" s="1"/>
  <c r="BI78" i="1"/>
  <c r="BI281" i="1" s="1"/>
  <c r="BJ80" i="1"/>
  <c r="BI270" i="1"/>
  <c r="BI84" i="1"/>
  <c r="BI79" i="1"/>
  <c r="BP229" i="1"/>
  <c r="BP231" i="1" s="1"/>
  <c r="BP88" i="1"/>
  <c r="BU79" i="1"/>
  <c r="BQ80" i="1"/>
  <c r="BQ78" i="1"/>
  <c r="BQ281" i="1" s="1"/>
  <c r="BQ84" i="1"/>
  <c r="BQ270" i="1"/>
  <c r="BO270" i="1"/>
  <c r="BO78" i="1"/>
  <c r="BO281" i="1" s="1"/>
  <c r="BO84" i="1"/>
  <c r="BP80" i="1"/>
  <c r="BD84" i="1"/>
  <c r="BD155" i="1" s="1"/>
  <c r="BD156" i="1" s="1"/>
  <c r="BD270" i="1"/>
  <c r="BD78" i="1"/>
  <c r="BD281" i="1" s="1"/>
  <c r="BD79" i="1"/>
  <c r="BE80" i="1"/>
  <c r="AT84" i="1"/>
  <c r="AT270" i="1"/>
  <c r="AT78" i="1"/>
  <c r="AT281" i="1" s="1"/>
  <c r="AT80" i="1"/>
  <c r="AU263" i="1"/>
  <c r="AU80" i="1"/>
  <c r="BM84" i="1"/>
  <c r="BM79" i="1"/>
  <c r="BM80" i="1"/>
  <c r="BM270" i="1"/>
  <c r="BQ79" i="1"/>
  <c r="BM78" i="1"/>
  <c r="BM281" i="1" s="1"/>
  <c r="BA270" i="1"/>
  <c r="BA78" i="1"/>
  <c r="BA281" i="1" s="1"/>
  <c r="BA80" i="1"/>
  <c r="BA84" i="1"/>
  <c r="BE79" i="1"/>
  <c r="AW84" i="1"/>
  <c r="AW270" i="1"/>
  <c r="AW78" i="1"/>
  <c r="AW281" i="1" s="1"/>
  <c r="BA79" i="1"/>
  <c r="AW79" i="1"/>
  <c r="BE91" i="1"/>
  <c r="AS91" i="1"/>
  <c r="U97" i="1" l="1"/>
  <c r="BK84" i="1"/>
  <c r="BK78" i="1"/>
  <c r="BK281" i="1" s="1"/>
  <c r="BL80" i="1"/>
  <c r="BK270" i="1"/>
  <c r="BM263" i="1"/>
  <c r="BZ79" i="1"/>
  <c r="AI77" i="1"/>
  <c r="BL263" i="1"/>
  <c r="BV270" i="1"/>
  <c r="BV84" i="1"/>
  <c r="BV88" i="1" s="1"/>
  <c r="CP36" i="1"/>
  <c r="CP44" i="1"/>
  <c r="BV78" i="1"/>
  <c r="BV281" i="1" s="1"/>
  <c r="AB37" i="1"/>
  <c r="AC33" i="1"/>
  <c r="AS229" i="1"/>
  <c r="AS231" i="1" s="1"/>
  <c r="AS88" i="1"/>
  <c r="AP80" i="1"/>
  <c r="BE243" i="1"/>
  <c r="BE241" i="1" s="1"/>
  <c r="AT79" i="1"/>
  <c r="AP84" i="1"/>
  <c r="AP79" i="1"/>
  <c r="AP78" i="1"/>
  <c r="AP281" i="1" s="1"/>
  <c r="AP270" i="1"/>
  <c r="BK80" i="1"/>
  <c r="BO79" i="1"/>
  <c r="BE88" i="1"/>
  <c r="BE229" i="1"/>
  <c r="BE231" i="1" s="1"/>
  <c r="BC78" i="1"/>
  <c r="BC281" i="1" s="1"/>
  <c r="BC270" i="1"/>
  <c r="BC84" i="1"/>
  <c r="BD80" i="1"/>
  <c r="CV160" i="1"/>
  <c r="CU164" i="1"/>
  <c r="CT285" i="1"/>
  <c r="CT242" i="1"/>
  <c r="BZ139" i="1"/>
  <c r="BZ138" i="1"/>
  <c r="BZ140" i="1"/>
  <c r="AD176" i="1"/>
  <c r="AD238" i="1" s="1"/>
  <c r="CX176" i="1"/>
  <c r="CV101" i="1"/>
  <c r="CW99" i="1"/>
  <c r="BY102" i="1"/>
  <c r="CB105" i="1" s="1"/>
  <c r="BY128" i="1"/>
  <c r="BY144" i="1"/>
  <c r="BY143" i="1"/>
  <c r="BY135" i="1"/>
  <c r="CU221" i="1"/>
  <c r="CV219" i="1"/>
  <c r="BZ131" i="1"/>
  <c r="BZ130" i="1"/>
  <c r="BZ132" i="1"/>
  <c r="CW238" i="1"/>
  <c r="BW99" i="1"/>
  <c r="BX101" i="1"/>
  <c r="CV215" i="1"/>
  <c r="CC122" i="1"/>
  <c r="CF126" i="1" s="1"/>
  <c r="CC121" i="1"/>
  <c r="CG106" i="1"/>
  <c r="BY125" i="1"/>
  <c r="CC123" i="1"/>
  <c r="CT217" i="1"/>
  <c r="CS218" i="1"/>
  <c r="CS222" i="1" s="1"/>
  <c r="BF263" i="1"/>
  <c r="AR165" i="1"/>
  <c r="AR91" i="1" s="1"/>
  <c r="AZ165" i="1"/>
  <c r="AZ91" i="1" s="1"/>
  <c r="BD165" i="1"/>
  <c r="BD91" i="1" s="1"/>
  <c r="AJ196" i="1"/>
  <c r="AJ197" i="1" s="1"/>
  <c r="AJ247" i="1" s="1"/>
  <c r="AT155" i="1"/>
  <c r="AT156" i="1" s="1"/>
  <c r="AT243" i="1" s="1"/>
  <c r="AT241" i="1" s="1"/>
  <c r="AS243" i="1"/>
  <c r="AS241" i="1" s="1"/>
  <c r="AO84" i="1"/>
  <c r="AO229" i="1" s="1"/>
  <c r="AO231" i="1" s="1"/>
  <c r="BK263" i="1"/>
  <c r="BF84" i="1"/>
  <c r="BF155" i="1" s="1"/>
  <c r="BF156" i="1" s="1"/>
  <c r="BF270" i="1"/>
  <c r="BF80" i="1"/>
  <c r="BF78" i="1"/>
  <c r="BF281" i="1" s="1"/>
  <c r="BJ79" i="1"/>
  <c r="AZ88" i="1"/>
  <c r="AZ229" i="1"/>
  <c r="AZ231" i="1" s="1"/>
  <c r="BR77" i="1"/>
  <c r="BR76" i="1"/>
  <c r="AO79" i="1"/>
  <c r="BH79" i="1"/>
  <c r="AO270" i="1"/>
  <c r="AS79" i="1"/>
  <c r="AO78" i="1"/>
  <c r="AO281" i="1" s="1"/>
  <c r="BU229" i="1"/>
  <c r="BU231" i="1" s="1"/>
  <c r="BU88" i="1"/>
  <c r="BW77" i="1"/>
  <c r="X97" i="1" s="1"/>
  <c r="BW76" i="1"/>
  <c r="BN77" i="1"/>
  <c r="V97" i="1" s="1"/>
  <c r="BN76" i="1"/>
  <c r="AQ77" i="1"/>
  <c r="AQ76" i="1"/>
  <c r="AR88" i="1"/>
  <c r="AR229" i="1"/>
  <c r="AR231" i="1" s="1"/>
  <c r="BT77" i="1"/>
  <c r="BT76" i="1"/>
  <c r="AV76" i="1"/>
  <c r="AV77" i="1"/>
  <c r="AN77" i="1"/>
  <c r="AN76" i="1"/>
  <c r="BH84" i="1"/>
  <c r="BH155" i="1" s="1"/>
  <c r="BH156" i="1" s="1"/>
  <c r="BL79" i="1"/>
  <c r="BH270" i="1"/>
  <c r="BH78" i="1"/>
  <c r="BH281" i="1" s="1"/>
  <c r="AX77" i="1"/>
  <c r="R97" i="1" s="1"/>
  <c r="AX76" i="1"/>
  <c r="BG76" i="1"/>
  <c r="BG77" i="1"/>
  <c r="T97" i="1" s="1"/>
  <c r="BB77" i="1"/>
  <c r="S97" i="1" s="1"/>
  <c r="BB76" i="1"/>
  <c r="AY229" i="1"/>
  <c r="AY231" i="1" s="1"/>
  <c r="AY88" i="1"/>
  <c r="AU88" i="1"/>
  <c r="AU229" i="1"/>
  <c r="AU231" i="1" s="1"/>
  <c r="AI78" i="1"/>
  <c r="AI270" i="1"/>
  <c r="AJ80" i="1"/>
  <c r="AM79" i="1"/>
  <c r="BD243" i="1"/>
  <c r="BD241" i="1" s="1"/>
  <c r="BS270" i="1"/>
  <c r="BS78" i="1"/>
  <c r="BS281" i="1" s="1"/>
  <c r="BS84" i="1"/>
  <c r="BI229" i="1"/>
  <c r="BI231" i="1" s="1"/>
  <c r="BI88" i="1"/>
  <c r="BL90" i="1"/>
  <c r="BQ229" i="1"/>
  <c r="BQ231" i="1" s="1"/>
  <c r="BQ88" i="1"/>
  <c r="BM229" i="1"/>
  <c r="BM231" i="1" s="1"/>
  <c r="BM88" i="1"/>
  <c r="AT229" i="1"/>
  <c r="AT231" i="1" s="1"/>
  <c r="AT88" i="1"/>
  <c r="AW229" i="1"/>
  <c r="AW231" i="1" s="1"/>
  <c r="AW88" i="1"/>
  <c r="BA88" i="1"/>
  <c r="BA229" i="1"/>
  <c r="BA231" i="1" s="1"/>
  <c r="BO88" i="1"/>
  <c r="BO229" i="1"/>
  <c r="BO231" i="1" s="1"/>
  <c r="BD88" i="1"/>
  <c r="BD229" i="1"/>
  <c r="BD231" i="1" s="1"/>
  <c r="AC164" i="1"/>
  <c r="AC285" i="1" s="1"/>
  <c r="BK88" i="1" l="1"/>
  <c r="BK229" i="1"/>
  <c r="BK231" i="1" s="1"/>
  <c r="AI84" i="1"/>
  <c r="AL263" i="1"/>
  <c r="BV155" i="1"/>
  <c r="BV156" i="1" s="1"/>
  <c r="BV229" i="1"/>
  <c r="BV231" i="1" s="1"/>
  <c r="CP37" i="1"/>
  <c r="CQ33" i="1"/>
  <c r="CQ35" i="1" s="1"/>
  <c r="AP155" i="1"/>
  <c r="AP156" i="1" s="1"/>
  <c r="AP165" i="1" s="1"/>
  <c r="AP91" i="1" s="1"/>
  <c r="AP229" i="1"/>
  <c r="AP231" i="1" s="1"/>
  <c r="AP88" i="1"/>
  <c r="BF90" i="1"/>
  <c r="BC88" i="1"/>
  <c r="BC229" i="1"/>
  <c r="BC231" i="1" s="1"/>
  <c r="BY140" i="1"/>
  <c r="BY138" i="1"/>
  <c r="BY139" i="1"/>
  <c r="CB121" i="1"/>
  <c r="BX125" i="1"/>
  <c r="CB122" i="1"/>
  <c r="CE126" i="1" s="1"/>
  <c r="CF106" i="1"/>
  <c r="CB123" i="1"/>
  <c r="CY176" i="1"/>
  <c r="CY238" i="1" s="1"/>
  <c r="CW215" i="1"/>
  <c r="CW101" i="1"/>
  <c r="CX99" i="1"/>
  <c r="CU285" i="1"/>
  <c r="CU242" i="1"/>
  <c r="CU217" i="1"/>
  <c r="CT218" i="1"/>
  <c r="CT222" i="1" s="1"/>
  <c r="BX144" i="1"/>
  <c r="BX143" i="1"/>
  <c r="BX102" i="1"/>
  <c r="CA105" i="1" s="1"/>
  <c r="BX135" i="1"/>
  <c r="BX128" i="1"/>
  <c r="CW219" i="1"/>
  <c r="CV221" i="1"/>
  <c r="CW160" i="1"/>
  <c r="CV164" i="1"/>
  <c r="BV99" i="1"/>
  <c r="BW101" i="1"/>
  <c r="BY130" i="1"/>
  <c r="BY131" i="1"/>
  <c r="BY132" i="1"/>
  <c r="CX238" i="1"/>
  <c r="BW79" i="1"/>
  <c r="BS263" i="1"/>
  <c r="W97" i="1"/>
  <c r="AO88" i="1"/>
  <c r="AJ204" i="1"/>
  <c r="AK73" i="1" s="1"/>
  <c r="AJ201" i="1"/>
  <c r="AJ202" i="1" s="1"/>
  <c r="AK245" i="1"/>
  <c r="BH165" i="1"/>
  <c r="BH91" i="1" s="1"/>
  <c r="BF165" i="1"/>
  <c r="BF91" i="1" s="1"/>
  <c r="BS80" i="1"/>
  <c r="AT165" i="1"/>
  <c r="AT91" i="1" s="1"/>
  <c r="BF229" i="1"/>
  <c r="BF231" i="1" s="1"/>
  <c r="BF88" i="1"/>
  <c r="BF243" i="1"/>
  <c r="BF241" i="1" s="1"/>
  <c r="BR78" i="1"/>
  <c r="BR281" i="1" s="1"/>
  <c r="BR270" i="1"/>
  <c r="BR84" i="1"/>
  <c r="BR155" i="1" s="1"/>
  <c r="BR156" i="1" s="1"/>
  <c r="BR243" i="1" s="1"/>
  <c r="BR241" i="1" s="1"/>
  <c r="BV79" i="1"/>
  <c r="BR80" i="1"/>
  <c r="BR263" i="1"/>
  <c r="BU91" i="1"/>
  <c r="AN78" i="1"/>
  <c r="AN281" i="1" s="1"/>
  <c r="AQ263" i="1"/>
  <c r="AO80" i="1"/>
  <c r="AN263" i="1"/>
  <c r="AN79" i="1"/>
  <c r="AP263" i="1"/>
  <c r="AR79" i="1"/>
  <c r="AO263" i="1"/>
  <c r="AN84" i="1"/>
  <c r="AN80" i="1"/>
  <c r="AN270" i="1"/>
  <c r="BX79" i="1"/>
  <c r="BT78" i="1"/>
  <c r="BT281" i="1" s="1"/>
  <c r="BT270" i="1"/>
  <c r="BT84" i="1"/>
  <c r="BT155" i="1" s="1"/>
  <c r="BT156" i="1" s="1"/>
  <c r="BU80" i="1"/>
  <c r="BT79" i="1"/>
  <c r="BW263" i="1"/>
  <c r="BV263" i="1"/>
  <c r="AZ79" i="1"/>
  <c r="AV78" i="1"/>
  <c r="AV281" i="1" s="1"/>
  <c r="AV270" i="1"/>
  <c r="AV84" i="1"/>
  <c r="AY263" i="1"/>
  <c r="AW263" i="1"/>
  <c r="AW80" i="1"/>
  <c r="AV79" i="1"/>
  <c r="AV80" i="1"/>
  <c r="AX263" i="1"/>
  <c r="AV263" i="1"/>
  <c r="AR80" i="1"/>
  <c r="AQ79" i="1"/>
  <c r="AQ270" i="1"/>
  <c r="AQ84" i="1"/>
  <c r="AQ78" i="1"/>
  <c r="AQ281" i="1" s="1"/>
  <c r="AQ80" i="1"/>
  <c r="AU79" i="1"/>
  <c r="AT263" i="1"/>
  <c r="AS263" i="1"/>
  <c r="AR263" i="1"/>
  <c r="BN270" i="1"/>
  <c r="BR79" i="1"/>
  <c r="BN84" i="1"/>
  <c r="BN79" i="1"/>
  <c r="BN78" i="1"/>
  <c r="BN281" i="1" s="1"/>
  <c r="BO80" i="1"/>
  <c r="BN263" i="1"/>
  <c r="BQ263" i="1"/>
  <c r="BN80" i="1"/>
  <c r="BO263" i="1"/>
  <c r="BP263" i="1"/>
  <c r="BB78" i="1"/>
  <c r="BB281" i="1" s="1"/>
  <c r="BF79" i="1"/>
  <c r="BB270" i="1"/>
  <c r="BB84" i="1"/>
  <c r="BC80" i="1"/>
  <c r="BD263" i="1"/>
  <c r="BB263" i="1"/>
  <c r="BB80" i="1"/>
  <c r="BC263" i="1"/>
  <c r="BE263" i="1"/>
  <c r="BB79" i="1"/>
  <c r="AX84" i="1"/>
  <c r="AX270" i="1"/>
  <c r="AX78" i="1"/>
  <c r="AX281" i="1" s="1"/>
  <c r="AZ263" i="1"/>
  <c r="AX80" i="1"/>
  <c r="AY80" i="1"/>
  <c r="AX79" i="1"/>
  <c r="BA263" i="1"/>
  <c r="BH88" i="1"/>
  <c r="BH229" i="1"/>
  <c r="BH231" i="1" s="1"/>
  <c r="BT263" i="1"/>
  <c r="BT80" i="1"/>
  <c r="BK79" i="1"/>
  <c r="BG84" i="1"/>
  <c r="BI90" i="1" s="1"/>
  <c r="BH263" i="1"/>
  <c r="BG79" i="1"/>
  <c r="BG78" i="1"/>
  <c r="BG281" i="1" s="1"/>
  <c r="BH80" i="1"/>
  <c r="BG263" i="1"/>
  <c r="BG270" i="1"/>
  <c r="BJ263" i="1"/>
  <c r="BG80" i="1"/>
  <c r="BI263" i="1"/>
  <c r="BX263" i="1"/>
  <c r="BW270" i="1"/>
  <c r="BW80" i="1"/>
  <c r="BX80" i="1"/>
  <c r="BW84" i="1"/>
  <c r="BY263" i="1"/>
  <c r="CA79" i="1"/>
  <c r="BW78" i="1"/>
  <c r="BW281" i="1" s="1"/>
  <c r="BZ263" i="1"/>
  <c r="BK91" i="1"/>
  <c r="BK243" i="1"/>
  <c r="BK241" i="1" s="1"/>
  <c r="BL243" i="1"/>
  <c r="BL241" i="1" s="1"/>
  <c r="BS229" i="1"/>
  <c r="BS231" i="1" s="1"/>
  <c r="BS88" i="1"/>
  <c r="AY91" i="1"/>
  <c r="AZ243" i="1"/>
  <c r="AZ241" i="1" s="1"/>
  <c r="AU243" i="1"/>
  <c r="AU241" i="1" s="1"/>
  <c r="AU91" i="1"/>
  <c r="BK90" i="1"/>
  <c r="BC91" i="1"/>
  <c r="AU90" i="1"/>
  <c r="BI243" i="1"/>
  <c r="BI241" i="1" s="1"/>
  <c r="BJ243" i="1"/>
  <c r="BJ241" i="1" s="1"/>
  <c r="BI91" i="1"/>
  <c r="AO91" i="1"/>
  <c r="BQ243" i="1"/>
  <c r="BQ241" i="1" s="1"/>
  <c r="BQ91" i="1"/>
  <c r="BM90" i="1"/>
  <c r="BM243" i="1"/>
  <c r="BM241" i="1" s="1"/>
  <c r="BM91" i="1"/>
  <c r="AW91" i="1"/>
  <c r="BA243" i="1"/>
  <c r="BA241" i="1" s="1"/>
  <c r="BA91" i="1"/>
  <c r="BO91" i="1"/>
  <c r="BP243" i="1"/>
  <c r="BP241" i="1" s="1"/>
  <c r="AC242" i="1"/>
  <c r="CA262" i="1"/>
  <c r="CB262" i="1"/>
  <c r="BU262" i="1"/>
  <c r="AI88" i="1" l="1"/>
  <c r="AL90" i="1"/>
  <c r="N97" i="1"/>
  <c r="AI243" i="1"/>
  <c r="AI241" i="1" s="1"/>
  <c r="AI229" i="1"/>
  <c r="AI231" i="1" s="1"/>
  <c r="AI235" i="1" s="1"/>
  <c r="AI249" i="1" s="1"/>
  <c r="BV165" i="1"/>
  <c r="BV91" i="1" s="1"/>
  <c r="BV243" i="1"/>
  <c r="BV241" i="1" s="1"/>
  <c r="AP243" i="1"/>
  <c r="AP241" i="1" s="1"/>
  <c r="CQ36" i="1"/>
  <c r="CQ44" i="1"/>
  <c r="BX131" i="1"/>
  <c r="BX132" i="1"/>
  <c r="BX130" i="1"/>
  <c r="BW144" i="1"/>
  <c r="BW135" i="1"/>
  <c r="BW143" i="1"/>
  <c r="BX139" i="1"/>
  <c r="BX140" i="1"/>
  <c r="BX138" i="1"/>
  <c r="CX215" i="1"/>
  <c r="BU99" i="1"/>
  <c r="BV101" i="1"/>
  <c r="CV285" i="1"/>
  <c r="CV242" i="1"/>
  <c r="CA122" i="1"/>
  <c r="CD126" i="1" s="1"/>
  <c r="CA123" i="1"/>
  <c r="CA121" i="1"/>
  <c r="BW125" i="1"/>
  <c r="CE106" i="1"/>
  <c r="CV217" i="1"/>
  <c r="CU218" i="1"/>
  <c r="CU222" i="1" s="1"/>
  <c r="CY99" i="1"/>
  <c r="CX101" i="1"/>
  <c r="AD160" i="1"/>
  <c r="CW164" i="1"/>
  <c r="CX160" i="1"/>
  <c r="CW221" i="1"/>
  <c r="CX219" i="1"/>
  <c r="CZ176" i="1"/>
  <c r="CZ238" i="1" s="1"/>
  <c r="AY90" i="1"/>
  <c r="BA90" i="1"/>
  <c r="AX155" i="1"/>
  <c r="AX156" i="1" s="1"/>
  <c r="AX90" i="1" s="1"/>
  <c r="BC90" i="1"/>
  <c r="BB155" i="1"/>
  <c r="BB156" i="1" s="1"/>
  <c r="BQ90" i="1"/>
  <c r="BN155" i="1"/>
  <c r="BN156" i="1" s="1"/>
  <c r="BN243" i="1" s="1"/>
  <c r="BN241" i="1" s="1"/>
  <c r="AV155" i="1"/>
  <c r="AV156" i="1" s="1"/>
  <c r="AV243" i="1" s="1"/>
  <c r="AV241" i="1" s="1"/>
  <c r="BT165" i="1"/>
  <c r="BT91" i="1" s="1"/>
  <c r="AO90" i="1"/>
  <c r="AN155" i="1"/>
  <c r="AN156" i="1" s="1"/>
  <c r="AN243" i="1" s="1"/>
  <c r="AN241" i="1" s="1"/>
  <c r="BU243" i="1"/>
  <c r="BU241" i="1" s="1"/>
  <c r="BR165" i="1"/>
  <c r="BR91" i="1" s="1"/>
  <c r="BT90" i="1"/>
  <c r="BR88" i="1"/>
  <c r="BR229" i="1"/>
  <c r="BR231" i="1" s="1"/>
  <c r="BR90" i="1"/>
  <c r="AW90" i="1"/>
  <c r="BV90" i="1"/>
  <c r="BO90" i="1"/>
  <c r="BU90" i="1"/>
  <c r="BX90" i="1"/>
  <c r="BY90" i="1"/>
  <c r="BW229" i="1"/>
  <c r="BW231" i="1" s="1"/>
  <c r="BW88" i="1"/>
  <c r="BZ90" i="1"/>
  <c r="BW102" i="1"/>
  <c r="BN88" i="1"/>
  <c r="BN229" i="1"/>
  <c r="BN231" i="1" s="1"/>
  <c r="BP90" i="1"/>
  <c r="AV229" i="1"/>
  <c r="AV231" i="1" s="1"/>
  <c r="AV88" i="1"/>
  <c r="BT229" i="1"/>
  <c r="BT231" i="1" s="1"/>
  <c r="BT88" i="1"/>
  <c r="AX88" i="1"/>
  <c r="AX229" i="1"/>
  <c r="AX231" i="1" s="1"/>
  <c r="AZ90" i="1"/>
  <c r="BB88" i="1"/>
  <c r="BB229" i="1"/>
  <c r="BB231" i="1" s="1"/>
  <c r="BD90" i="1"/>
  <c r="BE90" i="1"/>
  <c r="AQ229" i="1"/>
  <c r="AQ231" i="1" s="1"/>
  <c r="AQ88" i="1"/>
  <c r="AS90" i="1"/>
  <c r="AR90" i="1"/>
  <c r="AT90" i="1"/>
  <c r="BG88" i="1"/>
  <c r="BJ90" i="1"/>
  <c r="BH90" i="1"/>
  <c r="BG229" i="1"/>
  <c r="BG231" i="1" s="1"/>
  <c r="AN88" i="1"/>
  <c r="AP90" i="1"/>
  <c r="AN229" i="1"/>
  <c r="AN231" i="1" s="1"/>
  <c r="BT243" i="1"/>
  <c r="BT241" i="1" s="1"/>
  <c r="BS91" i="1"/>
  <c r="BS243" i="1"/>
  <c r="BS241" i="1" s="1"/>
  <c r="BS90" i="1"/>
  <c r="AI246" i="1" l="1"/>
  <c r="AI247" i="1" s="1"/>
  <c r="CQ37" i="1"/>
  <c r="CR33" i="1"/>
  <c r="AV90" i="1"/>
  <c r="CX164" i="1"/>
  <c r="CY160" i="1"/>
  <c r="CY101" i="1"/>
  <c r="CZ99" i="1"/>
  <c r="DA176" i="1"/>
  <c r="AE176" i="1" s="1"/>
  <c r="AE238" i="1" s="1"/>
  <c r="CW285" i="1"/>
  <c r="CW242" i="1"/>
  <c r="CY215" i="1"/>
  <c r="CX221" i="1"/>
  <c r="CY219" i="1"/>
  <c r="CW217" i="1"/>
  <c r="CV218" i="1"/>
  <c r="CV222" i="1" s="1"/>
  <c r="BV135" i="1"/>
  <c r="BV143" i="1"/>
  <c r="BV144" i="1"/>
  <c r="BV128" i="1"/>
  <c r="BV102" i="1"/>
  <c r="BY105" i="1" s="1"/>
  <c r="BW140" i="1"/>
  <c r="BW138" i="1"/>
  <c r="BW139" i="1"/>
  <c r="BT99" i="1"/>
  <c r="BU101" i="1"/>
  <c r="AX243" i="1"/>
  <c r="AX241" i="1" s="1"/>
  <c r="BN90" i="1"/>
  <c r="BB165" i="1"/>
  <c r="BB91" i="1" s="1"/>
  <c r="BC243" i="1"/>
  <c r="BC241" i="1" s="1"/>
  <c r="AN165" i="1"/>
  <c r="AN91" i="1" s="1"/>
  <c r="AO243" i="1"/>
  <c r="AO241" i="1" s="1"/>
  <c r="AN90" i="1"/>
  <c r="BN165" i="1"/>
  <c r="BN91" i="1" s="1"/>
  <c r="BO243" i="1"/>
  <c r="BO241" i="1" s="1"/>
  <c r="AX165" i="1"/>
  <c r="AX91" i="1" s="1"/>
  <c r="AY243" i="1"/>
  <c r="AY241" i="1" s="1"/>
  <c r="AV165" i="1"/>
  <c r="AV91" i="1" s="1"/>
  <c r="AW243" i="1"/>
  <c r="AW241" i="1" s="1"/>
  <c r="BB90" i="1"/>
  <c r="BB243" i="1"/>
  <c r="BB241" i="1" s="1"/>
  <c r="BZ105" i="1"/>
  <c r="BV125" i="1" s="1"/>
  <c r="BG243" i="1"/>
  <c r="BG241" i="1" s="1"/>
  <c r="BG91" i="1"/>
  <c r="BG90" i="1"/>
  <c r="BH243" i="1"/>
  <c r="BH241" i="1" s="1"/>
  <c r="AQ91" i="1"/>
  <c r="AQ243" i="1"/>
  <c r="AQ241" i="1" s="1"/>
  <c r="AR243" i="1"/>
  <c r="AR241" i="1" s="1"/>
  <c r="AQ90" i="1"/>
  <c r="BW243" i="1"/>
  <c r="BW241" i="1" s="1"/>
  <c r="BX243" i="1"/>
  <c r="BX241" i="1" s="1"/>
  <c r="BW91" i="1"/>
  <c r="BW90" i="1"/>
  <c r="BW128" i="1"/>
  <c r="CR35" i="1" l="1"/>
  <c r="CR44" i="1" s="1"/>
  <c r="CR36" i="1"/>
  <c r="DA238" i="1"/>
  <c r="BU144" i="1"/>
  <c r="BU143" i="1"/>
  <c r="BU135" i="1"/>
  <c r="BU102" i="1"/>
  <c r="BX105" i="1" s="1"/>
  <c r="BU128" i="1"/>
  <c r="CY221" i="1"/>
  <c r="CZ219" i="1"/>
  <c r="CZ101" i="1"/>
  <c r="DA99" i="1"/>
  <c r="DA101" i="1" s="1"/>
  <c r="BS99" i="1"/>
  <c r="BT101" i="1"/>
  <c r="BV140" i="1"/>
  <c r="BV138" i="1"/>
  <c r="BV139" i="1"/>
  <c r="BV130" i="1"/>
  <c r="BV132" i="1"/>
  <c r="BV131" i="1"/>
  <c r="CZ160" i="1"/>
  <c r="CY164" i="1"/>
  <c r="CX217" i="1"/>
  <c r="CW218" i="1"/>
  <c r="CW222" i="1" s="1"/>
  <c r="CZ215" i="1"/>
  <c r="CX242" i="1"/>
  <c r="CX285" i="1"/>
  <c r="CD106" i="1"/>
  <c r="BZ123" i="1"/>
  <c r="BZ122" i="1"/>
  <c r="CC126" i="1" s="1"/>
  <c r="BZ121" i="1"/>
  <c r="CC106" i="1"/>
  <c r="BY123" i="1"/>
  <c r="BU125" i="1"/>
  <c r="BY122" i="1"/>
  <c r="BY121" i="1"/>
  <c r="BW130" i="1"/>
  <c r="BW132" i="1"/>
  <c r="BW131" i="1"/>
  <c r="AD164" i="1"/>
  <c r="AD285" i="1" s="1"/>
  <c r="CR37" i="1" l="1"/>
  <c r="CS33" i="1"/>
  <c r="CB106" i="1"/>
  <c r="BX122" i="1"/>
  <c r="CA126" i="1" s="1"/>
  <c r="BX123" i="1"/>
  <c r="BX121" i="1"/>
  <c r="BT125" i="1"/>
  <c r="DA215" i="1"/>
  <c r="CY285" i="1"/>
  <c r="CY242" i="1"/>
  <c r="BT135" i="1"/>
  <c r="BT144" i="1"/>
  <c r="BT143" i="1"/>
  <c r="BT128" i="1"/>
  <c r="BT102" i="1"/>
  <c r="BW105" i="1" s="1"/>
  <c r="DA219" i="1"/>
  <c r="DA221" i="1" s="1"/>
  <c r="CZ221" i="1"/>
  <c r="BU140" i="1"/>
  <c r="BU138" i="1"/>
  <c r="BU139" i="1"/>
  <c r="CY217" i="1"/>
  <c r="CX218" i="1"/>
  <c r="CX222" i="1" s="1"/>
  <c r="CZ164" i="1"/>
  <c r="DA160" i="1"/>
  <c r="BR99" i="1"/>
  <c r="BS101" i="1"/>
  <c r="BU130" i="1"/>
  <c r="BU132" i="1"/>
  <c r="BU131" i="1"/>
  <c r="CB126" i="1"/>
  <c r="AD242" i="1"/>
  <c r="CA263" i="1"/>
  <c r="CB263" i="1"/>
  <c r="W229" i="1"/>
  <c r="W231" i="1" s="1"/>
  <c r="BU263" i="1"/>
  <c r="CS35" i="1" l="1"/>
  <c r="CS44" i="1" s="1"/>
  <c r="DA164" i="1"/>
  <c r="AE160" i="1"/>
  <c r="BT132" i="1"/>
  <c r="BT131" i="1"/>
  <c r="BT130" i="1"/>
  <c r="BS144" i="1"/>
  <c r="BS143" i="1"/>
  <c r="BS135" i="1"/>
  <c r="BS102" i="1"/>
  <c r="BV105" i="1" s="1"/>
  <c r="BS128" i="1"/>
  <c r="CZ242" i="1"/>
  <c r="CZ285" i="1"/>
  <c r="BQ99" i="1"/>
  <c r="BR101" i="1"/>
  <c r="CZ217" i="1"/>
  <c r="CY218" i="1"/>
  <c r="CY222" i="1" s="1"/>
  <c r="BW121" i="1"/>
  <c r="BW123" i="1"/>
  <c r="BW122" i="1"/>
  <c r="BZ126" i="1" s="1"/>
  <c r="CA106" i="1"/>
  <c r="BS125" i="1"/>
  <c r="BT139" i="1"/>
  <c r="BT138" i="1"/>
  <c r="BT140" i="1"/>
  <c r="CA125" i="1"/>
  <c r="CS36" i="1" l="1"/>
  <c r="BP99" i="1"/>
  <c r="BQ101" i="1"/>
  <c r="BR125" i="1"/>
  <c r="BV122" i="1"/>
  <c r="BY126" i="1" s="1"/>
  <c r="BV121" i="1"/>
  <c r="BV123" i="1"/>
  <c r="BZ106" i="1"/>
  <c r="BS139" i="1"/>
  <c r="BS138" i="1"/>
  <c r="BS140" i="1"/>
  <c r="DA217" i="1"/>
  <c r="DA218" i="1" s="1"/>
  <c r="DA222" i="1" s="1"/>
  <c r="CZ218" i="1"/>
  <c r="CZ222" i="1" s="1"/>
  <c r="BR143" i="1"/>
  <c r="BR144" i="1"/>
  <c r="BR135" i="1"/>
  <c r="BR128" i="1"/>
  <c r="BR102" i="1"/>
  <c r="BU105" i="1" s="1"/>
  <c r="BS130" i="1"/>
  <c r="BS131" i="1"/>
  <c r="BS132" i="1"/>
  <c r="DA285" i="1"/>
  <c r="DA242" i="1"/>
  <c r="CF125" i="1"/>
  <c r="AC36" i="1" l="1"/>
  <c r="CS37" i="1"/>
  <c r="CT33" i="1"/>
  <c r="BU122" i="1"/>
  <c r="BX126" i="1" s="1"/>
  <c r="BY106" i="1"/>
  <c r="BU123" i="1"/>
  <c r="BQ125" i="1"/>
  <c r="BU121" i="1"/>
  <c r="BR131" i="1"/>
  <c r="BR130" i="1"/>
  <c r="BR132" i="1"/>
  <c r="BR138" i="1"/>
  <c r="BR140" i="1"/>
  <c r="BR139" i="1"/>
  <c r="BQ128" i="1"/>
  <c r="BQ144" i="1"/>
  <c r="BQ143" i="1"/>
  <c r="BQ135" i="1"/>
  <c r="BQ102" i="1"/>
  <c r="BT105" i="1" s="1"/>
  <c r="BO99" i="1"/>
  <c r="BP101" i="1"/>
  <c r="AE164" i="1"/>
  <c r="AE285" i="1" s="1"/>
  <c r="CT35" i="1" l="1"/>
  <c r="CT44" i="1" s="1"/>
  <c r="CT36" i="1"/>
  <c r="AD33" i="1"/>
  <c r="AC37" i="1"/>
  <c r="BP135" i="1"/>
  <c r="BP102" i="1"/>
  <c r="BS105" i="1" s="1"/>
  <c r="BP143" i="1"/>
  <c r="BP128" i="1"/>
  <c r="BP144" i="1"/>
  <c r="BN99" i="1"/>
  <c r="BO101" i="1"/>
  <c r="BT122" i="1"/>
  <c r="BW126" i="1" s="1"/>
  <c r="BP125" i="1"/>
  <c r="BT121" i="1"/>
  <c r="BT123" i="1"/>
  <c r="BX106" i="1"/>
  <c r="BQ130" i="1"/>
  <c r="BQ131" i="1"/>
  <c r="BQ132" i="1"/>
  <c r="BQ139" i="1"/>
  <c r="BQ138" i="1"/>
  <c r="BQ140" i="1"/>
  <c r="AE242" i="1"/>
  <c r="W156" i="1"/>
  <c r="CT37" i="1" l="1"/>
  <c r="CU33" i="1"/>
  <c r="BO102" i="1"/>
  <c r="BR105" i="1" s="1"/>
  <c r="BO144" i="1"/>
  <c r="BO128" i="1"/>
  <c r="BO143" i="1"/>
  <c r="BO135" i="1"/>
  <c r="BP131" i="1"/>
  <c r="BP130" i="1"/>
  <c r="BP132" i="1"/>
  <c r="BM99" i="1"/>
  <c r="BN101" i="1"/>
  <c r="BS121" i="1"/>
  <c r="BS122" i="1"/>
  <c r="BV126" i="1" s="1"/>
  <c r="BS123" i="1"/>
  <c r="BW106" i="1"/>
  <c r="BO125" i="1"/>
  <c r="BP140" i="1"/>
  <c r="BP138" i="1"/>
  <c r="BP139" i="1"/>
  <c r="W90" i="1"/>
  <c r="X243" i="1"/>
  <c r="X241" i="1" s="1"/>
  <c r="W243" i="1"/>
  <c r="W241" i="1" s="1"/>
  <c r="W165" i="1"/>
  <c r="W91" i="1" s="1"/>
  <c r="W211" i="1"/>
  <c r="CU35" i="1" l="1"/>
  <c r="CU44" i="1" s="1"/>
  <c r="CU36" i="1"/>
  <c r="BL99" i="1"/>
  <c r="BM101" i="1"/>
  <c r="BO139" i="1"/>
  <c r="BO140" i="1"/>
  <c r="BO138" i="1"/>
  <c r="BN125" i="1"/>
  <c r="BV106" i="1"/>
  <c r="BR121" i="1"/>
  <c r="BR123" i="1"/>
  <c r="BR122" i="1"/>
  <c r="BU126" i="1" s="1"/>
  <c r="BO132" i="1"/>
  <c r="BO131" i="1"/>
  <c r="BO130" i="1"/>
  <c r="BN144" i="1"/>
  <c r="BN128" i="1"/>
  <c r="BN143" i="1"/>
  <c r="BN135" i="1"/>
  <c r="BN102" i="1"/>
  <c r="BQ105" i="1" s="1"/>
  <c r="CU37" i="1" l="1"/>
  <c r="CV33" i="1"/>
  <c r="BN131" i="1"/>
  <c r="BN132" i="1"/>
  <c r="BN130" i="1"/>
  <c r="BQ123" i="1"/>
  <c r="BQ122" i="1"/>
  <c r="BT126" i="1" s="1"/>
  <c r="BU106" i="1"/>
  <c r="BQ121" i="1"/>
  <c r="BM125" i="1"/>
  <c r="BM135" i="1"/>
  <c r="BM102" i="1"/>
  <c r="BP105" i="1" s="1"/>
  <c r="BM144" i="1"/>
  <c r="BM128" i="1"/>
  <c r="BM143" i="1"/>
  <c r="BN138" i="1"/>
  <c r="BN140" i="1"/>
  <c r="BN139" i="1"/>
  <c r="BK99" i="1"/>
  <c r="BL101" i="1"/>
  <c r="CV35" i="1" l="1"/>
  <c r="CV44" i="1" s="1"/>
  <c r="BL135" i="1"/>
  <c r="BL144" i="1"/>
  <c r="BL128" i="1"/>
  <c r="BL143" i="1"/>
  <c r="BL102" i="1"/>
  <c r="BO105" i="1" s="1"/>
  <c r="BT106" i="1"/>
  <c r="BP122" i="1"/>
  <c r="BS126" i="1" s="1"/>
  <c r="BP123" i="1"/>
  <c r="BP121" i="1"/>
  <c r="BL125" i="1"/>
  <c r="BJ99" i="1"/>
  <c r="BK101" i="1"/>
  <c r="BM140" i="1"/>
  <c r="BM138" i="1"/>
  <c r="BM139" i="1"/>
  <c r="BM132" i="1"/>
  <c r="BM130" i="1"/>
  <c r="BM131" i="1"/>
  <c r="CV36" i="1" l="1"/>
  <c r="CV37" i="1"/>
  <c r="CW33" i="1"/>
  <c r="CW35" i="1" s="1"/>
  <c r="BI99" i="1"/>
  <c r="BJ101" i="1"/>
  <c r="BL132" i="1"/>
  <c r="BL130" i="1"/>
  <c r="BL131" i="1"/>
  <c r="BK135" i="1"/>
  <c r="BK102" i="1"/>
  <c r="BN105" i="1" s="1"/>
  <c r="BK144" i="1"/>
  <c r="BK128" i="1"/>
  <c r="BK143" i="1"/>
  <c r="BS106" i="1"/>
  <c r="BO122" i="1"/>
  <c r="BR126" i="1" s="1"/>
  <c r="BK125" i="1"/>
  <c r="BO121" i="1"/>
  <c r="BO123" i="1"/>
  <c r="BL138" i="1"/>
  <c r="BL139" i="1"/>
  <c r="BL140" i="1"/>
  <c r="CW36" i="1" l="1"/>
  <c r="CW44" i="1"/>
  <c r="BR106" i="1"/>
  <c r="BN122" i="1"/>
  <c r="BQ126" i="1" s="1"/>
  <c r="BN121" i="1"/>
  <c r="BJ125" i="1"/>
  <c r="BN123" i="1"/>
  <c r="BK139" i="1"/>
  <c r="BK138" i="1"/>
  <c r="BK140" i="1"/>
  <c r="BJ135" i="1"/>
  <c r="BJ128" i="1"/>
  <c r="BJ144" i="1"/>
  <c r="BJ102" i="1"/>
  <c r="BM105" i="1" s="1"/>
  <c r="BJ143" i="1"/>
  <c r="BK130" i="1"/>
  <c r="BK131" i="1"/>
  <c r="BK132" i="1"/>
  <c r="BI101" i="1"/>
  <c r="BH99" i="1"/>
  <c r="AD36" i="1" l="1"/>
  <c r="CW37" i="1"/>
  <c r="CX33" i="1"/>
  <c r="BG99" i="1"/>
  <c r="BH101" i="1"/>
  <c r="BJ130" i="1"/>
  <c r="BJ132" i="1"/>
  <c r="BJ131" i="1"/>
  <c r="BI102" i="1"/>
  <c r="BL105" i="1" s="1"/>
  <c r="BI143" i="1"/>
  <c r="BI128" i="1"/>
  <c r="BI144" i="1"/>
  <c r="BI135" i="1"/>
  <c r="BJ138" i="1"/>
  <c r="BJ140" i="1"/>
  <c r="BJ139" i="1"/>
  <c r="BM121" i="1"/>
  <c r="BQ106" i="1"/>
  <c r="BM123" i="1"/>
  <c r="BM122" i="1"/>
  <c r="BP126" i="1" s="1"/>
  <c r="BI125" i="1"/>
  <c r="W216" i="1"/>
  <c r="CX35" i="1" l="1"/>
  <c r="CX44" i="1" s="1"/>
  <c r="CX36" i="1"/>
  <c r="AD37" i="1"/>
  <c r="AE33" i="1"/>
  <c r="BI130" i="1"/>
  <c r="BI132" i="1"/>
  <c r="BI131" i="1"/>
  <c r="BI139" i="1"/>
  <c r="BI138" i="1"/>
  <c r="BI140" i="1"/>
  <c r="BL123" i="1"/>
  <c r="BL122" i="1"/>
  <c r="BO126" i="1" s="1"/>
  <c r="BL121" i="1"/>
  <c r="BP106" i="1"/>
  <c r="BH125" i="1"/>
  <c r="BH144" i="1"/>
  <c r="BH102" i="1"/>
  <c r="BK105" i="1" s="1"/>
  <c r="BH143" i="1"/>
  <c r="BH128" i="1"/>
  <c r="BH135" i="1"/>
  <c r="BF99" i="1"/>
  <c r="BG101" i="1"/>
  <c r="W219" i="1"/>
  <c r="W192" i="1"/>
  <c r="X233" i="1" s="1"/>
  <c r="CX37" i="1" l="1"/>
  <c r="CY33" i="1"/>
  <c r="BH131" i="1"/>
  <c r="BH132" i="1"/>
  <c r="BH130" i="1"/>
  <c r="BH139" i="1"/>
  <c r="BH140" i="1"/>
  <c r="BH138" i="1"/>
  <c r="BG143" i="1"/>
  <c r="BG128" i="1"/>
  <c r="BG144" i="1"/>
  <c r="BG135" i="1"/>
  <c r="BG102" i="1"/>
  <c r="BJ105" i="1" s="1"/>
  <c r="BF101" i="1"/>
  <c r="BE99" i="1"/>
  <c r="BK121" i="1"/>
  <c r="BG125" i="1"/>
  <c r="BO106" i="1"/>
  <c r="BK122" i="1"/>
  <c r="BN126" i="1" s="1"/>
  <c r="BK123" i="1"/>
  <c r="W221" i="1"/>
  <c r="W220" i="1" s="1"/>
  <c r="W233" i="1"/>
  <c r="W184" i="1"/>
  <c r="X232" i="1" s="1"/>
  <c r="X234" i="1" s="1"/>
  <c r="X235" i="1" s="1"/>
  <c r="X249" i="1" s="1"/>
  <c r="W215" i="1"/>
  <c r="CY35" i="1" l="1"/>
  <c r="CY44" i="1" s="1"/>
  <c r="BF143" i="1"/>
  <c r="BF135" i="1"/>
  <c r="BF128" i="1"/>
  <c r="BF144" i="1"/>
  <c r="BF102" i="1"/>
  <c r="BI105" i="1" s="1"/>
  <c r="BG132" i="1"/>
  <c r="BG130" i="1"/>
  <c r="BG131" i="1"/>
  <c r="BJ122" i="1"/>
  <c r="BM126" i="1" s="1"/>
  <c r="BN106" i="1"/>
  <c r="BF125" i="1"/>
  <c r="BJ123" i="1"/>
  <c r="BJ121" i="1"/>
  <c r="BG138" i="1"/>
  <c r="BG139" i="1"/>
  <c r="BG140" i="1"/>
  <c r="BE101" i="1"/>
  <c r="BD99" i="1"/>
  <c r="W218" i="1"/>
  <c r="W193" i="1"/>
  <c r="W232" i="1"/>
  <c r="W234" i="1" s="1"/>
  <c r="W235" i="1" s="1"/>
  <c r="CY36" i="1" l="1"/>
  <c r="BF132" i="1"/>
  <c r="BF130" i="1"/>
  <c r="BF131" i="1"/>
  <c r="BC99" i="1"/>
  <c r="BD101" i="1"/>
  <c r="BF139" i="1"/>
  <c r="BF140" i="1"/>
  <c r="BF138" i="1"/>
  <c r="BE144" i="1"/>
  <c r="BE143" i="1"/>
  <c r="BE135" i="1"/>
  <c r="BE128" i="1"/>
  <c r="BE102" i="1"/>
  <c r="BH105" i="1" s="1"/>
  <c r="BM106" i="1"/>
  <c r="BI122" i="1"/>
  <c r="BL126" i="1" s="1"/>
  <c r="BI121" i="1"/>
  <c r="BE125" i="1"/>
  <c r="BI123" i="1"/>
  <c r="W217" i="1"/>
  <c r="W222" i="1"/>
  <c r="W246" i="1"/>
  <c r="W249" i="1"/>
  <c r="CY37" i="1" l="1"/>
  <c r="CZ33" i="1"/>
  <c r="CZ35" i="1" s="1"/>
  <c r="BE132" i="1"/>
  <c r="BE130" i="1"/>
  <c r="BE131" i="1"/>
  <c r="BB99" i="1"/>
  <c r="BC101" i="1"/>
  <c r="BE139" i="1"/>
  <c r="BE138" i="1"/>
  <c r="BE140" i="1"/>
  <c r="BH123" i="1"/>
  <c r="BL106" i="1"/>
  <c r="BH122" i="1"/>
  <c r="BK126" i="1" s="1"/>
  <c r="BH121" i="1"/>
  <c r="BD125" i="1"/>
  <c r="BD135" i="1"/>
  <c r="BD102" i="1"/>
  <c r="BG105" i="1" s="1"/>
  <c r="BD144" i="1"/>
  <c r="BD128" i="1"/>
  <c r="BD143" i="1"/>
  <c r="W225" i="1"/>
  <c r="W226" i="1" s="1"/>
  <c r="X225" i="1"/>
  <c r="X226" i="1" s="1"/>
  <c r="CZ36" i="1" l="1"/>
  <c r="CZ44" i="1"/>
  <c r="BG123" i="1"/>
  <c r="BC125" i="1"/>
  <c r="BK106" i="1"/>
  <c r="BG122" i="1"/>
  <c r="BJ126" i="1" s="1"/>
  <c r="BG121" i="1"/>
  <c r="BA99" i="1"/>
  <c r="BB101" i="1"/>
  <c r="BD138" i="1"/>
  <c r="BD140" i="1"/>
  <c r="BD139" i="1"/>
  <c r="BD130" i="1"/>
  <c r="BD131" i="1"/>
  <c r="BD132" i="1"/>
  <c r="BC143" i="1"/>
  <c r="BC128" i="1"/>
  <c r="BC144" i="1"/>
  <c r="BC135" i="1"/>
  <c r="BC102" i="1"/>
  <c r="BF105" i="1" s="1"/>
  <c r="W197" i="1"/>
  <c r="CZ37" i="1" l="1"/>
  <c r="DA33" i="1"/>
  <c r="BC130" i="1"/>
  <c r="BC131" i="1"/>
  <c r="BC132" i="1"/>
  <c r="BB102" i="1"/>
  <c r="BE105" i="1" s="1"/>
  <c r="BB135" i="1"/>
  <c r="BB144" i="1"/>
  <c r="BB128" i="1"/>
  <c r="BB143" i="1"/>
  <c r="BF121" i="1"/>
  <c r="BF122" i="1"/>
  <c r="BI126" i="1" s="1"/>
  <c r="BB125" i="1"/>
  <c r="BF123" i="1"/>
  <c r="BJ106" i="1"/>
  <c r="BA101" i="1"/>
  <c r="AZ99" i="1"/>
  <c r="BC140" i="1"/>
  <c r="BC138" i="1"/>
  <c r="BC139" i="1"/>
  <c r="X245" i="1"/>
  <c r="X246" i="1" s="1"/>
  <c r="X247" i="1" s="1"/>
  <c r="W282" i="1"/>
  <c r="W284" i="1"/>
  <c r="W280" i="1"/>
  <c r="W204" i="1"/>
  <c r="W145" i="1" s="1"/>
  <c r="W201" i="1"/>
  <c r="W247" i="1"/>
  <c r="DA35" i="1" l="1"/>
  <c r="BI106" i="1"/>
  <c r="BE121" i="1"/>
  <c r="BE123" i="1"/>
  <c r="BE122" i="1"/>
  <c r="BH126" i="1" s="1"/>
  <c r="BA125" i="1"/>
  <c r="AY99" i="1"/>
  <c r="AZ101" i="1"/>
  <c r="BB132" i="1"/>
  <c r="BB131" i="1"/>
  <c r="BB130" i="1"/>
  <c r="BA135" i="1"/>
  <c r="BA102" i="1"/>
  <c r="BD105" i="1" s="1"/>
  <c r="BA144" i="1"/>
  <c r="BA128" i="1"/>
  <c r="BA143" i="1"/>
  <c r="BB139" i="1"/>
  <c r="BB138" i="1"/>
  <c r="BB140" i="1"/>
  <c r="W202" i="1"/>
  <c r="DA44" i="1" l="1"/>
  <c r="DA36" i="1"/>
  <c r="BD122" i="1"/>
  <c r="BG126" i="1" s="1"/>
  <c r="BD121" i="1"/>
  <c r="BD123" i="1"/>
  <c r="BH106" i="1"/>
  <c r="AZ125" i="1"/>
  <c r="BA139" i="1"/>
  <c r="BA140" i="1"/>
  <c r="BA138" i="1"/>
  <c r="AZ143" i="1"/>
  <c r="AZ128" i="1"/>
  <c r="AZ144" i="1"/>
  <c r="AZ135" i="1"/>
  <c r="AZ102" i="1"/>
  <c r="BC105" i="1" s="1"/>
  <c r="BA131" i="1"/>
  <c r="BA130" i="1"/>
  <c r="BA132" i="1"/>
  <c r="AY101" i="1"/>
  <c r="AX99" i="1"/>
  <c r="C111" i="2"/>
  <c r="C112" i="2"/>
  <c r="C113" i="2"/>
  <c r="AE36" i="1" l="1"/>
  <c r="DA37" i="1"/>
  <c r="AE37" i="1"/>
  <c r="AZ140" i="1"/>
  <c r="AZ138" i="1"/>
  <c r="AZ139" i="1"/>
  <c r="AW99" i="1"/>
  <c r="AX101" i="1"/>
  <c r="AZ132" i="1"/>
  <c r="AZ130" i="1"/>
  <c r="AZ131" i="1"/>
  <c r="AY143" i="1"/>
  <c r="AY128" i="1"/>
  <c r="AY144" i="1"/>
  <c r="AY135" i="1"/>
  <c r="AY102" i="1"/>
  <c r="BB105" i="1" s="1"/>
  <c r="BC123" i="1"/>
  <c r="AY125" i="1"/>
  <c r="BC121" i="1"/>
  <c r="BC122" i="1"/>
  <c r="BF126" i="1" s="1"/>
  <c r="BG106" i="1"/>
  <c r="B109" i="1"/>
  <c r="B110" i="1"/>
  <c r="AY140" i="1" l="1"/>
  <c r="AY138" i="1"/>
  <c r="AY139" i="1"/>
  <c r="AV99" i="1"/>
  <c r="AW101" i="1"/>
  <c r="AY130" i="1"/>
  <c r="AY131" i="1"/>
  <c r="AY132" i="1"/>
  <c r="BB123" i="1"/>
  <c r="BB121" i="1"/>
  <c r="BB122" i="1"/>
  <c r="BE126" i="1" s="1"/>
  <c r="AX125" i="1"/>
  <c r="BF106" i="1"/>
  <c r="AX102" i="1"/>
  <c r="BA105" i="1" s="1"/>
  <c r="AX143" i="1"/>
  <c r="AX128" i="1"/>
  <c r="AX144" i="1"/>
  <c r="AX135" i="1"/>
  <c r="AX130" i="1" l="1"/>
  <c r="AX131" i="1"/>
  <c r="AX132" i="1"/>
  <c r="AU99" i="1"/>
  <c r="AV101" i="1"/>
  <c r="AX139" i="1"/>
  <c r="AX138" i="1"/>
  <c r="AX140" i="1"/>
  <c r="BA121" i="1"/>
  <c r="AW125" i="1"/>
  <c r="BA122" i="1"/>
  <c r="BD126" i="1" s="1"/>
  <c r="BA123" i="1"/>
  <c r="BE106" i="1"/>
  <c r="AW144" i="1"/>
  <c r="AW128" i="1"/>
  <c r="AW143" i="1"/>
  <c r="AW102" i="1"/>
  <c r="AZ105" i="1" s="1"/>
  <c r="AW135" i="1"/>
  <c r="AL232" i="1"/>
  <c r="AK232" i="1"/>
  <c r="AT99" i="1" l="1"/>
  <c r="AU101" i="1"/>
  <c r="AW131" i="1"/>
  <c r="AW130" i="1"/>
  <c r="AW132" i="1"/>
  <c r="AW140" i="1"/>
  <c r="AW139" i="1"/>
  <c r="AW138" i="1"/>
  <c r="AZ123" i="1"/>
  <c r="AZ122" i="1"/>
  <c r="BC126" i="1" s="1"/>
  <c r="AV125" i="1"/>
  <c r="BD106" i="1"/>
  <c r="AZ121" i="1"/>
  <c r="AV135" i="1"/>
  <c r="AV102" i="1"/>
  <c r="AY105" i="1" s="1"/>
  <c r="AV144" i="1"/>
  <c r="AV128" i="1"/>
  <c r="AV143" i="1"/>
  <c r="AN232" i="1"/>
  <c r="AM232" i="1"/>
  <c r="AY122" i="1" l="1"/>
  <c r="BB126" i="1" s="1"/>
  <c r="AU125" i="1"/>
  <c r="AY121" i="1"/>
  <c r="BC106" i="1"/>
  <c r="AY123" i="1"/>
  <c r="AU144" i="1"/>
  <c r="AU128" i="1"/>
  <c r="AU135" i="1"/>
  <c r="AU102" i="1"/>
  <c r="AX105" i="1" s="1"/>
  <c r="AU143" i="1"/>
  <c r="AV139" i="1"/>
  <c r="AV140" i="1"/>
  <c r="AV138" i="1"/>
  <c r="AV130" i="1"/>
  <c r="AV132" i="1"/>
  <c r="AV131" i="1"/>
  <c r="AS99" i="1"/>
  <c r="AT101" i="1"/>
  <c r="AP232" i="1"/>
  <c r="AO232" i="1"/>
  <c r="AU138" i="1" l="1"/>
  <c r="AU140" i="1"/>
  <c r="AU139" i="1"/>
  <c r="AU132" i="1"/>
  <c r="AU131" i="1"/>
  <c r="AU130" i="1"/>
  <c r="AT135" i="1"/>
  <c r="AT102" i="1"/>
  <c r="AW105" i="1" s="1"/>
  <c r="AT143" i="1"/>
  <c r="AT144" i="1"/>
  <c r="AT128" i="1"/>
  <c r="AS101" i="1"/>
  <c r="AR99" i="1"/>
  <c r="AX121" i="1"/>
  <c r="AX123" i="1"/>
  <c r="AT125" i="1"/>
  <c r="BB106" i="1"/>
  <c r="AX122" i="1"/>
  <c r="BA126" i="1" s="1"/>
  <c r="AR232" i="1"/>
  <c r="AQ232" i="1"/>
  <c r="AS143" i="1" l="1"/>
  <c r="AS135" i="1"/>
  <c r="AS102" i="1"/>
  <c r="AV105" i="1" s="1"/>
  <c r="AS144" i="1"/>
  <c r="AS128" i="1"/>
  <c r="AW121" i="1"/>
  <c r="AW122" i="1"/>
  <c r="AZ126" i="1" s="1"/>
  <c r="AW123" i="1"/>
  <c r="AS125" i="1"/>
  <c r="BA106" i="1"/>
  <c r="AT131" i="1"/>
  <c r="AT132" i="1"/>
  <c r="AT130" i="1"/>
  <c r="AT138" i="1"/>
  <c r="AT139" i="1"/>
  <c r="AT140" i="1"/>
  <c r="AQ99" i="1"/>
  <c r="AR101" i="1"/>
  <c r="AT232" i="1"/>
  <c r="AS232" i="1"/>
  <c r="AR135" i="1" l="1"/>
  <c r="AR128" i="1"/>
  <c r="AR143" i="1"/>
  <c r="AR144" i="1"/>
  <c r="AR102" i="1"/>
  <c r="AU105" i="1" s="1"/>
  <c r="AV123" i="1"/>
  <c r="AV121" i="1"/>
  <c r="AR125" i="1"/>
  <c r="AV122" i="1"/>
  <c r="AY126" i="1" s="1"/>
  <c r="AZ106" i="1"/>
  <c r="AS140" i="1"/>
  <c r="AS139" i="1"/>
  <c r="AS138" i="1"/>
  <c r="AQ101" i="1"/>
  <c r="AP99" i="1"/>
  <c r="AS130" i="1"/>
  <c r="AS132" i="1"/>
  <c r="AS131" i="1"/>
  <c r="AV232" i="1"/>
  <c r="AU232" i="1"/>
  <c r="AP101" i="1" l="1"/>
  <c r="AO99" i="1"/>
  <c r="AQ143" i="1"/>
  <c r="AQ135" i="1"/>
  <c r="AQ102" i="1"/>
  <c r="AT105" i="1" s="1"/>
  <c r="AQ144" i="1"/>
  <c r="AQ128" i="1"/>
  <c r="AR130" i="1"/>
  <c r="AR132" i="1"/>
  <c r="AR131" i="1"/>
  <c r="AU122" i="1"/>
  <c r="AX126" i="1" s="1"/>
  <c r="AQ125" i="1"/>
  <c r="AU121" i="1"/>
  <c r="AU123" i="1"/>
  <c r="AY106" i="1"/>
  <c r="AR139" i="1"/>
  <c r="AR140" i="1"/>
  <c r="AR138" i="1"/>
  <c r="AX232" i="1"/>
  <c r="AW232" i="1"/>
  <c r="AQ140" i="1" l="1"/>
  <c r="AQ139" i="1"/>
  <c r="AQ138" i="1"/>
  <c r="AQ132" i="1"/>
  <c r="AQ130" i="1"/>
  <c r="AQ131" i="1"/>
  <c r="AO101" i="1"/>
  <c r="AN99" i="1"/>
  <c r="AT121" i="1"/>
  <c r="AT123" i="1"/>
  <c r="AX106" i="1"/>
  <c r="AP125" i="1"/>
  <c r="AT122" i="1"/>
  <c r="AW126" i="1" s="1"/>
  <c r="AP135" i="1"/>
  <c r="AP128" i="1"/>
  <c r="AP144" i="1"/>
  <c r="AP102" i="1"/>
  <c r="AS105" i="1" s="1"/>
  <c r="AP143" i="1"/>
  <c r="AZ232" i="1"/>
  <c r="AY232" i="1"/>
  <c r="AN101" i="1" l="1"/>
  <c r="AM99" i="1"/>
  <c r="AP130" i="1"/>
  <c r="AP132" i="1"/>
  <c r="AP131" i="1"/>
  <c r="AO144" i="1"/>
  <c r="AO128" i="1"/>
  <c r="AO143" i="1"/>
  <c r="AO135" i="1"/>
  <c r="AO102" i="1"/>
  <c r="AR105" i="1" s="1"/>
  <c r="AP138" i="1"/>
  <c r="AP140" i="1"/>
  <c r="AP139" i="1"/>
  <c r="AS121" i="1"/>
  <c r="AO125" i="1"/>
  <c r="AS122" i="1"/>
  <c r="AV126" i="1" s="1"/>
  <c r="AW106" i="1"/>
  <c r="AS123" i="1"/>
  <c r="BB232" i="1"/>
  <c r="BA232" i="1"/>
  <c r="AO130" i="1" l="1"/>
  <c r="AO131" i="1"/>
  <c r="AO132" i="1"/>
  <c r="AN125" i="1"/>
  <c r="AR121" i="1"/>
  <c r="AV106" i="1"/>
  <c r="AR123" i="1"/>
  <c r="AR122" i="1"/>
  <c r="AU126" i="1" s="1"/>
  <c r="AM101" i="1"/>
  <c r="AL99" i="1"/>
  <c r="AO138" i="1"/>
  <c r="AO140" i="1"/>
  <c r="AO139" i="1"/>
  <c r="AN102" i="1"/>
  <c r="AQ105" i="1" s="1"/>
  <c r="AN143" i="1"/>
  <c r="AN144" i="1"/>
  <c r="AN128" i="1"/>
  <c r="AN135" i="1"/>
  <c r="BD232" i="1"/>
  <c r="BC232" i="1"/>
  <c r="AQ121" i="1" l="1"/>
  <c r="AU106" i="1"/>
  <c r="AM125" i="1"/>
  <c r="AQ122" i="1"/>
  <c r="AT126" i="1" s="1"/>
  <c r="AQ123" i="1"/>
  <c r="AK99" i="1"/>
  <c r="AL101" i="1"/>
  <c r="AN138" i="1"/>
  <c r="AN139" i="1"/>
  <c r="AN140" i="1"/>
  <c r="AN131" i="1"/>
  <c r="AN132" i="1"/>
  <c r="AN130" i="1"/>
  <c r="AM144" i="1"/>
  <c r="AM143" i="1"/>
  <c r="AM102" i="1"/>
  <c r="AP105" i="1" s="1"/>
  <c r="AM135" i="1"/>
  <c r="AM128" i="1"/>
  <c r="BF232" i="1"/>
  <c r="BE232" i="1"/>
  <c r="AL143" i="1" l="1"/>
  <c r="AL102" i="1"/>
  <c r="AO105" i="1" s="1"/>
  <c r="AL128" i="1"/>
  <c r="AL144" i="1"/>
  <c r="AL135" i="1"/>
  <c r="AJ99" i="1"/>
  <c r="AK101" i="1"/>
  <c r="AK102" i="1" s="1"/>
  <c r="AM138" i="1"/>
  <c r="AM139" i="1"/>
  <c r="AM140" i="1"/>
  <c r="AM132" i="1"/>
  <c r="AM131" i="1"/>
  <c r="AM130" i="1"/>
  <c r="AL125" i="1"/>
  <c r="AP121" i="1"/>
  <c r="AT106" i="1"/>
  <c r="AP123" i="1"/>
  <c r="AP122" i="1"/>
  <c r="AS126" i="1" s="1"/>
  <c r="BH232" i="1"/>
  <c r="BG232" i="1"/>
  <c r="AN105" i="1" l="1"/>
  <c r="AN122" i="1" s="1"/>
  <c r="AL132" i="1"/>
  <c r="AL131" i="1"/>
  <c r="AL130" i="1"/>
  <c r="AO123" i="1"/>
  <c r="AO121" i="1"/>
  <c r="AS106" i="1"/>
  <c r="AO122" i="1"/>
  <c r="AR126" i="1" s="1"/>
  <c r="AI99" i="1"/>
  <c r="AI101" i="1" s="1"/>
  <c r="AI102" i="1" s="1"/>
  <c r="AJ101" i="1"/>
  <c r="AJ102" i="1" s="1"/>
  <c r="AM105" i="1" s="1"/>
  <c r="AL138" i="1"/>
  <c r="AL140" i="1"/>
  <c r="AL139" i="1"/>
  <c r="BJ232" i="1"/>
  <c r="BI232" i="1"/>
  <c r="AQ126" i="1" l="1"/>
  <c r="AR106" i="1"/>
  <c r="AN123" i="1"/>
  <c r="AN121" i="1"/>
  <c r="AL105" i="1"/>
  <c r="AL121" i="1" s="1"/>
  <c r="AM121" i="1"/>
  <c r="AQ106" i="1"/>
  <c r="AM123" i="1"/>
  <c r="AM122" i="1"/>
  <c r="AP126" i="1" s="1"/>
  <c r="BL232" i="1"/>
  <c r="BK232" i="1"/>
  <c r="AL122" i="1" l="1"/>
  <c r="AO126" i="1" s="1"/>
  <c r="AL123" i="1"/>
  <c r="AP106" i="1"/>
  <c r="BN232" i="1"/>
  <c r="BM232" i="1"/>
  <c r="BP232" i="1" l="1"/>
  <c r="BO232" i="1"/>
  <c r="BR232" i="1" l="1"/>
  <c r="BQ232" i="1"/>
  <c r="BT232" i="1" l="1"/>
  <c r="BS232" i="1"/>
  <c r="BV232" i="1" l="1"/>
  <c r="BU232" i="1"/>
  <c r="BX232" i="1" l="1"/>
  <c r="BW232" i="1"/>
  <c r="BZ232" i="1" l="1"/>
  <c r="BY232" i="1"/>
  <c r="AL233" i="1" l="1"/>
  <c r="AL234" i="1" s="1"/>
  <c r="AL235" i="1" s="1"/>
  <c r="AL249" i="1" s="1"/>
  <c r="AK233" i="1"/>
  <c r="AK234" i="1" s="1"/>
  <c r="AK235" i="1" s="1"/>
  <c r="AK249" i="1" l="1"/>
  <c r="AK246" i="1"/>
  <c r="AN233" i="1"/>
  <c r="AN234" i="1" s="1"/>
  <c r="AN235" i="1" s="1"/>
  <c r="AN249" i="1" s="1"/>
  <c r="AM233" i="1"/>
  <c r="AM234" i="1" s="1"/>
  <c r="AM235" i="1" s="1"/>
  <c r="AN225" i="1"/>
  <c r="AP233" i="1" l="1"/>
  <c r="AP234" i="1" s="1"/>
  <c r="AP235" i="1" s="1"/>
  <c r="AP249" i="1" s="1"/>
  <c r="AO233" i="1"/>
  <c r="AO234" i="1" s="1"/>
  <c r="AO235" i="1" s="1"/>
  <c r="AM249" i="1"/>
  <c r="AL245" i="1" l="1"/>
  <c r="AL246" i="1" s="1"/>
  <c r="AK247" i="1"/>
  <c r="AO225" i="1"/>
  <c r="AO249" i="1"/>
  <c r="AL73" i="1"/>
  <c r="AL196" i="1" l="1"/>
  <c r="AL197" i="1" s="1"/>
  <c r="AN245" i="1"/>
  <c r="AN246" i="1" s="1"/>
  <c r="AM284" i="1"/>
  <c r="AM282" i="1"/>
  <c r="AM280" i="1"/>
  <c r="AR233" i="1"/>
  <c r="AR234" i="1" s="1"/>
  <c r="AR235" i="1" s="1"/>
  <c r="AR249" i="1" s="1"/>
  <c r="AQ233" i="1"/>
  <c r="AQ234" i="1" s="1"/>
  <c r="AQ235" i="1" s="1"/>
  <c r="AL201" i="1" l="1"/>
  <c r="AL202" i="1" s="1"/>
  <c r="AL204" i="1"/>
  <c r="AM245" i="1"/>
  <c r="AM246" i="1" s="1"/>
  <c r="AM247" i="1" s="1"/>
  <c r="AL284" i="1"/>
  <c r="AL282" i="1"/>
  <c r="AL280" i="1"/>
  <c r="AL247" i="1"/>
  <c r="AN196" i="1"/>
  <c r="AN197" i="1" s="1"/>
  <c r="AO282" i="1"/>
  <c r="AO284" i="1"/>
  <c r="AO280" i="1"/>
  <c r="AM145" i="1"/>
  <c r="AM146" i="1" s="1"/>
  <c r="AM149" i="1" s="1"/>
  <c r="AN73" i="1"/>
  <c r="AQ225" i="1"/>
  <c r="AQ249" i="1"/>
  <c r="AP245" i="1"/>
  <c r="AP246" i="1" s="1"/>
  <c r="AM73" i="1" l="1"/>
  <c r="AL145" i="1"/>
  <c r="AP196" i="1"/>
  <c r="AP197" i="1" s="1"/>
  <c r="AN201" i="1"/>
  <c r="AN202" i="1" s="1"/>
  <c r="AN204" i="1"/>
  <c r="AO245" i="1"/>
  <c r="AO246" i="1" s="1"/>
  <c r="AO247" i="1" s="1"/>
  <c r="AN284" i="1"/>
  <c r="AN282" i="1"/>
  <c r="AN280" i="1"/>
  <c r="AN247" i="1"/>
  <c r="AM147" i="1"/>
  <c r="AM150" i="1" s="1"/>
  <c r="AO145" i="1"/>
  <c r="AO147" i="1" s="1"/>
  <c r="AO150" i="1" s="1"/>
  <c r="AP73" i="1"/>
  <c r="AT233" i="1"/>
  <c r="AT234" i="1" s="1"/>
  <c r="AT235" i="1" s="1"/>
  <c r="AT249" i="1" s="1"/>
  <c r="AS233" i="1"/>
  <c r="AS234" i="1" s="1"/>
  <c r="AS235" i="1" s="1"/>
  <c r="AL146" i="1" l="1"/>
  <c r="AL149" i="1" s="1"/>
  <c r="AL147" i="1"/>
  <c r="AL150" i="1" s="1"/>
  <c r="AP201" i="1"/>
  <c r="AP202" i="1" s="1"/>
  <c r="AP204" i="1"/>
  <c r="AQ245" i="1"/>
  <c r="AQ246" i="1" s="1"/>
  <c r="AQ247" i="1" s="1"/>
  <c r="AP282" i="1"/>
  <c r="AP284" i="1"/>
  <c r="AP280" i="1"/>
  <c r="AO73" i="1"/>
  <c r="AN145" i="1"/>
  <c r="AP247" i="1"/>
  <c r="AQ282" i="1"/>
  <c r="AQ284" i="1"/>
  <c r="AQ280" i="1"/>
  <c r="AO146" i="1"/>
  <c r="AO149" i="1" s="1"/>
  <c r="AS225" i="1"/>
  <c r="AS249" i="1"/>
  <c r="AR245" i="1"/>
  <c r="AR246" i="1" s="1"/>
  <c r="AP145" i="1" l="1"/>
  <c r="AQ73" i="1"/>
  <c r="AN146" i="1"/>
  <c r="AN149" i="1" s="1"/>
  <c r="AN147" i="1"/>
  <c r="AN150" i="1" s="1"/>
  <c r="AR196" i="1"/>
  <c r="AR197" i="1" s="1"/>
  <c r="AQ145" i="1"/>
  <c r="AQ146" i="1" s="1"/>
  <c r="AQ149" i="1" s="1"/>
  <c r="AR73" i="1"/>
  <c r="AV233" i="1"/>
  <c r="AV234" i="1" s="1"/>
  <c r="AV235" i="1" s="1"/>
  <c r="AV249" i="1" s="1"/>
  <c r="AU233" i="1"/>
  <c r="AU234" i="1" s="1"/>
  <c r="AU235" i="1" s="1"/>
  <c r="AP147" i="1" l="1"/>
  <c r="AP150" i="1" s="1"/>
  <c r="AP146" i="1"/>
  <c r="AP149" i="1" s="1"/>
  <c r="AR204" i="1"/>
  <c r="AR201" i="1"/>
  <c r="AR202" i="1" s="1"/>
  <c r="AS245" i="1"/>
  <c r="AS246" i="1" s="1"/>
  <c r="AS247" i="1" s="1"/>
  <c r="AR284" i="1"/>
  <c r="AR280" i="1"/>
  <c r="AR282" i="1"/>
  <c r="AR247" i="1"/>
  <c r="AS284" i="1"/>
  <c r="AS282" i="1"/>
  <c r="AS280" i="1"/>
  <c r="AQ147" i="1"/>
  <c r="AQ150" i="1" s="1"/>
  <c r="AU225" i="1"/>
  <c r="AU249" i="1"/>
  <c r="AT245" i="1"/>
  <c r="AT246" i="1" s="1"/>
  <c r="AT196" i="1" l="1"/>
  <c r="AT197" i="1" s="1"/>
  <c r="AS73" i="1"/>
  <c r="AR145" i="1"/>
  <c r="AS145" i="1"/>
  <c r="AS146" i="1" s="1"/>
  <c r="AS149" i="1" s="1"/>
  <c r="AT73" i="1"/>
  <c r="AW225" i="1"/>
  <c r="AX233" i="1"/>
  <c r="AX234" i="1" s="1"/>
  <c r="AX235" i="1" s="1"/>
  <c r="AX249" i="1" s="1"/>
  <c r="AW233" i="1"/>
  <c r="AW234" i="1" s="1"/>
  <c r="AW235" i="1" s="1"/>
  <c r="AR147" i="1" l="1"/>
  <c r="AR150" i="1" s="1"/>
  <c r="AR146" i="1"/>
  <c r="AR149" i="1" s="1"/>
  <c r="AT201" i="1"/>
  <c r="AT202" i="1" s="1"/>
  <c r="AT204" i="1"/>
  <c r="AU245" i="1"/>
  <c r="AU246" i="1" s="1"/>
  <c r="AU247" i="1" s="1"/>
  <c r="AT284" i="1"/>
  <c r="AT282" i="1"/>
  <c r="AT280" i="1"/>
  <c r="AT247" i="1"/>
  <c r="AU284" i="1"/>
  <c r="AU282" i="1"/>
  <c r="AU280" i="1"/>
  <c r="AS147" i="1"/>
  <c r="AS150" i="1" s="1"/>
  <c r="AW249" i="1"/>
  <c r="AV245" i="1"/>
  <c r="AV246" i="1" s="1"/>
  <c r="AU73" i="1" l="1"/>
  <c r="AT145" i="1"/>
  <c r="AV196" i="1"/>
  <c r="AV197" i="1" s="1"/>
  <c r="AU145" i="1"/>
  <c r="AU147" i="1" s="1"/>
  <c r="AU150" i="1" s="1"/>
  <c r="AV73" i="1"/>
  <c r="AZ233" i="1"/>
  <c r="AZ234" i="1" s="1"/>
  <c r="AZ235" i="1" s="1"/>
  <c r="AZ249" i="1" s="1"/>
  <c r="AY233" i="1"/>
  <c r="AY234" i="1" s="1"/>
  <c r="AY235" i="1" s="1"/>
  <c r="AT147" i="1" l="1"/>
  <c r="AT150" i="1" s="1"/>
  <c r="AT146" i="1"/>
  <c r="AT149" i="1" s="1"/>
  <c r="AV204" i="1"/>
  <c r="AV201" i="1"/>
  <c r="AV202" i="1" s="1"/>
  <c r="AW245" i="1"/>
  <c r="AW246" i="1" s="1"/>
  <c r="AW247" i="1" s="1"/>
  <c r="AV280" i="1"/>
  <c r="AV284" i="1"/>
  <c r="AV282" i="1"/>
  <c r="AV247" i="1"/>
  <c r="AW282" i="1"/>
  <c r="AW284" i="1"/>
  <c r="AW280" i="1"/>
  <c r="AU146" i="1"/>
  <c r="AU149" i="1" s="1"/>
  <c r="AY225" i="1"/>
  <c r="AY249" i="1"/>
  <c r="AX245" i="1"/>
  <c r="AX246" i="1" s="1"/>
  <c r="AX196" i="1" l="1"/>
  <c r="AX197" i="1" s="1"/>
  <c r="AV145" i="1"/>
  <c r="AW73" i="1"/>
  <c r="AW145" i="1"/>
  <c r="AW147" i="1" s="1"/>
  <c r="AW150" i="1" s="1"/>
  <c r="AX73" i="1"/>
  <c r="BB233" i="1"/>
  <c r="BB234" i="1" s="1"/>
  <c r="BB235" i="1" s="1"/>
  <c r="BB249" i="1" s="1"/>
  <c r="BA233" i="1"/>
  <c r="BA234" i="1" s="1"/>
  <c r="BA235" i="1" s="1"/>
  <c r="AX201" i="1" l="1"/>
  <c r="AX202" i="1" s="1"/>
  <c r="AX204" i="1"/>
  <c r="AY245" i="1"/>
  <c r="AY246" i="1" s="1"/>
  <c r="AY247" i="1" s="1"/>
  <c r="AX284" i="1"/>
  <c r="AX280" i="1"/>
  <c r="AX282" i="1"/>
  <c r="AV146" i="1"/>
  <c r="AV149" i="1" s="1"/>
  <c r="AV147" i="1"/>
  <c r="AV150" i="1" s="1"/>
  <c r="AX247" i="1"/>
  <c r="AY282" i="1"/>
  <c r="AY284" i="1"/>
  <c r="AY280" i="1"/>
  <c r="AW146" i="1"/>
  <c r="AW149" i="1" s="1"/>
  <c r="BA225" i="1"/>
  <c r="BA249" i="1"/>
  <c r="AZ245" i="1"/>
  <c r="AZ246" i="1" s="1"/>
  <c r="AY73" i="1" l="1"/>
  <c r="AX145" i="1"/>
  <c r="AZ196" i="1"/>
  <c r="AZ197" i="1" s="1"/>
  <c r="AY145" i="1"/>
  <c r="AY147" i="1" s="1"/>
  <c r="AY150" i="1" s="1"/>
  <c r="AZ73" i="1"/>
  <c r="BD233" i="1"/>
  <c r="BD234" i="1" s="1"/>
  <c r="BD235" i="1" s="1"/>
  <c r="BD249" i="1" s="1"/>
  <c r="BC233" i="1"/>
  <c r="BC234" i="1" s="1"/>
  <c r="BC235" i="1" s="1"/>
  <c r="AX147" i="1" l="1"/>
  <c r="AX150" i="1" s="1"/>
  <c r="AX146" i="1"/>
  <c r="AX149" i="1" s="1"/>
  <c r="AZ204" i="1"/>
  <c r="AZ201" i="1"/>
  <c r="AZ202" i="1" s="1"/>
  <c r="BA245" i="1"/>
  <c r="BA246" i="1" s="1"/>
  <c r="BA247" i="1" s="1"/>
  <c r="AZ280" i="1"/>
  <c r="AZ284" i="1"/>
  <c r="AZ282" i="1"/>
  <c r="AZ247" i="1"/>
  <c r="BA284" i="1"/>
  <c r="BA282" i="1"/>
  <c r="BA280" i="1"/>
  <c r="AY146" i="1"/>
  <c r="AY149" i="1" s="1"/>
  <c r="BC225" i="1"/>
  <c r="BC249" i="1"/>
  <c r="BB245" i="1"/>
  <c r="BB246" i="1" s="1"/>
  <c r="BB196" i="1" l="1"/>
  <c r="BB197" i="1" s="1"/>
  <c r="AZ145" i="1"/>
  <c r="BA73" i="1"/>
  <c r="BA145" i="1"/>
  <c r="BA146" i="1" s="1"/>
  <c r="BA149" i="1" s="1"/>
  <c r="BB73" i="1"/>
  <c r="BF233" i="1"/>
  <c r="BF234" i="1" s="1"/>
  <c r="BF235" i="1" s="1"/>
  <c r="BF249" i="1" s="1"/>
  <c r="BE233" i="1"/>
  <c r="BE234" i="1" s="1"/>
  <c r="BE235" i="1" s="1"/>
  <c r="BB201" i="1" l="1"/>
  <c r="BB202" i="1" s="1"/>
  <c r="BB204" i="1"/>
  <c r="BC245" i="1"/>
  <c r="BC246" i="1" s="1"/>
  <c r="BC247" i="1" s="1"/>
  <c r="BB280" i="1"/>
  <c r="BB284" i="1"/>
  <c r="BB282" i="1"/>
  <c r="AZ146" i="1"/>
  <c r="AZ149" i="1" s="1"/>
  <c r="AZ147" i="1"/>
  <c r="AZ150" i="1" s="1"/>
  <c r="BB247" i="1"/>
  <c r="BC284" i="1"/>
  <c r="BC282" i="1"/>
  <c r="BC280" i="1"/>
  <c r="BA147" i="1"/>
  <c r="BA150" i="1" s="1"/>
  <c r="BE225" i="1"/>
  <c r="BE249" i="1"/>
  <c r="BD245" i="1"/>
  <c r="BD246" i="1" s="1"/>
  <c r="BB145" i="1" l="1"/>
  <c r="BC73" i="1"/>
  <c r="BD196" i="1"/>
  <c r="BD197" i="1" s="1"/>
  <c r="BC145" i="1"/>
  <c r="BC146" i="1" s="1"/>
  <c r="BC149" i="1" s="1"/>
  <c r="BD73" i="1"/>
  <c r="BG225" i="1"/>
  <c r="BH233" i="1"/>
  <c r="BH234" i="1" s="1"/>
  <c r="BH235" i="1" s="1"/>
  <c r="BH249" i="1" s="1"/>
  <c r="BG233" i="1"/>
  <c r="BG234" i="1" s="1"/>
  <c r="BG235" i="1" s="1"/>
  <c r="BB147" i="1" l="1"/>
  <c r="BB150" i="1" s="1"/>
  <c r="BB146" i="1"/>
  <c r="BB149" i="1" s="1"/>
  <c r="BD204" i="1"/>
  <c r="BD201" i="1"/>
  <c r="BD202" i="1" s="1"/>
  <c r="BE245" i="1"/>
  <c r="BE246" i="1" s="1"/>
  <c r="BE247" i="1" s="1"/>
  <c r="BD284" i="1"/>
  <c r="BD282" i="1"/>
  <c r="BD280" i="1"/>
  <c r="BD247" i="1"/>
  <c r="BE282" i="1"/>
  <c r="BE284" i="1"/>
  <c r="BE280" i="1"/>
  <c r="BC147" i="1"/>
  <c r="BC150" i="1" s="1"/>
  <c r="BG249" i="1"/>
  <c r="BF245" i="1"/>
  <c r="BF246" i="1" s="1"/>
  <c r="BF196" i="1" l="1"/>
  <c r="BF197" i="1" s="1"/>
  <c r="BD145" i="1"/>
  <c r="BE73" i="1"/>
  <c r="BE145" i="1"/>
  <c r="BE146" i="1" s="1"/>
  <c r="BE149" i="1" s="1"/>
  <c r="BF73" i="1"/>
  <c r="BJ233" i="1"/>
  <c r="BJ234" i="1" s="1"/>
  <c r="BJ235" i="1" s="1"/>
  <c r="BJ249" i="1" s="1"/>
  <c r="BI233" i="1"/>
  <c r="BI234" i="1" s="1"/>
  <c r="BI235" i="1" s="1"/>
  <c r="BD147" i="1" l="1"/>
  <c r="BD150" i="1" s="1"/>
  <c r="BD146" i="1"/>
  <c r="BD149" i="1" s="1"/>
  <c r="BF201" i="1"/>
  <c r="BF202" i="1" s="1"/>
  <c r="BF204" i="1"/>
  <c r="BG245" i="1"/>
  <c r="BG246" i="1" s="1"/>
  <c r="BG247" i="1" s="1"/>
  <c r="BF284" i="1"/>
  <c r="BF282" i="1"/>
  <c r="BF280" i="1"/>
  <c r="BF247" i="1"/>
  <c r="BG282" i="1"/>
  <c r="BG284" i="1"/>
  <c r="BG280" i="1"/>
  <c r="BE147" i="1"/>
  <c r="BE150" i="1" s="1"/>
  <c r="BI225" i="1"/>
  <c r="BI249" i="1"/>
  <c r="BH245" i="1"/>
  <c r="BH246" i="1" s="1"/>
  <c r="BG73" i="1" l="1"/>
  <c r="BF145" i="1"/>
  <c r="BH196" i="1"/>
  <c r="BH197" i="1" s="1"/>
  <c r="BG145" i="1"/>
  <c r="BG146" i="1" s="1"/>
  <c r="BG149" i="1" s="1"/>
  <c r="BH73" i="1"/>
  <c r="BL233" i="1"/>
  <c r="BL234" i="1" s="1"/>
  <c r="BL235" i="1" s="1"/>
  <c r="BL249" i="1" s="1"/>
  <c r="BK233" i="1"/>
  <c r="BK234" i="1" s="1"/>
  <c r="BK235" i="1" s="1"/>
  <c r="BF146" i="1" l="1"/>
  <c r="BF149" i="1" s="1"/>
  <c r="BF147" i="1"/>
  <c r="BF150" i="1" s="1"/>
  <c r="BH204" i="1"/>
  <c r="BH201" i="1"/>
  <c r="BH202" i="1" s="1"/>
  <c r="BH284" i="1"/>
  <c r="BI245" i="1"/>
  <c r="BI246" i="1" s="1"/>
  <c r="BI247" i="1" s="1"/>
  <c r="BH282" i="1"/>
  <c r="BH280" i="1"/>
  <c r="BH247" i="1"/>
  <c r="BI284" i="1"/>
  <c r="BI282" i="1"/>
  <c r="BI280" i="1"/>
  <c r="BG147" i="1"/>
  <c r="BG150" i="1" s="1"/>
  <c r="BK225" i="1"/>
  <c r="BK249" i="1"/>
  <c r="BJ245" i="1"/>
  <c r="BJ246" i="1" s="1"/>
  <c r="BJ196" i="1" l="1"/>
  <c r="BJ197" i="1" s="1"/>
  <c r="BH145" i="1"/>
  <c r="BI73" i="1"/>
  <c r="BI145" i="1"/>
  <c r="BI147" i="1" s="1"/>
  <c r="BI150" i="1" s="1"/>
  <c r="BJ73" i="1"/>
  <c r="BN233" i="1"/>
  <c r="BN234" i="1" s="1"/>
  <c r="BN235" i="1" s="1"/>
  <c r="BN249" i="1" s="1"/>
  <c r="BM233" i="1"/>
  <c r="BM234" i="1" s="1"/>
  <c r="BM235" i="1" s="1"/>
  <c r="BH146" i="1" l="1"/>
  <c r="BH149" i="1" s="1"/>
  <c r="BH147" i="1"/>
  <c r="BH150" i="1" s="1"/>
  <c r="BJ201" i="1"/>
  <c r="BJ202" i="1" s="1"/>
  <c r="BJ204" i="1"/>
  <c r="BK245" i="1"/>
  <c r="BK246" i="1" s="1"/>
  <c r="BK247" i="1" s="1"/>
  <c r="BJ282" i="1"/>
  <c r="BJ284" i="1"/>
  <c r="BJ280" i="1"/>
  <c r="BJ247" i="1"/>
  <c r="BK284" i="1"/>
  <c r="BK282" i="1"/>
  <c r="BK280" i="1"/>
  <c r="BI146" i="1"/>
  <c r="BI149" i="1" s="1"/>
  <c r="BM225" i="1"/>
  <c r="BM249" i="1"/>
  <c r="BL245" i="1"/>
  <c r="BL246" i="1" s="1"/>
  <c r="BJ145" i="1" l="1"/>
  <c r="BK73" i="1"/>
  <c r="BL196" i="1"/>
  <c r="BL197" i="1" s="1"/>
  <c r="BK145" i="1"/>
  <c r="BK147" i="1" s="1"/>
  <c r="BK150" i="1" s="1"/>
  <c r="BL73" i="1"/>
  <c r="BP233" i="1"/>
  <c r="BP234" i="1" s="1"/>
  <c r="BP235" i="1" s="1"/>
  <c r="BP249" i="1" s="1"/>
  <c r="BO233" i="1"/>
  <c r="BO234" i="1" s="1"/>
  <c r="BO235" i="1" s="1"/>
  <c r="BJ147" i="1" l="1"/>
  <c r="BJ150" i="1" s="1"/>
  <c r="BJ146" i="1"/>
  <c r="BJ149" i="1" s="1"/>
  <c r="BL204" i="1"/>
  <c r="BL201" i="1"/>
  <c r="BL202" i="1" s="1"/>
  <c r="BM245" i="1"/>
  <c r="BM246" i="1" s="1"/>
  <c r="BM247" i="1" s="1"/>
  <c r="BL282" i="1"/>
  <c r="BL284" i="1"/>
  <c r="BL280" i="1"/>
  <c r="BL247" i="1"/>
  <c r="BM282" i="1"/>
  <c r="BM284" i="1"/>
  <c r="BM280" i="1"/>
  <c r="BK146" i="1"/>
  <c r="BK149" i="1" s="1"/>
  <c r="BO225" i="1"/>
  <c r="BO249" i="1"/>
  <c r="BN245" i="1"/>
  <c r="BN246" i="1" s="1"/>
  <c r="BN196" i="1" l="1"/>
  <c r="BN197" i="1" s="1"/>
  <c r="BL145" i="1"/>
  <c r="BM73" i="1"/>
  <c r="BM145" i="1"/>
  <c r="BM146" i="1" s="1"/>
  <c r="BM149" i="1" s="1"/>
  <c r="BN73" i="1"/>
  <c r="BR233" i="1"/>
  <c r="BR234" i="1" s="1"/>
  <c r="BR235" i="1" s="1"/>
  <c r="BR249" i="1" s="1"/>
  <c r="BQ233" i="1"/>
  <c r="BQ234" i="1" s="1"/>
  <c r="BQ235" i="1" s="1"/>
  <c r="BN201" i="1" l="1"/>
  <c r="BN202" i="1" s="1"/>
  <c r="BN204" i="1"/>
  <c r="BO245" i="1"/>
  <c r="BO246" i="1" s="1"/>
  <c r="BO247" i="1" s="1"/>
  <c r="BN280" i="1"/>
  <c r="BN284" i="1"/>
  <c r="BN282" i="1"/>
  <c r="BL146" i="1"/>
  <c r="BL149" i="1" s="1"/>
  <c r="BL147" i="1"/>
  <c r="BL150" i="1" s="1"/>
  <c r="BN247" i="1"/>
  <c r="BO282" i="1"/>
  <c r="BO284" i="1"/>
  <c r="BO280" i="1"/>
  <c r="BM147" i="1"/>
  <c r="BM150" i="1" s="1"/>
  <c r="BQ225" i="1"/>
  <c r="BQ249" i="1"/>
  <c r="BP245" i="1"/>
  <c r="BP246" i="1" s="1"/>
  <c r="BN145" i="1" l="1"/>
  <c r="BO73" i="1"/>
  <c r="BP196" i="1"/>
  <c r="BP197" i="1" s="1"/>
  <c r="BO145" i="1"/>
  <c r="BO146" i="1" s="1"/>
  <c r="BO149" i="1" s="1"/>
  <c r="BP73" i="1"/>
  <c r="BT233" i="1"/>
  <c r="BT234" i="1" s="1"/>
  <c r="BT235" i="1" s="1"/>
  <c r="BT249" i="1" s="1"/>
  <c r="BS233" i="1"/>
  <c r="BS234" i="1" s="1"/>
  <c r="BS235" i="1" s="1"/>
  <c r="BN147" i="1" l="1"/>
  <c r="BN150" i="1" s="1"/>
  <c r="BN146" i="1"/>
  <c r="BN149" i="1" s="1"/>
  <c r="BP201" i="1"/>
  <c r="BP202" i="1" s="1"/>
  <c r="BP204" i="1"/>
  <c r="BQ245" i="1"/>
  <c r="BQ246" i="1" s="1"/>
  <c r="BQ247" i="1" s="1"/>
  <c r="BP284" i="1"/>
  <c r="BP282" i="1"/>
  <c r="BP280" i="1"/>
  <c r="BP247" i="1"/>
  <c r="BQ284" i="1"/>
  <c r="BQ282" i="1"/>
  <c r="BQ280" i="1"/>
  <c r="BO147" i="1"/>
  <c r="BO150" i="1" s="1"/>
  <c r="BS225" i="1"/>
  <c r="BS249" i="1"/>
  <c r="BR245" i="1"/>
  <c r="BR246" i="1" s="1"/>
  <c r="BR196" i="1" l="1"/>
  <c r="BR197" i="1" s="1"/>
  <c r="BP145" i="1"/>
  <c r="BQ73" i="1"/>
  <c r="BQ145" i="1"/>
  <c r="BQ146" i="1" s="1"/>
  <c r="BQ149" i="1" s="1"/>
  <c r="BR73" i="1"/>
  <c r="BV233" i="1"/>
  <c r="BV234" i="1" s="1"/>
  <c r="BV235" i="1" s="1"/>
  <c r="BV249" i="1" s="1"/>
  <c r="BU233" i="1"/>
  <c r="BU234" i="1" s="1"/>
  <c r="BU235" i="1" s="1"/>
  <c r="BR201" i="1" l="1"/>
  <c r="BR202" i="1" s="1"/>
  <c r="BR204" i="1"/>
  <c r="BS245" i="1"/>
  <c r="BS246" i="1" s="1"/>
  <c r="BS247" i="1" s="1"/>
  <c r="BR280" i="1"/>
  <c r="BR282" i="1"/>
  <c r="BR284" i="1"/>
  <c r="BP147" i="1"/>
  <c r="BP150" i="1" s="1"/>
  <c r="BP146" i="1"/>
  <c r="BP149" i="1" s="1"/>
  <c r="BR247" i="1"/>
  <c r="BS284" i="1"/>
  <c r="BS282" i="1"/>
  <c r="BS280" i="1"/>
  <c r="BQ147" i="1"/>
  <c r="BQ150" i="1" s="1"/>
  <c r="BU225" i="1"/>
  <c r="BU249" i="1"/>
  <c r="BT245" i="1"/>
  <c r="BT246" i="1" s="1"/>
  <c r="BS73" i="1" l="1"/>
  <c r="BR145" i="1"/>
  <c r="BT196" i="1"/>
  <c r="BT197" i="1" s="1"/>
  <c r="BS145" i="1"/>
  <c r="BS147" i="1" s="1"/>
  <c r="BS150" i="1" s="1"/>
  <c r="BT73" i="1"/>
  <c r="BX233" i="1"/>
  <c r="BX234" i="1" s="1"/>
  <c r="BX235" i="1" s="1"/>
  <c r="BX249" i="1" s="1"/>
  <c r="BW233" i="1"/>
  <c r="BW234" i="1" s="1"/>
  <c r="BW235" i="1" s="1"/>
  <c r="BR147" i="1" l="1"/>
  <c r="BR150" i="1" s="1"/>
  <c r="BR146" i="1"/>
  <c r="BR149" i="1" s="1"/>
  <c r="BT201" i="1"/>
  <c r="BT202" i="1" s="1"/>
  <c r="BT204" i="1"/>
  <c r="BU245" i="1"/>
  <c r="BU246" i="1" s="1"/>
  <c r="BU247" i="1" s="1"/>
  <c r="BT282" i="1"/>
  <c r="BT284" i="1"/>
  <c r="BT280" i="1"/>
  <c r="BT247" i="1"/>
  <c r="BU282" i="1"/>
  <c r="BU284" i="1"/>
  <c r="BU280" i="1"/>
  <c r="BS146" i="1"/>
  <c r="BS149" i="1" s="1"/>
  <c r="BW225" i="1"/>
  <c r="BW249" i="1"/>
  <c r="BV245" i="1"/>
  <c r="BV246" i="1" s="1"/>
  <c r="BV196" i="1" l="1"/>
  <c r="BV197" i="1" s="1"/>
  <c r="BU73" i="1"/>
  <c r="BT145" i="1"/>
  <c r="BU145" i="1"/>
  <c r="BU147" i="1" s="1"/>
  <c r="BU150" i="1" s="1"/>
  <c r="BV73" i="1"/>
  <c r="BZ233" i="1"/>
  <c r="BZ234" i="1" s="1"/>
  <c r="BZ235" i="1" s="1"/>
  <c r="BZ249" i="1" s="1"/>
  <c r="BY233" i="1"/>
  <c r="BY234" i="1" s="1"/>
  <c r="BY235" i="1" s="1"/>
  <c r="BT146" i="1" l="1"/>
  <c r="BT149" i="1" s="1"/>
  <c r="BT147" i="1"/>
  <c r="BT150" i="1" s="1"/>
  <c r="BV201" i="1"/>
  <c r="BV202" i="1" s="1"/>
  <c r="BV204" i="1"/>
  <c r="BW245" i="1"/>
  <c r="BW246" i="1" s="1"/>
  <c r="BW247" i="1" s="1"/>
  <c r="BV284" i="1"/>
  <c r="BV280" i="1"/>
  <c r="BV282" i="1"/>
  <c r="BV247" i="1"/>
  <c r="BW282" i="1"/>
  <c r="BW284" i="1"/>
  <c r="BW280" i="1"/>
  <c r="BU146" i="1"/>
  <c r="BU149" i="1" s="1"/>
  <c r="BY225" i="1"/>
  <c r="BY249" i="1"/>
  <c r="BX245" i="1"/>
  <c r="BX246" i="1" s="1"/>
  <c r="BV145" i="1" l="1"/>
  <c r="BW73" i="1"/>
  <c r="BX196" i="1"/>
  <c r="BX197" i="1" s="1"/>
  <c r="BW145" i="1"/>
  <c r="BW147" i="1" s="1"/>
  <c r="BW150" i="1" s="1"/>
  <c r="BX73" i="1"/>
  <c r="BV146" i="1" l="1"/>
  <c r="BV149" i="1" s="1"/>
  <c r="BV147" i="1"/>
  <c r="BV150" i="1" s="1"/>
  <c r="BX201" i="1"/>
  <c r="BX202" i="1" s="1"/>
  <c r="BX204" i="1"/>
  <c r="BY245" i="1"/>
  <c r="BY246" i="1" s="1"/>
  <c r="BY247" i="1" s="1"/>
  <c r="BX282" i="1"/>
  <c r="BX284" i="1"/>
  <c r="BX280" i="1"/>
  <c r="BX247" i="1"/>
  <c r="BY284" i="1"/>
  <c r="BY282" i="1"/>
  <c r="BY280" i="1"/>
  <c r="BW146" i="1"/>
  <c r="BW149" i="1" s="1"/>
  <c r="BZ245" i="1"/>
  <c r="BZ246" i="1" s="1"/>
  <c r="BY73" i="1" l="1"/>
  <c r="BX145" i="1"/>
  <c r="BZ196" i="1"/>
  <c r="BZ197" i="1" s="1"/>
  <c r="BZ247" i="1" s="1"/>
  <c r="BY145" i="1"/>
  <c r="BY146" i="1" s="1"/>
  <c r="BY149" i="1" s="1"/>
  <c r="BZ73" i="1"/>
  <c r="BX146" i="1" l="1"/>
  <c r="BX149" i="1" s="1"/>
  <c r="BX147" i="1"/>
  <c r="BX150" i="1" s="1"/>
  <c r="BZ204" i="1"/>
  <c r="BZ201" i="1"/>
  <c r="BZ202" i="1" s="1"/>
  <c r="BZ284" i="1"/>
  <c r="CA245" i="1"/>
  <c r="BZ282" i="1"/>
  <c r="BZ280" i="1"/>
  <c r="BY147" i="1"/>
  <c r="BY150" i="1" s="1"/>
  <c r="CB233" i="1"/>
  <c r="CA233" i="1"/>
  <c r="BZ145" i="1" l="1"/>
  <c r="CA73" i="1"/>
  <c r="CA232" i="1"/>
  <c r="CA234" i="1" s="1"/>
  <c r="CA235" i="1" s="1"/>
  <c r="CA249" i="1" s="1"/>
  <c r="CB232" i="1"/>
  <c r="CB234" i="1" s="1"/>
  <c r="CB235" i="1" s="1"/>
  <c r="CB249" i="1" s="1"/>
  <c r="BZ147" i="1" l="1"/>
  <c r="BZ150" i="1" s="1"/>
  <c r="BZ146" i="1"/>
  <c r="BZ149" i="1" s="1"/>
  <c r="CA225" i="1"/>
  <c r="CA246" i="1"/>
  <c r="CA284" i="1" l="1"/>
  <c r="CA282" i="1"/>
  <c r="CA280" i="1"/>
  <c r="CB245" i="1"/>
  <c r="CB246" i="1" s="1"/>
  <c r="CA247" i="1"/>
  <c r="CB196" i="1" l="1"/>
  <c r="CB197" i="1" s="1"/>
  <c r="CA145" i="1"/>
  <c r="CA146" i="1" s="1"/>
  <c r="CA149" i="1" s="1"/>
  <c r="CB73" i="1"/>
  <c r="CB204" i="1" l="1"/>
  <c r="CB201" i="1"/>
  <c r="CB202" i="1" s="1"/>
  <c r="CC245" i="1"/>
  <c r="CB284" i="1"/>
  <c r="CB282" i="1"/>
  <c r="CB280" i="1"/>
  <c r="CB247" i="1"/>
  <c r="CA147" i="1"/>
  <c r="CA150" i="1" s="1"/>
  <c r="CB145" i="1" l="1"/>
  <c r="CC73" i="1"/>
  <c r="CE125" i="1"/>
  <c r="CD125" i="1"/>
  <c r="CC125" i="1"/>
  <c r="CB125" i="1"/>
  <c r="CB146" i="1" l="1"/>
  <c r="CB149" i="1" s="1"/>
  <c r="CB147" i="1"/>
  <c r="CB150" i="1" s="1"/>
  <c r="CJ233" i="1" l="1"/>
  <c r="CI233" i="1"/>
  <c r="CJ232" i="1" l="1"/>
  <c r="CJ234" i="1" s="1"/>
  <c r="CJ235" i="1" s="1"/>
  <c r="CI232" i="1"/>
  <c r="CI234" i="1" s="1"/>
  <c r="CI235" i="1" s="1"/>
  <c r="CI249" i="1" s="1"/>
  <c r="CI246" i="1" l="1"/>
  <c r="CI284" i="1" l="1"/>
  <c r="CI282" i="1"/>
  <c r="CI280" i="1"/>
  <c r="CI247" i="1"/>
  <c r="CJ245" i="1"/>
  <c r="CI145" i="1" l="1"/>
  <c r="CI147" i="1" s="1"/>
  <c r="CI150" i="1" s="1"/>
  <c r="CJ73" i="1"/>
  <c r="CI146" i="1" l="1"/>
  <c r="CI149" i="1" s="1"/>
  <c r="CK267" i="1" l="1"/>
  <c r="CN46" i="1"/>
  <c r="CM46" i="1"/>
  <c r="CN267" i="1"/>
  <c r="CM267" i="1"/>
  <c r="CK134" i="1"/>
  <c r="CK135" i="1" s="1"/>
  <c r="CK138" i="1" s="1"/>
  <c r="CM134" i="1"/>
  <c r="CM135" i="1" s="1"/>
  <c r="CM138" i="1" s="1"/>
  <c r="CN134" i="1"/>
  <c r="CN135" i="1" s="1"/>
  <c r="CN138" i="1" s="1"/>
  <c r="CM182" i="1" l="1"/>
  <c r="CM47" i="1"/>
  <c r="CN62" i="1"/>
  <c r="CN58" i="1" s="1"/>
  <c r="CN47" i="1"/>
  <c r="CN181" i="1"/>
  <c r="CN52" i="1"/>
  <c r="CN51" i="1" s="1"/>
  <c r="CN180" i="1"/>
  <c r="CN189" i="1"/>
  <c r="CM62" i="1"/>
  <c r="CM58" i="1" s="1"/>
  <c r="CM189" i="1"/>
  <c r="CN48" i="1"/>
  <c r="CN188" i="1"/>
  <c r="CN182" i="1"/>
  <c r="CM181" i="1"/>
  <c r="CM48" i="1"/>
  <c r="CM52" i="1"/>
  <c r="CM51" i="1" s="1"/>
  <c r="CM188" i="1"/>
  <c r="CM180" i="1"/>
  <c r="CM261" i="1"/>
  <c r="AB44" i="1"/>
  <c r="AB35" i="1" s="1"/>
  <c r="CK261" i="1"/>
  <c r="CN261" i="1"/>
  <c r="AB39" i="1" l="1"/>
  <c r="AB34" i="1"/>
  <c r="AA9" i="1"/>
  <c r="AA35" i="1"/>
  <c r="AA39" i="1" s="1"/>
  <c r="CM192" i="1"/>
  <c r="CN64" i="1"/>
  <c r="CN54" i="1"/>
  <c r="CO46" i="1"/>
  <c r="CK233" i="1"/>
  <c r="CN184" i="1"/>
  <c r="CM184" i="1"/>
  <c r="CN192" i="1"/>
  <c r="CR46" i="1"/>
  <c r="CM54" i="1"/>
  <c r="CR267" i="1"/>
  <c r="CQ46" i="1"/>
  <c r="CQ267" i="1"/>
  <c r="CM64" i="1"/>
  <c r="CR134" i="1"/>
  <c r="CR135" i="1" s="1"/>
  <c r="CR138" i="1" s="1"/>
  <c r="CN55" i="1"/>
  <c r="CO134" i="1"/>
  <c r="CO135" i="1" s="1"/>
  <c r="CO138" i="1" s="1"/>
  <c r="CO267" i="1"/>
  <c r="CK232" i="1"/>
  <c r="CM55" i="1"/>
  <c r="CP267" i="1"/>
  <c r="CP46" i="1"/>
  <c r="CQ134" i="1"/>
  <c r="CQ135" i="1" s="1"/>
  <c r="CQ138" i="1" s="1"/>
  <c r="CP134" i="1"/>
  <c r="CP135" i="1" s="1"/>
  <c r="CP138" i="1" s="1"/>
  <c r="CO47" i="1" l="1"/>
  <c r="CQ47" i="1"/>
  <c r="CR181" i="1"/>
  <c r="CR47" i="1"/>
  <c r="CP47" i="1"/>
  <c r="AA34" i="1"/>
  <c r="AA38" i="1" s="1"/>
  <c r="CM193" i="1"/>
  <c r="CN65" i="1"/>
  <c r="CN268" i="1"/>
  <c r="CN269" i="1" s="1"/>
  <c r="CN66" i="1"/>
  <c r="CO180" i="1"/>
  <c r="CO52" i="1"/>
  <c r="CO188" i="1"/>
  <c r="CO189" i="1"/>
  <c r="AB189" i="1" s="1"/>
  <c r="CO62" i="1"/>
  <c r="CO58" i="1" s="1"/>
  <c r="AB58" i="1" s="1"/>
  <c r="CO261" i="1"/>
  <c r="CO181" i="1"/>
  <c r="AB181" i="1" s="1"/>
  <c r="CO182" i="1"/>
  <c r="AB182" i="1" s="1"/>
  <c r="CS134" i="1"/>
  <c r="CS135" i="1" s="1"/>
  <c r="CS138" i="1" s="1"/>
  <c r="CO48" i="1"/>
  <c r="CN286" i="1"/>
  <c r="CN287" i="1" s="1"/>
  <c r="CN193" i="1"/>
  <c r="CN233" i="1"/>
  <c r="CN232" i="1"/>
  <c r="CR62" i="1"/>
  <c r="CR58" i="1" s="1"/>
  <c r="CR180" i="1"/>
  <c r="CR182" i="1"/>
  <c r="CR52" i="1"/>
  <c r="CR189" i="1"/>
  <c r="CR48" i="1"/>
  <c r="CR188" i="1"/>
  <c r="CK234" i="1"/>
  <c r="CQ48" i="1"/>
  <c r="CQ62" i="1"/>
  <c r="CQ58" i="1" s="1"/>
  <c r="CQ182" i="1"/>
  <c r="CQ181" i="1"/>
  <c r="CQ188" i="1"/>
  <c r="CQ189" i="1"/>
  <c r="CQ180" i="1"/>
  <c r="CN67" i="1"/>
  <c r="CM66" i="1"/>
  <c r="CM268" i="1"/>
  <c r="CM269" i="1" s="1"/>
  <c r="CM65" i="1"/>
  <c r="CQ52" i="1"/>
  <c r="CQ51" i="1" s="1"/>
  <c r="CK148" i="1"/>
  <c r="CK286" i="1"/>
  <c r="CK287" i="1" s="1"/>
  <c r="CM286" i="1"/>
  <c r="CM287" i="1" s="1"/>
  <c r="CK268" i="1"/>
  <c r="CK269" i="1" s="1"/>
  <c r="CK262" i="1"/>
  <c r="CN262" i="1"/>
  <c r="CR261" i="1"/>
  <c r="CP261" i="1"/>
  <c r="AB46" i="1"/>
  <c r="AB94" i="1" s="1"/>
  <c r="CM148" i="1"/>
  <c r="CN148" i="1"/>
  <c r="CM233" i="1"/>
  <c r="CP181" i="1"/>
  <c r="CP180" i="1"/>
  <c r="CP188" i="1"/>
  <c r="CP52" i="1"/>
  <c r="CP51" i="1" s="1"/>
  <c r="CP189" i="1"/>
  <c r="CP182" i="1"/>
  <c r="CP48" i="1"/>
  <c r="CP62" i="1"/>
  <c r="CP58" i="1" s="1"/>
  <c r="CU46" i="1"/>
  <c r="CU47" i="1" s="1"/>
  <c r="CU267" i="1"/>
  <c r="CM232" i="1"/>
  <c r="CQ261" i="1"/>
  <c r="CM262" i="1"/>
  <c r="CM67" i="1"/>
  <c r="AB38" i="1" l="1"/>
  <c r="CN234" i="1"/>
  <c r="AB180" i="1"/>
  <c r="CO184" i="1"/>
  <c r="CO232" i="1" s="1"/>
  <c r="AB188" i="1"/>
  <c r="AB192" i="1" s="1"/>
  <c r="CO192" i="1"/>
  <c r="CO233" i="1" s="1"/>
  <c r="AB219" i="1"/>
  <c r="CO64" i="1"/>
  <c r="CO286" i="1" s="1"/>
  <c r="CO287" i="1" s="1"/>
  <c r="CO54" i="1"/>
  <c r="CO55" i="1"/>
  <c r="CO51" i="1"/>
  <c r="AB51" i="1" s="1"/>
  <c r="AB52" i="1" s="1"/>
  <c r="AB95" i="1" s="1"/>
  <c r="AB216" i="1"/>
  <c r="AC44" i="1"/>
  <c r="AC35" i="1" s="1"/>
  <c r="CS46" i="1"/>
  <c r="CS267" i="1"/>
  <c r="CR55" i="1"/>
  <c r="CR192" i="1"/>
  <c r="CR64" i="1"/>
  <c r="CR51" i="1"/>
  <c r="CR184" i="1"/>
  <c r="CR54" i="1"/>
  <c r="CQ64" i="1"/>
  <c r="CV46" i="1"/>
  <c r="CQ54" i="1"/>
  <c r="CV267" i="1"/>
  <c r="CQ192" i="1"/>
  <c r="CQ184" i="1"/>
  <c r="AB134" i="1"/>
  <c r="AB224" i="1"/>
  <c r="CQ55" i="1"/>
  <c r="CM234" i="1"/>
  <c r="CV134" i="1"/>
  <c r="CV135" i="1" s="1"/>
  <c r="CV138" i="1" s="1"/>
  <c r="AB47" i="1"/>
  <c r="CP184" i="1"/>
  <c r="AB62" i="1"/>
  <c r="AB63" i="1" s="1"/>
  <c r="CT134" i="1"/>
  <c r="CT135" i="1" s="1"/>
  <c r="CT138" i="1" s="1"/>
  <c r="CU62" i="1"/>
  <c r="CU58" i="1" s="1"/>
  <c r="CU180" i="1"/>
  <c r="CU52" i="1"/>
  <c r="CU51" i="1" s="1"/>
  <c r="CU188" i="1"/>
  <c r="CU181" i="1"/>
  <c r="CU189" i="1"/>
  <c r="CU182" i="1"/>
  <c r="CP54" i="1"/>
  <c r="CP64" i="1"/>
  <c r="CP55" i="1"/>
  <c r="CT267" i="1"/>
  <c r="CT46" i="1"/>
  <c r="CP192" i="1"/>
  <c r="CU134" i="1"/>
  <c r="CU135" i="1" s="1"/>
  <c r="CU138" i="1" s="1"/>
  <c r="CU48" i="1" l="1"/>
  <c r="CT47" i="1"/>
  <c r="CS47" i="1"/>
  <c r="CV47" i="1"/>
  <c r="AC39" i="1"/>
  <c r="AC34" i="1"/>
  <c r="AC38" i="1" s="1"/>
  <c r="CO148" i="1"/>
  <c r="CO262" i="1"/>
  <c r="CO193" i="1"/>
  <c r="CO66" i="1"/>
  <c r="CO268" i="1"/>
  <c r="CO269" i="1" s="1"/>
  <c r="CO67" i="1"/>
  <c r="CO65" i="1"/>
  <c r="CS261" i="1"/>
  <c r="CS180" i="1"/>
  <c r="CS52" i="1"/>
  <c r="CS188" i="1"/>
  <c r="CW134" i="1"/>
  <c r="CW135" i="1" s="1"/>
  <c r="CW138" i="1" s="1"/>
  <c r="CS48" i="1"/>
  <c r="CS181" i="1"/>
  <c r="AC181" i="1" s="1"/>
  <c r="CS189" i="1"/>
  <c r="AC189" i="1" s="1"/>
  <c r="CS182" i="1"/>
  <c r="AC182" i="1" s="1"/>
  <c r="CS62" i="1"/>
  <c r="CS58" i="1" s="1"/>
  <c r="AC58" i="1" s="1"/>
  <c r="CR268" i="1"/>
  <c r="CR269" i="1" s="1"/>
  <c r="CR66" i="1"/>
  <c r="CQ66" i="1"/>
  <c r="CQ65" i="1"/>
  <c r="CV52" i="1"/>
  <c r="CV182" i="1"/>
  <c r="CR233" i="1"/>
  <c r="CR232" i="1"/>
  <c r="CR234" i="1" s="1"/>
  <c r="CR65" i="1"/>
  <c r="CV189" i="1"/>
  <c r="CV180" i="1"/>
  <c r="CV48" i="1"/>
  <c r="CR193" i="1"/>
  <c r="CQ233" i="1"/>
  <c r="CR286" i="1"/>
  <c r="CR287" i="1" s="1"/>
  <c r="CR67" i="1"/>
  <c r="CQ268" i="1"/>
  <c r="CQ269" i="1" s="1"/>
  <c r="CQ193" i="1"/>
  <c r="CV62" i="1"/>
  <c r="CV58" i="1" s="1"/>
  <c r="CV188" i="1"/>
  <c r="CV181" i="1"/>
  <c r="AB54" i="1"/>
  <c r="CP148" i="1"/>
  <c r="CP286" i="1"/>
  <c r="CP287" i="1" s="1"/>
  <c r="CQ286" i="1"/>
  <c r="CQ287" i="1" s="1"/>
  <c r="CV261" i="1"/>
  <c r="CP233" i="1"/>
  <c r="CP268" i="1"/>
  <c r="CP269" i="1" s="1"/>
  <c r="CP66" i="1"/>
  <c r="CP67" i="1"/>
  <c r="CP65" i="1"/>
  <c r="CT261" i="1"/>
  <c r="CP262" i="1"/>
  <c r="CU261" i="1"/>
  <c r="CR262" i="1"/>
  <c r="CQ262" i="1"/>
  <c r="AC46" i="1"/>
  <c r="AC94" i="1" s="1"/>
  <c r="CO234" i="1"/>
  <c r="CQ148" i="1"/>
  <c r="CU192" i="1"/>
  <c r="CU64" i="1"/>
  <c r="CU54" i="1"/>
  <c r="CT180" i="1"/>
  <c r="CT189" i="1"/>
  <c r="CT52" i="1"/>
  <c r="CT51" i="1" s="1"/>
  <c r="CT181" i="1"/>
  <c r="CT188" i="1"/>
  <c r="CT62" i="1"/>
  <c r="CT58" i="1" s="1"/>
  <c r="CT48" i="1"/>
  <c r="CT182" i="1"/>
  <c r="AB53" i="1"/>
  <c r="AB64" i="1"/>
  <c r="CU184" i="1"/>
  <c r="CQ67" i="1"/>
  <c r="CQ232" i="1"/>
  <c r="CP193" i="1"/>
  <c r="CP232" i="1"/>
  <c r="CY46" i="1"/>
  <c r="CY47" i="1" s="1"/>
  <c r="CY267" i="1"/>
  <c r="AB221" i="1"/>
  <c r="AB220" i="1" s="1"/>
  <c r="AB233" i="1"/>
  <c r="CR148" i="1"/>
  <c r="AB184" i="1"/>
  <c r="AB215" i="1"/>
  <c r="AC180" i="1" l="1"/>
  <c r="CS184" i="1"/>
  <c r="CS232" i="1" s="1"/>
  <c r="AC219" i="1"/>
  <c r="AC216" i="1"/>
  <c r="CS51" i="1"/>
  <c r="AC51" i="1" s="1"/>
  <c r="AC52" i="1" s="1"/>
  <c r="AC95" i="1" s="1"/>
  <c r="CS64" i="1"/>
  <c r="CS54" i="1"/>
  <c r="CS55" i="1"/>
  <c r="AC188" i="1"/>
  <c r="AC192" i="1" s="1"/>
  <c r="CS192" i="1"/>
  <c r="AD44" i="1"/>
  <c r="AD35" i="1" s="1"/>
  <c r="CW267" i="1"/>
  <c r="CW46" i="1"/>
  <c r="CV51" i="1"/>
  <c r="CV55" i="1"/>
  <c r="CV54" i="1"/>
  <c r="CZ267" i="1"/>
  <c r="CZ46" i="1"/>
  <c r="CZ47" i="1" s="1"/>
  <c r="CV184" i="1"/>
  <c r="AB286" i="1"/>
  <c r="AB287" i="1" s="1"/>
  <c r="AB96" i="1"/>
  <c r="CQ234" i="1"/>
  <c r="CV192" i="1"/>
  <c r="CV233" i="1" s="1"/>
  <c r="CV64" i="1"/>
  <c r="CX134" i="1"/>
  <c r="CX135" i="1" s="1"/>
  <c r="CX138" i="1" s="1"/>
  <c r="CP234" i="1"/>
  <c r="AC134" i="1"/>
  <c r="AC224" i="1"/>
  <c r="AB66" i="1"/>
  <c r="CT184" i="1"/>
  <c r="CU65" i="1"/>
  <c r="CU66" i="1"/>
  <c r="CU268" i="1"/>
  <c r="CU269" i="1" s="1"/>
  <c r="CY134" i="1"/>
  <c r="CY135" i="1" s="1"/>
  <c r="CY138" i="1" s="1"/>
  <c r="AC62" i="1"/>
  <c r="AC63" i="1" s="1"/>
  <c r="AB193" i="1"/>
  <c r="AB218" i="1"/>
  <c r="AB232" i="1"/>
  <c r="AB234" i="1" s="1"/>
  <c r="AB148" i="1"/>
  <c r="AB65" i="1"/>
  <c r="CT192" i="1"/>
  <c r="CT55" i="1"/>
  <c r="CT54" i="1"/>
  <c r="CT64" i="1"/>
  <c r="AC47" i="1"/>
  <c r="CX267" i="1"/>
  <c r="CX46" i="1"/>
  <c r="CX47" i="1" s="1"/>
  <c r="CZ134" i="1"/>
  <c r="CZ135" i="1" s="1"/>
  <c r="CZ138" i="1" s="1"/>
  <c r="CY181" i="1"/>
  <c r="CY52" i="1"/>
  <c r="CY51" i="1" s="1"/>
  <c r="CY189" i="1"/>
  <c r="CY182" i="1"/>
  <c r="CY188" i="1"/>
  <c r="CY62" i="1"/>
  <c r="CY58" i="1" s="1"/>
  <c r="CY180" i="1"/>
  <c r="CU193" i="1"/>
  <c r="CU55" i="1"/>
  <c r="AD39" i="1" l="1"/>
  <c r="AD34" i="1"/>
  <c r="AD38" i="1" s="1"/>
  <c r="CW47" i="1"/>
  <c r="CS148" i="1"/>
  <c r="CS262" i="1"/>
  <c r="CT232" i="1"/>
  <c r="CZ261" i="1"/>
  <c r="CS286" i="1"/>
  <c r="CS287" i="1" s="1"/>
  <c r="CS67" i="1"/>
  <c r="CS65" i="1"/>
  <c r="CS268" i="1"/>
  <c r="CS269" i="1" s="1"/>
  <c r="CS66" i="1"/>
  <c r="CS233" i="1"/>
  <c r="CS234" i="1" s="1"/>
  <c r="CS193" i="1"/>
  <c r="CW261" i="1"/>
  <c r="CW52" i="1"/>
  <c r="CW55" i="1" s="1"/>
  <c r="CW188" i="1"/>
  <c r="CW180" i="1"/>
  <c r="CW48" i="1"/>
  <c r="CW182" i="1"/>
  <c r="AD182" i="1" s="1"/>
  <c r="CW181" i="1"/>
  <c r="AD181" i="1" s="1"/>
  <c r="CW189" i="1"/>
  <c r="AD189" i="1" s="1"/>
  <c r="CW62" i="1"/>
  <c r="CW58" i="1" s="1"/>
  <c r="AD58" i="1" s="1"/>
  <c r="CZ189" i="1"/>
  <c r="CZ180" i="1"/>
  <c r="CZ48" i="1"/>
  <c r="CZ62" i="1"/>
  <c r="CZ58" i="1" s="1"/>
  <c r="CZ182" i="1"/>
  <c r="CV268" i="1"/>
  <c r="CV269" i="1" s="1"/>
  <c r="CV65" i="1"/>
  <c r="CZ188" i="1"/>
  <c r="CZ181" i="1"/>
  <c r="CZ52" i="1"/>
  <c r="CV232" i="1"/>
  <c r="CV234" i="1" s="1"/>
  <c r="CV193" i="1"/>
  <c r="CV286" i="1"/>
  <c r="CV287" i="1" s="1"/>
  <c r="CV67" i="1"/>
  <c r="CV66" i="1"/>
  <c r="AC54" i="1"/>
  <c r="CU148" i="1"/>
  <c r="CT286" i="1"/>
  <c r="CT287" i="1" s="1"/>
  <c r="CU286" i="1"/>
  <c r="CU287" i="1" s="1"/>
  <c r="CX261" i="1"/>
  <c r="CY261" i="1"/>
  <c r="CY48" i="1"/>
  <c r="CU233" i="1"/>
  <c r="CT233" i="1"/>
  <c r="CV262" i="1"/>
  <c r="AC64" i="1"/>
  <c r="AC53" i="1"/>
  <c r="CT262" i="1"/>
  <c r="AC215" i="1"/>
  <c r="AC184" i="1"/>
  <c r="CT193" i="1"/>
  <c r="CU232" i="1"/>
  <c r="CY184" i="1"/>
  <c r="CY192" i="1"/>
  <c r="CX180" i="1"/>
  <c r="CX181" i="1"/>
  <c r="CX52" i="1"/>
  <c r="CY55" i="1" s="1"/>
  <c r="CX189" i="1"/>
  <c r="CX188" i="1"/>
  <c r="CX48" i="1"/>
  <c r="CX62" i="1"/>
  <c r="CX58" i="1" s="1"/>
  <c r="CX182" i="1"/>
  <c r="CT66" i="1"/>
  <c r="CT65" i="1"/>
  <c r="CT268" i="1"/>
  <c r="CT269" i="1" s="1"/>
  <c r="CT67" i="1"/>
  <c r="CU262" i="1"/>
  <c r="CU67" i="1"/>
  <c r="CY54" i="1"/>
  <c r="CY64" i="1"/>
  <c r="AD46" i="1"/>
  <c r="AD94" i="1" s="1"/>
  <c r="AC221" i="1"/>
  <c r="AC220" i="1" s="1"/>
  <c r="AC233" i="1"/>
  <c r="AB217" i="1"/>
  <c r="AB222" i="1"/>
  <c r="AB225" i="1" s="1"/>
  <c r="AB226" i="1" s="1"/>
  <c r="CT148" i="1"/>
  <c r="CV148" i="1"/>
  <c r="CZ192" i="1" l="1"/>
  <c r="CZ233" i="1" s="1"/>
  <c r="DA267" i="1"/>
  <c r="DA134" i="1"/>
  <c r="DA135" i="1" s="1"/>
  <c r="DA138" i="1" s="1"/>
  <c r="AD180" i="1"/>
  <c r="CW184" i="1"/>
  <c r="CW232" i="1" s="1"/>
  <c r="CT234" i="1"/>
  <c r="AD188" i="1"/>
  <c r="AD192" i="1" s="1"/>
  <c r="CW192" i="1"/>
  <c r="AE44" i="1"/>
  <c r="AE35" i="1" s="1"/>
  <c r="DA46" i="1"/>
  <c r="DA47" i="1" s="1"/>
  <c r="CZ51" i="1"/>
  <c r="CZ54" i="1"/>
  <c r="CZ64" i="1"/>
  <c r="CZ286" i="1" s="1"/>
  <c r="CZ287" i="1" s="1"/>
  <c r="CZ55" i="1"/>
  <c r="CZ184" i="1"/>
  <c r="AD216" i="1"/>
  <c r="AD219" i="1"/>
  <c r="CW51" i="1"/>
  <c r="AD51" i="1" s="1"/>
  <c r="CW54" i="1"/>
  <c r="CW64" i="1"/>
  <c r="CW262" i="1" s="1"/>
  <c r="AC286" i="1"/>
  <c r="AC287" i="1" s="1"/>
  <c r="AC96" i="1"/>
  <c r="AD134" i="1"/>
  <c r="AD224" i="1"/>
  <c r="CU234" i="1"/>
  <c r="AC66" i="1"/>
  <c r="AD62" i="1"/>
  <c r="AD63" i="1" s="1"/>
  <c r="CX192" i="1"/>
  <c r="CY66" i="1"/>
  <c r="CY65" i="1"/>
  <c r="CY268" i="1"/>
  <c r="CY269" i="1" s="1"/>
  <c r="CY193" i="1"/>
  <c r="CX55" i="1"/>
  <c r="CX64" i="1"/>
  <c r="CY286" i="1" s="1"/>
  <c r="CY287" i="1" s="1"/>
  <c r="CX54" i="1"/>
  <c r="AC218" i="1"/>
  <c r="AC193" i="1"/>
  <c r="AC232" i="1"/>
  <c r="AC234" i="1" s="1"/>
  <c r="AC65" i="1"/>
  <c r="AC148" i="1"/>
  <c r="CX184" i="1"/>
  <c r="AD47" i="1"/>
  <c r="CX51" i="1"/>
  <c r="AE39" i="1" l="1"/>
  <c r="AE34" i="1"/>
  <c r="AE38" i="1" s="1"/>
  <c r="CW233" i="1"/>
  <c r="CW234" i="1" s="1"/>
  <c r="CW193" i="1"/>
  <c r="DA261" i="1"/>
  <c r="DA188" i="1"/>
  <c r="DA189" i="1"/>
  <c r="AE189" i="1" s="1"/>
  <c r="AE219" i="1" s="1"/>
  <c r="DA181" i="1"/>
  <c r="AE181" i="1" s="1"/>
  <c r="AE216" i="1" s="1"/>
  <c r="DA52" i="1"/>
  <c r="DA54" i="1" s="1"/>
  <c r="DA180" i="1"/>
  <c r="AE180" i="1" s="1"/>
  <c r="DA62" i="1"/>
  <c r="DA48" i="1"/>
  <c r="DA182" i="1"/>
  <c r="CZ65" i="1"/>
  <c r="CZ268" i="1"/>
  <c r="CZ269" i="1" s="1"/>
  <c r="CZ67" i="1"/>
  <c r="CZ66" i="1"/>
  <c r="CZ193" i="1"/>
  <c r="CZ232" i="1"/>
  <c r="CZ234" i="1" s="1"/>
  <c r="CW286" i="1"/>
  <c r="CW287" i="1" s="1"/>
  <c r="CW67" i="1"/>
  <c r="CW148" i="1"/>
  <c r="CW268" i="1"/>
  <c r="CW269" i="1" s="1"/>
  <c r="CW65" i="1"/>
  <c r="CW66" i="1"/>
  <c r="AD52" i="1"/>
  <c r="AD54" i="1" s="1"/>
  <c r="CZ148" i="1"/>
  <c r="CX286" i="1"/>
  <c r="CX287" i="1" s="1"/>
  <c r="CY262" i="1"/>
  <c r="CY67" i="1"/>
  <c r="CZ262" i="1"/>
  <c r="CX262" i="1"/>
  <c r="CY148" i="1"/>
  <c r="CX148" i="1"/>
  <c r="CY232" i="1"/>
  <c r="CX193" i="1"/>
  <c r="CY233" i="1"/>
  <c r="CX233" i="1"/>
  <c r="AD221" i="1"/>
  <c r="AD220" i="1" s="1"/>
  <c r="AD233" i="1"/>
  <c r="CX232" i="1"/>
  <c r="CX66" i="1"/>
  <c r="CX65" i="1"/>
  <c r="CX268" i="1"/>
  <c r="CX269" i="1" s="1"/>
  <c r="CX67" i="1"/>
  <c r="AD215" i="1"/>
  <c r="AD184" i="1"/>
  <c r="AC217" i="1"/>
  <c r="AC222" i="1"/>
  <c r="AC225" i="1" s="1"/>
  <c r="AC226" i="1" s="1"/>
  <c r="AE46" i="1"/>
  <c r="AE94" i="1" s="1"/>
  <c r="DA51" i="1" l="1"/>
  <c r="AE51" i="1" s="1"/>
  <c r="AE52" i="1" s="1"/>
  <c r="DA55" i="1"/>
  <c r="DA58" i="1"/>
  <c r="AE58" i="1" s="1"/>
  <c r="AE62" i="1" s="1"/>
  <c r="AE63" i="1" s="1"/>
  <c r="DA64" i="1"/>
  <c r="AE188" i="1"/>
  <c r="AE192" i="1" s="1"/>
  <c r="DA192" i="1"/>
  <c r="AE182" i="1"/>
  <c r="DA184" i="1"/>
  <c r="DA232" i="1" s="1"/>
  <c r="AD95" i="1"/>
  <c r="AD64" i="1"/>
  <c r="AD66" i="1" s="1"/>
  <c r="AD53" i="1"/>
  <c r="AE134" i="1"/>
  <c r="AE224" i="1"/>
  <c r="CX234" i="1"/>
  <c r="CY234" i="1"/>
  <c r="AD193" i="1"/>
  <c r="AD218" i="1"/>
  <c r="AD232" i="1"/>
  <c r="AD234" i="1" s="1"/>
  <c r="AE47" i="1"/>
  <c r="DA66" i="1" l="1"/>
  <c r="DA268" i="1"/>
  <c r="DA269" i="1" s="1"/>
  <c r="DA262" i="1"/>
  <c r="DA67" i="1"/>
  <c r="DA286" i="1"/>
  <c r="DA287" i="1" s="1"/>
  <c r="DA65" i="1"/>
  <c r="DA148" i="1"/>
  <c r="DA233" i="1"/>
  <c r="DA234" i="1" s="1"/>
  <c r="DA193" i="1"/>
  <c r="AD65" i="1"/>
  <c r="AD148" i="1"/>
  <c r="AD286" i="1"/>
  <c r="AD287" i="1" s="1"/>
  <c r="AD96" i="1"/>
  <c r="AE54" i="1"/>
  <c r="AE95" i="1"/>
  <c r="AE64" i="1"/>
  <c r="AE96" i="1" s="1"/>
  <c r="AE53" i="1"/>
  <c r="AD222" i="1"/>
  <c r="AD225" i="1" s="1"/>
  <c r="AD226" i="1" s="1"/>
  <c r="AD217" i="1"/>
  <c r="AE184" i="1"/>
  <c r="AE215" i="1"/>
  <c r="AE221" i="1"/>
  <c r="AE220" i="1" s="1"/>
  <c r="AE233" i="1"/>
  <c r="AE66" i="1" l="1"/>
  <c r="AE286" i="1"/>
  <c r="AE287" i="1" s="1"/>
  <c r="AE193" i="1"/>
  <c r="AE218" i="1"/>
  <c r="AE232" i="1"/>
  <c r="AE234" i="1" s="1"/>
  <c r="AE65" i="1"/>
  <c r="AE148" i="1"/>
  <c r="AE222" i="1" l="1"/>
  <c r="AE225" i="1" s="1"/>
  <c r="AE226" i="1" s="1"/>
  <c r="AE217" i="1"/>
  <c r="CG284" i="1" l="1"/>
  <c r="CE233" i="1"/>
  <c r="CF73" i="1"/>
  <c r="CE145" i="1"/>
  <c r="CE146" i="1" s="1"/>
  <c r="CE149" i="1" s="1"/>
  <c r="CE219" i="1"/>
  <c r="CE221" i="1"/>
  <c r="CE280" i="1"/>
  <c r="CE284" i="1"/>
  <c r="CE282" i="1"/>
  <c r="CE218" i="1"/>
  <c r="CE216" i="1"/>
  <c r="CE215" i="1"/>
  <c r="CE232" i="1"/>
  <c r="CF245" i="1"/>
  <c r="CE222" i="1" l="1"/>
  <c r="CE220" i="1"/>
  <c r="CF220" i="1" s="1"/>
  <c r="CF216" i="1"/>
  <c r="CF181" i="1" s="1"/>
  <c r="CE234" i="1"/>
  <c r="CE235" i="1" s="1"/>
  <c r="CE249" i="1" s="1"/>
  <c r="CF219" i="1"/>
  <c r="CF215" i="1"/>
  <c r="CE147" i="1"/>
  <c r="CE150" i="1" s="1"/>
  <c r="CE217" i="1"/>
  <c r="CF217" i="1" s="1"/>
  <c r="CI225" i="1" l="1"/>
  <c r="CE225" i="1"/>
  <c r="CF221" i="1"/>
  <c r="CF189" i="1"/>
  <c r="CF192" i="1" s="1"/>
  <c r="CF218" i="1"/>
  <c r="CF180" i="1"/>
  <c r="CF184" i="1" s="1"/>
  <c r="CF222" i="1" l="1"/>
  <c r="CF233" i="1"/>
  <c r="CG233" i="1"/>
  <c r="CF232" i="1"/>
  <c r="CF193" i="1"/>
  <c r="CG232" i="1"/>
  <c r="CF234" i="1" l="1"/>
  <c r="CF235" i="1" s="1"/>
  <c r="CF249" i="1" s="1"/>
  <c r="CF225" i="1"/>
  <c r="CJ225" i="1"/>
  <c r="CG234" i="1"/>
  <c r="CG235" i="1" s="1"/>
  <c r="CG249" i="1" s="1"/>
  <c r="CF246" i="1" l="1"/>
  <c r="CF196" i="1" s="1"/>
  <c r="CF197" i="1" s="1"/>
  <c r="CF201" i="1" l="1"/>
  <c r="CF202" i="1" s="1"/>
  <c r="CF282" i="1"/>
  <c r="CF284" i="1"/>
  <c r="CG245" i="1"/>
  <c r="CG246" i="1" s="1"/>
  <c r="CG247" i="1" s="1"/>
  <c r="CF204" i="1"/>
  <c r="CF247" i="1"/>
  <c r="CF280" i="1"/>
  <c r="CG73" i="1" l="1"/>
  <c r="CF145" i="1"/>
  <c r="CF147" i="1" l="1"/>
  <c r="CF150" i="1" s="1"/>
  <c r="CF146" i="1"/>
  <c r="CF149" i="1" s="1"/>
  <c r="CD73" i="1"/>
  <c r="CD245" i="1"/>
  <c r="CC225" i="1"/>
  <c r="CG225" i="1"/>
  <c r="CD232" i="1"/>
  <c r="CD233" i="1"/>
  <c r="CC233" i="1"/>
  <c r="CC145" i="1"/>
  <c r="CC146" i="1" s="1"/>
  <c r="CC149" i="1" s="1"/>
  <c r="CC284" i="1"/>
  <c r="CC280" i="1"/>
  <c r="CC232" i="1"/>
  <c r="CC282" i="1"/>
  <c r="CC234" i="1" l="1"/>
  <c r="CC235" i="1" s="1"/>
  <c r="CD234" i="1"/>
  <c r="CD235" i="1" s="1"/>
  <c r="CC147" i="1"/>
  <c r="CC150" i="1" s="1"/>
  <c r="CC249" i="1" l="1"/>
  <c r="CC246" i="1"/>
  <c r="CC247" i="1" s="1"/>
  <c r="CD246" i="1"/>
  <c r="CD196" i="1" s="1"/>
  <c r="CD197" i="1" s="1"/>
  <c r="CD247" i="1" s="1"/>
  <c r="CD249" i="1"/>
  <c r="CD201" i="1" l="1"/>
  <c r="CD202" i="1" s="1"/>
  <c r="CD204" i="1"/>
  <c r="CE245" i="1"/>
  <c r="CE246" i="1" s="1"/>
  <c r="CE247" i="1" s="1"/>
  <c r="CD280" i="1"/>
  <c r="CD284" i="1"/>
  <c r="CD282" i="1"/>
  <c r="CD145" i="1" l="1"/>
  <c r="CE73" i="1"/>
  <c r="CD146" i="1" l="1"/>
  <c r="CD149" i="1" s="1"/>
  <c r="CD147" i="1"/>
  <c r="CD150" i="1" s="1"/>
  <c r="CJ174" i="1" l="1"/>
  <c r="CJ239" i="1" l="1"/>
  <c r="CJ237" i="1" s="1"/>
  <c r="CK230" i="1"/>
  <c r="CK289" i="1"/>
  <c r="CJ246" i="1" l="1"/>
  <c r="CJ249" i="1"/>
  <c r="CJ196" i="1" l="1"/>
  <c r="CJ197" i="1" s="1"/>
  <c r="CJ201" i="1" l="1"/>
  <c r="CJ202" i="1" s="1"/>
  <c r="CJ284" i="1"/>
  <c r="CJ204" i="1"/>
  <c r="CK73" i="1" s="1"/>
  <c r="CN73" i="1" s="1"/>
  <c r="CO73" i="1" s="1"/>
  <c r="CP73" i="1" s="1"/>
  <c r="CQ73" i="1" s="1"/>
  <c r="CR73" i="1" s="1"/>
  <c r="CS73" i="1" s="1"/>
  <c r="CU73" i="1" s="1"/>
  <c r="CV73" i="1" s="1"/>
  <c r="CW73" i="1" s="1"/>
  <c r="CX73" i="1" s="1"/>
  <c r="CY73" i="1" s="1"/>
  <c r="CZ73" i="1" s="1"/>
  <c r="DA73" i="1" s="1"/>
  <c r="CJ280" i="1"/>
  <c r="CK245" i="1"/>
  <c r="CJ282" i="1"/>
  <c r="CJ247" i="1"/>
  <c r="CJ145" i="1" l="1"/>
  <c r="CJ146" i="1" l="1"/>
  <c r="CJ149" i="1" s="1"/>
  <c r="CK149" i="1" s="1"/>
  <c r="CJ147" i="1"/>
  <c r="CJ150" i="1" s="1"/>
  <c r="CK150" i="1" s="1"/>
  <c r="CK288" i="1"/>
  <c r="CK147" i="1" l="1"/>
  <c r="CK146" i="1"/>
  <c r="CK270" i="1" l="1"/>
  <c r="CK263" i="1"/>
  <c r="CK281" i="1"/>
  <c r="CK229" i="1" l="1"/>
  <c r="CK231" i="1" s="1"/>
  <c r="CK235" i="1" s="1"/>
  <c r="CK156" i="1" l="1"/>
  <c r="CG125" i="1"/>
  <c r="CK90" i="1" l="1"/>
  <c r="CL243" i="1"/>
  <c r="CL241" i="1" s="1"/>
  <c r="CL246" i="1" s="1"/>
  <c r="CL196" i="1" s="1"/>
  <c r="CL197" i="1" s="1"/>
  <c r="CK243" i="1"/>
  <c r="CK241" i="1" s="1"/>
  <c r="CK128" i="1"/>
  <c r="CK130" i="1" s="1"/>
  <c r="CK165" i="1"/>
  <c r="CK91" i="1" s="1"/>
  <c r="CZ174" i="1"/>
  <c r="CY174" i="1"/>
  <c r="DA68" i="1"/>
  <c r="DA70" i="1" s="1"/>
  <c r="CX174" i="1"/>
  <c r="CZ68" i="1"/>
  <c r="CZ70" i="1" s="1"/>
  <c r="CW174" i="1"/>
  <c r="CY68" i="1"/>
  <c r="CY70" i="1" s="1"/>
  <c r="CX68" i="1"/>
  <c r="CV174" i="1"/>
  <c r="CU174" i="1"/>
  <c r="CW68" i="1"/>
  <c r="CW70" i="1" s="1"/>
  <c r="CT174" i="1"/>
  <c r="CV68" i="1"/>
  <c r="CV70" i="1" s="1"/>
  <c r="CS174" i="1"/>
  <c r="CU68" i="1"/>
  <c r="CU70" i="1" s="1"/>
  <c r="CR174" i="1"/>
  <c r="CT68" i="1"/>
  <c r="CQ174" i="1"/>
  <c r="CS68" i="1"/>
  <c r="CS70" i="1" s="1"/>
  <c r="CP174" i="1"/>
  <c r="CR68" i="1"/>
  <c r="CR230" i="1" s="1"/>
  <c r="DA174" i="1"/>
  <c r="CO174" i="1"/>
  <c r="CQ68" i="1"/>
  <c r="CQ70" i="1" s="1"/>
  <c r="CN174" i="1"/>
  <c r="CP68" i="1"/>
  <c r="CM174" i="1"/>
  <c r="CO68" i="1"/>
  <c r="CO70" i="1" s="1"/>
  <c r="CN68" i="1"/>
  <c r="CN70" i="1" s="1"/>
  <c r="CM68" i="1"/>
  <c r="CM230" i="1" s="1"/>
  <c r="CK239" i="1"/>
  <c r="CK237" i="1" s="1"/>
  <c r="CL247" i="1" l="1"/>
  <c r="CL204" i="1"/>
  <c r="CL145" i="1" s="1"/>
  <c r="CL201" i="1"/>
  <c r="CL202" i="1" s="1"/>
  <c r="CL282" i="1"/>
  <c r="CL284" i="1"/>
  <c r="CL280" i="1"/>
  <c r="CU239" i="1"/>
  <c r="CU237" i="1" s="1"/>
  <c r="CZ230" i="1"/>
  <c r="AC68" i="1"/>
  <c r="CZ239" i="1"/>
  <c r="CZ237" i="1" s="1"/>
  <c r="CQ289" i="1"/>
  <c r="CM239" i="1"/>
  <c r="CM237" i="1" s="1"/>
  <c r="CT70" i="1"/>
  <c r="AD68" i="1"/>
  <c r="CM289" i="1"/>
  <c r="CN289" i="1"/>
  <c r="CX70" i="1"/>
  <c r="AE68" i="1"/>
  <c r="AB68" i="1"/>
  <c r="CQ230" i="1"/>
  <c r="CT230" i="1"/>
  <c r="CT239" i="1"/>
  <c r="CT237" i="1" s="1"/>
  <c r="CS239" i="1"/>
  <c r="CS237" i="1" s="1"/>
  <c r="CN239" i="1"/>
  <c r="CN237" i="1" s="1"/>
  <c r="CR289" i="1"/>
  <c r="CR239" i="1"/>
  <c r="CR237" i="1" s="1"/>
  <c r="CV289" i="1"/>
  <c r="CV239" i="1"/>
  <c r="CV237" i="1" s="1"/>
  <c r="DA239" i="1"/>
  <c r="DA237" i="1" s="1"/>
  <c r="CW239" i="1"/>
  <c r="CW237" i="1" s="1"/>
  <c r="CY289" i="1"/>
  <c r="CY239" i="1"/>
  <c r="CY237" i="1" s="1"/>
  <c r="CO230" i="1"/>
  <c r="CP239" i="1"/>
  <c r="CP237" i="1" s="1"/>
  <c r="CQ239" i="1"/>
  <c r="CQ237" i="1" s="1"/>
  <c r="CV230" i="1"/>
  <c r="CW230" i="1"/>
  <c r="CX289" i="1"/>
  <c r="CX239" i="1"/>
  <c r="CX237" i="1" s="1"/>
  <c r="CK246" i="1"/>
  <c r="CK249" i="1"/>
  <c r="CO289" i="1"/>
  <c r="CP230" i="1"/>
  <c r="CP70" i="1"/>
  <c r="CP289" i="1"/>
  <c r="CO239" i="1"/>
  <c r="CO237" i="1" s="1"/>
  <c r="CM168" i="1"/>
  <c r="CM70" i="1"/>
  <c r="CN230" i="1"/>
  <c r="CS230" i="1"/>
  <c r="CT289" i="1"/>
  <c r="CY230" i="1"/>
  <c r="DA289" i="1"/>
  <c r="CS289" i="1"/>
  <c r="CU289" i="1"/>
  <c r="CW289" i="1"/>
  <c r="CX230" i="1"/>
  <c r="CZ289" i="1"/>
  <c r="DA230" i="1"/>
  <c r="CR70" i="1"/>
  <c r="CU230" i="1"/>
  <c r="CL147" i="1" l="1"/>
  <c r="CL150" i="1" s="1"/>
  <c r="CL146" i="1"/>
  <c r="CL149" i="1" s="1"/>
  <c r="CN168" i="1"/>
  <c r="CM167" i="1"/>
  <c r="AB70" i="1"/>
  <c r="AB289" i="1"/>
  <c r="AB230" i="1"/>
  <c r="AD70" i="1"/>
  <c r="AD289" i="1"/>
  <c r="AD230" i="1"/>
  <c r="AE70" i="1"/>
  <c r="AE230" i="1"/>
  <c r="AE289" i="1"/>
  <c r="AC70" i="1"/>
  <c r="AC230" i="1"/>
  <c r="AC289" i="1"/>
  <c r="CN167" i="1" l="1"/>
  <c r="CO168" i="1"/>
  <c r="AB168" i="1" s="1"/>
  <c r="CK247" i="1" l="1"/>
  <c r="CK284" i="1"/>
  <c r="CK280" i="1"/>
  <c r="CK204" i="1"/>
  <c r="CL73" i="1" s="1"/>
  <c r="CK282" i="1"/>
  <c r="CK201" i="1"/>
  <c r="CK202" i="1" s="1"/>
  <c r="CO167" i="1"/>
  <c r="AB167" i="1" s="1"/>
  <c r="CP168" i="1"/>
  <c r="CK145" i="1" l="1"/>
  <c r="CP167" i="1"/>
  <c r="CQ168" i="1"/>
  <c r="CK143" i="1" l="1"/>
  <c r="CK144" i="1"/>
  <c r="AA21" i="1"/>
  <c r="CQ167" i="1"/>
  <c r="CR168" i="1"/>
  <c r="AB170" i="1"/>
  <c r="AB174" i="1" l="1"/>
  <c r="AB69" i="1"/>
  <c r="CR167" i="1"/>
  <c r="CS168" i="1"/>
  <c r="AC168" i="1" s="1"/>
  <c r="AB239" i="1" l="1"/>
  <c r="AB237" i="1" s="1"/>
  <c r="CS167" i="1"/>
  <c r="AC167" i="1" s="1"/>
  <c r="CT168" i="1"/>
  <c r="CT167" i="1" l="1"/>
  <c r="AC170" i="1" s="1"/>
  <c r="CU168" i="1"/>
  <c r="CM123" i="1" l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CU167" i="1"/>
  <c r="CV168" i="1"/>
  <c r="CH125" i="1"/>
  <c r="AC174" i="1"/>
  <c r="AC69" i="1"/>
  <c r="CM122" i="1" l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CV167" i="1"/>
  <c r="CW168" i="1"/>
  <c r="AD168" i="1" s="1"/>
  <c r="AC239" i="1"/>
  <c r="AC237" i="1" s="1"/>
  <c r="CW167" i="1" l="1"/>
  <c r="AD167" i="1" s="1"/>
  <c r="CX168" i="1"/>
  <c r="AB245" i="1" l="1"/>
  <c r="CX167" i="1"/>
  <c r="CY168" i="1"/>
  <c r="CM245" i="1"/>
  <c r="CM72" i="1" l="1"/>
  <c r="CY167" i="1"/>
  <c r="CZ168" i="1"/>
  <c r="AD170" i="1"/>
  <c r="CM288" i="1" l="1"/>
  <c r="CM74" i="1"/>
  <c r="AD174" i="1"/>
  <c r="AD69" i="1"/>
  <c r="CZ167" i="1"/>
  <c r="DA168" i="1"/>
  <c r="AE168" i="1" s="1"/>
  <c r="AD239" i="1" l="1"/>
  <c r="AD237" i="1" s="1"/>
  <c r="CM75" i="1"/>
  <c r="DA167" i="1"/>
  <c r="AE167" i="1" s="1"/>
  <c r="CM77" i="1" l="1"/>
  <c r="CM263" i="1" s="1"/>
  <c r="CM84" i="1" l="1"/>
  <c r="CM79" i="1"/>
  <c r="CM78" i="1"/>
  <c r="CM281" i="1" s="1"/>
  <c r="CM80" i="1"/>
  <c r="CM270" i="1"/>
  <c r="AE170" i="1"/>
  <c r="CM229" i="1" l="1"/>
  <c r="CM231" i="1" s="1"/>
  <c r="CM235" i="1" s="1"/>
  <c r="CM249" i="1" s="1"/>
  <c r="CM155" i="1"/>
  <c r="CM156" i="1" s="1"/>
  <c r="CM102" i="1"/>
  <c r="CM105" i="1" s="1"/>
  <c r="AE174" i="1"/>
  <c r="AE239" i="1" s="1"/>
  <c r="AE237" i="1" s="1"/>
  <c r="AE69" i="1"/>
  <c r="CM115" i="1" l="1"/>
  <c r="CI125" i="1"/>
  <c r="CM114" i="1"/>
  <c r="CM106" i="1"/>
  <c r="CM121" i="1"/>
  <c r="CM128" i="1"/>
  <c r="CM130" i="1" s="1"/>
  <c r="CM243" i="1"/>
  <c r="CM241" i="1" s="1"/>
  <c r="CM246" i="1" s="1"/>
  <c r="CM165" i="1"/>
  <c r="CM91" i="1" s="1"/>
  <c r="CM90" i="1"/>
  <c r="CM196" i="1" l="1"/>
  <c r="CM197" i="1" s="1"/>
  <c r="CM247" i="1" s="1"/>
  <c r="CM143" i="1"/>
  <c r="CM117" i="1"/>
  <c r="CM144" i="1"/>
  <c r="CM118" i="1"/>
  <c r="CM282" i="1" l="1"/>
  <c r="CM201" i="1"/>
  <c r="CM202" i="1" s="1"/>
  <c r="CN245" i="1"/>
  <c r="CM204" i="1"/>
  <c r="CM280" i="1"/>
  <c r="CM284" i="1"/>
  <c r="CM145" i="1" l="1"/>
  <c r="CN72" i="1"/>
  <c r="CN288" i="1" l="1"/>
  <c r="CN74" i="1"/>
  <c r="CM146" i="1"/>
  <c r="CM149" i="1" s="1"/>
  <c r="CM147" i="1"/>
  <c r="CM150" i="1" s="1"/>
  <c r="CN75" i="1" l="1"/>
  <c r="CN77" i="1" l="1"/>
  <c r="CN79" i="1" l="1"/>
  <c r="CN263" i="1"/>
  <c r="CN270" i="1"/>
  <c r="CN80" i="1"/>
  <c r="CN84" i="1"/>
  <c r="CN102" i="1" s="1"/>
  <c r="CN78" i="1"/>
  <c r="CN281" i="1" s="1"/>
  <c r="CN155" i="1" l="1"/>
  <c r="CN156" i="1" s="1"/>
  <c r="CN229" i="1"/>
  <c r="CN231" i="1" s="1"/>
  <c r="CN235" i="1" s="1"/>
  <c r="CN249" i="1" s="1"/>
  <c r="CN105" i="1"/>
  <c r="CN121" i="1" l="1"/>
  <c r="CN114" i="1"/>
  <c r="CJ125" i="1"/>
  <c r="CN115" i="1"/>
  <c r="CN106" i="1"/>
  <c r="CN128" i="1"/>
  <c r="CN130" i="1" s="1"/>
  <c r="CN243" i="1"/>
  <c r="CN241" i="1" s="1"/>
  <c r="CN246" i="1" s="1"/>
  <c r="CN165" i="1"/>
  <c r="CN91" i="1" s="1"/>
  <c r="CN90" i="1"/>
  <c r="CN196" i="1" l="1"/>
  <c r="CN197" i="1" s="1"/>
  <c r="CN143" i="1"/>
  <c r="CN117" i="1"/>
  <c r="CN144" i="1"/>
  <c r="CN118" i="1"/>
  <c r="CN280" i="1" l="1"/>
  <c r="CN284" i="1"/>
  <c r="CN204" i="1"/>
  <c r="CN282" i="1"/>
  <c r="CO245" i="1"/>
  <c r="CN201" i="1"/>
  <c r="CN202" i="1" s="1"/>
  <c r="CN247" i="1"/>
  <c r="CO72" i="1" l="1"/>
  <c r="AB72" i="1" s="1"/>
  <c r="CN145" i="1"/>
  <c r="CN146" i="1" l="1"/>
  <c r="CN149" i="1" s="1"/>
  <c r="CN147" i="1"/>
  <c r="CN150" i="1" s="1"/>
  <c r="CO288" i="1"/>
  <c r="CO74" i="1"/>
  <c r="CO75" i="1" l="1"/>
  <c r="AB75" i="1" s="1"/>
  <c r="CO77" i="1" l="1"/>
  <c r="CO79" i="1" l="1"/>
  <c r="CO84" i="1"/>
  <c r="CO78" i="1"/>
  <c r="CO281" i="1" s="1"/>
  <c r="CO80" i="1"/>
  <c r="CO270" i="1"/>
  <c r="CO263" i="1"/>
  <c r="CO102" i="1" l="1"/>
  <c r="CO229" i="1"/>
  <c r="CO231" i="1" s="1"/>
  <c r="CO235" i="1" s="1"/>
  <c r="CO249" i="1" s="1"/>
  <c r="CO155" i="1"/>
  <c r="AB155" i="1" s="1"/>
  <c r="CO156" i="1" l="1"/>
  <c r="CO105" i="1"/>
  <c r="CK125" i="1" s="1"/>
  <c r="CO115" i="1" l="1"/>
  <c r="AB115" i="1" s="1"/>
  <c r="CO121" i="1"/>
  <c r="CO114" i="1"/>
  <c r="AB114" i="1" s="1"/>
  <c r="CO106" i="1"/>
  <c r="CO243" i="1"/>
  <c r="CO241" i="1" s="1"/>
  <c r="CO246" i="1" s="1"/>
  <c r="CO165" i="1"/>
  <c r="CO91" i="1" s="1"/>
  <c r="CO128" i="1"/>
  <c r="CO130" i="1" s="1"/>
  <c r="CO90" i="1"/>
  <c r="CO143" i="1" l="1"/>
  <c r="CO117" i="1"/>
  <c r="CO196" i="1"/>
  <c r="CO118" i="1"/>
  <c r="CO144" i="1"/>
  <c r="CO197" i="1" l="1"/>
  <c r="CO201" i="1" s="1"/>
  <c r="CO202" i="1" s="1"/>
  <c r="AB196" i="1"/>
  <c r="CO247" i="1" l="1"/>
  <c r="CO282" i="1"/>
  <c r="CO280" i="1"/>
  <c r="CO204" i="1"/>
  <c r="CP245" i="1"/>
  <c r="CO284" i="1"/>
  <c r="CP72" i="1" l="1"/>
  <c r="CO145" i="1"/>
  <c r="CP288" i="1" l="1"/>
  <c r="CP74" i="1"/>
  <c r="CP75" i="1" s="1"/>
  <c r="CO146" i="1"/>
  <c r="CO149" i="1" s="1"/>
  <c r="CO147" i="1"/>
  <c r="CO150" i="1" s="1"/>
  <c r="AB73" i="1"/>
  <c r="AB288" i="1"/>
  <c r="AB74" i="1"/>
  <c r="AB77" i="1" s="1"/>
  <c r="AB97" i="1" s="1"/>
  <c r="CP77" i="1" l="1"/>
  <c r="AB84" i="1"/>
  <c r="AB78" i="1"/>
  <c r="AB281" i="1" s="1"/>
  <c r="AB79" i="1"/>
  <c r="AB76" i="1"/>
  <c r="CP79" i="1" l="1"/>
  <c r="CP263" i="1"/>
  <c r="CP80" i="1"/>
  <c r="CP270" i="1"/>
  <c r="CP84" i="1"/>
  <c r="CP78" i="1"/>
  <c r="CP281" i="1" s="1"/>
  <c r="AB87" i="1"/>
  <c r="AB88" i="1" s="1"/>
  <c r="AB229" i="1"/>
  <c r="AB231" i="1" s="1"/>
  <c r="AB235" i="1" s="1"/>
  <c r="AB249" i="1" s="1"/>
  <c r="CP102" i="1" l="1"/>
  <c r="CP105" i="1" s="1"/>
  <c r="CL125" i="1" s="1"/>
  <c r="CP229" i="1"/>
  <c r="CP231" i="1" s="1"/>
  <c r="CP235" i="1" s="1"/>
  <c r="CP249" i="1" s="1"/>
  <c r="CP155" i="1"/>
  <c r="CP156" i="1" s="1"/>
  <c r="AB156" i="1"/>
  <c r="CP121" i="1" l="1"/>
  <c r="CP115" i="1"/>
  <c r="CP114" i="1"/>
  <c r="CP106" i="1"/>
  <c r="CP128" i="1"/>
  <c r="CP130" i="1" s="1"/>
  <c r="CP165" i="1"/>
  <c r="CP91" i="1" s="1"/>
  <c r="CP243" i="1"/>
  <c r="CP241" i="1" s="1"/>
  <c r="CP246" i="1" s="1"/>
  <c r="CP90" i="1"/>
  <c r="AB211" i="1"/>
  <c r="AB165" i="1"/>
  <c r="AB91" i="1" s="1"/>
  <c r="AB243" i="1"/>
  <c r="AB241" i="1" s="1"/>
  <c r="AB246" i="1" s="1"/>
  <c r="AB90" i="1"/>
  <c r="CP196" i="1" l="1"/>
  <c r="CP117" i="1"/>
  <c r="CP143" i="1"/>
  <c r="CP144" i="1"/>
  <c r="CP118" i="1"/>
  <c r="AB117" i="1" l="1"/>
  <c r="CP197" i="1"/>
  <c r="AB197" i="1"/>
  <c r="AB118" i="1"/>
  <c r="AB282" i="1" l="1"/>
  <c r="AC245" i="1"/>
  <c r="AB201" i="1"/>
  <c r="AB202" i="1" s="1"/>
  <c r="AB284" i="1"/>
  <c r="AB204" i="1"/>
  <c r="AB145" i="1" s="1"/>
  <c r="AB280" i="1"/>
  <c r="AB247" i="1"/>
  <c r="CP204" i="1"/>
  <c r="CP284" i="1"/>
  <c r="CP280" i="1"/>
  <c r="CP201" i="1"/>
  <c r="CP202" i="1" s="1"/>
  <c r="CQ245" i="1"/>
  <c r="CP282" i="1"/>
  <c r="CP247" i="1"/>
  <c r="CQ72" i="1" l="1"/>
  <c r="CP145" i="1"/>
  <c r="CP147" i="1" l="1"/>
  <c r="CP150" i="1" s="1"/>
  <c r="CP146" i="1"/>
  <c r="CP149" i="1" s="1"/>
  <c r="CQ288" i="1"/>
  <c r="CQ74" i="1"/>
  <c r="CQ75" i="1" l="1"/>
  <c r="CQ77" i="1" l="1"/>
  <c r="CQ263" i="1" s="1"/>
  <c r="CQ270" i="1" l="1"/>
  <c r="CQ79" i="1"/>
  <c r="CQ78" i="1"/>
  <c r="CQ281" i="1" s="1"/>
  <c r="CQ80" i="1"/>
  <c r="CQ84" i="1"/>
  <c r="CQ102" i="1" l="1"/>
  <c r="CQ105" i="1" s="1"/>
  <c r="CQ229" i="1"/>
  <c r="CQ231" i="1" s="1"/>
  <c r="CQ235" i="1" s="1"/>
  <c r="CQ249" i="1" s="1"/>
  <c r="CQ155" i="1"/>
  <c r="CQ156" i="1" s="1"/>
  <c r="CQ114" i="1" l="1"/>
  <c r="CQ121" i="1"/>
  <c r="CQ115" i="1"/>
  <c r="CQ106" i="1"/>
  <c r="CQ243" i="1"/>
  <c r="CQ241" i="1" s="1"/>
  <c r="CQ246" i="1" s="1"/>
  <c r="CQ128" i="1"/>
  <c r="CQ130" i="1" s="1"/>
  <c r="CQ165" i="1"/>
  <c r="CQ91" i="1" s="1"/>
  <c r="CQ90" i="1"/>
  <c r="CQ144" i="1" l="1"/>
  <c r="CQ118" i="1"/>
  <c r="CQ196" i="1"/>
  <c r="CQ197" i="1" s="1"/>
  <c r="CQ247" i="1" s="1"/>
  <c r="CQ117" i="1"/>
  <c r="CQ143" i="1"/>
  <c r="CQ204" i="1" l="1"/>
  <c r="CQ201" i="1"/>
  <c r="CQ202" i="1" s="1"/>
  <c r="CQ282" i="1"/>
  <c r="CR245" i="1"/>
  <c r="CQ284" i="1"/>
  <c r="CQ280" i="1"/>
  <c r="CR72" i="1" l="1"/>
  <c r="CQ145" i="1"/>
  <c r="CQ146" i="1" l="1"/>
  <c r="CQ149" i="1" s="1"/>
  <c r="CQ147" i="1"/>
  <c r="CQ150" i="1" s="1"/>
  <c r="CR288" i="1"/>
  <c r="CR74" i="1"/>
  <c r="CR75" i="1" l="1"/>
  <c r="CR77" i="1" l="1"/>
  <c r="CR80" i="1" l="1"/>
  <c r="CR79" i="1"/>
  <c r="CR84" i="1"/>
  <c r="CR78" i="1"/>
  <c r="CR281" i="1" s="1"/>
  <c r="CR270" i="1"/>
  <c r="CR263" i="1"/>
  <c r="CR102" i="1" l="1"/>
  <c r="CR229" i="1"/>
  <c r="CR231" i="1" s="1"/>
  <c r="CR235" i="1" s="1"/>
  <c r="CR249" i="1" s="1"/>
  <c r="CR155" i="1"/>
  <c r="CR156" i="1" l="1"/>
  <c r="CR105" i="1"/>
  <c r="CR121" i="1" l="1"/>
  <c r="CR115" i="1"/>
  <c r="CR114" i="1"/>
  <c r="CR106" i="1"/>
  <c r="CR165" i="1"/>
  <c r="CR91" i="1" s="1"/>
  <c r="CR243" i="1"/>
  <c r="CR241" i="1" s="1"/>
  <c r="CR246" i="1" s="1"/>
  <c r="CR128" i="1"/>
  <c r="CR130" i="1" s="1"/>
  <c r="CR90" i="1"/>
  <c r="CR117" i="1" l="1"/>
  <c r="CR143" i="1"/>
  <c r="CR144" i="1"/>
  <c r="CR118" i="1"/>
  <c r="CR196" i="1"/>
  <c r="CR197" i="1" s="1"/>
  <c r="CR284" i="1" l="1"/>
  <c r="CR204" i="1"/>
  <c r="CR282" i="1"/>
  <c r="CS245" i="1"/>
  <c r="CR201" i="1"/>
  <c r="CR202" i="1" s="1"/>
  <c r="CR280" i="1"/>
  <c r="CR247" i="1"/>
  <c r="CS72" i="1" l="1"/>
  <c r="AC72" i="1" s="1"/>
  <c r="CR145" i="1"/>
  <c r="CR147" i="1" l="1"/>
  <c r="CR150" i="1" s="1"/>
  <c r="CR146" i="1"/>
  <c r="CR149" i="1" s="1"/>
  <c r="CS288" i="1"/>
  <c r="CS74" i="1"/>
  <c r="CS75" i="1" l="1"/>
  <c r="AC75" i="1" s="1"/>
  <c r="CS77" i="1" l="1"/>
  <c r="CS270" i="1" l="1"/>
  <c r="CS79" i="1"/>
  <c r="CS80" i="1"/>
  <c r="CS84" i="1"/>
  <c r="CS78" i="1"/>
  <c r="CS281" i="1" s="1"/>
  <c r="CS263" i="1"/>
  <c r="CS102" i="1" l="1"/>
  <c r="CS229" i="1"/>
  <c r="CS231" i="1" s="1"/>
  <c r="CS235" i="1" s="1"/>
  <c r="CS249" i="1" s="1"/>
  <c r="CS155" i="1"/>
  <c r="AC155" i="1" s="1"/>
  <c r="CS156" i="1" l="1"/>
  <c r="CS105" i="1"/>
  <c r="CS121" i="1" l="1"/>
  <c r="CS115" i="1"/>
  <c r="AC115" i="1" s="1"/>
  <c r="CS114" i="1"/>
  <c r="AC114" i="1" s="1"/>
  <c r="CS106" i="1"/>
  <c r="CS165" i="1"/>
  <c r="CS91" i="1" s="1"/>
  <c r="CS243" i="1"/>
  <c r="CS241" i="1" s="1"/>
  <c r="CS246" i="1" s="1"/>
  <c r="CS128" i="1"/>
  <c r="CS130" i="1" s="1"/>
  <c r="CS90" i="1"/>
  <c r="CS196" i="1" l="1"/>
  <c r="CS144" i="1"/>
  <c r="CS118" i="1"/>
  <c r="CS117" i="1"/>
  <c r="CS143" i="1"/>
  <c r="CS197" i="1" l="1"/>
  <c r="AC196" i="1"/>
  <c r="CS284" i="1" l="1"/>
  <c r="CS201" i="1"/>
  <c r="CS202" i="1" s="1"/>
  <c r="CT245" i="1"/>
  <c r="CS247" i="1"/>
  <c r="CS280" i="1"/>
  <c r="CS282" i="1"/>
  <c r="CS204" i="1"/>
  <c r="CT72" i="1" s="1"/>
  <c r="CS145" i="1" l="1"/>
  <c r="CT288" i="1"/>
  <c r="CT74" i="1"/>
  <c r="CS147" i="1" l="1"/>
  <c r="CS150" i="1" s="1"/>
  <c r="CS146" i="1"/>
  <c r="CS149" i="1" s="1"/>
  <c r="CT75" i="1"/>
  <c r="CT77" i="1" s="1"/>
  <c r="AC288" i="1"/>
  <c r="AC73" i="1"/>
  <c r="AC74" i="1"/>
  <c r="AC77" i="1" s="1"/>
  <c r="AC97" i="1" s="1"/>
  <c r="CT79" i="1" l="1"/>
  <c r="CT84" i="1"/>
  <c r="CT78" i="1"/>
  <c r="CT281" i="1" s="1"/>
  <c r="CT80" i="1"/>
  <c r="CT270" i="1"/>
  <c r="CT263" i="1"/>
  <c r="AC84" i="1"/>
  <c r="AC78" i="1"/>
  <c r="AC281" i="1" s="1"/>
  <c r="AC79" i="1"/>
  <c r="AC76" i="1"/>
  <c r="CT102" i="1" l="1"/>
  <c r="CT229" i="1"/>
  <c r="CT231" i="1" s="1"/>
  <c r="CT235" i="1" s="1"/>
  <c r="CT249" i="1" s="1"/>
  <c r="CT155" i="1"/>
  <c r="AC87" i="1"/>
  <c r="AC88" i="1" s="1"/>
  <c r="AC229" i="1"/>
  <c r="AC231" i="1" s="1"/>
  <c r="AC235" i="1" s="1"/>
  <c r="AC249" i="1" s="1"/>
  <c r="CT156" i="1" l="1"/>
  <c r="AC156" i="1"/>
  <c r="CT105" i="1"/>
  <c r="AC165" i="1" l="1"/>
  <c r="AC91" i="1" s="1"/>
  <c r="AC211" i="1"/>
  <c r="AC243" i="1"/>
  <c r="AC241" i="1" s="1"/>
  <c r="AC246" i="1" s="1"/>
  <c r="AC90" i="1"/>
  <c r="CT165" i="1"/>
  <c r="CT91" i="1" s="1"/>
  <c r="CT243" i="1"/>
  <c r="CT241" i="1" s="1"/>
  <c r="CT246" i="1" s="1"/>
  <c r="CT128" i="1"/>
  <c r="CT130" i="1" s="1"/>
  <c r="CT90" i="1"/>
  <c r="CT114" i="1"/>
  <c r="CT121" i="1"/>
  <c r="CT115" i="1"/>
  <c r="CT106" i="1"/>
  <c r="CT144" i="1" l="1"/>
  <c r="CT118" i="1"/>
  <c r="CT196" i="1"/>
  <c r="CT143" i="1"/>
  <c r="CT117" i="1"/>
  <c r="AC118" i="1" l="1"/>
  <c r="AC117" i="1"/>
  <c r="CT197" i="1"/>
  <c r="AC197" i="1"/>
  <c r="AD245" i="1" l="1"/>
  <c r="AC282" i="1"/>
  <c r="AC280" i="1"/>
  <c r="AC204" i="1"/>
  <c r="AC145" i="1" s="1"/>
  <c r="AC284" i="1"/>
  <c r="AC201" i="1"/>
  <c r="AC202" i="1" s="1"/>
  <c r="AC247" i="1"/>
  <c r="CU245" i="1"/>
  <c r="CT204" i="1"/>
  <c r="CT282" i="1"/>
  <c r="CT201" i="1"/>
  <c r="CT202" i="1" s="1"/>
  <c r="CT284" i="1"/>
  <c r="CT280" i="1"/>
  <c r="CT247" i="1"/>
  <c r="CU72" i="1" l="1"/>
  <c r="CT145" i="1"/>
  <c r="CT146" i="1" l="1"/>
  <c r="CT149" i="1" s="1"/>
  <c r="CT147" i="1"/>
  <c r="CT150" i="1" s="1"/>
  <c r="CU288" i="1"/>
  <c r="CU74" i="1"/>
  <c r="CU75" i="1" l="1"/>
  <c r="CU77" i="1" l="1"/>
  <c r="CU84" i="1" l="1"/>
  <c r="CU270" i="1"/>
  <c r="CU79" i="1"/>
  <c r="CU80" i="1"/>
  <c r="CU78" i="1"/>
  <c r="CU281" i="1" s="1"/>
  <c r="CU263" i="1"/>
  <c r="CU102" i="1" l="1"/>
  <c r="CU229" i="1"/>
  <c r="CU231" i="1" s="1"/>
  <c r="CU235" i="1" s="1"/>
  <c r="CU249" i="1" s="1"/>
  <c r="CU155" i="1"/>
  <c r="CU156" i="1" l="1"/>
  <c r="CU105" i="1"/>
  <c r="CU115" i="1" l="1"/>
  <c r="CU121" i="1"/>
  <c r="CU114" i="1"/>
  <c r="CU106" i="1"/>
  <c r="CU243" i="1"/>
  <c r="CU241" i="1" s="1"/>
  <c r="CU246" i="1" s="1"/>
  <c r="CU165" i="1"/>
  <c r="CU91" i="1" s="1"/>
  <c r="CU128" i="1"/>
  <c r="CU130" i="1" s="1"/>
  <c r="CU90" i="1"/>
  <c r="CU117" i="1" l="1"/>
  <c r="CU143" i="1"/>
  <c r="CU196" i="1"/>
  <c r="CU197" i="1" s="1"/>
  <c r="CU144" i="1"/>
  <c r="CU118" i="1"/>
  <c r="CV245" i="1" l="1"/>
  <c r="CU284" i="1"/>
  <c r="CU282" i="1"/>
  <c r="CU204" i="1"/>
  <c r="CU201" i="1"/>
  <c r="CU202" i="1" s="1"/>
  <c r="CU280" i="1"/>
  <c r="CU247" i="1"/>
  <c r="CU145" i="1" l="1"/>
  <c r="CV72" i="1"/>
  <c r="CV288" i="1" l="1"/>
  <c r="CV74" i="1"/>
  <c r="CU147" i="1"/>
  <c r="CU150" i="1" s="1"/>
  <c r="CU146" i="1"/>
  <c r="CU149" i="1" s="1"/>
  <c r="CV75" i="1" l="1"/>
  <c r="CV77" i="1" l="1"/>
  <c r="CV84" i="1" l="1"/>
  <c r="CV78" i="1"/>
  <c r="CV281" i="1" s="1"/>
  <c r="CV80" i="1"/>
  <c r="CV79" i="1"/>
  <c r="CV270" i="1"/>
  <c r="CV263" i="1"/>
  <c r="CV102" i="1" l="1"/>
  <c r="CV229" i="1"/>
  <c r="CV231" i="1" s="1"/>
  <c r="CV235" i="1" s="1"/>
  <c r="CV249" i="1" s="1"/>
  <c r="CV155" i="1"/>
  <c r="CV156" i="1" l="1"/>
  <c r="CV105" i="1"/>
  <c r="CV243" i="1" l="1"/>
  <c r="CV241" i="1" s="1"/>
  <c r="CV246" i="1" s="1"/>
  <c r="CV165" i="1"/>
  <c r="CV91" i="1" s="1"/>
  <c r="CV128" i="1"/>
  <c r="CV130" i="1" s="1"/>
  <c r="CV90" i="1"/>
  <c r="CV115" i="1"/>
  <c r="CV114" i="1"/>
  <c r="CV121" i="1"/>
  <c r="CV106" i="1"/>
  <c r="CV143" i="1" l="1"/>
  <c r="CV117" i="1"/>
  <c r="CV144" i="1"/>
  <c r="CV118" i="1"/>
  <c r="CV196" i="1"/>
  <c r="CV197" i="1" s="1"/>
  <c r="CV247" i="1" s="1"/>
  <c r="CW245" i="1" l="1"/>
  <c r="CV284" i="1"/>
  <c r="CV280" i="1"/>
  <c r="CV204" i="1"/>
  <c r="CV201" i="1"/>
  <c r="CV202" i="1" s="1"/>
  <c r="CV282" i="1"/>
  <c r="CV145" i="1" l="1"/>
  <c r="CW72" i="1"/>
  <c r="AD72" i="1" s="1"/>
  <c r="CW288" i="1" l="1"/>
  <c r="CW74" i="1"/>
  <c r="CV147" i="1"/>
  <c r="CV150" i="1" s="1"/>
  <c r="CV146" i="1"/>
  <c r="CV149" i="1" s="1"/>
  <c r="CW75" i="1" l="1"/>
  <c r="AD75" i="1" s="1"/>
  <c r="CW77" i="1" l="1"/>
  <c r="CW84" i="1" l="1"/>
  <c r="CW78" i="1"/>
  <c r="CW281" i="1" s="1"/>
  <c r="CW270" i="1"/>
  <c r="CW79" i="1"/>
  <c r="CW80" i="1"/>
  <c r="CW263" i="1"/>
  <c r="CW102" i="1" l="1"/>
  <c r="CW229" i="1"/>
  <c r="CW231" i="1" s="1"/>
  <c r="CW235" i="1" s="1"/>
  <c r="CW249" i="1" s="1"/>
  <c r="CW155" i="1"/>
  <c r="AD155" i="1" s="1"/>
  <c r="CW156" i="1" l="1"/>
  <c r="CW105" i="1"/>
  <c r="CW114" i="1" l="1"/>
  <c r="AD114" i="1" s="1"/>
  <c r="CW121" i="1"/>
  <c r="CW115" i="1"/>
  <c r="AD115" i="1" s="1"/>
  <c r="CW106" i="1"/>
  <c r="CW128" i="1"/>
  <c r="CW130" i="1" s="1"/>
  <c r="CW165" i="1"/>
  <c r="CW91" i="1" s="1"/>
  <c r="CW243" i="1"/>
  <c r="CW241" i="1" s="1"/>
  <c r="CW246" i="1" s="1"/>
  <c r="CW90" i="1"/>
  <c r="CW196" i="1" l="1"/>
  <c r="CW144" i="1"/>
  <c r="CW118" i="1"/>
  <c r="CW143" i="1"/>
  <c r="CW117" i="1"/>
  <c r="CW197" i="1" l="1"/>
  <c r="AD196" i="1"/>
  <c r="CW282" i="1" l="1"/>
  <c r="CX245" i="1"/>
  <c r="CW201" i="1"/>
  <c r="CW202" i="1" s="1"/>
  <c r="CW247" i="1"/>
  <c r="CW284" i="1"/>
  <c r="CW204" i="1"/>
  <c r="CW280" i="1"/>
  <c r="CW145" i="1" l="1"/>
  <c r="CX72" i="1"/>
  <c r="CW147" i="1" l="1"/>
  <c r="CW150" i="1" s="1"/>
  <c r="CW146" i="1"/>
  <c r="CW149" i="1" s="1"/>
  <c r="CX288" i="1"/>
  <c r="CX74" i="1"/>
  <c r="AD288" i="1"/>
  <c r="AD73" i="1"/>
  <c r="AD74" i="1"/>
  <c r="AD77" i="1" s="1"/>
  <c r="AD97" i="1" s="1"/>
  <c r="CX75" i="1" l="1"/>
  <c r="CX77" i="1" s="1"/>
  <c r="CX263" i="1" s="1"/>
  <c r="AD84" i="1"/>
  <c r="AD78" i="1"/>
  <c r="AD281" i="1" s="1"/>
  <c r="AD79" i="1"/>
  <c r="AD76" i="1"/>
  <c r="CX79" i="1" l="1"/>
  <c r="CX84" i="1"/>
  <c r="CX270" i="1"/>
  <c r="CX80" i="1"/>
  <c r="CX78" i="1"/>
  <c r="CX281" i="1" s="1"/>
  <c r="AD229" i="1"/>
  <c r="AD231" i="1" s="1"/>
  <c r="AD235" i="1" s="1"/>
  <c r="AD249" i="1" s="1"/>
  <c r="AD87" i="1"/>
  <c r="AD88" i="1" s="1"/>
  <c r="CX102" i="1" l="1"/>
  <c r="CX105" i="1" s="1"/>
  <c r="CX229" i="1"/>
  <c r="CX231" i="1" s="1"/>
  <c r="CX235" i="1" s="1"/>
  <c r="CX249" i="1" s="1"/>
  <c r="CX155" i="1"/>
  <c r="CX156" i="1" s="1"/>
  <c r="AD156" i="1"/>
  <c r="CX128" i="1" l="1"/>
  <c r="CX130" i="1" s="1"/>
  <c r="CX165" i="1"/>
  <c r="CX91" i="1" s="1"/>
  <c r="CX243" i="1"/>
  <c r="CX241" i="1" s="1"/>
  <c r="CX246" i="1" s="1"/>
  <c r="CX90" i="1"/>
  <c r="AD243" i="1"/>
  <c r="AD241" i="1" s="1"/>
  <c r="AD246" i="1" s="1"/>
  <c r="AD211" i="1"/>
  <c r="AD165" i="1"/>
  <c r="AD91" i="1" s="1"/>
  <c r="AD90" i="1"/>
  <c r="CX115" i="1"/>
  <c r="CX114" i="1"/>
  <c r="CX121" i="1"/>
  <c r="CX106" i="1"/>
  <c r="CX196" i="1" l="1"/>
  <c r="CX143" i="1"/>
  <c r="CX117" i="1"/>
  <c r="CX144" i="1"/>
  <c r="CX118" i="1"/>
  <c r="AD118" i="1" l="1"/>
  <c r="AD117" i="1"/>
  <c r="CX197" i="1"/>
  <c r="AD197" i="1"/>
  <c r="AE245" i="1" l="1"/>
  <c r="AD282" i="1"/>
  <c r="AD284" i="1"/>
  <c r="AD280" i="1"/>
  <c r="AD201" i="1"/>
  <c r="AD202" i="1" s="1"/>
  <c r="AD204" i="1"/>
  <c r="AD145" i="1" s="1"/>
  <c r="AD247" i="1"/>
  <c r="CX201" i="1"/>
  <c r="CX202" i="1" s="1"/>
  <c r="CX284" i="1"/>
  <c r="CY245" i="1"/>
  <c r="CX280" i="1"/>
  <c r="CX204" i="1"/>
  <c r="CX282" i="1"/>
  <c r="CX247" i="1"/>
  <c r="CX145" i="1" l="1"/>
  <c r="CY72" i="1"/>
  <c r="CY288" i="1" l="1"/>
  <c r="CY74" i="1"/>
  <c r="CX147" i="1"/>
  <c r="CX150" i="1" s="1"/>
  <c r="CX146" i="1"/>
  <c r="CX149" i="1" s="1"/>
  <c r="CY75" i="1" l="1"/>
  <c r="CY77" i="1" s="1"/>
  <c r="CY84" i="1" l="1"/>
  <c r="CY78" i="1"/>
  <c r="CY281" i="1" s="1"/>
  <c r="CY270" i="1"/>
  <c r="CY80" i="1"/>
  <c r="CY79" i="1"/>
  <c r="CY263" i="1"/>
  <c r="CY102" i="1" l="1"/>
  <c r="CY229" i="1"/>
  <c r="CY231" i="1" s="1"/>
  <c r="CY235" i="1" s="1"/>
  <c r="CY249" i="1" s="1"/>
  <c r="CY155" i="1"/>
  <c r="CY156" i="1" l="1"/>
  <c r="CY105" i="1"/>
  <c r="CY115" i="1" l="1"/>
  <c r="CY114" i="1"/>
  <c r="CY121" i="1"/>
  <c r="CY106" i="1"/>
  <c r="CY128" i="1"/>
  <c r="CY130" i="1" s="1"/>
  <c r="CY243" i="1"/>
  <c r="CY241" i="1" s="1"/>
  <c r="CY246" i="1" s="1"/>
  <c r="CY165" i="1"/>
  <c r="CY91" i="1" s="1"/>
  <c r="CY90" i="1"/>
  <c r="CY196" i="1" l="1"/>
  <c r="CY197" i="1" s="1"/>
  <c r="CY117" i="1"/>
  <c r="CY143" i="1"/>
  <c r="CY144" i="1"/>
  <c r="CY118" i="1"/>
  <c r="CZ245" i="1" l="1"/>
  <c r="CY204" i="1"/>
  <c r="CY201" i="1"/>
  <c r="CY202" i="1" s="1"/>
  <c r="CY282" i="1"/>
  <c r="CY280" i="1"/>
  <c r="CY284" i="1"/>
  <c r="CY247" i="1"/>
  <c r="CZ72" i="1" l="1"/>
  <c r="CY145" i="1"/>
  <c r="CY147" i="1" l="1"/>
  <c r="CY150" i="1" s="1"/>
  <c r="CY146" i="1"/>
  <c r="CY149" i="1" s="1"/>
  <c r="CZ288" i="1"/>
  <c r="CZ74" i="1"/>
  <c r="CZ75" i="1" l="1"/>
  <c r="CZ77" i="1" l="1"/>
  <c r="CZ84" i="1" l="1"/>
  <c r="CZ78" i="1"/>
  <c r="CZ281" i="1" s="1"/>
  <c r="CZ270" i="1"/>
  <c r="CZ79" i="1"/>
  <c r="CZ80" i="1"/>
  <c r="CZ263" i="1"/>
  <c r="CZ229" i="1" l="1"/>
  <c r="CZ231" i="1" s="1"/>
  <c r="CZ235" i="1" s="1"/>
  <c r="CZ249" i="1" s="1"/>
  <c r="CZ102" i="1"/>
  <c r="CZ155" i="1"/>
  <c r="CZ105" i="1" l="1"/>
  <c r="CZ156" i="1"/>
  <c r="CZ243" i="1" l="1"/>
  <c r="CZ241" i="1" s="1"/>
  <c r="CZ246" i="1" s="1"/>
  <c r="CZ128" i="1"/>
  <c r="CZ130" i="1" s="1"/>
  <c r="CZ165" i="1"/>
  <c r="CZ91" i="1" s="1"/>
  <c r="CZ90" i="1"/>
  <c r="CZ114" i="1"/>
  <c r="CZ121" i="1"/>
  <c r="CZ115" i="1"/>
  <c r="CZ106" i="1"/>
  <c r="CZ144" i="1" l="1"/>
  <c r="CZ118" i="1"/>
  <c r="CZ143" i="1"/>
  <c r="CZ117" i="1"/>
  <c r="CZ196" i="1"/>
  <c r="CZ197" i="1" s="1"/>
  <c r="CZ247" i="1" s="1"/>
  <c r="CZ280" i="1" l="1"/>
  <c r="CZ282" i="1"/>
  <c r="DA245" i="1"/>
  <c r="CZ204" i="1"/>
  <c r="CZ201" i="1"/>
  <c r="CZ202" i="1" s="1"/>
  <c r="CZ284" i="1"/>
  <c r="CZ145" i="1" l="1"/>
  <c r="DA72" i="1"/>
  <c r="AE72" i="1" s="1"/>
  <c r="DA288" i="1" l="1"/>
  <c r="DA74" i="1"/>
  <c r="CZ146" i="1"/>
  <c r="CZ149" i="1" s="1"/>
  <c r="CZ147" i="1"/>
  <c r="CZ150" i="1" s="1"/>
  <c r="DA75" i="1" l="1"/>
  <c r="AE75" i="1" s="1"/>
  <c r="DA77" i="1" l="1"/>
  <c r="DA80" i="1" l="1"/>
  <c r="DA84" i="1"/>
  <c r="DA79" i="1"/>
  <c r="DA78" i="1"/>
  <c r="DA281" i="1" s="1"/>
  <c r="DA270" i="1"/>
  <c r="DA263" i="1"/>
  <c r="DA102" i="1" l="1"/>
  <c r="DA229" i="1"/>
  <c r="DA231" i="1" s="1"/>
  <c r="DA235" i="1" s="1"/>
  <c r="DA249" i="1" s="1"/>
  <c r="DA155" i="1"/>
  <c r="AE155" i="1" s="1"/>
  <c r="DA156" i="1" l="1"/>
  <c r="DA105" i="1"/>
  <c r="DA114" i="1" l="1"/>
  <c r="AE114" i="1" s="1"/>
  <c r="DA115" i="1"/>
  <c r="AE115" i="1" s="1"/>
  <c r="DA121" i="1"/>
  <c r="DA106" i="1"/>
  <c r="DA128" i="1"/>
  <c r="DA130" i="1" s="1"/>
  <c r="DA243" i="1"/>
  <c r="DA241" i="1" s="1"/>
  <c r="DA246" i="1" s="1"/>
  <c r="DA165" i="1"/>
  <c r="DA91" i="1" s="1"/>
  <c r="DA90" i="1"/>
  <c r="DA196" i="1" l="1"/>
  <c r="DA144" i="1"/>
  <c r="DA118" i="1"/>
  <c r="DA143" i="1"/>
  <c r="DA117" i="1"/>
  <c r="DA197" i="1" l="1"/>
  <c r="DA280" i="1" s="1"/>
  <c r="AE196" i="1"/>
  <c r="DA204" i="1" l="1"/>
  <c r="DA145" i="1" s="1"/>
  <c r="DA247" i="1"/>
  <c r="DA282" i="1"/>
  <c r="DA201" i="1"/>
  <c r="DA202" i="1" s="1"/>
  <c r="DA284" i="1"/>
  <c r="DA146" i="1" l="1"/>
  <c r="DA149" i="1" s="1"/>
  <c r="DA147" i="1"/>
  <c r="DA150" i="1" s="1"/>
  <c r="AE288" i="1" l="1"/>
  <c r="AE73" i="1"/>
  <c r="AE74" i="1"/>
  <c r="AE76" i="1" l="1"/>
  <c r="AE77" i="1"/>
  <c r="AE97" i="1" s="1"/>
  <c r="AE78" i="1" l="1"/>
  <c r="AE281" i="1" s="1"/>
  <c r="AE84" i="1"/>
  <c r="AE79" i="1"/>
  <c r="AE87" i="1" l="1"/>
  <c r="AE88" i="1" s="1"/>
  <c r="AE229" i="1"/>
  <c r="AE231" i="1" s="1"/>
  <c r="AE235" i="1" s="1"/>
  <c r="AE249" i="1" s="1"/>
  <c r="AE156" i="1" l="1"/>
  <c r="AE211" i="1" l="1"/>
  <c r="AE243" i="1"/>
  <c r="AE241" i="1" s="1"/>
  <c r="AE246" i="1" s="1"/>
  <c r="AE165" i="1"/>
  <c r="AE91" i="1" s="1"/>
  <c r="AE90" i="1"/>
  <c r="AE118" i="1" l="1"/>
  <c r="AE117" i="1"/>
  <c r="AE197" i="1" l="1"/>
  <c r="AE201" i="1" l="1"/>
  <c r="AE202" i="1" s="1"/>
  <c r="AE282" i="1"/>
  <c r="AE280" i="1"/>
  <c r="AE284" i="1"/>
  <c r="AE204" i="1"/>
  <c r="AE145" i="1" s="1"/>
  <c r="AE247" i="1"/>
  <c r="AA99" i="1" l="1"/>
  <c r="AB99" i="1"/>
  <c r="AA101" i="1"/>
  <c r="AA102" i="1"/>
  <c r="AA105" i="1"/>
  <c r="AA106" i="1"/>
  <c r="AA143" i="1"/>
  <c r="AA146" i="1"/>
  <c r="AA149" i="1"/>
  <c r="AA122" i="1"/>
  <c r="AA123" i="1"/>
  <c r="AA144" i="1"/>
  <c r="AA147" i="1"/>
  <c r="AA150" i="1"/>
  <c r="AA121" i="1"/>
  <c r="AA135" i="1"/>
  <c r="AA128" i="1"/>
  <c r="AA138" i="1"/>
  <c r="AA139" i="1"/>
  <c r="AA140" i="1"/>
  <c r="AA131" i="1"/>
  <c r="AA130" i="1"/>
  <c r="AA132" i="1"/>
  <c r="AA104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M101" i="1"/>
  <c r="M144" i="1"/>
  <c r="M147" i="1"/>
  <c r="M150" i="1"/>
  <c r="L99" i="1"/>
  <c r="L101" i="1"/>
  <c r="L102" i="1"/>
  <c r="L105" i="1"/>
  <c r="K125" i="1"/>
  <c r="L106" i="1"/>
  <c r="N101" i="1"/>
  <c r="N128" i="1"/>
  <c r="N131" i="1"/>
  <c r="O101" i="1"/>
  <c r="O128" i="1"/>
  <c r="O130" i="1"/>
  <c r="K99" i="1"/>
  <c r="J99" i="1"/>
  <c r="J101" i="1"/>
  <c r="J144" i="1"/>
  <c r="J147" i="1"/>
  <c r="Z125" i="1"/>
  <c r="Q101" i="1"/>
  <c r="Q102" i="1"/>
  <c r="Q105" i="1"/>
  <c r="Q122" i="1"/>
  <c r="M135" i="1"/>
  <c r="M139" i="1"/>
  <c r="K101" i="1"/>
  <c r="K102" i="1"/>
  <c r="K105" i="1"/>
  <c r="K122" i="1"/>
  <c r="M128" i="1"/>
  <c r="M131" i="1"/>
  <c r="S101" i="1"/>
  <c r="S102" i="1"/>
  <c r="S105" i="1"/>
  <c r="I99" i="1"/>
  <c r="H99" i="1"/>
  <c r="G99" i="1"/>
  <c r="F99" i="1"/>
  <c r="F101" i="1"/>
  <c r="F143" i="1"/>
  <c r="F146" i="1"/>
  <c r="F149" i="1"/>
  <c r="R101" i="1"/>
  <c r="R143" i="1"/>
  <c r="R146" i="1"/>
  <c r="R144" i="1"/>
  <c r="R147" i="1"/>
  <c r="M130" i="1"/>
  <c r="S135" i="1"/>
  <c r="S143" i="1"/>
  <c r="S146" i="1"/>
  <c r="S149" i="1"/>
  <c r="U101" i="1"/>
  <c r="AB101" i="1"/>
  <c r="AB102" i="1"/>
  <c r="AB105" i="1"/>
  <c r="AB122" i="1"/>
  <c r="AC99" i="1"/>
  <c r="AD99" i="1"/>
  <c r="AE99" i="1"/>
  <c r="AE101" i="1"/>
  <c r="AE143" i="1"/>
  <c r="U143" i="1"/>
  <c r="R128" i="1"/>
  <c r="N132" i="1"/>
  <c r="N130" i="1"/>
  <c r="S106" i="1"/>
  <c r="K144" i="1"/>
  <c r="U146" i="1"/>
  <c r="Q128" i="1"/>
  <c r="H101" i="1"/>
  <c r="H143" i="1"/>
  <c r="H146" i="1"/>
  <c r="AB143" i="1"/>
  <c r="J135" i="1"/>
  <c r="Q132" i="1"/>
  <c r="N102" i="1"/>
  <c r="N105" i="1"/>
  <c r="N106" i="1"/>
  <c r="F128" i="1"/>
  <c r="F132" i="1"/>
  <c r="P101" i="1"/>
  <c r="P102" i="1"/>
  <c r="P105" i="1"/>
  <c r="T101" i="1"/>
  <c r="T135" i="1"/>
  <c r="T138" i="1"/>
  <c r="Q135" i="1"/>
  <c r="T128" i="1"/>
  <c r="T131" i="1"/>
  <c r="F130" i="1"/>
  <c r="Q140" i="1"/>
  <c r="J140" i="1"/>
  <c r="Q139" i="1"/>
  <c r="P125" i="1"/>
  <c r="O135" i="1"/>
  <c r="G101" i="1"/>
  <c r="R125" i="1"/>
  <c r="Z101" i="1"/>
  <c r="J102" i="1"/>
  <c r="L135" i="1"/>
  <c r="O131" i="1"/>
  <c r="P143" i="1"/>
  <c r="K143" i="1"/>
  <c r="J105" i="1"/>
  <c r="Y101" i="1"/>
  <c r="Y102" i="1"/>
  <c r="Y105" i="1"/>
  <c r="X125" i="1"/>
  <c r="K147" i="1"/>
  <c r="AA125" i="1"/>
  <c r="AD101" i="1"/>
  <c r="AD128" i="1"/>
  <c r="AD131" i="1"/>
  <c r="Y135" i="1"/>
  <c r="Y139" i="1"/>
  <c r="AD130" i="1"/>
  <c r="AD132" i="1"/>
  <c r="K128" i="1"/>
  <c r="K132" i="1"/>
  <c r="J143" i="1"/>
  <c r="G143" i="1"/>
  <c r="K106" i="1"/>
  <c r="I101" i="1"/>
  <c r="I144" i="1"/>
  <c r="I147" i="1"/>
  <c r="I150" i="1"/>
  <c r="I125" i="1"/>
  <c r="Y140" i="1"/>
  <c r="J121" i="1"/>
  <c r="AC101" i="1"/>
  <c r="AC128" i="1"/>
  <c r="AC131" i="1"/>
  <c r="J128" i="1"/>
  <c r="R135" i="1"/>
  <c r="Y121" i="1"/>
  <c r="M102" i="1"/>
  <c r="R132" i="1"/>
  <c r="M143" i="1"/>
  <c r="S122" i="1"/>
  <c r="AC144" i="1"/>
  <c r="AC147" i="1"/>
  <c r="O138" i="1"/>
  <c r="G144" i="1"/>
  <c r="S128" i="1"/>
  <c r="O143" i="1"/>
  <c r="O146" i="1"/>
  <c r="O149" i="1"/>
  <c r="G102" i="1"/>
  <c r="G105" i="1"/>
  <c r="G121" i="1"/>
  <c r="H102" i="1"/>
  <c r="H105" i="1"/>
  <c r="S139" i="1"/>
  <c r="J125" i="1"/>
  <c r="G147" i="1"/>
  <c r="J150" i="1"/>
  <c r="AC102" i="1"/>
  <c r="AC104" i="1"/>
  <c r="S131" i="1"/>
  <c r="AD102" i="1"/>
  <c r="AD105" i="1"/>
  <c r="AD123" i="1"/>
  <c r="O140" i="1"/>
  <c r="Q106" i="1"/>
  <c r="S144" i="1"/>
  <c r="J106" i="1"/>
  <c r="AE135" i="1"/>
  <c r="F102" i="1"/>
  <c r="F105" i="1"/>
  <c r="E125" i="1"/>
  <c r="O132" i="1"/>
  <c r="W101" i="1"/>
  <c r="W144" i="1"/>
  <c r="W147" i="1"/>
  <c r="L104" i="1"/>
  <c r="H123" i="1"/>
  <c r="AD135" i="1"/>
  <c r="AD139" i="1"/>
  <c r="V101" i="1"/>
  <c r="AD143" i="1"/>
  <c r="AD146" i="1"/>
  <c r="K123" i="1"/>
  <c r="K146" i="1"/>
  <c r="AE139" i="1"/>
  <c r="N104" i="1"/>
  <c r="J139" i="1"/>
  <c r="J138" i="1"/>
  <c r="AD106" i="1"/>
  <c r="Y122" i="1"/>
  <c r="K149" i="1"/>
  <c r="AB106" i="1"/>
  <c r="V144" i="1"/>
  <c r="AD121" i="1"/>
  <c r="O139" i="1"/>
  <c r="T143" i="1"/>
  <c r="T146" i="1"/>
  <c r="T149" i="1"/>
  <c r="M138" i="1"/>
  <c r="G146" i="1"/>
  <c r="G106" i="1"/>
  <c r="E99" i="1"/>
  <c r="E101" i="1"/>
  <c r="E135" i="1"/>
  <c r="G135" i="1"/>
  <c r="R130" i="1"/>
  <c r="V135" i="1"/>
  <c r="AC125" i="1"/>
  <c r="H121" i="1"/>
  <c r="F122" i="1"/>
  <c r="O144" i="1"/>
  <c r="W150" i="1"/>
  <c r="AB144" i="1"/>
  <c r="W135" i="1"/>
  <c r="W139" i="1"/>
  <c r="F135" i="1"/>
  <c r="J132" i="1"/>
  <c r="M125" i="1"/>
  <c r="L144" i="1"/>
  <c r="H104" i="1"/>
  <c r="F131" i="1"/>
  <c r="W138" i="1"/>
  <c r="U135" i="1"/>
  <c r="I143" i="1"/>
  <c r="L122" i="1"/>
  <c r="V138" i="1"/>
  <c r="T139" i="1"/>
  <c r="L139" i="1"/>
  <c r="W143" i="1"/>
  <c r="W146" i="1"/>
  <c r="G122" i="1"/>
  <c r="G150" i="1"/>
  <c r="H106" i="1"/>
  <c r="AC130" i="1"/>
  <c r="F123" i="1"/>
  <c r="P121" i="1"/>
  <c r="P144" i="1"/>
  <c r="P147" i="1"/>
  <c r="T140" i="1"/>
  <c r="U140" i="1"/>
  <c r="F138" i="1"/>
  <c r="AE102" i="1"/>
  <c r="AE105" i="1"/>
  <c r="AE106" i="1"/>
  <c r="V143" i="1"/>
  <c r="V146" i="1"/>
  <c r="V149" i="1"/>
  <c r="Q138" i="1"/>
  <c r="Q121" i="1"/>
  <c r="Q143" i="1"/>
  <c r="Q146" i="1"/>
  <c r="Q149" i="1"/>
  <c r="I135" i="1"/>
  <c r="AE144" i="1"/>
  <c r="AE147" i="1"/>
  <c r="AE150" i="1"/>
  <c r="P146" i="1"/>
  <c r="M140" i="1"/>
  <c r="Y106" i="1"/>
  <c r="L138" i="1"/>
  <c r="J123" i="1"/>
  <c r="X101" i="1"/>
  <c r="X102" i="1"/>
  <c r="X105" i="1"/>
  <c r="X123" i="1"/>
  <c r="Z102" i="1"/>
  <c r="Z105" i="1"/>
  <c r="Y125" i="1"/>
  <c r="AD144" i="1"/>
  <c r="AD147" i="1"/>
  <c r="AD150" i="1"/>
  <c r="I138" i="1"/>
  <c r="X106" i="1"/>
  <c r="T102" i="1"/>
  <c r="T105" i="1"/>
  <c r="T121" i="1"/>
  <c r="Q130" i="1"/>
  <c r="G104" i="1"/>
  <c r="Y104" i="1"/>
  <c r="Q131" i="1"/>
  <c r="I140" i="1"/>
  <c r="T122" i="1"/>
  <c r="S125" i="1"/>
  <c r="Z122" i="1"/>
  <c r="I139" i="1"/>
  <c r="T123" i="1"/>
  <c r="AD104" i="1"/>
  <c r="X143" i="1"/>
  <c r="X146" i="1"/>
  <c r="X149" i="1"/>
  <c r="Z123" i="1"/>
  <c r="X121" i="1"/>
  <c r="X122" i="1"/>
  <c r="Z121" i="1"/>
  <c r="W125" i="1"/>
  <c r="P149" i="1"/>
  <c r="K121" i="1"/>
  <c r="AB100" i="1"/>
  <c r="AA100" i="1"/>
  <c r="Z100" i="1"/>
  <c r="Y100" i="1"/>
  <c r="X100" i="1"/>
  <c r="W100" i="1"/>
  <c r="V100" i="1"/>
  <c r="U100" i="1"/>
  <c r="R149" i="1"/>
  <c r="AB121" i="1"/>
  <c r="Y138" i="1"/>
  <c r="J122" i="1"/>
  <c r="R150" i="1"/>
  <c r="E102" i="1"/>
  <c r="E105" i="1"/>
  <c r="E121" i="1"/>
  <c r="R131" i="1"/>
  <c r="S104" i="1"/>
  <c r="K131" i="1"/>
  <c r="L128" i="1"/>
  <c r="L143" i="1"/>
  <c r="AC135" i="1"/>
  <c r="L121" i="1"/>
  <c r="K135" i="1"/>
  <c r="AC138" i="1"/>
  <c r="H122" i="1"/>
  <c r="AB104" i="1"/>
  <c r="U149" i="1"/>
  <c r="L132" i="1"/>
  <c r="AB128" i="1"/>
  <c r="R102" i="1"/>
  <c r="R105" i="1"/>
  <c r="R122" i="1"/>
  <c r="AE146" i="1"/>
  <c r="AB123" i="1"/>
  <c r="G140" i="1"/>
  <c r="U102" i="1"/>
  <c r="L131" i="1"/>
  <c r="N143" i="1"/>
  <c r="AB146" i="1"/>
  <c r="Q104" i="1"/>
  <c r="R121" i="1"/>
  <c r="L147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S121" i="1"/>
  <c r="I146" i="1"/>
  <c r="U138" i="1"/>
  <c r="P106" i="1"/>
  <c r="Z104" i="1"/>
  <c r="S130" i="1"/>
  <c r="AD140" i="1"/>
  <c r="R138" i="1"/>
  <c r="F104" i="1"/>
  <c r="W149" i="1"/>
  <c r="V139" i="1"/>
  <c r="K139" i="1"/>
  <c r="AE104" i="1"/>
  <c r="E122" i="1"/>
  <c r="E123" i="1"/>
  <c r="X104" i="1"/>
  <c r="T106" i="1"/>
  <c r="V147" i="1"/>
  <c r="N144" i="1"/>
  <c r="N147" i="1"/>
  <c r="N150" i="1"/>
  <c r="U128" i="1"/>
  <c r="K104" i="1"/>
  <c r="G123" i="1"/>
  <c r="U131" i="1"/>
  <c r="U130" i="1"/>
  <c r="U132" i="1"/>
  <c r="M146" i="1"/>
  <c r="J130" i="1"/>
  <c r="H149" i="1"/>
  <c r="AE140" i="1"/>
  <c r="Q144" i="1"/>
  <c r="V102" i="1"/>
  <c r="V105" i="1"/>
  <c r="Q147" i="1"/>
  <c r="Q150" i="1"/>
  <c r="AC105" i="1"/>
  <c r="Z143" i="1"/>
  <c r="AC132" i="1"/>
  <c r="Q123" i="1"/>
  <c r="X128" i="1"/>
  <c r="X130" i="1"/>
  <c r="AC150" i="1"/>
  <c r="H135" i="1"/>
  <c r="H140" i="1"/>
  <c r="E138" i="1"/>
  <c r="K150" i="1"/>
  <c r="AD149" i="1"/>
  <c r="Y128" i="1"/>
  <c r="Y132" i="1"/>
  <c r="Z128" i="1"/>
  <c r="N135" i="1"/>
  <c r="P128" i="1"/>
  <c r="J131" i="1"/>
  <c r="E128" i="1"/>
  <c r="E131" i="1"/>
  <c r="I102" i="1"/>
  <c r="I105" i="1"/>
  <c r="I123" i="1"/>
  <c r="N140" i="1"/>
  <c r="H144" i="1"/>
  <c r="H147" i="1"/>
  <c r="AE128" i="1"/>
  <c r="AE132" i="1"/>
  <c r="X132" i="1"/>
  <c r="M104" i="1"/>
  <c r="AC143" i="1"/>
  <c r="AC146" i="1"/>
  <c r="AE121" i="1"/>
  <c r="AE130" i="1"/>
  <c r="N139" i="1"/>
  <c r="F125" i="1"/>
  <c r="G139" i="1"/>
  <c r="M132" i="1"/>
  <c r="J146" i="1"/>
  <c r="AD138" i="1"/>
  <c r="O147" i="1"/>
  <c r="O150" i="1"/>
  <c r="AB125" i="1"/>
  <c r="Y130" i="1"/>
  <c r="W140" i="1"/>
  <c r="AD125" i="1"/>
  <c r="T104" i="1"/>
  <c r="N122" i="1"/>
  <c r="N138" i="1"/>
  <c r="N123" i="1"/>
  <c r="AB147" i="1"/>
  <c r="H128" i="1"/>
  <c r="AC123" i="1"/>
  <c r="H150" i="1"/>
  <c r="P104" i="1"/>
  <c r="AE138" i="1"/>
  <c r="Y123" i="1"/>
  <c r="P135" i="1"/>
  <c r="T132" i="1"/>
  <c r="T130" i="1"/>
  <c r="P122" i="1"/>
  <c r="AC121" i="1"/>
  <c r="H132" i="1"/>
  <c r="T144" i="1"/>
  <c r="T147" i="1"/>
  <c r="T150" i="1"/>
  <c r="G138" i="1"/>
  <c r="O125" i="1"/>
  <c r="P150" i="1"/>
  <c r="AB150" i="1"/>
  <c r="H130" i="1"/>
  <c r="F140" i="1"/>
  <c r="AE122" i="1"/>
  <c r="V128" i="1"/>
  <c r="F139" i="1"/>
  <c r="AC100" i="1"/>
  <c r="Z144" i="1"/>
  <c r="Z147" i="1"/>
  <c r="Z150" i="1"/>
  <c r="Z135" i="1"/>
  <c r="Y143" i="1"/>
  <c r="Y146" i="1"/>
  <c r="Y144" i="1"/>
  <c r="Y147" i="1"/>
  <c r="W102" i="1"/>
  <c r="W105" i="1"/>
  <c r="W123" i="1"/>
  <c r="X135" i="1"/>
  <c r="X140" i="1"/>
  <c r="O102" i="1"/>
  <c r="O105" i="1"/>
  <c r="E143" i="1"/>
  <c r="E146" i="1"/>
  <c r="U144" i="1"/>
  <c r="U147" i="1"/>
  <c r="U150" i="1"/>
  <c r="J104" i="1"/>
  <c r="V122" i="1"/>
  <c r="V106" i="1"/>
  <c r="V121" i="1"/>
  <c r="F144" i="1"/>
  <c r="F147" i="1"/>
  <c r="F150" i="1"/>
  <c r="S138" i="1"/>
  <c r="G125" i="1"/>
  <c r="F106" i="1"/>
  <c r="K130" i="1"/>
  <c r="S123" i="1"/>
  <c r="AB135" i="1"/>
  <c r="M105" i="1"/>
  <c r="X144" i="1"/>
  <c r="G128" i="1"/>
  <c r="AC139" i="1"/>
  <c r="E144" i="1"/>
  <c r="E147" i="1"/>
  <c r="E150" i="1"/>
  <c r="M149" i="1"/>
  <c r="I122" i="1"/>
  <c r="I106" i="1"/>
  <c r="AB130" i="1"/>
  <c r="S132" i="1"/>
  <c r="AC122" i="1"/>
  <c r="AE131" i="1"/>
  <c r="AE149" i="1"/>
  <c r="I104" i="1"/>
  <c r="AD122" i="1"/>
  <c r="F121" i="1"/>
  <c r="U105" i="1"/>
  <c r="W128" i="1"/>
  <c r="AB132" i="1"/>
  <c r="W122" i="1"/>
  <c r="S147" i="1"/>
  <c r="G132" i="1"/>
  <c r="S140" i="1"/>
  <c r="I128" i="1"/>
  <c r="R139" i="1"/>
  <c r="R140" i="1"/>
  <c r="Z132" i="1"/>
  <c r="N121" i="1"/>
  <c r="I131" i="1"/>
  <c r="V123" i="1"/>
  <c r="X147" i="1"/>
  <c r="Z146" i="1"/>
  <c r="P123" i="1"/>
  <c r="W104" i="1"/>
  <c r="T125" i="1"/>
  <c r="G131" i="1"/>
  <c r="AE123" i="1"/>
  <c r="AB138" i="1"/>
  <c r="X131" i="1"/>
  <c r="E139" i="1"/>
  <c r="E140" i="1"/>
  <c r="Y131" i="1"/>
  <c r="N146" i="1"/>
  <c r="S150" i="1"/>
  <c r="L140" i="1"/>
  <c r="I130" i="1"/>
  <c r="I132" i="1"/>
  <c r="L130" i="1"/>
  <c r="P140" i="1"/>
  <c r="Z140" i="1"/>
  <c r="L146" i="1"/>
  <c r="H138" i="1"/>
  <c r="Z139" i="1"/>
  <c r="Z138" i="1"/>
  <c r="E106" i="1"/>
  <c r="Z130" i="1"/>
  <c r="X138" i="1"/>
  <c r="K140" i="1"/>
  <c r="O106" i="1"/>
  <c r="W131" i="1"/>
  <c r="D125" i="1"/>
  <c r="AB140" i="1"/>
  <c r="E104" i="1"/>
  <c r="L123" i="1"/>
  <c r="Z106" i="1"/>
  <c r="X150" i="1"/>
  <c r="N125" i="1"/>
  <c r="U139" i="1"/>
  <c r="V130" i="1"/>
  <c r="G130" i="1"/>
  <c r="R106" i="1"/>
  <c r="W106" i="1"/>
  <c r="V140" i="1"/>
  <c r="E149" i="1"/>
  <c r="AC149" i="1"/>
  <c r="Q125" i="1"/>
  <c r="L150" i="1"/>
  <c r="G149" i="1"/>
  <c r="I149" i="1"/>
  <c r="Z149" i="1"/>
  <c r="U123" i="1"/>
  <c r="L149" i="1"/>
  <c r="Y149" i="1"/>
  <c r="W130" i="1"/>
  <c r="AB149" i="1"/>
  <c r="U125" i="1"/>
  <c r="P132" i="1"/>
  <c r="AC140" i="1"/>
  <c r="P138" i="1"/>
  <c r="K138" i="1"/>
  <c r="E130" i="1"/>
  <c r="AD100" i="1"/>
  <c r="AE100" i="1"/>
  <c r="M122" i="1"/>
  <c r="AB131" i="1"/>
  <c r="U121" i="1"/>
  <c r="U104" i="1"/>
  <c r="R123" i="1"/>
  <c r="V132" i="1"/>
  <c r="V150" i="1"/>
  <c r="O104" i="1"/>
  <c r="Z131" i="1"/>
  <c r="H139" i="1"/>
  <c r="X139" i="1"/>
  <c r="H125" i="1"/>
  <c r="I121" i="1"/>
  <c r="AC106" i="1"/>
  <c r="L125" i="1"/>
  <c r="P131" i="1"/>
  <c r="M123" i="1"/>
  <c r="W121" i="1"/>
  <c r="H131" i="1"/>
  <c r="E132" i="1"/>
  <c r="J149" i="1"/>
  <c r="W132" i="1"/>
  <c r="V131" i="1"/>
  <c r="U106" i="1"/>
  <c r="N149" i="1"/>
  <c r="O121" i="1"/>
  <c r="V125" i="1"/>
  <c r="O123" i="1"/>
  <c r="Y150" i="1"/>
  <c r="V104" i="1"/>
  <c r="P130" i="1"/>
  <c r="M106" i="1"/>
  <c r="P139" i="1"/>
  <c r="AB139" i="1"/>
  <c r="M121" i="1"/>
  <c r="O122" i="1"/>
  <c r="R104" i="1"/>
  <c r="U1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<sst xmlns="http://schemas.openxmlformats.org/spreadsheetml/2006/main" count="773" uniqueCount="576">
  <si>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</si>
  <si>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</si>
  <si>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</si>
  <si>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</si>
  <si>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</si>
  <si>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</si>
  <si>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</si>
  <si>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</si>
  <si>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</si>
  <si>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</si>
  <si>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</si>
  <si>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</si>
  <si>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</si>
  <si>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</si>
  <si>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</si>
  <si>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</si>
  <si>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</si>
  <si>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</si>
  <si>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</si>
  <si>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</si>
  <si>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</si>
  <si>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</si>
  <si>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</si>
  <si>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</si>
  <si>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</si>
  <si>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</si>
  <si>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</si>
  <si>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</si>
  <si>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</si>
  <si>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</si>
  <si>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</si>
  <si>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</si>
  <si>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</si>
  <si>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</si>
  <si>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</si>
  <si>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</si>
  <si>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</si>
  <si>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</si>
  <si>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</si>
  <si>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</si>
  <si>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</si>
  <si>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</si>
  <si>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</si>
  <si>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</si>
  <si>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</si>
  <si>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</si>
  <si>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</si>
  <si>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</si>
  <si>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</si>
  <si>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</si>
  <si>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</si>
  <si>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</si>
  <si>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</si>
  <si>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</si>
  <si>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</si>
  <si>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</si>
  <si>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</si>
  <si>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</si>
  <si>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</si>
  <si>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</si>
  <si>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</si>
  <si>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</si>
  <si>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</si>
  <si>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</si>
  <si>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</si>
  <si>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</si>
  <si>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</si>
  <si>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</si>
  <si>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</si>
  <si>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</si>
  <si>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</si>
  <si>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</si>
  <si>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</si>
  <si>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</si>
  <si>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</si>
  <si>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</si>
  <si>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</si>
  <si>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</si>
  <si>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</si>
  <si>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</si>
  <si>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</si>
  <si>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</si>
  <si>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</si>
  <si>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</si>
  <si>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</si>
  <si>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</si>
  <si>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</si>
  <si>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</si>
  <si>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</si>
  <si>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</si>
  <si>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</si>
  <si>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</si>
  <si>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</si>
  <si>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</si>
  <si>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</si>
  <si>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</si>
  <si>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</si>
  <si>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</si>
  <si>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</si>
  <si>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</si>
  <si>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</si>
  <si>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</si>
  <si>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</si>
  <si>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</si>
  <si>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</si>
  <si>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</si>
  <si>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</si>
  <si>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</si>
  <si>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</si>
  <si>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</si>
  <si>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</si>
  <si>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</si>
  <si>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</si>
  <si>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</si>
  <si>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</si>
  <si>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</si>
  <si>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</si>
  <si>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</si>
  <si>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</si>
  <si>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</si>
  <si>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</si>
  <si>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</si>
  <si>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</si>
  <si>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</si>
  <si>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</si>
  <si>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</si>
  <si>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</si>
  <si>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</si>
  <si>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</si>
  <si>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</si>
  <si>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</si>
  <si>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</si>
  <si>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</si>
  <si>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</si>
  <si>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</si>
  <si>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</si>
  <si>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</si>
  <si>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</si>
  <si>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</si>
  <si>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</si>
  <si>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</si>
  <si>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</si>
  <si>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</si>
  <si>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</si>
  <si>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</si>
  <si>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</si>
  <si>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</si>
  <si>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</si>
  <si>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</si>
  <si>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</si>
  <si>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</si>
  <si>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</si>
  <si>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</si>
  <si>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</si>
  <si>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</si>
  <si>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</si>
  <si>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</si>
  <si>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</si>
  <si>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</si>
  <si>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</si>
  <si>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</si>
  <si>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</si>
  <si>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</si>
  <si>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</si>
  <si>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</si>
  <si>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</si>
  <si>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</si>
  <si>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</si>
  <si>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</si>
  <si>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</si>
  <si>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</si>
  <si>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</si>
  <si>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</si>
  <si>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</si>
  <si>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</si>
  <si>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</si>
  <si>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</si>
  <si>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</si>
  <si>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</si>
  <si>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</si>
  <si>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</si>
  <si>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</si>
  <si>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</si>
  <si>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</si>
  <si>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</si>
  <si>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</si>
  <si>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</si>
  <si>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</si>
  <si>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</si>
  <si>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</si>
  <si>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</si>
  <si>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</si>
  <si>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</si>
  <si>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</si>
  <si>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</si>
  <si>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</si>
  <si>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</si>
  <si>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</si>
  <si>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</si>
  <si>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</si>
  <si>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</si>
  <si>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</si>
  <si>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</si>
  <si>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</si>
  <si>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</si>
  <si>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</si>
  <si>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</si>
  <si>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</si>
  <si>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</si>
  <si>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</si>
  <si>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</si>
  <si>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</si>
  <si>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</si>
  <si>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</si>
  <si>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</si>
  <si>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</si>
  <si>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</si>
  <si>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</si>
  <si>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</si>
  <si>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</si>
  <si>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</si>
  <si>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</si>
  <si>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</si>
  <si>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</si>
  <si>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</si>
  <si>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</si>
  <si>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</si>
  <si>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</si>
  <si>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</si>
  <si>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</si>
  <si>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</si>
  <si>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</si>
  <si>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</si>
  <si>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</si>
  <si>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</si>
  <si>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</si>
  <si>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</si>
  <si>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</si>
  <si>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</si>
  <si>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</si>
  <si>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</si>
  <si>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</si>
  <si>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</si>
  <si>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</si>
  <si>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</si>
  <si>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</si>
  <si>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</si>
  <si>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</si>
  <si>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</si>
  <si>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</si>
  <si>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</si>
  <si>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</si>
  <si>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</si>
  <si>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</si>
  <si>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</si>
  <si>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</si>
  <si>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</si>
  <si>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</si>
  <si>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</si>
  <si>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</si>
  <si>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</si>
  <si>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</si>
  <si>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</si>
  <si>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</si>
  <si>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</si>
  <si>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</si>
  <si>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</si>
  <si>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</si>
  <si>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</si>
  <si>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</si>
  <si>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</si>
  <si>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</si>
  <si>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</si>
  <si>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</si>
  <si>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</si>
  <si>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</si>
  <si>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</si>
  <si>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</si>
  <si>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</si>
  <si>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</si>
  <si>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</si>
  <si>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</si>
  <si>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</si>
  <si>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</si>
  <si>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</si>
  <si>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</si>
  <si>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</si>
  <si>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</si>
  <si>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</si>
  <si>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</si>
  <si>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</si>
  <si>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</si>
  <si>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</si>
  <si>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</si>
  <si>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</si>
  <si>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</si>
  <si>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</si>
  <si>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</si>
  <si>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</si>
  <si>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</si>
  <si>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</si>
  <si>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</si>
  <si>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</si>
  <si>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</si>
  <si>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</si>
  <si>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</si>
  <si>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</si>
  <si>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</si>
  <si>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</si>
  <si>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</si>
  <si>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</si>
  <si>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</si>
  <si>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</si>
  <si>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</si>
  <si>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</si>
  <si>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</si>
  <si>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</si>
  <si>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</si>
  <si>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</si>
  <si>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</si>
  <si>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</si>
  <si>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</si>
  <si>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</si>
  <si>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</si>
  <si>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</si>
  <si>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</si>
  <si>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</si>
  <si>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</si>
  <si>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</si>
  <si>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</si>
  <si>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</si>
  <si>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</si>
  <si>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</si>
  <si>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</si>
  <si>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</si>
  <si>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</si>
  <si>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</si>
  <si>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</si>
  <si>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</si>
  <si>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</si>
  <si>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</si>
  <si>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</si>
  <si>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</si>
  <si>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</si>
  <si>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</si>
  <si>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</si>
  <si>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</si>
  <si>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</si>
  <si>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</si>
  <si>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</si>
  <si>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</si>
  <si>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</si>
  <si>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</si>
  <si>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</si>
  <si>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</si>
  <si>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</si>
  <si>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</si>
  <si>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</si>
  <si>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</si>
  <si>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</si>
  <si>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</si>
  <si>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</si>
  <si>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</si>
  <si>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</si>
  <si>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</si>
  <si>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</si>
  <si>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</si>
  <si>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</si>
  <si>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</si>
  <si>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</si>
  <si>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</si>
  <si>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</si>
  <si>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</si>
  <si>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</si>
  <si>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</si>
  <si>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</si>
  <si>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</si>
  <si>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</si>
  <si>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</si>
  <si>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</si>
  <si>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</si>
  <si>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</si>
  <si>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</si>
  <si>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</si>
  <si>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</si>
  <si>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</si>
  <si>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</si>
  <si>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</si>
  <si>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</si>
  <si>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</si>
  <si>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</si>
  <si>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</si>
  <si>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</si>
  <si>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</si>
  <si>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</si>
  <si>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</si>
  <si>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</si>
  <si>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</si>
  <si>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</si>
  <si>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</si>
  <si>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</si>
  <si>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</si>
  <si>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</si>
  <si>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</si>
  <si>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</si>
  <si>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</si>
  <si>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</si>
  <si>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</si>
  <si>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</si>
  <si>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</si>
  <si>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</si>
  <si>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</si>
  <si>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</si>
  <si>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</si>
  <si>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</si>
  <si>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</si>
  <si>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</si>
  <si>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</si>
  <si>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</si>
  <si>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</si>
  <si>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</si>
  <si>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</si>
  <si>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</si>
  <si>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</si>
  <si>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</si>
  <si>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</si>
  <si>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</si>
  <si>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</si>
  <si>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</si>
  <si>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</si>
  <si>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</si>
  <si>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</si>
  <si>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</si>
  <si>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</si>
  <si>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</si>
  <si>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</si>
  <si>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</si>
  <si>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</si>
  <si>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</si>
  <si>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</si>
  <si>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</si>
  <si>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</si>
  <si>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</si>
  <si>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</si>
  <si>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</si>
  <si>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</si>
  <si>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</si>
  <si>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</si>
  <si>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</si>
  <si>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</si>
  <si>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</si>
  <si>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</si>
  <si>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</si>
  <si>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</si>
  <si>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</si>
  <si>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</si>
  <si>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</si>
  <si>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</si>
  <si>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</si>
  <si>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</si>
  <si>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</si>
  <si>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</si>
  <si>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</si>
  <si>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</si>
  <si>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</si>
  <si>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</si>
  <si>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</si>
  <si>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</si>
  <si>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</si>
  <si>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</si>
  <si>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</si>
  <si>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</si>
  <si>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</si>
  <si>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</si>
  <si>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</si>
  <si>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</si>
  <si>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</si>
  <si>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</si>
  <si>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</si>
  <si>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</si>
  <si>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</si>
  <si>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</si>
  <si>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</si>
  <si>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</si>
  <si>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</si>
  <si>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</si>
  <si>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</si>
  <si>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</si>
  <si>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</si>
  <si>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</si>
  <si>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</si>
  <si>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</si>
  <si>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</si>
  <si>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</si>
  <si>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</si>
  <si>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</si>
  <si>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</si>
  <si>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</si>
  <si>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</si>
  <si>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</si>
  <si>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</si>
  <si>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</si>
  <si>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</si>
  <si>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</si>
  <si>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</si>
  <si>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</si>
  <si>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</si>
  <si>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</si>
  <si>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</si>
  <si>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</si>
  <si>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</si>
  <si>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</si>
  <si>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</si>
  <si>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</si>
  <si>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</si>
  <si>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</si>
  <si>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KSB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</si>
  <si>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</si>
  <si>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</si>
  <si>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</si>
  <si>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</si>
  <si>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</si>
  <si>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</si>
  <si>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</si>
  <si>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 REVENUE FROM OPERATIONS</t>
  </si>
  <si>
    <t xml:space="preserve">  Pumps</t>
  </si>
  <si>
    <t xml:space="preserve">  Valves</t>
  </si>
  <si>
    <t xml:space="preserve"> Less  Inter Segment Revenue</t>
  </si>
  <si>
    <t xml:space="preserve"> Net Revenue/Inc. From Ops.</t>
  </si>
  <si>
    <t xml:space="preserve"> Checskum</t>
  </si>
  <si>
    <t>Growth (%)</t>
  </si>
  <si>
    <t xml:space="preserve">PROFIT / LOSS BEFORE INTEREST &amp; TAX </t>
  </si>
  <si>
    <t>Total Profit Before Tax</t>
  </si>
  <si>
    <t xml:space="preserve"> Checksum</t>
  </si>
  <si>
    <t>PBIT Margins (%)</t>
  </si>
  <si>
    <t>Orderbook</t>
  </si>
  <si>
    <t>Nuclear</t>
  </si>
  <si>
    <t>Legacy Business</t>
  </si>
  <si>
    <t>Total OB</t>
  </si>
  <si>
    <t xml:space="preserve"> Less :Finance Cost</t>
  </si>
  <si>
    <t xml:space="preserve"> Other Un-Allocable Expenditure Net Off  + share of asscicate</t>
  </si>
  <si>
    <t>Quarter</t>
  </si>
  <si>
    <t>Calendar Year</t>
  </si>
  <si>
    <t>Nuclear (NPCIL)</t>
  </si>
  <si>
    <t>Non-Nuclear</t>
  </si>
  <si>
    <t>Total Order Book</t>
  </si>
  <si>
    <t>Q2 (Jun)</t>
  </si>
  <si>
    <t>~600</t>
  </si>
  <si>
    <t>~850</t>
  </si>
  <si>
    <t>Q3 (Sep)</t>
  </si>
  <si>
    <t>~650</t>
  </si>
  <si>
    <t>~950</t>
  </si>
  <si>
    <t>Q4 (Dec)</t>
  </si>
  <si>
    <t>~700</t>
  </si>
  <si>
    <t>Q1 (Mar)</t>
  </si>
  <si>
    <t>~750</t>
  </si>
  <si>
    <t>~1,050</t>
  </si>
  <si>
    <t>~915</t>
  </si>
  <si>
    <t>~1,265</t>
  </si>
  <si>
    <t>~920</t>
  </si>
  <si>
    <t>~1,330</t>
  </si>
  <si>
    <t>~1,380</t>
  </si>
  <si>
    <t>~1,310</t>
  </si>
  <si>
    <t>~1,140</t>
  </si>
  <si>
    <t>~1,313</t>
  </si>
  <si>
    <t>~1,384</t>
  </si>
  <si>
    <t>~1,315</t>
  </si>
  <si>
    <t>~1,385</t>
  </si>
  <si>
    <t xml:space="preserve">Opening </t>
  </si>
  <si>
    <t xml:space="preserve">Additions </t>
  </si>
  <si>
    <t>Execution</t>
  </si>
  <si>
    <t xml:space="preserve">Closing </t>
  </si>
  <si>
    <t>OB Growth</t>
  </si>
  <si>
    <t>Additions Growth</t>
  </si>
  <si>
    <t>Execution 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</si>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</sst>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0" fontId="20" fillId="2" borderId="0" xfId="2" applyNumberFormat="1" applyFont="1" applyFill="1" applyAlignment="1">
      <alignment horizontal="left"/>
    </xf>
    <xf numFmtId="2" fontId="20" fillId="2" borderId="0" xfId="2" applyNumberFormat="1" applyFont="1" applyFill="1" applyAlignment="1">
      <alignment horizontal="left"/>
    </xf>
    <xf numFmtId="166" fontId="20" fillId="2" borderId="0" xfId="2" applyNumberFormat="1" applyFont="1" applyFill="1" applyAlignment="1">
      <alignment horizontal="left"/>
    </xf>
    <xf numFmtId="2" fontId="20" fillId="2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9" fontId="20" fillId="2" borderId="0" xfId="2" applyNumberFormat="1" applyFont="1" applyFill="1" applyAlignment="1">
      <alignment horizontal="center"/>
    </xf>
    <xf numFmtId="2" fontId="20" fillId="2" borderId="0" xfId="2" applyNumberFormat="1" applyFont="1" applyFill="1"/>
    <xf numFmtId="2" fontId="11" fillId="2" borderId="0" xfId="2" applyNumberFormat="1" applyFont="1" applyFill="1"/>
    <xf numFmtId="2" fontId="18" fillId="2" borderId="0" xfId="2" applyNumberFormat="1" applyFont="1" applyFill="1"/>
    <xf numFmtId="9" fontId="20" fillId="2" borderId="0" xfId="2" applyNumberFormat="1" applyFont="1" applyFill="1" applyAlignment="1">
      <alignment horizontal="right"/>
    </xf>
    <xf numFmtId="0" fontId="22" fillId="0" borderId="5" xfId="0" applyFont="1" applyBorder="1" applyAlignment="1">
      <alignment horizontal="left" vertical="center" wrapText="1" indent="1" readingOrder="1"/>
    </xf>
    <xf numFmtId="0" fontId="21" fillId="0" borderId="5" xfId="0" applyFont="1" applyBorder="1" applyAlignment="1">
      <alignment horizontal="left" vertical="center" wrapText="1" indent="1" readingOrder="1"/>
    </xf>
    <xf numFmtId="3" fontId="0" fillId="0" borderId="0" xfId="0" applyNumberFormat="1"/>
    <xf numFmtId="3" fontId="22" fillId="0" borderId="5" xfId="0" applyNumberFormat="1" applyFont="1" applyBorder="1" applyAlignment="1">
      <alignment horizontal="left" vertical="center" wrapText="1" indent="1" readingOrder="1"/>
    </xf>
    <xf numFmtId="3" fontId="21" fillId="0" borderId="5" xfId="0" applyNumberFormat="1" applyFont="1" applyBorder="1" applyAlignment="1">
      <alignment horizontal="left" vertical="center" wrapText="1" indent="1" readingOrder="1"/>
    </xf>
    <xf numFmtId="0" fontId="20" fillId="2" borderId="0" xfId="2" applyNumberFormat="1" applyFont="1" applyFill="1" applyAlignment="1">
      <alignment horizontal="center"/>
    </xf>
    <xf numFmtId="0" fontId="20" fillId="2" borderId="0" xfId="2" applyNumberFormat="1" applyFont="1" applyFill="1" applyAlignment="1">
      <alignment horizontal="right"/>
    </xf>
    <xf numFmtId="3" fontId="20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90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43" sqref="DE43:DE290"/>
    </sheetView>
  </sheetViews>
  <sheetFormatPr defaultColWidth="11.140625" defaultRowHeight="12" outlineLevelRow="1" x14ac:dyDescent="0.2"/>
  <cols>
    <col min="1" max="1" width="35.85546875" style="2" customWidth="1"/>
    <col min="2" max="27" width="11.140625" style="2"/>
    <col min="28" max="31" width="11.140625" style="18"/>
    <col min="32" max="89" width="11.140625" style="2"/>
    <col min="90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KSB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ref="CK1" si="12">EOMONTH(CJ1,3)</f>
        <v>46022</v>
      </c>
      <c r="CL1" s="78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202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83" t="s">
        <v>524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84" t="s">
        <v>525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86">
        <v>1087.8</v>
      </c>
      <c r="V5" s="186">
        <v>1008</v>
      </c>
      <c r="W5" s="186">
        <v>1262</v>
      </c>
      <c r="X5" s="186">
        <v>1521.9</v>
      </c>
      <c r="Y5" s="186">
        <v>1896.8</v>
      </c>
      <c r="Z5" s="186">
        <v>2108.1000000000004</v>
      </c>
      <c r="AA5" s="186">
        <f t="shared" ref="AA5:AA7" si="29">SUM(CH5:CK5)</f>
        <v>2215</v>
      </c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89">
        <v>247.6</v>
      </c>
      <c r="BL5" s="189">
        <v>315.5</v>
      </c>
      <c r="BM5" s="189">
        <v>281.5</v>
      </c>
      <c r="BN5" s="189">
        <v>216.7</v>
      </c>
      <c r="BO5" s="189">
        <v>189.2</v>
      </c>
      <c r="BP5" s="189">
        <v>301.60000000000002</v>
      </c>
      <c r="BQ5" s="189">
        <v>300.5</v>
      </c>
      <c r="BR5" s="189">
        <v>317.7</v>
      </c>
      <c r="BS5" s="189">
        <v>262.3</v>
      </c>
      <c r="BT5" s="189">
        <v>305.39999999999998</v>
      </c>
      <c r="BU5" s="189">
        <v>376.6</v>
      </c>
      <c r="BV5" s="189">
        <v>349.6</v>
      </c>
      <c r="BW5" s="189">
        <v>381.4</v>
      </c>
      <c r="BX5" s="189">
        <v>351.4</v>
      </c>
      <c r="BY5" s="189">
        <v>439.5</v>
      </c>
      <c r="BZ5" s="189">
        <v>412.9</v>
      </c>
      <c r="CA5" s="189">
        <v>501.8</v>
      </c>
      <c r="CB5" s="189">
        <v>473.8</v>
      </c>
      <c r="CC5" s="189">
        <v>508.3</v>
      </c>
      <c r="CD5" s="189">
        <v>450</v>
      </c>
      <c r="CE5" s="189">
        <v>540.6</v>
      </c>
      <c r="CF5" s="189">
        <v>515.29999999999995</v>
      </c>
      <c r="CG5" s="189">
        <v>602.20000000000005</v>
      </c>
      <c r="CH5" s="189">
        <v>473.8</v>
      </c>
      <c r="CI5" s="189">
        <v>551.20000000000005</v>
      </c>
      <c r="CJ5" s="155">
        <v>533.1</v>
      </c>
      <c r="CK5" s="155">
        <v>656.9</v>
      </c>
      <c r="CL5" s="155">
        <v>499.5</v>
      </c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57" customFormat="1" x14ac:dyDescent="0.2">
      <c r="A6" s="184" t="s">
        <v>526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86">
        <v>208.10000000000002</v>
      </c>
      <c r="V6" s="186">
        <v>200.99999999999997</v>
      </c>
      <c r="W6" s="186">
        <v>237</v>
      </c>
      <c r="X6" s="186">
        <v>302.3</v>
      </c>
      <c r="Y6" s="186">
        <v>353.6</v>
      </c>
      <c r="Z6" s="186">
        <v>428.8</v>
      </c>
      <c r="AA6" s="186">
        <f t="shared" si="29"/>
        <v>485.1</v>
      </c>
      <c r="AB6" s="156"/>
      <c r="AC6" s="156"/>
      <c r="AD6" s="156"/>
      <c r="AE6" s="156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89">
        <v>55.5</v>
      </c>
      <c r="BL6" s="189">
        <v>50.5</v>
      </c>
      <c r="BM6" s="189">
        <v>55.8</v>
      </c>
      <c r="BN6" s="189">
        <v>40.700000000000003</v>
      </c>
      <c r="BO6" s="189">
        <v>29.9</v>
      </c>
      <c r="BP6" s="189">
        <v>60.8</v>
      </c>
      <c r="BQ6" s="189">
        <v>69.599999999999994</v>
      </c>
      <c r="BR6" s="189">
        <v>64.099999999999994</v>
      </c>
      <c r="BS6" s="189">
        <v>41.3</v>
      </c>
      <c r="BT6" s="189">
        <v>63.1</v>
      </c>
      <c r="BU6" s="189">
        <v>68.5</v>
      </c>
      <c r="BV6" s="189">
        <v>68.5</v>
      </c>
      <c r="BW6" s="189">
        <v>67.400000000000006</v>
      </c>
      <c r="BX6" s="189">
        <v>80.5</v>
      </c>
      <c r="BY6" s="189">
        <v>85.9</v>
      </c>
      <c r="BZ6" s="189">
        <v>77.3</v>
      </c>
      <c r="CA6" s="189">
        <v>90.3</v>
      </c>
      <c r="CB6" s="189">
        <v>90.9</v>
      </c>
      <c r="CC6" s="189">
        <v>95.1</v>
      </c>
      <c r="CD6" s="189">
        <v>95</v>
      </c>
      <c r="CE6" s="189">
        <v>106.4</v>
      </c>
      <c r="CF6" s="189">
        <v>102.2</v>
      </c>
      <c r="CG6" s="189">
        <v>125.2</v>
      </c>
      <c r="CH6" s="189">
        <v>122.4</v>
      </c>
      <c r="CI6" s="189">
        <v>116.3</v>
      </c>
      <c r="CJ6" s="155">
        <v>117.9</v>
      </c>
      <c r="CK6" s="155">
        <v>128.5</v>
      </c>
      <c r="CL6" s="155">
        <v>102.5</v>
      </c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D6" s="158"/>
    </row>
    <row r="7" spans="1:109" s="157" customFormat="1" x14ac:dyDescent="0.2">
      <c r="A7" s="184" t="s">
        <v>527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86">
        <v>1.9920000000001892</v>
      </c>
      <c r="V7" s="186">
        <v>0.88499999999999091</v>
      </c>
      <c r="W7" s="186">
        <v>1.70900000000006</v>
      </c>
      <c r="X7" s="186">
        <v>2.2400000000000091</v>
      </c>
      <c r="Y7" s="186">
        <v>3.1620000000002619</v>
      </c>
      <c r="Z7" s="186">
        <v>3.8140000000003056</v>
      </c>
      <c r="AA7" s="186">
        <f t="shared" si="29"/>
        <v>4.4000000000000004</v>
      </c>
      <c r="AB7" s="156"/>
      <c r="AC7" s="156"/>
      <c r="AD7" s="156"/>
      <c r="AE7" s="156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90">
        <v>1.3</v>
      </c>
      <c r="BL7" s="190">
        <v>0.2</v>
      </c>
      <c r="BM7" s="190">
        <v>0.3</v>
      </c>
      <c r="BN7" s="190">
        <v>0.4</v>
      </c>
      <c r="BO7" s="190">
        <v>0.2</v>
      </c>
      <c r="BP7" s="190">
        <v>0.1</v>
      </c>
      <c r="BQ7" s="190">
        <v>0.2</v>
      </c>
      <c r="BR7" s="190">
        <v>0.2</v>
      </c>
      <c r="BS7" s="190">
        <v>0.6</v>
      </c>
      <c r="BT7" s="190">
        <v>0.4</v>
      </c>
      <c r="BU7" s="190">
        <v>0.5</v>
      </c>
      <c r="BV7" s="190">
        <v>0.4</v>
      </c>
      <c r="BW7" s="190">
        <v>0.4</v>
      </c>
      <c r="BX7" s="190">
        <v>0.6</v>
      </c>
      <c r="BY7" s="190">
        <v>0.8</v>
      </c>
      <c r="BZ7" s="190">
        <v>0.6</v>
      </c>
      <c r="CA7" s="190">
        <v>0.8</v>
      </c>
      <c r="CB7" s="190">
        <v>1</v>
      </c>
      <c r="CC7" s="190">
        <v>0.8</v>
      </c>
      <c r="CD7" s="190">
        <v>0.8</v>
      </c>
      <c r="CE7" s="190">
        <v>1</v>
      </c>
      <c r="CF7" s="190">
        <v>1</v>
      </c>
      <c r="CG7" s="190">
        <v>1</v>
      </c>
      <c r="CH7" s="190">
        <v>0.8</v>
      </c>
      <c r="CI7" s="190">
        <v>0.8</v>
      </c>
      <c r="CJ7" s="155">
        <v>1.4</v>
      </c>
      <c r="CK7" s="155">
        <v>1.4</v>
      </c>
      <c r="CL7" s="155">
        <v>0.7</v>
      </c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D7" s="158"/>
    </row>
    <row r="8" spans="1:109" s="157" customFormat="1" x14ac:dyDescent="0.2">
      <c r="A8" s="184" t="s">
        <v>528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>
        <f>+U5+U6-U7</f>
        <v>1293.9079999999999</v>
      </c>
      <c r="V8" s="155">
        <f t="shared" ref="V8:AA8" si="30">+V5+V6-V7</f>
        <v>1208.115</v>
      </c>
      <c r="W8" s="155">
        <f t="shared" si="30"/>
        <v>1497.2909999999999</v>
      </c>
      <c r="X8" s="155">
        <f t="shared" si="30"/>
        <v>1821.96</v>
      </c>
      <c r="Y8" s="155">
        <f t="shared" si="30"/>
        <v>2247.2379999999998</v>
      </c>
      <c r="Z8" s="155">
        <f t="shared" si="30"/>
        <v>2533.0860000000002</v>
      </c>
      <c r="AA8" s="155">
        <f t="shared" si="30"/>
        <v>2695.7</v>
      </c>
      <c r="AB8" s="156"/>
      <c r="AC8" s="156"/>
      <c r="AD8" s="156"/>
      <c r="AE8" s="156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91">
        <f t="shared" ref="BK8:CK8" si="31">SUM(BK5:BK6)-BK7</f>
        <v>301.8</v>
      </c>
      <c r="BL8" s="191">
        <f t="shared" si="31"/>
        <v>365.8</v>
      </c>
      <c r="BM8" s="191">
        <f t="shared" si="31"/>
        <v>337</v>
      </c>
      <c r="BN8" s="191">
        <f t="shared" si="31"/>
        <v>257</v>
      </c>
      <c r="BO8" s="191">
        <f t="shared" si="31"/>
        <v>218.9</v>
      </c>
      <c r="BP8" s="191">
        <f t="shared" si="31"/>
        <v>362.3</v>
      </c>
      <c r="BQ8" s="191">
        <f t="shared" si="31"/>
        <v>369.90000000000003</v>
      </c>
      <c r="BR8" s="191">
        <f t="shared" si="31"/>
        <v>381.59999999999997</v>
      </c>
      <c r="BS8" s="191">
        <f t="shared" si="31"/>
        <v>303</v>
      </c>
      <c r="BT8" s="191">
        <f t="shared" si="31"/>
        <v>368.1</v>
      </c>
      <c r="BU8" s="191">
        <f t="shared" si="31"/>
        <v>444.6</v>
      </c>
      <c r="BV8" s="191">
        <f t="shared" si="31"/>
        <v>417.70000000000005</v>
      </c>
      <c r="BW8" s="191">
        <f t="shared" si="31"/>
        <v>448.4</v>
      </c>
      <c r="BX8" s="191">
        <f t="shared" si="31"/>
        <v>431.29999999999995</v>
      </c>
      <c r="BY8" s="191">
        <f t="shared" si="31"/>
        <v>524.6</v>
      </c>
      <c r="BZ8" s="191">
        <f t="shared" si="31"/>
        <v>489.59999999999997</v>
      </c>
      <c r="CA8" s="191">
        <f t="shared" si="31"/>
        <v>591.30000000000007</v>
      </c>
      <c r="CB8" s="191">
        <f t="shared" si="31"/>
        <v>563.70000000000005</v>
      </c>
      <c r="CC8" s="191">
        <f t="shared" si="31"/>
        <v>602.6</v>
      </c>
      <c r="CD8" s="191">
        <f t="shared" si="31"/>
        <v>544.20000000000005</v>
      </c>
      <c r="CE8" s="191">
        <f t="shared" si="31"/>
        <v>646</v>
      </c>
      <c r="CF8" s="191">
        <f t="shared" si="31"/>
        <v>616.5</v>
      </c>
      <c r="CG8" s="191">
        <f t="shared" si="31"/>
        <v>726.40000000000009</v>
      </c>
      <c r="CH8" s="191">
        <f t="shared" si="31"/>
        <v>595.40000000000009</v>
      </c>
      <c r="CI8" s="191">
        <f t="shared" si="31"/>
        <v>666.7</v>
      </c>
      <c r="CJ8" s="191">
        <f t="shared" si="31"/>
        <v>649.6</v>
      </c>
      <c r="CK8" s="191">
        <f t="shared" si="31"/>
        <v>784</v>
      </c>
      <c r="CL8" s="191">
        <f t="shared" ref="CL8" si="32">SUM(CL5:CL6)-CL7</f>
        <v>601.29999999999995</v>
      </c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D8" s="158"/>
    </row>
    <row r="9" spans="1:109" s="157" customFormat="1" x14ac:dyDescent="0.2">
      <c r="A9" s="184" t="s">
        <v>529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>
        <f t="shared" ref="U9:AA9" si="33">+U46-U8</f>
        <v>0</v>
      </c>
      <c r="V9" s="155">
        <f t="shared" si="33"/>
        <v>0</v>
      </c>
      <c r="W9" s="155">
        <f t="shared" si="33"/>
        <v>0</v>
      </c>
      <c r="X9" s="155">
        <f t="shared" si="33"/>
        <v>0</v>
      </c>
      <c r="Y9" s="155">
        <f t="shared" si="33"/>
        <v>0</v>
      </c>
      <c r="Z9" s="155">
        <f t="shared" si="33"/>
        <v>0</v>
      </c>
      <c r="AA9" s="155">
        <f t="shared" si="33"/>
        <v>2.8000000000247383E-2</v>
      </c>
      <c r="AB9" s="156"/>
      <c r="AC9" s="156"/>
      <c r="AD9" s="156"/>
      <c r="AE9" s="156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>
        <f t="shared" ref="BK9:CK9" si="34">+BK46-BK8</f>
        <v>0</v>
      </c>
      <c r="BL9" s="155">
        <f t="shared" si="34"/>
        <v>0</v>
      </c>
      <c r="BM9" s="155">
        <f t="shared" si="34"/>
        <v>0</v>
      </c>
      <c r="BN9" s="155">
        <f t="shared" si="34"/>
        <v>0</v>
      </c>
      <c r="BO9" s="155">
        <f t="shared" si="34"/>
        <v>0</v>
      </c>
      <c r="BP9" s="155">
        <f t="shared" si="34"/>
        <v>0</v>
      </c>
      <c r="BQ9" s="155">
        <f t="shared" si="34"/>
        <v>0</v>
      </c>
      <c r="BR9" s="155">
        <f t="shared" si="34"/>
        <v>0</v>
      </c>
      <c r="BS9" s="155">
        <f t="shared" si="34"/>
        <v>0</v>
      </c>
      <c r="BT9" s="155">
        <f t="shared" si="34"/>
        <v>0</v>
      </c>
      <c r="BU9" s="155">
        <f t="shared" si="34"/>
        <v>0</v>
      </c>
      <c r="BV9" s="155">
        <f t="shared" si="34"/>
        <v>0</v>
      </c>
      <c r="BW9" s="155">
        <f t="shared" si="34"/>
        <v>0</v>
      </c>
      <c r="BX9" s="155">
        <f t="shared" si="34"/>
        <v>0</v>
      </c>
      <c r="BY9" s="155">
        <f t="shared" si="34"/>
        <v>0</v>
      </c>
      <c r="BZ9" s="155">
        <f t="shared" si="34"/>
        <v>0</v>
      </c>
      <c r="CA9" s="155">
        <f t="shared" si="34"/>
        <v>0</v>
      </c>
      <c r="CB9" s="155">
        <f t="shared" si="34"/>
        <v>0</v>
      </c>
      <c r="CC9" s="155">
        <f t="shared" si="34"/>
        <v>0</v>
      </c>
      <c r="CD9" s="155">
        <f t="shared" si="34"/>
        <v>0</v>
      </c>
      <c r="CE9" s="155">
        <f t="shared" si="34"/>
        <v>0</v>
      </c>
      <c r="CF9" s="155">
        <f t="shared" si="34"/>
        <v>0</v>
      </c>
      <c r="CG9" s="155">
        <f t="shared" si="34"/>
        <v>0</v>
      </c>
      <c r="CH9" s="155">
        <f t="shared" si="34"/>
        <v>0</v>
      </c>
      <c r="CI9" s="155">
        <f t="shared" si="34"/>
        <v>0</v>
      </c>
      <c r="CJ9" s="155">
        <f t="shared" si="34"/>
        <v>0</v>
      </c>
      <c r="CK9" s="155">
        <f t="shared" si="34"/>
        <v>0</v>
      </c>
      <c r="CL9" s="155">
        <f t="shared" ref="CL9" si="35">+CL46-CL8</f>
        <v>0</v>
      </c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D9" s="158"/>
    </row>
    <row r="10" spans="1:109" s="157" customFormat="1" x14ac:dyDescent="0.2">
      <c r="A10" s="183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6"/>
      <c r="AC10" s="156"/>
      <c r="AD10" s="156"/>
      <c r="AE10" s="156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D10" s="158"/>
    </row>
    <row r="11" spans="1:109" s="157" customFormat="1" x14ac:dyDescent="0.2">
      <c r="A11" s="183" t="s">
        <v>530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6"/>
      <c r="AC11" s="156"/>
      <c r="AD11" s="156"/>
      <c r="AE11" s="156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D11" s="158"/>
    </row>
    <row r="12" spans="1:109" s="157" customFormat="1" x14ac:dyDescent="0.2">
      <c r="A12" s="185" t="s">
        <v>525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92">
        <f t="shared" ref="V12:AA13" si="36">+V5/U5-1</f>
        <v>-7.3359073359073323E-2</v>
      </c>
      <c r="W12" s="192">
        <f t="shared" si="36"/>
        <v>0.25198412698412698</v>
      </c>
      <c r="X12" s="192">
        <f t="shared" si="36"/>
        <v>0.20594294770206023</v>
      </c>
      <c r="Y12" s="192">
        <f t="shared" si="36"/>
        <v>0.24633681582232736</v>
      </c>
      <c r="Z12" s="192">
        <f t="shared" si="36"/>
        <v>0.1113981442429357</v>
      </c>
      <c r="AA12" s="192">
        <f t="shared" si="36"/>
        <v>5.0709169394240972E-2</v>
      </c>
      <c r="AB12" s="156"/>
      <c r="AC12" s="156"/>
      <c r="AD12" s="156"/>
      <c r="AE12" s="156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92">
        <f t="shared" ref="BO12:BO13" si="37">+BO5/BK5-1</f>
        <v>-0.23586429725363489</v>
      </c>
      <c r="BP12" s="192">
        <f t="shared" ref="BP12:BP13" si="38">+BP5/BL5-1</f>
        <v>-4.4057052297939658E-2</v>
      </c>
      <c r="BQ12" s="192">
        <f t="shared" ref="BQ12:CJ12" si="39">+BQ5/BM5-1</f>
        <v>6.7495559502664282E-2</v>
      </c>
      <c r="BR12" s="192">
        <f t="shared" si="39"/>
        <v>0.46608214120904479</v>
      </c>
      <c r="BS12" s="192">
        <f t="shared" si="39"/>
        <v>0.38636363636363646</v>
      </c>
      <c r="BT12" s="192">
        <f t="shared" si="39"/>
        <v>1.2599469496020976E-2</v>
      </c>
      <c r="BU12" s="192">
        <f t="shared" si="39"/>
        <v>0.25324459234608998</v>
      </c>
      <c r="BV12" s="192">
        <f t="shared" si="39"/>
        <v>0.10040919106074919</v>
      </c>
      <c r="BW12" s="192">
        <f t="shared" si="39"/>
        <v>0.45406023637056792</v>
      </c>
      <c r="BX12" s="192">
        <f t="shared" si="39"/>
        <v>0.1506221349050425</v>
      </c>
      <c r="BY12" s="192">
        <f t="shared" si="39"/>
        <v>0.16702071163037702</v>
      </c>
      <c r="BZ12" s="192">
        <f t="shared" si="39"/>
        <v>0.1810640732265445</v>
      </c>
      <c r="CA12" s="192">
        <f t="shared" si="39"/>
        <v>0.315679077084426</v>
      </c>
      <c r="CB12" s="192">
        <f t="shared" si="39"/>
        <v>0.34832100170745606</v>
      </c>
      <c r="CC12" s="192">
        <f t="shared" si="39"/>
        <v>0.15654152445961311</v>
      </c>
      <c r="CD12" s="192">
        <f t="shared" si="39"/>
        <v>8.9852264470816179E-2</v>
      </c>
      <c r="CE12" s="192">
        <f t="shared" si="39"/>
        <v>7.7321642088481468E-2</v>
      </c>
      <c r="CF12" s="192">
        <f t="shared" si="39"/>
        <v>8.7589700295483297E-2</v>
      </c>
      <c r="CG12" s="192">
        <f t="shared" si="39"/>
        <v>0.18473342514263247</v>
      </c>
      <c r="CH12" s="192">
        <f t="shared" si="39"/>
        <v>5.2888888888888985E-2</v>
      </c>
      <c r="CI12" s="192">
        <f t="shared" si="39"/>
        <v>1.9607843137254832E-2</v>
      </c>
      <c r="CJ12" s="192">
        <f t="shared" si="39"/>
        <v>3.4542984669124976E-2</v>
      </c>
      <c r="CK12" s="192">
        <f>+CK5/CG5-1</f>
        <v>9.0833610096313411E-2</v>
      </c>
      <c r="CL12" s="192">
        <f>+CL5/CH5-1</f>
        <v>5.4242296327564388E-2</v>
      </c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D12" s="158"/>
    </row>
    <row r="13" spans="1:109" s="157" customFormat="1" x14ac:dyDescent="0.2">
      <c r="A13" s="185" t="s">
        <v>526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92">
        <f t="shared" si="36"/>
        <v>-3.4118212397885928E-2</v>
      </c>
      <c r="W13" s="192">
        <f t="shared" si="36"/>
        <v>0.17910447761194037</v>
      </c>
      <c r="X13" s="192">
        <f t="shared" si="36"/>
        <v>0.27552742616033754</v>
      </c>
      <c r="Y13" s="192">
        <f t="shared" si="36"/>
        <v>0.16969897452861393</v>
      </c>
      <c r="Z13" s="192">
        <f t="shared" si="36"/>
        <v>0.21266968325791846</v>
      </c>
      <c r="AA13" s="192">
        <f t="shared" si="36"/>
        <v>0.13129664179104483</v>
      </c>
      <c r="AB13" s="156"/>
      <c r="AC13" s="156"/>
      <c r="AD13" s="156"/>
      <c r="AE13" s="156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92">
        <f t="shared" si="37"/>
        <v>-0.46126126126126132</v>
      </c>
      <c r="BP13" s="192">
        <f t="shared" si="38"/>
        <v>0.20396039603960392</v>
      </c>
      <c r="BQ13" s="192">
        <f t="shared" ref="BQ13:CJ13" si="40">+BQ6/BM6-1</f>
        <v>0.24731182795698925</v>
      </c>
      <c r="BR13" s="192">
        <f t="shared" si="40"/>
        <v>0.5749385749385747</v>
      </c>
      <c r="BS13" s="192">
        <f t="shared" si="40"/>
        <v>0.38127090301003341</v>
      </c>
      <c r="BT13" s="192">
        <f t="shared" si="40"/>
        <v>3.7828947368421018E-2</v>
      </c>
      <c r="BU13" s="192">
        <f t="shared" si="40"/>
        <v>-1.5804597701149392E-2</v>
      </c>
      <c r="BV13" s="192">
        <f t="shared" si="40"/>
        <v>6.8642745709828423E-2</v>
      </c>
      <c r="BW13" s="192">
        <f t="shared" si="40"/>
        <v>0.6319612590799033</v>
      </c>
      <c r="BX13" s="192">
        <f t="shared" si="40"/>
        <v>0.27575277337559423</v>
      </c>
      <c r="BY13" s="192">
        <f t="shared" si="40"/>
        <v>0.25401459854014607</v>
      </c>
      <c r="BZ13" s="192">
        <f t="shared" si="40"/>
        <v>0.12846715328467151</v>
      </c>
      <c r="CA13" s="192">
        <f t="shared" si="40"/>
        <v>0.33976261127596419</v>
      </c>
      <c r="CB13" s="192">
        <f t="shared" si="40"/>
        <v>0.12919254658385104</v>
      </c>
      <c r="CC13" s="192">
        <f t="shared" si="40"/>
        <v>0.1071012805587892</v>
      </c>
      <c r="CD13" s="192">
        <f t="shared" si="40"/>
        <v>0.22897800776196631</v>
      </c>
      <c r="CE13" s="192">
        <f t="shared" si="40"/>
        <v>0.17829457364341095</v>
      </c>
      <c r="CF13" s="192">
        <f t="shared" si="40"/>
        <v>0.1243124312431243</v>
      </c>
      <c r="CG13" s="192">
        <f t="shared" si="40"/>
        <v>0.31650893796004209</v>
      </c>
      <c r="CH13" s="192">
        <f t="shared" si="40"/>
        <v>0.28842105263157891</v>
      </c>
      <c r="CI13" s="192">
        <f t="shared" si="40"/>
        <v>9.3045112781954709E-2</v>
      </c>
      <c r="CJ13" s="192">
        <f t="shared" si="40"/>
        <v>0.15362035225048931</v>
      </c>
      <c r="CK13" s="192">
        <f>+CK6/CG6-1</f>
        <v>2.635782747603832E-2</v>
      </c>
      <c r="CL13" s="192">
        <f>+CL6/CH6-1</f>
        <v>-0.16258169934640532</v>
      </c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D13" s="158"/>
    </row>
    <row r="14" spans="1:109" s="157" customFormat="1" x14ac:dyDescent="0.2">
      <c r="A14" s="183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6"/>
      <c r="AC14" s="156"/>
      <c r="AD14" s="156"/>
      <c r="AE14" s="156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D14" s="158"/>
    </row>
    <row r="15" spans="1:109" s="157" customFormat="1" x14ac:dyDescent="0.2">
      <c r="A15" s="183" t="s">
        <v>531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6"/>
      <c r="AC15" s="156"/>
      <c r="AD15" s="156"/>
      <c r="AE15" s="156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D15" s="158"/>
    </row>
    <row r="16" spans="1:109" s="157" customFormat="1" x14ac:dyDescent="0.2">
      <c r="A16" s="184" t="s">
        <v>525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86">
        <v>124.6</v>
      </c>
      <c r="V16" s="186">
        <v>127.8</v>
      </c>
      <c r="W16" s="186">
        <v>162.79999999999998</v>
      </c>
      <c r="X16" s="186">
        <v>197.2</v>
      </c>
      <c r="Y16" s="186">
        <v>214.8</v>
      </c>
      <c r="Z16" s="186">
        <v>231.29999999999998</v>
      </c>
      <c r="AA16" s="186">
        <f t="shared" ref="AA16:AA19" si="41">SUM(CH16:CK16)</f>
        <v>284.7</v>
      </c>
      <c r="AB16" s="156"/>
      <c r="AC16" s="156"/>
      <c r="AD16" s="156"/>
      <c r="AE16" s="156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89">
        <v>22.1</v>
      </c>
      <c r="BL16" s="189">
        <v>30</v>
      </c>
      <c r="BM16" s="189">
        <v>50</v>
      </c>
      <c r="BN16" s="189">
        <v>16.899999999999999</v>
      </c>
      <c r="BO16" s="189">
        <v>9.3000000000000007</v>
      </c>
      <c r="BP16" s="189">
        <v>46.6</v>
      </c>
      <c r="BQ16" s="189">
        <v>55</v>
      </c>
      <c r="BR16" s="189">
        <v>46.8</v>
      </c>
      <c r="BS16" s="189">
        <v>31.3</v>
      </c>
      <c r="BT16" s="189">
        <v>40.299999999999997</v>
      </c>
      <c r="BU16" s="189">
        <v>44.4</v>
      </c>
      <c r="BV16" s="189">
        <v>43.1</v>
      </c>
      <c r="BW16" s="189">
        <v>54</v>
      </c>
      <c r="BX16" s="189">
        <v>40.799999999999997</v>
      </c>
      <c r="BY16" s="189">
        <v>59.3</v>
      </c>
      <c r="BZ16" s="189">
        <v>41.3</v>
      </c>
      <c r="CA16" s="189">
        <v>64.400000000000006</v>
      </c>
      <c r="CB16" s="189">
        <v>52.4</v>
      </c>
      <c r="CC16" s="189">
        <v>56.7</v>
      </c>
      <c r="CD16" s="189">
        <v>36.200000000000003</v>
      </c>
      <c r="CE16" s="189">
        <v>66.3</v>
      </c>
      <c r="CF16" s="189">
        <v>63.2</v>
      </c>
      <c r="CG16" s="189">
        <v>65.599999999999994</v>
      </c>
      <c r="CH16" s="189">
        <v>41.5</v>
      </c>
      <c r="CI16" s="189">
        <v>64</v>
      </c>
      <c r="CJ16" s="155">
        <v>70.7</v>
      </c>
      <c r="CK16" s="155">
        <v>108.5</v>
      </c>
      <c r="CL16" s="155">
        <v>39.299999999999997</v>
      </c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D16" s="158"/>
    </row>
    <row r="17" spans="1:108" s="157" customFormat="1" x14ac:dyDescent="0.2">
      <c r="A17" s="184" t="s">
        <v>526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86">
        <v>14.1</v>
      </c>
      <c r="V17" s="186">
        <v>16</v>
      </c>
      <c r="W17" s="186">
        <v>17.2</v>
      </c>
      <c r="X17" s="186">
        <v>27</v>
      </c>
      <c r="Y17" s="186">
        <v>45.1</v>
      </c>
      <c r="Z17" s="186">
        <v>64.8</v>
      </c>
      <c r="AA17" s="186">
        <f t="shared" si="41"/>
        <v>69.7</v>
      </c>
      <c r="AB17" s="156"/>
      <c r="AC17" s="156"/>
      <c r="AD17" s="156"/>
      <c r="AE17" s="156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89">
        <v>3.4</v>
      </c>
      <c r="BL17" s="189">
        <v>2.9</v>
      </c>
      <c r="BM17" s="189">
        <v>5.5</v>
      </c>
      <c r="BN17" s="189">
        <v>2.2999999999999998</v>
      </c>
      <c r="BO17" s="189">
        <v>-0.5</v>
      </c>
      <c r="BP17" s="189">
        <v>7.5</v>
      </c>
      <c r="BQ17" s="189">
        <v>6.7</v>
      </c>
      <c r="BR17" s="189">
        <v>7.1</v>
      </c>
      <c r="BS17" s="189">
        <v>0.6</v>
      </c>
      <c r="BT17" s="189">
        <v>4.5</v>
      </c>
      <c r="BU17" s="189">
        <v>5</v>
      </c>
      <c r="BV17" s="189">
        <v>5.9</v>
      </c>
      <c r="BW17" s="189">
        <v>3.7</v>
      </c>
      <c r="BX17" s="189">
        <v>7.8</v>
      </c>
      <c r="BY17" s="189">
        <v>9.6</v>
      </c>
      <c r="BZ17" s="189">
        <v>9.5</v>
      </c>
      <c r="CA17" s="189">
        <v>11.7</v>
      </c>
      <c r="CB17" s="189">
        <v>10.5</v>
      </c>
      <c r="CC17" s="189">
        <v>13.4</v>
      </c>
      <c r="CD17" s="189">
        <v>15.5</v>
      </c>
      <c r="CE17" s="189">
        <v>15.3</v>
      </c>
      <c r="CF17" s="189">
        <v>11.7</v>
      </c>
      <c r="CG17" s="189">
        <v>22.3</v>
      </c>
      <c r="CH17" s="189">
        <v>19.399999999999999</v>
      </c>
      <c r="CI17" s="189">
        <v>17.8</v>
      </c>
      <c r="CJ17" s="155">
        <v>14.8</v>
      </c>
      <c r="CK17" s="155">
        <v>17.7</v>
      </c>
      <c r="CL17" s="155">
        <v>8.4</v>
      </c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D17" s="158"/>
    </row>
    <row r="18" spans="1:108" s="157" customFormat="1" x14ac:dyDescent="0.2">
      <c r="A18" s="184" t="s">
        <v>539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86">
        <v>5.3</v>
      </c>
      <c r="V18" s="186">
        <v>3.4000000000000004</v>
      </c>
      <c r="W18" s="186">
        <v>5</v>
      </c>
      <c r="X18" s="186">
        <v>6.1</v>
      </c>
      <c r="Y18" s="186">
        <v>5.3000000000000007</v>
      </c>
      <c r="Z18" s="186">
        <v>2.7</v>
      </c>
      <c r="AA18" s="186">
        <f t="shared" si="41"/>
        <v>3</v>
      </c>
      <c r="AB18" s="156"/>
      <c r="AC18" s="156"/>
      <c r="AD18" s="156"/>
      <c r="AE18" s="156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90">
        <v>1</v>
      </c>
      <c r="BL18" s="190">
        <v>1.2</v>
      </c>
      <c r="BM18" s="190">
        <v>2.2000000000000002</v>
      </c>
      <c r="BN18" s="190">
        <v>0.8</v>
      </c>
      <c r="BO18" s="190">
        <v>0.9</v>
      </c>
      <c r="BP18" s="190">
        <v>1</v>
      </c>
      <c r="BQ18" s="190">
        <v>0.7</v>
      </c>
      <c r="BR18" s="190">
        <v>0.9</v>
      </c>
      <c r="BS18" s="190">
        <v>1</v>
      </c>
      <c r="BT18" s="190">
        <v>1.2</v>
      </c>
      <c r="BU18" s="190">
        <v>1.9</v>
      </c>
      <c r="BV18" s="190">
        <v>0.9</v>
      </c>
      <c r="BW18" s="190">
        <v>1.4</v>
      </c>
      <c r="BX18" s="190">
        <v>1.3</v>
      </c>
      <c r="BY18" s="190">
        <v>2.5</v>
      </c>
      <c r="BZ18" s="190">
        <v>0.8</v>
      </c>
      <c r="CA18" s="190">
        <v>0.9</v>
      </c>
      <c r="CB18" s="190">
        <v>2</v>
      </c>
      <c r="CC18" s="190">
        <v>1.6</v>
      </c>
      <c r="CD18" s="190">
        <v>0.9</v>
      </c>
      <c r="CE18" s="190">
        <v>0.8</v>
      </c>
      <c r="CF18" s="190">
        <v>0.6</v>
      </c>
      <c r="CG18" s="190">
        <v>0.4</v>
      </c>
      <c r="CH18" s="190">
        <v>0.8</v>
      </c>
      <c r="CI18" s="190">
        <v>0.7</v>
      </c>
      <c r="CJ18" s="155">
        <v>0.7</v>
      </c>
      <c r="CK18" s="155">
        <v>0.8</v>
      </c>
      <c r="CL18" s="155">
        <v>0.6</v>
      </c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D18" s="158"/>
    </row>
    <row r="19" spans="1:108" s="157" customFormat="1" x14ac:dyDescent="0.2">
      <c r="A19" s="184" t="s">
        <v>540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86">
        <v>-7.6000000000000014</v>
      </c>
      <c r="V19" s="186">
        <v>-16.600000000000001</v>
      </c>
      <c r="W19" s="186">
        <v>-26</v>
      </c>
      <c r="X19" s="186">
        <v>-27.2</v>
      </c>
      <c r="Y19" s="186">
        <v>-25.700000000000003</v>
      </c>
      <c r="Z19" s="186">
        <v>-37.299999999999997</v>
      </c>
      <c r="AA19" s="186">
        <f t="shared" si="41"/>
        <v>-9.1000000000000014</v>
      </c>
      <c r="AB19" s="156"/>
      <c r="AC19" s="156"/>
      <c r="AD19" s="156"/>
      <c r="AE19" s="156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90">
        <v>-15.3</v>
      </c>
      <c r="BL19" s="190">
        <v>-2</v>
      </c>
      <c r="BM19" s="190">
        <v>11</v>
      </c>
      <c r="BN19" s="190">
        <v>-2.2999999999999998</v>
      </c>
      <c r="BO19" s="190">
        <v>-2.5</v>
      </c>
      <c r="BP19" s="190">
        <v>-4.7</v>
      </c>
      <c r="BQ19" s="190">
        <v>-7.1</v>
      </c>
      <c r="BR19" s="190">
        <v>-6.4</v>
      </c>
      <c r="BS19" s="190">
        <v>-6.2</v>
      </c>
      <c r="BT19" s="190">
        <v>-7.2</v>
      </c>
      <c r="BU19" s="190">
        <v>-6.2</v>
      </c>
      <c r="BV19" s="190">
        <v>-6.6</v>
      </c>
      <c r="BW19" s="190">
        <v>-7.7</v>
      </c>
      <c r="BX19" s="190">
        <v>-6.1</v>
      </c>
      <c r="BY19" s="190">
        <v>-6.8</v>
      </c>
      <c r="BZ19" s="190">
        <v>-5.2</v>
      </c>
      <c r="CA19" s="190">
        <v>-7.9</v>
      </c>
      <c r="CB19" s="190">
        <f>-3.6-2.7</f>
        <v>-6.3000000000000007</v>
      </c>
      <c r="CC19" s="190">
        <v>-6.3</v>
      </c>
      <c r="CD19" s="190">
        <v>-8.9</v>
      </c>
      <c r="CE19" s="190">
        <v>-9.1</v>
      </c>
      <c r="CF19" s="190">
        <f>-5.6-3.2</f>
        <v>-8.8000000000000007</v>
      </c>
      <c r="CG19" s="190">
        <v>-10.5</v>
      </c>
      <c r="CH19" s="190">
        <v>-8.9</v>
      </c>
      <c r="CI19" s="190">
        <v>-11.1</v>
      </c>
      <c r="CJ19" s="155">
        <v>-6.3</v>
      </c>
      <c r="CK19" s="155">
        <v>17.2</v>
      </c>
      <c r="CL19" s="155">
        <v>-6.2</v>
      </c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D19" s="158"/>
    </row>
    <row r="20" spans="1:108" s="157" customFormat="1" x14ac:dyDescent="0.2">
      <c r="A20" s="184" t="s">
        <v>532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87">
        <f t="shared" ref="U20:AA20" si="42">SUM(U16:U17)-U18-U19</f>
        <v>140.99999999999997</v>
      </c>
      <c r="V20" s="187">
        <f t="shared" si="42"/>
        <v>157</v>
      </c>
      <c r="W20" s="187">
        <f t="shared" si="42"/>
        <v>200.99999999999997</v>
      </c>
      <c r="X20" s="187">
        <f t="shared" si="42"/>
        <v>245.29999999999998</v>
      </c>
      <c r="Y20" s="187">
        <f t="shared" si="42"/>
        <v>280.3</v>
      </c>
      <c r="Z20" s="187">
        <f t="shared" si="42"/>
        <v>330.7</v>
      </c>
      <c r="AA20" s="187">
        <f t="shared" si="42"/>
        <v>360.5</v>
      </c>
      <c r="AB20" s="156"/>
      <c r="AC20" s="156"/>
      <c r="AD20" s="156"/>
      <c r="AE20" s="156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91">
        <f t="shared" ref="BK20:CK20" si="43">SUM(BK16:BK17)-BK18-BK19</f>
        <v>39.799999999999997</v>
      </c>
      <c r="BL20" s="191">
        <f t="shared" si="43"/>
        <v>33.700000000000003</v>
      </c>
      <c r="BM20" s="191">
        <f t="shared" si="43"/>
        <v>42.3</v>
      </c>
      <c r="BN20" s="191">
        <f t="shared" si="43"/>
        <v>20.7</v>
      </c>
      <c r="BO20" s="191">
        <f t="shared" si="43"/>
        <v>10.4</v>
      </c>
      <c r="BP20" s="191">
        <f t="shared" si="43"/>
        <v>57.800000000000004</v>
      </c>
      <c r="BQ20" s="191">
        <f t="shared" si="43"/>
        <v>68.099999999999994</v>
      </c>
      <c r="BR20" s="191">
        <f t="shared" si="43"/>
        <v>59.4</v>
      </c>
      <c r="BS20" s="191">
        <f t="shared" si="43"/>
        <v>37.1</v>
      </c>
      <c r="BT20" s="191">
        <f t="shared" si="43"/>
        <v>50.8</v>
      </c>
      <c r="BU20" s="191">
        <f t="shared" si="43"/>
        <v>53.7</v>
      </c>
      <c r="BV20" s="191">
        <f t="shared" si="43"/>
        <v>54.7</v>
      </c>
      <c r="BW20" s="191">
        <f t="shared" si="43"/>
        <v>64</v>
      </c>
      <c r="BX20" s="191">
        <f t="shared" si="43"/>
        <v>53.4</v>
      </c>
      <c r="BY20" s="191">
        <f t="shared" si="43"/>
        <v>73.199999999999989</v>
      </c>
      <c r="BZ20" s="191">
        <f t="shared" si="43"/>
        <v>55.2</v>
      </c>
      <c r="CA20" s="191">
        <f t="shared" si="43"/>
        <v>83.100000000000009</v>
      </c>
      <c r="CB20" s="191">
        <f t="shared" si="43"/>
        <v>67.2</v>
      </c>
      <c r="CC20" s="191">
        <f t="shared" si="43"/>
        <v>74.800000000000011</v>
      </c>
      <c r="CD20" s="191">
        <f t="shared" si="43"/>
        <v>59.7</v>
      </c>
      <c r="CE20" s="191">
        <f t="shared" si="43"/>
        <v>89.899999999999991</v>
      </c>
      <c r="CF20" s="191">
        <f t="shared" si="43"/>
        <v>83.100000000000009</v>
      </c>
      <c r="CG20" s="191">
        <f t="shared" si="43"/>
        <v>97.999999999999986</v>
      </c>
      <c r="CH20" s="191">
        <f t="shared" si="43"/>
        <v>69</v>
      </c>
      <c r="CI20" s="191">
        <f t="shared" si="43"/>
        <v>92.199999999999989</v>
      </c>
      <c r="CJ20" s="191">
        <f t="shared" si="43"/>
        <v>91.1</v>
      </c>
      <c r="CK20" s="191">
        <f t="shared" si="43"/>
        <v>108.2</v>
      </c>
      <c r="CL20" s="191">
        <f t="shared" ref="CL20" si="44">SUM(CL16:CL17)-CL18-CL19</f>
        <v>53.3</v>
      </c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D20" s="158"/>
    </row>
    <row r="21" spans="1:108" s="157" customFormat="1" x14ac:dyDescent="0.2">
      <c r="A21" s="184" t="s">
        <v>533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87">
        <f t="shared" ref="U21:AA21" si="45">+U20-(U74+U83+U82)</f>
        <v>0.51100000000016621</v>
      </c>
      <c r="V21" s="187">
        <f t="shared" si="45"/>
        <v>4.3000000000091632E-2</v>
      </c>
      <c r="W21" s="187">
        <f t="shared" si="45"/>
        <v>-7.0000000000334239E-3</v>
      </c>
      <c r="X21" s="187">
        <f t="shared" si="45"/>
        <v>3.099999999997749E-2</v>
      </c>
      <c r="Y21" s="187">
        <f t="shared" si="45"/>
        <v>-4.8999999999807642E-2</v>
      </c>
      <c r="Z21" s="187">
        <f t="shared" si="45"/>
        <v>4.9999999999442934E-2</v>
      </c>
      <c r="AA21" s="187">
        <f t="shared" si="45"/>
        <v>3.7999999999897227E-2</v>
      </c>
      <c r="AB21" s="156"/>
      <c r="AC21" s="156"/>
      <c r="AD21" s="156"/>
      <c r="AE21" s="156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87">
        <f t="shared" ref="BK21:CK21" si="46">+BK20-(BK74+BK83+BK82)</f>
        <v>0.10000000000000853</v>
      </c>
      <c r="BL21" s="187">
        <f t="shared" si="46"/>
        <v>-0.40000000000001279</v>
      </c>
      <c r="BM21" s="187">
        <f t="shared" si="46"/>
        <v>0.79999999999999716</v>
      </c>
      <c r="BN21" s="187">
        <f t="shared" si="46"/>
        <v>0</v>
      </c>
      <c r="BO21" s="187">
        <f t="shared" si="46"/>
        <v>9.9999999999992539E-2</v>
      </c>
      <c r="BP21" s="187">
        <f t="shared" si="46"/>
        <v>-9.9999999999994316E-2</v>
      </c>
      <c r="BQ21" s="187">
        <f t="shared" si="46"/>
        <v>0</v>
      </c>
      <c r="BR21" s="187">
        <f t="shared" si="46"/>
        <v>0</v>
      </c>
      <c r="BS21" s="187">
        <f t="shared" si="46"/>
        <v>0</v>
      </c>
      <c r="BT21" s="187">
        <f t="shared" si="46"/>
        <v>0</v>
      </c>
      <c r="BU21" s="187">
        <f t="shared" si="46"/>
        <v>0</v>
      </c>
      <c r="BV21" s="187">
        <f t="shared" si="46"/>
        <v>0</v>
      </c>
      <c r="BW21" s="187">
        <f t="shared" si="46"/>
        <v>0</v>
      </c>
      <c r="BX21" s="187">
        <f t="shared" si="46"/>
        <v>0</v>
      </c>
      <c r="BY21" s="187">
        <f t="shared" si="46"/>
        <v>0</v>
      </c>
      <c r="BZ21" s="187">
        <f t="shared" si="46"/>
        <v>0</v>
      </c>
      <c r="CA21" s="187">
        <f t="shared" si="46"/>
        <v>0</v>
      </c>
      <c r="CB21" s="187">
        <f t="shared" si="46"/>
        <v>0</v>
      </c>
      <c r="CC21" s="187">
        <f t="shared" si="46"/>
        <v>0</v>
      </c>
      <c r="CD21" s="187">
        <f t="shared" si="46"/>
        <v>0</v>
      </c>
      <c r="CE21" s="187">
        <f t="shared" si="46"/>
        <v>0</v>
      </c>
      <c r="CF21" s="187">
        <f t="shared" si="46"/>
        <v>0</v>
      </c>
      <c r="CG21" s="187">
        <f t="shared" si="46"/>
        <v>0</v>
      </c>
      <c r="CH21" s="187">
        <f t="shared" si="46"/>
        <v>0</v>
      </c>
      <c r="CI21" s="187">
        <f t="shared" si="46"/>
        <v>0</v>
      </c>
      <c r="CJ21" s="187">
        <f t="shared" si="46"/>
        <v>0</v>
      </c>
      <c r="CK21" s="187">
        <f t="shared" si="46"/>
        <v>0</v>
      </c>
      <c r="CL21" s="187">
        <f t="shared" ref="CL21" si="47">+CL20-(CL74+CL83+CL82)</f>
        <v>0</v>
      </c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D21" s="158"/>
    </row>
    <row r="22" spans="1:108" s="157" customFormat="1" x14ac:dyDescent="0.2">
      <c r="A22" s="183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6"/>
      <c r="AC22" s="156"/>
      <c r="AD22" s="156"/>
      <c r="AE22" s="156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D22" s="158"/>
    </row>
    <row r="23" spans="1:108" s="157" customFormat="1" x14ac:dyDescent="0.2">
      <c r="A23" s="183" t="s">
        <v>534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6"/>
      <c r="AC23" s="156"/>
      <c r="AD23" s="156"/>
      <c r="AE23" s="156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  <c r="CJ23" s="155"/>
      <c r="CK23" s="155"/>
      <c r="CL23" s="155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D23" s="158"/>
    </row>
    <row r="24" spans="1:108" s="157" customFormat="1" x14ac:dyDescent="0.2">
      <c r="A24" s="185" t="s">
        <v>525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92">
        <f t="shared" ref="U24:AA25" si="48">+U16/U5</f>
        <v>0.11454311454311454</v>
      </c>
      <c r="V24" s="192">
        <f t="shared" si="48"/>
        <v>0.12678571428571428</v>
      </c>
      <c r="W24" s="192">
        <f t="shared" si="48"/>
        <v>0.12900158478605386</v>
      </c>
      <c r="X24" s="192">
        <f t="shared" si="48"/>
        <v>0.12957487351337144</v>
      </c>
      <c r="Y24" s="192">
        <f t="shared" si="48"/>
        <v>0.11324335723323493</v>
      </c>
      <c r="Z24" s="192">
        <f t="shared" si="48"/>
        <v>0.10971965276789523</v>
      </c>
      <c r="AA24" s="192">
        <f t="shared" si="48"/>
        <v>0.12853273137697516</v>
      </c>
      <c r="AB24" s="156"/>
      <c r="AC24" s="156"/>
      <c r="AD24" s="156"/>
      <c r="AE24" s="156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92">
        <f t="shared" ref="BK24:CK24" si="49">+BK16/BK5</f>
        <v>8.9256865912762523E-2</v>
      </c>
      <c r="BL24" s="192">
        <f t="shared" si="49"/>
        <v>9.5087163232963554E-2</v>
      </c>
      <c r="BM24" s="192">
        <f t="shared" si="49"/>
        <v>0.17761989342806395</v>
      </c>
      <c r="BN24" s="192">
        <f t="shared" si="49"/>
        <v>7.7988001845869862E-2</v>
      </c>
      <c r="BO24" s="192">
        <f t="shared" si="49"/>
        <v>4.9154334038054977E-2</v>
      </c>
      <c r="BP24" s="192">
        <f t="shared" si="49"/>
        <v>0.15450928381962864</v>
      </c>
      <c r="BQ24" s="192">
        <f t="shared" si="49"/>
        <v>0.18302828618968386</v>
      </c>
      <c r="BR24" s="192">
        <f t="shared" si="49"/>
        <v>0.14730878186968838</v>
      </c>
      <c r="BS24" s="192">
        <f t="shared" si="49"/>
        <v>0.11932901258101411</v>
      </c>
      <c r="BT24" s="192">
        <f t="shared" si="49"/>
        <v>0.13195808775376555</v>
      </c>
      <c r="BU24" s="192">
        <f t="shared" si="49"/>
        <v>0.11789697291556027</v>
      </c>
      <c r="BV24" s="192">
        <f t="shared" si="49"/>
        <v>0.12328375286041189</v>
      </c>
      <c r="BW24" s="192">
        <f t="shared" si="49"/>
        <v>0.1415836392239119</v>
      </c>
      <c r="BX24" s="192">
        <f t="shared" si="49"/>
        <v>0.11610700056915196</v>
      </c>
      <c r="BY24" s="192">
        <f t="shared" si="49"/>
        <v>0.13492605233219568</v>
      </c>
      <c r="BZ24" s="192">
        <f t="shared" si="49"/>
        <v>0.10002421893921046</v>
      </c>
      <c r="CA24" s="192">
        <f t="shared" si="49"/>
        <v>0.12833798326026305</v>
      </c>
      <c r="CB24" s="192">
        <f t="shared" si="49"/>
        <v>0.11059518784297172</v>
      </c>
      <c r="CC24" s="192">
        <f t="shared" si="49"/>
        <v>0.11154829824906552</v>
      </c>
      <c r="CD24" s="192">
        <f t="shared" si="49"/>
        <v>8.0444444444444457E-2</v>
      </c>
      <c r="CE24" s="192">
        <f t="shared" si="49"/>
        <v>0.12264150943396225</v>
      </c>
      <c r="CF24" s="192">
        <f t="shared" si="49"/>
        <v>0.12264700174655542</v>
      </c>
      <c r="CG24" s="192">
        <f t="shared" si="49"/>
        <v>0.1089339090003321</v>
      </c>
      <c r="CH24" s="192">
        <f t="shared" si="49"/>
        <v>8.7589700295483325E-2</v>
      </c>
      <c r="CI24" s="192">
        <f t="shared" si="49"/>
        <v>0.11611030478955006</v>
      </c>
      <c r="CJ24" s="192">
        <f t="shared" si="49"/>
        <v>0.13262052147814668</v>
      </c>
      <c r="CK24" s="192">
        <f t="shared" si="49"/>
        <v>0.1651697366418024</v>
      </c>
      <c r="CL24" s="192">
        <f t="shared" ref="CL24" si="50">+CL16/CL5</f>
        <v>7.8678678678678671E-2</v>
      </c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D24" s="158"/>
    </row>
    <row r="25" spans="1:108" s="157" customFormat="1" x14ac:dyDescent="0.2">
      <c r="A25" s="185" t="s">
        <v>526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92">
        <f t="shared" si="48"/>
        <v>6.7755886592984135E-2</v>
      </c>
      <c r="V25" s="192">
        <f t="shared" si="48"/>
        <v>7.9601990049751256E-2</v>
      </c>
      <c r="W25" s="192">
        <f t="shared" si="48"/>
        <v>7.2573839662447251E-2</v>
      </c>
      <c r="X25" s="192">
        <f t="shared" si="48"/>
        <v>8.9315249751902082E-2</v>
      </c>
      <c r="Y25" s="192">
        <f t="shared" si="48"/>
        <v>0.12754524886877827</v>
      </c>
      <c r="Z25" s="192">
        <f t="shared" si="48"/>
        <v>0.15111940298507462</v>
      </c>
      <c r="AA25" s="192">
        <f t="shared" si="48"/>
        <v>0.14368171511028655</v>
      </c>
      <c r="AB25" s="156"/>
      <c r="AC25" s="156"/>
      <c r="AD25" s="156"/>
      <c r="AE25" s="156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92">
        <f t="shared" ref="BK25:CK25" si="51">+BK17/BK6</f>
        <v>6.126126126126126E-2</v>
      </c>
      <c r="BL25" s="192">
        <f t="shared" si="51"/>
        <v>5.7425742574257421E-2</v>
      </c>
      <c r="BM25" s="192">
        <f t="shared" si="51"/>
        <v>9.8566308243727599E-2</v>
      </c>
      <c r="BN25" s="192">
        <f t="shared" si="51"/>
        <v>5.65110565110565E-2</v>
      </c>
      <c r="BO25" s="192">
        <f t="shared" si="51"/>
        <v>-1.6722408026755852E-2</v>
      </c>
      <c r="BP25" s="192">
        <f t="shared" si="51"/>
        <v>0.12335526315789475</v>
      </c>
      <c r="BQ25" s="192">
        <f t="shared" si="51"/>
        <v>9.6264367816091961E-2</v>
      </c>
      <c r="BR25" s="192">
        <f t="shared" si="51"/>
        <v>0.1107644305772231</v>
      </c>
      <c r="BS25" s="192">
        <f t="shared" si="51"/>
        <v>1.4527845036319613E-2</v>
      </c>
      <c r="BT25" s="192">
        <f t="shared" si="51"/>
        <v>7.1315372424722662E-2</v>
      </c>
      <c r="BU25" s="192">
        <f t="shared" si="51"/>
        <v>7.2992700729927001E-2</v>
      </c>
      <c r="BV25" s="192">
        <f t="shared" si="51"/>
        <v>8.6131386861313872E-2</v>
      </c>
      <c r="BW25" s="192">
        <f t="shared" si="51"/>
        <v>5.4896142433234422E-2</v>
      </c>
      <c r="BX25" s="192">
        <f t="shared" si="51"/>
        <v>9.6894409937888198E-2</v>
      </c>
      <c r="BY25" s="192">
        <f t="shared" si="51"/>
        <v>0.11175785797438881</v>
      </c>
      <c r="BZ25" s="192">
        <f t="shared" si="51"/>
        <v>0.12289780077619664</v>
      </c>
      <c r="CA25" s="192">
        <f t="shared" si="51"/>
        <v>0.12956810631229235</v>
      </c>
      <c r="CB25" s="192">
        <f t="shared" si="51"/>
        <v>0.11551155115511551</v>
      </c>
      <c r="CC25" s="192">
        <f t="shared" si="51"/>
        <v>0.14090431125131442</v>
      </c>
      <c r="CD25" s="192">
        <f t="shared" si="51"/>
        <v>0.16315789473684211</v>
      </c>
      <c r="CE25" s="192">
        <f t="shared" si="51"/>
        <v>0.14379699248120301</v>
      </c>
      <c r="CF25" s="192">
        <f t="shared" si="51"/>
        <v>0.11448140900195694</v>
      </c>
      <c r="CG25" s="192">
        <f t="shared" si="51"/>
        <v>0.1781150159744409</v>
      </c>
      <c r="CH25" s="192">
        <f t="shared" si="51"/>
        <v>0.15849673202614378</v>
      </c>
      <c r="CI25" s="192">
        <f t="shared" si="51"/>
        <v>0.15305245055889941</v>
      </c>
      <c r="CJ25" s="192">
        <f t="shared" si="51"/>
        <v>0.1255301102629347</v>
      </c>
      <c r="CK25" s="192">
        <f t="shared" si="51"/>
        <v>0.13774319066147858</v>
      </c>
      <c r="CL25" s="192">
        <f t="shared" ref="CL25" si="52">+CL17/CL6</f>
        <v>8.1951219512195125E-2</v>
      </c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D25" s="158"/>
    </row>
    <row r="26" spans="1:108" s="157" customFormat="1" x14ac:dyDescent="0.2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6"/>
      <c r="AC26" s="156"/>
      <c r="AD26" s="156"/>
      <c r="AE26" s="156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D26" s="158"/>
    </row>
    <row r="27" spans="1:108" s="157" customFormat="1" x14ac:dyDescent="0.2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6"/>
      <c r="AC27" s="156"/>
      <c r="AD27" s="156"/>
      <c r="AE27" s="156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D27" s="158"/>
    </row>
    <row r="28" spans="1:108" s="157" customFormat="1" x14ac:dyDescent="0.2">
      <c r="A28" s="154" t="s">
        <v>535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6"/>
      <c r="AC28" s="156"/>
      <c r="AD28" s="156"/>
      <c r="AE28" s="156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D28" s="158"/>
    </row>
    <row r="29" spans="1:108" s="157" customFormat="1" x14ac:dyDescent="0.2">
      <c r="A29" s="154" t="s">
        <v>536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>
        <f t="shared" ref="X29:X30" si="53">+BY29</f>
        <v>700</v>
      </c>
      <c r="Y29" s="155">
        <v>968.7</v>
      </c>
      <c r="Z29" s="155">
        <v>1282.8</v>
      </c>
      <c r="AA29" s="155">
        <v>1282.8</v>
      </c>
      <c r="AB29" s="156"/>
      <c r="AC29" s="156"/>
      <c r="AD29" s="156"/>
      <c r="AE29" s="156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99">
        <v>600</v>
      </c>
      <c r="BX29" s="199">
        <v>650</v>
      </c>
      <c r="BY29" s="199">
        <v>700</v>
      </c>
      <c r="BZ29" s="199">
        <v>750</v>
      </c>
      <c r="CA29" s="199">
        <v>750</v>
      </c>
      <c r="CB29" s="200">
        <v>1020</v>
      </c>
      <c r="CC29" s="199">
        <v>920</v>
      </c>
      <c r="CD29" s="199">
        <v>915</v>
      </c>
      <c r="CE29" s="199">
        <v>915</v>
      </c>
      <c r="CF29" s="199">
        <v>920</v>
      </c>
      <c r="CG29" s="199">
        <v>920</v>
      </c>
      <c r="CH29" s="199">
        <v>1310</v>
      </c>
      <c r="CI29" s="199">
        <v>1313</v>
      </c>
      <c r="CJ29" s="200">
        <v>1314</v>
      </c>
      <c r="CK29" s="199">
        <v>1315</v>
      </c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D29" s="158"/>
    </row>
    <row r="30" spans="1:108" s="157" customFormat="1" x14ac:dyDescent="0.2">
      <c r="A30" s="154" t="s">
        <v>537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>
        <f t="shared" si="53"/>
        <v>1050</v>
      </c>
      <c r="Y30" s="155">
        <v>1175.5</v>
      </c>
      <c r="Z30" s="155">
        <v>967.5</v>
      </c>
      <c r="AA30" s="155">
        <v>967.5</v>
      </c>
      <c r="AB30" s="156"/>
      <c r="AC30" s="156"/>
      <c r="AD30" s="156"/>
      <c r="AE30" s="156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99">
        <v>850</v>
      </c>
      <c r="BX30" s="199">
        <v>950</v>
      </c>
      <c r="BY30" s="199">
        <v>1050</v>
      </c>
      <c r="BZ30" s="199">
        <v>1050</v>
      </c>
      <c r="CA30" s="199">
        <v>1200</v>
      </c>
      <c r="CB30" s="200">
        <v>1180</v>
      </c>
      <c r="CC30" s="199">
        <v>1180</v>
      </c>
      <c r="CD30" s="199">
        <v>1235</v>
      </c>
      <c r="CE30" s="199">
        <v>1265</v>
      </c>
      <c r="CF30" s="199">
        <v>1330</v>
      </c>
      <c r="CG30" s="199">
        <v>1380</v>
      </c>
      <c r="CH30" s="199">
        <v>1140</v>
      </c>
      <c r="CI30" s="199">
        <v>1384</v>
      </c>
      <c r="CJ30" s="200">
        <v>1325</v>
      </c>
      <c r="CK30" s="199">
        <v>1385</v>
      </c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D30" s="158"/>
    </row>
    <row r="31" spans="1:108" s="157" customFormat="1" x14ac:dyDescent="0.2">
      <c r="A31" s="154" t="s">
        <v>538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>
        <f>+BY31</f>
        <v>1750</v>
      </c>
      <c r="Y31" s="155">
        <f>SUM(Y29:Y30)</f>
        <v>2144.1999999999998</v>
      </c>
      <c r="Z31" s="155">
        <f>SUM(Z29:Z30)</f>
        <v>2250.3000000000002</v>
      </c>
      <c r="AA31" s="155">
        <f>+CK31</f>
        <v>2700</v>
      </c>
      <c r="AB31" s="156"/>
      <c r="AC31" s="156"/>
      <c r="AD31" s="156"/>
      <c r="AE31" s="156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87">
        <f>SUM(BW29:BW30)</f>
        <v>1450</v>
      </c>
      <c r="BX31" s="187">
        <f t="shared" ref="BX31:CC31" si="54">SUM(BX29:BX30)</f>
        <v>1600</v>
      </c>
      <c r="BY31" s="187">
        <f t="shared" si="54"/>
        <v>1750</v>
      </c>
      <c r="BZ31" s="187">
        <f t="shared" si="54"/>
        <v>1800</v>
      </c>
      <c r="CA31" s="187">
        <f t="shared" si="54"/>
        <v>1950</v>
      </c>
      <c r="CB31" s="187">
        <f t="shared" si="54"/>
        <v>2200</v>
      </c>
      <c r="CC31" s="187">
        <f t="shared" si="54"/>
        <v>2100</v>
      </c>
      <c r="CD31" s="187">
        <f t="shared" ref="CD31" si="55">SUM(CD29:CD30)</f>
        <v>2150</v>
      </c>
      <c r="CE31" s="187">
        <f t="shared" ref="CE31" si="56">SUM(CE29:CE30)</f>
        <v>2180</v>
      </c>
      <c r="CF31" s="187">
        <f t="shared" ref="CF31" si="57">SUM(CF29:CF30)</f>
        <v>2250</v>
      </c>
      <c r="CG31" s="187">
        <f t="shared" ref="CG31" si="58">SUM(CG29:CG30)</f>
        <v>2300</v>
      </c>
      <c r="CH31" s="187">
        <f t="shared" ref="CH31" si="59">SUM(CH29:CH30)</f>
        <v>2450</v>
      </c>
      <c r="CI31" s="187">
        <f t="shared" ref="CI31" si="60">SUM(CI29:CI30)</f>
        <v>2697</v>
      </c>
      <c r="CJ31" s="187">
        <f t="shared" ref="CJ31" si="61">SUM(CJ29:CJ30)</f>
        <v>2639</v>
      </c>
      <c r="CK31" s="187">
        <f t="shared" ref="CK31" si="62">SUM(CK29:CK30)</f>
        <v>2700</v>
      </c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D31" s="158"/>
    </row>
    <row r="32" spans="1:108" s="157" customFormat="1" x14ac:dyDescent="0.2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6"/>
      <c r="AC32" s="156"/>
      <c r="AD32" s="156"/>
      <c r="AE32" s="156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D32" s="158"/>
    </row>
    <row r="33" spans="1:109" s="157" customFormat="1" x14ac:dyDescent="0.2">
      <c r="A33" s="154" t="s">
        <v>568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>
        <f>+X31</f>
        <v>1750</v>
      </c>
      <c r="Z33" s="155">
        <f t="shared" ref="Z33:AA33" si="63">+Y31</f>
        <v>2144.1999999999998</v>
      </c>
      <c r="AA33" s="155">
        <f t="shared" si="63"/>
        <v>2250.3000000000002</v>
      </c>
      <c r="AB33" s="156">
        <f>+AA36</f>
        <v>2700</v>
      </c>
      <c r="AC33" s="156">
        <f t="shared" ref="AC33:AE33" si="64">+AB36</f>
        <v>2951.728148917437</v>
      </c>
      <c r="AD33" s="156">
        <f t="shared" si="64"/>
        <v>3241.8578546428871</v>
      </c>
      <c r="AE33" s="156">
        <f t="shared" si="64"/>
        <v>3564.6517203751118</v>
      </c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>
        <f>+BW36</f>
        <v>1450</v>
      </c>
      <c r="BY33" s="155">
        <f t="shared" ref="BY33:CK33" si="65">+BX36</f>
        <v>1600</v>
      </c>
      <c r="BZ33" s="155">
        <f t="shared" si="65"/>
        <v>1750</v>
      </c>
      <c r="CA33" s="155">
        <f t="shared" si="65"/>
        <v>1800</v>
      </c>
      <c r="CB33" s="155">
        <f t="shared" si="65"/>
        <v>1950</v>
      </c>
      <c r="CC33" s="155">
        <f t="shared" si="65"/>
        <v>2200</v>
      </c>
      <c r="CD33" s="155">
        <f t="shared" si="65"/>
        <v>2100</v>
      </c>
      <c r="CE33" s="155">
        <f t="shared" si="65"/>
        <v>2150</v>
      </c>
      <c r="CF33" s="155">
        <f t="shared" si="65"/>
        <v>2180</v>
      </c>
      <c r="CG33" s="155">
        <f t="shared" si="65"/>
        <v>2250</v>
      </c>
      <c r="CH33" s="155">
        <f t="shared" si="65"/>
        <v>2300</v>
      </c>
      <c r="CI33" s="155">
        <f t="shared" si="65"/>
        <v>2450</v>
      </c>
      <c r="CJ33" s="155">
        <f t="shared" si="65"/>
        <v>2697</v>
      </c>
      <c r="CK33" s="155">
        <f t="shared" si="65"/>
        <v>2639</v>
      </c>
      <c r="CL33" s="156">
        <f>+CK36</f>
        <v>2700</v>
      </c>
      <c r="CM33" s="156">
        <f t="shared" ref="CM33:DA33" si="66">+CL36</f>
        <v>2820.9921739130436</v>
      </c>
      <c r="CN33" s="156">
        <f t="shared" si="66"/>
        <v>3058.4068749955636</v>
      </c>
      <c r="CO33" s="156">
        <f t="shared" si="66"/>
        <v>2876.9057061957501</v>
      </c>
      <c r="CP33" s="156">
        <f t="shared" si="66"/>
        <v>2951.728148917437</v>
      </c>
      <c r="CQ33" s="156">
        <f t="shared" si="66"/>
        <v>3089.549566367245</v>
      </c>
      <c r="CR33" s="156">
        <f t="shared" si="66"/>
        <v>3354.3907721235537</v>
      </c>
      <c r="CS33" s="156">
        <f t="shared" si="66"/>
        <v>3157.4217403787484</v>
      </c>
      <c r="CT33" s="156">
        <f t="shared" si="66"/>
        <v>3241.8578546428871</v>
      </c>
      <c r="CU33" s="156">
        <f t="shared" si="66"/>
        <v>3394.7669213148984</v>
      </c>
      <c r="CV33" s="156">
        <f t="shared" si="66"/>
        <v>3687.1093329717792</v>
      </c>
      <c r="CW33" s="156">
        <f t="shared" si="66"/>
        <v>3471.1837116279889</v>
      </c>
      <c r="CX33" s="156">
        <f t="shared" si="66"/>
        <v>3564.6517203751118</v>
      </c>
      <c r="CY33" s="156">
        <f t="shared" si="66"/>
        <v>3733.2120193701812</v>
      </c>
      <c r="CZ33" s="156">
        <f t="shared" si="66"/>
        <v>4055.0693920991198</v>
      </c>
      <c r="DA33" s="156">
        <f t="shared" si="66"/>
        <v>3817.7555383389226</v>
      </c>
      <c r="DD33" s="158"/>
    </row>
    <row r="34" spans="1:109" s="157" customFormat="1" x14ac:dyDescent="0.2">
      <c r="A34" s="154" t="s">
        <v>569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>
        <f>+Y36+Y35-Y33</f>
        <v>2641.4380000000001</v>
      </c>
      <c r="Z34" s="155">
        <f t="shared" ref="Z34:AA34" si="67">+Z36+Z35-Z33</f>
        <v>2639.1860000000006</v>
      </c>
      <c r="AA34" s="155">
        <f t="shared" si="67"/>
        <v>3145.4279999999999</v>
      </c>
      <c r="AB34" s="156">
        <f>+AB36+AB35-AB33</f>
        <v>3307.6221739130433</v>
      </c>
      <c r="AC34" s="156">
        <f t="shared" ref="AC34:AE34" si="68">+AC36+AC35-AC33</f>
        <v>3745.797</v>
      </c>
      <c r="AD34" s="156">
        <f t="shared" si="68"/>
        <v>4120.3767000000007</v>
      </c>
      <c r="AE34" s="156">
        <f t="shared" si="68"/>
        <v>4532.4143700000013</v>
      </c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>
        <f>+BX36+BX35-BX33</f>
        <v>581.29999999999995</v>
      </c>
      <c r="BY34" s="155">
        <f t="shared" ref="BY34:CK34" si="69">+BY36+BY35-BY33</f>
        <v>674.59999999999991</v>
      </c>
      <c r="BZ34" s="155">
        <f t="shared" si="69"/>
        <v>539.59999999999991</v>
      </c>
      <c r="CA34" s="155">
        <f t="shared" si="69"/>
        <v>741.30000000000018</v>
      </c>
      <c r="CB34" s="155">
        <f t="shared" si="69"/>
        <v>813.69999999999982</v>
      </c>
      <c r="CC34" s="155">
        <f t="shared" si="69"/>
        <v>502.59999999999991</v>
      </c>
      <c r="CD34" s="155">
        <f t="shared" si="69"/>
        <v>594.19999999999982</v>
      </c>
      <c r="CE34" s="155">
        <f t="shared" si="69"/>
        <v>676</v>
      </c>
      <c r="CF34" s="155">
        <f t="shared" si="69"/>
        <v>686.5</v>
      </c>
      <c r="CG34" s="155">
        <f t="shared" si="69"/>
        <v>776.40000000000009</v>
      </c>
      <c r="CH34" s="155">
        <f t="shared" si="69"/>
        <v>745.40000000000009</v>
      </c>
      <c r="CI34" s="155">
        <f t="shared" si="69"/>
        <v>913.69999999999982</v>
      </c>
      <c r="CJ34" s="155">
        <f t="shared" si="69"/>
        <v>591.59999999999991</v>
      </c>
      <c r="CK34" s="155">
        <f t="shared" si="69"/>
        <v>845</v>
      </c>
      <c r="CL34" s="156">
        <f>+CH34*(1+CL38)</f>
        <v>819.94000000000017</v>
      </c>
      <c r="CM34" s="156">
        <f t="shared" ref="CM34:DA34" si="70">+CI34*(1+CM38)</f>
        <v>1005.0699999999999</v>
      </c>
      <c r="CN34" s="156">
        <f t="shared" si="70"/>
        <v>650.76</v>
      </c>
      <c r="CO34" s="156">
        <f t="shared" si="70"/>
        <v>929.50000000000011</v>
      </c>
      <c r="CP34" s="156">
        <f t="shared" si="70"/>
        <v>901.93400000000031</v>
      </c>
      <c r="CQ34" s="156">
        <f t="shared" si="70"/>
        <v>1105.577</v>
      </c>
      <c r="CR34" s="156">
        <f t="shared" si="70"/>
        <v>715.83600000000001</v>
      </c>
      <c r="CS34" s="156">
        <f t="shared" si="70"/>
        <v>1022.4500000000002</v>
      </c>
      <c r="CT34" s="156">
        <f t="shared" si="70"/>
        <v>992.12740000000042</v>
      </c>
      <c r="CU34" s="156">
        <f t="shared" si="70"/>
        <v>1216.1347000000001</v>
      </c>
      <c r="CV34" s="156">
        <f t="shared" si="70"/>
        <v>787.41960000000006</v>
      </c>
      <c r="CW34" s="156">
        <f t="shared" si="70"/>
        <v>1124.6950000000002</v>
      </c>
      <c r="CX34" s="156">
        <f t="shared" si="70"/>
        <v>1091.3401400000005</v>
      </c>
      <c r="CY34" s="156">
        <f t="shared" si="70"/>
        <v>1337.7481700000001</v>
      </c>
      <c r="CZ34" s="156">
        <f t="shared" si="70"/>
        <v>866.16156000000012</v>
      </c>
      <c r="DA34" s="156">
        <f t="shared" si="70"/>
        <v>1237.1645000000003</v>
      </c>
      <c r="DD34" s="158"/>
    </row>
    <row r="35" spans="1:109" s="157" customFormat="1" x14ac:dyDescent="0.2">
      <c r="A35" s="154" t="s">
        <v>570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>
        <f>+Y46</f>
        <v>2247.2379999999998</v>
      </c>
      <c r="Z35" s="155">
        <f t="shared" ref="Z35:AA35" si="71">+Z46</f>
        <v>2533.0860000000002</v>
      </c>
      <c r="AA35" s="155">
        <f t="shared" si="71"/>
        <v>2695.7280000000001</v>
      </c>
      <c r="AB35" s="156">
        <f>+AB44</f>
        <v>3055.8940249956063</v>
      </c>
      <c r="AC35" s="156">
        <f t="shared" ref="AC35:AE35" si="72">+AC44</f>
        <v>3455.6672942745499</v>
      </c>
      <c r="AD35" s="156">
        <f t="shared" si="72"/>
        <v>3797.582834267776</v>
      </c>
      <c r="AE35" s="156">
        <f t="shared" si="72"/>
        <v>4176.3333737708299</v>
      </c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>
        <f>+BX46</f>
        <v>431.3</v>
      </c>
      <c r="BY35" s="155">
        <f t="shared" ref="BY35:CK35" si="73">+BY46</f>
        <v>524.6</v>
      </c>
      <c r="BZ35" s="155">
        <f t="shared" si="73"/>
        <v>489.6</v>
      </c>
      <c r="CA35" s="155">
        <f t="shared" si="73"/>
        <v>591.29999999999995</v>
      </c>
      <c r="CB35" s="155">
        <f t="shared" si="73"/>
        <v>563.70000000000005</v>
      </c>
      <c r="CC35" s="155">
        <f t="shared" si="73"/>
        <v>602.6</v>
      </c>
      <c r="CD35" s="155">
        <f t="shared" si="73"/>
        <v>544.20000000000005</v>
      </c>
      <c r="CE35" s="155">
        <f t="shared" si="73"/>
        <v>646</v>
      </c>
      <c r="CF35" s="155">
        <f t="shared" si="73"/>
        <v>616.5</v>
      </c>
      <c r="CG35" s="155">
        <f t="shared" si="73"/>
        <v>726.4</v>
      </c>
      <c r="CH35" s="155">
        <f t="shared" si="73"/>
        <v>595.4</v>
      </c>
      <c r="CI35" s="155">
        <f t="shared" si="73"/>
        <v>666.7</v>
      </c>
      <c r="CJ35" s="155">
        <f t="shared" si="73"/>
        <v>649.6</v>
      </c>
      <c r="CK35" s="155">
        <f t="shared" si="73"/>
        <v>784</v>
      </c>
      <c r="CL35" s="156">
        <f>+CL33*CL39</f>
        <v>698.94782608695652</v>
      </c>
      <c r="CM35" s="156">
        <f t="shared" ref="CM35:DA35" si="74">+CM33*CM39</f>
        <v>767.6552989174802</v>
      </c>
      <c r="CN35" s="156">
        <f t="shared" si="74"/>
        <v>832.26116879981328</v>
      </c>
      <c r="CO35" s="156">
        <f t="shared" si="74"/>
        <v>854.67755727831297</v>
      </c>
      <c r="CP35" s="156">
        <f t="shared" si="74"/>
        <v>764.1125825501922</v>
      </c>
      <c r="CQ35" s="156">
        <f t="shared" si="74"/>
        <v>840.73579424369086</v>
      </c>
      <c r="CR35" s="156">
        <f t="shared" si="74"/>
        <v>912.80503174480555</v>
      </c>
      <c r="CS35" s="156">
        <f t="shared" si="74"/>
        <v>938.01388573586155</v>
      </c>
      <c r="CT35" s="156">
        <f t="shared" si="74"/>
        <v>839.21833332798906</v>
      </c>
      <c r="CU35" s="156">
        <f t="shared" si="74"/>
        <v>923.79228834311959</v>
      </c>
      <c r="CV35" s="156">
        <f t="shared" si="74"/>
        <v>1003.3452213437899</v>
      </c>
      <c r="CW35" s="156">
        <f t="shared" si="74"/>
        <v>1031.2269912528773</v>
      </c>
      <c r="CX35" s="156">
        <f t="shared" si="74"/>
        <v>922.77984100493109</v>
      </c>
      <c r="CY35" s="156">
        <f t="shared" si="74"/>
        <v>1015.8907972710613</v>
      </c>
      <c r="CZ35" s="156">
        <f t="shared" si="74"/>
        <v>1103.4754137601974</v>
      </c>
      <c r="DA35" s="156">
        <f t="shared" si="74"/>
        <v>1134.1873217346401</v>
      </c>
      <c r="DD35" s="158"/>
    </row>
    <row r="36" spans="1:109" s="157" customFormat="1" x14ac:dyDescent="0.2">
      <c r="A36" s="154" t="s">
        <v>571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>
        <f>+X31</f>
        <v>1750</v>
      </c>
      <c r="Y36" s="155">
        <f>+Y31</f>
        <v>2144.1999999999998</v>
      </c>
      <c r="Z36" s="155">
        <f>+Z31</f>
        <v>2250.3000000000002</v>
      </c>
      <c r="AA36" s="155">
        <f>+AA31</f>
        <v>2700</v>
      </c>
      <c r="AB36" s="156">
        <f>+CO36</f>
        <v>2951.728148917437</v>
      </c>
      <c r="AC36" s="156">
        <f>+CS36</f>
        <v>3241.8578546428871</v>
      </c>
      <c r="AD36" s="156">
        <f>+CW36</f>
        <v>3564.6517203751118</v>
      </c>
      <c r="AE36" s="156">
        <f>+DA36</f>
        <v>3920.7327166042833</v>
      </c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>
        <f>+BW31</f>
        <v>1450</v>
      </c>
      <c r="BX36" s="155">
        <f>+BX31</f>
        <v>1600</v>
      </c>
      <c r="BY36" s="155">
        <f t="shared" ref="BY36:CK36" si="75">+BY31</f>
        <v>1750</v>
      </c>
      <c r="BZ36" s="155">
        <f t="shared" si="75"/>
        <v>1800</v>
      </c>
      <c r="CA36" s="155">
        <f t="shared" si="75"/>
        <v>1950</v>
      </c>
      <c r="CB36" s="155">
        <f t="shared" si="75"/>
        <v>2200</v>
      </c>
      <c r="CC36" s="155">
        <f t="shared" si="75"/>
        <v>2100</v>
      </c>
      <c r="CD36" s="155">
        <f t="shared" si="75"/>
        <v>2150</v>
      </c>
      <c r="CE36" s="155">
        <f t="shared" si="75"/>
        <v>2180</v>
      </c>
      <c r="CF36" s="155">
        <f t="shared" si="75"/>
        <v>2250</v>
      </c>
      <c r="CG36" s="155">
        <f t="shared" si="75"/>
        <v>2300</v>
      </c>
      <c r="CH36" s="155">
        <f t="shared" si="75"/>
        <v>2450</v>
      </c>
      <c r="CI36" s="155">
        <f t="shared" si="75"/>
        <v>2697</v>
      </c>
      <c r="CJ36" s="155">
        <f t="shared" si="75"/>
        <v>2639</v>
      </c>
      <c r="CK36" s="155">
        <f t="shared" si="75"/>
        <v>2700</v>
      </c>
      <c r="CL36" s="156">
        <f>+CL33+CL34-CL35</f>
        <v>2820.9921739130436</v>
      </c>
      <c r="CM36" s="156">
        <f t="shared" ref="CM36:DA36" si="76">+CM33+CM34-CM35</f>
        <v>3058.4068749955636</v>
      </c>
      <c r="CN36" s="156">
        <f t="shared" si="76"/>
        <v>2876.9057061957501</v>
      </c>
      <c r="CO36" s="156">
        <f t="shared" si="76"/>
        <v>2951.728148917437</v>
      </c>
      <c r="CP36" s="156">
        <f t="shared" si="76"/>
        <v>3089.549566367245</v>
      </c>
      <c r="CQ36" s="156">
        <f t="shared" si="76"/>
        <v>3354.3907721235537</v>
      </c>
      <c r="CR36" s="156">
        <f t="shared" si="76"/>
        <v>3157.4217403787484</v>
      </c>
      <c r="CS36" s="156">
        <f t="shared" si="76"/>
        <v>3241.8578546428871</v>
      </c>
      <c r="CT36" s="156">
        <f t="shared" si="76"/>
        <v>3394.7669213148984</v>
      </c>
      <c r="CU36" s="156">
        <f t="shared" si="76"/>
        <v>3687.1093329717792</v>
      </c>
      <c r="CV36" s="156">
        <f t="shared" si="76"/>
        <v>3471.1837116279889</v>
      </c>
      <c r="CW36" s="156">
        <f t="shared" si="76"/>
        <v>3564.6517203751118</v>
      </c>
      <c r="CX36" s="156">
        <f t="shared" si="76"/>
        <v>3733.2120193701812</v>
      </c>
      <c r="CY36" s="156">
        <f t="shared" si="76"/>
        <v>4055.0693920991198</v>
      </c>
      <c r="CZ36" s="156">
        <f t="shared" si="76"/>
        <v>3817.7555383389226</v>
      </c>
      <c r="DA36" s="156">
        <f t="shared" si="76"/>
        <v>3920.7327166042833</v>
      </c>
      <c r="DD36" s="158"/>
    </row>
    <row r="37" spans="1:109" s="157" customFormat="1" x14ac:dyDescent="0.2">
      <c r="A37" s="154" t="s">
        <v>572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92">
        <f>+Y36/X36-1</f>
        <v>0.22525714285714282</v>
      </c>
      <c r="Z37" s="192">
        <f t="shared" ref="Z37:AA37" si="77">+Z36/Y36-1</f>
        <v>4.9482324410036638E-2</v>
      </c>
      <c r="AA37" s="192">
        <f t="shared" si="77"/>
        <v>0.19984002133048917</v>
      </c>
      <c r="AB37" s="201">
        <f t="shared" ref="AB37" si="78">+AB36/AA36-1</f>
        <v>9.3232647747198971E-2</v>
      </c>
      <c r="AC37" s="201">
        <f t="shared" ref="AC37" si="79">+AC36/AB36-1</f>
        <v>9.8291472347091569E-2</v>
      </c>
      <c r="AD37" s="201">
        <f t="shared" ref="AD37" si="80">+AD36/AC36-1</f>
        <v>9.9570641343799116E-2</v>
      </c>
      <c r="AE37" s="201">
        <f t="shared" ref="AE37" si="81">+AE36/AD36-1</f>
        <v>9.9892226271042439E-2</v>
      </c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>
        <f t="shared" ref="CA37:CJ37" si="82">+CA36/BW36-1</f>
        <v>0.34482758620689657</v>
      </c>
      <c r="CB37" s="192">
        <f t="shared" si="82"/>
        <v>0.375</v>
      </c>
      <c r="CC37" s="192">
        <f t="shared" si="82"/>
        <v>0.19999999999999996</v>
      </c>
      <c r="CD37" s="192">
        <f t="shared" si="82"/>
        <v>0.19444444444444442</v>
      </c>
      <c r="CE37" s="192">
        <f t="shared" si="82"/>
        <v>0.11794871794871797</v>
      </c>
      <c r="CF37" s="192">
        <f t="shared" si="82"/>
        <v>2.2727272727272707E-2</v>
      </c>
      <c r="CG37" s="192">
        <f t="shared" si="82"/>
        <v>9.5238095238095344E-2</v>
      </c>
      <c r="CH37" s="192">
        <f t="shared" si="82"/>
        <v>0.13953488372093026</v>
      </c>
      <c r="CI37" s="192">
        <f t="shared" si="82"/>
        <v>0.23715596330275224</v>
      </c>
      <c r="CJ37" s="192">
        <f t="shared" si="82"/>
        <v>0.17288888888888887</v>
      </c>
      <c r="CK37" s="192">
        <f>+CK36/CG36-1</f>
        <v>0.17391304347826098</v>
      </c>
      <c r="CL37" s="201">
        <f t="shared" ref="CL37:DA37" si="83">+CL36/CH36-1</f>
        <v>0.15142537710736481</v>
      </c>
      <c r="CM37" s="201">
        <f t="shared" si="83"/>
        <v>0.13400329069171812</v>
      </c>
      <c r="CN37" s="201">
        <f t="shared" si="83"/>
        <v>9.0149945508052332E-2</v>
      </c>
      <c r="CO37" s="201">
        <f t="shared" si="83"/>
        <v>9.3232647747198971E-2</v>
      </c>
      <c r="CP37" s="201">
        <f t="shared" si="83"/>
        <v>9.519962335864296E-2</v>
      </c>
      <c r="CQ37" s="201">
        <f t="shared" si="83"/>
        <v>9.6777148765865073E-2</v>
      </c>
      <c r="CR37" s="201">
        <f t="shared" si="83"/>
        <v>9.7506162116775208E-2</v>
      </c>
      <c r="CS37" s="201">
        <f t="shared" si="83"/>
        <v>9.8291472347091569E-2</v>
      </c>
      <c r="CT37" s="201">
        <f t="shared" si="83"/>
        <v>9.8790243817494128E-2</v>
      </c>
      <c r="CU37" s="201">
        <f t="shared" si="83"/>
        <v>9.9188968564205782E-2</v>
      </c>
      <c r="CV37" s="201">
        <f t="shared" si="83"/>
        <v>9.9372841846462778E-2</v>
      </c>
      <c r="CW37" s="201">
        <f t="shared" si="83"/>
        <v>9.9570641343799116E-2</v>
      </c>
      <c r="CX37" s="201">
        <f t="shared" si="83"/>
        <v>9.9696122266972109E-2</v>
      </c>
      <c r="CY37" s="201">
        <f t="shared" si="83"/>
        <v>9.9796351531232785E-2</v>
      </c>
      <c r="CZ37" s="201">
        <f t="shared" si="83"/>
        <v>9.9842548105410156E-2</v>
      </c>
      <c r="DA37" s="201">
        <f t="shared" si="83"/>
        <v>9.9892226271042439E-2</v>
      </c>
      <c r="DD37" s="158"/>
    </row>
    <row r="38" spans="1:109" s="157" customFormat="1" x14ac:dyDescent="0.2">
      <c r="A38" s="154" t="s">
        <v>573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92">
        <f>+Z34/Y34-1</f>
        <v>-8.525659129609009E-4</v>
      </c>
      <c r="AA38" s="192">
        <f>+AA34/Z34-1</f>
        <v>0.19181747705542507</v>
      </c>
      <c r="AB38" s="201">
        <f t="shared" ref="AB38:AE38" si="84">+AB34/AA34-1</f>
        <v>5.1565056937575182E-2</v>
      </c>
      <c r="AC38" s="201">
        <f t="shared" si="84"/>
        <v>0.13247426793265782</v>
      </c>
      <c r="AD38" s="201">
        <f t="shared" si="84"/>
        <v>0.10000000000000009</v>
      </c>
      <c r="AE38" s="201">
        <f t="shared" si="84"/>
        <v>0.10000000000000009</v>
      </c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8"/>
      <c r="CB38" s="192">
        <f t="shared" ref="CB38:CK38" si="85">+CB34/BX34-1</f>
        <v>0.39979356614484751</v>
      </c>
      <c r="CC38" s="192">
        <f t="shared" si="85"/>
        <v>-0.25496590572190936</v>
      </c>
      <c r="CD38" s="192">
        <f t="shared" si="85"/>
        <v>0.10118606375092654</v>
      </c>
      <c r="CE38" s="192">
        <f t="shared" si="85"/>
        <v>-8.8088493187643557E-2</v>
      </c>
      <c r="CF38" s="192">
        <f t="shared" si="85"/>
        <v>-0.15632296915325039</v>
      </c>
      <c r="CG38" s="192">
        <f t="shared" si="85"/>
        <v>0.54476721050537247</v>
      </c>
      <c r="CH38" s="192">
        <f t="shared" si="85"/>
        <v>0.25445977785257545</v>
      </c>
      <c r="CI38" s="192">
        <f t="shared" si="85"/>
        <v>0.351627218934911</v>
      </c>
      <c r="CJ38" s="192">
        <f t="shared" si="85"/>
        <v>-0.13823743627093965</v>
      </c>
      <c r="CK38" s="192">
        <f t="shared" si="85"/>
        <v>8.8356517259144729E-2</v>
      </c>
      <c r="CL38" s="201">
        <v>0.1</v>
      </c>
      <c r="CM38" s="201">
        <v>0.1</v>
      </c>
      <c r="CN38" s="201">
        <v>0.1</v>
      </c>
      <c r="CO38" s="201">
        <v>0.1</v>
      </c>
      <c r="CP38" s="201">
        <v>0.1</v>
      </c>
      <c r="CQ38" s="201">
        <v>0.1</v>
      </c>
      <c r="CR38" s="201">
        <v>0.1</v>
      </c>
      <c r="CS38" s="201">
        <v>0.1</v>
      </c>
      <c r="CT38" s="201">
        <v>0.1</v>
      </c>
      <c r="CU38" s="201">
        <v>0.1</v>
      </c>
      <c r="CV38" s="201">
        <v>0.1</v>
      </c>
      <c r="CW38" s="201">
        <v>0.1</v>
      </c>
      <c r="CX38" s="201">
        <v>0.1</v>
      </c>
      <c r="CY38" s="201">
        <v>0.1</v>
      </c>
      <c r="CZ38" s="201">
        <v>0.1</v>
      </c>
      <c r="DA38" s="201">
        <v>0.1</v>
      </c>
      <c r="DD38" s="158"/>
    </row>
    <row r="39" spans="1:109" s="157" customFormat="1" x14ac:dyDescent="0.2">
      <c r="A39" s="154" t="s">
        <v>574</v>
      </c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92">
        <f t="shared" ref="Y39:Z39" si="86">+Y35/Y33</f>
        <v>1.2841359999999999</v>
      </c>
      <c r="Z39" s="192">
        <f t="shared" si="86"/>
        <v>1.1813664770077421</v>
      </c>
      <c r="AA39" s="192">
        <f>+AA35/AA33</f>
        <v>1.1979416077856284</v>
      </c>
      <c r="AB39" s="201">
        <f t="shared" ref="AB39:AE39" si="87">+AB35/AB33</f>
        <v>1.1318126018502246</v>
      </c>
      <c r="AC39" s="201">
        <f t="shared" si="87"/>
        <v>1.1707268149141496</v>
      </c>
      <c r="AD39" s="201">
        <f t="shared" si="87"/>
        <v>1.1714217601579899</v>
      </c>
      <c r="AE39" s="201">
        <f t="shared" si="87"/>
        <v>1.1715964703927233</v>
      </c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92">
        <f t="shared" ref="BX39:CJ39" si="88">+BX35/BX33</f>
        <v>0.29744827586206896</v>
      </c>
      <c r="BY39" s="192">
        <f t="shared" si="88"/>
        <v>0.32787500000000003</v>
      </c>
      <c r="BZ39" s="192">
        <f t="shared" si="88"/>
        <v>0.27977142857142856</v>
      </c>
      <c r="CA39" s="192">
        <f t="shared" si="88"/>
        <v>0.32849999999999996</v>
      </c>
      <c r="CB39" s="192">
        <f t="shared" si="88"/>
        <v>0.28907692307692312</v>
      </c>
      <c r="CC39" s="192">
        <f t="shared" si="88"/>
        <v>0.27390909090909094</v>
      </c>
      <c r="CD39" s="192">
        <f t="shared" si="88"/>
        <v>0.25914285714285717</v>
      </c>
      <c r="CE39" s="192">
        <f t="shared" si="88"/>
        <v>0.30046511627906974</v>
      </c>
      <c r="CF39" s="192">
        <f t="shared" si="88"/>
        <v>0.28279816513761469</v>
      </c>
      <c r="CG39" s="192">
        <f t="shared" si="88"/>
        <v>0.32284444444444443</v>
      </c>
      <c r="CH39" s="192">
        <f t="shared" si="88"/>
        <v>0.2588695652173913</v>
      </c>
      <c r="CI39" s="192">
        <f t="shared" si="88"/>
        <v>0.27212244897959187</v>
      </c>
      <c r="CJ39" s="192">
        <f t="shared" si="88"/>
        <v>0.24086021505376345</v>
      </c>
      <c r="CK39" s="192">
        <f>+CK35/CK33</f>
        <v>0.29708222811671087</v>
      </c>
      <c r="CL39" s="201">
        <f>+CH39</f>
        <v>0.2588695652173913</v>
      </c>
      <c r="CM39" s="201">
        <f>+CI39</f>
        <v>0.27212244897959187</v>
      </c>
      <c r="CN39" s="201">
        <f>+CM39</f>
        <v>0.27212244897959187</v>
      </c>
      <c r="CO39" s="201">
        <f>+CK39</f>
        <v>0.29708222811671087</v>
      </c>
      <c r="CP39" s="201">
        <f t="shared" ref="CP39:DA39" si="89">+CL39</f>
        <v>0.2588695652173913</v>
      </c>
      <c r="CQ39" s="201">
        <f t="shared" si="89"/>
        <v>0.27212244897959187</v>
      </c>
      <c r="CR39" s="201">
        <f t="shared" si="89"/>
        <v>0.27212244897959187</v>
      </c>
      <c r="CS39" s="201">
        <f t="shared" si="89"/>
        <v>0.29708222811671087</v>
      </c>
      <c r="CT39" s="201">
        <f t="shared" si="89"/>
        <v>0.2588695652173913</v>
      </c>
      <c r="CU39" s="201">
        <f t="shared" si="89"/>
        <v>0.27212244897959187</v>
      </c>
      <c r="CV39" s="201">
        <f t="shared" si="89"/>
        <v>0.27212244897959187</v>
      </c>
      <c r="CW39" s="201">
        <f t="shared" si="89"/>
        <v>0.29708222811671087</v>
      </c>
      <c r="CX39" s="201">
        <f t="shared" si="89"/>
        <v>0.2588695652173913</v>
      </c>
      <c r="CY39" s="201">
        <f t="shared" si="89"/>
        <v>0.27212244897959187</v>
      </c>
      <c r="CZ39" s="201">
        <f t="shared" si="89"/>
        <v>0.27212244897959187</v>
      </c>
      <c r="DA39" s="201">
        <f t="shared" si="89"/>
        <v>0.29708222811671087</v>
      </c>
      <c r="DD39" s="158"/>
    </row>
    <row r="40" spans="1:109" s="157" customFormat="1" x14ac:dyDescent="0.2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6"/>
      <c r="AC40" s="156"/>
      <c r="AD40" s="156"/>
      <c r="AE40" s="156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88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D40" s="158"/>
    </row>
    <row r="41" spans="1:109" s="157" customFormat="1" x14ac:dyDescent="0.2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6"/>
      <c r="AC41" s="156"/>
      <c r="AD41" s="156"/>
      <c r="AE41" s="156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6"/>
      <c r="CY41" s="156"/>
      <c r="CZ41" s="156"/>
      <c r="DA41" s="156"/>
      <c r="DD41" s="158"/>
    </row>
    <row r="42" spans="1:109" s="105" customFormat="1" x14ac:dyDescent="0.2">
      <c r="A42" s="150" t="s">
        <v>501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4"/>
      <c r="AC42" s="104"/>
      <c r="AD42" s="104"/>
      <c r="AE42" s="104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D42" s="117"/>
    </row>
    <row r="43" spans="1:109" s="105" customFormat="1" x14ac:dyDescent="0.2">
      <c r="A43" s="150" t="s">
        <v>486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04"/>
      <c r="AC43" s="104"/>
      <c r="AD43" s="104"/>
      <c r="AE43" s="104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7"/>
      <c r="CE43" s="117"/>
      <c r="CF43" s="117"/>
      <c r="CG43" s="117"/>
      <c r="CH43" s="117"/>
      <c r="CI43" s="117"/>
      <c r="CJ43" s="159"/>
      <c r="CK43" s="159"/>
      <c r="CL43" s="159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D43" s="117"/>
    </row>
    <row r="44" spans="1:109" s="24" customFormat="1" outlineLevel="1" x14ac:dyDescent="0.2">
      <c r="A44" s="24" t="s">
        <v>430</v>
      </c>
      <c r="B44" s="24">
        <f>'Annual Raw'!C6</f>
        <v>183.57060000000001</v>
      </c>
      <c r="C44" s="24">
        <f>'Annual Raw'!D6</f>
        <v>208.06</v>
      </c>
      <c r="D44" s="24">
        <f>'Annual Raw'!E6</f>
        <v>246.67429999999999</v>
      </c>
      <c r="E44" s="24">
        <f>'Annual Raw'!F6</f>
        <v>262.83699999999999</v>
      </c>
      <c r="F44" s="24">
        <f>'Annual Raw'!G6</f>
        <v>332.44439999999997</v>
      </c>
      <c r="G44" s="24">
        <f>'Annual Raw'!H6</f>
        <v>397.76569999999998</v>
      </c>
      <c r="H44" s="24">
        <f>'Annual Raw'!I6</f>
        <v>453.14510000000001</v>
      </c>
      <c r="I44" s="24">
        <f>'Annual Raw'!J6</f>
        <v>513.11689999999999</v>
      </c>
      <c r="J44" s="24">
        <f>'Annual Raw'!K6</f>
        <v>659.75869999999998</v>
      </c>
      <c r="K44" s="24">
        <f>'Annual Raw'!L6</f>
        <v>593.08900000000006</v>
      </c>
      <c r="L44" s="24">
        <f>'Annual Raw'!M6</f>
        <v>643.26829999999995</v>
      </c>
      <c r="M44" s="24">
        <f>'Annual Raw'!N6</f>
        <v>795.76900000000001</v>
      </c>
      <c r="N44" s="24">
        <f>'Annual Raw'!O6</f>
        <v>762.81200000000001</v>
      </c>
      <c r="O44" s="24">
        <f>'Annual Raw'!P6</f>
        <v>786.43799999999999</v>
      </c>
      <c r="P44" s="24">
        <f>'Annual Raw'!Q6</f>
        <v>852.36599999999999</v>
      </c>
      <c r="Q44" s="24">
        <f>'Annual Raw'!R6</f>
        <v>872.69899999999996</v>
      </c>
      <c r="R44" s="24">
        <f>'Annual Raw'!S6</f>
        <v>879.95100000000002</v>
      </c>
      <c r="S44" s="24">
        <f>'Annual Raw'!T6</f>
        <v>969.24699999999996</v>
      </c>
      <c r="T44" s="24">
        <f>'Annual Raw'!U6</f>
        <v>1093.066</v>
      </c>
      <c r="U44" s="24">
        <f>'Annual Raw'!V6</f>
        <v>1359.34</v>
      </c>
      <c r="V44" s="24">
        <f>'Annual Raw'!W6</f>
        <v>1243.126</v>
      </c>
      <c r="W44" s="24">
        <f>'Annual Raw'!X6</f>
        <v>1540.6579999999999</v>
      </c>
      <c r="X44" s="24">
        <f>'Annual Raw'!Y6</f>
        <v>1853.0930000000001</v>
      </c>
      <c r="Y44" s="24">
        <f>'Annual Raw'!Z6</f>
        <v>2303.172</v>
      </c>
      <c r="Z44" s="24">
        <f>'Annual Raw'!AA6</f>
        <v>2596.1750000000002</v>
      </c>
      <c r="AA44" s="24">
        <f>'Annual Raw'!AB6</f>
        <v>2753.0250000000001</v>
      </c>
      <c r="AB44" s="16">
        <f>+SUM(CL44:CO44)</f>
        <v>3055.8940249956063</v>
      </c>
      <c r="AC44" s="16">
        <f>+SUM(CP44:CS44)</f>
        <v>3455.6672942745499</v>
      </c>
      <c r="AD44" s="16">
        <f>+SUM(CT44:CW44)</f>
        <v>3797.582834267776</v>
      </c>
      <c r="AE44" s="16">
        <f>+SUM(CX44:DA44)</f>
        <v>4176.3333737708299</v>
      </c>
      <c r="AI44" s="24">
        <f>'QTR Raw'!C6+'QTR Raw'!C8</f>
        <v>187.38</v>
      </c>
      <c r="AJ44" s="24">
        <f>'QTR Raw'!D6+'QTR Raw'!D8</f>
        <v>169.74</v>
      </c>
      <c r="AK44" s="24">
        <f>'QTR Raw'!E6+'QTR Raw'!E8</f>
        <v>194.58</v>
      </c>
      <c r="AL44" s="24">
        <f>'QTR Raw'!F6+'QTR Raw'!F8</f>
        <v>163.79</v>
      </c>
      <c r="AM44" s="24">
        <f>'QTR Raw'!G6+'QTR Raw'!G8</f>
        <v>195.22</v>
      </c>
      <c r="AN44" s="24">
        <f>'QTR Raw'!H6+'QTR Raw'!H8</f>
        <v>190.24</v>
      </c>
      <c r="AO44" s="24">
        <f>'QTR Raw'!I6+'QTR Raw'!I8</f>
        <v>182.09</v>
      </c>
      <c r="AP44" s="24">
        <f>'QTR Raw'!J6+'QTR Raw'!J8</f>
        <v>173.37</v>
      </c>
      <c r="AQ44" s="24">
        <f>'QTR Raw'!K6+'QTR Raw'!K8</f>
        <v>199.35</v>
      </c>
      <c r="AR44" s="24">
        <f>'QTR Raw'!L6+'QTR Raw'!L8</f>
        <v>198.89000000000001</v>
      </c>
      <c r="AS44" s="24">
        <f>'QTR Raw'!M6+'QTR Raw'!M8</f>
        <v>230.09</v>
      </c>
      <c r="AT44" s="24">
        <f>'QTR Raw'!N6+'QTR Raw'!N8</f>
        <v>189.26999999999998</v>
      </c>
      <c r="AU44" s="24">
        <f>'QTR Raw'!O6+'QTR Raw'!O8</f>
        <v>200.10999999999999</v>
      </c>
      <c r="AV44" s="24">
        <f>'QTR Raw'!P6+'QTR Raw'!P8</f>
        <v>185.78</v>
      </c>
      <c r="AW44" s="24">
        <f>'QTR Raw'!Q6+'QTR Raw'!Q8</f>
        <v>243.64999999999998</v>
      </c>
      <c r="AX44" s="24">
        <f>'QTR Raw'!R6+'QTR Raw'!R8</f>
        <v>223.12</v>
      </c>
      <c r="AY44" s="24">
        <f>'QTR Raw'!S6+'QTR Raw'!S8</f>
        <v>216.74</v>
      </c>
      <c r="AZ44" s="24">
        <f>'QTR Raw'!T6+'QTR Raw'!T8</f>
        <v>171.59</v>
      </c>
      <c r="BA44" s="24">
        <f>'QTR Raw'!U6+'QTR Raw'!U8</f>
        <v>267.62</v>
      </c>
      <c r="BB44" s="24">
        <f>'QTR Raw'!V6+'QTR Raw'!V8</f>
        <v>217.5</v>
      </c>
      <c r="BC44" s="24">
        <f>'QTR Raw'!W6+'QTR Raw'!W8</f>
        <v>223.1</v>
      </c>
      <c r="BD44" s="24">
        <f>'QTR Raw'!X6+'QTR Raw'!X8</f>
        <v>200.5</v>
      </c>
      <c r="BE44" s="24">
        <f>'QTR Raw'!Y6+'QTR Raw'!Y8</f>
        <v>328.2</v>
      </c>
      <c r="BF44" s="24">
        <f>'QTR Raw'!Z6+'QTR Raw'!Z8</f>
        <v>212.5</v>
      </c>
      <c r="BG44" s="24">
        <f>'QTR Raw'!AA6+'QTR Raw'!AA8</f>
        <v>253.6</v>
      </c>
      <c r="BH44" s="24">
        <f>'QTR Raw'!AB6+'QTR Raw'!AB8</f>
        <v>280.39999999999998</v>
      </c>
      <c r="BI44" s="24">
        <f>'QTR Raw'!AC6+'QTR Raw'!AC8</f>
        <v>346.6</v>
      </c>
      <c r="BJ44" s="24">
        <f>'QTR Raw'!AD6+'QTR Raw'!AD8</f>
        <v>289.3</v>
      </c>
      <c r="BK44" s="24">
        <f>'QTR Raw'!AE6+'QTR Raw'!AE8</f>
        <v>301.8</v>
      </c>
      <c r="BL44" s="24">
        <f>'QTR Raw'!AF6+'QTR Raw'!AF8</f>
        <v>365.8</v>
      </c>
      <c r="BM44" s="24">
        <f>'QTR Raw'!AG6+'QTR Raw'!AG8</f>
        <v>337</v>
      </c>
      <c r="BN44" s="24">
        <f>'QTR Raw'!AH6+'QTR Raw'!AH8</f>
        <v>257</v>
      </c>
      <c r="BO44" s="24">
        <f>'QTR Raw'!AI6+'QTR Raw'!AI8</f>
        <v>218.9</v>
      </c>
      <c r="BP44" s="24">
        <f>'QTR Raw'!AJ6+'QTR Raw'!AJ8</f>
        <v>362.3</v>
      </c>
      <c r="BQ44" s="24">
        <f>'QTR Raw'!AK6+'QTR Raw'!AK8</f>
        <v>369.9</v>
      </c>
      <c r="BR44" s="24">
        <f>'QTR Raw'!AL6+'QTR Raw'!AL8</f>
        <v>381.6</v>
      </c>
      <c r="BS44" s="24">
        <f>'QTR Raw'!AM6+'QTR Raw'!AM8</f>
        <v>303</v>
      </c>
      <c r="BT44" s="24">
        <f>'QTR Raw'!AN6+'QTR Raw'!AN8</f>
        <v>368.1</v>
      </c>
      <c r="BU44" s="24">
        <f>'QTR Raw'!AO6+'QTR Raw'!AO8</f>
        <v>444.6</v>
      </c>
      <c r="BV44" s="24">
        <f>'QTR Raw'!AP6+'QTR Raw'!AP8</f>
        <v>417.7</v>
      </c>
      <c r="BW44" s="24">
        <f>'QTR Raw'!AQ6+'QTR Raw'!AQ8</f>
        <v>448.4</v>
      </c>
      <c r="BX44" s="24">
        <f>'QTR Raw'!AR6+'QTR Raw'!AR8</f>
        <v>431.3</v>
      </c>
      <c r="BY44" s="24">
        <f>'QTR Raw'!AS6+'QTR Raw'!AS8</f>
        <v>524.6</v>
      </c>
      <c r="BZ44" s="24">
        <f>'QTR Raw'!AT6+'QTR Raw'!AT8</f>
        <v>489.6</v>
      </c>
      <c r="CA44" s="24">
        <f>'QTR Raw'!AU6+'QTR Raw'!AU8</f>
        <v>591.29999999999995</v>
      </c>
      <c r="CB44" s="24">
        <f>'QTR Raw'!AV6+'QTR Raw'!AV8</f>
        <v>563.70000000000005</v>
      </c>
      <c r="CC44" s="24">
        <f>'QTR Raw'!AW6+'QTR Raw'!AW8</f>
        <v>602.6</v>
      </c>
      <c r="CD44" s="24">
        <f>'QTR Raw'!AX6+'QTR Raw'!AX8</f>
        <v>544.20000000000005</v>
      </c>
      <c r="CE44" s="24">
        <f>'QTR Raw'!AY6+'QTR Raw'!AY8</f>
        <v>646</v>
      </c>
      <c r="CF44" s="24">
        <f>'QTR Raw'!AZ6+'QTR Raw'!AZ8</f>
        <v>616.5</v>
      </c>
      <c r="CG44" s="24">
        <f>'QTR Raw'!BA6+'QTR Raw'!BA8</f>
        <v>726.4</v>
      </c>
      <c r="CH44" s="24">
        <f>'QTR Raw'!BB6+'QTR Raw'!BB8</f>
        <v>595.4</v>
      </c>
      <c r="CI44" s="24">
        <f>'QTR Raw'!BC6+'QTR Raw'!BC8</f>
        <v>666.7</v>
      </c>
      <c r="CJ44" s="24">
        <f>'QTR Raw'!BD6+'QTR Raw'!BD8</f>
        <v>649.6</v>
      </c>
      <c r="CK44" s="24">
        <f>'QTR Raw'!BE6+'QTR Raw'!BE8</f>
        <v>784</v>
      </c>
      <c r="CL44" s="24">
        <f>'QTR Raw'!BF6+'QTR Raw'!BF8</f>
        <v>601.29999999999995</v>
      </c>
      <c r="CM44" s="16">
        <f t="shared" ref="CM44:DA44" si="90">+CM35</f>
        <v>767.6552989174802</v>
      </c>
      <c r="CN44" s="16">
        <f t="shared" si="90"/>
        <v>832.26116879981328</v>
      </c>
      <c r="CO44" s="16">
        <f t="shared" si="90"/>
        <v>854.67755727831297</v>
      </c>
      <c r="CP44" s="16">
        <f t="shared" si="90"/>
        <v>764.1125825501922</v>
      </c>
      <c r="CQ44" s="16">
        <f t="shared" si="90"/>
        <v>840.73579424369086</v>
      </c>
      <c r="CR44" s="16">
        <f t="shared" si="90"/>
        <v>912.80503174480555</v>
      </c>
      <c r="CS44" s="16">
        <f t="shared" si="90"/>
        <v>938.01388573586155</v>
      </c>
      <c r="CT44" s="16">
        <f t="shared" si="90"/>
        <v>839.21833332798906</v>
      </c>
      <c r="CU44" s="16">
        <f t="shared" si="90"/>
        <v>923.79228834311959</v>
      </c>
      <c r="CV44" s="16">
        <f t="shared" si="90"/>
        <v>1003.3452213437899</v>
      </c>
      <c r="CW44" s="16">
        <f t="shared" si="90"/>
        <v>1031.2269912528773</v>
      </c>
      <c r="CX44" s="16">
        <f t="shared" si="90"/>
        <v>922.77984100493109</v>
      </c>
      <c r="CY44" s="16">
        <f t="shared" si="90"/>
        <v>1015.8907972710613</v>
      </c>
      <c r="CZ44" s="16">
        <f t="shared" si="90"/>
        <v>1103.4754137601974</v>
      </c>
      <c r="DA44" s="16">
        <f t="shared" si="90"/>
        <v>1134.1873217346401</v>
      </c>
      <c r="DD44" s="118"/>
      <c r="DE44" s="24">
        <v>2695.7</v>
      </c>
    </row>
    <row r="45" spans="1:109" s="91" customFormat="1" outlineLevel="1" x14ac:dyDescent="0.2">
      <c r="A45" s="91" t="s">
        <v>109</v>
      </c>
      <c r="B45" s="91">
        <f>'Annual Raw'!C7+'Annual Raw'!C8+'Annual Raw'!C9</f>
        <v>0</v>
      </c>
      <c r="C45" s="91">
        <f>'Annual Raw'!D7+'Annual Raw'!D8+'Annual Raw'!D9</f>
        <v>0</v>
      </c>
      <c r="D45" s="91">
        <f>'Annual Raw'!E7+'Annual Raw'!E8+'Annual Raw'!E9</f>
        <v>16.145499999999998</v>
      </c>
      <c r="E45" s="91">
        <f>'Annual Raw'!F7+'Annual Raw'!F8+'Annual Raw'!F9</f>
        <v>19.991499999999998</v>
      </c>
      <c r="F45" s="91">
        <f>'Annual Raw'!G7+'Annual Raw'!G8+'Annual Raw'!G9</f>
        <v>27.879899999999999</v>
      </c>
      <c r="G45" s="91">
        <f>'Annual Raw'!H7+'Annual Raw'!H8+'Annual Raw'!H9</f>
        <v>37.8643</v>
      </c>
      <c r="H45" s="91">
        <f>'Annual Raw'!I7+'Annual Raw'!I8+'Annual Raw'!I9</f>
        <v>45.641500000000001</v>
      </c>
      <c r="I45" s="91">
        <f>'Annual Raw'!J7+'Annual Raw'!J8+'Annual Raw'!J9</f>
        <v>46.639699999999998</v>
      </c>
      <c r="J45" s="91">
        <f>'Annual Raw'!K7+'Annual Raw'!K8+'Annual Raw'!K9</f>
        <v>61.659300000000002</v>
      </c>
      <c r="K45" s="91">
        <f>'Annual Raw'!L7+'Annual Raw'!L8+'Annual Raw'!L9</f>
        <v>27.786000000000001</v>
      </c>
      <c r="L45" s="91">
        <f>'Annual Raw'!M7+'Annual Raw'!M8+'Annual Raw'!M9</f>
        <v>33.0473</v>
      </c>
      <c r="M45" s="91">
        <f>'Annual Raw'!N7+'Annual Raw'!N8+'Annual Raw'!N9</f>
        <v>43.856000000000002</v>
      </c>
      <c r="N45" s="91">
        <f>'Annual Raw'!O7+'Annual Raw'!O8+'Annual Raw'!O9</f>
        <v>47.43</v>
      </c>
      <c r="O45" s="91">
        <f>'Annual Raw'!P7+'Annual Raw'!P8+'Annual Raw'!P9</f>
        <v>53.703000000000003</v>
      </c>
      <c r="P45" s="91">
        <f>'Annual Raw'!Q7+'Annual Raw'!Q8+'Annual Raw'!Q9</f>
        <v>48.692999999999998</v>
      </c>
      <c r="Q45" s="91">
        <f>'Annual Raw'!R7+'Annual Raw'!R8+'Annual Raw'!R9</f>
        <v>51.972000000000001</v>
      </c>
      <c r="R45" s="91">
        <f>'Annual Raw'!S7+'Annual Raw'!S8+'Annual Raw'!S9</f>
        <v>54.284999999999997</v>
      </c>
      <c r="S45" s="91">
        <f>'Annual Raw'!T7+'Annual Raw'!T8+'Annual Raw'!T9</f>
        <v>24.91</v>
      </c>
      <c r="T45" s="91">
        <f>'Annual Raw'!U7+'Annual Raw'!U8+'Annual Raw'!U9</f>
        <v>0</v>
      </c>
      <c r="U45" s="91">
        <f>'Annual Raw'!V7+'Annual Raw'!V8+'Annual Raw'!V9</f>
        <v>65.432000000000002</v>
      </c>
      <c r="V45" s="91">
        <f>'Annual Raw'!W7+'Annual Raw'!W8+'Annual Raw'!W9</f>
        <v>35.011000000000003</v>
      </c>
      <c r="W45" s="91">
        <f>'Annual Raw'!X7+'Annual Raw'!X8+'Annual Raw'!X9</f>
        <v>43.366999999999997</v>
      </c>
      <c r="X45" s="91">
        <f>'Annual Raw'!Y7+'Annual Raw'!Y8+'Annual Raw'!Y9</f>
        <v>31.132999999999999</v>
      </c>
      <c r="Y45" s="91">
        <f>'Annual Raw'!Z7+'Annual Raw'!Z8+'Annual Raw'!Z9</f>
        <v>55.933999999999997</v>
      </c>
      <c r="Z45" s="91">
        <f>'Annual Raw'!AA7+'Annual Raw'!AA8+'Annual Raw'!AA9</f>
        <v>63.088999999999999</v>
      </c>
      <c r="AA45" s="91">
        <f>'Annual Raw'!AB7+'Annual Raw'!AB8+'Annual Raw'!AB9</f>
        <v>57.296999999999997</v>
      </c>
      <c r="AB45" s="75">
        <f>+SUM(CL45:CO45)</f>
        <v>0</v>
      </c>
      <c r="AC45" s="75">
        <f>+SUM(CP45:CS45)</f>
        <v>0</v>
      </c>
      <c r="AD45" s="75">
        <f>+SUM(CT45:CW45)</f>
        <v>0</v>
      </c>
      <c r="AE45" s="75">
        <f>+SUM(CX45:DA45)</f>
        <v>0</v>
      </c>
      <c r="AI45" s="91">
        <f>'QTR Raw'!C21+'QTR Raw'!C20+'QTR Raw'!C19+'QTR Raw'!C13+'QTR Raw'!C7</f>
        <v>0</v>
      </c>
      <c r="AJ45" s="91">
        <f>'QTR Raw'!D21+'QTR Raw'!D20+'QTR Raw'!D19+'QTR Raw'!D13+'QTR Raw'!D7</f>
        <v>0</v>
      </c>
      <c r="AK45" s="91">
        <f>'QTR Raw'!E21+'QTR Raw'!E20+'QTR Raw'!E19+'QTR Raw'!E13+'QTR Raw'!E7</f>
        <v>0</v>
      </c>
      <c r="AL45" s="91">
        <f>'QTR Raw'!F21+'QTR Raw'!F20+'QTR Raw'!F19+'QTR Raw'!F13+'QTR Raw'!F7</f>
        <v>0</v>
      </c>
      <c r="AM45" s="91">
        <f>'QTR Raw'!G21+'QTR Raw'!G20+'QTR Raw'!G19+'QTR Raw'!G13+'QTR Raw'!G7</f>
        <v>0</v>
      </c>
      <c r="AN45" s="91">
        <f>'QTR Raw'!H21+'QTR Raw'!H20+'QTR Raw'!H19+'QTR Raw'!H13+'QTR Raw'!H7</f>
        <v>0</v>
      </c>
      <c r="AO45" s="91">
        <f>'QTR Raw'!I21+'QTR Raw'!I20+'QTR Raw'!I19+'QTR Raw'!I13+'QTR Raw'!I7</f>
        <v>0</v>
      </c>
      <c r="AP45" s="91">
        <f>'QTR Raw'!J21+'QTR Raw'!J20+'QTR Raw'!J19+'QTR Raw'!J13+'QTR Raw'!J7</f>
        <v>0</v>
      </c>
      <c r="AQ45" s="91">
        <f>'QTR Raw'!K21+'QTR Raw'!K20+'QTR Raw'!K19+'QTR Raw'!K13+'QTR Raw'!K7</f>
        <v>0</v>
      </c>
      <c r="AR45" s="91">
        <f>'QTR Raw'!L21+'QTR Raw'!L20+'QTR Raw'!L19+'QTR Raw'!L13+'QTR Raw'!L7</f>
        <v>0</v>
      </c>
      <c r="AS45" s="91">
        <f>'QTR Raw'!M21+'QTR Raw'!M20+'QTR Raw'!M19+'QTR Raw'!M13+'QTR Raw'!M7</f>
        <v>0</v>
      </c>
      <c r="AT45" s="91">
        <f>'QTR Raw'!N21+'QTR Raw'!N20+'QTR Raw'!N19+'QTR Raw'!N13+'QTR Raw'!N7</f>
        <v>0</v>
      </c>
      <c r="AU45" s="91">
        <f>'QTR Raw'!O21+'QTR Raw'!O20+'QTR Raw'!O19+'QTR Raw'!O13+'QTR Raw'!O7</f>
        <v>0</v>
      </c>
      <c r="AV45" s="91">
        <f>'QTR Raw'!P21+'QTR Raw'!P20+'QTR Raw'!P19+'QTR Raw'!P13+'QTR Raw'!P7</f>
        <v>0</v>
      </c>
      <c r="AW45" s="91">
        <f>'QTR Raw'!Q21+'QTR Raw'!Q20+'QTR Raw'!Q19+'QTR Raw'!Q13+'QTR Raw'!Q7</f>
        <v>0</v>
      </c>
      <c r="AX45" s="91">
        <f>'QTR Raw'!R21+'QTR Raw'!R20+'QTR Raw'!R19+'QTR Raw'!R13+'QTR Raw'!R7</f>
        <v>13.02</v>
      </c>
      <c r="AY45" s="91">
        <f>'QTR Raw'!S21+'QTR Raw'!S20+'QTR Raw'!S19+'QTR Raw'!S13+'QTR Raw'!S7</f>
        <v>13.71</v>
      </c>
      <c r="AZ45" s="91">
        <f>'QTR Raw'!T21+'QTR Raw'!T20+'QTR Raw'!T19+'QTR Raw'!T13+'QTR Raw'!T7</f>
        <v>10.6</v>
      </c>
      <c r="BA45" s="91">
        <f>'QTR Raw'!U21+'QTR Raw'!U20+'QTR Raw'!U19+'QTR Raw'!U13+'QTR Raw'!U7</f>
        <v>16.96</v>
      </c>
      <c r="BB45" s="91">
        <f>'QTR Raw'!V21+'QTR Raw'!V20+'QTR Raw'!V19+'QTR Raw'!V13+'QTR Raw'!V7</f>
        <v>12.1</v>
      </c>
      <c r="BC45" s="91">
        <f>'QTR Raw'!W21+'QTR Raw'!W20+'QTR Raw'!W19+'QTR Raw'!W13+'QTR Raw'!W7</f>
        <v>12.9</v>
      </c>
      <c r="BD45" s="91">
        <f>'QTR Raw'!X21+'QTR Raw'!X20+'QTR Raw'!X19+'QTR Raw'!X13+'QTR Raw'!X7</f>
        <v>0</v>
      </c>
      <c r="BE45" s="91">
        <f>'QTR Raw'!Y21+'QTR Raw'!Y20+'QTR Raw'!Y19+'QTR Raw'!Y13+'QTR Raw'!Y7</f>
        <v>0</v>
      </c>
      <c r="BF45" s="91">
        <f>'QTR Raw'!Z21+'QTR Raw'!Z20+'QTR Raw'!Z19+'QTR Raw'!Z13+'QTR Raw'!Z7</f>
        <v>0</v>
      </c>
      <c r="BG45" s="91">
        <f>'QTR Raw'!AA21+'QTR Raw'!AA20+'QTR Raw'!AA19+'QTR Raw'!AA13+'QTR Raw'!AA7</f>
        <v>0</v>
      </c>
      <c r="BH45" s="91">
        <f>'QTR Raw'!AB21+'QTR Raw'!AB20+'QTR Raw'!AB19+'QTR Raw'!AB13+'QTR Raw'!AB7</f>
        <v>0</v>
      </c>
      <c r="BI45" s="91">
        <f>'QTR Raw'!AC21+'QTR Raw'!AC20+'QTR Raw'!AC19+'QTR Raw'!AC13+'QTR Raw'!AC7</f>
        <v>0</v>
      </c>
      <c r="BJ45" s="91">
        <f>'QTR Raw'!AD21+'QTR Raw'!AD20+'QTR Raw'!AD19+'QTR Raw'!AD13+'QTR Raw'!AD7</f>
        <v>0</v>
      </c>
      <c r="BK45" s="91">
        <f>'QTR Raw'!AE21+'QTR Raw'!AE20+'QTR Raw'!AE19+'QTR Raw'!AE13+'QTR Raw'!AE7</f>
        <v>0</v>
      </c>
      <c r="BL45" s="91">
        <f>'QTR Raw'!AF21+'QTR Raw'!AF20+'QTR Raw'!AF19+'QTR Raw'!AF13+'QTR Raw'!AF7</f>
        <v>0</v>
      </c>
      <c r="BM45" s="91">
        <f>'QTR Raw'!AG21+'QTR Raw'!AG20+'QTR Raw'!AG19+'QTR Raw'!AG13+'QTR Raw'!AG7</f>
        <v>0</v>
      </c>
      <c r="BN45" s="91">
        <f>'QTR Raw'!AH21+'QTR Raw'!AH20+'QTR Raw'!AH19+'QTR Raw'!AH13+'QTR Raw'!AH7</f>
        <v>0</v>
      </c>
      <c r="BO45" s="91">
        <f>'QTR Raw'!AI21+'QTR Raw'!AI20+'QTR Raw'!AI19+'QTR Raw'!AI13+'QTR Raw'!AI7</f>
        <v>0</v>
      </c>
      <c r="BP45" s="91">
        <f>'QTR Raw'!AJ21+'QTR Raw'!AJ20+'QTR Raw'!AJ19+'QTR Raw'!AJ13+'QTR Raw'!AJ7</f>
        <v>0</v>
      </c>
      <c r="BQ45" s="91">
        <f>'QTR Raw'!AK21+'QTR Raw'!AK20+'QTR Raw'!AK19+'QTR Raw'!AK13+'QTR Raw'!AK7</f>
        <v>0</v>
      </c>
      <c r="BR45" s="91">
        <f>'QTR Raw'!AL21+'QTR Raw'!AL20+'QTR Raw'!AL19+'QTR Raw'!AL13+'QTR Raw'!AL7</f>
        <v>0</v>
      </c>
      <c r="BS45" s="91">
        <f>'QTR Raw'!AM21+'QTR Raw'!AM20+'QTR Raw'!AM19+'QTR Raw'!AM13+'QTR Raw'!AM7</f>
        <v>0</v>
      </c>
      <c r="BT45" s="91">
        <f>'QTR Raw'!AN21+'QTR Raw'!AN20+'QTR Raw'!AN19+'QTR Raw'!AN13+'QTR Raw'!AN7</f>
        <v>0</v>
      </c>
      <c r="BU45" s="91">
        <f>'QTR Raw'!AO21+'QTR Raw'!AO20+'QTR Raw'!AO19+'QTR Raw'!AO13+'QTR Raw'!AO7</f>
        <v>0</v>
      </c>
      <c r="BV45" s="91">
        <f>'QTR Raw'!AP21+'QTR Raw'!AP20+'QTR Raw'!AP19+'QTR Raw'!AP13+'QTR Raw'!AP7</f>
        <v>0</v>
      </c>
      <c r="BW45" s="91">
        <f>'QTR Raw'!AQ21+'QTR Raw'!AQ20+'QTR Raw'!AQ19+'QTR Raw'!AQ13+'QTR Raw'!AQ7</f>
        <v>0</v>
      </c>
      <c r="BX45" s="91">
        <f>'QTR Raw'!AR21+'QTR Raw'!AR20+'QTR Raw'!AR19+'QTR Raw'!AR13+'QTR Raw'!AR7</f>
        <v>0</v>
      </c>
      <c r="BY45" s="91">
        <f>'QTR Raw'!AS21+'QTR Raw'!AS20+'QTR Raw'!AS19+'QTR Raw'!AS13+'QTR Raw'!AS7</f>
        <v>0</v>
      </c>
      <c r="BZ45" s="91">
        <f>'QTR Raw'!AT21+'QTR Raw'!AT20+'QTR Raw'!AT19+'QTR Raw'!AT13+'QTR Raw'!AT7</f>
        <v>0</v>
      </c>
      <c r="CA45" s="91">
        <f>'QTR Raw'!AU21+'QTR Raw'!AU20+'QTR Raw'!AU19+'QTR Raw'!AU13+'QTR Raw'!AU7</f>
        <v>0</v>
      </c>
      <c r="CB45" s="91">
        <f>'QTR Raw'!AV21+'QTR Raw'!AV20+'QTR Raw'!AV19+'QTR Raw'!AV13+'QTR Raw'!AV7</f>
        <v>0</v>
      </c>
      <c r="CC45" s="91">
        <f>'QTR Raw'!AW21+'QTR Raw'!AW20+'QTR Raw'!AW19+'QTR Raw'!AW13+'QTR Raw'!AW7</f>
        <v>0</v>
      </c>
      <c r="CD45" s="91">
        <f>'QTR Raw'!AX21+'QTR Raw'!AX20+'QTR Raw'!AX19+'QTR Raw'!AX13+'QTR Raw'!AX7</f>
        <v>0</v>
      </c>
      <c r="CE45" s="91">
        <f>'QTR Raw'!AY21+'QTR Raw'!AY20+'QTR Raw'!AY19+'QTR Raw'!AY13+'QTR Raw'!AY7</f>
        <v>0</v>
      </c>
      <c r="CF45" s="91">
        <f>'QTR Raw'!AZ21+'QTR Raw'!AZ20+'QTR Raw'!AZ19+'QTR Raw'!AZ13+'QTR Raw'!AZ7</f>
        <v>0</v>
      </c>
      <c r="CG45" s="91">
        <f>'QTR Raw'!BA21+'QTR Raw'!BA20+'QTR Raw'!BA19+'QTR Raw'!BA13+'QTR Raw'!BA7</f>
        <v>0</v>
      </c>
      <c r="CH45" s="91">
        <f>'QTR Raw'!BB21+'QTR Raw'!BB20+'QTR Raw'!BB19+'QTR Raw'!BB13+'QTR Raw'!BB7</f>
        <v>0</v>
      </c>
      <c r="CI45" s="91">
        <f>'QTR Raw'!BC21+'QTR Raw'!BC20+'QTR Raw'!BC19+'QTR Raw'!BC13+'QTR Raw'!BC7</f>
        <v>0</v>
      </c>
      <c r="CJ45" s="91">
        <f>'QTR Raw'!BD21+'QTR Raw'!BD20+'QTR Raw'!BD19+'QTR Raw'!BD13+'QTR Raw'!BD7</f>
        <v>0</v>
      </c>
      <c r="CK45" s="91">
        <f>'QTR Raw'!BE21+'QTR Raw'!BE20+'QTR Raw'!BE19+'QTR Raw'!BE13+'QTR Raw'!BE7</f>
        <v>0</v>
      </c>
      <c r="CL45" s="91">
        <f>'QTR Raw'!BF21+'QTR Raw'!BF20+'QTR Raw'!BF19+'QTR Raw'!BF13+'QTR Raw'!BF7</f>
        <v>0</v>
      </c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D45" s="119"/>
      <c r="DE45" s="91">
        <v>0</v>
      </c>
    </row>
    <row r="46" spans="1:109" s="25" customFormat="1" x14ac:dyDescent="0.2">
      <c r="A46" s="25" t="s">
        <v>431</v>
      </c>
      <c r="B46" s="25">
        <f>+B44-B45</f>
        <v>183.57060000000001</v>
      </c>
      <c r="C46" s="25">
        <f>+C44-C45</f>
        <v>208.06</v>
      </c>
      <c r="D46" s="25">
        <f t="shared" ref="D46:U46" si="91">+D44-D45</f>
        <v>230.52879999999999</v>
      </c>
      <c r="E46" s="25">
        <f t="shared" si="91"/>
        <v>242.84549999999999</v>
      </c>
      <c r="F46" s="25">
        <f t="shared" si="91"/>
        <v>304.56449999999995</v>
      </c>
      <c r="G46" s="25">
        <f t="shared" si="91"/>
        <v>359.90139999999997</v>
      </c>
      <c r="H46" s="25">
        <f t="shared" si="91"/>
        <v>407.50360000000001</v>
      </c>
      <c r="I46" s="25">
        <f t="shared" si="91"/>
        <v>466.47719999999998</v>
      </c>
      <c r="J46" s="25">
        <f t="shared" si="91"/>
        <v>598.09939999999995</v>
      </c>
      <c r="K46" s="25">
        <f t="shared" si="91"/>
        <v>565.30300000000011</v>
      </c>
      <c r="L46" s="25">
        <f t="shared" si="91"/>
        <v>610.221</v>
      </c>
      <c r="M46" s="25">
        <f t="shared" si="91"/>
        <v>751.91300000000001</v>
      </c>
      <c r="N46" s="25">
        <f t="shared" si="91"/>
        <v>715.38200000000006</v>
      </c>
      <c r="O46" s="25">
        <f t="shared" si="91"/>
        <v>732.73500000000001</v>
      </c>
      <c r="P46" s="25">
        <f t="shared" si="91"/>
        <v>803.673</v>
      </c>
      <c r="Q46" s="25">
        <f t="shared" si="91"/>
        <v>820.72699999999998</v>
      </c>
      <c r="R46" s="25">
        <f t="shared" si="91"/>
        <v>825.66600000000005</v>
      </c>
      <c r="S46" s="25">
        <f t="shared" si="91"/>
        <v>944.33699999999999</v>
      </c>
      <c r="T46" s="25">
        <f t="shared" si="91"/>
        <v>1093.066</v>
      </c>
      <c r="U46" s="25">
        <f t="shared" si="91"/>
        <v>1293.9079999999999</v>
      </c>
      <c r="V46" s="25">
        <f t="shared" ref="V46:AA46" si="92">+V44-V45</f>
        <v>1208.115</v>
      </c>
      <c r="W46" s="25">
        <f t="shared" si="92"/>
        <v>1497.2909999999999</v>
      </c>
      <c r="X46" s="25">
        <f t="shared" si="92"/>
        <v>1821.96</v>
      </c>
      <c r="Y46" s="25">
        <f t="shared" si="92"/>
        <v>2247.2379999999998</v>
      </c>
      <c r="Z46" s="25">
        <f t="shared" si="92"/>
        <v>2533.0860000000002</v>
      </c>
      <c r="AA46" s="25">
        <f t="shared" si="92"/>
        <v>2695.7280000000001</v>
      </c>
      <c r="AB46" s="26">
        <f t="shared" ref="AB46:AD46" si="93">+AB44-AB45</f>
        <v>3055.8940249956063</v>
      </c>
      <c r="AC46" s="26">
        <f t="shared" si="93"/>
        <v>3455.6672942745499</v>
      </c>
      <c r="AD46" s="26">
        <f t="shared" si="93"/>
        <v>3797.582834267776</v>
      </c>
      <c r="AE46" s="26">
        <f t="shared" ref="AE46" si="94">+AE44-AE45</f>
        <v>4176.3333737708299</v>
      </c>
      <c r="AI46" s="25">
        <f t="shared" ref="AI46" si="95">+AI44-AI45</f>
        <v>187.38</v>
      </c>
      <c r="AJ46" s="25">
        <f t="shared" ref="AJ46" si="96">+AJ44-AJ45</f>
        <v>169.74</v>
      </c>
      <c r="AK46" s="25">
        <f t="shared" ref="AK46:AM46" si="97">+AK44-AK45</f>
        <v>194.58</v>
      </c>
      <c r="AL46" s="25">
        <f t="shared" si="97"/>
        <v>163.79</v>
      </c>
      <c r="AM46" s="25">
        <f t="shared" si="97"/>
        <v>195.22</v>
      </c>
      <c r="AN46" s="25">
        <f t="shared" ref="AN46:AO46" si="98">+AN44-AN45</f>
        <v>190.24</v>
      </c>
      <c r="AO46" s="25">
        <f t="shared" si="98"/>
        <v>182.09</v>
      </c>
      <c r="AP46" s="25">
        <f t="shared" ref="AP46:AW46" si="99">+AP44-AP45</f>
        <v>173.37</v>
      </c>
      <c r="AQ46" s="25">
        <f t="shared" si="99"/>
        <v>199.35</v>
      </c>
      <c r="AR46" s="25">
        <f t="shared" si="99"/>
        <v>198.89000000000001</v>
      </c>
      <c r="AS46" s="25">
        <f t="shared" si="99"/>
        <v>230.09</v>
      </c>
      <c r="AT46" s="25">
        <f t="shared" si="99"/>
        <v>189.26999999999998</v>
      </c>
      <c r="AU46" s="25">
        <f t="shared" si="99"/>
        <v>200.10999999999999</v>
      </c>
      <c r="AV46" s="25">
        <f t="shared" si="99"/>
        <v>185.78</v>
      </c>
      <c r="AW46" s="25">
        <f t="shared" si="99"/>
        <v>243.64999999999998</v>
      </c>
      <c r="AX46" s="25">
        <f t="shared" ref="AX46:CF46" si="100">+AX44-AX45</f>
        <v>210.1</v>
      </c>
      <c r="AY46" s="25">
        <f t="shared" si="100"/>
        <v>203.03</v>
      </c>
      <c r="AZ46" s="25">
        <f t="shared" si="100"/>
        <v>160.99</v>
      </c>
      <c r="BA46" s="25">
        <f t="shared" si="100"/>
        <v>250.66</v>
      </c>
      <c r="BB46" s="25">
        <f t="shared" si="100"/>
        <v>205.4</v>
      </c>
      <c r="BC46" s="25">
        <f t="shared" si="100"/>
        <v>210.2</v>
      </c>
      <c r="BD46" s="25">
        <f t="shared" si="100"/>
        <v>200.5</v>
      </c>
      <c r="BE46" s="25">
        <f t="shared" si="100"/>
        <v>328.2</v>
      </c>
      <c r="BF46" s="25">
        <f t="shared" si="100"/>
        <v>212.5</v>
      </c>
      <c r="BG46" s="25">
        <f t="shared" si="100"/>
        <v>253.6</v>
      </c>
      <c r="BH46" s="25">
        <f t="shared" si="100"/>
        <v>280.39999999999998</v>
      </c>
      <c r="BI46" s="25">
        <f t="shared" si="100"/>
        <v>346.6</v>
      </c>
      <c r="BJ46" s="25">
        <f t="shared" si="100"/>
        <v>289.3</v>
      </c>
      <c r="BK46" s="25">
        <f t="shared" si="100"/>
        <v>301.8</v>
      </c>
      <c r="BL46" s="25">
        <f t="shared" si="100"/>
        <v>365.8</v>
      </c>
      <c r="BM46" s="25">
        <f t="shared" si="100"/>
        <v>337</v>
      </c>
      <c r="BN46" s="25">
        <f t="shared" si="100"/>
        <v>257</v>
      </c>
      <c r="BO46" s="25">
        <f t="shared" si="100"/>
        <v>218.9</v>
      </c>
      <c r="BP46" s="25">
        <f t="shared" si="100"/>
        <v>362.3</v>
      </c>
      <c r="BQ46" s="25">
        <f t="shared" si="100"/>
        <v>369.9</v>
      </c>
      <c r="BR46" s="25">
        <f t="shared" si="100"/>
        <v>381.6</v>
      </c>
      <c r="BS46" s="25">
        <f t="shared" si="100"/>
        <v>303</v>
      </c>
      <c r="BT46" s="25">
        <f t="shared" si="100"/>
        <v>368.1</v>
      </c>
      <c r="BU46" s="25">
        <f t="shared" si="100"/>
        <v>444.6</v>
      </c>
      <c r="BV46" s="25">
        <f t="shared" si="100"/>
        <v>417.7</v>
      </c>
      <c r="BW46" s="25">
        <f t="shared" si="100"/>
        <v>448.4</v>
      </c>
      <c r="BX46" s="25">
        <f t="shared" si="100"/>
        <v>431.3</v>
      </c>
      <c r="BY46" s="25">
        <f t="shared" si="100"/>
        <v>524.6</v>
      </c>
      <c r="BZ46" s="25">
        <f t="shared" si="100"/>
        <v>489.6</v>
      </c>
      <c r="CA46" s="25">
        <f t="shared" si="100"/>
        <v>591.29999999999995</v>
      </c>
      <c r="CB46" s="25">
        <f t="shared" si="100"/>
        <v>563.70000000000005</v>
      </c>
      <c r="CC46" s="25">
        <f t="shared" si="100"/>
        <v>602.6</v>
      </c>
      <c r="CD46" s="25">
        <f t="shared" si="100"/>
        <v>544.20000000000005</v>
      </c>
      <c r="CE46" s="25">
        <f t="shared" si="100"/>
        <v>646</v>
      </c>
      <c r="CF46" s="25">
        <f t="shared" si="100"/>
        <v>616.5</v>
      </c>
      <c r="CG46" s="25">
        <f t="shared" ref="CG46:CH46" si="101">+CG44-CG45</f>
        <v>726.4</v>
      </c>
      <c r="CH46" s="25">
        <f t="shared" si="101"/>
        <v>595.4</v>
      </c>
      <c r="CI46" s="25">
        <f t="shared" ref="CI46:CJ46" si="102">+CI44-CI45</f>
        <v>666.7</v>
      </c>
      <c r="CJ46" s="25">
        <f t="shared" si="102"/>
        <v>649.6</v>
      </c>
      <c r="CK46" s="25">
        <f t="shared" ref="CK46:CL46" si="103">+CK44-CK45</f>
        <v>784</v>
      </c>
      <c r="CL46" s="25">
        <f t="shared" si="103"/>
        <v>601.29999999999995</v>
      </c>
      <c r="CM46" s="26">
        <f t="shared" ref="CM46:DA46" si="104">+CM44-CM45</f>
        <v>767.6552989174802</v>
      </c>
      <c r="CN46" s="26">
        <f t="shared" si="104"/>
        <v>832.26116879981328</v>
      </c>
      <c r="CO46" s="26">
        <f t="shared" si="104"/>
        <v>854.67755727831297</v>
      </c>
      <c r="CP46" s="26">
        <f t="shared" si="104"/>
        <v>764.1125825501922</v>
      </c>
      <c r="CQ46" s="26">
        <f t="shared" si="104"/>
        <v>840.73579424369086</v>
      </c>
      <c r="CR46" s="26">
        <f t="shared" si="104"/>
        <v>912.80503174480555</v>
      </c>
      <c r="CS46" s="26">
        <f t="shared" si="104"/>
        <v>938.01388573586155</v>
      </c>
      <c r="CT46" s="26">
        <f t="shared" si="104"/>
        <v>839.21833332798906</v>
      </c>
      <c r="CU46" s="26">
        <f t="shared" si="104"/>
        <v>923.79228834311959</v>
      </c>
      <c r="CV46" s="26">
        <f t="shared" si="104"/>
        <v>1003.3452213437899</v>
      </c>
      <c r="CW46" s="26">
        <f t="shared" si="104"/>
        <v>1031.2269912528773</v>
      </c>
      <c r="CX46" s="26">
        <f t="shared" si="104"/>
        <v>922.77984100493109</v>
      </c>
      <c r="CY46" s="26">
        <f t="shared" si="104"/>
        <v>1015.8907972710613</v>
      </c>
      <c r="CZ46" s="26">
        <f t="shared" si="104"/>
        <v>1103.4754137601974</v>
      </c>
      <c r="DA46" s="26">
        <f t="shared" si="104"/>
        <v>1134.1873217346401</v>
      </c>
      <c r="DD46" s="120"/>
      <c r="DE46" s="25">
        <v>2695.7</v>
      </c>
    </row>
    <row r="47" spans="1:109" s="38" customFormat="1" x14ac:dyDescent="0.2">
      <c r="A47" s="38" t="s">
        <v>484</v>
      </c>
      <c r="C47" s="38">
        <f t="shared" ref="C47" si="105">C46/B46-1</f>
        <v>0.13340589397212832</v>
      </c>
      <c r="D47" s="38">
        <f t="shared" ref="D47" si="106">D46/C46-1</f>
        <v>0.10799192540613278</v>
      </c>
      <c r="E47" s="38">
        <f t="shared" ref="E47" si="107">E46/D46-1</f>
        <v>5.3428031551806088E-2</v>
      </c>
      <c r="F47" s="38">
        <f t="shared" ref="F47:R47" si="108">F46/E46-1</f>
        <v>0.25414924303723962</v>
      </c>
      <c r="G47" s="38">
        <f t="shared" si="108"/>
        <v>0.18169189120859475</v>
      </c>
      <c r="H47" s="38">
        <f t="shared" si="108"/>
        <v>0.13226455912647195</v>
      </c>
      <c r="I47" s="38">
        <f t="shared" si="108"/>
        <v>0.14471921229652929</v>
      </c>
      <c r="J47" s="38">
        <f t="shared" si="108"/>
        <v>0.28216212925304807</v>
      </c>
      <c r="K47" s="38">
        <f>K46/J46-1</f>
        <v>-5.483436365259664E-2</v>
      </c>
      <c r="L47" s="38">
        <f t="shared" si="108"/>
        <v>7.945827282006257E-2</v>
      </c>
      <c r="M47" s="38">
        <f t="shared" si="108"/>
        <v>0.2321978430765248</v>
      </c>
      <c r="N47" s="38">
        <f t="shared" si="108"/>
        <v>-4.8584078211175941E-2</v>
      </c>
      <c r="O47" s="38">
        <f t="shared" si="108"/>
        <v>2.4256970401827171E-2</v>
      </c>
      <c r="P47" s="38">
        <f t="shared" si="108"/>
        <v>9.6812626665847779E-2</v>
      </c>
      <c r="Q47" s="38">
        <f t="shared" si="108"/>
        <v>2.1220073338285461E-2</v>
      </c>
      <c r="R47" s="38">
        <f t="shared" si="108"/>
        <v>6.0178354069015949E-3</v>
      </c>
      <c r="S47" s="38">
        <f t="shared" ref="S47:AA47" si="109">S46/R46-1</f>
        <v>0.14372760898474679</v>
      </c>
      <c r="T47" s="38">
        <f t="shared" si="109"/>
        <v>0.15749568215584064</v>
      </c>
      <c r="U47" s="38">
        <f t="shared" si="109"/>
        <v>0.18374187834952305</v>
      </c>
      <c r="V47" s="38">
        <f t="shared" si="109"/>
        <v>-6.6305332372935233E-2</v>
      </c>
      <c r="W47" s="38">
        <f t="shared" si="109"/>
        <v>0.23936131907972324</v>
      </c>
      <c r="X47" s="38">
        <f t="shared" si="109"/>
        <v>0.21683760872135083</v>
      </c>
      <c r="Y47" s="38">
        <f t="shared" si="109"/>
        <v>0.23341785769171652</v>
      </c>
      <c r="Z47" s="38">
        <f t="shared" si="109"/>
        <v>0.12719970025426797</v>
      </c>
      <c r="AA47" s="38">
        <f t="shared" si="109"/>
        <v>6.4207058110147042E-2</v>
      </c>
      <c r="AB47" s="39">
        <f t="shared" ref="AB47" si="110">AB46/AA46-1</f>
        <v>0.13360621880086065</v>
      </c>
      <c r="AC47" s="39">
        <f t="shared" ref="AC47" si="111">AC46/AB46-1</f>
        <v>0.13082039691462088</v>
      </c>
      <c r="AD47" s="39">
        <f t="shared" ref="AD47" si="112">AD46/AC46-1</f>
        <v>9.8943419859811588E-2</v>
      </c>
      <c r="AE47" s="39">
        <f t="shared" ref="AE47" si="113">AE46/AD46-1</f>
        <v>9.9734635433194496E-2</v>
      </c>
      <c r="AM47" s="38">
        <f t="shared" ref="AM47:CI47" si="114">+IF(AI46&lt;0,1-AM46/AI46,AM46/AI46-1)</f>
        <v>4.1840111004376235E-2</v>
      </c>
      <c r="AN47" s="38">
        <f t="shared" si="114"/>
        <v>0.12077294685990347</v>
      </c>
      <c r="AO47" s="38">
        <f t="shared" si="114"/>
        <v>-6.4189536437455064E-2</v>
      </c>
      <c r="AP47" s="38">
        <f t="shared" si="114"/>
        <v>5.8489529275291607E-2</v>
      </c>
      <c r="AQ47" s="38">
        <f t="shared" si="114"/>
        <v>2.1155619301301165E-2</v>
      </c>
      <c r="AR47" s="38">
        <f t="shared" si="114"/>
        <v>4.5468881412952022E-2</v>
      </c>
      <c r="AS47" s="38">
        <f t="shared" si="114"/>
        <v>0.26360590916579718</v>
      </c>
      <c r="AT47" s="38">
        <f t="shared" si="114"/>
        <v>9.1711368748918387E-2</v>
      </c>
      <c r="AU47" s="38">
        <f t="shared" si="114"/>
        <v>3.8123902683722122E-3</v>
      </c>
      <c r="AV47" s="38">
        <f t="shared" si="114"/>
        <v>-6.5915832872442071E-2</v>
      </c>
      <c r="AW47" s="38">
        <f t="shared" si="114"/>
        <v>5.8933460819679206E-2</v>
      </c>
      <c r="AX47" s="38">
        <f t="shared" si="114"/>
        <v>0.1100544196121942</v>
      </c>
      <c r="AY47" s="38">
        <f t="shared" si="114"/>
        <v>1.459197441407234E-2</v>
      </c>
      <c r="AZ47" s="38">
        <f t="shared" si="114"/>
        <v>-0.13343739907417373</v>
      </c>
      <c r="BA47" s="38">
        <f t="shared" si="114"/>
        <v>2.8770777754976384E-2</v>
      </c>
      <c r="BB47" s="38">
        <f t="shared" si="114"/>
        <v>-2.237029985721084E-2</v>
      </c>
      <c r="BC47" s="38">
        <f t="shared" si="114"/>
        <v>3.5314978082056747E-2</v>
      </c>
      <c r="BD47" s="38">
        <f t="shared" si="114"/>
        <v>0.24541897012236769</v>
      </c>
      <c r="BE47" s="38">
        <f t="shared" si="114"/>
        <v>0.30934333359929789</v>
      </c>
      <c r="BF47" s="38">
        <f t="shared" si="114"/>
        <v>3.456669912366106E-2</v>
      </c>
      <c r="BG47" s="38">
        <f t="shared" si="114"/>
        <v>0.20647002854424357</v>
      </c>
      <c r="BH47" s="38">
        <f t="shared" si="114"/>
        <v>0.3985037406483789</v>
      </c>
      <c r="BI47" s="38">
        <f t="shared" si="114"/>
        <v>5.6063375990250019E-2</v>
      </c>
      <c r="BJ47" s="38">
        <f t="shared" si="114"/>
        <v>0.36141176470588232</v>
      </c>
      <c r="BK47" s="38">
        <f t="shared" si="114"/>
        <v>0.19006309148264999</v>
      </c>
      <c r="BL47" s="38">
        <f t="shared" si="114"/>
        <v>0.30456490727532115</v>
      </c>
      <c r="BM47" s="38">
        <f t="shared" si="114"/>
        <v>-2.7697634160415485E-2</v>
      </c>
      <c r="BN47" s="38">
        <f t="shared" si="114"/>
        <v>-0.11164880746629802</v>
      </c>
      <c r="BO47" s="38">
        <f t="shared" si="114"/>
        <v>-0.27468522200132539</v>
      </c>
      <c r="BP47" s="38">
        <f t="shared" si="114"/>
        <v>-9.5680699835976046E-3</v>
      </c>
      <c r="BQ47" s="38">
        <f t="shared" si="114"/>
        <v>9.7626112759643835E-2</v>
      </c>
      <c r="BR47" s="38">
        <f t="shared" si="114"/>
        <v>0.48482490272373546</v>
      </c>
      <c r="BS47" s="38">
        <f t="shared" si="114"/>
        <v>0.38419369575148465</v>
      </c>
      <c r="BT47" s="38">
        <f t="shared" si="114"/>
        <v>1.6008832459287969E-2</v>
      </c>
      <c r="BU47" s="38">
        <f t="shared" si="114"/>
        <v>0.20194647201946481</v>
      </c>
      <c r="BV47" s="38">
        <f t="shared" si="114"/>
        <v>9.460167714884693E-2</v>
      </c>
      <c r="BW47" s="38">
        <f t="shared" si="114"/>
        <v>0.4798679867986797</v>
      </c>
      <c r="BX47" s="38">
        <f t="shared" si="114"/>
        <v>0.17169247487095896</v>
      </c>
      <c r="BY47" s="38">
        <f t="shared" si="114"/>
        <v>0.17993702204228512</v>
      </c>
      <c r="BZ47" s="38">
        <f t="shared" si="114"/>
        <v>0.17213310988747921</v>
      </c>
      <c r="CA47" s="38">
        <f t="shared" si="114"/>
        <v>0.31868867082961638</v>
      </c>
      <c r="CB47" s="38">
        <f t="shared" si="114"/>
        <v>0.30697890099698588</v>
      </c>
      <c r="CC47" s="38">
        <f t="shared" si="114"/>
        <v>0.14868471216164703</v>
      </c>
      <c r="CD47" s="38">
        <f t="shared" si="114"/>
        <v>0.1115196078431373</v>
      </c>
      <c r="CE47" s="38">
        <f t="shared" si="114"/>
        <v>9.2508033147302715E-2</v>
      </c>
      <c r="CF47" s="38">
        <f t="shared" si="114"/>
        <v>9.3666844065992461E-2</v>
      </c>
      <c r="CG47" s="38">
        <f t="shared" si="114"/>
        <v>0.20544307998672418</v>
      </c>
      <c r="CH47" s="38">
        <f t="shared" si="114"/>
        <v>9.4083057699375194E-2</v>
      </c>
      <c r="CI47" s="38">
        <f t="shared" si="114"/>
        <v>3.2043343653250789E-2</v>
      </c>
      <c r="CJ47" s="38">
        <f>+IF(CF46&lt;0,1-CJ46/CF46,CJ46/CF46-1)</f>
        <v>5.369018653690194E-2</v>
      </c>
      <c r="CK47" s="38">
        <f>+IF(CG46&lt;0,1-CK46/CG46,CK46/CG46-1)</f>
        <v>7.9295154185021977E-2</v>
      </c>
      <c r="CL47" s="38">
        <f>+IF(CH46&lt;0,1-CL46/CH46,CL46/CH46-1)</f>
        <v>9.9093046691298703E-3</v>
      </c>
      <c r="CM47" s="39">
        <f t="shared" ref="CM47:DA47" si="115">+IF(CI46&lt;0,1-CM46/CI46,CM46/CI46-1)</f>
        <v>0.15142537710736481</v>
      </c>
      <c r="CN47" s="39">
        <f t="shared" si="115"/>
        <v>0.2811902229061165</v>
      </c>
      <c r="CO47" s="39">
        <f t="shared" si="115"/>
        <v>9.0149945508052332E-2</v>
      </c>
      <c r="CP47" s="39">
        <f t="shared" si="115"/>
        <v>0.27076764102809281</v>
      </c>
      <c r="CQ47" s="39">
        <f t="shared" si="115"/>
        <v>9.519962335864296E-2</v>
      </c>
      <c r="CR47" s="39">
        <f t="shared" si="115"/>
        <v>9.6777148765865073E-2</v>
      </c>
      <c r="CS47" s="39">
        <f t="shared" si="115"/>
        <v>9.7506162116775208E-2</v>
      </c>
      <c r="CT47" s="39">
        <f t="shared" si="115"/>
        <v>9.8291472347091569E-2</v>
      </c>
      <c r="CU47" s="39">
        <f t="shared" si="115"/>
        <v>9.8790243817494128E-2</v>
      </c>
      <c r="CV47" s="39">
        <f t="shared" si="115"/>
        <v>9.9188968564205782E-2</v>
      </c>
      <c r="CW47" s="39">
        <f t="shared" si="115"/>
        <v>9.9372841846462778E-2</v>
      </c>
      <c r="CX47" s="39">
        <f t="shared" si="115"/>
        <v>9.9570641343799116E-2</v>
      </c>
      <c r="CY47" s="39">
        <f t="shared" si="115"/>
        <v>9.9696122266972109E-2</v>
      </c>
      <c r="CZ47" s="39">
        <f t="shared" si="115"/>
        <v>9.9796351531232785E-2</v>
      </c>
      <c r="DA47" s="39">
        <f t="shared" si="115"/>
        <v>9.9842548105410156E-2</v>
      </c>
      <c r="DD47" s="121"/>
      <c r="DE47" s="38">
        <v>6.4196004399376783E-2</v>
      </c>
    </row>
    <row r="48" spans="1:109" s="38" customFormat="1" x14ac:dyDescent="0.2">
      <c r="A48" s="38" t="s">
        <v>446</v>
      </c>
      <c r="AB48" s="39"/>
      <c r="AC48" s="39"/>
      <c r="AD48" s="39"/>
      <c r="AE48" s="39"/>
      <c r="AJ48" s="38">
        <f t="shared" ref="AJ48:AL48" si="116">+IF(AI46&lt;0,1-AJ46/AI46,AJ46/AI46-1)</f>
        <v>-9.4140249759846251E-2</v>
      </c>
      <c r="AK48" s="38">
        <f t="shared" si="116"/>
        <v>0.14634146341463405</v>
      </c>
      <c r="AL48" s="38">
        <f t="shared" si="116"/>
        <v>-0.15823825675814585</v>
      </c>
      <c r="AM48" s="38">
        <f t="shared" ref="AM48:CI48" si="117">+IF(AL46&lt;0,1-AM46/AL46,AM46/AL46-1)</f>
        <v>0.19189205690213074</v>
      </c>
      <c r="AN48" s="38">
        <f t="shared" si="117"/>
        <v>-2.5509681385103899E-2</v>
      </c>
      <c r="AO48" s="38">
        <f t="shared" si="117"/>
        <v>-4.2840622371741022E-2</v>
      </c>
      <c r="AP48" s="38">
        <f t="shared" si="117"/>
        <v>-4.7888406831786523E-2</v>
      </c>
      <c r="AQ48" s="38">
        <f t="shared" si="117"/>
        <v>0.14985291572936488</v>
      </c>
      <c r="AR48" s="38">
        <f t="shared" si="117"/>
        <v>-2.3074993729620408E-3</v>
      </c>
      <c r="AS48" s="38">
        <f t="shared" si="117"/>
        <v>0.15687063200764229</v>
      </c>
      <c r="AT48" s="38">
        <f t="shared" si="117"/>
        <v>-0.17740884001912305</v>
      </c>
      <c r="AU48" s="38">
        <f t="shared" si="117"/>
        <v>5.7272679241295421E-2</v>
      </c>
      <c r="AV48" s="38">
        <f t="shared" si="117"/>
        <v>-7.1610614162210706E-2</v>
      </c>
      <c r="AW48" s="38">
        <f t="shared" si="117"/>
        <v>0.31149747012595541</v>
      </c>
      <c r="AX48" s="38">
        <f t="shared" si="117"/>
        <v>-0.13769751693002252</v>
      </c>
      <c r="AY48" s="38">
        <f t="shared" si="117"/>
        <v>-3.3650642551166121E-2</v>
      </c>
      <c r="AZ48" s="38">
        <f t="shared" si="117"/>
        <v>-0.20706299561641128</v>
      </c>
      <c r="BA48" s="38">
        <f t="shared" si="117"/>
        <v>0.55699111746071184</v>
      </c>
      <c r="BB48" s="38">
        <f t="shared" si="117"/>
        <v>-0.18056331285406524</v>
      </c>
      <c r="BC48" s="38">
        <f t="shared" si="117"/>
        <v>2.3369036027263812E-2</v>
      </c>
      <c r="BD48" s="38">
        <f t="shared" si="117"/>
        <v>-4.6146527117031377E-2</v>
      </c>
      <c r="BE48" s="38">
        <f t="shared" si="117"/>
        <v>0.63690773067331663</v>
      </c>
      <c r="BF48" s="38">
        <f t="shared" si="117"/>
        <v>-0.35252894576477756</v>
      </c>
      <c r="BG48" s="38">
        <f t="shared" si="117"/>
        <v>0.19341176470588239</v>
      </c>
      <c r="BH48" s="38">
        <f t="shared" si="117"/>
        <v>0.10567823343848581</v>
      </c>
      <c r="BI48" s="38">
        <f t="shared" si="117"/>
        <v>0.23609129814550656</v>
      </c>
      <c r="BJ48" s="38">
        <f t="shared" si="117"/>
        <v>-0.16532025389497984</v>
      </c>
      <c r="BK48" s="38">
        <f t="shared" si="117"/>
        <v>4.3207742827514606E-2</v>
      </c>
      <c r="BL48" s="38">
        <f t="shared" si="117"/>
        <v>0.21206096752816439</v>
      </c>
      <c r="BM48" s="38">
        <f t="shared" si="117"/>
        <v>-7.8731547293603099E-2</v>
      </c>
      <c r="BN48" s="38">
        <f t="shared" si="117"/>
        <v>-0.23738872403560829</v>
      </c>
      <c r="BO48" s="38">
        <f t="shared" si="117"/>
        <v>-0.14824902723735411</v>
      </c>
      <c r="BP48" s="38">
        <f t="shared" si="117"/>
        <v>0.65509365006852449</v>
      </c>
      <c r="BQ48" s="38">
        <f t="shared" si="117"/>
        <v>2.0977090808721899E-2</v>
      </c>
      <c r="BR48" s="38">
        <f t="shared" si="117"/>
        <v>3.1630170316301776E-2</v>
      </c>
      <c r="BS48" s="38">
        <f t="shared" si="117"/>
        <v>-0.20597484276729561</v>
      </c>
      <c r="BT48" s="38">
        <f t="shared" si="117"/>
        <v>0.21485148514851482</v>
      </c>
      <c r="BU48" s="38">
        <f t="shared" si="117"/>
        <v>0.2078239608801955</v>
      </c>
      <c r="BV48" s="38">
        <f t="shared" si="117"/>
        <v>-6.050382366171847E-2</v>
      </c>
      <c r="BW48" s="38">
        <f t="shared" si="117"/>
        <v>7.3497725640411682E-2</v>
      </c>
      <c r="BX48" s="38">
        <f t="shared" si="117"/>
        <v>-3.8135593220338881E-2</v>
      </c>
      <c r="BY48" s="38">
        <f t="shared" si="117"/>
        <v>0.21632274518896355</v>
      </c>
      <c r="BZ48" s="38">
        <f t="shared" si="117"/>
        <v>-6.6717499046892836E-2</v>
      </c>
      <c r="CA48" s="38">
        <f t="shared" si="117"/>
        <v>0.20772058823529393</v>
      </c>
      <c r="CB48" s="38">
        <f t="shared" si="117"/>
        <v>-4.6676813800101358E-2</v>
      </c>
      <c r="CC48" s="38">
        <f t="shared" si="117"/>
        <v>6.9008337768316386E-2</v>
      </c>
      <c r="CD48" s="38">
        <f t="shared" si="117"/>
        <v>-9.691337537338196E-2</v>
      </c>
      <c r="CE48" s="38">
        <f t="shared" si="117"/>
        <v>0.18706357956633579</v>
      </c>
      <c r="CF48" s="38">
        <f t="shared" si="117"/>
        <v>-4.5665634674922573E-2</v>
      </c>
      <c r="CG48" s="38">
        <f t="shared" si="117"/>
        <v>0.17826439578264397</v>
      </c>
      <c r="CH48" s="38">
        <f t="shared" si="117"/>
        <v>-0.18034140969162993</v>
      </c>
      <c r="CI48" s="38">
        <f t="shared" si="117"/>
        <v>0.11975142761168978</v>
      </c>
      <c r="CJ48" s="38">
        <f>+IF(CI46&lt;0,1-CJ46/CI46,CJ46/CI46-1)</f>
        <v>-2.5648717564121792E-2</v>
      </c>
      <c r="CK48" s="38">
        <f>+IF(CJ46&lt;0,1-CK46/CJ46,CK46/CJ46-1)</f>
        <v>0.2068965517241379</v>
      </c>
      <c r="CL48" s="38">
        <f>+IF(CK46&lt;0,1-CL46/CK46,CL46/CK46-1)</f>
        <v>-0.23303571428571435</v>
      </c>
      <c r="CM48" s="39">
        <f t="shared" ref="CM48" si="118">+CM46/CL46-1</f>
        <v>0.27665940282301715</v>
      </c>
      <c r="CN48" s="39">
        <f t="shared" ref="CN48" si="119">+CN46/CM46-1</f>
        <v>8.4159999902870375E-2</v>
      </c>
      <c r="CO48" s="39">
        <f t="shared" ref="CO48" si="120">+CO46/CN46-1</f>
        <v>2.6934319801109829E-2</v>
      </c>
      <c r="CP48" s="39">
        <f t="shared" ref="CP48" si="121">+CP46/CO46-1</f>
        <v>-0.10596390879447137</v>
      </c>
      <c r="CQ48" s="39">
        <f t="shared" ref="CQ48" si="122">+CQ46/CP46-1</f>
        <v>0.10027738509130701</v>
      </c>
      <c r="CR48" s="39">
        <f t="shared" ref="CR48" si="123">+CR46/CQ46-1</f>
        <v>8.5721623837779815E-2</v>
      </c>
      <c r="CS48" s="39">
        <f t="shared" ref="CS48" si="124">+CS46/CR46-1</f>
        <v>2.7616909541865464E-2</v>
      </c>
      <c r="CT48" s="39">
        <f t="shared" ref="CT48" si="125">+CT46/CS46-1</f>
        <v>-0.10532418966310764</v>
      </c>
      <c r="CU48" s="39">
        <f t="shared" ref="CU48" si="126">+CU46/CT46-1</f>
        <v>0.10077705843215501</v>
      </c>
      <c r="CV48" s="39">
        <f t="shared" ref="CV48" si="127">+CV46/CU46-1</f>
        <v>8.6115606294304037E-2</v>
      </c>
      <c r="CW48" s="39">
        <f t="shared" ref="CW48" si="128">+CW46/CV46-1</f>
        <v>2.77888101881274E-2</v>
      </c>
      <c r="CX48" s="39">
        <f t="shared" ref="CX48" si="129">+CX46/CW46-1</f>
        <v>-0.10516321931817318</v>
      </c>
      <c r="CY48" s="39">
        <f t="shared" ref="CY48" si="130">+CY46/CX46-1</f>
        <v>0.10090267702936595</v>
      </c>
      <c r="CZ48" s="39">
        <f t="shared" ref="CZ48" si="131">+CZ46/CY46-1</f>
        <v>8.6214597793788927E-2</v>
      </c>
      <c r="DA48" s="39">
        <f t="shared" ref="DA48" si="132">+DA46/CZ46-1</f>
        <v>2.7831982109858711E-2</v>
      </c>
      <c r="DD48" s="121"/>
    </row>
    <row r="49" spans="1:109" s="22" customFormat="1" outlineLevel="1" x14ac:dyDescent="0.2">
      <c r="A49" s="22" t="s">
        <v>2</v>
      </c>
      <c r="B49" s="22">
        <f>'Annual Raw'!C11</f>
        <v>-4.9865000000000004</v>
      </c>
      <c r="C49" s="22">
        <f>'Annual Raw'!D11</f>
        <v>-2.3003999999999998</v>
      </c>
      <c r="D49" s="22">
        <f>'Annual Raw'!E11</f>
        <v>-0.21049999999999999</v>
      </c>
      <c r="E49" s="22">
        <f>'Annual Raw'!F11</f>
        <v>-5.7236000000000002</v>
      </c>
      <c r="F49" s="22">
        <f>'Annual Raw'!G11</f>
        <v>-2.9784999999999999</v>
      </c>
      <c r="G49" s="22">
        <f>'Annual Raw'!H11</f>
        <v>-5.5270999999999999</v>
      </c>
      <c r="H49" s="22">
        <f>'Annual Raw'!I11</f>
        <v>-1.3515999999999999</v>
      </c>
      <c r="I49" s="22">
        <f>'Annual Raw'!J11</f>
        <v>-24.510999999999999</v>
      </c>
      <c r="J49" s="22">
        <f>'Annual Raw'!K11</f>
        <v>-4.3746</v>
      </c>
      <c r="K49" s="22">
        <f>'Annual Raw'!L11</f>
        <v>10.206899999999999</v>
      </c>
      <c r="L49" s="22">
        <f>'Annual Raw'!M11</f>
        <v>-34.997999999999998</v>
      </c>
      <c r="M49" s="22">
        <f>'Annual Raw'!N11</f>
        <v>-27.013999999999999</v>
      </c>
      <c r="N49" s="22">
        <f>'Annual Raw'!O11</f>
        <v>5.82</v>
      </c>
      <c r="O49" s="22">
        <f>'Annual Raw'!P11</f>
        <v>3.738</v>
      </c>
      <c r="P49" s="22">
        <f>'Annual Raw'!Q11</f>
        <v>-19.120999999999999</v>
      </c>
      <c r="Q49" s="22">
        <f>'Annual Raw'!R11</f>
        <v>10.457000000000001</v>
      </c>
      <c r="R49" s="22">
        <f>'Annual Raw'!S11</f>
        <v>-11.885</v>
      </c>
      <c r="S49" s="22">
        <f>'Annual Raw'!T11</f>
        <v>-28.899000000000001</v>
      </c>
      <c r="T49" s="22">
        <f>'Annual Raw'!U11</f>
        <v>-33.654000000000003</v>
      </c>
      <c r="U49" s="22">
        <f>'Annual Raw'!V11</f>
        <v>-9.5109999999999992</v>
      </c>
      <c r="V49" s="22">
        <f>'Annual Raw'!W11</f>
        <v>-27.811</v>
      </c>
      <c r="W49" s="22">
        <f>'Annual Raw'!X11</f>
        <v>-64.161000000000001</v>
      </c>
      <c r="X49" s="22">
        <f>'Annual Raw'!Y11</f>
        <v>-75.004999999999995</v>
      </c>
      <c r="Y49" s="22">
        <f>'Annual Raw'!Z11</f>
        <v>17.908000000000001</v>
      </c>
      <c r="Z49" s="22">
        <f>'Annual Raw'!AA11</f>
        <v>-37.994</v>
      </c>
      <c r="AA49" s="22">
        <f>'Annual Raw'!AB11</f>
        <v>-93.224000000000004</v>
      </c>
      <c r="AB49" s="75">
        <f t="shared" ref="AB49:AB51" si="133">+SUM(CL49:CO49)</f>
        <v>-100.1</v>
      </c>
      <c r="AC49" s="75">
        <f t="shared" ref="AC49:AC51" si="134">+SUM(CP49:CS49)</f>
        <v>0</v>
      </c>
      <c r="AD49" s="75">
        <f t="shared" ref="AD49:AD51" si="135">+SUM(CT49:CW49)</f>
        <v>0</v>
      </c>
      <c r="AE49" s="75">
        <f t="shared" ref="AE49:AE51" si="136">+SUM(CX49:DA49)</f>
        <v>0</v>
      </c>
      <c r="AI49" s="22">
        <f>'QTR Raw'!C10</f>
        <v>8.2799999999999994</v>
      </c>
      <c r="AJ49" s="22">
        <f>'QTR Raw'!D10</f>
        <v>-7.8</v>
      </c>
      <c r="AK49" s="22">
        <f>'QTR Raw'!E10</f>
        <v>8.8000000000000007</v>
      </c>
      <c r="AL49" s="22">
        <f>'QTR Raw'!F10</f>
        <v>-21.35</v>
      </c>
      <c r="AM49" s="22">
        <f>'QTR Raw'!G10</f>
        <v>11.93</v>
      </c>
      <c r="AN49" s="22">
        <f>'QTR Raw'!H10</f>
        <v>6</v>
      </c>
      <c r="AO49" s="22">
        <f>'QTR Raw'!I10</f>
        <v>7.68</v>
      </c>
      <c r="AP49" s="22">
        <f>'QTR Raw'!J10</f>
        <v>-17.34</v>
      </c>
      <c r="AQ49" s="22">
        <f>'QTR Raw'!K10</f>
        <v>-12.54</v>
      </c>
      <c r="AR49" s="22">
        <f>'QTR Raw'!L10</f>
        <v>-14.65</v>
      </c>
      <c r="AS49" s="22">
        <f>'QTR Raw'!M10</f>
        <v>24.84</v>
      </c>
      <c r="AT49" s="22">
        <f>'QTR Raw'!N10</f>
        <v>-4.4400000000000004</v>
      </c>
      <c r="AU49" s="22">
        <f>'QTR Raw'!O10</f>
        <v>7.43</v>
      </c>
      <c r="AV49" s="22">
        <f>'QTR Raw'!P10</f>
        <v>-4.0999999999999996</v>
      </c>
      <c r="AW49" s="22">
        <f>'QTR Raw'!Q10</f>
        <v>13.03</v>
      </c>
      <c r="AX49" s="22">
        <f>'QTR Raw'!R10</f>
        <v>2.9</v>
      </c>
      <c r="AY49" s="22">
        <f>'QTR Raw'!S10</f>
        <v>2.4</v>
      </c>
      <c r="AZ49" s="22">
        <f>'QTR Raw'!T10</f>
        <v>-31.8</v>
      </c>
      <c r="BA49" s="22">
        <f>'QTR Raw'!U10</f>
        <v>14.73</v>
      </c>
      <c r="BB49" s="22">
        <f>'QTR Raw'!V10</f>
        <v>-27</v>
      </c>
      <c r="BC49" s="22">
        <f>'QTR Raw'!W10</f>
        <v>-32</v>
      </c>
      <c r="BD49" s="22">
        <f>'QTR Raw'!X10</f>
        <v>-12.2</v>
      </c>
      <c r="BE49" s="22">
        <f>'QTR Raw'!Y10</f>
        <v>43.8</v>
      </c>
      <c r="BF49" s="22">
        <f>'QTR Raw'!Z10</f>
        <v>-31.1</v>
      </c>
      <c r="BG49" s="22">
        <f>'QTR Raw'!AA10</f>
        <v>-20.8</v>
      </c>
      <c r="BH49" s="22">
        <f>'QTR Raw'!AB10</f>
        <v>-5.3</v>
      </c>
      <c r="BI49" s="22">
        <f>'QTR Raw'!AC10</f>
        <v>23.5</v>
      </c>
      <c r="BJ49" s="22">
        <f>'QTR Raw'!AD10</f>
        <v>-5.9</v>
      </c>
      <c r="BK49" s="22">
        <f>'QTR Raw'!AE10</f>
        <v>-20.7</v>
      </c>
      <c r="BL49" s="22">
        <f>'QTR Raw'!AF10</f>
        <v>9.4</v>
      </c>
      <c r="BM49" s="22">
        <f>'QTR Raw'!AG10</f>
        <v>4.4000000000000004</v>
      </c>
      <c r="BN49" s="22">
        <f>'QTR Raw'!AH10</f>
        <v>-27.1</v>
      </c>
      <c r="BO49" s="22">
        <f>'QTR Raw'!AI10</f>
        <v>19.600000000000001</v>
      </c>
      <c r="BP49" s="22">
        <f>'QTR Raw'!AJ10</f>
        <v>1.3</v>
      </c>
      <c r="BQ49" s="22">
        <f>'QTR Raw'!AK10</f>
        <v>-21.6</v>
      </c>
      <c r="BR49" s="22">
        <f>'QTR Raw'!AL10</f>
        <v>-6.4</v>
      </c>
      <c r="BS49" s="22">
        <f>'QTR Raw'!AM10</f>
        <v>-15.8</v>
      </c>
      <c r="BT49" s="22">
        <f>'QTR Raw'!AN10</f>
        <v>-38.799999999999997</v>
      </c>
      <c r="BU49" s="22">
        <f>'QTR Raw'!AO10</f>
        <v>-3.2</v>
      </c>
      <c r="BV49" s="22">
        <f>'QTR Raw'!AP10</f>
        <v>-10.1</v>
      </c>
      <c r="BW49" s="22">
        <f>'QTR Raw'!AQ10</f>
        <v>-21.9</v>
      </c>
      <c r="BX49" s="22">
        <f>'QTR Raw'!AR10</f>
        <v>-51.5</v>
      </c>
      <c r="BY49" s="22">
        <f>'QTR Raw'!AS10</f>
        <v>8.5</v>
      </c>
      <c r="BZ49" s="22">
        <f>'QTR Raw'!AT10</f>
        <v>-1.9</v>
      </c>
      <c r="CA49" s="22">
        <f>'QTR Raw'!AU10</f>
        <v>-11.1</v>
      </c>
      <c r="CB49" s="22">
        <f>'QTR Raw'!AV10</f>
        <v>-10.7</v>
      </c>
      <c r="CC49" s="22">
        <f>'QTR Raw'!AW10</f>
        <v>41.6</v>
      </c>
      <c r="CD49" s="22">
        <f>'QTR Raw'!AX10</f>
        <v>-11.5</v>
      </c>
      <c r="CE49" s="22">
        <f>'QTR Raw'!AY10</f>
        <v>5.4</v>
      </c>
      <c r="CF49" s="22">
        <f>'QTR Raw'!AZ10</f>
        <v>-31.4</v>
      </c>
      <c r="CG49" s="22">
        <f>'QTR Raw'!BA10</f>
        <v>-0.5</v>
      </c>
      <c r="CH49" s="22">
        <f>'QTR Raw'!BB10</f>
        <v>-39.200000000000003</v>
      </c>
      <c r="CI49" s="22">
        <f>'QTR Raw'!BC10</f>
        <v>-41.4</v>
      </c>
      <c r="CJ49" s="22">
        <f>'QTR Raw'!BD10</f>
        <v>-15.6</v>
      </c>
      <c r="CK49" s="22">
        <f>'QTR Raw'!BE10</f>
        <v>3</v>
      </c>
      <c r="CL49" s="22">
        <f>'QTR Raw'!BF10</f>
        <v>-100.1</v>
      </c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D49" s="122"/>
      <c r="DE49" s="22">
        <v>-93.199999999999989</v>
      </c>
    </row>
    <row r="50" spans="1:109" s="22" customFormat="1" outlineLevel="1" x14ac:dyDescent="0.2">
      <c r="A50" s="22" t="s">
        <v>3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75">
        <f t="shared" si="133"/>
        <v>68.7</v>
      </c>
      <c r="AC50" s="75">
        <f t="shared" si="134"/>
        <v>0</v>
      </c>
      <c r="AD50" s="75">
        <f t="shared" si="135"/>
        <v>0</v>
      </c>
      <c r="AE50" s="75">
        <f t="shared" si="136"/>
        <v>0</v>
      </c>
      <c r="AI50" s="22">
        <f>'QTR Raw'!C12</f>
        <v>1.88</v>
      </c>
      <c r="AJ50" s="22">
        <f>'QTR Raw'!D12</f>
        <v>2.2599999999999998</v>
      </c>
      <c r="AK50" s="22">
        <f>'QTR Raw'!E12</f>
        <v>4.2300000000000004</v>
      </c>
      <c r="AL50" s="22">
        <f>'QTR Raw'!F12</f>
        <v>1.71</v>
      </c>
      <c r="AM50" s="22">
        <f>'QTR Raw'!G12</f>
        <v>0.31</v>
      </c>
      <c r="AN50" s="22">
        <f>'QTR Raw'!H12</f>
        <v>2.52</v>
      </c>
      <c r="AO50" s="22">
        <f>'QTR Raw'!I12</f>
        <v>7.51</v>
      </c>
      <c r="AP50" s="22">
        <f>'QTR Raw'!J12</f>
        <v>8.42</v>
      </c>
      <c r="AQ50" s="22">
        <f>'QTR Raw'!K12</f>
        <v>8.43</v>
      </c>
      <c r="AR50" s="22">
        <f>'QTR Raw'!L12</f>
        <v>9.69</v>
      </c>
      <c r="AS50" s="22">
        <f>'QTR Raw'!M12</f>
        <v>7.15</v>
      </c>
      <c r="AT50" s="22">
        <f>'QTR Raw'!N12</f>
        <v>6.56</v>
      </c>
      <c r="AU50" s="22">
        <f>'QTR Raw'!O12</f>
        <v>7.62</v>
      </c>
      <c r="AV50" s="22">
        <f>'QTR Raw'!P12</f>
        <v>7.62</v>
      </c>
      <c r="AW50" s="22">
        <f>'QTR Raw'!Q12</f>
        <v>9.07</v>
      </c>
      <c r="AX50" s="22">
        <f>'QTR Raw'!R12</f>
        <v>9.4700000000000006</v>
      </c>
      <c r="AY50" s="22">
        <f>'QTR Raw'!S12</f>
        <v>8.74</v>
      </c>
      <c r="AZ50" s="22">
        <f>'QTR Raw'!T12</f>
        <v>6.12</v>
      </c>
      <c r="BA50" s="22">
        <f>'QTR Raw'!U12</f>
        <v>14.94</v>
      </c>
      <c r="BB50" s="22">
        <f>'QTR Raw'!V12</f>
        <v>12.1</v>
      </c>
      <c r="BC50" s="22">
        <f>'QTR Raw'!W12</f>
        <v>19.7</v>
      </c>
      <c r="BD50" s="22">
        <f>'QTR Raw'!X12</f>
        <v>14.4</v>
      </c>
      <c r="BE50" s="22">
        <f>'QTR Raw'!Y12</f>
        <v>18.100000000000001</v>
      </c>
      <c r="BF50" s="22">
        <f>'QTR Raw'!Z12</f>
        <v>19.600000000000001</v>
      </c>
      <c r="BG50" s="22">
        <f>'QTR Raw'!AA12</f>
        <v>18.899999999999999</v>
      </c>
      <c r="BH50" s="22">
        <f>'QTR Raw'!AB12</f>
        <v>16.5</v>
      </c>
      <c r="BI50" s="22">
        <f>'QTR Raw'!AC12</f>
        <v>23.4</v>
      </c>
      <c r="BJ50" s="22">
        <f>'QTR Raw'!AD12</f>
        <v>21.3</v>
      </c>
      <c r="BK50" s="22">
        <f>'QTR Raw'!AE12</f>
        <v>29</v>
      </c>
      <c r="BL50" s="22">
        <f>'QTR Raw'!AF12</f>
        <v>25</v>
      </c>
      <c r="BM50" s="22">
        <f>'QTR Raw'!AG12</f>
        <v>30.9</v>
      </c>
      <c r="BN50" s="22">
        <f>'QTR Raw'!AH12</f>
        <v>17</v>
      </c>
      <c r="BO50" s="22">
        <f>'QTR Raw'!AI12</f>
        <v>15.2</v>
      </c>
      <c r="BP50" s="22">
        <f>'QTR Raw'!AJ12</f>
        <v>34.6</v>
      </c>
      <c r="BQ50" s="22">
        <f>'QTR Raw'!AK12</f>
        <v>30.3</v>
      </c>
      <c r="BR50" s="22">
        <f>'QTR Raw'!AL12</f>
        <v>19.100000000000001</v>
      </c>
      <c r="BS50" s="22">
        <f>'QTR Raw'!AM12</f>
        <v>42.7</v>
      </c>
      <c r="BT50" s="22">
        <f>'QTR Raw'!AN12</f>
        <v>31.5</v>
      </c>
      <c r="BU50" s="22">
        <f>'QTR Raw'!AO12</f>
        <v>42</v>
      </c>
      <c r="BV50" s="22">
        <f>'QTR Raw'!AP12</f>
        <v>38.5</v>
      </c>
      <c r="BW50" s="22">
        <f>'QTR Raw'!AQ12</f>
        <v>49.9</v>
      </c>
      <c r="BX50" s="22">
        <f>'QTR Raw'!AR12</f>
        <v>43.5</v>
      </c>
      <c r="BY50" s="22">
        <f>'QTR Raw'!AS12</f>
        <v>36.9</v>
      </c>
      <c r="BZ50" s="22">
        <f>'QTR Raw'!AT12</f>
        <v>33.200000000000003</v>
      </c>
      <c r="CA50" s="22">
        <f>'QTR Raw'!AU12</f>
        <v>60.5</v>
      </c>
      <c r="CB50" s="22">
        <f>'QTR Raw'!AV12</f>
        <v>44.1</v>
      </c>
      <c r="CC50" s="22">
        <f>'QTR Raw'!AW12</f>
        <v>52.9</v>
      </c>
      <c r="CD50" s="22">
        <f>'QTR Raw'!AX12</f>
        <v>47.2</v>
      </c>
      <c r="CE50" s="22">
        <f>'QTR Raw'!AY12</f>
        <v>69.599999999999994</v>
      </c>
      <c r="CF50" s="22">
        <f>'QTR Raw'!AZ12</f>
        <v>69.2</v>
      </c>
      <c r="CG50" s="22">
        <f>'QTR Raw'!BA12</f>
        <v>70.7</v>
      </c>
      <c r="CH50" s="22">
        <f>'QTR Raw'!BB12</f>
        <v>56.8</v>
      </c>
      <c r="CI50" s="22">
        <f>'QTR Raw'!BC12</f>
        <v>85.1</v>
      </c>
      <c r="CJ50" s="22">
        <f>'QTR Raw'!BD12</f>
        <v>61</v>
      </c>
      <c r="CK50" s="22">
        <f>'QTR Raw'!BE12</f>
        <v>72</v>
      </c>
      <c r="CL50" s="22">
        <f>'QTR Raw'!BF12</f>
        <v>68.7</v>
      </c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D50" s="122"/>
      <c r="DE50" s="22">
        <v>274.89999999999998</v>
      </c>
    </row>
    <row r="51" spans="1:109" s="22" customFormat="1" outlineLevel="1" x14ac:dyDescent="0.2">
      <c r="A51" s="22" t="s">
        <v>4</v>
      </c>
      <c r="B51" s="22">
        <f>'Annual Raw'!C12</f>
        <v>89.888099999999994</v>
      </c>
      <c r="C51" s="22">
        <f>'Annual Raw'!D12</f>
        <v>99.251099999999994</v>
      </c>
      <c r="D51" s="22">
        <f>'Annual Raw'!E12</f>
        <v>101.80500000000001</v>
      </c>
      <c r="E51" s="22">
        <f>'Annual Raw'!F12</f>
        <v>106.0585</v>
      </c>
      <c r="F51" s="22">
        <f>'Annual Raw'!G12</f>
        <v>137.6404</v>
      </c>
      <c r="G51" s="22">
        <f>'Annual Raw'!H12</f>
        <v>165.43620000000001</v>
      </c>
      <c r="H51" s="22">
        <f>'Annual Raw'!I12</f>
        <v>175.74430000000001</v>
      </c>
      <c r="I51" s="22">
        <f>'Annual Raw'!J12</f>
        <v>250.97550000000001</v>
      </c>
      <c r="J51" s="22">
        <f>'Annual Raw'!K12</f>
        <v>291.21949999999998</v>
      </c>
      <c r="K51" s="22">
        <f>'Annual Raw'!L12</f>
        <v>245.405</v>
      </c>
      <c r="L51" s="22">
        <f>'Annual Raw'!M12</f>
        <v>338.31290000000001</v>
      </c>
      <c r="M51" s="22">
        <f>'Annual Raw'!N12</f>
        <v>426.03100000000001</v>
      </c>
      <c r="N51" s="22">
        <f>'Annual Raw'!O12</f>
        <v>352.33199999999999</v>
      </c>
      <c r="O51" s="22">
        <f>'Annual Raw'!P12</f>
        <v>340.07499999999999</v>
      </c>
      <c r="P51" s="22">
        <f>'Annual Raw'!Q12</f>
        <v>401.22899999999998</v>
      </c>
      <c r="Q51" s="22">
        <f>'Annual Raw'!R12</f>
        <v>376.85399999999998</v>
      </c>
      <c r="R51" s="22">
        <f>'Annual Raw'!S12</f>
        <v>398.79300000000001</v>
      </c>
      <c r="S51" s="22">
        <f>'Annual Raw'!T12</f>
        <v>494.47199999999998</v>
      </c>
      <c r="T51" s="22">
        <f>'Annual Raw'!U12</f>
        <v>598.72299999999996</v>
      </c>
      <c r="U51" s="22">
        <f>'Annual Raw'!V12</f>
        <v>707.81700000000001</v>
      </c>
      <c r="V51" s="22">
        <f>'Annual Raw'!W12</f>
        <v>648.32899999999995</v>
      </c>
      <c r="W51" s="22">
        <f>'Annual Raw'!X12</f>
        <v>856.58600000000001</v>
      </c>
      <c r="X51" s="22">
        <f>'Annual Raw'!Y12</f>
        <v>1063.0060000000001</v>
      </c>
      <c r="Y51" s="22">
        <f>'Annual Raw'!Z12</f>
        <v>1259.6020000000001</v>
      </c>
      <c r="Z51" s="22">
        <f>'Annual Raw'!AA12</f>
        <v>1460.1379999999999</v>
      </c>
      <c r="AA51" s="22">
        <f>'Annual Raw'!AB12</f>
        <v>1549.4880000000001</v>
      </c>
      <c r="AB51" s="23">
        <f t="shared" si="133"/>
        <v>1681.7451431530772</v>
      </c>
      <c r="AC51" s="23">
        <f t="shared" si="134"/>
        <v>1865.1445408961956</v>
      </c>
      <c r="AD51" s="23">
        <f t="shared" si="135"/>
        <v>2049.4906642970286</v>
      </c>
      <c r="AE51" s="23">
        <f t="shared" si="136"/>
        <v>2253.882755269884</v>
      </c>
      <c r="AI51" s="22">
        <f>'QTR Raw'!C11</f>
        <v>91.95</v>
      </c>
      <c r="AJ51" s="22">
        <f>'QTR Raw'!D11</f>
        <v>87.13</v>
      </c>
      <c r="AK51" s="22">
        <f>'QTR Raw'!E11</f>
        <v>82.97</v>
      </c>
      <c r="AL51" s="22">
        <f>'QTR Raw'!F11</f>
        <v>91.88</v>
      </c>
      <c r="AM51" s="22">
        <f>'QTR Raw'!G11</f>
        <v>85.09</v>
      </c>
      <c r="AN51" s="22">
        <f>'QTR Raw'!H11</f>
        <v>77.48</v>
      </c>
      <c r="AO51" s="22">
        <f>'QTR Raw'!I11</f>
        <v>73.569999999999993</v>
      </c>
      <c r="AP51" s="22">
        <f>'QTR Raw'!J11</f>
        <v>86.74</v>
      </c>
      <c r="AQ51" s="22">
        <f>'QTR Raw'!K11</f>
        <v>94.05</v>
      </c>
      <c r="AR51" s="22">
        <f>'QTR Raw'!L11</f>
        <v>94.53</v>
      </c>
      <c r="AS51" s="22">
        <f>'QTR Raw'!M11</f>
        <v>89.61</v>
      </c>
      <c r="AT51" s="22">
        <f>'QTR Raw'!N11</f>
        <v>92.05</v>
      </c>
      <c r="AU51" s="22">
        <f>'QTR Raw'!O11</f>
        <v>82.19</v>
      </c>
      <c r="AV51" s="22">
        <f>'QTR Raw'!P11</f>
        <v>75.349999999999994</v>
      </c>
      <c r="AW51" s="22">
        <f>'QTR Raw'!Q11</f>
        <v>96.39</v>
      </c>
      <c r="AX51" s="22">
        <f>'QTR Raw'!R11</f>
        <v>87.85</v>
      </c>
      <c r="AY51" s="22">
        <f>'QTR Raw'!S11</f>
        <v>85.84</v>
      </c>
      <c r="AZ51" s="22">
        <f>'QTR Raw'!T11</f>
        <v>94.28</v>
      </c>
      <c r="BA51" s="22">
        <f>'QTR Raw'!U11</f>
        <v>91.55</v>
      </c>
      <c r="BB51" s="22">
        <f>'QTR Raw'!V11</f>
        <v>107.5</v>
      </c>
      <c r="BC51" s="22">
        <f>'QTR Raw'!W11</f>
        <v>115.9</v>
      </c>
      <c r="BD51" s="22">
        <f>'QTR Raw'!X11</f>
        <v>94</v>
      </c>
      <c r="BE51" s="22">
        <f>'QTR Raw'!Y11</f>
        <v>112.8</v>
      </c>
      <c r="BF51" s="22">
        <f>'QTR Raw'!Z11</f>
        <v>109.1</v>
      </c>
      <c r="BG51" s="22">
        <f>'QTR Raw'!AA11</f>
        <v>130.6</v>
      </c>
      <c r="BH51" s="22">
        <f>'QTR Raw'!AB11</f>
        <v>133.69999999999999</v>
      </c>
      <c r="BI51" s="22">
        <f>'QTR Raw'!AC11</f>
        <v>147</v>
      </c>
      <c r="BJ51" s="22">
        <f>'QTR Raw'!AD11</f>
        <v>139.80000000000001</v>
      </c>
      <c r="BK51" s="22">
        <f>'QTR Raw'!AE11</f>
        <v>152.5</v>
      </c>
      <c r="BL51" s="22">
        <f>'QTR Raw'!AF11</f>
        <v>173.8</v>
      </c>
      <c r="BM51" s="22">
        <f>'QTR Raw'!AG11</f>
        <v>138.80000000000001</v>
      </c>
      <c r="BN51" s="22">
        <f>'QTR Raw'!AH11</f>
        <v>140.9</v>
      </c>
      <c r="BO51" s="22">
        <f>'QTR Raw'!AI11</f>
        <v>90.5</v>
      </c>
      <c r="BP51" s="22">
        <f>'QTR Raw'!AJ11</f>
        <v>158.30000000000001</v>
      </c>
      <c r="BQ51" s="22">
        <f>'QTR Raw'!AK11</f>
        <v>161.6</v>
      </c>
      <c r="BR51" s="22">
        <f>'QTR Raw'!AL11</f>
        <v>176.4</v>
      </c>
      <c r="BS51" s="22">
        <f>'QTR Raw'!AM11</f>
        <v>130</v>
      </c>
      <c r="BT51" s="22">
        <f>'QTR Raw'!AN11</f>
        <v>204.2</v>
      </c>
      <c r="BU51" s="22">
        <f>'QTR Raw'!AO11</f>
        <v>210.7</v>
      </c>
      <c r="BV51" s="22">
        <f>'QTR Raw'!AP11</f>
        <v>198</v>
      </c>
      <c r="BW51" s="22">
        <f>'QTR Raw'!AQ11</f>
        <v>223.2</v>
      </c>
      <c r="BX51" s="22">
        <f>'QTR Raw'!AR11</f>
        <v>240.7</v>
      </c>
      <c r="BY51" s="22">
        <f>'QTR Raw'!AS11</f>
        <v>232.3</v>
      </c>
      <c r="BZ51" s="22">
        <f>'QTR Raw'!AT11</f>
        <v>239.8</v>
      </c>
      <c r="CA51" s="22">
        <f>'QTR Raw'!AU11</f>
        <v>283.5</v>
      </c>
      <c r="CB51" s="22">
        <f>'QTR Raw'!AV11</f>
        <v>283.60000000000002</v>
      </c>
      <c r="CC51" s="22">
        <f>'QTR Raw'!AW11</f>
        <v>262</v>
      </c>
      <c r="CD51" s="22">
        <f>'QTR Raw'!AX11</f>
        <v>278.5</v>
      </c>
      <c r="CE51" s="22">
        <f>'QTR Raw'!AY11</f>
        <v>289.10000000000002</v>
      </c>
      <c r="CF51" s="22">
        <f>'QTR Raw'!AZ11</f>
        <v>294.8</v>
      </c>
      <c r="CG51" s="22">
        <f>'QTR Raw'!BA11</f>
        <v>341</v>
      </c>
      <c r="CH51" s="22">
        <f>'QTR Raw'!BB11</f>
        <v>305.7</v>
      </c>
      <c r="CI51" s="22">
        <f>'QTR Raw'!BC11</f>
        <v>324.7</v>
      </c>
      <c r="CJ51" s="22">
        <f>'QTR Raw'!BD11</f>
        <v>295.39999999999998</v>
      </c>
      <c r="CK51" s="22">
        <f>'QTR Raw'!BE11</f>
        <v>348.8</v>
      </c>
      <c r="CL51" s="22">
        <f>'QTR Raw'!BF11</f>
        <v>358.1</v>
      </c>
      <c r="CM51" s="23">
        <f t="shared" ref="CM51:DA51" si="137">+CM46-CM52</f>
        <v>414.74245990986884</v>
      </c>
      <c r="CN51" s="23">
        <f t="shared" si="137"/>
        <v>447.08784970640107</v>
      </c>
      <c r="CO51" s="23">
        <f t="shared" si="137"/>
        <v>461.81483353680704</v>
      </c>
      <c r="CP51" s="23">
        <f t="shared" si="137"/>
        <v>412.83650247712541</v>
      </c>
      <c r="CQ51" s="23">
        <f t="shared" si="137"/>
        <v>453.59560269670135</v>
      </c>
      <c r="CR51" s="23">
        <f t="shared" si="137"/>
        <v>492.30750344714755</v>
      </c>
      <c r="CS51" s="23">
        <f t="shared" si="137"/>
        <v>506.40493227522114</v>
      </c>
      <c r="CT51" s="23">
        <f t="shared" si="137"/>
        <v>452.96989740466734</v>
      </c>
      <c r="CU51" s="23">
        <f t="shared" si="137"/>
        <v>498.49643378924731</v>
      </c>
      <c r="CV51" s="23">
        <f t="shared" si="137"/>
        <v>541.44919698342574</v>
      </c>
      <c r="CW51" s="23">
        <f t="shared" si="137"/>
        <v>556.5751361196883</v>
      </c>
      <c r="CX51" s="23">
        <f t="shared" si="137"/>
        <v>498.00974409509348</v>
      </c>
      <c r="CY51" s="23">
        <f t="shared" si="137"/>
        <v>548.24301578286349</v>
      </c>
      <c r="CZ51" s="23">
        <f t="shared" si="137"/>
        <v>595.52271566729269</v>
      </c>
      <c r="DA51" s="23">
        <f t="shared" si="137"/>
        <v>612.10727972463451</v>
      </c>
      <c r="DD51" s="122"/>
      <c r="DE51" s="22">
        <v>1274.5999999999999</v>
      </c>
    </row>
    <row r="52" spans="1:109" s="30" customFormat="1" x14ac:dyDescent="0.2">
      <c r="A52" s="30" t="s">
        <v>5</v>
      </c>
      <c r="B52" s="30">
        <f t="shared" ref="B52:T52" si="138">B46-B49-B51-B50</f>
        <v>98.669000000000025</v>
      </c>
      <c r="C52" s="30">
        <f t="shared" si="138"/>
        <v>111.1093</v>
      </c>
      <c r="D52" s="30">
        <f t="shared" si="138"/>
        <v>128.93429999999998</v>
      </c>
      <c r="E52" s="30">
        <f t="shared" si="138"/>
        <v>142.51060000000001</v>
      </c>
      <c r="F52" s="30">
        <f t="shared" si="138"/>
        <v>169.90259999999995</v>
      </c>
      <c r="G52" s="30">
        <f t="shared" si="138"/>
        <v>199.99229999999997</v>
      </c>
      <c r="H52" s="30">
        <f t="shared" si="138"/>
        <v>233.11090000000002</v>
      </c>
      <c r="I52" s="30">
        <f t="shared" si="138"/>
        <v>240.0127</v>
      </c>
      <c r="J52" s="30">
        <f t="shared" si="138"/>
        <v>311.25449999999995</v>
      </c>
      <c r="K52" s="30">
        <f t="shared" si="138"/>
        <v>309.69110000000012</v>
      </c>
      <c r="L52" s="30">
        <f t="shared" si="138"/>
        <v>306.90610000000004</v>
      </c>
      <c r="M52" s="30">
        <f t="shared" si="138"/>
        <v>352.89600000000002</v>
      </c>
      <c r="N52" s="30">
        <f t="shared" si="138"/>
        <v>357.23</v>
      </c>
      <c r="O52" s="30">
        <f t="shared" si="138"/>
        <v>388.92199999999997</v>
      </c>
      <c r="P52" s="30">
        <f t="shared" si="138"/>
        <v>421.565</v>
      </c>
      <c r="Q52" s="30">
        <f t="shared" si="138"/>
        <v>433.416</v>
      </c>
      <c r="R52" s="30">
        <f t="shared" si="138"/>
        <v>438.75800000000004</v>
      </c>
      <c r="S52" s="30">
        <f t="shared" si="138"/>
        <v>478.76400000000001</v>
      </c>
      <c r="T52" s="30">
        <f t="shared" si="138"/>
        <v>527.99700000000007</v>
      </c>
      <c r="U52" s="30">
        <f t="shared" ref="U52:Z52" si="139">U46-U49-U51-U50</f>
        <v>595.60199999999986</v>
      </c>
      <c r="V52" s="30">
        <f t="shared" si="139"/>
        <v>587.59699999999998</v>
      </c>
      <c r="W52" s="30">
        <f t="shared" si="139"/>
        <v>704.86599999999999</v>
      </c>
      <c r="X52" s="30">
        <f t="shared" si="139"/>
        <v>833.95900000000006</v>
      </c>
      <c r="Y52" s="30">
        <f t="shared" si="139"/>
        <v>969.72799999999984</v>
      </c>
      <c r="Z52" s="30">
        <f t="shared" si="139"/>
        <v>1110.9420000000005</v>
      </c>
      <c r="AA52" s="30">
        <f t="shared" ref="AA52" si="140">AA46-AA49-AA51-AA50</f>
        <v>1239.4640000000002</v>
      </c>
      <c r="AB52" s="31">
        <f t="shared" ref="AB52:AD52" si="141">AB46-AB49-AB51-AB50</f>
        <v>1405.548881842529</v>
      </c>
      <c r="AC52" s="31">
        <f t="shared" si="141"/>
        <v>1590.5227533783543</v>
      </c>
      <c r="AD52" s="31">
        <f t="shared" si="141"/>
        <v>1748.0921699707474</v>
      </c>
      <c r="AE52" s="31">
        <f t="shared" ref="AE52" si="142">AE46-AE49-AE51-AE50</f>
        <v>1922.4506185009459</v>
      </c>
      <c r="AI52" s="30">
        <f t="shared" ref="AI52" si="143">AI46-AI49-AI51-AI50</f>
        <v>85.27</v>
      </c>
      <c r="AJ52" s="30">
        <f t="shared" ref="AJ52" si="144">AJ46-AJ49-AJ51-AJ50</f>
        <v>88.15000000000002</v>
      </c>
      <c r="AK52" s="30">
        <f t="shared" ref="AK52:AM52" si="145">AK46-AK49-AK51-AK50</f>
        <v>98.58</v>
      </c>
      <c r="AL52" s="30">
        <f t="shared" si="145"/>
        <v>91.55</v>
      </c>
      <c r="AM52" s="30">
        <f t="shared" si="145"/>
        <v>97.889999999999986</v>
      </c>
      <c r="AN52" s="30">
        <f t="shared" ref="AN52:AO52" si="146">AN46-AN49-AN51-AN50</f>
        <v>104.24000000000001</v>
      </c>
      <c r="AO52" s="30">
        <f t="shared" si="146"/>
        <v>93.33</v>
      </c>
      <c r="AP52" s="30">
        <f t="shared" ref="AP52:CD52" si="147">AP46-AP49-AP51-AP50</f>
        <v>95.550000000000011</v>
      </c>
      <c r="AQ52" s="30">
        <f t="shared" si="147"/>
        <v>109.41</v>
      </c>
      <c r="AR52" s="30">
        <f t="shared" si="147"/>
        <v>109.32000000000002</v>
      </c>
      <c r="AS52" s="30">
        <f t="shared" si="147"/>
        <v>108.49</v>
      </c>
      <c r="AT52" s="30">
        <f t="shared" si="147"/>
        <v>95.09999999999998</v>
      </c>
      <c r="AU52" s="30">
        <f t="shared" si="147"/>
        <v>102.86999999999998</v>
      </c>
      <c r="AV52" s="30">
        <f t="shared" si="147"/>
        <v>106.91</v>
      </c>
      <c r="AW52" s="30">
        <f t="shared" si="147"/>
        <v>125.15999999999997</v>
      </c>
      <c r="AX52" s="30">
        <f t="shared" si="147"/>
        <v>109.88</v>
      </c>
      <c r="AY52" s="30">
        <f t="shared" si="147"/>
        <v>106.05</v>
      </c>
      <c r="AZ52" s="30">
        <f t="shared" si="147"/>
        <v>92.390000000000015</v>
      </c>
      <c r="BA52" s="30">
        <f t="shared" si="147"/>
        <v>129.44</v>
      </c>
      <c r="BB52" s="30">
        <f t="shared" si="147"/>
        <v>112.80000000000001</v>
      </c>
      <c r="BC52" s="30">
        <f t="shared" si="147"/>
        <v>106.59999999999998</v>
      </c>
      <c r="BD52" s="30">
        <f t="shared" si="147"/>
        <v>104.29999999999998</v>
      </c>
      <c r="BE52" s="30">
        <f t="shared" si="147"/>
        <v>153.49999999999997</v>
      </c>
      <c r="BF52" s="30">
        <f t="shared" si="147"/>
        <v>114.9</v>
      </c>
      <c r="BG52" s="30">
        <f t="shared" si="147"/>
        <v>124.89999999999998</v>
      </c>
      <c r="BH52" s="30">
        <f t="shared" si="147"/>
        <v>135.5</v>
      </c>
      <c r="BI52" s="30">
        <f t="shared" si="147"/>
        <v>152.70000000000002</v>
      </c>
      <c r="BJ52" s="30">
        <f t="shared" si="147"/>
        <v>134.09999999999997</v>
      </c>
      <c r="BK52" s="30">
        <f t="shared" si="147"/>
        <v>141</v>
      </c>
      <c r="BL52" s="30">
        <f t="shared" si="147"/>
        <v>157.60000000000002</v>
      </c>
      <c r="BM52" s="30">
        <f t="shared" si="147"/>
        <v>162.9</v>
      </c>
      <c r="BN52" s="30">
        <f t="shared" si="147"/>
        <v>126.20000000000002</v>
      </c>
      <c r="BO52" s="30">
        <f t="shared" si="147"/>
        <v>93.600000000000009</v>
      </c>
      <c r="BP52" s="30">
        <f t="shared" si="147"/>
        <v>168.1</v>
      </c>
      <c r="BQ52" s="30">
        <f t="shared" si="147"/>
        <v>199.6</v>
      </c>
      <c r="BR52" s="30">
        <f t="shared" si="147"/>
        <v>192.5</v>
      </c>
      <c r="BS52" s="30">
        <f t="shared" si="147"/>
        <v>146.10000000000002</v>
      </c>
      <c r="BT52" s="30">
        <f t="shared" si="147"/>
        <v>171.20000000000005</v>
      </c>
      <c r="BU52" s="30">
        <f t="shared" si="147"/>
        <v>195.10000000000002</v>
      </c>
      <c r="BV52" s="30">
        <f t="shared" si="147"/>
        <v>191.3</v>
      </c>
      <c r="BW52" s="30">
        <f t="shared" si="147"/>
        <v>197.19999999999996</v>
      </c>
      <c r="BX52" s="30">
        <f t="shared" si="147"/>
        <v>198.60000000000002</v>
      </c>
      <c r="BY52" s="30">
        <f t="shared" si="147"/>
        <v>246.9</v>
      </c>
      <c r="BZ52" s="30">
        <f t="shared" si="147"/>
        <v>218.5</v>
      </c>
      <c r="CA52" s="30">
        <f t="shared" si="147"/>
        <v>258.39999999999998</v>
      </c>
      <c r="CB52" s="30">
        <f t="shared" si="147"/>
        <v>246.70000000000007</v>
      </c>
      <c r="CC52" s="30">
        <f t="shared" si="147"/>
        <v>246.1</v>
      </c>
      <c r="CD52" s="30">
        <f t="shared" si="147"/>
        <v>230.00000000000006</v>
      </c>
      <c r="CE52" s="30">
        <f t="shared" ref="CE52:CF52" si="148">CE46-CE49-CE51-CE50</f>
        <v>281.89999999999998</v>
      </c>
      <c r="CF52" s="30">
        <f t="shared" si="148"/>
        <v>283.89999999999998</v>
      </c>
      <c r="CG52" s="30">
        <f t="shared" ref="CG52:CH52" si="149">CG46-CG49-CG51-CG50</f>
        <v>315.2</v>
      </c>
      <c r="CH52" s="30">
        <f t="shared" si="149"/>
        <v>272.10000000000002</v>
      </c>
      <c r="CI52" s="30">
        <f t="shared" ref="CI52:CJ52" si="150">CI46-CI49-CI51-CI50</f>
        <v>298.30000000000007</v>
      </c>
      <c r="CJ52" s="30">
        <f t="shared" si="150"/>
        <v>308.80000000000007</v>
      </c>
      <c r="CK52" s="30">
        <f t="shared" ref="CK52:CL52" si="151">CK46-CK49-CK51-CK50</f>
        <v>360.2</v>
      </c>
      <c r="CL52" s="30">
        <f t="shared" si="151"/>
        <v>274.59999999999997</v>
      </c>
      <c r="CM52" s="31">
        <f t="shared" ref="CM52:DA52" si="152">+CM53*CM46</f>
        <v>352.91283900761135</v>
      </c>
      <c r="CN52" s="31">
        <f t="shared" si="152"/>
        <v>385.1733190934122</v>
      </c>
      <c r="CO52" s="31">
        <f t="shared" si="152"/>
        <v>392.86272374150593</v>
      </c>
      <c r="CP52" s="31">
        <f t="shared" si="152"/>
        <v>351.27608007306679</v>
      </c>
      <c r="CQ52" s="31">
        <f t="shared" si="152"/>
        <v>387.14019154698951</v>
      </c>
      <c r="CR52" s="31">
        <f t="shared" si="152"/>
        <v>420.49752829765799</v>
      </c>
      <c r="CS52" s="31">
        <f t="shared" si="152"/>
        <v>431.60895346064041</v>
      </c>
      <c r="CT52" s="31">
        <f t="shared" si="152"/>
        <v>386.24843592332172</v>
      </c>
      <c r="CU52" s="31">
        <f t="shared" si="152"/>
        <v>425.29585455387229</v>
      </c>
      <c r="CV52" s="31">
        <f t="shared" si="152"/>
        <v>461.89602436036415</v>
      </c>
      <c r="CW52" s="31">
        <f t="shared" si="152"/>
        <v>474.65185513318897</v>
      </c>
      <c r="CX52" s="31">
        <f t="shared" si="152"/>
        <v>424.7700969098376</v>
      </c>
      <c r="CY52" s="31">
        <f t="shared" si="152"/>
        <v>467.64778148819772</v>
      </c>
      <c r="CZ52" s="31">
        <f t="shared" si="152"/>
        <v>507.95269809290477</v>
      </c>
      <c r="DA52" s="31">
        <f t="shared" si="152"/>
        <v>522.08004201000563</v>
      </c>
      <c r="DD52" s="123"/>
      <c r="DE52" s="30">
        <v>1239.3999999999996</v>
      </c>
    </row>
    <row r="53" spans="1:109" s="40" customFormat="1" x14ac:dyDescent="0.2">
      <c r="A53" s="40" t="s">
        <v>6</v>
      </c>
      <c r="B53" s="40">
        <f>B52/B46</f>
        <v>0.53749892411965761</v>
      </c>
      <c r="C53" s="40">
        <f t="shared" ref="C53:U53" si="153">C52/C46</f>
        <v>0.53402528116889358</v>
      </c>
      <c r="D53" s="40">
        <f t="shared" si="153"/>
        <v>0.55929801395747514</v>
      </c>
      <c r="E53" s="40">
        <f t="shared" si="153"/>
        <v>0.58683648657273868</v>
      </c>
      <c r="F53" s="40">
        <f t="shared" si="153"/>
        <v>0.55785424762242475</v>
      </c>
      <c r="G53" s="40">
        <f t="shared" si="153"/>
        <v>0.55568636298719587</v>
      </c>
      <c r="H53" s="40">
        <f t="shared" si="153"/>
        <v>0.57204623468357096</v>
      </c>
      <c r="I53" s="40">
        <f t="shared" si="153"/>
        <v>0.514521824432148</v>
      </c>
      <c r="J53" s="40">
        <f t="shared" si="153"/>
        <v>0.52040597265270616</v>
      </c>
      <c r="K53" s="40">
        <f t="shared" si="153"/>
        <v>0.5478320475921763</v>
      </c>
      <c r="L53" s="40">
        <f t="shared" si="153"/>
        <v>0.50294254048942932</v>
      </c>
      <c r="M53" s="40">
        <f t="shared" si="153"/>
        <v>0.46933089333473421</v>
      </c>
      <c r="N53" s="40">
        <f t="shared" si="153"/>
        <v>0.49935558904193844</v>
      </c>
      <c r="O53" s="40">
        <f t="shared" si="153"/>
        <v>0.53078125106621077</v>
      </c>
      <c r="P53" s="40">
        <f t="shared" si="153"/>
        <v>0.5245479193652145</v>
      </c>
      <c r="Q53" s="40">
        <f t="shared" si="153"/>
        <v>0.52808790255468629</v>
      </c>
      <c r="R53" s="40">
        <f t="shared" si="153"/>
        <v>0.53139889495268067</v>
      </c>
      <c r="S53" s="40">
        <f t="shared" si="153"/>
        <v>0.50698426515110606</v>
      </c>
      <c r="T53" s="40">
        <f t="shared" si="153"/>
        <v>0.48304219507330759</v>
      </c>
      <c r="U53" s="40">
        <f t="shared" si="153"/>
        <v>0.46031247971262246</v>
      </c>
      <c r="V53" s="40">
        <f t="shared" ref="V53:AA53" si="154">V52/V46</f>
        <v>0.48637505535482961</v>
      </c>
      <c r="W53" s="40">
        <f t="shared" si="154"/>
        <v>0.47076086078123758</v>
      </c>
      <c r="X53" s="40">
        <f t="shared" si="154"/>
        <v>0.45772629475948978</v>
      </c>
      <c r="Y53" s="40">
        <f t="shared" si="154"/>
        <v>0.43151993691811902</v>
      </c>
      <c r="Z53" s="40">
        <f t="shared" si="154"/>
        <v>0.43857255537316947</v>
      </c>
      <c r="AA53" s="40">
        <f t="shared" si="154"/>
        <v>0.45978822789242835</v>
      </c>
      <c r="AB53" s="41">
        <f t="shared" ref="AB53:AD53" si="155">AB52/AB46</f>
        <v>0.4599468667257039</v>
      </c>
      <c r="AC53" s="41">
        <f t="shared" si="155"/>
        <v>0.4602650133632884</v>
      </c>
      <c r="AD53" s="41">
        <f t="shared" si="155"/>
        <v>0.46031706120975308</v>
      </c>
      <c r="AE53" s="41">
        <f t="shared" ref="AE53" si="156">AE52/AE46</f>
        <v>0.46032020110625332</v>
      </c>
      <c r="AI53" s="40">
        <f t="shared" ref="AI53" si="157">AI52/AI46</f>
        <v>0.45506457466111644</v>
      </c>
      <c r="AJ53" s="40">
        <f t="shared" ref="AJ53" si="158">AJ52/AJ46</f>
        <v>0.51932367149758463</v>
      </c>
      <c r="AK53" s="40">
        <f t="shared" ref="AK53:AM53" si="159">AK52/AK46</f>
        <v>0.50662966389145847</v>
      </c>
      <c r="AL53" s="40">
        <f t="shared" si="159"/>
        <v>0.55894743268819835</v>
      </c>
      <c r="AM53" s="40">
        <f t="shared" si="159"/>
        <v>0.50143427927466444</v>
      </c>
      <c r="AN53" s="40">
        <f t="shared" ref="AN53:AO53" si="160">AN52/AN46</f>
        <v>0.54793944491169055</v>
      </c>
      <c r="AO53" s="40">
        <f t="shared" si="160"/>
        <v>0.51254873963424674</v>
      </c>
      <c r="AP53" s="40">
        <f t="shared" ref="AP53:CD53" si="161">AP52/AP46</f>
        <v>0.551133414085482</v>
      </c>
      <c r="AQ53" s="40">
        <f t="shared" si="161"/>
        <v>0.54883370955605715</v>
      </c>
      <c r="AR53" s="40">
        <f t="shared" si="161"/>
        <v>0.54965056061139328</v>
      </c>
      <c r="AS53" s="40">
        <f t="shared" si="161"/>
        <v>0.47151114781172582</v>
      </c>
      <c r="AT53" s="40">
        <f t="shared" si="161"/>
        <v>0.50245680773498169</v>
      </c>
      <c r="AU53" s="40">
        <f t="shared" si="161"/>
        <v>0.514067263005347</v>
      </c>
      <c r="AV53" s="40">
        <f t="shared" si="161"/>
        <v>0.57546560447841533</v>
      </c>
      <c r="AW53" s="40">
        <f t="shared" si="161"/>
        <v>0.51368766673507071</v>
      </c>
      <c r="AX53" s="40">
        <f t="shared" si="161"/>
        <v>0.52298905283198471</v>
      </c>
      <c r="AY53" s="40">
        <f t="shared" si="161"/>
        <v>0.52233660050238884</v>
      </c>
      <c r="AZ53" s="40">
        <f t="shared" si="161"/>
        <v>0.57388657680601285</v>
      </c>
      <c r="BA53" s="40">
        <f t="shared" si="161"/>
        <v>0.51639671267852871</v>
      </c>
      <c r="BB53" s="40">
        <f t="shared" si="161"/>
        <v>0.54917234664070114</v>
      </c>
      <c r="BC53" s="40">
        <f t="shared" si="161"/>
        <v>0.50713606089438623</v>
      </c>
      <c r="BD53" s="40">
        <f t="shared" si="161"/>
        <v>0.52019950124688275</v>
      </c>
      <c r="BE53" s="40">
        <f t="shared" si="161"/>
        <v>0.46770262035344295</v>
      </c>
      <c r="BF53" s="40">
        <f t="shared" si="161"/>
        <v>0.54070588235294126</v>
      </c>
      <c r="BG53" s="40">
        <f t="shared" si="161"/>
        <v>0.49250788643533117</v>
      </c>
      <c r="BH53" s="40">
        <f t="shared" si="161"/>
        <v>0.48323823109843084</v>
      </c>
      <c r="BI53" s="40">
        <f t="shared" si="161"/>
        <v>0.4405654933641085</v>
      </c>
      <c r="BJ53" s="40">
        <f t="shared" si="161"/>
        <v>0.46353266505357749</v>
      </c>
      <c r="BK53" s="40">
        <f t="shared" si="161"/>
        <v>0.46719681908548705</v>
      </c>
      <c r="BL53" s="40">
        <f t="shared" si="161"/>
        <v>0.43083652268999456</v>
      </c>
      <c r="BM53" s="40">
        <f t="shared" si="161"/>
        <v>0.48338278931750744</v>
      </c>
      <c r="BN53" s="40">
        <f t="shared" si="161"/>
        <v>0.49105058365758764</v>
      </c>
      <c r="BO53" s="40">
        <f t="shared" si="161"/>
        <v>0.42759250799451809</v>
      </c>
      <c r="BP53" s="40">
        <f t="shared" si="161"/>
        <v>0.46398012696660224</v>
      </c>
      <c r="BQ53" s="40">
        <f t="shared" si="161"/>
        <v>0.53960529872938634</v>
      </c>
      <c r="BR53" s="40">
        <f t="shared" si="161"/>
        <v>0.5044549266247379</v>
      </c>
      <c r="BS53" s="40">
        <f t="shared" si="161"/>
        <v>0.48217821782178227</v>
      </c>
      <c r="BT53" s="40">
        <f t="shared" si="161"/>
        <v>0.46509100787829405</v>
      </c>
      <c r="BU53" s="40">
        <f t="shared" si="161"/>
        <v>0.43882141250562307</v>
      </c>
      <c r="BV53" s="40">
        <f t="shared" si="161"/>
        <v>0.45798419918601874</v>
      </c>
      <c r="BW53" s="40">
        <f t="shared" si="161"/>
        <v>0.43978590544156998</v>
      </c>
      <c r="BX53" s="40">
        <f t="shared" si="161"/>
        <v>0.46046835149547882</v>
      </c>
      <c r="BY53" s="40">
        <f t="shared" si="161"/>
        <v>0.47064430041936711</v>
      </c>
      <c r="BZ53" s="40">
        <f t="shared" si="161"/>
        <v>0.44628267973856206</v>
      </c>
      <c r="CA53" s="40">
        <f t="shared" si="161"/>
        <v>0.437003213258921</v>
      </c>
      <c r="CB53" s="40">
        <f t="shared" si="161"/>
        <v>0.43764413695227966</v>
      </c>
      <c r="CC53" s="40">
        <f t="shared" si="161"/>
        <v>0.40839694656488545</v>
      </c>
      <c r="CD53" s="40">
        <f t="shared" si="161"/>
        <v>0.42263873575891225</v>
      </c>
      <c r="CE53" s="40">
        <f t="shared" ref="CE53:CF53" si="162">CE52/CE46</f>
        <v>0.43637770897832812</v>
      </c>
      <c r="CF53" s="40">
        <f t="shared" si="162"/>
        <v>0.46050283860502833</v>
      </c>
      <c r="CG53" s="40">
        <f t="shared" ref="CG53:CH53" si="163">CG52/CG46</f>
        <v>0.43392070484581496</v>
      </c>
      <c r="CH53" s="40">
        <f t="shared" si="163"/>
        <v>0.45700369499496141</v>
      </c>
      <c r="CI53" s="40">
        <f t="shared" ref="CI53:CJ53" si="164">CI52/CI46</f>
        <v>0.44742762861856916</v>
      </c>
      <c r="CJ53" s="40">
        <f t="shared" si="164"/>
        <v>0.4753694581280789</v>
      </c>
      <c r="CK53" s="40">
        <f t="shared" ref="CK53:CL53" si="165">CK52/CK46</f>
        <v>0.45943877551020407</v>
      </c>
      <c r="CL53" s="40">
        <f t="shared" si="165"/>
        <v>0.45667719940129714</v>
      </c>
      <c r="CM53" s="41">
        <f t="shared" ref="CM53:DA53" si="166">AVERAGE(CI53:CL53)</f>
        <v>0.45972826541453737</v>
      </c>
      <c r="CN53" s="41">
        <f t="shared" si="166"/>
        <v>0.46280342461352936</v>
      </c>
      <c r="CO53" s="41">
        <f t="shared" si="166"/>
        <v>0.45966191623489194</v>
      </c>
      <c r="CP53" s="41">
        <f t="shared" si="166"/>
        <v>0.45971770141606394</v>
      </c>
      <c r="CQ53" s="41">
        <f t="shared" si="166"/>
        <v>0.46047782691975558</v>
      </c>
      <c r="CR53" s="41">
        <f t="shared" si="166"/>
        <v>0.46066521729606019</v>
      </c>
      <c r="CS53" s="41">
        <f t="shared" si="166"/>
        <v>0.4601306654666929</v>
      </c>
      <c r="CT53" s="41">
        <f t="shared" si="166"/>
        <v>0.4602478527746432</v>
      </c>
      <c r="CU53" s="41">
        <f t="shared" si="166"/>
        <v>0.46038039061428793</v>
      </c>
      <c r="CV53" s="41">
        <f t="shared" si="166"/>
        <v>0.46035603153792104</v>
      </c>
      <c r="CW53" s="41">
        <f t="shared" si="166"/>
        <v>0.46027873509838624</v>
      </c>
      <c r="CX53" s="41">
        <f t="shared" si="166"/>
        <v>0.46031575250630963</v>
      </c>
      <c r="CY53" s="41">
        <f t="shared" si="166"/>
        <v>0.46033272743922626</v>
      </c>
      <c r="CZ53" s="41">
        <f t="shared" si="166"/>
        <v>0.46032081164546079</v>
      </c>
      <c r="DA53" s="41">
        <f t="shared" si="166"/>
        <v>0.46031200667234573</v>
      </c>
      <c r="DD53" s="124"/>
      <c r="DE53" s="40">
        <v>0.45976926215825192</v>
      </c>
    </row>
    <row r="54" spans="1:109" s="38" customFormat="1" x14ac:dyDescent="0.2">
      <c r="A54" s="38" t="s">
        <v>447</v>
      </c>
      <c r="C54" s="38">
        <f t="shared" ref="C54:AE54" si="167">+IF(B52&lt;0,1-C52/B52,C52/B52-1)</f>
        <v>0.12608113997304105</v>
      </c>
      <c r="D54" s="38">
        <f t="shared" si="167"/>
        <v>0.16042761497012381</v>
      </c>
      <c r="E54" s="38">
        <f t="shared" si="167"/>
        <v>0.10529626329068398</v>
      </c>
      <c r="F54" s="38">
        <f t="shared" si="167"/>
        <v>0.1922102636575802</v>
      </c>
      <c r="G54" s="38">
        <f t="shared" si="167"/>
        <v>0.17709970300631084</v>
      </c>
      <c r="H54" s="38">
        <f t="shared" si="167"/>
        <v>0.16559937557595994</v>
      </c>
      <c r="I54" s="38">
        <f t="shared" si="167"/>
        <v>2.96073671372723E-2</v>
      </c>
      <c r="J54" s="38">
        <f t="shared" si="167"/>
        <v>0.29682512633706448</v>
      </c>
      <c r="K54" s="38">
        <f t="shared" si="167"/>
        <v>-5.0228992673192474E-3</v>
      </c>
      <c r="L54" s="38">
        <f t="shared" si="167"/>
        <v>-8.9928318895831083E-3</v>
      </c>
      <c r="M54" s="38">
        <f t="shared" si="167"/>
        <v>0.1498500681478796</v>
      </c>
      <c r="N54" s="38">
        <f t="shared" si="167"/>
        <v>1.2281238665215799E-2</v>
      </c>
      <c r="O54" s="38">
        <f t="shared" si="167"/>
        <v>8.8715953307392903E-2</v>
      </c>
      <c r="P54" s="38">
        <f t="shared" si="167"/>
        <v>8.3931996647142793E-2</v>
      </c>
      <c r="Q54" s="38">
        <f t="shared" si="167"/>
        <v>2.8111916311837959E-2</v>
      </c>
      <c r="R54" s="38">
        <f t="shared" si="167"/>
        <v>1.2325341011868662E-2</v>
      </c>
      <c r="S54" s="38">
        <f t="shared" si="167"/>
        <v>9.1180103838562454E-2</v>
      </c>
      <c r="T54" s="38">
        <f t="shared" si="167"/>
        <v>0.10283354638193365</v>
      </c>
      <c r="U54" s="38">
        <f t="shared" si="167"/>
        <v>0.1280405002301146</v>
      </c>
      <c r="V54" s="38">
        <f t="shared" si="167"/>
        <v>-1.3440183209592838E-2</v>
      </c>
      <c r="W54" s="38">
        <f t="shared" si="167"/>
        <v>0.19957385759287405</v>
      </c>
      <c r="X54" s="38">
        <f t="shared" si="167"/>
        <v>0.18314544892220663</v>
      </c>
      <c r="Y54" s="38">
        <f t="shared" si="167"/>
        <v>0.16280056933254494</v>
      </c>
      <c r="Z54" s="38">
        <f t="shared" si="167"/>
        <v>0.14562227758711788</v>
      </c>
      <c r="AA54" s="38">
        <f t="shared" si="167"/>
        <v>0.11568740762343999</v>
      </c>
      <c r="AB54" s="39">
        <f t="shared" si="167"/>
        <v>0.13399734227256999</v>
      </c>
      <c r="AC54" s="39">
        <f t="shared" si="167"/>
        <v>0.13160258880028675</v>
      </c>
      <c r="AD54" s="39">
        <f t="shared" si="167"/>
        <v>9.906769095739576E-2</v>
      </c>
      <c r="AE54" s="39">
        <f t="shared" si="167"/>
        <v>9.9742136899518385E-2</v>
      </c>
      <c r="AM54" s="38">
        <f>+IF(AI52&lt;0,1-AM52/AI52,AM52/AI52-1)</f>
        <v>0.14800046909815867</v>
      </c>
      <c r="AN54" s="38">
        <f t="shared" ref="AN54" si="168">+IF(AJ52&lt;0,1-AN52/AJ52,AN52/AJ52-1)</f>
        <v>0.18252977878615972</v>
      </c>
      <c r="AO54" s="38">
        <f t="shared" ref="AO54" si="169">+IF(AK52&lt;0,1-AO52/AK52,AO52/AK52-1)</f>
        <v>-5.3256238587948923E-2</v>
      </c>
      <c r="AP54" s="38">
        <f t="shared" ref="AP54" si="170">+IF(AL52&lt;0,1-AP52/AL52,AP52/AL52-1)</f>
        <v>4.3691971600218649E-2</v>
      </c>
      <c r="AQ54" s="38">
        <f t="shared" ref="AQ54" si="171">+IF(AM52&lt;0,1-AQ52/AM52,AQ52/AM52-1)</f>
        <v>0.11768311369905016</v>
      </c>
      <c r="AR54" s="38">
        <f t="shared" ref="AR54" si="172">+IF(AN52&lt;0,1-AR52/AN52,AR52/AN52-1)</f>
        <v>4.8733691481197328E-2</v>
      </c>
      <c r="AS54" s="38">
        <f t="shared" ref="AS54" si="173">+IF(AO52&lt;0,1-AS52/AO52,AS52/AO52-1)</f>
        <v>0.16243437265616634</v>
      </c>
      <c r="AT54" s="38">
        <f t="shared" ref="AT54" si="174">+IF(AP52&lt;0,1-AT52/AP52,AT52/AP52-1)</f>
        <v>-4.7095761381479306E-3</v>
      </c>
      <c r="AU54" s="38">
        <f t="shared" ref="AU54" si="175">+IF(AQ52&lt;0,1-AU52/AQ52,AU52/AQ52-1)</f>
        <v>-5.9775157663833456E-2</v>
      </c>
      <c r="AV54" s="38">
        <f t="shared" ref="AV54" si="176">+IF(AR52&lt;0,1-AV52/AR52,AV52/AR52-1)</f>
        <v>-2.2045371386754664E-2</v>
      </c>
      <c r="AW54" s="38">
        <f t="shared" ref="AW54" si="177">+IF(AS52&lt;0,1-AW52/AS52,AW52/AS52-1)</f>
        <v>0.1536547147202505</v>
      </c>
      <c r="AX54" s="38">
        <f t="shared" ref="AX54" si="178">+IF(AT52&lt;0,1-AX52/AT52,AX52/AT52-1)</f>
        <v>0.15541535226077841</v>
      </c>
      <c r="AY54" s="38">
        <f t="shared" ref="AY54" si="179">+IF(AU52&lt;0,1-AY52/AU52,AY52/AU52-1)</f>
        <v>3.0912802566346098E-2</v>
      </c>
      <c r="AZ54" s="38">
        <f t="shared" ref="AZ54" si="180">+IF(AV52&lt;0,1-AZ52/AV52,AZ52/AV52-1)</f>
        <v>-0.13581517163969681</v>
      </c>
      <c r="BA54" s="38">
        <f t="shared" ref="BA54" si="181">+IF(AW52&lt;0,1-BA52/AW52,BA52/AW52-1)</f>
        <v>3.4196228827101605E-2</v>
      </c>
      <c r="BB54" s="38">
        <f t="shared" ref="BB54" si="182">+IF(AX52&lt;0,1-BB52/AX52,BB52/AX52-1)</f>
        <v>2.6574444848926237E-2</v>
      </c>
      <c r="BC54" s="38">
        <f t="shared" ref="BC54" si="183">+IF(AY52&lt;0,1-BC52/AY52,BC52/AY52-1)</f>
        <v>5.1862329090051063E-3</v>
      </c>
      <c r="BD54" s="38">
        <f t="shared" ref="BD54" si="184">+IF(AZ52&lt;0,1-BD52/AZ52,BD52/AZ52-1)</f>
        <v>0.12891005520077892</v>
      </c>
      <c r="BE54" s="38">
        <f t="shared" ref="BE54" si="185">+IF(BA52&lt;0,1-BE52/BA52,BE52/BA52-1)</f>
        <v>0.18587762669962893</v>
      </c>
      <c r="BF54" s="38">
        <f t="shared" ref="BF54" si="186">+IF(BB52&lt;0,1-BF52/BB52,BF52/BB52-1)</f>
        <v>1.8617021276595702E-2</v>
      </c>
      <c r="BG54" s="38">
        <f t="shared" ref="BG54" si="187">+IF(BC52&lt;0,1-BG52/BC52,BG52/BC52-1)</f>
        <v>0.1716697936210132</v>
      </c>
      <c r="BH54" s="38">
        <f t="shared" ref="BH54" si="188">+IF(BD52&lt;0,1-BH52/BD52,BH52/BD52-1)</f>
        <v>0.29913710450623232</v>
      </c>
      <c r="BI54" s="38">
        <f t="shared" ref="BI54" si="189">+IF(BE52&lt;0,1-BI52/BE52,BI52/BE52-1)</f>
        <v>-5.2117263843645123E-3</v>
      </c>
      <c r="BJ54" s="38">
        <f t="shared" ref="BJ54" si="190">+IF(BF52&lt;0,1-BJ52/BF52,BJ52/BF52-1)</f>
        <v>0.16710182767623993</v>
      </c>
      <c r="BK54" s="38">
        <f t="shared" ref="BK54" si="191">+IF(BG52&lt;0,1-BK52/BG52,BK52/BG52-1)</f>
        <v>0.12890312249799862</v>
      </c>
      <c r="BL54" s="38">
        <f t="shared" ref="BL54" si="192">+IF(BH52&lt;0,1-BL52/BH52,BL52/BH52-1)</f>
        <v>0.1630996309963102</v>
      </c>
      <c r="BM54" s="38">
        <f t="shared" ref="BM54" si="193">+IF(BI52&lt;0,1-BM52/BI52,BM52/BI52-1)</f>
        <v>6.6797642436149163E-2</v>
      </c>
      <c r="BN54" s="38">
        <f t="shared" ref="BN54" si="194">+IF(BJ52&lt;0,1-BN52/BJ52,BN52/BJ52-1)</f>
        <v>-5.8911260253541764E-2</v>
      </c>
      <c r="BO54" s="38">
        <f t="shared" ref="BO54" si="195">+IF(BK52&lt;0,1-BO52/BK52,BO52/BK52-1)</f>
        <v>-0.33617021276595738</v>
      </c>
      <c r="BP54" s="38">
        <f t="shared" ref="BP54" si="196">+IF(BL52&lt;0,1-BP52/BL52,BP52/BL52-1)</f>
        <v>6.6624365482233383E-2</v>
      </c>
      <c r="BQ54" s="38">
        <f t="shared" ref="BQ54" si="197">+IF(BM52&lt;0,1-BQ52/BM52,BQ52/BM52-1)</f>
        <v>0.22529158993247389</v>
      </c>
      <c r="BR54" s="38">
        <f t="shared" ref="BR54" si="198">+IF(BN52&lt;0,1-BR52/BN52,BR52/BN52-1)</f>
        <v>0.52535657686212334</v>
      </c>
      <c r="BS54" s="38">
        <f t="shared" ref="BS54" si="199">+IF(BO52&lt;0,1-BS52/BO52,BS52/BO52-1)</f>
        <v>0.5608974358974359</v>
      </c>
      <c r="BT54" s="38">
        <f t="shared" ref="BT54" si="200">+IF(BP52&lt;0,1-BT52/BP52,BT52/BP52-1)</f>
        <v>1.8441403926234612E-2</v>
      </c>
      <c r="BU54" s="38">
        <f t="shared" ref="BU54" si="201">+IF(BQ52&lt;0,1-BU52/BQ52,BU52/BQ52-1)</f>
        <v>-2.254509018036055E-2</v>
      </c>
      <c r="BV54" s="38">
        <f t="shared" ref="BV54" si="202">+IF(BR52&lt;0,1-BV52/BR52,BV52/BR52-1)</f>
        <v>-6.233766233766147E-3</v>
      </c>
      <c r="BW54" s="38">
        <f t="shared" ref="BW54" si="203">+IF(BS52&lt;0,1-BW52/BS52,BW52/BS52-1)</f>
        <v>0.34976043805612544</v>
      </c>
      <c r="BX54" s="38">
        <f t="shared" ref="BX54" si="204">+IF(BT52&lt;0,1-BX52/BT52,BX52/BT52-1)</f>
        <v>0.16004672897196248</v>
      </c>
      <c r="BY54" s="38">
        <f t="shared" ref="BY54" si="205">+IF(BU52&lt;0,1-BY52/BU52,BY52/BU52-1)</f>
        <v>0.26550486929779593</v>
      </c>
      <c r="BZ54" s="38">
        <f t="shared" ref="BZ54" si="206">+IF(BV52&lt;0,1-BZ52/BV52,BZ52/BV52-1)</f>
        <v>0.1421850496602195</v>
      </c>
      <c r="CA54" s="38">
        <f t="shared" ref="CA54" si="207">+IF(BW52&lt;0,1-CA52/BW52,CA52/BW52-1)</f>
        <v>0.31034482758620707</v>
      </c>
      <c r="CB54" s="38">
        <f t="shared" ref="CB54" si="208">+IF(BX52&lt;0,1-CB52/BX52,CB52/BX52-1)</f>
        <v>0.2421953675730113</v>
      </c>
      <c r="CC54" s="38">
        <f t="shared" ref="CC54" si="209">+IF(BY52&lt;0,1-CC52/BY52,CC52/BY52-1)</f>
        <v>-3.240178209801603E-3</v>
      </c>
      <c r="CD54" s="38">
        <f t="shared" ref="CD54" si="210">+IF(BZ52&lt;0,1-CD52/BZ52,CD52/BZ52-1)</f>
        <v>5.2631578947368585E-2</v>
      </c>
      <c r="CE54" s="38">
        <f t="shared" ref="CE54" si="211">+IF(CA52&lt;0,1-CE52/CA52,CE52/CA52-1)</f>
        <v>9.0944272445820484E-2</v>
      </c>
      <c r="CF54" s="38">
        <f t="shared" ref="CF54" si="212">+IF(CB52&lt;0,1-CF52/CB52,CF52/CB52-1)</f>
        <v>0.15079043372517176</v>
      </c>
      <c r="CG54" s="38">
        <f t="shared" ref="CG54" si="213">+IF(CC52&lt;0,1-CG52/CC52,CG52/CC52-1)</f>
        <v>0.2807801706623323</v>
      </c>
      <c r="CH54" s="38">
        <f t="shared" ref="CH54:CL54" si="214">+IF(CD52&lt;0,1-CH52/CD52,CH52/CD52-1)</f>
        <v>0.18304347826086942</v>
      </c>
      <c r="CI54" s="38">
        <f t="shared" si="214"/>
        <v>5.8176658389500258E-2</v>
      </c>
      <c r="CJ54" s="38">
        <f t="shared" si="214"/>
        <v>8.7706939063050715E-2</v>
      </c>
      <c r="CK54" s="38">
        <f t="shared" si="214"/>
        <v>0.14276649746192893</v>
      </c>
      <c r="CL54" s="38">
        <f t="shared" si="214"/>
        <v>9.1877986034543113E-3</v>
      </c>
      <c r="CM54" s="39">
        <f t="shared" ref="CM54" si="215">+CM52/CI52-1</f>
        <v>0.18308025145025564</v>
      </c>
      <c r="CN54" s="39">
        <f t="shared" ref="CN54" si="216">+CN52/CJ52-1</f>
        <v>0.24732292452529836</v>
      </c>
      <c r="CO54" s="39">
        <f t="shared" ref="CO54" si="217">+CO52/CK52-1</f>
        <v>9.0679410720449605E-2</v>
      </c>
      <c r="CP54" s="39">
        <f t="shared" ref="CP54" si="218">+CP52/CL52-1</f>
        <v>0.27922825955231922</v>
      </c>
      <c r="CQ54" s="39">
        <f t="shared" ref="CQ54" si="219">+CQ52/CM52-1</f>
        <v>9.6985285759580986E-2</v>
      </c>
      <c r="CR54" s="39">
        <f t="shared" ref="CR54" si="220">+CR52/CN52-1</f>
        <v>9.1709906821658471E-2</v>
      </c>
      <c r="CS54" s="39">
        <f t="shared" ref="CS54" si="221">+CS52/CO52-1</f>
        <v>9.8625365496952888E-2</v>
      </c>
      <c r="CT54" s="39">
        <f t="shared" ref="CT54" si="222">+CT52/CP52-1</f>
        <v>9.9558033792054745E-2</v>
      </c>
      <c r="CU54" s="39">
        <f t="shared" ref="CU54" si="223">+CU52/CQ52-1</f>
        <v>9.8557741717322012E-2</v>
      </c>
      <c r="CV54" s="39">
        <f t="shared" ref="CV54" si="224">+CV52/CR52-1</f>
        <v>9.8451223317064018E-2</v>
      </c>
      <c r="CW54" s="39">
        <f t="shared" ref="CW54" si="225">+CW52/CS52-1</f>
        <v>9.9726619031951458E-2</v>
      </c>
      <c r="CX54" s="39">
        <f t="shared" ref="CX54" si="226">+CX52/CT52-1</f>
        <v>9.9732859485709868E-2</v>
      </c>
      <c r="CY54" s="39">
        <f t="shared" ref="CY54" si="227">+CY52/CU52-1</f>
        <v>9.95822707436258E-2</v>
      </c>
      <c r="CZ54" s="39">
        <f t="shared" ref="CZ54" si="228">+CZ52/CV52-1</f>
        <v>9.9712210765009468E-2</v>
      </c>
      <c r="DA54" s="39">
        <f t="shared" ref="DA54" si="229">+DA52/CW52-1</f>
        <v>9.9922051002008905E-2</v>
      </c>
      <c r="DD54" s="121"/>
      <c r="DE54" s="38">
        <v>0.11562979885538494</v>
      </c>
    </row>
    <row r="55" spans="1:109" s="38" customFormat="1" x14ac:dyDescent="0.2">
      <c r="A55" s="38" t="s">
        <v>448</v>
      </c>
      <c r="AB55" s="39"/>
      <c r="AC55" s="39"/>
      <c r="AD55" s="39"/>
      <c r="AE55" s="39"/>
      <c r="AJ55" s="38">
        <f>+IF(AI52&lt;0,1-AJ52/AI52,AJ52/AI52-1)</f>
        <v>3.3775067432860517E-2</v>
      </c>
      <c r="AK55" s="38">
        <f t="shared" ref="AK55" si="230">+IF(AJ52&lt;0,1-AK52/AJ52,AK52/AJ52-1)</f>
        <v>0.11832104367555285</v>
      </c>
      <c r="AL55" s="38">
        <f t="shared" ref="AL55" si="231">+IF(AK52&lt;0,1-AL52/AK52,AL52/AK52-1)</f>
        <v>-7.131263948062494E-2</v>
      </c>
      <c r="AM55" s="38">
        <f t="shared" ref="AM55" si="232">+IF(AL52&lt;0,1-AM52/AL52,AM52/AL52-1)</f>
        <v>6.925177498634616E-2</v>
      </c>
      <c r="AN55" s="38">
        <f t="shared" ref="AN55" si="233">+IF(AM52&lt;0,1-AN52/AM52,AN52/AM52-1)</f>
        <v>6.4868730207375824E-2</v>
      </c>
      <c r="AO55" s="38">
        <f t="shared" ref="AO55" si="234">+IF(AN52&lt;0,1-AO52/AN52,AO52/AN52-1)</f>
        <v>-0.10466231772831935</v>
      </c>
      <c r="AP55" s="38">
        <f t="shared" ref="AP55" si="235">+IF(AO52&lt;0,1-AP52/AO52,AP52/AO52-1)</f>
        <v>2.3786563805850314E-2</v>
      </c>
      <c r="AQ55" s="38">
        <f t="shared" ref="AQ55" si="236">+IF(AP52&lt;0,1-AQ52/AP52,AQ52/AP52-1)</f>
        <v>0.14505494505494498</v>
      </c>
      <c r="AR55" s="38">
        <f t="shared" ref="AR55" si="237">+IF(AQ52&lt;0,1-AR52/AQ52,AR52/AQ52-1)</f>
        <v>-8.2259391280481431E-4</v>
      </c>
      <c r="AS55" s="38">
        <f t="shared" ref="AS55" si="238">+IF(AR52&lt;0,1-AS52/AR52,AS52/AR52-1)</f>
        <v>-7.5923893157704425E-3</v>
      </c>
      <c r="AT55" s="38">
        <f t="shared" ref="AT55" si="239">+IF(AS52&lt;0,1-AT52/AS52,AT52/AS52-1)</f>
        <v>-0.12342151350354891</v>
      </c>
      <c r="AU55" s="38">
        <f t="shared" ref="AU55" si="240">+IF(AT52&lt;0,1-AU52/AT52,AU52/AT52-1)</f>
        <v>8.1703470031545766E-2</v>
      </c>
      <c r="AV55" s="38">
        <f t="shared" ref="AV55" si="241">+IF(AU52&lt;0,1-AV52/AU52,AV52/AU52-1)</f>
        <v>3.9272868669194327E-2</v>
      </c>
      <c r="AW55" s="38">
        <f t="shared" ref="AW55" si="242">+IF(AV52&lt;0,1-AW52/AV52,AW52/AV52-1)</f>
        <v>0.17070433074548652</v>
      </c>
      <c r="AX55" s="38">
        <f t="shared" ref="AX55" si="243">+IF(AW52&lt;0,1-AX52/AW52,AX52/AW52-1)</f>
        <v>-0.1220837328219877</v>
      </c>
      <c r="AY55" s="38">
        <f t="shared" ref="AY55" si="244">+IF(AX52&lt;0,1-AY52/AX52,AY52/AX52-1)</f>
        <v>-3.4856206771022968E-2</v>
      </c>
      <c r="AZ55" s="38">
        <f t="shared" ref="AZ55" si="245">+IF(AY52&lt;0,1-AZ52/AY52,AZ52/AY52-1)</f>
        <v>-0.1288071664309286</v>
      </c>
      <c r="BA55" s="38">
        <f t="shared" ref="BA55" si="246">+IF(AZ52&lt;0,1-BA52/AZ52,BA52/AZ52-1)</f>
        <v>0.40101742612836855</v>
      </c>
      <c r="BB55" s="38">
        <f t="shared" ref="BB55" si="247">+IF(BA52&lt;0,1-BB52/BA52,BB52/BA52-1)</f>
        <v>-0.12855377008652646</v>
      </c>
      <c r="BC55" s="38">
        <f t="shared" ref="BC55" si="248">+IF(BB52&lt;0,1-BC52/BB52,BC52/BB52-1)</f>
        <v>-5.4964539007092417E-2</v>
      </c>
      <c r="BD55" s="38">
        <f t="shared" ref="BD55" si="249">+IF(BC52&lt;0,1-BD52/BC52,BD52/BC52-1)</f>
        <v>-2.1575984990619079E-2</v>
      </c>
      <c r="BE55" s="38">
        <f t="shared" ref="BE55" si="250">+IF(BD52&lt;0,1-BE52/BD52,BE52/BD52-1)</f>
        <v>0.47171620325982744</v>
      </c>
      <c r="BF55" s="38">
        <f t="shared" ref="BF55" si="251">+IF(BE52&lt;0,1-BF52/BE52,BF52/BE52-1)</f>
        <v>-0.25146579804560243</v>
      </c>
      <c r="BG55" s="38">
        <f t="shared" ref="BG55" si="252">+IF(BF52&lt;0,1-BG52/BF52,BG52/BF52-1)</f>
        <v>8.7032201914708285E-2</v>
      </c>
      <c r="BH55" s="38">
        <f t="shared" ref="BH55" si="253">+IF(BG52&lt;0,1-BH52/BG52,BH52/BG52-1)</f>
        <v>8.4867894315452608E-2</v>
      </c>
      <c r="BI55" s="38">
        <f t="shared" ref="BI55" si="254">+IF(BH52&lt;0,1-BI52/BH52,BI52/BH52-1)</f>
        <v>0.12693726937269378</v>
      </c>
      <c r="BJ55" s="38">
        <f t="shared" ref="BJ55" si="255">+IF(BI52&lt;0,1-BJ52/BI52,BJ52/BI52-1)</f>
        <v>-0.1218074656188608</v>
      </c>
      <c r="BK55" s="38">
        <f t="shared" ref="BK55" si="256">+IF(BJ52&lt;0,1-BK52/BJ52,BK52/BJ52-1)</f>
        <v>5.1454138702461183E-2</v>
      </c>
      <c r="BL55" s="38">
        <f t="shared" ref="BL55" si="257">+IF(BK52&lt;0,1-BL52/BK52,BL52/BK52-1)</f>
        <v>0.11773049645390077</v>
      </c>
      <c r="BM55" s="38">
        <f t="shared" ref="BM55" si="258">+IF(BL52&lt;0,1-BM52/BL52,BM52/BL52-1)</f>
        <v>3.362944162436543E-2</v>
      </c>
      <c r="BN55" s="38">
        <f t="shared" ref="BN55" si="259">+IF(BM52&lt;0,1-BN52/BM52,BN52/BM52-1)</f>
        <v>-0.22529158993247378</v>
      </c>
      <c r="BO55" s="38">
        <f t="shared" ref="BO55" si="260">+IF(BN52&lt;0,1-BO52/BN52,BO52/BN52-1)</f>
        <v>-0.2583201267828843</v>
      </c>
      <c r="BP55" s="38">
        <f t="shared" ref="BP55" si="261">+IF(BO52&lt;0,1-BP52/BO52,BP52/BO52-1)</f>
        <v>0.79594017094017078</v>
      </c>
      <c r="BQ55" s="38">
        <f t="shared" ref="BQ55" si="262">+IF(BP52&lt;0,1-BQ52/BP52,BQ52/BP52-1)</f>
        <v>0.18738845925044623</v>
      </c>
      <c r="BR55" s="38">
        <f t="shared" ref="BR55" si="263">+IF(BQ52&lt;0,1-BR52/BQ52,BR52/BQ52-1)</f>
        <v>-3.5571142284569146E-2</v>
      </c>
      <c r="BS55" s="38">
        <f t="shared" ref="BS55" si="264">+IF(BR52&lt;0,1-BS52/BR52,BS52/BR52-1)</f>
        <v>-0.24103896103896094</v>
      </c>
      <c r="BT55" s="38">
        <f t="shared" ref="BT55" si="265">+IF(BS52&lt;0,1-BT52/BS52,BT52/BS52-1)</f>
        <v>0.17180013689253948</v>
      </c>
      <c r="BU55" s="38">
        <f t="shared" ref="BU55" si="266">+IF(BT52&lt;0,1-BU52/BT52,BU52/BT52-1)</f>
        <v>0.13960280373831768</v>
      </c>
      <c r="BV55" s="38">
        <f t="shared" ref="BV55" si="267">+IF(BU52&lt;0,1-BV52/BU52,BV52/BU52-1)</f>
        <v>-1.9477191184008258E-2</v>
      </c>
      <c r="BW55" s="38">
        <f t="shared" ref="BW55" si="268">+IF(BV52&lt;0,1-BW52/BV52,BW52/BV52-1)</f>
        <v>3.0841610036591582E-2</v>
      </c>
      <c r="BX55" s="38">
        <f t="shared" ref="BX55" si="269">+IF(BW52&lt;0,1-BX52/BW52,BX52/BW52-1)</f>
        <v>7.0993914807304659E-3</v>
      </c>
      <c r="BY55" s="38">
        <f t="shared" ref="BY55" si="270">+IF(BX52&lt;0,1-BY52/BX52,BY52/BX52-1)</f>
        <v>0.24320241691842881</v>
      </c>
      <c r="BZ55" s="38">
        <f t="shared" ref="BZ55" si="271">+IF(BY52&lt;0,1-BZ52/BY52,BZ52/BY52-1)</f>
        <v>-0.11502632644795463</v>
      </c>
      <c r="CA55" s="38">
        <f t="shared" ref="CA55" si="272">+IF(BZ52&lt;0,1-CA52/BZ52,CA52/BZ52-1)</f>
        <v>0.18260869565217375</v>
      </c>
      <c r="CB55" s="38">
        <f t="shared" ref="CB55" si="273">+IF(CA52&lt;0,1-CB52/CA52,CB52/CA52-1)</f>
        <v>-4.5278637770897467E-2</v>
      </c>
      <c r="CC55" s="38">
        <f t="shared" ref="CC55" si="274">+IF(CB52&lt;0,1-CC52/CB52,CC52/CB52-1)</f>
        <v>-2.432103769761218E-3</v>
      </c>
      <c r="CD55" s="38">
        <f t="shared" ref="CD55" si="275">+IF(CC52&lt;0,1-CD52/CC52,CD52/CC52-1)</f>
        <v>-6.5420560747663337E-2</v>
      </c>
      <c r="CE55" s="38">
        <f t="shared" ref="CE55" si="276">+IF(CD52&lt;0,1-CE52/CD52,CE52/CD52-1)</f>
        <v>0.22565217391304304</v>
      </c>
      <c r="CF55" s="38">
        <f t="shared" ref="CF55" si="277">+IF(CE52&lt;0,1-CF52/CE52,CF52/CE52-1)</f>
        <v>7.0947144377437876E-3</v>
      </c>
      <c r="CG55" s="38">
        <f t="shared" ref="CG55" si="278">+IF(CF52&lt;0,1-CG52/CF52,CG52/CF52-1)</f>
        <v>0.11025008805917591</v>
      </c>
      <c r="CH55" s="38">
        <f t="shared" ref="CH55:CL55" si="279">+IF(CG52&lt;0,1-CH52/CG52,CH52/CG52-1)</f>
        <v>-0.13673857868020289</v>
      </c>
      <c r="CI55" s="38">
        <f t="shared" si="279"/>
        <v>9.6288129364204389E-2</v>
      </c>
      <c r="CJ55" s="38">
        <f t="shared" si="279"/>
        <v>3.5199463627220817E-2</v>
      </c>
      <c r="CK55" s="38">
        <f t="shared" si="279"/>
        <v>0.16645077720207224</v>
      </c>
      <c r="CL55" s="38">
        <f t="shared" si="279"/>
        <v>-0.23764575235980023</v>
      </c>
      <c r="CM55" s="39">
        <f t="shared" ref="CM55" si="280">+CM52/CL52-1</f>
        <v>0.28518878007141812</v>
      </c>
      <c r="CN55" s="39">
        <f t="shared" ref="CN55" si="281">+CN52/CM52-1</f>
        <v>9.1412033000888071E-2</v>
      </c>
      <c r="CO55" s="39">
        <f t="shared" ref="CO55" si="282">+CO52/CN52-1</f>
        <v>1.9963492451118947E-2</v>
      </c>
      <c r="CP55" s="39">
        <f t="shared" ref="CP55" si="283">+CP52/CO52-1</f>
        <v>-0.10585540738602151</v>
      </c>
      <c r="CQ55" s="39">
        <f t="shared" ref="CQ55" si="284">+CQ52/CP52-1</f>
        <v>0.10209665134746104</v>
      </c>
      <c r="CR55" s="39">
        <f t="shared" ref="CR55" si="285">+CR52/CQ52-1</f>
        <v>8.6163455717099602E-2</v>
      </c>
      <c r="CS55" s="39">
        <f t="shared" ref="CS55" si="286">+CS52/CR52-1</f>
        <v>2.6424472000979193E-2</v>
      </c>
      <c r="CT55" s="39">
        <f t="shared" ref="CT55" si="287">+CT52/CS52-1</f>
        <v>-0.10509633123599049</v>
      </c>
      <c r="CU55" s="39">
        <f t="shared" ref="CU55" si="288">+CU52/CT52-1</f>
        <v>0.10109404983662462</v>
      </c>
      <c r="CV55" s="39">
        <f t="shared" ref="CV55" si="289">+CV52/CU52-1</f>
        <v>8.6058139092102692E-2</v>
      </c>
      <c r="CW55" s="39">
        <f t="shared" ref="CW55" si="290">+CW52/CV52-1</f>
        <v>2.7616238504085677E-2</v>
      </c>
      <c r="CX55" s="39">
        <f t="shared" ref="CX55" si="291">+CX52/CW52-1</f>
        <v>-0.10509125306031797</v>
      </c>
      <c r="CY55" s="39">
        <f t="shared" ref="CY55" si="292">+CY52/CX52-1</f>
        <v>0.1009432747038721</v>
      </c>
      <c r="CZ55" s="39">
        <f t="shared" ref="CZ55" si="293">+CZ52/CY52-1</f>
        <v>8.6186480937522125E-2</v>
      </c>
      <c r="DA55" s="39">
        <f t="shared" ref="DA55" si="294">+DA52/CZ52-1</f>
        <v>2.7812321836544251E-2</v>
      </c>
      <c r="DD55" s="121"/>
    </row>
    <row r="56" spans="1:109" s="22" customFormat="1" outlineLevel="1" x14ac:dyDescent="0.2">
      <c r="A56" s="22" t="s">
        <v>7</v>
      </c>
      <c r="B56" s="22">
        <f>'Annual Raw'!C13</f>
        <v>4.9139999999999997</v>
      </c>
      <c r="C56" s="22">
        <f>'Annual Raw'!D13</f>
        <v>5.2111999999999998</v>
      </c>
      <c r="D56" s="22">
        <f>'Annual Raw'!E13</f>
        <v>7.6916000000000002</v>
      </c>
      <c r="E56" s="22">
        <f>'Annual Raw'!F13</f>
        <v>7.4721000000000002</v>
      </c>
      <c r="F56" s="22">
        <f>'Annual Raw'!G13</f>
        <v>8.3324999999999996</v>
      </c>
      <c r="G56" s="22">
        <f>'Annual Raw'!H13</f>
        <v>8.5091999999999999</v>
      </c>
      <c r="H56" s="22">
        <f>'Annual Raw'!I13</f>
        <v>8.9056999999999995</v>
      </c>
      <c r="I56" s="22">
        <f>'Annual Raw'!J13</f>
        <v>9.8512000000000004</v>
      </c>
      <c r="J56" s="22">
        <f>'Annual Raw'!K13</f>
        <v>10.789199999999999</v>
      </c>
      <c r="K56" s="22">
        <f>'Annual Raw'!L13</f>
        <v>9.0307999999999993</v>
      </c>
      <c r="L56" s="22">
        <f>'Annual Raw'!M13</f>
        <v>11.4101</v>
      </c>
      <c r="M56" s="22">
        <f>'Annual Raw'!N13</f>
        <v>13.952</v>
      </c>
      <c r="N56" s="22">
        <f>'Annual Raw'!O13</f>
        <v>14.356</v>
      </c>
      <c r="O56" s="22">
        <f>'Annual Raw'!P13</f>
        <v>15.666</v>
      </c>
      <c r="P56" s="22">
        <f>'Annual Raw'!Q13</f>
        <v>17.268999999999998</v>
      </c>
      <c r="Q56" s="22">
        <f>'Annual Raw'!R13</f>
        <v>17.588999999999999</v>
      </c>
      <c r="R56" s="22">
        <f>'Annual Raw'!S13</f>
        <v>18.916</v>
      </c>
      <c r="S56" s="22">
        <f>'Annual Raw'!T13</f>
        <v>21.13</v>
      </c>
      <c r="T56" s="22">
        <f>'Annual Raw'!U13</f>
        <v>22.995999999999999</v>
      </c>
      <c r="U56" s="22">
        <f>'Annual Raw'!V13</f>
        <v>24.233000000000001</v>
      </c>
      <c r="V56" s="22">
        <f>'Annual Raw'!W13</f>
        <v>17.966999999999999</v>
      </c>
      <c r="W56" s="22">
        <f>'Annual Raw'!X13</f>
        <v>21.501000000000001</v>
      </c>
      <c r="X56" s="22">
        <f>'Annual Raw'!Y13</f>
        <v>24.782</v>
      </c>
      <c r="Y56" s="22">
        <f>'Annual Raw'!Z13</f>
        <v>24.606000000000002</v>
      </c>
      <c r="Z56" s="22">
        <f>'Annual Raw'!AA13</f>
        <v>22.739000000000001</v>
      </c>
      <c r="AA56" s="22">
        <f>'Annual Raw'!AB13</f>
        <v>22.018999999999998</v>
      </c>
      <c r="AB56" s="75">
        <f t="shared" ref="AB56:AB61" si="295">+SUM(CL56:CO56)</f>
        <v>0</v>
      </c>
      <c r="AC56" s="75">
        <f t="shared" ref="AC56:AC61" si="296">+SUM(CP56:CS56)</f>
        <v>0</v>
      </c>
      <c r="AD56" s="75">
        <f t="shared" ref="AD56:AD61" si="297">+SUM(CT56:CW56)</f>
        <v>0</v>
      </c>
      <c r="AE56" s="75">
        <f t="shared" ref="AE56:AE61" si="298">+SUM(CX56:DA56)</f>
        <v>0</v>
      </c>
      <c r="AI56" s="22">
        <f>'QTR Raw'!C15</f>
        <v>0</v>
      </c>
      <c r="AJ56" s="22">
        <f>'QTR Raw'!D15</f>
        <v>0</v>
      </c>
      <c r="AK56" s="22">
        <f>'QTR Raw'!E15</f>
        <v>0</v>
      </c>
      <c r="AL56" s="22">
        <f>'QTR Raw'!F15</f>
        <v>0</v>
      </c>
      <c r="AM56" s="22">
        <f>'QTR Raw'!G15</f>
        <v>0</v>
      </c>
      <c r="AN56" s="22">
        <f>'QTR Raw'!H15</f>
        <v>0</v>
      </c>
      <c r="AO56" s="22">
        <f>'QTR Raw'!I15</f>
        <v>0</v>
      </c>
      <c r="AP56" s="22">
        <f>'QTR Raw'!J15</f>
        <v>0</v>
      </c>
      <c r="AQ56" s="22">
        <f>'QTR Raw'!K15</f>
        <v>0</v>
      </c>
      <c r="AR56" s="22">
        <f>'QTR Raw'!L15</f>
        <v>0</v>
      </c>
      <c r="AS56" s="22">
        <f>'QTR Raw'!M15</f>
        <v>0</v>
      </c>
      <c r="AT56" s="22">
        <f>'QTR Raw'!N15</f>
        <v>0</v>
      </c>
      <c r="AU56" s="22">
        <f>'QTR Raw'!O15</f>
        <v>0</v>
      </c>
      <c r="AV56" s="22">
        <f>'QTR Raw'!P15</f>
        <v>0</v>
      </c>
      <c r="AW56" s="22">
        <f>'QTR Raw'!Q15</f>
        <v>0</v>
      </c>
      <c r="AX56" s="22">
        <f>'QTR Raw'!R15</f>
        <v>0</v>
      </c>
      <c r="AY56" s="22">
        <f>'QTR Raw'!S15</f>
        <v>0</v>
      </c>
      <c r="AZ56" s="22">
        <f>'QTR Raw'!T15</f>
        <v>0</v>
      </c>
      <c r="BA56" s="22">
        <f>'QTR Raw'!U15</f>
        <v>0</v>
      </c>
      <c r="BB56" s="22">
        <f>'QTR Raw'!V15</f>
        <v>0</v>
      </c>
      <c r="BC56" s="22">
        <f>'QTR Raw'!W15</f>
        <v>0</v>
      </c>
      <c r="BD56" s="22">
        <f>'QTR Raw'!X15</f>
        <v>0</v>
      </c>
      <c r="BE56" s="22">
        <f>'QTR Raw'!Y15</f>
        <v>0</v>
      </c>
      <c r="BF56" s="22">
        <f>'QTR Raw'!Z15</f>
        <v>0</v>
      </c>
      <c r="BG56" s="22">
        <f>'QTR Raw'!AA15</f>
        <v>0</v>
      </c>
      <c r="BH56" s="22">
        <f>'QTR Raw'!AB15</f>
        <v>0</v>
      </c>
      <c r="BI56" s="22">
        <f>'QTR Raw'!AC15</f>
        <v>0</v>
      </c>
      <c r="BJ56" s="22">
        <f>'QTR Raw'!AD15</f>
        <v>0</v>
      </c>
      <c r="BK56" s="22">
        <f>'QTR Raw'!AE15</f>
        <v>0</v>
      </c>
      <c r="BL56" s="22">
        <f>'QTR Raw'!AF15</f>
        <v>0</v>
      </c>
      <c r="BM56" s="22">
        <f>'QTR Raw'!AG15</f>
        <v>0</v>
      </c>
      <c r="BN56" s="22">
        <f>'QTR Raw'!AH15</f>
        <v>0</v>
      </c>
      <c r="BO56" s="22">
        <f>'QTR Raw'!AI15</f>
        <v>0</v>
      </c>
      <c r="BP56" s="22">
        <f>'QTR Raw'!AJ15</f>
        <v>0</v>
      </c>
      <c r="BQ56" s="22">
        <f>'QTR Raw'!AK15</f>
        <v>0</v>
      </c>
      <c r="BR56" s="22">
        <f>'QTR Raw'!AL15</f>
        <v>0</v>
      </c>
      <c r="BS56" s="22">
        <f>'QTR Raw'!AM15</f>
        <v>0</v>
      </c>
      <c r="BT56" s="22">
        <f>'QTR Raw'!AN15</f>
        <v>0</v>
      </c>
      <c r="BU56" s="22">
        <f>'QTR Raw'!AO15</f>
        <v>0</v>
      </c>
      <c r="BV56" s="22">
        <f>'QTR Raw'!AP15</f>
        <v>0</v>
      </c>
      <c r="BW56" s="22">
        <f>'QTR Raw'!AQ15</f>
        <v>0</v>
      </c>
      <c r="BX56" s="22">
        <f>'QTR Raw'!AR15</f>
        <v>0</v>
      </c>
      <c r="BY56" s="22">
        <f>'QTR Raw'!AS15</f>
        <v>0</v>
      </c>
      <c r="BZ56" s="22">
        <f>'QTR Raw'!AT15</f>
        <v>0</v>
      </c>
      <c r="CA56" s="22">
        <f>'QTR Raw'!AU15</f>
        <v>0</v>
      </c>
      <c r="CB56" s="22">
        <f>'QTR Raw'!AV15</f>
        <v>0</v>
      </c>
      <c r="CC56" s="22">
        <f>'QTR Raw'!AW15</f>
        <v>0</v>
      </c>
      <c r="CD56" s="22">
        <f>'QTR Raw'!AX15</f>
        <v>0</v>
      </c>
      <c r="CE56" s="22">
        <f>'QTR Raw'!AY15</f>
        <v>0</v>
      </c>
      <c r="CF56" s="22">
        <f>'QTR Raw'!AZ15</f>
        <v>0</v>
      </c>
      <c r="CG56" s="22">
        <f>'QTR Raw'!BA15</f>
        <v>0</v>
      </c>
      <c r="CH56" s="22">
        <f>'QTR Raw'!BB15</f>
        <v>0</v>
      </c>
      <c r="CI56" s="22">
        <f>'QTR Raw'!BC15</f>
        <v>0</v>
      </c>
      <c r="CJ56" s="22">
        <f>'QTR Raw'!BD15</f>
        <v>0</v>
      </c>
      <c r="CK56" s="22">
        <f>'QTR Raw'!BE15</f>
        <v>0</v>
      </c>
      <c r="CL56" s="22">
        <f>'QTR Raw'!BF15</f>
        <v>0</v>
      </c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D56" s="122"/>
      <c r="DE56" s="22">
        <v>0</v>
      </c>
    </row>
    <row r="57" spans="1:109" s="22" customFormat="1" outlineLevel="1" x14ac:dyDescent="0.2">
      <c r="A57" s="22" t="s">
        <v>11</v>
      </c>
      <c r="B57" s="22">
        <f>('Annual Raw'!C18)</f>
        <v>8.4801000000000002</v>
      </c>
      <c r="C57" s="22">
        <f>('Annual Raw'!D18)</f>
        <v>9.1987000000000005</v>
      </c>
      <c r="D57" s="22">
        <f>('Annual Raw'!E18)</f>
        <v>10.301299999999999</v>
      </c>
      <c r="E57" s="22">
        <f>('Annual Raw'!F18)</f>
        <v>10.936500000000001</v>
      </c>
      <c r="F57" s="22">
        <f>('Annual Raw'!G18)</f>
        <v>12.7087</v>
      </c>
      <c r="G57" s="22">
        <f>('Annual Raw'!H18)</f>
        <v>13.825200000000001</v>
      </c>
      <c r="H57" s="22">
        <f>('Annual Raw'!I18)</f>
        <v>11.452199999999999</v>
      </c>
      <c r="I57" s="22">
        <f>('Annual Raw'!J18)</f>
        <v>13.272</v>
      </c>
      <c r="J57" s="22">
        <f>('Annual Raw'!K18)</f>
        <v>25.514700000000001</v>
      </c>
      <c r="K57" s="22">
        <f>('Annual Raw'!L18)</f>
        <v>20.5916</v>
      </c>
      <c r="L57" s="22">
        <f>('Annual Raw'!M18)</f>
        <v>18.046800000000001</v>
      </c>
      <c r="M57" s="22">
        <f>('Annual Raw'!N18)</f>
        <v>23.242999999999999</v>
      </c>
      <c r="N57" s="22">
        <f>('Annual Raw'!O18)</f>
        <v>13.967000000000001</v>
      </c>
      <c r="O57" s="22">
        <f>('Annual Raw'!P18)</f>
        <v>17.035</v>
      </c>
      <c r="P57" s="22">
        <f>('Annual Raw'!Q18)</f>
        <v>20.998999999999999</v>
      </c>
      <c r="Q57" s="22">
        <f>('Annual Raw'!R18)</f>
        <v>22.687000000000001</v>
      </c>
      <c r="R57" s="22">
        <f>('Annual Raw'!S18)</f>
        <v>18.300999999999998</v>
      </c>
      <c r="S57" s="22">
        <f>('Annual Raw'!T18)</f>
        <v>10.936999999999999</v>
      </c>
      <c r="T57" s="22">
        <f>('Annual Raw'!U18)</f>
        <v>8.2720000000000002</v>
      </c>
      <c r="U57" s="22">
        <f>('Annual Raw'!V18)</f>
        <v>8.9960000000000004</v>
      </c>
      <c r="V57" s="22">
        <f>('Annual Raw'!W18)</f>
        <v>10.77</v>
      </c>
      <c r="W57" s="22">
        <f>('Annual Raw'!X18)</f>
        <v>38.283999999999999</v>
      </c>
      <c r="X57" s="22">
        <f>('Annual Raw'!Y18)</f>
        <v>53.298999999999999</v>
      </c>
      <c r="Y57" s="22">
        <f>('Annual Raw'!Z18)</f>
        <v>55.627000000000002</v>
      </c>
      <c r="Z57" s="22">
        <f>('Annual Raw'!AA18)</f>
        <v>63.031999999999996</v>
      </c>
      <c r="AA57" s="22">
        <f>('Annual Raw'!AB18)</f>
        <v>72.796000000000006</v>
      </c>
      <c r="AB57" s="75">
        <f t="shared" si="295"/>
        <v>0</v>
      </c>
      <c r="AC57" s="75">
        <f t="shared" si="296"/>
        <v>0</v>
      </c>
      <c r="AD57" s="75">
        <f t="shared" si="297"/>
        <v>0</v>
      </c>
      <c r="AE57" s="75">
        <f t="shared" si="298"/>
        <v>0</v>
      </c>
      <c r="AI57" s="22">
        <f>'QTR Raw'!C18</f>
        <v>0</v>
      </c>
      <c r="AJ57" s="22">
        <f>'QTR Raw'!D18</f>
        <v>0</v>
      </c>
      <c r="AK57" s="22">
        <f>'QTR Raw'!E18</f>
        <v>0</v>
      </c>
      <c r="AL57" s="22">
        <f>'QTR Raw'!F18</f>
        <v>0</v>
      </c>
      <c r="AM57" s="22">
        <f>'QTR Raw'!G18</f>
        <v>0</v>
      </c>
      <c r="AN57" s="22">
        <f>'QTR Raw'!H18</f>
        <v>0</v>
      </c>
      <c r="AO57" s="22">
        <f>'QTR Raw'!I18</f>
        <v>0</v>
      </c>
      <c r="AP57" s="22">
        <f>'QTR Raw'!J18</f>
        <v>0</v>
      </c>
      <c r="AQ57" s="22">
        <f>'QTR Raw'!K18</f>
        <v>0</v>
      </c>
      <c r="AR57" s="22">
        <f>'QTR Raw'!L18</f>
        <v>0</v>
      </c>
      <c r="AS57" s="22">
        <f>'QTR Raw'!M18</f>
        <v>0</v>
      </c>
      <c r="AT57" s="22">
        <f>'QTR Raw'!N18</f>
        <v>0</v>
      </c>
      <c r="AU57" s="22">
        <f>'QTR Raw'!O18</f>
        <v>0</v>
      </c>
      <c r="AV57" s="22">
        <f>'QTR Raw'!P18</f>
        <v>0</v>
      </c>
      <c r="AW57" s="22">
        <f>'QTR Raw'!Q18</f>
        <v>0</v>
      </c>
      <c r="AX57" s="22">
        <f>'QTR Raw'!R18</f>
        <v>0</v>
      </c>
      <c r="AY57" s="22">
        <f>'QTR Raw'!S18</f>
        <v>0</v>
      </c>
      <c r="AZ57" s="22">
        <f>'QTR Raw'!T18</f>
        <v>0</v>
      </c>
      <c r="BA57" s="22">
        <f>'QTR Raw'!U18</f>
        <v>0</v>
      </c>
      <c r="BB57" s="22">
        <f>'QTR Raw'!V18</f>
        <v>0</v>
      </c>
      <c r="BC57" s="22">
        <f>'QTR Raw'!W18</f>
        <v>0</v>
      </c>
      <c r="BD57" s="22">
        <f>'QTR Raw'!X18</f>
        <v>0</v>
      </c>
      <c r="BE57" s="22">
        <f>'QTR Raw'!Y18</f>
        <v>0</v>
      </c>
      <c r="BF57" s="22">
        <f>'QTR Raw'!Z18</f>
        <v>0</v>
      </c>
      <c r="BG57" s="22">
        <f>'QTR Raw'!AA18</f>
        <v>0</v>
      </c>
      <c r="BH57" s="22">
        <f>'QTR Raw'!AB18</f>
        <v>0</v>
      </c>
      <c r="BI57" s="22">
        <f>'QTR Raw'!AC18</f>
        <v>0</v>
      </c>
      <c r="BJ57" s="22">
        <f>'QTR Raw'!AD18</f>
        <v>0</v>
      </c>
      <c r="BK57" s="22">
        <f>'QTR Raw'!AE18</f>
        <v>0</v>
      </c>
      <c r="BL57" s="22">
        <f>'QTR Raw'!AF18</f>
        <v>0</v>
      </c>
      <c r="BM57" s="22">
        <f>'QTR Raw'!AG18</f>
        <v>0</v>
      </c>
      <c r="BN57" s="22">
        <f>'QTR Raw'!AH18</f>
        <v>0</v>
      </c>
      <c r="BO57" s="22">
        <f>'QTR Raw'!AI18</f>
        <v>0</v>
      </c>
      <c r="BP57" s="22">
        <f>'QTR Raw'!AJ18</f>
        <v>0</v>
      </c>
      <c r="BQ57" s="22">
        <f>'QTR Raw'!AK18</f>
        <v>0</v>
      </c>
      <c r="BR57" s="22">
        <f>'QTR Raw'!AL18</f>
        <v>0</v>
      </c>
      <c r="BS57" s="22">
        <f>'QTR Raw'!AM18</f>
        <v>0</v>
      </c>
      <c r="BT57" s="22">
        <f>'QTR Raw'!AN18</f>
        <v>0</v>
      </c>
      <c r="BU57" s="22">
        <f>'QTR Raw'!AO18</f>
        <v>0</v>
      </c>
      <c r="BV57" s="22">
        <f>'QTR Raw'!AP18</f>
        <v>0</v>
      </c>
      <c r="BW57" s="22">
        <f>'QTR Raw'!AQ18</f>
        <v>0</v>
      </c>
      <c r="BX57" s="22">
        <f>'QTR Raw'!AR18</f>
        <v>0</v>
      </c>
      <c r="BY57" s="22">
        <f>'QTR Raw'!AS18</f>
        <v>0</v>
      </c>
      <c r="BZ57" s="22">
        <f>'QTR Raw'!AT18</f>
        <v>0</v>
      </c>
      <c r="CA57" s="22">
        <f>'QTR Raw'!AU18</f>
        <v>0</v>
      </c>
      <c r="CB57" s="22">
        <f>'QTR Raw'!AV18</f>
        <v>0</v>
      </c>
      <c r="CC57" s="22">
        <f>'QTR Raw'!AW18</f>
        <v>0</v>
      </c>
      <c r="CD57" s="22">
        <f>'QTR Raw'!AX18</f>
        <v>0</v>
      </c>
      <c r="CE57" s="22">
        <f>'QTR Raw'!AY18</f>
        <v>0</v>
      </c>
      <c r="CF57" s="22">
        <f>'QTR Raw'!AZ18</f>
        <v>0</v>
      </c>
      <c r="CG57" s="22">
        <f>'QTR Raw'!BA18</f>
        <v>0</v>
      </c>
      <c r="CH57" s="22">
        <f>'QTR Raw'!BB18</f>
        <v>0</v>
      </c>
      <c r="CI57" s="22">
        <f>'QTR Raw'!BC18</f>
        <v>0</v>
      </c>
      <c r="CJ57" s="22">
        <f>'QTR Raw'!BD18</f>
        <v>0</v>
      </c>
      <c r="CK57" s="22">
        <f>'QTR Raw'!BE18</f>
        <v>0</v>
      </c>
      <c r="CL57" s="22">
        <f>'QTR Raw'!BF18</f>
        <v>0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D57" s="122"/>
      <c r="DE57" s="22">
        <v>0</v>
      </c>
    </row>
    <row r="58" spans="1:109" s="22" customFormat="1" outlineLevel="1" x14ac:dyDescent="0.2">
      <c r="A58" s="22" t="s">
        <v>9</v>
      </c>
      <c r="B58" s="22">
        <f>'Annual Raw'!C15+'Annual Raw'!C16</f>
        <v>14.978199999999999</v>
      </c>
      <c r="C58" s="22">
        <f>'Annual Raw'!D15+'Annual Raw'!D16</f>
        <v>15.8263</v>
      </c>
      <c r="D58" s="22">
        <f>'Annual Raw'!E15+'Annual Raw'!E16</f>
        <v>19.458500000000001</v>
      </c>
      <c r="E58" s="22">
        <f>'Annual Raw'!F15+'Annual Raw'!F16</f>
        <v>20.857800000000001</v>
      </c>
      <c r="F58" s="22">
        <f>'Annual Raw'!G15+'Annual Raw'!G16</f>
        <v>26.298200000000001</v>
      </c>
      <c r="G58" s="22">
        <f>'Annual Raw'!H15+'Annual Raw'!H16</f>
        <v>31.378399999999999</v>
      </c>
      <c r="H58" s="22">
        <f>'Annual Raw'!I15+'Annual Raw'!I16</f>
        <v>36.229999999999997</v>
      </c>
      <c r="I58" s="22">
        <f>'Annual Raw'!J15+'Annual Raw'!J16</f>
        <v>40.324599999999997</v>
      </c>
      <c r="J58" s="22">
        <f>'Annual Raw'!K15+'Annual Raw'!K16</f>
        <v>45.583799999999997</v>
      </c>
      <c r="K58" s="22">
        <f>'Annual Raw'!L15+'Annual Raw'!L16</f>
        <v>42.218400000000003</v>
      </c>
      <c r="L58" s="22">
        <f>'Annual Raw'!M15+'Annual Raw'!M16</f>
        <v>48.388399999999997</v>
      </c>
      <c r="M58" s="22">
        <f>'Annual Raw'!N15+'Annual Raw'!N16</f>
        <v>64.260000000000005</v>
      </c>
      <c r="N58" s="22">
        <f>'Annual Raw'!O15+'Annual Raw'!O16</f>
        <v>65.188000000000002</v>
      </c>
      <c r="O58" s="22">
        <f>'Annual Raw'!P15+'Annual Raw'!P16</f>
        <v>70.271000000000001</v>
      </c>
      <c r="P58" s="22">
        <f>'Annual Raw'!Q15+'Annual Raw'!Q16</f>
        <v>76.210999999999999</v>
      </c>
      <c r="Q58" s="22">
        <f>'Annual Raw'!R15+'Annual Raw'!R16</f>
        <v>79.745000000000005</v>
      </c>
      <c r="R58" s="22">
        <f>'Annual Raw'!S15+'Annual Raw'!S16</f>
        <v>84.483999999999995</v>
      </c>
      <c r="S58" s="22">
        <f>'Annual Raw'!T15+'Annual Raw'!T16</f>
        <v>98.730999999999995</v>
      </c>
      <c r="T58" s="22">
        <f>'Annual Raw'!U15+'Annual Raw'!U16</f>
        <v>114.02500000000001</v>
      </c>
      <c r="U58" s="22">
        <f>'Annual Raw'!V15+'Annual Raw'!V16</f>
        <v>120.732</v>
      </c>
      <c r="V58" s="22">
        <f>'Annual Raw'!W15+'Annual Raw'!W16</f>
        <v>97.183000000000007</v>
      </c>
      <c r="W58" s="22">
        <f>'Annual Raw'!X15+'Annual Raw'!X16</f>
        <v>142.01400000000001</v>
      </c>
      <c r="X58" s="22">
        <f>'Annual Raw'!Y15+'Annual Raw'!Y16</f>
        <v>182.54300000000001</v>
      </c>
      <c r="Y58" s="22">
        <f>'Annual Raw'!Z15+'Annual Raw'!Z16</f>
        <v>210.108</v>
      </c>
      <c r="Z58" s="22">
        <f>'Annual Raw'!AA15+'Annual Raw'!AA16</f>
        <v>240.31899999999999</v>
      </c>
      <c r="AA58" s="22">
        <f>'Annual Raw'!AB15+'Annual Raw'!AB16</f>
        <v>250.946</v>
      </c>
      <c r="AB58" s="75">
        <f t="shared" si="295"/>
        <v>613.90009788864063</v>
      </c>
      <c r="AC58" s="75">
        <f t="shared" si="296"/>
        <v>722.40762493403076</v>
      </c>
      <c r="AD58" s="75">
        <f t="shared" si="297"/>
        <v>805.82534597680103</v>
      </c>
      <c r="AE58" s="75">
        <f t="shared" si="298"/>
        <v>899.34372340303355</v>
      </c>
      <c r="AI58" s="22">
        <f>'QTR Raw'!C14</f>
        <v>34.83</v>
      </c>
      <c r="AJ58" s="22">
        <f>'QTR Raw'!D14</f>
        <v>40.74</v>
      </c>
      <c r="AK58" s="22">
        <f>'QTR Raw'!E14</f>
        <v>44.25</v>
      </c>
      <c r="AL58" s="22">
        <f>'QTR Raw'!F14</f>
        <v>41.57</v>
      </c>
      <c r="AM58" s="22">
        <f>'QTR Raw'!G14</f>
        <v>42.57</v>
      </c>
      <c r="AN58" s="22">
        <f>'QTR Raw'!H14</f>
        <v>46.26</v>
      </c>
      <c r="AO58" s="22">
        <f>'QTR Raw'!I14</f>
        <v>45.98</v>
      </c>
      <c r="AP58" s="22">
        <f>'QTR Raw'!J14</f>
        <v>39.340000000000003</v>
      </c>
      <c r="AQ58" s="22">
        <f>'QTR Raw'!K14</f>
        <v>47.79</v>
      </c>
      <c r="AR58" s="22">
        <f>'QTR Raw'!L14</f>
        <v>50.77</v>
      </c>
      <c r="AS58" s="22">
        <f>'QTR Raw'!M14</f>
        <v>58.53</v>
      </c>
      <c r="AT58" s="22">
        <f>'QTR Raw'!N14</f>
        <v>49.57</v>
      </c>
      <c r="AU58" s="22">
        <f>'QTR Raw'!O14</f>
        <v>49.28</v>
      </c>
      <c r="AV58" s="22">
        <f>'QTR Raw'!P14</f>
        <v>46.12</v>
      </c>
      <c r="AW58" s="22">
        <f>'QTR Raw'!Q14</f>
        <v>56.17</v>
      </c>
      <c r="AX58" s="22">
        <f>'QTR Raw'!R14</f>
        <v>49.86</v>
      </c>
      <c r="AY58" s="22">
        <f>'QTR Raw'!S14</f>
        <v>47.01</v>
      </c>
      <c r="AZ58" s="22">
        <f>'QTR Raw'!T14</f>
        <v>44.11</v>
      </c>
      <c r="BA58" s="22">
        <f>'QTR Raw'!U14</f>
        <v>55.48</v>
      </c>
      <c r="BB58" s="22">
        <f>'QTR Raw'!V14</f>
        <v>56.9</v>
      </c>
      <c r="BC58" s="22">
        <f>'QTR Raw'!W14</f>
        <v>46</v>
      </c>
      <c r="BD58" s="22">
        <f>'QTR Raw'!X14</f>
        <v>47.4</v>
      </c>
      <c r="BE58" s="22">
        <f>'QTR Raw'!Y14</f>
        <v>74.7</v>
      </c>
      <c r="BF58" s="22">
        <f>'QTR Raw'!Z14</f>
        <v>59.3</v>
      </c>
      <c r="BG58" s="22">
        <f>'QTR Raw'!AA14</f>
        <v>57.5</v>
      </c>
      <c r="BH58" s="22">
        <f>'QTR Raw'!AB14</f>
        <v>64</v>
      </c>
      <c r="BI58" s="22">
        <f>'QTR Raw'!AC14</f>
        <v>64.8</v>
      </c>
      <c r="BJ58" s="22">
        <f>'QTR Raw'!AD14</f>
        <v>60.6</v>
      </c>
      <c r="BK58" s="22">
        <f>'QTR Raw'!AE14</f>
        <v>63.4</v>
      </c>
      <c r="BL58" s="22">
        <f>'QTR Raw'!AF14</f>
        <v>75</v>
      </c>
      <c r="BM58" s="22">
        <f>'QTR Raw'!AG14</f>
        <v>68.400000000000006</v>
      </c>
      <c r="BN58" s="22">
        <f>'QTR Raw'!AH14</f>
        <v>61.7</v>
      </c>
      <c r="BO58" s="22">
        <f>'QTR Raw'!AI14</f>
        <v>35</v>
      </c>
      <c r="BP58" s="22">
        <f>'QTR Raw'!AJ14</f>
        <v>59.5</v>
      </c>
      <c r="BQ58" s="22">
        <f>'QTR Raw'!AK14</f>
        <v>78.3</v>
      </c>
      <c r="BR58" s="22">
        <f>'QTR Raw'!AL14</f>
        <v>78.5</v>
      </c>
      <c r="BS58" s="22">
        <f>'QTR Raw'!AM14</f>
        <v>56.5</v>
      </c>
      <c r="BT58" s="22">
        <f>'QTR Raw'!AN14</f>
        <v>66.099999999999994</v>
      </c>
      <c r="BU58" s="22">
        <f>'QTR Raw'!AO14</f>
        <v>79</v>
      </c>
      <c r="BV58" s="22">
        <f>'QTR Raw'!AP14</f>
        <v>80.400000000000006</v>
      </c>
      <c r="BW58" s="22">
        <f>'QTR Raw'!AQ14</f>
        <v>75.5</v>
      </c>
      <c r="BX58" s="22">
        <f>'QTR Raw'!AR14</f>
        <v>84.8</v>
      </c>
      <c r="BY58" s="22">
        <f>'QTR Raw'!AS14</f>
        <v>102.7</v>
      </c>
      <c r="BZ58" s="22">
        <f>'QTR Raw'!AT14</f>
        <v>95.2</v>
      </c>
      <c r="CA58" s="22">
        <f>'QTR Raw'!AU14</f>
        <v>106.4</v>
      </c>
      <c r="CB58" s="22">
        <f>'QTR Raw'!AV14</f>
        <v>108.4</v>
      </c>
      <c r="CC58" s="22">
        <f>'QTR Raw'!AW14</f>
        <v>96.4</v>
      </c>
      <c r="CD58" s="22">
        <f>'QTR Raw'!AX14</f>
        <v>93.4</v>
      </c>
      <c r="CE58" s="22">
        <f>'QTR Raw'!AY14</f>
        <v>115.8</v>
      </c>
      <c r="CF58" s="22">
        <f>'QTR Raw'!AZ14</f>
        <v>116.7</v>
      </c>
      <c r="CG58" s="22">
        <f>'QTR Raw'!BA14</f>
        <v>134</v>
      </c>
      <c r="CH58" s="22">
        <f>'QTR Raw'!BB14</f>
        <v>111.6</v>
      </c>
      <c r="CI58" s="22">
        <f>'QTR Raw'!BC14</f>
        <v>120.5</v>
      </c>
      <c r="CJ58" s="22">
        <f>'QTR Raw'!BD14</f>
        <v>129.9</v>
      </c>
      <c r="CK58" s="22">
        <f>'QTR Raw'!BE14</f>
        <v>139.6</v>
      </c>
      <c r="CL58" s="22">
        <f>'QTR Raw'!BF14</f>
        <v>127.8</v>
      </c>
      <c r="CM58" s="23">
        <f t="shared" ref="CM58:DA58" si="299">CM62-CM59</f>
        <v>145.78191052351377</v>
      </c>
      <c r="CN58" s="23">
        <f t="shared" si="299"/>
        <v>186.29960993097006</v>
      </c>
      <c r="CO58" s="23">
        <f t="shared" si="299"/>
        <v>154.01857743415684</v>
      </c>
      <c r="CP58" s="23">
        <f t="shared" si="299"/>
        <v>181.67779806208719</v>
      </c>
      <c r="CQ58" s="23">
        <f t="shared" si="299"/>
        <v>161.98994827811552</v>
      </c>
      <c r="CR58" s="23">
        <f t="shared" si="299"/>
        <v>207.02526577407082</v>
      </c>
      <c r="CS58" s="23">
        <f t="shared" si="299"/>
        <v>171.71461281975724</v>
      </c>
      <c r="CT58" s="23">
        <f t="shared" si="299"/>
        <v>202.44127636588055</v>
      </c>
      <c r="CU58" s="23">
        <f t="shared" si="299"/>
        <v>180.84088725716424</v>
      </c>
      <c r="CV58" s="23">
        <f t="shared" si="299"/>
        <v>230.70456450820336</v>
      </c>
      <c r="CW58" s="23">
        <f t="shared" si="299"/>
        <v>191.8386178455529</v>
      </c>
      <c r="CX58" s="23">
        <f t="shared" si="299"/>
        <v>225.84860510644205</v>
      </c>
      <c r="CY58" s="23">
        <f t="shared" si="299"/>
        <v>202.013170371792</v>
      </c>
      <c r="CZ58" s="23">
        <f t="shared" si="299"/>
        <v>257.16285882458521</v>
      </c>
      <c r="DA58" s="23">
        <f t="shared" si="299"/>
        <v>214.31908910021426</v>
      </c>
      <c r="DD58" s="122"/>
      <c r="DE58" s="22">
        <v>501.6</v>
      </c>
    </row>
    <row r="59" spans="1:109" s="22" customFormat="1" outlineLevel="1" x14ac:dyDescent="0.2">
      <c r="A59" s="22" t="s">
        <v>8</v>
      </c>
      <c r="B59" s="22">
        <f>'Annual Raw'!C14</f>
        <v>37.540599999999998</v>
      </c>
      <c r="C59" s="22">
        <f>'Annual Raw'!D14</f>
        <v>31.784500000000001</v>
      </c>
      <c r="D59" s="22">
        <f>'Annual Raw'!E14</f>
        <v>38.630000000000003</v>
      </c>
      <c r="E59" s="22">
        <f>'Annual Raw'!F14</f>
        <v>45.985399999999998</v>
      </c>
      <c r="F59" s="22">
        <f>'Annual Raw'!G14</f>
        <v>45.377600000000001</v>
      </c>
      <c r="G59" s="22">
        <f>'Annual Raw'!H14</f>
        <v>48.9709</v>
      </c>
      <c r="H59" s="22">
        <f>'Annual Raw'!I14</f>
        <v>53.2348</v>
      </c>
      <c r="I59" s="22">
        <f>'Annual Raw'!J14</f>
        <v>62.115699999999997</v>
      </c>
      <c r="J59" s="22">
        <f>'Annual Raw'!K14</f>
        <v>77.013400000000004</v>
      </c>
      <c r="K59" s="22">
        <f>'Annual Raw'!L14</f>
        <v>79.246899999999997</v>
      </c>
      <c r="L59" s="22">
        <f>'Annual Raw'!M14</f>
        <v>91.230999999999995</v>
      </c>
      <c r="M59" s="22">
        <f>'Annual Raw'!N14</f>
        <v>104.479</v>
      </c>
      <c r="N59" s="22">
        <f>'Annual Raw'!O14</f>
        <v>103.667</v>
      </c>
      <c r="O59" s="22">
        <f>'Annual Raw'!P14</f>
        <v>110.09699999999999</v>
      </c>
      <c r="P59" s="22">
        <f>'Annual Raw'!Q14</f>
        <v>127.10599999999999</v>
      </c>
      <c r="Q59" s="22">
        <f>'Annual Raw'!R14</f>
        <v>124.852</v>
      </c>
      <c r="R59" s="22">
        <f>'Annual Raw'!S14</f>
        <v>136.078</v>
      </c>
      <c r="S59" s="22">
        <f>'Annual Raw'!T14</f>
        <v>144.59399999999999</v>
      </c>
      <c r="T59" s="22">
        <f>'Annual Raw'!U14</f>
        <v>153.96600000000001</v>
      </c>
      <c r="U59" s="22">
        <f>'Annual Raw'!V14</f>
        <v>177.18299999999999</v>
      </c>
      <c r="V59" s="22">
        <f>'Annual Raw'!W14</f>
        <v>186.24299999999999</v>
      </c>
      <c r="W59" s="22">
        <f>'Annual Raw'!X14</f>
        <v>215.375</v>
      </c>
      <c r="X59" s="22">
        <f>'Annual Raw'!Y14</f>
        <v>243.89699999999999</v>
      </c>
      <c r="Y59" s="22">
        <f>'Annual Raw'!Z14</f>
        <v>269.68299999999999</v>
      </c>
      <c r="Z59" s="22">
        <f>'Annual Raw'!AA14</f>
        <v>313.51900000000001</v>
      </c>
      <c r="AA59" s="22">
        <f>'Annual Raw'!AB14</f>
        <v>364.22800000000001</v>
      </c>
      <c r="AB59" s="75">
        <f t="shared" si="295"/>
        <v>386.505</v>
      </c>
      <c r="AC59" s="75">
        <f t="shared" si="296"/>
        <v>413.56035000000003</v>
      </c>
      <c r="AD59" s="75">
        <f t="shared" si="297"/>
        <v>442.5095745000001</v>
      </c>
      <c r="AE59" s="75">
        <f t="shared" si="298"/>
        <v>473.48524471500002</v>
      </c>
      <c r="AI59" s="22">
        <f>'QTR Raw'!C16</f>
        <v>25.72</v>
      </c>
      <c r="AJ59" s="22">
        <f>'QTR Raw'!D16</f>
        <v>24.68</v>
      </c>
      <c r="AK59" s="22">
        <f>'QTR Raw'!E16</f>
        <v>24.42</v>
      </c>
      <c r="AL59" s="22">
        <f>'QTR Raw'!F16</f>
        <v>28.26</v>
      </c>
      <c r="AM59" s="22">
        <f>'QTR Raw'!G16</f>
        <v>28.39</v>
      </c>
      <c r="AN59" s="22">
        <f>'QTR Raw'!H16</f>
        <v>27.78</v>
      </c>
      <c r="AO59" s="22">
        <f>'QTR Raw'!I16</f>
        <v>25.63</v>
      </c>
      <c r="AP59" s="22">
        <f>'QTR Raw'!J16</f>
        <v>31.08</v>
      </c>
      <c r="AQ59" s="22">
        <f>'QTR Raw'!K16</f>
        <v>32.28</v>
      </c>
      <c r="AR59" s="22">
        <f>'QTR Raw'!L16</f>
        <v>31.52</v>
      </c>
      <c r="AS59" s="22">
        <f>'QTR Raw'!M16</f>
        <v>32.159999999999997</v>
      </c>
      <c r="AT59" s="22">
        <f>'QTR Raw'!N16</f>
        <v>33.36</v>
      </c>
      <c r="AU59" s="22">
        <f>'QTR Raw'!O16</f>
        <v>31.76</v>
      </c>
      <c r="AV59" s="22">
        <f>'QTR Raw'!P16</f>
        <v>31.65</v>
      </c>
      <c r="AW59" s="22">
        <f>'QTR Raw'!Q16</f>
        <v>28.01</v>
      </c>
      <c r="AX59" s="22">
        <f>'QTR Raw'!R16</f>
        <v>33.369999999999997</v>
      </c>
      <c r="AY59" s="22">
        <f>'QTR Raw'!S16</f>
        <v>32.44</v>
      </c>
      <c r="AZ59" s="22">
        <f>'QTR Raw'!T16</f>
        <v>33.85</v>
      </c>
      <c r="BA59" s="22">
        <f>'QTR Raw'!U16</f>
        <v>36.35</v>
      </c>
      <c r="BB59" s="22">
        <f>'QTR Raw'!V16</f>
        <v>35.5</v>
      </c>
      <c r="BC59" s="22">
        <f>'QTR Raw'!W16</f>
        <v>36.799999999999997</v>
      </c>
      <c r="BD59" s="22">
        <f>'QTR Raw'!X16</f>
        <v>35.799999999999997</v>
      </c>
      <c r="BE59" s="22">
        <f>'QTR Raw'!Y16</f>
        <v>36.5</v>
      </c>
      <c r="BF59" s="22">
        <f>'QTR Raw'!Z16</f>
        <v>35.799999999999997</v>
      </c>
      <c r="BG59" s="22">
        <f>'QTR Raw'!AA16</f>
        <v>38.799999999999997</v>
      </c>
      <c r="BH59" s="22">
        <f>'QTR Raw'!AB16</f>
        <v>39.4</v>
      </c>
      <c r="BI59" s="22">
        <f>'QTR Raw'!AC16</f>
        <v>40</v>
      </c>
      <c r="BJ59" s="22">
        <f>'QTR Raw'!AD16</f>
        <v>41.7</v>
      </c>
      <c r="BK59" s="22">
        <f>'QTR Raw'!AE16</f>
        <v>45.5</v>
      </c>
      <c r="BL59" s="22">
        <f>'QTR Raw'!AF16</f>
        <v>43.9</v>
      </c>
      <c r="BM59" s="22">
        <f>'QTR Raw'!AG16</f>
        <v>46.8</v>
      </c>
      <c r="BN59" s="22">
        <f>'QTR Raw'!AH16</f>
        <v>46.5</v>
      </c>
      <c r="BO59" s="22">
        <f>'QTR Raw'!AI16</f>
        <v>45</v>
      </c>
      <c r="BP59" s="22">
        <f>'QTR Raw'!AJ16</f>
        <v>47.7</v>
      </c>
      <c r="BQ59" s="22">
        <f>'QTR Raw'!AK16</f>
        <v>46</v>
      </c>
      <c r="BR59" s="22">
        <f>'QTR Raw'!AL16</f>
        <v>52</v>
      </c>
      <c r="BS59" s="22">
        <f>'QTR Raw'!AM16</f>
        <v>50.3</v>
      </c>
      <c r="BT59" s="22">
        <f>'QTR Raw'!AN16</f>
        <v>53.4</v>
      </c>
      <c r="BU59" s="22">
        <f>'QTR Raw'!AO16</f>
        <v>59.7</v>
      </c>
      <c r="BV59" s="22">
        <f>'QTR Raw'!AP16</f>
        <v>56.2</v>
      </c>
      <c r="BW59" s="22">
        <f>'QTR Raw'!AQ16</f>
        <v>60.6</v>
      </c>
      <c r="BX59" s="22">
        <f>'QTR Raw'!AR16</f>
        <v>59.7</v>
      </c>
      <c r="BY59" s="22">
        <f>'QTR Raw'!AS16</f>
        <v>67.400000000000006</v>
      </c>
      <c r="BZ59" s="22">
        <f>'QTR Raw'!AT16</f>
        <v>66.099999999999994</v>
      </c>
      <c r="CA59" s="22">
        <f>'QTR Raw'!AU16</f>
        <v>66.8</v>
      </c>
      <c r="CB59" s="22">
        <f>'QTR Raw'!AV16</f>
        <v>68</v>
      </c>
      <c r="CC59" s="22">
        <f>'QTR Raw'!AW16</f>
        <v>68.8</v>
      </c>
      <c r="CD59" s="22">
        <f>'QTR Raw'!AX16</f>
        <v>75.7</v>
      </c>
      <c r="CE59" s="22">
        <f>'QTR Raw'!AY16</f>
        <v>75.5</v>
      </c>
      <c r="CF59" s="22">
        <f>'QTR Raw'!AZ16</f>
        <v>79.599999999999994</v>
      </c>
      <c r="CG59" s="22">
        <f>'QTR Raw'!BA16</f>
        <v>82.8</v>
      </c>
      <c r="CH59" s="22">
        <f>'QTR Raw'!BB16</f>
        <v>92.8</v>
      </c>
      <c r="CI59" s="22">
        <f>'QTR Raw'!BC16</f>
        <v>86.4</v>
      </c>
      <c r="CJ59" s="22">
        <f>'QTR Raw'!BD16</f>
        <v>94.1</v>
      </c>
      <c r="CK59" s="22">
        <f>'QTR Raw'!BE16</f>
        <v>91</v>
      </c>
      <c r="CL59" s="22">
        <f>'QTR Raw'!BF16</f>
        <v>96</v>
      </c>
      <c r="CM59" s="23">
        <f t="shared" ref="CM59:DA59" si="300">CI59*107%</f>
        <v>92.448000000000008</v>
      </c>
      <c r="CN59" s="23">
        <f t="shared" si="300"/>
        <v>100.687</v>
      </c>
      <c r="CO59" s="23">
        <f t="shared" si="300"/>
        <v>97.37</v>
      </c>
      <c r="CP59" s="23">
        <f t="shared" si="300"/>
        <v>102.72</v>
      </c>
      <c r="CQ59" s="23">
        <f t="shared" si="300"/>
        <v>98.919360000000012</v>
      </c>
      <c r="CR59" s="23">
        <f t="shared" si="300"/>
        <v>107.73509</v>
      </c>
      <c r="CS59" s="23">
        <f t="shared" si="300"/>
        <v>104.18590000000002</v>
      </c>
      <c r="CT59" s="23">
        <f t="shared" si="300"/>
        <v>109.91040000000001</v>
      </c>
      <c r="CU59" s="23">
        <f t="shared" si="300"/>
        <v>105.84371520000002</v>
      </c>
      <c r="CV59" s="23">
        <f t="shared" si="300"/>
        <v>115.27654630000001</v>
      </c>
      <c r="CW59" s="23">
        <f t="shared" si="300"/>
        <v>111.47891300000002</v>
      </c>
      <c r="CX59" s="23">
        <f t="shared" si="300"/>
        <v>117.60412800000002</v>
      </c>
      <c r="CY59" s="23">
        <f t="shared" si="300"/>
        <v>113.25277526400002</v>
      </c>
      <c r="CZ59" s="23">
        <f t="shared" si="300"/>
        <v>123.34590454100001</v>
      </c>
      <c r="DA59" s="23">
        <f t="shared" si="300"/>
        <v>119.28243691000003</v>
      </c>
      <c r="DD59" s="122"/>
      <c r="DE59" s="22">
        <v>364.29999999999995</v>
      </c>
    </row>
    <row r="60" spans="1:109" s="22" customFormat="1" outlineLevel="1" x14ac:dyDescent="0.2">
      <c r="A60" s="22" t="s">
        <v>10</v>
      </c>
      <c r="B60" s="22">
        <f>'Annual Raw'!C17</f>
        <v>27.750599999999999</v>
      </c>
      <c r="C60" s="22">
        <f>'Annual Raw'!D17</f>
        <v>27.981200000000001</v>
      </c>
      <c r="D60" s="22">
        <f>'Annual Raw'!E17</f>
        <v>25.738299999999999</v>
      </c>
      <c r="E60" s="22">
        <f>'Annual Raw'!F17</f>
        <v>27.442900000000002</v>
      </c>
      <c r="F60" s="22">
        <f>'Annual Raw'!G17</f>
        <v>28.3811</v>
      </c>
      <c r="G60" s="22">
        <f>'Annual Raw'!H17</f>
        <v>32.891399999999997</v>
      </c>
      <c r="H60" s="22">
        <f>'Annual Raw'!I17</f>
        <v>40.055500000000002</v>
      </c>
      <c r="I60" s="22">
        <f>'Annual Raw'!J17</f>
        <v>47.591799999999999</v>
      </c>
      <c r="J60" s="22">
        <f>'Annual Raw'!K17</f>
        <v>45.800899999999999</v>
      </c>
      <c r="K60" s="22">
        <f>'Annual Raw'!L17</f>
        <v>43.860700000000001</v>
      </c>
      <c r="L60" s="22">
        <f>'Annual Raw'!M17</f>
        <v>61.178800000000003</v>
      </c>
      <c r="M60" s="22">
        <f>'Annual Raw'!N17</f>
        <v>47.142000000000003</v>
      </c>
      <c r="N60" s="22">
        <f>'Annual Raw'!O17</f>
        <v>30.952000000000002</v>
      </c>
      <c r="O60" s="22">
        <f>'Annual Raw'!P17</f>
        <v>32.439</v>
      </c>
      <c r="P60" s="22">
        <f>'Annual Raw'!Q17</f>
        <v>32.353999999999999</v>
      </c>
      <c r="Q60" s="22">
        <f>'Annual Raw'!R17</f>
        <v>35.622</v>
      </c>
      <c r="R60" s="22">
        <f>'Annual Raw'!S17</f>
        <v>41.192</v>
      </c>
      <c r="S60" s="22">
        <f>'Annual Raw'!T17</f>
        <v>59.44</v>
      </c>
      <c r="T60" s="22">
        <f>'Annual Raw'!U17</f>
        <v>59.418999999999997</v>
      </c>
      <c r="U60" s="22">
        <f>'Annual Raw'!V17</f>
        <v>67.643000000000001</v>
      </c>
      <c r="V60" s="22">
        <f>'Annual Raw'!W17</f>
        <v>54.423000000000002</v>
      </c>
      <c r="W60" s="22">
        <f>'Annual Raw'!X17</f>
        <v>30.367000000000001</v>
      </c>
      <c r="X60" s="22">
        <f>'Annual Raw'!Y17</f>
        <v>27.555</v>
      </c>
      <c r="Y60" s="22">
        <f>'Annual Raw'!Z17</f>
        <v>49.313000000000002</v>
      </c>
      <c r="Z60" s="22">
        <f>'Annual Raw'!AA17</f>
        <v>54.283000000000001</v>
      </c>
      <c r="AA60" s="22">
        <f>'Annual Raw'!AB17</f>
        <v>67.275000000000006</v>
      </c>
      <c r="AB60" s="75">
        <f t="shared" si="295"/>
        <v>0</v>
      </c>
      <c r="AC60" s="75">
        <f t="shared" si="296"/>
        <v>0</v>
      </c>
      <c r="AD60" s="75">
        <f t="shared" si="297"/>
        <v>0</v>
      </c>
      <c r="AE60" s="75">
        <f t="shared" si="298"/>
        <v>0</v>
      </c>
      <c r="AI60" s="22">
        <f>'QTR Raw'!C17</f>
        <v>0</v>
      </c>
      <c r="AJ60" s="22">
        <f>'QTR Raw'!D17</f>
        <v>0</v>
      </c>
      <c r="AK60" s="22">
        <f>'QTR Raw'!E17</f>
        <v>0</v>
      </c>
      <c r="AL60" s="22">
        <f>'QTR Raw'!F17</f>
        <v>0</v>
      </c>
      <c r="AM60" s="22">
        <f>'QTR Raw'!G17</f>
        <v>0</v>
      </c>
      <c r="AN60" s="22">
        <f>'QTR Raw'!H17</f>
        <v>0</v>
      </c>
      <c r="AO60" s="22">
        <f>'QTR Raw'!I17</f>
        <v>0</v>
      </c>
      <c r="AP60" s="22">
        <f>'QTR Raw'!J17</f>
        <v>0</v>
      </c>
      <c r="AQ60" s="22">
        <f>'QTR Raw'!K17</f>
        <v>0</v>
      </c>
      <c r="AR60" s="22">
        <f>'QTR Raw'!L17</f>
        <v>0</v>
      </c>
      <c r="AS60" s="22">
        <f>'QTR Raw'!M17</f>
        <v>0</v>
      </c>
      <c r="AT60" s="22">
        <f>'QTR Raw'!N17</f>
        <v>0</v>
      </c>
      <c r="AU60" s="22">
        <f>'QTR Raw'!O17</f>
        <v>0</v>
      </c>
      <c r="AV60" s="22">
        <f>'QTR Raw'!P17</f>
        <v>0</v>
      </c>
      <c r="AW60" s="22">
        <f>'QTR Raw'!Q17</f>
        <v>0</v>
      </c>
      <c r="AX60" s="22">
        <f>'QTR Raw'!R17</f>
        <v>0</v>
      </c>
      <c r="AY60" s="22">
        <f>'QTR Raw'!S17</f>
        <v>0</v>
      </c>
      <c r="AZ60" s="22">
        <f>'QTR Raw'!T17</f>
        <v>0</v>
      </c>
      <c r="BA60" s="22">
        <f>'QTR Raw'!U17</f>
        <v>0</v>
      </c>
      <c r="BB60" s="22">
        <f>'QTR Raw'!V17</f>
        <v>0</v>
      </c>
      <c r="BC60" s="22">
        <f>'QTR Raw'!W17</f>
        <v>0</v>
      </c>
      <c r="BD60" s="22">
        <f>'QTR Raw'!X17</f>
        <v>0</v>
      </c>
      <c r="BE60" s="22">
        <f>'QTR Raw'!Y17</f>
        <v>0</v>
      </c>
      <c r="BF60" s="22">
        <f>'QTR Raw'!Z17</f>
        <v>0</v>
      </c>
      <c r="BG60" s="22">
        <f>'QTR Raw'!AA17</f>
        <v>0</v>
      </c>
      <c r="BH60" s="22">
        <f>'QTR Raw'!AB17</f>
        <v>0</v>
      </c>
      <c r="BI60" s="22">
        <f>'QTR Raw'!AC17</f>
        <v>0</v>
      </c>
      <c r="BJ60" s="22">
        <f>'QTR Raw'!AD17</f>
        <v>0</v>
      </c>
      <c r="BK60" s="22">
        <f>'QTR Raw'!AE17</f>
        <v>0</v>
      </c>
      <c r="BL60" s="22">
        <f>'QTR Raw'!AF17</f>
        <v>0</v>
      </c>
      <c r="BM60" s="22">
        <f>'QTR Raw'!AG17</f>
        <v>0</v>
      </c>
      <c r="BN60" s="22">
        <f>'QTR Raw'!AH17</f>
        <v>0</v>
      </c>
      <c r="BO60" s="22">
        <f>'QTR Raw'!AI17</f>
        <v>0</v>
      </c>
      <c r="BP60" s="22">
        <f>'QTR Raw'!AJ17</f>
        <v>0</v>
      </c>
      <c r="BQ60" s="22">
        <f>'QTR Raw'!AK17</f>
        <v>0</v>
      </c>
      <c r="BR60" s="22">
        <f>'QTR Raw'!AL17</f>
        <v>0</v>
      </c>
      <c r="BS60" s="22">
        <f>'QTR Raw'!AM17</f>
        <v>0</v>
      </c>
      <c r="BT60" s="22">
        <f>'QTR Raw'!AN17</f>
        <v>0</v>
      </c>
      <c r="BU60" s="22">
        <f>'QTR Raw'!AO17</f>
        <v>0</v>
      </c>
      <c r="BV60" s="22">
        <f>'QTR Raw'!AP17</f>
        <v>0</v>
      </c>
      <c r="BW60" s="22">
        <f>'QTR Raw'!AQ17</f>
        <v>0</v>
      </c>
      <c r="BX60" s="22">
        <f>'QTR Raw'!AR17</f>
        <v>0</v>
      </c>
      <c r="BY60" s="22">
        <f>'QTR Raw'!AS17</f>
        <v>0</v>
      </c>
      <c r="BZ60" s="22">
        <f>'QTR Raw'!AT17</f>
        <v>0</v>
      </c>
      <c r="CA60" s="22">
        <f>'QTR Raw'!AU17</f>
        <v>0</v>
      </c>
      <c r="CB60" s="22">
        <f>'QTR Raw'!AV17</f>
        <v>0</v>
      </c>
      <c r="CC60" s="22">
        <f>'QTR Raw'!AW17</f>
        <v>0</v>
      </c>
      <c r="CD60" s="22">
        <f>'QTR Raw'!AX17</f>
        <v>0</v>
      </c>
      <c r="CE60" s="22">
        <f>'QTR Raw'!AY17</f>
        <v>0</v>
      </c>
      <c r="CF60" s="22">
        <f>'QTR Raw'!AZ17</f>
        <v>0</v>
      </c>
      <c r="CG60" s="22">
        <f>'QTR Raw'!BA17</f>
        <v>0</v>
      </c>
      <c r="CH60" s="22">
        <f>'QTR Raw'!BB17</f>
        <v>0</v>
      </c>
      <c r="CI60" s="22">
        <f>'QTR Raw'!BC17</f>
        <v>0</v>
      </c>
      <c r="CJ60" s="22">
        <f>'QTR Raw'!BD17</f>
        <v>0</v>
      </c>
      <c r="CK60" s="22">
        <f>'QTR Raw'!BE17</f>
        <v>0</v>
      </c>
      <c r="CL60" s="22">
        <f>'QTR Raw'!BF17</f>
        <v>0</v>
      </c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D60" s="122"/>
      <c r="DE60" s="22">
        <v>0</v>
      </c>
    </row>
    <row r="61" spans="1:109" s="22" customFormat="1" outlineLevel="1" x14ac:dyDescent="0.2">
      <c r="A61" s="22" t="s">
        <v>12</v>
      </c>
      <c r="B61" s="22">
        <f>'Annual Raw'!C19-'Annual Raw'!C20</f>
        <v>-0.67099999999999993</v>
      </c>
      <c r="C61" s="22">
        <f>'Annual Raw'!D19-'Annual Raw'!D20</f>
        <v>-0.57469999999999999</v>
      </c>
      <c r="D61" s="22">
        <f>'Annual Raw'!E19-'Annual Raw'!E20</f>
        <v>0.12130000000000019</v>
      </c>
      <c r="E61" s="22">
        <f>'Annual Raw'!F19-'Annual Raw'!F20</f>
        <v>-8.6400000000000032E-2</v>
      </c>
      <c r="F61" s="22">
        <f>'Annual Raw'!G19-'Annual Raw'!G20</f>
        <v>-0.75960000000000005</v>
      </c>
      <c r="G61" s="22">
        <f>'Annual Raw'!H19-'Annual Raw'!H20</f>
        <v>-0.6543000000000001</v>
      </c>
      <c r="H61" s="22">
        <f>'Annual Raw'!I19-'Annual Raw'!I20</f>
        <v>-0.24530000000000007</v>
      </c>
      <c r="I61" s="22">
        <f>'Annual Raw'!J19-'Annual Raw'!J20</f>
        <v>-1.3272999999999999</v>
      </c>
      <c r="J61" s="22">
        <f>'Annual Raw'!K19-'Annual Raw'!K20</f>
        <v>1.3200999999999998</v>
      </c>
      <c r="K61" s="22">
        <f>'Annual Raw'!L19-'Annual Raw'!L20</f>
        <v>1.8880000000000001</v>
      </c>
      <c r="L61" s="22">
        <f>'Annual Raw'!M19-'Annual Raw'!M20</f>
        <v>-1.3254999999999999</v>
      </c>
      <c r="M61" s="22">
        <f>'Annual Raw'!N19-'Annual Raw'!N20</f>
        <v>30.475000000000001</v>
      </c>
      <c r="N61" s="22">
        <f>'Annual Raw'!O19-'Annual Raw'!O20</f>
        <v>36.494</v>
      </c>
      <c r="O61" s="22">
        <f>'Annual Raw'!P19-'Annual Raw'!P20</f>
        <v>41.451999999999998</v>
      </c>
      <c r="P61" s="22">
        <f>'Annual Raw'!Q19-'Annual Raw'!Q20</f>
        <v>46.500999999999998</v>
      </c>
      <c r="Q61" s="22">
        <f>'Annual Raw'!R19-'Annual Raw'!R20</f>
        <v>46.994</v>
      </c>
      <c r="R61" s="22">
        <f>'Annual Raw'!S19-'Annual Raw'!S20</f>
        <v>33.697000000000003</v>
      </c>
      <c r="S61" s="22">
        <f>'Annual Raw'!T19-'Annual Raw'!T20</f>
        <v>36.436999999999998</v>
      </c>
      <c r="T61" s="22">
        <f>'Annual Raw'!U19-'Annual Raw'!U20</f>
        <v>40.978999999999999</v>
      </c>
      <c r="U61" s="22">
        <f>'Annual Raw'!V19-'Annual Raw'!V20</f>
        <v>45.081000000000003</v>
      </c>
      <c r="V61" s="22">
        <f>'Annual Raw'!W19-'Annual Raw'!W20</f>
        <v>53.22</v>
      </c>
      <c r="W61" s="22">
        <f>'Annual Raw'!X19-'Annual Raw'!X20</f>
        <v>47.857999999999997</v>
      </c>
      <c r="X61" s="22">
        <f>'Annual Raw'!Y19-'Annual Raw'!Y20</f>
        <v>55.234000000000002</v>
      </c>
      <c r="Y61" s="22">
        <f>'Annual Raw'!Z19-'Annual Raw'!Z20</f>
        <v>66.820999999999998</v>
      </c>
      <c r="Z61" s="22">
        <f>'Annual Raw'!AA19-'Annual Raw'!AA20</f>
        <v>79.516000000000005</v>
      </c>
      <c r="AA61" s="22">
        <f>'Annual Raw'!AB19-'Annual Raw'!AB20</f>
        <v>88.605000000000004</v>
      </c>
      <c r="AB61" s="75">
        <f t="shared" si="295"/>
        <v>0</v>
      </c>
      <c r="AC61" s="75">
        <f t="shared" si="296"/>
        <v>0</v>
      </c>
      <c r="AD61" s="75">
        <f t="shared" si="297"/>
        <v>0</v>
      </c>
      <c r="AE61" s="75">
        <f t="shared" si="298"/>
        <v>0</v>
      </c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D61" s="122"/>
      <c r="DE61" s="22">
        <v>0</v>
      </c>
    </row>
    <row r="62" spans="1:109" s="21" customFormat="1" x14ac:dyDescent="0.2">
      <c r="A62" s="32" t="s">
        <v>348</v>
      </c>
      <c r="B62" s="21">
        <f t="shared" ref="B62:AE62" si="301">+SUM(B56:B61)</f>
        <v>92.992499999999993</v>
      </c>
      <c r="C62" s="21">
        <f t="shared" si="301"/>
        <v>89.427199999999999</v>
      </c>
      <c r="D62" s="21">
        <f t="shared" si="301"/>
        <v>101.941</v>
      </c>
      <c r="E62" s="21">
        <f t="shared" si="301"/>
        <v>112.60830000000001</v>
      </c>
      <c r="F62" s="21">
        <f t="shared" si="301"/>
        <v>120.3385</v>
      </c>
      <c r="G62" s="21">
        <f t="shared" si="301"/>
        <v>134.92079999999999</v>
      </c>
      <c r="H62" s="21">
        <f t="shared" si="301"/>
        <v>149.63290000000001</v>
      </c>
      <c r="I62" s="21">
        <f t="shared" si="301"/>
        <v>171.828</v>
      </c>
      <c r="J62" s="21">
        <f t="shared" si="301"/>
        <v>206.02209999999999</v>
      </c>
      <c r="K62" s="21">
        <f t="shared" si="301"/>
        <v>196.8364</v>
      </c>
      <c r="L62" s="21">
        <f t="shared" si="301"/>
        <v>228.92959999999999</v>
      </c>
      <c r="M62" s="21">
        <f t="shared" si="301"/>
        <v>283.55100000000004</v>
      </c>
      <c r="N62" s="21">
        <f t="shared" si="301"/>
        <v>264.62400000000002</v>
      </c>
      <c r="O62" s="21">
        <f t="shared" si="301"/>
        <v>286.96000000000004</v>
      </c>
      <c r="P62" s="21">
        <f t="shared" si="301"/>
        <v>320.43999999999994</v>
      </c>
      <c r="Q62" s="21">
        <f t="shared" si="301"/>
        <v>327.48900000000003</v>
      </c>
      <c r="R62" s="21">
        <f t="shared" si="301"/>
        <v>332.66800000000001</v>
      </c>
      <c r="S62" s="21">
        <f t="shared" si="301"/>
        <v>371.26900000000001</v>
      </c>
      <c r="T62" s="21">
        <f t="shared" si="301"/>
        <v>399.65699999999998</v>
      </c>
      <c r="U62" s="21">
        <f t="shared" si="301"/>
        <v>443.86800000000005</v>
      </c>
      <c r="V62" s="21">
        <f t="shared" si="301"/>
        <v>419.80600000000004</v>
      </c>
      <c r="W62" s="21">
        <f t="shared" si="301"/>
        <v>495.399</v>
      </c>
      <c r="X62" s="21">
        <f t="shared" si="301"/>
        <v>587.31000000000006</v>
      </c>
      <c r="Y62" s="21">
        <f t="shared" si="301"/>
        <v>676.15800000000002</v>
      </c>
      <c r="Z62" s="21">
        <f t="shared" si="301"/>
        <v>773.4079999999999</v>
      </c>
      <c r="AA62" s="21">
        <f t="shared" ref="AA62" si="302">+SUM(AA56:AA61)</f>
        <v>865.86900000000003</v>
      </c>
      <c r="AB62" s="20">
        <f t="shared" si="301"/>
        <v>1000.4050978886406</v>
      </c>
      <c r="AC62" s="20">
        <f t="shared" si="301"/>
        <v>1135.9679749340307</v>
      </c>
      <c r="AD62" s="20">
        <f t="shared" si="301"/>
        <v>1248.334920476801</v>
      </c>
      <c r="AE62" s="20">
        <f t="shared" si="301"/>
        <v>1372.8289681180336</v>
      </c>
      <c r="AI62" s="21">
        <f t="shared" ref="AI62:BN62" si="303">+SUM(AI56:AI61)</f>
        <v>60.55</v>
      </c>
      <c r="AJ62" s="21">
        <f t="shared" si="303"/>
        <v>65.42</v>
      </c>
      <c r="AK62" s="21">
        <f t="shared" si="303"/>
        <v>68.67</v>
      </c>
      <c r="AL62" s="21">
        <f t="shared" si="303"/>
        <v>69.83</v>
      </c>
      <c r="AM62" s="21">
        <f t="shared" si="303"/>
        <v>70.960000000000008</v>
      </c>
      <c r="AN62" s="21">
        <f t="shared" si="303"/>
        <v>74.039999999999992</v>
      </c>
      <c r="AO62" s="21">
        <f t="shared" si="303"/>
        <v>71.61</v>
      </c>
      <c r="AP62" s="21">
        <f t="shared" si="303"/>
        <v>70.42</v>
      </c>
      <c r="AQ62" s="21">
        <f t="shared" si="303"/>
        <v>80.069999999999993</v>
      </c>
      <c r="AR62" s="21">
        <f t="shared" si="303"/>
        <v>82.29</v>
      </c>
      <c r="AS62" s="21">
        <f t="shared" si="303"/>
        <v>90.69</v>
      </c>
      <c r="AT62" s="21">
        <f t="shared" si="303"/>
        <v>82.93</v>
      </c>
      <c r="AU62" s="21">
        <f t="shared" si="303"/>
        <v>81.040000000000006</v>
      </c>
      <c r="AV62" s="21">
        <f t="shared" si="303"/>
        <v>77.77</v>
      </c>
      <c r="AW62" s="21">
        <f t="shared" si="303"/>
        <v>84.18</v>
      </c>
      <c r="AX62" s="21">
        <f t="shared" si="303"/>
        <v>83.22999999999999</v>
      </c>
      <c r="AY62" s="21">
        <f t="shared" si="303"/>
        <v>79.449999999999989</v>
      </c>
      <c r="AZ62" s="21">
        <f t="shared" si="303"/>
        <v>77.960000000000008</v>
      </c>
      <c r="BA62" s="21">
        <f t="shared" si="303"/>
        <v>91.83</v>
      </c>
      <c r="BB62" s="21">
        <f t="shared" si="303"/>
        <v>92.4</v>
      </c>
      <c r="BC62" s="21">
        <f t="shared" si="303"/>
        <v>82.8</v>
      </c>
      <c r="BD62" s="21">
        <f t="shared" si="303"/>
        <v>83.199999999999989</v>
      </c>
      <c r="BE62" s="21">
        <f t="shared" si="303"/>
        <v>111.2</v>
      </c>
      <c r="BF62" s="21">
        <f t="shared" si="303"/>
        <v>95.1</v>
      </c>
      <c r="BG62" s="21">
        <f t="shared" si="303"/>
        <v>96.3</v>
      </c>
      <c r="BH62" s="21">
        <f t="shared" si="303"/>
        <v>103.4</v>
      </c>
      <c r="BI62" s="21">
        <f t="shared" si="303"/>
        <v>104.8</v>
      </c>
      <c r="BJ62" s="21">
        <f t="shared" si="303"/>
        <v>102.30000000000001</v>
      </c>
      <c r="BK62" s="21">
        <f t="shared" si="303"/>
        <v>108.9</v>
      </c>
      <c r="BL62" s="21">
        <f t="shared" si="303"/>
        <v>118.9</v>
      </c>
      <c r="BM62" s="21">
        <f t="shared" si="303"/>
        <v>115.2</v>
      </c>
      <c r="BN62" s="21">
        <f t="shared" si="303"/>
        <v>108.2</v>
      </c>
      <c r="BO62" s="21">
        <f t="shared" ref="BO62:CJ62" si="304">+SUM(BO56:BO61)</f>
        <v>80</v>
      </c>
      <c r="BP62" s="21">
        <f t="shared" si="304"/>
        <v>107.2</v>
      </c>
      <c r="BQ62" s="21">
        <f t="shared" si="304"/>
        <v>124.3</v>
      </c>
      <c r="BR62" s="21">
        <f t="shared" si="304"/>
        <v>130.5</v>
      </c>
      <c r="BS62" s="21">
        <f t="shared" si="304"/>
        <v>106.8</v>
      </c>
      <c r="BT62" s="21">
        <f t="shared" si="304"/>
        <v>119.5</v>
      </c>
      <c r="BU62" s="21">
        <f t="shared" si="304"/>
        <v>138.69999999999999</v>
      </c>
      <c r="BV62" s="21">
        <f t="shared" si="304"/>
        <v>136.60000000000002</v>
      </c>
      <c r="BW62" s="21">
        <f t="shared" si="304"/>
        <v>136.1</v>
      </c>
      <c r="BX62" s="21">
        <f t="shared" si="304"/>
        <v>144.5</v>
      </c>
      <c r="BY62" s="21">
        <f t="shared" si="304"/>
        <v>170.10000000000002</v>
      </c>
      <c r="BZ62" s="21">
        <f t="shared" si="304"/>
        <v>161.30000000000001</v>
      </c>
      <c r="CA62" s="21">
        <f t="shared" si="304"/>
        <v>173.2</v>
      </c>
      <c r="CB62" s="21">
        <f t="shared" si="304"/>
        <v>176.4</v>
      </c>
      <c r="CC62" s="21">
        <f t="shared" si="304"/>
        <v>165.2</v>
      </c>
      <c r="CD62" s="21">
        <f t="shared" si="304"/>
        <v>169.10000000000002</v>
      </c>
      <c r="CE62" s="21">
        <f t="shared" si="304"/>
        <v>191.3</v>
      </c>
      <c r="CF62" s="21">
        <f t="shared" si="304"/>
        <v>196.3</v>
      </c>
      <c r="CG62" s="21">
        <f t="shared" si="304"/>
        <v>216.8</v>
      </c>
      <c r="CH62" s="21">
        <f t="shared" si="304"/>
        <v>204.39999999999998</v>
      </c>
      <c r="CI62" s="21">
        <f t="shared" si="304"/>
        <v>206.9</v>
      </c>
      <c r="CJ62" s="21">
        <f t="shared" si="304"/>
        <v>224</v>
      </c>
      <c r="CK62" s="21">
        <f t="shared" ref="CK62:CL62" si="305">+SUM(CK56:CK61)</f>
        <v>230.6</v>
      </c>
      <c r="CL62" s="21">
        <f t="shared" si="305"/>
        <v>223.8</v>
      </c>
      <c r="CM62" s="20">
        <f t="shared" ref="CM62:DA62" si="306">CM63*CM46</f>
        <v>238.22991052351378</v>
      </c>
      <c r="CN62" s="20">
        <f t="shared" si="306"/>
        <v>286.98660993097008</v>
      </c>
      <c r="CO62" s="20">
        <f t="shared" si="306"/>
        <v>251.38857743415684</v>
      </c>
      <c r="CP62" s="20">
        <f t="shared" si="306"/>
        <v>284.39779806208719</v>
      </c>
      <c r="CQ62" s="20">
        <f t="shared" si="306"/>
        <v>260.90930827811553</v>
      </c>
      <c r="CR62" s="20">
        <f t="shared" si="306"/>
        <v>314.76035577407083</v>
      </c>
      <c r="CS62" s="20">
        <f t="shared" si="306"/>
        <v>275.90051281975724</v>
      </c>
      <c r="CT62" s="20">
        <f t="shared" si="306"/>
        <v>312.35167636588056</v>
      </c>
      <c r="CU62" s="20">
        <f t="shared" si="306"/>
        <v>286.68460245716426</v>
      </c>
      <c r="CV62" s="20">
        <f t="shared" si="306"/>
        <v>345.98111080820337</v>
      </c>
      <c r="CW62" s="20">
        <f t="shared" si="306"/>
        <v>303.31753084555294</v>
      </c>
      <c r="CX62" s="20">
        <f t="shared" si="306"/>
        <v>343.45273310644205</v>
      </c>
      <c r="CY62" s="20">
        <f t="shared" si="306"/>
        <v>315.26594563579204</v>
      </c>
      <c r="CZ62" s="20">
        <f t="shared" si="306"/>
        <v>380.50876336558525</v>
      </c>
      <c r="DA62" s="20">
        <f t="shared" si="306"/>
        <v>333.60152601021429</v>
      </c>
      <c r="DD62" s="125"/>
      <c r="DE62" s="21">
        <v>865.9</v>
      </c>
    </row>
    <row r="63" spans="1:109" s="43" customFormat="1" x14ac:dyDescent="0.2">
      <c r="A63" s="42" t="s">
        <v>349</v>
      </c>
      <c r="B63" s="43">
        <f t="shared" ref="B63:AE63" si="307">B62/B46</f>
        <v>0.50657621645296136</v>
      </c>
      <c r="C63" s="43">
        <f t="shared" si="307"/>
        <v>0.42981447659329036</v>
      </c>
      <c r="D63" s="43">
        <f t="shared" si="307"/>
        <v>0.44220505203688221</v>
      </c>
      <c r="E63" s="43">
        <f t="shared" si="307"/>
        <v>0.46370346578380089</v>
      </c>
      <c r="F63" s="43">
        <f t="shared" si="307"/>
        <v>0.39511663375081474</v>
      </c>
      <c r="G63" s="43">
        <f t="shared" si="307"/>
        <v>0.37488267619964799</v>
      </c>
      <c r="H63" s="43">
        <f t="shared" si="307"/>
        <v>0.36719405669054211</v>
      </c>
      <c r="I63" s="43">
        <f t="shared" si="307"/>
        <v>0.36835240822059473</v>
      </c>
      <c r="J63" s="43">
        <f t="shared" si="307"/>
        <v>0.34446130526129942</v>
      </c>
      <c r="K63" s="43">
        <f t="shared" si="307"/>
        <v>0.34819627704080813</v>
      </c>
      <c r="L63" s="43">
        <f t="shared" si="307"/>
        <v>0.37515850814704838</v>
      </c>
      <c r="M63" s="43">
        <f t="shared" si="307"/>
        <v>0.37710612796959225</v>
      </c>
      <c r="N63" s="43">
        <f t="shared" si="307"/>
        <v>0.36990586847306756</v>
      </c>
      <c r="O63" s="43">
        <f t="shared" si="307"/>
        <v>0.39162862426388806</v>
      </c>
      <c r="P63" s="43">
        <f t="shared" si="307"/>
        <v>0.39871937964819015</v>
      </c>
      <c r="Q63" s="43">
        <f t="shared" si="307"/>
        <v>0.39902306126154014</v>
      </c>
      <c r="R63" s="43">
        <f t="shared" si="307"/>
        <v>0.40290868220321535</v>
      </c>
      <c r="S63" s="43">
        <f t="shared" si="307"/>
        <v>0.39315307988567644</v>
      </c>
      <c r="T63" s="43">
        <f t="shared" si="307"/>
        <v>0.36562933985687962</v>
      </c>
      <c r="U63" s="43">
        <f t="shared" si="307"/>
        <v>0.34304448229704126</v>
      </c>
      <c r="V63" s="43">
        <f t="shared" si="307"/>
        <v>0.34748844273930879</v>
      </c>
      <c r="W63" s="43">
        <f t="shared" si="307"/>
        <v>0.3308635395524317</v>
      </c>
      <c r="X63" s="43">
        <f t="shared" si="307"/>
        <v>0.32235065533820723</v>
      </c>
      <c r="Y63" s="43">
        <f t="shared" si="307"/>
        <v>0.30088401851517288</v>
      </c>
      <c r="Z63" s="43">
        <f t="shared" si="307"/>
        <v>0.30532244069092002</v>
      </c>
      <c r="AA63" s="43">
        <f t="shared" ref="AA63" si="308">AA62/AA46</f>
        <v>0.32120043268460319</v>
      </c>
      <c r="AB63" s="51">
        <f t="shared" si="307"/>
        <v>0.32736904150008245</v>
      </c>
      <c r="AC63" s="51">
        <f t="shared" si="307"/>
        <v>0.32872608332872078</v>
      </c>
      <c r="AD63" s="51">
        <f t="shared" si="307"/>
        <v>0.3287182860666939</v>
      </c>
      <c r="AE63" s="51">
        <f t="shared" si="307"/>
        <v>0.32871632727884942</v>
      </c>
      <c r="AI63" s="43">
        <f t="shared" ref="AI63:BN63" si="309">AI62/AI46</f>
        <v>0.32314014302486926</v>
      </c>
      <c r="AJ63" s="43">
        <f t="shared" si="309"/>
        <v>0.38541298456462825</v>
      </c>
      <c r="AK63" s="43">
        <f t="shared" si="309"/>
        <v>0.35291396854764107</v>
      </c>
      <c r="AL63" s="43">
        <f t="shared" si="309"/>
        <v>0.4263386043103975</v>
      </c>
      <c r="AM63" s="43">
        <f t="shared" si="309"/>
        <v>0.36348734760782708</v>
      </c>
      <c r="AN63" s="43">
        <f t="shared" si="309"/>
        <v>0.38919259882253987</v>
      </c>
      <c r="AO63" s="43">
        <f t="shared" si="309"/>
        <v>0.3932670657367236</v>
      </c>
      <c r="AP63" s="43">
        <f t="shared" si="309"/>
        <v>0.40618330737728559</v>
      </c>
      <c r="AQ63" s="43">
        <f t="shared" si="309"/>
        <v>0.40165537998495104</v>
      </c>
      <c r="AR63" s="43">
        <f t="shared" si="309"/>
        <v>0.41374629192015688</v>
      </c>
      <c r="AS63" s="43">
        <f t="shared" si="309"/>
        <v>0.39415011517232384</v>
      </c>
      <c r="AT63" s="43">
        <f t="shared" si="309"/>
        <v>0.43815713002588902</v>
      </c>
      <c r="AU63" s="43">
        <f t="shared" si="309"/>
        <v>0.40497726250562199</v>
      </c>
      <c r="AV63" s="43">
        <f t="shared" si="309"/>
        <v>0.41861341371514693</v>
      </c>
      <c r="AW63" s="43">
        <f t="shared" si="309"/>
        <v>0.34549558793351126</v>
      </c>
      <c r="AX63" s="43">
        <f t="shared" si="309"/>
        <v>0.39614469300333172</v>
      </c>
      <c r="AY63" s="43">
        <f t="shared" si="309"/>
        <v>0.3913214795842978</v>
      </c>
      <c r="AZ63" s="43">
        <f t="shared" si="309"/>
        <v>0.48425368035281696</v>
      </c>
      <c r="BA63" s="43">
        <f t="shared" si="309"/>
        <v>0.36635282853267376</v>
      </c>
      <c r="BB63" s="43">
        <f t="shared" si="309"/>
        <v>0.4498539435248296</v>
      </c>
      <c r="BC63" s="43">
        <f t="shared" si="309"/>
        <v>0.3939105613701237</v>
      </c>
      <c r="BD63" s="43">
        <f t="shared" si="309"/>
        <v>0.4149625935162094</v>
      </c>
      <c r="BE63" s="43">
        <f t="shared" si="309"/>
        <v>0.33881779402803169</v>
      </c>
      <c r="BF63" s="43">
        <f t="shared" si="309"/>
        <v>0.44752941176470584</v>
      </c>
      <c r="BG63" s="43">
        <f t="shared" si="309"/>
        <v>0.37973186119873814</v>
      </c>
      <c r="BH63" s="43">
        <f t="shared" si="309"/>
        <v>0.36875891583452214</v>
      </c>
      <c r="BI63" s="43">
        <f t="shared" si="309"/>
        <v>0.30236583958453545</v>
      </c>
      <c r="BJ63" s="43">
        <f t="shared" si="309"/>
        <v>0.35361216730038025</v>
      </c>
      <c r="BK63" s="43">
        <f t="shared" si="309"/>
        <v>0.36083499005964215</v>
      </c>
      <c r="BL63" s="43">
        <f t="shared" si="309"/>
        <v>0.32504100601421543</v>
      </c>
      <c r="BM63" s="43">
        <f t="shared" si="309"/>
        <v>0.34183976261127597</v>
      </c>
      <c r="BN63" s="43">
        <f t="shared" si="309"/>
        <v>0.42101167315175098</v>
      </c>
      <c r="BO63" s="43">
        <f t="shared" ref="BO63:CJ63" si="310">BO62/BO46</f>
        <v>0.36546368204659663</v>
      </c>
      <c r="BP63" s="43">
        <f t="shared" si="310"/>
        <v>0.2958873861440795</v>
      </c>
      <c r="BQ63" s="43">
        <f t="shared" si="310"/>
        <v>0.33603676669370103</v>
      </c>
      <c r="BR63" s="43">
        <f t="shared" si="310"/>
        <v>0.34198113207547171</v>
      </c>
      <c r="BS63" s="43">
        <f t="shared" si="310"/>
        <v>0.35247524752475246</v>
      </c>
      <c r="BT63" s="43">
        <f t="shared" si="310"/>
        <v>0.32464004346644931</v>
      </c>
      <c r="BU63" s="43">
        <f t="shared" si="310"/>
        <v>0.31196581196581191</v>
      </c>
      <c r="BV63" s="43">
        <f t="shared" si="310"/>
        <v>0.32702896815896582</v>
      </c>
      <c r="BW63" s="43">
        <f t="shared" si="310"/>
        <v>0.30352363960749329</v>
      </c>
      <c r="BX63" s="43">
        <f t="shared" si="310"/>
        <v>0.33503361929051706</v>
      </c>
      <c r="BY63" s="43">
        <f t="shared" si="310"/>
        <v>0.32424704536789939</v>
      </c>
      <c r="BZ63" s="43">
        <f t="shared" si="310"/>
        <v>0.32945261437908496</v>
      </c>
      <c r="CA63" s="43">
        <f t="shared" si="310"/>
        <v>0.29291391848469472</v>
      </c>
      <c r="CB63" s="43">
        <f t="shared" si="310"/>
        <v>0.31293241085683871</v>
      </c>
      <c r="CC63" s="43">
        <f t="shared" si="310"/>
        <v>0.27414537006306006</v>
      </c>
      <c r="CD63" s="43">
        <f t="shared" si="310"/>
        <v>0.31073134876883501</v>
      </c>
      <c r="CE63" s="43">
        <f t="shared" si="310"/>
        <v>0.29613003095975232</v>
      </c>
      <c r="CF63" s="43">
        <f t="shared" si="310"/>
        <v>0.31841038118410381</v>
      </c>
      <c r="CG63" s="43">
        <f t="shared" si="310"/>
        <v>0.29845814977973573</v>
      </c>
      <c r="CH63" s="43">
        <f t="shared" si="310"/>
        <v>0.34329862277460527</v>
      </c>
      <c r="CI63" s="43">
        <f t="shared" si="310"/>
        <v>0.31033448327583618</v>
      </c>
      <c r="CJ63" s="43">
        <f t="shared" si="310"/>
        <v>0.34482758620689652</v>
      </c>
      <c r="CK63" s="43">
        <f t="shared" ref="CK63:CL63" si="311">CK62/CK46</f>
        <v>0.29413265306122449</v>
      </c>
      <c r="CL63" s="43">
        <f t="shared" si="311"/>
        <v>0.37219358057541996</v>
      </c>
      <c r="CM63" s="51">
        <f t="shared" ref="CM63:DA63" si="312">+CI63</f>
        <v>0.31033448327583618</v>
      </c>
      <c r="CN63" s="51">
        <f t="shared" si="312"/>
        <v>0.34482758620689652</v>
      </c>
      <c r="CO63" s="51">
        <f t="shared" si="312"/>
        <v>0.29413265306122449</v>
      </c>
      <c r="CP63" s="51">
        <f t="shared" si="312"/>
        <v>0.37219358057541996</v>
      </c>
      <c r="CQ63" s="51">
        <f t="shared" si="312"/>
        <v>0.31033448327583618</v>
      </c>
      <c r="CR63" s="51">
        <f t="shared" si="312"/>
        <v>0.34482758620689652</v>
      </c>
      <c r="CS63" s="51">
        <f t="shared" si="312"/>
        <v>0.29413265306122449</v>
      </c>
      <c r="CT63" s="51">
        <f t="shared" si="312"/>
        <v>0.37219358057541996</v>
      </c>
      <c r="CU63" s="51">
        <f t="shared" si="312"/>
        <v>0.31033448327583618</v>
      </c>
      <c r="CV63" s="51">
        <f t="shared" si="312"/>
        <v>0.34482758620689652</v>
      </c>
      <c r="CW63" s="51">
        <f t="shared" si="312"/>
        <v>0.29413265306122449</v>
      </c>
      <c r="CX63" s="51">
        <f t="shared" si="312"/>
        <v>0.37219358057541996</v>
      </c>
      <c r="CY63" s="51">
        <f t="shared" si="312"/>
        <v>0.31033448327583618</v>
      </c>
      <c r="CZ63" s="51">
        <f t="shared" si="312"/>
        <v>0.34482758620689652</v>
      </c>
      <c r="DA63" s="51">
        <f t="shared" si="312"/>
        <v>0.29413265306122449</v>
      </c>
      <c r="DD63" s="127"/>
      <c r="DE63" s="43">
        <v>0.32121526876136069</v>
      </c>
    </row>
    <row r="64" spans="1:109" s="25" customFormat="1" x14ac:dyDescent="0.2">
      <c r="A64" s="33" t="s">
        <v>13</v>
      </c>
      <c r="B64" s="25">
        <f t="shared" ref="B64:AE64" si="313">B52-B62</f>
        <v>5.6765000000000327</v>
      </c>
      <c r="C64" s="25">
        <f t="shared" si="313"/>
        <v>21.682100000000005</v>
      </c>
      <c r="D64" s="25">
        <f t="shared" si="313"/>
        <v>26.993299999999977</v>
      </c>
      <c r="E64" s="25">
        <f t="shared" si="313"/>
        <v>29.902299999999997</v>
      </c>
      <c r="F64" s="25">
        <f t="shared" si="313"/>
        <v>49.564099999999954</v>
      </c>
      <c r="G64" s="25">
        <f t="shared" si="313"/>
        <v>65.071499999999986</v>
      </c>
      <c r="H64" s="25">
        <f t="shared" si="313"/>
        <v>83.478000000000009</v>
      </c>
      <c r="I64" s="25">
        <f t="shared" si="313"/>
        <v>68.184699999999992</v>
      </c>
      <c r="J64" s="25">
        <f t="shared" si="313"/>
        <v>105.23239999999996</v>
      </c>
      <c r="K64" s="25">
        <f t="shared" si="313"/>
        <v>112.85470000000012</v>
      </c>
      <c r="L64" s="25">
        <f t="shared" si="313"/>
        <v>77.976500000000044</v>
      </c>
      <c r="M64" s="25">
        <f t="shared" si="313"/>
        <v>69.34499999999997</v>
      </c>
      <c r="N64" s="25">
        <f t="shared" si="313"/>
        <v>92.605999999999995</v>
      </c>
      <c r="O64" s="25">
        <f t="shared" si="313"/>
        <v>101.96199999999993</v>
      </c>
      <c r="P64" s="25">
        <f t="shared" si="313"/>
        <v>101.12500000000006</v>
      </c>
      <c r="Q64" s="25">
        <f t="shared" si="313"/>
        <v>105.92699999999996</v>
      </c>
      <c r="R64" s="25">
        <f t="shared" si="313"/>
        <v>106.09000000000003</v>
      </c>
      <c r="S64" s="25">
        <f t="shared" si="313"/>
        <v>107.495</v>
      </c>
      <c r="T64" s="25">
        <f t="shared" si="313"/>
        <v>128.34000000000009</v>
      </c>
      <c r="U64" s="25">
        <f t="shared" si="313"/>
        <v>151.73399999999981</v>
      </c>
      <c r="V64" s="25">
        <f t="shared" si="313"/>
        <v>167.79099999999994</v>
      </c>
      <c r="W64" s="25">
        <f t="shared" si="313"/>
        <v>209.46699999999998</v>
      </c>
      <c r="X64" s="25">
        <f t="shared" si="313"/>
        <v>246.649</v>
      </c>
      <c r="Y64" s="25">
        <f t="shared" si="313"/>
        <v>293.56999999999982</v>
      </c>
      <c r="Z64" s="25">
        <f t="shared" si="313"/>
        <v>337.53400000000056</v>
      </c>
      <c r="AA64" s="25">
        <f t="shared" ref="AA64" si="314">AA52-AA62</f>
        <v>373.59500000000014</v>
      </c>
      <c r="AB64" s="26">
        <f t="shared" si="313"/>
        <v>405.14378395388837</v>
      </c>
      <c r="AC64" s="26">
        <f t="shared" si="313"/>
        <v>454.55477844432357</v>
      </c>
      <c r="AD64" s="26">
        <f t="shared" si="313"/>
        <v>499.75724949394635</v>
      </c>
      <c r="AE64" s="26">
        <f t="shared" si="313"/>
        <v>549.62165038291232</v>
      </c>
      <c r="AI64" s="25">
        <f t="shared" ref="AI64:BN64" si="315">AI52-AI62</f>
        <v>24.72</v>
      </c>
      <c r="AJ64" s="25">
        <f t="shared" si="315"/>
        <v>22.730000000000018</v>
      </c>
      <c r="AK64" s="25">
        <f t="shared" si="315"/>
        <v>29.909999999999997</v>
      </c>
      <c r="AL64" s="25">
        <f t="shared" si="315"/>
        <v>21.72</v>
      </c>
      <c r="AM64" s="25">
        <f t="shared" si="315"/>
        <v>26.929999999999978</v>
      </c>
      <c r="AN64" s="25">
        <f t="shared" si="315"/>
        <v>30.200000000000017</v>
      </c>
      <c r="AO64" s="25">
        <f t="shared" si="315"/>
        <v>21.72</v>
      </c>
      <c r="AP64" s="25">
        <f t="shared" si="315"/>
        <v>25.13000000000001</v>
      </c>
      <c r="AQ64" s="25">
        <f t="shared" si="315"/>
        <v>29.340000000000003</v>
      </c>
      <c r="AR64" s="25">
        <f t="shared" si="315"/>
        <v>27.030000000000015</v>
      </c>
      <c r="AS64" s="25">
        <f t="shared" si="315"/>
        <v>17.799999999999997</v>
      </c>
      <c r="AT64" s="25">
        <f t="shared" si="315"/>
        <v>12.169999999999973</v>
      </c>
      <c r="AU64" s="25">
        <f t="shared" si="315"/>
        <v>21.82999999999997</v>
      </c>
      <c r="AV64" s="25">
        <f t="shared" si="315"/>
        <v>29.14</v>
      </c>
      <c r="AW64" s="25">
        <f t="shared" si="315"/>
        <v>40.979999999999961</v>
      </c>
      <c r="AX64" s="25">
        <f t="shared" si="315"/>
        <v>26.650000000000006</v>
      </c>
      <c r="AY64" s="25">
        <f t="shared" si="315"/>
        <v>26.600000000000009</v>
      </c>
      <c r="AZ64" s="25">
        <f t="shared" si="315"/>
        <v>14.430000000000007</v>
      </c>
      <c r="BA64" s="25">
        <f t="shared" si="315"/>
        <v>37.61</v>
      </c>
      <c r="BB64" s="25">
        <f t="shared" si="315"/>
        <v>20.400000000000006</v>
      </c>
      <c r="BC64" s="25">
        <f t="shared" si="315"/>
        <v>23.799999999999983</v>
      </c>
      <c r="BD64" s="25">
        <f t="shared" si="315"/>
        <v>21.099999999999994</v>
      </c>
      <c r="BE64" s="25">
        <f t="shared" si="315"/>
        <v>42.299999999999969</v>
      </c>
      <c r="BF64" s="25">
        <f t="shared" si="315"/>
        <v>19.800000000000011</v>
      </c>
      <c r="BG64" s="25">
        <f t="shared" si="315"/>
        <v>28.59999999999998</v>
      </c>
      <c r="BH64" s="25">
        <f t="shared" si="315"/>
        <v>32.099999999999994</v>
      </c>
      <c r="BI64" s="25">
        <f t="shared" si="315"/>
        <v>47.90000000000002</v>
      </c>
      <c r="BJ64" s="25">
        <f t="shared" si="315"/>
        <v>31.799999999999955</v>
      </c>
      <c r="BK64" s="25">
        <f t="shared" si="315"/>
        <v>32.099999999999994</v>
      </c>
      <c r="BL64" s="25">
        <f t="shared" si="315"/>
        <v>38.700000000000017</v>
      </c>
      <c r="BM64" s="25">
        <f t="shared" si="315"/>
        <v>47.7</v>
      </c>
      <c r="BN64" s="25">
        <f t="shared" si="315"/>
        <v>18.000000000000014</v>
      </c>
      <c r="BO64" s="25">
        <f t="shared" ref="BO64:CT64" si="316">BO52-BO62</f>
        <v>13.600000000000009</v>
      </c>
      <c r="BP64" s="25">
        <f t="shared" si="316"/>
        <v>60.899999999999991</v>
      </c>
      <c r="BQ64" s="25">
        <f t="shared" si="316"/>
        <v>75.3</v>
      </c>
      <c r="BR64" s="25">
        <f t="shared" si="316"/>
        <v>62</v>
      </c>
      <c r="BS64" s="25">
        <f t="shared" si="316"/>
        <v>39.300000000000026</v>
      </c>
      <c r="BT64" s="25">
        <f t="shared" si="316"/>
        <v>51.700000000000045</v>
      </c>
      <c r="BU64" s="25">
        <f t="shared" si="316"/>
        <v>56.400000000000034</v>
      </c>
      <c r="BV64" s="25">
        <f t="shared" si="316"/>
        <v>54.699999999999989</v>
      </c>
      <c r="BW64" s="25">
        <f t="shared" si="316"/>
        <v>61.099999999999966</v>
      </c>
      <c r="BX64" s="25">
        <f t="shared" si="316"/>
        <v>54.100000000000023</v>
      </c>
      <c r="BY64" s="25">
        <f t="shared" si="316"/>
        <v>76.799999999999983</v>
      </c>
      <c r="BZ64" s="25">
        <f t="shared" si="316"/>
        <v>57.199999999999989</v>
      </c>
      <c r="CA64" s="25">
        <f t="shared" si="316"/>
        <v>85.199999999999989</v>
      </c>
      <c r="CB64" s="25">
        <f t="shared" si="316"/>
        <v>70.300000000000068</v>
      </c>
      <c r="CC64" s="25">
        <f t="shared" si="316"/>
        <v>80.900000000000006</v>
      </c>
      <c r="CD64" s="25">
        <f t="shared" si="316"/>
        <v>60.900000000000034</v>
      </c>
      <c r="CE64" s="25">
        <f t="shared" si="316"/>
        <v>90.599999999999966</v>
      </c>
      <c r="CF64" s="25">
        <f t="shared" si="316"/>
        <v>87.599999999999966</v>
      </c>
      <c r="CG64" s="25">
        <f t="shared" si="316"/>
        <v>98.399999999999977</v>
      </c>
      <c r="CH64" s="25">
        <f t="shared" si="316"/>
        <v>67.700000000000045</v>
      </c>
      <c r="CI64" s="25">
        <f t="shared" si="316"/>
        <v>91.400000000000063</v>
      </c>
      <c r="CJ64" s="25">
        <f t="shared" si="316"/>
        <v>84.800000000000068</v>
      </c>
      <c r="CK64" s="25">
        <f t="shared" ref="CK64:CL64" si="317">CK52-CK62</f>
        <v>129.6</v>
      </c>
      <c r="CL64" s="25">
        <f t="shared" si="317"/>
        <v>50.799999999999955</v>
      </c>
      <c r="CM64" s="26">
        <f t="shared" si="316"/>
        <v>114.68292848409757</v>
      </c>
      <c r="CN64" s="26">
        <f t="shared" si="316"/>
        <v>98.186709162442128</v>
      </c>
      <c r="CO64" s="26">
        <f t="shared" si="316"/>
        <v>141.47414630734909</v>
      </c>
      <c r="CP64" s="26">
        <f t="shared" si="316"/>
        <v>66.878282010979603</v>
      </c>
      <c r="CQ64" s="26">
        <f t="shared" si="316"/>
        <v>126.23088326887398</v>
      </c>
      <c r="CR64" s="26">
        <f t="shared" si="316"/>
        <v>105.73717252358716</v>
      </c>
      <c r="CS64" s="26">
        <f t="shared" si="316"/>
        <v>155.70844064088317</v>
      </c>
      <c r="CT64" s="26">
        <f t="shared" si="316"/>
        <v>73.896759557441158</v>
      </c>
      <c r="CU64" s="26">
        <f t="shared" ref="CU64:DA64" si="318">CU52-CU62</f>
        <v>138.61125209670803</v>
      </c>
      <c r="CV64" s="26">
        <f t="shared" si="318"/>
        <v>115.91491355216078</v>
      </c>
      <c r="CW64" s="26">
        <f t="shared" si="318"/>
        <v>171.33432428763604</v>
      </c>
      <c r="CX64" s="26">
        <f t="shared" si="318"/>
        <v>81.317363803395551</v>
      </c>
      <c r="CY64" s="26">
        <f t="shared" si="318"/>
        <v>152.38183585240569</v>
      </c>
      <c r="CZ64" s="26">
        <f t="shared" si="318"/>
        <v>127.44393472731952</v>
      </c>
      <c r="DA64" s="26">
        <f t="shared" si="318"/>
        <v>188.47851599979134</v>
      </c>
      <c r="DD64" s="120"/>
      <c r="DE64" s="25">
        <v>373.49999999999966</v>
      </c>
    </row>
    <row r="65" spans="1:109" s="167" customFormat="1" x14ac:dyDescent="0.2">
      <c r="A65" s="164" t="s">
        <v>14</v>
      </c>
      <c r="B65" s="165">
        <f t="shared" ref="B65:AE65" si="319">B64/B46</f>
        <v>3.0922707666696258E-2</v>
      </c>
      <c r="C65" s="165">
        <f t="shared" si="319"/>
        <v>0.10421080457560322</v>
      </c>
      <c r="D65" s="165">
        <f t="shared" si="319"/>
        <v>0.1170929619205929</v>
      </c>
      <c r="E65" s="165">
        <f t="shared" si="319"/>
        <v>0.12313302078893781</v>
      </c>
      <c r="F65" s="165">
        <f t="shared" si="319"/>
        <v>0.16273761387160998</v>
      </c>
      <c r="G65" s="165">
        <f t="shared" si="319"/>
        <v>0.18080368678754791</v>
      </c>
      <c r="H65" s="165">
        <f t="shared" si="319"/>
        <v>0.20485217799302879</v>
      </c>
      <c r="I65" s="165">
        <f t="shared" si="319"/>
        <v>0.1461694162115533</v>
      </c>
      <c r="J65" s="165">
        <f t="shared" si="319"/>
        <v>0.17594466739140679</v>
      </c>
      <c r="K65" s="165">
        <f t="shared" si="319"/>
        <v>0.19963577055136819</v>
      </c>
      <c r="L65" s="165">
        <f t="shared" si="319"/>
        <v>0.12778403234238095</v>
      </c>
      <c r="M65" s="165">
        <f t="shared" si="319"/>
        <v>9.2224765365141931E-2</v>
      </c>
      <c r="N65" s="165">
        <f t="shared" si="319"/>
        <v>0.12944972056887089</v>
      </c>
      <c r="O65" s="165">
        <f t="shared" si="319"/>
        <v>0.13915262680232271</v>
      </c>
      <c r="P65" s="165">
        <f t="shared" si="319"/>
        <v>0.12582853971702429</v>
      </c>
      <c r="Q65" s="165">
        <f t="shared" si="319"/>
        <v>0.12906484129314616</v>
      </c>
      <c r="R65" s="165">
        <f t="shared" si="319"/>
        <v>0.12849021274946532</v>
      </c>
      <c r="S65" s="165">
        <f t="shared" si="319"/>
        <v>0.11383118526542961</v>
      </c>
      <c r="T65" s="165">
        <f t="shared" si="319"/>
        <v>0.117412855216428</v>
      </c>
      <c r="U65" s="165">
        <f t="shared" si="319"/>
        <v>0.11726799741558118</v>
      </c>
      <c r="V65" s="165">
        <f t="shared" si="319"/>
        <v>0.13888661261552082</v>
      </c>
      <c r="W65" s="165">
        <f t="shared" si="319"/>
        <v>0.13989732122880588</v>
      </c>
      <c r="X65" s="165">
        <f t="shared" si="319"/>
        <v>0.13537563942128258</v>
      </c>
      <c r="Y65" s="165">
        <f t="shared" si="319"/>
        <v>0.13063591840294614</v>
      </c>
      <c r="Z65" s="165">
        <f t="shared" si="319"/>
        <v>0.13325011468224945</v>
      </c>
      <c r="AA65" s="165">
        <f t="shared" ref="AA65" si="320">AA64/AA46</f>
        <v>0.13858779520782516</v>
      </c>
      <c r="AB65" s="166">
        <f t="shared" si="319"/>
        <v>0.13257782522562145</v>
      </c>
      <c r="AC65" s="166">
        <f t="shared" si="319"/>
        <v>0.1315389300345676</v>
      </c>
      <c r="AD65" s="166">
        <f t="shared" si="319"/>
        <v>0.13159877514305915</v>
      </c>
      <c r="AE65" s="166">
        <f t="shared" si="319"/>
        <v>0.13160387382740391</v>
      </c>
      <c r="AI65" s="165">
        <f t="shared" ref="AI65:BN65" si="321">AI64/AI46</f>
        <v>0.1319244316362472</v>
      </c>
      <c r="AJ65" s="165">
        <f t="shared" si="321"/>
        <v>0.13391068693295638</v>
      </c>
      <c r="AK65" s="165">
        <f t="shared" si="321"/>
        <v>0.15371569534381743</v>
      </c>
      <c r="AL65" s="165">
        <f t="shared" si="321"/>
        <v>0.13260882837780083</v>
      </c>
      <c r="AM65" s="165">
        <f t="shared" si="321"/>
        <v>0.1379469316668373</v>
      </c>
      <c r="AN65" s="165">
        <f t="shared" si="321"/>
        <v>0.15874684608915063</v>
      </c>
      <c r="AO65" s="165">
        <f t="shared" si="321"/>
        <v>0.1192816738975232</v>
      </c>
      <c r="AP65" s="165">
        <f t="shared" si="321"/>
        <v>0.14495010670819639</v>
      </c>
      <c r="AQ65" s="165">
        <f t="shared" si="321"/>
        <v>0.1471783295711061</v>
      </c>
      <c r="AR65" s="165">
        <f t="shared" si="321"/>
        <v>0.13590426869123642</v>
      </c>
      <c r="AS65" s="165">
        <f t="shared" si="321"/>
        <v>7.7361032639401958E-2</v>
      </c>
      <c r="AT65" s="165">
        <f t="shared" si="321"/>
        <v>6.4299677709092701E-2</v>
      </c>
      <c r="AU65" s="165">
        <f t="shared" si="321"/>
        <v>0.109090000499725</v>
      </c>
      <c r="AV65" s="165">
        <f t="shared" si="321"/>
        <v>0.1568521907632684</v>
      </c>
      <c r="AW65" s="165">
        <f t="shared" si="321"/>
        <v>0.16819207880155948</v>
      </c>
      <c r="AX65" s="165">
        <f t="shared" si="321"/>
        <v>0.12684435982865305</v>
      </c>
      <c r="AY65" s="165">
        <f t="shared" si="321"/>
        <v>0.13101512091809098</v>
      </c>
      <c r="AZ65" s="165">
        <f t="shared" si="321"/>
        <v>8.9632896453195887E-2</v>
      </c>
      <c r="BA65" s="165">
        <f t="shared" si="321"/>
        <v>0.15004388414585496</v>
      </c>
      <c r="BB65" s="165">
        <f t="shared" si="321"/>
        <v>9.9318403115871493E-2</v>
      </c>
      <c r="BC65" s="165">
        <f t="shared" si="321"/>
        <v>0.11322549952426253</v>
      </c>
      <c r="BD65" s="165">
        <f t="shared" si="321"/>
        <v>0.10523690773067329</v>
      </c>
      <c r="BE65" s="165">
        <f t="shared" si="321"/>
        <v>0.12888482632541123</v>
      </c>
      <c r="BF65" s="165">
        <f t="shared" si="321"/>
        <v>9.3176470588235347E-2</v>
      </c>
      <c r="BG65" s="165">
        <f t="shared" si="321"/>
        <v>0.11277602523659298</v>
      </c>
      <c r="BH65" s="165">
        <f t="shared" si="321"/>
        <v>0.11447931526390868</v>
      </c>
      <c r="BI65" s="165">
        <f t="shared" si="321"/>
        <v>0.13819965377957305</v>
      </c>
      <c r="BJ65" s="165">
        <f t="shared" si="321"/>
        <v>0.1099204977531972</v>
      </c>
      <c r="BK65" s="165">
        <f t="shared" si="321"/>
        <v>0.10636182902584491</v>
      </c>
      <c r="BL65" s="165">
        <f t="shared" si="321"/>
        <v>0.10579551667577916</v>
      </c>
      <c r="BM65" s="165">
        <f t="shared" si="321"/>
        <v>0.14154302670623145</v>
      </c>
      <c r="BN65" s="165">
        <f t="shared" si="321"/>
        <v>7.0038910505836632E-2</v>
      </c>
      <c r="BO65" s="165">
        <f t="shared" ref="BO65:CT65" si="322">BO64/BO46</f>
        <v>6.2128825947921462E-2</v>
      </c>
      <c r="BP65" s="165">
        <f t="shared" si="322"/>
        <v>0.16809274082252273</v>
      </c>
      <c r="BQ65" s="165">
        <f t="shared" si="322"/>
        <v>0.20356853203568531</v>
      </c>
      <c r="BR65" s="165">
        <f t="shared" si="322"/>
        <v>0.16247379454926625</v>
      </c>
      <c r="BS65" s="165">
        <f t="shared" si="322"/>
        <v>0.12970297029702979</v>
      </c>
      <c r="BT65" s="165">
        <f t="shared" si="322"/>
        <v>0.14045096441184471</v>
      </c>
      <c r="BU65" s="165">
        <f t="shared" si="322"/>
        <v>0.12685560053981113</v>
      </c>
      <c r="BV65" s="165">
        <f t="shared" si="322"/>
        <v>0.13095523102705289</v>
      </c>
      <c r="BW65" s="165">
        <f t="shared" si="322"/>
        <v>0.13626226583407663</v>
      </c>
      <c r="BX65" s="165">
        <f t="shared" si="322"/>
        <v>0.12543473220496179</v>
      </c>
      <c r="BY65" s="165">
        <f t="shared" si="322"/>
        <v>0.14639725505146775</v>
      </c>
      <c r="BZ65" s="165">
        <f t="shared" si="322"/>
        <v>0.1168300653594771</v>
      </c>
      <c r="CA65" s="165">
        <f t="shared" si="322"/>
        <v>0.14408929477422627</v>
      </c>
      <c r="CB65" s="165">
        <f t="shared" si="322"/>
        <v>0.12471172609544094</v>
      </c>
      <c r="CC65" s="165">
        <f t="shared" si="322"/>
        <v>0.13425157650182543</v>
      </c>
      <c r="CD65" s="165">
        <f t="shared" si="322"/>
        <v>0.11190738699007723</v>
      </c>
      <c r="CE65" s="165">
        <f t="shared" si="322"/>
        <v>0.14024767801857579</v>
      </c>
      <c r="CF65" s="165">
        <f t="shared" si="322"/>
        <v>0.14209245742092452</v>
      </c>
      <c r="CG65" s="165">
        <f t="shared" si="322"/>
        <v>0.13546255506607927</v>
      </c>
      <c r="CH65" s="165">
        <f t="shared" si="322"/>
        <v>0.11370507222035614</v>
      </c>
      <c r="CI65" s="165">
        <f t="shared" si="322"/>
        <v>0.13709314534273295</v>
      </c>
      <c r="CJ65" s="165">
        <f t="shared" si="322"/>
        <v>0.13054187192118236</v>
      </c>
      <c r="CK65" s="165">
        <f t="shared" ref="CK65:CL65" si="323">CK64/CK46</f>
        <v>0.16530612244897958</v>
      </c>
      <c r="CL65" s="165">
        <f t="shared" si="323"/>
        <v>8.4483618825877196E-2</v>
      </c>
      <c r="CM65" s="166">
        <f t="shared" si="322"/>
        <v>0.14939378213870119</v>
      </c>
      <c r="CN65" s="166">
        <f t="shared" si="322"/>
        <v>0.11797583840663281</v>
      </c>
      <c r="CO65" s="166">
        <f t="shared" si="322"/>
        <v>0.16552926317366742</v>
      </c>
      <c r="CP65" s="166">
        <f t="shared" si="322"/>
        <v>8.7524120840644024E-2</v>
      </c>
      <c r="CQ65" s="166">
        <f t="shared" si="322"/>
        <v>0.1501433436439194</v>
      </c>
      <c r="CR65" s="166">
        <f t="shared" si="322"/>
        <v>0.11583763108916371</v>
      </c>
      <c r="CS65" s="166">
        <f t="shared" si="322"/>
        <v>0.16599801240546841</v>
      </c>
      <c r="CT65" s="166">
        <f t="shared" si="322"/>
        <v>8.8054272199223182E-2</v>
      </c>
      <c r="CU65" s="166">
        <f t="shared" ref="CU65:DA65" si="324">CU64/CU46</f>
        <v>0.15004590733845174</v>
      </c>
      <c r="CV65" s="166">
        <f t="shared" si="324"/>
        <v>0.11552844533102458</v>
      </c>
      <c r="CW65" s="166">
        <f t="shared" si="324"/>
        <v>0.16614608203716175</v>
      </c>
      <c r="CX65" s="166">
        <f t="shared" si="324"/>
        <v>8.8122171930889642E-2</v>
      </c>
      <c r="CY65" s="166">
        <f t="shared" si="324"/>
        <v>0.14999824416339011</v>
      </c>
      <c r="CZ65" s="166">
        <f t="shared" si="324"/>
        <v>0.11549322543856431</v>
      </c>
      <c r="DA65" s="166">
        <f t="shared" si="324"/>
        <v>0.16617935361112127</v>
      </c>
      <c r="DD65" s="168"/>
      <c r="DE65" s="167">
        <v>0.13855399339689123</v>
      </c>
    </row>
    <row r="66" spans="1:109" s="37" customFormat="1" x14ac:dyDescent="0.2">
      <c r="A66" s="38" t="s">
        <v>449</v>
      </c>
      <c r="B66" s="38"/>
      <c r="C66" s="38">
        <f t="shared" ref="C66:E66" si="325">+IF(B64&lt;0,1-C64/B64,C64/B64-1)</f>
        <v>2.8196247687835605</v>
      </c>
      <c r="D66" s="38">
        <f t="shared" si="325"/>
        <v>0.2449578223511546</v>
      </c>
      <c r="E66" s="38">
        <f t="shared" si="325"/>
        <v>0.10776748304208916</v>
      </c>
      <c r="F66" s="38">
        <f t="shared" ref="F66:Y66" si="326">+IF(E64&lt;0,1-F64/E64,F64/E64-1)</f>
        <v>0.65753470468826669</v>
      </c>
      <c r="G66" s="38">
        <f t="shared" si="326"/>
        <v>0.31287564991596839</v>
      </c>
      <c r="H66" s="38">
        <f t="shared" si="326"/>
        <v>0.28286577072912156</v>
      </c>
      <c r="I66" s="38">
        <f t="shared" si="326"/>
        <v>-0.18320156208821503</v>
      </c>
      <c r="J66" s="38">
        <f t="shared" si="326"/>
        <v>0.54334330135646214</v>
      </c>
      <c r="K66" s="38">
        <f t="shared" si="326"/>
        <v>7.2433014926963191E-2</v>
      </c>
      <c r="L66" s="38">
        <f t="shared" si="326"/>
        <v>-0.30905403142270582</v>
      </c>
      <c r="M66" s="38">
        <f t="shared" si="326"/>
        <v>-0.11069360640705939</v>
      </c>
      <c r="N66" s="38">
        <f t="shared" si="326"/>
        <v>0.33543874828754827</v>
      </c>
      <c r="O66" s="38">
        <f t="shared" si="326"/>
        <v>0.10103017083126287</v>
      </c>
      <c r="P66" s="38">
        <f t="shared" si="326"/>
        <v>-8.2089405857072029E-3</v>
      </c>
      <c r="Q66" s="38">
        <f t="shared" si="326"/>
        <v>4.7485784919653051E-2</v>
      </c>
      <c r="R66" s="38">
        <f t="shared" si="326"/>
        <v>1.5387955856398516E-3</v>
      </c>
      <c r="S66" s="38">
        <f t="shared" si="326"/>
        <v>1.3243472523329025E-2</v>
      </c>
      <c r="T66" s="38">
        <f t="shared" si="326"/>
        <v>0.19391599609284227</v>
      </c>
      <c r="U66" s="38">
        <f t="shared" si="326"/>
        <v>0.18228143992519641</v>
      </c>
      <c r="V66" s="38">
        <f t="shared" si="326"/>
        <v>0.10582334875505928</v>
      </c>
      <c r="W66" s="38">
        <f t="shared" si="326"/>
        <v>0.2483804256485751</v>
      </c>
      <c r="X66" s="38">
        <f t="shared" si="326"/>
        <v>0.17750767423985647</v>
      </c>
      <c r="Y66" s="38">
        <f t="shared" si="326"/>
        <v>0.19023389513032618</v>
      </c>
      <c r="Z66" s="38">
        <f t="shared" ref="Z66:AE66" si="327">+IF(Y64&lt;0,1-Z64/Y64,Z64/Y64-1)</f>
        <v>0.14975644650339182</v>
      </c>
      <c r="AA66" s="38">
        <f t="shared" si="327"/>
        <v>0.10683664460469022</v>
      </c>
      <c r="AB66" s="39">
        <f t="shared" si="327"/>
        <v>8.444648336805427E-2</v>
      </c>
      <c r="AC66" s="39">
        <f t="shared" si="327"/>
        <v>0.12195915733476714</v>
      </c>
      <c r="AD66" s="39">
        <f t="shared" si="327"/>
        <v>9.9443396468791967E-2</v>
      </c>
      <c r="AE66" s="39">
        <f t="shared" si="327"/>
        <v>9.9777243730748477E-2</v>
      </c>
      <c r="AI66" s="38"/>
      <c r="AJ66" s="38"/>
      <c r="AK66" s="38"/>
      <c r="AL66" s="38"/>
      <c r="AM66" s="38">
        <f>+IF(AI64&lt;0,1-AM64/AI64,AM64/AI64-1)</f>
        <v>8.9401294498381079E-2</v>
      </c>
      <c r="AN66" s="38">
        <f t="shared" ref="AN66" si="328">+IF(AJ64&lt;0,1-AN64/AJ64,AN64/AJ64-1)</f>
        <v>0.32864056313242385</v>
      </c>
      <c r="AO66" s="38">
        <f t="shared" ref="AO66" si="329">+IF(AK64&lt;0,1-AO64/AK64,AO64/AK64-1)</f>
        <v>-0.27382146439317945</v>
      </c>
      <c r="AP66" s="38">
        <f t="shared" ref="AP66" si="330">+IF(AL64&lt;0,1-AP64/AL64,AP64/AL64-1)</f>
        <v>0.15699815837937425</v>
      </c>
      <c r="AQ66" s="38">
        <f t="shared" ref="AQ66" si="331">+IF(AM64&lt;0,1-AQ64/AM64,AQ64/AM64-1)</f>
        <v>8.9491273672485327E-2</v>
      </c>
      <c r="AR66" s="38">
        <f t="shared" ref="AR66" si="332">+IF(AN64&lt;0,1-AR64/AN64,AR64/AN64-1)</f>
        <v>-0.10496688741721849</v>
      </c>
      <c r="AS66" s="38">
        <f t="shared" ref="AS66" si="333">+IF(AO64&lt;0,1-AS64/AO64,AS64/AO64-1)</f>
        <v>-0.18047882136279936</v>
      </c>
      <c r="AT66" s="38">
        <f t="shared" ref="AT66" si="334">+IF(AP64&lt;0,1-AT64/AP64,AT64/AP64-1)</f>
        <v>-0.51571826502188745</v>
      </c>
      <c r="AU66" s="38">
        <f t="shared" ref="AU66" si="335">+IF(AQ64&lt;0,1-AU64/AQ64,AU64/AQ64-1)</f>
        <v>-0.25596455351056691</v>
      </c>
      <c r="AV66" s="38">
        <f t="shared" ref="AV66" si="336">+IF(AR64&lt;0,1-AV64/AR64,AV64/AR64-1)</f>
        <v>7.8061413244542521E-2</v>
      </c>
      <c r="AW66" s="38">
        <f t="shared" ref="AW66" si="337">+IF(AS64&lt;0,1-AW64/AS64,AW64/AS64-1)</f>
        <v>1.3022471910112343</v>
      </c>
      <c r="AX66" s="38">
        <f t="shared" ref="AX66" si="338">+IF(AT64&lt;0,1-AX64/AT64,AX64/AT64-1)</f>
        <v>1.1898110106820101</v>
      </c>
      <c r="AY66" s="38">
        <f t="shared" ref="AY66" si="339">+IF(AU64&lt;0,1-AY64/AU64,AY64/AU64-1)</f>
        <v>0.21850664223545779</v>
      </c>
      <c r="AZ66" s="38">
        <f t="shared" ref="AZ66" si="340">+IF(AV64&lt;0,1-AZ64/AV64,AZ64/AV64-1)</f>
        <v>-0.50480439258750831</v>
      </c>
      <c r="BA66" s="38">
        <f t="shared" ref="BA66" si="341">+IF(AW64&lt;0,1-BA64/AW64,BA64/AW64-1)</f>
        <v>-8.2235236700828773E-2</v>
      </c>
      <c r="BB66" s="38">
        <f t="shared" ref="BB66" si="342">+IF(AX64&lt;0,1-BB64/AX64,BB64/AX64-1)</f>
        <v>-0.23452157598499057</v>
      </c>
      <c r="BC66" s="38">
        <f t="shared" ref="BC66" si="343">+IF(AY64&lt;0,1-BC64/AY64,BC64/AY64-1)</f>
        <v>-0.10526315789473772</v>
      </c>
      <c r="BD66" s="38">
        <f t="shared" ref="BD66" si="344">+IF(AZ64&lt;0,1-BD64/AZ64,BD64/AZ64-1)</f>
        <v>0.46223146223146117</v>
      </c>
      <c r="BE66" s="38">
        <f t="shared" ref="BE66" si="345">+IF(BA64&lt;0,1-BE64/BA64,BE64/BA64-1)</f>
        <v>0.12470087742621572</v>
      </c>
      <c r="BF66" s="38">
        <f t="shared" ref="BF66" si="346">+IF(BB64&lt;0,1-BF64/BB64,BF64/BB64-1)</f>
        <v>-2.9411764705882026E-2</v>
      </c>
      <c r="BG66" s="38">
        <f t="shared" ref="BG66" si="347">+IF(BC64&lt;0,1-BG64/BC64,BG64/BC64-1)</f>
        <v>0.20168067226890751</v>
      </c>
      <c r="BH66" s="38">
        <f t="shared" ref="BH66" si="348">+IF(BD64&lt;0,1-BH64/BD64,BH64/BD64-1)</f>
        <v>0.52132701421800953</v>
      </c>
      <c r="BI66" s="38">
        <f t="shared" ref="BI66" si="349">+IF(BE64&lt;0,1-BI64/BE64,BI64/BE64-1)</f>
        <v>0.13238770685579326</v>
      </c>
      <c r="BJ66" s="38">
        <f t="shared" ref="BJ66" si="350">+IF(BF64&lt;0,1-BJ64/BF64,BJ64/BF64-1)</f>
        <v>0.60606060606060286</v>
      </c>
      <c r="BK66" s="38">
        <f t="shared" ref="BK66" si="351">+IF(BG64&lt;0,1-BK64/BG64,BK64/BG64-1)</f>
        <v>0.12237762237762295</v>
      </c>
      <c r="BL66" s="38">
        <f t="shared" ref="BL66" si="352">+IF(BH64&lt;0,1-BL64/BH64,BL64/BH64-1)</f>
        <v>0.20560747663551471</v>
      </c>
      <c r="BM66" s="38">
        <f t="shared" ref="BM66" si="353">+IF(BI64&lt;0,1-BM64/BI64,BM64/BI64-1)</f>
        <v>-4.1753653444679406E-3</v>
      </c>
      <c r="BN66" s="38">
        <f t="shared" ref="BN66" si="354">+IF(BJ64&lt;0,1-BN64/BJ64,BN64/BJ64-1)</f>
        <v>-0.43396226415094219</v>
      </c>
      <c r="BO66" s="38">
        <f t="shared" ref="BO66" si="355">+IF(BK64&lt;0,1-BO64/BK64,BO64/BK64-1)</f>
        <v>-0.57632398753894054</v>
      </c>
      <c r="BP66" s="38">
        <f t="shared" ref="BP66" si="356">+IF(BL64&lt;0,1-BP64/BL64,BP64/BL64-1)</f>
        <v>0.5736434108527122</v>
      </c>
      <c r="BQ66" s="38">
        <f t="shared" ref="BQ66" si="357">+IF(BM64&lt;0,1-BQ64/BM64,BQ64/BM64-1)</f>
        <v>0.57861635220125773</v>
      </c>
      <c r="BR66" s="38">
        <f t="shared" ref="BR66" si="358">+IF(BN64&lt;0,1-BR64/BN64,BR64/BN64-1)</f>
        <v>2.4444444444444415</v>
      </c>
      <c r="BS66" s="38">
        <f t="shared" ref="BS66" si="359">+IF(BO64&lt;0,1-BS64/BO64,BS64/BO64-1)</f>
        <v>1.8897058823529411</v>
      </c>
      <c r="BT66" s="38">
        <f t="shared" ref="BT66" si="360">+IF(BP64&lt;0,1-BT64/BP64,BT64/BP64-1)</f>
        <v>-0.15106732348111573</v>
      </c>
      <c r="BU66" s="38">
        <f t="shared" ref="BU66" si="361">+IF(BQ64&lt;0,1-BU64/BQ64,BU64/BQ64-1)</f>
        <v>-0.25099601593625454</v>
      </c>
      <c r="BV66" s="38">
        <f t="shared" ref="BV66" si="362">+IF(BR64&lt;0,1-BV64/BR64,BV64/BR64-1)</f>
        <v>-0.11774193548387113</v>
      </c>
      <c r="BW66" s="38">
        <f t="shared" ref="BW66" si="363">+IF(BS64&lt;0,1-BW64/BS64,BW64/BS64-1)</f>
        <v>0.55470737913485824</v>
      </c>
      <c r="BX66" s="38">
        <f t="shared" ref="BX66" si="364">+IF(BT64&lt;0,1-BX64/BT64,BX64/BT64-1)</f>
        <v>4.642166344293952E-2</v>
      </c>
      <c r="BY66" s="38">
        <f t="shared" ref="BY66" si="365">+IF(BU64&lt;0,1-BY64/BU64,BY64/BU64-1)</f>
        <v>0.36170212765957332</v>
      </c>
      <c r="BZ66" s="38">
        <f t="shared" ref="BZ66" si="366">+IF(BV64&lt;0,1-BZ64/BV64,BZ64/BV64-1)</f>
        <v>4.5703839122486212E-2</v>
      </c>
      <c r="CA66" s="38">
        <f t="shared" ref="CA66" si="367">+IF(BW64&lt;0,1-CA64/BW64,CA64/BW64-1)</f>
        <v>0.39443535188216106</v>
      </c>
      <c r="CB66" s="38">
        <f t="shared" ref="CB66" si="368">+IF(BX64&lt;0,1-CB64/BX64,CB64/BX64-1)</f>
        <v>0.29944547134935373</v>
      </c>
      <c r="CC66" s="38">
        <f t="shared" ref="CC66" si="369">+IF(BY64&lt;0,1-CC64/BY64,CC64/BY64-1)</f>
        <v>5.3385416666666963E-2</v>
      </c>
      <c r="CD66" s="38">
        <f t="shared" ref="CD66" si="370">+IF(BZ64&lt;0,1-CD64/BZ64,CD64/BZ64-1)</f>
        <v>6.4685314685315465E-2</v>
      </c>
      <c r="CE66" s="38">
        <f t="shared" ref="CE66" si="371">+IF(CA64&lt;0,1-CE64/CA64,CE64/CA64-1)</f>
        <v>6.3380281690140539E-2</v>
      </c>
      <c r="CF66" s="38">
        <f t="shared" ref="CF66" si="372">+IF(CB64&lt;0,1-CF64/CB64,CF64/CB64-1)</f>
        <v>0.24608819345661281</v>
      </c>
      <c r="CG66" s="38">
        <f t="shared" ref="CG66" si="373">+IF(CC64&lt;0,1-CG64/CC64,CG64/CC64-1)</f>
        <v>0.21631644004944328</v>
      </c>
      <c r="CH66" s="38">
        <f t="shared" ref="CH66:CL66" si="374">+IF(CD64&lt;0,1-CH64/CD64,CH64/CD64-1)</f>
        <v>0.11165845648604278</v>
      </c>
      <c r="CI66" s="38">
        <f t="shared" si="374"/>
        <v>8.830022075056343E-3</v>
      </c>
      <c r="CJ66" s="38">
        <f t="shared" si="374"/>
        <v>-3.1963470319633536E-2</v>
      </c>
      <c r="CK66" s="38">
        <f t="shared" si="374"/>
        <v>0.3170731707317076</v>
      </c>
      <c r="CL66" s="38">
        <f t="shared" si="374"/>
        <v>-0.24963072378138962</v>
      </c>
      <c r="CM66" s="39">
        <f t="shared" ref="CM66" si="375">+CM64/CI64-1</f>
        <v>0.25473663549340797</v>
      </c>
      <c r="CN66" s="39">
        <f t="shared" ref="CN66" si="376">+CN64/CJ64-1</f>
        <v>0.15786213634955248</v>
      </c>
      <c r="CO66" s="39">
        <f t="shared" ref="CO66" si="377">+CO64/CK64-1</f>
        <v>9.1621499285100994E-2</v>
      </c>
      <c r="CP66" s="39">
        <f t="shared" ref="CP66" si="378">+CP64/CL64-1</f>
        <v>0.31650161438936353</v>
      </c>
      <c r="CQ66" s="39">
        <f t="shared" ref="CQ66" si="379">+CQ64/CM64-1</f>
        <v>0.10069462767841419</v>
      </c>
      <c r="CR66" s="39">
        <f t="shared" ref="CR66" si="380">+CR64/CN64-1</f>
        <v>7.6899036799913389E-2</v>
      </c>
      <c r="CS66" s="39">
        <f t="shared" ref="CS66" si="381">+CS64/CO64-1</f>
        <v>0.10061410303625662</v>
      </c>
      <c r="CT66" s="39">
        <f t="shared" ref="CT66" si="382">+CT64/CP64-1</f>
        <v>0.10494404663847834</v>
      </c>
      <c r="CU66" s="39">
        <f t="shared" ref="CU66" si="383">+CU64/CQ64-1</f>
        <v>9.8077178161414258E-2</v>
      </c>
      <c r="CV66" s="39">
        <f t="shared" ref="CV66" si="384">+CV64/CR64-1</f>
        <v>9.6255089725453269E-2</v>
      </c>
      <c r="CW66" s="39">
        <f t="shared" ref="CW66" si="385">+CW64/CS64-1</f>
        <v>0.10035347847835352</v>
      </c>
      <c r="CX66" s="39">
        <f t="shared" ref="CX66" si="386">+CX64/CT64-1</f>
        <v>0.1004185337813932</v>
      </c>
      <c r="CY66" s="39">
        <f t="shared" ref="CY66" si="387">+CY64/CU64-1</f>
        <v>9.9346795786030562E-2</v>
      </c>
      <c r="CZ66" s="39">
        <f t="shared" ref="CZ66" si="388">+CZ64/CV64-1</f>
        <v>9.9461068656802043E-2</v>
      </c>
      <c r="DA66" s="39">
        <f t="shared" ref="DA66" si="389">+DA64/CW64-1</f>
        <v>0.10006279701067733</v>
      </c>
      <c r="DD66" s="121"/>
      <c r="DE66" s="37">
        <v>0.10655519147700399</v>
      </c>
    </row>
    <row r="67" spans="1:109" s="37" customFormat="1" x14ac:dyDescent="0.2">
      <c r="A67" s="38" t="s">
        <v>450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9"/>
      <c r="AC67" s="39"/>
      <c r="AD67" s="39"/>
      <c r="AE67" s="39"/>
      <c r="AI67" s="38"/>
      <c r="AJ67" s="38">
        <f>+IF(AI64&lt;0,1-AJ64/AI64,AJ64/AI64-1)</f>
        <v>-8.0501618122976515E-2</v>
      </c>
      <c r="AK67" s="38">
        <f t="shared" ref="AK67:AM67" si="390">+IF(AJ64&lt;0,1-AK64/AJ64,AK64/AJ64-1)</f>
        <v>0.31588209414870105</v>
      </c>
      <c r="AL67" s="38">
        <f t="shared" si="390"/>
        <v>-0.27382146439317945</v>
      </c>
      <c r="AM67" s="38">
        <f t="shared" si="390"/>
        <v>0.2398710865561684</v>
      </c>
      <c r="AN67" s="38">
        <f t="shared" ref="AN67" si="391">+IF(AM64&lt;0,1-AN64/AM64,AN64/AM64-1)</f>
        <v>0.12142591904938893</v>
      </c>
      <c r="AO67" s="38">
        <f t="shared" ref="AO67" si="392">+IF(AN64&lt;0,1-AO64/AN64,AO64/AN64-1)</f>
        <v>-0.28079470198675538</v>
      </c>
      <c r="AP67" s="38">
        <f t="shared" ref="AP67" si="393">+IF(AO64&lt;0,1-AP64/AO64,AP64/AO64-1)</f>
        <v>0.15699815837937425</v>
      </c>
      <c r="AQ67" s="38">
        <f t="shared" ref="AQ67" si="394">+IF(AP64&lt;0,1-AQ64/AP64,AQ64/AP64-1)</f>
        <v>0.16752884998010309</v>
      </c>
      <c r="AR67" s="38">
        <f t="shared" ref="AR67" si="395">+IF(AQ64&lt;0,1-AR64/AQ64,AR64/AQ64-1)</f>
        <v>-7.8732106339467922E-2</v>
      </c>
      <c r="AS67" s="38">
        <f t="shared" ref="AS67" si="396">+IF(AR64&lt;0,1-AS64/AR64,AS64/AR64-1)</f>
        <v>-0.34147243803181693</v>
      </c>
      <c r="AT67" s="38">
        <f t="shared" ref="AT67" si="397">+IF(AS64&lt;0,1-AT64/AS64,AT64/AS64-1)</f>
        <v>-0.31629213483146201</v>
      </c>
      <c r="AU67" s="38">
        <f t="shared" ref="AU67" si="398">+IF(AT64&lt;0,1-AU64/AT64,AU64/AT64-1)</f>
        <v>0.79375513557929489</v>
      </c>
      <c r="AV67" s="38">
        <f t="shared" ref="AV67" si="399">+IF(AU64&lt;0,1-AV64/AU64,AV64/AU64-1)</f>
        <v>0.3348602840128283</v>
      </c>
      <c r="AW67" s="38">
        <f t="shared" ref="AW67" si="400">+IF(AV64&lt;0,1-AW64/AV64,AW64/AV64-1)</f>
        <v>0.40631434454358129</v>
      </c>
      <c r="AX67" s="38">
        <f t="shared" ref="AX67" si="401">+IF(AW64&lt;0,1-AX64/AW64,AX64/AW64-1)</f>
        <v>-0.34968277208394261</v>
      </c>
      <c r="AY67" s="38">
        <f t="shared" ref="AY67" si="402">+IF(AX64&lt;0,1-AY64/AX64,AY64/AX64-1)</f>
        <v>-1.8761726078798668E-3</v>
      </c>
      <c r="AZ67" s="38">
        <f t="shared" ref="AZ67" si="403">+IF(AY64&lt;0,1-AZ64/AY64,AZ64/AY64-1)</f>
        <v>-0.4575187969924811</v>
      </c>
      <c r="BA67" s="38">
        <f t="shared" ref="BA67" si="404">+IF(AZ64&lt;0,1-BA64/AZ64,BA64/AZ64-1)</f>
        <v>1.6063756063756052</v>
      </c>
      <c r="BB67" s="38">
        <f t="shared" ref="BB67" si="405">+IF(BA64&lt;0,1-BB64/BA64,BB64/BA64-1)</f>
        <v>-0.45759106620579615</v>
      </c>
      <c r="BC67" s="38">
        <f t="shared" ref="BC67" si="406">+IF(BB64&lt;0,1-BC64/BB64,BC64/BB64-1)</f>
        <v>0.16666666666666541</v>
      </c>
      <c r="BD67" s="38">
        <f t="shared" ref="BD67" si="407">+IF(BC64&lt;0,1-BD64/BC64,BD64/BC64-1)</f>
        <v>-0.1134453781512601</v>
      </c>
      <c r="BE67" s="38">
        <f t="shared" ref="BE67" si="408">+IF(BD64&lt;0,1-BE64/BD64,BE64/BD64-1)</f>
        <v>1.0047393364928903</v>
      </c>
      <c r="BF67" s="38">
        <f t="shared" ref="BF67" si="409">+IF(BE64&lt;0,1-BF64/BE64,BF64/BE64-1)</f>
        <v>-0.5319148936170206</v>
      </c>
      <c r="BG67" s="38">
        <f t="shared" ref="BG67" si="410">+IF(BF64&lt;0,1-BG64/BF64,BG64/BF64-1)</f>
        <v>0.44444444444444264</v>
      </c>
      <c r="BH67" s="38">
        <f t="shared" ref="BH67" si="411">+IF(BG64&lt;0,1-BH64/BG64,BH64/BG64-1)</f>
        <v>0.12237762237762295</v>
      </c>
      <c r="BI67" s="38">
        <f t="shared" ref="BI67" si="412">+IF(BH64&lt;0,1-BI64/BH64,BI64/BH64-1)</f>
        <v>0.49221183800623147</v>
      </c>
      <c r="BJ67" s="38">
        <f t="shared" ref="BJ67" si="413">+IF(BI64&lt;0,1-BJ64/BI64,BJ64/BI64-1)</f>
        <v>-0.33611691022964629</v>
      </c>
      <c r="BK67" s="38">
        <f t="shared" ref="BK67" si="414">+IF(BJ64&lt;0,1-BK64/BJ64,BK64/BJ64-1)</f>
        <v>9.4339622641521625E-3</v>
      </c>
      <c r="BL67" s="38">
        <f t="shared" ref="BL67" si="415">+IF(BK64&lt;0,1-BL64/BK64,BL64/BK64-1)</f>
        <v>0.20560747663551471</v>
      </c>
      <c r="BM67" s="38">
        <f t="shared" ref="BM67" si="416">+IF(BL64&lt;0,1-BM64/BL64,BM64/BL64-1)</f>
        <v>0.23255813953488325</v>
      </c>
      <c r="BN67" s="38">
        <f t="shared" ref="BN67" si="417">+IF(BM64&lt;0,1-BN64/BM64,BN64/BM64-1)</f>
        <v>-0.62264150943396201</v>
      </c>
      <c r="BO67" s="38">
        <f t="shared" ref="BO67" si="418">+IF(BN64&lt;0,1-BO64/BN64,BO64/BN64-1)</f>
        <v>-0.24444444444444458</v>
      </c>
      <c r="BP67" s="38">
        <f t="shared" ref="BP67" si="419">+IF(BO64&lt;0,1-BP64/BO64,BP64/BO64-1)</f>
        <v>3.4779411764705852</v>
      </c>
      <c r="BQ67" s="38">
        <f t="shared" ref="BQ67" si="420">+IF(BP64&lt;0,1-BQ64/BP64,BQ64/BP64-1)</f>
        <v>0.23645320197044351</v>
      </c>
      <c r="BR67" s="38">
        <f t="shared" ref="BR67" si="421">+IF(BQ64&lt;0,1-BR64/BQ64,BR64/BQ64-1)</f>
        <v>-0.17662682602921642</v>
      </c>
      <c r="BS67" s="38">
        <f t="shared" ref="BS67" si="422">+IF(BR64&lt;0,1-BS64/BR64,BS64/BR64-1)</f>
        <v>-0.36612903225806415</v>
      </c>
      <c r="BT67" s="38">
        <f t="shared" ref="BT67" si="423">+IF(BS64&lt;0,1-BT64/BS64,BT64/BS64-1)</f>
        <v>0.31552162849872811</v>
      </c>
      <c r="BU67" s="38">
        <f t="shared" ref="BU67" si="424">+IF(BT64&lt;0,1-BU64/BT64,BU64/BT64-1)</f>
        <v>9.0909090909090606E-2</v>
      </c>
      <c r="BV67" s="38">
        <f t="shared" ref="BV67" si="425">+IF(BU64&lt;0,1-BV64/BU64,BV64/BU64-1)</f>
        <v>-3.0141843971631999E-2</v>
      </c>
      <c r="BW67" s="38">
        <f t="shared" ref="BW67" si="426">+IF(BV64&lt;0,1-BW64/BV64,BW64/BV64-1)</f>
        <v>0.11700182815356452</v>
      </c>
      <c r="BX67" s="38">
        <f t="shared" ref="BX67" si="427">+IF(BW64&lt;0,1-BX64/BW64,BX64/BW64-1)</f>
        <v>-0.11456628477904984</v>
      </c>
      <c r="BY67" s="38">
        <f t="shared" ref="BY67" si="428">+IF(BX64&lt;0,1-BY64/BX64,BY64/BX64-1)</f>
        <v>0.41959334565619133</v>
      </c>
      <c r="BZ67" s="38">
        <f t="shared" ref="BZ67" si="429">+IF(BY64&lt;0,1-BZ64/BY64,BZ64/BY64-1)</f>
        <v>-0.25520833333333337</v>
      </c>
      <c r="CA67" s="38">
        <f t="shared" ref="CA67" si="430">+IF(BZ64&lt;0,1-CA64/BZ64,CA64/BZ64-1)</f>
        <v>0.48951048951048959</v>
      </c>
      <c r="CB67" s="38">
        <f t="shared" ref="CB67" si="431">+IF(CA64&lt;0,1-CB64/CA64,CB64/CA64-1)</f>
        <v>-0.17488262910798036</v>
      </c>
      <c r="CC67" s="38">
        <f t="shared" ref="CC67" si="432">+IF(CB64&lt;0,1-CC64/CB64,CC64/CB64-1)</f>
        <v>0.15078236130867606</v>
      </c>
      <c r="CD67" s="38">
        <f t="shared" ref="CD67" si="433">+IF(CC64&lt;0,1-CD64/CC64,CD64/CC64-1)</f>
        <v>-0.24721878862793534</v>
      </c>
      <c r="CE67" s="38">
        <f t="shared" ref="CE67" si="434">+IF(CD64&lt;0,1-CE64/CD64,CE64/CD64-1)</f>
        <v>0.48768472906403804</v>
      </c>
      <c r="CF67" s="38">
        <f t="shared" ref="CF67" si="435">+IF(CE64&lt;0,1-CF64/CE64,CF64/CE64-1)</f>
        <v>-3.3112582781457012E-2</v>
      </c>
      <c r="CG67" s="38">
        <f t="shared" ref="CG67" si="436">+IF(CF64&lt;0,1-CG64/CF64,CG64/CF64-1)</f>
        <v>0.12328767123287698</v>
      </c>
      <c r="CH67" s="38">
        <f t="shared" ref="CH67:CI67" si="437">+IF(CG64&lt;0,1-CH64/CG64,CH64/CG64-1)</f>
        <v>-0.31199186991869854</v>
      </c>
      <c r="CI67" s="38">
        <f t="shared" si="437"/>
        <v>0.35007385524372236</v>
      </c>
      <c r="CJ67" s="38">
        <f>+IF(CI64&gt;1,CJ64/CI64-1,1-CJ64/CI64)</f>
        <v>-7.2210065645514132E-2</v>
      </c>
      <c r="CK67" s="38">
        <f>+IF(CJ64&gt;1,CK64/CJ64-1,1-CK64/CJ64)</f>
        <v>0.5283018867924516</v>
      </c>
      <c r="CL67" s="38">
        <f>+IF(CK64&gt;1,CL64/CK64-1,1-CL64/CK64)</f>
        <v>-0.60802469135802495</v>
      </c>
      <c r="CM67" s="39">
        <f t="shared" ref="CM67" si="438">+CM64/CL64-1</f>
        <v>1.2575379622853875</v>
      </c>
      <c r="CN67" s="39">
        <f t="shared" ref="CN67" si="439">+CN64/CM64-1</f>
        <v>-0.1438419783982311</v>
      </c>
      <c r="CO67" s="39">
        <f t="shared" ref="CO67" si="440">+CO64/CN64-1</f>
        <v>0.44086860140399775</v>
      </c>
      <c r="CP67" s="39">
        <f t="shared" ref="CP67" si="441">+CP64/CO64-1</f>
        <v>-0.5272755923496566</v>
      </c>
      <c r="CQ67" s="39">
        <f t="shared" ref="CQ67" si="442">+CQ64/CP64-1</f>
        <v>0.88747197854380122</v>
      </c>
      <c r="CR67" s="39">
        <f t="shared" ref="CR67" si="443">+CR64/CQ64-1</f>
        <v>-0.16235100487758503</v>
      </c>
      <c r="CS67" s="39">
        <f t="shared" ref="CS67" si="444">+CS64/CR64-1</f>
        <v>0.47259886872943135</v>
      </c>
      <c r="CT67" s="39">
        <f t="shared" ref="CT67" si="445">+CT64/CS64-1</f>
        <v>-0.52541583967260763</v>
      </c>
      <c r="CU67" s="39">
        <f t="shared" ref="CU67" si="446">+CU64/CT64-1</f>
        <v>0.87574195305496771</v>
      </c>
      <c r="CV67" s="39">
        <f t="shared" ref="CV67" si="447">+CV64/CU64-1</f>
        <v>-0.16374095321433346</v>
      </c>
      <c r="CW67" s="39">
        <f t="shared" ref="CW67" si="448">+CW64/CV64-1</f>
        <v>0.47810423212313369</v>
      </c>
      <c r="CX67" s="39">
        <f t="shared" ref="CX67" si="449">+CX64/CW64-1</f>
        <v>-0.52538778121959973</v>
      </c>
      <c r="CY67" s="39">
        <f t="shared" ref="CY67" si="450">+CY64/CX64-1</f>
        <v>0.87391509912723842</v>
      </c>
      <c r="CZ67" s="39">
        <f t="shared" ref="CZ67" si="451">+CZ64/CY64-1</f>
        <v>-0.16365402730310041</v>
      </c>
      <c r="DA67" s="39">
        <f t="shared" ref="DA67" si="452">+DA64/CZ64-1</f>
        <v>0.47891318957675089</v>
      </c>
      <c r="DD67" s="121"/>
    </row>
    <row r="68" spans="1:109" s="22" customFormat="1" x14ac:dyDescent="0.2">
      <c r="A68" s="22" t="s">
        <v>15</v>
      </c>
      <c r="B68" s="22">
        <f>'Annual Raw'!C27</f>
        <v>3.6690999999999998</v>
      </c>
      <c r="C68" s="22">
        <f>'Annual Raw'!D27</f>
        <v>8.4220000000000006</v>
      </c>
      <c r="D68" s="22">
        <f>'Annual Raw'!E27</f>
        <v>9.1090999999999998</v>
      </c>
      <c r="E68" s="22">
        <f>'Annual Raw'!F27</f>
        <v>9.6188000000000002</v>
      </c>
      <c r="F68" s="22">
        <f>'Annual Raw'!G27</f>
        <v>9.3590999999999998</v>
      </c>
      <c r="G68" s="22">
        <f>'Annual Raw'!H27</f>
        <v>9.9595000000000002</v>
      </c>
      <c r="H68" s="22">
        <f>'Annual Raw'!I27</f>
        <v>8.8256999999999994</v>
      </c>
      <c r="I68" s="22">
        <f>'Annual Raw'!J27</f>
        <v>10.9879</v>
      </c>
      <c r="J68" s="22">
        <f>'Annual Raw'!K27</f>
        <v>13.021800000000001</v>
      </c>
      <c r="K68" s="22">
        <f>'Annual Raw'!L27</f>
        <v>20.340900000000001</v>
      </c>
      <c r="L68" s="22">
        <f>'Annual Raw'!M27</f>
        <v>20.741900000000001</v>
      </c>
      <c r="M68" s="22">
        <f>'Annual Raw'!N27</f>
        <v>21.895</v>
      </c>
      <c r="N68" s="22">
        <f>'Annual Raw'!O27</f>
        <v>23.539000000000001</v>
      </c>
      <c r="O68" s="22">
        <f>'Annual Raw'!P27</f>
        <v>26.529</v>
      </c>
      <c r="P68" s="22">
        <f>'Annual Raw'!Q27</f>
        <v>27.553999999999998</v>
      </c>
      <c r="Q68" s="22">
        <f>'Annual Raw'!R27</f>
        <v>27.766999999999999</v>
      </c>
      <c r="R68" s="22">
        <f>'Annual Raw'!S27</f>
        <v>29.358000000000001</v>
      </c>
      <c r="S68" s="22">
        <f>'Annual Raw'!T27</f>
        <v>30.878</v>
      </c>
      <c r="T68" s="22">
        <f>'Annual Raw'!U27</f>
        <v>39.667000000000002</v>
      </c>
      <c r="U68" s="22">
        <f>'Annual Raw'!V27</f>
        <v>45.722999999999999</v>
      </c>
      <c r="V68" s="22">
        <f>'Annual Raw'!W27</f>
        <v>41.77</v>
      </c>
      <c r="W68" s="22">
        <f>'Annual Raw'!X27</f>
        <v>43.533999999999999</v>
      </c>
      <c r="X68" s="22">
        <f>'Annual Raw'!Y27</f>
        <v>45.261000000000003</v>
      </c>
      <c r="Y68" s="22">
        <f>'Annual Raw'!Z27</f>
        <v>49.677999999999997</v>
      </c>
      <c r="Z68" s="22">
        <f>'Annual Raw'!AA27</f>
        <v>54.323999999999998</v>
      </c>
      <c r="AA68" s="22">
        <f>'Annual Raw'!AB27</f>
        <v>58.335999999999999</v>
      </c>
      <c r="AB68" s="75">
        <f>+SUM(CL68:CO68)</f>
        <v>59.010218300046439</v>
      </c>
      <c r="AC68" s="75">
        <f>+SUM(CP68:CS68)</f>
        <v>64.061309800278678</v>
      </c>
      <c r="AD68" s="75">
        <f>+SUM(CT68:CW68)</f>
        <v>69.449140733859736</v>
      </c>
      <c r="AE68" s="75">
        <f>+SUM(CX68:DA68)</f>
        <v>74.836971667440778</v>
      </c>
      <c r="AI68" s="22">
        <f>'QTR Raw'!C28</f>
        <v>5.78</v>
      </c>
      <c r="AJ68" s="22">
        <f>'QTR Raw'!D28</f>
        <v>5.89</v>
      </c>
      <c r="AK68" s="22">
        <f>'QTR Raw'!E28</f>
        <v>6.21</v>
      </c>
      <c r="AL68" s="22">
        <f>'QTR Raw'!F28</f>
        <v>6.2</v>
      </c>
      <c r="AM68" s="22">
        <f>'QTR Raw'!G28</f>
        <v>6.58</v>
      </c>
      <c r="AN68" s="22">
        <f>'QTR Raw'!H28</f>
        <v>6.76</v>
      </c>
      <c r="AO68" s="22">
        <f>'QTR Raw'!I28</f>
        <v>6.99</v>
      </c>
      <c r="AP68" s="22">
        <f>'QTR Raw'!J28</f>
        <v>6.71</v>
      </c>
      <c r="AQ68" s="22">
        <f>'QTR Raw'!K28</f>
        <v>6.81</v>
      </c>
      <c r="AR68" s="22">
        <f>'QTR Raw'!L28</f>
        <v>6.91</v>
      </c>
      <c r="AS68" s="22">
        <f>'QTR Raw'!M28</f>
        <v>7.12</v>
      </c>
      <c r="AT68" s="22">
        <f>'QTR Raw'!N28</f>
        <v>6.93</v>
      </c>
      <c r="AU68" s="22">
        <f>'QTR Raw'!O28</f>
        <v>6.97</v>
      </c>
      <c r="AV68" s="22">
        <f>'QTR Raw'!P28</f>
        <v>7.33</v>
      </c>
      <c r="AW68" s="22">
        <f>'QTR Raw'!Q28</f>
        <v>6.54</v>
      </c>
      <c r="AX68" s="22">
        <f>'QTR Raw'!R28</f>
        <v>7.13</v>
      </c>
      <c r="AY68" s="22">
        <f>'QTR Raw'!S28</f>
        <v>7.31</v>
      </c>
      <c r="AZ68" s="22">
        <f>'QTR Raw'!T28</f>
        <v>7.29</v>
      </c>
      <c r="BA68" s="22">
        <f>'QTR Raw'!U28</f>
        <v>7.63</v>
      </c>
      <c r="BB68" s="22">
        <f>'QTR Raw'!V28</f>
        <v>7.5</v>
      </c>
      <c r="BC68" s="22">
        <f>'QTR Raw'!W28</f>
        <v>7.4</v>
      </c>
      <c r="BD68" s="22">
        <f>'QTR Raw'!X28</f>
        <v>7.6</v>
      </c>
      <c r="BE68" s="22">
        <f>'QTR Raw'!Y28</f>
        <v>8.5</v>
      </c>
      <c r="BF68" s="22">
        <f>'QTR Raw'!Z28</f>
        <v>9.6999999999999993</v>
      </c>
      <c r="BG68" s="22">
        <f>'QTR Raw'!AA28</f>
        <v>9.8000000000000007</v>
      </c>
      <c r="BH68" s="22">
        <f>'QTR Raw'!AB28</f>
        <v>9.8000000000000007</v>
      </c>
      <c r="BI68" s="22">
        <f>'QTR Raw'!AC28</f>
        <v>10.4</v>
      </c>
      <c r="BJ68" s="22">
        <f>'QTR Raw'!AD28</f>
        <v>10.199999999999999</v>
      </c>
      <c r="BK68" s="22">
        <f>'QTR Raw'!AE28</f>
        <v>10.3</v>
      </c>
      <c r="BL68" s="22">
        <f>'QTR Raw'!AF28</f>
        <v>10.5</v>
      </c>
      <c r="BM68" s="22">
        <f>'QTR Raw'!AG28</f>
        <v>14.7</v>
      </c>
      <c r="BN68" s="22">
        <f>'QTR Raw'!AH28</f>
        <v>9.9</v>
      </c>
      <c r="BO68" s="22">
        <f>'QTR Raw'!AI28</f>
        <v>9.9</v>
      </c>
      <c r="BP68" s="22">
        <f>'QTR Raw'!AJ28</f>
        <v>10.3</v>
      </c>
      <c r="BQ68" s="22">
        <f>'QTR Raw'!AK28</f>
        <v>11.7</v>
      </c>
      <c r="BR68" s="22">
        <f>'QTR Raw'!AL28</f>
        <v>10.8</v>
      </c>
      <c r="BS68" s="22">
        <f>'QTR Raw'!AM28</f>
        <v>10.8</v>
      </c>
      <c r="BT68" s="22">
        <f>'QTR Raw'!AN28</f>
        <v>10.9</v>
      </c>
      <c r="BU68" s="22">
        <f>'QTR Raw'!AO28</f>
        <v>11</v>
      </c>
      <c r="BV68" s="22">
        <f>'QTR Raw'!AP28</f>
        <v>10.5</v>
      </c>
      <c r="BW68" s="22">
        <f>'QTR Raw'!AQ28</f>
        <v>11.1</v>
      </c>
      <c r="BX68" s="22">
        <f>'QTR Raw'!AR28</f>
        <v>11.7</v>
      </c>
      <c r="BY68" s="22">
        <f>'QTR Raw'!AS28</f>
        <v>12</v>
      </c>
      <c r="BZ68" s="22">
        <f>'QTR Raw'!AT28</f>
        <v>11.7</v>
      </c>
      <c r="CA68" s="22">
        <f>'QTR Raw'!AU28</f>
        <v>12</v>
      </c>
      <c r="CB68" s="22">
        <f>'QTR Raw'!AV28</f>
        <v>12.3</v>
      </c>
      <c r="CC68" s="22">
        <f>'QTR Raw'!AW28</f>
        <v>13.7</v>
      </c>
      <c r="CD68" s="22">
        <f>'QTR Raw'!AX28</f>
        <v>12.9</v>
      </c>
      <c r="CE68" s="22">
        <f>'QTR Raw'!AY28</f>
        <v>13.3</v>
      </c>
      <c r="CF68" s="22">
        <f>'QTR Raw'!AZ28</f>
        <v>13.7</v>
      </c>
      <c r="CG68" s="22">
        <f>'QTR Raw'!BA28</f>
        <v>14.4</v>
      </c>
      <c r="CH68" s="22">
        <f>'QTR Raw'!BB28</f>
        <v>13.9</v>
      </c>
      <c r="CI68" s="22">
        <f>'QTR Raw'!BC28</f>
        <v>14</v>
      </c>
      <c r="CJ68" s="22">
        <f>'QTR Raw'!BD28</f>
        <v>14.8</v>
      </c>
      <c r="CK68" s="22">
        <f>'QTR Raw'!BE28</f>
        <v>15.6</v>
      </c>
      <c r="CL68" s="22">
        <f>'QTR Raw'!BF28</f>
        <v>14.5</v>
      </c>
      <c r="CM68" s="23">
        <f t="shared" ref="CM68:DA68" si="453">CM69*CL170</f>
        <v>14.5</v>
      </c>
      <c r="CN68" s="23">
        <f t="shared" si="453"/>
        <v>14.836739433348814</v>
      </c>
      <c r="CO68" s="23">
        <f t="shared" si="453"/>
        <v>15.17347886669763</v>
      </c>
      <c r="CP68" s="23">
        <f t="shared" si="453"/>
        <v>15.510218300046446</v>
      </c>
      <c r="CQ68" s="23">
        <f t="shared" si="453"/>
        <v>15.846957733395262</v>
      </c>
      <c r="CR68" s="23">
        <f t="shared" si="453"/>
        <v>16.183697166744079</v>
      </c>
      <c r="CS68" s="23">
        <f t="shared" si="453"/>
        <v>16.520436600092893</v>
      </c>
      <c r="CT68" s="23">
        <f t="shared" si="453"/>
        <v>16.857176033441707</v>
      </c>
      <c r="CU68" s="23">
        <f t="shared" si="453"/>
        <v>17.193915466790525</v>
      </c>
      <c r="CV68" s="23">
        <f t="shared" si="453"/>
        <v>17.530654900139339</v>
      </c>
      <c r="CW68" s="23">
        <f t="shared" si="453"/>
        <v>17.867394333488157</v>
      </c>
      <c r="CX68" s="23">
        <f t="shared" si="453"/>
        <v>18.204133766836971</v>
      </c>
      <c r="CY68" s="23">
        <f t="shared" si="453"/>
        <v>18.540873200185786</v>
      </c>
      <c r="CZ68" s="23">
        <f t="shared" si="453"/>
        <v>18.877612633534604</v>
      </c>
      <c r="DA68" s="23">
        <f t="shared" si="453"/>
        <v>19.214352066883418</v>
      </c>
      <c r="DD68" s="122"/>
      <c r="DE68" s="22">
        <v>58.300000000000004</v>
      </c>
    </row>
    <row r="69" spans="1:109" s="45" customFormat="1" x14ac:dyDescent="0.2">
      <c r="A69" s="45" t="s">
        <v>483</v>
      </c>
      <c r="B69" s="45">
        <f t="shared" ref="B69:D69" si="454">+B68/B170</f>
        <v>7.4082823510408458E-2</v>
      </c>
      <c r="C69" s="45">
        <f t="shared" si="454"/>
        <v>0.15887598354269675</v>
      </c>
      <c r="D69" s="45">
        <f t="shared" si="454"/>
        <v>0.17183123034639389</v>
      </c>
      <c r="E69" s="45">
        <f t="shared" ref="E69:AE69" si="455">+E68/E170</f>
        <v>0.19907322131135663</v>
      </c>
      <c r="F69" s="45">
        <f t="shared" si="455"/>
        <v>0.204669806988309</v>
      </c>
      <c r="G69" s="45">
        <f t="shared" si="455"/>
        <v>0.21317103553671074</v>
      </c>
      <c r="H69" s="45">
        <f t="shared" si="455"/>
        <v>0.16651949963208243</v>
      </c>
      <c r="I69" s="45">
        <f t="shared" si="455"/>
        <v>0.14600327673240951</v>
      </c>
      <c r="J69" s="45">
        <f t="shared" si="455"/>
        <v>0.12296746911837336</v>
      </c>
      <c r="K69" s="45">
        <f t="shared" si="455"/>
        <v>0.16340185357303233</v>
      </c>
      <c r="L69" s="45">
        <f t="shared" si="455"/>
        <v>0.13706756468315778</v>
      </c>
      <c r="M69" s="45">
        <f t="shared" si="455"/>
        <v>0.14333597376156279</v>
      </c>
      <c r="N69" s="45">
        <f t="shared" si="455"/>
        <v>0.14854477988691436</v>
      </c>
      <c r="O69" s="45">
        <f t="shared" si="455"/>
        <v>0.14636931921631804</v>
      </c>
      <c r="P69" s="45">
        <f t="shared" si="455"/>
        <v>0.14440391589627485</v>
      </c>
      <c r="Q69" s="45">
        <f t="shared" si="455"/>
        <v>0.14308756235313516</v>
      </c>
      <c r="R69" s="45">
        <f t="shared" si="455"/>
        <v>0.1342810488905965</v>
      </c>
      <c r="S69" s="45">
        <f t="shared" si="455"/>
        <v>0.10018851456364231</v>
      </c>
      <c r="T69" s="45">
        <f t="shared" si="455"/>
        <v>0.12355011524325672</v>
      </c>
      <c r="U69" s="45">
        <f t="shared" si="455"/>
        <v>0.14879671965764679</v>
      </c>
      <c r="V69" s="45">
        <f t="shared" si="455"/>
        <v>0.13118059394000303</v>
      </c>
      <c r="W69" s="45">
        <f t="shared" si="455"/>
        <v>0.14014428416447494</v>
      </c>
      <c r="X69" s="45">
        <f t="shared" si="455"/>
        <v>0.12928869934328732</v>
      </c>
      <c r="Y69" s="45">
        <f t="shared" si="455"/>
        <v>0.11856635854401903</v>
      </c>
      <c r="Z69" s="45">
        <f t="shared" si="455"/>
        <v>0.12389614654794918</v>
      </c>
      <c r="AA69" s="45">
        <f t="shared" ref="AA69" si="456">+AA68/AA170</f>
        <v>0.12637535230032343</v>
      </c>
      <c r="AB69" s="109">
        <f t="shared" si="455"/>
        <v>0.12811597546688325</v>
      </c>
      <c r="AC69" s="109">
        <f t="shared" si="455"/>
        <v>0.12796905673247838</v>
      </c>
      <c r="AD69" s="109">
        <f t="shared" si="455"/>
        <v>0.12846677901194919</v>
      </c>
      <c r="AE69" s="109">
        <f t="shared" si="455"/>
        <v>0.12889592088777263</v>
      </c>
      <c r="AI69" s="45" t="e">
        <f t="shared" ref="AI69:BN69" si="457">+AI68/AH170</f>
        <v>#DIV/0!</v>
      </c>
      <c r="AJ69" s="45">
        <f t="shared" si="457"/>
        <v>3.5237810349985042E-2</v>
      </c>
      <c r="AK69" s="45">
        <f t="shared" si="457"/>
        <v>3.7152258450493567E-2</v>
      </c>
      <c r="AL69" s="45" t="e">
        <f t="shared" si="457"/>
        <v>#DIV/0!</v>
      </c>
      <c r="AM69" s="45" t="e">
        <f t="shared" si="457"/>
        <v>#DIV/0!</v>
      </c>
      <c r="AN69" s="45">
        <f t="shared" si="457"/>
        <v>3.5411210057621788E-2</v>
      </c>
      <c r="AO69" s="45">
        <f t="shared" si="457"/>
        <v>3.6616029334730224E-2</v>
      </c>
      <c r="AP69" s="45">
        <f t="shared" si="457"/>
        <v>3.5410839622143649E-2</v>
      </c>
      <c r="AQ69" s="45">
        <f t="shared" si="457"/>
        <v>3.5938571956303761E-2</v>
      </c>
      <c r="AR69" s="45">
        <f t="shared" si="457"/>
        <v>3.7023146163737683E-2</v>
      </c>
      <c r="AS69" s="45">
        <f t="shared" si="457"/>
        <v>3.8148306900985855E-2</v>
      </c>
      <c r="AT69" s="45">
        <f t="shared" si="457"/>
        <v>3.4517109129850072E-2</v>
      </c>
      <c r="AU69" s="45">
        <f t="shared" si="457"/>
        <v>3.4716342082980522E-2</v>
      </c>
      <c r="AV69" s="45">
        <f t="shared" si="457"/>
        <v>3.6553134194384877E-2</v>
      </c>
      <c r="AW69" s="45">
        <f t="shared" si="457"/>
        <v>3.2613574028823616E-2</v>
      </c>
      <c r="AX69" s="45">
        <f t="shared" si="457"/>
        <v>3.4234407259806976E-2</v>
      </c>
      <c r="AY69" s="45">
        <f t="shared" si="457"/>
        <v>3.5098669995678684E-2</v>
      </c>
      <c r="AZ69" s="45">
        <f t="shared" si="457"/>
        <v>3.0801081629203989E-2</v>
      </c>
      <c r="BA69" s="45">
        <f t="shared" si="457"/>
        <v>3.2237620415751227E-2</v>
      </c>
      <c r="BB69" s="45">
        <f t="shared" si="457"/>
        <v>3.4304532772263641E-2</v>
      </c>
      <c r="BC69" s="45">
        <f t="shared" si="457"/>
        <v>3.3847139001966793E-2</v>
      </c>
      <c r="BD69" s="45">
        <f t="shared" si="457"/>
        <v>3.4809691751019098E-2</v>
      </c>
      <c r="BE69" s="45">
        <f t="shared" si="457"/>
        <v>3.8931892089955566E-2</v>
      </c>
      <c r="BF69" s="45">
        <f t="shared" si="457"/>
        <v>3.1473069435431537E-2</v>
      </c>
      <c r="BG69" s="45">
        <f t="shared" si="457"/>
        <v>3.1797534068786507E-2</v>
      </c>
      <c r="BH69" s="45">
        <f t="shared" si="457"/>
        <v>3.3007746716066023E-2</v>
      </c>
      <c r="BI69" s="45">
        <f t="shared" si="457"/>
        <v>3.5028629168070063E-2</v>
      </c>
      <c r="BJ69" s="45">
        <f t="shared" si="457"/>
        <v>3.1765805045157268E-2</v>
      </c>
      <c r="BK69" s="45">
        <f t="shared" si="457"/>
        <v>3.2077234506384306E-2</v>
      </c>
      <c r="BL69" s="45">
        <f t="shared" si="457"/>
        <v>3.3008487896887768E-2</v>
      </c>
      <c r="BM69" s="45">
        <f t="shared" si="457"/>
        <v>4.6211883055642874E-2</v>
      </c>
      <c r="BN69" s="45">
        <f t="shared" si="457"/>
        <v>3.2216075496257726E-2</v>
      </c>
      <c r="BO69" s="45">
        <f t="shared" ref="BO69:CL69" si="458">+BO68/BN170</f>
        <v>3.2216075496257726E-2</v>
      </c>
      <c r="BP69" s="45">
        <f t="shared" si="458"/>
        <v>3.4645139589640092E-2</v>
      </c>
      <c r="BQ69" s="45">
        <f t="shared" si="458"/>
        <v>3.9354187689202819E-2</v>
      </c>
      <c r="BR69" s="45">
        <f t="shared" si="458"/>
        <v>3.6960985626283374E-2</v>
      </c>
      <c r="BS69" s="45">
        <f t="shared" si="458"/>
        <v>3.6960985626283374E-2</v>
      </c>
      <c r="BT69" s="45">
        <f t="shared" si="458"/>
        <v>3.859773371104816E-2</v>
      </c>
      <c r="BU69" s="45">
        <f t="shared" si="458"/>
        <v>3.8951841359773372E-2</v>
      </c>
      <c r="BV69" s="45">
        <f t="shared" si="458"/>
        <v>3.7063183903988703E-2</v>
      </c>
      <c r="BW69" s="45">
        <f t="shared" si="458"/>
        <v>3.9181080127073768E-2</v>
      </c>
      <c r="BX69" s="45">
        <f t="shared" si="458"/>
        <v>3.865213082259663E-2</v>
      </c>
      <c r="BY69" s="45">
        <f t="shared" si="458"/>
        <v>3.9643211100099107E-2</v>
      </c>
      <c r="BZ69" s="45">
        <f t="shared" si="458"/>
        <v>3.6200495049504948E-2</v>
      </c>
      <c r="CA69" s="45">
        <f t="shared" si="458"/>
        <v>3.7128712871287127E-2</v>
      </c>
      <c r="CB69" s="45">
        <f t="shared" si="458"/>
        <v>3.6283185840707964E-2</v>
      </c>
      <c r="CC69" s="45">
        <f t="shared" si="458"/>
        <v>4.0412979351032448E-2</v>
      </c>
      <c r="CD69" s="45">
        <f t="shared" si="458"/>
        <v>3.2782719186785263E-2</v>
      </c>
      <c r="CE69" s="45">
        <f t="shared" si="458"/>
        <v>3.3799237611181705E-2</v>
      </c>
      <c r="CF69" s="45">
        <f>+CF68/CE167</f>
        <v>3.4465408805031447E-2</v>
      </c>
      <c r="CG69" s="45">
        <f t="shared" si="458"/>
        <v>3.6226415094339624E-2</v>
      </c>
      <c r="CH69" s="45">
        <f t="shared" si="458"/>
        <v>3.1701576412202594E-2</v>
      </c>
      <c r="CI69" s="45">
        <f t="shared" si="458"/>
        <v>3.1929645307254409E-2</v>
      </c>
      <c r="CJ69" s="45">
        <f t="shared" si="458"/>
        <v>3.5992217898832689E-2</v>
      </c>
      <c r="CK69" s="45">
        <f t="shared" si="458"/>
        <v>3.7937743190661476E-2</v>
      </c>
      <c r="CL69" s="45">
        <f t="shared" si="458"/>
        <v>3.3673943334881558E-2</v>
      </c>
      <c r="CM69" s="46">
        <f t="shared" ref="CM69" si="459">CL69</f>
        <v>3.3673943334881558E-2</v>
      </c>
      <c r="CN69" s="46">
        <f t="shared" ref="CN69" si="460">CM69</f>
        <v>3.3673943334881558E-2</v>
      </c>
      <c r="CO69" s="46">
        <f t="shared" ref="CO69" si="461">CN69</f>
        <v>3.3673943334881558E-2</v>
      </c>
      <c r="CP69" s="46">
        <f t="shared" ref="CP69" si="462">CO69</f>
        <v>3.3673943334881558E-2</v>
      </c>
      <c r="CQ69" s="46">
        <f t="shared" ref="CQ69" si="463">CP69</f>
        <v>3.3673943334881558E-2</v>
      </c>
      <c r="CR69" s="46">
        <f t="shared" ref="CR69" si="464">CQ69</f>
        <v>3.3673943334881558E-2</v>
      </c>
      <c r="CS69" s="46">
        <f t="shared" ref="CS69" si="465">CR69</f>
        <v>3.3673943334881558E-2</v>
      </c>
      <c r="CT69" s="46">
        <f t="shared" ref="CT69" si="466">CS69</f>
        <v>3.3673943334881558E-2</v>
      </c>
      <c r="CU69" s="46">
        <f t="shared" ref="CU69" si="467">CT69</f>
        <v>3.3673943334881558E-2</v>
      </c>
      <c r="CV69" s="46">
        <f t="shared" ref="CV69" si="468">CU69</f>
        <v>3.3673943334881558E-2</v>
      </c>
      <c r="CW69" s="46">
        <f t="shared" ref="CW69" si="469">CV69</f>
        <v>3.3673943334881558E-2</v>
      </c>
      <c r="CX69" s="46">
        <f t="shared" ref="CX69" si="470">CW69</f>
        <v>3.3673943334881558E-2</v>
      </c>
      <c r="CY69" s="46">
        <f t="shared" ref="CY69" si="471">CX69</f>
        <v>3.3673943334881558E-2</v>
      </c>
      <c r="CZ69" s="46">
        <f t="shared" ref="CZ69" si="472">CY69</f>
        <v>3.3673943334881558E-2</v>
      </c>
      <c r="DA69" s="46">
        <f t="shared" ref="DA69" si="473">CZ69</f>
        <v>3.3673943334881558E-2</v>
      </c>
      <c r="DD69" s="129"/>
      <c r="DE69" s="45">
        <v>0.13539247561542034</v>
      </c>
    </row>
    <row r="70" spans="1:109" s="25" customFormat="1" x14ac:dyDescent="0.2">
      <c r="A70" s="33" t="s">
        <v>16</v>
      </c>
      <c r="B70" s="25">
        <f>B64-B68</f>
        <v>2.0074000000000329</v>
      </c>
      <c r="C70" s="25">
        <f t="shared" ref="C70:T70" si="474">C64-C68</f>
        <v>13.260100000000005</v>
      </c>
      <c r="D70" s="25">
        <f>D64-D68</f>
        <v>17.884199999999979</v>
      </c>
      <c r="E70" s="25">
        <f t="shared" si="474"/>
        <v>20.283499999999997</v>
      </c>
      <c r="F70" s="25">
        <f t="shared" si="474"/>
        <v>40.204999999999956</v>
      </c>
      <c r="G70" s="25">
        <f t="shared" si="474"/>
        <v>55.111999999999988</v>
      </c>
      <c r="H70" s="25">
        <f t="shared" si="474"/>
        <v>74.652300000000011</v>
      </c>
      <c r="I70" s="25">
        <f t="shared" si="474"/>
        <v>57.196799999999996</v>
      </c>
      <c r="J70" s="25">
        <f t="shared" si="474"/>
        <v>92.210599999999957</v>
      </c>
      <c r="K70" s="25">
        <f t="shared" si="474"/>
        <v>92.513800000000117</v>
      </c>
      <c r="L70" s="25">
        <f t="shared" si="474"/>
        <v>57.234600000000043</v>
      </c>
      <c r="M70" s="25">
        <f t="shared" si="474"/>
        <v>47.449999999999974</v>
      </c>
      <c r="N70" s="25">
        <f t="shared" si="474"/>
        <v>69.066999999999993</v>
      </c>
      <c r="O70" s="25">
        <f t="shared" si="474"/>
        <v>75.432999999999936</v>
      </c>
      <c r="P70" s="25">
        <f t="shared" si="474"/>
        <v>73.571000000000055</v>
      </c>
      <c r="Q70" s="25">
        <f t="shared" si="474"/>
        <v>78.159999999999968</v>
      </c>
      <c r="R70" s="25">
        <f t="shared" si="474"/>
        <v>76.732000000000028</v>
      </c>
      <c r="S70" s="25">
        <f t="shared" si="474"/>
        <v>76.617000000000004</v>
      </c>
      <c r="T70" s="25">
        <f t="shared" si="474"/>
        <v>88.673000000000087</v>
      </c>
      <c r="U70" s="25">
        <f t="shared" ref="U70:Z70" si="475">U64-U68</f>
        <v>106.01099999999981</v>
      </c>
      <c r="V70" s="25">
        <f t="shared" si="475"/>
        <v>126.02099999999993</v>
      </c>
      <c r="W70" s="25">
        <f t="shared" si="475"/>
        <v>165.93299999999999</v>
      </c>
      <c r="X70" s="25">
        <f t="shared" si="475"/>
        <v>201.38800000000001</v>
      </c>
      <c r="Y70" s="25">
        <f t="shared" si="475"/>
        <v>243.89199999999983</v>
      </c>
      <c r="Z70" s="25">
        <f t="shared" si="475"/>
        <v>283.21000000000055</v>
      </c>
      <c r="AA70" s="25">
        <f t="shared" ref="AA70" si="476">AA64-AA68</f>
        <v>315.25900000000013</v>
      </c>
      <c r="AB70" s="26">
        <f t="shared" ref="AB70:AD70" si="477">AB64-AB68</f>
        <v>346.13356565384191</v>
      </c>
      <c r="AC70" s="26">
        <f t="shared" si="477"/>
        <v>390.49346864404492</v>
      </c>
      <c r="AD70" s="26">
        <f t="shared" si="477"/>
        <v>430.30810876008661</v>
      </c>
      <c r="AE70" s="26">
        <f t="shared" ref="AE70" si="478">AE64-AE68</f>
        <v>474.78467871547156</v>
      </c>
      <c r="AI70" s="25">
        <f t="shared" ref="AI70" si="479">AI64-AI68</f>
        <v>18.939999999999998</v>
      </c>
      <c r="AJ70" s="25">
        <f t="shared" ref="AJ70" si="480">AJ64-AJ68</f>
        <v>16.840000000000018</v>
      </c>
      <c r="AK70" s="25">
        <f t="shared" ref="AK70:AM70" si="481">AK64-AK68</f>
        <v>23.699999999999996</v>
      </c>
      <c r="AL70" s="25">
        <f t="shared" si="481"/>
        <v>15.52</v>
      </c>
      <c r="AM70" s="25">
        <f t="shared" si="481"/>
        <v>20.34999999999998</v>
      </c>
      <c r="AN70" s="25">
        <f t="shared" ref="AN70:AO70" si="482">AN64-AN68</f>
        <v>23.440000000000019</v>
      </c>
      <c r="AO70" s="25">
        <f t="shared" si="482"/>
        <v>14.729999999999999</v>
      </c>
      <c r="AP70" s="25">
        <f t="shared" ref="AP70:CD70" si="483">AP64-AP68</f>
        <v>18.420000000000009</v>
      </c>
      <c r="AQ70" s="25">
        <f t="shared" si="483"/>
        <v>22.530000000000005</v>
      </c>
      <c r="AR70" s="25">
        <f t="shared" si="483"/>
        <v>20.120000000000015</v>
      </c>
      <c r="AS70" s="25">
        <f t="shared" si="483"/>
        <v>10.679999999999996</v>
      </c>
      <c r="AT70" s="25">
        <f t="shared" si="483"/>
        <v>5.2399999999999736</v>
      </c>
      <c r="AU70" s="25">
        <f t="shared" si="483"/>
        <v>14.859999999999971</v>
      </c>
      <c r="AV70" s="25">
        <f t="shared" si="483"/>
        <v>21.810000000000002</v>
      </c>
      <c r="AW70" s="25">
        <f t="shared" si="483"/>
        <v>34.439999999999962</v>
      </c>
      <c r="AX70" s="25">
        <f t="shared" si="483"/>
        <v>19.520000000000007</v>
      </c>
      <c r="AY70" s="25">
        <f t="shared" si="483"/>
        <v>19.29000000000001</v>
      </c>
      <c r="AZ70" s="25">
        <f t="shared" si="483"/>
        <v>7.1400000000000068</v>
      </c>
      <c r="BA70" s="25">
        <f t="shared" si="483"/>
        <v>29.98</v>
      </c>
      <c r="BB70" s="25">
        <f t="shared" si="483"/>
        <v>12.900000000000006</v>
      </c>
      <c r="BC70" s="25">
        <f t="shared" si="483"/>
        <v>16.399999999999984</v>
      </c>
      <c r="BD70" s="25">
        <f t="shared" si="483"/>
        <v>13.499999999999995</v>
      </c>
      <c r="BE70" s="25">
        <f t="shared" si="483"/>
        <v>33.799999999999969</v>
      </c>
      <c r="BF70" s="25">
        <f t="shared" si="483"/>
        <v>10.100000000000012</v>
      </c>
      <c r="BG70" s="25">
        <f t="shared" si="483"/>
        <v>18.799999999999979</v>
      </c>
      <c r="BH70" s="25">
        <f t="shared" si="483"/>
        <v>22.299999999999994</v>
      </c>
      <c r="BI70" s="25">
        <f t="shared" si="483"/>
        <v>37.500000000000021</v>
      </c>
      <c r="BJ70" s="25">
        <f t="shared" si="483"/>
        <v>21.599999999999955</v>
      </c>
      <c r="BK70" s="25">
        <f t="shared" si="483"/>
        <v>21.799999999999994</v>
      </c>
      <c r="BL70" s="25">
        <f t="shared" si="483"/>
        <v>28.200000000000017</v>
      </c>
      <c r="BM70" s="25">
        <f t="shared" si="483"/>
        <v>33</v>
      </c>
      <c r="BN70" s="25">
        <f t="shared" si="483"/>
        <v>8.1000000000000139</v>
      </c>
      <c r="BO70" s="25">
        <f t="shared" si="483"/>
        <v>3.7000000000000082</v>
      </c>
      <c r="BP70" s="25">
        <f t="shared" si="483"/>
        <v>50.599999999999994</v>
      </c>
      <c r="BQ70" s="25">
        <f t="shared" si="483"/>
        <v>63.599999999999994</v>
      </c>
      <c r="BR70" s="25">
        <f t="shared" si="483"/>
        <v>51.2</v>
      </c>
      <c r="BS70" s="25">
        <f t="shared" si="483"/>
        <v>28.500000000000025</v>
      </c>
      <c r="BT70" s="25">
        <f t="shared" si="483"/>
        <v>40.800000000000047</v>
      </c>
      <c r="BU70" s="25">
        <f t="shared" si="483"/>
        <v>45.400000000000034</v>
      </c>
      <c r="BV70" s="25">
        <f t="shared" si="483"/>
        <v>44.199999999999989</v>
      </c>
      <c r="BW70" s="25">
        <f t="shared" si="483"/>
        <v>49.999999999999964</v>
      </c>
      <c r="BX70" s="25">
        <f t="shared" si="483"/>
        <v>42.40000000000002</v>
      </c>
      <c r="BY70" s="25">
        <f t="shared" si="483"/>
        <v>64.799999999999983</v>
      </c>
      <c r="BZ70" s="25">
        <f t="shared" si="483"/>
        <v>45.499999999999986</v>
      </c>
      <c r="CA70" s="25">
        <f t="shared" si="483"/>
        <v>73.199999999999989</v>
      </c>
      <c r="CB70" s="25">
        <f t="shared" si="483"/>
        <v>58.000000000000071</v>
      </c>
      <c r="CC70" s="25">
        <f t="shared" si="483"/>
        <v>67.2</v>
      </c>
      <c r="CD70" s="25">
        <f t="shared" si="483"/>
        <v>48.000000000000036</v>
      </c>
      <c r="CE70" s="25">
        <f t="shared" ref="CE70:CF70" si="484">CE64-CE68</f>
        <v>77.299999999999969</v>
      </c>
      <c r="CF70" s="25">
        <f t="shared" si="484"/>
        <v>73.899999999999963</v>
      </c>
      <c r="CG70" s="25">
        <f t="shared" ref="CG70:CH70" si="485">CG64-CG68</f>
        <v>83.999999999999972</v>
      </c>
      <c r="CH70" s="25">
        <f t="shared" si="485"/>
        <v>53.800000000000047</v>
      </c>
      <c r="CI70" s="25">
        <f t="shared" ref="CI70:CJ70" si="486">CI64-CI68</f>
        <v>77.400000000000063</v>
      </c>
      <c r="CJ70" s="25">
        <f t="shared" si="486"/>
        <v>70.000000000000071</v>
      </c>
      <c r="CK70" s="25">
        <f t="shared" ref="CK70:CL70" si="487">CK64-CK68</f>
        <v>114</v>
      </c>
      <c r="CL70" s="25">
        <f t="shared" si="487"/>
        <v>36.299999999999955</v>
      </c>
      <c r="CM70" s="26">
        <f t="shared" ref="CM70:DA70" si="488">CM64-CM68</f>
        <v>100.18292848409757</v>
      </c>
      <c r="CN70" s="26">
        <f t="shared" si="488"/>
        <v>83.349969729093317</v>
      </c>
      <c r="CO70" s="26">
        <f t="shared" si="488"/>
        <v>126.30066744065145</v>
      </c>
      <c r="CP70" s="26">
        <f t="shared" si="488"/>
        <v>51.368063710933157</v>
      </c>
      <c r="CQ70" s="26">
        <f t="shared" si="488"/>
        <v>110.38392553547872</v>
      </c>
      <c r="CR70" s="26">
        <f t="shared" si="488"/>
        <v>89.55347535684308</v>
      </c>
      <c r="CS70" s="26">
        <f t="shared" si="488"/>
        <v>139.18800404079028</v>
      </c>
      <c r="CT70" s="26">
        <f t="shared" si="488"/>
        <v>57.039583523999454</v>
      </c>
      <c r="CU70" s="26">
        <f t="shared" si="488"/>
        <v>121.4173366299175</v>
      </c>
      <c r="CV70" s="26">
        <f t="shared" si="488"/>
        <v>98.384258652021444</v>
      </c>
      <c r="CW70" s="26">
        <f t="shared" si="488"/>
        <v>153.46692995414787</v>
      </c>
      <c r="CX70" s="26">
        <f t="shared" si="488"/>
        <v>63.113230036558576</v>
      </c>
      <c r="CY70" s="26">
        <f t="shared" si="488"/>
        <v>133.8409626522199</v>
      </c>
      <c r="CZ70" s="26">
        <f t="shared" si="488"/>
        <v>108.56632209378492</v>
      </c>
      <c r="DA70" s="26">
        <f t="shared" si="488"/>
        <v>169.26416393290793</v>
      </c>
      <c r="DD70" s="120"/>
      <c r="DE70" s="25">
        <v>315.19999999999965</v>
      </c>
    </row>
    <row r="71" spans="1:109" s="22" customFormat="1" x14ac:dyDescent="0.2">
      <c r="A71" s="22" t="s">
        <v>17</v>
      </c>
      <c r="B71" s="22">
        <f>'Annual Raw'!C23</f>
        <v>23.41</v>
      </c>
      <c r="C71" s="22">
        <f>'Annual Raw'!D23</f>
        <v>3.9933000000000001</v>
      </c>
      <c r="D71" s="22">
        <f>'Annual Raw'!E23</f>
        <v>2.8567</v>
      </c>
      <c r="E71" s="22">
        <f>'Annual Raw'!F23</f>
        <v>6.6992000000000003</v>
      </c>
      <c r="F71" s="22">
        <f>'Annual Raw'!G23</f>
        <v>6.5571999999999999</v>
      </c>
      <c r="G71" s="22">
        <f>'Annual Raw'!H23</f>
        <v>5.1677</v>
      </c>
      <c r="H71" s="22">
        <f>'Annual Raw'!I23</f>
        <v>5.8851000000000004</v>
      </c>
      <c r="I71" s="22">
        <f>'Annual Raw'!J23</f>
        <v>9.0130999999999997</v>
      </c>
      <c r="J71" s="22">
        <f>'Annual Raw'!K23</f>
        <v>9.8148</v>
      </c>
      <c r="K71" s="22">
        <f>'Annual Raw'!L23</f>
        <v>8.4393999999999991</v>
      </c>
      <c r="L71" s="22">
        <f>'Annual Raw'!M23</f>
        <v>15.8764</v>
      </c>
      <c r="M71" s="22">
        <f>'Annual Raw'!N23</f>
        <v>15.455</v>
      </c>
      <c r="N71" s="22">
        <f>'Annual Raw'!O23</f>
        <v>14.715</v>
      </c>
      <c r="O71" s="22">
        <f>'Annual Raw'!P23</f>
        <v>12.734999999999999</v>
      </c>
      <c r="P71" s="22">
        <f>'Annual Raw'!Q23</f>
        <v>22.856999999999999</v>
      </c>
      <c r="Q71" s="22">
        <f>'Annual Raw'!R23</f>
        <v>24.061</v>
      </c>
      <c r="R71" s="22">
        <f>'Annual Raw'!S23</f>
        <v>24.373000000000001</v>
      </c>
      <c r="S71" s="22">
        <f>'Annual Raw'!T23</f>
        <v>29.686</v>
      </c>
      <c r="T71" s="22">
        <f>'Annual Raw'!U23</f>
        <v>20.029</v>
      </c>
      <c r="U71" s="22">
        <f>'Annual Raw'!V23</f>
        <v>21.632999999999999</v>
      </c>
      <c r="V71" s="22">
        <f>'Annual Raw'!W23</f>
        <v>29.027999999999999</v>
      </c>
      <c r="W71" s="22">
        <f>'Annual Raw'!X23</f>
        <v>33.694000000000003</v>
      </c>
      <c r="X71" s="22">
        <f>'Annual Raw'!Y23</f>
        <v>42.183999999999997</v>
      </c>
      <c r="Y71" s="22">
        <f>'Annual Raw'!Z23</f>
        <v>32.337000000000003</v>
      </c>
      <c r="Z71" s="22">
        <f>'Annual Raw'!AA23</f>
        <v>36.750999999999998</v>
      </c>
      <c r="AA71" s="22">
        <f>'Annual Raw'!AB23</f>
        <v>59.140999999999998</v>
      </c>
      <c r="AB71" s="75">
        <f t="shared" ref="AB71:AB72" si="489">+SUM(CL71:CO71)</f>
        <v>14.4</v>
      </c>
      <c r="AC71" s="75">
        <f t="shared" ref="AC71:AC72" si="490">+SUM(CP71:CS71)</f>
        <v>0</v>
      </c>
      <c r="AD71" s="75">
        <f t="shared" ref="AD71:AD72" si="491">+SUM(CT71:CW71)</f>
        <v>0</v>
      </c>
      <c r="AE71" s="75">
        <f t="shared" ref="AE71:AE72" si="492">+SUM(CX71:DA71)</f>
        <v>0</v>
      </c>
      <c r="AI71" s="22">
        <f>'QTR Raw'!C23</f>
        <v>6.56</v>
      </c>
      <c r="AJ71" s="22">
        <f>'QTR Raw'!D23</f>
        <v>2.88</v>
      </c>
      <c r="AK71" s="22">
        <f>'QTR Raw'!E23</f>
        <v>3.27</v>
      </c>
      <c r="AL71" s="22">
        <f>'QTR Raw'!F23</f>
        <v>6.49</v>
      </c>
      <c r="AM71" s="22">
        <f>'QTR Raw'!G23</f>
        <v>3.8</v>
      </c>
      <c r="AN71" s="22">
        <f>'QTR Raw'!H23</f>
        <v>3.51</v>
      </c>
      <c r="AO71" s="22">
        <f>'QTR Raw'!I23</f>
        <v>2.36</v>
      </c>
      <c r="AP71" s="22">
        <f>'QTR Raw'!J23</f>
        <v>4.57</v>
      </c>
      <c r="AQ71" s="22">
        <f>'QTR Raw'!K23</f>
        <v>9.39</v>
      </c>
      <c r="AR71" s="22">
        <f>'QTR Raw'!L23</f>
        <v>8.0399999999999991</v>
      </c>
      <c r="AS71" s="22">
        <f>'QTR Raw'!M23</f>
        <v>5.52</v>
      </c>
      <c r="AT71" s="22">
        <f>'QTR Raw'!N23</f>
        <v>5.2</v>
      </c>
      <c r="AU71" s="22">
        <f>'QTR Raw'!O23</f>
        <v>16.059999999999999</v>
      </c>
      <c r="AV71" s="22">
        <f>'QTR Raw'!P23</f>
        <v>4.33</v>
      </c>
      <c r="AW71" s="22">
        <f>'QTR Raw'!Q23</f>
        <v>5.28</v>
      </c>
      <c r="AX71" s="22">
        <f>'QTR Raw'!R23</f>
        <v>7.48</v>
      </c>
      <c r="AY71" s="22">
        <f>'QTR Raw'!S23</f>
        <v>6.94</v>
      </c>
      <c r="AZ71" s="22">
        <f>'QTR Raw'!T23</f>
        <v>6.91</v>
      </c>
      <c r="BA71" s="22">
        <f>'QTR Raw'!U23</f>
        <v>4.8499999999999996</v>
      </c>
      <c r="BB71" s="22">
        <f>'QTR Raw'!V23</f>
        <v>9.6</v>
      </c>
      <c r="BC71" s="22">
        <f>'QTR Raw'!W23</f>
        <v>7.1</v>
      </c>
      <c r="BD71" s="22">
        <f>'QTR Raw'!X23</f>
        <v>5.2</v>
      </c>
      <c r="BE71" s="22">
        <f>'QTR Raw'!Y23</f>
        <v>9.6</v>
      </c>
      <c r="BF71" s="22">
        <f>'QTR Raw'!Z23</f>
        <v>7.9</v>
      </c>
      <c r="BG71" s="22">
        <f>'QTR Raw'!AA23</f>
        <v>2.9</v>
      </c>
      <c r="BH71" s="22">
        <f>'QTR Raw'!AB23</f>
        <v>3.5</v>
      </c>
      <c r="BI71" s="22">
        <f>'QTR Raw'!AC23</f>
        <v>5.7</v>
      </c>
      <c r="BJ71" s="22">
        <f>'QTR Raw'!AD23</f>
        <v>3.6</v>
      </c>
      <c r="BK71" s="22">
        <f>'QTR Raw'!AE23</f>
        <v>5.7</v>
      </c>
      <c r="BL71" s="22">
        <f>'QTR Raw'!AF23</f>
        <v>5.2</v>
      </c>
      <c r="BM71" s="22">
        <f>'QTR Raw'!AG23</f>
        <v>8.6</v>
      </c>
      <c r="BN71" s="22">
        <f>'QTR Raw'!AH23</f>
        <v>12.8</v>
      </c>
      <c r="BO71" s="22">
        <f>'QTR Raw'!AI23</f>
        <v>6.9</v>
      </c>
      <c r="BP71" s="22">
        <f>'QTR Raw'!AJ23</f>
        <v>6.6</v>
      </c>
      <c r="BQ71" s="22">
        <f>'QTR Raw'!AK23</f>
        <v>2.8</v>
      </c>
      <c r="BR71" s="22">
        <f>'QTR Raw'!AL23</f>
        <v>7.2</v>
      </c>
      <c r="BS71" s="22">
        <f>'QTR Raw'!AM23</f>
        <v>8.4</v>
      </c>
      <c r="BT71" s="22">
        <f>'QTR Raw'!AN23</f>
        <v>9.9</v>
      </c>
      <c r="BU71" s="22">
        <f>'QTR Raw'!AO23</f>
        <v>8.1999999999999993</v>
      </c>
      <c r="BV71" s="22">
        <f>'QTR Raw'!AP23</f>
        <v>9.5</v>
      </c>
      <c r="BW71" s="22">
        <f>'QTR Raw'!AQ23</f>
        <v>13.4</v>
      </c>
      <c r="BX71" s="22">
        <f>'QTR Raw'!AR23</f>
        <v>10.6</v>
      </c>
      <c r="BY71" s="22">
        <f>'QTR Raw'!AS23</f>
        <v>8.6999999999999993</v>
      </c>
      <c r="BZ71" s="22">
        <f>'QTR Raw'!AT23</f>
        <v>9.3000000000000007</v>
      </c>
      <c r="CA71" s="22">
        <f>'QTR Raw'!AU23</f>
        <v>8.1</v>
      </c>
      <c r="CB71" s="22">
        <f>'QTR Raw'!AV23</f>
        <v>8.5</v>
      </c>
      <c r="CC71" s="22">
        <f>'QTR Raw'!AW23</f>
        <v>6.4</v>
      </c>
      <c r="CD71" s="22">
        <f>'QTR Raw'!AX23</f>
        <v>10.5</v>
      </c>
      <c r="CE71" s="22">
        <f>'QTR Raw'!AY23</f>
        <v>9.5</v>
      </c>
      <c r="CF71" s="22">
        <f>'QTR Raw'!AZ23</f>
        <v>6.6</v>
      </c>
      <c r="CG71" s="22">
        <f>'QTR Raw'!BA23</f>
        <v>10.199999999999999</v>
      </c>
      <c r="CH71" s="22">
        <f>'QTR Raw'!BB23</f>
        <v>12.5</v>
      </c>
      <c r="CI71" s="22">
        <f>'QTR Raw'!BC23</f>
        <v>11.8</v>
      </c>
      <c r="CJ71" s="22">
        <f>'QTR Raw'!BD23</f>
        <v>18.5</v>
      </c>
      <c r="CK71" s="22">
        <f>'QTR Raw'!BE23</f>
        <v>16.399999999999999</v>
      </c>
      <c r="CL71" s="22">
        <f>'QTR Raw'!BF23</f>
        <v>14.4</v>
      </c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D71" s="122"/>
      <c r="DE71" s="22">
        <v>59.199999999999996</v>
      </c>
    </row>
    <row r="72" spans="1:109" s="22" customFormat="1" x14ac:dyDescent="0.2">
      <c r="A72" s="22" t="s">
        <v>18</v>
      </c>
      <c r="B72" s="22">
        <f>'Annual Raw'!C25</f>
        <v>3.8016000000000001</v>
      </c>
      <c r="C72" s="22">
        <f>'Annual Raw'!D25</f>
        <v>4.3718000000000004</v>
      </c>
      <c r="D72" s="22">
        <f>'Annual Raw'!E25</f>
        <v>2.2932999999999999</v>
      </c>
      <c r="E72" s="22">
        <f>'Annual Raw'!F25</f>
        <v>1.5704</v>
      </c>
      <c r="F72" s="22">
        <f>'Annual Raw'!G25</f>
        <v>0.75249999999999995</v>
      </c>
      <c r="G72" s="22">
        <f>'Annual Raw'!H25</f>
        <v>0.5393</v>
      </c>
      <c r="H72" s="22">
        <f>'Annual Raw'!I25</f>
        <v>0.96450000000000002</v>
      </c>
      <c r="I72" s="22">
        <f>'Annual Raw'!J25</f>
        <v>0.65010000000000001</v>
      </c>
      <c r="J72" s="22">
        <f>'Annual Raw'!K25</f>
        <v>2.2534999999999998</v>
      </c>
      <c r="K72" s="22">
        <f>'Annual Raw'!L25</f>
        <v>1.8312999999999999</v>
      </c>
      <c r="L72" s="22">
        <f>'Annual Raw'!M25</f>
        <v>0.53449999999999998</v>
      </c>
      <c r="M72" s="22">
        <f>'Annual Raw'!N25</f>
        <v>2.7759999999999998</v>
      </c>
      <c r="N72" s="22">
        <f>'Annual Raw'!O25</f>
        <v>5.24</v>
      </c>
      <c r="O72" s="22">
        <f>'Annual Raw'!P25</f>
        <v>2.5939999999999999</v>
      </c>
      <c r="P72" s="22">
        <f>'Annual Raw'!Q25</f>
        <v>2.1469999999999998</v>
      </c>
      <c r="Q72" s="22">
        <f>'Annual Raw'!R25</f>
        <v>1.7350000000000001</v>
      </c>
      <c r="R72" s="22">
        <f>'Annual Raw'!S25</f>
        <v>3.1509999999999998</v>
      </c>
      <c r="S72" s="22">
        <f>'Annual Raw'!T25</f>
        <v>3.548</v>
      </c>
      <c r="T72" s="22">
        <f>'Annual Raw'!U25</f>
        <v>3.7530000000000001</v>
      </c>
      <c r="U72" s="22">
        <f>'Annual Raw'!V25</f>
        <v>5.3120000000000003</v>
      </c>
      <c r="V72" s="22">
        <f>'Annual Raw'!W25</f>
        <v>3.3940000000000001</v>
      </c>
      <c r="W72" s="22">
        <f>'Annual Raw'!X25</f>
        <v>5.04</v>
      </c>
      <c r="X72" s="22">
        <f>'Annual Raw'!Y25</f>
        <v>6.1260000000000003</v>
      </c>
      <c r="Y72" s="22">
        <f>'Annual Raw'!Z25</f>
        <v>5.29</v>
      </c>
      <c r="Z72" s="22">
        <f>'Annual Raw'!AA25</f>
        <v>2.7170000000000001</v>
      </c>
      <c r="AA72" s="22">
        <f>'Annual Raw'!AB25</f>
        <v>3.028</v>
      </c>
      <c r="AB72" s="75">
        <f t="shared" si="489"/>
        <v>-42.910752448850253</v>
      </c>
      <c r="AC72" s="75">
        <f t="shared" si="490"/>
        <v>-72.708736323909491</v>
      </c>
      <c r="AD72" s="75">
        <f t="shared" si="491"/>
        <v>-85.746547105151507</v>
      </c>
      <c r="AE72" s="75">
        <f t="shared" si="492"/>
        <v>-114.47122430002008</v>
      </c>
      <c r="AI72" s="22">
        <f>'QTR Raw'!C25</f>
        <v>1.51</v>
      </c>
      <c r="AJ72" s="22">
        <f>'QTR Raw'!D25</f>
        <v>0.76</v>
      </c>
      <c r="AK72" s="22">
        <f>'QTR Raw'!E25</f>
        <v>1.23</v>
      </c>
      <c r="AL72" s="22">
        <f>'QTR Raw'!F25</f>
        <v>0.68</v>
      </c>
      <c r="AM72" s="22">
        <f>'QTR Raw'!G25</f>
        <v>1.03</v>
      </c>
      <c r="AN72" s="22">
        <f>'QTR Raw'!H25</f>
        <v>0.57999999999999996</v>
      </c>
      <c r="AO72" s="22">
        <f>'QTR Raw'!I25</f>
        <v>0.3</v>
      </c>
      <c r="AP72" s="22">
        <f>'QTR Raw'!J25</f>
        <v>0.18</v>
      </c>
      <c r="AQ72" s="22">
        <f>'QTR Raw'!K25</f>
        <v>0.32</v>
      </c>
      <c r="AR72" s="22">
        <f>'QTR Raw'!L25</f>
        <v>1.25</v>
      </c>
      <c r="AS72" s="22">
        <f>'QTR Raw'!M25</f>
        <v>0.4</v>
      </c>
      <c r="AT72" s="22">
        <f>'QTR Raw'!N25</f>
        <v>0.79</v>
      </c>
      <c r="AU72" s="22">
        <f>'QTR Raw'!O25</f>
        <v>0.6</v>
      </c>
      <c r="AV72" s="22">
        <f>'QTR Raw'!P25</f>
        <v>0.23</v>
      </c>
      <c r="AW72" s="22">
        <f>'QTR Raw'!Q25</f>
        <v>0.11</v>
      </c>
      <c r="AX72" s="22">
        <f>'QTR Raw'!R25</f>
        <v>0.48</v>
      </c>
      <c r="AY72" s="22">
        <f>'QTR Raw'!S25</f>
        <v>0.63</v>
      </c>
      <c r="AZ72" s="22">
        <f>'QTR Raw'!T25</f>
        <v>0.63</v>
      </c>
      <c r="BA72" s="22">
        <f>'QTR Raw'!U25</f>
        <v>1.41</v>
      </c>
      <c r="BB72" s="22">
        <f>'QTR Raw'!V25</f>
        <v>2.2000000000000002</v>
      </c>
      <c r="BC72" s="22">
        <f>'QTR Raw'!W25</f>
        <v>0.2</v>
      </c>
      <c r="BD72" s="22">
        <f>'QTR Raw'!X25</f>
        <v>0.5</v>
      </c>
      <c r="BE72" s="22">
        <f>'QTR Raw'!Y25</f>
        <v>0.6</v>
      </c>
      <c r="BF72" s="22">
        <f>'QTR Raw'!Z25</f>
        <v>0.5</v>
      </c>
      <c r="BG72" s="22">
        <f>'QTR Raw'!AA25</f>
        <v>0.5</v>
      </c>
      <c r="BH72" s="22">
        <f>'QTR Raw'!AB25</f>
        <v>1.3</v>
      </c>
      <c r="BI72" s="22">
        <f>'QTR Raw'!AC25</f>
        <v>1.4</v>
      </c>
      <c r="BJ72" s="22">
        <f>'QTR Raw'!AD25</f>
        <v>0.9</v>
      </c>
      <c r="BK72" s="22">
        <f>'QTR Raw'!AE25</f>
        <v>1</v>
      </c>
      <c r="BL72" s="22">
        <f>'QTR Raw'!AF25</f>
        <v>1.2</v>
      </c>
      <c r="BM72" s="22">
        <f>'QTR Raw'!AG25</f>
        <v>2.2000000000000002</v>
      </c>
      <c r="BN72" s="22">
        <f>'QTR Raw'!AH25</f>
        <v>0.8</v>
      </c>
      <c r="BO72" s="22">
        <f>'QTR Raw'!AI25</f>
        <v>0.9</v>
      </c>
      <c r="BP72" s="22">
        <f>'QTR Raw'!AJ25</f>
        <v>1</v>
      </c>
      <c r="BQ72" s="22">
        <f>'QTR Raw'!AK25</f>
        <v>0.7</v>
      </c>
      <c r="BR72" s="22">
        <f>'QTR Raw'!AL25</f>
        <v>0.9</v>
      </c>
      <c r="BS72" s="22">
        <f>'QTR Raw'!AM25</f>
        <v>1</v>
      </c>
      <c r="BT72" s="22">
        <f>'QTR Raw'!AN25</f>
        <v>1.2</v>
      </c>
      <c r="BU72" s="22">
        <f>'QTR Raw'!AO25</f>
        <v>1.9</v>
      </c>
      <c r="BV72" s="22">
        <f>'QTR Raw'!AP25</f>
        <v>0.9</v>
      </c>
      <c r="BW72" s="22">
        <f>'QTR Raw'!AQ25</f>
        <v>1.4</v>
      </c>
      <c r="BX72" s="22">
        <f>'QTR Raw'!AR25</f>
        <v>1.3</v>
      </c>
      <c r="BY72" s="22">
        <f>'QTR Raw'!AS25</f>
        <v>2.5</v>
      </c>
      <c r="BZ72" s="22">
        <f>'QTR Raw'!AT25</f>
        <v>0.8</v>
      </c>
      <c r="CA72" s="22">
        <f>'QTR Raw'!AU25</f>
        <v>0.9</v>
      </c>
      <c r="CB72" s="22">
        <f>'QTR Raw'!AV25</f>
        <v>2</v>
      </c>
      <c r="CC72" s="22">
        <f>'QTR Raw'!AW25</f>
        <v>1.6</v>
      </c>
      <c r="CD72" s="22">
        <f>'QTR Raw'!AX25</f>
        <v>0.9</v>
      </c>
      <c r="CE72" s="22">
        <f>'QTR Raw'!AY25</f>
        <v>0.8</v>
      </c>
      <c r="CF72" s="22">
        <f>'QTR Raw'!AZ25</f>
        <v>0.6</v>
      </c>
      <c r="CG72" s="22">
        <f>'QTR Raw'!BA25</f>
        <v>0.4</v>
      </c>
      <c r="CH72" s="22">
        <f>'QTR Raw'!BB25</f>
        <v>0.8</v>
      </c>
      <c r="CI72" s="22">
        <f>'QTR Raw'!BC25</f>
        <v>0.7</v>
      </c>
      <c r="CJ72" s="22">
        <f>'QTR Raw'!BD25</f>
        <v>0.7</v>
      </c>
      <c r="CK72" s="22">
        <f>'QTR Raw'!BE25</f>
        <v>0.8</v>
      </c>
      <c r="CL72" s="22">
        <f>'QTR Raw'!BF25</f>
        <v>0.6</v>
      </c>
      <c r="CM72" s="23">
        <f t="shared" ref="CM72:DA72" si="493">CM73*CL204</f>
        <v>-18.183160714285705</v>
      </c>
      <c r="CN72" s="23">
        <f t="shared" si="493"/>
        <v>-12.635883797087985</v>
      </c>
      <c r="CO72" s="23">
        <f t="shared" si="493"/>
        <v>-12.691707937476563</v>
      </c>
      <c r="CP72" s="23">
        <f t="shared" si="493"/>
        <v>-14.955840163622437</v>
      </c>
      <c r="CQ72" s="23">
        <f t="shared" si="493"/>
        <v>-18.907362047173436</v>
      </c>
      <c r="CR72" s="23">
        <f t="shared" si="493"/>
        <v>-19.359165832076993</v>
      </c>
      <c r="CS72" s="23">
        <f t="shared" si="493"/>
        <v>-19.486368281036615</v>
      </c>
      <c r="CT72" s="23">
        <f t="shared" si="493"/>
        <v>-18.426023098773314</v>
      </c>
      <c r="CU72" s="23">
        <f t="shared" si="493"/>
        <v>-22.092061323251652</v>
      </c>
      <c r="CV72" s="23">
        <f t="shared" si="493"/>
        <v>-22.540315199761086</v>
      </c>
      <c r="CW72" s="23">
        <f t="shared" si="493"/>
        <v>-22.688147483365452</v>
      </c>
      <c r="CX72" s="23">
        <f t="shared" si="493"/>
        <v>-25.13779178687706</v>
      </c>
      <c r="CY72" s="23">
        <f t="shared" si="493"/>
        <v>-29.280076091651519</v>
      </c>
      <c r="CZ72" s="23">
        <f t="shared" si="493"/>
        <v>-29.886842701692188</v>
      </c>
      <c r="DA72" s="23">
        <f t="shared" si="493"/>
        <v>-30.166513719799312</v>
      </c>
      <c r="DD72" s="122"/>
      <c r="DE72" s="22">
        <v>3</v>
      </c>
    </row>
    <row r="73" spans="1:109" s="45" customFormat="1" x14ac:dyDescent="0.2">
      <c r="A73" s="45" t="s">
        <v>482</v>
      </c>
      <c r="B73" s="45">
        <f t="shared" ref="B73:D73" si="494">+B72/B164</f>
        <v>9.1487979207277456E-2</v>
      </c>
      <c r="C73" s="45">
        <f t="shared" si="494"/>
        <v>9.4081948868038223E-2</v>
      </c>
      <c r="D73" s="45">
        <f t="shared" si="494"/>
        <v>8.0733512170049773E-2</v>
      </c>
      <c r="E73" s="45">
        <f t="shared" ref="E73:AE73" si="495">+E72/E164</f>
        <v>0.12320148117929486</v>
      </c>
      <c r="F73" s="45">
        <f t="shared" si="495"/>
        <v>9.7995806691062504E-2</v>
      </c>
      <c r="G73" s="45">
        <f t="shared" si="495"/>
        <v>4.7716373803330318E-2</v>
      </c>
      <c r="H73" s="45">
        <f t="shared" si="495"/>
        <v>8.8075757022318013E-2</v>
      </c>
      <c r="I73" s="45">
        <f t="shared" si="495"/>
        <v>2.5887712395917539E-2</v>
      </c>
      <c r="J73" s="45">
        <f t="shared" si="495"/>
        <v>7.1962318377774226E-2</v>
      </c>
      <c r="K73" s="45">
        <f t="shared" si="495"/>
        <v>0.24333302329289519</v>
      </c>
      <c r="L73" s="45">
        <f t="shared" si="495"/>
        <v>3.8937008734419735E-2</v>
      </c>
      <c r="M73" s="45">
        <f t="shared" si="495"/>
        <v>4.3941432528690143E-2</v>
      </c>
      <c r="N73" s="45">
        <f t="shared" si="495"/>
        <v>0.31090542304497454</v>
      </c>
      <c r="O73" s="45">
        <f t="shared" si="495"/>
        <v>0.81444270015698583</v>
      </c>
      <c r="P73" s="45">
        <f t="shared" si="495"/>
        <v>8.806759916321423E-2</v>
      </c>
      <c r="Q73" s="45">
        <f t="shared" si="495"/>
        <v>1.3377023901310718</v>
      </c>
      <c r="R73" s="45">
        <f t="shared" si="495"/>
        <v>0.4509803921568627</v>
      </c>
      <c r="S73" s="45">
        <f t="shared" si="495"/>
        <v>0.2808295076776951</v>
      </c>
      <c r="T73" s="45">
        <f t="shared" si="495"/>
        <v>8.6422880302123153E-2</v>
      </c>
      <c r="U73" s="45">
        <f t="shared" si="495"/>
        <v>8.8533333333333339E-2</v>
      </c>
      <c r="V73" s="45">
        <f t="shared" si="495"/>
        <v>5.6566666666666668E-2</v>
      </c>
      <c r="W73" s="45" t="e">
        <f t="shared" si="495"/>
        <v>#DIV/0!</v>
      </c>
      <c r="X73" s="45" t="e">
        <f t="shared" si="495"/>
        <v>#DIV/0!</v>
      </c>
      <c r="Y73" s="45" t="e">
        <f t="shared" si="495"/>
        <v>#DIV/0!</v>
      </c>
      <c r="Z73" s="45" t="e">
        <f t="shared" si="495"/>
        <v>#DIV/0!</v>
      </c>
      <c r="AA73" s="45" t="e">
        <f t="shared" ref="AA73" si="496">+AA72/AA164</f>
        <v>#DIV/0!</v>
      </c>
      <c r="AB73" s="109" t="e">
        <f t="shared" si="495"/>
        <v>#DIV/0!</v>
      </c>
      <c r="AC73" s="109" t="e">
        <f t="shared" si="495"/>
        <v>#DIV/0!</v>
      </c>
      <c r="AD73" s="109" t="e">
        <f t="shared" si="495"/>
        <v>#DIV/0!</v>
      </c>
      <c r="AE73" s="109" t="e">
        <f t="shared" si="495"/>
        <v>#DIV/0!</v>
      </c>
      <c r="AI73" s="45" t="e">
        <f t="shared" ref="AI73:BN73" si="497">(AI72-AI71)/AH204</f>
        <v>#DIV/0!</v>
      </c>
      <c r="AJ73" s="45">
        <f t="shared" si="497"/>
        <v>5.4012738853503189E-2</v>
      </c>
      <c r="AK73" s="45">
        <f t="shared" si="497"/>
        <v>2.3856923168696042E-2</v>
      </c>
      <c r="AL73" s="45" t="e">
        <f t="shared" si="497"/>
        <v>#DIV/0!</v>
      </c>
      <c r="AM73" s="45">
        <f t="shared" si="497"/>
        <v>0.17745035233824469</v>
      </c>
      <c r="AN73" s="45">
        <f t="shared" si="497"/>
        <v>3.6533665835411469E-2</v>
      </c>
      <c r="AO73" s="45">
        <f t="shared" si="497"/>
        <v>1.9812672292267988E-2</v>
      </c>
      <c r="AP73" s="45">
        <f t="shared" si="497"/>
        <v>2.7983171851096385E-2</v>
      </c>
      <c r="AQ73" s="45">
        <f t="shared" si="497"/>
        <v>5.020970600882925E-2</v>
      </c>
      <c r="AR73" s="45">
        <f t="shared" si="497"/>
        <v>4.9213597158802636E-2</v>
      </c>
      <c r="AS73" s="45">
        <f t="shared" si="497"/>
        <v>3.2751289905807605E-2</v>
      </c>
      <c r="AT73" s="45">
        <f t="shared" si="497"/>
        <v>2.8567726889939755E-2</v>
      </c>
      <c r="AU73" s="45">
        <f t="shared" si="497"/>
        <v>7.6889497170177817E-2</v>
      </c>
      <c r="AV73" s="45">
        <f t="shared" si="497"/>
        <v>2.6023484608060928E-2</v>
      </c>
      <c r="AW73" s="45">
        <f t="shared" si="497"/>
        <v>2.7258553789955866E-2</v>
      </c>
      <c r="AX73" s="45">
        <f t="shared" si="497"/>
        <v>3.082885580903726E-2</v>
      </c>
      <c r="AY73" s="45">
        <f t="shared" si="497"/>
        <v>2.3169767180861483E-2</v>
      </c>
      <c r="AZ73" s="45">
        <f t="shared" si="497"/>
        <v>2.9142883660494688E-2</v>
      </c>
      <c r="BA73" s="45">
        <f t="shared" si="497"/>
        <v>1.2886000861864734E-2</v>
      </c>
      <c r="BB73" s="45">
        <f t="shared" si="497"/>
        <v>3.7909836065573771E-2</v>
      </c>
      <c r="BC73" s="45">
        <f t="shared" si="497"/>
        <v>2.6486149288616808E-2</v>
      </c>
      <c r="BD73" s="45">
        <f t="shared" si="497"/>
        <v>5.8053359683794464E-2</v>
      </c>
      <c r="BE73" s="45">
        <f t="shared" si="497"/>
        <v>7.6939323884243682E-2</v>
      </c>
      <c r="BF73" s="45">
        <f t="shared" si="497"/>
        <v>9.4027954256670904E-2</v>
      </c>
      <c r="BG73" s="45">
        <f t="shared" si="497"/>
        <v>1.1667397409614994E-2</v>
      </c>
      <c r="BH73" s="45">
        <f t="shared" si="497"/>
        <v>2.5000000000000001E-2</v>
      </c>
      <c r="BI73" s="45">
        <f t="shared" si="497"/>
        <v>5.925529856958734E-2</v>
      </c>
      <c r="BJ73" s="45">
        <f t="shared" si="497"/>
        <v>2.8331584470094446E-2</v>
      </c>
      <c r="BK73" s="45">
        <f t="shared" si="497"/>
        <v>2.7002118703768372E-2</v>
      </c>
      <c r="BL73" s="45">
        <f t="shared" si="497"/>
        <v>2.5125628140703515E-2</v>
      </c>
      <c r="BM73" s="45">
        <f t="shared" si="497"/>
        <v>5.5959453500681676E-2</v>
      </c>
      <c r="BN73" s="45">
        <f t="shared" si="497"/>
        <v>5.2151238591916553E-2</v>
      </c>
      <c r="BO73" s="45">
        <f t="shared" ref="BO73:CL73" si="498">(BO72-BO71)/BN204</f>
        <v>1.813241505474698E-2</v>
      </c>
      <c r="BP73" s="45">
        <f t="shared" si="498"/>
        <v>2.0408163265306117E-2</v>
      </c>
      <c r="BQ73" s="45">
        <f t="shared" si="498"/>
        <v>2.0714622714841785E-2</v>
      </c>
      <c r="BR73" s="45">
        <f t="shared" si="498"/>
        <v>1.8345952242283053E-2</v>
      </c>
      <c r="BS73" s="45">
        <f t="shared" si="498"/>
        <v>1.9693352473712743E-2</v>
      </c>
      <c r="BT73" s="45">
        <f t="shared" si="498"/>
        <v>2.416666666666667E-2</v>
      </c>
      <c r="BU73" s="45">
        <f t="shared" si="498"/>
        <v>1.9796084463293711E-2</v>
      </c>
      <c r="BV73" s="45">
        <f t="shared" si="498"/>
        <v>2.4252679075014098E-2</v>
      </c>
      <c r="BW73" s="45">
        <f t="shared" si="498"/>
        <v>2.8535652798253118E-2</v>
      </c>
      <c r="BX73" s="45">
        <f t="shared" si="498"/>
        <v>3.324991061851984E-2</v>
      </c>
      <c r="BY73" s="45">
        <f t="shared" si="498"/>
        <v>1.8367418669692746E-2</v>
      </c>
      <c r="BZ73" s="45">
        <f t="shared" si="498"/>
        <v>3.2554576790501721E-2</v>
      </c>
      <c r="CA73" s="45">
        <f t="shared" si="498"/>
        <v>2.0845412747583149E-2</v>
      </c>
      <c r="CB73" s="45">
        <f t="shared" si="498"/>
        <v>2.6315789473684209E-2</v>
      </c>
      <c r="CC73" s="45">
        <f t="shared" si="498"/>
        <v>1.4528904777532299E-2</v>
      </c>
      <c r="CD73" s="45">
        <f t="shared" si="498"/>
        <v>3.4972677595628415E-2</v>
      </c>
      <c r="CE73" s="45">
        <f t="shared" si="498"/>
        <v>2.1983104447316094E-2</v>
      </c>
      <c r="CF73" s="45">
        <f t="shared" si="498"/>
        <v>1.6047071409467772E-2</v>
      </c>
      <c r="CG73" s="45">
        <f t="shared" si="498"/>
        <v>2.0758290093726754E-2</v>
      </c>
      <c r="CH73" s="45">
        <f t="shared" si="498"/>
        <v>3.6170502182596112E-2</v>
      </c>
      <c r="CI73" s="45">
        <f t="shared" si="498"/>
        <v>2.0510232624357781E-2</v>
      </c>
      <c r="CJ73" s="45">
        <f t="shared" si="498"/>
        <v>5.6204610041048313E-2</v>
      </c>
      <c r="CK73" s="45">
        <f t="shared" si="498"/>
        <v>3.8060681282140241E-2</v>
      </c>
      <c r="CL73" s="45">
        <f t="shared" si="498"/>
        <v>4.8694424841213842E-2</v>
      </c>
      <c r="CM73" s="46">
        <v>0.03</v>
      </c>
      <c r="CN73" s="46">
        <f t="shared" ref="CN73" si="499">+CM73</f>
        <v>0.03</v>
      </c>
      <c r="CO73" s="46">
        <f t="shared" ref="CO73" si="500">+CN73</f>
        <v>0.03</v>
      </c>
      <c r="CP73" s="46">
        <f t="shared" ref="CP73" si="501">+CO73</f>
        <v>0.03</v>
      </c>
      <c r="CQ73" s="46">
        <f t="shared" ref="CQ73" si="502">+CP73</f>
        <v>0.03</v>
      </c>
      <c r="CR73" s="46">
        <f t="shared" ref="CR73" si="503">+CQ73</f>
        <v>0.03</v>
      </c>
      <c r="CS73" s="46">
        <f t="shared" ref="CS73" si="504">+CR73</f>
        <v>0.03</v>
      </c>
      <c r="CT73" s="46">
        <v>2.5000000000000001E-2</v>
      </c>
      <c r="CU73" s="46">
        <f t="shared" ref="CU73" si="505">+CT73</f>
        <v>2.5000000000000001E-2</v>
      </c>
      <c r="CV73" s="46">
        <f t="shared" ref="CV73" si="506">+CU73</f>
        <v>2.5000000000000001E-2</v>
      </c>
      <c r="CW73" s="46">
        <f t="shared" ref="CW73" si="507">+CV73</f>
        <v>2.5000000000000001E-2</v>
      </c>
      <c r="CX73" s="46">
        <f t="shared" ref="CX73" si="508">+CW73</f>
        <v>2.5000000000000001E-2</v>
      </c>
      <c r="CY73" s="46">
        <f t="shared" ref="CY73" si="509">+CX73</f>
        <v>2.5000000000000001E-2</v>
      </c>
      <c r="CZ73" s="46">
        <f t="shared" ref="CZ73" si="510">+CY73</f>
        <v>2.5000000000000001E-2</v>
      </c>
      <c r="DA73" s="46">
        <f t="shared" ref="DA73" si="511">+CZ73</f>
        <v>2.5000000000000001E-2</v>
      </c>
      <c r="DD73" s="129"/>
    </row>
    <row r="74" spans="1:109" s="25" customFormat="1" x14ac:dyDescent="0.2">
      <c r="A74" s="25" t="s">
        <v>20</v>
      </c>
      <c r="B74" s="25">
        <f>B70+B71-B72</f>
        <v>21.615800000000032</v>
      </c>
      <c r="C74" s="25">
        <f t="shared" ref="C74:T74" si="512">C70+C71-C72</f>
        <v>12.881600000000006</v>
      </c>
      <c r="D74" s="25">
        <f>D70+D71-D72</f>
        <v>18.44759999999998</v>
      </c>
      <c r="E74" s="25">
        <f t="shared" si="512"/>
        <v>25.412299999999998</v>
      </c>
      <c r="F74" s="25">
        <f t="shared" si="512"/>
        <v>46.00969999999996</v>
      </c>
      <c r="G74" s="25">
        <f t="shared" si="512"/>
        <v>59.740399999999994</v>
      </c>
      <c r="H74" s="25">
        <f t="shared" si="512"/>
        <v>79.572900000000004</v>
      </c>
      <c r="I74" s="25">
        <f t="shared" si="512"/>
        <v>65.559799999999996</v>
      </c>
      <c r="J74" s="25">
        <f t="shared" si="512"/>
        <v>99.77189999999996</v>
      </c>
      <c r="K74" s="25">
        <f t="shared" si="512"/>
        <v>99.121900000000124</v>
      </c>
      <c r="L74" s="25">
        <f t="shared" si="512"/>
        <v>72.576500000000053</v>
      </c>
      <c r="M74" s="25">
        <f t="shared" si="512"/>
        <v>60.128999999999976</v>
      </c>
      <c r="N74" s="25">
        <f t="shared" si="512"/>
        <v>78.542000000000002</v>
      </c>
      <c r="O74" s="25">
        <f t="shared" si="512"/>
        <v>85.573999999999941</v>
      </c>
      <c r="P74" s="25">
        <f t="shared" si="512"/>
        <v>94.281000000000049</v>
      </c>
      <c r="Q74" s="25">
        <f t="shared" si="512"/>
        <v>100.48599999999998</v>
      </c>
      <c r="R74" s="25">
        <f t="shared" si="512"/>
        <v>97.954000000000036</v>
      </c>
      <c r="S74" s="25">
        <f t="shared" si="512"/>
        <v>102.755</v>
      </c>
      <c r="T74" s="25">
        <f t="shared" si="512"/>
        <v>104.94900000000008</v>
      </c>
      <c r="U74" s="25">
        <f t="shared" ref="U74:Z74" si="513">U70+U71-U72</f>
        <v>122.33199999999981</v>
      </c>
      <c r="V74" s="25">
        <f t="shared" si="513"/>
        <v>151.65499999999992</v>
      </c>
      <c r="W74" s="25">
        <f t="shared" si="513"/>
        <v>194.58700000000002</v>
      </c>
      <c r="X74" s="25">
        <f t="shared" si="513"/>
        <v>237.446</v>
      </c>
      <c r="Y74" s="25">
        <f t="shared" si="513"/>
        <v>270.93899999999979</v>
      </c>
      <c r="Z74" s="25">
        <f t="shared" si="513"/>
        <v>317.24400000000054</v>
      </c>
      <c r="AA74" s="25">
        <f t="shared" ref="AA74" si="514">AA70+AA71-AA72</f>
        <v>371.37200000000013</v>
      </c>
      <c r="AB74" s="26">
        <f t="shared" ref="AB74:AD74" si="515">AB70+AB71-AB72</f>
        <v>403.44431810269214</v>
      </c>
      <c r="AC74" s="26">
        <f t="shared" si="515"/>
        <v>463.2022049679544</v>
      </c>
      <c r="AD74" s="26">
        <f t="shared" si="515"/>
        <v>516.05465586523815</v>
      </c>
      <c r="AE74" s="26">
        <f t="shared" ref="AE74" si="516">AE70+AE71-AE72</f>
        <v>589.25590301549164</v>
      </c>
      <c r="AI74" s="25">
        <f>AI70+AI71-AI72</f>
        <v>23.989999999999995</v>
      </c>
      <c r="AJ74" s="25">
        <f t="shared" ref="AJ74" si="517">AJ70+AJ71-AJ72</f>
        <v>18.960000000000015</v>
      </c>
      <c r="AK74" s="25">
        <f t="shared" ref="AK74:AM74" si="518">AK70+AK71-AK72</f>
        <v>25.739999999999995</v>
      </c>
      <c r="AL74" s="25">
        <f t="shared" si="518"/>
        <v>21.33</v>
      </c>
      <c r="AM74" s="25">
        <f t="shared" si="518"/>
        <v>23.11999999999998</v>
      </c>
      <c r="AN74" s="25">
        <f t="shared" ref="AN74:AO74" si="519">AN70+AN71-AN72</f>
        <v>26.370000000000019</v>
      </c>
      <c r="AO74" s="25">
        <f t="shared" si="519"/>
        <v>16.79</v>
      </c>
      <c r="AP74" s="25">
        <f t="shared" ref="AP74:CD74" si="520">AP70+AP71-AP72</f>
        <v>22.810000000000009</v>
      </c>
      <c r="AQ74" s="25">
        <f t="shared" si="520"/>
        <v>31.600000000000005</v>
      </c>
      <c r="AR74" s="25">
        <f t="shared" si="520"/>
        <v>26.910000000000014</v>
      </c>
      <c r="AS74" s="25">
        <f t="shared" si="520"/>
        <v>15.799999999999995</v>
      </c>
      <c r="AT74" s="25">
        <f t="shared" si="520"/>
        <v>9.6499999999999737</v>
      </c>
      <c r="AU74" s="25">
        <f t="shared" si="520"/>
        <v>30.319999999999968</v>
      </c>
      <c r="AV74" s="25">
        <f t="shared" si="520"/>
        <v>25.91</v>
      </c>
      <c r="AW74" s="25">
        <f t="shared" si="520"/>
        <v>39.609999999999964</v>
      </c>
      <c r="AX74" s="25">
        <f t="shared" si="520"/>
        <v>26.520000000000007</v>
      </c>
      <c r="AY74" s="25">
        <f t="shared" si="520"/>
        <v>25.600000000000012</v>
      </c>
      <c r="AZ74" s="25">
        <f t="shared" si="520"/>
        <v>13.420000000000007</v>
      </c>
      <c r="BA74" s="25">
        <f t="shared" si="520"/>
        <v>33.42</v>
      </c>
      <c r="BB74" s="25">
        <f t="shared" si="520"/>
        <v>20.300000000000008</v>
      </c>
      <c r="BC74" s="25">
        <f t="shared" si="520"/>
        <v>23.299999999999986</v>
      </c>
      <c r="BD74" s="25">
        <f t="shared" si="520"/>
        <v>18.199999999999996</v>
      </c>
      <c r="BE74" s="25">
        <f t="shared" si="520"/>
        <v>42.799999999999969</v>
      </c>
      <c r="BF74" s="25">
        <f t="shared" si="520"/>
        <v>17.500000000000014</v>
      </c>
      <c r="BG74" s="25">
        <f t="shared" si="520"/>
        <v>21.199999999999978</v>
      </c>
      <c r="BH74" s="25">
        <f t="shared" si="520"/>
        <v>24.499999999999993</v>
      </c>
      <c r="BI74" s="25">
        <f t="shared" si="520"/>
        <v>41.800000000000026</v>
      </c>
      <c r="BJ74" s="25">
        <f t="shared" si="520"/>
        <v>24.299999999999958</v>
      </c>
      <c r="BK74" s="25">
        <f t="shared" si="520"/>
        <v>26.499999999999993</v>
      </c>
      <c r="BL74" s="25">
        <f t="shared" si="520"/>
        <v>32.200000000000017</v>
      </c>
      <c r="BM74" s="25">
        <f t="shared" si="520"/>
        <v>39.4</v>
      </c>
      <c r="BN74" s="25">
        <f t="shared" si="520"/>
        <v>20.100000000000012</v>
      </c>
      <c r="BO74" s="25">
        <f t="shared" si="520"/>
        <v>9.7000000000000082</v>
      </c>
      <c r="BP74" s="25">
        <f t="shared" si="520"/>
        <v>56.199999999999996</v>
      </c>
      <c r="BQ74" s="25">
        <f t="shared" si="520"/>
        <v>65.699999999999989</v>
      </c>
      <c r="BR74" s="25">
        <f t="shared" si="520"/>
        <v>57.500000000000007</v>
      </c>
      <c r="BS74" s="25">
        <f t="shared" si="520"/>
        <v>35.900000000000027</v>
      </c>
      <c r="BT74" s="25">
        <f t="shared" si="520"/>
        <v>49.500000000000043</v>
      </c>
      <c r="BU74" s="25">
        <f t="shared" si="520"/>
        <v>51.700000000000038</v>
      </c>
      <c r="BV74" s="25">
        <f t="shared" si="520"/>
        <v>52.79999999999999</v>
      </c>
      <c r="BW74" s="25">
        <f t="shared" si="520"/>
        <v>61.999999999999964</v>
      </c>
      <c r="BX74" s="25">
        <f t="shared" si="520"/>
        <v>51.700000000000024</v>
      </c>
      <c r="BY74" s="25">
        <f t="shared" si="520"/>
        <v>70.999999999999986</v>
      </c>
      <c r="BZ74" s="25">
        <f t="shared" si="520"/>
        <v>53.999999999999986</v>
      </c>
      <c r="CA74" s="25">
        <f t="shared" si="520"/>
        <v>80.399999999999977</v>
      </c>
      <c r="CB74" s="25">
        <f t="shared" si="520"/>
        <v>64.500000000000071</v>
      </c>
      <c r="CC74" s="25">
        <f t="shared" si="520"/>
        <v>72.000000000000014</v>
      </c>
      <c r="CD74" s="25">
        <f t="shared" si="520"/>
        <v>57.600000000000037</v>
      </c>
      <c r="CE74" s="25">
        <f t="shared" ref="CE74:CF74" si="521">CE70+CE71-CE72</f>
        <v>85.999999999999972</v>
      </c>
      <c r="CF74" s="25">
        <f t="shared" si="521"/>
        <v>79.899999999999963</v>
      </c>
      <c r="CG74" s="25">
        <f t="shared" ref="CG74:CH74" si="522">CG70+CG71-CG72</f>
        <v>93.799999999999969</v>
      </c>
      <c r="CH74" s="25">
        <f t="shared" si="522"/>
        <v>65.500000000000043</v>
      </c>
      <c r="CI74" s="25">
        <f t="shared" ref="CI74:CJ74" si="523">CI70+CI71-CI72</f>
        <v>88.500000000000057</v>
      </c>
      <c r="CJ74" s="25">
        <f t="shared" si="523"/>
        <v>87.800000000000068</v>
      </c>
      <c r="CK74" s="25">
        <f t="shared" ref="CK74:CL74" si="524">CK70+CK71-CK72</f>
        <v>129.6</v>
      </c>
      <c r="CL74" s="25">
        <f t="shared" si="524"/>
        <v>50.099999999999952</v>
      </c>
      <c r="CM74" s="26">
        <f t="shared" ref="CM74:DA74" si="525">CM70+CM71-CM72</f>
        <v>118.36608919838328</v>
      </c>
      <c r="CN74" s="26">
        <f t="shared" si="525"/>
        <v>95.985853526181302</v>
      </c>
      <c r="CO74" s="26">
        <f t="shared" si="525"/>
        <v>138.992375378128</v>
      </c>
      <c r="CP74" s="26">
        <f t="shared" si="525"/>
        <v>66.323903874555597</v>
      </c>
      <c r="CQ74" s="26">
        <f t="shared" si="525"/>
        <v>129.29128758265216</v>
      </c>
      <c r="CR74" s="26">
        <f t="shared" si="525"/>
        <v>108.91264118892008</v>
      </c>
      <c r="CS74" s="26">
        <f t="shared" si="525"/>
        <v>158.67437232182689</v>
      </c>
      <c r="CT74" s="26">
        <f t="shared" si="525"/>
        <v>75.465606622772768</v>
      </c>
      <c r="CU74" s="26">
        <f t="shared" si="525"/>
        <v>143.50939795316916</v>
      </c>
      <c r="CV74" s="26">
        <f t="shared" si="525"/>
        <v>120.92457385178253</v>
      </c>
      <c r="CW74" s="26">
        <f t="shared" si="525"/>
        <v>176.15507743751331</v>
      </c>
      <c r="CX74" s="26">
        <f t="shared" si="525"/>
        <v>88.251021823435636</v>
      </c>
      <c r="CY74" s="26">
        <f t="shared" si="525"/>
        <v>163.12103874387142</v>
      </c>
      <c r="CZ74" s="26">
        <f t="shared" si="525"/>
        <v>138.45316479547711</v>
      </c>
      <c r="DA74" s="26">
        <f t="shared" si="525"/>
        <v>199.43067765270723</v>
      </c>
      <c r="DD74" s="120"/>
      <c r="DE74" s="25">
        <v>371.39999999999964</v>
      </c>
    </row>
    <row r="75" spans="1:109" s="22" customFormat="1" x14ac:dyDescent="0.2">
      <c r="A75" s="22" t="s">
        <v>21</v>
      </c>
      <c r="B75" s="22">
        <f>'Annual Raw'!C30</f>
        <v>6.75</v>
      </c>
      <c r="C75" s="22">
        <f>'Annual Raw'!D30</f>
        <v>4.5999999999999996</v>
      </c>
      <c r="D75" s="22">
        <f>'Annual Raw'!E30</f>
        <v>6.6433</v>
      </c>
      <c r="E75" s="22">
        <f>'Annual Raw'!F30</f>
        <v>7.7070999999999996</v>
      </c>
      <c r="F75" s="22">
        <f>'Annual Raw'!G30</f>
        <v>15.9847</v>
      </c>
      <c r="G75" s="22">
        <f>'Annual Raw'!H30</f>
        <v>21.5975</v>
      </c>
      <c r="H75" s="22">
        <f>'Annual Raw'!I30</f>
        <v>27.424700000000001</v>
      </c>
      <c r="I75" s="22">
        <f>'Annual Raw'!J30</f>
        <v>22.132899999999999</v>
      </c>
      <c r="J75" s="22">
        <f>'Annual Raw'!K30</f>
        <v>35.147300000000001</v>
      </c>
      <c r="K75" s="22">
        <f>'Annual Raw'!L30</f>
        <v>34.826500000000003</v>
      </c>
      <c r="L75" s="22">
        <f>'Annual Raw'!M30</f>
        <v>23.215399999999999</v>
      </c>
      <c r="M75" s="22">
        <f>'Annual Raw'!N30</f>
        <v>20.161999999999999</v>
      </c>
      <c r="N75" s="22">
        <f>'Annual Raw'!O30</f>
        <v>23.262</v>
      </c>
      <c r="O75" s="22">
        <f>'Annual Raw'!P30</f>
        <v>28.451000000000001</v>
      </c>
      <c r="P75" s="22">
        <f>'Annual Raw'!Q30</f>
        <v>32.475000000000001</v>
      </c>
      <c r="Q75" s="22">
        <f>'Annual Raw'!R30</f>
        <v>36.362000000000002</v>
      </c>
      <c r="R75" s="22">
        <f>'Annual Raw'!S30</f>
        <v>34.011000000000003</v>
      </c>
      <c r="S75" s="22">
        <f>'Annual Raw'!T30</f>
        <v>37.048000000000002</v>
      </c>
      <c r="T75" s="22">
        <f>'Annual Raw'!U30</f>
        <v>37.658999999999999</v>
      </c>
      <c r="U75" s="22">
        <f>'Annual Raw'!V30</f>
        <v>39.756</v>
      </c>
      <c r="V75" s="22">
        <f>'Annual Raw'!W30</f>
        <v>63.173000000000002</v>
      </c>
      <c r="W75" s="22">
        <f>'Annual Raw'!X30</f>
        <v>51.618000000000002</v>
      </c>
      <c r="X75" s="22">
        <f>'Annual Raw'!Y30</f>
        <v>62.527999999999999</v>
      </c>
      <c r="Y75" s="22">
        <f>'Annual Raw'!Z30</f>
        <v>71.616</v>
      </c>
      <c r="Z75" s="22">
        <f>'Annual Raw'!AA30</f>
        <v>83.174999999999997</v>
      </c>
      <c r="AA75" s="22">
        <f>'Annual Raw'!AB30</f>
        <v>89.968000000000004</v>
      </c>
      <c r="AB75" s="23">
        <f>+SUM(CL75:CO75)</f>
        <v>101.83607952567314</v>
      </c>
      <c r="AC75" s="23">
        <f>+SUM(CP75:CS75)</f>
        <v>115.80055124198867</v>
      </c>
      <c r="AD75" s="23">
        <f>+SUM(CT75:CW75)</f>
        <v>129.01366396630945</v>
      </c>
      <c r="AE75" s="23">
        <f>+SUM(CX75:DA75)</f>
        <v>147.31397575387285</v>
      </c>
      <c r="AI75" s="22">
        <f>'QTR Raw'!C29</f>
        <v>6.53</v>
      </c>
      <c r="AJ75" s="22">
        <f>'QTR Raw'!D29</f>
        <v>6.04</v>
      </c>
      <c r="AK75" s="22">
        <f>'QTR Raw'!E29</f>
        <v>6.2</v>
      </c>
      <c r="AL75" s="22">
        <f>'QTR Raw'!F29</f>
        <v>5.72</v>
      </c>
      <c r="AM75" s="22">
        <f>'QTR Raw'!G29</f>
        <v>7.66</v>
      </c>
      <c r="AN75" s="22">
        <f>'QTR Raw'!H29</f>
        <v>8.4700000000000006</v>
      </c>
      <c r="AO75" s="22">
        <f>'QTR Raw'!I29</f>
        <v>6</v>
      </c>
      <c r="AP75" s="22">
        <f>'QTR Raw'!J29</f>
        <v>7.68</v>
      </c>
      <c r="AQ75" s="22">
        <f>'QTR Raw'!K29</f>
        <v>9.15</v>
      </c>
      <c r="AR75" s="22">
        <f>'QTR Raw'!L29</f>
        <v>9.0399999999999991</v>
      </c>
      <c r="AS75" s="22">
        <f>'QTR Raw'!M29</f>
        <v>5.83</v>
      </c>
      <c r="AT75" s="22">
        <f>'QTR Raw'!N29</f>
        <v>3.24</v>
      </c>
      <c r="AU75" s="22">
        <f>'QTR Raw'!O29</f>
        <v>8.1</v>
      </c>
      <c r="AV75" s="22">
        <f>'QTR Raw'!P29</f>
        <v>9.06</v>
      </c>
      <c r="AW75" s="22">
        <f>'QTR Raw'!Q29</f>
        <v>15.26</v>
      </c>
      <c r="AX75" s="22">
        <f>'QTR Raw'!R29</f>
        <v>9.67</v>
      </c>
      <c r="AY75" s="22">
        <f>'QTR Raw'!S29</f>
        <v>8.3699999999999992</v>
      </c>
      <c r="AZ75" s="22">
        <f>'QTR Raw'!T29</f>
        <v>4.75</v>
      </c>
      <c r="BA75" s="22">
        <f>'QTR Raw'!U29</f>
        <v>10.83</v>
      </c>
      <c r="BB75" s="22">
        <f>'QTR Raw'!V29</f>
        <v>7</v>
      </c>
      <c r="BC75" s="22">
        <f>'QTR Raw'!W29</f>
        <v>8</v>
      </c>
      <c r="BD75" s="22">
        <f>'QTR Raw'!X29</f>
        <v>6.6</v>
      </c>
      <c r="BE75" s="22">
        <f>'QTR Raw'!Y29</f>
        <v>15.4</v>
      </c>
      <c r="BF75" s="22">
        <f>'QTR Raw'!Z29</f>
        <v>6.1</v>
      </c>
      <c r="BG75" s="22">
        <f>'QTR Raw'!AA29</f>
        <v>6.7</v>
      </c>
      <c r="BH75" s="22">
        <f>'QTR Raw'!AB29</f>
        <v>8.4</v>
      </c>
      <c r="BI75" s="22">
        <f>'QTR Raw'!AC29</f>
        <v>16.5</v>
      </c>
      <c r="BJ75" s="22">
        <f>'QTR Raw'!AD29</f>
        <v>8.6</v>
      </c>
      <c r="BK75" s="22">
        <f>'QTR Raw'!AE29</f>
        <v>13.9</v>
      </c>
      <c r="BL75" s="22">
        <f>'QTR Raw'!AF29</f>
        <v>8.4</v>
      </c>
      <c r="BM75" s="22">
        <f>'QTR Raw'!AG29</f>
        <v>8.9</v>
      </c>
      <c r="BN75" s="22">
        <f>'QTR Raw'!AH29</f>
        <v>9.8000000000000007</v>
      </c>
      <c r="BO75" s="22">
        <f>'QTR Raw'!AI29</f>
        <v>2.1</v>
      </c>
      <c r="BP75" s="22">
        <f>'QTR Raw'!AJ29</f>
        <v>15.2</v>
      </c>
      <c r="BQ75" s="22">
        <f>'QTR Raw'!AK29</f>
        <v>36.1</v>
      </c>
      <c r="BR75" s="22">
        <f>'QTR Raw'!AL29</f>
        <v>15.5</v>
      </c>
      <c r="BS75" s="22">
        <f>'QTR Raw'!AM29</f>
        <v>9.9</v>
      </c>
      <c r="BT75" s="22">
        <f>'QTR Raw'!AN29</f>
        <v>11.9</v>
      </c>
      <c r="BU75" s="22">
        <f>'QTR Raw'!AO29</f>
        <v>14.3</v>
      </c>
      <c r="BV75" s="22">
        <f>'QTR Raw'!AP29</f>
        <v>14.3</v>
      </c>
      <c r="BW75" s="22">
        <f>'QTR Raw'!AQ29</f>
        <v>16.600000000000001</v>
      </c>
      <c r="BX75" s="22">
        <f>'QTR Raw'!AR29</f>
        <v>14.4</v>
      </c>
      <c r="BY75" s="22">
        <f>'QTR Raw'!AS29</f>
        <v>17.3</v>
      </c>
      <c r="BZ75" s="22">
        <f>'QTR Raw'!AT29</f>
        <v>14.3</v>
      </c>
      <c r="CA75" s="22">
        <f>'QTR Raw'!AU29</f>
        <v>20.3</v>
      </c>
      <c r="CB75" s="22">
        <f>'QTR Raw'!AV29</f>
        <v>17.100000000000001</v>
      </c>
      <c r="CC75" s="22">
        <f>'QTR Raw'!AW29</f>
        <v>19.899999999999999</v>
      </c>
      <c r="CD75" s="22">
        <f>'QTR Raw'!AX29</f>
        <v>15.1</v>
      </c>
      <c r="CE75" s="22">
        <f>'QTR Raw'!AY29</f>
        <v>21.8</v>
      </c>
      <c r="CF75" s="22">
        <f>'QTR Raw'!AZ29</f>
        <v>21.4</v>
      </c>
      <c r="CG75" s="22">
        <f>'QTR Raw'!BA29</f>
        <v>24.9</v>
      </c>
      <c r="CH75" s="22">
        <f>'QTR Raw'!BB29</f>
        <v>17.399999999999999</v>
      </c>
      <c r="CI75" s="22">
        <f>'QTR Raw'!BC29</f>
        <v>21.8</v>
      </c>
      <c r="CJ75" s="22">
        <f>'QTR Raw'!BD29</f>
        <v>23.6</v>
      </c>
      <c r="CK75" s="22">
        <f>'QTR Raw'!BE29</f>
        <v>27.2</v>
      </c>
      <c r="CL75" s="22">
        <f>'QTR Raw'!BF29</f>
        <v>13.5</v>
      </c>
      <c r="CM75" s="23">
        <f t="shared" ref="CM75:DA75" si="526">+CM74*CM76</f>
        <v>29.59152229959582</v>
      </c>
      <c r="CN75" s="23">
        <f t="shared" si="526"/>
        <v>23.996463381545325</v>
      </c>
      <c r="CO75" s="23">
        <f t="shared" si="526"/>
        <v>34.748093844532001</v>
      </c>
      <c r="CP75" s="23">
        <f t="shared" si="526"/>
        <v>16.580975968638899</v>
      </c>
      <c r="CQ75" s="23">
        <f t="shared" si="526"/>
        <v>32.32282189566304</v>
      </c>
      <c r="CR75" s="23">
        <f t="shared" si="526"/>
        <v>27.228160297230019</v>
      </c>
      <c r="CS75" s="23">
        <f t="shared" si="526"/>
        <v>39.668593080456723</v>
      </c>
      <c r="CT75" s="23">
        <f t="shared" si="526"/>
        <v>18.866401655693192</v>
      </c>
      <c r="CU75" s="23">
        <f t="shared" si="526"/>
        <v>35.877349488292289</v>
      </c>
      <c r="CV75" s="23">
        <f t="shared" si="526"/>
        <v>30.231143462945631</v>
      </c>
      <c r="CW75" s="23">
        <f t="shared" si="526"/>
        <v>44.038769359378328</v>
      </c>
      <c r="CX75" s="23">
        <f t="shared" si="526"/>
        <v>22.062755455858909</v>
      </c>
      <c r="CY75" s="23">
        <f t="shared" si="526"/>
        <v>40.780259685967856</v>
      </c>
      <c r="CZ75" s="23">
        <f t="shared" si="526"/>
        <v>34.613291198869277</v>
      </c>
      <c r="DA75" s="23">
        <f t="shared" si="526"/>
        <v>49.857669413176808</v>
      </c>
      <c r="DD75" s="122"/>
      <c r="DE75" s="22">
        <v>90</v>
      </c>
    </row>
    <row r="76" spans="1:109" s="89" customFormat="1" x14ac:dyDescent="0.2">
      <c r="A76" s="89" t="s">
        <v>106</v>
      </c>
      <c r="B76" s="89">
        <f t="shared" ref="B76:E76" si="527">B75/B74</f>
        <v>0.31227157912267833</v>
      </c>
      <c r="C76" s="89">
        <f t="shared" si="527"/>
        <v>0.35709849708110775</v>
      </c>
      <c r="D76" s="89">
        <f t="shared" si="527"/>
        <v>0.36011730523211732</v>
      </c>
      <c r="E76" s="89">
        <f t="shared" si="527"/>
        <v>0.30328226882257803</v>
      </c>
      <c r="F76" s="89">
        <f t="shared" ref="F76:T76" si="528">F75/F74</f>
        <v>0.34742021791057132</v>
      </c>
      <c r="G76" s="89">
        <f t="shared" si="528"/>
        <v>0.36152252077321212</v>
      </c>
      <c r="H76" s="89">
        <f t="shared" si="528"/>
        <v>0.34464874347924984</v>
      </c>
      <c r="I76" s="89">
        <f t="shared" si="528"/>
        <v>0.33759865039246612</v>
      </c>
      <c r="J76" s="89">
        <f t="shared" si="528"/>
        <v>0.35227654279411352</v>
      </c>
      <c r="K76" s="89">
        <f t="shared" si="528"/>
        <v>0.35135020616029311</v>
      </c>
      <c r="L76" s="89">
        <f t="shared" si="528"/>
        <v>0.31987489063264257</v>
      </c>
      <c r="M76" s="89">
        <f t="shared" si="528"/>
        <v>0.33531241164828962</v>
      </c>
      <c r="N76" s="89">
        <f t="shared" si="528"/>
        <v>0.29617274833846857</v>
      </c>
      <c r="O76" s="89">
        <f t="shared" si="528"/>
        <v>0.33247247995886625</v>
      </c>
      <c r="P76" s="89">
        <f t="shared" si="528"/>
        <v>0.34444904063384973</v>
      </c>
      <c r="Q76" s="89">
        <f t="shared" si="528"/>
        <v>0.36186135382043283</v>
      </c>
      <c r="R76" s="89">
        <f t="shared" si="528"/>
        <v>0.34721399840741562</v>
      </c>
      <c r="S76" s="89">
        <f t="shared" si="528"/>
        <v>0.36054693202277266</v>
      </c>
      <c r="T76" s="89">
        <f t="shared" si="528"/>
        <v>0.35883143241002741</v>
      </c>
      <c r="U76" s="89">
        <f t="shared" ref="U76:Z76" si="529">U75/U74</f>
        <v>0.32498446849556994</v>
      </c>
      <c r="V76" s="89">
        <f t="shared" si="529"/>
        <v>0.41655731759585929</v>
      </c>
      <c r="W76" s="89">
        <f t="shared" si="529"/>
        <v>0.26526951954652672</v>
      </c>
      <c r="X76" s="89">
        <f t="shared" si="529"/>
        <v>0.26333566368774375</v>
      </c>
      <c r="Y76" s="89">
        <f t="shared" si="529"/>
        <v>0.264325180206615</v>
      </c>
      <c r="Z76" s="89">
        <f t="shared" si="529"/>
        <v>0.26217989938343944</v>
      </c>
      <c r="AA76" s="89">
        <f t="shared" ref="AA76" si="530">AA75/AA74</f>
        <v>0.24225843628491101</v>
      </c>
      <c r="AB76" s="90">
        <f t="shared" ref="AB76:AD76" si="531">AB75/AB74</f>
        <v>0.25241669037399095</v>
      </c>
      <c r="AC76" s="90">
        <f t="shared" si="531"/>
        <v>0.25000000000000017</v>
      </c>
      <c r="AD76" s="90">
        <f t="shared" si="531"/>
        <v>0.24999999999999983</v>
      </c>
      <c r="AE76" s="90">
        <f t="shared" ref="AE76" si="532">AE75/AE74</f>
        <v>0.24999999999999992</v>
      </c>
      <c r="AI76" s="89">
        <f t="shared" ref="AI76" si="533">AI75/AI74</f>
        <v>0.27219674864526894</v>
      </c>
      <c r="AJ76" s="89">
        <f t="shared" ref="AJ76" si="534">AJ75/AJ74</f>
        <v>0.31856540084388163</v>
      </c>
      <c r="AK76" s="89">
        <f t="shared" ref="AK76:AM76" si="535">AK75/AK74</f>
        <v>0.24087024087024092</v>
      </c>
      <c r="AL76" s="89">
        <f t="shared" si="535"/>
        <v>0.2681669010782935</v>
      </c>
      <c r="AM76" s="89">
        <f t="shared" si="535"/>
        <v>0.33131487889273387</v>
      </c>
      <c r="AN76" s="89">
        <f t="shared" ref="AN76:AO76" si="536">AN75/AN74</f>
        <v>0.32119833143723908</v>
      </c>
      <c r="AO76" s="89">
        <f t="shared" si="536"/>
        <v>0.35735556879094699</v>
      </c>
      <c r="AP76" s="89">
        <f t="shared" ref="AP76:CD76" si="537">AP75/AP74</f>
        <v>0.3366944322665496</v>
      </c>
      <c r="AQ76" s="89">
        <f t="shared" si="537"/>
        <v>0.28955696202531644</v>
      </c>
      <c r="AR76" s="89">
        <f t="shared" si="537"/>
        <v>0.33593459680416182</v>
      </c>
      <c r="AS76" s="89">
        <f t="shared" si="537"/>
        <v>0.36898734177215203</v>
      </c>
      <c r="AT76" s="89">
        <f t="shared" si="537"/>
        <v>0.33575129533678849</v>
      </c>
      <c r="AU76" s="89">
        <f t="shared" si="537"/>
        <v>0.26715039577836436</v>
      </c>
      <c r="AV76" s="89">
        <f t="shared" si="537"/>
        <v>0.34967194133539176</v>
      </c>
      <c r="AW76" s="89">
        <f t="shared" si="537"/>
        <v>0.38525624842211598</v>
      </c>
      <c r="AX76" s="89">
        <f t="shared" si="537"/>
        <v>0.36463046757164397</v>
      </c>
      <c r="AY76" s="89">
        <f t="shared" si="537"/>
        <v>0.32695312499999979</v>
      </c>
      <c r="AZ76" s="89">
        <f t="shared" si="537"/>
        <v>0.35394932935916523</v>
      </c>
      <c r="BA76" s="89">
        <f t="shared" si="537"/>
        <v>0.32405745062836622</v>
      </c>
      <c r="BB76" s="89">
        <f t="shared" si="537"/>
        <v>0.34482758620689641</v>
      </c>
      <c r="BC76" s="89">
        <f t="shared" si="537"/>
        <v>0.34334763948497876</v>
      </c>
      <c r="BD76" s="89">
        <f t="shared" si="537"/>
        <v>0.36263736263736268</v>
      </c>
      <c r="BE76" s="89">
        <f t="shared" si="537"/>
        <v>0.35981308411214979</v>
      </c>
      <c r="BF76" s="89">
        <f t="shared" si="537"/>
        <v>0.34857142857142825</v>
      </c>
      <c r="BG76" s="89">
        <f t="shared" si="537"/>
        <v>0.31603773584905692</v>
      </c>
      <c r="BH76" s="89">
        <f t="shared" si="537"/>
        <v>0.34285714285714297</v>
      </c>
      <c r="BI76" s="89">
        <f t="shared" si="537"/>
        <v>0.39473684210526294</v>
      </c>
      <c r="BJ76" s="89">
        <f t="shared" si="537"/>
        <v>0.35390946502057674</v>
      </c>
      <c r="BK76" s="89">
        <f t="shared" si="537"/>
        <v>0.52452830188679256</v>
      </c>
      <c r="BL76" s="89">
        <f t="shared" si="537"/>
        <v>0.26086956521739119</v>
      </c>
      <c r="BM76" s="89">
        <f t="shared" si="537"/>
        <v>0.22588832487309646</v>
      </c>
      <c r="BN76" s="89">
        <f t="shared" si="537"/>
        <v>0.48756218905472609</v>
      </c>
      <c r="BO76" s="89">
        <f t="shared" si="537"/>
        <v>0.21649484536082456</v>
      </c>
      <c r="BP76" s="89">
        <f t="shared" si="537"/>
        <v>0.27046263345195731</v>
      </c>
      <c r="BQ76" s="89">
        <f t="shared" si="537"/>
        <v>0.54946727549467289</v>
      </c>
      <c r="BR76" s="89">
        <f t="shared" si="537"/>
        <v>0.26956521739130429</v>
      </c>
      <c r="BS76" s="89">
        <f t="shared" si="537"/>
        <v>0.2757660167130917</v>
      </c>
      <c r="BT76" s="89">
        <f t="shared" si="537"/>
        <v>0.2404040404040402</v>
      </c>
      <c r="BU76" s="89">
        <f t="shared" si="537"/>
        <v>0.27659574468085085</v>
      </c>
      <c r="BV76" s="89">
        <f t="shared" si="537"/>
        <v>0.27083333333333337</v>
      </c>
      <c r="BW76" s="89">
        <f t="shared" si="537"/>
        <v>0.26774193548387115</v>
      </c>
      <c r="BX76" s="89">
        <f t="shared" si="537"/>
        <v>0.27852998065764012</v>
      </c>
      <c r="BY76" s="89">
        <f t="shared" si="537"/>
        <v>0.24366197183098598</v>
      </c>
      <c r="BZ76" s="89">
        <f t="shared" si="537"/>
        <v>0.26481481481481489</v>
      </c>
      <c r="CA76" s="89">
        <f t="shared" si="537"/>
        <v>0.25248756218905483</v>
      </c>
      <c r="CB76" s="89">
        <f t="shared" si="537"/>
        <v>0.26511627906976715</v>
      </c>
      <c r="CC76" s="89">
        <f t="shared" si="537"/>
        <v>0.2763888888888888</v>
      </c>
      <c r="CD76" s="89">
        <f t="shared" si="537"/>
        <v>0.26215277777777762</v>
      </c>
      <c r="CE76" s="89">
        <f t="shared" ref="CE76:CF76" si="538">CE75/CE74</f>
        <v>0.25348837209302333</v>
      </c>
      <c r="CF76" s="89">
        <f t="shared" si="538"/>
        <v>0.26783479349186495</v>
      </c>
      <c r="CG76" s="89">
        <f t="shared" ref="CG76:CH76" si="539">CG75/CG74</f>
        <v>0.26545842217484017</v>
      </c>
      <c r="CH76" s="89">
        <f t="shared" si="539"/>
        <v>0.26564885496183188</v>
      </c>
      <c r="CI76" s="89">
        <f t="shared" ref="CI76:CJ76" si="540">CI75/CI74</f>
        <v>0.24632768361581905</v>
      </c>
      <c r="CJ76" s="89">
        <f t="shared" si="540"/>
        <v>0.26879271070615013</v>
      </c>
      <c r="CK76" s="89">
        <f t="shared" ref="CK76:CL76" si="541">CK75/CK74</f>
        <v>0.20987654320987656</v>
      </c>
      <c r="CL76" s="89">
        <f t="shared" si="541"/>
        <v>0.26946107784431161</v>
      </c>
      <c r="CM76" s="90">
        <v>0.25</v>
      </c>
      <c r="CN76" s="90">
        <v>0.25</v>
      </c>
      <c r="CO76" s="90">
        <v>0.25</v>
      </c>
      <c r="CP76" s="90">
        <v>0.25</v>
      </c>
      <c r="CQ76" s="90">
        <v>0.25</v>
      </c>
      <c r="CR76" s="90">
        <v>0.25</v>
      </c>
      <c r="CS76" s="90">
        <v>0.25</v>
      </c>
      <c r="CT76" s="90">
        <v>0.25</v>
      </c>
      <c r="CU76" s="90">
        <v>0.25</v>
      </c>
      <c r="CV76" s="90">
        <v>0.25</v>
      </c>
      <c r="CW76" s="90">
        <v>0.25</v>
      </c>
      <c r="CX76" s="90">
        <v>0.25</v>
      </c>
      <c r="CY76" s="90">
        <v>0.25</v>
      </c>
      <c r="CZ76" s="90">
        <v>0.25</v>
      </c>
      <c r="DA76" s="90">
        <v>0.25</v>
      </c>
      <c r="DD76" s="126"/>
      <c r="DE76" s="89">
        <v>0.2423263327948306</v>
      </c>
    </row>
    <row r="77" spans="1:109" s="25" customFormat="1" x14ac:dyDescent="0.2">
      <c r="A77" s="25" t="s">
        <v>22</v>
      </c>
      <c r="B77" s="25">
        <f t="shared" ref="B77:E77" si="542">B74-B75</f>
        <v>14.865800000000032</v>
      </c>
      <c r="C77" s="25">
        <f t="shared" si="542"/>
        <v>8.2816000000000063</v>
      </c>
      <c r="D77" s="25">
        <f t="shared" si="542"/>
        <v>11.80429999999998</v>
      </c>
      <c r="E77" s="25">
        <f t="shared" si="542"/>
        <v>17.705199999999998</v>
      </c>
      <c r="F77" s="25">
        <f t="shared" ref="F77:T77" si="543">F74-F75</f>
        <v>30.024999999999959</v>
      </c>
      <c r="G77" s="25">
        <f t="shared" si="543"/>
        <v>38.142899999999997</v>
      </c>
      <c r="H77" s="25">
        <f t="shared" si="543"/>
        <v>52.148200000000003</v>
      </c>
      <c r="I77" s="25">
        <f t="shared" si="543"/>
        <v>43.426899999999996</v>
      </c>
      <c r="J77" s="25">
        <f t="shared" si="543"/>
        <v>64.624599999999958</v>
      </c>
      <c r="K77" s="25">
        <f t="shared" si="543"/>
        <v>64.295400000000114</v>
      </c>
      <c r="L77" s="25">
        <f t="shared" si="543"/>
        <v>49.36110000000005</v>
      </c>
      <c r="M77" s="25">
        <f t="shared" si="543"/>
        <v>39.966999999999977</v>
      </c>
      <c r="N77" s="25">
        <f t="shared" si="543"/>
        <v>55.28</v>
      </c>
      <c r="O77" s="25">
        <f t="shared" si="543"/>
        <v>57.122999999999941</v>
      </c>
      <c r="P77" s="25">
        <f t="shared" si="543"/>
        <v>61.806000000000047</v>
      </c>
      <c r="Q77" s="25">
        <f t="shared" si="543"/>
        <v>64.123999999999967</v>
      </c>
      <c r="R77" s="25">
        <f t="shared" si="543"/>
        <v>63.943000000000033</v>
      </c>
      <c r="S77" s="25">
        <f t="shared" si="543"/>
        <v>65.706999999999994</v>
      </c>
      <c r="T77" s="25">
        <f t="shared" si="543"/>
        <v>67.290000000000077</v>
      </c>
      <c r="U77" s="25">
        <f t="shared" ref="U77:Z77" si="544">U74-U75</f>
        <v>82.575999999999809</v>
      </c>
      <c r="V77" s="25">
        <f t="shared" si="544"/>
        <v>88.481999999999914</v>
      </c>
      <c r="W77" s="25">
        <f t="shared" si="544"/>
        <v>142.96900000000002</v>
      </c>
      <c r="X77" s="25">
        <f t="shared" si="544"/>
        <v>174.91800000000001</v>
      </c>
      <c r="Y77" s="25">
        <f t="shared" si="544"/>
        <v>199.32299999999981</v>
      </c>
      <c r="Z77" s="25">
        <f t="shared" si="544"/>
        <v>234.06900000000053</v>
      </c>
      <c r="AA77" s="25">
        <f t="shared" ref="AA77" si="545">AA74-AA75</f>
        <v>281.40400000000011</v>
      </c>
      <c r="AB77" s="26">
        <f t="shared" ref="AB77:AD77" si="546">AB74-AB75</f>
        <v>301.60823857701899</v>
      </c>
      <c r="AC77" s="26">
        <f t="shared" si="546"/>
        <v>347.40165372596573</v>
      </c>
      <c r="AD77" s="26">
        <f t="shared" si="546"/>
        <v>387.04099189892872</v>
      </c>
      <c r="AE77" s="26">
        <f t="shared" ref="AE77" si="547">AE74-AE75</f>
        <v>441.94192726161879</v>
      </c>
      <c r="AI77" s="25">
        <f>AI74-AI75</f>
        <v>17.459999999999994</v>
      </c>
      <c r="AJ77" s="25">
        <f t="shared" ref="AJ77" si="548">AJ74-AJ75</f>
        <v>12.920000000000016</v>
      </c>
      <c r="AK77" s="25">
        <f t="shared" ref="AK77:AM77" si="549">AK74-AK75</f>
        <v>19.539999999999996</v>
      </c>
      <c r="AL77" s="25">
        <f t="shared" si="549"/>
        <v>15.61</v>
      </c>
      <c r="AM77" s="25">
        <f t="shared" si="549"/>
        <v>15.45999999999998</v>
      </c>
      <c r="AN77" s="25">
        <f t="shared" ref="AN77:AO77" si="550">AN74-AN75</f>
        <v>17.90000000000002</v>
      </c>
      <c r="AO77" s="25">
        <f t="shared" si="550"/>
        <v>10.79</v>
      </c>
      <c r="AP77" s="25">
        <f t="shared" ref="AP77:CD77" si="551">AP74-AP75</f>
        <v>15.13000000000001</v>
      </c>
      <c r="AQ77" s="25">
        <f t="shared" si="551"/>
        <v>22.450000000000003</v>
      </c>
      <c r="AR77" s="25">
        <f t="shared" si="551"/>
        <v>17.870000000000015</v>
      </c>
      <c r="AS77" s="25">
        <f t="shared" si="551"/>
        <v>9.9699999999999953</v>
      </c>
      <c r="AT77" s="25">
        <f t="shared" si="551"/>
        <v>6.4099999999999735</v>
      </c>
      <c r="AU77" s="25">
        <f t="shared" si="551"/>
        <v>22.21999999999997</v>
      </c>
      <c r="AV77" s="25">
        <f t="shared" si="551"/>
        <v>16.850000000000001</v>
      </c>
      <c r="AW77" s="25">
        <f t="shared" si="551"/>
        <v>24.349999999999966</v>
      </c>
      <c r="AX77" s="25">
        <f t="shared" si="551"/>
        <v>16.850000000000009</v>
      </c>
      <c r="AY77" s="25">
        <f t="shared" si="551"/>
        <v>17.230000000000011</v>
      </c>
      <c r="AZ77" s="25">
        <f t="shared" si="551"/>
        <v>8.670000000000007</v>
      </c>
      <c r="BA77" s="25">
        <f t="shared" si="551"/>
        <v>22.590000000000003</v>
      </c>
      <c r="BB77" s="25">
        <f t="shared" si="551"/>
        <v>13.300000000000008</v>
      </c>
      <c r="BC77" s="25">
        <f t="shared" si="551"/>
        <v>15.299999999999986</v>
      </c>
      <c r="BD77" s="25">
        <f t="shared" si="551"/>
        <v>11.599999999999996</v>
      </c>
      <c r="BE77" s="25">
        <f t="shared" si="551"/>
        <v>27.39999999999997</v>
      </c>
      <c r="BF77" s="25">
        <f t="shared" si="551"/>
        <v>11.400000000000015</v>
      </c>
      <c r="BG77" s="25">
        <f t="shared" si="551"/>
        <v>14.499999999999979</v>
      </c>
      <c r="BH77" s="25">
        <f t="shared" si="551"/>
        <v>16.099999999999994</v>
      </c>
      <c r="BI77" s="25">
        <f t="shared" si="551"/>
        <v>25.300000000000026</v>
      </c>
      <c r="BJ77" s="25">
        <f t="shared" si="551"/>
        <v>15.699999999999958</v>
      </c>
      <c r="BK77" s="25">
        <f t="shared" si="551"/>
        <v>12.599999999999993</v>
      </c>
      <c r="BL77" s="25">
        <f t="shared" si="551"/>
        <v>23.800000000000018</v>
      </c>
      <c r="BM77" s="25">
        <f t="shared" si="551"/>
        <v>30.5</v>
      </c>
      <c r="BN77" s="25">
        <f t="shared" si="551"/>
        <v>10.300000000000011</v>
      </c>
      <c r="BO77" s="25">
        <f t="shared" si="551"/>
        <v>7.6000000000000085</v>
      </c>
      <c r="BP77" s="25">
        <f t="shared" si="551"/>
        <v>41</v>
      </c>
      <c r="BQ77" s="25">
        <f t="shared" si="551"/>
        <v>29.599999999999987</v>
      </c>
      <c r="BR77" s="25">
        <f t="shared" si="551"/>
        <v>42.000000000000007</v>
      </c>
      <c r="BS77" s="25">
        <f t="shared" si="551"/>
        <v>26.000000000000028</v>
      </c>
      <c r="BT77" s="25">
        <f t="shared" si="551"/>
        <v>37.600000000000044</v>
      </c>
      <c r="BU77" s="25">
        <f t="shared" si="551"/>
        <v>37.400000000000034</v>
      </c>
      <c r="BV77" s="25">
        <f t="shared" si="551"/>
        <v>38.499999999999986</v>
      </c>
      <c r="BW77" s="25">
        <f t="shared" si="551"/>
        <v>45.399999999999963</v>
      </c>
      <c r="BX77" s="25">
        <f t="shared" si="551"/>
        <v>37.300000000000026</v>
      </c>
      <c r="BY77" s="25">
        <f t="shared" si="551"/>
        <v>53.699999999999989</v>
      </c>
      <c r="BZ77" s="25">
        <f t="shared" si="551"/>
        <v>39.699999999999989</v>
      </c>
      <c r="CA77" s="25">
        <f t="shared" si="551"/>
        <v>60.09999999999998</v>
      </c>
      <c r="CB77" s="25">
        <f t="shared" si="551"/>
        <v>47.40000000000007</v>
      </c>
      <c r="CC77" s="25">
        <f t="shared" si="551"/>
        <v>52.100000000000016</v>
      </c>
      <c r="CD77" s="25">
        <f t="shared" si="551"/>
        <v>42.500000000000036</v>
      </c>
      <c r="CE77" s="25">
        <f t="shared" ref="CE77:CF77" si="552">CE74-CE75</f>
        <v>64.199999999999974</v>
      </c>
      <c r="CF77" s="25">
        <f t="shared" si="552"/>
        <v>58.499999999999964</v>
      </c>
      <c r="CG77" s="25">
        <f t="shared" ref="CG77:CH77" si="553">CG74-CG75</f>
        <v>68.899999999999977</v>
      </c>
      <c r="CH77" s="25">
        <f t="shared" si="553"/>
        <v>48.100000000000044</v>
      </c>
      <c r="CI77" s="25">
        <f t="shared" ref="CI77:CJ77" si="554">CI74-CI75</f>
        <v>66.70000000000006</v>
      </c>
      <c r="CJ77" s="25">
        <f t="shared" si="554"/>
        <v>64.200000000000074</v>
      </c>
      <c r="CK77" s="25">
        <f t="shared" ref="CK77:CL77" si="555">CK74-CK75</f>
        <v>102.39999999999999</v>
      </c>
      <c r="CL77" s="25">
        <f t="shared" si="555"/>
        <v>36.599999999999952</v>
      </c>
      <c r="CM77" s="26">
        <f t="shared" ref="CM77:DA77" si="556">CM74-CM75</f>
        <v>88.774566898787455</v>
      </c>
      <c r="CN77" s="26">
        <f t="shared" si="556"/>
        <v>71.989390144635976</v>
      </c>
      <c r="CO77" s="26">
        <f t="shared" si="556"/>
        <v>104.24428153359599</v>
      </c>
      <c r="CP77" s="26">
        <f t="shared" si="556"/>
        <v>49.742927905916702</v>
      </c>
      <c r="CQ77" s="26">
        <f t="shared" si="556"/>
        <v>96.96846568698912</v>
      </c>
      <c r="CR77" s="26">
        <f t="shared" si="556"/>
        <v>81.684480891690058</v>
      </c>
      <c r="CS77" s="26">
        <f t="shared" si="556"/>
        <v>119.00577924137016</v>
      </c>
      <c r="CT77" s="26">
        <f t="shared" si="556"/>
        <v>56.599204967079572</v>
      </c>
      <c r="CU77" s="26">
        <f t="shared" si="556"/>
        <v>107.63204846487687</v>
      </c>
      <c r="CV77" s="26">
        <f t="shared" si="556"/>
        <v>90.693430388836902</v>
      </c>
      <c r="CW77" s="26">
        <f t="shared" si="556"/>
        <v>132.11630807813498</v>
      </c>
      <c r="CX77" s="26">
        <f t="shared" si="556"/>
        <v>66.18826636757673</v>
      </c>
      <c r="CY77" s="26">
        <f t="shared" si="556"/>
        <v>122.34077905790357</v>
      </c>
      <c r="CZ77" s="26">
        <f t="shared" si="556"/>
        <v>103.83987359660783</v>
      </c>
      <c r="DA77" s="26">
        <f t="shared" si="556"/>
        <v>149.57300823953042</v>
      </c>
      <c r="DD77" s="120"/>
      <c r="DE77" s="25">
        <v>281.39999999999964</v>
      </c>
    </row>
    <row r="78" spans="1:109" s="44" customFormat="1" x14ac:dyDescent="0.2">
      <c r="A78" s="44" t="s">
        <v>107</v>
      </c>
      <c r="B78" s="44">
        <f t="shared" ref="B78:AE78" si="557">+B77/B46</f>
        <v>8.0981377192208506E-2</v>
      </c>
      <c r="C78" s="44">
        <f t="shared" si="557"/>
        <v>3.9803902720369155E-2</v>
      </c>
      <c r="D78" s="44">
        <f t="shared" si="557"/>
        <v>5.1205315778332171E-2</v>
      </c>
      <c r="E78" s="44">
        <f t="shared" si="557"/>
        <v>7.2907259965698357E-2</v>
      </c>
      <c r="F78" s="44">
        <f t="shared" si="557"/>
        <v>9.8583387098627601E-2</v>
      </c>
      <c r="G78" s="44">
        <f t="shared" si="557"/>
        <v>0.10598152716271735</v>
      </c>
      <c r="H78" s="44">
        <f t="shared" si="557"/>
        <v>0.12796991241304373</v>
      </c>
      <c r="I78" s="44">
        <f t="shared" si="557"/>
        <v>9.3095439605622735E-2</v>
      </c>
      <c r="J78" s="44">
        <f t="shared" si="557"/>
        <v>0.10804993283725074</v>
      </c>
      <c r="K78" s="44">
        <f t="shared" si="557"/>
        <v>0.11373617334420674</v>
      </c>
      <c r="L78" s="44">
        <f t="shared" si="557"/>
        <v>8.0890529824440741E-2</v>
      </c>
      <c r="M78" s="44">
        <f t="shared" si="557"/>
        <v>5.3153755820154691E-2</v>
      </c>
      <c r="N78" s="44">
        <f t="shared" si="557"/>
        <v>7.7273400784475976E-2</v>
      </c>
      <c r="O78" s="44">
        <f t="shared" si="557"/>
        <v>7.7958607136277017E-2</v>
      </c>
      <c r="P78" s="44">
        <f t="shared" si="557"/>
        <v>7.6904412615578788E-2</v>
      </c>
      <c r="Q78" s="44">
        <f t="shared" si="557"/>
        <v>7.8130730437770371E-2</v>
      </c>
      <c r="R78" s="44">
        <f t="shared" si="557"/>
        <v>7.7444148118004166E-2</v>
      </c>
      <c r="S78" s="44">
        <f t="shared" si="557"/>
        <v>6.9580033399093744E-2</v>
      </c>
      <c r="T78" s="44">
        <f t="shared" si="557"/>
        <v>6.1560784069763466E-2</v>
      </c>
      <c r="U78" s="44">
        <f t="shared" si="557"/>
        <v>6.3819065961412874E-2</v>
      </c>
      <c r="V78" s="44">
        <f t="shared" si="557"/>
        <v>7.3239716417725059E-2</v>
      </c>
      <c r="W78" s="44">
        <f t="shared" si="557"/>
        <v>9.5485112780347992E-2</v>
      </c>
      <c r="X78" s="44">
        <f t="shared" si="557"/>
        <v>9.6005400777185015E-2</v>
      </c>
      <c r="Y78" s="44">
        <f t="shared" si="557"/>
        <v>8.8696880348231838E-2</v>
      </c>
      <c r="Z78" s="44">
        <f t="shared" si="557"/>
        <v>9.2404679509499682E-2</v>
      </c>
      <c r="AA78" s="44">
        <f t="shared" ref="AA78" si="558">+AA77/AA46</f>
        <v>0.10438887009371869</v>
      </c>
      <c r="AB78" s="47">
        <f t="shared" si="557"/>
        <v>9.8697217936885961E-2</v>
      </c>
      <c r="AC78" s="47">
        <f t="shared" si="557"/>
        <v>0.10053098986165447</v>
      </c>
      <c r="AD78" s="47">
        <f t="shared" si="557"/>
        <v>0.10191772208533151</v>
      </c>
      <c r="AE78" s="47">
        <f t="shared" si="557"/>
        <v>0.10582055782165385</v>
      </c>
      <c r="AI78" s="44">
        <f t="shared" ref="AI78:BN78" si="559">+AI77/AI46</f>
        <v>9.3179634966378447E-2</v>
      </c>
      <c r="AJ78" s="44">
        <f t="shared" si="559"/>
        <v>7.6116413338046515E-2</v>
      </c>
      <c r="AK78" s="44">
        <f t="shared" si="559"/>
        <v>0.10042142049542602</v>
      </c>
      <c r="AL78" s="44">
        <f t="shared" si="559"/>
        <v>9.5304963672995915E-2</v>
      </c>
      <c r="AM78" s="44">
        <f t="shared" si="559"/>
        <v>7.9192705665403026E-2</v>
      </c>
      <c r="AN78" s="44">
        <f t="shared" si="559"/>
        <v>9.4091673675357548E-2</v>
      </c>
      <c r="AO78" s="44">
        <f t="shared" si="559"/>
        <v>5.9256411664561477E-2</v>
      </c>
      <c r="AP78" s="44">
        <f t="shared" si="559"/>
        <v>8.7270000576801121E-2</v>
      </c>
      <c r="AQ78" s="44">
        <f t="shared" si="559"/>
        <v>0.11261600200652121</v>
      </c>
      <c r="AR78" s="44">
        <f t="shared" si="559"/>
        <v>8.9848660063351668E-2</v>
      </c>
      <c r="AS78" s="44">
        <f t="shared" si="559"/>
        <v>4.333087052892344E-2</v>
      </c>
      <c r="AT78" s="44">
        <f t="shared" si="559"/>
        <v>3.3866962540286226E-2</v>
      </c>
      <c r="AU78" s="44">
        <f t="shared" si="559"/>
        <v>0.11103892858927576</v>
      </c>
      <c r="AV78" s="44">
        <f t="shared" si="559"/>
        <v>9.069867585315966E-2</v>
      </c>
      <c r="AW78" s="44">
        <f t="shared" si="559"/>
        <v>9.9938436281551274E-2</v>
      </c>
      <c r="AX78" s="44">
        <f t="shared" si="559"/>
        <v>8.0199904807234698E-2</v>
      </c>
      <c r="AY78" s="44">
        <f t="shared" si="559"/>
        <v>8.4864305767620607E-2</v>
      </c>
      <c r="AZ78" s="44">
        <f t="shared" si="559"/>
        <v>5.3854276663146822E-2</v>
      </c>
      <c r="BA78" s="44">
        <f t="shared" si="559"/>
        <v>9.0122077714832854E-2</v>
      </c>
      <c r="BB78" s="44">
        <f t="shared" si="559"/>
        <v>6.4751703992210363E-2</v>
      </c>
      <c r="BC78" s="44">
        <f t="shared" si="559"/>
        <v>7.2787821122740182E-2</v>
      </c>
      <c r="BD78" s="44">
        <f t="shared" si="559"/>
        <v>5.7855361596009958E-2</v>
      </c>
      <c r="BE78" s="44">
        <f t="shared" si="559"/>
        <v>8.3485679463741538E-2</v>
      </c>
      <c r="BF78" s="44">
        <f t="shared" si="559"/>
        <v>5.3647058823529478E-2</v>
      </c>
      <c r="BG78" s="44">
        <f t="shared" si="559"/>
        <v>5.7176656151419473E-2</v>
      </c>
      <c r="BH78" s="44">
        <f t="shared" si="559"/>
        <v>5.7417974322396557E-2</v>
      </c>
      <c r="BI78" s="44">
        <f t="shared" si="559"/>
        <v>7.2994806693594996E-2</v>
      </c>
      <c r="BJ78" s="44">
        <f t="shared" si="559"/>
        <v>5.4268924991358304E-2</v>
      </c>
      <c r="BK78" s="44">
        <f t="shared" si="559"/>
        <v>4.1749502982107327E-2</v>
      </c>
      <c r="BL78" s="44">
        <f t="shared" si="559"/>
        <v>6.5062875888463684E-2</v>
      </c>
      <c r="BM78" s="44">
        <f t="shared" si="559"/>
        <v>9.050445103857567E-2</v>
      </c>
      <c r="BN78" s="44">
        <f t="shared" si="559"/>
        <v>4.0077821011673197E-2</v>
      </c>
      <c r="BO78" s="44">
        <f t="shared" ref="BO78:CT78" si="560">+BO77/BO46</f>
        <v>3.4719049794426714E-2</v>
      </c>
      <c r="BP78" s="44">
        <f t="shared" si="560"/>
        <v>0.11316588462600055</v>
      </c>
      <c r="BQ78" s="44">
        <f t="shared" si="560"/>
        <v>8.0021627466882905E-2</v>
      </c>
      <c r="BR78" s="44">
        <f t="shared" si="560"/>
        <v>0.11006289308176102</v>
      </c>
      <c r="BS78" s="44">
        <f t="shared" si="560"/>
        <v>8.5808580858085903E-2</v>
      </c>
      <c r="BT78" s="44">
        <f t="shared" si="560"/>
        <v>0.10214615593588711</v>
      </c>
      <c r="BU78" s="44">
        <f t="shared" si="560"/>
        <v>8.4120557804768403E-2</v>
      </c>
      <c r="BV78" s="44">
        <f t="shared" si="560"/>
        <v>9.2171414891070114E-2</v>
      </c>
      <c r="BW78" s="44">
        <f t="shared" si="560"/>
        <v>0.10124888492417476</v>
      </c>
      <c r="BX78" s="44">
        <f t="shared" si="560"/>
        <v>8.6482726640389571E-2</v>
      </c>
      <c r="BY78" s="44">
        <f t="shared" si="560"/>
        <v>0.10236370568051846</v>
      </c>
      <c r="BZ78" s="44">
        <f t="shared" si="560"/>
        <v>8.1086601307189518E-2</v>
      </c>
      <c r="CA78" s="44">
        <f t="shared" si="560"/>
        <v>0.10164045323862674</v>
      </c>
      <c r="CB78" s="44">
        <f t="shared" si="560"/>
        <v>8.4087280468334344E-2</v>
      </c>
      <c r="CC78" s="44">
        <f t="shared" si="560"/>
        <v>8.6458679057417873E-2</v>
      </c>
      <c r="CD78" s="44">
        <f t="shared" si="560"/>
        <v>7.8096288129364269E-2</v>
      </c>
      <c r="CE78" s="44">
        <f t="shared" si="560"/>
        <v>9.9380804953560331E-2</v>
      </c>
      <c r="CF78" s="44">
        <f t="shared" si="560"/>
        <v>9.4890510948905049E-2</v>
      </c>
      <c r="CG78" s="44">
        <f t="shared" si="560"/>
        <v>9.4851321585903051E-2</v>
      </c>
      <c r="CH78" s="44">
        <f t="shared" si="560"/>
        <v>8.078602620087344E-2</v>
      </c>
      <c r="CI78" s="44">
        <f t="shared" si="560"/>
        <v>0.10004499775011258</v>
      </c>
      <c r="CJ78" s="44">
        <f t="shared" si="560"/>
        <v>9.8830049261083852E-2</v>
      </c>
      <c r="CK78" s="44">
        <f t="shared" ref="CK78:CL78" si="561">+CK77/CK46</f>
        <v>0.13061224489795917</v>
      </c>
      <c r="CL78" s="44">
        <f t="shared" si="561"/>
        <v>6.0868119075336694E-2</v>
      </c>
      <c r="CM78" s="47">
        <f t="shared" si="560"/>
        <v>0.11564378833048394</v>
      </c>
      <c r="CN78" s="47">
        <f t="shared" si="560"/>
        <v>8.649855699557675E-2</v>
      </c>
      <c r="CO78" s="47">
        <f t="shared" si="560"/>
        <v>0.12196913402705671</v>
      </c>
      <c r="CP78" s="47">
        <f t="shared" si="560"/>
        <v>6.5098951439723537E-2</v>
      </c>
      <c r="CQ78" s="47">
        <f t="shared" si="560"/>
        <v>0.11533762015475982</v>
      </c>
      <c r="CR78" s="47">
        <f t="shared" si="560"/>
        <v>8.9487325388152253E-2</v>
      </c>
      <c r="CS78" s="47">
        <f t="shared" si="560"/>
        <v>0.12686995475340052</v>
      </c>
      <c r="CT78" s="47">
        <f t="shared" si="560"/>
        <v>6.7442765153414588E-2</v>
      </c>
      <c r="CU78" s="47">
        <f t="shared" ref="CU78:DA78" si="562">+CU77/CU46</f>
        <v>0.11651109218276959</v>
      </c>
      <c r="CV78" s="47">
        <f t="shared" si="562"/>
        <v>9.0391052311357314E-2</v>
      </c>
      <c r="CW78" s="47">
        <f t="shared" si="562"/>
        <v>0.12811564204464995</v>
      </c>
      <c r="CX78" s="47">
        <f t="shared" si="562"/>
        <v>7.172703978393806E-2</v>
      </c>
      <c r="CY78" s="47">
        <f t="shared" si="562"/>
        <v>0.12042709648176925</v>
      </c>
      <c r="CZ78" s="47">
        <f t="shared" si="562"/>
        <v>9.4102571114623737E-2</v>
      </c>
      <c r="DA78" s="47">
        <f t="shared" si="562"/>
        <v>0.1318768120338108</v>
      </c>
      <c r="DD78" s="128"/>
      <c r="DE78" s="44">
        <v>0.10438847052713568</v>
      </c>
    </row>
    <row r="79" spans="1:109" s="38" customFormat="1" x14ac:dyDescent="0.2">
      <c r="A79" s="38" t="s">
        <v>451</v>
      </c>
      <c r="C79" s="38">
        <f t="shared" ref="C79:E79" si="563">+IF(B77&lt;0,1-C77/B77,C77/B77-1)</f>
        <v>-0.44290922789220977</v>
      </c>
      <c r="D79" s="38">
        <f t="shared" si="563"/>
        <v>0.42536466383307214</v>
      </c>
      <c r="E79" s="38">
        <f t="shared" si="563"/>
        <v>0.49989410638496379</v>
      </c>
      <c r="F79" s="38">
        <f t="shared" ref="F79:AE79" si="564">+IF(E77&lt;0,1-F77/E77,F77/E77-1)</f>
        <v>0.69582947382689619</v>
      </c>
      <c r="G79" s="38">
        <f t="shared" si="564"/>
        <v>0.27037135720233296</v>
      </c>
      <c r="H79" s="38">
        <f t="shared" si="564"/>
        <v>0.36717973725123176</v>
      </c>
      <c r="I79" s="38">
        <f t="shared" si="564"/>
        <v>-0.16724067177774127</v>
      </c>
      <c r="J79" s="38">
        <f t="shared" si="564"/>
        <v>0.48812372055108622</v>
      </c>
      <c r="K79" s="38">
        <f t="shared" si="564"/>
        <v>-5.0940353982824593E-3</v>
      </c>
      <c r="L79" s="38">
        <f t="shared" si="564"/>
        <v>-0.23227633703188777</v>
      </c>
      <c r="M79" s="38">
        <f t="shared" si="564"/>
        <v>-0.19031383012129111</v>
      </c>
      <c r="N79" s="38">
        <f t="shared" si="564"/>
        <v>0.38314109140040609</v>
      </c>
      <c r="O79" s="38">
        <f t="shared" si="564"/>
        <v>3.3339363241677633E-2</v>
      </c>
      <c r="P79" s="38">
        <f t="shared" si="564"/>
        <v>8.1980988393468568E-2</v>
      </c>
      <c r="Q79" s="38">
        <f t="shared" si="564"/>
        <v>3.750444940620512E-2</v>
      </c>
      <c r="R79" s="38">
        <f t="shared" si="564"/>
        <v>-2.8226561037978382E-3</v>
      </c>
      <c r="S79" s="38">
        <f t="shared" si="564"/>
        <v>2.7587069733981284E-2</v>
      </c>
      <c r="T79" s="38">
        <f t="shared" si="564"/>
        <v>2.409180148233947E-2</v>
      </c>
      <c r="U79" s="38">
        <f t="shared" si="564"/>
        <v>0.22716599791944891</v>
      </c>
      <c r="V79" s="38">
        <f t="shared" si="564"/>
        <v>7.1521991862043777E-2</v>
      </c>
      <c r="W79" s="38">
        <f t="shared" si="564"/>
        <v>0.61579756334621916</v>
      </c>
      <c r="X79" s="38">
        <f t="shared" si="564"/>
        <v>0.22346802453678749</v>
      </c>
      <c r="Y79" s="38">
        <f t="shared" si="564"/>
        <v>0.1395225191232452</v>
      </c>
      <c r="Z79" s="38">
        <f t="shared" ref="Z79:AA79" si="565">+IF(Y77&lt;0,1-Z77/Y77,Z77/Y77-1)</f>
        <v>0.17432007344862743</v>
      </c>
      <c r="AA79" s="38">
        <f t="shared" si="565"/>
        <v>0.2022266938381394</v>
      </c>
      <c r="AB79" s="39">
        <f t="shared" si="564"/>
        <v>7.1797979335826323E-2</v>
      </c>
      <c r="AC79" s="39">
        <f t="shared" si="564"/>
        <v>0.15183078341957446</v>
      </c>
      <c r="AD79" s="39">
        <f t="shared" si="564"/>
        <v>0.114102330106439</v>
      </c>
      <c r="AE79" s="39">
        <f t="shared" si="564"/>
        <v>0.1418478572342714</v>
      </c>
      <c r="AM79" s="38">
        <f>+IF(AI77&lt;0,1-AM77/AI77,AM77/AI77-1)</f>
        <v>-0.11454753722795041</v>
      </c>
      <c r="AN79" s="38">
        <f t="shared" ref="AN79" si="566">+IF(AJ77&lt;0,1-AN77/AJ77,AN77/AJ77-1)</f>
        <v>0.38544891640866852</v>
      </c>
      <c r="AO79" s="38">
        <f t="shared" ref="AO79" si="567">+IF(AK77&lt;0,1-AO77/AK77,AO77/AK77-1)</f>
        <v>-0.44779938587512791</v>
      </c>
      <c r="AP79" s="38">
        <f t="shared" ref="AP79" si="568">+IF(AL77&lt;0,1-AP77/AL77,AP77/AL77-1)</f>
        <v>-3.0749519538756598E-2</v>
      </c>
      <c r="AQ79" s="38">
        <f t="shared" ref="AQ79" si="569">+IF(AM77&lt;0,1-AQ77/AM77,AQ77/AM77-1)</f>
        <v>0.45213454075032544</v>
      </c>
      <c r="AR79" s="38">
        <f t="shared" ref="AR79" si="570">+IF(AN77&lt;0,1-AR77/AN77,AR77/AN77-1)</f>
        <v>-1.6759776536315885E-3</v>
      </c>
      <c r="AS79" s="38">
        <f t="shared" ref="AS79" si="571">+IF(AO77&lt;0,1-AS77/AO77,AS77/AO77-1)</f>
        <v>-7.5996292863763082E-2</v>
      </c>
      <c r="AT79" s="38">
        <f t="shared" ref="AT79" si="572">+IF(AP77&lt;0,1-AT77/AP77,AT77/AP77-1)</f>
        <v>-0.57633840052875285</v>
      </c>
      <c r="AU79" s="38">
        <f t="shared" ref="AU79" si="573">+IF(AQ77&lt;0,1-AU77/AQ77,AU77/AQ77-1)</f>
        <v>-1.0244988864143934E-2</v>
      </c>
      <c r="AV79" s="38">
        <f t="shared" ref="AV79" si="574">+IF(AR77&lt;0,1-AV77/AR77,AV77/AR77-1)</f>
        <v>-5.70789031897041E-2</v>
      </c>
      <c r="AW79" s="38">
        <f t="shared" ref="AW79" si="575">+IF(AS77&lt;0,1-AW77/AS77,AW77/AS77-1)</f>
        <v>1.4423269809428261</v>
      </c>
      <c r="AX79" s="38">
        <f t="shared" ref="AX79" si="576">+IF(AT77&lt;0,1-AX77/AT77,AX77/AT77-1)</f>
        <v>1.6287051482059405</v>
      </c>
      <c r="AY79" s="38">
        <f t="shared" ref="AY79" si="577">+IF(AU77&lt;0,1-AY77/AU77,AY77/AU77-1)</f>
        <v>-0.22457245724572306</v>
      </c>
      <c r="AZ79" s="38">
        <f t="shared" ref="AZ79" si="578">+IF(AV77&lt;0,1-AZ77/AV77,AZ77/AV77-1)</f>
        <v>-0.48545994065281861</v>
      </c>
      <c r="BA79" s="38">
        <f t="shared" ref="BA79" si="579">+IF(AW77&lt;0,1-BA77/AW77,BA77/AW77-1)</f>
        <v>-7.2279260780286014E-2</v>
      </c>
      <c r="BB79" s="38">
        <f t="shared" ref="BB79" si="580">+IF(AX77&lt;0,1-BB77/AX77,BB77/AX77-1)</f>
        <v>-0.21068249258160232</v>
      </c>
      <c r="BC79" s="38">
        <f t="shared" ref="BC79" si="581">+IF(AY77&lt;0,1-BC77/AY77,BC77/AY77-1)</f>
        <v>-0.11201392919326891</v>
      </c>
      <c r="BD79" s="38">
        <f t="shared" ref="BD79" si="582">+IF(AZ77&lt;0,1-BD77/AZ77,BD77/AZ77-1)</f>
        <v>0.33794694348327403</v>
      </c>
      <c r="BE79" s="38">
        <f t="shared" ref="BE79" si="583">+IF(BA77&lt;0,1-BE77/BA77,BE77/BA77-1)</f>
        <v>0.21292607348384096</v>
      </c>
      <c r="BF79" s="38">
        <f t="shared" ref="BF79" si="584">+IF(BB77&lt;0,1-BF77/BB77,BF77/BB77-1)</f>
        <v>-0.14285714285714224</v>
      </c>
      <c r="BG79" s="38">
        <f t="shared" ref="BG79" si="585">+IF(BC77&lt;0,1-BG77/BC77,BG77/BC77-1)</f>
        <v>-5.2287581699346997E-2</v>
      </c>
      <c r="BH79" s="38">
        <f t="shared" ref="BH79" si="586">+IF(BD77&lt;0,1-BH77/BD77,BH77/BD77-1)</f>
        <v>0.38793103448275867</v>
      </c>
      <c r="BI79" s="38">
        <f t="shared" ref="BI79" si="587">+IF(BE77&lt;0,1-BI77/BE77,BI77/BE77-1)</f>
        <v>-7.6642335766421432E-2</v>
      </c>
      <c r="BJ79" s="38">
        <f t="shared" ref="BJ79" si="588">+IF(BF77&lt;0,1-BJ77/BF77,BJ77/BF77-1)</f>
        <v>0.37719298245613486</v>
      </c>
      <c r="BK79" s="38">
        <f t="shared" ref="BK79" si="589">+IF(BG77&lt;0,1-BK77/BG77,BK77/BG77-1)</f>
        <v>-0.13103448275861995</v>
      </c>
      <c r="BL79" s="38">
        <f t="shared" ref="BL79" si="590">+IF(BH77&lt;0,1-BL77/BH77,BL77/BH77-1)</f>
        <v>0.47826086956521907</v>
      </c>
      <c r="BM79" s="38">
        <f t="shared" ref="BM79" si="591">+IF(BI77&lt;0,1-BM77/BI77,BM77/BI77-1)</f>
        <v>0.20553359683794348</v>
      </c>
      <c r="BN79" s="38">
        <f t="shared" ref="BN79" si="592">+IF(BJ77&lt;0,1-BN77/BJ77,BN77/BJ77-1)</f>
        <v>-0.34394904458598485</v>
      </c>
      <c r="BO79" s="38">
        <f t="shared" ref="BO79" si="593">+IF(BK77&lt;0,1-BO77/BK77,BO77/BK77-1)</f>
        <v>-0.39682539682539575</v>
      </c>
      <c r="BP79" s="38">
        <f t="shared" ref="BP79" si="594">+IF(BL77&lt;0,1-BP77/BL77,BP77/BL77-1)</f>
        <v>0.72268907563025087</v>
      </c>
      <c r="BQ79" s="38">
        <f t="shared" ref="BQ79" si="595">+IF(BM77&lt;0,1-BQ77/BM77,BQ77/BM77-1)</f>
        <v>-2.9508196721311886E-2</v>
      </c>
      <c r="BR79" s="38">
        <f t="shared" ref="BR79" si="596">+IF(BN77&lt;0,1-BR77/BN77,BR77/BN77-1)</f>
        <v>3.0776699029126178</v>
      </c>
      <c r="BS79" s="38">
        <f t="shared" ref="BS79" si="597">+IF(BO77&lt;0,1-BS77/BO77,BS77/BO77-1)</f>
        <v>2.4210526315789473</v>
      </c>
      <c r="BT79" s="38">
        <f t="shared" ref="BT79" si="598">+IF(BP77&lt;0,1-BT77/BP77,BT77/BP77-1)</f>
        <v>-8.2926829268291646E-2</v>
      </c>
      <c r="BU79" s="38">
        <f t="shared" ref="BU79" si="599">+IF(BQ77&lt;0,1-BU77/BQ77,BU77/BQ77-1)</f>
        <v>0.26351351351351515</v>
      </c>
      <c r="BV79" s="38">
        <f t="shared" ref="BV79" si="600">+IF(BR77&lt;0,1-BV77/BR77,BV77/BR77-1)</f>
        <v>-8.3333333333333814E-2</v>
      </c>
      <c r="BW79" s="38">
        <f t="shared" ref="BW79" si="601">+IF(BS77&lt;0,1-BW77/BS77,BW77/BS77-1)</f>
        <v>0.74615384615384284</v>
      </c>
      <c r="BX79" s="38">
        <f t="shared" ref="BX79" si="602">+IF(BT77&lt;0,1-BX77/BT77,BX77/BT77-1)</f>
        <v>-7.9787234042557609E-3</v>
      </c>
      <c r="BY79" s="38">
        <f t="shared" ref="BY79" si="603">+IF(BU77&lt;0,1-BY77/BU77,BY77/BU77-1)</f>
        <v>0.435828877005346</v>
      </c>
      <c r="BZ79" s="38">
        <f t="shared" ref="BZ79" si="604">+IF(BV77&lt;0,1-BZ77/BV77,BZ77/BV77-1)</f>
        <v>3.1168831168831179E-2</v>
      </c>
      <c r="CA79" s="38">
        <f t="shared" ref="CA79" si="605">+IF(BW77&lt;0,1-CA77/BW77,CA77/BW77-1)</f>
        <v>0.32378854625550724</v>
      </c>
      <c r="CB79" s="38">
        <f t="shared" ref="CB79" si="606">+IF(BX77&lt;0,1-CB77/BX77,CB77/BX77-1)</f>
        <v>0.27077747989276246</v>
      </c>
      <c r="CC79" s="38">
        <f t="shared" ref="CC79" si="607">+IF(BY77&lt;0,1-CC77/BY77,CC77/BY77-1)</f>
        <v>-2.9795158286777923E-2</v>
      </c>
      <c r="CD79" s="38">
        <f t="shared" ref="CD79" si="608">+IF(BZ77&lt;0,1-CD77/BZ77,CD77/BZ77-1)</f>
        <v>7.0528967254409158E-2</v>
      </c>
      <c r="CE79" s="38">
        <f t="shared" ref="CE79" si="609">+IF(CA77&lt;0,1-CE77/CA77,CE77/CA77-1)</f>
        <v>6.821963394342756E-2</v>
      </c>
      <c r="CF79" s="38">
        <f t="shared" ref="CF79" si="610">+IF(CB77&lt;0,1-CF77/CB77,CF77/CB77-1)</f>
        <v>0.23417721518987089</v>
      </c>
      <c r="CG79" s="38">
        <f t="shared" ref="CG79" si="611">+IF(CC77&lt;0,1-CG77/CC77,CG77/CC77-1)</f>
        <v>0.32245681381957692</v>
      </c>
      <c r="CH79" s="38">
        <f t="shared" ref="CH79:CL79" si="612">+IF(CD77&lt;0,1-CH77/CD77,CH77/CD77-1)</f>
        <v>0.13176470588235301</v>
      </c>
      <c r="CI79" s="38">
        <f t="shared" si="612"/>
        <v>3.8940809968848633E-2</v>
      </c>
      <c r="CJ79" s="38">
        <f t="shared" si="612"/>
        <v>9.743589743589931E-2</v>
      </c>
      <c r="CK79" s="38">
        <f t="shared" si="612"/>
        <v>0.48621190130624137</v>
      </c>
      <c r="CL79" s="38">
        <f t="shared" si="612"/>
        <v>-0.23908523908524082</v>
      </c>
      <c r="CM79" s="39">
        <f t="shared" ref="CM79" si="613">+CM77/CI77-1</f>
        <v>0.33095302696832651</v>
      </c>
      <c r="CN79" s="39">
        <f t="shared" ref="CN79" si="614">+CN77/CJ77-1</f>
        <v>0.1213300645581914</v>
      </c>
      <c r="CO79" s="39">
        <f t="shared" ref="CO79" si="615">+CO77/CK77-1</f>
        <v>1.8010561851523388E-2</v>
      </c>
      <c r="CP79" s="39">
        <f t="shared" ref="CP79" si="616">+CP77/CL77-1</f>
        <v>0.35909639087204281</v>
      </c>
      <c r="CQ79" s="39">
        <f t="shared" ref="CQ79" si="617">+CQ77/CM77-1</f>
        <v>9.2300070554482083E-2</v>
      </c>
      <c r="CR79" s="39">
        <f t="shared" ref="CR79" si="618">+CR77/CN77-1</f>
        <v>0.13467388357611298</v>
      </c>
      <c r="CS79" s="39">
        <f t="shared" ref="CS79" si="619">+CS77/CO77-1</f>
        <v>0.14160486782209536</v>
      </c>
      <c r="CT79" s="39">
        <f t="shared" ref="CT79" si="620">+CT77/CP77-1</f>
        <v>0.13783420779192501</v>
      </c>
      <c r="CU79" s="39">
        <f t="shared" ref="CU79" si="621">+CU77/CQ77-1</f>
        <v>0.10996959374720272</v>
      </c>
      <c r="CV79" s="39">
        <f t="shared" ref="CV79" si="622">+CV77/CR77-1</f>
        <v>0.11028960946807387</v>
      </c>
      <c r="CW79" s="39">
        <f t="shared" ref="CW79" si="623">+CW77/CS77-1</f>
        <v>0.1101671609592485</v>
      </c>
      <c r="CX79" s="39">
        <f t="shared" ref="CX79" si="624">+CX77/CT77-1</f>
        <v>0.16942042571224358</v>
      </c>
      <c r="CY79" s="39">
        <f t="shared" ref="CY79" si="625">+CY77/CU77-1</f>
        <v>0.13665753651271006</v>
      </c>
      <c r="CZ79" s="39">
        <f t="shared" ref="CZ79" si="626">+CZ77/CV77-1</f>
        <v>0.14495474646186812</v>
      </c>
      <c r="DA79" s="39">
        <f t="shared" ref="DA79" si="627">+DA77/CW77-1</f>
        <v>0.13213130472183177</v>
      </c>
      <c r="DD79" s="121"/>
      <c r="DE79" s="38">
        <v>0.20220960486010098</v>
      </c>
    </row>
    <row r="80" spans="1:109" s="38" customFormat="1" x14ac:dyDescent="0.2">
      <c r="A80" s="38" t="s">
        <v>452</v>
      </c>
      <c r="AB80" s="39"/>
      <c r="AC80" s="39"/>
      <c r="AD80" s="39"/>
      <c r="AE80" s="39"/>
      <c r="AJ80" s="38">
        <f>+IF(AI77&lt;0,1-AJ77/AI77,AJ77/AI77-1)</f>
        <v>-0.26002290950744444</v>
      </c>
      <c r="AK80" s="38">
        <f t="shared" ref="AK80:AM80" si="628">+IF(AJ77&lt;0,1-AK77/AJ77,AK77/AJ77-1)</f>
        <v>0.51238390092879027</v>
      </c>
      <c r="AL80" s="38">
        <f t="shared" si="628"/>
        <v>-0.20112589559877159</v>
      </c>
      <c r="AM80" s="38">
        <f t="shared" si="628"/>
        <v>-9.6092248558629079E-3</v>
      </c>
      <c r="AN80" s="38">
        <f t="shared" ref="AN80" si="629">+IF(AM77&lt;0,1-AN77/AM77,AN77/AM77-1)</f>
        <v>0.15782664941785529</v>
      </c>
      <c r="AO80" s="38">
        <f t="shared" ref="AO80" si="630">+IF(AN77&lt;0,1-AO77/AN77,AO77/AN77-1)</f>
        <v>-0.39720670391061519</v>
      </c>
      <c r="AP80" s="38">
        <f t="shared" ref="AP80" si="631">+IF(AO77&lt;0,1-AP77/AO77,AP77/AO77-1)</f>
        <v>0.40222428174235514</v>
      </c>
      <c r="AQ80" s="38">
        <f t="shared" ref="AQ80" si="632">+IF(AP77&lt;0,1-AQ77/AP77,AQ77/AP77-1)</f>
        <v>0.48380700594844606</v>
      </c>
      <c r="AR80" s="38">
        <f t="shared" ref="AR80" si="633">+IF(AQ77&lt;0,1-AR77/AQ77,AR77/AQ77-1)</f>
        <v>-0.20400890868596822</v>
      </c>
      <c r="AS80" s="38">
        <f t="shared" ref="AS80" si="634">+IF(AR77&lt;0,1-AS77/AR77,AS77/AR77-1)</f>
        <v>-0.44208170117515466</v>
      </c>
      <c r="AT80" s="38">
        <f t="shared" ref="AT80" si="635">+IF(AS77&lt;0,1-AT77/AS77,AT77/AS77-1)</f>
        <v>-0.35707121364092509</v>
      </c>
      <c r="AU80" s="38">
        <f t="shared" ref="AU80" si="636">+IF(AT77&lt;0,1-AU77/AT77,AU77/AT77-1)</f>
        <v>2.4664586583463435</v>
      </c>
      <c r="AV80" s="38">
        <f t="shared" ref="AV80" si="637">+IF(AU77&lt;0,1-AV77/AU77,AV77/AU77-1)</f>
        <v>-0.24167416741674064</v>
      </c>
      <c r="AW80" s="38">
        <f t="shared" ref="AW80" si="638">+IF(AV77&lt;0,1-AW77/AV77,AW77/AV77-1)</f>
        <v>0.44510385756676341</v>
      </c>
      <c r="AX80" s="38">
        <f t="shared" ref="AX80" si="639">+IF(AW77&lt;0,1-AX77/AW77,AX77/AW77-1)</f>
        <v>-0.30800821355236008</v>
      </c>
      <c r="AY80" s="38">
        <f t="shared" ref="AY80" si="640">+IF(AX77&lt;0,1-AY77/AX77,AY77/AX77-1)</f>
        <v>2.2551928783382857E-2</v>
      </c>
      <c r="AZ80" s="38">
        <f t="shared" ref="AZ80" si="641">+IF(AY77&lt;0,1-AZ77/AY77,AZ77/AY77-1)</f>
        <v>-0.49680789320951824</v>
      </c>
      <c r="BA80" s="38">
        <f t="shared" ref="BA80" si="642">+IF(AZ77&lt;0,1-BA77/AZ77,BA77/AZ77-1)</f>
        <v>1.6055363321799292</v>
      </c>
      <c r="BB80" s="38">
        <f t="shared" ref="BB80" si="643">+IF(BA77&lt;0,1-BB77/BA77,BB77/BA77-1)</f>
        <v>-0.41124391323594489</v>
      </c>
      <c r="BC80" s="38">
        <f t="shared" ref="BC80" si="644">+IF(BB77&lt;0,1-BC77/BB77,BC77/BB77-1)</f>
        <v>0.15037593984962228</v>
      </c>
      <c r="BD80" s="38">
        <f t="shared" ref="BD80" si="645">+IF(BC77&lt;0,1-BD77/BC77,BD77/BC77-1)</f>
        <v>-0.24183006535947671</v>
      </c>
      <c r="BE80" s="38">
        <f t="shared" ref="BE80" si="646">+IF(BD77&lt;0,1-BE77/BD77,BE77/BD77-1)</f>
        <v>1.3620689655172398</v>
      </c>
      <c r="BF80" s="38">
        <f t="shared" ref="BF80" si="647">+IF(BE77&lt;0,1-BF77/BE77,BF77/BE77-1)</f>
        <v>-0.58394160583941512</v>
      </c>
      <c r="BG80" s="38">
        <f t="shared" ref="BG80" si="648">+IF(BF77&lt;0,1-BG77/BF77,BG77/BF77-1)</f>
        <v>0.27192982456139991</v>
      </c>
      <c r="BH80" s="38">
        <f t="shared" ref="BH80" si="649">+IF(BG77&lt;0,1-BH77/BG77,BH77/BG77-1)</f>
        <v>0.11034482758620823</v>
      </c>
      <c r="BI80" s="38">
        <f t="shared" ref="BI80" si="650">+IF(BH77&lt;0,1-BI77/BH77,BI77/BH77-1)</f>
        <v>0.57142857142857362</v>
      </c>
      <c r="BJ80" s="38">
        <f t="shared" ref="BJ80" si="651">+IF(BI77&lt;0,1-BJ77/BI77,BJ77/BI77-1)</f>
        <v>-0.37944664031620778</v>
      </c>
      <c r="BK80" s="38">
        <f t="shared" ref="BK80" si="652">+IF(BJ77&lt;0,1-BK77/BJ77,BK77/BJ77-1)</f>
        <v>-0.19745222929936146</v>
      </c>
      <c r="BL80" s="38">
        <f t="shared" ref="BL80" si="653">+IF(BK77&lt;0,1-BL77/BK77,BL77/BK77-1)</f>
        <v>0.8888888888888915</v>
      </c>
      <c r="BM80" s="38">
        <f t="shared" ref="BM80" si="654">+IF(BL77&lt;0,1-BM77/BL77,BM77/BL77-1)</f>
        <v>0.28151260504201581</v>
      </c>
      <c r="BN80" s="38">
        <f t="shared" ref="BN80" si="655">+IF(BM77&lt;0,1-BN77/BM77,BN77/BM77-1)</f>
        <v>-0.66229508196721276</v>
      </c>
      <c r="BO80" s="38">
        <f t="shared" ref="BO80" si="656">+IF(BN77&lt;0,1-BO77/BN77,BO77/BN77-1)</f>
        <v>-0.26213592233009708</v>
      </c>
      <c r="BP80" s="38">
        <f t="shared" ref="BP80" si="657">+IF(BO77&lt;0,1-BP77/BO77,BP77/BO77-1)</f>
        <v>4.3947368421052575</v>
      </c>
      <c r="BQ80" s="38">
        <f t="shared" ref="BQ80" si="658">+IF(BP77&lt;0,1-BQ77/BP77,BQ77/BP77-1)</f>
        <v>-0.27804878048780524</v>
      </c>
      <c r="BR80" s="38">
        <f t="shared" ref="BR80" si="659">+IF(BQ77&lt;0,1-BR77/BQ77,BR77/BQ77-1)</f>
        <v>0.41891891891891975</v>
      </c>
      <c r="BS80" s="38">
        <f t="shared" ref="BS80" si="660">+IF(BR77&lt;0,1-BS77/BR77,BS77/BR77-1)</f>
        <v>-0.38095238095238038</v>
      </c>
      <c r="BT80" s="38">
        <f t="shared" ref="BT80" si="661">+IF(BS77&lt;0,1-BT77/BS77,BT77/BS77-1)</f>
        <v>0.44615384615384635</v>
      </c>
      <c r="BU80" s="38">
        <f t="shared" ref="BU80" si="662">+IF(BT77&lt;0,1-BU77/BT77,BU77/BT77-1)</f>
        <v>-5.3191489361704702E-3</v>
      </c>
      <c r="BV80" s="38">
        <f t="shared" ref="BV80" si="663">+IF(BU77&lt;0,1-BV77/BU77,BV77/BU77-1)</f>
        <v>2.9411764705881138E-2</v>
      </c>
      <c r="BW80" s="38">
        <f t="shared" ref="BW80" si="664">+IF(BV77&lt;0,1-BW77/BV77,BW77/BV77-1)</f>
        <v>0.17922077922077873</v>
      </c>
      <c r="BX80" s="38">
        <f t="shared" ref="BX80" si="665">+IF(BW77&lt;0,1-BX77/BW77,BX77/BW77-1)</f>
        <v>-0.17841409691629828</v>
      </c>
      <c r="BY80" s="38">
        <f t="shared" ref="BY80" si="666">+IF(BX77&lt;0,1-BY77/BX77,BY77/BX77-1)</f>
        <v>0.43967828418230437</v>
      </c>
      <c r="BZ80" s="38">
        <f t="shared" ref="BZ80" si="667">+IF(BY77&lt;0,1-BZ77/BY77,BZ77/BY77-1)</f>
        <v>-0.26070763500931105</v>
      </c>
      <c r="CA80" s="38">
        <f t="shared" ref="CA80" si="668">+IF(BZ77&lt;0,1-CA77/BZ77,CA77/BZ77-1)</f>
        <v>0.51385390428211575</v>
      </c>
      <c r="CB80" s="38">
        <f t="shared" ref="CB80" si="669">+IF(CA77&lt;0,1-CB77/CA77,CB77/CA77-1)</f>
        <v>-0.21131447587354268</v>
      </c>
      <c r="CC80" s="38">
        <f t="shared" ref="CC80" si="670">+IF(CB77&lt;0,1-CC77/CB77,CC77/CB77-1)</f>
        <v>9.9156118143458594E-2</v>
      </c>
      <c r="CD80" s="38">
        <f t="shared" ref="CD80" si="671">+IF(CC77&lt;0,1-CD77/CC77,CD77/CC77-1)</f>
        <v>-0.1842610364683297</v>
      </c>
      <c r="CE80" s="38">
        <f t="shared" ref="CE80" si="672">+IF(CD77&lt;0,1-CE77/CD77,CE77/CD77-1)</f>
        <v>0.51058823529411579</v>
      </c>
      <c r="CF80" s="38">
        <f t="shared" ref="CF80" si="673">+IF(CE77&lt;0,1-CF77/CE77,CF77/CE77-1)</f>
        <v>-8.8785046728972139E-2</v>
      </c>
      <c r="CG80" s="38">
        <f t="shared" ref="CG80" si="674">+IF(CF77&lt;0,1-CG77/CF77,CG77/CF77-1)</f>
        <v>0.17777777777777803</v>
      </c>
      <c r="CH80" s="38">
        <f t="shared" ref="CH80:CL80" si="675">+IF(CG77&lt;0,1-CH77/CG77,CH77/CG77-1)</f>
        <v>-0.30188679245282934</v>
      </c>
      <c r="CI80" s="38">
        <f t="shared" si="675"/>
        <v>0.3866943866943866</v>
      </c>
      <c r="CJ80" s="38">
        <f t="shared" si="675"/>
        <v>-3.7481259370314546E-2</v>
      </c>
      <c r="CK80" s="38">
        <f t="shared" si="675"/>
        <v>0.5950155763239855</v>
      </c>
      <c r="CL80" s="38">
        <f t="shared" si="675"/>
        <v>-0.64257812500000044</v>
      </c>
      <c r="CM80" s="39">
        <f t="shared" ref="CM80" si="676">+CM77/CL77-1</f>
        <v>1.4255346147209718</v>
      </c>
      <c r="CN80" s="39">
        <f t="shared" ref="CN80" si="677">+CN77/CM77-1</f>
        <v>-0.18907641389327623</v>
      </c>
      <c r="CO80" s="39">
        <f t="shared" ref="CO80" si="678">+CO77/CN77-1</f>
        <v>0.448050626962609</v>
      </c>
      <c r="CP80" s="39">
        <f t="shared" ref="CP80" si="679">+CP77/CO77-1</f>
        <v>-0.52282343765892347</v>
      </c>
      <c r="CQ80" s="39">
        <f t="shared" ref="CQ80" si="680">+CQ77/CP77-1</f>
        <v>0.94939199940933006</v>
      </c>
      <c r="CR80" s="39">
        <f t="shared" ref="CR80" si="681">+CR77/CQ77-1</f>
        <v>-0.15761809457350018</v>
      </c>
      <c r="CS80" s="39">
        <f t="shared" ref="CS80" si="682">+CS77/CR77-1</f>
        <v>0.45689582577094989</v>
      </c>
      <c r="CT80" s="39">
        <f t="shared" ref="CT80" si="683">+CT77/CS77-1</f>
        <v>-0.52439952641052989</v>
      </c>
      <c r="CU80" s="39">
        <f t="shared" ref="CU80" si="684">+CU77/CT77-1</f>
        <v>0.90165300956930583</v>
      </c>
      <c r="CV80" s="39">
        <f t="shared" ref="CV80" si="685">+CV77/CU77-1</f>
        <v>-0.15737522715241714</v>
      </c>
      <c r="CW80" s="39">
        <f t="shared" ref="CW80" si="686">+CW77/CV77-1</f>
        <v>0.45673515172711632</v>
      </c>
      <c r="CX80" s="39">
        <f t="shared" ref="CX80" si="687">+CX77/CW77-1</f>
        <v>-0.49901516829828241</v>
      </c>
      <c r="CY80" s="39">
        <f t="shared" ref="CY80" si="688">+CY77/CX77-1</f>
        <v>0.84837563773741564</v>
      </c>
      <c r="CZ80" s="39">
        <f t="shared" ref="CZ80" si="689">+CZ77/CY77-1</f>
        <v>-0.15122435547463131</v>
      </c>
      <c r="DA80" s="39">
        <f t="shared" ref="DA80" si="690">+DA77/CZ77-1</f>
        <v>0.44041978345028121</v>
      </c>
      <c r="DD80" s="121"/>
    </row>
    <row r="81" spans="1:109" s="74" customFormat="1" x14ac:dyDescent="0.2">
      <c r="A81" s="22" t="s">
        <v>23</v>
      </c>
      <c r="B81" s="74">
        <f>'Annual Raw'!C32</f>
        <v>0</v>
      </c>
      <c r="C81" s="74">
        <f>'Annual Raw'!D32</f>
        <v>0</v>
      </c>
      <c r="D81" s="74">
        <f>'Annual Raw'!E32</f>
        <v>-1.3599999999999999E-2</v>
      </c>
      <c r="E81" s="74">
        <f>'Annual Raw'!F32</f>
        <v>0</v>
      </c>
      <c r="F81" s="74">
        <f>'Annual Raw'!G32</f>
        <v>0</v>
      </c>
      <c r="G81" s="74">
        <f>'Annual Raw'!H32</f>
        <v>0</v>
      </c>
      <c r="H81" s="74">
        <f>'Annual Raw'!I32</f>
        <v>0</v>
      </c>
      <c r="I81" s="74">
        <f>'Annual Raw'!J32</f>
        <v>0</v>
      </c>
      <c r="J81" s="74">
        <f>'Annual Raw'!K32</f>
        <v>0</v>
      </c>
      <c r="K81" s="74">
        <f>'Annual Raw'!L32</f>
        <v>0</v>
      </c>
      <c r="L81" s="74">
        <f>'Annual Raw'!M32</f>
        <v>0</v>
      </c>
      <c r="M81" s="74">
        <f>'Annual Raw'!N32</f>
        <v>0</v>
      </c>
      <c r="N81" s="74">
        <f>'Annual Raw'!O32</f>
        <v>0</v>
      </c>
      <c r="O81" s="74">
        <f>'Annual Raw'!P32</f>
        <v>0</v>
      </c>
      <c r="P81" s="74">
        <f>'Annual Raw'!Q32</f>
        <v>0</v>
      </c>
      <c r="Q81" s="74">
        <f>'Annual Raw'!R32</f>
        <v>0</v>
      </c>
      <c r="R81" s="74">
        <f>'Annual Raw'!S32</f>
        <v>0</v>
      </c>
      <c r="S81" s="74">
        <f>'Annual Raw'!T32</f>
        <v>0</v>
      </c>
      <c r="T81" s="74">
        <f>'Annual Raw'!U32</f>
        <v>0</v>
      </c>
      <c r="U81" s="74">
        <f>'Annual Raw'!V32</f>
        <v>0</v>
      </c>
      <c r="V81" s="74">
        <f>'Annual Raw'!W32</f>
        <v>0</v>
      </c>
      <c r="W81" s="74">
        <f>'Annual Raw'!X32</f>
        <v>0</v>
      </c>
      <c r="X81" s="74">
        <f>'Annual Raw'!Y32</f>
        <v>0</v>
      </c>
      <c r="Y81" s="74">
        <f>'Annual Raw'!Z32</f>
        <v>0</v>
      </c>
      <c r="Z81" s="74">
        <f>'Annual Raw'!AA32</f>
        <v>0</v>
      </c>
      <c r="AA81" s="74">
        <f>'Annual Raw'!AB32</f>
        <v>0</v>
      </c>
      <c r="AB81" s="75">
        <f t="shared" ref="AB81:AB83" si="691">+SUM(CL81:CO81)</f>
        <v>0</v>
      </c>
      <c r="AC81" s="75">
        <f t="shared" ref="AC81:AC83" si="692">+SUM(CP81:CS81)</f>
        <v>0</v>
      </c>
      <c r="AD81" s="75">
        <f t="shared" ref="AD81:AD83" si="693">+SUM(CT81:CW81)</f>
        <v>0</v>
      </c>
      <c r="AE81" s="75">
        <f t="shared" ref="AE81:AE83" si="694">+SUM(CX81:DA81)</f>
        <v>0</v>
      </c>
      <c r="AI81" s="74">
        <f>'QTR Raw'!C34</f>
        <v>0</v>
      </c>
      <c r="AJ81" s="74">
        <f>'QTR Raw'!D34</f>
        <v>0</v>
      </c>
      <c r="AK81" s="74">
        <f>'QTR Raw'!E34</f>
        <v>0</v>
      </c>
      <c r="AL81" s="74">
        <f>'QTR Raw'!F34</f>
        <v>0</v>
      </c>
      <c r="AM81" s="74">
        <f>'QTR Raw'!G34</f>
        <v>0</v>
      </c>
      <c r="AN81" s="74">
        <f>'QTR Raw'!H34</f>
        <v>0</v>
      </c>
      <c r="AO81" s="74">
        <f>'QTR Raw'!I34</f>
        <v>0</v>
      </c>
      <c r="AP81" s="74">
        <f>'QTR Raw'!J34</f>
        <v>0</v>
      </c>
      <c r="AQ81" s="74">
        <f>'QTR Raw'!K34</f>
        <v>0</v>
      </c>
      <c r="AR81" s="74">
        <f>'QTR Raw'!L34</f>
        <v>0</v>
      </c>
      <c r="AS81" s="74">
        <f>'QTR Raw'!M34</f>
        <v>0</v>
      </c>
      <c r="AT81" s="74">
        <f>'QTR Raw'!N34</f>
        <v>0</v>
      </c>
      <c r="AU81" s="74">
        <f>'QTR Raw'!O34</f>
        <v>0</v>
      </c>
      <c r="AV81" s="74">
        <f>'QTR Raw'!P34</f>
        <v>0</v>
      </c>
      <c r="AW81" s="74">
        <f>'QTR Raw'!Q34</f>
        <v>0</v>
      </c>
      <c r="AX81" s="74">
        <f>'QTR Raw'!R34</f>
        <v>0</v>
      </c>
      <c r="AY81" s="74">
        <f>'QTR Raw'!S34</f>
        <v>0</v>
      </c>
      <c r="AZ81" s="74">
        <f>'QTR Raw'!T34</f>
        <v>0</v>
      </c>
      <c r="BA81" s="74">
        <f>'QTR Raw'!U34</f>
        <v>0</v>
      </c>
      <c r="BB81" s="74">
        <f>'QTR Raw'!V34</f>
        <v>0</v>
      </c>
      <c r="BC81" s="74">
        <f>'QTR Raw'!W34</f>
        <v>0</v>
      </c>
      <c r="BD81" s="74">
        <f>'QTR Raw'!X34</f>
        <v>0</v>
      </c>
      <c r="BE81" s="74">
        <f>'QTR Raw'!Y34</f>
        <v>0</v>
      </c>
      <c r="BF81" s="74">
        <f>'QTR Raw'!Z34</f>
        <v>0</v>
      </c>
      <c r="BG81" s="74">
        <f>'QTR Raw'!AA34</f>
        <v>0</v>
      </c>
      <c r="BH81" s="74">
        <f>'QTR Raw'!AB34</f>
        <v>0</v>
      </c>
      <c r="BI81" s="74">
        <f>'QTR Raw'!AC34</f>
        <v>0</v>
      </c>
      <c r="BJ81" s="74">
        <f>'QTR Raw'!AD34</f>
        <v>0</v>
      </c>
      <c r="BK81" s="74">
        <f>'QTR Raw'!AE34</f>
        <v>0</v>
      </c>
      <c r="BL81" s="74">
        <f>'QTR Raw'!AF34</f>
        <v>0</v>
      </c>
      <c r="BM81" s="74">
        <f>'QTR Raw'!AG34</f>
        <v>0</v>
      </c>
      <c r="BN81" s="74">
        <f>'QTR Raw'!AH34</f>
        <v>0</v>
      </c>
      <c r="BO81" s="74">
        <f>'QTR Raw'!AI34</f>
        <v>0</v>
      </c>
      <c r="BP81" s="74">
        <f>'QTR Raw'!AJ34</f>
        <v>0</v>
      </c>
      <c r="BQ81" s="74">
        <f>'QTR Raw'!AK34</f>
        <v>0</v>
      </c>
      <c r="BR81" s="74">
        <f>'QTR Raw'!AL34</f>
        <v>0</v>
      </c>
      <c r="BS81" s="74">
        <f>'QTR Raw'!AM34</f>
        <v>0</v>
      </c>
      <c r="BT81" s="74">
        <f>'QTR Raw'!AN34</f>
        <v>0</v>
      </c>
      <c r="BU81" s="74">
        <f>'QTR Raw'!AO34</f>
        <v>0</v>
      </c>
      <c r="BV81" s="74">
        <f>'QTR Raw'!AP34</f>
        <v>0</v>
      </c>
      <c r="BW81" s="74">
        <f>'QTR Raw'!AQ34</f>
        <v>0</v>
      </c>
      <c r="BX81" s="74">
        <f>'QTR Raw'!AR34</f>
        <v>0</v>
      </c>
      <c r="BY81" s="74">
        <f>'QTR Raw'!AS34</f>
        <v>0</v>
      </c>
      <c r="BZ81" s="74">
        <f>'QTR Raw'!AT34</f>
        <v>0</v>
      </c>
      <c r="CA81" s="74">
        <f>'QTR Raw'!AU34</f>
        <v>0</v>
      </c>
      <c r="CB81" s="74">
        <f>'QTR Raw'!AV34</f>
        <v>0</v>
      </c>
      <c r="CC81" s="74">
        <f>'QTR Raw'!AW34</f>
        <v>0</v>
      </c>
      <c r="CD81" s="74">
        <f>'QTR Raw'!AX34</f>
        <v>0</v>
      </c>
      <c r="CE81" s="74">
        <f>'QTR Raw'!AY34</f>
        <v>0</v>
      </c>
      <c r="CF81" s="74">
        <f>'QTR Raw'!AZ34</f>
        <v>0</v>
      </c>
      <c r="CG81" s="74">
        <f>'QTR Raw'!BA34</f>
        <v>0</v>
      </c>
      <c r="CH81" s="74">
        <f>'QTR Raw'!BB34</f>
        <v>0</v>
      </c>
      <c r="CI81" s="74">
        <f>'QTR Raw'!BC34</f>
        <v>0</v>
      </c>
      <c r="CJ81" s="74">
        <f>'QTR Raw'!BD34</f>
        <v>0</v>
      </c>
      <c r="CK81" s="74">
        <f>'QTR Raw'!BE34</f>
        <v>0</v>
      </c>
      <c r="CL81" s="74">
        <f>'QTR Raw'!BF34</f>
        <v>0</v>
      </c>
      <c r="CM81" s="75">
        <f t="shared" ref="CM81:CM82" si="695">+CL81</f>
        <v>0</v>
      </c>
      <c r="CN81" s="75">
        <f t="shared" ref="CN81:CN82" si="696">+CM81</f>
        <v>0</v>
      </c>
      <c r="CO81" s="75">
        <f t="shared" ref="CO81:CO82" si="697">+CN81</f>
        <v>0</v>
      </c>
      <c r="CP81" s="75">
        <f t="shared" ref="CP81:CP82" si="698">+CO81</f>
        <v>0</v>
      </c>
      <c r="CQ81" s="75">
        <f t="shared" ref="CQ81:CQ82" si="699">+CP81</f>
        <v>0</v>
      </c>
      <c r="CR81" s="75">
        <f t="shared" ref="CR81:CR82" si="700">+CQ81</f>
        <v>0</v>
      </c>
      <c r="CS81" s="75">
        <f t="shared" ref="CS81:CS82" si="701">+CR81</f>
        <v>0</v>
      </c>
      <c r="CT81" s="75">
        <f t="shared" ref="CT81:CT82" si="702">+CS81</f>
        <v>0</v>
      </c>
      <c r="CU81" s="75">
        <f t="shared" ref="CU81:CU82" si="703">+CT81</f>
        <v>0</v>
      </c>
      <c r="CV81" s="75">
        <f t="shared" ref="CV81:CV82" si="704">+CU81</f>
        <v>0</v>
      </c>
      <c r="CW81" s="75">
        <f t="shared" ref="CW81:CW82" si="705">+CV81</f>
        <v>0</v>
      </c>
      <c r="CX81" s="75">
        <f t="shared" ref="CX81:CX82" si="706">+CW81</f>
        <v>0</v>
      </c>
      <c r="CY81" s="75">
        <f t="shared" ref="CY81:CY82" si="707">+CX81</f>
        <v>0</v>
      </c>
      <c r="CZ81" s="75">
        <f t="shared" ref="CZ81:CZ82" si="708">+CY81</f>
        <v>0</v>
      </c>
      <c r="DA81" s="75">
        <f t="shared" ref="DA81:DA82" si="709">+CZ81</f>
        <v>0</v>
      </c>
      <c r="DD81" s="130"/>
      <c r="DE81" s="74">
        <v>0</v>
      </c>
    </row>
    <row r="82" spans="1:109" s="74" customFormat="1" x14ac:dyDescent="0.2">
      <c r="A82" s="22" t="s">
        <v>24</v>
      </c>
      <c r="B82" s="74">
        <f>'Annual Raw'!C33+'Annual Raw'!C28</f>
        <v>0</v>
      </c>
      <c r="C82" s="74">
        <f>'Annual Raw'!D33+'Annual Raw'!D28</f>
        <v>0</v>
      </c>
      <c r="D82" s="74">
        <f>'Annual Raw'!E33+'Annual Raw'!E28</f>
        <v>0</v>
      </c>
      <c r="E82" s="74">
        <f>'Annual Raw'!F33+'Annual Raw'!F28</f>
        <v>2.5015000000000001</v>
      </c>
      <c r="F82" s="74">
        <f>'Annual Raw'!G33+'Annual Raw'!G28</f>
        <v>0</v>
      </c>
      <c r="G82" s="74">
        <f>'Annual Raw'!H33+'Annual Raw'!H28</f>
        <v>1.3345</v>
      </c>
      <c r="H82" s="74">
        <f>'Annual Raw'!I33+'Annual Raw'!I28</f>
        <v>3.5284</v>
      </c>
      <c r="I82" s="74">
        <f>'Annual Raw'!J33+'Annual Raw'!J28</f>
        <v>6.4485999999999999</v>
      </c>
      <c r="J82" s="74">
        <f>'Annual Raw'!K33+'Annual Raw'!K28</f>
        <v>6.0347999999999997</v>
      </c>
      <c r="K82" s="74">
        <f>'Annual Raw'!L33+'Annual Raw'!L28</f>
        <v>6.7488000000000001</v>
      </c>
      <c r="L82" s="74">
        <f>'Annual Raw'!M33+'Annual Raw'!M28</f>
        <v>9.0411000000000001</v>
      </c>
      <c r="M82" s="74">
        <f>'Annual Raw'!N33+'Annual Raw'!N28</f>
        <v>8.9730000000000008</v>
      </c>
      <c r="N82" s="74">
        <f>'Annual Raw'!O33+'Annual Raw'!O28</f>
        <v>8.2989999999999995</v>
      </c>
      <c r="O82" s="74">
        <f>'Annual Raw'!P33+'Annual Raw'!P28</f>
        <v>9.641</v>
      </c>
      <c r="P82" s="74">
        <f>'Annual Raw'!Q33+'Annual Raw'!Q28</f>
        <v>6.6180000000000003</v>
      </c>
      <c r="Q82" s="74">
        <f>'Annual Raw'!R33+'Annual Raw'!R28</f>
        <v>4.6079999999999997</v>
      </c>
      <c r="R82" s="74">
        <f>'Annual Raw'!S33+'Annual Raw'!S28</f>
        <v>4.5810000000000004</v>
      </c>
      <c r="S82" s="74">
        <f>'Annual Raw'!T33+'Annual Raw'!T28</f>
        <v>5.1779999999999999</v>
      </c>
      <c r="T82" s="74">
        <f>'Annual Raw'!U33+'Annual Raw'!U28</f>
        <v>4.3170000000000002</v>
      </c>
      <c r="U82" s="74">
        <f>'Annual Raw'!V33+'Annual Raw'!V28</f>
        <v>5.415</v>
      </c>
      <c r="V82" s="74">
        <f>'Annual Raw'!W33+'Annual Raw'!W28</f>
        <v>5.3019999999999996</v>
      </c>
      <c r="W82" s="74">
        <f>'Annual Raw'!X33+'Annual Raw'!X28</f>
        <v>6.42</v>
      </c>
      <c r="X82" s="74">
        <f>'Annual Raw'!Y33+'Annual Raw'!Y28</f>
        <v>7.8230000000000004</v>
      </c>
      <c r="Y82" s="74">
        <f>'Annual Raw'!Z33+'Annual Raw'!Z28</f>
        <v>9.41</v>
      </c>
      <c r="Z82" s="74">
        <f>'Annual Raw'!AA33+'Annual Raw'!AA28</f>
        <v>13.406000000000001</v>
      </c>
      <c r="AA82" s="74">
        <f>'Annual Raw'!AB33+'Annual Raw'!AB28</f>
        <v>14.638</v>
      </c>
      <c r="AB82" s="75">
        <f t="shared" si="691"/>
        <v>12.8</v>
      </c>
      <c r="AC82" s="75">
        <f t="shared" si="692"/>
        <v>12.8</v>
      </c>
      <c r="AD82" s="75">
        <f t="shared" si="693"/>
        <v>12.8</v>
      </c>
      <c r="AE82" s="75">
        <f t="shared" si="694"/>
        <v>12.8</v>
      </c>
      <c r="AI82" s="74">
        <f>'QTR Raw'!C35</f>
        <v>0</v>
      </c>
      <c r="AJ82" s="74">
        <f>'QTR Raw'!D35</f>
        <v>0</v>
      </c>
      <c r="AK82" s="74">
        <f>'QTR Raw'!E35</f>
        <v>0</v>
      </c>
      <c r="AL82" s="74">
        <f>'QTR Raw'!F35</f>
        <v>0</v>
      </c>
      <c r="AM82" s="74">
        <f>'QTR Raw'!G35</f>
        <v>0</v>
      </c>
      <c r="AN82" s="74">
        <f>'QTR Raw'!H35</f>
        <v>0</v>
      </c>
      <c r="AO82" s="74">
        <f>'QTR Raw'!I35</f>
        <v>0</v>
      </c>
      <c r="AP82" s="74">
        <f>'QTR Raw'!J35</f>
        <v>0</v>
      </c>
      <c r="AQ82" s="74">
        <f>'QTR Raw'!K35</f>
        <v>0</v>
      </c>
      <c r="AR82" s="74">
        <f>'QTR Raw'!L35</f>
        <v>0</v>
      </c>
      <c r="AS82" s="74">
        <f>'QTR Raw'!M35</f>
        <v>0</v>
      </c>
      <c r="AT82" s="74">
        <f>'QTR Raw'!N35</f>
        <v>0</v>
      </c>
      <c r="AU82" s="74">
        <f>'QTR Raw'!O35</f>
        <v>0</v>
      </c>
      <c r="AV82" s="74">
        <f>'QTR Raw'!P35</f>
        <v>0</v>
      </c>
      <c r="AW82" s="74">
        <f>'QTR Raw'!Q35</f>
        <v>0</v>
      </c>
      <c r="AX82" s="74">
        <f>'QTR Raw'!R35</f>
        <v>0</v>
      </c>
      <c r="AY82" s="74">
        <f>'QTR Raw'!S35</f>
        <v>0</v>
      </c>
      <c r="AZ82" s="74">
        <f>'QTR Raw'!T35</f>
        <v>0</v>
      </c>
      <c r="BA82" s="74">
        <f>'QTR Raw'!U35</f>
        <v>0</v>
      </c>
      <c r="BB82" s="74">
        <f>'QTR Raw'!V35</f>
        <v>0</v>
      </c>
      <c r="BC82" s="74">
        <f>'QTR Raw'!W35</f>
        <v>0</v>
      </c>
      <c r="BD82" s="74">
        <f>'QTR Raw'!X35</f>
        <v>0</v>
      </c>
      <c r="BE82" s="74">
        <f>'QTR Raw'!Y35</f>
        <v>0</v>
      </c>
      <c r="BF82" s="74">
        <f>'QTR Raw'!Z35</f>
        <v>1.1000000000000001</v>
      </c>
      <c r="BG82" s="74">
        <f>'QTR Raw'!AA35</f>
        <v>0.9</v>
      </c>
      <c r="BH82" s="74">
        <f>'QTR Raw'!AB35</f>
        <v>0.9</v>
      </c>
      <c r="BI82" s="74">
        <f>'QTR Raw'!AC35</f>
        <v>1.4</v>
      </c>
      <c r="BJ82" s="74">
        <f>'QTR Raw'!AD35</f>
        <v>0.9</v>
      </c>
      <c r="BK82" s="74">
        <f>'QTR Raw'!AE35</f>
        <v>0.5</v>
      </c>
      <c r="BL82" s="74">
        <f>'QTR Raw'!AF35</f>
        <v>1.9</v>
      </c>
      <c r="BM82" s="74">
        <f>'QTR Raw'!AG35</f>
        <v>2.1</v>
      </c>
      <c r="BN82" s="74">
        <f>'QTR Raw'!AH35</f>
        <v>0.6</v>
      </c>
      <c r="BO82" s="74">
        <f>'QTR Raw'!AI35</f>
        <v>0.6</v>
      </c>
      <c r="BP82" s="74">
        <f>'QTR Raw'!AJ35</f>
        <v>1.7</v>
      </c>
      <c r="BQ82" s="74">
        <f>'QTR Raw'!AK35</f>
        <v>2.4</v>
      </c>
      <c r="BR82" s="74">
        <f>'QTR Raw'!AL35</f>
        <v>1.9</v>
      </c>
      <c r="BS82" s="74">
        <f>'QTR Raw'!AM35</f>
        <v>1.2</v>
      </c>
      <c r="BT82" s="74">
        <f>'QTR Raw'!AN35</f>
        <v>1.3</v>
      </c>
      <c r="BU82" s="74">
        <f>'QTR Raw'!AO35</f>
        <v>2</v>
      </c>
      <c r="BV82" s="74">
        <f>'QTR Raw'!AP35</f>
        <v>1.9</v>
      </c>
      <c r="BW82" s="74">
        <f>'QTR Raw'!AQ35</f>
        <v>2</v>
      </c>
      <c r="BX82" s="74">
        <f>'QTR Raw'!AR35</f>
        <v>1.7</v>
      </c>
      <c r="BY82" s="74">
        <f>'QTR Raw'!AS35</f>
        <v>2.2000000000000002</v>
      </c>
      <c r="BZ82" s="74">
        <f>'QTR Raw'!AT35</f>
        <v>1.2</v>
      </c>
      <c r="CA82" s="74">
        <f>'QTR Raw'!AU35</f>
        <v>2.7</v>
      </c>
      <c r="CB82" s="74">
        <f>'QTR Raw'!AV35</f>
        <v>2.7</v>
      </c>
      <c r="CC82" s="74">
        <f>'QTR Raw'!AW35</f>
        <v>2.8</v>
      </c>
      <c r="CD82" s="74">
        <f>'QTR Raw'!AX35</f>
        <v>2.1</v>
      </c>
      <c r="CE82" s="74">
        <f>'QTR Raw'!AY35</f>
        <v>3.9</v>
      </c>
      <c r="CF82" s="74">
        <f>'QTR Raw'!AZ35</f>
        <v>3.2</v>
      </c>
      <c r="CG82" s="74">
        <f>'QTR Raw'!BA35</f>
        <v>4.2</v>
      </c>
      <c r="CH82" s="74">
        <f>'QTR Raw'!BB35</f>
        <v>3.5</v>
      </c>
      <c r="CI82" s="74">
        <f>'QTR Raw'!BC35</f>
        <v>3.7</v>
      </c>
      <c r="CJ82" s="74">
        <f>'QTR Raw'!BD35</f>
        <v>3.3</v>
      </c>
      <c r="CK82" s="74">
        <f>'QTR Raw'!BE35</f>
        <v>4.0999999999999996</v>
      </c>
      <c r="CL82" s="74">
        <f>'QTR Raw'!BF35</f>
        <v>3.2</v>
      </c>
      <c r="CM82" s="75">
        <f t="shared" si="695"/>
        <v>3.2</v>
      </c>
      <c r="CN82" s="75">
        <f t="shared" si="696"/>
        <v>3.2</v>
      </c>
      <c r="CO82" s="75">
        <f t="shared" si="697"/>
        <v>3.2</v>
      </c>
      <c r="CP82" s="75">
        <f t="shared" si="698"/>
        <v>3.2</v>
      </c>
      <c r="CQ82" s="75">
        <f t="shared" si="699"/>
        <v>3.2</v>
      </c>
      <c r="CR82" s="75">
        <f t="shared" si="700"/>
        <v>3.2</v>
      </c>
      <c r="CS82" s="75">
        <f t="shared" si="701"/>
        <v>3.2</v>
      </c>
      <c r="CT82" s="75">
        <f t="shared" si="702"/>
        <v>3.2</v>
      </c>
      <c r="CU82" s="75">
        <f t="shared" si="703"/>
        <v>3.2</v>
      </c>
      <c r="CV82" s="75">
        <f t="shared" si="704"/>
        <v>3.2</v>
      </c>
      <c r="CW82" s="75">
        <f t="shared" si="705"/>
        <v>3.2</v>
      </c>
      <c r="CX82" s="75">
        <f t="shared" si="706"/>
        <v>3.2</v>
      </c>
      <c r="CY82" s="75">
        <f t="shared" si="707"/>
        <v>3.2</v>
      </c>
      <c r="CZ82" s="75">
        <f t="shared" si="708"/>
        <v>3.2</v>
      </c>
      <c r="DA82" s="75">
        <f t="shared" si="709"/>
        <v>3.2</v>
      </c>
      <c r="DD82" s="130"/>
      <c r="DE82" s="74">
        <v>14.6</v>
      </c>
    </row>
    <row r="83" spans="1:109" s="22" customFormat="1" x14ac:dyDescent="0.2">
      <c r="A83" s="22" t="s">
        <v>19</v>
      </c>
      <c r="B83" s="74">
        <f>'Annual Raw'!C29+'Annual Raw'!C31+'Annual Raw'!C34+'Annual Raw'!C36</f>
        <v>0</v>
      </c>
      <c r="C83" s="74">
        <f>'Annual Raw'!D29+'Annual Raw'!D31+'Annual Raw'!D34+'Annual Raw'!D36</f>
        <v>0</v>
      </c>
      <c r="D83" s="74">
        <f>'Annual Raw'!E29+'Annual Raw'!E31+'Annual Raw'!E34+'Annual Raw'!E36</f>
        <v>0</v>
      </c>
      <c r="E83" s="74">
        <f>'Annual Raw'!F29+'Annual Raw'!F31+'Annual Raw'!F34+'Annual Raw'!F36</f>
        <v>0</v>
      </c>
      <c r="F83" s="74">
        <f>'Annual Raw'!G29+'Annual Raw'!G31+'Annual Raw'!G34+'Annual Raw'!G36</f>
        <v>0</v>
      </c>
      <c r="G83" s="74">
        <f>'Annual Raw'!H29+'Annual Raw'!H31+'Annual Raw'!H34+'Annual Raw'!H36</f>
        <v>0</v>
      </c>
      <c r="H83" s="74">
        <f>'Annual Raw'!I29+'Annual Raw'!I31+'Annual Raw'!I34+'Annual Raw'!I36</f>
        <v>0</v>
      </c>
      <c r="I83" s="74">
        <f>'Annual Raw'!J29+'Annual Raw'!J31+'Annual Raw'!J34+'Annual Raw'!J36</f>
        <v>0</v>
      </c>
      <c r="J83" s="74">
        <f>'Annual Raw'!K29+'Annual Raw'!K31+'Annual Raw'!K34+'Annual Raw'!K36</f>
        <v>0</v>
      </c>
      <c r="K83" s="74">
        <f>'Annual Raw'!L29+'Annual Raw'!L31+'Annual Raw'!L34+'Annual Raw'!L36</f>
        <v>0</v>
      </c>
      <c r="L83" s="74">
        <f>'Annual Raw'!M29+'Annual Raw'!M31+'Annual Raw'!M34+'Annual Raw'!M36</f>
        <v>0</v>
      </c>
      <c r="M83" s="74">
        <f>'Annual Raw'!N29+'Annual Raw'!N31+'Annual Raw'!N34+'Annual Raw'!N36</f>
        <v>0</v>
      </c>
      <c r="N83" s="74">
        <f>'Annual Raw'!O29+'Annual Raw'!O31+'Annual Raw'!O34+'Annual Raw'!O36</f>
        <v>0</v>
      </c>
      <c r="O83" s="74">
        <f>'Annual Raw'!P29+'Annual Raw'!P31+'Annual Raw'!P34+'Annual Raw'!P36</f>
        <v>0</v>
      </c>
      <c r="P83" s="74">
        <f>'Annual Raw'!Q29+'Annual Raw'!Q31+'Annual Raw'!Q34+'Annual Raw'!Q36</f>
        <v>0</v>
      </c>
      <c r="Q83" s="74">
        <f>'Annual Raw'!R29+'Annual Raw'!R31+'Annual Raw'!R34+'Annual Raw'!R36</f>
        <v>0</v>
      </c>
      <c r="R83" s="74">
        <f>'Annual Raw'!S29+'Annual Raw'!S31+'Annual Raw'!S34+'Annual Raw'!S36</f>
        <v>0</v>
      </c>
      <c r="S83" s="74">
        <f>'Annual Raw'!T29+'Annual Raw'!T31+'Annual Raw'!T34+'Annual Raw'!T36</f>
        <v>0</v>
      </c>
      <c r="T83" s="74">
        <f>'Annual Raw'!U29+'Annual Raw'!U31+'Annual Raw'!U34+'Annual Raw'!U36</f>
        <v>0</v>
      </c>
      <c r="U83" s="74">
        <f>'Annual Raw'!V29+'Annual Raw'!V31+'Annual Raw'!V34+'Annual Raw'!V36</f>
        <v>12.742000000000001</v>
      </c>
      <c r="V83" s="74">
        <f>'Annual Raw'!W29+'Annual Raw'!W31+'Annual Raw'!W34+'Annual Raw'!W36</f>
        <v>0</v>
      </c>
      <c r="W83" s="74">
        <f>'Annual Raw'!X29+'Annual Raw'!X31+'Annual Raw'!X34+'Annual Raw'!X36</f>
        <v>0</v>
      </c>
      <c r="X83" s="74">
        <f>'Annual Raw'!Y29+'Annual Raw'!Y31+'Annual Raw'!Y34+'Annual Raw'!Y36</f>
        <v>0</v>
      </c>
      <c r="Y83" s="74">
        <f>'Annual Raw'!Z29+'Annual Raw'!Z31+'Annual Raw'!Z34+'Annual Raw'!Z36</f>
        <v>0</v>
      </c>
      <c r="Z83" s="74">
        <f>'Annual Raw'!AA29+'Annual Raw'!AA31+'Annual Raw'!AA34+'Annual Raw'!AA36</f>
        <v>0</v>
      </c>
      <c r="AA83" s="74">
        <f>'Annual Raw'!AB29+'Annual Raw'!AB31+'Annual Raw'!AB34+'Annual Raw'!AB36</f>
        <v>-25.547999999999998</v>
      </c>
      <c r="AB83" s="75">
        <f t="shared" si="691"/>
        <v>0</v>
      </c>
      <c r="AC83" s="75">
        <f t="shared" si="692"/>
        <v>0</v>
      </c>
      <c r="AD83" s="75">
        <f t="shared" si="693"/>
        <v>0</v>
      </c>
      <c r="AE83" s="75">
        <f t="shared" si="694"/>
        <v>0</v>
      </c>
      <c r="AI83" s="74">
        <f>'QTR Raw'!C26+'QTR Raw'!C31+'QTR Raw'!C32+'QTR Raw'!C33+'QTR Raw'!C36+'QTR Raw'!C37+'QTR Raw'!C39</f>
        <v>0</v>
      </c>
      <c r="AJ83" s="74">
        <f>'QTR Raw'!D26+'QTR Raw'!D31+'QTR Raw'!D32+'QTR Raw'!D33+'QTR Raw'!D36+'QTR Raw'!D37+'QTR Raw'!D39</f>
        <v>0</v>
      </c>
      <c r="AK83" s="74">
        <f>'QTR Raw'!E26+'QTR Raw'!E31+'QTR Raw'!E32+'QTR Raw'!E33+'QTR Raw'!E36+'QTR Raw'!E37+'QTR Raw'!E39</f>
        <v>0</v>
      </c>
      <c r="AL83" s="74">
        <f>'QTR Raw'!F26+'QTR Raw'!F31+'QTR Raw'!F32+'QTR Raw'!F33+'QTR Raw'!F36+'QTR Raw'!F37+'QTR Raw'!F39</f>
        <v>0</v>
      </c>
      <c r="AM83" s="74">
        <f>'QTR Raw'!G26+'QTR Raw'!G31+'QTR Raw'!G32+'QTR Raw'!G33+'QTR Raw'!G36+'QTR Raw'!G37+'QTR Raw'!G39</f>
        <v>0</v>
      </c>
      <c r="AN83" s="74">
        <f>'QTR Raw'!H26+'QTR Raw'!H31+'QTR Raw'!H32+'QTR Raw'!H33+'QTR Raw'!H36+'QTR Raw'!H37+'QTR Raw'!H39</f>
        <v>0</v>
      </c>
      <c r="AO83" s="74">
        <f>'QTR Raw'!I26+'QTR Raw'!I31+'QTR Raw'!I32+'QTR Raw'!I33+'QTR Raw'!I36+'QTR Raw'!I37+'QTR Raw'!I39</f>
        <v>0</v>
      </c>
      <c r="AP83" s="74">
        <f>'QTR Raw'!J26+'QTR Raw'!J31+'QTR Raw'!J32+'QTR Raw'!J33+'QTR Raw'!J36+'QTR Raw'!J37+'QTR Raw'!J39</f>
        <v>0</v>
      </c>
      <c r="AQ83" s="74">
        <f>'QTR Raw'!K26+'QTR Raw'!K31+'QTR Raw'!K32+'QTR Raw'!K33+'QTR Raw'!K36+'QTR Raw'!K37+'QTR Raw'!K39</f>
        <v>0</v>
      </c>
      <c r="AR83" s="74">
        <f>'QTR Raw'!L26+'QTR Raw'!L31+'QTR Raw'!L32+'QTR Raw'!L33+'QTR Raw'!L36+'QTR Raw'!L37+'QTR Raw'!L39</f>
        <v>0</v>
      </c>
      <c r="AS83" s="74">
        <f>'QTR Raw'!M26+'QTR Raw'!M31+'QTR Raw'!M32+'QTR Raw'!M33+'QTR Raw'!M36+'QTR Raw'!M37+'QTR Raw'!M39</f>
        <v>0</v>
      </c>
      <c r="AT83" s="74">
        <f>'QTR Raw'!N26+'QTR Raw'!N31+'QTR Raw'!N32+'QTR Raw'!N33+'QTR Raw'!N36+'QTR Raw'!N37+'QTR Raw'!N39</f>
        <v>0</v>
      </c>
      <c r="AU83" s="74">
        <f>'QTR Raw'!O26+'QTR Raw'!O31+'QTR Raw'!O32+'QTR Raw'!O33+'QTR Raw'!O36+'QTR Raw'!O37+'QTR Raw'!O39</f>
        <v>0</v>
      </c>
      <c r="AV83" s="74">
        <f>'QTR Raw'!P26+'QTR Raw'!P31+'QTR Raw'!P32+'QTR Raw'!P33+'QTR Raw'!P36+'QTR Raw'!P37+'QTR Raw'!P39</f>
        <v>0</v>
      </c>
      <c r="AW83" s="74">
        <f>'QTR Raw'!Q26+'QTR Raw'!Q31+'QTR Raw'!Q32+'QTR Raw'!Q33+'QTR Raw'!Q36+'QTR Raw'!Q37+'QTR Raw'!Q39</f>
        <v>0</v>
      </c>
      <c r="AX83" s="74">
        <f>'QTR Raw'!R26+'QTR Raw'!R31+'QTR Raw'!R32+'QTR Raw'!R33+'QTR Raw'!R36+'QTR Raw'!R37+'QTR Raw'!R39</f>
        <v>0</v>
      </c>
      <c r="AY83" s="74">
        <f>'QTR Raw'!S26+'QTR Raw'!S31+'QTR Raw'!S32+'QTR Raw'!S33+'QTR Raw'!S36+'QTR Raw'!S37+'QTR Raw'!S39</f>
        <v>0</v>
      </c>
      <c r="AZ83" s="74">
        <f>'QTR Raw'!T26+'QTR Raw'!T31+'QTR Raw'!T32+'QTR Raw'!T33+'QTR Raw'!T36+'QTR Raw'!T37+'QTR Raw'!T39</f>
        <v>0</v>
      </c>
      <c r="BA83" s="74">
        <f>'QTR Raw'!U26+'QTR Raw'!U31+'QTR Raw'!U32+'QTR Raw'!U33+'QTR Raw'!U36+'QTR Raw'!U37+'QTR Raw'!U39</f>
        <v>0</v>
      </c>
      <c r="BB83" s="74">
        <f>'QTR Raw'!V26+'QTR Raw'!V31+'QTR Raw'!V32+'QTR Raw'!V33+'QTR Raw'!V36+'QTR Raw'!V37+'QTR Raw'!V39</f>
        <v>0</v>
      </c>
      <c r="BC83" s="74">
        <f>'QTR Raw'!W26+'QTR Raw'!W31+'QTR Raw'!W32+'QTR Raw'!W33+'QTR Raw'!W36+'QTR Raw'!W37+'QTR Raw'!W39</f>
        <v>0</v>
      </c>
      <c r="BD83" s="74">
        <f>'QTR Raw'!X26+'QTR Raw'!X31+'QTR Raw'!X32+'QTR Raw'!X33+'QTR Raw'!X36+'QTR Raw'!X37+'QTR Raw'!X39</f>
        <v>0</v>
      </c>
      <c r="BE83" s="74">
        <f>'QTR Raw'!Y26+'QTR Raw'!Y31+'QTR Raw'!Y32+'QTR Raw'!Y33+'QTR Raw'!Y36+'QTR Raw'!Y37+'QTR Raw'!Y39</f>
        <v>0</v>
      </c>
      <c r="BF83" s="74">
        <f>'QTR Raw'!Z26+'QTR Raw'!Z31+'QTR Raw'!Z32+'QTR Raw'!Z33+'QTR Raw'!Z36+'QTR Raw'!Z37+'QTR Raw'!Z39</f>
        <v>0</v>
      </c>
      <c r="BG83" s="74">
        <f>'QTR Raw'!AA26+'QTR Raw'!AA31+'QTR Raw'!AA32+'QTR Raw'!AA33+'QTR Raw'!AA36+'QTR Raw'!AA37+'QTR Raw'!AA39</f>
        <v>0</v>
      </c>
      <c r="BH83" s="74">
        <f>'QTR Raw'!AB26+'QTR Raw'!AB31+'QTR Raw'!AB32+'QTR Raw'!AB33+'QTR Raw'!AB36+'QTR Raw'!AB37+'QTR Raw'!AB39</f>
        <v>0</v>
      </c>
      <c r="BI83" s="74">
        <f>'QTR Raw'!AC26+'QTR Raw'!AC31+'QTR Raw'!AC32+'QTR Raw'!AC33+'QTR Raw'!AC36+'QTR Raw'!AC37+'QTR Raw'!AC39</f>
        <v>0</v>
      </c>
      <c r="BJ83" s="74">
        <f>'QTR Raw'!AD26+'QTR Raw'!AD31+'QTR Raw'!AD32+'QTR Raw'!AD33+'QTR Raw'!AD36+'QTR Raw'!AD37+'QTR Raw'!AD39</f>
        <v>0</v>
      </c>
      <c r="BK83" s="74">
        <f>'QTR Raw'!AE26+'QTR Raw'!AE31+'QTR Raw'!AE32+'QTR Raw'!AE33+'QTR Raw'!AE36+'QTR Raw'!AE37+'QTR Raw'!AE39</f>
        <v>12.7</v>
      </c>
      <c r="BL83" s="74">
        <f>'QTR Raw'!AF26+'QTR Raw'!AF31+'QTR Raw'!AF32+'QTR Raw'!AF33+'QTR Raw'!AF36+'QTR Raw'!AF37+'QTR Raw'!AF39</f>
        <v>0</v>
      </c>
      <c r="BM83" s="74">
        <f>'QTR Raw'!AG26+'QTR Raw'!AG31+'QTR Raw'!AG32+'QTR Raw'!AG33+'QTR Raw'!AG36+'QTR Raw'!AG37+'QTR Raw'!AG39</f>
        <v>0</v>
      </c>
      <c r="BN83" s="74">
        <f>'QTR Raw'!AH26+'QTR Raw'!AH31+'QTR Raw'!AH32+'QTR Raw'!AH33+'QTR Raw'!AH36+'QTR Raw'!AH37+'QTR Raw'!AH39</f>
        <v>0</v>
      </c>
      <c r="BO83" s="74">
        <f>'QTR Raw'!AI26+'QTR Raw'!AI31+'QTR Raw'!AI32+'QTR Raw'!AI33+'QTR Raw'!AI36+'QTR Raw'!AI37+'QTR Raw'!AI39</f>
        <v>0</v>
      </c>
      <c r="BP83" s="74">
        <f>'QTR Raw'!AJ26+'QTR Raw'!AJ31+'QTR Raw'!AJ32+'QTR Raw'!AJ33+'QTR Raw'!AJ36+'QTR Raw'!AJ37+'QTR Raw'!AJ39</f>
        <v>0</v>
      </c>
      <c r="BQ83" s="74">
        <f>'QTR Raw'!AK26+'QTR Raw'!AK31+'QTR Raw'!AK32+'QTR Raw'!AK33+'QTR Raw'!AK36+'QTR Raw'!AK37+'QTR Raw'!AK39</f>
        <v>0</v>
      </c>
      <c r="BR83" s="74">
        <f>'QTR Raw'!AL26+'QTR Raw'!AL31+'QTR Raw'!AL32+'QTR Raw'!AL33+'QTR Raw'!AL36+'QTR Raw'!AL37+'QTR Raw'!AL39</f>
        <v>0</v>
      </c>
      <c r="BS83" s="74">
        <f>'QTR Raw'!AM26+'QTR Raw'!AM31+'QTR Raw'!AM32+'QTR Raw'!AM33+'QTR Raw'!AM36+'QTR Raw'!AM37+'QTR Raw'!AM39</f>
        <v>0</v>
      </c>
      <c r="BT83" s="74">
        <f>'QTR Raw'!AN26+'QTR Raw'!AN31+'QTR Raw'!AN32+'QTR Raw'!AN33+'QTR Raw'!AN36+'QTR Raw'!AN37+'QTR Raw'!AN39</f>
        <v>0</v>
      </c>
      <c r="BU83" s="74">
        <f>'QTR Raw'!AO26+'QTR Raw'!AO31+'QTR Raw'!AO32+'QTR Raw'!AO33+'QTR Raw'!AO36+'QTR Raw'!AO37+'QTR Raw'!AO39</f>
        <v>0</v>
      </c>
      <c r="BV83" s="74">
        <f>'QTR Raw'!AP26+'QTR Raw'!AP31+'QTR Raw'!AP32+'QTR Raw'!AP33+'QTR Raw'!AP36+'QTR Raw'!AP37+'QTR Raw'!AP39</f>
        <v>0</v>
      </c>
      <c r="BW83" s="74">
        <f>'QTR Raw'!AQ26+'QTR Raw'!AQ31+'QTR Raw'!AQ32+'QTR Raw'!AQ33+'QTR Raw'!AQ36+'QTR Raw'!AQ37+'QTR Raw'!AQ39</f>
        <v>0</v>
      </c>
      <c r="BX83" s="74">
        <f>'QTR Raw'!AR26+'QTR Raw'!AR31+'QTR Raw'!AR32+'QTR Raw'!AR33+'QTR Raw'!AR36+'QTR Raw'!AR37+'QTR Raw'!AR39</f>
        <v>0</v>
      </c>
      <c r="BY83" s="74">
        <f>'QTR Raw'!AS26+'QTR Raw'!AS31+'QTR Raw'!AS32+'QTR Raw'!AS33+'QTR Raw'!AS36+'QTR Raw'!AS37+'QTR Raw'!AS39</f>
        <v>0</v>
      </c>
      <c r="BZ83" s="74">
        <f>'QTR Raw'!AT26+'QTR Raw'!AT31+'QTR Raw'!AT32+'QTR Raw'!AT33+'QTR Raw'!AT36+'QTR Raw'!AT37+'QTR Raw'!AT39</f>
        <v>0</v>
      </c>
      <c r="CA83" s="74">
        <f>'QTR Raw'!AU26+'QTR Raw'!AU31+'QTR Raw'!AU32+'QTR Raw'!AU33+'QTR Raw'!AU36+'QTR Raw'!AU37+'QTR Raw'!AU39</f>
        <v>0</v>
      </c>
      <c r="CB83" s="74">
        <f>'QTR Raw'!AV26+'QTR Raw'!AV31+'QTR Raw'!AV32+'QTR Raw'!AV33+'QTR Raw'!AV36+'QTR Raw'!AV37+'QTR Raw'!AV39</f>
        <v>0</v>
      </c>
      <c r="CC83" s="74">
        <f>'QTR Raw'!AW26+'QTR Raw'!AW31+'QTR Raw'!AW32+'QTR Raw'!AW33+'QTR Raw'!AW36+'QTR Raw'!AW37+'QTR Raw'!AW39</f>
        <v>0</v>
      </c>
      <c r="CD83" s="74">
        <f>'QTR Raw'!AX26+'QTR Raw'!AX31+'QTR Raw'!AX32+'QTR Raw'!AX33+'QTR Raw'!AX36+'QTR Raw'!AX37+'QTR Raw'!AX39</f>
        <v>0</v>
      </c>
      <c r="CE83" s="74">
        <f>'QTR Raw'!AY26+'QTR Raw'!AY31+'QTR Raw'!AY32+'QTR Raw'!AY33+'QTR Raw'!AY36+'QTR Raw'!AY37+'QTR Raw'!AY39</f>
        <v>0</v>
      </c>
      <c r="CF83" s="74">
        <f>'QTR Raw'!AZ26+'QTR Raw'!AZ31+'QTR Raw'!AZ32+'QTR Raw'!AZ33+'QTR Raw'!AZ36+'QTR Raw'!AZ37+'QTR Raw'!AZ39</f>
        <v>0</v>
      </c>
      <c r="CG83" s="74">
        <f>'QTR Raw'!BA26+'QTR Raw'!BA31+'QTR Raw'!BA32+'QTR Raw'!BA33+'QTR Raw'!BA36+'QTR Raw'!BA37+'QTR Raw'!BA39</f>
        <v>0</v>
      </c>
      <c r="CH83" s="74">
        <f>'QTR Raw'!BB26+'QTR Raw'!BB31+'QTR Raw'!BB32+'QTR Raw'!BB33+'QTR Raw'!BB36+'QTR Raw'!BB37+'QTR Raw'!BB39</f>
        <v>0</v>
      </c>
      <c r="CI83" s="74">
        <f>'QTR Raw'!BC26+'QTR Raw'!BC31+'QTR Raw'!BC32+'QTR Raw'!BC33+'QTR Raw'!BC36+'QTR Raw'!BC37+'QTR Raw'!BC39</f>
        <v>0</v>
      </c>
      <c r="CJ83" s="74">
        <f>'QTR Raw'!BD26+'QTR Raw'!BD31+'QTR Raw'!BD32+'QTR Raw'!BD33+'QTR Raw'!BD36+'QTR Raw'!BD37+'QTR Raw'!BD39</f>
        <v>0</v>
      </c>
      <c r="CK83" s="74">
        <f>'QTR Raw'!BE26+'QTR Raw'!BE31+'QTR Raw'!BE32+'QTR Raw'!BE33+'QTR Raw'!BE36+'QTR Raw'!BE37+'QTR Raw'!BE39</f>
        <v>-25.5</v>
      </c>
      <c r="CL83" s="74">
        <f>'QTR Raw'!BF26+'QTR Raw'!BF31+'QTR Raw'!BF32+'QTR Raw'!BF33+'QTR Raw'!BF36+'QTR Raw'!BF37+'QTR Raw'!BF39</f>
        <v>0</v>
      </c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D83" s="122"/>
      <c r="DE83" s="22">
        <v>-25.5</v>
      </c>
    </row>
    <row r="84" spans="1:109" s="25" customFormat="1" x14ac:dyDescent="0.2">
      <c r="A84" s="34" t="s">
        <v>25</v>
      </c>
      <c r="B84" s="25">
        <f>B77+B81+B82+B83</f>
        <v>14.865800000000032</v>
      </c>
      <c r="C84" s="25">
        <f>C77+C81+C82+C83</f>
        <v>8.2816000000000063</v>
      </c>
      <c r="D84" s="25">
        <f>D77+D81+D82+D83</f>
        <v>11.79069999999998</v>
      </c>
      <c r="E84" s="25">
        <f t="shared" ref="E84:U84" si="710">E77+E81+E82+E83</f>
        <v>20.206699999999998</v>
      </c>
      <c r="F84" s="25">
        <f t="shared" si="710"/>
        <v>30.024999999999959</v>
      </c>
      <c r="G84" s="25">
        <f t="shared" si="710"/>
        <v>39.477399999999996</v>
      </c>
      <c r="H84" s="25">
        <f t="shared" si="710"/>
        <v>55.676600000000001</v>
      </c>
      <c r="I84" s="25">
        <f t="shared" si="710"/>
        <v>49.875499999999995</v>
      </c>
      <c r="J84" s="25">
        <f t="shared" si="710"/>
        <v>70.659399999999962</v>
      </c>
      <c r="K84" s="25">
        <f t="shared" si="710"/>
        <v>71.044200000000117</v>
      </c>
      <c r="L84" s="25">
        <f t="shared" si="710"/>
        <v>58.40220000000005</v>
      </c>
      <c r="M84" s="25">
        <f t="shared" si="710"/>
        <v>48.939999999999976</v>
      </c>
      <c r="N84" s="25">
        <f t="shared" si="710"/>
        <v>63.579000000000001</v>
      </c>
      <c r="O84" s="25">
        <f t="shared" si="710"/>
        <v>66.763999999999939</v>
      </c>
      <c r="P84" s="25">
        <f t="shared" si="710"/>
        <v>68.424000000000049</v>
      </c>
      <c r="Q84" s="25">
        <f t="shared" si="710"/>
        <v>68.731999999999971</v>
      </c>
      <c r="R84" s="25">
        <f t="shared" si="710"/>
        <v>68.524000000000029</v>
      </c>
      <c r="S84" s="25">
        <f t="shared" si="710"/>
        <v>70.884999999999991</v>
      </c>
      <c r="T84" s="25">
        <f t="shared" si="710"/>
        <v>71.607000000000085</v>
      </c>
      <c r="U84" s="25">
        <f t="shared" si="710"/>
        <v>100.73299999999982</v>
      </c>
      <c r="V84" s="25">
        <f t="shared" ref="V84:AA84" si="711">V77+V81+V82+V83</f>
        <v>93.783999999999907</v>
      </c>
      <c r="W84" s="25">
        <f t="shared" si="711"/>
        <v>149.38900000000001</v>
      </c>
      <c r="X84" s="25">
        <f t="shared" si="711"/>
        <v>182.74100000000001</v>
      </c>
      <c r="Y84" s="25">
        <f t="shared" si="711"/>
        <v>208.73299999999981</v>
      </c>
      <c r="Z84" s="25">
        <f t="shared" si="711"/>
        <v>247.47500000000053</v>
      </c>
      <c r="AA84" s="25">
        <f t="shared" si="711"/>
        <v>270.49400000000009</v>
      </c>
      <c r="AB84" s="26">
        <f t="shared" ref="AB84:AD84" si="712">AB77+AB81+AB82+AB83</f>
        <v>314.40823857701901</v>
      </c>
      <c r="AC84" s="26">
        <f t="shared" si="712"/>
        <v>360.20165372596574</v>
      </c>
      <c r="AD84" s="26">
        <f t="shared" si="712"/>
        <v>399.84099189892873</v>
      </c>
      <c r="AE84" s="26">
        <f t="shared" ref="AE84" si="713">AE77+AE81+AE82+AE83</f>
        <v>454.7419272616188</v>
      </c>
      <c r="AI84" s="25">
        <f t="shared" ref="AI84" si="714">AI77+AI81+AI82+AI83</f>
        <v>17.459999999999994</v>
      </c>
      <c r="AJ84" s="25">
        <f t="shared" ref="AJ84" si="715">AJ77+AJ81+AJ82+AJ83</f>
        <v>12.920000000000016</v>
      </c>
      <c r="AK84" s="25">
        <f t="shared" ref="AK84:AM84" si="716">AK77+AK81+AK82+AK83</f>
        <v>19.539999999999996</v>
      </c>
      <c r="AL84" s="25">
        <f t="shared" si="716"/>
        <v>15.61</v>
      </c>
      <c r="AM84" s="25">
        <f t="shared" si="716"/>
        <v>15.45999999999998</v>
      </c>
      <c r="AN84" s="25">
        <f t="shared" ref="AN84:AO84" si="717">AN77+AN81+AN82+AN83</f>
        <v>17.90000000000002</v>
      </c>
      <c r="AO84" s="25">
        <f t="shared" si="717"/>
        <v>10.79</v>
      </c>
      <c r="AP84" s="25">
        <f t="shared" ref="AP84:CD84" si="718">AP77+AP81+AP82+AP83</f>
        <v>15.13000000000001</v>
      </c>
      <c r="AQ84" s="25">
        <f t="shared" si="718"/>
        <v>22.450000000000003</v>
      </c>
      <c r="AR84" s="25">
        <f t="shared" si="718"/>
        <v>17.870000000000015</v>
      </c>
      <c r="AS84" s="25">
        <f t="shared" si="718"/>
        <v>9.9699999999999953</v>
      </c>
      <c r="AT84" s="25">
        <f t="shared" si="718"/>
        <v>6.4099999999999735</v>
      </c>
      <c r="AU84" s="25">
        <f t="shared" si="718"/>
        <v>22.21999999999997</v>
      </c>
      <c r="AV84" s="25">
        <f t="shared" si="718"/>
        <v>16.850000000000001</v>
      </c>
      <c r="AW84" s="25">
        <f t="shared" si="718"/>
        <v>24.349999999999966</v>
      </c>
      <c r="AX84" s="25">
        <f t="shared" si="718"/>
        <v>16.850000000000009</v>
      </c>
      <c r="AY84" s="25">
        <f t="shared" si="718"/>
        <v>17.230000000000011</v>
      </c>
      <c r="AZ84" s="25">
        <f t="shared" si="718"/>
        <v>8.670000000000007</v>
      </c>
      <c r="BA84" s="25">
        <f t="shared" si="718"/>
        <v>22.590000000000003</v>
      </c>
      <c r="BB84" s="25">
        <f t="shared" si="718"/>
        <v>13.300000000000008</v>
      </c>
      <c r="BC84" s="25">
        <f t="shared" si="718"/>
        <v>15.299999999999986</v>
      </c>
      <c r="BD84" s="25">
        <f t="shared" si="718"/>
        <v>11.599999999999996</v>
      </c>
      <c r="BE84" s="25">
        <f t="shared" si="718"/>
        <v>27.39999999999997</v>
      </c>
      <c r="BF84" s="25">
        <f t="shared" si="718"/>
        <v>12.500000000000014</v>
      </c>
      <c r="BG84" s="25">
        <f t="shared" si="718"/>
        <v>15.399999999999979</v>
      </c>
      <c r="BH84" s="25">
        <f t="shared" si="718"/>
        <v>16.999999999999993</v>
      </c>
      <c r="BI84" s="25">
        <f t="shared" si="718"/>
        <v>26.700000000000024</v>
      </c>
      <c r="BJ84" s="25">
        <f t="shared" si="718"/>
        <v>16.599999999999959</v>
      </c>
      <c r="BK84" s="25">
        <f t="shared" si="718"/>
        <v>25.79999999999999</v>
      </c>
      <c r="BL84" s="25">
        <f t="shared" si="718"/>
        <v>25.700000000000017</v>
      </c>
      <c r="BM84" s="25">
        <f t="shared" si="718"/>
        <v>32.6</v>
      </c>
      <c r="BN84" s="25">
        <f t="shared" si="718"/>
        <v>10.900000000000011</v>
      </c>
      <c r="BO84" s="25">
        <f t="shared" si="718"/>
        <v>8.2000000000000082</v>
      </c>
      <c r="BP84" s="25">
        <f t="shared" si="718"/>
        <v>42.7</v>
      </c>
      <c r="BQ84" s="25">
        <f t="shared" si="718"/>
        <v>31.999999999999986</v>
      </c>
      <c r="BR84" s="25">
        <f t="shared" si="718"/>
        <v>43.900000000000006</v>
      </c>
      <c r="BS84" s="25">
        <f t="shared" si="718"/>
        <v>27.200000000000028</v>
      </c>
      <c r="BT84" s="25">
        <f t="shared" si="718"/>
        <v>38.900000000000041</v>
      </c>
      <c r="BU84" s="25">
        <f t="shared" si="718"/>
        <v>39.400000000000034</v>
      </c>
      <c r="BV84" s="25">
        <f t="shared" si="718"/>
        <v>40.399999999999984</v>
      </c>
      <c r="BW84" s="25">
        <f t="shared" si="718"/>
        <v>47.399999999999963</v>
      </c>
      <c r="BX84" s="25">
        <f t="shared" si="718"/>
        <v>39.000000000000028</v>
      </c>
      <c r="BY84" s="25">
        <f t="shared" si="718"/>
        <v>55.899999999999991</v>
      </c>
      <c r="BZ84" s="25">
        <f t="shared" si="718"/>
        <v>40.899999999999991</v>
      </c>
      <c r="CA84" s="25">
        <f t="shared" si="718"/>
        <v>62.799999999999983</v>
      </c>
      <c r="CB84" s="25">
        <f t="shared" si="718"/>
        <v>50.100000000000072</v>
      </c>
      <c r="CC84" s="25">
        <f t="shared" si="718"/>
        <v>54.900000000000013</v>
      </c>
      <c r="CD84" s="25">
        <f t="shared" si="718"/>
        <v>44.600000000000037</v>
      </c>
      <c r="CE84" s="25">
        <f t="shared" ref="CE84:CF84" si="719">CE77+CE81+CE82+CE83</f>
        <v>68.09999999999998</v>
      </c>
      <c r="CF84" s="25">
        <f t="shared" si="719"/>
        <v>61.699999999999967</v>
      </c>
      <c r="CG84" s="25">
        <f t="shared" ref="CG84:CH84" si="720">CG77+CG81+CG82+CG83</f>
        <v>73.09999999999998</v>
      </c>
      <c r="CH84" s="25">
        <f t="shared" si="720"/>
        <v>51.600000000000044</v>
      </c>
      <c r="CI84" s="25">
        <f t="shared" ref="CI84:CJ84" si="721">CI77+CI81+CI82+CI83</f>
        <v>70.400000000000063</v>
      </c>
      <c r="CJ84" s="25">
        <f t="shared" si="721"/>
        <v>67.500000000000071</v>
      </c>
      <c r="CK84" s="25">
        <f t="shared" ref="CK84:CL84" si="722">CK77+CK81+CK82+CK83</f>
        <v>80.999999999999986</v>
      </c>
      <c r="CL84" s="25">
        <f t="shared" si="722"/>
        <v>39.799999999999955</v>
      </c>
      <c r="CM84" s="26">
        <f t="shared" ref="CM84:DA84" si="723">CM77+CM81+CM82+CM83</f>
        <v>91.974566898787458</v>
      </c>
      <c r="CN84" s="26">
        <f t="shared" si="723"/>
        <v>75.189390144635979</v>
      </c>
      <c r="CO84" s="26">
        <f t="shared" si="723"/>
        <v>107.444281533596</v>
      </c>
      <c r="CP84" s="26">
        <f t="shared" si="723"/>
        <v>52.942927905916704</v>
      </c>
      <c r="CQ84" s="26">
        <f t="shared" si="723"/>
        <v>100.16846568698912</v>
      </c>
      <c r="CR84" s="26">
        <f t="shared" si="723"/>
        <v>84.88448089169006</v>
      </c>
      <c r="CS84" s="26">
        <f t="shared" si="723"/>
        <v>122.20577924137017</v>
      </c>
      <c r="CT84" s="26">
        <f t="shared" si="723"/>
        <v>59.799204967079575</v>
      </c>
      <c r="CU84" s="26">
        <f t="shared" si="723"/>
        <v>110.83204846487688</v>
      </c>
      <c r="CV84" s="26">
        <f t="shared" si="723"/>
        <v>93.893430388836904</v>
      </c>
      <c r="CW84" s="26">
        <f t="shared" si="723"/>
        <v>135.31630807813497</v>
      </c>
      <c r="CX84" s="26">
        <f t="shared" si="723"/>
        <v>69.388266367576733</v>
      </c>
      <c r="CY84" s="26">
        <f t="shared" si="723"/>
        <v>125.54077905790358</v>
      </c>
      <c r="CZ84" s="26">
        <f t="shared" si="723"/>
        <v>107.03987359660783</v>
      </c>
      <c r="DA84" s="26">
        <f t="shared" si="723"/>
        <v>152.77300823953041</v>
      </c>
      <c r="DD84" s="120"/>
      <c r="DE84" s="25">
        <v>270.49999999999966</v>
      </c>
    </row>
    <row r="85" spans="1:109" s="24" customFormat="1" x14ac:dyDescent="0.2">
      <c r="A85" s="150" t="s">
        <v>487</v>
      </c>
      <c r="AB85" s="16"/>
      <c r="AC85" s="16"/>
      <c r="AD85" s="16"/>
      <c r="AE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D85" s="118"/>
    </row>
    <row r="86" spans="1:109" s="1" customFormat="1" x14ac:dyDescent="0.2">
      <c r="A86" s="1" t="s">
        <v>485</v>
      </c>
      <c r="AB86" s="19"/>
      <c r="AC86" s="19"/>
      <c r="AD86" s="19"/>
      <c r="AE86" s="19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D86" s="118"/>
    </row>
    <row r="87" spans="1:109" s="21" customFormat="1" x14ac:dyDescent="0.2">
      <c r="A87" s="21" t="s">
        <v>434</v>
      </c>
      <c r="B87" s="21">
        <f>'Annual Raw'!C35</f>
        <v>14.8658</v>
      </c>
      <c r="C87" s="21">
        <f>'Annual Raw'!D35</f>
        <v>8.2815999999999992</v>
      </c>
      <c r="D87" s="21">
        <f>'Annual Raw'!E35</f>
        <v>11.790699999999999</v>
      </c>
      <c r="E87" s="21">
        <f>'Annual Raw'!F35</f>
        <v>20.206700000000001</v>
      </c>
      <c r="F87" s="21">
        <f>'Annual Raw'!G35</f>
        <v>30.024999999999999</v>
      </c>
      <c r="G87" s="21">
        <f>'Annual Raw'!H35</f>
        <v>39.477400000000003</v>
      </c>
      <c r="H87" s="21">
        <f>'Annual Raw'!I35</f>
        <v>55.676600000000001</v>
      </c>
      <c r="I87" s="21">
        <f>'Annual Raw'!J35</f>
        <v>49.875500000000002</v>
      </c>
      <c r="J87" s="21">
        <f>'Annual Raw'!K35</f>
        <v>70.659400000000005</v>
      </c>
      <c r="K87" s="21">
        <f>'Annual Raw'!L35</f>
        <v>71.044200000000004</v>
      </c>
      <c r="L87" s="21">
        <f>'Annual Raw'!M35</f>
        <v>58.402200000000001</v>
      </c>
      <c r="M87" s="21">
        <f>'Annual Raw'!N35</f>
        <v>48.94</v>
      </c>
      <c r="N87" s="21">
        <f>'Annual Raw'!O35</f>
        <v>63.579000000000001</v>
      </c>
      <c r="O87" s="21">
        <f>'Annual Raw'!P35</f>
        <v>66.763999999999996</v>
      </c>
      <c r="P87" s="21">
        <f>'Annual Raw'!Q35</f>
        <v>68.424000000000007</v>
      </c>
      <c r="Q87" s="21">
        <f>'Annual Raw'!R35</f>
        <v>68.731999999999999</v>
      </c>
      <c r="R87" s="21">
        <f>'Annual Raw'!S35</f>
        <v>68.524000000000001</v>
      </c>
      <c r="S87" s="21">
        <f>'Annual Raw'!T35</f>
        <v>70.885000000000005</v>
      </c>
      <c r="T87" s="21">
        <f>'Annual Raw'!U35</f>
        <v>71.606999999999999</v>
      </c>
      <c r="U87" s="21">
        <f>'Annual Raw'!V35</f>
        <v>100.733</v>
      </c>
      <c r="V87" s="21">
        <f>'Annual Raw'!W35</f>
        <v>93.784000000000006</v>
      </c>
      <c r="W87" s="21">
        <f>'Annual Raw'!X35</f>
        <v>149.38900000000001</v>
      </c>
      <c r="X87" s="21">
        <f>'Annual Raw'!Y35</f>
        <v>182.74100000000001</v>
      </c>
      <c r="Y87" s="21">
        <f>'Annual Raw'!Z35</f>
        <v>208.733</v>
      </c>
      <c r="Z87" s="21">
        <f>'Annual Raw'!AA35</f>
        <v>247.47499999999999</v>
      </c>
      <c r="AA87" s="21">
        <f>'Annual Raw'!AB35</f>
        <v>270.49400000000003</v>
      </c>
      <c r="AB87" s="20">
        <f t="shared" ref="AB87:AD87" si="724">+AB84</f>
        <v>314.40823857701901</v>
      </c>
      <c r="AC87" s="20">
        <f t="shared" si="724"/>
        <v>360.20165372596574</v>
      </c>
      <c r="AD87" s="20">
        <f t="shared" si="724"/>
        <v>399.84099189892873</v>
      </c>
      <c r="AE87" s="20">
        <f t="shared" ref="AE87" si="725">+AE84</f>
        <v>454.7419272616188</v>
      </c>
      <c r="AI87" s="21">
        <f>'QTR Raw'!C42</f>
        <v>17.46</v>
      </c>
      <c r="AJ87" s="21">
        <f>'QTR Raw'!D42</f>
        <v>12.92</v>
      </c>
      <c r="AK87" s="21">
        <f>'QTR Raw'!E42</f>
        <v>19.54</v>
      </c>
      <c r="AL87" s="21">
        <f>'QTR Raw'!F42</f>
        <v>15.61</v>
      </c>
      <c r="AM87" s="21">
        <f>'QTR Raw'!G42</f>
        <v>15.46</v>
      </c>
      <c r="AN87" s="21">
        <f>'QTR Raw'!H42</f>
        <v>17.899999999999999</v>
      </c>
      <c r="AO87" s="21">
        <f>'QTR Raw'!I42</f>
        <v>10.79</v>
      </c>
      <c r="AP87" s="21">
        <f>'QTR Raw'!J42</f>
        <v>15.13</v>
      </c>
      <c r="AQ87" s="21">
        <f>'QTR Raw'!K42</f>
        <v>22.45</v>
      </c>
      <c r="AR87" s="21">
        <f>'QTR Raw'!L42</f>
        <v>17.87</v>
      </c>
      <c r="AS87" s="21">
        <f>'QTR Raw'!M42</f>
        <v>9.9700000000000006</v>
      </c>
      <c r="AT87" s="21">
        <f>'QTR Raw'!N42</f>
        <v>6.41</v>
      </c>
      <c r="AU87" s="21">
        <f>'QTR Raw'!O42</f>
        <v>22.22</v>
      </c>
      <c r="AV87" s="21">
        <f>'QTR Raw'!P42</f>
        <v>16.850000000000001</v>
      </c>
      <c r="AW87" s="21">
        <f>'QTR Raw'!Q42</f>
        <v>24.35</v>
      </c>
      <c r="AX87" s="21">
        <f>'QTR Raw'!R42</f>
        <v>16.850000000000001</v>
      </c>
      <c r="AY87" s="21">
        <f>'QTR Raw'!S42</f>
        <v>17.23</v>
      </c>
      <c r="AZ87" s="21">
        <f>'QTR Raw'!T42</f>
        <v>8.67</v>
      </c>
      <c r="BA87" s="21">
        <f>'QTR Raw'!U42</f>
        <v>22.59</v>
      </c>
      <c r="BB87" s="21">
        <f>'QTR Raw'!V42</f>
        <v>13.3</v>
      </c>
      <c r="BC87" s="21">
        <f>'QTR Raw'!W42</f>
        <v>15.3</v>
      </c>
      <c r="BD87" s="21">
        <f>'QTR Raw'!X42</f>
        <v>11.6</v>
      </c>
      <c r="BE87" s="21">
        <f>'QTR Raw'!Y42</f>
        <v>27.4</v>
      </c>
      <c r="BF87" s="21">
        <f>'QTR Raw'!Z42</f>
        <v>12.5</v>
      </c>
      <c r="BG87" s="21">
        <f>'QTR Raw'!AA42</f>
        <v>15.4</v>
      </c>
      <c r="BH87" s="21">
        <f>'QTR Raw'!AB42</f>
        <v>17</v>
      </c>
      <c r="BI87" s="21">
        <f>'QTR Raw'!AC42</f>
        <v>26.7</v>
      </c>
      <c r="BJ87" s="21">
        <f>'QTR Raw'!AD42</f>
        <v>16.600000000000001</v>
      </c>
      <c r="BK87" s="21">
        <f>'QTR Raw'!AE42</f>
        <v>25.8</v>
      </c>
      <c r="BL87" s="21">
        <f>'QTR Raw'!AF42</f>
        <v>25.7</v>
      </c>
      <c r="BM87" s="21">
        <f>'QTR Raw'!AG42</f>
        <v>32.6</v>
      </c>
      <c r="BN87" s="21">
        <f>'QTR Raw'!AH42</f>
        <v>10.9</v>
      </c>
      <c r="BO87" s="21">
        <f>'QTR Raw'!AI42</f>
        <v>8.1999999999999993</v>
      </c>
      <c r="BP87" s="21">
        <f>'QTR Raw'!AJ42</f>
        <v>42.7</v>
      </c>
      <c r="BQ87" s="21">
        <f>'QTR Raw'!AK42</f>
        <v>32</v>
      </c>
      <c r="BR87" s="21">
        <f>'QTR Raw'!AL42</f>
        <v>43.9</v>
      </c>
      <c r="BS87" s="21">
        <f>'QTR Raw'!AM42</f>
        <v>27.2</v>
      </c>
      <c r="BT87" s="21">
        <f>'QTR Raw'!AN42</f>
        <v>38.9</v>
      </c>
      <c r="BU87" s="21">
        <f>'QTR Raw'!AO42</f>
        <v>39.4</v>
      </c>
      <c r="BV87" s="21">
        <f>'QTR Raw'!AP42</f>
        <v>40.4</v>
      </c>
      <c r="BW87" s="21">
        <f>'QTR Raw'!AQ42</f>
        <v>47.4</v>
      </c>
      <c r="BX87" s="21">
        <f>'QTR Raw'!AR42</f>
        <v>39</v>
      </c>
      <c r="BY87" s="21">
        <f>'QTR Raw'!AS42</f>
        <v>55.9</v>
      </c>
      <c r="BZ87" s="21">
        <f>'QTR Raw'!AT42</f>
        <v>40.9</v>
      </c>
      <c r="CA87" s="21">
        <f>'QTR Raw'!AU42</f>
        <v>62.8</v>
      </c>
      <c r="CB87" s="21">
        <f>'QTR Raw'!AV42</f>
        <v>50.1</v>
      </c>
      <c r="CC87" s="21">
        <f>'QTR Raw'!AW42</f>
        <v>54.9</v>
      </c>
      <c r="CD87" s="21">
        <f>'QTR Raw'!AX42</f>
        <v>44.6</v>
      </c>
      <c r="CE87" s="21">
        <f>'QTR Raw'!AY42</f>
        <v>68.099999999999994</v>
      </c>
      <c r="CF87" s="21">
        <f>'QTR Raw'!AZ42</f>
        <v>61.7</v>
      </c>
      <c r="CG87" s="21">
        <f>'QTR Raw'!BA42</f>
        <v>73.099999999999994</v>
      </c>
      <c r="CH87" s="21">
        <f>'QTR Raw'!BB42</f>
        <v>51.6</v>
      </c>
      <c r="CI87" s="21">
        <f>'QTR Raw'!BC42</f>
        <v>70.400000000000006</v>
      </c>
      <c r="CJ87" s="21">
        <f>'QTR Raw'!BD42</f>
        <v>67.5</v>
      </c>
      <c r="CK87" s="21">
        <f>'QTR Raw'!BE42</f>
        <v>81</v>
      </c>
      <c r="CL87" s="21">
        <f>'QTR Raw'!BF42</f>
        <v>39.799999999999997</v>
      </c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D87" s="118"/>
      <c r="DE87" s="21">
        <v>270.49999999999966</v>
      </c>
    </row>
    <row r="88" spans="1:109" s="24" customFormat="1" x14ac:dyDescent="0.2">
      <c r="A88" s="35" t="s">
        <v>435</v>
      </c>
      <c r="B88" s="24">
        <f t="shared" ref="B88:V88" si="726">B87-B84</f>
        <v>-3.1974423109204508E-14</v>
      </c>
      <c r="C88" s="24">
        <f>C87-C84</f>
        <v>0</v>
      </c>
      <c r="D88" s="24">
        <f t="shared" si="726"/>
        <v>1.9539925233402755E-14</v>
      </c>
      <c r="E88" s="24">
        <f t="shared" si="726"/>
        <v>0</v>
      </c>
      <c r="F88" s="24">
        <f t="shared" si="726"/>
        <v>3.907985046680551E-14</v>
      </c>
      <c r="G88" s="24">
        <f t="shared" si="726"/>
        <v>0</v>
      </c>
      <c r="H88" s="24">
        <f t="shared" si="726"/>
        <v>0</v>
      </c>
      <c r="I88" s="24">
        <f t="shared" si="726"/>
        <v>0</v>
      </c>
      <c r="J88" s="24">
        <f t="shared" si="726"/>
        <v>0</v>
      </c>
      <c r="K88" s="24">
        <f t="shared" si="726"/>
        <v>-1.1368683772161603E-13</v>
      </c>
      <c r="L88" s="24">
        <f t="shared" si="726"/>
        <v>0</v>
      </c>
      <c r="M88" s="24">
        <f t="shared" si="726"/>
        <v>0</v>
      </c>
      <c r="N88" s="24">
        <f t="shared" si="726"/>
        <v>0</v>
      </c>
      <c r="O88" s="24">
        <f t="shared" si="726"/>
        <v>0</v>
      </c>
      <c r="P88" s="24">
        <f t="shared" si="726"/>
        <v>0</v>
      </c>
      <c r="Q88" s="24">
        <f t="shared" si="726"/>
        <v>0</v>
      </c>
      <c r="R88" s="24">
        <f t="shared" si="726"/>
        <v>0</v>
      </c>
      <c r="S88" s="24">
        <f t="shared" si="726"/>
        <v>0</v>
      </c>
      <c r="T88" s="24">
        <f t="shared" si="726"/>
        <v>0</v>
      </c>
      <c r="U88" s="24">
        <f t="shared" si="726"/>
        <v>1.8474111129762605E-13</v>
      </c>
      <c r="V88" s="24">
        <f t="shared" si="726"/>
        <v>0</v>
      </c>
      <c r="W88" s="24">
        <f t="shared" ref="W88" si="727">W87-W84</f>
        <v>0</v>
      </c>
      <c r="X88" s="24">
        <f t="shared" ref="X88:Y88" si="728">X87-X84</f>
        <v>0</v>
      </c>
      <c r="Y88" s="24">
        <f t="shared" si="728"/>
        <v>0</v>
      </c>
      <c r="Z88" s="24">
        <f t="shared" ref="Z88:AA88" si="729">Z87-Z84</f>
        <v>-5.4001247917767614E-13</v>
      </c>
      <c r="AA88" s="24">
        <f t="shared" ref="AA88" si="730">AA87-AA84</f>
        <v>0</v>
      </c>
      <c r="AB88" s="16">
        <f t="shared" ref="AB88:AD88" si="731">AB87-AB84</f>
        <v>0</v>
      </c>
      <c r="AC88" s="16">
        <f t="shared" si="731"/>
        <v>0</v>
      </c>
      <c r="AD88" s="16">
        <f t="shared" si="731"/>
        <v>0</v>
      </c>
      <c r="AE88" s="16">
        <f t="shared" ref="AE88" si="732">AE87-AE84</f>
        <v>0</v>
      </c>
      <c r="AI88" s="24">
        <f t="shared" ref="AI88" si="733">AI87-AI84</f>
        <v>0</v>
      </c>
      <c r="AJ88" s="24">
        <f t="shared" ref="AJ88" si="734">AJ87-AJ84</f>
        <v>-1.5987211554602254E-14</v>
      </c>
      <c r="AK88" s="24">
        <f t="shared" ref="AK88:AM88" si="735">AK87-AK84</f>
        <v>0</v>
      </c>
      <c r="AL88" s="24">
        <f t="shared" si="735"/>
        <v>0</v>
      </c>
      <c r="AM88" s="24">
        <f t="shared" si="735"/>
        <v>2.1316282072803006E-14</v>
      </c>
      <c r="AN88" s="24">
        <f t="shared" ref="AN88:AO88" si="736">AN87-AN84</f>
        <v>0</v>
      </c>
      <c r="AO88" s="24">
        <f t="shared" si="736"/>
        <v>0</v>
      </c>
      <c r="AP88" s="24">
        <f t="shared" ref="AP88:CD88" si="737">AP87-AP84</f>
        <v>0</v>
      </c>
      <c r="AQ88" s="24">
        <f t="shared" si="737"/>
        <v>0</v>
      </c>
      <c r="AR88" s="24">
        <f t="shared" si="737"/>
        <v>0</v>
      </c>
      <c r="AS88" s="24">
        <f t="shared" si="737"/>
        <v>0</v>
      </c>
      <c r="AT88" s="24">
        <f t="shared" si="737"/>
        <v>2.6645352591003757E-14</v>
      </c>
      <c r="AU88" s="24">
        <f t="shared" si="737"/>
        <v>2.8421709430404007E-14</v>
      </c>
      <c r="AV88" s="24">
        <f t="shared" si="737"/>
        <v>0</v>
      </c>
      <c r="AW88" s="24">
        <f t="shared" si="737"/>
        <v>3.5527136788005009E-14</v>
      </c>
      <c r="AX88" s="24">
        <f t="shared" si="737"/>
        <v>0</v>
      </c>
      <c r="AY88" s="24">
        <f t="shared" si="737"/>
        <v>0</v>
      </c>
      <c r="AZ88" s="24">
        <f t="shared" si="737"/>
        <v>0</v>
      </c>
      <c r="BA88" s="24">
        <f t="shared" si="737"/>
        <v>0</v>
      </c>
      <c r="BB88" s="24">
        <f t="shared" si="737"/>
        <v>0</v>
      </c>
      <c r="BC88" s="24">
        <f t="shared" si="737"/>
        <v>1.4210854715202004E-14</v>
      </c>
      <c r="BD88" s="24">
        <f t="shared" si="737"/>
        <v>0</v>
      </c>
      <c r="BE88" s="24">
        <f t="shared" si="737"/>
        <v>2.8421709430404007E-14</v>
      </c>
      <c r="BF88" s="24">
        <f t="shared" si="737"/>
        <v>-1.4210854715202004E-14</v>
      </c>
      <c r="BG88" s="24">
        <f t="shared" si="737"/>
        <v>2.1316282072803006E-14</v>
      </c>
      <c r="BH88" s="24">
        <f t="shared" si="737"/>
        <v>0</v>
      </c>
      <c r="BI88" s="24">
        <f t="shared" si="737"/>
        <v>0</v>
      </c>
      <c r="BJ88" s="24">
        <f t="shared" si="737"/>
        <v>4.2632564145606011E-14</v>
      </c>
      <c r="BK88" s="24">
        <f t="shared" si="737"/>
        <v>0</v>
      </c>
      <c r="BL88" s="24">
        <f t="shared" si="737"/>
        <v>0</v>
      </c>
      <c r="BM88" s="24">
        <f t="shared" si="737"/>
        <v>0</v>
      </c>
      <c r="BN88" s="24">
        <f t="shared" si="737"/>
        <v>0</v>
      </c>
      <c r="BO88" s="24">
        <f t="shared" si="737"/>
        <v>0</v>
      </c>
      <c r="BP88" s="24">
        <f t="shared" si="737"/>
        <v>0</v>
      </c>
      <c r="BQ88" s="24">
        <f t="shared" si="737"/>
        <v>0</v>
      </c>
      <c r="BR88" s="24">
        <f t="shared" si="737"/>
        <v>0</v>
      </c>
      <c r="BS88" s="24">
        <f t="shared" si="737"/>
        <v>-2.8421709430404007E-14</v>
      </c>
      <c r="BT88" s="24">
        <f t="shared" si="737"/>
        <v>0</v>
      </c>
      <c r="BU88" s="24">
        <f t="shared" si="737"/>
        <v>0</v>
      </c>
      <c r="BV88" s="24">
        <f t="shared" si="737"/>
        <v>0</v>
      </c>
      <c r="BW88" s="24">
        <f t="shared" si="737"/>
        <v>0</v>
      </c>
      <c r="BX88" s="24">
        <f t="shared" si="737"/>
        <v>0</v>
      </c>
      <c r="BY88" s="24">
        <f t="shared" si="737"/>
        <v>0</v>
      </c>
      <c r="BZ88" s="24">
        <f t="shared" si="737"/>
        <v>0</v>
      </c>
      <c r="CA88" s="24">
        <f t="shared" si="737"/>
        <v>0</v>
      </c>
      <c r="CB88" s="24">
        <f t="shared" si="737"/>
        <v>-7.1054273576010019E-14</v>
      </c>
      <c r="CC88" s="24">
        <f t="shared" si="737"/>
        <v>0</v>
      </c>
      <c r="CD88" s="24">
        <f t="shared" si="737"/>
        <v>0</v>
      </c>
      <c r="CE88" s="24">
        <f t="shared" ref="CE88:CF88" si="738">CE87-CE84</f>
        <v>0</v>
      </c>
      <c r="CF88" s="24">
        <f t="shared" si="738"/>
        <v>0</v>
      </c>
      <c r="CG88" s="24">
        <f t="shared" ref="CG88:CH88" si="739">CG87-CG84</f>
        <v>0</v>
      </c>
      <c r="CH88" s="24">
        <f t="shared" si="739"/>
        <v>0</v>
      </c>
      <c r="CI88" s="24">
        <f t="shared" ref="CI88:CJ88" si="740">CI87-CI84</f>
        <v>0</v>
      </c>
      <c r="CJ88" s="24">
        <f t="shared" si="740"/>
        <v>0</v>
      </c>
      <c r="CK88" s="24">
        <f t="shared" ref="CK88:CL88" si="741">CK87-CK84</f>
        <v>0</v>
      </c>
      <c r="CL88" s="24">
        <f t="shared" si="741"/>
        <v>0</v>
      </c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D88" s="118"/>
      <c r="DE88" s="24">
        <v>0</v>
      </c>
    </row>
    <row r="89" spans="1:109" s="1" customFormat="1" x14ac:dyDescent="0.2">
      <c r="A89" s="149" t="s">
        <v>488</v>
      </c>
      <c r="AB89" s="19"/>
      <c r="AC89" s="19"/>
      <c r="AD89" s="19"/>
      <c r="AE89" s="19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D89" s="118"/>
    </row>
    <row r="90" spans="1:109" s="37" customFormat="1" x14ac:dyDescent="0.2">
      <c r="A90" s="37" t="s">
        <v>350</v>
      </c>
      <c r="B90" s="38">
        <f t="shared" ref="B90:AE90" si="742">(B84-B83)/B156</f>
        <v>0.16183192810759947</v>
      </c>
      <c r="C90" s="38">
        <f t="shared" si="742"/>
        <v>8.8025058911187393E-2</v>
      </c>
      <c r="D90" s="38">
        <f t="shared" si="742"/>
        <v>0.11842903518710456</v>
      </c>
      <c r="E90" s="38">
        <f t="shared" si="742"/>
        <v>0.17890062178340194</v>
      </c>
      <c r="F90" s="38">
        <f t="shared" si="742"/>
        <v>0.22480937063858558</v>
      </c>
      <c r="G90" s="38">
        <f t="shared" si="742"/>
        <v>0.23699915772108018</v>
      </c>
      <c r="H90" s="38">
        <f t="shared" si="742"/>
        <v>0.26506229439517071</v>
      </c>
      <c r="I90" s="38">
        <f t="shared" si="742"/>
        <v>0.1997250529391224</v>
      </c>
      <c r="J90" s="38">
        <f t="shared" si="742"/>
        <v>0.22790914005338769</v>
      </c>
      <c r="K90" s="38">
        <f t="shared" si="742"/>
        <v>0.19996228411879971</v>
      </c>
      <c r="L90" s="38">
        <f t="shared" si="742"/>
        <v>0.14843478366953575</v>
      </c>
      <c r="M90" s="38">
        <f t="shared" si="742"/>
        <v>0.11486132853297153</v>
      </c>
      <c r="N90" s="38">
        <f t="shared" si="742"/>
        <v>0.13602492046546158</v>
      </c>
      <c r="O90" s="38">
        <f t="shared" si="742"/>
        <v>0.1304565314241497</v>
      </c>
      <c r="P90" s="38">
        <f t="shared" si="742"/>
        <v>0.1227944237864845</v>
      </c>
      <c r="Q90" s="38">
        <f t="shared" si="742"/>
        <v>0.11401253388095794</v>
      </c>
      <c r="R90" s="38">
        <f t="shared" si="742"/>
        <v>0.10379955071293651</v>
      </c>
      <c r="S90" s="38">
        <f t="shared" si="742"/>
        <v>9.9779144420405419E-2</v>
      </c>
      <c r="T90" s="38">
        <f t="shared" si="742"/>
        <v>9.4497759196794887E-2</v>
      </c>
      <c r="U90" s="38">
        <f t="shared" si="742"/>
        <v>0.10618378673218531</v>
      </c>
      <c r="V90" s="38">
        <f t="shared" si="742"/>
        <v>0.10530216097137034</v>
      </c>
      <c r="W90" s="38">
        <f t="shared" si="742"/>
        <v>0.14778728144371306</v>
      </c>
      <c r="X90" s="38">
        <f t="shared" si="742"/>
        <v>0.15986216621935134</v>
      </c>
      <c r="Y90" s="38">
        <f t="shared" si="742"/>
        <v>0.16032841005016463</v>
      </c>
      <c r="Z90" s="38">
        <f t="shared" si="742"/>
        <v>0.16661056316693074</v>
      </c>
      <c r="AA90" s="38">
        <f t="shared" ref="AA90" si="743">(AA84-AA83)/AA156</f>
        <v>0.17634836728153483</v>
      </c>
      <c r="AB90" s="39">
        <f t="shared" si="742"/>
        <v>0.15773978478108219</v>
      </c>
      <c r="AC90" s="39">
        <f t="shared" si="742"/>
        <v>0.15305521358775362</v>
      </c>
      <c r="AD90" s="39">
        <f t="shared" si="742"/>
        <v>0.14522504803075029</v>
      </c>
      <c r="AE90" s="39">
        <f t="shared" si="742"/>
        <v>0.14175278873338837</v>
      </c>
      <c r="AF90" s="38"/>
      <c r="AG90" s="38"/>
      <c r="AH90" s="38"/>
      <c r="AI90" s="38"/>
      <c r="AJ90" s="38"/>
      <c r="AK90" s="38"/>
      <c r="AL90" s="38">
        <f t="shared" ref="AL90:BQ90" si="744">(SUM(AI84:AL84)-SUM(AI83:AL83))/AL156</f>
        <v>4.1979500320307501</v>
      </c>
      <c r="AM90" s="38">
        <f t="shared" si="744"/>
        <v>0.13902748599439774</v>
      </c>
      <c r="AN90" s="38">
        <f t="shared" si="744"/>
        <v>0.14427410184054246</v>
      </c>
      <c r="AO90" s="38">
        <f t="shared" si="744"/>
        <v>0.11677120581511226</v>
      </c>
      <c r="AP90" s="38">
        <f t="shared" si="744"/>
        <v>0.112507117100019</v>
      </c>
      <c r="AQ90" s="38">
        <f t="shared" si="744"/>
        <v>0.13232034822195163</v>
      </c>
      <c r="AR90" s="38">
        <f t="shared" si="744"/>
        <v>0.12770387507229616</v>
      </c>
      <c r="AS90" s="38">
        <f t="shared" si="744"/>
        <v>0.11740214992014075</v>
      </c>
      <c r="AT90" s="38">
        <f t="shared" si="744"/>
        <v>0.10059612518628913</v>
      </c>
      <c r="AU90" s="38">
        <f t="shared" si="744"/>
        <v>0.10553759321210301</v>
      </c>
      <c r="AV90" s="38">
        <f t="shared" si="744"/>
        <v>0.1004674590520364</v>
      </c>
      <c r="AW90" s="38">
        <f t="shared" si="744"/>
        <v>0.1158331259849049</v>
      </c>
      <c r="AX90" s="38">
        <f t="shared" si="744"/>
        <v>0.12953041794416645</v>
      </c>
      <c r="AY90" s="38">
        <f t="shared" si="744"/>
        <v>0.12876299945265457</v>
      </c>
      <c r="AZ90" s="38">
        <f t="shared" si="744"/>
        <v>0.11309433517048423</v>
      </c>
      <c r="BA90" s="38">
        <f t="shared" si="744"/>
        <v>9.8976005816771725E-2</v>
      </c>
      <c r="BB90" s="38">
        <f t="shared" si="744"/>
        <v>9.1750066819113282E-2</v>
      </c>
      <c r="BC90" s="38">
        <f t="shared" si="744"/>
        <v>9.6148286164027125E-2</v>
      </c>
      <c r="BD90" s="38">
        <f t="shared" si="744"/>
        <v>9.9009744867387783E-2</v>
      </c>
      <c r="BE90" s="38">
        <f t="shared" si="744"/>
        <v>9.5157657657657616E-2</v>
      </c>
      <c r="BF90" s="38">
        <f t="shared" si="744"/>
        <v>9.2405588601466276E-2</v>
      </c>
      <c r="BG90" s="38">
        <f t="shared" si="744"/>
        <v>9.9716798330600639E-2</v>
      </c>
      <c r="BH90" s="38">
        <f t="shared" si="744"/>
        <v>0.1051024858264282</v>
      </c>
      <c r="BI90" s="38">
        <f t="shared" si="744"/>
        <v>9.4484032726313033E-2</v>
      </c>
      <c r="BJ90" s="38">
        <f t="shared" si="744"/>
        <v>9.7753099173553681E-2</v>
      </c>
      <c r="BK90" s="38">
        <f t="shared" si="744"/>
        <v>9.4709677419354793E-2</v>
      </c>
      <c r="BL90" s="38">
        <f t="shared" si="744"/>
        <v>0.10253528162857496</v>
      </c>
      <c r="BM90" s="38">
        <f t="shared" si="744"/>
        <v>0.10619041872812836</v>
      </c>
      <c r="BN90" s="38">
        <f t="shared" si="744"/>
        <v>9.8022868032396404E-2</v>
      </c>
      <c r="BO90" s="38">
        <f t="shared" si="744"/>
        <v>9.1489361702127694E-2</v>
      </c>
      <c r="BP90" s="38">
        <f t="shared" si="744"/>
        <v>0.10622257229661307</v>
      </c>
      <c r="BQ90" s="38">
        <f t="shared" si="744"/>
        <v>0.10532225465977994</v>
      </c>
      <c r="BR90" s="38">
        <f t="shared" ref="BR90:CW90" si="745">(SUM(BO84:BR84)-SUM(BO83:BR83))/BR156</f>
        <v>0.13568753344034246</v>
      </c>
      <c r="BS90" s="38">
        <f t="shared" si="745"/>
        <v>0.15650493774151999</v>
      </c>
      <c r="BT90" s="38">
        <f t="shared" si="745"/>
        <v>0.14631633178773834</v>
      </c>
      <c r="BU90" s="38">
        <f t="shared" si="745"/>
        <v>0.14780371982588061</v>
      </c>
      <c r="BV90" s="38">
        <f t="shared" si="745"/>
        <v>0.13879375951293768</v>
      </c>
      <c r="BW90" s="38">
        <f t="shared" si="745"/>
        <v>0.15732146239818151</v>
      </c>
      <c r="BX90" s="38">
        <f t="shared" si="745"/>
        <v>0.15180854950675923</v>
      </c>
      <c r="BY90" s="38">
        <f t="shared" si="745"/>
        <v>0.15982853643600736</v>
      </c>
      <c r="BZ90" s="38">
        <f t="shared" si="745"/>
        <v>0.15472972972972973</v>
      </c>
      <c r="CA90" s="38">
        <f t="shared" si="745"/>
        <v>0.16633165829145727</v>
      </c>
      <c r="CB90" s="38">
        <f t="shared" si="745"/>
        <v>0.16855558234868581</v>
      </c>
      <c r="CC90" s="38">
        <f t="shared" si="745"/>
        <v>0.16030417082725254</v>
      </c>
      <c r="CD90" s="38">
        <f t="shared" si="745"/>
        <v>0.15774229483847019</v>
      </c>
      <c r="CE90" s="38">
        <f t="shared" si="745"/>
        <v>0.16113989637305706</v>
      </c>
      <c r="CF90" s="38">
        <f t="shared" si="745"/>
        <v>0.16231330077157216</v>
      </c>
      <c r="CG90" s="38">
        <f t="shared" si="745"/>
        <v>0.16662739421685122</v>
      </c>
      <c r="CH90" s="38">
        <f t="shared" si="745"/>
        <v>0.16558768990533196</v>
      </c>
      <c r="CI90" s="38">
        <f t="shared" si="745"/>
        <v>0.167361835245047</v>
      </c>
      <c r="CJ90" s="38">
        <f t="shared" si="745"/>
        <v>0.16393033272988336</v>
      </c>
      <c r="CK90" s="38">
        <f t="shared" si="745"/>
        <v>0.1763164164879677</v>
      </c>
      <c r="CL90" s="38">
        <f t="shared" si="745"/>
        <v>0.16536715931572216</v>
      </c>
      <c r="CM90" s="39">
        <f t="shared" si="745"/>
        <v>0.16888261466222204</v>
      </c>
      <c r="CN90" s="39">
        <f t="shared" si="745"/>
        <v>0.16622650776234199</v>
      </c>
      <c r="CO90" s="39">
        <f t="shared" si="745"/>
        <v>0.15773978478108239</v>
      </c>
      <c r="CP90" s="39">
        <f t="shared" si="745"/>
        <v>0.16008160679836445</v>
      </c>
      <c r="CQ90" s="39">
        <f t="shared" si="745"/>
        <v>0.15642826922833486</v>
      </c>
      <c r="CR90" s="39">
        <f t="shared" si="745"/>
        <v>0.15482230155276355</v>
      </c>
      <c r="CS90" s="39">
        <f t="shared" si="745"/>
        <v>0.15305521358775373</v>
      </c>
      <c r="CT90" s="39">
        <f t="shared" si="745"/>
        <v>0.15210365782325364</v>
      </c>
      <c r="CU90" s="39">
        <f t="shared" si="745"/>
        <v>0.14964950718148171</v>
      </c>
      <c r="CV90" s="39">
        <f t="shared" si="745"/>
        <v>0.1477235017976547</v>
      </c>
      <c r="CW90" s="39">
        <f t="shared" si="745"/>
        <v>0.14522504803075015</v>
      </c>
      <c r="CX90" s="39">
        <f t="shared" ref="CX90:DA90" si="746">(SUM(CU84:CX84)-SUM(CU83:CX83))/CX156</f>
        <v>0.14505221229458945</v>
      </c>
      <c r="CY90" s="39">
        <f t="shared" si="746"/>
        <v>0.14386461953360388</v>
      </c>
      <c r="CZ90" s="39">
        <f t="shared" si="746"/>
        <v>0.14312725606150511</v>
      </c>
      <c r="DA90" s="39">
        <f t="shared" si="746"/>
        <v>0.14175278873338829</v>
      </c>
      <c r="DD90" s="121"/>
      <c r="DE90" s="37">
        <v>0.17631641648796739</v>
      </c>
    </row>
    <row r="91" spans="1:109" s="37" customFormat="1" x14ac:dyDescent="0.2">
      <c r="A91" s="37" t="s">
        <v>351</v>
      </c>
      <c r="B91" s="38">
        <f t="shared" ref="B91:AE91" si="747">+B70/B165</f>
        <v>1.5046566101377555E-2</v>
      </c>
      <c r="C91" s="38">
        <f t="shared" si="747"/>
        <v>9.4344160062269561E-2</v>
      </c>
      <c r="D91" s="38">
        <f t="shared" si="747"/>
        <v>0.13934918642459246</v>
      </c>
      <c r="E91" s="38">
        <f t="shared" si="747"/>
        <v>0.16136962303464153</v>
      </c>
      <c r="F91" s="38">
        <f t="shared" si="747"/>
        <v>0.28466437500221226</v>
      </c>
      <c r="G91" s="38">
        <f t="shared" si="747"/>
        <v>0.30983712637196753</v>
      </c>
      <c r="H91" s="38">
        <f t="shared" si="747"/>
        <v>0.33779046143515584</v>
      </c>
      <c r="I91" s="38">
        <f t="shared" si="747"/>
        <v>0.20811467032173342</v>
      </c>
      <c r="J91" s="38">
        <f t="shared" si="747"/>
        <v>0.27013647647768452</v>
      </c>
      <c r="K91" s="38">
        <f t="shared" si="747"/>
        <v>0.25498967928185806</v>
      </c>
      <c r="L91" s="38">
        <f t="shared" si="747"/>
        <v>0.14056307650972832</v>
      </c>
      <c r="M91" s="38">
        <f t="shared" si="747"/>
        <v>9.6984388477150865E-2</v>
      </c>
      <c r="N91" s="38">
        <f t="shared" si="747"/>
        <v>0.14262350261532519</v>
      </c>
      <c r="O91" s="38">
        <f t="shared" si="747"/>
        <v>0.14648407536939964</v>
      </c>
      <c r="P91" s="38">
        <f t="shared" si="747"/>
        <v>0.12649694035278369</v>
      </c>
      <c r="Q91" s="38">
        <f t="shared" si="747"/>
        <v>0.12937334372822323</v>
      </c>
      <c r="R91" s="38">
        <f t="shared" si="747"/>
        <v>0.11501564879546249</v>
      </c>
      <c r="S91" s="38">
        <f t="shared" si="747"/>
        <v>0.10596318665436698</v>
      </c>
      <c r="T91" s="38">
        <f t="shared" si="747"/>
        <v>0.11067661852993682</v>
      </c>
      <c r="U91" s="38">
        <f t="shared" si="747"/>
        <v>0.11929215330376823</v>
      </c>
      <c r="V91" s="38">
        <f t="shared" si="747"/>
        <v>0.13256744559854741</v>
      </c>
      <c r="W91" s="38">
        <f t="shared" si="747"/>
        <v>0.16415390003145905</v>
      </c>
      <c r="X91" s="38">
        <f t="shared" si="747"/>
        <v>0.17617459645390321</v>
      </c>
      <c r="Y91" s="38">
        <f t="shared" si="747"/>
        <v>0.18733413779304067</v>
      </c>
      <c r="Z91" s="38">
        <f t="shared" si="747"/>
        <v>0.19066886592385671</v>
      </c>
      <c r="AA91" s="38">
        <f t="shared" ref="AA91" si="748">+AA70/AA165</f>
        <v>0.18779568412863512</v>
      </c>
      <c r="AB91" s="39">
        <f t="shared" si="747"/>
        <v>0.17365649958428414</v>
      </c>
      <c r="AC91" s="39">
        <f t="shared" si="747"/>
        <v>0.16592667087921439</v>
      </c>
      <c r="AD91" s="39">
        <f t="shared" si="747"/>
        <v>0.1562909182120612</v>
      </c>
      <c r="AE91" s="39">
        <f t="shared" si="747"/>
        <v>0.14800054321158776</v>
      </c>
      <c r="AF91" s="38"/>
      <c r="AG91" s="38"/>
      <c r="AH91" s="38"/>
      <c r="AI91" s="38"/>
      <c r="AJ91" s="38"/>
      <c r="AK91" s="38"/>
      <c r="AL91" s="38">
        <f t="shared" ref="AL91:BQ91" si="749">+SUM(AI70:AL70)/AL165</f>
        <v>4.8046124279308149</v>
      </c>
      <c r="AM91" s="38">
        <f t="shared" si="749"/>
        <v>0.15628643308584403</v>
      </c>
      <c r="AN91" s="38">
        <f t="shared" si="749"/>
        <v>0.16378919121564292</v>
      </c>
      <c r="AO91" s="38">
        <f t="shared" si="749"/>
        <v>0.14378094960675794</v>
      </c>
      <c r="AP91" s="38">
        <f t="shared" si="749"/>
        <v>0.14514790220344101</v>
      </c>
      <c r="AQ91" s="38">
        <f t="shared" si="749"/>
        <v>0.15276490577695404</v>
      </c>
      <c r="AR91" s="38">
        <f t="shared" si="749"/>
        <v>0.14147333843483456</v>
      </c>
      <c r="AS91" s="38">
        <f t="shared" si="749"/>
        <v>0.12336445384364098</v>
      </c>
      <c r="AT91" s="38">
        <f t="shared" si="749"/>
        <v>9.960545559674841E-2</v>
      </c>
      <c r="AU91" s="38">
        <f t="shared" si="749"/>
        <v>9.3892383464610443E-2</v>
      </c>
      <c r="AV91" s="38">
        <f t="shared" si="749"/>
        <v>9.4085444396736689E-2</v>
      </c>
      <c r="AW91" s="38">
        <f t="shared" si="749"/>
        <v>0.12637590002482815</v>
      </c>
      <c r="AX91" s="38">
        <f t="shared" si="749"/>
        <v>0.14594202898550715</v>
      </c>
      <c r="AY91" s="38">
        <f t="shared" si="749"/>
        <v>0.16185108882570268</v>
      </c>
      <c r="AZ91" s="38">
        <f t="shared" si="749"/>
        <v>0.13488255033557042</v>
      </c>
      <c r="BA91" s="38">
        <f t="shared" si="749"/>
        <v>0.11381248594768795</v>
      </c>
      <c r="BB91" s="38">
        <f t="shared" si="749"/>
        <v>0.10185906385480201</v>
      </c>
      <c r="BC91" s="38">
        <f t="shared" si="749"/>
        <v>9.114361775118697E-2</v>
      </c>
      <c r="BD91" s="38">
        <f t="shared" si="749"/>
        <v>9.830618364535211E-2</v>
      </c>
      <c r="BE91" s="38">
        <f t="shared" si="749"/>
        <v>0.10594744121715069</v>
      </c>
      <c r="BF91" s="38">
        <f t="shared" si="749"/>
        <v>0.10033990482664848</v>
      </c>
      <c r="BG91" s="38">
        <f t="shared" si="749"/>
        <v>0.10923165137614672</v>
      </c>
      <c r="BH91" s="38">
        <f t="shared" si="749"/>
        <v>0.11894766302826749</v>
      </c>
      <c r="BI91" s="38">
        <f t="shared" si="749"/>
        <v>0.11070893659510737</v>
      </c>
      <c r="BJ91" s="38">
        <f t="shared" si="749"/>
        <v>0.12252384446074831</v>
      </c>
      <c r="BK91" s="38">
        <f t="shared" si="749"/>
        <v>0.12537966225246017</v>
      </c>
      <c r="BL91" s="38">
        <f t="shared" si="749"/>
        <v>0.12853440150801129</v>
      </c>
      <c r="BM91" s="38">
        <f t="shared" si="749"/>
        <v>0.1177000112523911</v>
      </c>
      <c r="BN91" s="38">
        <f t="shared" si="749"/>
        <v>0.10126722987994669</v>
      </c>
      <c r="BO91" s="38">
        <f t="shared" si="749"/>
        <v>8.0556168616199547E-2</v>
      </c>
      <c r="BP91" s="38">
        <f t="shared" si="749"/>
        <v>0.10053746443250081</v>
      </c>
      <c r="BQ91" s="38">
        <f t="shared" si="749"/>
        <v>0.13254786450662742</v>
      </c>
      <c r="BR91" s="38">
        <f t="shared" ref="BR91:CW91" si="750">+SUM(BO70:BR70)/BR165</f>
        <v>0.17003519356460536</v>
      </c>
      <c r="BS91" s="38">
        <f t="shared" si="750"/>
        <v>0.19403582507755429</v>
      </c>
      <c r="BT91" s="38">
        <f t="shared" si="750"/>
        <v>0.1773261413985745</v>
      </c>
      <c r="BU91" s="38">
        <f t="shared" si="750"/>
        <v>0.16412742382271481</v>
      </c>
      <c r="BV91" s="38">
        <f t="shared" si="750"/>
        <v>0.15116057838660588</v>
      </c>
      <c r="BW91" s="38">
        <f t="shared" si="750"/>
        <v>0.16626728110599082</v>
      </c>
      <c r="BX91" s="38">
        <f t="shared" si="750"/>
        <v>0.16192170818505339</v>
      </c>
      <c r="BY91" s="38">
        <f t="shared" si="750"/>
        <v>0.17618756014346948</v>
      </c>
      <c r="BZ91" s="38">
        <f t="shared" si="750"/>
        <v>0.17119932432432428</v>
      </c>
      <c r="CA91" s="38">
        <f t="shared" si="750"/>
        <v>0.18919597989949746</v>
      </c>
      <c r="CB91" s="38">
        <f t="shared" si="750"/>
        <v>0.19411622859898719</v>
      </c>
      <c r="CC91" s="38">
        <f t="shared" si="750"/>
        <v>0.18734157769413939</v>
      </c>
      <c r="CD91" s="38">
        <f t="shared" si="750"/>
        <v>0.18299294467137026</v>
      </c>
      <c r="CE91" s="38">
        <f t="shared" si="750"/>
        <v>0.18541820873427095</v>
      </c>
      <c r="CF91" s="38">
        <f t="shared" si="750"/>
        <v>0.18857506901677637</v>
      </c>
      <c r="CG91" s="38">
        <f t="shared" si="750"/>
        <v>0.19066213350388794</v>
      </c>
      <c r="CH91" s="38">
        <f t="shared" si="750"/>
        <v>0.18803474413611368</v>
      </c>
      <c r="CI91" s="38">
        <f t="shared" si="750"/>
        <v>0.18841240875912413</v>
      </c>
      <c r="CJ91" s="38">
        <f t="shared" si="750"/>
        <v>0.1780385791872153</v>
      </c>
      <c r="CK91" s="38">
        <f t="shared" si="750"/>
        <v>0.18775315701691694</v>
      </c>
      <c r="CL91" s="38">
        <f t="shared" si="750"/>
        <v>0.17322239031770054</v>
      </c>
      <c r="CM91" s="39">
        <f t="shared" si="750"/>
        <v>0.17700620252996893</v>
      </c>
      <c r="CN91" s="39">
        <f t="shared" si="750"/>
        <v>0.17702793446990442</v>
      </c>
      <c r="CO91" s="39">
        <f t="shared" si="750"/>
        <v>0.17365649958428434</v>
      </c>
      <c r="CP91" s="39">
        <f t="shared" si="750"/>
        <v>0.17652734327817696</v>
      </c>
      <c r="CQ91" s="39">
        <f t="shared" si="750"/>
        <v>0.17304162010607393</v>
      </c>
      <c r="CR91" s="39">
        <f t="shared" si="750"/>
        <v>0.16923872174373258</v>
      </c>
      <c r="CS91" s="39">
        <f t="shared" si="750"/>
        <v>0.16592667087921453</v>
      </c>
      <c r="CT91" s="39">
        <f t="shared" si="750"/>
        <v>0.16416521423911082</v>
      </c>
      <c r="CU91" s="39">
        <f t="shared" si="750"/>
        <v>0.1613279562576162</v>
      </c>
      <c r="CV91" s="39">
        <f t="shared" si="750"/>
        <v>0.15891504189639391</v>
      </c>
      <c r="CW91" s="39">
        <f t="shared" si="750"/>
        <v>0.15629091821206106</v>
      </c>
      <c r="CX91" s="39">
        <f t="shared" ref="CX91:DA91" si="751">+SUM(CU70:CX70)/CX165</f>
        <v>0.1546006173635768</v>
      </c>
      <c r="CY91" s="39">
        <f t="shared" si="751"/>
        <v>0.152231340015828</v>
      </c>
      <c r="CZ91" s="39">
        <f t="shared" si="751"/>
        <v>0.1502305805468947</v>
      </c>
      <c r="DA91" s="39">
        <f t="shared" si="751"/>
        <v>0.1480005432115877</v>
      </c>
      <c r="DD91" s="121"/>
      <c r="DE91" s="37">
        <v>0.18775315701691664</v>
      </c>
    </row>
    <row r="92" spans="1:109" s="1" customFormat="1" x14ac:dyDescent="0.2">
      <c r="A92" s="149" t="s">
        <v>489</v>
      </c>
      <c r="AB92" s="19"/>
      <c r="AC92" s="19"/>
      <c r="AD92" s="19"/>
      <c r="AE92" s="19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D92" s="118"/>
    </row>
    <row r="93" spans="1:109" s="8" customFormat="1" x14ac:dyDescent="0.2">
      <c r="A93" s="12" t="s">
        <v>26</v>
      </c>
      <c r="AB93" s="57"/>
      <c r="AC93" s="57"/>
      <c r="AD93" s="57"/>
      <c r="AE93" s="57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D93" s="131"/>
    </row>
    <row r="94" spans="1:109" s="9" customFormat="1" x14ac:dyDescent="0.2">
      <c r="A94" s="9" t="s">
        <v>453</v>
      </c>
      <c r="N94" s="9">
        <f>N46-SUM(AI46:AL46)</f>
        <v>-0.10799999999994725</v>
      </c>
      <c r="R94" s="9">
        <f>R46-SUM(AX46:BA46)</f>
        <v>0.88600000000008095</v>
      </c>
      <c r="S94" s="9">
        <f>S46-SUM(BB46:BE46)</f>
        <v>3.7000000000034561E-2</v>
      </c>
      <c r="T94" s="9">
        <f>T46-SUM(BF46:BI46)</f>
        <v>-3.3999999999878128E-2</v>
      </c>
      <c r="U94" s="9">
        <f>U46-SUM(BJ46:BM46)</f>
        <v>7.9999999998108251E-3</v>
      </c>
      <c r="V94" s="9">
        <f>V46-SUM(BN46:BQ46)</f>
        <v>1.5000000000100044E-2</v>
      </c>
      <c r="W94" s="9">
        <f>W46-SUM(BR46:BU46)</f>
        <v>-9.0000000002419256E-3</v>
      </c>
      <c r="X94" s="9">
        <f>X46-SUM(BV46:BY46)</f>
        <v>-3.999999999996362E-2</v>
      </c>
      <c r="Y94" s="9">
        <f>Y46-SUM(BZ46:CC46)</f>
        <v>3.7999999999556167E-2</v>
      </c>
      <c r="Z94" s="9">
        <f>Z46-SUM(CD46:CG46)</f>
        <v>-1.3999999999668944E-2</v>
      </c>
      <c r="AA94" s="9">
        <f>AA46-SUM(CE46:CH46)</f>
        <v>111.42799999999988</v>
      </c>
      <c r="AB94" s="71">
        <f>AB46-SUM(CL46:CO46)</f>
        <v>0</v>
      </c>
      <c r="AC94" s="71">
        <f>AC46-SUM(CP46:CS46)</f>
        <v>0</v>
      </c>
      <c r="AD94" s="71">
        <f>AD46-SUM(CT46:CW46)</f>
        <v>0</v>
      </c>
      <c r="AE94" s="71">
        <f>AE46-SUM(CX46:DA46)</f>
        <v>0</v>
      </c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D94" s="132"/>
      <c r="DE94" s="9">
        <v>0</v>
      </c>
    </row>
    <row r="95" spans="1:109" s="9" customFormat="1" x14ac:dyDescent="0.2">
      <c r="A95" s="9" t="s">
        <v>454</v>
      </c>
      <c r="N95" s="9">
        <f>N52-SUM(AI52:AL52)</f>
        <v>-6.3199999999999932</v>
      </c>
      <c r="R95" s="9">
        <f>R52-SUM(AX52:BA52)</f>
        <v>0.99799999999999045</v>
      </c>
      <c r="S95" s="9">
        <f>S52-SUM(BB52:BE52)</f>
        <v>1.5640000000000782</v>
      </c>
      <c r="T95" s="9">
        <f>T52-SUM(BF52:BI52)</f>
        <v>-2.9999999999290594E-3</v>
      </c>
      <c r="U95" s="9">
        <f>U52-SUM(BJ52:BM52)</f>
        <v>1.9999999998390194E-3</v>
      </c>
      <c r="V95" s="9">
        <f>V52-SUM(BN52:BQ52)</f>
        <v>9.6999999999979991E-2</v>
      </c>
      <c r="W95" s="9">
        <f>W52-SUM(BR52:BU52)</f>
        <v>-3.4000000000105501E-2</v>
      </c>
      <c r="X95" s="9">
        <f>X52-SUM(BV52:BY52)</f>
        <v>-4.0999999999939973E-2</v>
      </c>
      <c r="Y95" s="9">
        <f>Y52-SUM(BZ52:CC52)</f>
        <v>2.7999999999792635E-2</v>
      </c>
      <c r="Z95" s="9">
        <f>Z52-SUM(CD52:CG52)</f>
        <v>-5.7999999999537977E-2</v>
      </c>
      <c r="AA95" s="9">
        <f>AA52-SUM(CE52:CH52)</f>
        <v>86.36400000000026</v>
      </c>
      <c r="AB95" s="71">
        <f>AB52-SUM(CL52:CO52)</f>
        <v>0</v>
      </c>
      <c r="AC95" s="71">
        <f>AC52-SUM(CP52:CS52)</f>
        <v>0</v>
      </c>
      <c r="AD95" s="71">
        <f>AD52-SUM(CT52:CW52)</f>
        <v>0</v>
      </c>
      <c r="AE95" s="71">
        <f>AE52-SUM(CX52:DA52)</f>
        <v>0</v>
      </c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D95" s="132"/>
      <c r="DE95" s="9">
        <v>0</v>
      </c>
    </row>
    <row r="96" spans="1:109" s="9" customFormat="1" x14ac:dyDescent="0.2">
      <c r="A96" s="9" t="s">
        <v>455</v>
      </c>
      <c r="N96" s="9">
        <f>N64-SUM(AI64:AL64)</f>
        <v>-6.474000000000018</v>
      </c>
      <c r="R96" s="9">
        <f>R64-SUM(AX64:BA64)</f>
        <v>0.80000000000001137</v>
      </c>
      <c r="S96" s="9">
        <f>S64-SUM(BB64:BE64)</f>
        <v>-0.10499999999994714</v>
      </c>
      <c r="T96" s="9">
        <f>T64-SUM(BF64:BI64)</f>
        <v>-5.9999999999917009E-2</v>
      </c>
      <c r="U96" s="9">
        <f>U64-SUM(BJ64:BM64)</f>
        <v>1.4339999999998554</v>
      </c>
      <c r="V96" s="9">
        <f>V64-SUM(BN64:BQ64)</f>
        <v>-9.0000000000713953E-3</v>
      </c>
      <c r="W96" s="9">
        <f>W64-SUM(BR64:BU64)</f>
        <v>6.6999999999893589E-2</v>
      </c>
      <c r="X96" s="9">
        <f>X64-SUM(BV64:BY64)</f>
        <v>-5.09999999999593E-2</v>
      </c>
      <c r="Y96" s="9">
        <f>Y64-SUM(BZ64:CC64)</f>
        <v>-3.0000000000200089E-2</v>
      </c>
      <c r="Z96" s="9">
        <f>Z64-SUM(CD64:CG64)</f>
        <v>3.4000000000617092E-2</v>
      </c>
      <c r="AA96" s="9">
        <f>AA64-SUM(CE64:CH64)</f>
        <v>29.295000000000186</v>
      </c>
      <c r="AB96" s="71">
        <f>AB64-SUM(CL64:CO64)</f>
        <v>0</v>
      </c>
      <c r="AC96" s="71">
        <f>AC64-SUM(CP64:CS64)</f>
        <v>0</v>
      </c>
      <c r="AD96" s="71">
        <f>AD64-SUM(CT64:CW64)</f>
        <v>0</v>
      </c>
      <c r="AE96" s="71">
        <f>AE64-SUM(CX64:DA64)</f>
        <v>0</v>
      </c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D96" s="132"/>
      <c r="DE96" s="9">
        <v>-5.1159076974727213E-13</v>
      </c>
    </row>
    <row r="97" spans="1:109" s="9" customFormat="1" x14ac:dyDescent="0.2">
      <c r="A97" s="9" t="s">
        <v>456</v>
      </c>
      <c r="N97" s="9">
        <f>N84-SUM(AI84:AL84)</f>
        <v>-1.9510000000000005</v>
      </c>
      <c r="R97" s="9">
        <f>R77-SUM(AX77:BA77)</f>
        <v>-1.3969999999999985</v>
      </c>
      <c r="S97" s="9">
        <f>S77-SUM(BB77:BE77)</f>
        <v>-1.8929999999999723</v>
      </c>
      <c r="T97" s="9">
        <f>T77-SUM(BF77:BI77)</f>
        <v>-9.9999999999340616E-3</v>
      </c>
      <c r="U97" s="9">
        <f>U77-SUM(BJ77:BM77)</f>
        <v>-2.4000000000157229E-2</v>
      </c>
      <c r="V97" s="9">
        <f>V77-SUM(BN77:BQ77)</f>
        <v>-1.8000000000085947E-2</v>
      </c>
      <c r="W97" s="9">
        <f>W77-SUM(BR77:BU77)</f>
        <v>-3.1000000000091177E-2</v>
      </c>
      <c r="X97" s="9">
        <f>X77-SUM(BV77:BY77)</f>
        <v>1.8000000000029104E-2</v>
      </c>
      <c r="Y97" s="9">
        <f>Y77-SUM(BZ77:CC77)</f>
        <v>2.2999999999740339E-2</v>
      </c>
      <c r="Z97" s="9">
        <f>Z77-SUM(CD77:CG77)</f>
        <v>-3.0999999999437478E-2</v>
      </c>
      <c r="AA97" s="9">
        <f>AA77-SUM(CE77:CH77)</f>
        <v>41.70400000000015</v>
      </c>
      <c r="AB97" s="71">
        <f>AB77-SUM(CL77:CO77)</f>
        <v>0</v>
      </c>
      <c r="AC97" s="71">
        <f>AC77-SUM(CP77:CS77)</f>
        <v>0</v>
      </c>
      <c r="AD97" s="71">
        <f>AD77-SUM(CT77:CW77)</f>
        <v>0</v>
      </c>
      <c r="AE97" s="71">
        <f>AE77-SUM(CX77:DA77)</f>
        <v>0</v>
      </c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D97" s="132"/>
      <c r="DE97" s="9">
        <v>-5.1159076974727213E-13</v>
      </c>
    </row>
    <row r="98" spans="1:109" s="8" customFormat="1" x14ac:dyDescent="0.2">
      <c r="A98" s="148" t="s">
        <v>490</v>
      </c>
      <c r="AB98" s="57"/>
      <c r="AC98" s="57"/>
      <c r="AD98" s="57"/>
      <c r="AE98" s="57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D98" s="131"/>
    </row>
    <row r="99" spans="1:109" s="3" customFormat="1" x14ac:dyDescent="0.2">
      <c r="A99" s="3" t="s">
        <v>27</v>
      </c>
      <c r="B99" s="3">
        <f>'Annual Raw'!C104</f>
        <v>17.402999999999999</v>
      </c>
      <c r="C99" s="3">
        <f>'Annual Raw'!D104</f>
        <v>17.402999999999999</v>
      </c>
      <c r="D99" s="3">
        <f>'Annual Raw'!E104</f>
        <v>17.4039</v>
      </c>
      <c r="E99" s="3">
        <f t="shared" ref="E99:Y99" ca="1" si="752">+F99</f>
        <v>34.799999999999997</v>
      </c>
      <c r="F99" s="3">
        <f t="shared" ca="1" si="752"/>
        <v>34.799999999999997</v>
      </c>
      <c r="G99" s="3">
        <f t="shared" ca="1" si="752"/>
        <v>34.799999999999997</v>
      </c>
      <c r="H99" s="3">
        <f t="shared" ca="1" si="752"/>
        <v>34.799999999999997</v>
      </c>
      <c r="I99" s="3">
        <f t="shared" ca="1" si="752"/>
        <v>34.799999999999997</v>
      </c>
      <c r="J99" s="3">
        <f t="shared" ca="1" si="752"/>
        <v>34.799999999999997</v>
      </c>
      <c r="K99" s="3">
        <f t="shared" ca="1" si="752"/>
        <v>34.799999999999997</v>
      </c>
      <c r="L99" s="3">
        <f t="shared" ca="1" si="752"/>
        <v>34.799999999999997</v>
      </c>
      <c r="M99" s="3">
        <f t="shared" ca="1" si="752"/>
        <v>34.799999999999997</v>
      </c>
      <c r="N99" s="3">
        <f t="shared" ca="1" si="752"/>
        <v>34.799999999999997</v>
      </c>
      <c r="O99" s="3">
        <f t="shared" ca="1" si="752"/>
        <v>34.799999999999997</v>
      </c>
      <c r="P99" s="3">
        <f t="shared" ca="1" si="752"/>
        <v>34.799999999999997</v>
      </c>
      <c r="Q99" s="3">
        <f t="shared" ca="1" si="752"/>
        <v>34.799999999999997</v>
      </c>
      <c r="R99" s="3">
        <f t="shared" ca="1" si="752"/>
        <v>34.799999999999997</v>
      </c>
      <c r="S99" s="3">
        <f t="shared" ca="1" si="752"/>
        <v>34.799999999999997</v>
      </c>
      <c r="T99" s="3">
        <f t="shared" ca="1" si="752"/>
        <v>34.799999999999997</v>
      </c>
      <c r="U99" s="3">
        <f t="shared" ca="1" si="752"/>
        <v>34.799999999999997</v>
      </c>
      <c r="V99" s="3">
        <f t="shared" ca="1" si="752"/>
        <v>34.799999999999997</v>
      </c>
      <c r="W99" s="3">
        <f t="shared" ca="1" si="752"/>
        <v>34.799999999999997</v>
      </c>
      <c r="X99" s="3">
        <f t="shared" ca="1" si="752"/>
        <v>34.799999999999997</v>
      </c>
      <c r="Y99" s="3">
        <f t="shared" ca="1" si="752"/>
        <v>34.799999999999997</v>
      </c>
      <c r="Z99" s="3">
        <f ca="1">+AA99</f>
        <v>34.799999999999997</v>
      </c>
      <c r="AA99" s="3">
        <f ca="1">+AB99</f>
        <v>34.799999999999997</v>
      </c>
      <c r="AB99" s="36">
        <f t="shared" ref="AB99:AB100" ca="1" si="753">AA99</f>
        <v>34.799999999999997</v>
      </c>
      <c r="AC99" s="36">
        <f t="shared" ref="AC99:AC100" ca="1" si="754">AB99</f>
        <v>34.799999999999997</v>
      </c>
      <c r="AD99" s="36">
        <f t="shared" ref="AD99:AD100" ca="1" si="755">AC99</f>
        <v>34.799999999999997</v>
      </c>
      <c r="AE99" s="36">
        <f t="shared" ref="AE99:AE100" ca="1" si="756">AD99</f>
        <v>34.799999999999997</v>
      </c>
      <c r="AI99" s="3">
        <f t="shared" ref="AI99:CH99" si="757">+AJ99</f>
        <v>34.799999999999997</v>
      </c>
      <c r="AJ99" s="3">
        <f t="shared" si="757"/>
        <v>34.799999999999997</v>
      </c>
      <c r="AK99" s="3">
        <f t="shared" si="757"/>
        <v>34.799999999999997</v>
      </c>
      <c r="AL99" s="3">
        <f t="shared" si="757"/>
        <v>34.799999999999997</v>
      </c>
      <c r="AM99" s="3">
        <f t="shared" si="757"/>
        <v>34.799999999999997</v>
      </c>
      <c r="AN99" s="3">
        <f t="shared" si="757"/>
        <v>34.799999999999997</v>
      </c>
      <c r="AO99" s="3">
        <f t="shared" si="757"/>
        <v>34.799999999999997</v>
      </c>
      <c r="AP99" s="3">
        <f t="shared" si="757"/>
        <v>34.799999999999997</v>
      </c>
      <c r="AQ99" s="3">
        <f t="shared" si="757"/>
        <v>34.799999999999997</v>
      </c>
      <c r="AR99" s="3">
        <f t="shared" si="757"/>
        <v>34.799999999999997</v>
      </c>
      <c r="AS99" s="3">
        <f t="shared" si="757"/>
        <v>34.799999999999997</v>
      </c>
      <c r="AT99" s="3">
        <f t="shared" si="757"/>
        <v>34.799999999999997</v>
      </c>
      <c r="AU99" s="3">
        <f t="shared" si="757"/>
        <v>34.799999999999997</v>
      </c>
      <c r="AV99" s="3">
        <f t="shared" si="757"/>
        <v>34.799999999999997</v>
      </c>
      <c r="AW99" s="3">
        <f t="shared" si="757"/>
        <v>34.799999999999997</v>
      </c>
      <c r="AX99" s="3">
        <f t="shared" si="757"/>
        <v>34.799999999999997</v>
      </c>
      <c r="AY99" s="3">
        <f t="shared" si="757"/>
        <v>34.799999999999997</v>
      </c>
      <c r="AZ99" s="3">
        <f t="shared" si="757"/>
        <v>34.799999999999997</v>
      </c>
      <c r="BA99" s="3">
        <f t="shared" si="757"/>
        <v>34.799999999999997</v>
      </c>
      <c r="BB99" s="3">
        <f t="shared" si="757"/>
        <v>34.799999999999997</v>
      </c>
      <c r="BC99" s="3">
        <f t="shared" si="757"/>
        <v>34.799999999999997</v>
      </c>
      <c r="BD99" s="3">
        <f t="shared" si="757"/>
        <v>34.799999999999997</v>
      </c>
      <c r="BE99" s="3">
        <f t="shared" si="757"/>
        <v>34.799999999999997</v>
      </c>
      <c r="BF99" s="3">
        <f t="shared" si="757"/>
        <v>34.799999999999997</v>
      </c>
      <c r="BG99" s="3">
        <f t="shared" si="757"/>
        <v>34.799999999999997</v>
      </c>
      <c r="BH99" s="3">
        <f t="shared" si="757"/>
        <v>34.799999999999997</v>
      </c>
      <c r="BI99" s="3">
        <f t="shared" si="757"/>
        <v>34.799999999999997</v>
      </c>
      <c r="BJ99" s="3">
        <f t="shared" si="757"/>
        <v>34.799999999999997</v>
      </c>
      <c r="BK99" s="3">
        <f t="shared" si="757"/>
        <v>34.799999999999997</v>
      </c>
      <c r="BL99" s="3">
        <f t="shared" si="757"/>
        <v>34.799999999999997</v>
      </c>
      <c r="BM99" s="3">
        <f t="shared" si="757"/>
        <v>34.799999999999997</v>
      </c>
      <c r="BN99" s="3">
        <f t="shared" si="757"/>
        <v>34.799999999999997</v>
      </c>
      <c r="BO99" s="3">
        <f t="shared" si="757"/>
        <v>34.799999999999997</v>
      </c>
      <c r="BP99" s="3">
        <f t="shared" si="757"/>
        <v>34.799999999999997</v>
      </c>
      <c r="BQ99" s="3">
        <f t="shared" si="757"/>
        <v>34.799999999999997</v>
      </c>
      <c r="BR99" s="3">
        <f t="shared" si="757"/>
        <v>34.799999999999997</v>
      </c>
      <c r="BS99" s="3">
        <f t="shared" si="757"/>
        <v>34.799999999999997</v>
      </c>
      <c r="BT99" s="3">
        <f t="shared" si="757"/>
        <v>34.799999999999997</v>
      </c>
      <c r="BU99" s="3">
        <f t="shared" si="757"/>
        <v>34.799999999999997</v>
      </c>
      <c r="BV99" s="3">
        <f t="shared" si="757"/>
        <v>34.799999999999997</v>
      </c>
      <c r="BW99" s="3">
        <f t="shared" si="757"/>
        <v>34.799999999999997</v>
      </c>
      <c r="BX99" s="3">
        <f t="shared" si="757"/>
        <v>34.799999999999997</v>
      </c>
      <c r="BY99" s="3">
        <f t="shared" si="757"/>
        <v>34.799999999999997</v>
      </c>
      <c r="BZ99" s="3">
        <f t="shared" si="757"/>
        <v>34.799999999999997</v>
      </c>
      <c r="CA99" s="3">
        <f t="shared" si="757"/>
        <v>34.799999999999997</v>
      </c>
      <c r="CB99" s="3">
        <f t="shared" si="757"/>
        <v>34.799999999999997</v>
      </c>
      <c r="CC99" s="3">
        <f t="shared" si="757"/>
        <v>34.799999999999997</v>
      </c>
      <c r="CD99" s="3">
        <f t="shared" si="757"/>
        <v>34.799999999999997</v>
      </c>
      <c r="CE99" s="3">
        <f t="shared" si="757"/>
        <v>34.799999999999997</v>
      </c>
      <c r="CF99" s="3">
        <f t="shared" si="757"/>
        <v>34.799999999999997</v>
      </c>
      <c r="CG99" s="3">
        <f t="shared" si="757"/>
        <v>34.799999999999997</v>
      </c>
      <c r="CH99" s="3">
        <f t="shared" si="757"/>
        <v>34.799999999999997</v>
      </c>
      <c r="CI99" s="3">
        <f>+CJ99</f>
        <v>34.799999999999997</v>
      </c>
      <c r="CJ99" s="3">
        <f>'QTR Raw'!BD45</f>
        <v>34.799999999999997</v>
      </c>
      <c r="CK99" s="3">
        <f>'QTR Raw'!BE45</f>
        <v>34.799999999999997</v>
      </c>
      <c r="CL99" s="3">
        <f>'QTR Raw'!BF45</f>
        <v>34.799999999999997</v>
      </c>
      <c r="CM99" s="36">
        <f t="shared" ref="CM99:CM100" si="758">+CL99</f>
        <v>34.799999999999997</v>
      </c>
      <c r="CN99" s="36">
        <f t="shared" ref="CN99:CN100" si="759">+CM99</f>
        <v>34.799999999999997</v>
      </c>
      <c r="CO99" s="36">
        <f t="shared" ref="CO99:CO100" si="760">+CN99</f>
        <v>34.799999999999997</v>
      </c>
      <c r="CP99" s="36">
        <f t="shared" ref="CP99:CP100" si="761">+CO99</f>
        <v>34.799999999999997</v>
      </c>
      <c r="CQ99" s="36">
        <f t="shared" ref="CQ99:CQ100" si="762">+CP99</f>
        <v>34.799999999999997</v>
      </c>
      <c r="CR99" s="36">
        <f t="shared" ref="CR99:CR100" si="763">+CQ99</f>
        <v>34.799999999999997</v>
      </c>
      <c r="CS99" s="36">
        <f t="shared" ref="CS99:CS100" si="764">+CR99</f>
        <v>34.799999999999997</v>
      </c>
      <c r="CT99" s="36">
        <f t="shared" ref="CT99:CT100" si="765">+CS99</f>
        <v>34.799999999999997</v>
      </c>
      <c r="CU99" s="36">
        <f t="shared" ref="CU99:CU100" si="766">+CT99</f>
        <v>34.799999999999997</v>
      </c>
      <c r="CV99" s="36">
        <f t="shared" ref="CV99:CV100" si="767">+CU99</f>
        <v>34.799999999999997</v>
      </c>
      <c r="CW99" s="36">
        <f t="shared" ref="CW99:CW100" si="768">+CV99</f>
        <v>34.799999999999997</v>
      </c>
      <c r="CX99" s="36">
        <f t="shared" ref="CX99:CX100" si="769">+CW99</f>
        <v>34.799999999999997</v>
      </c>
      <c r="CY99" s="36">
        <f t="shared" ref="CY99:CY100" si="770">+CX99</f>
        <v>34.799999999999997</v>
      </c>
      <c r="CZ99" s="36">
        <f t="shared" ref="CZ99:CZ100" si="771">+CY99</f>
        <v>34.799999999999997</v>
      </c>
      <c r="DA99" s="36">
        <f t="shared" ref="DA99:DA100" si="772">+CZ99</f>
        <v>34.799999999999997</v>
      </c>
      <c r="DD99" s="133"/>
      <c r="DE99" s="3">
        <v>34.799999999999997</v>
      </c>
    </row>
    <row r="100" spans="1:109" s="3" customFormat="1" x14ac:dyDescent="0.2">
      <c r="A100" s="3" t="s">
        <v>28</v>
      </c>
      <c r="B100" s="3">
        <f>'Annual Raw'!C105</f>
        <v>10</v>
      </c>
      <c r="C100" s="3">
        <f>'Annual Raw'!D105</f>
        <v>10</v>
      </c>
      <c r="D100" s="3">
        <f>'Annual Raw'!E105</f>
        <v>10</v>
      </c>
      <c r="E100" s="3">
        <f t="shared" ref="E100:Y100" ca="1" si="773">+F100</f>
        <v>1</v>
      </c>
      <c r="F100" s="3">
        <f t="shared" ca="1" si="773"/>
        <v>1</v>
      </c>
      <c r="G100" s="3">
        <f t="shared" ca="1" si="773"/>
        <v>1</v>
      </c>
      <c r="H100" s="3">
        <f t="shared" ca="1" si="773"/>
        <v>1</v>
      </c>
      <c r="I100" s="3">
        <f t="shared" ca="1" si="773"/>
        <v>1</v>
      </c>
      <c r="J100" s="3">
        <f t="shared" ca="1" si="773"/>
        <v>1</v>
      </c>
      <c r="K100" s="3">
        <f t="shared" ca="1" si="773"/>
        <v>1</v>
      </c>
      <c r="L100" s="3">
        <f t="shared" ca="1" si="773"/>
        <v>1</v>
      </c>
      <c r="M100" s="3">
        <f t="shared" ca="1" si="773"/>
        <v>1</v>
      </c>
      <c r="N100" s="3">
        <f t="shared" ca="1" si="773"/>
        <v>1</v>
      </c>
      <c r="O100" s="3">
        <f t="shared" ca="1" si="773"/>
        <v>1</v>
      </c>
      <c r="P100" s="3">
        <f t="shared" ca="1" si="773"/>
        <v>1</v>
      </c>
      <c r="Q100" s="3">
        <f t="shared" ca="1" si="773"/>
        <v>1</v>
      </c>
      <c r="R100" s="3">
        <f t="shared" ca="1" si="773"/>
        <v>1</v>
      </c>
      <c r="S100" s="3">
        <f t="shared" ca="1" si="773"/>
        <v>1</v>
      </c>
      <c r="T100" s="3">
        <f t="shared" ca="1" si="773"/>
        <v>1</v>
      </c>
      <c r="U100" s="3">
        <f t="shared" ca="1" si="773"/>
        <v>1</v>
      </c>
      <c r="V100" s="3">
        <f t="shared" ca="1" si="773"/>
        <v>1</v>
      </c>
      <c r="W100" s="3">
        <f t="shared" ca="1" si="773"/>
        <v>1</v>
      </c>
      <c r="X100" s="3">
        <f t="shared" ca="1" si="773"/>
        <v>1</v>
      </c>
      <c r="Y100" s="3">
        <f t="shared" ca="1" si="773"/>
        <v>1</v>
      </c>
      <c r="Z100" s="3">
        <f ca="1">+AA100</f>
        <v>1</v>
      </c>
      <c r="AA100" s="3">
        <f ca="1">+AB100</f>
        <v>1</v>
      </c>
      <c r="AB100" s="36">
        <f t="shared" ca="1" si="753"/>
        <v>1</v>
      </c>
      <c r="AC100" s="36">
        <f t="shared" ca="1" si="754"/>
        <v>1</v>
      </c>
      <c r="AD100" s="36">
        <f t="shared" ca="1" si="755"/>
        <v>1</v>
      </c>
      <c r="AE100" s="36">
        <f t="shared" ca="1" si="756"/>
        <v>1</v>
      </c>
      <c r="AI100" s="3">
        <f t="shared" ref="AI100:CH100" si="774">AJ100</f>
        <v>2</v>
      </c>
      <c r="AJ100" s="3">
        <f t="shared" si="774"/>
        <v>2</v>
      </c>
      <c r="AK100" s="3">
        <f t="shared" si="774"/>
        <v>2</v>
      </c>
      <c r="AL100" s="3">
        <f t="shared" si="774"/>
        <v>2</v>
      </c>
      <c r="AM100" s="3">
        <f t="shared" si="774"/>
        <v>2</v>
      </c>
      <c r="AN100" s="3">
        <f t="shared" si="774"/>
        <v>2</v>
      </c>
      <c r="AO100" s="3">
        <f t="shared" si="774"/>
        <v>2</v>
      </c>
      <c r="AP100" s="3">
        <f t="shared" si="774"/>
        <v>2</v>
      </c>
      <c r="AQ100" s="3">
        <f t="shared" si="774"/>
        <v>2</v>
      </c>
      <c r="AR100" s="3">
        <f t="shared" si="774"/>
        <v>2</v>
      </c>
      <c r="AS100" s="3">
        <f t="shared" si="774"/>
        <v>2</v>
      </c>
      <c r="AT100" s="3">
        <f t="shared" si="774"/>
        <v>2</v>
      </c>
      <c r="AU100" s="3">
        <f t="shared" si="774"/>
        <v>2</v>
      </c>
      <c r="AV100" s="3">
        <f t="shared" si="774"/>
        <v>2</v>
      </c>
      <c r="AW100" s="3">
        <f t="shared" si="774"/>
        <v>2</v>
      </c>
      <c r="AX100" s="3">
        <f t="shared" si="774"/>
        <v>2</v>
      </c>
      <c r="AY100" s="3">
        <f t="shared" si="774"/>
        <v>2</v>
      </c>
      <c r="AZ100" s="3">
        <f t="shared" si="774"/>
        <v>2</v>
      </c>
      <c r="BA100" s="3">
        <f t="shared" si="774"/>
        <v>2</v>
      </c>
      <c r="BB100" s="3">
        <f t="shared" si="774"/>
        <v>2</v>
      </c>
      <c r="BC100" s="3">
        <f t="shared" si="774"/>
        <v>2</v>
      </c>
      <c r="BD100" s="3">
        <f t="shared" si="774"/>
        <v>2</v>
      </c>
      <c r="BE100" s="3">
        <f t="shared" si="774"/>
        <v>2</v>
      </c>
      <c r="BF100" s="3">
        <f t="shared" si="774"/>
        <v>2</v>
      </c>
      <c r="BG100" s="3">
        <f t="shared" si="774"/>
        <v>2</v>
      </c>
      <c r="BH100" s="3">
        <f t="shared" si="774"/>
        <v>2</v>
      </c>
      <c r="BI100" s="3">
        <f t="shared" si="774"/>
        <v>2</v>
      </c>
      <c r="BJ100" s="3">
        <f t="shared" si="774"/>
        <v>2</v>
      </c>
      <c r="BK100" s="3">
        <f t="shared" si="774"/>
        <v>2</v>
      </c>
      <c r="BL100" s="3">
        <f t="shared" si="774"/>
        <v>2</v>
      </c>
      <c r="BM100" s="3">
        <f t="shared" si="774"/>
        <v>2</v>
      </c>
      <c r="BN100" s="3">
        <f t="shared" si="774"/>
        <v>2</v>
      </c>
      <c r="BO100" s="3">
        <f t="shared" si="774"/>
        <v>2</v>
      </c>
      <c r="BP100" s="3">
        <f t="shared" si="774"/>
        <v>2</v>
      </c>
      <c r="BQ100" s="3">
        <f t="shared" si="774"/>
        <v>2</v>
      </c>
      <c r="BR100" s="3">
        <f t="shared" si="774"/>
        <v>2</v>
      </c>
      <c r="BS100" s="3">
        <f t="shared" si="774"/>
        <v>2</v>
      </c>
      <c r="BT100" s="3">
        <f t="shared" si="774"/>
        <v>2</v>
      </c>
      <c r="BU100" s="3">
        <f t="shared" si="774"/>
        <v>2</v>
      </c>
      <c r="BV100" s="3">
        <f t="shared" si="774"/>
        <v>2</v>
      </c>
      <c r="BW100" s="3">
        <f t="shared" si="774"/>
        <v>2</v>
      </c>
      <c r="BX100" s="3">
        <f t="shared" si="774"/>
        <v>2</v>
      </c>
      <c r="BY100" s="3">
        <f t="shared" si="774"/>
        <v>2</v>
      </c>
      <c r="BZ100" s="3">
        <f t="shared" si="774"/>
        <v>2</v>
      </c>
      <c r="CA100" s="3">
        <f t="shared" si="774"/>
        <v>2</v>
      </c>
      <c r="CB100" s="3">
        <f t="shared" si="774"/>
        <v>2</v>
      </c>
      <c r="CC100" s="3">
        <f t="shared" si="774"/>
        <v>2</v>
      </c>
      <c r="CD100" s="3">
        <f t="shared" si="774"/>
        <v>2</v>
      </c>
      <c r="CE100" s="3">
        <f t="shared" si="774"/>
        <v>2</v>
      </c>
      <c r="CF100" s="3">
        <f t="shared" si="774"/>
        <v>2</v>
      </c>
      <c r="CG100" s="3">
        <f t="shared" si="774"/>
        <v>2</v>
      </c>
      <c r="CH100" s="3">
        <f t="shared" si="774"/>
        <v>2</v>
      </c>
      <c r="CI100" s="3">
        <f>CJ100</f>
        <v>2</v>
      </c>
      <c r="CJ100" s="3">
        <f>'QTR Raw'!BD46</f>
        <v>2</v>
      </c>
      <c r="CK100" s="3">
        <f>'QTR Raw'!BE46</f>
        <v>2</v>
      </c>
      <c r="CL100" s="3">
        <f>'QTR Raw'!BF46</f>
        <v>2</v>
      </c>
      <c r="CM100" s="36">
        <f t="shared" si="758"/>
        <v>2</v>
      </c>
      <c r="CN100" s="36">
        <f t="shared" si="759"/>
        <v>2</v>
      </c>
      <c r="CO100" s="36">
        <f t="shared" si="760"/>
        <v>2</v>
      </c>
      <c r="CP100" s="36">
        <f t="shared" si="761"/>
        <v>2</v>
      </c>
      <c r="CQ100" s="36">
        <f t="shared" si="762"/>
        <v>2</v>
      </c>
      <c r="CR100" s="36">
        <f t="shared" si="763"/>
        <v>2</v>
      </c>
      <c r="CS100" s="36">
        <f t="shared" si="764"/>
        <v>2</v>
      </c>
      <c r="CT100" s="36">
        <f t="shared" si="765"/>
        <v>2</v>
      </c>
      <c r="CU100" s="36">
        <f t="shared" si="766"/>
        <v>2</v>
      </c>
      <c r="CV100" s="36">
        <f t="shared" si="767"/>
        <v>2</v>
      </c>
      <c r="CW100" s="36">
        <f t="shared" si="768"/>
        <v>2</v>
      </c>
      <c r="CX100" s="36">
        <f t="shared" si="769"/>
        <v>2</v>
      </c>
      <c r="CY100" s="36">
        <f t="shared" si="770"/>
        <v>2</v>
      </c>
      <c r="CZ100" s="36">
        <f t="shared" si="771"/>
        <v>2</v>
      </c>
      <c r="DA100" s="36">
        <f t="shared" si="772"/>
        <v>2</v>
      </c>
      <c r="DD100" s="133"/>
      <c r="DE100" s="3">
        <v>1</v>
      </c>
    </row>
    <row r="101" spans="1:109" s="3" customFormat="1" x14ac:dyDescent="0.2">
      <c r="A101" s="3" t="s">
        <v>29</v>
      </c>
      <c r="B101" s="3">
        <f>B99/B100</f>
        <v>1.7403</v>
      </c>
      <c r="C101" s="3">
        <f t="shared" ref="C101:W101" si="775">C99/C100</f>
        <v>1.7403</v>
      </c>
      <c r="D101" s="3">
        <f t="shared" si="775"/>
        <v>1.7403900000000001</v>
      </c>
      <c r="E101" s="3">
        <f t="shared" ca="1" si="775"/>
        <v>34.799999999999997</v>
      </c>
      <c r="F101" s="3">
        <f t="shared" ca="1" si="775"/>
        <v>34.799999999999997</v>
      </c>
      <c r="G101" s="3">
        <f t="shared" ca="1" si="775"/>
        <v>34.799999999999997</v>
      </c>
      <c r="H101" s="3">
        <f t="shared" ca="1" si="775"/>
        <v>34.799999999999997</v>
      </c>
      <c r="I101" s="3">
        <f t="shared" ca="1" si="775"/>
        <v>34.799999999999997</v>
      </c>
      <c r="J101" s="3">
        <f t="shared" ca="1" si="775"/>
        <v>34.799999999999997</v>
      </c>
      <c r="K101" s="3">
        <f t="shared" ca="1" si="775"/>
        <v>34.799999999999997</v>
      </c>
      <c r="L101" s="3">
        <f t="shared" ca="1" si="775"/>
        <v>34.799999999999997</v>
      </c>
      <c r="M101" s="3">
        <f t="shared" ca="1" si="775"/>
        <v>34.799999999999997</v>
      </c>
      <c r="N101" s="3">
        <f t="shared" ca="1" si="775"/>
        <v>34.799999999999997</v>
      </c>
      <c r="O101" s="3">
        <f t="shared" ca="1" si="775"/>
        <v>34.799999999999997</v>
      </c>
      <c r="P101" s="3">
        <f t="shared" ca="1" si="775"/>
        <v>34.799999999999997</v>
      </c>
      <c r="Q101" s="3">
        <f t="shared" ca="1" si="775"/>
        <v>34.799999999999997</v>
      </c>
      <c r="R101" s="3">
        <f t="shared" ca="1" si="775"/>
        <v>34.799999999999997</v>
      </c>
      <c r="S101" s="3">
        <f t="shared" ca="1" si="775"/>
        <v>34.799999999999997</v>
      </c>
      <c r="T101" s="3">
        <f t="shared" ca="1" si="775"/>
        <v>34.799999999999997</v>
      </c>
      <c r="U101" s="3">
        <f t="shared" ca="1" si="775"/>
        <v>34.799999999999997</v>
      </c>
      <c r="V101" s="3">
        <f ca="1">V99/V100</f>
        <v>34.799999999999997</v>
      </c>
      <c r="W101" s="3">
        <f t="shared" ca="1" si="775"/>
        <v>34.799999999999997</v>
      </c>
      <c r="X101" s="3">
        <f t="shared" ref="X101:Y101" ca="1" si="776">X99/X100</f>
        <v>34.799999999999997</v>
      </c>
      <c r="Y101" s="3">
        <f t="shared" ca="1" si="776"/>
        <v>34.799999999999997</v>
      </c>
      <c r="Z101" s="3">
        <f t="shared" ref="Z101:AA101" ca="1" si="777">Z99/Z100</f>
        <v>34.799999999999997</v>
      </c>
      <c r="AA101" s="3">
        <f t="shared" ref="AA101" ca="1" si="778">AA99/AA100</f>
        <v>34.799999999999997</v>
      </c>
      <c r="AB101" s="36">
        <f t="shared" ref="AB101:AD101" ca="1" si="779">AB99/AB100</f>
        <v>34.799999999999997</v>
      </c>
      <c r="AC101" s="36">
        <f t="shared" ca="1" si="779"/>
        <v>34.799999999999997</v>
      </c>
      <c r="AD101" s="36">
        <f t="shared" ca="1" si="779"/>
        <v>34.799999999999997</v>
      </c>
      <c r="AE101" s="36">
        <f t="shared" ref="AE101" ca="1" si="780">AE99/AE100</f>
        <v>34.799999999999997</v>
      </c>
      <c r="AI101" s="3">
        <f t="shared" ref="AI101" si="781">AI99/AI100</f>
        <v>17.399999999999999</v>
      </c>
      <c r="AJ101" s="3">
        <f t="shared" ref="AJ101" si="782">AJ99/AJ100</f>
        <v>17.399999999999999</v>
      </c>
      <c r="AK101" s="3">
        <f t="shared" ref="AK101:AM101" si="783">AK99/AK100</f>
        <v>17.399999999999999</v>
      </c>
      <c r="AL101" s="3">
        <f t="shared" si="783"/>
        <v>17.399999999999999</v>
      </c>
      <c r="AM101" s="3">
        <f t="shared" si="783"/>
        <v>17.399999999999999</v>
      </c>
      <c r="AN101" s="3">
        <f t="shared" ref="AN101:AO101" si="784">AN99/AN100</f>
        <v>17.399999999999999</v>
      </c>
      <c r="AO101" s="3">
        <f t="shared" si="784"/>
        <v>17.399999999999999</v>
      </c>
      <c r="AP101" s="3">
        <f t="shared" ref="AP101:CD101" si="785">AP99/AP100</f>
        <v>17.399999999999999</v>
      </c>
      <c r="AQ101" s="3">
        <f t="shared" si="785"/>
        <v>17.399999999999999</v>
      </c>
      <c r="AR101" s="3">
        <f t="shared" si="785"/>
        <v>17.399999999999999</v>
      </c>
      <c r="AS101" s="3">
        <f t="shared" si="785"/>
        <v>17.399999999999999</v>
      </c>
      <c r="AT101" s="3">
        <f t="shared" si="785"/>
        <v>17.399999999999999</v>
      </c>
      <c r="AU101" s="3">
        <f t="shared" si="785"/>
        <v>17.399999999999999</v>
      </c>
      <c r="AV101" s="3">
        <f t="shared" si="785"/>
        <v>17.399999999999999</v>
      </c>
      <c r="AW101" s="3">
        <f t="shared" si="785"/>
        <v>17.399999999999999</v>
      </c>
      <c r="AX101" s="3">
        <f t="shared" si="785"/>
        <v>17.399999999999999</v>
      </c>
      <c r="AY101" s="3">
        <f t="shared" si="785"/>
        <v>17.399999999999999</v>
      </c>
      <c r="AZ101" s="3">
        <f t="shared" si="785"/>
        <v>17.399999999999999</v>
      </c>
      <c r="BA101" s="3">
        <f t="shared" si="785"/>
        <v>17.399999999999999</v>
      </c>
      <c r="BB101" s="3">
        <f t="shared" si="785"/>
        <v>17.399999999999999</v>
      </c>
      <c r="BC101" s="3">
        <f t="shared" si="785"/>
        <v>17.399999999999999</v>
      </c>
      <c r="BD101" s="3">
        <f t="shared" si="785"/>
        <v>17.399999999999999</v>
      </c>
      <c r="BE101" s="3">
        <f t="shared" si="785"/>
        <v>17.399999999999999</v>
      </c>
      <c r="BF101" s="3">
        <f t="shared" si="785"/>
        <v>17.399999999999999</v>
      </c>
      <c r="BG101" s="3">
        <f t="shared" si="785"/>
        <v>17.399999999999999</v>
      </c>
      <c r="BH101" s="3">
        <f t="shared" si="785"/>
        <v>17.399999999999999</v>
      </c>
      <c r="BI101" s="3">
        <f t="shared" si="785"/>
        <v>17.399999999999999</v>
      </c>
      <c r="BJ101" s="3">
        <f t="shared" si="785"/>
        <v>17.399999999999999</v>
      </c>
      <c r="BK101" s="3">
        <f t="shared" si="785"/>
        <v>17.399999999999999</v>
      </c>
      <c r="BL101" s="3">
        <f t="shared" si="785"/>
        <v>17.399999999999999</v>
      </c>
      <c r="BM101" s="3">
        <f t="shared" si="785"/>
        <v>17.399999999999999</v>
      </c>
      <c r="BN101" s="3">
        <f t="shared" si="785"/>
        <v>17.399999999999999</v>
      </c>
      <c r="BO101" s="3">
        <f t="shared" si="785"/>
        <v>17.399999999999999</v>
      </c>
      <c r="BP101" s="3">
        <f t="shared" si="785"/>
        <v>17.399999999999999</v>
      </c>
      <c r="BQ101" s="3">
        <f t="shared" si="785"/>
        <v>17.399999999999999</v>
      </c>
      <c r="BR101" s="3">
        <f t="shared" si="785"/>
        <v>17.399999999999999</v>
      </c>
      <c r="BS101" s="3">
        <f t="shared" si="785"/>
        <v>17.399999999999999</v>
      </c>
      <c r="BT101" s="3">
        <f t="shared" si="785"/>
        <v>17.399999999999999</v>
      </c>
      <c r="BU101" s="3">
        <f t="shared" si="785"/>
        <v>17.399999999999999</v>
      </c>
      <c r="BV101" s="3">
        <f t="shared" si="785"/>
        <v>17.399999999999999</v>
      </c>
      <c r="BW101" s="3">
        <f t="shared" si="785"/>
        <v>17.399999999999999</v>
      </c>
      <c r="BX101" s="3">
        <f t="shared" si="785"/>
        <v>17.399999999999999</v>
      </c>
      <c r="BY101" s="3">
        <f t="shared" si="785"/>
        <v>17.399999999999999</v>
      </c>
      <c r="BZ101" s="3">
        <f t="shared" si="785"/>
        <v>17.399999999999999</v>
      </c>
      <c r="CA101" s="3">
        <f t="shared" si="785"/>
        <v>17.399999999999999</v>
      </c>
      <c r="CB101" s="3">
        <f t="shared" si="785"/>
        <v>17.399999999999999</v>
      </c>
      <c r="CC101" s="3">
        <f t="shared" si="785"/>
        <v>17.399999999999999</v>
      </c>
      <c r="CD101" s="3">
        <f t="shared" si="785"/>
        <v>17.399999999999999</v>
      </c>
      <c r="CE101" s="3">
        <f t="shared" ref="CE101:CF101" si="786">CE99/CE100</f>
        <v>17.399999999999999</v>
      </c>
      <c r="CF101" s="3">
        <f t="shared" si="786"/>
        <v>17.399999999999999</v>
      </c>
      <c r="CG101" s="3">
        <f t="shared" ref="CG101:CH101" si="787">CG99/CG100</f>
        <v>17.399999999999999</v>
      </c>
      <c r="CH101" s="3">
        <f t="shared" si="787"/>
        <v>17.399999999999999</v>
      </c>
      <c r="CI101" s="3">
        <f t="shared" ref="CI101:CJ101" si="788">CI99/CI100</f>
        <v>17.399999999999999</v>
      </c>
      <c r="CJ101" s="3">
        <f t="shared" si="788"/>
        <v>17.399999999999999</v>
      </c>
      <c r="CK101" s="3">
        <f t="shared" ref="CK101:CL101" si="789">CK99/CK100</f>
        <v>17.399999999999999</v>
      </c>
      <c r="CL101" s="3">
        <f t="shared" si="789"/>
        <v>17.399999999999999</v>
      </c>
      <c r="CM101" s="36">
        <f t="shared" ref="CM101:DA101" si="790">CM99/CM100</f>
        <v>17.399999999999999</v>
      </c>
      <c r="CN101" s="36">
        <f t="shared" si="790"/>
        <v>17.399999999999999</v>
      </c>
      <c r="CO101" s="36">
        <f t="shared" si="790"/>
        <v>17.399999999999999</v>
      </c>
      <c r="CP101" s="36">
        <f t="shared" si="790"/>
        <v>17.399999999999999</v>
      </c>
      <c r="CQ101" s="36">
        <f t="shared" si="790"/>
        <v>17.399999999999999</v>
      </c>
      <c r="CR101" s="36">
        <f t="shared" si="790"/>
        <v>17.399999999999999</v>
      </c>
      <c r="CS101" s="36">
        <f t="shared" si="790"/>
        <v>17.399999999999999</v>
      </c>
      <c r="CT101" s="36">
        <f t="shared" si="790"/>
        <v>17.399999999999999</v>
      </c>
      <c r="CU101" s="36">
        <f t="shared" si="790"/>
        <v>17.399999999999999</v>
      </c>
      <c r="CV101" s="36">
        <f t="shared" si="790"/>
        <v>17.399999999999999</v>
      </c>
      <c r="CW101" s="36">
        <f t="shared" si="790"/>
        <v>17.399999999999999</v>
      </c>
      <c r="CX101" s="36">
        <f t="shared" si="790"/>
        <v>17.399999999999999</v>
      </c>
      <c r="CY101" s="36">
        <f t="shared" si="790"/>
        <v>17.399999999999999</v>
      </c>
      <c r="CZ101" s="36">
        <f t="shared" si="790"/>
        <v>17.399999999999999</v>
      </c>
      <c r="DA101" s="36">
        <f t="shared" si="790"/>
        <v>17.399999999999999</v>
      </c>
      <c r="DD101" s="133"/>
      <c r="DE101" s="3">
        <v>34.799999999999997</v>
      </c>
    </row>
    <row r="102" spans="1:109" s="52" customFormat="1" x14ac:dyDescent="0.2">
      <c r="A102" s="52" t="s">
        <v>30</v>
      </c>
      <c r="B102" s="52">
        <f t="shared" ref="B102:AE102" si="791">(B84-B83)/B101</f>
        <v>8.5420904441763099</v>
      </c>
      <c r="C102" s="52">
        <f t="shared" si="791"/>
        <v>4.7587197609607577</v>
      </c>
      <c r="D102" s="52">
        <f t="shared" si="791"/>
        <v>6.7747458902889459</v>
      </c>
      <c r="E102" s="52">
        <f t="shared" ca="1" si="791"/>
        <v>0.58065229885057468</v>
      </c>
      <c r="F102" s="52">
        <f t="shared" ca="1" si="791"/>
        <v>0.86278735632183801</v>
      </c>
      <c r="G102" s="52">
        <f t="shared" ca="1" si="791"/>
        <v>1.1344080459770114</v>
      </c>
      <c r="H102" s="52">
        <f t="shared" ca="1" si="791"/>
        <v>1.5999022988505749</v>
      </c>
      <c r="I102" s="52">
        <f t="shared" ca="1" si="791"/>
        <v>1.4332040229885057</v>
      </c>
      <c r="J102" s="52">
        <f t="shared" ca="1" si="791"/>
        <v>2.0304425287356311</v>
      </c>
      <c r="K102" s="52">
        <f t="shared" ca="1" si="791"/>
        <v>2.0415000000000036</v>
      </c>
      <c r="L102" s="52">
        <f t="shared" ca="1" si="791"/>
        <v>1.6782241379310361</v>
      </c>
      <c r="M102" s="52">
        <f t="shared" ca="1" si="791"/>
        <v>1.4063218390804593</v>
      </c>
      <c r="N102" s="52">
        <f t="shared" ca="1" si="791"/>
        <v>1.8269827586206899</v>
      </c>
      <c r="O102" s="52">
        <f t="shared" ca="1" si="791"/>
        <v>1.9185057471264353</v>
      </c>
      <c r="P102" s="52">
        <f t="shared" ca="1" si="791"/>
        <v>1.9662068965517256</v>
      </c>
      <c r="Q102" s="52">
        <f t="shared" ca="1" si="791"/>
        <v>1.9750574712643671</v>
      </c>
      <c r="R102" s="52">
        <f t="shared" ca="1" si="791"/>
        <v>1.9690804597701159</v>
      </c>
      <c r="S102" s="52">
        <f t="shared" ca="1" si="791"/>
        <v>2.0369252873563219</v>
      </c>
      <c r="T102" s="52">
        <f t="shared" ca="1" si="791"/>
        <v>2.0576724137931062</v>
      </c>
      <c r="U102" s="52">
        <f t="shared" ca="1" si="791"/>
        <v>2.5284770114942479</v>
      </c>
      <c r="V102" s="52">
        <f t="shared" ca="1" si="791"/>
        <v>2.6949425287356297</v>
      </c>
      <c r="W102" s="52">
        <f t="shared" ca="1" si="791"/>
        <v>4.2927873563218393</v>
      </c>
      <c r="X102" s="52">
        <f t="shared" ca="1" si="791"/>
        <v>5.2511781609195411</v>
      </c>
      <c r="Y102" s="52">
        <f t="shared" ca="1" si="791"/>
        <v>5.9980747126436729</v>
      </c>
      <c r="Z102" s="52">
        <f t="shared" ca="1" si="791"/>
        <v>7.1113505747126595</v>
      </c>
      <c r="AA102" s="52">
        <f t="shared" ref="AA102" ca="1" si="792">(AA84-AA83)/AA101</f>
        <v>7.1113505747126595</v>
      </c>
      <c r="AB102" s="53">
        <f t="shared" ca="1" si="791"/>
        <v>9.0347194993396265</v>
      </c>
      <c r="AC102" s="53">
        <f t="shared" ca="1" si="791"/>
        <v>10.350622233504764</v>
      </c>
      <c r="AD102" s="53">
        <f t="shared" ca="1" si="791"/>
        <v>11.489683675256574</v>
      </c>
      <c r="AE102" s="53">
        <f t="shared" ca="1" si="791"/>
        <v>13.067296760391345</v>
      </c>
      <c r="AI102" s="52">
        <f t="shared" ref="AI102:BN102" si="793">(AI84-AI83)/AI101</f>
        <v>1.0034482758620686</v>
      </c>
      <c r="AJ102" s="52">
        <f t="shared" si="793"/>
        <v>0.74252873563218491</v>
      </c>
      <c r="AK102" s="52">
        <f t="shared" si="793"/>
        <v>1.1229885057471263</v>
      </c>
      <c r="AL102" s="52">
        <f t="shared" si="793"/>
        <v>0.89712643678160919</v>
      </c>
      <c r="AM102" s="52">
        <f t="shared" si="793"/>
        <v>0.88850574712643571</v>
      </c>
      <c r="AN102" s="52">
        <f t="shared" si="793"/>
        <v>1.0287356321839092</v>
      </c>
      <c r="AO102" s="52">
        <f t="shared" si="793"/>
        <v>0.62011494252873567</v>
      </c>
      <c r="AP102" s="52">
        <f t="shared" si="793"/>
        <v>0.86954022988505808</v>
      </c>
      <c r="AQ102" s="52">
        <f t="shared" si="793"/>
        <v>1.2902298850574716</v>
      </c>
      <c r="AR102" s="52">
        <f t="shared" si="793"/>
        <v>1.0270114942528745</v>
      </c>
      <c r="AS102" s="52">
        <f t="shared" si="793"/>
        <v>0.57298850574712623</v>
      </c>
      <c r="AT102" s="52">
        <f t="shared" si="793"/>
        <v>0.36839080459769968</v>
      </c>
      <c r="AU102" s="52">
        <f t="shared" si="793"/>
        <v>1.2770114942528719</v>
      </c>
      <c r="AV102" s="52">
        <f t="shared" si="793"/>
        <v>0.96839080459770133</v>
      </c>
      <c r="AW102" s="52">
        <f t="shared" si="793"/>
        <v>1.39942528735632</v>
      </c>
      <c r="AX102" s="52">
        <f t="shared" si="793"/>
        <v>0.96839080459770177</v>
      </c>
      <c r="AY102" s="52">
        <f t="shared" si="793"/>
        <v>0.990229885057472</v>
      </c>
      <c r="AZ102" s="52">
        <f t="shared" si="793"/>
        <v>0.49827586206896596</v>
      </c>
      <c r="BA102" s="52">
        <f t="shared" si="793"/>
        <v>1.2982758620689658</v>
      </c>
      <c r="BB102" s="52">
        <f t="shared" si="793"/>
        <v>0.76436781609195459</v>
      </c>
      <c r="BC102" s="52">
        <f t="shared" si="793"/>
        <v>0.87931034482758552</v>
      </c>
      <c r="BD102" s="52">
        <f t="shared" si="793"/>
        <v>0.66666666666666652</v>
      </c>
      <c r="BE102" s="52">
        <f t="shared" si="793"/>
        <v>1.5747126436781593</v>
      </c>
      <c r="BF102" s="52">
        <f t="shared" si="793"/>
        <v>0.71839080459770199</v>
      </c>
      <c r="BG102" s="52">
        <f t="shared" si="793"/>
        <v>0.88505747126436674</v>
      </c>
      <c r="BH102" s="52">
        <f t="shared" si="793"/>
        <v>0.97701149425287326</v>
      </c>
      <c r="BI102" s="52">
        <f t="shared" si="793"/>
        <v>1.5344827586206913</v>
      </c>
      <c r="BJ102" s="52">
        <f t="shared" si="793"/>
        <v>0.95402298850574485</v>
      </c>
      <c r="BK102" s="52">
        <f t="shared" si="793"/>
        <v>0.75287356321839038</v>
      </c>
      <c r="BL102" s="52">
        <f t="shared" si="793"/>
        <v>1.4770114942528747</v>
      </c>
      <c r="BM102" s="52">
        <f t="shared" si="793"/>
        <v>1.8735632183908049</v>
      </c>
      <c r="BN102" s="52">
        <f t="shared" si="793"/>
        <v>0.62643678160919614</v>
      </c>
      <c r="BO102" s="52">
        <f t="shared" ref="BO102:CT102" si="794">(BO84-BO83)/BO101</f>
        <v>0.47126436781609249</v>
      </c>
      <c r="BP102" s="52">
        <f t="shared" si="794"/>
        <v>2.4540229885057476</v>
      </c>
      <c r="BQ102" s="52">
        <f t="shared" si="794"/>
        <v>1.8390804597701143</v>
      </c>
      <c r="BR102" s="52">
        <f t="shared" si="794"/>
        <v>2.5229885057471271</v>
      </c>
      <c r="BS102" s="52">
        <f t="shared" si="794"/>
        <v>1.5632183908045993</v>
      </c>
      <c r="BT102" s="52">
        <f t="shared" si="794"/>
        <v>2.2356321839080486</v>
      </c>
      <c r="BU102" s="52">
        <f t="shared" si="794"/>
        <v>2.2643678160919563</v>
      </c>
      <c r="BV102" s="52">
        <f t="shared" si="794"/>
        <v>2.3218390804597693</v>
      </c>
      <c r="BW102" s="52">
        <f t="shared" si="794"/>
        <v>2.7241379310344809</v>
      </c>
      <c r="BX102" s="52">
        <f t="shared" si="794"/>
        <v>2.2413793103448296</v>
      </c>
      <c r="BY102" s="52">
        <f t="shared" si="794"/>
        <v>3.2126436781609193</v>
      </c>
      <c r="BZ102" s="52">
        <f t="shared" si="794"/>
        <v>2.3505747126436778</v>
      </c>
      <c r="CA102" s="52">
        <f t="shared" si="794"/>
        <v>3.6091954022988499</v>
      </c>
      <c r="CB102" s="52">
        <f t="shared" si="794"/>
        <v>2.8793103448275907</v>
      </c>
      <c r="CC102" s="52">
        <f t="shared" si="794"/>
        <v>3.1551724137931045</v>
      </c>
      <c r="CD102" s="52">
        <f t="shared" si="794"/>
        <v>2.5632183908046002</v>
      </c>
      <c r="CE102" s="52">
        <f t="shared" si="794"/>
        <v>3.9137931034482749</v>
      </c>
      <c r="CF102" s="52">
        <f t="shared" si="794"/>
        <v>3.5459770114942515</v>
      </c>
      <c r="CG102" s="52">
        <f t="shared" si="794"/>
        <v>4.2011494252873556</v>
      </c>
      <c r="CH102" s="52">
        <f t="shared" si="794"/>
        <v>2.9655172413793132</v>
      </c>
      <c r="CI102" s="52">
        <f t="shared" si="794"/>
        <v>4.0459770114942568</v>
      </c>
      <c r="CJ102" s="52">
        <f t="shared" si="794"/>
        <v>3.8793103448275907</v>
      </c>
      <c r="CK102" s="52">
        <f t="shared" ref="CK102:CL102" si="795">(CK84-CK83)/CK101</f>
        <v>6.1206896551724137</v>
      </c>
      <c r="CL102" s="52">
        <f t="shared" si="795"/>
        <v>2.287356321839078</v>
      </c>
      <c r="CM102" s="53">
        <f t="shared" si="794"/>
        <v>5.2858946493556012</v>
      </c>
      <c r="CN102" s="53">
        <f t="shared" si="794"/>
        <v>4.3212293186572408</v>
      </c>
      <c r="CO102" s="53">
        <f t="shared" si="794"/>
        <v>6.174958708827357</v>
      </c>
      <c r="CP102" s="53">
        <f t="shared" si="794"/>
        <v>3.0426970060871672</v>
      </c>
      <c r="CQ102" s="53">
        <f t="shared" si="794"/>
        <v>5.7568083728154669</v>
      </c>
      <c r="CR102" s="53">
        <f t="shared" si="794"/>
        <v>4.8784184420511529</v>
      </c>
      <c r="CS102" s="53">
        <f t="shared" si="794"/>
        <v>7.0233206460557573</v>
      </c>
      <c r="CT102" s="53">
        <f t="shared" si="794"/>
        <v>3.4367359176482517</v>
      </c>
      <c r="CU102" s="53">
        <f t="shared" ref="CU102:DA102" si="796">(CU84-CU83)/CU101</f>
        <v>6.3696579577515449</v>
      </c>
      <c r="CV102" s="53">
        <f t="shared" si="796"/>
        <v>5.3961741602779831</v>
      </c>
      <c r="CW102" s="53">
        <f t="shared" si="796"/>
        <v>7.7767993148353431</v>
      </c>
      <c r="CX102" s="53">
        <f t="shared" si="796"/>
        <v>3.9878314004354447</v>
      </c>
      <c r="CY102" s="53">
        <f t="shared" si="796"/>
        <v>7.2149873021783675</v>
      </c>
      <c r="CZ102" s="53">
        <f t="shared" si="796"/>
        <v>6.151716873368267</v>
      </c>
      <c r="DA102" s="53">
        <f t="shared" si="796"/>
        <v>8.7800579448005998</v>
      </c>
      <c r="DD102" s="131"/>
      <c r="DE102" s="52">
        <v>8.5057471264367717</v>
      </c>
    </row>
    <row r="103" spans="1:109" s="3" customFormat="1" x14ac:dyDescent="0.2">
      <c r="A103" s="3" t="s">
        <v>31</v>
      </c>
      <c r="B103" s="3">
        <f>'Annual Raw'!C110</f>
        <v>0.3</v>
      </c>
      <c r="C103" s="3">
        <f>'Annual Raw'!D110</f>
        <v>0.3</v>
      </c>
      <c r="D103" s="3">
        <f>'Annual Raw'!E110</f>
        <v>0.3</v>
      </c>
      <c r="E103" s="3">
        <f>'Annual Raw'!F110</f>
        <v>0.35</v>
      </c>
      <c r="F103" s="3">
        <f>'Annual Raw'!G110</f>
        <v>0.4</v>
      </c>
      <c r="G103" s="3">
        <f>'Annual Raw'!H110</f>
        <v>0.45</v>
      </c>
      <c r="H103" s="3">
        <f>'Annual Raw'!I110</f>
        <v>0.55000000000000004</v>
      </c>
      <c r="I103" s="3">
        <f>'Annual Raw'!J110</f>
        <v>0.55000000000000004</v>
      </c>
      <c r="J103" s="3">
        <f>'Annual Raw'!K110</f>
        <v>0.55000000000000004</v>
      </c>
      <c r="K103" s="3">
        <f>'Annual Raw'!L110</f>
        <v>1.25</v>
      </c>
      <c r="L103" s="3">
        <f>'Annual Raw'!M110</f>
        <v>1</v>
      </c>
      <c r="M103" s="3">
        <f>'Annual Raw'!N110</f>
        <v>0.8</v>
      </c>
      <c r="N103" s="3">
        <f>'Annual Raw'!O110</f>
        <v>1.1000000000000001</v>
      </c>
      <c r="O103" s="3">
        <f>'Annual Raw'!P110</f>
        <v>1.1000000000000001</v>
      </c>
      <c r="P103" s="3">
        <f>'Annual Raw'!Q110</f>
        <v>1.1000000000000001</v>
      </c>
      <c r="Q103" s="3">
        <f>'Annual Raw'!R110</f>
        <v>1.1000000000000001</v>
      </c>
      <c r="R103" s="3">
        <f>'Annual Raw'!S110</f>
        <v>1.1000000000000001</v>
      </c>
      <c r="S103" s="3">
        <f>'Annual Raw'!T110</f>
        <v>1.2</v>
      </c>
      <c r="T103" s="3">
        <f>'Annual Raw'!U110</f>
        <v>1.2</v>
      </c>
      <c r="U103" s="3">
        <f>'Annual Raw'!V110</f>
        <v>1.6</v>
      </c>
      <c r="V103" s="3">
        <f>'Annual Raw'!W110</f>
        <v>1.7</v>
      </c>
      <c r="W103" s="3">
        <f>'Annual Raw'!X110</f>
        <v>2.5</v>
      </c>
      <c r="X103" s="3">
        <f>'Annual Raw'!Y110</f>
        <v>3</v>
      </c>
      <c r="Y103" s="3">
        <f>'Annual Raw'!Z110</f>
        <v>3.5</v>
      </c>
      <c r="Z103" s="3">
        <f>'Annual Raw'!AA110</f>
        <v>4</v>
      </c>
      <c r="AA103" s="3">
        <f>'Annual Raw'!AB110</f>
        <v>4.4000000000000004</v>
      </c>
      <c r="AB103" s="36"/>
      <c r="AC103" s="36"/>
      <c r="AD103" s="36"/>
      <c r="AE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D103" s="133"/>
      <c r="DE103" s="3">
        <v>4.4000000000000004</v>
      </c>
    </row>
    <row r="104" spans="1:109" s="3" customFormat="1" x14ac:dyDescent="0.2">
      <c r="A104" s="3" t="s">
        <v>32</v>
      </c>
      <c r="B104" s="3">
        <f>B103/B102</f>
        <v>3.5120208801409869E-2</v>
      </c>
      <c r="C104" s="3">
        <f t="shared" ref="C104:U104" si="797">C103/C102</f>
        <v>6.3042165765069505E-2</v>
      </c>
      <c r="D104" s="3">
        <f t="shared" si="797"/>
        <v>4.4282103691892845E-2</v>
      </c>
      <c r="E104" s="3">
        <f t="shared" ca="1" si="797"/>
        <v>0.60277036824419628</v>
      </c>
      <c r="F104" s="3">
        <f t="shared" ca="1" si="797"/>
        <v>0.46361365528726123</v>
      </c>
      <c r="G104" s="3">
        <f t="shared" ca="1" si="797"/>
        <v>0.39668265893903859</v>
      </c>
      <c r="H104" s="3">
        <f t="shared" ca="1" si="797"/>
        <v>0.34377099176314646</v>
      </c>
      <c r="I104" s="3">
        <f t="shared" ca="1" si="797"/>
        <v>0.38375555132279382</v>
      </c>
      <c r="J104" s="3">
        <f t="shared" ca="1" si="797"/>
        <v>0.27087691092763327</v>
      </c>
      <c r="K104" s="3">
        <f t="shared" ca="1" si="797"/>
        <v>0.61229488121479192</v>
      </c>
      <c r="L104" s="3">
        <f t="shared" ca="1" si="797"/>
        <v>0.5958679638780725</v>
      </c>
      <c r="M104" s="3">
        <f t="shared" ca="1" si="797"/>
        <v>0.56885982836125892</v>
      </c>
      <c r="N104" s="3">
        <f t="shared" ca="1" si="797"/>
        <v>0.60208559430000463</v>
      </c>
      <c r="O104" s="3">
        <f t="shared" ca="1" si="797"/>
        <v>0.57336289018033715</v>
      </c>
      <c r="P104" s="3">
        <f t="shared" ca="1" si="797"/>
        <v>0.55945282357067661</v>
      </c>
      <c r="Q104" s="3">
        <f t="shared" ca="1" si="797"/>
        <v>0.55694581854158198</v>
      </c>
      <c r="R104" s="3">
        <f t="shared" ca="1" si="797"/>
        <v>0.55863639016986721</v>
      </c>
      <c r="S104" s="3">
        <f t="shared" ca="1" si="797"/>
        <v>0.58912322776327852</v>
      </c>
      <c r="T104" s="3">
        <f t="shared" ca="1" si="797"/>
        <v>0.58318320834555204</v>
      </c>
      <c r="U104" s="3">
        <f t="shared" ca="1" si="797"/>
        <v>0.63279199008989684</v>
      </c>
      <c r="V104" s="3">
        <f ca="1">V103/V102</f>
        <v>0.63081122579544546</v>
      </c>
      <c r="W104" s="3">
        <f t="shared" ref="W104" ca="1" si="798">W103/W102</f>
        <v>0.58237219607869384</v>
      </c>
      <c r="X104" s="3">
        <f t="shared" ref="X104:Y104" ca="1" si="799">X103/X102</f>
        <v>0.57130036499745529</v>
      </c>
      <c r="Y104" s="3">
        <f t="shared" ca="1" si="799"/>
        <v>0.58352057413058844</v>
      </c>
      <c r="Z104" s="3">
        <f t="shared" ref="Z104:AA104" ca="1" si="800">Z103/Z102</f>
        <v>0.56248105869279597</v>
      </c>
      <c r="AA104" s="3">
        <f t="shared" ref="AA104" ca="1" si="801">AA103/AA102</f>
        <v>0.56248105869279597</v>
      </c>
      <c r="AB104" s="36">
        <f t="shared" ref="AB104:AD104" ca="1" si="802">AB103/AB102</f>
        <v>0</v>
      </c>
      <c r="AC104" s="36">
        <f t="shared" ca="1" si="802"/>
        <v>0</v>
      </c>
      <c r="AD104" s="36">
        <f t="shared" ca="1" si="802"/>
        <v>0</v>
      </c>
      <c r="AE104" s="36">
        <f t="shared" ref="AE104" ca="1" si="803">AE103/AE102</f>
        <v>0</v>
      </c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D104" s="133"/>
      <c r="DE104" s="3">
        <v>0</v>
      </c>
    </row>
    <row r="105" spans="1:109" s="3" customFormat="1" x14ac:dyDescent="0.2">
      <c r="A105" s="3" t="s">
        <v>33</v>
      </c>
      <c r="B105" s="3">
        <f>+B102</f>
        <v>8.5420904441763099</v>
      </c>
      <c r="C105" s="3">
        <f t="shared" ref="C105:U105" si="804">+C102</f>
        <v>4.7587197609607577</v>
      </c>
      <c r="D105" s="3">
        <f t="shared" si="804"/>
        <v>6.7747458902889459</v>
      </c>
      <c r="E105" s="3">
        <f t="shared" ca="1" si="804"/>
        <v>0.58065229885057468</v>
      </c>
      <c r="F105" s="3">
        <f t="shared" ca="1" si="804"/>
        <v>0.86278735632183801</v>
      </c>
      <c r="G105" s="3">
        <f t="shared" ca="1" si="804"/>
        <v>1.1344080459770114</v>
      </c>
      <c r="H105" s="3">
        <f t="shared" ca="1" si="804"/>
        <v>1.5999022988505749</v>
      </c>
      <c r="I105" s="3">
        <f t="shared" ca="1" si="804"/>
        <v>1.4332040229885057</v>
      </c>
      <c r="J105" s="3">
        <f t="shared" ca="1" si="804"/>
        <v>2.0304425287356311</v>
      </c>
      <c r="K105" s="3">
        <f t="shared" ca="1" si="804"/>
        <v>2.0415000000000036</v>
      </c>
      <c r="L105" s="3">
        <f t="shared" ca="1" si="804"/>
        <v>1.6782241379310361</v>
      </c>
      <c r="M105" s="3">
        <f t="shared" ca="1" si="804"/>
        <v>1.4063218390804593</v>
      </c>
      <c r="N105" s="3">
        <f t="shared" ca="1" si="804"/>
        <v>1.8269827586206899</v>
      </c>
      <c r="O105" s="3">
        <f t="shared" ca="1" si="804"/>
        <v>1.9185057471264353</v>
      </c>
      <c r="P105" s="3">
        <f t="shared" ca="1" si="804"/>
        <v>1.9662068965517256</v>
      </c>
      <c r="Q105" s="3">
        <f t="shared" ca="1" si="804"/>
        <v>1.9750574712643671</v>
      </c>
      <c r="R105" s="3">
        <f t="shared" ca="1" si="804"/>
        <v>1.9690804597701159</v>
      </c>
      <c r="S105" s="3">
        <f t="shared" ca="1" si="804"/>
        <v>2.0369252873563219</v>
      </c>
      <c r="T105" s="3">
        <f ca="1">+T102</f>
        <v>2.0576724137931062</v>
      </c>
      <c r="U105" s="3">
        <f t="shared" ca="1" si="804"/>
        <v>2.5284770114942479</v>
      </c>
      <c r="V105" s="3">
        <f ca="1">+V102</f>
        <v>2.6949425287356297</v>
      </c>
      <c r="W105" s="3">
        <f t="shared" ref="W105" ca="1" si="805">+W102</f>
        <v>4.2927873563218393</v>
      </c>
      <c r="X105" s="3">
        <f t="shared" ref="X105:Y105" ca="1" si="806">+X102</f>
        <v>5.2511781609195411</v>
      </c>
      <c r="Y105" s="3">
        <f t="shared" ca="1" si="806"/>
        <v>5.9980747126436729</v>
      </c>
      <c r="Z105" s="3">
        <f t="shared" ref="Z105:AA105" ca="1" si="807">+Z102</f>
        <v>7.1113505747126595</v>
      </c>
      <c r="AA105" s="3">
        <f t="shared" ref="AA105" ca="1" si="808">+AA102</f>
        <v>7.1113505747126595</v>
      </c>
      <c r="AB105" s="36">
        <f t="shared" ref="AB105:AD105" ca="1" si="809">+AB102</f>
        <v>9.0347194993396265</v>
      </c>
      <c r="AC105" s="36">
        <f t="shared" ca="1" si="809"/>
        <v>10.350622233504764</v>
      </c>
      <c r="AD105" s="36">
        <f t="shared" ca="1" si="809"/>
        <v>11.489683675256574</v>
      </c>
      <c r="AE105" s="36">
        <f t="shared" ref="AE105" ca="1" si="810">+AE102</f>
        <v>13.067296760391345</v>
      </c>
      <c r="AL105" s="3">
        <f>SUM(AI102:AL102)</f>
        <v>3.7660919540229889</v>
      </c>
      <c r="AM105" s="3">
        <f t="shared" ref="AM105" si="811">SUM(AJ102:AM102)</f>
        <v>3.6511494252873562</v>
      </c>
      <c r="AN105" s="3">
        <f t="shared" ref="AN105" si="812">SUM(AK102:AN102)</f>
        <v>3.9373563218390801</v>
      </c>
      <c r="AO105" s="3">
        <f t="shared" ref="AO105" si="813">SUM(AL102:AO102)</f>
        <v>3.4344827586206894</v>
      </c>
      <c r="AP105" s="3">
        <f t="shared" ref="AP105" si="814">SUM(AM102:AP102)</f>
        <v>3.406896551724139</v>
      </c>
      <c r="AQ105" s="3">
        <f t="shared" ref="AQ105" si="815">SUM(AN102:AQ102)</f>
        <v>3.8086206896551751</v>
      </c>
      <c r="AR105" s="3">
        <f t="shared" ref="AR105" si="816">SUM(AO102:AR102)</f>
        <v>3.8068965517241398</v>
      </c>
      <c r="AS105" s="3">
        <f t="shared" ref="AS105" si="817">SUM(AP102:AS102)</f>
        <v>3.7597701149425307</v>
      </c>
      <c r="AT105" s="3">
        <f t="shared" ref="AT105" si="818">SUM(AQ102:AT102)</f>
        <v>3.2586206896551722</v>
      </c>
      <c r="AU105" s="3">
        <f t="shared" ref="AU105" si="819">SUM(AR102:AU102)</f>
        <v>3.2454022988505722</v>
      </c>
      <c r="AV105" s="3">
        <f t="shared" ref="AV105" si="820">SUM(AS102:AV102)</f>
        <v>3.1867816091953989</v>
      </c>
      <c r="AW105" s="3">
        <f t="shared" ref="AW105" si="821">SUM(AT102:AW102)</f>
        <v>4.0132183908045924</v>
      </c>
      <c r="AX105" s="3">
        <f t="shared" ref="AX105" si="822">SUM(AU102:AX102)</f>
        <v>4.6132183908045947</v>
      </c>
      <c r="AY105" s="3">
        <f t="shared" ref="AY105" si="823">SUM(AV102:AY102)</f>
        <v>4.3264367816091944</v>
      </c>
      <c r="AZ105" s="3">
        <f t="shared" ref="AZ105" si="824">SUM(AW102:AZ102)</f>
        <v>3.8563218390804597</v>
      </c>
      <c r="BA105" s="3">
        <f t="shared" ref="BA105" si="825">SUM(AX102:BA102)</f>
        <v>3.7551724137931055</v>
      </c>
      <c r="BB105" s="3">
        <f t="shared" ref="BB105" si="826">SUM(AY102:BB102)</f>
        <v>3.5511494252873583</v>
      </c>
      <c r="BC105" s="3">
        <f t="shared" ref="BC105" si="827">SUM(AZ102:BC102)</f>
        <v>3.4402298850574717</v>
      </c>
      <c r="BD105" s="3">
        <f t="shared" ref="BD105" si="828">SUM(BA102:BD102)</f>
        <v>3.6086206896551722</v>
      </c>
      <c r="BE105" s="3">
        <f t="shared" ref="BE105" si="829">SUM(BB102:BE102)</f>
        <v>3.885057471264366</v>
      </c>
      <c r="BF105" s="3">
        <f t="shared" ref="BF105" si="830">SUM(BC102:BF102)</f>
        <v>3.8390804597701131</v>
      </c>
      <c r="BG105" s="3">
        <f t="shared" ref="BG105" si="831">SUM(BD102:BG102)</f>
        <v>3.8448275862068946</v>
      </c>
      <c r="BH105" s="3">
        <f t="shared" ref="BH105" si="832">SUM(BE102:BH102)</f>
        <v>4.1551724137931014</v>
      </c>
      <c r="BI105" s="3">
        <f t="shared" ref="BI105" si="833">SUM(BF102:BI102)</f>
        <v>4.1149425287356332</v>
      </c>
      <c r="BJ105" s="3">
        <f t="shared" ref="BJ105" si="834">SUM(BG102:BJ102)</f>
        <v>4.3505747126436765</v>
      </c>
      <c r="BK105" s="3">
        <f t="shared" ref="BK105" si="835">SUM(BH102:BK102)</f>
        <v>4.2183908045976999</v>
      </c>
      <c r="BL105" s="3">
        <f t="shared" ref="BL105" si="836">SUM(BI102:BL102)</f>
        <v>4.7183908045977017</v>
      </c>
      <c r="BM105" s="3">
        <f t="shared" ref="BM105" si="837">SUM(BJ102:BM102)</f>
        <v>5.0574712643678144</v>
      </c>
      <c r="BN105" s="3">
        <f t="shared" ref="BN105" si="838">SUM(BK102:BN102)</f>
        <v>4.7298850574712654</v>
      </c>
      <c r="BO105" s="3">
        <f t="shared" ref="BO105" si="839">SUM(BL102:BO102)</f>
        <v>4.448275862068968</v>
      </c>
      <c r="BP105" s="3">
        <f t="shared" ref="BP105" si="840">SUM(BM102:BP102)</f>
        <v>5.4252873563218404</v>
      </c>
      <c r="BQ105" s="3">
        <f t="shared" ref="BQ105" si="841">SUM(BN102:BQ102)</f>
        <v>5.3908045977011509</v>
      </c>
      <c r="BR105" s="3">
        <f t="shared" ref="BR105" si="842">SUM(BO102:BR102)</f>
        <v>7.2873563218390807</v>
      </c>
      <c r="BS105" s="3">
        <f t="shared" ref="BS105" si="843">SUM(BP102:BS102)</f>
        <v>8.3793103448275872</v>
      </c>
      <c r="BT105" s="3">
        <f t="shared" ref="BT105" si="844">SUM(BQ102:BT102)</f>
        <v>8.1609195402298891</v>
      </c>
      <c r="BU105" s="3">
        <f t="shared" ref="BU105" si="845">SUM(BR102:BU102)</f>
        <v>8.5862068965517313</v>
      </c>
      <c r="BV105" s="3">
        <f t="shared" ref="BV105" si="846">SUM(BS102:BV102)</f>
        <v>8.3850574712643731</v>
      </c>
      <c r="BW105" s="3">
        <f t="shared" ref="BW105" si="847">SUM(BT102:BW102)</f>
        <v>9.545977011494255</v>
      </c>
      <c r="BX105" s="3">
        <f t="shared" ref="BX105" si="848">SUM(BU102:BX102)</f>
        <v>9.5517241379310356</v>
      </c>
      <c r="BY105" s="3">
        <f t="shared" ref="BY105" si="849">SUM(BV102:BY102)</f>
        <v>10.499999999999998</v>
      </c>
      <c r="BZ105" s="3">
        <f t="shared" ref="BZ105" si="850">SUM(BW102:BZ102)</f>
        <v>10.528735632183906</v>
      </c>
      <c r="CA105" s="3">
        <f t="shared" ref="CA105" si="851">SUM(BX102:CA102)</f>
        <v>11.413793103448276</v>
      </c>
      <c r="CB105" s="3">
        <f t="shared" ref="CB105" si="852">SUM(BY102:CB102)</f>
        <v>12.051724137931037</v>
      </c>
      <c r="CC105" s="3">
        <f t="shared" ref="CC105" si="853">SUM(BZ102:CC102)</f>
        <v>11.994252873563223</v>
      </c>
      <c r="CD105" s="3">
        <f t="shared" ref="CD105" si="854">SUM(CA102:CD102)</f>
        <v>12.206896551724146</v>
      </c>
      <c r="CE105" s="3">
        <f t="shared" ref="CE105" si="855">SUM(CB102:CE102)</f>
        <v>12.511494252873572</v>
      </c>
      <c r="CF105" s="3">
        <f t="shared" ref="CF105" si="856">SUM(CC102:CF102)</f>
        <v>13.178160919540232</v>
      </c>
      <c r="CG105" s="3">
        <f t="shared" ref="CG105" si="857">SUM(CD102:CG102)</f>
        <v>14.22413793103448</v>
      </c>
      <c r="CH105" s="3">
        <f t="shared" ref="CH105:CL105" si="858">SUM(CE102:CH102)</f>
        <v>14.626436781609195</v>
      </c>
      <c r="CI105" s="3">
        <f t="shared" si="858"/>
        <v>14.758620689655176</v>
      </c>
      <c r="CJ105" s="3">
        <f t="shared" si="858"/>
        <v>15.091954022988517</v>
      </c>
      <c r="CK105" s="3">
        <f t="shared" si="858"/>
        <v>17.011494252873575</v>
      </c>
      <c r="CL105" s="3">
        <f t="shared" si="858"/>
        <v>16.333333333333339</v>
      </c>
      <c r="CM105" s="36">
        <f t="shared" ref="CM105" si="859">SUM(CJ102:CM102)</f>
        <v>17.573250971194682</v>
      </c>
      <c r="CN105" s="36">
        <f t="shared" ref="CN105" si="860">SUM(CK102:CN102)</f>
        <v>18.015169945024333</v>
      </c>
      <c r="CO105" s="36">
        <f t="shared" ref="CO105" si="861">SUM(CL102:CO102)</f>
        <v>18.069438998679278</v>
      </c>
      <c r="CP105" s="36">
        <f t="shared" ref="CP105" si="862">SUM(CM102:CP102)</f>
        <v>18.824779682927367</v>
      </c>
      <c r="CQ105" s="36">
        <f t="shared" ref="CQ105" si="863">SUM(CN102:CQ102)</f>
        <v>19.29569340638723</v>
      </c>
      <c r="CR105" s="36">
        <f t="shared" ref="CR105" si="864">SUM(CO102:CR102)</f>
        <v>19.852882529781144</v>
      </c>
      <c r="CS105" s="36">
        <f t="shared" ref="CS105" si="865">SUM(CP102:CS102)</f>
        <v>20.701244467009545</v>
      </c>
      <c r="CT105" s="36">
        <f t="shared" ref="CT105" si="866">SUM(CQ102:CT102)</f>
        <v>21.095283378570631</v>
      </c>
      <c r="CU105" s="36">
        <f t="shared" ref="CU105" si="867">SUM(CR102:CU102)</f>
        <v>21.708132963506706</v>
      </c>
      <c r="CV105" s="36">
        <f t="shared" ref="CV105" si="868">SUM(CS102:CV102)</f>
        <v>22.225888681733537</v>
      </c>
      <c r="CW105" s="36">
        <f t="shared" ref="CW105" si="869">SUM(CT102:CW102)</f>
        <v>22.979367350513122</v>
      </c>
      <c r="CX105" s="36">
        <f t="shared" ref="CX105" si="870">SUM(CU102:CX102)</f>
        <v>23.530462833300319</v>
      </c>
      <c r="CY105" s="36">
        <f t="shared" ref="CY105" si="871">SUM(CV102:CY102)</f>
        <v>24.375792177727138</v>
      </c>
      <c r="CZ105" s="36">
        <f t="shared" ref="CZ105" si="872">SUM(CW102:CZ102)</f>
        <v>25.131334890817421</v>
      </c>
      <c r="DA105" s="36">
        <f t="shared" ref="DA105" si="873">SUM(CX102:DA102)</f>
        <v>26.134593520782676</v>
      </c>
      <c r="DD105" s="133"/>
      <c r="DE105" s="3">
        <v>8.5057471264367717</v>
      </c>
    </row>
    <row r="106" spans="1:109" s="96" customFormat="1" x14ac:dyDescent="0.2">
      <c r="A106" s="96" t="s">
        <v>425</v>
      </c>
      <c r="C106" s="100">
        <f t="shared" ref="C106:AA106" si="874">+C105/B105-1</f>
        <v>-0.44290922789220977</v>
      </c>
      <c r="D106" s="100">
        <f t="shared" si="874"/>
        <v>0.42364884477273024</v>
      </c>
      <c r="E106" s="100">
        <f t="shared" ca="1" si="874"/>
        <v>-0.91429164897787629</v>
      </c>
      <c r="F106" s="100">
        <f t="shared" ca="1" si="874"/>
        <v>0.48589329281871674</v>
      </c>
      <c r="G106" s="100">
        <f t="shared" ca="1" si="874"/>
        <v>0.3148176519567043</v>
      </c>
      <c r="H106" s="100">
        <f t="shared" ca="1" si="874"/>
        <v>0.4103411065571696</v>
      </c>
      <c r="I106" s="100">
        <f t="shared" ca="1" si="874"/>
        <v>-0.10419278476056382</v>
      </c>
      <c r="J106" s="100">
        <f t="shared" ca="1" si="874"/>
        <v>0.41671562189852662</v>
      </c>
      <c r="K106" s="100">
        <f t="shared" ca="1" si="874"/>
        <v>5.4458430159349813E-3</v>
      </c>
      <c r="L106" s="100">
        <f t="shared" ca="1" si="874"/>
        <v>-0.17794556065097566</v>
      </c>
      <c r="M106" s="100">
        <f t="shared" ca="1" si="874"/>
        <v>-0.16201786918986039</v>
      </c>
      <c r="N106" s="100">
        <f t="shared" ca="1" si="874"/>
        <v>0.29912137310993114</v>
      </c>
      <c r="O106" s="100">
        <f t="shared" ca="1" si="874"/>
        <v>5.0095157205994667E-2</v>
      </c>
      <c r="P106" s="100">
        <f t="shared" ca="1" si="874"/>
        <v>2.4863698999462391E-2</v>
      </c>
      <c r="Q106" s="100">
        <f t="shared" ca="1" si="874"/>
        <v>4.5013445574642041E-3</v>
      </c>
      <c r="R106" s="100">
        <f t="shared" ca="1" si="874"/>
        <v>-3.0262468719074453E-3</v>
      </c>
      <c r="S106" s="100">
        <f t="shared" ca="1" si="874"/>
        <v>3.445508143132292E-2</v>
      </c>
      <c r="T106" s="100">
        <f t="shared" ca="1" si="874"/>
        <v>1.0185511744375875E-2</v>
      </c>
      <c r="U106" s="100">
        <f t="shared" ca="1" si="874"/>
        <v>0.2288044464926573</v>
      </c>
      <c r="V106" s="100">
        <f t="shared" ca="1" si="874"/>
        <v>6.5836278710323715E-2</v>
      </c>
      <c r="W106" s="100">
        <f t="shared" ca="1" si="874"/>
        <v>0.59290497312974644</v>
      </c>
      <c r="X106" s="100">
        <f t="shared" ca="1" si="874"/>
        <v>0.22325606303007595</v>
      </c>
      <c r="Y106" s="100">
        <f t="shared" ca="1" si="874"/>
        <v>0.14223409087177896</v>
      </c>
      <c r="Z106" s="100">
        <f t="shared" ca="1" si="874"/>
        <v>0.18560553434292015</v>
      </c>
      <c r="AA106" s="100">
        <f t="shared" ca="1" si="874"/>
        <v>0.18560553434292015</v>
      </c>
      <c r="AB106" s="173">
        <f t="shared" ref="AB106" ca="1" si="875">+AB105/AA105-1</f>
        <v>6.2189995192633019E-2</v>
      </c>
      <c r="AC106" s="173">
        <f t="shared" ref="AC106" ca="1" si="876">+AC105/AB105-1</f>
        <v>0.14564953945292047</v>
      </c>
      <c r="AD106" s="173">
        <f t="shared" ref="AD106" ca="1" si="877">+AD105/AC105-1</f>
        <v>0.11004762960671965</v>
      </c>
      <c r="AE106" s="173">
        <f t="shared" ref="AE106" ca="1" si="878">+AE105/AD105-1</f>
        <v>0.13730692068853179</v>
      </c>
      <c r="AL106" s="175"/>
      <c r="AM106" s="175"/>
      <c r="AN106" s="175"/>
      <c r="AO106" s="175"/>
      <c r="AP106" s="175">
        <f t="shared" ref="AP106:CL106" si="879">+IF(AL105&lt;0,1-AP105/AL105,AP105/AL105-1)</f>
        <v>-9.5376163589195651E-2</v>
      </c>
      <c r="AQ106" s="175">
        <f t="shared" si="879"/>
        <v>4.3129230284905562E-2</v>
      </c>
      <c r="AR106" s="175">
        <f t="shared" si="879"/>
        <v>-3.3133849073127442E-2</v>
      </c>
      <c r="AS106" s="175">
        <f t="shared" si="879"/>
        <v>9.4712182061580386E-2</v>
      </c>
      <c r="AT106" s="175">
        <f t="shared" si="879"/>
        <v>-4.3522267206478116E-2</v>
      </c>
      <c r="AU106" s="175">
        <f t="shared" si="879"/>
        <v>-0.14787988531764118</v>
      </c>
      <c r="AV106" s="175">
        <f t="shared" si="879"/>
        <v>-0.16289251207729594</v>
      </c>
      <c r="AW106" s="175">
        <f t="shared" si="879"/>
        <v>6.7410577804950744E-2</v>
      </c>
      <c r="AX106" s="175">
        <f t="shared" si="879"/>
        <v>0.4156966490299816</v>
      </c>
      <c r="AY106" s="175">
        <f t="shared" si="879"/>
        <v>0.33309721976270668</v>
      </c>
      <c r="AZ106" s="175">
        <f t="shared" si="879"/>
        <v>0.21009918845807163</v>
      </c>
      <c r="BA106" s="175">
        <f t="shared" si="879"/>
        <v>-6.4299011886007174E-2</v>
      </c>
      <c r="BB106" s="175">
        <f t="shared" si="879"/>
        <v>-0.23022299738382868</v>
      </c>
      <c r="BC106" s="175">
        <f t="shared" si="879"/>
        <v>-0.20483528161530262</v>
      </c>
      <c r="BD106" s="175">
        <f t="shared" si="879"/>
        <v>-6.4232488822652756E-2</v>
      </c>
      <c r="BE106" s="175">
        <f t="shared" si="879"/>
        <v>3.4588307315579048E-2</v>
      </c>
      <c r="BF106" s="175">
        <f t="shared" si="879"/>
        <v>8.1081081081080031E-2</v>
      </c>
      <c r="BG106" s="175">
        <f t="shared" si="879"/>
        <v>0.11760775141997915</v>
      </c>
      <c r="BH106" s="175">
        <f t="shared" si="879"/>
        <v>0.15145723841375958</v>
      </c>
      <c r="BI106" s="175">
        <f t="shared" si="879"/>
        <v>5.9171597633136841E-2</v>
      </c>
      <c r="BJ106" s="175">
        <f t="shared" si="879"/>
        <v>0.13323353293413187</v>
      </c>
      <c r="BK106" s="175">
        <f t="shared" si="879"/>
        <v>9.715994020926777E-2</v>
      </c>
      <c r="BL106" s="175">
        <f t="shared" si="879"/>
        <v>0.13554633471645983</v>
      </c>
      <c r="BM106" s="175">
        <f t="shared" si="879"/>
        <v>0.22905027932960831</v>
      </c>
      <c r="BN106" s="175">
        <f t="shared" si="879"/>
        <v>8.7186261558785283E-2</v>
      </c>
      <c r="BO106" s="175">
        <f t="shared" si="879"/>
        <v>5.4495912806540314E-2</v>
      </c>
      <c r="BP106" s="175">
        <f t="shared" si="879"/>
        <v>0.14981729598051174</v>
      </c>
      <c r="BQ106" s="175">
        <f t="shared" si="879"/>
        <v>6.5909090909091583E-2</v>
      </c>
      <c r="BR106" s="175">
        <f t="shared" si="879"/>
        <v>0.54070473876063163</v>
      </c>
      <c r="BS106" s="175">
        <f t="shared" si="879"/>
        <v>0.88372093023255727</v>
      </c>
      <c r="BT106" s="175">
        <f t="shared" si="879"/>
        <v>0.50423728813559365</v>
      </c>
      <c r="BU106" s="175">
        <f t="shared" si="879"/>
        <v>0.59275053304904146</v>
      </c>
      <c r="BV106" s="175">
        <f t="shared" si="879"/>
        <v>0.15063091482649904</v>
      </c>
      <c r="BW106" s="175">
        <f t="shared" si="879"/>
        <v>0.13923182441700965</v>
      </c>
      <c r="BX106" s="175">
        <f t="shared" si="879"/>
        <v>0.17042253521126716</v>
      </c>
      <c r="BY106" s="175">
        <f t="shared" si="879"/>
        <v>0.22289156626505902</v>
      </c>
      <c r="BZ106" s="175">
        <f t="shared" si="879"/>
        <v>0.25565455791638003</v>
      </c>
      <c r="CA106" s="175">
        <f t="shared" si="879"/>
        <v>0.1956652618904271</v>
      </c>
      <c r="CB106" s="175">
        <f t="shared" si="879"/>
        <v>0.26173285198555973</v>
      </c>
      <c r="CC106" s="175">
        <f t="shared" si="879"/>
        <v>0.14230979748221184</v>
      </c>
      <c r="CD106" s="175">
        <f t="shared" si="879"/>
        <v>0.15938864628821059</v>
      </c>
      <c r="CE106" s="175">
        <f t="shared" si="879"/>
        <v>9.6173212487412618E-2</v>
      </c>
      <c r="CF106" s="175">
        <f t="shared" si="879"/>
        <v>9.3466857415355209E-2</v>
      </c>
      <c r="CG106" s="175">
        <f t="shared" si="879"/>
        <v>0.18591279348346834</v>
      </c>
      <c r="CH106" s="175">
        <f t="shared" si="879"/>
        <v>0.1982109227871931</v>
      </c>
      <c r="CI106" s="175">
        <f t="shared" si="879"/>
        <v>0.17960496095544287</v>
      </c>
      <c r="CJ106" s="175">
        <f t="shared" si="879"/>
        <v>0.14522459659834341</v>
      </c>
      <c r="CK106" s="175">
        <f t="shared" si="879"/>
        <v>0.195959595959597</v>
      </c>
      <c r="CL106" s="175">
        <f t="shared" si="879"/>
        <v>0.11669941060903777</v>
      </c>
      <c r="CM106" s="101">
        <f t="shared" ref="CM106:DA106" si="880">+IF(CI105&lt;0,1-CM105/CI105,CM105/CI105-1)</f>
        <v>0.19071093029122821</v>
      </c>
      <c r="CN106" s="101">
        <f t="shared" si="880"/>
        <v>0.19369366733976823</v>
      </c>
      <c r="CO106" s="101">
        <f t="shared" si="880"/>
        <v>6.2189995192632574E-2</v>
      </c>
      <c r="CP106" s="101">
        <f t="shared" si="880"/>
        <v>0.15253753160779748</v>
      </c>
      <c r="CQ106" s="101">
        <f t="shared" si="880"/>
        <v>9.8015013728302236E-2</v>
      </c>
      <c r="CR106" s="101">
        <f t="shared" si="880"/>
        <v>0.10200917284515398</v>
      </c>
      <c r="CS106" s="101">
        <f t="shared" si="880"/>
        <v>0.14564953945291981</v>
      </c>
      <c r="CT106" s="101">
        <f t="shared" si="880"/>
        <v>0.12061249766988968</v>
      </c>
      <c r="CU106" s="101">
        <f t="shared" si="880"/>
        <v>0.1250247662165338</v>
      </c>
      <c r="CV106" s="101">
        <f t="shared" si="880"/>
        <v>0.1195295518619357</v>
      </c>
      <c r="CW106" s="101">
        <f t="shared" si="880"/>
        <v>0.11004762960671766</v>
      </c>
      <c r="CX106" s="101">
        <f t="shared" si="880"/>
        <v>0.11543715298953661</v>
      </c>
      <c r="CY106" s="101">
        <f t="shared" si="880"/>
        <v>0.12288754720200967</v>
      </c>
      <c r="CZ106" s="101">
        <f t="shared" si="880"/>
        <v>0.13072351124802228</v>
      </c>
      <c r="DA106" s="101">
        <f t="shared" si="880"/>
        <v>0.13730692068853223</v>
      </c>
      <c r="DD106" s="134"/>
      <c r="DE106" s="96">
        <v>0.19608041216284078</v>
      </c>
    </row>
    <row r="107" spans="1:109" s="143" customFormat="1" x14ac:dyDescent="0.2">
      <c r="A107" s="143" t="s">
        <v>424</v>
      </c>
      <c r="AB107" s="144"/>
      <c r="AC107" s="144"/>
      <c r="AD107" s="144"/>
      <c r="AE107" s="144"/>
      <c r="CM107" s="144"/>
      <c r="CN107" s="144"/>
      <c r="CO107" s="144"/>
      <c r="CP107" s="144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D107" s="145"/>
    </row>
    <row r="108" spans="1:109" s="143" customFormat="1" x14ac:dyDescent="0.2">
      <c r="A108" s="143" t="s">
        <v>436</v>
      </c>
      <c r="AB108" s="144"/>
      <c r="AC108" s="144"/>
      <c r="AD108" s="144"/>
      <c r="AE108" s="144"/>
      <c r="CM108" s="144"/>
      <c r="CN108" s="144"/>
      <c r="CO108" s="144"/>
      <c r="CP108" s="144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D108" s="145"/>
    </row>
    <row r="109" spans="1:109" s="3" customFormat="1" x14ac:dyDescent="0.2">
      <c r="A109" s="3" t="s">
        <v>34</v>
      </c>
      <c r="B109" s="3">
        <f>'Annual Raw'!C112</f>
        <v>0</v>
      </c>
      <c r="C109" s="3">
        <f>'Annual Raw'!D112</f>
        <v>65.38</v>
      </c>
      <c r="D109" s="3">
        <f>'Annual Raw'!E112</f>
        <v>66.55</v>
      </c>
      <c r="E109" s="3">
        <f>'Annual Raw'!F112</f>
        <v>66.489999999999995</v>
      </c>
      <c r="F109" s="3">
        <f>'Annual Raw'!G112</f>
        <v>66.489999999999995</v>
      </c>
      <c r="G109" s="3">
        <f>'Annual Raw'!H112</f>
        <v>66.489999999999995</v>
      </c>
      <c r="H109" s="3">
        <f>'Annual Raw'!I112</f>
        <v>66.489999999999995</v>
      </c>
      <c r="I109" s="3">
        <f>'Annual Raw'!J112</f>
        <v>66.489999999999995</v>
      </c>
      <c r="J109" s="3">
        <f>'Annual Raw'!K112</f>
        <v>66.58</v>
      </c>
      <c r="K109" s="3">
        <f>'Annual Raw'!L112</f>
        <v>66.8</v>
      </c>
      <c r="L109" s="3">
        <f>'Annual Raw'!M112</f>
        <v>66.8</v>
      </c>
      <c r="M109" s="3">
        <f>'Annual Raw'!N112</f>
        <v>66.8</v>
      </c>
      <c r="N109" s="3">
        <f>'Annual Raw'!O112</f>
        <v>66.8</v>
      </c>
      <c r="O109" s="3">
        <f>'Annual Raw'!P112</f>
        <v>66.42</v>
      </c>
      <c r="P109" s="3">
        <f>'Annual Raw'!Q112</f>
        <v>66.41</v>
      </c>
      <c r="Q109" s="3">
        <f>'Annual Raw'!R112</f>
        <v>66.41</v>
      </c>
      <c r="R109" s="3">
        <f>'Annual Raw'!S112</f>
        <v>66.41</v>
      </c>
      <c r="S109" s="3">
        <f>'Annual Raw'!T112</f>
        <v>66.41</v>
      </c>
      <c r="T109" s="3">
        <f>'Annual Raw'!U112</f>
        <v>66.41</v>
      </c>
      <c r="U109" s="3">
        <f>'Annual Raw'!V112</f>
        <v>66.41</v>
      </c>
      <c r="V109" s="3">
        <f>'Annual Raw'!W112</f>
        <v>66.41</v>
      </c>
      <c r="W109" s="3">
        <f>'Annual Raw'!X112</f>
        <v>66.69</v>
      </c>
      <c r="X109" s="3">
        <f>'Annual Raw'!Y112</f>
        <v>66.69</v>
      </c>
      <c r="Y109" s="3">
        <f>'Annual Raw'!Z112</f>
        <v>66.69</v>
      </c>
      <c r="Z109" s="3">
        <f>'Annual Raw'!AA112</f>
        <v>69.8</v>
      </c>
      <c r="AA109" s="3">
        <f>'Annual Raw'!AB112</f>
        <v>69.8</v>
      </c>
      <c r="AB109" s="36"/>
      <c r="AC109" s="36"/>
      <c r="AD109" s="36"/>
      <c r="AE109" s="36"/>
      <c r="AI109" s="3">
        <f>'QTR Raw'!C49</f>
        <v>66.8</v>
      </c>
      <c r="AJ109" s="3">
        <f>'QTR Raw'!D49</f>
        <v>66.8</v>
      </c>
      <c r="AK109" s="3">
        <f>'QTR Raw'!E49</f>
        <v>66.8</v>
      </c>
      <c r="AL109" s="3">
        <f>'QTR Raw'!F49</f>
        <v>66.8</v>
      </c>
      <c r="AM109" s="3">
        <f>'QTR Raw'!G49</f>
        <v>66.8</v>
      </c>
      <c r="AN109" s="3">
        <f>'QTR Raw'!H49</f>
        <v>66.8</v>
      </c>
      <c r="AO109" s="3">
        <f>'QTR Raw'!I49</f>
        <v>66.42</v>
      </c>
      <c r="AP109" s="3">
        <f>'QTR Raw'!J49</f>
        <v>66.42</v>
      </c>
      <c r="AQ109" s="3">
        <f>'QTR Raw'!K49</f>
        <v>66.42</v>
      </c>
      <c r="AR109" s="3">
        <f>'QTR Raw'!L49</f>
        <v>66.41</v>
      </c>
      <c r="AS109" s="3">
        <f>'QTR Raw'!M49</f>
        <v>66.41</v>
      </c>
      <c r="AT109" s="3">
        <f>'QTR Raw'!N49</f>
        <v>66.41</v>
      </c>
      <c r="AU109" s="3">
        <f>'QTR Raw'!O49</f>
        <v>66.41</v>
      </c>
      <c r="AV109" s="3">
        <f>'QTR Raw'!P49</f>
        <v>66.41</v>
      </c>
      <c r="AW109" s="3">
        <f>'QTR Raw'!Q49</f>
        <v>66.41</v>
      </c>
      <c r="AX109" s="3">
        <f>'QTR Raw'!R49</f>
        <v>66.41</v>
      </c>
      <c r="AY109" s="3">
        <f>'QTR Raw'!S49</f>
        <v>66.41</v>
      </c>
      <c r="AZ109" s="3">
        <f>'QTR Raw'!T49</f>
        <v>66.41</v>
      </c>
      <c r="BA109" s="3">
        <f>'QTR Raw'!U49</f>
        <v>66.41</v>
      </c>
      <c r="BB109" s="3">
        <f>'QTR Raw'!V49</f>
        <v>66.41</v>
      </c>
      <c r="BC109" s="3">
        <f>'QTR Raw'!W49</f>
        <v>66.41</v>
      </c>
      <c r="BD109" s="3">
        <f>'QTR Raw'!X49</f>
        <v>66.41</v>
      </c>
      <c r="BE109" s="3">
        <f>'QTR Raw'!Y49</f>
        <v>66.41</v>
      </c>
      <c r="BF109" s="3">
        <f>'QTR Raw'!Z49</f>
        <v>66.41</v>
      </c>
      <c r="BG109" s="3">
        <f>'QTR Raw'!AA49</f>
        <v>66.41</v>
      </c>
      <c r="BH109" s="3">
        <f>'QTR Raw'!AB49</f>
        <v>66.41</v>
      </c>
      <c r="BI109" s="3">
        <f>'QTR Raw'!AC49</f>
        <v>66.41</v>
      </c>
      <c r="BJ109" s="3">
        <f>'QTR Raw'!AD49</f>
        <v>66.41</v>
      </c>
      <c r="BK109" s="3">
        <f>'QTR Raw'!AE49</f>
        <v>66.41</v>
      </c>
      <c r="BL109" s="3">
        <f>'QTR Raw'!AF49</f>
        <v>66.41</v>
      </c>
      <c r="BM109" s="3">
        <f>'QTR Raw'!AG49</f>
        <v>66.41</v>
      </c>
      <c r="BN109" s="3">
        <f>'QTR Raw'!AH49</f>
        <v>66.41</v>
      </c>
      <c r="BO109" s="3">
        <f>'QTR Raw'!AI49</f>
        <v>66.41</v>
      </c>
      <c r="BP109" s="3">
        <f>'QTR Raw'!AJ49</f>
        <v>66.41</v>
      </c>
      <c r="BQ109" s="3">
        <f>'QTR Raw'!AK49</f>
        <v>66.41</v>
      </c>
      <c r="BR109" s="3">
        <f>'QTR Raw'!AL49</f>
        <v>66.69</v>
      </c>
      <c r="BS109" s="3">
        <f>'QTR Raw'!AM49</f>
        <v>66.69</v>
      </c>
      <c r="BT109" s="3">
        <f>'QTR Raw'!AN49</f>
        <v>66.69</v>
      </c>
      <c r="BU109" s="3">
        <f>'QTR Raw'!AO49</f>
        <v>66.69</v>
      </c>
      <c r="BV109" s="3">
        <f>'QTR Raw'!AP49</f>
        <v>66.69</v>
      </c>
      <c r="BW109" s="3">
        <f>'QTR Raw'!AQ49</f>
        <v>66.69</v>
      </c>
      <c r="BX109" s="3">
        <f>'QTR Raw'!AR49</f>
        <v>66.69</v>
      </c>
      <c r="BY109" s="3">
        <f>'QTR Raw'!AS49</f>
        <v>66.69</v>
      </c>
      <c r="BZ109" s="3">
        <f>'QTR Raw'!AT49</f>
        <v>66.69</v>
      </c>
      <c r="CA109" s="3">
        <f>'QTR Raw'!AU49</f>
        <v>66.69</v>
      </c>
      <c r="CB109" s="3">
        <f>'QTR Raw'!AV49</f>
        <v>66.69</v>
      </c>
      <c r="CC109" s="3">
        <f>'QTR Raw'!AW49</f>
        <v>66.69</v>
      </c>
      <c r="CD109" s="3">
        <f>'QTR Raw'!AX49</f>
        <v>66.69</v>
      </c>
      <c r="CE109" s="3">
        <f>'QTR Raw'!AY49</f>
        <v>69.8</v>
      </c>
      <c r="CF109" s="3">
        <f>'QTR Raw'!AZ49</f>
        <v>69.8</v>
      </c>
      <c r="CG109" s="3">
        <f>'QTR Raw'!BA49</f>
        <v>69.8</v>
      </c>
      <c r="CH109" s="3">
        <f>'QTR Raw'!BB49</f>
        <v>69.8</v>
      </c>
      <c r="CI109" s="3">
        <f>'QTR Raw'!BC49</f>
        <v>69.8</v>
      </c>
      <c r="CJ109" s="3">
        <f>'QTR Raw'!BD49</f>
        <v>69.8</v>
      </c>
      <c r="CK109" s="3">
        <f>'QTR Raw'!BE49</f>
        <v>69.8</v>
      </c>
      <c r="CL109" s="3">
        <f>'QTR Raw'!BF49</f>
        <v>69.8</v>
      </c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D109" s="133"/>
      <c r="DE109" s="3">
        <v>69.8</v>
      </c>
    </row>
    <row r="110" spans="1:109" s="3" customFormat="1" x14ac:dyDescent="0.2">
      <c r="A110" s="3" t="s">
        <v>35</v>
      </c>
      <c r="B110" s="3">
        <f>'Annual Raw'!C113</f>
        <v>0</v>
      </c>
      <c r="C110" s="3">
        <f>'Annual Raw'!D113</f>
        <v>0</v>
      </c>
      <c r="D110" s="3">
        <f>'Annual Raw'!E113</f>
        <v>0</v>
      </c>
      <c r="E110" s="3">
        <f>'Annual Raw'!F113</f>
        <v>0</v>
      </c>
      <c r="F110" s="3">
        <f>'Annual Raw'!G113</f>
        <v>0</v>
      </c>
      <c r="G110" s="3">
        <f>'Annual Raw'!H113</f>
        <v>0</v>
      </c>
      <c r="H110" s="3">
        <f>'Annual Raw'!I113</f>
        <v>0</v>
      </c>
      <c r="I110" s="3">
        <f>'Annual Raw'!J113</f>
        <v>0</v>
      </c>
      <c r="J110" s="3">
        <f>'Annual Raw'!K113</f>
        <v>0</v>
      </c>
      <c r="K110" s="3">
        <f>'Annual Raw'!L113</f>
        <v>0</v>
      </c>
      <c r="L110" s="3">
        <f>'Annual Raw'!M113</f>
        <v>0</v>
      </c>
      <c r="M110" s="3">
        <f>'Annual Raw'!N113</f>
        <v>0</v>
      </c>
      <c r="N110" s="3">
        <f>'Annual Raw'!O113</f>
        <v>0</v>
      </c>
      <c r="O110" s="3">
        <f>'Annual Raw'!P113</f>
        <v>0</v>
      </c>
      <c r="P110" s="3">
        <f>'Annual Raw'!Q113</f>
        <v>0</v>
      </c>
      <c r="Q110" s="3">
        <f>'Annual Raw'!R113</f>
        <v>0</v>
      </c>
      <c r="R110" s="3">
        <f>'Annual Raw'!S113</f>
        <v>0</v>
      </c>
      <c r="S110" s="3">
        <f>'Annual Raw'!T113</f>
        <v>0</v>
      </c>
      <c r="T110" s="3">
        <f>'Annual Raw'!U113</f>
        <v>0</v>
      </c>
      <c r="U110" s="3">
        <f>'Annual Raw'!V113</f>
        <v>0</v>
      </c>
      <c r="V110" s="3">
        <f>'Annual Raw'!W113</f>
        <v>0</v>
      </c>
      <c r="W110" s="3">
        <f>'Annual Raw'!X113</f>
        <v>0</v>
      </c>
      <c r="X110" s="3">
        <f>'Annual Raw'!Y113</f>
        <v>0</v>
      </c>
      <c r="Y110" s="3">
        <f>'Annual Raw'!Z113</f>
        <v>0</v>
      </c>
      <c r="Z110" s="3">
        <f>'Annual Raw'!AA113</f>
        <v>0</v>
      </c>
      <c r="AA110" s="3">
        <f>'Annual Raw'!AB113</f>
        <v>0</v>
      </c>
      <c r="AB110" s="36"/>
      <c r="AC110" s="36"/>
      <c r="AD110" s="36"/>
      <c r="AE110" s="36"/>
      <c r="AI110" s="3">
        <f>'QTR Raw'!C50</f>
        <v>0</v>
      </c>
      <c r="AJ110" s="3">
        <f>'QTR Raw'!D50</f>
        <v>0</v>
      </c>
      <c r="AK110" s="3">
        <f>'QTR Raw'!E50</f>
        <v>0</v>
      </c>
      <c r="AL110" s="3">
        <f>'QTR Raw'!F50</f>
        <v>0</v>
      </c>
      <c r="AM110" s="3">
        <f>'QTR Raw'!G50</f>
        <v>0</v>
      </c>
      <c r="AN110" s="3">
        <f>'QTR Raw'!H50</f>
        <v>0</v>
      </c>
      <c r="AO110" s="3">
        <f>'QTR Raw'!I50</f>
        <v>0</v>
      </c>
      <c r="AP110" s="3">
        <f>'QTR Raw'!J50</f>
        <v>0</v>
      </c>
      <c r="AQ110" s="3">
        <f>'QTR Raw'!K50</f>
        <v>0</v>
      </c>
      <c r="AR110" s="3">
        <f>'QTR Raw'!L50</f>
        <v>0</v>
      </c>
      <c r="AS110" s="3">
        <f>'QTR Raw'!M50</f>
        <v>0</v>
      </c>
      <c r="AT110" s="3">
        <f>'QTR Raw'!N50</f>
        <v>0</v>
      </c>
      <c r="AU110" s="3">
        <f>'QTR Raw'!O50</f>
        <v>0</v>
      </c>
      <c r="AV110" s="3">
        <f>'QTR Raw'!P50</f>
        <v>0</v>
      </c>
      <c r="AW110" s="3">
        <f>'QTR Raw'!Q50</f>
        <v>0</v>
      </c>
      <c r="AX110" s="3">
        <f>'QTR Raw'!R50</f>
        <v>0</v>
      </c>
      <c r="AY110" s="3">
        <f>'QTR Raw'!S50</f>
        <v>0</v>
      </c>
      <c r="AZ110" s="3">
        <f>'QTR Raw'!T50</f>
        <v>0</v>
      </c>
      <c r="BA110" s="3">
        <f>'QTR Raw'!U50</f>
        <v>0</v>
      </c>
      <c r="BB110" s="3">
        <f>'QTR Raw'!V50</f>
        <v>0</v>
      </c>
      <c r="BC110" s="3">
        <f>'QTR Raw'!W50</f>
        <v>0</v>
      </c>
      <c r="BD110" s="3">
        <f>'QTR Raw'!X50</f>
        <v>0</v>
      </c>
      <c r="BE110" s="3">
        <f>'QTR Raw'!Y50</f>
        <v>0</v>
      </c>
      <c r="BF110" s="3">
        <f>'QTR Raw'!Z50</f>
        <v>0</v>
      </c>
      <c r="BG110" s="3">
        <f>'QTR Raw'!AA50</f>
        <v>0</v>
      </c>
      <c r="BH110" s="3">
        <f>'QTR Raw'!AB50</f>
        <v>0</v>
      </c>
      <c r="BI110" s="3">
        <f>'QTR Raw'!AC50</f>
        <v>0</v>
      </c>
      <c r="BJ110" s="3">
        <f>'QTR Raw'!AD50</f>
        <v>0</v>
      </c>
      <c r="BK110" s="3">
        <f>'QTR Raw'!AE50</f>
        <v>0</v>
      </c>
      <c r="BL110" s="3">
        <f>'QTR Raw'!AF50</f>
        <v>0</v>
      </c>
      <c r="BM110" s="3">
        <f>'QTR Raw'!AG50</f>
        <v>0</v>
      </c>
      <c r="BN110" s="3">
        <f>'QTR Raw'!AH50</f>
        <v>0</v>
      </c>
      <c r="BO110" s="3">
        <f>'QTR Raw'!AI50</f>
        <v>0</v>
      </c>
      <c r="BP110" s="3">
        <f>'QTR Raw'!AJ50</f>
        <v>0</v>
      </c>
      <c r="BQ110" s="3">
        <f>'QTR Raw'!AK50</f>
        <v>0</v>
      </c>
      <c r="BR110" s="3">
        <f>'QTR Raw'!AL50</f>
        <v>0</v>
      </c>
      <c r="BS110" s="3">
        <f>'QTR Raw'!AM50</f>
        <v>0</v>
      </c>
      <c r="BT110" s="3">
        <f>'QTR Raw'!AN50</f>
        <v>0</v>
      </c>
      <c r="BU110" s="3">
        <f>'QTR Raw'!AO50</f>
        <v>0</v>
      </c>
      <c r="BV110" s="3">
        <f>'QTR Raw'!AP50</f>
        <v>0</v>
      </c>
      <c r="BW110" s="3">
        <f>'QTR Raw'!AQ50</f>
        <v>0</v>
      </c>
      <c r="BX110" s="3">
        <f>'QTR Raw'!AR50</f>
        <v>0</v>
      </c>
      <c r="BY110" s="3">
        <f>'QTR Raw'!AS50</f>
        <v>0</v>
      </c>
      <c r="BZ110" s="3">
        <f>'QTR Raw'!AT50</f>
        <v>0</v>
      </c>
      <c r="CA110" s="3">
        <f>'QTR Raw'!AU50</f>
        <v>0</v>
      </c>
      <c r="CB110" s="3">
        <f>'QTR Raw'!AV50</f>
        <v>0</v>
      </c>
      <c r="CC110" s="3">
        <f>'QTR Raw'!AW50</f>
        <v>0</v>
      </c>
      <c r="CD110" s="3">
        <f>'QTR Raw'!AX50</f>
        <v>0</v>
      </c>
      <c r="CE110" s="3">
        <f>'QTR Raw'!AY50</f>
        <v>0</v>
      </c>
      <c r="CF110" s="3">
        <f>'QTR Raw'!AZ50</f>
        <v>0</v>
      </c>
      <c r="CG110" s="3">
        <f>'QTR Raw'!BA50</f>
        <v>0</v>
      </c>
      <c r="CH110" s="3">
        <f>'QTR Raw'!BB50</f>
        <v>0</v>
      </c>
      <c r="CI110" s="3">
        <f>'QTR Raw'!BC50</f>
        <v>0</v>
      </c>
      <c r="CJ110" s="3">
        <f>'QTR Raw'!BD50</f>
        <v>0</v>
      </c>
      <c r="CK110" s="3">
        <f>'QTR Raw'!BE50</f>
        <v>0</v>
      </c>
      <c r="CL110" s="3">
        <f>'QTR Raw'!BF50</f>
        <v>0</v>
      </c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D110" s="133"/>
      <c r="DE110" s="3">
        <v>0</v>
      </c>
    </row>
    <row r="111" spans="1:109" s="3" customFormat="1" x14ac:dyDescent="0.2">
      <c r="AB111" s="36"/>
      <c r="AC111" s="36"/>
      <c r="AD111" s="36"/>
      <c r="AE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D111" s="133"/>
    </row>
    <row r="112" spans="1:109" s="13" customFormat="1" x14ac:dyDescent="0.2">
      <c r="A112" s="13" t="s">
        <v>36</v>
      </c>
      <c r="AB112" s="36"/>
      <c r="AC112" s="36"/>
      <c r="AD112" s="36"/>
      <c r="AE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D112" s="133"/>
    </row>
    <row r="113" spans="1:109" s="13" customFormat="1" x14ac:dyDescent="0.2">
      <c r="A113" s="13" t="s">
        <v>457</v>
      </c>
      <c r="B113" s="13">
        <f>'Annual Raw'!C106</f>
        <v>9.6</v>
      </c>
      <c r="C113" s="13">
        <f>'Annual Raw'!D106</f>
        <v>5.375</v>
      </c>
      <c r="D113" s="13">
        <f>'Annual Raw'!E106</f>
        <v>5.9950000000000001</v>
      </c>
      <c r="E113" s="13">
        <f>'Annual Raw'!F106</f>
        <v>12.574999999999999</v>
      </c>
      <c r="F113" s="13">
        <f>'Annual Raw'!G106</f>
        <v>24.33</v>
      </c>
      <c r="G113" s="13">
        <f>'Annual Raw'!H106</f>
        <v>41.88</v>
      </c>
      <c r="H113" s="13">
        <f>'Annual Raw'!I106</f>
        <v>67.635000000000005</v>
      </c>
      <c r="I113" s="13">
        <f>'Annual Raw'!J106</f>
        <v>46.53</v>
      </c>
      <c r="J113" s="13">
        <f>'Annual Raw'!K106</f>
        <v>22.45</v>
      </c>
      <c r="K113" s="13">
        <f>'Annual Raw'!L106</f>
        <v>42.465000000000003</v>
      </c>
      <c r="L113" s="13">
        <f>'Annual Raw'!M106</f>
        <v>53.14</v>
      </c>
      <c r="M113" s="13">
        <f>'Annual Raw'!N106</f>
        <v>29.43</v>
      </c>
      <c r="N113" s="13">
        <f>'Annual Raw'!O106</f>
        <v>44.32</v>
      </c>
      <c r="O113" s="13">
        <f>'Annual Raw'!P106</f>
        <v>53.6</v>
      </c>
      <c r="P113" s="13">
        <f>'Annual Raw'!Q106</f>
        <v>132.69</v>
      </c>
      <c r="Q113" s="13">
        <f>'Annual Raw'!R106</f>
        <v>123.55</v>
      </c>
      <c r="R113" s="13">
        <f>'Annual Raw'!S106</f>
        <v>125.79</v>
      </c>
      <c r="S113" s="13">
        <f>'Annual Raw'!T106</f>
        <v>177.3</v>
      </c>
      <c r="T113" s="13">
        <f>'Annual Raw'!U106</f>
        <v>155.85</v>
      </c>
      <c r="U113" s="13">
        <f>'Annual Raw'!V106</f>
        <v>135</v>
      </c>
      <c r="V113" s="13">
        <f>'Annual Raw'!W106</f>
        <v>129.36000000000001</v>
      </c>
      <c r="W113" s="13">
        <f>'Annual Raw'!X106</f>
        <v>243.08</v>
      </c>
      <c r="X113" s="13">
        <f>'Annual Raw'!Y106</f>
        <v>387.38</v>
      </c>
      <c r="Y113" s="13">
        <f>'Annual Raw'!Z106</f>
        <v>692.83</v>
      </c>
      <c r="Z113" s="13">
        <f>'Annual Raw'!AA106</f>
        <v>767.4</v>
      </c>
      <c r="AA113" s="13">
        <f>'Annual Raw'!AB106</f>
        <v>754.25</v>
      </c>
      <c r="AB113" s="36">
        <f>+CO113</f>
        <v>792.25</v>
      </c>
      <c r="AC113" s="36">
        <f>+CS113</f>
        <v>792.25</v>
      </c>
      <c r="AD113" s="36">
        <f>+CW113</f>
        <v>792.25</v>
      </c>
      <c r="AE113" s="36">
        <f>+DA113</f>
        <v>792.25</v>
      </c>
      <c r="AJ113" s="13">
        <f>'QTR Share Price'!HP21</f>
        <v>41.19</v>
      </c>
      <c r="AK113" s="13">
        <f>'QTR Share Price'!HQ21</f>
        <v>44.32</v>
      </c>
      <c r="AL113" s="13">
        <f>'QTR Share Price'!HR21</f>
        <v>40.659999999999997</v>
      </c>
      <c r="AM113" s="13">
        <f>'QTR Share Price'!HS21</f>
        <v>41.64</v>
      </c>
      <c r="AN113" s="13">
        <f>'QTR Share Price'!HT21</f>
        <v>42.91</v>
      </c>
      <c r="AO113" s="13">
        <f>'QTR Share Price'!HU21</f>
        <v>53.6</v>
      </c>
      <c r="AP113" s="13">
        <f>'QTR Share Price'!HV21</f>
        <v>64.959999999999994</v>
      </c>
      <c r="AQ113" s="13">
        <f>'QTR Share Price'!HW21</f>
        <v>109.35</v>
      </c>
      <c r="AR113" s="13">
        <f>'QTR Share Price'!HX21</f>
        <v>108.84</v>
      </c>
      <c r="AS113" s="13">
        <f>'QTR Share Price'!HY21</f>
        <v>132.69</v>
      </c>
      <c r="AT113" s="13">
        <f>'QTR Share Price'!HZ21</f>
        <v>147.94999999999999</v>
      </c>
      <c r="AU113" s="13">
        <f>'QTR Share Price'!IA21</f>
        <v>123.3</v>
      </c>
      <c r="AV113" s="13">
        <f>'QTR Share Price'!IB21</f>
        <v>117.85</v>
      </c>
      <c r="AW113" s="13">
        <f>'QTR Share Price'!IC21</f>
        <v>123.55</v>
      </c>
      <c r="AX113" s="13">
        <f>'QTR Share Price'!ID21</f>
        <v>126.3</v>
      </c>
      <c r="AY113" s="13">
        <f>'QTR Share Price'!IE21</f>
        <v>147.47</v>
      </c>
      <c r="AZ113" s="13">
        <f>'QTR Share Price'!IF21</f>
        <v>118.96</v>
      </c>
      <c r="BA113" s="13">
        <f>'QTR Share Price'!IG21</f>
        <v>125.79</v>
      </c>
      <c r="BB113" s="13">
        <f>'QTR Share Price'!IH21</f>
        <v>144.78</v>
      </c>
      <c r="BC113" s="13">
        <f>'QTR Share Price'!II21</f>
        <v>151.91</v>
      </c>
      <c r="BD113" s="13">
        <f>'QTR Share Price'!IJ21</f>
        <v>146.47</v>
      </c>
      <c r="BE113" s="13">
        <f>'QTR Share Price'!IK21</f>
        <v>177.3</v>
      </c>
      <c r="BF113" s="13">
        <f>'QTR Share Price'!IL21</f>
        <v>158.09</v>
      </c>
      <c r="BG113" s="13">
        <f>'QTR Share Price'!IM21</f>
        <v>155.43</v>
      </c>
      <c r="BH113" s="13">
        <f>'QTR Share Price'!IN21</f>
        <v>144.58000000000001</v>
      </c>
      <c r="BI113" s="13">
        <f>'QTR Share Price'!IO21</f>
        <v>155.85</v>
      </c>
      <c r="BJ113" s="13">
        <f>'QTR Share Price'!IP21</f>
        <v>137.56</v>
      </c>
      <c r="BK113" s="13">
        <f>'QTR Share Price'!IQ21</f>
        <v>143.32</v>
      </c>
      <c r="BL113" s="13">
        <f>'QTR Share Price'!IR21</f>
        <v>139.08000000000001</v>
      </c>
      <c r="BM113" s="13">
        <f>'QTR Share Price'!IS21</f>
        <v>135</v>
      </c>
      <c r="BN113" s="13">
        <f>'QTR Share Price'!IT21</f>
        <v>84.84</v>
      </c>
      <c r="BO113" s="13">
        <f>'QTR Share Price'!IU21</f>
        <v>93.35</v>
      </c>
      <c r="BP113" s="13">
        <f>'QTR Share Price'!IV21</f>
        <v>95.57</v>
      </c>
      <c r="BQ113" s="13">
        <f>'QTR Share Price'!IW21</f>
        <v>129.36000000000001</v>
      </c>
      <c r="BR113" s="13">
        <f>'QTR Share Price'!IX21</f>
        <v>179.07</v>
      </c>
      <c r="BS113" s="13">
        <f>'QTR Share Price'!IY21</f>
        <v>202.22</v>
      </c>
      <c r="BT113" s="13">
        <f>'QTR Share Price'!IZ21</f>
        <v>244.3</v>
      </c>
      <c r="BU113" s="13">
        <f>'QTR Share Price'!JA21</f>
        <v>243.08</v>
      </c>
      <c r="BV113" s="13">
        <f>'QTR Share Price'!JB21</f>
        <v>262.92</v>
      </c>
      <c r="BW113" s="13">
        <f>'QTR Share Price'!JC21</f>
        <v>296.70999999999998</v>
      </c>
      <c r="BX113" s="13">
        <f>'QTR Share Price'!JD21</f>
        <v>401.25</v>
      </c>
      <c r="BY113" s="13">
        <f>'QTR Share Price'!JE21</f>
        <v>387.38</v>
      </c>
      <c r="BZ113" s="13">
        <f>'QTR Share Price'!JF21</f>
        <v>418.32</v>
      </c>
      <c r="CA113" s="13">
        <f>'QTR Share Price'!JG21</f>
        <v>431.17</v>
      </c>
      <c r="CB113" s="13">
        <f>'QTR Share Price'!JH21</f>
        <v>599.16</v>
      </c>
      <c r="CC113" s="13">
        <f>'QTR Share Price'!JI21</f>
        <v>692.83</v>
      </c>
      <c r="CD113" s="13">
        <f>'QTR Share Price'!JJ21</f>
        <v>770.92</v>
      </c>
      <c r="CE113" s="13">
        <f>'QTR Share Price'!JK21</f>
        <v>934.99</v>
      </c>
      <c r="CF113" s="13">
        <f>'QTR Share Price'!JL21</f>
        <v>898.9</v>
      </c>
      <c r="CG113" s="13">
        <f>'QTR Share Price'!JM21</f>
        <v>767.4</v>
      </c>
      <c r="CH113" s="13">
        <f>'QTR Share Price'!JN21</f>
        <v>712.7</v>
      </c>
      <c r="CI113" s="13">
        <f>'QTR Share Price'!JO21</f>
        <v>817.9</v>
      </c>
      <c r="CJ113" s="13">
        <f>'QTR Share Price'!JP21</f>
        <v>821.45</v>
      </c>
      <c r="CK113" s="13">
        <f>'QTR Share Price'!JQ21</f>
        <v>754.25</v>
      </c>
      <c r="CL113" s="13">
        <f>'QTR Share Price'!JR21</f>
        <v>792.25</v>
      </c>
      <c r="CM113" s="36">
        <f t="shared" ref="CM113" si="881">+CL113</f>
        <v>792.25</v>
      </c>
      <c r="CN113" s="36">
        <f t="shared" ref="CN113" si="882">+CM113</f>
        <v>792.25</v>
      </c>
      <c r="CO113" s="36">
        <f t="shared" ref="CO113" si="883">+CN113</f>
        <v>792.25</v>
      </c>
      <c r="CP113" s="36">
        <f t="shared" ref="CP113" si="884">+CO113</f>
        <v>792.25</v>
      </c>
      <c r="CQ113" s="36">
        <f t="shared" ref="CQ113" si="885">+CP113</f>
        <v>792.25</v>
      </c>
      <c r="CR113" s="36">
        <f t="shared" ref="CR113" si="886">+CQ113</f>
        <v>792.25</v>
      </c>
      <c r="CS113" s="36">
        <f t="shared" ref="CS113" si="887">+CR113</f>
        <v>792.25</v>
      </c>
      <c r="CT113" s="36">
        <f t="shared" ref="CT113" si="888">+CS113</f>
        <v>792.25</v>
      </c>
      <c r="CU113" s="36">
        <f t="shared" ref="CU113" si="889">+CT113</f>
        <v>792.25</v>
      </c>
      <c r="CV113" s="36">
        <f t="shared" ref="CV113" si="890">+CU113</f>
        <v>792.25</v>
      </c>
      <c r="CW113" s="36">
        <f t="shared" ref="CW113" si="891">+CV113</f>
        <v>792.25</v>
      </c>
      <c r="CX113" s="36">
        <f t="shared" ref="CX113" si="892">+CW113</f>
        <v>792.25</v>
      </c>
      <c r="CY113" s="36">
        <f t="shared" ref="CY113" si="893">+CX113</f>
        <v>792.25</v>
      </c>
      <c r="CZ113" s="36">
        <f t="shared" ref="CZ113" si="894">+CY113</f>
        <v>792.25</v>
      </c>
      <c r="DA113" s="36">
        <f t="shared" ref="DA113" si="895">+CZ113</f>
        <v>792.25</v>
      </c>
      <c r="DD113" s="133"/>
      <c r="DE113" s="13">
        <v>754.25</v>
      </c>
    </row>
    <row r="114" spans="1:109" s="13" customFormat="1" x14ac:dyDescent="0.2">
      <c r="A114" s="13" t="s">
        <v>458</v>
      </c>
      <c r="B114" s="13">
        <f>'Annual Raw'!C107</f>
        <v>25.4</v>
      </c>
      <c r="C114" s="13">
        <f>'Annual Raw'!D107</f>
        <v>10.365</v>
      </c>
      <c r="D114" s="13">
        <f>'Annual Raw'!E107</f>
        <v>9.5</v>
      </c>
      <c r="E114" s="13">
        <f>'Annual Raw'!F107</f>
        <v>16.2</v>
      </c>
      <c r="F114" s="13">
        <f>'Annual Raw'!G107</f>
        <v>24.484999999999999</v>
      </c>
      <c r="G114" s="13">
        <f>'Annual Raw'!H107</f>
        <v>45.5</v>
      </c>
      <c r="H114" s="13">
        <f>'Annual Raw'!I107</f>
        <v>68.040000000000006</v>
      </c>
      <c r="I114" s="13">
        <f>'Annual Raw'!J107</f>
        <v>67.900000000000006</v>
      </c>
      <c r="J114" s="13">
        <f>'Annual Raw'!K107</f>
        <v>50.1</v>
      </c>
      <c r="K114" s="13">
        <f>'Annual Raw'!L107</f>
        <v>45.994999999999997</v>
      </c>
      <c r="L114" s="13">
        <f>'Annual Raw'!M107</f>
        <v>61</v>
      </c>
      <c r="M114" s="13">
        <f>'Annual Raw'!N107</f>
        <v>59</v>
      </c>
      <c r="N114" s="13">
        <f>'Annual Raw'!O107</f>
        <v>53.2</v>
      </c>
      <c r="O114" s="13">
        <f>'Annual Raw'!P107</f>
        <v>54.8</v>
      </c>
      <c r="P114" s="13">
        <f>'Annual Raw'!Q107</f>
        <v>136</v>
      </c>
      <c r="Q114" s="13">
        <f>'Annual Raw'!R107</f>
        <v>165</v>
      </c>
      <c r="R114" s="13">
        <f>'Annual Raw'!S107</f>
        <v>153.59</v>
      </c>
      <c r="S114" s="13">
        <f>'Annual Raw'!T107</f>
        <v>186.2</v>
      </c>
      <c r="T114" s="13">
        <f>'Annual Raw'!U107</f>
        <v>187.2</v>
      </c>
      <c r="U114" s="13">
        <f>'Annual Raw'!V107</f>
        <v>156</v>
      </c>
      <c r="V114" s="13">
        <f>'Annual Raw'!W107</f>
        <v>152.88999999999999</v>
      </c>
      <c r="W114" s="13">
        <f>'Annual Raw'!X107</f>
        <v>281.82</v>
      </c>
      <c r="X114" s="13">
        <f>'Annual Raw'!Y107</f>
        <v>434.2</v>
      </c>
      <c r="Y114" s="13">
        <f>'Annual Raw'!Z107</f>
        <v>709.8</v>
      </c>
      <c r="Z114" s="13">
        <f>'Annual Raw'!AA107</f>
        <v>1057.54</v>
      </c>
      <c r="AA114" s="13">
        <f>'Annual Raw'!AB107</f>
        <v>917.9</v>
      </c>
      <c r="AB114" s="36">
        <f>+MAX(CL114:CO114)</f>
        <v>923.91991712736694</v>
      </c>
      <c r="AC114" s="36">
        <f>+MAX(CP114:CS114)</f>
        <v>1058.4884275483478</v>
      </c>
      <c r="AD114" s="36">
        <f>+MAX(CT114:CW114)</f>
        <v>1174.9725699661853</v>
      </c>
      <c r="AE114" s="36">
        <f>+MAX(CX114:DA114)</f>
        <v>1336.3044354417332</v>
      </c>
      <c r="AJ114" s="13">
        <f>'QTR Share Price'!HP19</f>
        <v>44.4</v>
      </c>
      <c r="AK114" s="13">
        <f>'QTR Share Price'!HQ19</f>
        <v>48.19</v>
      </c>
      <c r="AL114" s="13">
        <f>'QTR Share Price'!HR19</f>
        <v>46.72</v>
      </c>
      <c r="AM114" s="13">
        <f>'QTR Share Price'!HS19</f>
        <v>46.4</v>
      </c>
      <c r="AN114" s="13">
        <f>'QTR Share Price'!HT19</f>
        <v>44.2</v>
      </c>
      <c r="AO114" s="13">
        <f>'QTR Share Price'!HU19</f>
        <v>54.8</v>
      </c>
      <c r="AP114" s="13">
        <f>'QTR Share Price'!HV19</f>
        <v>72.8</v>
      </c>
      <c r="AQ114" s="13">
        <f>'QTR Share Price'!HW19</f>
        <v>114.7</v>
      </c>
      <c r="AR114" s="13">
        <f>'QTR Share Price'!HX19</f>
        <v>118.36</v>
      </c>
      <c r="AS114" s="13">
        <f>'QTR Share Price'!HY19</f>
        <v>136</v>
      </c>
      <c r="AT114" s="13">
        <f>'QTR Share Price'!HZ19</f>
        <v>165</v>
      </c>
      <c r="AU114" s="13">
        <f>'QTR Share Price'!IA19</f>
        <v>148.80000000000001</v>
      </c>
      <c r="AV114" s="13">
        <f>'QTR Share Price'!IB19</f>
        <v>139</v>
      </c>
      <c r="AW114" s="13">
        <f>'QTR Share Price'!IC19</f>
        <v>124.95</v>
      </c>
      <c r="AX114" s="13">
        <f>'QTR Share Price'!ID19</f>
        <v>135.4</v>
      </c>
      <c r="AY114" s="13">
        <f>'QTR Share Price'!IE19</f>
        <v>148.88999999999999</v>
      </c>
      <c r="AZ114" s="13">
        <f>'QTR Share Price'!IF19</f>
        <v>153.59</v>
      </c>
      <c r="BA114" s="13">
        <f>'QTR Share Price'!IG19</f>
        <v>127</v>
      </c>
      <c r="BB114" s="13">
        <f>'QTR Share Price'!IH19</f>
        <v>146.6</v>
      </c>
      <c r="BC114" s="13">
        <f>'QTR Share Price'!II19</f>
        <v>160.6</v>
      </c>
      <c r="BD114" s="13">
        <f>'QTR Share Price'!IJ19</f>
        <v>167.9</v>
      </c>
      <c r="BE114" s="13">
        <f>'QTR Share Price'!IK19</f>
        <v>186.2</v>
      </c>
      <c r="BF114" s="13">
        <f>'QTR Share Price'!IL19</f>
        <v>187.2</v>
      </c>
      <c r="BG114" s="13">
        <f>'QTR Share Price'!IM19</f>
        <v>181.59</v>
      </c>
      <c r="BH114" s="13">
        <f>'QTR Share Price'!IN19</f>
        <v>177</v>
      </c>
      <c r="BI114" s="13">
        <f>'QTR Share Price'!IO19</f>
        <v>163.80000000000001</v>
      </c>
      <c r="BJ114" s="13">
        <f>'QTR Share Price'!IP19</f>
        <v>156</v>
      </c>
      <c r="BK114" s="13">
        <f>'QTR Share Price'!IQ19</f>
        <v>147.97999999999999</v>
      </c>
      <c r="BL114" s="13">
        <f>'QTR Share Price'!IR19</f>
        <v>148</v>
      </c>
      <c r="BM114" s="13">
        <f>'QTR Share Price'!IS19</f>
        <v>148</v>
      </c>
      <c r="BN114" s="13">
        <f>'QTR Share Price'!IT19</f>
        <v>152.88999999999999</v>
      </c>
      <c r="BO114" s="13">
        <f>'QTR Share Price'!IU19</f>
        <v>110.69</v>
      </c>
      <c r="BP114" s="13">
        <f>'QTR Share Price'!IV19</f>
        <v>115.08</v>
      </c>
      <c r="BQ114" s="13">
        <f>'QTR Share Price'!IW19</f>
        <v>130.80000000000001</v>
      </c>
      <c r="BR114" s="13">
        <f>'QTR Share Price'!IX19</f>
        <v>181.87</v>
      </c>
      <c r="BS114" s="13">
        <f>'QTR Share Price'!IY19</f>
        <v>222</v>
      </c>
      <c r="BT114" s="13">
        <f>'QTR Share Price'!IZ19</f>
        <v>275</v>
      </c>
      <c r="BU114" s="13">
        <f>'QTR Share Price'!JA19</f>
        <v>281.82</v>
      </c>
      <c r="BV114" s="13">
        <f>'QTR Share Price'!JB19</f>
        <v>265.01</v>
      </c>
      <c r="BW114" s="13">
        <f>'QTR Share Price'!JC19</f>
        <v>304.31</v>
      </c>
      <c r="BX114" s="13">
        <f>'QTR Share Price'!JD19</f>
        <v>419.57</v>
      </c>
      <c r="BY114" s="13">
        <f>'QTR Share Price'!JE19</f>
        <v>434.2</v>
      </c>
      <c r="BZ114" s="13">
        <f>'QTR Share Price'!JF19</f>
        <v>427.12</v>
      </c>
      <c r="CA114" s="13">
        <f>'QTR Share Price'!JG19</f>
        <v>471.37</v>
      </c>
      <c r="CB114" s="13">
        <f>'QTR Share Price'!JH19</f>
        <v>644</v>
      </c>
      <c r="CC114" s="13">
        <f>'QTR Share Price'!JI19</f>
        <v>709.8</v>
      </c>
      <c r="CD114" s="13">
        <f>'QTR Share Price'!JJ19</f>
        <v>842.24</v>
      </c>
      <c r="CE114" s="13">
        <f>'QTR Share Price'!JK19</f>
        <v>1037</v>
      </c>
      <c r="CF114" s="13">
        <f>'QTR Share Price'!JL19</f>
        <v>1057.54</v>
      </c>
      <c r="CG114" s="13">
        <f>'QTR Share Price'!JM19</f>
        <v>960</v>
      </c>
      <c r="CH114" s="13">
        <f>'QTR Share Price'!JN19</f>
        <v>799.55</v>
      </c>
      <c r="CI114" s="13">
        <f>'QTR Share Price'!JO19</f>
        <v>907.3</v>
      </c>
      <c r="CJ114" s="13">
        <f>'QTR Share Price'!JP19</f>
        <v>917.9</v>
      </c>
      <c r="CK114" s="13">
        <f>'QTR Share Price'!JQ19</f>
        <v>826.3</v>
      </c>
      <c r="CL114" s="13">
        <f>'QTR Share Price'!JR19</f>
        <v>835.15</v>
      </c>
      <c r="CM114" s="36">
        <f t="shared" ref="CM114:DA114" si="896">+CM105*CM122</f>
        <v>898.54901317917745</v>
      </c>
      <c r="CN114" s="36">
        <f t="shared" si="896"/>
        <v>921.14505181145296</v>
      </c>
      <c r="CO114" s="36">
        <f t="shared" si="896"/>
        <v>923.91991712736694</v>
      </c>
      <c r="CP114" s="36">
        <f t="shared" si="896"/>
        <v>962.54171952225215</v>
      </c>
      <c r="CQ114" s="36">
        <f t="shared" si="896"/>
        <v>986.62030704148708</v>
      </c>
      <c r="CR114" s="36">
        <f t="shared" si="896"/>
        <v>1015.1102966171459</v>
      </c>
      <c r="CS114" s="36">
        <f t="shared" si="896"/>
        <v>1058.4884275483478</v>
      </c>
      <c r="CT114" s="36">
        <f t="shared" si="896"/>
        <v>1078.6362804253013</v>
      </c>
      <c r="CU114" s="36">
        <f t="shared" si="896"/>
        <v>1109.9722802738338</v>
      </c>
      <c r="CV114" s="36">
        <f t="shared" si="896"/>
        <v>1136.4459754622299</v>
      </c>
      <c r="CW114" s="36">
        <f t="shared" si="896"/>
        <v>1174.9725699661853</v>
      </c>
      <c r="CX114" s="36">
        <f t="shared" si="896"/>
        <v>1203.1509817488216</v>
      </c>
      <c r="CY114" s="36">
        <f t="shared" si="896"/>
        <v>1246.3740512589068</v>
      </c>
      <c r="CZ114" s="36">
        <f t="shared" si="896"/>
        <v>1285.0061837183364</v>
      </c>
      <c r="DA114" s="36">
        <f t="shared" si="896"/>
        <v>1336.3044354417332</v>
      </c>
      <c r="DD114" s="133"/>
      <c r="DE114" s="13">
        <v>917.9</v>
      </c>
    </row>
    <row r="115" spans="1:109" s="13" customFormat="1" x14ac:dyDescent="0.2">
      <c r="A115" s="13" t="s">
        <v>459</v>
      </c>
      <c r="B115" s="13">
        <f>'Annual Raw'!C108</f>
        <v>9.5</v>
      </c>
      <c r="C115" s="13">
        <f>'Annual Raw'!D108</f>
        <v>4.9000000000000004</v>
      </c>
      <c r="D115" s="13">
        <f>'Annual Raw'!E108</f>
        <v>4.4400000000000004</v>
      </c>
      <c r="E115" s="13">
        <f>'Annual Raw'!F108</f>
        <v>5.75</v>
      </c>
      <c r="F115" s="13">
        <f>'Annual Raw'!G108</f>
        <v>7.7</v>
      </c>
      <c r="G115" s="13">
        <f>'Annual Raw'!H108</f>
        <v>20.125</v>
      </c>
      <c r="H115" s="13">
        <f>'Annual Raw'!I108</f>
        <v>36</v>
      </c>
      <c r="I115" s="13">
        <f>'Annual Raw'!J108</f>
        <v>41.524999999999999</v>
      </c>
      <c r="J115" s="13">
        <f>'Annual Raw'!K108</f>
        <v>17.5</v>
      </c>
      <c r="K115" s="13">
        <f>'Annual Raw'!L108</f>
        <v>17.600000000000001</v>
      </c>
      <c r="L115" s="13">
        <f>'Annual Raw'!M108</f>
        <v>36.5</v>
      </c>
      <c r="M115" s="13">
        <f>'Annual Raw'!N108</f>
        <v>28.3</v>
      </c>
      <c r="N115" s="13">
        <f>'Annual Raw'!O108</f>
        <v>28.9</v>
      </c>
      <c r="O115" s="13">
        <f>'Annual Raw'!P108</f>
        <v>35.47</v>
      </c>
      <c r="P115" s="13">
        <f>'Annual Raw'!Q108</f>
        <v>45.2</v>
      </c>
      <c r="Q115" s="13">
        <f>'Annual Raw'!R108</f>
        <v>108.5</v>
      </c>
      <c r="R115" s="13">
        <f>'Annual Raw'!S108</f>
        <v>99.8</v>
      </c>
      <c r="S115" s="13">
        <f>'Annual Raw'!T108</f>
        <v>120</v>
      </c>
      <c r="T115" s="13">
        <f>'Annual Raw'!U108</f>
        <v>131.19999999999999</v>
      </c>
      <c r="U115" s="13">
        <f>'Annual Raw'!V108</f>
        <v>107.13</v>
      </c>
      <c r="V115" s="13">
        <f>'Annual Raw'!W108</f>
        <v>77.28</v>
      </c>
      <c r="W115" s="13">
        <f>'Annual Raw'!X108</f>
        <v>124.6</v>
      </c>
      <c r="X115" s="13">
        <f>'Annual Raw'!Y108</f>
        <v>191.93</v>
      </c>
      <c r="Y115" s="13">
        <f>'Annual Raw'!Z108</f>
        <v>341.24</v>
      </c>
      <c r="Z115" s="13">
        <f>'Annual Raw'!AA108</f>
        <v>635</v>
      </c>
      <c r="AA115" s="13">
        <f>'Annual Raw'!AB108</f>
        <v>585</v>
      </c>
      <c r="AB115" s="36">
        <f>+MIN(CL115:CO115)</f>
        <v>668.65</v>
      </c>
      <c r="AC115" s="36">
        <f>+MIN(CP115:CS115)</f>
        <v>770.64422050955386</v>
      </c>
      <c r="AD115" s="36">
        <f>+MIN(CT115:CW115)</f>
        <v>863.59354476007638</v>
      </c>
      <c r="AE115" s="36">
        <f>+MIN(CX115:DA115)</f>
        <v>963.28432490732166</v>
      </c>
      <c r="AJ115" s="13">
        <f>+'QTR Share Price'!HP20</f>
        <v>36</v>
      </c>
      <c r="AK115" s="13">
        <f>+'QTR Share Price'!HQ20</f>
        <v>40.869999999999997</v>
      </c>
      <c r="AL115" s="13">
        <f>+'QTR Share Price'!HR20</f>
        <v>35.47</v>
      </c>
      <c r="AM115" s="13">
        <f>+'QTR Share Price'!HS20</f>
        <v>38.979999999999997</v>
      </c>
      <c r="AN115" s="13">
        <f>+'QTR Share Price'!HT20</f>
        <v>38.31</v>
      </c>
      <c r="AO115" s="13">
        <f>+'QTR Share Price'!HU20</f>
        <v>41.6</v>
      </c>
      <c r="AP115" s="13">
        <f>+'QTR Share Price'!HV20</f>
        <v>45.2</v>
      </c>
      <c r="AQ115" s="13">
        <f>+'QTR Share Price'!HW20</f>
        <v>63</v>
      </c>
      <c r="AR115" s="13">
        <f>+'QTR Share Price'!HX20</f>
        <v>100</v>
      </c>
      <c r="AS115" s="13">
        <f>+'QTR Share Price'!HY20</f>
        <v>100</v>
      </c>
      <c r="AT115" s="13">
        <f>+'QTR Share Price'!HZ20</f>
        <v>117.29</v>
      </c>
      <c r="AU115" s="13">
        <f>+'QTR Share Price'!IA20</f>
        <v>109.65</v>
      </c>
      <c r="AV115" s="13">
        <f>+'QTR Share Price'!IB20</f>
        <v>108.5</v>
      </c>
      <c r="AW115" s="13">
        <f>+'QTR Share Price'!IC20</f>
        <v>111.3</v>
      </c>
      <c r="AX115" s="13">
        <f>+'QTR Share Price'!ID20</f>
        <v>99.8</v>
      </c>
      <c r="AY115" s="13">
        <f>+'QTR Share Price'!IE20</f>
        <v>117.3</v>
      </c>
      <c r="AZ115" s="13">
        <f>+'QTR Share Price'!IF20</f>
        <v>118.14</v>
      </c>
      <c r="BA115" s="13">
        <f>+'QTR Share Price'!IG20</f>
        <v>109.98</v>
      </c>
      <c r="BB115" s="13">
        <f>+'QTR Share Price'!IH20</f>
        <v>120</v>
      </c>
      <c r="BC115" s="13">
        <f>+'QTR Share Price'!II20</f>
        <v>131.12</v>
      </c>
      <c r="BD115" s="13">
        <f>+'QTR Share Price'!IJ20</f>
        <v>131.81</v>
      </c>
      <c r="BE115" s="13">
        <f>+'QTR Share Price'!IK20</f>
        <v>143.19999999999999</v>
      </c>
      <c r="BF115" s="13">
        <f>+'QTR Share Price'!IL20</f>
        <v>150.03</v>
      </c>
      <c r="BG115" s="13">
        <f>+'QTR Share Price'!IM20</f>
        <v>151.81</v>
      </c>
      <c r="BH115" s="13">
        <f>+'QTR Share Price'!IN20</f>
        <v>135</v>
      </c>
      <c r="BI115" s="13">
        <f>+'QTR Share Price'!IO20</f>
        <v>131.19999999999999</v>
      </c>
      <c r="BJ115" s="13">
        <f>+'QTR Share Price'!IP20</f>
        <v>120.26</v>
      </c>
      <c r="BK115" s="13">
        <f>+'QTR Share Price'!IQ20</f>
        <v>128</v>
      </c>
      <c r="BL115" s="13">
        <f>+'QTR Share Price'!IR20</f>
        <v>107.13</v>
      </c>
      <c r="BM115" s="13">
        <f>+'QTR Share Price'!IS20</f>
        <v>125.57</v>
      </c>
      <c r="BN115" s="13">
        <f>+'QTR Share Price'!IT20</f>
        <v>77.28</v>
      </c>
      <c r="BO115" s="13">
        <f>+'QTR Share Price'!IU20</f>
        <v>80</v>
      </c>
      <c r="BP115" s="13">
        <f>+'QTR Share Price'!IV20</f>
        <v>90.46</v>
      </c>
      <c r="BQ115" s="13">
        <f>+'QTR Share Price'!IW20</f>
        <v>85.09</v>
      </c>
      <c r="BR115" s="13">
        <f>+'QTR Share Price'!IX20</f>
        <v>124.6</v>
      </c>
      <c r="BS115" s="13">
        <f>+'QTR Share Price'!IY20</f>
        <v>163.12</v>
      </c>
      <c r="BT115" s="13">
        <f>+'QTR Share Price'!IZ20</f>
        <v>200.66</v>
      </c>
      <c r="BU115" s="13">
        <f>+'QTR Share Price'!JA20</f>
        <v>236</v>
      </c>
      <c r="BV115" s="13">
        <f>+'QTR Share Price'!JB20</f>
        <v>191.93</v>
      </c>
      <c r="BW115" s="13">
        <f>+'QTR Share Price'!JC20</f>
        <v>236.73</v>
      </c>
      <c r="BX115" s="13">
        <f>+'QTR Share Price'!JD20</f>
        <v>282.74</v>
      </c>
      <c r="BY115" s="13">
        <f>+'QTR Share Price'!JE20</f>
        <v>350.29</v>
      </c>
      <c r="BZ115" s="13">
        <f>+'QTR Share Price'!JF20</f>
        <v>341.24</v>
      </c>
      <c r="CA115" s="13">
        <f>+'QTR Share Price'!JG20</f>
        <v>411.46</v>
      </c>
      <c r="CB115" s="13">
        <f>+'QTR Share Price'!JH20</f>
        <v>402.93</v>
      </c>
      <c r="CC115" s="13">
        <f>+'QTR Share Price'!JI20</f>
        <v>560</v>
      </c>
      <c r="CD115" s="13">
        <f>+'QTR Share Price'!JJ20</f>
        <v>635</v>
      </c>
      <c r="CE115" s="13">
        <f>+'QTR Share Price'!JK20</f>
        <v>768.62</v>
      </c>
      <c r="CF115" s="13">
        <f>+'QTR Share Price'!JL20</f>
        <v>856.15</v>
      </c>
      <c r="CG115" s="13">
        <f>+'QTR Share Price'!JM20</f>
        <v>716.5</v>
      </c>
      <c r="CH115" s="13">
        <f>+'QTR Share Price'!JN20</f>
        <v>585</v>
      </c>
      <c r="CI115" s="13">
        <f>+'QTR Share Price'!JO20</f>
        <v>648</v>
      </c>
      <c r="CJ115" s="13">
        <f>+'QTR Share Price'!JP20</f>
        <v>770</v>
      </c>
      <c r="CK115" s="13">
        <f>+'QTR Share Price'!JQ20</f>
        <v>702</v>
      </c>
      <c r="CL115" s="13">
        <f>+'QTR Share Price'!JR20</f>
        <v>668.65</v>
      </c>
      <c r="CM115" s="36">
        <f t="shared" ref="CM115:DA115" si="897">+CM123*CM105</f>
        <v>719.40944460546859</v>
      </c>
      <c r="CN115" s="36">
        <f t="shared" si="897"/>
        <v>737.50061533105202</v>
      </c>
      <c r="CO115" s="36">
        <f t="shared" si="897"/>
        <v>739.72226855919769</v>
      </c>
      <c r="CP115" s="36">
        <f t="shared" si="897"/>
        <v>770.64422050955386</v>
      </c>
      <c r="CQ115" s="36">
        <f t="shared" si="897"/>
        <v>789.92237119474385</v>
      </c>
      <c r="CR115" s="36">
        <f t="shared" si="897"/>
        <v>812.73244307376478</v>
      </c>
      <c r="CS115" s="36">
        <f t="shared" si="897"/>
        <v>847.46247629791389</v>
      </c>
      <c r="CT115" s="36">
        <f t="shared" si="897"/>
        <v>863.59354476007638</v>
      </c>
      <c r="CU115" s="36">
        <f t="shared" si="897"/>
        <v>888.68223098257681</v>
      </c>
      <c r="CV115" s="36">
        <f t="shared" si="897"/>
        <v>909.877987778028</v>
      </c>
      <c r="CW115" s="36">
        <f t="shared" si="897"/>
        <v>940.72371299513838</v>
      </c>
      <c r="CX115" s="36">
        <f t="shared" si="897"/>
        <v>963.28432490732166</v>
      </c>
      <c r="CY115" s="36">
        <f t="shared" si="897"/>
        <v>997.89021059003551</v>
      </c>
      <c r="CZ115" s="36">
        <f t="shared" si="897"/>
        <v>1028.820433147657</v>
      </c>
      <c r="DA115" s="36">
        <f t="shared" si="897"/>
        <v>1069.8915892451835</v>
      </c>
      <c r="DD115" s="133"/>
      <c r="DE115" s="13">
        <v>585</v>
      </c>
    </row>
    <row r="116" spans="1:109" s="14" customFormat="1" x14ac:dyDescent="0.2">
      <c r="AB116" s="15"/>
      <c r="AC116" s="15"/>
      <c r="AD116" s="15"/>
      <c r="AE116" s="15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D116" s="133"/>
    </row>
    <row r="117" spans="1:109" s="50" customFormat="1" x14ac:dyDescent="0.2">
      <c r="A117" s="50" t="s">
        <v>346</v>
      </c>
      <c r="AB117" s="47">
        <f t="shared" ref="AB117:AD117" si="898">+AB114/AB113-1</f>
        <v>0.16619743405158349</v>
      </c>
      <c r="AC117" s="47">
        <f t="shared" si="898"/>
        <v>0.3360535532323734</v>
      </c>
      <c r="AD117" s="47">
        <f t="shared" si="898"/>
        <v>0.48308307979322862</v>
      </c>
      <c r="AE117" s="47">
        <f t="shared" ref="AE117" si="899">+AE114/AE113-1</f>
        <v>0.68672065060490151</v>
      </c>
      <c r="CM117" s="47">
        <f t="shared" ref="CM117:DA117" si="900">+CM114/CM113-1</f>
        <v>0.13417357296204169</v>
      </c>
      <c r="CN117" s="47">
        <f t="shared" si="900"/>
        <v>0.16269492181944201</v>
      </c>
      <c r="CO117" s="47">
        <f t="shared" si="900"/>
        <v>0.16619743405158349</v>
      </c>
      <c r="CP117" s="47">
        <f t="shared" si="900"/>
        <v>0.21494694796118918</v>
      </c>
      <c r="CQ117" s="47">
        <f t="shared" si="900"/>
        <v>0.24533961128619386</v>
      </c>
      <c r="CR117" s="47">
        <f t="shared" si="900"/>
        <v>0.28130046906550432</v>
      </c>
      <c r="CS117" s="47">
        <f t="shared" si="900"/>
        <v>0.3360535532323734</v>
      </c>
      <c r="CT117" s="47">
        <f t="shared" si="900"/>
        <v>0.36148473389119751</v>
      </c>
      <c r="CU117" s="47">
        <f t="shared" si="900"/>
        <v>0.4010379050474393</v>
      </c>
      <c r="CV117" s="47">
        <f t="shared" si="900"/>
        <v>0.43445373993339209</v>
      </c>
      <c r="CW117" s="47">
        <f t="shared" si="900"/>
        <v>0.48308307979322862</v>
      </c>
      <c r="CX117" s="47">
        <f t="shared" si="900"/>
        <v>0.5186506554103143</v>
      </c>
      <c r="CY117" s="47">
        <f t="shared" si="900"/>
        <v>0.57320801673576116</v>
      </c>
      <c r="CZ117" s="47">
        <f t="shared" si="900"/>
        <v>0.62197056954034258</v>
      </c>
      <c r="DA117" s="47">
        <f t="shared" si="900"/>
        <v>0.68672065060490151</v>
      </c>
      <c r="DD117" s="128"/>
      <c r="DE117" s="50">
        <v>0.21697050049718269</v>
      </c>
    </row>
    <row r="118" spans="1:109" s="50" customFormat="1" x14ac:dyDescent="0.2">
      <c r="A118" s="50" t="s">
        <v>347</v>
      </c>
      <c r="AB118" s="47">
        <f t="shared" ref="AB118:AD118" si="901">+AB115/AB113-1</f>
        <v>-0.1560113600504891</v>
      </c>
      <c r="AC118" s="47">
        <f t="shared" si="901"/>
        <v>-2.7271416207568455E-2</v>
      </c>
      <c r="AD118" s="47">
        <f t="shared" si="901"/>
        <v>9.0051807838531284E-2</v>
      </c>
      <c r="AE118" s="47">
        <f t="shared" ref="AE118" si="902">+AE115/AE113-1</f>
        <v>0.21588428514650881</v>
      </c>
      <c r="CM118" s="47">
        <f t="shared" ref="CM118:DA118" si="903">+CM115/CM113-1</f>
        <v>-9.1941376326325486E-2</v>
      </c>
      <c r="CN118" s="47">
        <f t="shared" si="903"/>
        <v>-6.910619712079269E-2</v>
      </c>
      <c r="CO118" s="47">
        <f t="shared" si="903"/>
        <v>-6.630196458289972E-2</v>
      </c>
      <c r="CP118" s="47">
        <f t="shared" si="903"/>
        <v>-2.7271416207568455E-2</v>
      </c>
      <c r="CQ118" s="47">
        <f t="shared" si="903"/>
        <v>-2.9379978608471413E-3</v>
      </c>
      <c r="CR118" s="47">
        <f t="shared" si="903"/>
        <v>2.5853509717595147E-2</v>
      </c>
      <c r="CS118" s="47">
        <f t="shared" si="903"/>
        <v>6.9690724263696824E-2</v>
      </c>
      <c r="CT118" s="47">
        <f t="shared" si="903"/>
        <v>9.0051807838531284E-2</v>
      </c>
      <c r="CU118" s="47">
        <f t="shared" si="903"/>
        <v>0.12171944585998973</v>
      </c>
      <c r="CV118" s="47">
        <f t="shared" si="903"/>
        <v>0.14847332001013314</v>
      </c>
      <c r="CW118" s="47">
        <f t="shared" si="903"/>
        <v>0.18740765288120964</v>
      </c>
      <c r="CX118" s="47">
        <f t="shared" si="903"/>
        <v>0.21588428514650881</v>
      </c>
      <c r="CY118" s="47">
        <f t="shared" si="903"/>
        <v>0.25956479721052128</v>
      </c>
      <c r="CZ118" s="47">
        <f t="shared" si="903"/>
        <v>0.29860578497653134</v>
      </c>
      <c r="DA118" s="47">
        <f t="shared" si="903"/>
        <v>0.35044694130032616</v>
      </c>
      <c r="DD118" s="128"/>
      <c r="DE118" s="50">
        <v>-0.22439509446470007</v>
      </c>
    </row>
    <row r="119" spans="1:109" s="14" customFormat="1" x14ac:dyDescent="0.2">
      <c r="AB119" s="15"/>
      <c r="AC119" s="15"/>
      <c r="AD119" s="15"/>
      <c r="AE119" s="15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D119" s="133"/>
    </row>
    <row r="120" spans="1:109" s="13" customFormat="1" x14ac:dyDescent="0.2">
      <c r="A120" s="13" t="s">
        <v>40</v>
      </c>
      <c r="AB120" s="36"/>
      <c r="AC120" s="36"/>
      <c r="AD120" s="36"/>
      <c r="AE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D120" s="133"/>
    </row>
    <row r="121" spans="1:109" s="13" customFormat="1" x14ac:dyDescent="0.2">
      <c r="A121" s="13" t="s">
        <v>460</v>
      </c>
      <c r="B121" s="13">
        <f t="shared" ref="B121:D121" si="904">+B113/B105</f>
        <v>1.1238466816451158</v>
      </c>
      <c r="C121" s="13">
        <f t="shared" si="904"/>
        <v>1.1295054699574953</v>
      </c>
      <c r="D121" s="13">
        <f t="shared" si="904"/>
        <v>0.88490403877632529</v>
      </c>
      <c r="E121" s="13">
        <f t="shared" ref="E121:AE121" ca="1" si="905">+E113/E105</f>
        <v>21.656678230487909</v>
      </c>
      <c r="F121" s="13">
        <f t="shared" ca="1" si="905"/>
        <v>28.199300582847659</v>
      </c>
      <c r="G121" s="13">
        <f t="shared" ca="1" si="905"/>
        <v>36.917932791926525</v>
      </c>
      <c r="H121" s="13">
        <f t="shared" ca="1" si="905"/>
        <v>42.27445641436438</v>
      </c>
      <c r="I121" s="13">
        <f t="shared" ca="1" si="905"/>
        <v>32.46571964190835</v>
      </c>
      <c r="J121" s="13">
        <f t="shared" ca="1" si="905"/>
        <v>11.056703000591575</v>
      </c>
      <c r="K121" s="13">
        <f t="shared" ca="1" si="905"/>
        <v>20.800881704628914</v>
      </c>
      <c r="L121" s="13">
        <f t="shared" ca="1" si="905"/>
        <v>31.664423600480774</v>
      </c>
      <c r="M121" s="13">
        <f t="shared" ca="1" si="905"/>
        <v>20.92693093583981</v>
      </c>
      <c r="N121" s="13">
        <f t="shared" ca="1" si="905"/>
        <v>24.258575944887458</v>
      </c>
      <c r="O121" s="13">
        <f t="shared" ca="1" si="905"/>
        <v>27.938409921514612</v>
      </c>
      <c r="P121" s="13">
        <f t="shared" ca="1" si="905"/>
        <v>67.485268326902784</v>
      </c>
      <c r="Q121" s="13">
        <f t="shared" ca="1" si="905"/>
        <v>62.555141709829499</v>
      </c>
      <c r="R121" s="13">
        <f t="shared" ca="1" si="905"/>
        <v>63.882610472243272</v>
      </c>
      <c r="S121" s="13">
        <f t="shared" ca="1" si="905"/>
        <v>87.0429569020244</v>
      </c>
      <c r="T121" s="13">
        <f t="shared" ca="1" si="905"/>
        <v>75.740919183878574</v>
      </c>
      <c r="U121" s="13">
        <f t="shared" ca="1" si="905"/>
        <v>53.391824163835047</v>
      </c>
      <c r="V121" s="13">
        <f t="shared" ca="1" si="905"/>
        <v>48.001023628764017</v>
      </c>
      <c r="W121" s="13">
        <f t="shared" ca="1" si="905"/>
        <v>56.625213369123564</v>
      </c>
      <c r="X121" s="13">
        <f t="shared" ca="1" si="905"/>
        <v>73.770111797571417</v>
      </c>
      <c r="Y121" s="13">
        <f t="shared" ca="1" si="905"/>
        <v>115.50873124997017</v>
      </c>
      <c r="Z121" s="13">
        <f t="shared" ref="Z121:AA121" ca="1" si="906">+Z113/Z105</f>
        <v>107.91199111021291</v>
      </c>
      <c r="AA121" s="13">
        <f t="shared" ref="AA121" ca="1" si="907">+AA113/AA105</f>
        <v>107.91199111021291</v>
      </c>
      <c r="AB121" s="36">
        <f t="shared" ca="1" si="905"/>
        <v>87.68949606658046</v>
      </c>
      <c r="AC121" s="36">
        <f t="shared" ca="1" si="905"/>
        <v>76.541292120149265</v>
      </c>
      <c r="AD121" s="36">
        <f t="shared" ca="1" si="905"/>
        <v>68.95316027769654</v>
      </c>
      <c r="AE121" s="36">
        <f t="shared" ca="1" si="905"/>
        <v>60.628453958542636</v>
      </c>
      <c r="AL121" s="13">
        <f t="shared" ref="AL121:BQ121" si="908">+AL113/AL105</f>
        <v>10.796337555318173</v>
      </c>
      <c r="AM121" s="13">
        <f t="shared" si="908"/>
        <v>11.404627734928381</v>
      </c>
      <c r="AN121" s="13">
        <f t="shared" si="908"/>
        <v>10.898175448839586</v>
      </c>
      <c r="AO121" s="13">
        <f t="shared" si="908"/>
        <v>15.606425702811247</v>
      </c>
      <c r="AP121" s="13">
        <f t="shared" si="908"/>
        <v>19.067206477732785</v>
      </c>
      <c r="AQ121" s="13">
        <f t="shared" si="908"/>
        <v>28.711181530104099</v>
      </c>
      <c r="AR121" s="13">
        <f t="shared" si="908"/>
        <v>28.590217391304336</v>
      </c>
      <c r="AS121" s="13">
        <f t="shared" si="908"/>
        <v>35.292051360440212</v>
      </c>
      <c r="AT121" s="13">
        <f t="shared" si="908"/>
        <v>45.402645502645505</v>
      </c>
      <c r="AU121" s="13">
        <f t="shared" si="908"/>
        <v>37.99220825216932</v>
      </c>
      <c r="AV121" s="13">
        <f t="shared" si="908"/>
        <v>36.980883678990118</v>
      </c>
      <c r="AW121" s="13">
        <f t="shared" si="908"/>
        <v>30.785765430330844</v>
      </c>
      <c r="AX121" s="13">
        <f t="shared" si="908"/>
        <v>27.377849757069907</v>
      </c>
      <c r="AY121" s="13">
        <f t="shared" si="908"/>
        <v>34.085786397449532</v>
      </c>
      <c r="AZ121" s="13">
        <f t="shared" si="908"/>
        <v>30.848047690014901</v>
      </c>
      <c r="BA121" s="13">
        <f t="shared" si="908"/>
        <v>33.497796143250675</v>
      </c>
      <c r="BB121" s="13">
        <f t="shared" si="908"/>
        <v>40.76989804175431</v>
      </c>
      <c r="BC121" s="13">
        <f t="shared" si="908"/>
        <v>44.156932843301028</v>
      </c>
      <c r="BD121" s="13">
        <f t="shared" si="908"/>
        <v>40.588915432393698</v>
      </c>
      <c r="BE121" s="13">
        <f t="shared" si="908"/>
        <v>45.636390532544404</v>
      </c>
      <c r="BF121" s="13">
        <f t="shared" si="908"/>
        <v>41.179131736526969</v>
      </c>
      <c r="BG121" s="13">
        <f t="shared" si="908"/>
        <v>40.425739910313922</v>
      </c>
      <c r="BH121" s="13">
        <f t="shared" si="908"/>
        <v>34.795186721991719</v>
      </c>
      <c r="BI121" s="13">
        <f t="shared" si="908"/>
        <v>37.874162011173176</v>
      </c>
      <c r="BJ121" s="13">
        <f t="shared" si="908"/>
        <v>31.618811096433301</v>
      </c>
      <c r="BK121" s="13">
        <f t="shared" si="908"/>
        <v>33.975040871934617</v>
      </c>
      <c r="BL121" s="13">
        <f t="shared" si="908"/>
        <v>29.476151035322776</v>
      </c>
      <c r="BM121" s="13">
        <f t="shared" si="908"/>
        <v>26.693181818181827</v>
      </c>
      <c r="BN121" s="13">
        <f t="shared" si="908"/>
        <v>17.937010935601453</v>
      </c>
      <c r="BO121" s="13">
        <f t="shared" si="908"/>
        <v>20.985658914728671</v>
      </c>
      <c r="BP121" s="13">
        <f t="shared" si="908"/>
        <v>17.615656779661013</v>
      </c>
      <c r="BQ121" s="13">
        <f t="shared" si="908"/>
        <v>23.996417910447757</v>
      </c>
      <c r="BR121" s="13">
        <f t="shared" ref="BR121:DA121" si="909">+BR113/BR105</f>
        <v>24.57269716088328</v>
      </c>
      <c r="BS121" s="13">
        <f t="shared" si="909"/>
        <v>24.13325102880658</v>
      </c>
      <c r="BT121" s="13">
        <f t="shared" si="909"/>
        <v>29.935352112676043</v>
      </c>
      <c r="BU121" s="13">
        <f t="shared" si="909"/>
        <v>28.310522088353391</v>
      </c>
      <c r="BV121" s="13">
        <f t="shared" si="909"/>
        <v>31.355777930089083</v>
      </c>
      <c r="BW121" s="13">
        <f t="shared" si="909"/>
        <v>31.082203491872356</v>
      </c>
      <c r="BX121" s="13">
        <f t="shared" si="909"/>
        <v>42.008122743682307</v>
      </c>
      <c r="BY121" s="13">
        <f t="shared" si="909"/>
        <v>36.893333333333338</v>
      </c>
      <c r="BZ121" s="13">
        <f t="shared" si="909"/>
        <v>39.731266375545857</v>
      </c>
      <c r="CA121" s="13">
        <f t="shared" si="909"/>
        <v>37.776223564954684</v>
      </c>
      <c r="CB121" s="13">
        <f t="shared" si="909"/>
        <v>49.715708154506423</v>
      </c>
      <c r="CC121" s="13">
        <f t="shared" si="909"/>
        <v>57.763497843794902</v>
      </c>
      <c r="CD121" s="13">
        <f t="shared" si="909"/>
        <v>63.154463276836111</v>
      </c>
      <c r="CE121" s="13">
        <f t="shared" si="909"/>
        <v>74.730482315112496</v>
      </c>
      <c r="CF121" s="13">
        <f t="shared" si="909"/>
        <v>68.21133885739205</v>
      </c>
      <c r="CG121" s="13">
        <f t="shared" si="909"/>
        <v>53.950545454545463</v>
      </c>
      <c r="CH121" s="13">
        <f t="shared" si="909"/>
        <v>48.726836935167</v>
      </c>
      <c r="CI121" s="13">
        <f t="shared" ref="CI121:CJ121" si="910">+CI113/CI105</f>
        <v>55.418457943925219</v>
      </c>
      <c r="CJ121" s="13">
        <f t="shared" si="910"/>
        <v>54.429664889565842</v>
      </c>
      <c r="CK121" s="13">
        <f t="shared" ref="CK121:CL121" si="911">+CK113/CK105</f>
        <v>44.337668918918887</v>
      </c>
      <c r="CL121" s="13">
        <f t="shared" si="911"/>
        <v>48.505102040816311</v>
      </c>
      <c r="CM121" s="36">
        <f t="shared" si="909"/>
        <v>45.082722673148083</v>
      </c>
      <c r="CN121" s="36">
        <f t="shared" si="909"/>
        <v>43.976826331233923</v>
      </c>
      <c r="CO121" s="36">
        <f t="shared" si="909"/>
        <v>43.844748033290173</v>
      </c>
      <c r="CP121" s="36">
        <f t="shared" si="909"/>
        <v>42.085485904438499</v>
      </c>
      <c r="CQ121" s="36">
        <f t="shared" si="909"/>
        <v>41.058384548012704</v>
      </c>
      <c r="CR121" s="36">
        <f t="shared" si="909"/>
        <v>39.906043810592863</v>
      </c>
      <c r="CS121" s="36">
        <f t="shared" si="909"/>
        <v>38.270646060074604</v>
      </c>
      <c r="CT121" s="36">
        <f t="shared" si="909"/>
        <v>37.555788456712406</v>
      </c>
      <c r="CU121" s="36">
        <f t="shared" si="909"/>
        <v>36.495538392538982</v>
      </c>
      <c r="CV121" s="36">
        <f t="shared" si="909"/>
        <v>35.645368846426145</v>
      </c>
      <c r="CW121" s="36">
        <f t="shared" si="909"/>
        <v>34.476580138848306</v>
      </c>
      <c r="CX121" s="36">
        <f t="shared" si="909"/>
        <v>33.66912098638398</v>
      </c>
      <c r="CY121" s="36">
        <f t="shared" si="909"/>
        <v>32.50150781659115</v>
      </c>
      <c r="CZ121" s="36">
        <f t="shared" si="909"/>
        <v>31.524389907735273</v>
      </c>
      <c r="DA121" s="36">
        <f t="shared" si="909"/>
        <v>30.314226979271332</v>
      </c>
      <c r="DD121" s="133"/>
      <c r="DE121" s="13">
        <v>88.675337837837944</v>
      </c>
    </row>
    <row r="122" spans="1:109" s="13" customFormat="1" x14ac:dyDescent="0.2">
      <c r="A122" s="13" t="s">
        <v>461</v>
      </c>
      <c r="B122" s="13">
        <f t="shared" ref="B122:D122" si="912">+B114/B105</f>
        <v>2.9735110118527022</v>
      </c>
      <c r="C122" s="13">
        <f t="shared" si="912"/>
        <v>2.1781068271831514</v>
      </c>
      <c r="D122" s="13">
        <f t="shared" si="912"/>
        <v>1.40226661690994</v>
      </c>
      <c r="E122" s="13">
        <f t="shared" ref="E122:AE122" ca="1" si="913">+E114/E105</f>
        <v>27.899657044445654</v>
      </c>
      <c r="F122" s="13">
        <f t="shared" ca="1" si="913"/>
        <v>28.378950874271474</v>
      </c>
      <c r="G122" s="13">
        <f t="shared" ca="1" si="913"/>
        <v>40.109024403836123</v>
      </c>
      <c r="H122" s="13">
        <f t="shared" ca="1" si="913"/>
        <v>42.52759687193543</v>
      </c>
      <c r="I122" s="13">
        <f t="shared" ca="1" si="913"/>
        <v>47.376367154214002</v>
      </c>
      <c r="J122" s="13">
        <f t="shared" ca="1" si="913"/>
        <v>24.674424068135323</v>
      </c>
      <c r="K122" s="13">
        <f t="shared" ca="1" si="913"/>
        <v>22.530002449179484</v>
      </c>
      <c r="L122" s="13">
        <f t="shared" ca="1" si="913"/>
        <v>36.347945796562421</v>
      </c>
      <c r="M122" s="13">
        <f t="shared" ca="1" si="913"/>
        <v>41.953412341642846</v>
      </c>
      <c r="N122" s="13">
        <f t="shared" ca="1" si="913"/>
        <v>29.119048742509317</v>
      </c>
      <c r="O122" s="13">
        <f t="shared" ca="1" si="913"/>
        <v>28.563896710802251</v>
      </c>
      <c r="P122" s="13">
        <f t="shared" ca="1" si="913"/>
        <v>69.168712732374559</v>
      </c>
      <c r="Q122" s="13">
        <f t="shared" ca="1" si="913"/>
        <v>83.541872781237302</v>
      </c>
      <c r="R122" s="13">
        <f t="shared" ca="1" si="913"/>
        <v>78.000875605627186</v>
      </c>
      <c r="S122" s="13">
        <f t="shared" ca="1" si="913"/>
        <v>91.412287507935375</v>
      </c>
      <c r="T122" s="13">
        <f t="shared" ca="1" si="913"/>
        <v>90.976580501906113</v>
      </c>
      <c r="U122" s="13">
        <f t="shared" ca="1" si="913"/>
        <v>61.697219033764938</v>
      </c>
      <c r="V122" s="13">
        <f t="shared" ca="1" si="913"/>
        <v>56.732193124626853</v>
      </c>
      <c r="W122" s="13">
        <f t="shared" ca="1" si="913"/>
        <v>65.649652919559003</v>
      </c>
      <c r="X122" s="13">
        <f t="shared" ca="1" si="913"/>
        <v>82.686206160631698</v>
      </c>
      <c r="Y122" s="13">
        <f t="shared" ca="1" si="913"/>
        <v>118.33797243368332</v>
      </c>
      <c r="Z122" s="13">
        <f t="shared" ref="Z122:AA122" ca="1" si="914">+Z114/Z105</f>
        <v>148.71155470249485</v>
      </c>
      <c r="AA122" s="13">
        <f t="shared" ref="AA122" ca="1" si="915">+AA114/AA105</f>
        <v>148.71155470249485</v>
      </c>
      <c r="AB122" s="59">
        <f t="shared" ca="1" si="913"/>
        <v>92.437844922694438</v>
      </c>
      <c r="AC122" s="59">
        <f t="shared" ca="1" si="913"/>
        <v>54.981498297389344</v>
      </c>
      <c r="AD122" s="59">
        <f t="shared" ca="1" si="913"/>
        <v>54.981498297389244</v>
      </c>
      <c r="AE122" s="59">
        <f t="shared" ca="1" si="913"/>
        <v>54.981498297389273</v>
      </c>
      <c r="AL122" s="13">
        <f t="shared" ref="AL122:BQ122" si="916">+AL114/AL105</f>
        <v>12.405432626278039</v>
      </c>
      <c r="AM122" s="13">
        <f t="shared" si="916"/>
        <v>12.708326774752086</v>
      </c>
      <c r="AN122" s="13">
        <f t="shared" si="916"/>
        <v>11.225806451612906</v>
      </c>
      <c r="AO122" s="13">
        <f t="shared" si="916"/>
        <v>15.95582329317269</v>
      </c>
      <c r="AP122" s="13">
        <f t="shared" si="916"/>
        <v>21.368421052631572</v>
      </c>
      <c r="AQ122" s="13">
        <f t="shared" si="916"/>
        <v>30.115889542779517</v>
      </c>
      <c r="AR122" s="13">
        <f t="shared" si="916"/>
        <v>31.090942028985491</v>
      </c>
      <c r="AS122" s="13">
        <f t="shared" si="916"/>
        <v>36.172424335065713</v>
      </c>
      <c r="AT122" s="13">
        <f t="shared" si="916"/>
        <v>50.63492063492064</v>
      </c>
      <c r="AU122" s="13">
        <f t="shared" si="916"/>
        <v>45.849477598725024</v>
      </c>
      <c r="AV122" s="13">
        <f t="shared" si="916"/>
        <v>43.617673579801668</v>
      </c>
      <c r="AW122" s="13">
        <f t="shared" si="916"/>
        <v>31.134612630674535</v>
      </c>
      <c r="AX122" s="13">
        <f t="shared" si="916"/>
        <v>29.350442257381356</v>
      </c>
      <c r="AY122" s="13">
        <f t="shared" si="916"/>
        <v>34.414001062699263</v>
      </c>
      <c r="AZ122" s="13">
        <f t="shared" si="916"/>
        <v>39.828107302533532</v>
      </c>
      <c r="BA122" s="13">
        <f t="shared" si="916"/>
        <v>33.82001836547289</v>
      </c>
      <c r="BB122" s="13">
        <f t="shared" si="916"/>
        <v>41.282408156659628</v>
      </c>
      <c r="BC122" s="13">
        <f t="shared" si="916"/>
        <v>46.682926829268283</v>
      </c>
      <c r="BD122" s="13">
        <f t="shared" si="916"/>
        <v>46.527472527472533</v>
      </c>
      <c r="BE122" s="13">
        <f t="shared" si="916"/>
        <v>47.927218934911259</v>
      </c>
      <c r="BF122" s="13">
        <f t="shared" si="916"/>
        <v>48.761676646706604</v>
      </c>
      <c r="BG122" s="13">
        <f t="shared" si="916"/>
        <v>47.229686098654732</v>
      </c>
      <c r="BH122" s="13">
        <f t="shared" si="916"/>
        <v>42.597510373444003</v>
      </c>
      <c r="BI122" s="13">
        <f t="shared" si="916"/>
        <v>39.806145251396643</v>
      </c>
      <c r="BJ122" s="13">
        <f t="shared" si="916"/>
        <v>35.857331571994727</v>
      </c>
      <c r="BK122" s="13">
        <f t="shared" si="916"/>
        <v>35.079727520435974</v>
      </c>
      <c r="BL122" s="13">
        <f t="shared" si="916"/>
        <v>31.366626065773442</v>
      </c>
      <c r="BM122" s="13">
        <f t="shared" si="916"/>
        <v>29.263636363636373</v>
      </c>
      <c r="BN122" s="13">
        <f t="shared" si="916"/>
        <v>32.324252733900352</v>
      </c>
      <c r="BO122" s="13">
        <f t="shared" si="916"/>
        <v>24.883798449612389</v>
      </c>
      <c r="BP122" s="13">
        <f t="shared" si="916"/>
        <v>21.211779661016944</v>
      </c>
      <c r="BQ122" s="13">
        <f t="shared" si="916"/>
        <v>24.263539445628993</v>
      </c>
      <c r="BR122" s="13">
        <f t="shared" ref="BR122:CH122" si="917">+BR114/BR105</f>
        <v>24.956924290220819</v>
      </c>
      <c r="BS122" s="13">
        <f t="shared" si="917"/>
        <v>26.493827160493826</v>
      </c>
      <c r="BT122" s="13">
        <f t="shared" si="917"/>
        <v>33.69718309859153</v>
      </c>
      <c r="BU122" s="13">
        <f t="shared" si="917"/>
        <v>32.822409638554191</v>
      </c>
      <c r="BV122" s="13">
        <f t="shared" si="917"/>
        <v>31.60503084304316</v>
      </c>
      <c r="BW122" s="13">
        <f t="shared" si="917"/>
        <v>31.878350391330518</v>
      </c>
      <c r="BX122" s="13">
        <f t="shared" si="917"/>
        <v>43.926101083032485</v>
      </c>
      <c r="BY122" s="13">
        <f t="shared" si="917"/>
        <v>41.352380952380962</v>
      </c>
      <c r="BZ122" s="13">
        <f t="shared" si="917"/>
        <v>40.567074235807866</v>
      </c>
      <c r="CA122" s="13">
        <f t="shared" si="917"/>
        <v>41.298277945619333</v>
      </c>
      <c r="CB122" s="13">
        <f t="shared" si="917"/>
        <v>53.436337625178815</v>
      </c>
      <c r="CC122" s="13">
        <f t="shared" si="917"/>
        <v>59.178342117872518</v>
      </c>
      <c r="CD122" s="13">
        <f t="shared" si="917"/>
        <v>68.997062146892617</v>
      </c>
      <c r="CE122" s="13">
        <f t="shared" si="917"/>
        <v>82.883785025264075</v>
      </c>
      <c r="CF122" s="13">
        <f t="shared" si="917"/>
        <v>80.249437418229377</v>
      </c>
      <c r="CG122" s="13">
        <f t="shared" si="917"/>
        <v>67.490909090909099</v>
      </c>
      <c r="CH122" s="13">
        <f t="shared" si="917"/>
        <v>54.664715127701371</v>
      </c>
      <c r="CI122" s="13">
        <f t="shared" ref="CI122:CJ122" si="918">+CI114/CI105</f>
        <v>61.475934579439233</v>
      </c>
      <c r="CJ122" s="13">
        <f t="shared" si="918"/>
        <v>60.820487433358672</v>
      </c>
      <c r="CK122" s="13">
        <f t="shared" ref="CK122:CL122" si="919">+CK114/CK105</f>
        <v>48.573040540540504</v>
      </c>
      <c r="CL122" s="13">
        <f t="shared" si="919"/>
        <v>51.131632653061203</v>
      </c>
      <c r="CM122" s="59">
        <f t="shared" ref="CM122:CM123" si="920">+CL122</f>
        <v>51.131632653061203</v>
      </c>
      <c r="CN122" s="59">
        <f t="shared" ref="CN122:CN123" si="921">+CM122</f>
        <v>51.131632653061203</v>
      </c>
      <c r="CO122" s="59">
        <f t="shared" ref="CO122:CO123" si="922">+CN122</f>
        <v>51.131632653061203</v>
      </c>
      <c r="CP122" s="59">
        <f t="shared" ref="CP122:CP123" si="923">+CO122</f>
        <v>51.131632653061203</v>
      </c>
      <c r="CQ122" s="59">
        <f t="shared" ref="CQ122:CQ123" si="924">+CP122</f>
        <v>51.131632653061203</v>
      </c>
      <c r="CR122" s="59">
        <f t="shared" ref="CR122:CR123" si="925">+CQ122</f>
        <v>51.131632653061203</v>
      </c>
      <c r="CS122" s="59">
        <f t="shared" ref="CS122:CS123" si="926">+CR122</f>
        <v>51.131632653061203</v>
      </c>
      <c r="CT122" s="59">
        <f t="shared" ref="CT122:CT123" si="927">+CS122</f>
        <v>51.131632653061203</v>
      </c>
      <c r="CU122" s="59">
        <f t="shared" ref="CU122:CU123" si="928">+CT122</f>
        <v>51.131632653061203</v>
      </c>
      <c r="CV122" s="59">
        <f t="shared" ref="CV122:CV123" si="929">+CU122</f>
        <v>51.131632653061203</v>
      </c>
      <c r="CW122" s="59">
        <f t="shared" ref="CW122:CW123" si="930">+CV122</f>
        <v>51.131632653061203</v>
      </c>
      <c r="CX122" s="59">
        <f t="shared" ref="CX122:CX123" si="931">+CW122</f>
        <v>51.131632653061203</v>
      </c>
      <c r="CY122" s="59">
        <f t="shared" ref="CY122:CY123" si="932">+CX122</f>
        <v>51.131632653061203</v>
      </c>
      <c r="CZ122" s="59">
        <f t="shared" ref="CZ122:CZ123" si="933">+CY122</f>
        <v>51.131632653061203</v>
      </c>
      <c r="DA122" s="59">
        <f t="shared" ref="DA122:DA123" si="934">+CZ122</f>
        <v>51.131632653061203</v>
      </c>
      <c r="DD122" s="135"/>
      <c r="DE122" s="13">
        <v>107.9152702702704</v>
      </c>
    </row>
    <row r="123" spans="1:109" s="13" customFormat="1" x14ac:dyDescent="0.2">
      <c r="A123" s="13" t="s">
        <v>462</v>
      </c>
      <c r="B123" s="13">
        <f t="shared" ref="B123:D123" si="935">+B115/B105</f>
        <v>1.1121399453779792</v>
      </c>
      <c r="C123" s="13">
        <f t="shared" si="935"/>
        <v>1.0296887074961352</v>
      </c>
      <c r="D123" s="13">
        <f t="shared" si="935"/>
        <v>0.65537513464001418</v>
      </c>
      <c r="E123" s="13">
        <f t="shared" ref="E123:AE123" ca="1" si="936">+E115/E105</f>
        <v>9.9026560497260814</v>
      </c>
      <c r="F123" s="13">
        <f t="shared" ca="1" si="936"/>
        <v>8.9245628642797783</v>
      </c>
      <c r="G123" s="13">
        <f t="shared" ca="1" si="936"/>
        <v>17.740530024773669</v>
      </c>
      <c r="H123" s="13">
        <f t="shared" ca="1" si="936"/>
        <v>22.501374006315039</v>
      </c>
      <c r="I123" s="13">
        <f t="shared" ca="1" si="936"/>
        <v>28.97354412487093</v>
      </c>
      <c r="J123" s="13">
        <f t="shared" ca="1" si="936"/>
        <v>8.6188108022428764</v>
      </c>
      <c r="K123" s="13">
        <f t="shared" ca="1" si="936"/>
        <v>8.6211119275042716</v>
      </c>
      <c r="L123" s="13">
        <f t="shared" ca="1" si="936"/>
        <v>21.749180681549646</v>
      </c>
      <c r="M123" s="13">
        <f t="shared" ca="1" si="936"/>
        <v>20.123416428279533</v>
      </c>
      <c r="N123" s="13">
        <f t="shared" ca="1" si="936"/>
        <v>15.818430613881938</v>
      </c>
      <c r="O123" s="13">
        <f t="shared" ca="1" si="936"/>
        <v>18.488347013360507</v>
      </c>
      <c r="P123" s="13">
        <f t="shared" ca="1" si="936"/>
        <v>22.988425113995074</v>
      </c>
      <c r="Q123" s="13">
        <f t="shared" ca="1" si="936"/>
        <v>54.935110283419675</v>
      </c>
      <c r="R123" s="13">
        <f t="shared" ca="1" si="936"/>
        <v>50.683556126320681</v>
      </c>
      <c r="S123" s="13">
        <f t="shared" ca="1" si="936"/>
        <v>58.912322776327855</v>
      </c>
      <c r="T123" s="13">
        <f t="shared" ca="1" si="936"/>
        <v>63.761364112447019</v>
      </c>
      <c r="U123" s="13">
        <f t="shared" ca="1" si="936"/>
        <v>42.369378686456649</v>
      </c>
      <c r="V123" s="13">
        <f t="shared" ca="1" si="936"/>
        <v>28.675936193807072</v>
      </c>
      <c r="W123" s="13">
        <f t="shared" ca="1" si="936"/>
        <v>29.025430252562099</v>
      </c>
      <c r="X123" s="13">
        <f t="shared" ca="1" si="936"/>
        <v>36.549893017987202</v>
      </c>
      <c r="Y123" s="13">
        <f t="shared" ca="1" si="936"/>
        <v>56.891588776092</v>
      </c>
      <c r="Z123" s="13">
        <f t="shared" ref="Z123:AA123" ca="1" si="937">+Z115/Z105</f>
        <v>89.29386806748137</v>
      </c>
      <c r="AA123" s="13">
        <f t="shared" ref="AA123" ca="1" si="938">+AA115/AA105</f>
        <v>89.29386806748137</v>
      </c>
      <c r="AB123" s="59">
        <f t="shared" ca="1" si="936"/>
        <v>44.02009080590242</v>
      </c>
      <c r="AC123" s="59">
        <f t="shared" ca="1" si="936"/>
        <v>40.02988865544647</v>
      </c>
      <c r="AD123" s="59">
        <f t="shared" ca="1" si="936"/>
        <v>40.41087275103704</v>
      </c>
      <c r="AE123" s="59">
        <f t="shared" ca="1" si="936"/>
        <v>39.633794564399622</v>
      </c>
      <c r="AL123" s="13">
        <f t="shared" ref="AL123:BQ123" si="939">+AL115/AL105</f>
        <v>9.4182511826644273</v>
      </c>
      <c r="AM123" s="13">
        <f t="shared" si="939"/>
        <v>10.676090036203368</v>
      </c>
      <c r="AN123" s="13">
        <f t="shared" si="939"/>
        <v>9.7298788498029491</v>
      </c>
      <c r="AO123" s="13">
        <f t="shared" si="939"/>
        <v>12.112449799196789</v>
      </c>
      <c r="AP123" s="13">
        <f t="shared" si="939"/>
        <v>13.26720647773279</v>
      </c>
      <c r="AQ123" s="13">
        <f t="shared" si="939"/>
        <v>16.541421457673145</v>
      </c>
      <c r="AR123" s="13">
        <f t="shared" si="939"/>
        <v>26.268115942028974</v>
      </c>
      <c r="AS123" s="13">
        <f t="shared" si="939"/>
        <v>26.59737083460714</v>
      </c>
      <c r="AT123" s="13">
        <f t="shared" si="939"/>
        <v>35.993756613756617</v>
      </c>
      <c r="AU123" s="13">
        <f t="shared" si="939"/>
        <v>33.786258190189507</v>
      </c>
      <c r="AV123" s="13">
        <f t="shared" si="939"/>
        <v>34.046889089269648</v>
      </c>
      <c r="AW123" s="13">
        <f t="shared" si="939"/>
        <v>27.733352427323535</v>
      </c>
      <c r="AX123" s="13">
        <f t="shared" si="939"/>
        <v>21.63348698143766</v>
      </c>
      <c r="AY123" s="13">
        <f t="shared" si="939"/>
        <v>27.112380446333692</v>
      </c>
      <c r="AZ123" s="13">
        <f t="shared" si="939"/>
        <v>30.635409836065573</v>
      </c>
      <c r="BA123" s="13">
        <f t="shared" si="939"/>
        <v>29.287603305785108</v>
      </c>
      <c r="BB123" s="13">
        <f t="shared" si="939"/>
        <v>33.791875708043356</v>
      </c>
      <c r="BC123" s="13">
        <f t="shared" si="939"/>
        <v>38.113732041429998</v>
      </c>
      <c r="BD123" s="13">
        <f t="shared" si="939"/>
        <v>36.526421404682274</v>
      </c>
      <c r="BE123" s="13">
        <f t="shared" si="939"/>
        <v>36.85917159763315</v>
      </c>
      <c r="BF123" s="13">
        <f t="shared" si="939"/>
        <v>39.079670658682652</v>
      </c>
      <c r="BG123" s="13">
        <f t="shared" si="939"/>
        <v>39.484215246636793</v>
      </c>
      <c r="BH123" s="13">
        <f t="shared" si="939"/>
        <v>32.48962655601661</v>
      </c>
      <c r="BI123" s="13">
        <f t="shared" si="939"/>
        <v>31.883798882681553</v>
      </c>
      <c r="BJ123" s="13">
        <f t="shared" si="939"/>
        <v>27.642324966974915</v>
      </c>
      <c r="BK123" s="13">
        <f t="shared" si="939"/>
        <v>30.343324250681206</v>
      </c>
      <c r="BL123" s="13">
        <f t="shared" si="939"/>
        <v>22.704774665042628</v>
      </c>
      <c r="BM123" s="13">
        <f t="shared" si="939"/>
        <v>24.828613636363645</v>
      </c>
      <c r="BN123" s="13">
        <f t="shared" si="939"/>
        <v>16.338663426488452</v>
      </c>
      <c r="BO123" s="13">
        <f t="shared" si="939"/>
        <v>17.984496124030997</v>
      </c>
      <c r="BP123" s="13">
        <f t="shared" si="939"/>
        <v>16.673771186440671</v>
      </c>
      <c r="BQ123" s="13">
        <f t="shared" si="939"/>
        <v>15.78428571428571</v>
      </c>
      <c r="BR123" s="13">
        <f t="shared" ref="BR123:CH123" si="940">+BR115/BR105</f>
        <v>17.098107255520503</v>
      </c>
      <c r="BS123" s="13">
        <f t="shared" si="940"/>
        <v>19.466995884773659</v>
      </c>
      <c r="BT123" s="13">
        <f t="shared" si="940"/>
        <v>24.587915492957734</v>
      </c>
      <c r="BU123" s="13">
        <f t="shared" si="940"/>
        <v>27.485943775100377</v>
      </c>
      <c r="BV123" s="13">
        <f t="shared" si="940"/>
        <v>22.889527073337888</v>
      </c>
      <c r="BW123" s="13">
        <f t="shared" si="940"/>
        <v>24.798928356411793</v>
      </c>
      <c r="BX123" s="13">
        <f t="shared" si="940"/>
        <v>29.600938628158843</v>
      </c>
      <c r="BY123" s="13">
        <f t="shared" si="940"/>
        <v>33.360952380952391</v>
      </c>
      <c r="BZ123" s="13">
        <f t="shared" si="940"/>
        <v>32.410349344978172</v>
      </c>
      <c r="CA123" s="13">
        <f t="shared" si="940"/>
        <v>36.049365558912385</v>
      </c>
      <c r="CB123" s="13">
        <f t="shared" si="940"/>
        <v>33.433390557939909</v>
      </c>
      <c r="CC123" s="13">
        <f t="shared" si="940"/>
        <v>46.689027311930985</v>
      </c>
      <c r="CD123" s="13">
        <f t="shared" si="940"/>
        <v>52.019774011299404</v>
      </c>
      <c r="CE123" s="13">
        <f t="shared" si="940"/>
        <v>61.433109784106527</v>
      </c>
      <c r="CF123" s="13">
        <f t="shared" si="940"/>
        <v>64.967335368512849</v>
      </c>
      <c r="CG123" s="13">
        <f t="shared" si="940"/>
        <v>50.372121212121222</v>
      </c>
      <c r="CH123" s="13">
        <f t="shared" si="940"/>
        <v>39.996070726915519</v>
      </c>
      <c r="CI123" s="13">
        <f t="shared" ref="CI123:CJ123" si="941">+CI115/CI105</f>
        <v>43.906542056074755</v>
      </c>
      <c r="CJ123" s="13">
        <f t="shared" si="941"/>
        <v>51.020563594820985</v>
      </c>
      <c r="CK123" s="13">
        <f t="shared" ref="CK123:CL123" si="942">+CK115/CK105</f>
        <v>41.266216216216186</v>
      </c>
      <c r="CL123" s="13">
        <f t="shared" si="942"/>
        <v>40.937755102040803</v>
      </c>
      <c r="CM123" s="59">
        <f t="shared" si="920"/>
        <v>40.937755102040803</v>
      </c>
      <c r="CN123" s="59">
        <f t="shared" si="921"/>
        <v>40.937755102040803</v>
      </c>
      <c r="CO123" s="59">
        <f t="shared" si="922"/>
        <v>40.937755102040803</v>
      </c>
      <c r="CP123" s="59">
        <f t="shared" si="923"/>
        <v>40.937755102040803</v>
      </c>
      <c r="CQ123" s="59">
        <f t="shared" si="924"/>
        <v>40.937755102040803</v>
      </c>
      <c r="CR123" s="59">
        <f t="shared" si="925"/>
        <v>40.937755102040803</v>
      </c>
      <c r="CS123" s="59">
        <f t="shared" si="926"/>
        <v>40.937755102040803</v>
      </c>
      <c r="CT123" s="59">
        <f t="shared" si="927"/>
        <v>40.937755102040803</v>
      </c>
      <c r="CU123" s="59">
        <f t="shared" si="928"/>
        <v>40.937755102040803</v>
      </c>
      <c r="CV123" s="59">
        <f t="shared" si="929"/>
        <v>40.937755102040803</v>
      </c>
      <c r="CW123" s="59">
        <f t="shared" si="930"/>
        <v>40.937755102040803</v>
      </c>
      <c r="CX123" s="59">
        <f t="shared" si="931"/>
        <v>40.937755102040803</v>
      </c>
      <c r="CY123" s="59">
        <f t="shared" si="932"/>
        <v>40.937755102040803</v>
      </c>
      <c r="CZ123" s="59">
        <f t="shared" si="933"/>
        <v>40.937755102040803</v>
      </c>
      <c r="DA123" s="59">
        <f t="shared" si="934"/>
        <v>40.937755102040803</v>
      </c>
      <c r="DD123" s="135"/>
      <c r="DE123" s="13">
        <v>68.777027027027103</v>
      </c>
    </row>
    <row r="124" spans="1:109" s="13" customFormat="1" x14ac:dyDescent="0.2">
      <c r="AB124" s="59"/>
      <c r="AC124" s="59"/>
      <c r="AD124" s="59"/>
      <c r="AE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D124" s="135"/>
    </row>
    <row r="125" spans="1:109" s="13" customFormat="1" x14ac:dyDescent="0.2">
      <c r="A125" s="13" t="s">
        <v>463</v>
      </c>
      <c r="B125" s="13">
        <f t="shared" ref="B125:AD125" si="943">+B114/C105</f>
        <v>5.3375700347758839</v>
      </c>
      <c r="C125" s="13">
        <f t="shared" si="943"/>
        <v>1.5299466825548977</v>
      </c>
      <c r="D125" s="13">
        <f t="shared" ca="1" si="943"/>
        <v>16.360909995199613</v>
      </c>
      <c r="E125" s="13">
        <f t="shared" ca="1" si="943"/>
        <v>18.776353039134076</v>
      </c>
      <c r="F125" s="13">
        <f t="shared" ca="1" si="943"/>
        <v>21.583944231383022</v>
      </c>
      <c r="G125" s="13">
        <f t="shared" ca="1" si="943"/>
        <v>28.439236591314842</v>
      </c>
      <c r="H125" s="13">
        <f t="shared" ca="1" si="943"/>
        <v>47.474050385459805</v>
      </c>
      <c r="I125" s="13">
        <f t="shared" ca="1" si="943"/>
        <v>33.440985912702367</v>
      </c>
      <c r="J125" s="13">
        <f t="shared" ca="1" si="943"/>
        <v>24.540778839088862</v>
      </c>
      <c r="K125" s="13">
        <f t="shared" ca="1" si="943"/>
        <v>27.406946998571943</v>
      </c>
      <c r="L125" s="13">
        <f t="shared" ca="1" si="943"/>
        <v>43.37556191254599</v>
      </c>
      <c r="M125" s="13">
        <f t="shared" ca="1" si="943"/>
        <v>32.293681876091156</v>
      </c>
      <c r="N125" s="13">
        <f t="shared" ca="1" si="943"/>
        <v>27.729914325085399</v>
      </c>
      <c r="O125" s="13">
        <f t="shared" ca="1" si="943"/>
        <v>27.870922483339157</v>
      </c>
      <c r="P125" s="13">
        <f t="shared" ca="1" si="943"/>
        <v>68.858755746959233</v>
      </c>
      <c r="Q125" s="13">
        <f t="shared" ca="1" si="943"/>
        <v>83.795458525480086</v>
      </c>
      <c r="R125" s="13">
        <f t="shared" ca="1" si="943"/>
        <v>75.402863793468285</v>
      </c>
      <c r="S125" s="13">
        <f t="shared" ca="1" si="943"/>
        <v>90.49059449495148</v>
      </c>
      <c r="T125" s="13">
        <f t="shared" ca="1" si="943"/>
        <v>74.03666284051792</v>
      </c>
      <c r="U125" s="13">
        <f t="shared" ca="1" si="943"/>
        <v>57.886206602405579</v>
      </c>
      <c r="V125" s="13">
        <f t="shared" ca="1" si="943"/>
        <v>35.615554023388597</v>
      </c>
      <c r="W125" s="13">
        <f t="shared" ca="1" si="943"/>
        <v>53.667956287860953</v>
      </c>
      <c r="X125" s="13">
        <f t="shared" ca="1" si="943"/>
        <v>72.389895225000416</v>
      </c>
      <c r="Y125" s="13">
        <f t="shared" ca="1" si="943"/>
        <v>99.812263865036641</v>
      </c>
      <c r="Z125" s="13">
        <f t="shared" ref="Z125:AA125" ca="1" si="944">+Z114/AA105</f>
        <v>124.33240540540555</v>
      </c>
      <c r="AA125" s="13">
        <f t="shared" ca="1" si="944"/>
        <v>124.33240540540555</v>
      </c>
      <c r="AB125" s="36">
        <f t="shared" ca="1" si="943"/>
        <v>80.685970481719991</v>
      </c>
      <c r="AC125" s="36">
        <f t="shared" ca="1" si="943"/>
        <v>49.530756006270479</v>
      </c>
      <c r="AD125" s="36">
        <f t="shared" ca="1" si="943"/>
        <v>48.343588961986754</v>
      </c>
      <c r="AE125" s="36"/>
      <c r="AL125" s="13">
        <f t="shared" ref="AL125:BQ125" si="945">+AL114/AP105</f>
        <v>13.713360323886635</v>
      </c>
      <c r="AM125" s="13">
        <f t="shared" si="945"/>
        <v>12.18288818469895</v>
      </c>
      <c r="AN125" s="13">
        <f t="shared" si="945"/>
        <v>11.610507246376807</v>
      </c>
      <c r="AO125" s="13">
        <f t="shared" si="945"/>
        <v>14.575359217364712</v>
      </c>
      <c r="AP125" s="13">
        <f t="shared" si="945"/>
        <v>22.340740740740742</v>
      </c>
      <c r="AQ125" s="13">
        <f t="shared" si="945"/>
        <v>35.342305649017206</v>
      </c>
      <c r="AR125" s="13">
        <f t="shared" si="945"/>
        <v>37.140919747520329</v>
      </c>
      <c r="AS125" s="13">
        <f t="shared" si="945"/>
        <v>33.888013747672964</v>
      </c>
      <c r="AT125" s="13">
        <f t="shared" si="945"/>
        <v>35.766787093559259</v>
      </c>
      <c r="AU125" s="13">
        <f t="shared" si="945"/>
        <v>34.3931987247609</v>
      </c>
      <c r="AV125" s="13">
        <f t="shared" si="945"/>
        <v>36.044709388971683</v>
      </c>
      <c r="AW125" s="13">
        <f t="shared" si="945"/>
        <v>33.274104683195574</v>
      </c>
      <c r="AX125" s="13">
        <f t="shared" si="945"/>
        <v>38.128499757242253</v>
      </c>
      <c r="AY125" s="13">
        <f t="shared" si="945"/>
        <v>43.279084530571325</v>
      </c>
      <c r="AZ125" s="13">
        <f t="shared" si="945"/>
        <v>42.561968466316294</v>
      </c>
      <c r="BA125" s="13">
        <f t="shared" si="945"/>
        <v>32.689349112426051</v>
      </c>
      <c r="BB125" s="13">
        <f t="shared" si="945"/>
        <v>38.186227544910196</v>
      </c>
      <c r="BC125" s="13">
        <f t="shared" si="945"/>
        <v>41.770403587443965</v>
      </c>
      <c r="BD125" s="13">
        <f t="shared" si="945"/>
        <v>40.407468879668073</v>
      </c>
      <c r="BE125" s="13">
        <f t="shared" si="945"/>
        <v>45.249720670391049</v>
      </c>
      <c r="BF125" s="13">
        <f t="shared" si="945"/>
        <v>43.028797886393676</v>
      </c>
      <c r="BG125" s="13">
        <f t="shared" si="945"/>
        <v>43.047220708446879</v>
      </c>
      <c r="BH125" s="13">
        <f t="shared" si="945"/>
        <v>37.512789281364185</v>
      </c>
      <c r="BI125" s="13">
        <f t="shared" si="945"/>
        <v>32.38772727272729</v>
      </c>
      <c r="BJ125" s="13">
        <f t="shared" si="945"/>
        <v>32.98177399756986</v>
      </c>
      <c r="BK125" s="13">
        <f t="shared" si="945"/>
        <v>33.266821705426338</v>
      </c>
      <c r="BL125" s="13">
        <f t="shared" si="945"/>
        <v>27.279661016949145</v>
      </c>
      <c r="BM125" s="13">
        <f t="shared" si="945"/>
        <v>27.454157782515985</v>
      </c>
      <c r="BN125" s="13">
        <f t="shared" si="945"/>
        <v>20.980173501577283</v>
      </c>
      <c r="BO125" s="13">
        <f t="shared" si="945"/>
        <v>13.20991769547325</v>
      </c>
      <c r="BP125" s="13">
        <f t="shared" si="945"/>
        <v>14.101352112676048</v>
      </c>
      <c r="BQ125" s="13">
        <f t="shared" si="945"/>
        <v>15.233734939759024</v>
      </c>
      <c r="BR125" s="13">
        <f t="shared" ref="BR125:CL125" si="946">+BR114/BV105</f>
        <v>21.689773817683331</v>
      </c>
      <c r="BS125" s="13">
        <f t="shared" si="946"/>
        <v>23.255869957856707</v>
      </c>
      <c r="BT125" s="13">
        <f t="shared" si="946"/>
        <v>28.790613718411549</v>
      </c>
      <c r="BU125" s="13">
        <f t="shared" si="946"/>
        <v>26.840000000000003</v>
      </c>
      <c r="BV125" s="13">
        <f t="shared" si="946"/>
        <v>25.170163755458518</v>
      </c>
      <c r="BW125" s="13">
        <f t="shared" si="946"/>
        <v>26.661601208459214</v>
      </c>
      <c r="BX125" s="13">
        <f t="shared" si="946"/>
        <v>34.814105865522166</v>
      </c>
      <c r="BY125" s="13">
        <f t="shared" si="946"/>
        <v>36.200670819357917</v>
      </c>
      <c r="BZ125" s="13">
        <f t="shared" si="946"/>
        <v>34.990056497175118</v>
      </c>
      <c r="CA125" s="13">
        <f t="shared" si="946"/>
        <v>37.674956361965982</v>
      </c>
      <c r="CB125" s="13">
        <f t="shared" si="946"/>
        <v>48.868730920191879</v>
      </c>
      <c r="CC125" s="13">
        <f t="shared" si="946"/>
        <v>49.901090909090911</v>
      </c>
      <c r="CD125" s="13">
        <f t="shared" si="946"/>
        <v>57.58340275049116</v>
      </c>
      <c r="CE125" s="13">
        <f t="shared" si="946"/>
        <v>70.264018691588774</v>
      </c>
      <c r="CF125" s="13">
        <f t="shared" si="946"/>
        <v>70.073099771515558</v>
      </c>
      <c r="CG125" s="13">
        <f t="shared" si="946"/>
        <v>56.432432432432392</v>
      </c>
      <c r="CH125" s="13">
        <f t="shared" si="946"/>
        <v>48.952040816326509</v>
      </c>
      <c r="CI125" s="13">
        <f t="shared" si="946"/>
        <v>51.629604646698958</v>
      </c>
      <c r="CJ125" s="13">
        <f t="shared" si="946"/>
        <v>50.951503804909578</v>
      </c>
      <c r="CK125" s="13">
        <f t="shared" si="946"/>
        <v>45.729145219195537</v>
      </c>
      <c r="CL125" s="13">
        <f t="shared" si="946"/>
        <v>44.364397037667167</v>
      </c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D125" s="133"/>
      <c r="DE125" s="13">
        <v>101.59695606123599</v>
      </c>
    </row>
    <row r="126" spans="1:109" s="97" customFormat="1" x14ac:dyDescent="0.2">
      <c r="A126" s="97" t="s">
        <v>426</v>
      </c>
      <c r="AB126" s="98"/>
      <c r="AC126" s="98"/>
      <c r="AD126" s="98"/>
      <c r="AE126" s="98"/>
      <c r="AL126" s="174"/>
      <c r="AM126" s="174"/>
      <c r="AN126" s="174"/>
      <c r="AO126" s="174">
        <f t="shared" ref="AO126:CI126" si="947">+CORREL(AL105:AO105,AL122:AO122)</f>
        <v>-0.95973001370517441</v>
      </c>
      <c r="AP126" s="174">
        <f t="shared" si="947"/>
        <v>-0.84223206774011994</v>
      </c>
      <c r="AQ126" s="174">
        <f t="shared" si="947"/>
        <v>-5.8926786932197793E-2</v>
      </c>
      <c r="AR126" s="174">
        <f t="shared" si="947"/>
        <v>0.93412621300988707</v>
      </c>
      <c r="AS126" s="174">
        <f t="shared" si="947"/>
        <v>0.84568522628702092</v>
      </c>
      <c r="AT126" s="174">
        <f t="shared" si="947"/>
        <v>-0.97998273811230896</v>
      </c>
      <c r="AU126" s="174">
        <f t="shared" si="947"/>
        <v>-0.95612785271150491</v>
      </c>
      <c r="AV126" s="174">
        <f t="shared" si="947"/>
        <v>-0.81963256112628713</v>
      </c>
      <c r="AW126" s="174">
        <f t="shared" si="947"/>
        <v>-0.90926692337905057</v>
      </c>
      <c r="AX126" s="174">
        <f t="shared" si="947"/>
        <v>-0.9504647521817674</v>
      </c>
      <c r="AY126" s="174">
        <f t="shared" si="947"/>
        <v>-0.9085219477284161</v>
      </c>
      <c r="AZ126" s="174">
        <f t="shared" si="947"/>
        <v>-0.71743520368504488</v>
      </c>
      <c r="BA126" s="174">
        <f t="shared" si="947"/>
        <v>-0.7136319530836015</v>
      </c>
      <c r="BB126" s="174">
        <f t="shared" si="947"/>
        <v>-0.59819531739356502</v>
      </c>
      <c r="BC126" s="174">
        <f t="shared" si="947"/>
        <v>-0.73805746571134756</v>
      </c>
      <c r="BD126" s="174">
        <f t="shared" si="947"/>
        <v>-0.81517295332158013</v>
      </c>
      <c r="BE126" s="174">
        <f t="shared" si="947"/>
        <v>0.42339306812242755</v>
      </c>
      <c r="BF126" s="174">
        <f t="shared" si="947"/>
        <v>0.8390430987948877</v>
      </c>
      <c r="BG126" s="174">
        <f t="shared" si="947"/>
        <v>0.72793811263704267</v>
      </c>
      <c r="BH126" s="174">
        <f t="shared" si="947"/>
        <v>-0.97001318990376584</v>
      </c>
      <c r="BI126" s="174">
        <f t="shared" si="947"/>
        <v>-0.92015253752282544</v>
      </c>
      <c r="BJ126" s="174">
        <f t="shared" si="947"/>
        <v>-0.94757552039527337</v>
      </c>
      <c r="BK126" s="174">
        <f t="shared" si="947"/>
        <v>-0.68921429430293768</v>
      </c>
      <c r="BL126" s="174">
        <f t="shared" si="947"/>
        <v>-0.90636382159921225</v>
      </c>
      <c r="BM126" s="174">
        <f t="shared" si="947"/>
        <v>-0.96545348684073129</v>
      </c>
      <c r="BN126" s="174">
        <f t="shared" si="947"/>
        <v>-0.98241814227709001</v>
      </c>
      <c r="BO126" s="174">
        <f t="shared" si="947"/>
        <v>0.48610256198352642</v>
      </c>
      <c r="BP126" s="174">
        <f t="shared" si="947"/>
        <v>-0.42616348705831458</v>
      </c>
      <c r="BQ126" s="174">
        <f t="shared" si="947"/>
        <v>-0.55296590713824967</v>
      </c>
      <c r="BR126" s="174">
        <f t="shared" si="947"/>
        <v>0.16681739707903551</v>
      </c>
      <c r="BS126" s="174">
        <f t="shared" si="947"/>
        <v>0.82130361492571113</v>
      </c>
      <c r="BT126" s="174">
        <f t="shared" si="947"/>
        <v>0.59200040697749756</v>
      </c>
      <c r="BU126" s="174">
        <f t="shared" si="947"/>
        <v>0.62522093668828993</v>
      </c>
      <c r="BV126" s="174">
        <f t="shared" si="947"/>
        <v>-0.12359747178898105</v>
      </c>
      <c r="BW126" s="174">
        <f t="shared" si="947"/>
        <v>-0.53135349511654972</v>
      </c>
      <c r="BX126" s="174">
        <f t="shared" si="947"/>
        <v>0.56272022075354888</v>
      </c>
      <c r="BY126" s="174">
        <f t="shared" si="947"/>
        <v>0.63339190860156014</v>
      </c>
      <c r="BZ126" s="174">
        <f t="shared" si="947"/>
        <v>0.33975756004738078</v>
      </c>
      <c r="CA126" s="174">
        <f t="shared" si="947"/>
        <v>-0.74792083269351228</v>
      </c>
      <c r="CB126" s="174">
        <f t="shared" si="947"/>
        <v>0.83719631420320861</v>
      </c>
      <c r="CC126" s="174">
        <f t="shared" si="947"/>
        <v>0.83812193377407751</v>
      </c>
      <c r="CD126" s="174">
        <f t="shared" si="947"/>
        <v>0.9187227541608971</v>
      </c>
      <c r="CE126" s="174">
        <f t="shared" si="947"/>
        <v>0.95436152779312877</v>
      </c>
      <c r="CF126" s="174">
        <f t="shared" si="947"/>
        <v>0.77998335468379787</v>
      </c>
      <c r="CG126" s="174">
        <f t="shared" si="947"/>
        <v>-0.35132687401558504</v>
      </c>
      <c r="CH126" s="174">
        <f t="shared" si="947"/>
        <v>-0.95244922634130502</v>
      </c>
      <c r="CI126" s="174">
        <f t="shared" si="947"/>
        <v>-0.93748937927163023</v>
      </c>
      <c r="CJ126" s="174">
        <f>+CORREL(CG105:CJ105,CG122:CJ122)</f>
        <v>-0.47008923495556953</v>
      </c>
      <c r="CK126" s="174">
        <f>+CORREL(CH105:CK105,CH122:CK122)</f>
        <v>-0.78931442222608617</v>
      </c>
      <c r="CL126" s="174">
        <f>+CORREL(CI105:CL105,CI122:CL122)</f>
        <v>-0.99016652672429051</v>
      </c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D126" s="136"/>
    </row>
    <row r="127" spans="1:109" s="4" customFormat="1" x14ac:dyDescent="0.2">
      <c r="A127" s="3"/>
      <c r="AB127" s="16"/>
      <c r="AC127" s="16"/>
      <c r="AD127" s="16"/>
      <c r="AE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D127" s="118"/>
    </row>
    <row r="128" spans="1:109" s="161" customFormat="1" hidden="1" outlineLevel="1" x14ac:dyDescent="0.2">
      <c r="A128" s="48" t="s">
        <v>506</v>
      </c>
      <c r="E128" s="161">
        <f t="shared" ref="E128:AE128" ca="1" si="948">+E$156/E$101</f>
        <v>3.2456695402298852</v>
      </c>
      <c r="F128" s="161">
        <f t="shared" ca="1" si="948"/>
        <v>3.8378620689655176</v>
      </c>
      <c r="G128" s="161">
        <f t="shared" ca="1" si="948"/>
        <v>4.7865488505747127</v>
      </c>
      <c r="H128" s="161">
        <f t="shared" ca="1" si="948"/>
        <v>6.0359482758620695</v>
      </c>
      <c r="I128" s="161">
        <f t="shared" ca="1" si="948"/>
        <v>7.1758850574712651</v>
      </c>
      <c r="J128" s="161">
        <f t="shared" ca="1" si="948"/>
        <v>8.9090000000000007</v>
      </c>
      <c r="K128" s="161">
        <f t="shared" ca="1" si="948"/>
        <v>10.209425287356323</v>
      </c>
      <c r="L128" s="161">
        <f t="shared" ca="1" si="948"/>
        <v>11.306137931034483</v>
      </c>
      <c r="M128" s="161">
        <f t="shared" ca="1" si="948"/>
        <v>12.243649425287357</v>
      </c>
      <c r="N128" s="161">
        <f t="shared" ca="1" si="948"/>
        <v>13.431235632183908</v>
      </c>
      <c r="O128" s="161">
        <f t="shared" ca="1" si="948"/>
        <v>14.706091954022989</v>
      </c>
      <c r="P128" s="161">
        <f t="shared" ca="1" si="948"/>
        <v>16.01218390804598</v>
      </c>
      <c r="Q128" s="161">
        <f t="shared" ca="1" si="948"/>
        <v>17.323160919540232</v>
      </c>
      <c r="R128" s="161">
        <f t="shared" ca="1" si="948"/>
        <v>18.970028735632187</v>
      </c>
      <c r="S128" s="161">
        <f t="shared" ca="1" si="948"/>
        <v>20.414339080459772</v>
      </c>
      <c r="T128" s="161">
        <f t="shared" ca="1" si="948"/>
        <v>21.7748275862069</v>
      </c>
      <c r="U128" s="161">
        <f t="shared" ca="1" si="948"/>
        <v>23.812270114942532</v>
      </c>
      <c r="V128" s="161">
        <f t="shared" ca="1" si="948"/>
        <v>25.592471264367816</v>
      </c>
      <c r="W128" s="161">
        <f t="shared" ca="1" si="948"/>
        <v>29.047068965517244</v>
      </c>
      <c r="X128" s="161">
        <f t="shared" ca="1" si="948"/>
        <v>32.848160919540234</v>
      </c>
      <c r="Y128" s="161">
        <f t="shared" ca="1" si="948"/>
        <v>37.411178160919548</v>
      </c>
      <c r="Z128" s="161">
        <f t="shared" ca="1" si="948"/>
        <v>42.68247126436782</v>
      </c>
      <c r="AA128" s="161">
        <f t="shared" ca="1" si="948"/>
        <v>42.68247126436782</v>
      </c>
      <c r="AB128" s="20">
        <f t="shared" ca="1" si="948"/>
        <v>57.276098809684477</v>
      </c>
      <c r="AC128" s="20">
        <f t="shared" ca="1" si="948"/>
        <v>67.626721043189264</v>
      </c>
      <c r="AD128" s="20">
        <f t="shared" ca="1" si="948"/>
        <v>79.116404718445835</v>
      </c>
      <c r="AE128" s="20">
        <f t="shared" ca="1" si="948"/>
        <v>92.183701478837165</v>
      </c>
      <c r="AL128" s="161">
        <f t="shared" ref="AL128:BQ128" si="949">+AL$156/AL$101</f>
        <v>0.89712643678160919</v>
      </c>
      <c r="AM128" s="161">
        <f t="shared" si="949"/>
        <v>26.262068965517244</v>
      </c>
      <c r="AN128" s="161">
        <f t="shared" si="949"/>
        <v>27.290804597701154</v>
      </c>
      <c r="AO128" s="161">
        <f t="shared" si="949"/>
        <v>29.412068965517243</v>
      </c>
      <c r="AP128" s="161">
        <f t="shared" si="949"/>
        <v>30.2816091954023</v>
      </c>
      <c r="AQ128" s="161">
        <f t="shared" si="949"/>
        <v>28.783333333333335</v>
      </c>
      <c r="AR128" s="161">
        <f t="shared" si="949"/>
        <v>29.810344827586214</v>
      </c>
      <c r="AS128" s="161">
        <f t="shared" si="949"/>
        <v>32.024712643678164</v>
      </c>
      <c r="AT128" s="161">
        <f t="shared" si="949"/>
        <v>32.393103448275859</v>
      </c>
      <c r="AU128" s="161">
        <f t="shared" si="949"/>
        <v>30.751149425287355</v>
      </c>
      <c r="AV128" s="161">
        <f t="shared" si="949"/>
        <v>31.719540229885066</v>
      </c>
      <c r="AW128" s="161">
        <f t="shared" si="949"/>
        <v>34.646551724137929</v>
      </c>
      <c r="AX128" s="161">
        <f t="shared" si="949"/>
        <v>35.614942528735639</v>
      </c>
      <c r="AY128" s="161">
        <f t="shared" si="949"/>
        <v>33.600000000000009</v>
      </c>
      <c r="AZ128" s="161">
        <f t="shared" si="949"/>
        <v>34.098275862068967</v>
      </c>
      <c r="BA128" s="161">
        <f t="shared" si="949"/>
        <v>37.940229885057477</v>
      </c>
      <c r="BB128" s="161">
        <f t="shared" si="949"/>
        <v>38.704597701149432</v>
      </c>
      <c r="BC128" s="161">
        <f t="shared" si="949"/>
        <v>35.780459770114945</v>
      </c>
      <c r="BD128" s="161">
        <f t="shared" si="949"/>
        <v>36.447126436781616</v>
      </c>
      <c r="BE128" s="161">
        <f t="shared" si="949"/>
        <v>40.827586206896555</v>
      </c>
      <c r="BF128" s="161">
        <f t="shared" si="949"/>
        <v>41.545977011494251</v>
      </c>
      <c r="BG128" s="161">
        <f t="shared" si="949"/>
        <v>38.55747126436782</v>
      </c>
      <c r="BH128" s="161">
        <f t="shared" si="949"/>
        <v>39.53448275862069</v>
      </c>
      <c r="BI128" s="161">
        <f t="shared" si="949"/>
        <v>43.551724137931032</v>
      </c>
      <c r="BJ128" s="161">
        <f t="shared" si="949"/>
        <v>44.505747126436781</v>
      </c>
      <c r="BK128" s="161">
        <f t="shared" si="949"/>
        <v>44.540229885057478</v>
      </c>
      <c r="BL128" s="161">
        <f t="shared" si="949"/>
        <v>46.017241379310349</v>
      </c>
      <c r="BM128" s="161">
        <f t="shared" si="949"/>
        <v>47.626436781609193</v>
      </c>
      <c r="BN128" s="161">
        <f t="shared" si="949"/>
        <v>48.252873563218387</v>
      </c>
      <c r="BO128" s="161">
        <f t="shared" si="949"/>
        <v>48.62068965517242</v>
      </c>
      <c r="BP128" s="161">
        <f t="shared" si="949"/>
        <v>51.074712643678168</v>
      </c>
      <c r="BQ128" s="161">
        <f t="shared" si="949"/>
        <v>51.183908045977013</v>
      </c>
      <c r="BR128" s="161">
        <f t="shared" ref="BR128:DA128" si="950">+BR$156/BR$101</f>
        <v>53.706896551724135</v>
      </c>
      <c r="BS128" s="161">
        <f t="shared" si="950"/>
        <v>53.540229885057471</v>
      </c>
      <c r="BT128" s="161">
        <f t="shared" si="950"/>
        <v>55.775862068965523</v>
      </c>
      <c r="BU128" s="161">
        <f t="shared" si="950"/>
        <v>58.09195402298851</v>
      </c>
      <c r="BV128" s="161">
        <f t="shared" si="950"/>
        <v>60.413793103448285</v>
      </c>
      <c r="BW128" s="161">
        <f t="shared" si="950"/>
        <v>60.678160919540232</v>
      </c>
      <c r="BX128" s="161">
        <f t="shared" si="950"/>
        <v>62.919540229885058</v>
      </c>
      <c r="BY128" s="161">
        <f t="shared" si="950"/>
        <v>65.695402298850581</v>
      </c>
      <c r="BZ128" s="161">
        <f t="shared" si="950"/>
        <v>68.045977011494259</v>
      </c>
      <c r="CA128" s="161">
        <f t="shared" si="950"/>
        <v>68.620689655172413</v>
      </c>
      <c r="CB128" s="161">
        <f t="shared" si="950"/>
        <v>71.500000000000014</v>
      </c>
      <c r="CC128" s="161">
        <f t="shared" si="950"/>
        <v>74.821839080459768</v>
      </c>
      <c r="CD128" s="161">
        <f t="shared" si="950"/>
        <v>77.385057471264375</v>
      </c>
      <c r="CE128" s="161">
        <f t="shared" si="950"/>
        <v>77.643678160919549</v>
      </c>
      <c r="CF128" s="161">
        <f t="shared" si="950"/>
        <v>81.189655172413808</v>
      </c>
      <c r="CG128" s="161">
        <f t="shared" si="950"/>
        <v>85.364942528735639</v>
      </c>
      <c r="CH128" s="161">
        <f t="shared" si="950"/>
        <v>88.330459770114956</v>
      </c>
      <c r="CI128" s="161">
        <f t="shared" si="950"/>
        <v>88.183908045977006</v>
      </c>
      <c r="CJ128" s="161">
        <f t="shared" si="950"/>
        <v>92.063218390804593</v>
      </c>
      <c r="CK128" s="161">
        <f t="shared" si="950"/>
        <v>96.482758620689665</v>
      </c>
      <c r="CL128" s="161">
        <f t="shared" si="950"/>
        <v>98.770114942528735</v>
      </c>
      <c r="CM128" s="20">
        <f t="shared" si="950"/>
        <v>104.05600959188435</v>
      </c>
      <c r="CN128" s="20">
        <f t="shared" si="950"/>
        <v>108.37723891054159</v>
      </c>
      <c r="CO128" s="20">
        <f t="shared" si="950"/>
        <v>114.55219761936895</v>
      </c>
      <c r="CP128" s="20">
        <f t="shared" si="950"/>
        <v>117.59489462545612</v>
      </c>
      <c r="CQ128" s="20">
        <f t="shared" si="950"/>
        <v>123.35170299827159</v>
      </c>
      <c r="CR128" s="20">
        <f t="shared" si="950"/>
        <v>128.23012144032276</v>
      </c>
      <c r="CS128" s="20">
        <f t="shared" si="950"/>
        <v>135.25344208637853</v>
      </c>
      <c r="CT128" s="20">
        <f t="shared" si="950"/>
        <v>138.69017800402679</v>
      </c>
      <c r="CU128" s="20">
        <f t="shared" si="950"/>
        <v>145.05983596177833</v>
      </c>
      <c r="CV128" s="20">
        <f t="shared" si="950"/>
        <v>150.45601012205631</v>
      </c>
      <c r="CW128" s="20">
        <f t="shared" si="950"/>
        <v>158.23280943689167</v>
      </c>
      <c r="CX128" s="20">
        <f t="shared" si="950"/>
        <v>162.2206408373271</v>
      </c>
      <c r="CY128" s="20">
        <f t="shared" si="950"/>
        <v>169.43562813950547</v>
      </c>
      <c r="CZ128" s="20">
        <f t="shared" si="950"/>
        <v>175.58734501287373</v>
      </c>
      <c r="DA128" s="20">
        <f t="shared" si="950"/>
        <v>184.36740295767433</v>
      </c>
      <c r="DD128" s="21"/>
      <c r="DE128" s="161">
        <v>48.241379310344833</v>
      </c>
    </row>
    <row r="129" spans="1:109" s="161" customFormat="1" hidden="1" outlineLevel="1" x14ac:dyDescent="0.2">
      <c r="A129" s="48" t="s">
        <v>502</v>
      </c>
      <c r="AB129" s="20"/>
      <c r="AC129" s="20"/>
      <c r="AD129" s="20"/>
      <c r="AE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D129" s="21"/>
    </row>
    <row r="130" spans="1:109" s="161" customFormat="1" hidden="1" outlineLevel="1" x14ac:dyDescent="0.2">
      <c r="A130" s="48" t="s">
        <v>503</v>
      </c>
      <c r="E130" s="161">
        <f t="shared" ref="E130:AE132" ca="1" si="951">+E113/E$128</f>
        <v>3.8743932011973512</v>
      </c>
      <c r="F130" s="161">
        <f t="shared" ca="1" si="951"/>
        <v>6.3394670164782827</v>
      </c>
      <c r="G130" s="161">
        <f t="shared" ca="1" si="951"/>
        <v>8.7495189764900321</v>
      </c>
      <c r="H130" s="161">
        <f t="shared" ca="1" si="951"/>
        <v>11.205364411500064</v>
      </c>
      <c r="I130" s="161">
        <f t="shared" ca="1" si="951"/>
        <v>6.4842175741868511</v>
      </c>
      <c r="J130" s="161">
        <f t="shared" ca="1" si="951"/>
        <v>2.5199236726905374</v>
      </c>
      <c r="K130" s="161">
        <f t="shared" ca="1" si="951"/>
        <v>4.1593918173425504</v>
      </c>
      <c r="L130" s="161">
        <f t="shared" ca="1" si="951"/>
        <v>4.7001018671579065</v>
      </c>
      <c r="M130" s="161">
        <f t="shared" ca="1" si="951"/>
        <v>2.403695089408302</v>
      </c>
      <c r="N130" s="161">
        <f t="shared" ca="1" si="951"/>
        <v>3.2997708635086767</v>
      </c>
      <c r="O130" s="161">
        <f t="shared" ca="1" si="951"/>
        <v>3.6447480518668467</v>
      </c>
      <c r="P130" s="161">
        <f t="shared" ca="1" si="951"/>
        <v>8.2868146382783205</v>
      </c>
      <c r="Q130" s="161">
        <f t="shared" ca="1" si="951"/>
        <v>7.1320702136200609</v>
      </c>
      <c r="R130" s="161">
        <f t="shared" ca="1" si="951"/>
        <v>6.6309862653883842</v>
      </c>
      <c r="S130" s="161">
        <f t="shared" ca="1" si="951"/>
        <v>8.6850717675062175</v>
      </c>
      <c r="T130" s="161">
        <f t="shared" ca="1" si="951"/>
        <v>7.1573471423820596</v>
      </c>
      <c r="U130" s="161">
        <f t="shared" ca="1" si="951"/>
        <v>5.6693460702549991</v>
      </c>
      <c r="V130" s="161">
        <f t="shared" ca="1" si="951"/>
        <v>5.0546115169466601</v>
      </c>
      <c r="W130" s="161">
        <f t="shared" ca="1" si="951"/>
        <v>8.3684863449929665</v>
      </c>
      <c r="X130" s="161">
        <f t="shared" ca="1" si="951"/>
        <v>11.793049874203492</v>
      </c>
      <c r="Y130" s="161">
        <f t="shared" ca="1" si="951"/>
        <v>18.519331228219482</v>
      </c>
      <c r="Z130" s="161">
        <f t="shared" ca="1" si="951"/>
        <v>17.979277611337395</v>
      </c>
      <c r="AA130" s="161">
        <f t="shared" ref="AA130" ca="1" si="952">+AA113/AA$128</f>
        <v>17.979277611337395</v>
      </c>
      <c r="AB130" s="20">
        <f t="shared" ca="1" si="951"/>
        <v>13.832122237103954</v>
      </c>
      <c r="AC130" s="20">
        <f t="shared" ca="1" si="951"/>
        <v>11.715043813732088</v>
      </c>
      <c r="AD130" s="20">
        <f t="shared" ca="1" si="951"/>
        <v>10.013726013200502</v>
      </c>
      <c r="AE130" s="20">
        <f t="shared" ca="1" si="951"/>
        <v>8.5942524252172579</v>
      </c>
      <c r="AL130" s="161">
        <f t="shared" ref="AL130:CI132" si="953">+AL113/AL$128</f>
        <v>45.322485586162713</v>
      </c>
      <c r="AM130" s="161">
        <f t="shared" si="953"/>
        <v>1.5855567226890754</v>
      </c>
      <c r="AN130" s="161">
        <f t="shared" si="953"/>
        <v>1.5723244745819818</v>
      </c>
      <c r="AO130" s="161">
        <f t="shared" si="953"/>
        <v>1.8223811477812297</v>
      </c>
      <c r="AP130" s="161">
        <f t="shared" si="953"/>
        <v>2.1451964319605237</v>
      </c>
      <c r="AQ130" s="161">
        <f t="shared" si="953"/>
        <v>3.7990735379270406</v>
      </c>
      <c r="AR130" s="161">
        <f t="shared" si="953"/>
        <v>3.6510815500289175</v>
      </c>
      <c r="AS130" s="161">
        <f t="shared" si="953"/>
        <v>4.1433627048077089</v>
      </c>
      <c r="AT130" s="161">
        <f t="shared" si="953"/>
        <v>4.567330210772834</v>
      </c>
      <c r="AU130" s="161">
        <f t="shared" si="953"/>
        <v>4.0096062197469493</v>
      </c>
      <c r="AV130" s="161">
        <f t="shared" si="953"/>
        <v>3.7153754167270607</v>
      </c>
      <c r="AW130" s="161">
        <f t="shared" si="953"/>
        <v>3.5660114456332423</v>
      </c>
      <c r="AX130" s="161">
        <f t="shared" si="953"/>
        <v>3.54626432144586</v>
      </c>
      <c r="AY130" s="161">
        <f t="shared" si="953"/>
        <v>4.3889880952380942</v>
      </c>
      <c r="AZ130" s="161">
        <f t="shared" si="953"/>
        <v>3.4887394448096272</v>
      </c>
      <c r="BA130" s="161">
        <f t="shared" si="953"/>
        <v>3.3154780659234122</v>
      </c>
      <c r="BB130" s="161">
        <f t="shared" si="953"/>
        <v>3.7406408695393929</v>
      </c>
      <c r="BC130" s="161">
        <f t="shared" si="953"/>
        <v>4.2456134151434348</v>
      </c>
      <c r="BD130" s="161">
        <f t="shared" si="953"/>
        <v>4.0186981614052781</v>
      </c>
      <c r="BE130" s="161">
        <f t="shared" si="953"/>
        <v>4.342652027027027</v>
      </c>
      <c r="BF130" s="161">
        <f t="shared" si="953"/>
        <v>3.8051819062110943</v>
      </c>
      <c r="BG130" s="161">
        <f t="shared" si="953"/>
        <v>4.0311253540020866</v>
      </c>
      <c r="BH130" s="161">
        <f t="shared" si="953"/>
        <v>3.657060619276058</v>
      </c>
      <c r="BI130" s="161">
        <f t="shared" si="953"/>
        <v>3.5785035629453681</v>
      </c>
      <c r="BJ130" s="161">
        <f t="shared" si="953"/>
        <v>3.0908367768595042</v>
      </c>
      <c r="BK130" s="161">
        <f t="shared" si="953"/>
        <v>3.217765161290322</v>
      </c>
      <c r="BL130" s="161">
        <f t="shared" si="953"/>
        <v>3.0223454477332332</v>
      </c>
      <c r="BM130" s="161">
        <f t="shared" si="953"/>
        <v>2.8345601544587908</v>
      </c>
      <c r="BN130" s="161">
        <f t="shared" si="953"/>
        <v>1.7582372558361126</v>
      </c>
      <c r="BO130" s="161">
        <f t="shared" si="953"/>
        <v>1.9199645390070919</v>
      </c>
      <c r="BP130" s="161">
        <f t="shared" si="953"/>
        <v>1.8711803758298635</v>
      </c>
      <c r="BQ130" s="161">
        <f t="shared" si="953"/>
        <v>2.5273568380866833</v>
      </c>
      <c r="BR130" s="161">
        <f t="shared" si="953"/>
        <v>3.3342086677367577</v>
      </c>
      <c r="BS130" s="161">
        <f t="shared" si="953"/>
        <v>3.7769729497638473</v>
      </c>
      <c r="BT130" s="161">
        <f t="shared" si="953"/>
        <v>4.3800309119010814</v>
      </c>
      <c r="BU130" s="161">
        <f t="shared" si="953"/>
        <v>4.1844004748713886</v>
      </c>
      <c r="BV130" s="161">
        <f t="shared" si="953"/>
        <v>4.3519863013698625</v>
      </c>
      <c r="BW130" s="161">
        <f t="shared" si="953"/>
        <v>4.8898977078992232</v>
      </c>
      <c r="BX130" s="161">
        <f t="shared" si="953"/>
        <v>6.3771921812203143</v>
      </c>
      <c r="BY130" s="161">
        <f t="shared" si="953"/>
        <v>5.8966074709124303</v>
      </c>
      <c r="BZ130" s="161">
        <f t="shared" si="953"/>
        <v>6.1476081081081073</v>
      </c>
      <c r="CA130" s="161">
        <f t="shared" si="953"/>
        <v>6.2833819095477388</v>
      </c>
      <c r="CB130" s="161">
        <f t="shared" si="953"/>
        <v>8.3798601398601384</v>
      </c>
      <c r="CC130" s="161">
        <f t="shared" si="953"/>
        <v>9.2597296259313318</v>
      </c>
      <c r="CD130" s="161">
        <f t="shared" si="953"/>
        <v>9.9621299665800205</v>
      </c>
      <c r="CE130" s="161">
        <f t="shared" si="953"/>
        <v>12.042062176165802</v>
      </c>
      <c r="CF130" s="161">
        <f t="shared" si="953"/>
        <v>11.071607559991504</v>
      </c>
      <c r="CG130" s="161">
        <f t="shared" si="953"/>
        <v>8.9896388056686973</v>
      </c>
      <c r="CH130" s="161">
        <f t="shared" si="953"/>
        <v>8.0685643644881093</v>
      </c>
      <c r="CI130" s="161">
        <f t="shared" si="953"/>
        <v>9.2749348279457777</v>
      </c>
      <c r="CJ130" s="161">
        <f>+CJ113/CJ$128</f>
        <v>8.9226730757225798</v>
      </c>
      <c r="CK130" s="161">
        <f t="shared" ref="CK130:DA130" si="954">+CK113/CK$128</f>
        <v>7.8174588992137233</v>
      </c>
      <c r="CL130" s="161">
        <f>+CL113/CL$128</f>
        <v>8.0211509368090308</v>
      </c>
      <c r="CM130" s="20">
        <f t="shared" si="954"/>
        <v>7.6136880811330867</v>
      </c>
      <c r="CN130" s="20">
        <f t="shared" si="954"/>
        <v>7.3101142635120198</v>
      </c>
      <c r="CO130" s="20">
        <f t="shared" si="954"/>
        <v>6.9160611185519771</v>
      </c>
      <c r="CP130" s="20">
        <f t="shared" si="954"/>
        <v>6.7371122064724336</v>
      </c>
      <c r="CQ130" s="20">
        <f t="shared" si="954"/>
        <v>6.4226920321570349</v>
      </c>
      <c r="CR130" s="20">
        <f t="shared" si="954"/>
        <v>6.1783455486214027</v>
      </c>
      <c r="CS130" s="20">
        <f t="shared" si="954"/>
        <v>5.8575219068660438</v>
      </c>
      <c r="CT130" s="20">
        <f t="shared" si="954"/>
        <v>5.712372796702283</v>
      </c>
      <c r="CU130" s="20">
        <f t="shared" si="954"/>
        <v>5.4615393347663037</v>
      </c>
      <c r="CV130" s="20">
        <f t="shared" si="954"/>
        <v>5.2656587088630964</v>
      </c>
      <c r="CW130" s="20">
        <f t="shared" si="954"/>
        <v>5.0068630066002511</v>
      </c>
      <c r="CX130" s="20">
        <f t="shared" si="954"/>
        <v>4.8837804850891864</v>
      </c>
      <c r="CY130" s="20">
        <f t="shared" si="954"/>
        <v>4.6758170563023373</v>
      </c>
      <c r="CZ130" s="20">
        <f t="shared" si="954"/>
        <v>4.5119994265071535</v>
      </c>
      <c r="DA130" s="20">
        <f t="shared" si="954"/>
        <v>4.2971262126086289</v>
      </c>
      <c r="DD130" s="21"/>
      <c r="DE130" s="161">
        <v>15.634917798427447</v>
      </c>
    </row>
    <row r="131" spans="1:109" s="161" customFormat="1" hidden="1" outlineLevel="1" x14ac:dyDescent="0.2">
      <c r="A131" s="48" t="s">
        <v>504</v>
      </c>
      <c r="E131" s="161">
        <f t="shared" ca="1" si="951"/>
        <v>4.9912659927949967</v>
      </c>
      <c r="F131" s="161">
        <f t="shared" ca="1" si="951"/>
        <v>6.3798540854283088</v>
      </c>
      <c r="G131" s="161">
        <f t="shared" ca="1" si="951"/>
        <v>9.5058050007234112</v>
      </c>
      <c r="H131" s="161">
        <f t="shared" ca="1" si="951"/>
        <v>11.272462401988088</v>
      </c>
      <c r="I131" s="161">
        <f t="shared" ca="1" si="951"/>
        <v>9.4622474379386894</v>
      </c>
      <c r="J131" s="161">
        <f t="shared" ca="1" si="951"/>
        <v>5.623526770681333</v>
      </c>
      <c r="K131" s="161">
        <f t="shared" ca="1" si="951"/>
        <v>4.5051507509400812</v>
      </c>
      <c r="L131" s="161">
        <f t="shared" ca="1" si="951"/>
        <v>5.3952994711447548</v>
      </c>
      <c r="M131" s="161">
        <f t="shared" ca="1" si="951"/>
        <v>4.8188246780526613</v>
      </c>
      <c r="N131" s="161">
        <f t="shared" ca="1" si="951"/>
        <v>3.9609162892297292</v>
      </c>
      <c r="O131" s="161">
        <f t="shared" ca="1" si="951"/>
        <v>3.7263468888489402</v>
      </c>
      <c r="P131" s="161">
        <f t="shared" ca="1" si="951"/>
        <v>8.4935322240248077</v>
      </c>
      <c r="Q131" s="161">
        <f t="shared" ca="1" si="951"/>
        <v>9.5248206009494947</v>
      </c>
      <c r="R131" s="161">
        <f t="shared" ca="1" si="951"/>
        <v>8.0964558430797506</v>
      </c>
      <c r="S131" s="161">
        <f t="shared" ca="1" si="951"/>
        <v>9.1210398370539068</v>
      </c>
      <c r="T131" s="161">
        <f t="shared" ca="1" si="951"/>
        <v>8.5970829968169493</v>
      </c>
      <c r="U131" s="161">
        <f t="shared" ca="1" si="951"/>
        <v>6.5512443478502211</v>
      </c>
      <c r="V131" s="161">
        <f t="shared" ca="1" si="951"/>
        <v>5.9740225326683261</v>
      </c>
      <c r="W131" s="161">
        <f t="shared" ca="1" si="951"/>
        <v>9.7021837327049418</v>
      </c>
      <c r="X131" s="161">
        <f t="shared" ca="1" si="951"/>
        <v>13.218396033298456</v>
      </c>
      <c r="Y131" s="161">
        <f t="shared" ca="1" si="951"/>
        <v>18.972938968852656</v>
      </c>
      <c r="Z131" s="161">
        <f t="shared" ca="1" si="951"/>
        <v>24.776915878412492</v>
      </c>
      <c r="AA131" s="161">
        <f t="shared" ref="AA131" ca="1" si="955">+AA114/AA$128</f>
        <v>24.776915878412492</v>
      </c>
      <c r="AB131" s="20">
        <f t="shared" ca="1" si="951"/>
        <v>14.581125763732871</v>
      </c>
      <c r="AC131" s="20">
        <f t="shared" ca="1" si="951"/>
        <v>8.415204965281637</v>
      </c>
      <c r="AD131" s="20">
        <f t="shared" ca="1" si="951"/>
        <v>7.9846907310409669</v>
      </c>
      <c r="AE131" s="20">
        <f t="shared" ca="1" si="951"/>
        <v>7.7937807123949741</v>
      </c>
      <c r="AL131" s="161">
        <f t="shared" si="953"/>
        <v>52.077386290839208</v>
      </c>
      <c r="AM131" s="161">
        <f t="shared" si="953"/>
        <v>1.7668067226890753</v>
      </c>
      <c r="AN131" s="161">
        <f t="shared" si="953"/>
        <v>1.6195931432422186</v>
      </c>
      <c r="AO131" s="161">
        <f t="shared" si="953"/>
        <v>1.8631807257166304</v>
      </c>
      <c r="AP131" s="161">
        <f t="shared" si="953"/>
        <v>2.4040994496109316</v>
      </c>
      <c r="AQ131" s="161">
        <f t="shared" si="953"/>
        <v>3.9849449913144182</v>
      </c>
      <c r="AR131" s="161">
        <f t="shared" si="953"/>
        <v>3.9704337767495654</v>
      </c>
      <c r="AS131" s="161">
        <f t="shared" si="953"/>
        <v>4.2467203847603319</v>
      </c>
      <c r="AT131" s="161">
        <f t="shared" si="953"/>
        <v>5.0936768149882905</v>
      </c>
      <c r="AU131" s="161">
        <f t="shared" si="953"/>
        <v>4.8388435158016714</v>
      </c>
      <c r="AV131" s="161">
        <f t="shared" si="953"/>
        <v>4.3821568343238138</v>
      </c>
      <c r="AW131" s="161">
        <f t="shared" si="953"/>
        <v>3.6064195073401346</v>
      </c>
      <c r="AX131" s="161">
        <f t="shared" si="953"/>
        <v>3.8017750524447309</v>
      </c>
      <c r="AY131" s="161">
        <f t="shared" si="953"/>
        <v>4.4312499999999986</v>
      </c>
      <c r="AZ131" s="161">
        <f t="shared" si="953"/>
        <v>4.5043333164787382</v>
      </c>
      <c r="BA131" s="161">
        <f t="shared" si="953"/>
        <v>3.3473703344643719</v>
      </c>
      <c r="BB131" s="161">
        <f t="shared" si="953"/>
        <v>3.7876637068274279</v>
      </c>
      <c r="BC131" s="161">
        <f t="shared" si="953"/>
        <v>4.4884834077548259</v>
      </c>
      <c r="BD131" s="161">
        <f t="shared" si="953"/>
        <v>4.6066731842694493</v>
      </c>
      <c r="BE131" s="161">
        <f t="shared" si="953"/>
        <v>4.5606418918918914</v>
      </c>
      <c r="BF131" s="161">
        <f t="shared" si="953"/>
        <v>4.5058514317332961</v>
      </c>
      <c r="BG131" s="161">
        <f t="shared" si="953"/>
        <v>4.7095930839171256</v>
      </c>
      <c r="BH131" s="161">
        <f t="shared" si="953"/>
        <v>4.4771042302660273</v>
      </c>
      <c r="BI131" s="161">
        <f t="shared" si="953"/>
        <v>3.7610451306413308</v>
      </c>
      <c r="BJ131" s="161">
        <f t="shared" si="953"/>
        <v>3.5051652892561984</v>
      </c>
      <c r="BK131" s="161">
        <f t="shared" si="953"/>
        <v>3.3223896774193542</v>
      </c>
      <c r="BL131" s="161">
        <f t="shared" si="953"/>
        <v>3.2161858373922816</v>
      </c>
      <c r="BM131" s="161">
        <f t="shared" si="953"/>
        <v>3.1075177989622302</v>
      </c>
      <c r="BN131" s="161">
        <f t="shared" si="953"/>
        <v>3.1685159599809434</v>
      </c>
      <c r="BO131" s="161">
        <f t="shared" si="953"/>
        <v>2.2766028368794324</v>
      </c>
      <c r="BP131" s="161">
        <f t="shared" si="953"/>
        <v>2.2531697985821983</v>
      </c>
      <c r="BQ131" s="161">
        <f t="shared" si="953"/>
        <v>2.5554906804401529</v>
      </c>
      <c r="BR131" s="161">
        <f t="shared" si="953"/>
        <v>3.3863434991974319</v>
      </c>
      <c r="BS131" s="161">
        <f t="shared" si="953"/>
        <v>4.1464147702876772</v>
      </c>
      <c r="BT131" s="161">
        <f t="shared" si="953"/>
        <v>4.9304482225656869</v>
      </c>
      <c r="BU131" s="161">
        <f t="shared" si="953"/>
        <v>4.8512742382271465</v>
      </c>
      <c r="BV131" s="161">
        <f t="shared" si="953"/>
        <v>4.38658105022831</v>
      </c>
      <c r="BW131" s="161">
        <f t="shared" si="953"/>
        <v>5.0151487024057584</v>
      </c>
      <c r="BX131" s="161">
        <f t="shared" si="953"/>
        <v>6.6683576909024476</v>
      </c>
      <c r="BY131" s="161">
        <f t="shared" si="953"/>
        <v>6.6092905257632744</v>
      </c>
      <c r="BZ131" s="161">
        <f t="shared" si="953"/>
        <v>6.2769324324324316</v>
      </c>
      <c r="CA131" s="161">
        <f t="shared" si="953"/>
        <v>6.8692110552763817</v>
      </c>
      <c r="CB131" s="161">
        <f t="shared" si="953"/>
        <v>9.0069930069930049</v>
      </c>
      <c r="CC131" s="161">
        <f t="shared" si="953"/>
        <v>9.4865350641370298</v>
      </c>
      <c r="CD131" s="161">
        <f t="shared" si="953"/>
        <v>10.883754920163385</v>
      </c>
      <c r="CE131" s="161">
        <f t="shared" si="953"/>
        <v>13.355884529977793</v>
      </c>
      <c r="CF131" s="161">
        <f t="shared" si="953"/>
        <v>13.025551072414522</v>
      </c>
      <c r="CG131" s="161">
        <f t="shared" si="953"/>
        <v>11.245834315144577</v>
      </c>
      <c r="CH131" s="161">
        <f t="shared" si="953"/>
        <v>9.0518038973291244</v>
      </c>
      <c r="CI131" s="161">
        <f t="shared" si="953"/>
        <v>10.288725234619395</v>
      </c>
      <c r="CJ131" s="161">
        <f t="shared" ref="CJ131:CL132" si="956">+CJ114/CJ$128</f>
        <v>9.9703227417441784</v>
      </c>
      <c r="CK131" s="161">
        <f>+CJ131</f>
        <v>9.9703227417441784</v>
      </c>
      <c r="CL131" s="161">
        <f t="shared" si="956"/>
        <v>8.4554928430117542</v>
      </c>
      <c r="CM131" s="93">
        <f t="shared" ref="CM131:DA131" si="957">+CL131</f>
        <v>8.4554928430117542</v>
      </c>
      <c r="CN131" s="93">
        <f t="shared" si="957"/>
        <v>8.4554928430117542</v>
      </c>
      <c r="CO131" s="93">
        <f t="shared" si="957"/>
        <v>8.4554928430117542</v>
      </c>
      <c r="CP131" s="93">
        <f t="shared" si="957"/>
        <v>8.4554928430117542</v>
      </c>
      <c r="CQ131" s="93">
        <f t="shared" si="957"/>
        <v>8.4554928430117542</v>
      </c>
      <c r="CR131" s="93">
        <f t="shared" si="957"/>
        <v>8.4554928430117542</v>
      </c>
      <c r="CS131" s="93">
        <f t="shared" si="957"/>
        <v>8.4554928430117542</v>
      </c>
      <c r="CT131" s="93">
        <f t="shared" si="957"/>
        <v>8.4554928430117542</v>
      </c>
      <c r="CU131" s="93">
        <f t="shared" si="957"/>
        <v>8.4554928430117542</v>
      </c>
      <c r="CV131" s="93">
        <f t="shared" si="957"/>
        <v>8.4554928430117542</v>
      </c>
      <c r="CW131" s="93">
        <f t="shared" si="957"/>
        <v>8.4554928430117542</v>
      </c>
      <c r="CX131" s="93">
        <f t="shared" si="957"/>
        <v>8.4554928430117542</v>
      </c>
      <c r="CY131" s="93">
        <f t="shared" si="957"/>
        <v>8.4554928430117542</v>
      </c>
      <c r="CZ131" s="93">
        <f t="shared" si="957"/>
        <v>8.4554928430117542</v>
      </c>
      <c r="DA131" s="93">
        <f t="shared" si="957"/>
        <v>8.4554928430117542</v>
      </c>
      <c r="DB131" s="93"/>
      <c r="DD131" s="21"/>
      <c r="DE131" s="161">
        <v>19.02723373838456</v>
      </c>
    </row>
    <row r="132" spans="1:109" s="161" customFormat="1" hidden="1" outlineLevel="1" x14ac:dyDescent="0.2">
      <c r="A132" s="48" t="s">
        <v>505</v>
      </c>
      <c r="E132" s="161">
        <f t="shared" ca="1" si="951"/>
        <v>1.7715913246031625</v>
      </c>
      <c r="F132" s="161">
        <f t="shared" ca="1" si="951"/>
        <v>2.0063253607432299</v>
      </c>
      <c r="G132" s="161">
        <f t="shared" ca="1" si="951"/>
        <v>4.2044906733968936</v>
      </c>
      <c r="H132" s="161">
        <f t="shared" ca="1" si="951"/>
        <v>5.964265821157718</v>
      </c>
      <c r="I132" s="161">
        <f t="shared" ca="1" si="951"/>
        <v>5.7867426341738444</v>
      </c>
      <c r="J132" s="161">
        <f t="shared" ca="1" si="951"/>
        <v>1.9643057582220225</v>
      </c>
      <c r="K132" s="161">
        <f t="shared" ca="1" si="951"/>
        <v>1.7238972326675823</v>
      </c>
      <c r="L132" s="161">
        <f t="shared" ca="1" si="951"/>
        <v>3.228334929455468</v>
      </c>
      <c r="M132" s="161">
        <f t="shared" ca="1" si="951"/>
        <v>2.3114023455744124</v>
      </c>
      <c r="N132" s="161">
        <f t="shared" ca="1" si="951"/>
        <v>2.1517007661417136</v>
      </c>
      <c r="O132" s="161">
        <f t="shared" ca="1" si="951"/>
        <v>2.4119256231290493</v>
      </c>
      <c r="P132" s="161">
        <f t="shared" ca="1" si="951"/>
        <v>2.8228504156317742</v>
      </c>
      <c r="Q132" s="161">
        <f t="shared" ca="1" si="951"/>
        <v>6.2632911224425465</v>
      </c>
      <c r="R132" s="161">
        <f t="shared" ca="1" si="951"/>
        <v>5.2609303544459864</v>
      </c>
      <c r="S132" s="161">
        <f t="shared" ca="1" si="951"/>
        <v>5.8782211624407559</v>
      </c>
      <c r="T132" s="161">
        <f t="shared" ca="1" si="951"/>
        <v>6.0253060319571778</v>
      </c>
      <c r="U132" s="161">
        <f t="shared" ca="1" si="951"/>
        <v>4.4989410704179118</v>
      </c>
      <c r="V132" s="161">
        <f t="shared" ca="1" si="951"/>
        <v>3.0196380490850174</v>
      </c>
      <c r="W132" s="161">
        <f t="shared" ca="1" si="951"/>
        <v>4.2895894297602579</v>
      </c>
      <c r="X132" s="161">
        <f t="shared" ca="1" si="951"/>
        <v>5.842945072940978</v>
      </c>
      <c r="Y132" s="161">
        <f t="shared" ca="1" si="951"/>
        <v>9.1213379736986209</v>
      </c>
      <c r="Z132" s="161">
        <f t="shared" ca="1" si="951"/>
        <v>14.877301646076681</v>
      </c>
      <c r="AA132" s="161">
        <f t="shared" ref="AA132" ca="1" si="958">+AA115/AA$128</f>
        <v>14.877301646076681</v>
      </c>
      <c r="AB132" s="20">
        <f t="shared" ca="1" si="951"/>
        <v>6.9437196497667424</v>
      </c>
      <c r="AC132" s="20">
        <f t="shared" ca="1" si="951"/>
        <v>6.1267831580533541</v>
      </c>
      <c r="AD132" s="20">
        <f t="shared" ca="1" si="951"/>
        <v>5.8686709362338911</v>
      </c>
      <c r="AE132" s="20">
        <f t="shared" ca="1" si="951"/>
        <v>5.6182009075898556</v>
      </c>
      <c r="AL132" s="161">
        <f t="shared" si="953"/>
        <v>39.537347853939778</v>
      </c>
      <c r="AM132" s="161">
        <f t="shared" si="953"/>
        <v>1.4842699579831931</v>
      </c>
      <c r="AN132" s="161">
        <f t="shared" si="953"/>
        <v>1.4037695320726107</v>
      </c>
      <c r="AO132" s="161">
        <f t="shared" si="953"/>
        <v>1.4143853684272232</v>
      </c>
      <c r="AP132" s="161">
        <f t="shared" si="953"/>
        <v>1.4926551527804137</v>
      </c>
      <c r="AQ132" s="161">
        <f t="shared" si="953"/>
        <v>2.1887666473653735</v>
      </c>
      <c r="AR132" s="161">
        <f t="shared" si="953"/>
        <v>3.3545401966454591</v>
      </c>
      <c r="AS132" s="161">
        <f t="shared" si="953"/>
        <v>3.1225885182061264</v>
      </c>
      <c r="AT132" s="161">
        <f t="shared" si="953"/>
        <v>3.6208324462422827</v>
      </c>
      <c r="AU132" s="161">
        <f t="shared" si="953"/>
        <v>3.5657203730353042</v>
      </c>
      <c r="AV132" s="161">
        <f t="shared" si="953"/>
        <v>3.4206044354254233</v>
      </c>
      <c r="AW132" s="161">
        <f t="shared" si="953"/>
        <v>3.2124409056979348</v>
      </c>
      <c r="AX132" s="161">
        <f t="shared" si="953"/>
        <v>2.8021946102953037</v>
      </c>
      <c r="AY132" s="161">
        <f t="shared" si="953"/>
        <v>3.4910714285714275</v>
      </c>
      <c r="AZ132" s="161">
        <f t="shared" si="953"/>
        <v>3.4646913080851491</v>
      </c>
      <c r="BA132" s="161">
        <f t="shared" si="953"/>
        <v>2.8987699951526897</v>
      </c>
      <c r="BB132" s="161">
        <f t="shared" si="953"/>
        <v>3.1004068541561485</v>
      </c>
      <c r="BC132" s="161">
        <f t="shared" si="953"/>
        <v>3.664570015098461</v>
      </c>
      <c r="BD132" s="161">
        <f t="shared" si="953"/>
        <v>3.6164716641962844</v>
      </c>
      <c r="BE132" s="161">
        <f t="shared" si="953"/>
        <v>3.5074324324324317</v>
      </c>
      <c r="BF132" s="161">
        <f t="shared" si="953"/>
        <v>3.6111799695670217</v>
      </c>
      <c r="BG132" s="161">
        <f t="shared" si="953"/>
        <v>3.9372395289909075</v>
      </c>
      <c r="BH132" s="161">
        <f t="shared" si="953"/>
        <v>3.4147405146096816</v>
      </c>
      <c r="BI132" s="161">
        <f t="shared" si="953"/>
        <v>3.0125098970704669</v>
      </c>
      <c r="BJ132" s="161">
        <f t="shared" si="953"/>
        <v>2.7021229338842976</v>
      </c>
      <c r="BK132" s="161">
        <f t="shared" si="953"/>
        <v>2.8738064516129027</v>
      </c>
      <c r="BL132" s="161">
        <f t="shared" si="953"/>
        <v>2.3280404645934802</v>
      </c>
      <c r="BM132" s="161">
        <f t="shared" si="953"/>
        <v>2.636560878484373</v>
      </c>
      <c r="BN132" s="161">
        <f t="shared" si="953"/>
        <v>1.6015626488804193</v>
      </c>
      <c r="BO132" s="161">
        <f t="shared" si="953"/>
        <v>1.6453900709219855</v>
      </c>
      <c r="BP132" s="161">
        <f t="shared" si="953"/>
        <v>1.7711308653088778</v>
      </c>
      <c r="BQ132" s="161">
        <f t="shared" si="953"/>
        <v>1.6624365596227262</v>
      </c>
      <c r="BR132" s="161">
        <f t="shared" si="953"/>
        <v>2.3199999999999998</v>
      </c>
      <c r="BS132" s="161">
        <f t="shared" si="953"/>
        <v>3.0466809789609277</v>
      </c>
      <c r="BT132" s="161">
        <f t="shared" si="953"/>
        <v>3.5976136012364757</v>
      </c>
      <c r="BU132" s="161">
        <f t="shared" si="953"/>
        <v>4.0625247328848433</v>
      </c>
      <c r="BV132" s="161">
        <f t="shared" si="953"/>
        <v>3.1769235159817346</v>
      </c>
      <c r="BW132" s="161">
        <f t="shared" si="953"/>
        <v>3.9014036749384351</v>
      </c>
      <c r="BX132" s="161">
        <f t="shared" si="953"/>
        <v>4.4936755571793938</v>
      </c>
      <c r="BY132" s="161">
        <f t="shared" si="953"/>
        <v>5.3320321931589536</v>
      </c>
      <c r="BZ132" s="161">
        <f t="shared" si="953"/>
        <v>5.0148445945945941</v>
      </c>
      <c r="CA132" s="161">
        <f t="shared" si="953"/>
        <v>5.9961507537688439</v>
      </c>
      <c r="CB132" s="161">
        <f t="shared" si="953"/>
        <v>5.6353846153846145</v>
      </c>
      <c r="CC132" s="161">
        <f t="shared" si="953"/>
        <v>7.4844458099700439</v>
      </c>
      <c r="CD132" s="161">
        <f t="shared" si="953"/>
        <v>8.2057185295209791</v>
      </c>
      <c r="CE132" s="161">
        <f t="shared" si="953"/>
        <v>9.8993249444855653</v>
      </c>
      <c r="CF132" s="161">
        <f t="shared" si="953"/>
        <v>10.545062645997024</v>
      </c>
      <c r="CG132" s="161">
        <f t="shared" si="953"/>
        <v>8.3933752987511347</v>
      </c>
      <c r="CH132" s="161">
        <f t="shared" si="953"/>
        <v>6.622856956960212</v>
      </c>
      <c r="CI132" s="161">
        <f t="shared" si="953"/>
        <v>7.3482794577685091</v>
      </c>
      <c r="CJ132" s="161">
        <f t="shared" si="956"/>
        <v>8.363817966165179</v>
      </c>
      <c r="CK132" s="161">
        <f>+CJ132</f>
        <v>8.363817966165179</v>
      </c>
      <c r="CL132" s="161">
        <f t="shared" si="956"/>
        <v>6.7697602699871986</v>
      </c>
      <c r="CM132" s="93">
        <f t="shared" ref="CM132:DA132" si="959">+CL132</f>
        <v>6.7697602699871986</v>
      </c>
      <c r="CN132" s="93">
        <f t="shared" si="959"/>
        <v>6.7697602699871986</v>
      </c>
      <c r="CO132" s="93">
        <f t="shared" si="959"/>
        <v>6.7697602699871986</v>
      </c>
      <c r="CP132" s="93">
        <f t="shared" si="959"/>
        <v>6.7697602699871986</v>
      </c>
      <c r="CQ132" s="93">
        <f t="shared" si="959"/>
        <v>6.7697602699871986</v>
      </c>
      <c r="CR132" s="93">
        <f t="shared" si="959"/>
        <v>6.7697602699871986</v>
      </c>
      <c r="CS132" s="93">
        <f t="shared" si="959"/>
        <v>6.7697602699871986</v>
      </c>
      <c r="CT132" s="93">
        <f t="shared" si="959"/>
        <v>6.7697602699871986</v>
      </c>
      <c r="CU132" s="93">
        <f t="shared" si="959"/>
        <v>6.7697602699871986</v>
      </c>
      <c r="CV132" s="93">
        <f t="shared" si="959"/>
        <v>6.7697602699871986</v>
      </c>
      <c r="CW132" s="93">
        <f t="shared" si="959"/>
        <v>6.7697602699871986</v>
      </c>
      <c r="CX132" s="93">
        <f t="shared" si="959"/>
        <v>6.7697602699871986</v>
      </c>
      <c r="CY132" s="93">
        <f t="shared" si="959"/>
        <v>6.7697602699871986</v>
      </c>
      <c r="CZ132" s="93">
        <f t="shared" si="959"/>
        <v>6.7697602699871986</v>
      </c>
      <c r="DA132" s="93">
        <f t="shared" si="959"/>
        <v>6.7697602699871986</v>
      </c>
      <c r="DB132" s="93"/>
      <c r="DD132" s="21"/>
      <c r="DE132" s="161">
        <v>12.1265189421015</v>
      </c>
    </row>
    <row r="133" spans="1:109" s="4" customFormat="1" hidden="1" outlineLevel="1" x14ac:dyDescent="0.2">
      <c r="A133" s="3"/>
      <c r="AB133" s="16"/>
      <c r="AC133" s="16"/>
      <c r="AD133" s="16"/>
      <c r="AE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D133" s="118"/>
    </row>
    <row r="134" spans="1:109" s="176" customFormat="1" hidden="1" outlineLevel="1" x14ac:dyDescent="0.2">
      <c r="A134" s="176" t="s">
        <v>511</v>
      </c>
      <c r="E134" s="176">
        <f t="shared" ref="E134:AE134" si="960">+E46</f>
        <v>242.84549999999999</v>
      </c>
      <c r="F134" s="176">
        <f t="shared" si="960"/>
        <v>304.56449999999995</v>
      </c>
      <c r="G134" s="176">
        <f t="shared" si="960"/>
        <v>359.90139999999997</v>
      </c>
      <c r="H134" s="176">
        <f t="shared" si="960"/>
        <v>407.50360000000001</v>
      </c>
      <c r="I134" s="176">
        <f t="shared" si="960"/>
        <v>466.47719999999998</v>
      </c>
      <c r="J134" s="176">
        <f t="shared" si="960"/>
        <v>598.09939999999995</v>
      </c>
      <c r="K134" s="176">
        <f t="shared" si="960"/>
        <v>565.30300000000011</v>
      </c>
      <c r="L134" s="176">
        <f t="shared" si="960"/>
        <v>610.221</v>
      </c>
      <c r="M134" s="176">
        <f t="shared" si="960"/>
        <v>751.91300000000001</v>
      </c>
      <c r="N134" s="176">
        <f t="shared" si="960"/>
        <v>715.38200000000006</v>
      </c>
      <c r="O134" s="176">
        <f t="shared" si="960"/>
        <v>732.73500000000001</v>
      </c>
      <c r="P134" s="176">
        <f t="shared" si="960"/>
        <v>803.673</v>
      </c>
      <c r="Q134" s="176">
        <f t="shared" si="960"/>
        <v>820.72699999999998</v>
      </c>
      <c r="R134" s="176">
        <f t="shared" si="960"/>
        <v>825.66600000000005</v>
      </c>
      <c r="S134" s="176">
        <f t="shared" si="960"/>
        <v>944.33699999999999</v>
      </c>
      <c r="T134" s="176">
        <f t="shared" si="960"/>
        <v>1093.066</v>
      </c>
      <c r="U134" s="176">
        <f t="shared" si="960"/>
        <v>1293.9079999999999</v>
      </c>
      <c r="V134" s="176">
        <f t="shared" si="960"/>
        <v>1208.115</v>
      </c>
      <c r="W134" s="176">
        <f t="shared" si="960"/>
        <v>1497.2909999999999</v>
      </c>
      <c r="X134" s="176">
        <f t="shared" si="960"/>
        <v>1821.96</v>
      </c>
      <c r="Y134" s="176">
        <f t="shared" si="960"/>
        <v>2247.2379999999998</v>
      </c>
      <c r="Z134" s="176">
        <f t="shared" si="960"/>
        <v>2533.0860000000002</v>
      </c>
      <c r="AA134" s="176">
        <f t="shared" ref="AA134" si="961">+AA46</f>
        <v>2695.7280000000001</v>
      </c>
      <c r="AB134" s="177">
        <f t="shared" si="960"/>
        <v>3055.8940249956063</v>
      </c>
      <c r="AC134" s="177">
        <f t="shared" si="960"/>
        <v>3455.6672942745499</v>
      </c>
      <c r="AD134" s="177">
        <f t="shared" si="960"/>
        <v>3797.582834267776</v>
      </c>
      <c r="AE134" s="177">
        <f t="shared" si="960"/>
        <v>4176.3333737708299</v>
      </c>
      <c r="AL134" s="176">
        <f t="shared" ref="AL134:BQ134" si="962">+SUM(AI44:AL44)</f>
        <v>715.49</v>
      </c>
      <c r="AM134" s="176">
        <f t="shared" si="962"/>
        <v>723.33</v>
      </c>
      <c r="AN134" s="176">
        <f t="shared" si="962"/>
        <v>743.83</v>
      </c>
      <c r="AO134" s="176">
        <f t="shared" si="962"/>
        <v>731.34</v>
      </c>
      <c r="AP134" s="176">
        <f t="shared" si="962"/>
        <v>740.92000000000007</v>
      </c>
      <c r="AQ134" s="176">
        <f t="shared" si="962"/>
        <v>745.05000000000007</v>
      </c>
      <c r="AR134" s="176">
        <f t="shared" si="962"/>
        <v>753.7</v>
      </c>
      <c r="AS134" s="176">
        <f t="shared" si="962"/>
        <v>801.7</v>
      </c>
      <c r="AT134" s="176">
        <f t="shared" si="962"/>
        <v>817.6</v>
      </c>
      <c r="AU134" s="176">
        <f t="shared" si="962"/>
        <v>818.36</v>
      </c>
      <c r="AV134" s="176">
        <f t="shared" si="962"/>
        <v>805.25</v>
      </c>
      <c r="AW134" s="176">
        <f t="shared" si="962"/>
        <v>818.81</v>
      </c>
      <c r="AX134" s="176">
        <f t="shared" si="962"/>
        <v>852.66</v>
      </c>
      <c r="AY134" s="176">
        <f t="shared" si="962"/>
        <v>869.29</v>
      </c>
      <c r="AZ134" s="176">
        <f t="shared" si="962"/>
        <v>855.1</v>
      </c>
      <c r="BA134" s="176">
        <f t="shared" si="962"/>
        <v>879.07</v>
      </c>
      <c r="BB134" s="176">
        <f t="shared" si="962"/>
        <v>873.45</v>
      </c>
      <c r="BC134" s="176">
        <f t="shared" si="962"/>
        <v>879.81000000000006</v>
      </c>
      <c r="BD134" s="176">
        <f t="shared" si="962"/>
        <v>908.72</v>
      </c>
      <c r="BE134" s="176">
        <f t="shared" si="962"/>
        <v>969.3</v>
      </c>
      <c r="BF134" s="176">
        <f t="shared" si="962"/>
        <v>964.3</v>
      </c>
      <c r="BG134" s="176">
        <f t="shared" si="962"/>
        <v>994.80000000000007</v>
      </c>
      <c r="BH134" s="176">
        <f t="shared" si="962"/>
        <v>1074.7</v>
      </c>
      <c r="BI134" s="176">
        <f t="shared" si="962"/>
        <v>1093.0999999999999</v>
      </c>
      <c r="BJ134" s="176">
        <f t="shared" si="962"/>
        <v>1169.9000000000001</v>
      </c>
      <c r="BK134" s="176">
        <f t="shared" si="962"/>
        <v>1218.0999999999999</v>
      </c>
      <c r="BL134" s="176">
        <f t="shared" si="962"/>
        <v>1303.5</v>
      </c>
      <c r="BM134" s="176">
        <f t="shared" si="962"/>
        <v>1293.9000000000001</v>
      </c>
      <c r="BN134" s="176">
        <f t="shared" si="962"/>
        <v>1261.5999999999999</v>
      </c>
      <c r="BO134" s="176">
        <f t="shared" si="962"/>
        <v>1178.7</v>
      </c>
      <c r="BP134" s="176">
        <f t="shared" si="962"/>
        <v>1175.2</v>
      </c>
      <c r="BQ134" s="176">
        <f t="shared" si="962"/>
        <v>1208.0999999999999</v>
      </c>
      <c r="BR134" s="176">
        <f t="shared" ref="BR134:CW134" si="963">+SUM(BO44:BR44)</f>
        <v>1332.7</v>
      </c>
      <c r="BS134" s="176">
        <f t="shared" si="963"/>
        <v>1416.8000000000002</v>
      </c>
      <c r="BT134" s="176">
        <f t="shared" si="963"/>
        <v>1422.6</v>
      </c>
      <c r="BU134" s="176">
        <f t="shared" si="963"/>
        <v>1497.3000000000002</v>
      </c>
      <c r="BV134" s="176">
        <f t="shared" si="963"/>
        <v>1533.4</v>
      </c>
      <c r="BW134" s="176">
        <f t="shared" si="963"/>
        <v>1678.8000000000002</v>
      </c>
      <c r="BX134" s="176">
        <f t="shared" si="963"/>
        <v>1741.9999999999998</v>
      </c>
      <c r="BY134" s="176">
        <f t="shared" si="963"/>
        <v>1822</v>
      </c>
      <c r="BZ134" s="176">
        <f t="shared" si="963"/>
        <v>1893.9</v>
      </c>
      <c r="CA134" s="176">
        <f t="shared" si="963"/>
        <v>2036.8</v>
      </c>
      <c r="CB134" s="176">
        <f t="shared" si="963"/>
        <v>2169.1999999999998</v>
      </c>
      <c r="CC134" s="176">
        <f t="shared" si="963"/>
        <v>2247.2000000000003</v>
      </c>
      <c r="CD134" s="176">
        <f t="shared" si="963"/>
        <v>2301.8000000000002</v>
      </c>
      <c r="CE134" s="176">
        <f t="shared" si="963"/>
        <v>2356.5</v>
      </c>
      <c r="CF134" s="176">
        <f t="shared" si="963"/>
        <v>2409.3000000000002</v>
      </c>
      <c r="CG134" s="176">
        <f t="shared" si="963"/>
        <v>2533.1</v>
      </c>
      <c r="CH134" s="176">
        <f t="shared" si="963"/>
        <v>2584.3000000000002</v>
      </c>
      <c r="CI134" s="176">
        <f t="shared" si="963"/>
        <v>2605</v>
      </c>
      <c r="CJ134" s="176">
        <f t="shared" si="963"/>
        <v>2638.1</v>
      </c>
      <c r="CK134" s="176">
        <f t="shared" si="963"/>
        <v>2695.7</v>
      </c>
      <c r="CL134" s="176">
        <f t="shared" si="963"/>
        <v>2701.6000000000004</v>
      </c>
      <c r="CM134" s="177">
        <f t="shared" si="963"/>
        <v>2802.5552989174803</v>
      </c>
      <c r="CN134" s="177">
        <f t="shared" si="963"/>
        <v>2985.2164677172932</v>
      </c>
      <c r="CO134" s="177">
        <f t="shared" si="963"/>
        <v>3055.8940249956063</v>
      </c>
      <c r="CP134" s="177">
        <f t="shared" si="963"/>
        <v>3218.7066075457988</v>
      </c>
      <c r="CQ134" s="177">
        <f t="shared" si="963"/>
        <v>3291.7871028720092</v>
      </c>
      <c r="CR134" s="177">
        <f t="shared" si="963"/>
        <v>3372.3309658170015</v>
      </c>
      <c r="CS134" s="177">
        <f t="shared" si="963"/>
        <v>3455.6672942745499</v>
      </c>
      <c r="CT134" s="177">
        <f t="shared" si="963"/>
        <v>3530.7730450523468</v>
      </c>
      <c r="CU134" s="177">
        <f t="shared" si="963"/>
        <v>3613.8295391517759</v>
      </c>
      <c r="CV134" s="177">
        <f t="shared" si="963"/>
        <v>3704.3697287507603</v>
      </c>
      <c r="CW134" s="177">
        <f t="shared" si="963"/>
        <v>3797.582834267776</v>
      </c>
      <c r="CX134" s="177">
        <f t="shared" ref="CX134:DA134" si="964">+SUM(CU44:CX44)</f>
        <v>3881.1443419447178</v>
      </c>
      <c r="CY134" s="177">
        <f t="shared" si="964"/>
        <v>3973.2428508726598</v>
      </c>
      <c r="CZ134" s="177">
        <f t="shared" si="964"/>
        <v>4073.373043289067</v>
      </c>
      <c r="DA134" s="177">
        <f t="shared" si="964"/>
        <v>4176.3333737708299</v>
      </c>
      <c r="DD134" s="178"/>
      <c r="DE134" s="176">
        <v>2695.7</v>
      </c>
    </row>
    <row r="135" spans="1:109" s="162" customFormat="1" hidden="1" outlineLevel="1" x14ac:dyDescent="0.2">
      <c r="A135" s="162" t="s">
        <v>512</v>
      </c>
      <c r="E135" s="162">
        <f t="shared" ref="E135:AE135" ca="1" si="965">+E134/E101</f>
        <v>6.978318965517242</v>
      </c>
      <c r="F135" s="162">
        <f t="shared" ca="1" si="965"/>
        <v>8.7518534482758614</v>
      </c>
      <c r="G135" s="162">
        <f t="shared" ca="1" si="965"/>
        <v>10.341994252873564</v>
      </c>
      <c r="H135" s="162">
        <f t="shared" ca="1" si="965"/>
        <v>11.709873563218393</v>
      </c>
      <c r="I135" s="162">
        <f t="shared" ca="1" si="965"/>
        <v>13.404517241379311</v>
      </c>
      <c r="J135" s="162">
        <f t="shared" ca="1" si="965"/>
        <v>17.186764367816092</v>
      </c>
      <c r="K135" s="162">
        <f t="shared" ca="1" si="965"/>
        <v>16.244339080459774</v>
      </c>
      <c r="L135" s="162">
        <f t="shared" ca="1" si="965"/>
        <v>17.535086206896555</v>
      </c>
      <c r="M135" s="162">
        <f t="shared" ca="1" si="965"/>
        <v>21.606695402298854</v>
      </c>
      <c r="N135" s="162">
        <f t="shared" ca="1" si="965"/>
        <v>20.55695402298851</v>
      </c>
      <c r="O135" s="162">
        <f t="shared" ca="1" si="965"/>
        <v>21.055603448275864</v>
      </c>
      <c r="P135" s="162">
        <f t="shared" ca="1" si="965"/>
        <v>23.094051724137934</v>
      </c>
      <c r="Q135" s="162">
        <f t="shared" ca="1" si="965"/>
        <v>23.584109195402299</v>
      </c>
      <c r="R135" s="162">
        <f t="shared" ca="1" si="965"/>
        <v>23.726034482758624</v>
      </c>
      <c r="S135" s="162">
        <f t="shared" ca="1" si="965"/>
        <v>27.136120689655176</v>
      </c>
      <c r="T135" s="162">
        <f t="shared" ca="1" si="965"/>
        <v>31.409942528735634</v>
      </c>
      <c r="U135" s="162">
        <f t="shared" ca="1" si="965"/>
        <v>37.181264367816091</v>
      </c>
      <c r="V135" s="162">
        <f t="shared" ca="1" si="965"/>
        <v>34.715948275862075</v>
      </c>
      <c r="W135" s="162">
        <f t="shared" ca="1" si="965"/>
        <v>43.025603448275866</v>
      </c>
      <c r="X135" s="162">
        <f t="shared" ca="1" si="965"/>
        <v>52.355172413793106</v>
      </c>
      <c r="Y135" s="162">
        <f t="shared" ca="1" si="965"/>
        <v>64.575804597701151</v>
      </c>
      <c r="Z135" s="162">
        <f t="shared" ref="Z135:AA135" ca="1" si="966">+Z134/Z101</f>
        <v>72.789827586206911</v>
      </c>
      <c r="AA135" s="162">
        <f t="shared" ref="AA135" ca="1" si="967">+AA134/AA101</f>
        <v>72.789827586206911</v>
      </c>
      <c r="AB135" s="93">
        <f t="shared" ca="1" si="965"/>
        <v>87.813046695276043</v>
      </c>
      <c r="AC135" s="93">
        <f t="shared" ca="1" si="965"/>
        <v>99.300784318234207</v>
      </c>
      <c r="AD135" s="93">
        <f t="shared" ca="1" si="965"/>
        <v>109.12594351344185</v>
      </c>
      <c r="AE135" s="93">
        <f t="shared" ca="1" si="965"/>
        <v>120.00957970605835</v>
      </c>
      <c r="AL135" s="162">
        <f t="shared" ref="AL135:BQ135" si="968">+AL134/AL101</f>
        <v>41.120114942528737</v>
      </c>
      <c r="AM135" s="162">
        <f t="shared" si="968"/>
        <v>41.570689655172423</v>
      </c>
      <c r="AN135" s="162">
        <f t="shared" si="968"/>
        <v>42.748850574712648</v>
      </c>
      <c r="AO135" s="162">
        <f t="shared" si="968"/>
        <v>42.031034482758628</v>
      </c>
      <c r="AP135" s="162">
        <f t="shared" si="968"/>
        <v>42.581609195402308</v>
      </c>
      <c r="AQ135" s="162">
        <f t="shared" si="968"/>
        <v>42.818965517241388</v>
      </c>
      <c r="AR135" s="162">
        <f t="shared" si="968"/>
        <v>43.316091954022994</v>
      </c>
      <c r="AS135" s="162">
        <f t="shared" si="968"/>
        <v>46.074712643678168</v>
      </c>
      <c r="AT135" s="162">
        <f t="shared" si="968"/>
        <v>46.988505747126439</v>
      </c>
      <c r="AU135" s="162">
        <f t="shared" si="968"/>
        <v>47.03218390804598</v>
      </c>
      <c r="AV135" s="162">
        <f t="shared" si="968"/>
        <v>46.27873563218391</v>
      </c>
      <c r="AW135" s="162">
        <f t="shared" si="968"/>
        <v>47.058045977011496</v>
      </c>
      <c r="AX135" s="162">
        <f t="shared" si="968"/>
        <v>49.00344827586207</v>
      </c>
      <c r="AY135" s="162">
        <f t="shared" si="968"/>
        <v>49.959195402298853</v>
      </c>
      <c r="AZ135" s="162">
        <f t="shared" si="968"/>
        <v>49.143678160919542</v>
      </c>
      <c r="BA135" s="162">
        <f t="shared" si="968"/>
        <v>50.521264367816102</v>
      </c>
      <c r="BB135" s="162">
        <f t="shared" si="968"/>
        <v>50.198275862068975</v>
      </c>
      <c r="BC135" s="162">
        <f t="shared" si="968"/>
        <v>50.563793103448283</v>
      </c>
      <c r="BD135" s="162">
        <f t="shared" si="968"/>
        <v>52.225287356321843</v>
      </c>
      <c r="BE135" s="162">
        <f t="shared" si="968"/>
        <v>55.706896551724142</v>
      </c>
      <c r="BF135" s="162">
        <f t="shared" si="968"/>
        <v>55.419540229885058</v>
      </c>
      <c r="BG135" s="162">
        <f t="shared" si="968"/>
        <v>57.172413793103459</v>
      </c>
      <c r="BH135" s="162">
        <f t="shared" si="968"/>
        <v>61.764367816091962</v>
      </c>
      <c r="BI135" s="162">
        <f t="shared" si="968"/>
        <v>62.821839080459768</v>
      </c>
      <c r="BJ135" s="162">
        <f t="shared" si="968"/>
        <v>67.235632183908052</v>
      </c>
      <c r="BK135" s="162">
        <f t="shared" si="968"/>
        <v>70.005747126436788</v>
      </c>
      <c r="BL135" s="162">
        <f t="shared" si="968"/>
        <v>74.913793103448285</v>
      </c>
      <c r="BM135" s="162">
        <f t="shared" si="968"/>
        <v>74.362068965517253</v>
      </c>
      <c r="BN135" s="162">
        <f t="shared" si="968"/>
        <v>72.505747126436788</v>
      </c>
      <c r="BO135" s="162">
        <f t="shared" si="968"/>
        <v>67.74137931034484</v>
      </c>
      <c r="BP135" s="162">
        <f t="shared" si="968"/>
        <v>67.540229885057485</v>
      </c>
      <c r="BQ135" s="162">
        <f t="shared" si="968"/>
        <v>69.431034482758619</v>
      </c>
      <c r="BR135" s="162">
        <f t="shared" ref="BR135:CW135" si="969">+BR134/BR101</f>
        <v>76.591954022988517</v>
      </c>
      <c r="BS135" s="162">
        <f t="shared" si="969"/>
        <v>81.42528735632186</v>
      </c>
      <c r="BT135" s="162">
        <f t="shared" si="969"/>
        <v>81.758620689655174</v>
      </c>
      <c r="BU135" s="162">
        <f t="shared" si="969"/>
        <v>86.051724137931046</v>
      </c>
      <c r="BV135" s="162">
        <f t="shared" si="969"/>
        <v>88.126436781609215</v>
      </c>
      <c r="BW135" s="162">
        <f t="shared" si="969"/>
        <v>96.48275862068968</v>
      </c>
      <c r="BX135" s="162">
        <f t="shared" si="969"/>
        <v>100.11494252873563</v>
      </c>
      <c r="BY135" s="162">
        <f t="shared" si="969"/>
        <v>104.71264367816093</v>
      </c>
      <c r="BZ135" s="162">
        <f t="shared" si="969"/>
        <v>108.8448275862069</v>
      </c>
      <c r="CA135" s="162">
        <f t="shared" si="969"/>
        <v>117.05747126436782</v>
      </c>
      <c r="CB135" s="162">
        <f t="shared" si="969"/>
        <v>124.66666666666667</v>
      </c>
      <c r="CC135" s="162">
        <f t="shared" si="969"/>
        <v>129.14942528735634</v>
      </c>
      <c r="CD135" s="162">
        <f t="shared" si="969"/>
        <v>132.2873563218391</v>
      </c>
      <c r="CE135" s="162">
        <f t="shared" si="969"/>
        <v>135.43103448275863</v>
      </c>
      <c r="CF135" s="162">
        <f t="shared" si="969"/>
        <v>138.46551724137933</v>
      </c>
      <c r="CG135" s="162">
        <f t="shared" si="969"/>
        <v>145.58045977011494</v>
      </c>
      <c r="CH135" s="162">
        <f t="shared" si="969"/>
        <v>148.52298850574715</v>
      </c>
      <c r="CI135" s="162">
        <f t="shared" si="969"/>
        <v>149.71264367816093</v>
      </c>
      <c r="CJ135" s="162">
        <f t="shared" si="969"/>
        <v>151.61494252873564</v>
      </c>
      <c r="CK135" s="162">
        <f t="shared" si="969"/>
        <v>154.92528735632183</v>
      </c>
      <c r="CL135" s="162">
        <f t="shared" ref="CL135" si="970">+CL134/CL101</f>
        <v>155.26436781609198</v>
      </c>
      <c r="CM135" s="49">
        <f t="shared" si="969"/>
        <v>161.06639648951037</v>
      </c>
      <c r="CN135" s="49">
        <f t="shared" si="969"/>
        <v>171.56416481133871</v>
      </c>
      <c r="CO135" s="49">
        <f t="shared" si="969"/>
        <v>175.62609339055209</v>
      </c>
      <c r="CP135" s="49">
        <f t="shared" si="969"/>
        <v>184.98313836470109</v>
      </c>
      <c r="CQ135" s="49">
        <f t="shared" si="969"/>
        <v>189.18316683172469</v>
      </c>
      <c r="CR135" s="49">
        <f t="shared" si="969"/>
        <v>193.81212447224149</v>
      </c>
      <c r="CS135" s="49">
        <f t="shared" si="969"/>
        <v>198.60156863646841</v>
      </c>
      <c r="CT135" s="49">
        <f t="shared" si="969"/>
        <v>202.91799109496247</v>
      </c>
      <c r="CU135" s="49">
        <f t="shared" si="969"/>
        <v>207.69135282481471</v>
      </c>
      <c r="CV135" s="49">
        <f t="shared" si="969"/>
        <v>212.89481199717014</v>
      </c>
      <c r="CW135" s="49">
        <f t="shared" si="969"/>
        <v>218.25188702688371</v>
      </c>
      <c r="CX135" s="49">
        <f t="shared" ref="CX135:DA135" si="971">+CX134/CX101</f>
        <v>223.0542725255585</v>
      </c>
      <c r="CY135" s="49">
        <f t="shared" si="971"/>
        <v>228.34729028003792</v>
      </c>
      <c r="CZ135" s="49">
        <f t="shared" si="971"/>
        <v>234.10189903960156</v>
      </c>
      <c r="DA135" s="49">
        <f t="shared" si="971"/>
        <v>240.01915941211669</v>
      </c>
      <c r="DD135" s="163"/>
      <c r="DE135" s="162">
        <v>77.462643678160916</v>
      </c>
    </row>
    <row r="136" spans="1:109" s="162" customFormat="1" hidden="1" outlineLevel="1" x14ac:dyDescent="0.2">
      <c r="AB136" s="93"/>
      <c r="AC136" s="93"/>
      <c r="AD136" s="93"/>
      <c r="AE136" s="93"/>
      <c r="CM136" s="93"/>
      <c r="CN136" s="93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  <c r="CY136" s="93"/>
      <c r="CZ136" s="93"/>
      <c r="DA136" s="93"/>
      <c r="DD136" s="163"/>
    </row>
    <row r="137" spans="1:109" s="162" customFormat="1" hidden="1" outlineLevel="1" x14ac:dyDescent="0.2">
      <c r="A137" s="162" t="s">
        <v>507</v>
      </c>
      <c r="AB137" s="93"/>
      <c r="AC137" s="93"/>
      <c r="AD137" s="93"/>
      <c r="AE137" s="93"/>
      <c r="CM137" s="93"/>
      <c r="CN137" s="93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D137" s="163"/>
    </row>
    <row r="138" spans="1:109" s="162" customFormat="1" hidden="1" outlineLevel="1" x14ac:dyDescent="0.2">
      <c r="A138" s="162" t="s">
        <v>508</v>
      </c>
      <c r="E138" s="162">
        <f t="shared" ref="E138:AE140" ca="1" si="972">+E113/E$135</f>
        <v>1.8020099198873356</v>
      </c>
      <c r="F138" s="162">
        <f t="shared" ca="1" si="972"/>
        <v>2.7799825652694259</v>
      </c>
      <c r="G138" s="162">
        <f t="shared" ca="1" si="972"/>
        <v>4.0495091155522038</v>
      </c>
      <c r="H138" s="162">
        <f t="shared" ca="1" si="972"/>
        <v>5.7758949859584057</v>
      </c>
      <c r="I138" s="162">
        <f t="shared" ca="1" si="972"/>
        <v>3.4712178858902427</v>
      </c>
      <c r="J138" s="162">
        <f t="shared" ca="1" si="972"/>
        <v>1.30623772570245</v>
      </c>
      <c r="K138" s="162">
        <f t="shared" ca="1" si="972"/>
        <v>2.6141414427307121</v>
      </c>
      <c r="L138" s="162">
        <f t="shared" ca="1" si="972"/>
        <v>3.0304955090041146</v>
      </c>
      <c r="M138" s="162">
        <f t="shared" ca="1" si="972"/>
        <v>1.3620777935745223</v>
      </c>
      <c r="N138" s="162">
        <f t="shared" ca="1" si="972"/>
        <v>2.1559614303966268</v>
      </c>
      <c r="O138" s="162">
        <f t="shared" ca="1" si="972"/>
        <v>2.5456406477102909</v>
      </c>
      <c r="P138" s="162">
        <f t="shared" ca="1" si="972"/>
        <v>5.7456353516915453</v>
      </c>
      <c r="Q138" s="162">
        <f t="shared" ca="1" si="972"/>
        <v>5.2386969113968469</v>
      </c>
      <c r="R138" s="162">
        <f t="shared" ca="1" si="972"/>
        <v>5.3017709340096353</v>
      </c>
      <c r="S138" s="162">
        <f t="shared" ca="1" si="972"/>
        <v>6.5337268369236829</v>
      </c>
      <c r="T138" s="162">
        <f t="shared" ca="1" si="972"/>
        <v>4.9618046851699713</v>
      </c>
      <c r="U138" s="162">
        <f t="shared" ca="1" si="972"/>
        <v>3.6308609267428595</v>
      </c>
      <c r="V138" s="162">
        <f t="shared" ca="1" si="972"/>
        <v>3.7262412932543669</v>
      </c>
      <c r="W138" s="162">
        <f t="shared" ca="1" si="972"/>
        <v>5.6496592846681102</v>
      </c>
      <c r="X138" s="162">
        <f t="shared" ca="1" si="972"/>
        <v>7.3990779160903637</v>
      </c>
      <c r="Y138" s="162">
        <f t="shared" ca="1" si="972"/>
        <v>10.728941037842899</v>
      </c>
      <c r="Z138" s="162">
        <f ca="1">+Z113/Z$135</f>
        <v>10.542681930262136</v>
      </c>
      <c r="AA138" s="162">
        <f ca="1">+AA113/AA$135</f>
        <v>10.542681930262136</v>
      </c>
      <c r="AB138" s="49">
        <f t="shared" ref="AB138:AE138" ca="1" si="973">+AB113/AB$135</f>
        <v>9.0220078885227828</v>
      </c>
      <c r="AC138" s="49">
        <f t="shared" ca="1" si="973"/>
        <v>7.9782854228123385</v>
      </c>
      <c r="AD138" s="49">
        <f t="shared" ca="1" si="973"/>
        <v>7.2599601386485393</v>
      </c>
      <c r="AE138" s="49">
        <f t="shared" ca="1" si="973"/>
        <v>6.6015563252573033</v>
      </c>
      <c r="AL138" s="162">
        <f t="shared" ref="AL138:BQ138" si="974">+AL113/AL135</f>
        <v>0.98881046555507401</v>
      </c>
      <c r="AM138" s="162">
        <f t="shared" si="974"/>
        <v>1.001667288789349</v>
      </c>
      <c r="AN138" s="162">
        <f t="shared" si="974"/>
        <v>1.0037696785555839</v>
      </c>
      <c r="AO138" s="162">
        <f t="shared" si="974"/>
        <v>1.2752481745836408</v>
      </c>
      <c r="AP138" s="162">
        <f t="shared" si="974"/>
        <v>1.5255412190249955</v>
      </c>
      <c r="AQ138" s="162">
        <f t="shared" si="974"/>
        <v>2.5537749144352722</v>
      </c>
      <c r="AR138" s="162">
        <f t="shared" si="974"/>
        <v>2.5126920525407983</v>
      </c>
      <c r="AS138" s="162">
        <f t="shared" si="974"/>
        <v>2.8798877385555688</v>
      </c>
      <c r="AT138" s="162">
        <f t="shared" si="974"/>
        <v>3.1486423679060662</v>
      </c>
      <c r="AU138" s="162">
        <f t="shared" si="974"/>
        <v>2.6216090718021405</v>
      </c>
      <c r="AV138" s="162">
        <f t="shared" si="974"/>
        <v>2.546525923626203</v>
      </c>
      <c r="AW138" s="162">
        <f t="shared" si="974"/>
        <v>2.6254808807904153</v>
      </c>
      <c r="AX138" s="162">
        <f t="shared" si="974"/>
        <v>2.5773696432341144</v>
      </c>
      <c r="AY138" s="162">
        <f t="shared" si="974"/>
        <v>2.9518089475318936</v>
      </c>
      <c r="AZ138" s="162">
        <f t="shared" si="974"/>
        <v>2.4206572330721552</v>
      </c>
      <c r="BA138" s="162">
        <f t="shared" si="974"/>
        <v>2.4898426746447946</v>
      </c>
      <c r="BB138" s="162">
        <f t="shared" si="974"/>
        <v>2.8841628026790307</v>
      </c>
      <c r="BC138" s="162">
        <f t="shared" si="974"/>
        <v>3.0043236607903974</v>
      </c>
      <c r="BD138" s="162">
        <f t="shared" si="974"/>
        <v>2.8045800686680162</v>
      </c>
      <c r="BE138" s="162">
        <f t="shared" si="974"/>
        <v>3.1827298050139277</v>
      </c>
      <c r="BF138" s="162">
        <f t="shared" si="974"/>
        <v>2.8526039614227936</v>
      </c>
      <c r="BG138" s="162">
        <f t="shared" si="974"/>
        <v>2.7186188178528345</v>
      </c>
      <c r="BH138" s="162">
        <f t="shared" si="974"/>
        <v>2.3408318600539686</v>
      </c>
      <c r="BI138" s="162">
        <f t="shared" si="974"/>
        <v>2.4808251761046565</v>
      </c>
      <c r="BJ138" s="162">
        <f t="shared" si="974"/>
        <v>2.0459389691426617</v>
      </c>
      <c r="BK138" s="162">
        <f t="shared" si="974"/>
        <v>2.0472604876446923</v>
      </c>
      <c r="BL138" s="162">
        <f t="shared" si="974"/>
        <v>1.8565339470655926</v>
      </c>
      <c r="BM138" s="162">
        <f t="shared" si="974"/>
        <v>1.8154416879202409</v>
      </c>
      <c r="BN138" s="162">
        <f t="shared" si="974"/>
        <v>1.1701141407736209</v>
      </c>
      <c r="BO138" s="162">
        <f t="shared" si="974"/>
        <v>1.3780351234410788</v>
      </c>
      <c r="BP138" s="162">
        <f t="shared" si="974"/>
        <v>1.4150085091899247</v>
      </c>
      <c r="BQ138" s="162">
        <f t="shared" si="974"/>
        <v>1.8631437794884531</v>
      </c>
      <c r="BR138" s="162">
        <f t="shared" ref="BR138:DA138" si="975">+BR113/BR135</f>
        <v>2.3379740376678919</v>
      </c>
      <c r="BS138" s="162">
        <f t="shared" si="975"/>
        <v>2.4835036702428002</v>
      </c>
      <c r="BT138" s="162">
        <f t="shared" si="975"/>
        <v>2.9880641079713204</v>
      </c>
      <c r="BU138" s="162">
        <f t="shared" si="975"/>
        <v>2.8248126627930272</v>
      </c>
      <c r="BV138" s="162">
        <f t="shared" si="975"/>
        <v>2.9834407199686965</v>
      </c>
      <c r="BW138" s="162">
        <f t="shared" si="975"/>
        <v>3.0752644746247308</v>
      </c>
      <c r="BX138" s="162">
        <f t="shared" si="975"/>
        <v>4.007893226176809</v>
      </c>
      <c r="BY138" s="162">
        <f t="shared" si="975"/>
        <v>3.6994577387486274</v>
      </c>
      <c r="BZ138" s="162">
        <f t="shared" si="975"/>
        <v>3.8432694440044348</v>
      </c>
      <c r="CA138" s="162">
        <f t="shared" si="975"/>
        <v>3.683404359780047</v>
      </c>
      <c r="CB138" s="162">
        <f t="shared" si="975"/>
        <v>4.8060962566844916</v>
      </c>
      <c r="CC138" s="162">
        <f t="shared" si="975"/>
        <v>5.364561231755073</v>
      </c>
      <c r="CD138" s="162">
        <f t="shared" si="975"/>
        <v>5.8276166478408191</v>
      </c>
      <c r="CE138" s="162">
        <f t="shared" si="975"/>
        <v>6.9038090388287712</v>
      </c>
      <c r="CF138" s="162">
        <f t="shared" si="975"/>
        <v>6.4918690075955663</v>
      </c>
      <c r="CG138" s="162">
        <f t="shared" si="975"/>
        <v>5.2713118313528877</v>
      </c>
      <c r="CH138" s="162">
        <f t="shared" si="975"/>
        <v>4.7985837557559101</v>
      </c>
      <c r="CI138" s="162">
        <f t="shared" si="975"/>
        <v>5.4631324376199615</v>
      </c>
      <c r="CJ138" s="162">
        <f t="shared" si="975"/>
        <v>5.4180015920548881</v>
      </c>
      <c r="CK138" s="162">
        <f t="shared" si="975"/>
        <v>4.8684757205920546</v>
      </c>
      <c r="CL138" s="162">
        <f t="shared" ref="CL138" si="976">+CL113/CL135</f>
        <v>5.1025873556411012</v>
      </c>
      <c r="CM138" s="49">
        <f t="shared" si="975"/>
        <v>4.918778946244049</v>
      </c>
      <c r="CN138" s="49">
        <f t="shared" si="975"/>
        <v>4.6178058271737648</v>
      </c>
      <c r="CO138" s="49">
        <f t="shared" si="975"/>
        <v>4.5110039442613914</v>
      </c>
      <c r="CP138" s="49">
        <f t="shared" si="975"/>
        <v>4.2828227859236003</v>
      </c>
      <c r="CQ138" s="49">
        <f t="shared" si="975"/>
        <v>4.1877404489411756</v>
      </c>
      <c r="CR138" s="49">
        <f t="shared" si="975"/>
        <v>4.0877215610598654</v>
      </c>
      <c r="CS138" s="49">
        <f t="shared" si="975"/>
        <v>3.9891427114061693</v>
      </c>
      <c r="CT138" s="49">
        <f t="shared" si="975"/>
        <v>3.9042866318799661</v>
      </c>
      <c r="CU138" s="49">
        <f t="shared" si="975"/>
        <v>3.8145545744904163</v>
      </c>
      <c r="CV138" s="49">
        <f t="shared" si="975"/>
        <v>3.7213213068364053</v>
      </c>
      <c r="CW138" s="49">
        <f t="shared" si="975"/>
        <v>3.6299800693242696</v>
      </c>
      <c r="CX138" s="49">
        <f t="shared" si="975"/>
        <v>3.5518261588520823</v>
      </c>
      <c r="CY138" s="49">
        <f t="shared" si="975"/>
        <v>3.4694959551672784</v>
      </c>
      <c r="CZ138" s="49">
        <f t="shared" si="975"/>
        <v>3.3842100523327239</v>
      </c>
      <c r="DA138" s="49">
        <f t="shared" si="975"/>
        <v>3.3007781626286516</v>
      </c>
      <c r="DD138" s="105"/>
      <c r="DE138" s="162">
        <v>9.7369514411841092</v>
      </c>
    </row>
    <row r="139" spans="1:109" s="162" customFormat="1" hidden="1" outlineLevel="1" x14ac:dyDescent="0.2">
      <c r="A139" s="162" t="s">
        <v>509</v>
      </c>
      <c r="E139" s="162">
        <f t="shared" ca="1" si="972"/>
        <v>2.3214760001729493</v>
      </c>
      <c r="F139" s="162">
        <f t="shared" ca="1" si="972"/>
        <v>2.7976930994912408</v>
      </c>
      <c r="G139" s="162">
        <f t="shared" ca="1" si="972"/>
        <v>4.3995383179948728</v>
      </c>
      <c r="H139" s="162">
        <f t="shared" ca="1" si="972"/>
        <v>5.8104811834791148</v>
      </c>
      <c r="I139" s="162">
        <f t="shared" ca="1" si="972"/>
        <v>5.0654565753696001</v>
      </c>
      <c r="J139" s="162">
        <f t="shared" ca="1" si="972"/>
        <v>2.9150338555765147</v>
      </c>
      <c r="K139" s="162">
        <f t="shared" ca="1" si="972"/>
        <v>2.8314479137736743</v>
      </c>
      <c r="L139" s="162">
        <f t="shared" ca="1" si="972"/>
        <v>3.4787396697262132</v>
      </c>
      <c r="M139" s="162">
        <f t="shared" ca="1" si="972"/>
        <v>2.7306350601731846</v>
      </c>
      <c r="N139" s="162">
        <f t="shared" ca="1" si="972"/>
        <v>2.5879320419020884</v>
      </c>
      <c r="O139" s="162">
        <f t="shared" ca="1" si="972"/>
        <v>2.6026326025097748</v>
      </c>
      <c r="P139" s="162">
        <f t="shared" ca="1" si="972"/>
        <v>5.8889623018317145</v>
      </c>
      <c r="Q139" s="162">
        <f t="shared" ca="1" si="972"/>
        <v>6.9962362637027908</v>
      </c>
      <c r="R139" s="162">
        <f t="shared" ca="1" si="972"/>
        <v>6.4734795910210661</v>
      </c>
      <c r="S139" s="162">
        <f t="shared" ca="1" si="972"/>
        <v>6.8617029725617007</v>
      </c>
      <c r="T139" s="162">
        <f t="shared" ca="1" si="972"/>
        <v>5.9598962917152294</v>
      </c>
      <c r="U139" s="162">
        <f t="shared" ca="1" si="972"/>
        <v>4.1956615153473047</v>
      </c>
      <c r="V139" s="162">
        <f t="shared" ca="1" si="972"/>
        <v>4.4040277622577308</v>
      </c>
      <c r="W139" s="162">
        <f t="shared" ca="1" si="972"/>
        <v>6.5500533964339587</v>
      </c>
      <c r="X139" s="162">
        <f t="shared" ca="1" si="972"/>
        <v>8.2933544095369811</v>
      </c>
      <c r="Y139" s="162">
        <f t="shared" ca="1" si="972"/>
        <v>10.991732962863745</v>
      </c>
      <c r="Z139" s="162">
        <f t="shared" ref="Z139:AA140" ca="1" si="977">+Z114/Z$135</f>
        <v>14.528678457817852</v>
      </c>
      <c r="AA139" s="162">
        <f t="shared" ref="AA139" ca="1" si="978">+AA114/AA$135</f>
        <v>14.528678457817852</v>
      </c>
      <c r="AB139" s="93">
        <f t="shared" ca="1" si="972"/>
        <v>9.5105457722938489</v>
      </c>
      <c r="AC139" s="93">
        <f t="shared" ca="1" si="972"/>
        <v>5.7309992324387133</v>
      </c>
      <c r="AD139" s="93">
        <f t="shared" ca="1" si="972"/>
        <v>5.7889077802186115</v>
      </c>
      <c r="AE139" s="93">
        <f t="shared" ca="1" si="972"/>
        <v>5.9866850325005156</v>
      </c>
      <c r="AL139" s="162">
        <f t="shared" ref="AL139:BQ139" si="979">+AL114/AL135</f>
        <v>1.1361835944597407</v>
      </c>
      <c r="AM139" s="162">
        <f t="shared" si="979"/>
        <v>1.1161710422628672</v>
      </c>
      <c r="AN139" s="162">
        <f t="shared" si="979"/>
        <v>1.0339459285051691</v>
      </c>
      <c r="AO139" s="162">
        <f t="shared" si="979"/>
        <v>1.3037985068504387</v>
      </c>
      <c r="AP139" s="162">
        <f t="shared" si="979"/>
        <v>1.709658262700426</v>
      </c>
      <c r="AQ139" s="162">
        <f t="shared" si="979"/>
        <v>2.6787195490235551</v>
      </c>
      <c r="AR139" s="162">
        <f t="shared" si="979"/>
        <v>2.7324718057582591</v>
      </c>
      <c r="AS139" s="162">
        <f t="shared" si="979"/>
        <v>2.951727578894848</v>
      </c>
      <c r="AT139" s="162">
        <f t="shared" si="979"/>
        <v>3.511497064579256</v>
      </c>
      <c r="AU139" s="162">
        <f t="shared" si="979"/>
        <v>3.1637909966274012</v>
      </c>
      <c r="AV139" s="162">
        <f t="shared" si="979"/>
        <v>3.003539273517541</v>
      </c>
      <c r="AW139" s="162">
        <f t="shared" si="979"/>
        <v>2.6552313723574454</v>
      </c>
      <c r="AX139" s="162">
        <f t="shared" si="979"/>
        <v>2.7630708606009429</v>
      </c>
      <c r="AY139" s="162">
        <f t="shared" si="979"/>
        <v>2.9802321434734087</v>
      </c>
      <c r="AZ139" s="162">
        <f t="shared" si="979"/>
        <v>3.125325692901415</v>
      </c>
      <c r="BA139" s="162">
        <f t="shared" si="979"/>
        <v>2.5137929857690509</v>
      </c>
      <c r="BB139" s="162">
        <f t="shared" si="979"/>
        <v>2.9204190279924429</v>
      </c>
      <c r="BC139" s="162">
        <f t="shared" si="979"/>
        <v>3.1761857673815932</v>
      </c>
      <c r="BD139" s="162">
        <f t="shared" si="979"/>
        <v>3.2149176864160576</v>
      </c>
      <c r="BE139" s="162">
        <f t="shared" si="979"/>
        <v>3.3424945837202098</v>
      </c>
      <c r="BF139" s="162">
        <f t="shared" si="979"/>
        <v>3.3778699574821109</v>
      </c>
      <c r="BG139" s="162">
        <f t="shared" si="979"/>
        <v>3.1761821471652589</v>
      </c>
      <c r="BH139" s="162">
        <f t="shared" si="979"/>
        <v>2.8657299711547406</v>
      </c>
      <c r="BI139" s="162">
        <f t="shared" si="979"/>
        <v>2.6073735248376182</v>
      </c>
      <c r="BJ139" s="162">
        <f t="shared" si="979"/>
        <v>2.3201983075476535</v>
      </c>
      <c r="BK139" s="162">
        <f t="shared" si="979"/>
        <v>2.1138264510302927</v>
      </c>
      <c r="BL139" s="162">
        <f t="shared" si="979"/>
        <v>1.97560414269275</v>
      </c>
      <c r="BM139" s="162">
        <f t="shared" si="979"/>
        <v>1.9902619986088566</v>
      </c>
      <c r="BN139" s="162">
        <f t="shared" si="979"/>
        <v>2.1086604311984778</v>
      </c>
      <c r="BO139" s="162">
        <f t="shared" si="979"/>
        <v>1.6340086536014249</v>
      </c>
      <c r="BP139" s="162">
        <f t="shared" si="979"/>
        <v>1.7038733832539139</v>
      </c>
      <c r="BQ139" s="162">
        <f t="shared" si="979"/>
        <v>1.8838837844549294</v>
      </c>
      <c r="BR139" s="162">
        <f t="shared" ref="BR139:CJ139" si="980">+BR114/BR135</f>
        <v>2.3745314024161472</v>
      </c>
      <c r="BS139" s="162">
        <f t="shared" si="980"/>
        <v>2.7264257481648779</v>
      </c>
      <c r="BT139" s="162">
        <f t="shared" si="980"/>
        <v>3.3635596794601432</v>
      </c>
      <c r="BU139" s="162">
        <f t="shared" si="980"/>
        <v>3.2750070126227202</v>
      </c>
      <c r="BV139" s="162">
        <f t="shared" si="980"/>
        <v>3.0071566453632443</v>
      </c>
      <c r="BW139" s="162">
        <f t="shared" si="980"/>
        <v>3.154035025017869</v>
      </c>
      <c r="BX139" s="162">
        <f t="shared" si="980"/>
        <v>4.1908828932261768</v>
      </c>
      <c r="BY139" s="162">
        <f t="shared" si="980"/>
        <v>4.1465861690450048</v>
      </c>
      <c r="BZ139" s="162">
        <f t="shared" si="980"/>
        <v>3.9241184856645015</v>
      </c>
      <c r="CA139" s="162">
        <f t="shared" si="980"/>
        <v>4.0268254124116263</v>
      </c>
      <c r="CB139" s="162">
        <f t="shared" si="980"/>
        <v>5.1657754010695189</v>
      </c>
      <c r="CC139" s="162">
        <f t="shared" si="980"/>
        <v>5.495959416162334</v>
      </c>
      <c r="CD139" s="162">
        <f t="shared" si="980"/>
        <v>6.3667460248501166</v>
      </c>
      <c r="CE139" s="162">
        <f t="shared" si="980"/>
        <v>7.6570337364735828</v>
      </c>
      <c r="CF139" s="162">
        <f t="shared" si="980"/>
        <v>7.6375694185032987</v>
      </c>
      <c r="CG139" s="162">
        <f t="shared" si="980"/>
        <v>6.5942915794875843</v>
      </c>
      <c r="CH139" s="162">
        <f t="shared" si="980"/>
        <v>5.3833417172928826</v>
      </c>
      <c r="CI139" s="162">
        <f t="shared" si="980"/>
        <v>6.0602763915547015</v>
      </c>
      <c r="CJ139" s="162">
        <f t="shared" si="980"/>
        <v>6.0541526098328342</v>
      </c>
      <c r="CK139" s="162">
        <f t="shared" ref="CK139:DA139" si="981">+CJ139</f>
        <v>6.0541526098328342</v>
      </c>
      <c r="CL139" s="162">
        <f t="shared" ref="CL139" si="982">+CL114/CL135</f>
        <v>5.3788902872371915</v>
      </c>
      <c r="CM139" s="93">
        <f t="shared" si="981"/>
        <v>5.3788902872371915</v>
      </c>
      <c r="CN139" s="93">
        <f t="shared" si="981"/>
        <v>5.3788902872371915</v>
      </c>
      <c r="CO139" s="93">
        <f t="shared" si="981"/>
        <v>5.3788902872371915</v>
      </c>
      <c r="CP139" s="93">
        <f t="shared" si="981"/>
        <v>5.3788902872371915</v>
      </c>
      <c r="CQ139" s="93">
        <f t="shared" si="981"/>
        <v>5.3788902872371915</v>
      </c>
      <c r="CR139" s="93">
        <f t="shared" si="981"/>
        <v>5.3788902872371915</v>
      </c>
      <c r="CS139" s="93">
        <f t="shared" si="981"/>
        <v>5.3788902872371915</v>
      </c>
      <c r="CT139" s="93">
        <f t="shared" si="981"/>
        <v>5.3788902872371915</v>
      </c>
      <c r="CU139" s="93">
        <f t="shared" si="981"/>
        <v>5.3788902872371915</v>
      </c>
      <c r="CV139" s="93">
        <f t="shared" si="981"/>
        <v>5.3788902872371915</v>
      </c>
      <c r="CW139" s="93">
        <f t="shared" si="981"/>
        <v>5.3788902872371915</v>
      </c>
      <c r="CX139" s="93">
        <f t="shared" si="981"/>
        <v>5.3788902872371915</v>
      </c>
      <c r="CY139" s="93">
        <f t="shared" si="981"/>
        <v>5.3788902872371915</v>
      </c>
      <c r="CZ139" s="93">
        <f t="shared" si="981"/>
        <v>5.3788902872371915</v>
      </c>
      <c r="DA139" s="93">
        <f t="shared" si="981"/>
        <v>5.3788902872371915</v>
      </c>
      <c r="DD139" s="163"/>
      <c r="DE139" s="162">
        <v>11.849582668694588</v>
      </c>
    </row>
    <row r="140" spans="1:109" s="162" customFormat="1" hidden="1" outlineLevel="1" x14ac:dyDescent="0.2">
      <c r="A140" s="162" t="s">
        <v>510</v>
      </c>
      <c r="E140" s="162">
        <f t="shared" ca="1" si="972"/>
        <v>0.82398067907373196</v>
      </c>
      <c r="F140" s="162">
        <f t="shared" ca="1" si="972"/>
        <v>0.87981363553532999</v>
      </c>
      <c r="G140" s="162">
        <f t="shared" ca="1" si="972"/>
        <v>1.9459496406515784</v>
      </c>
      <c r="H140" s="162">
        <f t="shared" ca="1" si="972"/>
        <v>3.074328668507468</v>
      </c>
      <c r="I140" s="162">
        <f t="shared" ca="1" si="972"/>
        <v>3.0978362929635144</v>
      </c>
      <c r="J140" s="162">
        <f t="shared" ca="1" si="972"/>
        <v>1.0182253986544711</v>
      </c>
      <c r="K140" s="162">
        <f t="shared" ca="1" si="972"/>
        <v>1.0834543598742619</v>
      </c>
      <c r="L140" s="162">
        <f t="shared" ca="1" si="972"/>
        <v>2.0815409499181441</v>
      </c>
      <c r="M140" s="162">
        <f t="shared" ca="1" si="972"/>
        <v>1.30977918987968</v>
      </c>
      <c r="N140" s="162">
        <f t="shared" ca="1" si="972"/>
        <v>1.4058503009580892</v>
      </c>
      <c r="O140" s="162">
        <f t="shared" ca="1" si="972"/>
        <v>1.6845871972814179</v>
      </c>
      <c r="P140" s="162">
        <f t="shared" ca="1" si="972"/>
        <v>1.9572139414911287</v>
      </c>
      <c r="Q140" s="162">
        <f t="shared" ca="1" si="972"/>
        <v>4.6005553612833499</v>
      </c>
      <c r="R140" s="162">
        <f t="shared" ca="1" si="972"/>
        <v>4.2063497830842005</v>
      </c>
      <c r="S140" s="162">
        <f t="shared" ca="1" si="972"/>
        <v>4.4221501434339645</v>
      </c>
      <c r="T140" s="162">
        <f t="shared" ca="1" si="972"/>
        <v>4.1770213326551184</v>
      </c>
      <c r="U140" s="162">
        <f t="shared" ca="1" si="972"/>
        <v>2.8812898598663894</v>
      </c>
      <c r="V140" s="162">
        <f t="shared" ca="1" si="972"/>
        <v>2.2260662271389724</v>
      </c>
      <c r="W140" s="162">
        <f t="shared" ca="1" si="972"/>
        <v>2.8959500858550538</v>
      </c>
      <c r="X140" s="162">
        <f t="shared" ca="1" si="972"/>
        <v>3.6659224132253176</v>
      </c>
      <c r="Y140" s="162">
        <f t="shared" ca="1" si="972"/>
        <v>5.2843321446148561</v>
      </c>
      <c r="Z140" s="162">
        <f t="shared" ca="1" si="977"/>
        <v>8.723746449982352</v>
      </c>
      <c r="AA140" s="162">
        <f t="shared" ref="AA140" ca="1" si="983">+AA115/AA$135</f>
        <v>8.723746449982352</v>
      </c>
      <c r="AB140" s="93">
        <f t="shared" ca="1" si="972"/>
        <v>4.5290442335624217</v>
      </c>
      <c r="AC140" s="93">
        <f t="shared" ca="1" si="972"/>
        <v>4.1725174515635901</v>
      </c>
      <c r="AD140" s="93">
        <f t="shared" ca="1" si="972"/>
        <v>4.2547915738595075</v>
      </c>
      <c r="AE140" s="93">
        <f t="shared" ca="1" si="972"/>
        <v>4.3155434472974017</v>
      </c>
      <c r="AL140" s="162">
        <f t="shared" ref="AL140:BQ140" si="984">+AL115/AL135</f>
        <v>0.86259486505751293</v>
      </c>
      <c r="AM140" s="162">
        <f t="shared" si="984"/>
        <v>0.93767989714238287</v>
      </c>
      <c r="AN140" s="162">
        <f t="shared" si="984"/>
        <v>0.89616444617721791</v>
      </c>
      <c r="AO140" s="162">
        <f t="shared" si="984"/>
        <v>0.98974485191566153</v>
      </c>
      <c r="AP140" s="162">
        <f t="shared" si="984"/>
        <v>1.0614911191491658</v>
      </c>
      <c r="AQ140" s="162">
        <f t="shared" si="984"/>
        <v>1.4713106502919264</v>
      </c>
      <c r="AR140" s="162">
        <f t="shared" si="984"/>
        <v>2.308610853124585</v>
      </c>
      <c r="AS140" s="162">
        <f t="shared" si="984"/>
        <v>2.1703879256579763</v>
      </c>
      <c r="AT140" s="162">
        <f t="shared" si="984"/>
        <v>2.4961423679060664</v>
      </c>
      <c r="AU140" s="162">
        <f t="shared" si="984"/>
        <v>2.3313822767486192</v>
      </c>
      <c r="AV140" s="162">
        <f t="shared" si="984"/>
        <v>2.3444892890406703</v>
      </c>
      <c r="AW140" s="162">
        <f t="shared" si="984"/>
        <v>2.3651640795789008</v>
      </c>
      <c r="AX140" s="162">
        <f t="shared" si="984"/>
        <v>2.0365913728801632</v>
      </c>
      <c r="AY140" s="162">
        <f t="shared" si="984"/>
        <v>2.3479161154505399</v>
      </c>
      <c r="AZ140" s="162">
        <f t="shared" si="984"/>
        <v>2.4039714653256929</v>
      </c>
      <c r="BA140" s="162">
        <f t="shared" si="984"/>
        <v>2.1769051383848836</v>
      </c>
      <c r="BB140" s="162">
        <f t="shared" si="984"/>
        <v>2.3905203503348784</v>
      </c>
      <c r="BC140" s="162">
        <f t="shared" si="984"/>
        <v>2.5931598867937393</v>
      </c>
      <c r="BD140" s="162">
        <f t="shared" si="984"/>
        <v>2.5238731402412182</v>
      </c>
      <c r="BE140" s="162">
        <f t="shared" si="984"/>
        <v>2.57059733828536</v>
      </c>
      <c r="BF140" s="162">
        <f t="shared" si="984"/>
        <v>2.7071678938089807</v>
      </c>
      <c r="BG140" s="162">
        <f t="shared" si="984"/>
        <v>2.6553015681544023</v>
      </c>
      <c r="BH140" s="162">
        <f t="shared" si="984"/>
        <v>2.1857262491858189</v>
      </c>
      <c r="BI140" s="162">
        <f t="shared" si="984"/>
        <v>2.0884457048760403</v>
      </c>
      <c r="BJ140" s="162">
        <f t="shared" si="984"/>
        <v>1.7886349260620564</v>
      </c>
      <c r="BK140" s="162">
        <f t="shared" si="984"/>
        <v>1.8284213118791559</v>
      </c>
      <c r="BL140" s="162">
        <f t="shared" si="984"/>
        <v>1.430043728423475</v>
      </c>
      <c r="BM140" s="162">
        <f t="shared" si="984"/>
        <v>1.6886297240899601</v>
      </c>
      <c r="BN140" s="162">
        <f t="shared" si="984"/>
        <v>1.0658465440710208</v>
      </c>
      <c r="BO140" s="162">
        <f t="shared" si="984"/>
        <v>1.1809620768643418</v>
      </c>
      <c r="BP140" s="162">
        <f t="shared" si="984"/>
        <v>1.3393498978897205</v>
      </c>
      <c r="BQ140" s="162">
        <f t="shared" si="984"/>
        <v>1.2255326545815743</v>
      </c>
      <c r="BR140" s="162">
        <f t="shared" ref="BR140:CJ140" si="985">+BR115/BR135</f>
        <v>1.6268027312973659</v>
      </c>
      <c r="BS140" s="162">
        <f t="shared" si="985"/>
        <v>2.0033088650479951</v>
      </c>
      <c r="BT140" s="162">
        <f t="shared" si="985"/>
        <v>2.4542977646562631</v>
      </c>
      <c r="BU140" s="162">
        <f t="shared" si="985"/>
        <v>2.7425365658184728</v>
      </c>
      <c r="BV140" s="162">
        <f t="shared" si="985"/>
        <v>2.1778935698447888</v>
      </c>
      <c r="BW140" s="162">
        <f t="shared" si="985"/>
        <v>2.453598999285203</v>
      </c>
      <c r="BX140" s="162">
        <f t="shared" si="985"/>
        <v>2.8241538461538465</v>
      </c>
      <c r="BY140" s="162">
        <f t="shared" si="985"/>
        <v>3.34525027442371</v>
      </c>
      <c r="BZ140" s="162">
        <f t="shared" si="985"/>
        <v>3.1351053381910341</v>
      </c>
      <c r="CA140" s="162">
        <f t="shared" si="985"/>
        <v>3.5150255302435189</v>
      </c>
      <c r="CB140" s="162">
        <f t="shared" si="985"/>
        <v>3.2320588235294117</v>
      </c>
      <c r="CC140" s="162">
        <f t="shared" si="985"/>
        <v>4.3360626557493767</v>
      </c>
      <c r="CD140" s="162">
        <f t="shared" si="985"/>
        <v>4.800156399339647</v>
      </c>
      <c r="CE140" s="162">
        <f t="shared" si="985"/>
        <v>5.675360916613621</v>
      </c>
      <c r="CF140" s="162">
        <f t="shared" si="985"/>
        <v>6.1831278794670643</v>
      </c>
      <c r="CG140" s="162">
        <f t="shared" si="985"/>
        <v>4.9216769965654734</v>
      </c>
      <c r="CH140" s="162">
        <f t="shared" si="985"/>
        <v>3.9387841968811665</v>
      </c>
      <c r="CI140" s="162">
        <f t="shared" si="985"/>
        <v>4.3282917466410744</v>
      </c>
      <c r="CJ140" s="162">
        <f t="shared" si="985"/>
        <v>5.0786550926803375</v>
      </c>
      <c r="CK140" s="162">
        <f t="shared" ref="CK140:DA140" si="986">+CJ140</f>
        <v>5.0786550926803375</v>
      </c>
      <c r="CL140" s="162">
        <f t="shared" ref="CL140" si="987">+CL115/CL135</f>
        <v>4.3065257625111037</v>
      </c>
      <c r="CM140" s="93">
        <f t="shared" si="986"/>
        <v>4.3065257625111037</v>
      </c>
      <c r="CN140" s="93">
        <f t="shared" si="986"/>
        <v>4.3065257625111037</v>
      </c>
      <c r="CO140" s="93">
        <f t="shared" si="986"/>
        <v>4.3065257625111037</v>
      </c>
      <c r="CP140" s="93">
        <f t="shared" si="986"/>
        <v>4.3065257625111037</v>
      </c>
      <c r="CQ140" s="93">
        <f t="shared" si="986"/>
        <v>4.3065257625111037</v>
      </c>
      <c r="CR140" s="93">
        <f t="shared" si="986"/>
        <v>4.3065257625111037</v>
      </c>
      <c r="CS140" s="93">
        <f t="shared" si="986"/>
        <v>4.3065257625111037</v>
      </c>
      <c r="CT140" s="93">
        <f t="shared" si="986"/>
        <v>4.3065257625111037</v>
      </c>
      <c r="CU140" s="93">
        <f t="shared" si="986"/>
        <v>4.3065257625111037</v>
      </c>
      <c r="CV140" s="93">
        <f t="shared" si="986"/>
        <v>4.3065257625111037</v>
      </c>
      <c r="CW140" s="93">
        <f t="shared" si="986"/>
        <v>4.3065257625111037</v>
      </c>
      <c r="CX140" s="93">
        <f t="shared" si="986"/>
        <v>4.3065257625111037</v>
      </c>
      <c r="CY140" s="93">
        <f t="shared" si="986"/>
        <v>4.3065257625111037</v>
      </c>
      <c r="CZ140" s="93">
        <f t="shared" si="986"/>
        <v>4.3065257625111037</v>
      </c>
      <c r="DA140" s="93">
        <f t="shared" si="986"/>
        <v>4.3065257625111037</v>
      </c>
      <c r="DD140" s="163"/>
      <c r="DE140" s="162">
        <v>7.5520273027414033</v>
      </c>
    </row>
    <row r="141" spans="1:109" s="4" customFormat="1" hidden="1" outlineLevel="1" x14ac:dyDescent="0.2">
      <c r="A141" s="3"/>
      <c r="AB141" s="16"/>
      <c r="AC141" s="16"/>
      <c r="AD141" s="16"/>
      <c r="AE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D141" s="118"/>
    </row>
    <row r="142" spans="1:109" s="4" customFormat="1" hidden="1" outlineLevel="1" x14ac:dyDescent="0.2">
      <c r="A142" s="3"/>
      <c r="AB142" s="16"/>
      <c r="AC142" s="16"/>
      <c r="AD142" s="16"/>
      <c r="AE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D142" s="118"/>
    </row>
    <row r="143" spans="1:109" s="161" customFormat="1" hidden="1" outlineLevel="1" x14ac:dyDescent="0.2">
      <c r="A143" s="48" t="s">
        <v>340</v>
      </c>
      <c r="B143" s="161">
        <f t="shared" ref="B143:AE143" si="988">+B114*B101</f>
        <v>44.203619999999994</v>
      </c>
      <c r="C143" s="161">
        <f t="shared" si="988"/>
        <v>18.038209500000001</v>
      </c>
      <c r="D143" s="161">
        <f t="shared" si="988"/>
        <v>16.533705000000001</v>
      </c>
      <c r="E143" s="161">
        <f t="shared" ca="1" si="988"/>
        <v>563.75999999999988</v>
      </c>
      <c r="F143" s="161">
        <f t="shared" ca="1" si="988"/>
        <v>852.07799999999986</v>
      </c>
      <c r="G143" s="161">
        <f t="shared" ca="1" si="988"/>
        <v>1583.3999999999999</v>
      </c>
      <c r="H143" s="161">
        <f t="shared" ca="1" si="988"/>
        <v>2367.7919999999999</v>
      </c>
      <c r="I143" s="161">
        <f t="shared" ca="1" si="988"/>
        <v>2362.92</v>
      </c>
      <c r="J143" s="161">
        <f t="shared" ca="1" si="988"/>
        <v>1743.48</v>
      </c>
      <c r="K143" s="161">
        <f t="shared" ca="1" si="988"/>
        <v>1600.6259999999997</v>
      </c>
      <c r="L143" s="161">
        <f t="shared" ca="1" si="988"/>
        <v>2122.7999999999997</v>
      </c>
      <c r="M143" s="161">
        <f t="shared" ca="1" si="988"/>
        <v>2053.1999999999998</v>
      </c>
      <c r="N143" s="161">
        <f t="shared" ca="1" si="988"/>
        <v>1851.36</v>
      </c>
      <c r="O143" s="161">
        <f t="shared" ca="1" si="988"/>
        <v>1907.0399999999997</v>
      </c>
      <c r="P143" s="161">
        <f t="shared" ca="1" si="988"/>
        <v>4732.7999999999993</v>
      </c>
      <c r="Q143" s="161">
        <f t="shared" ca="1" si="988"/>
        <v>5741.9999999999991</v>
      </c>
      <c r="R143" s="161">
        <f t="shared" ca="1" si="988"/>
        <v>5344.9319999999998</v>
      </c>
      <c r="S143" s="161">
        <f t="shared" ca="1" si="988"/>
        <v>6479.7599999999993</v>
      </c>
      <c r="T143" s="161">
        <f t="shared" ca="1" si="988"/>
        <v>6514.5599999999995</v>
      </c>
      <c r="U143" s="161">
        <f t="shared" ca="1" si="988"/>
        <v>5428.7999999999993</v>
      </c>
      <c r="V143" s="161">
        <f t="shared" ca="1" si="988"/>
        <v>5320.5719999999992</v>
      </c>
      <c r="W143" s="161">
        <f t="shared" ca="1" si="988"/>
        <v>9807.3359999999993</v>
      </c>
      <c r="X143" s="161">
        <f t="shared" ca="1" si="988"/>
        <v>15110.159999999998</v>
      </c>
      <c r="Y143" s="161">
        <f t="shared" ca="1" si="988"/>
        <v>24701.039999999997</v>
      </c>
      <c r="Z143" s="161">
        <f t="shared" ca="1" si="988"/>
        <v>36802.391999999993</v>
      </c>
      <c r="AA143" s="161">
        <f t="shared" ref="AA143" ca="1" si="989">+AA114*AA101</f>
        <v>36802.391999999993</v>
      </c>
      <c r="AB143" s="20">
        <f t="shared" ca="1" si="988"/>
        <v>29063.219999999998</v>
      </c>
      <c r="AC143" s="20">
        <f t="shared" ca="1" si="988"/>
        <v>19804.426611051011</v>
      </c>
      <c r="AD143" s="20">
        <f t="shared" ca="1" si="988"/>
        <v>21983.856815317376</v>
      </c>
      <c r="AE143" s="20">
        <f t="shared" ca="1" si="988"/>
        <v>25002.39249948621</v>
      </c>
      <c r="AL143" s="161">
        <f t="shared" ref="AL143:BQ143" si="990">+AL114*AL101</f>
        <v>812.92799999999988</v>
      </c>
      <c r="AM143" s="161">
        <f t="shared" si="990"/>
        <v>807.3599999999999</v>
      </c>
      <c r="AN143" s="161">
        <f t="shared" si="990"/>
        <v>769.08</v>
      </c>
      <c r="AO143" s="161">
        <f t="shared" si="990"/>
        <v>953.51999999999987</v>
      </c>
      <c r="AP143" s="161">
        <f t="shared" si="990"/>
        <v>1266.7199999999998</v>
      </c>
      <c r="AQ143" s="161">
        <f t="shared" si="990"/>
        <v>1995.78</v>
      </c>
      <c r="AR143" s="161">
        <f t="shared" si="990"/>
        <v>2059.4639999999999</v>
      </c>
      <c r="AS143" s="161">
        <f t="shared" si="990"/>
        <v>2366.3999999999996</v>
      </c>
      <c r="AT143" s="161">
        <f t="shared" si="990"/>
        <v>2870.9999999999995</v>
      </c>
      <c r="AU143" s="161">
        <f t="shared" si="990"/>
        <v>2589.12</v>
      </c>
      <c r="AV143" s="161">
        <f t="shared" si="990"/>
        <v>2418.6</v>
      </c>
      <c r="AW143" s="161">
        <f t="shared" si="990"/>
        <v>2174.1299999999997</v>
      </c>
      <c r="AX143" s="161">
        <f t="shared" si="990"/>
        <v>2355.96</v>
      </c>
      <c r="AY143" s="161">
        <f t="shared" si="990"/>
        <v>2590.6859999999997</v>
      </c>
      <c r="AZ143" s="161">
        <f t="shared" si="990"/>
        <v>2672.4659999999999</v>
      </c>
      <c r="BA143" s="161">
        <f t="shared" si="990"/>
        <v>2209.7999999999997</v>
      </c>
      <c r="BB143" s="161">
        <f t="shared" si="990"/>
        <v>2550.8399999999997</v>
      </c>
      <c r="BC143" s="161">
        <f t="shared" si="990"/>
        <v>2794.4399999999996</v>
      </c>
      <c r="BD143" s="161">
        <f t="shared" si="990"/>
        <v>2921.46</v>
      </c>
      <c r="BE143" s="161">
        <f t="shared" si="990"/>
        <v>3239.8799999999997</v>
      </c>
      <c r="BF143" s="161">
        <f t="shared" si="990"/>
        <v>3257.2799999999997</v>
      </c>
      <c r="BG143" s="161">
        <f t="shared" si="990"/>
        <v>3159.6659999999997</v>
      </c>
      <c r="BH143" s="161">
        <f t="shared" si="990"/>
        <v>3079.7999999999997</v>
      </c>
      <c r="BI143" s="161">
        <f t="shared" si="990"/>
        <v>2850.12</v>
      </c>
      <c r="BJ143" s="161">
        <f t="shared" si="990"/>
        <v>2714.3999999999996</v>
      </c>
      <c r="BK143" s="161">
        <f t="shared" si="990"/>
        <v>2574.8519999999994</v>
      </c>
      <c r="BL143" s="161">
        <f t="shared" si="990"/>
        <v>2575.1999999999998</v>
      </c>
      <c r="BM143" s="161">
        <f t="shared" si="990"/>
        <v>2575.1999999999998</v>
      </c>
      <c r="BN143" s="161">
        <f t="shared" si="990"/>
        <v>2660.2859999999996</v>
      </c>
      <c r="BO143" s="161">
        <f t="shared" si="990"/>
        <v>1926.0059999999999</v>
      </c>
      <c r="BP143" s="161">
        <f t="shared" si="990"/>
        <v>2002.3919999999998</v>
      </c>
      <c r="BQ143" s="161">
        <f t="shared" si="990"/>
        <v>2275.92</v>
      </c>
      <c r="BR143" s="161">
        <f t="shared" ref="BR143:CJ143" si="991">+BR114*BR101</f>
        <v>3164.538</v>
      </c>
      <c r="BS143" s="161">
        <f t="shared" si="991"/>
        <v>3862.7999999999997</v>
      </c>
      <c r="BT143" s="161">
        <f t="shared" si="991"/>
        <v>4785</v>
      </c>
      <c r="BU143" s="161">
        <f t="shared" si="991"/>
        <v>4903.6679999999997</v>
      </c>
      <c r="BV143" s="161">
        <f t="shared" si="991"/>
        <v>4611.1739999999991</v>
      </c>
      <c r="BW143" s="161">
        <f t="shared" si="991"/>
        <v>5294.9939999999997</v>
      </c>
      <c r="BX143" s="161">
        <f t="shared" si="991"/>
        <v>7300.5179999999991</v>
      </c>
      <c r="BY143" s="161">
        <f t="shared" si="991"/>
        <v>7555.079999999999</v>
      </c>
      <c r="BZ143" s="161">
        <f t="shared" si="991"/>
        <v>7431.8879999999999</v>
      </c>
      <c r="CA143" s="161">
        <f t="shared" si="991"/>
        <v>8201.8379999999997</v>
      </c>
      <c r="CB143" s="161">
        <f t="shared" si="991"/>
        <v>11205.599999999999</v>
      </c>
      <c r="CC143" s="161">
        <f t="shared" si="991"/>
        <v>12350.519999999999</v>
      </c>
      <c r="CD143" s="161">
        <f t="shared" si="991"/>
        <v>14654.975999999999</v>
      </c>
      <c r="CE143" s="161">
        <f t="shared" si="991"/>
        <v>18043.8</v>
      </c>
      <c r="CF143" s="161">
        <f t="shared" si="991"/>
        <v>18401.195999999996</v>
      </c>
      <c r="CG143" s="161">
        <f t="shared" si="991"/>
        <v>16704</v>
      </c>
      <c r="CH143" s="161">
        <f t="shared" si="991"/>
        <v>13912.169999999998</v>
      </c>
      <c r="CI143" s="161">
        <f t="shared" si="991"/>
        <v>15787.019999999999</v>
      </c>
      <c r="CJ143" s="161">
        <f t="shared" si="991"/>
        <v>15971.46</v>
      </c>
      <c r="CK143" s="161">
        <f t="shared" ref="CK143" si="992">+CK146-CK145</f>
        <v>17263.397640004066</v>
      </c>
      <c r="CL143" s="161">
        <f t="shared" ref="CL143" si="993">+CL114*CL101</f>
        <v>14531.609999999999</v>
      </c>
      <c r="CM143" s="20">
        <f t="shared" ref="CM143:DA143" si="994">+CM114*CM101</f>
        <v>15634.752829317686</v>
      </c>
      <c r="CN143" s="20">
        <f t="shared" si="994"/>
        <v>16027.92390151928</v>
      </c>
      <c r="CO143" s="20">
        <f t="shared" si="994"/>
        <v>16076.206558016183</v>
      </c>
      <c r="CP143" s="20">
        <f t="shared" si="994"/>
        <v>16748.225919687186</v>
      </c>
      <c r="CQ143" s="20">
        <f t="shared" si="994"/>
        <v>17167.193342521874</v>
      </c>
      <c r="CR143" s="20">
        <f t="shared" si="994"/>
        <v>17662.919161138336</v>
      </c>
      <c r="CS143" s="20">
        <f t="shared" si="994"/>
        <v>18417.698639341248</v>
      </c>
      <c r="CT143" s="20">
        <f t="shared" si="994"/>
        <v>18768.27127940024</v>
      </c>
      <c r="CU143" s="20">
        <f t="shared" si="994"/>
        <v>19313.517676764706</v>
      </c>
      <c r="CV143" s="20">
        <f t="shared" si="994"/>
        <v>19774.159973042799</v>
      </c>
      <c r="CW143" s="20">
        <f t="shared" si="994"/>
        <v>20444.522717411623</v>
      </c>
      <c r="CX143" s="20">
        <f t="shared" si="994"/>
        <v>20934.827082429492</v>
      </c>
      <c r="CY143" s="20">
        <f t="shared" si="994"/>
        <v>21686.908491904975</v>
      </c>
      <c r="CZ143" s="20">
        <f t="shared" si="994"/>
        <v>22359.10759669905</v>
      </c>
      <c r="DA143" s="20">
        <f t="shared" si="994"/>
        <v>23251.697176686157</v>
      </c>
      <c r="DD143" s="21"/>
      <c r="DE143" s="161">
        <v>31942.92</v>
      </c>
    </row>
    <row r="144" spans="1:109" s="161" customFormat="1" hidden="1" outlineLevel="1" x14ac:dyDescent="0.2">
      <c r="A144" s="48" t="s">
        <v>341</v>
      </c>
      <c r="B144" s="161">
        <f t="shared" ref="B144:AE144" si="995">+B115*B101</f>
        <v>16.53285</v>
      </c>
      <c r="C144" s="161">
        <f t="shared" si="995"/>
        <v>8.527470000000001</v>
      </c>
      <c r="D144" s="161">
        <f t="shared" si="995"/>
        <v>7.7273316000000012</v>
      </c>
      <c r="E144" s="161">
        <f t="shared" ca="1" si="995"/>
        <v>200.1</v>
      </c>
      <c r="F144" s="161">
        <f t="shared" ca="1" si="995"/>
        <v>267.95999999999998</v>
      </c>
      <c r="G144" s="161">
        <f t="shared" ca="1" si="995"/>
        <v>700.34999999999991</v>
      </c>
      <c r="H144" s="161">
        <f t="shared" ca="1" si="995"/>
        <v>1252.8</v>
      </c>
      <c r="I144" s="161">
        <f t="shared" ca="1" si="995"/>
        <v>1445.07</v>
      </c>
      <c r="J144" s="161">
        <f t="shared" ca="1" si="995"/>
        <v>609</v>
      </c>
      <c r="K144" s="161">
        <f t="shared" ca="1" si="995"/>
        <v>612.48</v>
      </c>
      <c r="L144" s="161">
        <f t="shared" ca="1" si="995"/>
        <v>1270.1999999999998</v>
      </c>
      <c r="M144" s="161">
        <f t="shared" ca="1" si="995"/>
        <v>984.83999999999992</v>
      </c>
      <c r="N144" s="161">
        <f t="shared" ca="1" si="995"/>
        <v>1005.7199999999999</v>
      </c>
      <c r="O144" s="161">
        <f t="shared" ca="1" si="995"/>
        <v>1234.3559999999998</v>
      </c>
      <c r="P144" s="161">
        <f t="shared" ca="1" si="995"/>
        <v>1572.96</v>
      </c>
      <c r="Q144" s="161">
        <f t="shared" ca="1" si="995"/>
        <v>3775.7999999999997</v>
      </c>
      <c r="R144" s="161">
        <f t="shared" ca="1" si="995"/>
        <v>3473.0399999999995</v>
      </c>
      <c r="S144" s="161">
        <f t="shared" ca="1" si="995"/>
        <v>4176</v>
      </c>
      <c r="T144" s="161">
        <f t="shared" ca="1" si="995"/>
        <v>4565.7599999999993</v>
      </c>
      <c r="U144" s="161">
        <f t="shared" ca="1" si="995"/>
        <v>3728.1239999999993</v>
      </c>
      <c r="V144" s="161">
        <f t="shared" ca="1" si="995"/>
        <v>2689.3439999999996</v>
      </c>
      <c r="W144" s="161">
        <f t="shared" ca="1" si="995"/>
        <v>4336.079999999999</v>
      </c>
      <c r="X144" s="161">
        <f t="shared" ca="1" si="995"/>
        <v>6679.1639999999998</v>
      </c>
      <c r="Y144" s="161">
        <f t="shared" ca="1" si="995"/>
        <v>11875.152</v>
      </c>
      <c r="Z144" s="161">
        <f t="shared" ca="1" si="995"/>
        <v>22098</v>
      </c>
      <c r="AA144" s="161">
        <f t="shared" ref="AA144" ca="1" si="996">+AA115*AA101</f>
        <v>22098</v>
      </c>
      <c r="AB144" s="20">
        <f t="shared" ca="1" si="995"/>
        <v>13840.279212284207</v>
      </c>
      <c r="AC144" s="20">
        <f t="shared" ca="1" si="995"/>
        <v>14418.832092158093</v>
      </c>
      <c r="AD144" s="20">
        <f t="shared" ca="1" si="995"/>
        <v>16157.923444276041</v>
      </c>
      <c r="AE144" s="20">
        <f t="shared" ca="1" si="995"/>
        <v>18023.148124906154</v>
      </c>
      <c r="AL144" s="161">
        <f t="shared" ref="AL144:BQ144" si="997">+AL115*AL101</f>
        <v>617.17799999999988</v>
      </c>
      <c r="AM144" s="161">
        <f t="shared" si="997"/>
        <v>678.25199999999984</v>
      </c>
      <c r="AN144" s="161">
        <f t="shared" si="997"/>
        <v>666.59399999999994</v>
      </c>
      <c r="AO144" s="161">
        <f t="shared" si="997"/>
        <v>723.83999999999992</v>
      </c>
      <c r="AP144" s="161">
        <f t="shared" si="997"/>
        <v>786.48</v>
      </c>
      <c r="AQ144" s="161">
        <f t="shared" si="997"/>
        <v>1096.1999999999998</v>
      </c>
      <c r="AR144" s="161">
        <f t="shared" si="997"/>
        <v>1739.9999999999998</v>
      </c>
      <c r="AS144" s="161">
        <f t="shared" si="997"/>
        <v>1739.9999999999998</v>
      </c>
      <c r="AT144" s="161">
        <f t="shared" si="997"/>
        <v>2040.846</v>
      </c>
      <c r="AU144" s="161">
        <f t="shared" si="997"/>
        <v>1907.9099999999999</v>
      </c>
      <c r="AV144" s="161">
        <f t="shared" si="997"/>
        <v>1887.8999999999999</v>
      </c>
      <c r="AW144" s="161">
        <f t="shared" si="997"/>
        <v>1936.62</v>
      </c>
      <c r="AX144" s="161">
        <f t="shared" si="997"/>
        <v>1736.5199999999998</v>
      </c>
      <c r="AY144" s="161">
        <f t="shared" si="997"/>
        <v>2041.0199999999998</v>
      </c>
      <c r="AZ144" s="161">
        <f t="shared" si="997"/>
        <v>2055.636</v>
      </c>
      <c r="BA144" s="161">
        <f t="shared" si="997"/>
        <v>1913.6519999999998</v>
      </c>
      <c r="BB144" s="161">
        <f t="shared" si="997"/>
        <v>2088</v>
      </c>
      <c r="BC144" s="161">
        <f t="shared" si="997"/>
        <v>2281.4879999999998</v>
      </c>
      <c r="BD144" s="161">
        <f t="shared" si="997"/>
        <v>2293.4939999999997</v>
      </c>
      <c r="BE144" s="161">
        <f t="shared" si="997"/>
        <v>2491.6799999999994</v>
      </c>
      <c r="BF144" s="161">
        <f t="shared" si="997"/>
        <v>2610.5219999999999</v>
      </c>
      <c r="BG144" s="161">
        <f t="shared" si="997"/>
        <v>2641.4939999999997</v>
      </c>
      <c r="BH144" s="161">
        <f t="shared" si="997"/>
        <v>2349</v>
      </c>
      <c r="BI144" s="161">
        <f t="shared" si="997"/>
        <v>2282.8799999999997</v>
      </c>
      <c r="BJ144" s="161">
        <f t="shared" si="997"/>
        <v>2092.5239999999999</v>
      </c>
      <c r="BK144" s="161">
        <f t="shared" si="997"/>
        <v>2227.1999999999998</v>
      </c>
      <c r="BL144" s="161">
        <f t="shared" si="997"/>
        <v>1864.0619999999997</v>
      </c>
      <c r="BM144" s="161">
        <f t="shared" si="997"/>
        <v>2184.9179999999997</v>
      </c>
      <c r="BN144" s="161">
        <f t="shared" si="997"/>
        <v>1344.6719999999998</v>
      </c>
      <c r="BO144" s="161">
        <f t="shared" si="997"/>
        <v>1392</v>
      </c>
      <c r="BP144" s="161">
        <f t="shared" si="997"/>
        <v>1574.0039999999997</v>
      </c>
      <c r="BQ144" s="161">
        <f t="shared" si="997"/>
        <v>1480.566</v>
      </c>
      <c r="BR144" s="161">
        <f t="shared" ref="BR144:CJ144" si="998">+BR115*BR101</f>
        <v>2168.0399999999995</v>
      </c>
      <c r="BS144" s="161">
        <f t="shared" si="998"/>
        <v>2838.288</v>
      </c>
      <c r="BT144" s="161">
        <f t="shared" si="998"/>
        <v>3491.4839999999995</v>
      </c>
      <c r="BU144" s="161">
        <f t="shared" si="998"/>
        <v>4106.3999999999996</v>
      </c>
      <c r="BV144" s="161">
        <f t="shared" si="998"/>
        <v>3339.5819999999999</v>
      </c>
      <c r="BW144" s="161">
        <f t="shared" si="998"/>
        <v>4119.1019999999999</v>
      </c>
      <c r="BX144" s="161">
        <f t="shared" si="998"/>
        <v>4919.6759999999995</v>
      </c>
      <c r="BY144" s="161">
        <f t="shared" si="998"/>
        <v>6095.0460000000003</v>
      </c>
      <c r="BZ144" s="161">
        <f t="shared" si="998"/>
        <v>5937.576</v>
      </c>
      <c r="CA144" s="161">
        <f t="shared" si="998"/>
        <v>7159.4039999999986</v>
      </c>
      <c r="CB144" s="161">
        <f t="shared" si="998"/>
        <v>7010.982</v>
      </c>
      <c r="CC144" s="161">
        <f t="shared" si="998"/>
        <v>9744</v>
      </c>
      <c r="CD144" s="161">
        <f t="shared" si="998"/>
        <v>11049</v>
      </c>
      <c r="CE144" s="161">
        <f t="shared" si="998"/>
        <v>13373.987999999999</v>
      </c>
      <c r="CF144" s="161">
        <f t="shared" si="998"/>
        <v>14897.009999999998</v>
      </c>
      <c r="CG144" s="161">
        <f t="shared" si="998"/>
        <v>12467.099999999999</v>
      </c>
      <c r="CH144" s="161">
        <f t="shared" si="998"/>
        <v>10179</v>
      </c>
      <c r="CI144" s="161">
        <f t="shared" si="998"/>
        <v>11275.199999999999</v>
      </c>
      <c r="CJ144" s="161">
        <f t="shared" si="998"/>
        <v>13397.999999999998</v>
      </c>
      <c r="CK144" s="161">
        <f t="shared" ref="CK144" si="999">+CK147-CK145</f>
        <v>14455.371610205641</v>
      </c>
      <c r="CL144" s="161">
        <f t="shared" ref="CL144" si="1000">+CL115*CL101</f>
        <v>11634.509999999998</v>
      </c>
      <c r="CM144" s="20">
        <f t="shared" ref="CM144:DA144" si="1001">+CM115*CM101</f>
        <v>12517.724336135152</v>
      </c>
      <c r="CN144" s="20">
        <f t="shared" si="1001"/>
        <v>12832.510706760304</v>
      </c>
      <c r="CO144" s="20">
        <f t="shared" si="1001"/>
        <v>12871.167472930039</v>
      </c>
      <c r="CP144" s="20">
        <f t="shared" si="1001"/>
        <v>13409.209436866237</v>
      </c>
      <c r="CQ144" s="20">
        <f t="shared" si="1001"/>
        <v>13744.649258788542</v>
      </c>
      <c r="CR144" s="20">
        <f t="shared" si="1001"/>
        <v>14141.544509483507</v>
      </c>
      <c r="CS144" s="20">
        <f t="shared" si="1001"/>
        <v>14745.847087583701</v>
      </c>
      <c r="CT144" s="20">
        <f t="shared" si="1001"/>
        <v>15026.527678825329</v>
      </c>
      <c r="CU144" s="20">
        <f t="shared" si="1001"/>
        <v>15463.070819096834</v>
      </c>
      <c r="CV144" s="20">
        <f t="shared" si="1001"/>
        <v>15831.876987337686</v>
      </c>
      <c r="CW144" s="20">
        <f t="shared" si="1001"/>
        <v>16368.592606115406</v>
      </c>
      <c r="CX144" s="20">
        <f t="shared" si="1001"/>
        <v>16761.147253387397</v>
      </c>
      <c r="CY144" s="20">
        <f t="shared" si="1001"/>
        <v>17363.289664266616</v>
      </c>
      <c r="CZ144" s="20">
        <f t="shared" si="1001"/>
        <v>17901.475536769231</v>
      </c>
      <c r="DA144" s="20">
        <f t="shared" si="1001"/>
        <v>18616.113652866192</v>
      </c>
      <c r="DD144" s="21"/>
      <c r="DE144" s="161">
        <v>20358</v>
      </c>
    </row>
    <row r="145" spans="1:109" s="161" customFormat="1" hidden="1" outlineLevel="1" x14ac:dyDescent="0.2">
      <c r="A145" s="48" t="s">
        <v>80</v>
      </c>
      <c r="B145" s="161">
        <f>+B204</f>
        <v>29.344399999999997</v>
      </c>
      <c r="C145" s="161">
        <f t="shared" ref="C145:W145" si="1002">+C204</f>
        <v>39.899800000000006</v>
      </c>
      <c r="D145" s="161">
        <f t="shared" si="1002"/>
        <v>8.1128</v>
      </c>
      <c r="E145" s="161">
        <f t="shared" si="1002"/>
        <v>-6.7074999999999996</v>
      </c>
      <c r="F145" s="161">
        <f t="shared" si="1002"/>
        <v>-14.997300000000001</v>
      </c>
      <c r="G145" s="161">
        <f t="shared" si="1002"/>
        <v>-32.4788</v>
      </c>
      <c r="H145" s="161">
        <f t="shared" si="1002"/>
        <v>-52.408799999999999</v>
      </c>
      <c r="I145" s="161">
        <f t="shared" si="1002"/>
        <v>-28.850399999999997</v>
      </c>
      <c r="J145" s="161">
        <f t="shared" si="1002"/>
        <v>-18.371500000000001</v>
      </c>
      <c r="K145" s="161">
        <f t="shared" si="1002"/>
        <v>-91.242999999999995</v>
      </c>
      <c r="L145" s="161">
        <f t="shared" si="1002"/>
        <v>-87.317099999999996</v>
      </c>
      <c r="M145" s="161">
        <f t="shared" si="1002"/>
        <v>-21.311999999999991</v>
      </c>
      <c r="N145" s="161">
        <f t="shared" si="1002"/>
        <v>-87.611999999999995</v>
      </c>
      <c r="O145" s="161">
        <f t="shared" si="1002"/>
        <v>-156.87899999999999</v>
      </c>
      <c r="P145" s="161">
        <f t="shared" si="1002"/>
        <v>-154.37100000000001</v>
      </c>
      <c r="Q145" s="161">
        <f t="shared" si="1002"/>
        <v>-227.065</v>
      </c>
      <c r="R145" s="161">
        <f t="shared" si="1002"/>
        <v>-195.197</v>
      </c>
      <c r="S145" s="161">
        <f t="shared" si="1002"/>
        <v>-78.64</v>
      </c>
      <c r="T145" s="161">
        <f t="shared" si="1002"/>
        <v>-95.265000000000001</v>
      </c>
      <c r="U145" s="161">
        <f t="shared" si="1002"/>
        <v>-230.04500000000002</v>
      </c>
      <c r="V145" s="161">
        <f t="shared" si="1002"/>
        <v>-343.351</v>
      </c>
      <c r="W145" s="161">
        <f t="shared" si="1002"/>
        <v>-354.53</v>
      </c>
      <c r="X145" s="161">
        <f t="shared" ref="X145:Y145" si="1003">+X204</f>
        <v>-261.00700000000001</v>
      </c>
      <c r="Y145" s="161">
        <f t="shared" si="1003"/>
        <v>-274.56799999999998</v>
      </c>
      <c r="Z145" s="161">
        <f t="shared" ref="Z145:AA145" si="1004">+Z204</f>
        <v>-323.46800000000002</v>
      </c>
      <c r="AA145" s="161">
        <f t="shared" ref="AA145" si="1005">+AA204</f>
        <v>-283.39</v>
      </c>
      <c r="AB145" s="20">
        <f t="shared" ref="AB145:AD145" si="1006">+AB204</f>
        <v>-498.52800545408127</v>
      </c>
      <c r="AC145" s="20">
        <f t="shared" si="1006"/>
        <v>-737.04092395093255</v>
      </c>
      <c r="AD145" s="20">
        <f t="shared" si="1006"/>
        <v>-1005.5116714750823</v>
      </c>
      <c r="AE145" s="20">
        <f t="shared" ref="AE145" si="1007">+AE204</f>
        <v>-1319.3288360131878</v>
      </c>
      <c r="AL145" s="161">
        <f t="shared" ref="AL145:AM145" si="1008">+AL204</f>
        <v>-15.61</v>
      </c>
      <c r="AM145" s="161">
        <f t="shared" si="1008"/>
        <v>-80.2</v>
      </c>
      <c r="AN145" s="161">
        <f t="shared" ref="AN145:AO145" si="1009">+AN204</f>
        <v>-103.97385923573405</v>
      </c>
      <c r="AO145" s="161">
        <f t="shared" si="1009"/>
        <v>-156.88</v>
      </c>
      <c r="AP145" s="161">
        <f t="shared" ref="AP145:CD145" si="1010">+AP204</f>
        <v>-180.64236421549776</v>
      </c>
      <c r="AQ145" s="161">
        <f t="shared" si="1010"/>
        <v>-137.97</v>
      </c>
      <c r="AR145" s="161">
        <f t="shared" si="1010"/>
        <v>-156.32972059192386</v>
      </c>
      <c r="AS145" s="161">
        <f t="shared" si="1010"/>
        <v>-154.37</v>
      </c>
      <c r="AT145" s="161">
        <f t="shared" si="1010"/>
        <v>-201.06777347994256</v>
      </c>
      <c r="AU145" s="161">
        <f t="shared" si="1010"/>
        <v>-157.55000000000001</v>
      </c>
      <c r="AV145" s="161">
        <f t="shared" si="1010"/>
        <v>-189.66523462095861</v>
      </c>
      <c r="AW145" s="161">
        <f t="shared" si="1010"/>
        <v>-227.06</v>
      </c>
      <c r="AX145" s="161">
        <f t="shared" si="1010"/>
        <v>-272.33765237020333</v>
      </c>
      <c r="AY145" s="161">
        <f t="shared" si="1010"/>
        <v>-215.49</v>
      </c>
      <c r="AZ145" s="161">
        <f t="shared" si="1010"/>
        <v>-266.95636892128817</v>
      </c>
      <c r="BA145" s="161">
        <f t="shared" si="1010"/>
        <v>-195.2</v>
      </c>
      <c r="BB145" s="161">
        <f t="shared" si="1010"/>
        <v>-260.51352066362756</v>
      </c>
      <c r="BC145" s="161">
        <f t="shared" si="1010"/>
        <v>-80.960000000000008</v>
      </c>
      <c r="BD145" s="161">
        <f t="shared" si="1010"/>
        <v>-116.97529359031839</v>
      </c>
      <c r="BE145" s="161">
        <f t="shared" si="1010"/>
        <v>-78.7</v>
      </c>
      <c r="BF145" s="161">
        <f t="shared" si="1010"/>
        <v>-205.7014015843998</v>
      </c>
      <c r="BG145" s="161">
        <f t="shared" si="1010"/>
        <v>-88</v>
      </c>
      <c r="BH145" s="161">
        <f t="shared" si="1010"/>
        <v>-72.567350157728626</v>
      </c>
      <c r="BI145" s="161">
        <f t="shared" si="1010"/>
        <v>-95.299999999999983</v>
      </c>
      <c r="BJ145" s="161">
        <f t="shared" si="1010"/>
        <v>-174.06041546451226</v>
      </c>
      <c r="BK145" s="161">
        <f t="shared" si="1010"/>
        <v>-159.20000000000002</v>
      </c>
      <c r="BL145" s="161">
        <f t="shared" si="1010"/>
        <v>-114.36852220013259</v>
      </c>
      <c r="BM145" s="161">
        <f t="shared" si="1010"/>
        <v>-230.10000000000002</v>
      </c>
      <c r="BN145" s="161">
        <f t="shared" si="1010"/>
        <v>-330.89910979228489</v>
      </c>
      <c r="BO145" s="161">
        <f t="shared" si="1010"/>
        <v>-274.40000000000003</v>
      </c>
      <c r="BP145" s="161">
        <f t="shared" si="1010"/>
        <v>-101.37766103243455</v>
      </c>
      <c r="BQ145" s="161">
        <f t="shared" si="1010"/>
        <v>-343.4</v>
      </c>
      <c r="BR145" s="161">
        <f t="shared" si="1010"/>
        <v>-375.761313868613</v>
      </c>
      <c r="BS145" s="161">
        <f t="shared" si="1010"/>
        <v>-360</v>
      </c>
      <c r="BT145" s="161">
        <f t="shared" si="1010"/>
        <v>-318.24475247524748</v>
      </c>
      <c r="BU145" s="161">
        <f t="shared" si="1010"/>
        <v>-354.6</v>
      </c>
      <c r="BV145" s="161">
        <f t="shared" si="1010"/>
        <v>-420.52656320287895</v>
      </c>
      <c r="BW145" s="161">
        <f t="shared" si="1010"/>
        <v>-279.7</v>
      </c>
      <c r="BX145" s="161">
        <f t="shared" si="1010"/>
        <v>-337.55423728813571</v>
      </c>
      <c r="BY145" s="161">
        <f t="shared" si="1010"/>
        <v>-261.10000000000002</v>
      </c>
      <c r="BZ145" s="161">
        <f t="shared" si="1010"/>
        <v>-345.39973313000382</v>
      </c>
      <c r="CA145" s="161">
        <f t="shared" si="1010"/>
        <v>-247</v>
      </c>
      <c r="CB145" s="161">
        <f t="shared" si="1010"/>
        <v>-330.37590055809216</v>
      </c>
      <c r="CC145" s="161">
        <f t="shared" si="1010"/>
        <v>-274.5</v>
      </c>
      <c r="CD145" s="161">
        <f t="shared" si="1010"/>
        <v>-395.75847992034528</v>
      </c>
      <c r="CE145" s="161">
        <f t="shared" ref="CE145:CF145" si="1011">+CE204</f>
        <v>-373.9</v>
      </c>
      <c r="CF145" s="161">
        <f t="shared" si="1011"/>
        <v>-472.10054179566561</v>
      </c>
      <c r="CG145" s="161">
        <f t="shared" ref="CG145:CH145" si="1012">+CG204</f>
        <v>-323.46800000000002</v>
      </c>
      <c r="CH145" s="161">
        <f t="shared" si="1012"/>
        <v>-541.19327670704888</v>
      </c>
      <c r="CI145" s="161">
        <f t="shared" ref="CI145:CJ145" si="1013">+CI204</f>
        <v>-316.7</v>
      </c>
      <c r="CJ145" s="161">
        <f t="shared" si="1013"/>
        <v>-409.87180140992928</v>
      </c>
      <c r="CK145" s="161">
        <f t="shared" ref="CK145:CL145" si="1014">+CK204</f>
        <v>-283.39999999999998</v>
      </c>
      <c r="CL145" s="161">
        <f t="shared" si="1014"/>
        <v>-606.10535714285686</v>
      </c>
      <c r="CM145" s="20">
        <f t="shared" ref="CM145:DA145" si="1015">+CM204</f>
        <v>-421.19612656959953</v>
      </c>
      <c r="CN145" s="20">
        <f t="shared" si="1015"/>
        <v>-423.05693124921879</v>
      </c>
      <c r="CO145" s="20">
        <f t="shared" si="1015"/>
        <v>-498.52800545408127</v>
      </c>
      <c r="CP145" s="20">
        <f t="shared" si="1015"/>
        <v>-630.24540157244792</v>
      </c>
      <c r="CQ145" s="20">
        <f t="shared" si="1015"/>
        <v>-645.30552773589977</v>
      </c>
      <c r="CR145" s="20">
        <f t="shared" si="1015"/>
        <v>-649.54560936788721</v>
      </c>
      <c r="CS145" s="20">
        <f t="shared" si="1015"/>
        <v>-737.04092395093255</v>
      </c>
      <c r="CT145" s="20">
        <f t="shared" si="1015"/>
        <v>-883.68245293006601</v>
      </c>
      <c r="CU145" s="20">
        <f t="shared" si="1015"/>
        <v>-901.61260799044339</v>
      </c>
      <c r="CV145" s="20">
        <f t="shared" si="1015"/>
        <v>-907.52589933461798</v>
      </c>
      <c r="CW145" s="20">
        <f t="shared" si="1015"/>
        <v>-1005.5116714750823</v>
      </c>
      <c r="CX145" s="20">
        <f t="shared" si="1015"/>
        <v>-1171.2030436660607</v>
      </c>
      <c r="CY145" s="20">
        <f t="shared" si="1015"/>
        <v>-1195.4737080676875</v>
      </c>
      <c r="CZ145" s="20">
        <f t="shared" si="1015"/>
        <v>-1206.6605487919724</v>
      </c>
      <c r="DA145" s="20">
        <f t="shared" si="1015"/>
        <v>-1319.3288360131878</v>
      </c>
      <c r="DD145" s="21"/>
      <c r="DE145" s="161">
        <v>-283.39999999999998</v>
      </c>
    </row>
    <row r="146" spans="1:109" s="161" customFormat="1" hidden="1" outlineLevel="1" x14ac:dyDescent="0.2">
      <c r="A146" s="48" t="s">
        <v>342</v>
      </c>
      <c r="B146" s="161">
        <f>+B143+B145</f>
        <v>73.548019999999994</v>
      </c>
      <c r="C146" s="161">
        <f t="shared" ref="C146:W146" si="1016">+C143+C145</f>
        <v>57.938009500000007</v>
      </c>
      <c r="D146" s="161">
        <f t="shared" si="1016"/>
        <v>24.646505000000001</v>
      </c>
      <c r="E146" s="161">
        <f t="shared" ca="1" si="1016"/>
        <v>557.0524999999999</v>
      </c>
      <c r="F146" s="161">
        <f t="shared" ca="1" si="1016"/>
        <v>837.08069999999987</v>
      </c>
      <c r="G146" s="161">
        <f t="shared" ca="1" si="1016"/>
        <v>1550.9211999999998</v>
      </c>
      <c r="H146" s="161">
        <f t="shared" ca="1" si="1016"/>
        <v>2315.3831999999998</v>
      </c>
      <c r="I146" s="161">
        <f t="shared" ca="1" si="1016"/>
        <v>2334.0696000000003</v>
      </c>
      <c r="J146" s="161">
        <f t="shared" ca="1" si="1016"/>
        <v>1725.1085</v>
      </c>
      <c r="K146" s="161">
        <f t="shared" ca="1" si="1016"/>
        <v>1509.3829999999998</v>
      </c>
      <c r="L146" s="161">
        <f t="shared" ca="1" si="1016"/>
        <v>2035.4828999999997</v>
      </c>
      <c r="M146" s="161">
        <f t="shared" ca="1" si="1016"/>
        <v>2031.8879999999999</v>
      </c>
      <c r="N146" s="161">
        <f t="shared" ca="1" si="1016"/>
        <v>1763.7479999999998</v>
      </c>
      <c r="O146" s="161">
        <f t="shared" ca="1" si="1016"/>
        <v>1750.1609999999998</v>
      </c>
      <c r="P146" s="161">
        <f t="shared" ca="1" si="1016"/>
        <v>4578.4289999999992</v>
      </c>
      <c r="Q146" s="161">
        <f t="shared" ca="1" si="1016"/>
        <v>5514.9349999999995</v>
      </c>
      <c r="R146" s="161">
        <f t="shared" ca="1" si="1016"/>
        <v>5149.7349999999997</v>
      </c>
      <c r="S146" s="161">
        <f t="shared" ca="1" si="1016"/>
        <v>6401.119999999999</v>
      </c>
      <c r="T146" s="161">
        <f t="shared" ca="1" si="1016"/>
        <v>6419.2949999999992</v>
      </c>
      <c r="U146" s="161">
        <f t="shared" ca="1" si="1016"/>
        <v>5198.7549999999992</v>
      </c>
      <c r="V146" s="161">
        <f t="shared" ca="1" si="1016"/>
        <v>4977.2209999999995</v>
      </c>
      <c r="W146" s="161">
        <f t="shared" ca="1" si="1016"/>
        <v>9452.8059999999987</v>
      </c>
      <c r="X146" s="161">
        <f t="shared" ref="X146:Y146" ca="1" si="1017">+X143+X145</f>
        <v>14849.152999999998</v>
      </c>
      <c r="Y146" s="161">
        <f t="shared" ca="1" si="1017"/>
        <v>24426.471999999998</v>
      </c>
      <c r="Z146" s="161">
        <f t="shared" ref="Z146:AA146" ca="1" si="1018">+Z143+Z145</f>
        <v>36478.923999999992</v>
      </c>
      <c r="AA146" s="161">
        <f t="shared" ref="AA146" ca="1" si="1019">+AA143+AA145</f>
        <v>36478.923999999992</v>
      </c>
      <c r="AB146" s="20">
        <f t="shared" ref="AB146:AD146" ca="1" si="1020">+AB143+AB145</f>
        <v>28564.691994545916</v>
      </c>
      <c r="AC146" s="20">
        <f t="shared" ca="1" si="1020"/>
        <v>19067.385687100079</v>
      </c>
      <c r="AD146" s="20">
        <f t="shared" ca="1" si="1020"/>
        <v>20978.345143842293</v>
      </c>
      <c r="AE146" s="20">
        <f t="shared" ref="AE146" ca="1" si="1021">+AE143+AE145</f>
        <v>23683.063663473022</v>
      </c>
      <c r="AL146" s="161">
        <f t="shared" ref="AL146" si="1022">+AL143+AL145</f>
        <v>797.31799999999987</v>
      </c>
      <c r="AM146" s="161">
        <f t="shared" ref="AM146:AO146" si="1023">+AM143+AM145</f>
        <v>727.15999999999985</v>
      </c>
      <c r="AN146" s="161">
        <f t="shared" si="1023"/>
        <v>665.106140764266</v>
      </c>
      <c r="AO146" s="161">
        <f t="shared" si="1023"/>
        <v>796.63999999999987</v>
      </c>
      <c r="AP146" s="161">
        <f t="shared" ref="AP146:CD146" si="1024">+AP143+AP145</f>
        <v>1086.077635784502</v>
      </c>
      <c r="AQ146" s="161">
        <f t="shared" si="1024"/>
        <v>1857.81</v>
      </c>
      <c r="AR146" s="161">
        <f t="shared" si="1024"/>
        <v>1903.1342794080761</v>
      </c>
      <c r="AS146" s="161">
        <f t="shared" si="1024"/>
        <v>2212.0299999999997</v>
      </c>
      <c r="AT146" s="161">
        <f t="shared" si="1024"/>
        <v>2669.9322265200572</v>
      </c>
      <c r="AU146" s="161">
        <f t="shared" si="1024"/>
        <v>2431.5699999999997</v>
      </c>
      <c r="AV146" s="161">
        <f t="shared" si="1024"/>
        <v>2228.9347653790414</v>
      </c>
      <c r="AW146" s="161">
        <f t="shared" si="1024"/>
        <v>1947.0699999999997</v>
      </c>
      <c r="AX146" s="161">
        <f t="shared" si="1024"/>
        <v>2083.6223476297969</v>
      </c>
      <c r="AY146" s="161">
        <f t="shared" si="1024"/>
        <v>2375.1959999999999</v>
      </c>
      <c r="AZ146" s="161">
        <f t="shared" si="1024"/>
        <v>2405.5096310787117</v>
      </c>
      <c r="BA146" s="161">
        <f t="shared" si="1024"/>
        <v>2014.5999999999997</v>
      </c>
      <c r="BB146" s="161">
        <f t="shared" si="1024"/>
        <v>2290.3264793363724</v>
      </c>
      <c r="BC146" s="161">
        <f t="shared" si="1024"/>
        <v>2713.4799999999996</v>
      </c>
      <c r="BD146" s="161">
        <f t="shared" si="1024"/>
        <v>2804.4847064096816</v>
      </c>
      <c r="BE146" s="161">
        <f t="shared" si="1024"/>
        <v>3161.18</v>
      </c>
      <c r="BF146" s="161">
        <f t="shared" si="1024"/>
        <v>3051.5785984156</v>
      </c>
      <c r="BG146" s="161">
        <f t="shared" si="1024"/>
        <v>3071.6659999999997</v>
      </c>
      <c r="BH146" s="161">
        <f t="shared" si="1024"/>
        <v>3007.2326498422713</v>
      </c>
      <c r="BI146" s="161">
        <f t="shared" si="1024"/>
        <v>2754.8199999999997</v>
      </c>
      <c r="BJ146" s="161">
        <f t="shared" si="1024"/>
        <v>2540.3395845354876</v>
      </c>
      <c r="BK146" s="161">
        <f t="shared" si="1024"/>
        <v>2415.6519999999996</v>
      </c>
      <c r="BL146" s="161">
        <f t="shared" si="1024"/>
        <v>2460.8314777998671</v>
      </c>
      <c r="BM146" s="161">
        <f t="shared" si="1024"/>
        <v>2345.1</v>
      </c>
      <c r="BN146" s="161">
        <f t="shared" si="1024"/>
        <v>2329.3868902077147</v>
      </c>
      <c r="BO146" s="161">
        <f t="shared" si="1024"/>
        <v>1651.6059999999998</v>
      </c>
      <c r="BP146" s="161">
        <f t="shared" si="1024"/>
        <v>1901.0143389675652</v>
      </c>
      <c r="BQ146" s="161">
        <f t="shared" si="1024"/>
        <v>1932.52</v>
      </c>
      <c r="BR146" s="161">
        <f t="shared" si="1024"/>
        <v>2788.7766861313871</v>
      </c>
      <c r="BS146" s="161">
        <f t="shared" si="1024"/>
        <v>3502.7999999999997</v>
      </c>
      <c r="BT146" s="161">
        <f t="shared" si="1024"/>
        <v>4466.7552475247521</v>
      </c>
      <c r="BU146" s="161">
        <f t="shared" si="1024"/>
        <v>4549.0679999999993</v>
      </c>
      <c r="BV146" s="161">
        <f t="shared" si="1024"/>
        <v>4190.6474367971205</v>
      </c>
      <c r="BW146" s="161">
        <f t="shared" si="1024"/>
        <v>5015.2939999999999</v>
      </c>
      <c r="BX146" s="161">
        <f t="shared" si="1024"/>
        <v>6962.9637627118636</v>
      </c>
      <c r="BY146" s="161">
        <f t="shared" si="1024"/>
        <v>7293.9799999999987</v>
      </c>
      <c r="BZ146" s="161">
        <f t="shared" si="1024"/>
        <v>7086.4882668699956</v>
      </c>
      <c r="CA146" s="161">
        <f t="shared" si="1024"/>
        <v>7954.8379999999997</v>
      </c>
      <c r="CB146" s="161">
        <f t="shared" si="1024"/>
        <v>10875.224099441906</v>
      </c>
      <c r="CC146" s="161">
        <f t="shared" si="1024"/>
        <v>12076.019999999999</v>
      </c>
      <c r="CD146" s="161">
        <f t="shared" si="1024"/>
        <v>14259.217520079654</v>
      </c>
      <c r="CE146" s="161">
        <f t="shared" ref="CE146:CF146" si="1025">+CE143+CE145</f>
        <v>17669.899999999998</v>
      </c>
      <c r="CF146" s="161">
        <f t="shared" si="1025"/>
        <v>17929.09545820433</v>
      </c>
      <c r="CG146" s="161">
        <f t="shared" ref="CG146:CH146" si="1026">+CG143+CG145</f>
        <v>16380.531999999999</v>
      </c>
      <c r="CH146" s="161">
        <f t="shared" si="1026"/>
        <v>13370.97672329295</v>
      </c>
      <c r="CI146" s="161">
        <f t="shared" ref="CI146:CJ146" si="1027">+CI143+CI145</f>
        <v>15470.319999999998</v>
      </c>
      <c r="CJ146" s="161">
        <f t="shared" si="1027"/>
        <v>15561.588198590071</v>
      </c>
      <c r="CK146" s="161">
        <f t="shared" ref="CK146" si="1028">+CK148*CK149</f>
        <v>16979.997640004065</v>
      </c>
      <c r="CL146" s="161">
        <f t="shared" ref="CL146" si="1029">+CL143+CL145</f>
        <v>13925.504642857142</v>
      </c>
      <c r="CM146" s="20">
        <f t="shared" ref="CM146:DA146" si="1030">+CM143+CM145</f>
        <v>15213.556702748087</v>
      </c>
      <c r="CN146" s="20">
        <f t="shared" si="1030"/>
        <v>15604.866970270061</v>
      </c>
      <c r="CO146" s="20">
        <f t="shared" si="1030"/>
        <v>15577.678552562102</v>
      </c>
      <c r="CP146" s="20">
        <f t="shared" si="1030"/>
        <v>16117.980518114739</v>
      </c>
      <c r="CQ146" s="20">
        <f t="shared" si="1030"/>
        <v>16521.887814785976</v>
      </c>
      <c r="CR146" s="20">
        <f t="shared" si="1030"/>
        <v>17013.373551770448</v>
      </c>
      <c r="CS146" s="20">
        <f t="shared" si="1030"/>
        <v>17680.657715390316</v>
      </c>
      <c r="CT146" s="20">
        <f t="shared" si="1030"/>
        <v>17884.588826470175</v>
      </c>
      <c r="CU146" s="20">
        <f t="shared" si="1030"/>
        <v>18411.905068774264</v>
      </c>
      <c r="CV146" s="20">
        <f t="shared" si="1030"/>
        <v>18866.634073708181</v>
      </c>
      <c r="CW146" s="20">
        <f t="shared" si="1030"/>
        <v>19439.011045936539</v>
      </c>
      <c r="CX146" s="20">
        <f t="shared" si="1030"/>
        <v>19763.624038763432</v>
      </c>
      <c r="CY146" s="20">
        <f t="shared" si="1030"/>
        <v>20491.434783837289</v>
      </c>
      <c r="CZ146" s="20">
        <f t="shared" si="1030"/>
        <v>21152.447047907077</v>
      </c>
      <c r="DA146" s="20">
        <f t="shared" si="1030"/>
        <v>21932.368340672969</v>
      </c>
      <c r="DD146" s="21"/>
      <c r="DE146" s="161">
        <v>31659.519999999997</v>
      </c>
    </row>
    <row r="147" spans="1:109" s="161" customFormat="1" hidden="1" outlineLevel="1" x14ac:dyDescent="0.2">
      <c r="A147" s="48" t="s">
        <v>345</v>
      </c>
      <c r="B147" s="161">
        <f>+B144+B145</f>
        <v>45.877249999999997</v>
      </c>
      <c r="C147" s="161">
        <f t="shared" ref="C147:W147" si="1031">+C144+C145</f>
        <v>48.427270000000007</v>
      </c>
      <c r="D147" s="161">
        <f t="shared" si="1031"/>
        <v>15.840131600000001</v>
      </c>
      <c r="E147" s="161">
        <f t="shared" ca="1" si="1031"/>
        <v>193.39249999999998</v>
      </c>
      <c r="F147" s="161">
        <f t="shared" ca="1" si="1031"/>
        <v>252.96269999999998</v>
      </c>
      <c r="G147" s="161">
        <f t="shared" ca="1" si="1031"/>
        <v>667.87119999999993</v>
      </c>
      <c r="H147" s="161">
        <f t="shared" ca="1" si="1031"/>
        <v>1200.3912</v>
      </c>
      <c r="I147" s="161">
        <f t="shared" ca="1" si="1031"/>
        <v>1416.2195999999999</v>
      </c>
      <c r="J147" s="161">
        <f t="shared" ca="1" si="1031"/>
        <v>590.62850000000003</v>
      </c>
      <c r="K147" s="161">
        <f t="shared" ca="1" si="1031"/>
        <v>521.23700000000008</v>
      </c>
      <c r="L147" s="161">
        <f t="shared" ca="1" si="1031"/>
        <v>1182.8828999999998</v>
      </c>
      <c r="M147" s="161">
        <f t="shared" ca="1" si="1031"/>
        <v>963.52799999999991</v>
      </c>
      <c r="N147" s="161">
        <f t="shared" ca="1" si="1031"/>
        <v>918.10799999999995</v>
      </c>
      <c r="O147" s="161">
        <f t="shared" ca="1" si="1031"/>
        <v>1077.4769999999999</v>
      </c>
      <c r="P147" s="161">
        <f t="shared" ca="1" si="1031"/>
        <v>1418.5889999999999</v>
      </c>
      <c r="Q147" s="161">
        <f t="shared" ca="1" si="1031"/>
        <v>3548.7349999999997</v>
      </c>
      <c r="R147" s="161">
        <f t="shared" ca="1" si="1031"/>
        <v>3277.8429999999994</v>
      </c>
      <c r="S147" s="161">
        <f t="shared" ca="1" si="1031"/>
        <v>4097.3599999999997</v>
      </c>
      <c r="T147" s="161">
        <f t="shared" ca="1" si="1031"/>
        <v>4470.494999999999</v>
      </c>
      <c r="U147" s="161">
        <f t="shared" ca="1" si="1031"/>
        <v>3498.0789999999993</v>
      </c>
      <c r="V147" s="161">
        <f t="shared" ca="1" si="1031"/>
        <v>2345.9929999999995</v>
      </c>
      <c r="W147" s="161">
        <f t="shared" ca="1" si="1031"/>
        <v>3981.5499999999993</v>
      </c>
      <c r="X147" s="161">
        <f t="shared" ref="X147:Y147" ca="1" si="1032">+X144+X145</f>
        <v>6418.1570000000002</v>
      </c>
      <c r="Y147" s="161">
        <f t="shared" ca="1" si="1032"/>
        <v>11600.584000000001</v>
      </c>
      <c r="Z147" s="161">
        <f t="shared" ref="Z147:AA147" ca="1" si="1033">+Z144+Z145</f>
        <v>21774.531999999999</v>
      </c>
      <c r="AA147" s="161">
        <f t="shared" ref="AA147" ca="1" si="1034">+AA144+AA145</f>
        <v>21774.531999999999</v>
      </c>
      <c r="AB147" s="20">
        <f t="shared" ref="AB147:AD147" ca="1" si="1035">+AB144+AB145</f>
        <v>13341.751206830126</v>
      </c>
      <c r="AC147" s="20">
        <f t="shared" ca="1" si="1035"/>
        <v>13681.791168207161</v>
      </c>
      <c r="AD147" s="20">
        <f t="shared" ca="1" si="1035"/>
        <v>15152.411772800959</v>
      </c>
      <c r="AE147" s="20">
        <f t="shared" ref="AE147" ca="1" si="1036">+AE144+AE145</f>
        <v>16703.819288892966</v>
      </c>
      <c r="AL147" s="161">
        <f t="shared" ref="AL147:AM147" si="1037">+AL144+AL145</f>
        <v>601.56799999999987</v>
      </c>
      <c r="AM147" s="161">
        <f t="shared" si="1037"/>
        <v>598.05199999999979</v>
      </c>
      <c r="AN147" s="161">
        <f t="shared" ref="AN147:AO147" si="1038">+AN144+AN145</f>
        <v>562.6201407642659</v>
      </c>
      <c r="AO147" s="161">
        <f t="shared" si="1038"/>
        <v>566.95999999999992</v>
      </c>
      <c r="AP147" s="161">
        <f t="shared" ref="AP147:CD147" si="1039">+AP144+AP145</f>
        <v>605.83763578450225</v>
      </c>
      <c r="AQ147" s="161">
        <f t="shared" si="1039"/>
        <v>958.22999999999979</v>
      </c>
      <c r="AR147" s="161">
        <f t="shared" si="1039"/>
        <v>1583.6702794080759</v>
      </c>
      <c r="AS147" s="161">
        <f t="shared" si="1039"/>
        <v>1585.6299999999997</v>
      </c>
      <c r="AT147" s="161">
        <f t="shared" si="1039"/>
        <v>1839.7782265200574</v>
      </c>
      <c r="AU147" s="161">
        <f t="shared" si="1039"/>
        <v>1750.36</v>
      </c>
      <c r="AV147" s="161">
        <f t="shared" si="1039"/>
        <v>1698.2347653790412</v>
      </c>
      <c r="AW147" s="161">
        <f t="shared" si="1039"/>
        <v>1709.56</v>
      </c>
      <c r="AX147" s="161">
        <f t="shared" si="1039"/>
        <v>1464.1823476297964</v>
      </c>
      <c r="AY147" s="161">
        <f t="shared" si="1039"/>
        <v>1825.5299999999997</v>
      </c>
      <c r="AZ147" s="161">
        <f t="shared" si="1039"/>
        <v>1788.6796310787117</v>
      </c>
      <c r="BA147" s="161">
        <f t="shared" si="1039"/>
        <v>1718.4519999999998</v>
      </c>
      <c r="BB147" s="161">
        <f t="shared" si="1039"/>
        <v>1827.4864793363724</v>
      </c>
      <c r="BC147" s="161">
        <f t="shared" si="1039"/>
        <v>2200.5279999999998</v>
      </c>
      <c r="BD147" s="161">
        <f t="shared" si="1039"/>
        <v>2176.5187064096813</v>
      </c>
      <c r="BE147" s="161">
        <f t="shared" si="1039"/>
        <v>2412.9799999999996</v>
      </c>
      <c r="BF147" s="161">
        <f t="shared" si="1039"/>
        <v>2404.8205984156002</v>
      </c>
      <c r="BG147" s="161">
        <f t="shared" si="1039"/>
        <v>2553.4939999999997</v>
      </c>
      <c r="BH147" s="161">
        <f t="shared" si="1039"/>
        <v>2276.4326498422715</v>
      </c>
      <c r="BI147" s="161">
        <f t="shared" si="1039"/>
        <v>2187.5799999999995</v>
      </c>
      <c r="BJ147" s="161">
        <f t="shared" si="1039"/>
        <v>1918.4635845354876</v>
      </c>
      <c r="BK147" s="161">
        <f t="shared" si="1039"/>
        <v>2068</v>
      </c>
      <c r="BL147" s="161">
        <f t="shared" si="1039"/>
        <v>1749.6934777998672</v>
      </c>
      <c r="BM147" s="161">
        <f t="shared" si="1039"/>
        <v>1954.8179999999998</v>
      </c>
      <c r="BN147" s="161">
        <f t="shared" si="1039"/>
        <v>1013.7728902077149</v>
      </c>
      <c r="BO147" s="161">
        <f t="shared" si="1039"/>
        <v>1117.5999999999999</v>
      </c>
      <c r="BP147" s="161">
        <f t="shared" si="1039"/>
        <v>1472.6263389675651</v>
      </c>
      <c r="BQ147" s="161">
        <f t="shared" si="1039"/>
        <v>1137.1660000000002</v>
      </c>
      <c r="BR147" s="161">
        <f t="shared" si="1039"/>
        <v>1792.2786861313866</v>
      </c>
      <c r="BS147" s="161">
        <f t="shared" si="1039"/>
        <v>2478.288</v>
      </c>
      <c r="BT147" s="161">
        <f t="shared" si="1039"/>
        <v>3173.239247524752</v>
      </c>
      <c r="BU147" s="161">
        <f t="shared" si="1039"/>
        <v>3751.7999999999997</v>
      </c>
      <c r="BV147" s="161">
        <f t="shared" si="1039"/>
        <v>2919.0554367971208</v>
      </c>
      <c r="BW147" s="161">
        <f t="shared" si="1039"/>
        <v>3839.402</v>
      </c>
      <c r="BX147" s="161">
        <f t="shared" si="1039"/>
        <v>4582.121762711864</v>
      </c>
      <c r="BY147" s="161">
        <f t="shared" si="1039"/>
        <v>5833.9459999999999</v>
      </c>
      <c r="BZ147" s="161">
        <f t="shared" si="1039"/>
        <v>5592.1762668699957</v>
      </c>
      <c r="CA147" s="161">
        <f t="shared" si="1039"/>
        <v>6912.4039999999986</v>
      </c>
      <c r="CB147" s="161">
        <f t="shared" si="1039"/>
        <v>6680.6060994419076</v>
      </c>
      <c r="CC147" s="161">
        <f t="shared" si="1039"/>
        <v>9469.5</v>
      </c>
      <c r="CD147" s="161">
        <f t="shared" si="1039"/>
        <v>10653.241520079655</v>
      </c>
      <c r="CE147" s="161">
        <f t="shared" ref="CE147:CF147" si="1040">+CE144+CE145</f>
        <v>13000.088</v>
      </c>
      <c r="CF147" s="161">
        <f t="shared" si="1040"/>
        <v>14424.909458204333</v>
      </c>
      <c r="CG147" s="161">
        <f t="shared" ref="CG147:CH147" si="1041">+CG144+CG145</f>
        <v>12143.631999999998</v>
      </c>
      <c r="CH147" s="161">
        <f t="shared" si="1041"/>
        <v>9637.8067232929516</v>
      </c>
      <c r="CI147" s="161">
        <f t="shared" ref="CI147:CJ147" si="1042">+CI144+CI145</f>
        <v>10958.499999999998</v>
      </c>
      <c r="CJ147" s="161">
        <f t="shared" si="1042"/>
        <v>12988.12819859007</v>
      </c>
      <c r="CK147" s="161">
        <f t="shared" ref="CK147" si="1043">+CK148*CK150</f>
        <v>14171.971610205641</v>
      </c>
      <c r="CL147" s="161">
        <f t="shared" ref="CL147" si="1044">+CL144+CL145</f>
        <v>11028.404642857142</v>
      </c>
      <c r="CM147" s="20">
        <f t="shared" ref="CM147:DA147" si="1045">+CM144+CM145</f>
        <v>12096.528209565553</v>
      </c>
      <c r="CN147" s="20">
        <f t="shared" si="1045"/>
        <v>12409.453775511085</v>
      </c>
      <c r="CO147" s="20">
        <f t="shared" si="1045"/>
        <v>12372.639467475958</v>
      </c>
      <c r="CP147" s="20">
        <f t="shared" si="1045"/>
        <v>12778.964035293789</v>
      </c>
      <c r="CQ147" s="20">
        <f t="shared" si="1045"/>
        <v>13099.343731052642</v>
      </c>
      <c r="CR147" s="20">
        <f t="shared" si="1045"/>
        <v>13491.998900115619</v>
      </c>
      <c r="CS147" s="20">
        <f t="shared" si="1045"/>
        <v>14008.806163632769</v>
      </c>
      <c r="CT147" s="20">
        <f t="shared" si="1045"/>
        <v>14142.845225895262</v>
      </c>
      <c r="CU147" s="20">
        <f t="shared" si="1045"/>
        <v>14561.45821110639</v>
      </c>
      <c r="CV147" s="20">
        <f t="shared" si="1045"/>
        <v>14924.351088003068</v>
      </c>
      <c r="CW147" s="20">
        <f t="shared" si="1045"/>
        <v>15363.080934640324</v>
      </c>
      <c r="CX147" s="20">
        <f t="shared" si="1045"/>
        <v>15589.944209721336</v>
      </c>
      <c r="CY147" s="20">
        <f t="shared" si="1045"/>
        <v>16167.815956198929</v>
      </c>
      <c r="CZ147" s="20">
        <f t="shared" si="1045"/>
        <v>16694.814987977257</v>
      </c>
      <c r="DA147" s="20">
        <f t="shared" si="1045"/>
        <v>17296.784816853004</v>
      </c>
      <c r="DD147" s="21"/>
      <c r="DE147" s="161">
        <v>20074.599999999999</v>
      </c>
    </row>
    <row r="148" spans="1:109" s="161" customFormat="1" hidden="1" outlineLevel="1" x14ac:dyDescent="0.2">
      <c r="A148" s="48" t="s">
        <v>13</v>
      </c>
      <c r="B148" s="161">
        <f t="shared" ref="B148:AE148" si="1046">+B64</f>
        <v>5.6765000000000327</v>
      </c>
      <c r="C148" s="161">
        <f t="shared" si="1046"/>
        <v>21.682100000000005</v>
      </c>
      <c r="D148" s="161">
        <f t="shared" si="1046"/>
        <v>26.993299999999977</v>
      </c>
      <c r="E148" s="161">
        <f t="shared" si="1046"/>
        <v>29.902299999999997</v>
      </c>
      <c r="F148" s="161">
        <f t="shared" si="1046"/>
        <v>49.564099999999954</v>
      </c>
      <c r="G148" s="161">
        <f t="shared" si="1046"/>
        <v>65.071499999999986</v>
      </c>
      <c r="H148" s="161">
        <f t="shared" si="1046"/>
        <v>83.478000000000009</v>
      </c>
      <c r="I148" s="161">
        <f t="shared" si="1046"/>
        <v>68.184699999999992</v>
      </c>
      <c r="J148" s="161">
        <f t="shared" si="1046"/>
        <v>105.23239999999996</v>
      </c>
      <c r="K148" s="161">
        <f t="shared" si="1046"/>
        <v>112.85470000000012</v>
      </c>
      <c r="L148" s="161">
        <f t="shared" si="1046"/>
        <v>77.976500000000044</v>
      </c>
      <c r="M148" s="161">
        <f t="shared" si="1046"/>
        <v>69.34499999999997</v>
      </c>
      <c r="N148" s="161">
        <f t="shared" si="1046"/>
        <v>92.605999999999995</v>
      </c>
      <c r="O148" s="161">
        <f t="shared" si="1046"/>
        <v>101.96199999999993</v>
      </c>
      <c r="P148" s="161">
        <f t="shared" si="1046"/>
        <v>101.12500000000006</v>
      </c>
      <c r="Q148" s="161">
        <f t="shared" si="1046"/>
        <v>105.92699999999996</v>
      </c>
      <c r="R148" s="161">
        <f t="shared" si="1046"/>
        <v>106.09000000000003</v>
      </c>
      <c r="S148" s="161">
        <f t="shared" si="1046"/>
        <v>107.495</v>
      </c>
      <c r="T148" s="161">
        <f t="shared" si="1046"/>
        <v>128.34000000000009</v>
      </c>
      <c r="U148" s="161">
        <f t="shared" si="1046"/>
        <v>151.73399999999981</v>
      </c>
      <c r="V148" s="161">
        <f t="shared" si="1046"/>
        <v>167.79099999999994</v>
      </c>
      <c r="W148" s="161">
        <f t="shared" si="1046"/>
        <v>209.46699999999998</v>
      </c>
      <c r="X148" s="161">
        <f t="shared" si="1046"/>
        <v>246.649</v>
      </c>
      <c r="Y148" s="161">
        <f t="shared" si="1046"/>
        <v>293.56999999999982</v>
      </c>
      <c r="Z148" s="161">
        <f t="shared" si="1046"/>
        <v>337.53400000000056</v>
      </c>
      <c r="AA148" s="161">
        <f t="shared" ref="AA148" si="1047">+AA64</f>
        <v>373.59500000000014</v>
      </c>
      <c r="AB148" s="20">
        <f t="shared" si="1046"/>
        <v>405.14378395388837</v>
      </c>
      <c r="AC148" s="20">
        <f t="shared" si="1046"/>
        <v>454.55477844432357</v>
      </c>
      <c r="AD148" s="20">
        <f t="shared" si="1046"/>
        <v>499.75724949394635</v>
      </c>
      <c r="AE148" s="20">
        <f t="shared" si="1046"/>
        <v>549.62165038291232</v>
      </c>
      <c r="AL148" s="161">
        <f t="shared" ref="AL148:BQ148" si="1048">+SUM(AI64:AL64)</f>
        <v>99.080000000000013</v>
      </c>
      <c r="AM148" s="161">
        <f t="shared" si="1048"/>
        <v>101.28999999999999</v>
      </c>
      <c r="AN148" s="161">
        <f t="shared" si="1048"/>
        <v>108.75999999999999</v>
      </c>
      <c r="AO148" s="161">
        <f t="shared" si="1048"/>
        <v>100.57</v>
      </c>
      <c r="AP148" s="161">
        <f t="shared" si="1048"/>
        <v>103.98</v>
      </c>
      <c r="AQ148" s="161">
        <f t="shared" si="1048"/>
        <v>106.39000000000003</v>
      </c>
      <c r="AR148" s="161">
        <f t="shared" si="1048"/>
        <v>103.22000000000003</v>
      </c>
      <c r="AS148" s="161">
        <f t="shared" si="1048"/>
        <v>99.300000000000026</v>
      </c>
      <c r="AT148" s="161">
        <f t="shared" si="1048"/>
        <v>86.339999999999989</v>
      </c>
      <c r="AU148" s="161">
        <f t="shared" si="1048"/>
        <v>78.829999999999956</v>
      </c>
      <c r="AV148" s="161">
        <f t="shared" si="1048"/>
        <v>80.939999999999941</v>
      </c>
      <c r="AW148" s="161">
        <f t="shared" si="1048"/>
        <v>104.11999999999991</v>
      </c>
      <c r="AX148" s="161">
        <f t="shared" si="1048"/>
        <v>118.59999999999994</v>
      </c>
      <c r="AY148" s="161">
        <f t="shared" si="1048"/>
        <v>123.36999999999998</v>
      </c>
      <c r="AZ148" s="161">
        <f t="shared" si="1048"/>
        <v>108.65999999999998</v>
      </c>
      <c r="BA148" s="161">
        <f t="shared" si="1048"/>
        <v>105.29000000000002</v>
      </c>
      <c r="BB148" s="161">
        <f t="shared" si="1048"/>
        <v>99.04000000000002</v>
      </c>
      <c r="BC148" s="161">
        <f t="shared" si="1048"/>
        <v>96.24</v>
      </c>
      <c r="BD148" s="161">
        <f t="shared" si="1048"/>
        <v>102.90999999999998</v>
      </c>
      <c r="BE148" s="161">
        <f t="shared" si="1048"/>
        <v>107.59999999999995</v>
      </c>
      <c r="BF148" s="161">
        <f t="shared" si="1048"/>
        <v>106.99999999999996</v>
      </c>
      <c r="BG148" s="161">
        <f t="shared" si="1048"/>
        <v>111.79999999999995</v>
      </c>
      <c r="BH148" s="161">
        <f t="shared" si="1048"/>
        <v>122.79999999999995</v>
      </c>
      <c r="BI148" s="161">
        <f t="shared" si="1048"/>
        <v>128.4</v>
      </c>
      <c r="BJ148" s="161">
        <f t="shared" si="1048"/>
        <v>140.39999999999995</v>
      </c>
      <c r="BK148" s="161">
        <f t="shared" si="1048"/>
        <v>143.89999999999998</v>
      </c>
      <c r="BL148" s="161">
        <f t="shared" si="1048"/>
        <v>150.5</v>
      </c>
      <c r="BM148" s="161">
        <f t="shared" si="1048"/>
        <v>150.29999999999995</v>
      </c>
      <c r="BN148" s="161">
        <f t="shared" si="1048"/>
        <v>136.50000000000003</v>
      </c>
      <c r="BO148" s="161">
        <f t="shared" si="1048"/>
        <v>118.00000000000004</v>
      </c>
      <c r="BP148" s="161">
        <f t="shared" si="1048"/>
        <v>140.20000000000002</v>
      </c>
      <c r="BQ148" s="161">
        <f t="shared" si="1048"/>
        <v>167.8</v>
      </c>
      <c r="BR148" s="161">
        <f t="shared" ref="BR148:CW148" si="1049">+SUM(BO64:BR64)</f>
        <v>211.8</v>
      </c>
      <c r="BS148" s="161">
        <f t="shared" si="1049"/>
        <v>237.5</v>
      </c>
      <c r="BT148" s="161">
        <f t="shared" si="1049"/>
        <v>228.30000000000007</v>
      </c>
      <c r="BU148" s="161">
        <f t="shared" si="1049"/>
        <v>209.40000000000009</v>
      </c>
      <c r="BV148" s="161">
        <f t="shared" si="1049"/>
        <v>202.10000000000008</v>
      </c>
      <c r="BW148" s="161">
        <f t="shared" si="1049"/>
        <v>223.90000000000003</v>
      </c>
      <c r="BX148" s="161">
        <f t="shared" si="1049"/>
        <v>226.3</v>
      </c>
      <c r="BY148" s="161">
        <f t="shared" si="1049"/>
        <v>246.69999999999996</v>
      </c>
      <c r="BZ148" s="161">
        <f t="shared" si="1049"/>
        <v>249.19999999999996</v>
      </c>
      <c r="CA148" s="161">
        <f t="shared" si="1049"/>
        <v>273.29999999999995</v>
      </c>
      <c r="CB148" s="161">
        <f t="shared" si="1049"/>
        <v>289.5</v>
      </c>
      <c r="CC148" s="161">
        <f t="shared" si="1049"/>
        <v>293.60000000000002</v>
      </c>
      <c r="CD148" s="161">
        <f t="shared" si="1049"/>
        <v>297.30000000000007</v>
      </c>
      <c r="CE148" s="161">
        <f t="shared" si="1049"/>
        <v>302.70000000000005</v>
      </c>
      <c r="CF148" s="161">
        <f t="shared" si="1049"/>
        <v>320</v>
      </c>
      <c r="CG148" s="161">
        <f t="shared" si="1049"/>
        <v>337.49999999999994</v>
      </c>
      <c r="CH148" s="161">
        <f t="shared" si="1049"/>
        <v>344.29999999999995</v>
      </c>
      <c r="CI148" s="161">
        <f t="shared" si="1049"/>
        <v>345.1</v>
      </c>
      <c r="CJ148" s="161">
        <f t="shared" si="1049"/>
        <v>342.30000000000018</v>
      </c>
      <c r="CK148" s="161">
        <f t="shared" si="1049"/>
        <v>373.50000000000017</v>
      </c>
      <c r="CL148" s="161">
        <f t="shared" si="1049"/>
        <v>356.60000000000008</v>
      </c>
      <c r="CM148" s="20">
        <f t="shared" si="1049"/>
        <v>379.88292848409765</v>
      </c>
      <c r="CN148" s="20">
        <f t="shared" si="1049"/>
        <v>393.26963764653965</v>
      </c>
      <c r="CO148" s="20">
        <f t="shared" si="1049"/>
        <v>405.14378395388871</v>
      </c>
      <c r="CP148" s="20">
        <f t="shared" si="1049"/>
        <v>421.22206596486836</v>
      </c>
      <c r="CQ148" s="20">
        <f t="shared" si="1049"/>
        <v>432.7700207496448</v>
      </c>
      <c r="CR148" s="20">
        <f t="shared" si="1049"/>
        <v>440.32048411078983</v>
      </c>
      <c r="CS148" s="20">
        <f t="shared" si="1049"/>
        <v>454.55477844432392</v>
      </c>
      <c r="CT148" s="20">
        <f t="shared" si="1049"/>
        <v>461.57325599078547</v>
      </c>
      <c r="CU148" s="20">
        <f t="shared" si="1049"/>
        <v>473.95362481861952</v>
      </c>
      <c r="CV148" s="20">
        <f t="shared" si="1049"/>
        <v>484.13136584719314</v>
      </c>
      <c r="CW148" s="20">
        <f t="shared" si="1049"/>
        <v>499.75724949394601</v>
      </c>
      <c r="CX148" s="20">
        <f t="shared" ref="CX148:DA148" si="1050">+SUM(CU64:CX64)</f>
        <v>507.1778537399004</v>
      </c>
      <c r="CY148" s="20">
        <f t="shared" si="1050"/>
        <v>520.948437495598</v>
      </c>
      <c r="CZ148" s="20">
        <f t="shared" si="1050"/>
        <v>532.47745867075673</v>
      </c>
      <c r="DA148" s="20">
        <f t="shared" si="1050"/>
        <v>549.62165038291209</v>
      </c>
      <c r="DD148" s="21"/>
      <c r="DE148" s="161">
        <v>373.49999999999966</v>
      </c>
    </row>
    <row r="149" spans="1:109" s="161" customFormat="1" hidden="1" outlineLevel="1" x14ac:dyDescent="0.2">
      <c r="A149" s="48" t="s">
        <v>343</v>
      </c>
      <c r="B149" s="161">
        <f>+B146/B148</f>
        <v>12.956578877829573</v>
      </c>
      <c r="C149" s="161">
        <f t="shared" ref="C149:W149" si="1051">+C146/C148</f>
        <v>2.6721585778130343</v>
      </c>
      <c r="D149" s="161">
        <f t="shared" si="1051"/>
        <v>0.91306009268966826</v>
      </c>
      <c r="E149" s="161">
        <f t="shared" ca="1" si="1051"/>
        <v>18.629085388080515</v>
      </c>
      <c r="F149" s="161">
        <f t="shared" ca="1" si="1051"/>
        <v>16.888851003044554</v>
      </c>
      <c r="G149" s="161">
        <f t="shared" ca="1" si="1051"/>
        <v>23.834108634348372</v>
      </c>
      <c r="H149" s="161">
        <f t="shared" ca="1" si="1051"/>
        <v>27.736447926399766</v>
      </c>
      <c r="I149" s="161">
        <f t="shared" ca="1" si="1051"/>
        <v>34.23157394547458</v>
      </c>
      <c r="J149" s="161">
        <f t="shared" ca="1" si="1051"/>
        <v>16.393320878360665</v>
      </c>
      <c r="K149" s="161">
        <f t="shared" ca="1" si="1051"/>
        <v>13.374569247005203</v>
      </c>
      <c r="L149" s="161">
        <f t="shared" ca="1" si="1051"/>
        <v>26.103799221560323</v>
      </c>
      <c r="M149" s="161">
        <f t="shared" ca="1" si="1051"/>
        <v>29.301146441704532</v>
      </c>
      <c r="N149" s="161">
        <f t="shared" ca="1" si="1051"/>
        <v>19.045720579660063</v>
      </c>
      <c r="O149" s="161">
        <f t="shared" ca="1" si="1051"/>
        <v>17.16483591926405</v>
      </c>
      <c r="P149" s="161">
        <f t="shared" ca="1" si="1051"/>
        <v>45.274946847960415</v>
      </c>
      <c r="Q149" s="161">
        <f t="shared" ca="1" si="1051"/>
        <v>52.063543761269564</v>
      </c>
      <c r="R149" s="161">
        <f t="shared" ca="1" si="1051"/>
        <v>48.541191441229124</v>
      </c>
      <c r="S149" s="161">
        <f t="shared" ca="1" si="1051"/>
        <v>59.548072003348977</v>
      </c>
      <c r="T149" s="161">
        <f t="shared" ca="1" si="1051"/>
        <v>50.017882187938248</v>
      </c>
      <c r="U149" s="161">
        <f t="shared" ca="1" si="1051"/>
        <v>34.262294541763914</v>
      </c>
      <c r="V149" s="161">
        <f t="shared" ca="1" si="1051"/>
        <v>29.66321793183187</v>
      </c>
      <c r="W149" s="161">
        <f t="shared" ca="1" si="1051"/>
        <v>45.127900814925496</v>
      </c>
      <c r="X149" s="161">
        <f t="shared" ref="X149:Y149" ca="1" si="1052">+X146/X148</f>
        <v>60.203580797003021</v>
      </c>
      <c r="Y149" s="161">
        <f t="shared" ca="1" si="1052"/>
        <v>83.204932384099237</v>
      </c>
      <c r="Z149" s="161">
        <f t="shared" ref="Z149:AA149" ca="1" si="1053">+Z146/Z148</f>
        <v>108.07481320400295</v>
      </c>
      <c r="AA149" s="161">
        <f t="shared" ref="AA149" ca="1" si="1054">+AA146/AA148</f>
        <v>108.07481320400295</v>
      </c>
      <c r="AB149" s="20">
        <f t="shared" ref="AB149:AD149" ca="1" si="1055">+AB146/AB148</f>
        <v>70.50507283062997</v>
      </c>
      <c r="AC149" s="20">
        <f t="shared" ca="1" si="1055"/>
        <v>41.947388062571122</v>
      </c>
      <c r="AD149" s="20">
        <f t="shared" ca="1" si="1055"/>
        <v>41.977070197750891</v>
      </c>
      <c r="AE149" s="20">
        <f t="shared" ref="AE149" ca="1" si="1056">+AE146/AE148</f>
        <v>43.089757557718883</v>
      </c>
      <c r="AL149" s="161">
        <f t="shared" ref="AL149" si="1057">+AL146/AL148</f>
        <v>8.0472143722244631</v>
      </c>
      <c r="AM149" s="161">
        <f t="shared" ref="AM149:AO149" si="1058">+AM146/AM148</f>
        <v>7.1789910158949546</v>
      </c>
      <c r="AN149" s="161">
        <f t="shared" si="1058"/>
        <v>6.1153562041583855</v>
      </c>
      <c r="AO149" s="161">
        <f t="shared" si="1058"/>
        <v>7.9212488813761555</v>
      </c>
      <c r="AP149" s="161">
        <f t="shared" ref="AP149:CD149" si="1059">+AP146/AP148</f>
        <v>10.445062856169475</v>
      </c>
      <c r="AQ149" s="161">
        <f t="shared" si="1059"/>
        <v>17.462261490741607</v>
      </c>
      <c r="AR149" s="161">
        <f t="shared" si="1059"/>
        <v>18.437650449603524</v>
      </c>
      <c r="AS149" s="161">
        <f t="shared" si="1059"/>
        <v>22.276233635448129</v>
      </c>
      <c r="AT149" s="161">
        <f t="shared" si="1059"/>
        <v>30.923467993051396</v>
      </c>
      <c r="AU149" s="161">
        <f t="shared" si="1059"/>
        <v>30.845744006089067</v>
      </c>
      <c r="AV149" s="161">
        <f t="shared" si="1059"/>
        <v>27.538111754127044</v>
      </c>
      <c r="AW149" s="161">
        <f t="shared" si="1059"/>
        <v>18.700249711870931</v>
      </c>
      <c r="AX149" s="161">
        <f t="shared" si="1059"/>
        <v>17.568485224534552</v>
      </c>
      <c r="AY149" s="161">
        <f t="shared" si="1059"/>
        <v>19.252622193401965</v>
      </c>
      <c r="AZ149" s="161">
        <f t="shared" si="1059"/>
        <v>22.137949853476091</v>
      </c>
      <c r="BA149" s="161">
        <f t="shared" si="1059"/>
        <v>19.133820875676697</v>
      </c>
      <c r="BB149" s="161">
        <f t="shared" si="1059"/>
        <v>23.125267360019912</v>
      </c>
      <c r="BC149" s="161">
        <f t="shared" si="1059"/>
        <v>28.194929343308392</v>
      </c>
      <c r="BD149" s="161">
        <f t="shared" si="1059"/>
        <v>27.25181912748695</v>
      </c>
      <c r="BE149" s="161">
        <f t="shared" si="1059"/>
        <v>29.378996282527893</v>
      </c>
      <c r="BF149" s="161">
        <f t="shared" si="1059"/>
        <v>28.519426153416834</v>
      </c>
      <c r="BG149" s="161">
        <f t="shared" si="1059"/>
        <v>27.474651162790707</v>
      </c>
      <c r="BH149" s="161">
        <f t="shared" si="1059"/>
        <v>24.488865226728603</v>
      </c>
      <c r="BI149" s="161">
        <f t="shared" si="1059"/>
        <v>21.454984423676009</v>
      </c>
      <c r="BJ149" s="161">
        <f t="shared" si="1059"/>
        <v>18.093586784440802</v>
      </c>
      <c r="BK149" s="161">
        <f t="shared" si="1059"/>
        <v>16.787018763029881</v>
      </c>
      <c r="BL149" s="161">
        <f t="shared" si="1059"/>
        <v>16.351039719600447</v>
      </c>
      <c r="BM149" s="161">
        <f t="shared" si="1059"/>
        <v>15.60279441117765</v>
      </c>
      <c r="BN149" s="161">
        <f t="shared" si="1059"/>
        <v>17.065105422767136</v>
      </c>
      <c r="BO149" s="161">
        <f t="shared" si="1059"/>
        <v>13.996661016949146</v>
      </c>
      <c r="BP149" s="161">
        <f t="shared" si="1059"/>
        <v>13.559303416316441</v>
      </c>
      <c r="BQ149" s="161">
        <f t="shared" si="1059"/>
        <v>11.516805721096542</v>
      </c>
      <c r="BR149" s="161">
        <f t="shared" si="1059"/>
        <v>13.16702873527567</v>
      </c>
      <c r="BS149" s="161">
        <f t="shared" si="1059"/>
        <v>14.748631578947368</v>
      </c>
      <c r="BT149" s="161">
        <f t="shared" si="1059"/>
        <v>19.565287987405828</v>
      </c>
      <c r="BU149" s="161">
        <f t="shared" si="1059"/>
        <v>21.724297994269328</v>
      </c>
      <c r="BV149" s="161">
        <f t="shared" si="1059"/>
        <v>20.735514284003557</v>
      </c>
      <c r="BW149" s="161">
        <f t="shared" si="1059"/>
        <v>22.399705225547116</v>
      </c>
      <c r="BX149" s="161">
        <f t="shared" si="1059"/>
        <v>30.768730723428472</v>
      </c>
      <c r="BY149" s="161">
        <f t="shared" si="1059"/>
        <v>29.566193757600324</v>
      </c>
      <c r="BZ149" s="161">
        <f t="shared" si="1059"/>
        <v>28.436951311677355</v>
      </c>
      <c r="CA149" s="161">
        <f t="shared" si="1059"/>
        <v>29.106615440907433</v>
      </c>
      <c r="CB149" s="161">
        <f t="shared" si="1059"/>
        <v>37.565540930714704</v>
      </c>
      <c r="CC149" s="161">
        <f t="shared" si="1059"/>
        <v>41.130858310626692</v>
      </c>
      <c r="CD149" s="161">
        <f t="shared" si="1059"/>
        <v>47.962386545844772</v>
      </c>
      <c r="CE149" s="161">
        <f t="shared" ref="CE149:CF149" si="1060">+CE146/CE148</f>
        <v>58.37429798480342</v>
      </c>
      <c r="CF149" s="161">
        <f t="shared" si="1060"/>
        <v>56.028423306888534</v>
      </c>
      <c r="CG149" s="161">
        <f t="shared" ref="CG149:CH149" si="1061">+CG146/CG148</f>
        <v>48.534909629629638</v>
      </c>
      <c r="CH149" s="161">
        <f t="shared" si="1061"/>
        <v>38.835250430708541</v>
      </c>
      <c r="CI149" s="161">
        <f t="shared" ref="CI149:CJ149" si="1062">+CI146/CI148</f>
        <v>44.828513474355248</v>
      </c>
      <c r="CJ149" s="161">
        <f t="shared" si="1062"/>
        <v>45.461841070961327</v>
      </c>
      <c r="CK149" s="161">
        <f t="shared" ref="CK149" si="1063">+CJ149</f>
        <v>45.461841070961327</v>
      </c>
      <c r="CL149" s="161">
        <f t="shared" ref="CL149" si="1064">+CL146/CL148</f>
        <v>39.050770170659391</v>
      </c>
      <c r="CM149" s="20">
        <f t="shared" ref="CM149:DA149" si="1065">+CM146/CM148</f>
        <v>40.048013643195191</v>
      </c>
      <c r="CN149" s="20">
        <f t="shared" si="1065"/>
        <v>39.679816279880988</v>
      </c>
      <c r="CO149" s="20">
        <f t="shared" si="1065"/>
        <v>38.44975332099645</v>
      </c>
      <c r="CP149" s="20">
        <f t="shared" si="1065"/>
        <v>38.264805717607025</v>
      </c>
      <c r="CQ149" s="20">
        <f t="shared" si="1065"/>
        <v>38.177061770976508</v>
      </c>
      <c r="CR149" s="20">
        <f t="shared" si="1065"/>
        <v>38.638614749273579</v>
      </c>
      <c r="CS149" s="20">
        <f t="shared" si="1065"/>
        <v>38.896649103328983</v>
      </c>
      <c r="CT149" s="20">
        <f t="shared" si="1065"/>
        <v>38.747021397676498</v>
      </c>
      <c r="CU149" s="20">
        <f t="shared" si="1065"/>
        <v>38.847482337159967</v>
      </c>
      <c r="CV149" s="20">
        <f t="shared" si="1065"/>
        <v>38.970071771104941</v>
      </c>
      <c r="CW149" s="20">
        <f t="shared" si="1065"/>
        <v>38.896906579385238</v>
      </c>
      <c r="CX149" s="20">
        <f t="shared" si="1065"/>
        <v>38.967837205484429</v>
      </c>
      <c r="CY149" s="20">
        <f t="shared" si="1065"/>
        <v>39.334861780846481</v>
      </c>
      <c r="CZ149" s="20">
        <f t="shared" si="1065"/>
        <v>39.724586841123219</v>
      </c>
      <c r="DA149" s="20">
        <f t="shared" si="1065"/>
        <v>39.904483976191727</v>
      </c>
      <c r="DD149" s="21"/>
      <c r="DE149" s="161">
        <v>84.764444444444507</v>
      </c>
    </row>
    <row r="150" spans="1:109" s="161" customFormat="1" hidden="1" outlineLevel="1" x14ac:dyDescent="0.2">
      <c r="A150" s="48" t="s">
        <v>344</v>
      </c>
      <c r="B150" s="161">
        <f>+B147/B148</f>
        <v>8.0819607152294068</v>
      </c>
      <c r="C150" s="161">
        <f t="shared" ref="C150:W150" si="1066">+C147/C148</f>
        <v>2.2335138201557965</v>
      </c>
      <c r="D150" s="161">
        <f t="shared" si="1066"/>
        <v>0.58681715833188286</v>
      </c>
      <c r="E150" s="161">
        <f t="shared" ca="1" si="1066"/>
        <v>6.4674790902372061</v>
      </c>
      <c r="F150" s="161">
        <f t="shared" ca="1" si="1066"/>
        <v>5.1037484792420367</v>
      </c>
      <c r="G150" s="161">
        <f t="shared" ca="1" si="1066"/>
        <v>10.263651521787573</v>
      </c>
      <c r="H150" s="161">
        <f t="shared" ca="1" si="1066"/>
        <v>14.379731186659956</v>
      </c>
      <c r="I150" s="161">
        <f t="shared" ca="1" si="1066"/>
        <v>20.770342906839804</v>
      </c>
      <c r="J150" s="161">
        <f t="shared" ca="1" si="1066"/>
        <v>5.6126107548625734</v>
      </c>
      <c r="K150" s="161">
        <f t="shared" ca="1" si="1066"/>
        <v>4.618655669635376</v>
      </c>
      <c r="L150" s="161">
        <f t="shared" ca="1" si="1066"/>
        <v>15.169735753720662</v>
      </c>
      <c r="M150" s="161">
        <f t="shared" ca="1" si="1066"/>
        <v>13.894700410988539</v>
      </c>
      <c r="N150" s="161">
        <f t="shared" ca="1" si="1066"/>
        <v>9.914130833855257</v>
      </c>
      <c r="O150" s="161">
        <f t="shared" ca="1" si="1066"/>
        <v>10.567436888252493</v>
      </c>
      <c r="P150" s="161">
        <f t="shared" ca="1" si="1066"/>
        <v>14.02807416563658</v>
      </c>
      <c r="Q150" s="161">
        <f t="shared" ca="1" si="1066"/>
        <v>33.501704003700667</v>
      </c>
      <c r="R150" s="161">
        <f t="shared" ca="1" si="1066"/>
        <v>30.896814025827112</v>
      </c>
      <c r="S150" s="161">
        <f t="shared" ca="1" si="1066"/>
        <v>38.116749616261217</v>
      </c>
      <c r="T150" s="161">
        <f t="shared" ca="1" si="1066"/>
        <v>34.83321645628795</v>
      </c>
      <c r="U150" s="161">
        <f t="shared" ca="1" si="1066"/>
        <v>23.054022170377131</v>
      </c>
      <c r="V150" s="161">
        <f t="shared" ca="1" si="1066"/>
        <v>13.981637870922757</v>
      </c>
      <c r="W150" s="161">
        <f t="shared" ca="1" si="1066"/>
        <v>19.008006034363405</v>
      </c>
      <c r="X150" s="161">
        <f t="shared" ref="X150:Y150" ca="1" si="1067">+X147/X148</f>
        <v>26.021419101638362</v>
      </c>
      <c r="Y150" s="161">
        <f t="shared" ca="1" si="1067"/>
        <v>39.515563579384839</v>
      </c>
      <c r="Z150" s="161">
        <f t="shared" ref="Z150:AA150" ca="1" si="1068">+Z147/Z148</f>
        <v>64.510633002897379</v>
      </c>
      <c r="AA150" s="161">
        <f t="shared" ref="AA150" ca="1" si="1069">+AA147/AA148</f>
        <v>64.510633002897379</v>
      </c>
      <c r="AB150" s="20">
        <f t="shared" ref="AB150:AD150" ca="1" si="1070">+AB147/AB148</f>
        <v>32.930904373319038</v>
      </c>
      <c r="AC150" s="20">
        <f t="shared" ca="1" si="1070"/>
        <v>30.099323155356476</v>
      </c>
      <c r="AD150" s="20">
        <f t="shared" ca="1" si="1070"/>
        <v>30.319543714762066</v>
      </c>
      <c r="AE150" s="20">
        <f t="shared" ref="AE150" ca="1" si="1071">+AE147/AE148</f>
        <v>30.391487084352828</v>
      </c>
      <c r="AL150" s="161">
        <f t="shared" ref="AL150:AM150" si="1072">+AL147/AL148</f>
        <v>6.071538150989098</v>
      </c>
      <c r="AM150" s="161">
        <f t="shared" si="1072"/>
        <v>5.9043538355217677</v>
      </c>
      <c r="AN150" s="161">
        <f t="shared" ref="AN150:AO150" si="1073">+AN147/AN148</f>
        <v>5.1730428536618787</v>
      </c>
      <c r="AO150" s="161">
        <f t="shared" si="1073"/>
        <v>5.6374664412846771</v>
      </c>
      <c r="AP150" s="161">
        <f t="shared" ref="AP150:CD150" si="1074">+AP147/AP148</f>
        <v>5.826482359920198</v>
      </c>
      <c r="AQ150" s="161">
        <f t="shared" si="1074"/>
        <v>9.0067675533414757</v>
      </c>
      <c r="AR150" s="161">
        <f t="shared" si="1074"/>
        <v>15.342668856888931</v>
      </c>
      <c r="AS150" s="161">
        <f t="shared" si="1074"/>
        <v>15.968076535750244</v>
      </c>
      <c r="AT150" s="161">
        <f t="shared" si="1074"/>
        <v>21.308527061849173</v>
      </c>
      <c r="AU150" s="161">
        <f t="shared" si="1074"/>
        <v>22.204236965622236</v>
      </c>
      <c r="AV150" s="161">
        <f t="shared" si="1074"/>
        <v>20.981403081035857</v>
      </c>
      <c r="AW150" s="161">
        <f t="shared" si="1074"/>
        <v>16.419131771033438</v>
      </c>
      <c r="AX150" s="161">
        <f t="shared" si="1074"/>
        <v>12.345550991819538</v>
      </c>
      <c r="AY150" s="161">
        <f t="shared" si="1074"/>
        <v>14.797195428386157</v>
      </c>
      <c r="AZ150" s="161">
        <f t="shared" si="1074"/>
        <v>16.461251896546219</v>
      </c>
      <c r="BA150" s="161">
        <f t="shared" si="1074"/>
        <v>16.321132111311609</v>
      </c>
      <c r="BB150" s="161">
        <f t="shared" si="1074"/>
        <v>18.452004032071606</v>
      </c>
      <c r="BC150" s="161">
        <f t="shared" si="1074"/>
        <v>22.865004156275976</v>
      </c>
      <c r="BD150" s="161">
        <f t="shared" si="1074"/>
        <v>21.149729923327971</v>
      </c>
      <c r="BE150" s="161">
        <f t="shared" si="1074"/>
        <v>22.425464684014877</v>
      </c>
      <c r="BF150" s="161">
        <f t="shared" si="1074"/>
        <v>22.474958863697207</v>
      </c>
      <c r="BG150" s="161">
        <f t="shared" si="1074"/>
        <v>22.839838998211096</v>
      </c>
      <c r="BH150" s="161">
        <f t="shared" si="1074"/>
        <v>18.537725161582024</v>
      </c>
      <c r="BI150" s="161">
        <f t="shared" si="1074"/>
        <v>17.037227414330214</v>
      </c>
      <c r="BJ150" s="161">
        <f t="shared" si="1074"/>
        <v>13.664270545124561</v>
      </c>
      <c r="BK150" s="161">
        <f t="shared" si="1074"/>
        <v>14.371091035441282</v>
      </c>
      <c r="BL150" s="161">
        <f t="shared" si="1074"/>
        <v>11.625870284384499</v>
      </c>
      <c r="BM150" s="161">
        <f t="shared" si="1074"/>
        <v>13.006107784431141</v>
      </c>
      <c r="BN150" s="161">
        <f t="shared" si="1074"/>
        <v>7.4269076205693381</v>
      </c>
      <c r="BO150" s="161">
        <f t="shared" si="1074"/>
        <v>9.4711864406779611</v>
      </c>
      <c r="BP150" s="161">
        <f t="shared" si="1074"/>
        <v>10.503754200909878</v>
      </c>
      <c r="BQ150" s="161">
        <f t="shared" si="1074"/>
        <v>6.7769129916567348</v>
      </c>
      <c r="BR150" s="161">
        <f t="shared" si="1074"/>
        <v>8.4621278854173116</v>
      </c>
      <c r="BS150" s="161">
        <f t="shared" si="1074"/>
        <v>10.434896842105264</v>
      </c>
      <c r="BT150" s="161">
        <f t="shared" si="1074"/>
        <v>13.899427277813189</v>
      </c>
      <c r="BU150" s="161">
        <f t="shared" si="1074"/>
        <v>17.916905444126066</v>
      </c>
      <c r="BV150" s="161">
        <f t="shared" si="1074"/>
        <v>14.443619182568629</v>
      </c>
      <c r="BW150" s="161">
        <f t="shared" si="1074"/>
        <v>17.14784278695846</v>
      </c>
      <c r="BX150" s="161">
        <f t="shared" si="1074"/>
        <v>20.247997183879203</v>
      </c>
      <c r="BY150" s="161">
        <f t="shared" si="1074"/>
        <v>23.647936765301989</v>
      </c>
      <c r="BZ150" s="161">
        <f t="shared" si="1074"/>
        <v>22.4405147145666</v>
      </c>
      <c r="CA150" s="161">
        <f t="shared" si="1074"/>
        <v>25.292367361873399</v>
      </c>
      <c r="CB150" s="161">
        <f t="shared" si="1074"/>
        <v>23.076359583564447</v>
      </c>
      <c r="CC150" s="161">
        <f t="shared" si="1074"/>
        <v>32.253065395095362</v>
      </c>
      <c r="CD150" s="161">
        <f t="shared" si="1074"/>
        <v>35.833304810224192</v>
      </c>
      <c r="CE150" s="161">
        <f t="shared" ref="CE150:CF150" si="1075">+CE147/CE148</f>
        <v>42.947102741988758</v>
      </c>
      <c r="CF150" s="161">
        <f t="shared" si="1075"/>
        <v>45.077842056888542</v>
      </c>
      <c r="CG150" s="161">
        <f t="shared" ref="CG150:CH150" si="1076">+CG147/CG148</f>
        <v>35.981131851851849</v>
      </c>
      <c r="CH150" s="161">
        <f t="shared" si="1076"/>
        <v>27.992467973549093</v>
      </c>
      <c r="CI150" s="161">
        <f t="shared" ref="CI150:CJ150" si="1077">+CI147/CI148</f>
        <v>31.754563894523319</v>
      </c>
      <c r="CJ150" s="161">
        <f t="shared" si="1077"/>
        <v>37.94369909024266</v>
      </c>
      <c r="CK150" s="161">
        <f t="shared" ref="CK150" si="1078">+CJ150</f>
        <v>37.94369909024266</v>
      </c>
      <c r="CL150" s="161">
        <f t="shared" ref="CL150" si="1079">+CL147/CL148</f>
        <v>30.926541342841109</v>
      </c>
      <c r="CM150" s="20">
        <f t="shared" ref="CM150:DA150" si="1080">+CM147/CM148</f>
        <v>31.84277918946265</v>
      </c>
      <c r="CN150" s="20">
        <f t="shared" si="1080"/>
        <v>31.554568640929187</v>
      </c>
      <c r="CO150" s="20">
        <f t="shared" si="1080"/>
        <v>30.538885100811875</v>
      </c>
      <c r="CP150" s="20">
        <f t="shared" si="1080"/>
        <v>30.337831438202972</v>
      </c>
      <c r="CQ150" s="20">
        <f t="shared" si="1080"/>
        <v>30.26860249783925</v>
      </c>
      <c r="CR150" s="20">
        <f t="shared" si="1080"/>
        <v>30.641315557603885</v>
      </c>
      <c r="CS150" s="20">
        <f t="shared" si="1080"/>
        <v>30.818741388170526</v>
      </c>
      <c r="CT150" s="20">
        <f t="shared" si="1080"/>
        <v>30.640521395757816</v>
      </c>
      <c r="CU150" s="20">
        <f t="shared" si="1080"/>
        <v>30.723381885050486</v>
      </c>
      <c r="CV150" s="20">
        <f t="shared" si="1080"/>
        <v>30.82706914039041</v>
      </c>
      <c r="CW150" s="20">
        <f t="shared" si="1080"/>
        <v>30.741086697985818</v>
      </c>
      <c r="CX150" s="20">
        <f t="shared" si="1080"/>
        <v>30.738613870384878</v>
      </c>
      <c r="CY150" s="20">
        <f t="shared" si="1080"/>
        <v>31.03534782429508</v>
      </c>
      <c r="CZ150" s="20">
        <f t="shared" si="1080"/>
        <v>31.353092447618618</v>
      </c>
      <c r="DA150" s="20">
        <f t="shared" si="1080"/>
        <v>31.470348383843007</v>
      </c>
      <c r="DD150" s="21"/>
      <c r="DE150" s="161">
        <v>53.747255689424406</v>
      </c>
    </row>
    <row r="151" spans="1:109" s="10" customFormat="1" collapsed="1" x14ac:dyDescent="0.2">
      <c r="A151" s="148" t="s">
        <v>491</v>
      </c>
      <c r="AB151" s="19"/>
      <c r="AC151" s="19"/>
      <c r="AD151" s="19"/>
      <c r="AE151" s="19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D151" s="125"/>
    </row>
    <row r="152" spans="1:109" x14ac:dyDescent="0.2">
      <c r="A152" s="151" t="s">
        <v>492</v>
      </c>
      <c r="CL152" s="2"/>
    </row>
    <row r="153" spans="1:109" s="22" customFormat="1" outlineLevel="1" x14ac:dyDescent="0.2">
      <c r="A153" s="22" t="s">
        <v>41</v>
      </c>
      <c r="B153" s="22">
        <f>'Annual Raw'!C41</f>
        <v>17.402999999999999</v>
      </c>
      <c r="C153" s="22">
        <f>'Annual Raw'!D41</f>
        <v>17.402999999999999</v>
      </c>
      <c r="D153" s="22">
        <f>'Annual Raw'!E41</f>
        <v>17.4039</v>
      </c>
      <c r="E153" s="22">
        <f>'Annual Raw'!F41</f>
        <v>17.4039</v>
      </c>
      <c r="F153" s="22">
        <f>'Annual Raw'!G41</f>
        <v>17.4039</v>
      </c>
      <c r="G153" s="22">
        <f>'Annual Raw'!H41</f>
        <v>17.4039</v>
      </c>
      <c r="H153" s="22">
        <f>'Annual Raw'!I41</f>
        <v>17.4039</v>
      </c>
      <c r="I153" s="22">
        <f>'Annual Raw'!J41</f>
        <v>17.4039</v>
      </c>
      <c r="J153" s="22">
        <f>'Annual Raw'!K41</f>
        <v>17.4039</v>
      </c>
      <c r="K153" s="22">
        <f>'Annual Raw'!L41</f>
        <v>17.4039</v>
      </c>
      <c r="L153" s="22">
        <f>'Annual Raw'!M41</f>
        <v>17.4039</v>
      </c>
      <c r="M153" s="22">
        <f>'Annual Raw'!N41</f>
        <v>34.808</v>
      </c>
      <c r="N153" s="22">
        <f>'Annual Raw'!O41</f>
        <v>34.808</v>
      </c>
      <c r="O153" s="22">
        <f>'Annual Raw'!P41</f>
        <v>34.808</v>
      </c>
      <c r="P153" s="22">
        <f>'Annual Raw'!Q41</f>
        <v>34.808</v>
      </c>
      <c r="Q153" s="22">
        <f>'Annual Raw'!R41</f>
        <v>34.808</v>
      </c>
      <c r="R153" s="22">
        <f>'Annual Raw'!S41</f>
        <v>34.808</v>
      </c>
      <c r="S153" s="22">
        <f>'Annual Raw'!T41</f>
        <v>34.808</v>
      </c>
      <c r="T153" s="22">
        <f>'Annual Raw'!U41</f>
        <v>34.808</v>
      </c>
      <c r="U153" s="22">
        <f>'Annual Raw'!V41</f>
        <v>34.808</v>
      </c>
      <c r="V153" s="22">
        <f>'Annual Raw'!W41</f>
        <v>34.808</v>
      </c>
      <c r="W153" s="22">
        <f>'Annual Raw'!X41</f>
        <v>34.808</v>
      </c>
      <c r="X153" s="22">
        <f>'Annual Raw'!Y41</f>
        <v>34.808</v>
      </c>
      <c r="Y153" s="22">
        <f>'Annual Raw'!Z41</f>
        <v>34.808</v>
      </c>
      <c r="Z153" s="22">
        <f>'Annual Raw'!AA41</f>
        <v>34.808</v>
      </c>
      <c r="AA153" s="22">
        <f>'Annual Raw'!AB41</f>
        <v>34.808</v>
      </c>
      <c r="AB153" s="23">
        <f>+CO153</f>
        <v>34.799999999999997</v>
      </c>
      <c r="AC153" s="23">
        <f>+CS153</f>
        <v>34.799999999999997</v>
      </c>
      <c r="AD153" s="23">
        <f>+CW153</f>
        <v>34.799999999999997</v>
      </c>
      <c r="AE153" s="23">
        <f>+DA153</f>
        <v>34.799999999999997</v>
      </c>
      <c r="AI153" s="22">
        <f>+'QTR Raw'!C56</f>
        <v>34.81</v>
      </c>
      <c r="AJ153" s="22">
        <f t="shared" ref="AJ153:AJ154" si="1081">+AI153</f>
        <v>34.81</v>
      </c>
      <c r="AK153" s="22">
        <f>+'QTR Raw'!E56</f>
        <v>0</v>
      </c>
      <c r="AL153" s="22">
        <f t="shared" ref="AL153:AL154" si="1082">+AK153</f>
        <v>0</v>
      </c>
      <c r="AM153" s="22">
        <f>+'QTR Raw'!G56</f>
        <v>34.81</v>
      </c>
      <c r="AN153" s="22">
        <f t="shared" ref="AN153:AN154" si="1083">+AM153</f>
        <v>34.81</v>
      </c>
      <c r="AO153" s="22">
        <f>+'QTR Raw'!I56</f>
        <v>34.81</v>
      </c>
      <c r="AP153" s="22">
        <f t="shared" ref="AP153:AP154" si="1084">+AO153</f>
        <v>34.81</v>
      </c>
      <c r="AQ153" s="22">
        <f>+'QTR Raw'!K56</f>
        <v>34.81</v>
      </c>
      <c r="AR153" s="22">
        <f t="shared" ref="AR153:AR154" si="1085">+AQ153</f>
        <v>34.81</v>
      </c>
      <c r="AS153" s="22">
        <f>+'QTR Raw'!M56</f>
        <v>34.81</v>
      </c>
      <c r="AT153" s="22">
        <f t="shared" ref="AT153:AT154" si="1086">+AS153</f>
        <v>34.81</v>
      </c>
      <c r="AU153" s="22">
        <f>+'QTR Raw'!O56</f>
        <v>34.81</v>
      </c>
      <c r="AV153" s="22">
        <f t="shared" ref="AV153:AV154" si="1087">+AU153</f>
        <v>34.81</v>
      </c>
      <c r="AW153" s="22">
        <f>+'QTR Raw'!Q56</f>
        <v>34.81</v>
      </c>
      <c r="AX153" s="22">
        <f t="shared" ref="AX153:AX154" si="1088">+AW153</f>
        <v>34.81</v>
      </c>
      <c r="AY153" s="22">
        <f>+'QTR Raw'!S56</f>
        <v>34.81</v>
      </c>
      <c r="AZ153" s="22">
        <f t="shared" ref="AZ153:AZ154" si="1089">+AY153</f>
        <v>34.81</v>
      </c>
      <c r="BA153" s="22">
        <f>+'QTR Raw'!U56</f>
        <v>34.81</v>
      </c>
      <c r="BB153" s="22">
        <f t="shared" ref="BB153:BB154" si="1090">+BA153</f>
        <v>34.81</v>
      </c>
      <c r="BC153" s="22">
        <f>+'QTR Raw'!W56</f>
        <v>34.81</v>
      </c>
      <c r="BD153" s="22">
        <f t="shared" ref="BD153:BD154" si="1091">+BC153</f>
        <v>34.81</v>
      </c>
      <c r="BE153" s="22">
        <f>+'QTR Raw'!Y56</f>
        <v>34.799999999999997</v>
      </c>
      <c r="BF153" s="22">
        <f t="shared" ref="BF153:BF154" si="1092">+BE153</f>
        <v>34.799999999999997</v>
      </c>
      <c r="BG153" s="22">
        <f>+'QTR Raw'!AA56</f>
        <v>34.799999999999997</v>
      </c>
      <c r="BH153" s="22">
        <f t="shared" ref="BH153:BH154" si="1093">+BG153</f>
        <v>34.799999999999997</v>
      </c>
      <c r="BI153" s="22">
        <f>+'QTR Raw'!AC56</f>
        <v>34.799999999999997</v>
      </c>
      <c r="BJ153" s="22">
        <f t="shared" ref="BJ153:BJ154" si="1094">+BI153</f>
        <v>34.799999999999997</v>
      </c>
      <c r="BK153" s="22">
        <f>+'QTR Raw'!AE56</f>
        <v>34.799999999999997</v>
      </c>
      <c r="BL153" s="22">
        <f t="shared" ref="BL153:BL154" si="1095">+BK153</f>
        <v>34.799999999999997</v>
      </c>
      <c r="BM153" s="22">
        <f>+'QTR Raw'!AG56</f>
        <v>34.799999999999997</v>
      </c>
      <c r="BN153" s="22">
        <f t="shared" ref="BN153:BN154" si="1096">+BM153</f>
        <v>34.799999999999997</v>
      </c>
      <c r="BO153" s="22">
        <f>+'QTR Raw'!AI56</f>
        <v>34.799999999999997</v>
      </c>
      <c r="BP153" s="22">
        <f t="shared" ref="BP153:BP154" si="1097">+BO153</f>
        <v>34.799999999999997</v>
      </c>
      <c r="BQ153" s="22">
        <f>+'QTR Raw'!AK56</f>
        <v>34.799999999999997</v>
      </c>
      <c r="BR153" s="22">
        <f t="shared" ref="BR153:BR154" si="1098">+BQ153</f>
        <v>34.799999999999997</v>
      </c>
      <c r="BS153" s="22">
        <f>+'QTR Raw'!AM56</f>
        <v>34.799999999999997</v>
      </c>
      <c r="BT153" s="22">
        <f t="shared" ref="BT153:BT154" si="1099">+BS153</f>
        <v>34.799999999999997</v>
      </c>
      <c r="BU153" s="22">
        <f>+'QTR Raw'!AO56</f>
        <v>34.799999999999997</v>
      </c>
      <c r="BV153" s="22">
        <f t="shared" ref="BV153:BV154" si="1100">+BU153</f>
        <v>34.799999999999997</v>
      </c>
      <c r="BW153" s="22">
        <f>+'QTR Raw'!AQ56</f>
        <v>34.799999999999997</v>
      </c>
      <c r="BX153" s="22">
        <f t="shared" ref="BX153:BX154" si="1101">+BW153</f>
        <v>34.799999999999997</v>
      </c>
      <c r="BY153" s="22">
        <f>+'QTR Raw'!AS56</f>
        <v>34.799999999999997</v>
      </c>
      <c r="BZ153" s="22">
        <f t="shared" ref="BZ153:BZ154" si="1102">+BY153</f>
        <v>34.799999999999997</v>
      </c>
      <c r="CA153" s="22">
        <f>+'QTR Raw'!AU56</f>
        <v>34.799999999999997</v>
      </c>
      <c r="CB153" s="22">
        <f t="shared" ref="CB153:CB154" si="1103">+CA153</f>
        <v>34.799999999999997</v>
      </c>
      <c r="CC153" s="22">
        <f>+'QTR Raw'!AW56</f>
        <v>34.799999999999997</v>
      </c>
      <c r="CD153" s="22">
        <f t="shared" ref="CD153:CD154" si="1104">+CC153</f>
        <v>34.799999999999997</v>
      </c>
      <c r="CE153" s="22">
        <f>+'QTR Raw'!AY56</f>
        <v>34.799999999999997</v>
      </c>
      <c r="CF153" s="22">
        <f t="shared" ref="CF153:CL153" si="1105">+CE153</f>
        <v>34.799999999999997</v>
      </c>
      <c r="CG153" s="22">
        <f>+Z153</f>
        <v>34.808</v>
      </c>
      <c r="CH153" s="22">
        <f t="shared" si="1105"/>
        <v>34.808</v>
      </c>
      <c r="CI153" s="22">
        <f>+'QTR Raw'!BC56</f>
        <v>34.799999999999997</v>
      </c>
      <c r="CJ153" s="22">
        <f t="shared" si="1105"/>
        <v>34.799999999999997</v>
      </c>
      <c r="CK153" s="22">
        <f>+'QTR Raw'!BE56</f>
        <v>34.799999999999997</v>
      </c>
      <c r="CL153" s="22">
        <f t="shared" si="1105"/>
        <v>34.799999999999997</v>
      </c>
      <c r="CM153" s="23">
        <f t="shared" ref="CM153:DA153" si="1106">CL153</f>
        <v>34.799999999999997</v>
      </c>
      <c r="CN153" s="23">
        <f t="shared" si="1106"/>
        <v>34.799999999999997</v>
      </c>
      <c r="CO153" s="23">
        <f t="shared" si="1106"/>
        <v>34.799999999999997</v>
      </c>
      <c r="CP153" s="23">
        <f t="shared" si="1106"/>
        <v>34.799999999999997</v>
      </c>
      <c r="CQ153" s="23">
        <f t="shared" si="1106"/>
        <v>34.799999999999997</v>
      </c>
      <c r="CR153" s="23">
        <f t="shared" si="1106"/>
        <v>34.799999999999997</v>
      </c>
      <c r="CS153" s="23">
        <f t="shared" si="1106"/>
        <v>34.799999999999997</v>
      </c>
      <c r="CT153" s="23">
        <f t="shared" si="1106"/>
        <v>34.799999999999997</v>
      </c>
      <c r="CU153" s="23">
        <f t="shared" si="1106"/>
        <v>34.799999999999997</v>
      </c>
      <c r="CV153" s="23">
        <f t="shared" si="1106"/>
        <v>34.799999999999997</v>
      </c>
      <c r="CW153" s="23">
        <f t="shared" si="1106"/>
        <v>34.799999999999997</v>
      </c>
      <c r="CX153" s="23">
        <f t="shared" si="1106"/>
        <v>34.799999999999997</v>
      </c>
      <c r="CY153" s="23">
        <f t="shared" si="1106"/>
        <v>34.799999999999997</v>
      </c>
      <c r="CZ153" s="23">
        <f t="shared" si="1106"/>
        <v>34.799999999999997</v>
      </c>
      <c r="DA153" s="23">
        <f t="shared" si="1106"/>
        <v>34.799999999999997</v>
      </c>
      <c r="DD153" s="122"/>
      <c r="DE153" s="22">
        <v>34.799999999999997</v>
      </c>
    </row>
    <row r="154" spans="1:109" s="22" customFormat="1" outlineLevel="1" x14ac:dyDescent="0.2">
      <c r="A154" s="22" t="s">
        <v>42</v>
      </c>
      <c r="B154" s="22">
        <f>'Annual Raw'!C42</f>
        <v>0</v>
      </c>
      <c r="C154" s="22">
        <f>'Annual Raw'!D42</f>
        <v>0</v>
      </c>
      <c r="D154" s="22">
        <f>'Annual Raw'!E42</f>
        <v>0</v>
      </c>
      <c r="E154" s="22">
        <f>'Annual Raw'!F42</f>
        <v>0</v>
      </c>
      <c r="F154" s="22">
        <f>'Annual Raw'!G42</f>
        <v>0</v>
      </c>
      <c r="G154" s="22">
        <f>'Annual Raw'!H42</f>
        <v>0</v>
      </c>
      <c r="H154" s="22">
        <f>'Annual Raw'!I42</f>
        <v>0</v>
      </c>
      <c r="I154" s="22">
        <f>'Annual Raw'!J42</f>
        <v>0</v>
      </c>
      <c r="J154" s="22">
        <f>'Annual Raw'!K42</f>
        <v>0</v>
      </c>
      <c r="K154" s="22">
        <f>'Annual Raw'!L42</f>
        <v>0</v>
      </c>
      <c r="L154" s="22">
        <f>'Annual Raw'!M42</f>
        <v>0</v>
      </c>
      <c r="M154" s="22">
        <f>'Annual Raw'!N42</f>
        <v>0</v>
      </c>
      <c r="N154" s="22">
        <f>'Annual Raw'!O42</f>
        <v>0</v>
      </c>
      <c r="O154" s="22">
        <f>'Annual Raw'!P42</f>
        <v>0</v>
      </c>
      <c r="P154" s="22">
        <f>'Annual Raw'!Q42</f>
        <v>0</v>
      </c>
      <c r="Q154" s="22">
        <f>'Annual Raw'!R42</f>
        <v>0</v>
      </c>
      <c r="R154" s="22">
        <f>'Annual Raw'!S42</f>
        <v>0</v>
      </c>
      <c r="S154" s="22">
        <f>'Annual Raw'!T42</f>
        <v>0</v>
      </c>
      <c r="T154" s="22">
        <f>'Annual Raw'!U42</f>
        <v>0</v>
      </c>
      <c r="U154" s="22">
        <f>'Annual Raw'!V42</f>
        <v>0</v>
      </c>
      <c r="V154" s="22">
        <f>'Annual Raw'!W42</f>
        <v>0</v>
      </c>
      <c r="W154" s="22">
        <f>'Annual Raw'!X42</f>
        <v>0</v>
      </c>
      <c r="X154" s="22">
        <f>'Annual Raw'!Y42</f>
        <v>0</v>
      </c>
      <c r="Y154" s="22">
        <f>'Annual Raw'!Z42</f>
        <v>0</v>
      </c>
      <c r="Z154" s="22">
        <f>'Annual Raw'!AA42</f>
        <v>0</v>
      </c>
      <c r="AA154" s="22">
        <f>'Annual Raw'!AB42</f>
        <v>0</v>
      </c>
      <c r="AB154" s="23">
        <f t="shared" ref="AB154:AB155" si="1107">+CO154</f>
        <v>0</v>
      </c>
      <c r="AC154" s="23">
        <f t="shared" ref="AC154:AC155" si="1108">+CS154</f>
        <v>0</v>
      </c>
      <c r="AD154" s="23">
        <f t="shared" ref="AD154:AD155" si="1109">+CW154</f>
        <v>0</v>
      </c>
      <c r="AE154" s="23">
        <f t="shared" ref="AE154:AE155" si="1110">+DA154</f>
        <v>0</v>
      </c>
      <c r="AI154" s="22">
        <f>+'QTR Raw'!C57</f>
        <v>0</v>
      </c>
      <c r="AJ154" s="22">
        <f t="shared" si="1081"/>
        <v>0</v>
      </c>
      <c r="AK154" s="22">
        <f>+'QTR Raw'!E57</f>
        <v>0</v>
      </c>
      <c r="AL154" s="22">
        <f t="shared" si="1082"/>
        <v>0</v>
      </c>
      <c r="AM154" s="22">
        <f>+'QTR Raw'!G57</f>
        <v>0</v>
      </c>
      <c r="AN154" s="22">
        <f t="shared" si="1083"/>
        <v>0</v>
      </c>
      <c r="AO154" s="22">
        <f>+'QTR Raw'!I57</f>
        <v>0</v>
      </c>
      <c r="AP154" s="22">
        <f t="shared" si="1084"/>
        <v>0</v>
      </c>
      <c r="AQ154" s="22">
        <f>+'QTR Raw'!K57</f>
        <v>0</v>
      </c>
      <c r="AR154" s="22">
        <f t="shared" si="1085"/>
        <v>0</v>
      </c>
      <c r="AS154" s="22">
        <f>+'QTR Raw'!M57</f>
        <v>0</v>
      </c>
      <c r="AT154" s="22">
        <f t="shared" si="1086"/>
        <v>0</v>
      </c>
      <c r="AU154" s="22">
        <f>+'QTR Raw'!O57</f>
        <v>0</v>
      </c>
      <c r="AV154" s="22">
        <f t="shared" si="1087"/>
        <v>0</v>
      </c>
      <c r="AW154" s="22">
        <f>+'QTR Raw'!Q57</f>
        <v>0</v>
      </c>
      <c r="AX154" s="22">
        <f t="shared" si="1088"/>
        <v>0</v>
      </c>
      <c r="AY154" s="22">
        <f>+'QTR Raw'!S57</f>
        <v>0</v>
      </c>
      <c r="AZ154" s="22">
        <f t="shared" si="1089"/>
        <v>0</v>
      </c>
      <c r="BA154" s="22">
        <f>+'QTR Raw'!U57</f>
        <v>0</v>
      </c>
      <c r="BB154" s="22">
        <f t="shared" si="1090"/>
        <v>0</v>
      </c>
      <c r="BC154" s="22">
        <f>+'QTR Raw'!W57</f>
        <v>0</v>
      </c>
      <c r="BD154" s="22">
        <f t="shared" si="1091"/>
        <v>0</v>
      </c>
      <c r="BE154" s="22">
        <f>+'QTR Raw'!Y57</f>
        <v>0</v>
      </c>
      <c r="BF154" s="22">
        <f t="shared" si="1092"/>
        <v>0</v>
      </c>
      <c r="BG154" s="22">
        <f>+'QTR Raw'!AA57</f>
        <v>0</v>
      </c>
      <c r="BH154" s="22">
        <f t="shared" si="1093"/>
        <v>0</v>
      </c>
      <c r="BI154" s="22">
        <f>+'QTR Raw'!AC57</f>
        <v>0</v>
      </c>
      <c r="BJ154" s="22">
        <f t="shared" si="1094"/>
        <v>0</v>
      </c>
      <c r="BK154" s="22">
        <f>+'QTR Raw'!AE57</f>
        <v>0</v>
      </c>
      <c r="BL154" s="22">
        <f t="shared" si="1095"/>
        <v>0</v>
      </c>
      <c r="BM154" s="22">
        <f>+'QTR Raw'!AG57</f>
        <v>0</v>
      </c>
      <c r="BN154" s="22">
        <f t="shared" si="1096"/>
        <v>0</v>
      </c>
      <c r="BO154" s="22">
        <f>+'QTR Raw'!AI57</f>
        <v>0</v>
      </c>
      <c r="BP154" s="22">
        <f t="shared" si="1097"/>
        <v>0</v>
      </c>
      <c r="BQ154" s="22">
        <f>+'QTR Raw'!AK57</f>
        <v>0</v>
      </c>
      <c r="BR154" s="22">
        <f t="shared" si="1098"/>
        <v>0</v>
      </c>
      <c r="BS154" s="22">
        <f>+'QTR Raw'!AM57</f>
        <v>0</v>
      </c>
      <c r="BT154" s="22">
        <f t="shared" si="1099"/>
        <v>0</v>
      </c>
      <c r="BU154" s="22">
        <f>+'QTR Raw'!AO57</f>
        <v>0</v>
      </c>
      <c r="BV154" s="22">
        <f t="shared" si="1100"/>
        <v>0</v>
      </c>
      <c r="BW154" s="22">
        <f>+'QTR Raw'!AQ57</f>
        <v>0</v>
      </c>
      <c r="BX154" s="22">
        <f t="shared" si="1101"/>
        <v>0</v>
      </c>
      <c r="BY154" s="22">
        <f>+'QTR Raw'!AS57</f>
        <v>0</v>
      </c>
      <c r="BZ154" s="22">
        <f t="shared" si="1102"/>
        <v>0</v>
      </c>
      <c r="CA154" s="22">
        <f>+'QTR Raw'!AU57</f>
        <v>0</v>
      </c>
      <c r="CB154" s="22">
        <f t="shared" si="1103"/>
        <v>0</v>
      </c>
      <c r="CC154" s="22">
        <f>+'QTR Raw'!AW57</f>
        <v>0</v>
      </c>
      <c r="CD154" s="22">
        <f t="shared" si="1104"/>
        <v>0</v>
      </c>
      <c r="CE154" s="22">
        <f>+'QTR Raw'!AY57</f>
        <v>0</v>
      </c>
      <c r="CF154" s="22">
        <f t="shared" ref="CF154:CL154" si="1111">+CE154</f>
        <v>0</v>
      </c>
      <c r="CG154" s="22">
        <f t="shared" ref="CG154:CG155" si="1112">+Z154</f>
        <v>0</v>
      </c>
      <c r="CH154" s="22">
        <f t="shared" si="1111"/>
        <v>0</v>
      </c>
      <c r="CI154" s="22">
        <f>+'QTR Raw'!BC57</f>
        <v>0</v>
      </c>
      <c r="CJ154" s="22">
        <f t="shared" si="1111"/>
        <v>0</v>
      </c>
      <c r="CK154" s="22">
        <f>+'QTR Raw'!BE57</f>
        <v>0</v>
      </c>
      <c r="CL154" s="22">
        <f t="shared" si="1111"/>
        <v>0</v>
      </c>
      <c r="CM154" s="23">
        <f t="shared" ref="CM154:DA154" si="1113">CL154</f>
        <v>0</v>
      </c>
      <c r="CN154" s="23">
        <f t="shared" si="1113"/>
        <v>0</v>
      </c>
      <c r="CO154" s="23">
        <f t="shared" si="1113"/>
        <v>0</v>
      </c>
      <c r="CP154" s="23">
        <f t="shared" si="1113"/>
        <v>0</v>
      </c>
      <c r="CQ154" s="23">
        <f t="shared" si="1113"/>
        <v>0</v>
      </c>
      <c r="CR154" s="23">
        <f t="shared" si="1113"/>
        <v>0</v>
      </c>
      <c r="CS154" s="23">
        <f t="shared" si="1113"/>
        <v>0</v>
      </c>
      <c r="CT154" s="23">
        <f t="shared" si="1113"/>
        <v>0</v>
      </c>
      <c r="CU154" s="23">
        <f t="shared" si="1113"/>
        <v>0</v>
      </c>
      <c r="CV154" s="23">
        <f t="shared" si="1113"/>
        <v>0</v>
      </c>
      <c r="CW154" s="23">
        <f t="shared" si="1113"/>
        <v>0</v>
      </c>
      <c r="CX154" s="23">
        <f t="shared" si="1113"/>
        <v>0</v>
      </c>
      <c r="CY154" s="23">
        <f t="shared" si="1113"/>
        <v>0</v>
      </c>
      <c r="CZ154" s="23">
        <f t="shared" si="1113"/>
        <v>0</v>
      </c>
      <c r="DA154" s="23">
        <f t="shared" si="1113"/>
        <v>0</v>
      </c>
      <c r="DD154" s="122"/>
      <c r="DE154" s="22">
        <v>0</v>
      </c>
    </row>
    <row r="155" spans="1:109" s="22" customFormat="1" outlineLevel="1" x14ac:dyDescent="0.2">
      <c r="A155" s="22" t="s">
        <v>43</v>
      </c>
      <c r="B155" s="22">
        <f>'Annual Raw'!C43</f>
        <v>74.456500000000005</v>
      </c>
      <c r="C155" s="22">
        <f>'Annual Raw'!D43</f>
        <v>76.679299999999998</v>
      </c>
      <c r="D155" s="22">
        <f>'Annual Raw'!E43</f>
        <v>82.155299999999997</v>
      </c>
      <c r="E155" s="22">
        <f>'Annual Raw'!F43</f>
        <v>95.545400000000001</v>
      </c>
      <c r="F155" s="22">
        <f>'Annual Raw'!G43</f>
        <v>116.1537</v>
      </c>
      <c r="G155" s="22">
        <f>'Annual Raw'!H43</f>
        <v>149.16800000000001</v>
      </c>
      <c r="H155" s="22">
        <f>'Annual Raw'!I43</f>
        <v>192.64709999999999</v>
      </c>
      <c r="I155" s="22">
        <f>'Annual Raw'!J43</f>
        <v>232.3169</v>
      </c>
      <c r="J155" s="22">
        <f>'Annual Raw'!K43</f>
        <v>292.6293</v>
      </c>
      <c r="K155" s="22">
        <f>'Annual Raw'!L43</f>
        <v>337.88409999999999</v>
      </c>
      <c r="L155" s="22">
        <f>'Annual Raw'!M43</f>
        <v>376.04969999999997</v>
      </c>
      <c r="M155" s="22">
        <f>'Annual Raw'!N43</f>
        <v>391.27100000000002</v>
      </c>
      <c r="N155" s="22">
        <f>'Annual Raw'!O43</f>
        <v>432.59899999999999</v>
      </c>
      <c r="O155" s="22">
        <f>'Annual Raw'!P43</f>
        <v>476.964</v>
      </c>
      <c r="P155" s="22">
        <f>'Annual Raw'!Q43</f>
        <v>522.41600000000005</v>
      </c>
      <c r="Q155" s="22">
        <f>'Annual Raw'!R43</f>
        <v>568.03800000000001</v>
      </c>
      <c r="R155" s="22">
        <f>'Annual Raw'!S43</f>
        <v>625.34900000000005</v>
      </c>
      <c r="S155" s="22">
        <f>'Annual Raw'!T43</f>
        <v>675.61099999999999</v>
      </c>
      <c r="T155" s="22">
        <f>'Annual Raw'!U43</f>
        <v>722.95600000000002</v>
      </c>
      <c r="U155" s="22">
        <f>'Annual Raw'!V43</f>
        <v>793.85900000000004</v>
      </c>
      <c r="V155" s="22">
        <f>'Annual Raw'!W43</f>
        <v>855.81</v>
      </c>
      <c r="W155" s="22">
        <f>'Annual Raw'!X43</f>
        <v>976.03</v>
      </c>
      <c r="X155" s="22">
        <f>'Annual Raw'!Y43</f>
        <v>1108.308</v>
      </c>
      <c r="Y155" s="22">
        <f>'Annual Raw'!Z43</f>
        <v>1267.1010000000001</v>
      </c>
      <c r="Z155" s="22">
        <f>'Annual Raw'!AA43</f>
        <v>1450.5419999999999</v>
      </c>
      <c r="AA155" s="22">
        <f>'Annual Raw'!AB43</f>
        <v>1643.9259999999999</v>
      </c>
      <c r="AB155" s="23">
        <f t="shared" si="1107"/>
        <v>1958.4082385770196</v>
      </c>
      <c r="AC155" s="23">
        <f t="shared" si="1108"/>
        <v>2318.6098923029858</v>
      </c>
      <c r="AD155" s="23">
        <f t="shared" si="1109"/>
        <v>2718.4508842019145</v>
      </c>
      <c r="AE155" s="23">
        <f t="shared" si="1110"/>
        <v>3173.192811463533</v>
      </c>
      <c r="AI155" s="22">
        <f>+'QTR Raw'!C58</f>
        <v>380.87</v>
      </c>
      <c r="AJ155" s="22">
        <f>+AI155+AJ84</f>
        <v>393.79</v>
      </c>
      <c r="AK155" s="22">
        <f>+'QTR Raw'!E58</f>
        <v>0</v>
      </c>
      <c r="AL155" s="22">
        <f>+AK155+AL84</f>
        <v>15.61</v>
      </c>
      <c r="AM155" s="22">
        <f>+'QTR Raw'!G58</f>
        <v>422.15</v>
      </c>
      <c r="AN155" s="22">
        <f>+AM155+AN84</f>
        <v>440.05</v>
      </c>
      <c r="AO155" s="22">
        <f>+'QTR Raw'!I58</f>
        <v>476.96</v>
      </c>
      <c r="AP155" s="22">
        <f>+AO155+AP84</f>
        <v>492.09</v>
      </c>
      <c r="AQ155" s="22">
        <f>+'QTR Raw'!K58</f>
        <v>466.02</v>
      </c>
      <c r="AR155" s="22">
        <f>+AQ155+AR84</f>
        <v>483.89</v>
      </c>
      <c r="AS155" s="22">
        <f>+'QTR Raw'!M58</f>
        <v>522.41999999999996</v>
      </c>
      <c r="AT155" s="22">
        <f>+AS155+AT84</f>
        <v>528.82999999999993</v>
      </c>
      <c r="AU155" s="22">
        <f>+'QTR Raw'!O58</f>
        <v>500.26</v>
      </c>
      <c r="AV155" s="22">
        <f>+AU155+AV84</f>
        <v>517.11</v>
      </c>
      <c r="AW155" s="22">
        <f>+'QTR Raw'!Q58</f>
        <v>568.04</v>
      </c>
      <c r="AX155" s="22">
        <f>+AW155+AX84</f>
        <v>584.89</v>
      </c>
      <c r="AY155" s="22">
        <f>+'QTR Raw'!S58</f>
        <v>549.83000000000004</v>
      </c>
      <c r="AZ155" s="22">
        <f>+AY155+AZ84</f>
        <v>558.5</v>
      </c>
      <c r="BA155" s="22">
        <f>+'QTR Raw'!U58</f>
        <v>625.35</v>
      </c>
      <c r="BB155" s="22">
        <f>+BA155+BB84</f>
        <v>638.65</v>
      </c>
      <c r="BC155" s="22">
        <f>+'QTR Raw'!W58</f>
        <v>587.77</v>
      </c>
      <c r="BD155" s="22">
        <f>+BC155+BD84</f>
        <v>599.37</v>
      </c>
      <c r="BE155" s="22">
        <f>+'QTR Raw'!Y58</f>
        <v>675.6</v>
      </c>
      <c r="BF155" s="22">
        <f>+BE155+BF84</f>
        <v>688.1</v>
      </c>
      <c r="BG155" s="22">
        <f>+'QTR Raw'!AA58</f>
        <v>636.1</v>
      </c>
      <c r="BH155" s="22">
        <f>+BG155+BH84</f>
        <v>653.1</v>
      </c>
      <c r="BI155" s="22">
        <f>+'QTR Raw'!AC58</f>
        <v>723</v>
      </c>
      <c r="BJ155" s="22">
        <f>+BI155+BJ84</f>
        <v>739.59999999999991</v>
      </c>
      <c r="BK155" s="22">
        <f>+'QTR Raw'!AE58</f>
        <v>740.2</v>
      </c>
      <c r="BL155" s="22">
        <f>+BK155+BL84</f>
        <v>765.90000000000009</v>
      </c>
      <c r="BM155" s="22">
        <f>+'QTR Raw'!AG58</f>
        <v>793.9</v>
      </c>
      <c r="BN155" s="22">
        <f>+BM155+BN84</f>
        <v>804.8</v>
      </c>
      <c r="BO155" s="22">
        <f>+'QTR Raw'!AI58</f>
        <v>811.2</v>
      </c>
      <c r="BP155" s="22">
        <f>+BO155+BP84</f>
        <v>853.90000000000009</v>
      </c>
      <c r="BQ155" s="22">
        <f>+'QTR Raw'!AK58</f>
        <v>855.8</v>
      </c>
      <c r="BR155" s="22">
        <f>+BQ155+BR84</f>
        <v>899.69999999999993</v>
      </c>
      <c r="BS155" s="22">
        <f>+'QTR Raw'!AM58</f>
        <v>896.8</v>
      </c>
      <c r="BT155" s="22">
        <f>+BS155+BT84</f>
        <v>935.7</v>
      </c>
      <c r="BU155" s="22">
        <f>+'QTR Raw'!AO58</f>
        <v>976</v>
      </c>
      <c r="BV155" s="22">
        <f>+BU155+BV84</f>
        <v>1016.4</v>
      </c>
      <c r="BW155" s="22">
        <f>+'QTR Raw'!AQ58</f>
        <v>1021</v>
      </c>
      <c r="BX155" s="22">
        <f>+BW155+BX84</f>
        <v>1060</v>
      </c>
      <c r="BY155" s="22">
        <f>+'QTR Raw'!AS58</f>
        <v>1108.3</v>
      </c>
      <c r="BZ155" s="22">
        <f>+BY155+BZ84</f>
        <v>1149.2</v>
      </c>
      <c r="CA155" s="22">
        <f>+'QTR Raw'!AU58</f>
        <v>1159.2</v>
      </c>
      <c r="CB155" s="22">
        <f>+CA155+CB84</f>
        <v>1209.3000000000002</v>
      </c>
      <c r="CC155" s="22">
        <f>+'QTR Raw'!AW58</f>
        <v>1267.0999999999999</v>
      </c>
      <c r="CD155" s="22">
        <f>+CC155+CD84</f>
        <v>1311.7</v>
      </c>
      <c r="CE155" s="22">
        <f>+'QTR Raw'!AY58</f>
        <v>1316.2</v>
      </c>
      <c r="CF155" s="22">
        <f>+CE155+CF84</f>
        <v>1377.9</v>
      </c>
      <c r="CG155" s="22">
        <f t="shared" si="1112"/>
        <v>1450.5419999999999</v>
      </c>
      <c r="CH155" s="22">
        <f>+CG155+CH84</f>
        <v>1502.1420000000001</v>
      </c>
      <c r="CI155" s="22">
        <f>+'QTR Raw'!BC58</f>
        <v>1499.6</v>
      </c>
      <c r="CJ155" s="22">
        <f>+CI155+CJ84</f>
        <v>1567.1</v>
      </c>
      <c r="CK155" s="22">
        <f>+'QTR Raw'!BE58</f>
        <v>1644</v>
      </c>
      <c r="CL155" s="22">
        <f>+CK155+CL84</f>
        <v>1683.8</v>
      </c>
      <c r="CM155" s="23">
        <f t="shared" ref="CM155:DA155" si="1114">CL155+CM84</f>
        <v>1775.7745668987875</v>
      </c>
      <c r="CN155" s="23">
        <f t="shared" si="1114"/>
        <v>1850.9639570434235</v>
      </c>
      <c r="CO155" s="23">
        <f t="shared" si="1114"/>
        <v>1958.4082385770196</v>
      </c>
      <c r="CP155" s="23">
        <f t="shared" si="1114"/>
        <v>2011.3511664829364</v>
      </c>
      <c r="CQ155" s="23">
        <f t="shared" si="1114"/>
        <v>2111.5196321699254</v>
      </c>
      <c r="CR155" s="23">
        <f t="shared" si="1114"/>
        <v>2196.4041130616156</v>
      </c>
      <c r="CS155" s="23">
        <f t="shared" si="1114"/>
        <v>2318.6098923029858</v>
      </c>
      <c r="CT155" s="23">
        <f t="shared" si="1114"/>
        <v>2378.4090972700656</v>
      </c>
      <c r="CU155" s="23">
        <f t="shared" si="1114"/>
        <v>2489.2411457349426</v>
      </c>
      <c r="CV155" s="23">
        <f t="shared" si="1114"/>
        <v>2583.1345761237794</v>
      </c>
      <c r="CW155" s="23">
        <f t="shared" si="1114"/>
        <v>2718.4508842019145</v>
      </c>
      <c r="CX155" s="23">
        <f t="shared" si="1114"/>
        <v>2787.8391505694913</v>
      </c>
      <c r="CY155" s="23">
        <f t="shared" si="1114"/>
        <v>2913.3799296273946</v>
      </c>
      <c r="CZ155" s="23">
        <f t="shared" si="1114"/>
        <v>3020.4198032240024</v>
      </c>
      <c r="DA155" s="23">
        <f t="shared" si="1114"/>
        <v>3173.192811463533</v>
      </c>
      <c r="DD155" s="122"/>
      <c r="DE155" s="22">
        <v>1644</v>
      </c>
    </row>
    <row r="156" spans="1:109" s="21" customFormat="1" x14ac:dyDescent="0.2">
      <c r="A156" s="21" t="s">
        <v>44</v>
      </c>
      <c r="B156" s="21">
        <f>B153+B154+B155</f>
        <v>91.859499999999997</v>
      </c>
      <c r="C156" s="21">
        <f t="shared" ref="C156:V156" si="1115">C153+C154+C155</f>
        <v>94.082300000000004</v>
      </c>
      <c r="D156" s="21">
        <f t="shared" si="1115"/>
        <v>99.559200000000004</v>
      </c>
      <c r="E156" s="21">
        <f t="shared" si="1115"/>
        <v>112.94929999999999</v>
      </c>
      <c r="F156" s="21">
        <f t="shared" si="1115"/>
        <v>133.55760000000001</v>
      </c>
      <c r="G156" s="21">
        <f t="shared" si="1115"/>
        <v>166.5719</v>
      </c>
      <c r="H156" s="21">
        <f t="shared" si="1115"/>
        <v>210.05099999999999</v>
      </c>
      <c r="I156" s="21">
        <f t="shared" si="1115"/>
        <v>249.7208</v>
      </c>
      <c r="J156" s="21">
        <f t="shared" si="1115"/>
        <v>310.03320000000002</v>
      </c>
      <c r="K156" s="21">
        <f t="shared" si="1115"/>
        <v>355.28800000000001</v>
      </c>
      <c r="L156" s="21">
        <f t="shared" si="1115"/>
        <v>393.45359999999999</v>
      </c>
      <c r="M156" s="21">
        <f>M153+M154+M155</f>
        <v>426.07900000000001</v>
      </c>
      <c r="N156" s="21">
        <f t="shared" si="1115"/>
        <v>467.40699999999998</v>
      </c>
      <c r="O156" s="21">
        <f t="shared" si="1115"/>
        <v>511.77199999999999</v>
      </c>
      <c r="P156" s="21">
        <f t="shared" si="1115"/>
        <v>557.22400000000005</v>
      </c>
      <c r="Q156" s="21">
        <f t="shared" si="1115"/>
        <v>602.846</v>
      </c>
      <c r="R156" s="21">
        <f t="shared" si="1115"/>
        <v>660.15700000000004</v>
      </c>
      <c r="S156" s="21">
        <f t="shared" si="1115"/>
        <v>710.41899999999998</v>
      </c>
      <c r="T156" s="21">
        <f t="shared" si="1115"/>
        <v>757.76400000000001</v>
      </c>
      <c r="U156" s="21">
        <f t="shared" si="1115"/>
        <v>828.66700000000003</v>
      </c>
      <c r="V156" s="21">
        <f t="shared" si="1115"/>
        <v>890.61799999999994</v>
      </c>
      <c r="W156" s="21">
        <f t="shared" ref="W156" si="1116">W153+W154+W155</f>
        <v>1010.838</v>
      </c>
      <c r="X156" s="21">
        <f t="shared" ref="X156:Y156" si="1117">X153+X154+X155</f>
        <v>1143.116</v>
      </c>
      <c r="Y156" s="21">
        <f t="shared" si="1117"/>
        <v>1301.9090000000001</v>
      </c>
      <c r="Z156" s="21">
        <f t="shared" ref="Z156:AA156" si="1118">Z153+Z154+Z155</f>
        <v>1485.35</v>
      </c>
      <c r="AA156" s="21">
        <f t="shared" ref="AA156" si="1119">AA153+AA154+AA155</f>
        <v>1678.7339999999999</v>
      </c>
      <c r="AB156" s="20">
        <f t="shared" ref="AB156:AD156" si="1120">AB153+AB154+AB155</f>
        <v>1993.2082385770195</v>
      </c>
      <c r="AC156" s="20">
        <f t="shared" si="1120"/>
        <v>2353.409892302986</v>
      </c>
      <c r="AD156" s="20">
        <f t="shared" si="1120"/>
        <v>2753.2508842019147</v>
      </c>
      <c r="AE156" s="20">
        <f t="shared" ref="AE156" si="1121">AE153+AE154+AE155</f>
        <v>3207.9928114635331</v>
      </c>
      <c r="AI156" s="21">
        <f t="shared" ref="AI156:AL156" si="1122">AI153+AI154+AI155</f>
        <v>415.68</v>
      </c>
      <c r="AJ156" s="21">
        <f t="shared" si="1122"/>
        <v>428.6</v>
      </c>
      <c r="AK156" s="21">
        <f t="shared" si="1122"/>
        <v>0</v>
      </c>
      <c r="AL156" s="21">
        <f t="shared" si="1122"/>
        <v>15.61</v>
      </c>
      <c r="AM156" s="21">
        <f t="shared" ref="AM156:AP156" si="1123">AM153+AM154+AM155</f>
        <v>456.96</v>
      </c>
      <c r="AN156" s="21">
        <f t="shared" si="1123"/>
        <v>474.86</v>
      </c>
      <c r="AO156" s="21">
        <f t="shared" si="1123"/>
        <v>511.77</v>
      </c>
      <c r="AP156" s="21">
        <f t="shared" si="1123"/>
        <v>526.9</v>
      </c>
      <c r="AQ156" s="21">
        <f t="shared" ref="AQ156:AT156" si="1124">AQ153+AQ154+AQ155</f>
        <v>500.83</v>
      </c>
      <c r="AR156" s="21">
        <f t="shared" si="1124"/>
        <v>518.70000000000005</v>
      </c>
      <c r="AS156" s="21">
        <f t="shared" si="1124"/>
        <v>557.23</v>
      </c>
      <c r="AT156" s="21">
        <f t="shared" si="1124"/>
        <v>563.63999999999987</v>
      </c>
      <c r="AU156" s="21">
        <f t="shared" ref="AU156:AX156" si="1125">AU153+AU154+AU155</f>
        <v>535.06999999999994</v>
      </c>
      <c r="AV156" s="21">
        <f t="shared" si="1125"/>
        <v>551.92000000000007</v>
      </c>
      <c r="AW156" s="21">
        <f t="shared" si="1125"/>
        <v>602.84999999999991</v>
      </c>
      <c r="AX156" s="21">
        <f t="shared" si="1125"/>
        <v>619.70000000000005</v>
      </c>
      <c r="AY156" s="21">
        <f t="shared" ref="AY156:BB156" si="1126">AY153+AY154+AY155</f>
        <v>584.6400000000001</v>
      </c>
      <c r="AZ156" s="21">
        <f t="shared" si="1126"/>
        <v>593.30999999999995</v>
      </c>
      <c r="BA156" s="21">
        <f t="shared" si="1126"/>
        <v>660.16000000000008</v>
      </c>
      <c r="BB156" s="21">
        <f t="shared" si="1126"/>
        <v>673.46</v>
      </c>
      <c r="BC156" s="21">
        <f t="shared" ref="BC156:BF156" si="1127">BC153+BC154+BC155</f>
        <v>622.57999999999993</v>
      </c>
      <c r="BD156" s="21">
        <f t="shared" si="1127"/>
        <v>634.18000000000006</v>
      </c>
      <c r="BE156" s="21">
        <f t="shared" si="1127"/>
        <v>710.4</v>
      </c>
      <c r="BF156" s="21">
        <f t="shared" si="1127"/>
        <v>722.9</v>
      </c>
      <c r="BG156" s="21">
        <f t="shared" ref="BG156:BJ156" si="1128">BG153+BG154+BG155</f>
        <v>670.9</v>
      </c>
      <c r="BH156" s="21">
        <f t="shared" si="1128"/>
        <v>687.9</v>
      </c>
      <c r="BI156" s="21">
        <f t="shared" si="1128"/>
        <v>757.8</v>
      </c>
      <c r="BJ156" s="21">
        <f t="shared" si="1128"/>
        <v>774.39999999999986</v>
      </c>
      <c r="BK156" s="21">
        <f t="shared" ref="BK156:BN156" si="1129">BK153+BK154+BK155</f>
        <v>775</v>
      </c>
      <c r="BL156" s="21">
        <f t="shared" si="1129"/>
        <v>800.7</v>
      </c>
      <c r="BM156" s="21">
        <f t="shared" si="1129"/>
        <v>828.69999999999993</v>
      </c>
      <c r="BN156" s="21">
        <f t="shared" si="1129"/>
        <v>839.59999999999991</v>
      </c>
      <c r="BO156" s="21">
        <f t="shared" ref="BO156:BR156" si="1130">BO153+BO154+BO155</f>
        <v>846</v>
      </c>
      <c r="BP156" s="21">
        <f t="shared" si="1130"/>
        <v>888.7</v>
      </c>
      <c r="BQ156" s="21">
        <f t="shared" si="1130"/>
        <v>890.59999999999991</v>
      </c>
      <c r="BR156" s="21">
        <f t="shared" si="1130"/>
        <v>934.49999999999989</v>
      </c>
      <c r="BS156" s="21">
        <f t="shared" ref="BS156:BV156" si="1131">BS153+BS154+BS155</f>
        <v>931.59999999999991</v>
      </c>
      <c r="BT156" s="21">
        <f t="shared" si="1131"/>
        <v>970.5</v>
      </c>
      <c r="BU156" s="21">
        <f t="shared" si="1131"/>
        <v>1010.8</v>
      </c>
      <c r="BV156" s="21">
        <f t="shared" si="1131"/>
        <v>1051.2</v>
      </c>
      <c r="BW156" s="21">
        <f t="shared" ref="BW156:BZ156" si="1132">BW153+BW154+BW155</f>
        <v>1055.8</v>
      </c>
      <c r="BX156" s="21">
        <f t="shared" si="1132"/>
        <v>1094.8</v>
      </c>
      <c r="BY156" s="21">
        <f t="shared" si="1132"/>
        <v>1143.0999999999999</v>
      </c>
      <c r="BZ156" s="21">
        <f t="shared" si="1132"/>
        <v>1184</v>
      </c>
      <c r="CA156" s="21">
        <f t="shared" ref="CA156:CD156" si="1133">CA153+CA154+CA155</f>
        <v>1194</v>
      </c>
      <c r="CB156" s="21">
        <f t="shared" si="1133"/>
        <v>1244.1000000000001</v>
      </c>
      <c r="CC156" s="21">
        <f t="shared" si="1133"/>
        <v>1301.8999999999999</v>
      </c>
      <c r="CD156" s="21">
        <f t="shared" si="1133"/>
        <v>1346.5</v>
      </c>
      <c r="CE156" s="21">
        <f t="shared" ref="CE156" si="1134">CE153+CE154+CE155</f>
        <v>1351</v>
      </c>
      <c r="CF156" s="21">
        <f t="shared" ref="CF156:CH156" si="1135">CF153+CF154+CF155</f>
        <v>1412.7</v>
      </c>
      <c r="CG156" s="21">
        <f t="shared" ref="CG156" si="1136">CG153+CG154+CG155</f>
        <v>1485.35</v>
      </c>
      <c r="CH156" s="21">
        <f t="shared" si="1135"/>
        <v>1536.95</v>
      </c>
      <c r="CI156" s="21">
        <f t="shared" ref="CI156:CJ156" si="1137">CI153+CI154+CI155</f>
        <v>1534.3999999999999</v>
      </c>
      <c r="CJ156" s="21">
        <f t="shared" si="1137"/>
        <v>1601.8999999999999</v>
      </c>
      <c r="CK156" s="21">
        <f t="shared" ref="CK156:DA156" si="1138">CK153+CK154+CK155</f>
        <v>1678.8</v>
      </c>
      <c r="CL156" s="21">
        <f t="shared" si="1138"/>
        <v>1718.6</v>
      </c>
      <c r="CM156" s="20">
        <f t="shared" si="1138"/>
        <v>1810.5745668987875</v>
      </c>
      <c r="CN156" s="20">
        <f t="shared" si="1138"/>
        <v>1885.7639570434235</v>
      </c>
      <c r="CO156" s="20">
        <f t="shared" si="1138"/>
        <v>1993.2082385770195</v>
      </c>
      <c r="CP156" s="20">
        <f t="shared" si="1138"/>
        <v>2046.1511664829363</v>
      </c>
      <c r="CQ156" s="20">
        <f t="shared" si="1138"/>
        <v>2146.3196321699256</v>
      </c>
      <c r="CR156" s="20">
        <f t="shared" si="1138"/>
        <v>2231.2041130616158</v>
      </c>
      <c r="CS156" s="20">
        <f t="shared" si="1138"/>
        <v>2353.409892302986</v>
      </c>
      <c r="CT156" s="20">
        <f t="shared" si="1138"/>
        <v>2413.2090972700657</v>
      </c>
      <c r="CU156" s="20">
        <f t="shared" si="1138"/>
        <v>2524.0411457349428</v>
      </c>
      <c r="CV156" s="20">
        <f t="shared" si="1138"/>
        <v>2617.9345761237796</v>
      </c>
      <c r="CW156" s="20">
        <f t="shared" si="1138"/>
        <v>2753.2508842019147</v>
      </c>
      <c r="CX156" s="20">
        <f t="shared" si="1138"/>
        <v>2822.6391505694914</v>
      </c>
      <c r="CY156" s="20">
        <f t="shared" si="1138"/>
        <v>2948.1799296273948</v>
      </c>
      <c r="CZ156" s="20">
        <f t="shared" si="1138"/>
        <v>3055.2198032240026</v>
      </c>
      <c r="DA156" s="20">
        <f t="shared" si="1138"/>
        <v>3207.9928114635331</v>
      </c>
      <c r="DD156" s="125"/>
      <c r="DE156" s="21">
        <v>1678.8</v>
      </c>
    </row>
    <row r="157" spans="1:109" s="21" customFormat="1" x14ac:dyDescent="0.2">
      <c r="AB157" s="20"/>
      <c r="AC157" s="20"/>
      <c r="AD157" s="20"/>
      <c r="AE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D157" s="125"/>
    </row>
    <row r="158" spans="1:109" s="22" customFormat="1" x14ac:dyDescent="0.2">
      <c r="A158" s="22" t="s">
        <v>23</v>
      </c>
      <c r="B158" s="22">
        <f>'Annual Raw'!C45</f>
        <v>0</v>
      </c>
      <c r="C158" s="22">
        <f>'Annual Raw'!D45</f>
        <v>0</v>
      </c>
      <c r="D158" s="22">
        <f>'Annual Raw'!E45</f>
        <v>0.37590000000000001</v>
      </c>
      <c r="E158" s="22">
        <f>'Annual Raw'!F45</f>
        <v>0</v>
      </c>
      <c r="F158" s="22">
        <f>'Annual Raw'!G45</f>
        <v>0</v>
      </c>
      <c r="G158" s="22">
        <f>'Annual Raw'!H45</f>
        <v>0</v>
      </c>
      <c r="H158" s="22">
        <f>'Annual Raw'!I45</f>
        <v>0</v>
      </c>
      <c r="I158" s="22">
        <f>'Annual Raw'!J45</f>
        <v>0</v>
      </c>
      <c r="J158" s="22">
        <f>'Annual Raw'!K45</f>
        <v>0</v>
      </c>
      <c r="K158" s="22">
        <f>'Annual Raw'!L45</f>
        <v>0</v>
      </c>
      <c r="L158" s="22">
        <f>'Annual Raw'!M45</f>
        <v>0</v>
      </c>
      <c r="M158" s="22">
        <f>'Annual Raw'!N45</f>
        <v>0</v>
      </c>
      <c r="N158" s="22">
        <f>'Annual Raw'!O45</f>
        <v>0</v>
      </c>
      <c r="O158" s="22">
        <f>'Annual Raw'!P45</f>
        <v>0</v>
      </c>
      <c r="P158" s="22">
        <f>'Annual Raw'!Q45</f>
        <v>0</v>
      </c>
      <c r="Q158" s="22">
        <f>'Annual Raw'!R45</f>
        <v>0</v>
      </c>
      <c r="R158" s="22">
        <f>'Annual Raw'!S45</f>
        <v>0</v>
      </c>
      <c r="S158" s="22">
        <f>'Annual Raw'!T45</f>
        <v>0</v>
      </c>
      <c r="T158" s="22">
        <f>'Annual Raw'!U45</f>
        <v>0</v>
      </c>
      <c r="U158" s="22">
        <f>'Annual Raw'!V45</f>
        <v>0</v>
      </c>
      <c r="V158" s="22">
        <f>'Annual Raw'!W45</f>
        <v>0</v>
      </c>
      <c r="W158" s="22">
        <f>'Annual Raw'!X45</f>
        <v>0</v>
      </c>
      <c r="X158" s="22">
        <f>'Annual Raw'!Y45</f>
        <v>0</v>
      </c>
      <c r="Y158" s="22">
        <f>'Annual Raw'!Z45</f>
        <v>0</v>
      </c>
      <c r="Z158" s="22">
        <f>'Annual Raw'!AA45</f>
        <v>0</v>
      </c>
      <c r="AA158" s="22">
        <f>'Annual Raw'!AB45</f>
        <v>0</v>
      </c>
      <c r="AB158" s="23">
        <f t="shared" ref="AB158" si="1139">+CO158</f>
        <v>0</v>
      </c>
      <c r="AC158" s="23">
        <f t="shared" ref="AC158" si="1140">+CS158</f>
        <v>0</v>
      </c>
      <c r="AD158" s="23">
        <f t="shared" ref="AD158" si="1141">+CW158</f>
        <v>0</v>
      </c>
      <c r="AE158" s="23">
        <f t="shared" ref="AE158" si="1142">+DA158</f>
        <v>0</v>
      </c>
      <c r="AI158" s="22">
        <f>+'QTR Raw'!C60</f>
        <v>0</v>
      </c>
      <c r="AJ158" s="22">
        <f t="shared" ref="AJ158" si="1143">+AI158</f>
        <v>0</v>
      </c>
      <c r="AK158" s="22">
        <f>+'QTR Raw'!E60</f>
        <v>0</v>
      </c>
      <c r="AL158" s="22">
        <f t="shared" ref="AL158" si="1144">+AK158</f>
        <v>0</v>
      </c>
      <c r="AM158" s="22">
        <f>+'QTR Raw'!G60</f>
        <v>0</v>
      </c>
      <c r="AN158" s="22">
        <f t="shared" ref="AN158" si="1145">+AM158</f>
        <v>0</v>
      </c>
      <c r="AO158" s="22">
        <f>+'QTR Raw'!I60</f>
        <v>0</v>
      </c>
      <c r="AP158" s="22">
        <f t="shared" ref="AP158" si="1146">+AO158</f>
        <v>0</v>
      </c>
      <c r="AQ158" s="22">
        <f>+'QTR Raw'!K60</f>
        <v>0</v>
      </c>
      <c r="AR158" s="22">
        <f t="shared" ref="AR158" si="1147">+AQ158</f>
        <v>0</v>
      </c>
      <c r="AS158" s="22">
        <f>+'QTR Raw'!M60</f>
        <v>0</v>
      </c>
      <c r="AT158" s="22">
        <f t="shared" ref="AT158" si="1148">+AS158</f>
        <v>0</v>
      </c>
      <c r="AU158" s="22">
        <f>+'QTR Raw'!O60</f>
        <v>0</v>
      </c>
      <c r="AV158" s="22">
        <f t="shared" ref="AV158" si="1149">+AU158</f>
        <v>0</v>
      </c>
      <c r="AW158" s="22">
        <f>+'QTR Raw'!Q60</f>
        <v>0</v>
      </c>
      <c r="AX158" s="22">
        <f t="shared" ref="AX158" si="1150">+AW158</f>
        <v>0</v>
      </c>
      <c r="AY158" s="22">
        <f>+'QTR Raw'!S60</f>
        <v>0</v>
      </c>
      <c r="AZ158" s="22">
        <f t="shared" ref="AZ158" si="1151">+AY158</f>
        <v>0</v>
      </c>
      <c r="BA158" s="22">
        <f>+'QTR Raw'!U60</f>
        <v>0</v>
      </c>
      <c r="BB158" s="22">
        <f t="shared" ref="BB158" si="1152">+BA158</f>
        <v>0</v>
      </c>
      <c r="BC158" s="22">
        <f>+'QTR Raw'!W60</f>
        <v>0</v>
      </c>
      <c r="BD158" s="22">
        <f t="shared" ref="BD158" si="1153">+BC158</f>
        <v>0</v>
      </c>
      <c r="BE158" s="22">
        <f>+'QTR Raw'!Y60</f>
        <v>0</v>
      </c>
      <c r="BF158" s="22">
        <f t="shared" ref="BF158" si="1154">+BE158</f>
        <v>0</v>
      </c>
      <c r="BG158" s="22">
        <f>+'QTR Raw'!AA60</f>
        <v>0</v>
      </c>
      <c r="BH158" s="22">
        <f t="shared" ref="BH158" si="1155">+BG158</f>
        <v>0</v>
      </c>
      <c r="BI158" s="22">
        <f>+'QTR Raw'!AC60</f>
        <v>0</v>
      </c>
      <c r="BJ158" s="22">
        <f t="shared" ref="BJ158" si="1156">+BI158</f>
        <v>0</v>
      </c>
      <c r="BK158" s="22">
        <f>+'QTR Raw'!AE60</f>
        <v>0</v>
      </c>
      <c r="BL158" s="22">
        <f t="shared" ref="BL158" si="1157">+BK158</f>
        <v>0</v>
      </c>
      <c r="BM158" s="22">
        <f>+'QTR Raw'!AG60</f>
        <v>0</v>
      </c>
      <c r="BN158" s="22">
        <f t="shared" ref="BN158" si="1158">+BM158</f>
        <v>0</v>
      </c>
      <c r="BO158" s="22">
        <f>+'QTR Raw'!AI60</f>
        <v>0</v>
      </c>
      <c r="BP158" s="22">
        <f t="shared" ref="BP158" si="1159">+BO158</f>
        <v>0</v>
      </c>
      <c r="BQ158" s="22">
        <f>+'QTR Raw'!AK60</f>
        <v>0</v>
      </c>
      <c r="BR158" s="22">
        <f t="shared" ref="BR158" si="1160">+BQ158</f>
        <v>0</v>
      </c>
      <c r="BS158" s="22">
        <f>+'QTR Raw'!AM60</f>
        <v>0</v>
      </c>
      <c r="BT158" s="22">
        <f t="shared" ref="BT158" si="1161">+BS158</f>
        <v>0</v>
      </c>
      <c r="BU158" s="22">
        <f>+'QTR Raw'!AO60</f>
        <v>0</v>
      </c>
      <c r="BV158" s="22">
        <f t="shared" ref="BV158" si="1162">+BU158</f>
        <v>0</v>
      </c>
      <c r="BW158" s="22">
        <f>+'QTR Raw'!AQ60</f>
        <v>0</v>
      </c>
      <c r="BX158" s="22">
        <f t="shared" ref="BX158" si="1163">+BW158</f>
        <v>0</v>
      </c>
      <c r="BY158" s="22">
        <f>+'QTR Raw'!AS60</f>
        <v>0</v>
      </c>
      <c r="BZ158" s="22">
        <f t="shared" ref="BZ158" si="1164">+BY158</f>
        <v>0</v>
      </c>
      <c r="CA158" s="22">
        <f>+'QTR Raw'!AU60</f>
        <v>0</v>
      </c>
      <c r="CB158" s="22">
        <f t="shared" ref="CB158" si="1165">+CA158</f>
        <v>0</v>
      </c>
      <c r="CC158" s="22">
        <f>+'QTR Raw'!AW60</f>
        <v>0</v>
      </c>
      <c r="CD158" s="22">
        <f t="shared" ref="CD158" si="1166">+CC158</f>
        <v>0</v>
      </c>
      <c r="CE158" s="22">
        <f>+'QTR Raw'!AY60</f>
        <v>0</v>
      </c>
      <c r="CF158" s="22">
        <f t="shared" ref="CF158:CL158" si="1167">+CE158</f>
        <v>0</v>
      </c>
      <c r="CG158" s="22">
        <f t="shared" ref="CG158:CG163" si="1168">+Z158</f>
        <v>0</v>
      </c>
      <c r="CH158" s="22">
        <f t="shared" si="1167"/>
        <v>0</v>
      </c>
      <c r="CI158" s="22">
        <f>+'QTR Raw'!BC60</f>
        <v>0</v>
      </c>
      <c r="CJ158" s="22">
        <f t="shared" si="1167"/>
        <v>0</v>
      </c>
      <c r="CK158" s="22">
        <f>+'QTR Raw'!BE60</f>
        <v>0</v>
      </c>
      <c r="CL158" s="22">
        <f t="shared" si="1167"/>
        <v>0</v>
      </c>
      <c r="CM158" s="23">
        <f t="shared" ref="CM158" si="1169">+CL158</f>
        <v>0</v>
      </c>
      <c r="CN158" s="23">
        <f t="shared" ref="CN158" si="1170">+CM158</f>
        <v>0</v>
      </c>
      <c r="CO158" s="23">
        <f t="shared" ref="CO158" si="1171">+CN158</f>
        <v>0</v>
      </c>
      <c r="CP158" s="23">
        <f t="shared" ref="CP158" si="1172">+CO158</f>
        <v>0</v>
      </c>
      <c r="CQ158" s="23">
        <f t="shared" ref="CQ158" si="1173">+CP158</f>
        <v>0</v>
      </c>
      <c r="CR158" s="23">
        <f t="shared" ref="CR158" si="1174">+CQ158</f>
        <v>0</v>
      </c>
      <c r="CS158" s="23">
        <f t="shared" ref="CS158" si="1175">+CR158</f>
        <v>0</v>
      </c>
      <c r="CT158" s="23">
        <f t="shared" ref="CT158" si="1176">+CS158</f>
        <v>0</v>
      </c>
      <c r="CU158" s="23">
        <f t="shared" ref="CU158" si="1177">+CT158</f>
        <v>0</v>
      </c>
      <c r="CV158" s="23">
        <f t="shared" ref="CV158" si="1178">+CU158</f>
        <v>0</v>
      </c>
      <c r="CW158" s="23">
        <f t="shared" ref="CW158" si="1179">+CV158</f>
        <v>0</v>
      </c>
      <c r="CX158" s="23">
        <f t="shared" ref="CX158" si="1180">+CW158</f>
        <v>0</v>
      </c>
      <c r="CY158" s="23">
        <f t="shared" ref="CY158" si="1181">+CX158</f>
        <v>0</v>
      </c>
      <c r="CZ158" s="23">
        <f t="shared" ref="CZ158" si="1182">+CY158</f>
        <v>0</v>
      </c>
      <c r="DA158" s="23">
        <f t="shared" ref="DA158" si="1183">+CZ158</f>
        <v>0</v>
      </c>
      <c r="DD158" s="122"/>
      <c r="DE158" s="22">
        <v>0</v>
      </c>
    </row>
    <row r="159" spans="1:109" s="22" customFormat="1" x14ac:dyDescent="0.2">
      <c r="AB159" s="23"/>
      <c r="AC159" s="23"/>
      <c r="AD159" s="23"/>
      <c r="AE159" s="23"/>
      <c r="CG159" s="22">
        <f t="shared" si="1168"/>
        <v>0</v>
      </c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</row>
    <row r="160" spans="1:109" s="22" customFormat="1" outlineLevel="1" x14ac:dyDescent="0.2">
      <c r="A160" s="22" t="s">
        <v>45</v>
      </c>
      <c r="B160" s="22">
        <f>'Annual Raw'!C47</f>
        <v>20.632899999999999</v>
      </c>
      <c r="C160" s="22">
        <f>'Annual Raw'!D47</f>
        <v>19.8949</v>
      </c>
      <c r="D160" s="22">
        <f>'Annual Raw'!E47</f>
        <v>10.899100000000001</v>
      </c>
      <c r="E160" s="22">
        <f>'Annual Raw'!F47</f>
        <v>6.5449999999999999</v>
      </c>
      <c r="F160" s="22">
        <f>'Annual Raw'!G47</f>
        <v>4.5415999999999999</v>
      </c>
      <c r="G160" s="22">
        <f>'Annual Raw'!H47</f>
        <v>9.8549000000000007</v>
      </c>
      <c r="H160" s="22">
        <f>'Annual Raw'!I47</f>
        <v>10.0336</v>
      </c>
      <c r="I160" s="22">
        <f>'Annual Raw'!J47</f>
        <v>24.215</v>
      </c>
      <c r="J160" s="22">
        <f>'Annual Raw'!K47</f>
        <v>30.962800000000001</v>
      </c>
      <c r="K160" s="22">
        <f>'Annual Raw'!L47</f>
        <v>7.3301999999999996</v>
      </c>
      <c r="L160" s="22">
        <f>'Annual Raw'!M47</f>
        <v>13.616099999999999</v>
      </c>
      <c r="M160" s="22">
        <f>'Annual Raw'!N47</f>
        <v>0</v>
      </c>
      <c r="N160" s="22">
        <f>'Annual Raw'!O47</f>
        <v>0</v>
      </c>
      <c r="O160" s="22">
        <f>'Annual Raw'!P47</f>
        <v>0</v>
      </c>
      <c r="P160" s="22">
        <f>'Annual Raw'!Q47</f>
        <v>0</v>
      </c>
      <c r="Q160" s="22">
        <f>'Annual Raw'!R47</f>
        <v>0</v>
      </c>
      <c r="R160" s="22">
        <f>'Annual Raw'!S47</f>
        <v>0</v>
      </c>
      <c r="S160" s="22">
        <f>'Annual Raw'!T47</f>
        <v>0</v>
      </c>
      <c r="T160" s="22">
        <f>'Annual Raw'!U47</f>
        <v>0</v>
      </c>
      <c r="U160" s="22">
        <f>'Annual Raw'!V47</f>
        <v>0</v>
      </c>
      <c r="V160" s="22">
        <f>'Annual Raw'!W47</f>
        <v>0</v>
      </c>
      <c r="W160" s="22">
        <f>'Annual Raw'!X47</f>
        <v>0</v>
      </c>
      <c r="X160" s="22">
        <f>'Annual Raw'!Y47</f>
        <v>0</v>
      </c>
      <c r="Y160" s="22">
        <f>'Annual Raw'!Z47</f>
        <v>0</v>
      </c>
      <c r="Z160" s="22">
        <f>'Annual Raw'!AA47</f>
        <v>0</v>
      </c>
      <c r="AA160" s="22">
        <f>'Annual Raw'!AB47</f>
        <v>0</v>
      </c>
      <c r="AB160" s="23">
        <f t="shared" ref="AB160:AB163" si="1184">+CO160</f>
        <v>0</v>
      </c>
      <c r="AC160" s="23">
        <f t="shared" ref="AC160:AC163" si="1185">+CS160</f>
        <v>0</v>
      </c>
      <c r="AD160" s="23">
        <f t="shared" ref="AD160:AD163" si="1186">+CW160</f>
        <v>0</v>
      </c>
      <c r="AE160" s="23">
        <f t="shared" ref="AE160:AE163" si="1187">+DA160</f>
        <v>0</v>
      </c>
      <c r="AI160" s="22">
        <f>+'QTR Raw'!C62</f>
        <v>0</v>
      </c>
      <c r="AJ160" s="22">
        <f t="shared" ref="AJ160:AJ163" si="1188">+AI160</f>
        <v>0</v>
      </c>
      <c r="AK160" s="22">
        <f>+'QTR Raw'!E62</f>
        <v>0</v>
      </c>
      <c r="AL160" s="22">
        <f t="shared" ref="AL160:AL163" si="1189">+AK160</f>
        <v>0</v>
      </c>
      <c r="AM160" s="22">
        <f>+'QTR Raw'!G62</f>
        <v>0</v>
      </c>
      <c r="AN160" s="22">
        <f t="shared" ref="AN160:AN163" si="1190">+AM160</f>
        <v>0</v>
      </c>
      <c r="AO160" s="22">
        <f>+'QTR Raw'!I62</f>
        <v>0</v>
      </c>
      <c r="AP160" s="22">
        <f t="shared" ref="AP160:AP163" si="1191">+AO160</f>
        <v>0</v>
      </c>
      <c r="AQ160" s="22">
        <f>+'QTR Raw'!K62</f>
        <v>0</v>
      </c>
      <c r="AR160" s="22">
        <f t="shared" ref="AR160:AR163" si="1192">+AQ160</f>
        <v>0</v>
      </c>
      <c r="AS160" s="22">
        <f>+'QTR Raw'!M62</f>
        <v>0</v>
      </c>
      <c r="AT160" s="22">
        <f t="shared" ref="AT160:AT163" si="1193">+AS160</f>
        <v>0</v>
      </c>
      <c r="AU160" s="22">
        <f>+'QTR Raw'!O62</f>
        <v>0</v>
      </c>
      <c r="AV160" s="22">
        <f t="shared" ref="AV160:AV163" si="1194">+AU160</f>
        <v>0</v>
      </c>
      <c r="AW160" s="22">
        <f>+'QTR Raw'!Q62</f>
        <v>0</v>
      </c>
      <c r="AX160" s="22">
        <f t="shared" ref="AX160:AX163" si="1195">+AW160</f>
        <v>0</v>
      </c>
      <c r="AY160" s="22">
        <f>+'QTR Raw'!S62</f>
        <v>0</v>
      </c>
      <c r="AZ160" s="22">
        <f t="shared" ref="AZ160:AZ163" si="1196">+AY160</f>
        <v>0</v>
      </c>
      <c r="BA160" s="22">
        <f>+'QTR Raw'!U62</f>
        <v>0</v>
      </c>
      <c r="BB160" s="22">
        <f t="shared" ref="BB160:BB163" si="1197">+BA160</f>
        <v>0</v>
      </c>
      <c r="BC160" s="22">
        <f>+'QTR Raw'!W62</f>
        <v>0</v>
      </c>
      <c r="BD160" s="22">
        <f t="shared" ref="BD160:BD163" si="1198">+BC160</f>
        <v>0</v>
      </c>
      <c r="BE160" s="22">
        <f>+'QTR Raw'!Y62</f>
        <v>0</v>
      </c>
      <c r="BF160" s="22">
        <f t="shared" ref="BF160:BF163" si="1199">+BE160</f>
        <v>0</v>
      </c>
      <c r="BG160" s="22">
        <f>+'QTR Raw'!AA62</f>
        <v>0</v>
      </c>
      <c r="BH160" s="22">
        <f t="shared" ref="BH160:BH163" si="1200">+BG160</f>
        <v>0</v>
      </c>
      <c r="BI160" s="22">
        <f>+'QTR Raw'!AC62</f>
        <v>0</v>
      </c>
      <c r="BJ160" s="22">
        <f t="shared" ref="BJ160:BJ163" si="1201">+BI160</f>
        <v>0</v>
      </c>
      <c r="BK160" s="22">
        <f>+'QTR Raw'!AE62</f>
        <v>0</v>
      </c>
      <c r="BL160" s="22">
        <f t="shared" ref="BL160:BL163" si="1202">+BK160</f>
        <v>0</v>
      </c>
      <c r="BM160" s="22">
        <f>+'QTR Raw'!AG62</f>
        <v>0</v>
      </c>
      <c r="BN160" s="22">
        <f t="shared" ref="BN160:BN163" si="1203">+BM160</f>
        <v>0</v>
      </c>
      <c r="BO160" s="22">
        <f>+'QTR Raw'!AI62</f>
        <v>0</v>
      </c>
      <c r="BP160" s="22">
        <f t="shared" ref="BP160:BP163" si="1204">+BO160</f>
        <v>0</v>
      </c>
      <c r="BQ160" s="22">
        <f>+'QTR Raw'!AK62</f>
        <v>0</v>
      </c>
      <c r="BR160" s="22">
        <f t="shared" ref="BR160:BR163" si="1205">+BQ160</f>
        <v>0</v>
      </c>
      <c r="BS160" s="22">
        <f>+'QTR Raw'!AM62</f>
        <v>0</v>
      </c>
      <c r="BT160" s="22">
        <f t="shared" ref="BT160:BT163" si="1206">+BS160</f>
        <v>0</v>
      </c>
      <c r="BU160" s="22">
        <f>+'QTR Raw'!AO62</f>
        <v>0</v>
      </c>
      <c r="BV160" s="22">
        <f t="shared" ref="BV160:BV163" si="1207">+BU160</f>
        <v>0</v>
      </c>
      <c r="BW160" s="22">
        <f>+'QTR Raw'!AQ62</f>
        <v>0</v>
      </c>
      <c r="BX160" s="22">
        <f t="shared" ref="BX160:BX163" si="1208">+BW160</f>
        <v>0</v>
      </c>
      <c r="BY160" s="22">
        <f>+'QTR Raw'!AS62</f>
        <v>0</v>
      </c>
      <c r="BZ160" s="22">
        <f t="shared" ref="BZ160:BZ163" si="1209">+BY160</f>
        <v>0</v>
      </c>
      <c r="CA160" s="22">
        <f>+'QTR Raw'!AU62</f>
        <v>0</v>
      </c>
      <c r="CB160" s="22">
        <f t="shared" ref="CB160:CB163" si="1210">+CA160</f>
        <v>0</v>
      </c>
      <c r="CC160" s="22">
        <f>+'QTR Raw'!AW62</f>
        <v>0</v>
      </c>
      <c r="CD160" s="22">
        <f t="shared" ref="CD160:CD163" si="1211">+CC160</f>
        <v>0</v>
      </c>
      <c r="CE160" s="22">
        <f>+'QTR Raw'!AY62</f>
        <v>0</v>
      </c>
      <c r="CF160" s="22">
        <f t="shared" ref="CF160:CL163" si="1212">+CE160</f>
        <v>0</v>
      </c>
      <c r="CG160" s="22">
        <f t="shared" si="1168"/>
        <v>0</v>
      </c>
      <c r="CH160" s="22">
        <f t="shared" si="1212"/>
        <v>0</v>
      </c>
      <c r="CI160" s="22">
        <f>+'QTR Raw'!BC62</f>
        <v>0</v>
      </c>
      <c r="CJ160" s="22">
        <f t="shared" si="1212"/>
        <v>0</v>
      </c>
      <c r="CK160" s="22">
        <f>+'QTR Raw'!BE62</f>
        <v>0</v>
      </c>
      <c r="CL160" s="22">
        <f t="shared" si="1212"/>
        <v>0</v>
      </c>
      <c r="CM160" s="23">
        <f t="shared" ref="CM160:CM163" si="1213">+CL160</f>
        <v>0</v>
      </c>
      <c r="CN160" s="23">
        <f t="shared" ref="CN160:CN163" si="1214">+CM160</f>
        <v>0</v>
      </c>
      <c r="CO160" s="23">
        <f t="shared" ref="CO160:CO163" si="1215">+CN160</f>
        <v>0</v>
      </c>
      <c r="CP160" s="23">
        <f t="shared" ref="CP160:CP163" si="1216">+CO160</f>
        <v>0</v>
      </c>
      <c r="CQ160" s="23">
        <f t="shared" ref="CQ160:CQ163" si="1217">+CP160</f>
        <v>0</v>
      </c>
      <c r="CR160" s="23">
        <f t="shared" ref="CR160:CR163" si="1218">+CQ160</f>
        <v>0</v>
      </c>
      <c r="CS160" s="23">
        <f t="shared" ref="CS160:CS163" si="1219">+CR160</f>
        <v>0</v>
      </c>
      <c r="CT160" s="23">
        <f t="shared" ref="CT160:CT163" si="1220">+CS160</f>
        <v>0</v>
      </c>
      <c r="CU160" s="23">
        <f t="shared" ref="CU160:CU163" si="1221">+CT160</f>
        <v>0</v>
      </c>
      <c r="CV160" s="23">
        <f t="shared" ref="CV160:CV163" si="1222">+CU160</f>
        <v>0</v>
      </c>
      <c r="CW160" s="23">
        <f t="shared" ref="CW160:CW163" si="1223">+CV160</f>
        <v>0</v>
      </c>
      <c r="CX160" s="23">
        <f t="shared" ref="CX160:CX163" si="1224">+CW160</f>
        <v>0</v>
      </c>
      <c r="CY160" s="23">
        <f t="shared" ref="CY160:CY163" si="1225">+CX160</f>
        <v>0</v>
      </c>
      <c r="CZ160" s="23">
        <f t="shared" ref="CZ160:CZ163" si="1226">+CY160</f>
        <v>0</v>
      </c>
      <c r="DA160" s="23">
        <f t="shared" ref="DA160:DA163" si="1227">+CZ160</f>
        <v>0</v>
      </c>
      <c r="DD160" s="122"/>
      <c r="DE160" s="22">
        <v>0</v>
      </c>
    </row>
    <row r="161" spans="1:109" s="22" customFormat="1" outlineLevel="1" x14ac:dyDescent="0.2">
      <c r="A161" s="22" t="s">
        <v>46</v>
      </c>
      <c r="B161" s="22">
        <f>'Annual Raw'!C48</f>
        <v>20.920100000000001</v>
      </c>
      <c r="C161" s="22">
        <f>'Annual Raw'!D48</f>
        <v>26.5731</v>
      </c>
      <c r="D161" s="22">
        <f>'Annual Raw'!E48</f>
        <v>17.506699999999999</v>
      </c>
      <c r="E161" s="22">
        <f>'Annual Raw'!F48</f>
        <v>6.2016</v>
      </c>
      <c r="F161" s="22">
        <f>'Annual Raw'!G48</f>
        <v>3.1373000000000002</v>
      </c>
      <c r="G161" s="22">
        <f>'Annual Raw'!H48</f>
        <v>1.4473</v>
      </c>
      <c r="H161" s="22">
        <f>'Annual Raw'!I48</f>
        <v>0.91720000000000002</v>
      </c>
      <c r="I161" s="22">
        <f>'Annual Raw'!J48</f>
        <v>0.89729999999999999</v>
      </c>
      <c r="J161" s="22">
        <f>'Annual Raw'!K48</f>
        <v>0.35220000000000001</v>
      </c>
      <c r="K161" s="22">
        <f>'Annual Raw'!L48</f>
        <v>0.19570000000000001</v>
      </c>
      <c r="L161" s="22">
        <f>'Annual Raw'!M48</f>
        <v>0.11119999999999999</v>
      </c>
      <c r="M161" s="22">
        <f>'Annual Raw'!N48</f>
        <v>3.0000000000000001E-3</v>
      </c>
      <c r="N161" s="22">
        <f>'Annual Raw'!O48</f>
        <v>0</v>
      </c>
      <c r="O161" s="22">
        <f>'Annual Raw'!P48</f>
        <v>0</v>
      </c>
      <c r="P161" s="22">
        <f>'Annual Raw'!Q48</f>
        <v>0</v>
      </c>
      <c r="Q161" s="22">
        <f>'Annual Raw'!R48</f>
        <v>0</v>
      </c>
      <c r="R161" s="22">
        <f>'Annual Raw'!S48</f>
        <v>0</v>
      </c>
      <c r="S161" s="22">
        <f>'Annual Raw'!T48</f>
        <v>0</v>
      </c>
      <c r="T161" s="22">
        <f>'Annual Raw'!U48</f>
        <v>0</v>
      </c>
      <c r="U161" s="22">
        <f>'Annual Raw'!V48</f>
        <v>0</v>
      </c>
      <c r="V161" s="22">
        <f>'Annual Raw'!W48</f>
        <v>0</v>
      </c>
      <c r="W161" s="22">
        <f>'Annual Raw'!X48</f>
        <v>0</v>
      </c>
      <c r="X161" s="22">
        <f>'Annual Raw'!Y48</f>
        <v>0</v>
      </c>
      <c r="Y161" s="22">
        <f>'Annual Raw'!Z48</f>
        <v>0</v>
      </c>
      <c r="Z161" s="22">
        <f>'Annual Raw'!AA48</f>
        <v>0</v>
      </c>
      <c r="AA161" s="22">
        <f>'Annual Raw'!AB48</f>
        <v>0</v>
      </c>
      <c r="AB161" s="23">
        <f t="shared" si="1184"/>
        <v>0</v>
      </c>
      <c r="AC161" s="23">
        <f t="shared" si="1185"/>
        <v>0</v>
      </c>
      <c r="AD161" s="23">
        <f t="shared" si="1186"/>
        <v>0</v>
      </c>
      <c r="AE161" s="23">
        <f t="shared" si="1187"/>
        <v>0</v>
      </c>
      <c r="AI161" s="22">
        <f>+'QTR Raw'!C63</f>
        <v>0.01</v>
      </c>
      <c r="AJ161" s="22">
        <f t="shared" si="1188"/>
        <v>0.01</v>
      </c>
      <c r="AK161" s="22">
        <f>+'QTR Raw'!E63</f>
        <v>0</v>
      </c>
      <c r="AL161" s="22">
        <f t="shared" si="1189"/>
        <v>0</v>
      </c>
      <c r="AM161" s="22">
        <f>+'QTR Raw'!G63</f>
        <v>0</v>
      </c>
      <c r="AN161" s="22">
        <f t="shared" si="1190"/>
        <v>0</v>
      </c>
      <c r="AO161" s="22">
        <f>+'QTR Raw'!I63</f>
        <v>0</v>
      </c>
      <c r="AP161" s="22">
        <f t="shared" si="1191"/>
        <v>0</v>
      </c>
      <c r="AQ161" s="22">
        <f>+'QTR Raw'!K63</f>
        <v>0</v>
      </c>
      <c r="AR161" s="22">
        <f t="shared" si="1192"/>
        <v>0</v>
      </c>
      <c r="AS161" s="22">
        <f>+'QTR Raw'!M63</f>
        <v>0</v>
      </c>
      <c r="AT161" s="22">
        <f t="shared" si="1193"/>
        <v>0</v>
      </c>
      <c r="AU161" s="22">
        <f>+'QTR Raw'!O63</f>
        <v>0</v>
      </c>
      <c r="AV161" s="22">
        <f t="shared" si="1194"/>
        <v>0</v>
      </c>
      <c r="AW161" s="22">
        <f>+'QTR Raw'!Q63</f>
        <v>0</v>
      </c>
      <c r="AX161" s="22">
        <f t="shared" si="1195"/>
        <v>0</v>
      </c>
      <c r="AY161" s="22">
        <f>+'QTR Raw'!S63</f>
        <v>0</v>
      </c>
      <c r="AZ161" s="22">
        <f t="shared" si="1196"/>
        <v>0</v>
      </c>
      <c r="BA161" s="22">
        <f>+'QTR Raw'!U63</f>
        <v>0</v>
      </c>
      <c r="BB161" s="22">
        <f t="shared" si="1197"/>
        <v>0</v>
      </c>
      <c r="BC161" s="22">
        <f>+'QTR Raw'!W63</f>
        <v>0</v>
      </c>
      <c r="BD161" s="22">
        <f t="shared" si="1198"/>
        <v>0</v>
      </c>
      <c r="BE161" s="22">
        <f>+'QTR Raw'!Y63</f>
        <v>0</v>
      </c>
      <c r="BF161" s="22">
        <f t="shared" si="1199"/>
        <v>0</v>
      </c>
      <c r="BG161" s="22">
        <f>+'QTR Raw'!AA63</f>
        <v>0</v>
      </c>
      <c r="BH161" s="22">
        <f t="shared" si="1200"/>
        <v>0</v>
      </c>
      <c r="BI161" s="22">
        <f>+'QTR Raw'!AC63</f>
        <v>0</v>
      </c>
      <c r="BJ161" s="22">
        <f t="shared" si="1201"/>
        <v>0</v>
      </c>
      <c r="BK161" s="22">
        <f>+'QTR Raw'!AE63</f>
        <v>0</v>
      </c>
      <c r="BL161" s="22">
        <f t="shared" si="1202"/>
        <v>0</v>
      </c>
      <c r="BM161" s="22">
        <f>+'QTR Raw'!AG63</f>
        <v>0</v>
      </c>
      <c r="BN161" s="22">
        <f t="shared" si="1203"/>
        <v>0</v>
      </c>
      <c r="BO161" s="22">
        <f>+'QTR Raw'!AI63</f>
        <v>0</v>
      </c>
      <c r="BP161" s="22">
        <f t="shared" si="1204"/>
        <v>0</v>
      </c>
      <c r="BQ161" s="22">
        <f>+'QTR Raw'!AK63</f>
        <v>0</v>
      </c>
      <c r="BR161" s="22">
        <f t="shared" si="1205"/>
        <v>0</v>
      </c>
      <c r="BS161" s="22">
        <f>+'QTR Raw'!AM63</f>
        <v>0</v>
      </c>
      <c r="BT161" s="22">
        <f t="shared" si="1206"/>
        <v>0</v>
      </c>
      <c r="BU161" s="22">
        <f>+'QTR Raw'!AO63</f>
        <v>0</v>
      </c>
      <c r="BV161" s="22">
        <f t="shared" si="1207"/>
        <v>0</v>
      </c>
      <c r="BW161" s="22">
        <f>+'QTR Raw'!AQ63</f>
        <v>0</v>
      </c>
      <c r="BX161" s="22">
        <f t="shared" si="1208"/>
        <v>0</v>
      </c>
      <c r="BY161" s="22">
        <f>+'QTR Raw'!AS63</f>
        <v>0</v>
      </c>
      <c r="BZ161" s="22">
        <f t="shared" si="1209"/>
        <v>0</v>
      </c>
      <c r="CA161" s="22">
        <f>+'QTR Raw'!AU63</f>
        <v>0</v>
      </c>
      <c r="CB161" s="22">
        <f t="shared" si="1210"/>
        <v>0</v>
      </c>
      <c r="CC161" s="22">
        <f>+'QTR Raw'!AW63</f>
        <v>0</v>
      </c>
      <c r="CD161" s="22">
        <f t="shared" si="1211"/>
        <v>0</v>
      </c>
      <c r="CE161" s="22">
        <f>+'QTR Raw'!AY63</f>
        <v>0</v>
      </c>
      <c r="CF161" s="22">
        <f t="shared" si="1212"/>
        <v>0</v>
      </c>
      <c r="CG161" s="22">
        <f t="shared" si="1168"/>
        <v>0</v>
      </c>
      <c r="CH161" s="22">
        <f t="shared" si="1212"/>
        <v>0</v>
      </c>
      <c r="CI161" s="22">
        <f>+'QTR Raw'!BC63</f>
        <v>0</v>
      </c>
      <c r="CJ161" s="22">
        <f t="shared" si="1212"/>
        <v>0</v>
      </c>
      <c r="CK161" s="22">
        <f>+'QTR Raw'!BE63</f>
        <v>0</v>
      </c>
      <c r="CL161" s="22">
        <f t="shared" si="1212"/>
        <v>0</v>
      </c>
      <c r="CM161" s="23">
        <f t="shared" si="1213"/>
        <v>0</v>
      </c>
      <c r="CN161" s="23">
        <f t="shared" si="1214"/>
        <v>0</v>
      </c>
      <c r="CO161" s="23">
        <f t="shared" si="1215"/>
        <v>0</v>
      </c>
      <c r="CP161" s="23">
        <f t="shared" si="1216"/>
        <v>0</v>
      </c>
      <c r="CQ161" s="23">
        <f t="shared" si="1217"/>
        <v>0</v>
      </c>
      <c r="CR161" s="23">
        <f t="shared" si="1218"/>
        <v>0</v>
      </c>
      <c r="CS161" s="23">
        <f t="shared" si="1219"/>
        <v>0</v>
      </c>
      <c r="CT161" s="23">
        <f t="shared" si="1220"/>
        <v>0</v>
      </c>
      <c r="CU161" s="23">
        <f t="shared" si="1221"/>
        <v>0</v>
      </c>
      <c r="CV161" s="23">
        <f t="shared" si="1222"/>
        <v>0</v>
      </c>
      <c r="CW161" s="23">
        <f t="shared" si="1223"/>
        <v>0</v>
      </c>
      <c r="CX161" s="23">
        <f t="shared" si="1224"/>
        <v>0</v>
      </c>
      <c r="CY161" s="23">
        <f t="shared" si="1225"/>
        <v>0</v>
      </c>
      <c r="CZ161" s="23">
        <f t="shared" si="1226"/>
        <v>0</v>
      </c>
      <c r="DA161" s="23">
        <f t="shared" si="1227"/>
        <v>0</v>
      </c>
      <c r="DD161" s="122"/>
      <c r="DE161" s="22">
        <v>0</v>
      </c>
    </row>
    <row r="162" spans="1:109" s="22" customFormat="1" outlineLevel="1" x14ac:dyDescent="0.2">
      <c r="A162" s="22" t="s">
        <v>47</v>
      </c>
      <c r="B162" s="22">
        <f>'Annual Raw'!C87+'Annual Raw'!C88+'Annual Raw'!C89+'Annual Raw'!C90</f>
        <v>0</v>
      </c>
      <c r="C162" s="22">
        <f>'Annual Raw'!D87+'Annual Raw'!D88+'Annual Raw'!D89+'Annual Raw'!D90</f>
        <v>0</v>
      </c>
      <c r="D162" s="22">
        <f>'Annual Raw'!E87+'Annual Raw'!E88+'Annual Raw'!E89+'Annual Raw'!E90</f>
        <v>0</v>
      </c>
      <c r="E162" s="22">
        <f>'Annual Raw'!F87+'Annual Raw'!F88+'Annual Raw'!F89+'Annual Raw'!F90</f>
        <v>0</v>
      </c>
      <c r="F162" s="22">
        <f>'Annual Raw'!G87+'Annual Raw'!G88+'Annual Raw'!G89+'Annual Raw'!G90</f>
        <v>0</v>
      </c>
      <c r="G162" s="22">
        <f>'Annual Raw'!H87+'Annual Raw'!H88+'Annual Raw'!H89+'Annual Raw'!H90</f>
        <v>0</v>
      </c>
      <c r="H162" s="22">
        <f>'Annual Raw'!I87+'Annual Raw'!I88+'Annual Raw'!I89+'Annual Raw'!I90</f>
        <v>0</v>
      </c>
      <c r="I162" s="22">
        <f>'Annual Raw'!J87+'Annual Raw'!J88+'Annual Raw'!J89+'Annual Raw'!J90</f>
        <v>0</v>
      </c>
      <c r="J162" s="22">
        <f>'Annual Raw'!K87+'Annual Raw'!K88+'Annual Raw'!K89+'Annual Raw'!K90</f>
        <v>0</v>
      </c>
      <c r="K162" s="22">
        <f>'Annual Raw'!L87+'Annual Raw'!L88+'Annual Raw'!L89+'Annual Raw'!L90</f>
        <v>0</v>
      </c>
      <c r="L162" s="22">
        <f>'Annual Raw'!M87+'Annual Raw'!M88+'Annual Raw'!M89+'Annual Raw'!M90</f>
        <v>0</v>
      </c>
      <c r="M162" s="22">
        <f>'Annual Raw'!N87+'Annual Raw'!N88+'Annual Raw'!N89+'Annual Raw'!N90</f>
        <v>1.7000000000000001E-2</v>
      </c>
      <c r="N162" s="22">
        <f>'Annual Raw'!O87+'Annual Raw'!O88+'Annual Raw'!O89+'Annual Raw'!O90</f>
        <v>2E-3</v>
      </c>
      <c r="O162" s="22">
        <f>'Annual Raw'!P87+'Annual Raw'!P88+'Annual Raw'!P89+'Annual Raw'!P90</f>
        <v>0</v>
      </c>
      <c r="P162" s="22">
        <f>'Annual Raw'!Q87+'Annual Raw'!Q88+'Annual Raw'!Q89+'Annual Raw'!Q90</f>
        <v>0</v>
      </c>
      <c r="Q162" s="22">
        <f>'Annual Raw'!R87+'Annual Raw'!R88+'Annual Raw'!R89+'Annual Raw'!R90</f>
        <v>0</v>
      </c>
      <c r="R162" s="22">
        <f>'Annual Raw'!S87+'Annual Raw'!S88+'Annual Raw'!S89+'Annual Raw'!S90</f>
        <v>0</v>
      </c>
      <c r="S162" s="22">
        <f>'Annual Raw'!T87+'Annual Raw'!T88+'Annual Raw'!T89+'Annual Raw'!T90</f>
        <v>0</v>
      </c>
      <c r="T162" s="22">
        <f>'Annual Raw'!U87+'Annual Raw'!U88+'Annual Raw'!U89+'Annual Raw'!U90</f>
        <v>0</v>
      </c>
      <c r="U162" s="22">
        <f>'Annual Raw'!V87+'Annual Raw'!V88+'Annual Raw'!V89+'Annual Raw'!V90</f>
        <v>0</v>
      </c>
      <c r="V162" s="22">
        <f>'Annual Raw'!W87+'Annual Raw'!W88+'Annual Raw'!W89+'Annual Raw'!W90</f>
        <v>0</v>
      </c>
      <c r="W162" s="22">
        <f>'Annual Raw'!X87+'Annual Raw'!X88+'Annual Raw'!X89+'Annual Raw'!X90</f>
        <v>0</v>
      </c>
      <c r="X162" s="22">
        <f>'Annual Raw'!Y87+'Annual Raw'!Y88+'Annual Raw'!Y89+'Annual Raw'!Y90</f>
        <v>0</v>
      </c>
      <c r="Y162" s="22">
        <f>'Annual Raw'!Z87+'Annual Raw'!Z88+'Annual Raw'!Z89+'Annual Raw'!Z90</f>
        <v>0</v>
      </c>
      <c r="Z162" s="22">
        <f>'Annual Raw'!AA87+'Annual Raw'!AA88+'Annual Raw'!AA89+'Annual Raw'!AA90</f>
        <v>0</v>
      </c>
      <c r="AA162" s="22">
        <f>'Annual Raw'!AB87+'Annual Raw'!AB88+'Annual Raw'!AB89+'Annual Raw'!AB90</f>
        <v>0</v>
      </c>
      <c r="AB162" s="23">
        <f t="shared" si="1184"/>
        <v>0</v>
      </c>
      <c r="AC162" s="23">
        <f t="shared" si="1185"/>
        <v>0</v>
      </c>
      <c r="AD162" s="23">
        <f t="shared" si="1186"/>
        <v>0</v>
      </c>
      <c r="AE162" s="23">
        <f t="shared" si="1187"/>
        <v>0</v>
      </c>
      <c r="AI162" s="22">
        <f>+'QTR Raw'!C90</f>
        <v>0</v>
      </c>
      <c r="AJ162" s="22">
        <f t="shared" si="1188"/>
        <v>0</v>
      </c>
      <c r="AK162" s="22">
        <f>+'QTR Raw'!E90</f>
        <v>0</v>
      </c>
      <c r="AL162" s="22">
        <f t="shared" si="1189"/>
        <v>0</v>
      </c>
      <c r="AM162" s="22">
        <f>+'QTR Raw'!G90</f>
        <v>0</v>
      </c>
      <c r="AN162" s="22">
        <f t="shared" si="1190"/>
        <v>0</v>
      </c>
      <c r="AO162" s="22">
        <f>+'QTR Raw'!I90</f>
        <v>0</v>
      </c>
      <c r="AP162" s="22">
        <f t="shared" si="1191"/>
        <v>0</v>
      </c>
      <c r="AQ162" s="22">
        <f>+'QTR Raw'!K90</f>
        <v>0</v>
      </c>
      <c r="AR162" s="22">
        <f t="shared" si="1192"/>
        <v>0</v>
      </c>
      <c r="AS162" s="22">
        <f>+'QTR Raw'!M90</f>
        <v>0</v>
      </c>
      <c r="AT162" s="22">
        <f t="shared" si="1193"/>
        <v>0</v>
      </c>
      <c r="AU162" s="22">
        <f>+'QTR Raw'!O90</f>
        <v>0</v>
      </c>
      <c r="AV162" s="22">
        <f t="shared" si="1194"/>
        <v>0</v>
      </c>
      <c r="AW162" s="22">
        <f>+'QTR Raw'!Q90</f>
        <v>0</v>
      </c>
      <c r="AX162" s="22">
        <f t="shared" si="1195"/>
        <v>0</v>
      </c>
      <c r="AY162" s="22">
        <f>+'QTR Raw'!S90</f>
        <v>0</v>
      </c>
      <c r="AZ162" s="22">
        <f t="shared" si="1196"/>
        <v>0</v>
      </c>
      <c r="BA162" s="22">
        <f>+'QTR Raw'!U90</f>
        <v>0</v>
      </c>
      <c r="BB162" s="22">
        <f t="shared" si="1197"/>
        <v>0</v>
      </c>
      <c r="BC162" s="22">
        <f>+'QTR Raw'!W90</f>
        <v>0</v>
      </c>
      <c r="BD162" s="22">
        <f t="shared" si="1198"/>
        <v>0</v>
      </c>
      <c r="BE162" s="22">
        <f>+'QTR Raw'!Y90</f>
        <v>0</v>
      </c>
      <c r="BF162" s="22">
        <f t="shared" si="1199"/>
        <v>0</v>
      </c>
      <c r="BG162" s="22">
        <f>+'QTR Raw'!AA90</f>
        <v>0</v>
      </c>
      <c r="BH162" s="22">
        <f t="shared" si="1200"/>
        <v>0</v>
      </c>
      <c r="BI162" s="22">
        <f>+'QTR Raw'!AC90</f>
        <v>0</v>
      </c>
      <c r="BJ162" s="22">
        <f t="shared" si="1201"/>
        <v>0</v>
      </c>
      <c r="BK162" s="22">
        <f>+'QTR Raw'!AE90</f>
        <v>0</v>
      </c>
      <c r="BL162" s="22">
        <f t="shared" si="1202"/>
        <v>0</v>
      </c>
      <c r="BM162" s="22">
        <f>+'QTR Raw'!AG90</f>
        <v>0</v>
      </c>
      <c r="BN162" s="22">
        <f t="shared" si="1203"/>
        <v>0</v>
      </c>
      <c r="BO162" s="22">
        <f>+'QTR Raw'!AI90</f>
        <v>0</v>
      </c>
      <c r="BP162" s="22">
        <f t="shared" si="1204"/>
        <v>0</v>
      </c>
      <c r="BQ162" s="22">
        <f>+'QTR Raw'!AK90</f>
        <v>0</v>
      </c>
      <c r="BR162" s="22">
        <f t="shared" si="1205"/>
        <v>0</v>
      </c>
      <c r="BS162" s="22">
        <f>+'QTR Raw'!AM90</f>
        <v>0</v>
      </c>
      <c r="BT162" s="22">
        <f t="shared" si="1206"/>
        <v>0</v>
      </c>
      <c r="BU162" s="22">
        <f>+'QTR Raw'!AO90</f>
        <v>0</v>
      </c>
      <c r="BV162" s="22">
        <f t="shared" si="1207"/>
        <v>0</v>
      </c>
      <c r="BW162" s="22">
        <f>+'QTR Raw'!AQ90</f>
        <v>0</v>
      </c>
      <c r="BX162" s="22">
        <f t="shared" si="1208"/>
        <v>0</v>
      </c>
      <c r="BY162" s="22">
        <f>+'QTR Raw'!AS90</f>
        <v>0</v>
      </c>
      <c r="BZ162" s="22">
        <f t="shared" si="1209"/>
        <v>0</v>
      </c>
      <c r="CA162" s="22">
        <f>+'QTR Raw'!AU90</f>
        <v>0</v>
      </c>
      <c r="CB162" s="22">
        <f t="shared" si="1210"/>
        <v>0</v>
      </c>
      <c r="CC162" s="22">
        <f>+'QTR Raw'!AW90</f>
        <v>0</v>
      </c>
      <c r="CD162" s="22">
        <f t="shared" si="1211"/>
        <v>0</v>
      </c>
      <c r="CE162" s="22">
        <f>+'QTR Raw'!AY90</f>
        <v>0</v>
      </c>
      <c r="CF162" s="22">
        <f t="shared" si="1212"/>
        <v>0</v>
      </c>
      <c r="CG162" s="22">
        <f t="shared" si="1168"/>
        <v>0</v>
      </c>
      <c r="CH162" s="22">
        <f t="shared" si="1212"/>
        <v>0</v>
      </c>
      <c r="CI162" s="22">
        <f>+'QTR Raw'!BC90</f>
        <v>0</v>
      </c>
      <c r="CJ162" s="22">
        <f t="shared" si="1212"/>
        <v>0</v>
      </c>
      <c r="CK162" s="22">
        <f>+'QTR Raw'!BE90</f>
        <v>0</v>
      </c>
      <c r="CL162" s="22">
        <f t="shared" si="1212"/>
        <v>0</v>
      </c>
      <c r="CM162" s="23">
        <f t="shared" si="1213"/>
        <v>0</v>
      </c>
      <c r="CN162" s="23">
        <f t="shared" si="1214"/>
        <v>0</v>
      </c>
      <c r="CO162" s="23">
        <f t="shared" si="1215"/>
        <v>0</v>
      </c>
      <c r="CP162" s="23">
        <f t="shared" si="1216"/>
        <v>0</v>
      </c>
      <c r="CQ162" s="23">
        <f t="shared" si="1217"/>
        <v>0</v>
      </c>
      <c r="CR162" s="23">
        <f t="shared" si="1218"/>
        <v>0</v>
      </c>
      <c r="CS162" s="23">
        <f t="shared" si="1219"/>
        <v>0</v>
      </c>
      <c r="CT162" s="23">
        <f t="shared" si="1220"/>
        <v>0</v>
      </c>
      <c r="CU162" s="23">
        <f t="shared" si="1221"/>
        <v>0</v>
      </c>
      <c r="CV162" s="23">
        <f t="shared" si="1222"/>
        <v>0</v>
      </c>
      <c r="CW162" s="23">
        <f t="shared" si="1223"/>
        <v>0</v>
      </c>
      <c r="CX162" s="23">
        <f t="shared" si="1224"/>
        <v>0</v>
      </c>
      <c r="CY162" s="23">
        <f t="shared" si="1225"/>
        <v>0</v>
      </c>
      <c r="CZ162" s="23">
        <f t="shared" si="1226"/>
        <v>0</v>
      </c>
      <c r="DA162" s="23">
        <f t="shared" si="1227"/>
        <v>0</v>
      </c>
      <c r="DD162" s="122"/>
      <c r="DE162" s="22">
        <v>0</v>
      </c>
    </row>
    <row r="163" spans="1:109" s="22" customFormat="1" outlineLevel="1" x14ac:dyDescent="0.2">
      <c r="A163" s="22" t="s">
        <v>48</v>
      </c>
      <c r="B163" s="22">
        <f>'Annual Raw'!C56</f>
        <v>0</v>
      </c>
      <c r="C163" s="22">
        <f>'Annual Raw'!D56</f>
        <v>0</v>
      </c>
      <c r="D163" s="22">
        <f>'Annual Raw'!E56</f>
        <v>0</v>
      </c>
      <c r="E163" s="22">
        <f>'Annual Raw'!F56</f>
        <v>0</v>
      </c>
      <c r="F163" s="22">
        <f>'Annual Raw'!G56</f>
        <v>0</v>
      </c>
      <c r="G163" s="22">
        <f>'Annual Raw'!H56</f>
        <v>0</v>
      </c>
      <c r="H163" s="22">
        <f>'Annual Raw'!I56</f>
        <v>0</v>
      </c>
      <c r="I163" s="22">
        <f>'Annual Raw'!J56</f>
        <v>0</v>
      </c>
      <c r="J163" s="22">
        <f>'Annual Raw'!K56</f>
        <v>0</v>
      </c>
      <c r="K163" s="22">
        <f>'Annual Raw'!L56</f>
        <v>0</v>
      </c>
      <c r="L163" s="22">
        <f>'Annual Raw'!M56</f>
        <v>0</v>
      </c>
      <c r="M163" s="22">
        <f>'Annual Raw'!N56</f>
        <v>63.155000000000001</v>
      </c>
      <c r="N163" s="22">
        <f>'Annual Raw'!O56</f>
        <v>16.852</v>
      </c>
      <c r="O163" s="22">
        <f>'Annual Raw'!P56</f>
        <v>3.1850000000000001</v>
      </c>
      <c r="P163" s="22">
        <f>'Annual Raw'!Q56</f>
        <v>24.379000000000001</v>
      </c>
      <c r="Q163" s="22">
        <f>'Annual Raw'!R56</f>
        <v>1.2969999999999999</v>
      </c>
      <c r="R163" s="22">
        <f>'Annual Raw'!S56</f>
        <v>6.9870000000000001</v>
      </c>
      <c r="S163" s="22">
        <f>'Annual Raw'!T56</f>
        <v>12.634</v>
      </c>
      <c r="T163" s="22">
        <f>'Annual Raw'!U56</f>
        <v>43.426000000000002</v>
      </c>
      <c r="U163" s="22">
        <f>'Annual Raw'!V56</f>
        <v>60</v>
      </c>
      <c r="V163" s="22">
        <f>'Annual Raw'!W56</f>
        <v>60</v>
      </c>
      <c r="W163" s="22">
        <f>'Annual Raw'!X56</f>
        <v>0</v>
      </c>
      <c r="X163" s="22">
        <f>'Annual Raw'!Y56</f>
        <v>0</v>
      </c>
      <c r="Y163" s="22">
        <f>'Annual Raw'!Z56</f>
        <v>0</v>
      </c>
      <c r="Z163" s="22">
        <f>'Annual Raw'!AA56</f>
        <v>0</v>
      </c>
      <c r="AA163" s="22">
        <f>'Annual Raw'!AB56</f>
        <v>0</v>
      </c>
      <c r="AB163" s="23">
        <f t="shared" si="1184"/>
        <v>0</v>
      </c>
      <c r="AC163" s="23">
        <f t="shared" si="1185"/>
        <v>0</v>
      </c>
      <c r="AD163" s="23">
        <f t="shared" si="1186"/>
        <v>0</v>
      </c>
      <c r="AE163" s="23">
        <f t="shared" si="1187"/>
        <v>0</v>
      </c>
      <c r="AI163" s="22">
        <f>+'QTR Raw'!C88</f>
        <v>55.74</v>
      </c>
      <c r="AJ163" s="22">
        <f t="shared" si="1188"/>
        <v>55.74</v>
      </c>
      <c r="AK163" s="22">
        <f>+'QTR Raw'!E88</f>
        <v>0</v>
      </c>
      <c r="AL163" s="22">
        <f t="shared" si="1189"/>
        <v>0</v>
      </c>
      <c r="AM163" s="22">
        <f>+'QTR Raw'!G88</f>
        <v>31.95</v>
      </c>
      <c r="AN163" s="22">
        <f t="shared" si="1190"/>
        <v>31.95</v>
      </c>
      <c r="AO163" s="22">
        <f>+'QTR Raw'!I88</f>
        <v>3.18</v>
      </c>
      <c r="AP163" s="22">
        <f t="shared" si="1191"/>
        <v>3.18</v>
      </c>
      <c r="AQ163" s="22">
        <f>+'QTR Raw'!K88</f>
        <v>17.09</v>
      </c>
      <c r="AR163" s="22">
        <f t="shared" si="1192"/>
        <v>17.09</v>
      </c>
      <c r="AS163" s="22">
        <f>+'QTR Raw'!M88</f>
        <v>24.38</v>
      </c>
      <c r="AT163" s="22">
        <f t="shared" si="1193"/>
        <v>24.38</v>
      </c>
      <c r="AU163" s="22">
        <f>+'QTR Raw'!O88</f>
        <v>7.04</v>
      </c>
      <c r="AV163" s="22">
        <f t="shared" si="1194"/>
        <v>7.04</v>
      </c>
      <c r="AW163" s="22">
        <f>+'QTR Raw'!Q88</f>
        <v>1.3</v>
      </c>
      <c r="AX163" s="22">
        <f t="shared" si="1195"/>
        <v>1.3</v>
      </c>
      <c r="AY163" s="22">
        <f>+'QTR Raw'!S88</f>
        <v>2.69</v>
      </c>
      <c r="AZ163" s="22">
        <f t="shared" si="1196"/>
        <v>2.69</v>
      </c>
      <c r="BA163" s="22">
        <f>+'QTR Raw'!U88</f>
        <v>6.99</v>
      </c>
      <c r="BB163" s="22">
        <f t="shared" si="1197"/>
        <v>6.99</v>
      </c>
      <c r="BC163" s="22">
        <f>+'QTR Raw'!W88</f>
        <v>106.16</v>
      </c>
      <c r="BD163" s="22">
        <f t="shared" si="1198"/>
        <v>106.16</v>
      </c>
      <c r="BE163" s="22">
        <f>+'QTR Raw'!Y88</f>
        <v>12.6</v>
      </c>
      <c r="BF163" s="22">
        <f t="shared" si="1199"/>
        <v>12.6</v>
      </c>
      <c r="BG163" s="22">
        <f>+'QTR Raw'!AA88</f>
        <v>26.7</v>
      </c>
      <c r="BH163" s="22">
        <f t="shared" si="1200"/>
        <v>26.7</v>
      </c>
      <c r="BI163" s="22">
        <f>+'QTR Raw'!AC88</f>
        <v>43.4</v>
      </c>
      <c r="BJ163" s="22">
        <f t="shared" si="1201"/>
        <v>43.4</v>
      </c>
      <c r="BK163" s="22">
        <f>+'QTR Raw'!AE88</f>
        <v>48.1</v>
      </c>
      <c r="BL163" s="22">
        <f t="shared" si="1202"/>
        <v>48.1</v>
      </c>
      <c r="BM163" s="22">
        <f>+'QTR Raw'!AG88</f>
        <v>60</v>
      </c>
      <c r="BN163" s="22">
        <f t="shared" si="1203"/>
        <v>60</v>
      </c>
      <c r="BO163" s="22">
        <f>+'QTR Raw'!AI88</f>
        <v>60.2</v>
      </c>
      <c r="BP163" s="22">
        <f t="shared" si="1204"/>
        <v>60.2</v>
      </c>
      <c r="BQ163" s="22">
        <f>+'QTR Raw'!AK88</f>
        <v>60</v>
      </c>
      <c r="BR163" s="22">
        <f t="shared" si="1205"/>
        <v>60</v>
      </c>
      <c r="BS163" s="22">
        <f>+'QTR Raw'!AM88</f>
        <v>67.7</v>
      </c>
      <c r="BT163" s="22">
        <f t="shared" si="1206"/>
        <v>67.7</v>
      </c>
      <c r="BU163" s="22">
        <f>+'QTR Raw'!AO88</f>
        <v>0</v>
      </c>
      <c r="BV163" s="22">
        <f t="shared" si="1207"/>
        <v>0</v>
      </c>
      <c r="BW163" s="22">
        <f>+'QTR Raw'!AQ88</f>
        <v>29.2</v>
      </c>
      <c r="BX163" s="22">
        <f t="shared" si="1208"/>
        <v>29.2</v>
      </c>
      <c r="BY163" s="22">
        <f>+'QTR Raw'!AS88</f>
        <v>0</v>
      </c>
      <c r="BZ163" s="22">
        <f t="shared" si="1209"/>
        <v>0</v>
      </c>
      <c r="CA163" s="22">
        <f>+'QTR Raw'!AU88</f>
        <v>0</v>
      </c>
      <c r="CB163" s="22">
        <f t="shared" si="1210"/>
        <v>0</v>
      </c>
      <c r="CC163" s="22">
        <f>+'QTR Raw'!AW88</f>
        <v>0</v>
      </c>
      <c r="CD163" s="22">
        <f t="shared" si="1211"/>
        <v>0</v>
      </c>
      <c r="CE163" s="22">
        <f>+'QTR Raw'!AY88</f>
        <v>0</v>
      </c>
      <c r="CF163" s="22">
        <f t="shared" si="1212"/>
        <v>0</v>
      </c>
      <c r="CG163" s="22">
        <f t="shared" si="1168"/>
        <v>0</v>
      </c>
      <c r="CH163" s="22">
        <f t="shared" si="1212"/>
        <v>0</v>
      </c>
      <c r="CI163" s="22">
        <f>+'QTR Raw'!BC88</f>
        <v>0</v>
      </c>
      <c r="CJ163" s="22">
        <f t="shared" si="1212"/>
        <v>0</v>
      </c>
      <c r="CK163" s="22">
        <f>+'QTR Raw'!BE88</f>
        <v>0</v>
      </c>
      <c r="CL163" s="22">
        <f t="shared" si="1212"/>
        <v>0</v>
      </c>
      <c r="CM163" s="23">
        <f t="shared" si="1213"/>
        <v>0</v>
      </c>
      <c r="CN163" s="23">
        <f t="shared" si="1214"/>
        <v>0</v>
      </c>
      <c r="CO163" s="23">
        <f t="shared" si="1215"/>
        <v>0</v>
      </c>
      <c r="CP163" s="23">
        <f t="shared" si="1216"/>
        <v>0</v>
      </c>
      <c r="CQ163" s="23">
        <f t="shared" si="1217"/>
        <v>0</v>
      </c>
      <c r="CR163" s="23">
        <f t="shared" si="1218"/>
        <v>0</v>
      </c>
      <c r="CS163" s="23">
        <f t="shared" si="1219"/>
        <v>0</v>
      </c>
      <c r="CT163" s="23">
        <f t="shared" si="1220"/>
        <v>0</v>
      </c>
      <c r="CU163" s="23">
        <f t="shared" si="1221"/>
        <v>0</v>
      </c>
      <c r="CV163" s="23">
        <f t="shared" si="1222"/>
        <v>0</v>
      </c>
      <c r="CW163" s="23">
        <f t="shared" si="1223"/>
        <v>0</v>
      </c>
      <c r="CX163" s="23">
        <f t="shared" si="1224"/>
        <v>0</v>
      </c>
      <c r="CY163" s="23">
        <f t="shared" si="1225"/>
        <v>0</v>
      </c>
      <c r="CZ163" s="23">
        <f t="shared" si="1226"/>
        <v>0</v>
      </c>
      <c r="DA163" s="23">
        <f t="shared" si="1227"/>
        <v>0</v>
      </c>
      <c r="DD163" s="122"/>
      <c r="DE163" s="22">
        <v>0</v>
      </c>
    </row>
    <row r="164" spans="1:109" s="21" customFormat="1" x14ac:dyDescent="0.2">
      <c r="A164" s="21" t="s">
        <v>49</v>
      </c>
      <c r="B164" s="21">
        <f>SUM(B160:B163)</f>
        <v>41.552999999999997</v>
      </c>
      <c r="C164" s="21">
        <f t="shared" ref="C164:V164" si="1228">SUM(C160:C163)</f>
        <v>46.468000000000004</v>
      </c>
      <c r="D164" s="21">
        <f t="shared" si="1228"/>
        <v>28.405799999999999</v>
      </c>
      <c r="E164" s="21">
        <f t="shared" si="1228"/>
        <v>12.746600000000001</v>
      </c>
      <c r="F164" s="21">
        <f t="shared" si="1228"/>
        <v>7.6789000000000005</v>
      </c>
      <c r="G164" s="21">
        <f t="shared" si="1228"/>
        <v>11.302200000000001</v>
      </c>
      <c r="H164" s="21">
        <f t="shared" si="1228"/>
        <v>10.950799999999999</v>
      </c>
      <c r="I164" s="21">
        <f t="shared" si="1228"/>
        <v>25.112300000000001</v>
      </c>
      <c r="J164" s="21">
        <f t="shared" si="1228"/>
        <v>31.315000000000001</v>
      </c>
      <c r="K164" s="21">
        <f t="shared" si="1228"/>
        <v>7.5259</v>
      </c>
      <c r="L164" s="21">
        <f t="shared" si="1228"/>
        <v>13.7273</v>
      </c>
      <c r="M164" s="21">
        <f t="shared" si="1228"/>
        <v>63.175000000000004</v>
      </c>
      <c r="N164" s="21">
        <f t="shared" si="1228"/>
        <v>16.853999999999999</v>
      </c>
      <c r="O164" s="21">
        <f t="shared" si="1228"/>
        <v>3.1850000000000001</v>
      </c>
      <c r="P164" s="21">
        <f t="shared" si="1228"/>
        <v>24.379000000000001</v>
      </c>
      <c r="Q164" s="21">
        <f t="shared" si="1228"/>
        <v>1.2969999999999999</v>
      </c>
      <c r="R164" s="21">
        <f t="shared" si="1228"/>
        <v>6.9870000000000001</v>
      </c>
      <c r="S164" s="21">
        <f t="shared" si="1228"/>
        <v>12.634</v>
      </c>
      <c r="T164" s="21">
        <f t="shared" si="1228"/>
        <v>43.426000000000002</v>
      </c>
      <c r="U164" s="21">
        <f t="shared" si="1228"/>
        <v>60</v>
      </c>
      <c r="V164" s="21">
        <f t="shared" si="1228"/>
        <v>60</v>
      </c>
      <c r="W164" s="21">
        <f t="shared" ref="W164" si="1229">SUM(W160:W163)</f>
        <v>0</v>
      </c>
      <c r="X164" s="21">
        <f t="shared" ref="X164:Y164" si="1230">SUM(X160:X163)</f>
        <v>0</v>
      </c>
      <c r="Y164" s="21">
        <f t="shared" si="1230"/>
        <v>0</v>
      </c>
      <c r="Z164" s="21">
        <f t="shared" ref="Z164:AA164" si="1231">SUM(Z160:Z163)</f>
        <v>0</v>
      </c>
      <c r="AA164" s="21">
        <f t="shared" ref="AA164" si="1232">SUM(AA160:AA163)</f>
        <v>0</v>
      </c>
      <c r="AB164" s="20">
        <f t="shared" ref="AB164:AD164" si="1233">SUM(AB160:AB163)</f>
        <v>0</v>
      </c>
      <c r="AC164" s="20">
        <f t="shared" si="1233"/>
        <v>0</v>
      </c>
      <c r="AD164" s="20">
        <f t="shared" si="1233"/>
        <v>0</v>
      </c>
      <c r="AE164" s="20">
        <f t="shared" ref="AE164" si="1234">SUM(AE160:AE163)</f>
        <v>0</v>
      </c>
      <c r="AI164" s="21">
        <f t="shared" ref="AI164:AL164" si="1235">SUM(AI160:AI163)</f>
        <v>55.75</v>
      </c>
      <c r="AJ164" s="21">
        <f t="shared" si="1235"/>
        <v>55.75</v>
      </c>
      <c r="AK164" s="21">
        <f t="shared" si="1235"/>
        <v>0</v>
      </c>
      <c r="AL164" s="21">
        <f t="shared" si="1235"/>
        <v>0</v>
      </c>
      <c r="AM164" s="21">
        <f t="shared" ref="AM164:AP164" si="1236">SUM(AM160:AM163)</f>
        <v>31.95</v>
      </c>
      <c r="AN164" s="21">
        <f t="shared" si="1236"/>
        <v>31.95</v>
      </c>
      <c r="AO164" s="21">
        <f t="shared" si="1236"/>
        <v>3.18</v>
      </c>
      <c r="AP164" s="21">
        <f t="shared" si="1236"/>
        <v>3.18</v>
      </c>
      <c r="AQ164" s="21">
        <f t="shared" ref="AQ164:AT164" si="1237">SUM(AQ160:AQ163)</f>
        <v>17.09</v>
      </c>
      <c r="AR164" s="21">
        <f t="shared" si="1237"/>
        <v>17.09</v>
      </c>
      <c r="AS164" s="21">
        <f t="shared" si="1237"/>
        <v>24.38</v>
      </c>
      <c r="AT164" s="21">
        <f t="shared" si="1237"/>
        <v>24.38</v>
      </c>
      <c r="AU164" s="21">
        <f t="shared" ref="AU164:AX164" si="1238">SUM(AU160:AU163)</f>
        <v>7.04</v>
      </c>
      <c r="AV164" s="21">
        <f t="shared" si="1238"/>
        <v>7.04</v>
      </c>
      <c r="AW164" s="21">
        <f t="shared" si="1238"/>
        <v>1.3</v>
      </c>
      <c r="AX164" s="21">
        <f t="shared" si="1238"/>
        <v>1.3</v>
      </c>
      <c r="AY164" s="21">
        <f t="shared" ref="AY164:BB164" si="1239">SUM(AY160:AY163)</f>
        <v>2.69</v>
      </c>
      <c r="AZ164" s="21">
        <f t="shared" si="1239"/>
        <v>2.69</v>
      </c>
      <c r="BA164" s="21">
        <f t="shared" si="1239"/>
        <v>6.99</v>
      </c>
      <c r="BB164" s="21">
        <f t="shared" si="1239"/>
        <v>6.99</v>
      </c>
      <c r="BC164" s="21">
        <f t="shared" ref="BC164:BF164" si="1240">SUM(BC160:BC163)</f>
        <v>106.16</v>
      </c>
      <c r="BD164" s="21">
        <f t="shared" si="1240"/>
        <v>106.16</v>
      </c>
      <c r="BE164" s="21">
        <f t="shared" si="1240"/>
        <v>12.6</v>
      </c>
      <c r="BF164" s="21">
        <f t="shared" si="1240"/>
        <v>12.6</v>
      </c>
      <c r="BG164" s="21">
        <f t="shared" ref="BG164:BJ164" si="1241">SUM(BG160:BG163)</f>
        <v>26.7</v>
      </c>
      <c r="BH164" s="21">
        <f t="shared" si="1241"/>
        <v>26.7</v>
      </c>
      <c r="BI164" s="21">
        <f t="shared" si="1241"/>
        <v>43.4</v>
      </c>
      <c r="BJ164" s="21">
        <f t="shared" si="1241"/>
        <v>43.4</v>
      </c>
      <c r="BK164" s="21">
        <f t="shared" ref="BK164:BN164" si="1242">SUM(BK160:BK163)</f>
        <v>48.1</v>
      </c>
      <c r="BL164" s="21">
        <f t="shared" si="1242"/>
        <v>48.1</v>
      </c>
      <c r="BM164" s="21">
        <f t="shared" si="1242"/>
        <v>60</v>
      </c>
      <c r="BN164" s="21">
        <f t="shared" si="1242"/>
        <v>60</v>
      </c>
      <c r="BO164" s="21">
        <f t="shared" ref="BO164:BR164" si="1243">SUM(BO160:BO163)</f>
        <v>60.2</v>
      </c>
      <c r="BP164" s="21">
        <f t="shared" si="1243"/>
        <v>60.2</v>
      </c>
      <c r="BQ164" s="21">
        <f t="shared" si="1243"/>
        <v>60</v>
      </c>
      <c r="BR164" s="21">
        <f t="shared" si="1243"/>
        <v>60</v>
      </c>
      <c r="BS164" s="21">
        <f t="shared" ref="BS164:BV164" si="1244">SUM(BS160:BS163)</f>
        <v>67.7</v>
      </c>
      <c r="BT164" s="21">
        <f t="shared" si="1244"/>
        <v>67.7</v>
      </c>
      <c r="BU164" s="21">
        <f t="shared" si="1244"/>
        <v>0</v>
      </c>
      <c r="BV164" s="21">
        <f t="shared" si="1244"/>
        <v>0</v>
      </c>
      <c r="BW164" s="21">
        <f t="shared" ref="BW164:BZ164" si="1245">SUM(BW160:BW163)</f>
        <v>29.2</v>
      </c>
      <c r="BX164" s="21">
        <f t="shared" si="1245"/>
        <v>29.2</v>
      </c>
      <c r="BY164" s="21">
        <f t="shared" si="1245"/>
        <v>0</v>
      </c>
      <c r="BZ164" s="21">
        <f t="shared" si="1245"/>
        <v>0</v>
      </c>
      <c r="CA164" s="21">
        <f t="shared" ref="CA164:CD164" si="1246">SUM(CA160:CA163)</f>
        <v>0</v>
      </c>
      <c r="CB164" s="21">
        <f t="shared" si="1246"/>
        <v>0</v>
      </c>
      <c r="CC164" s="21">
        <f t="shared" si="1246"/>
        <v>0</v>
      </c>
      <c r="CD164" s="21">
        <f t="shared" si="1246"/>
        <v>0</v>
      </c>
      <c r="CE164" s="21">
        <f t="shared" ref="CE164" si="1247">SUM(CE160:CE163)</f>
        <v>0</v>
      </c>
      <c r="CF164" s="21">
        <f t="shared" ref="CF164:CH164" si="1248">SUM(CF160:CF163)</f>
        <v>0</v>
      </c>
      <c r="CG164" s="21">
        <f t="shared" ref="CG164" si="1249">SUM(CG160:CG163)</f>
        <v>0</v>
      </c>
      <c r="CH164" s="21">
        <f t="shared" si="1248"/>
        <v>0</v>
      </c>
      <c r="CI164" s="21">
        <f t="shared" ref="CI164:CJ164" si="1250">SUM(CI160:CI163)</f>
        <v>0</v>
      </c>
      <c r="CJ164" s="21">
        <f t="shared" si="1250"/>
        <v>0</v>
      </c>
      <c r="CK164" s="21">
        <f t="shared" ref="CK164:CL164" si="1251">SUM(CK160:CK163)</f>
        <v>0</v>
      </c>
      <c r="CL164" s="21">
        <f t="shared" si="1251"/>
        <v>0</v>
      </c>
      <c r="CM164" s="20">
        <f t="shared" ref="CM164:DA164" si="1252">SUM(CM160:CM163)</f>
        <v>0</v>
      </c>
      <c r="CN164" s="20">
        <f t="shared" si="1252"/>
        <v>0</v>
      </c>
      <c r="CO164" s="20">
        <f t="shared" si="1252"/>
        <v>0</v>
      </c>
      <c r="CP164" s="20">
        <f t="shared" si="1252"/>
        <v>0</v>
      </c>
      <c r="CQ164" s="20">
        <f t="shared" si="1252"/>
        <v>0</v>
      </c>
      <c r="CR164" s="20">
        <f t="shared" si="1252"/>
        <v>0</v>
      </c>
      <c r="CS164" s="20">
        <f t="shared" si="1252"/>
        <v>0</v>
      </c>
      <c r="CT164" s="20">
        <f t="shared" si="1252"/>
        <v>0</v>
      </c>
      <c r="CU164" s="20">
        <f t="shared" si="1252"/>
        <v>0</v>
      </c>
      <c r="CV164" s="20">
        <f t="shared" si="1252"/>
        <v>0</v>
      </c>
      <c r="CW164" s="20">
        <f t="shared" si="1252"/>
        <v>0</v>
      </c>
      <c r="CX164" s="20">
        <f t="shared" si="1252"/>
        <v>0</v>
      </c>
      <c r="CY164" s="20">
        <f t="shared" si="1252"/>
        <v>0</v>
      </c>
      <c r="CZ164" s="20">
        <f t="shared" si="1252"/>
        <v>0</v>
      </c>
      <c r="DA164" s="20">
        <f t="shared" si="1252"/>
        <v>0</v>
      </c>
      <c r="DD164" s="125"/>
      <c r="DE164" s="21">
        <v>0</v>
      </c>
    </row>
    <row r="165" spans="1:109" s="25" customFormat="1" x14ac:dyDescent="0.2">
      <c r="A165" s="25" t="s">
        <v>437</v>
      </c>
      <c r="B165" s="25">
        <f>B164+B156+B158</f>
        <v>133.41249999999999</v>
      </c>
      <c r="C165" s="25">
        <f t="shared" ref="C165:V165" si="1253">C164+C156+C158</f>
        <v>140.55029999999999</v>
      </c>
      <c r="D165" s="25">
        <f>D164+D156+D158</f>
        <v>128.3409</v>
      </c>
      <c r="E165" s="25">
        <f t="shared" si="1253"/>
        <v>125.69589999999999</v>
      </c>
      <c r="F165" s="25">
        <f t="shared" si="1253"/>
        <v>141.23650000000001</v>
      </c>
      <c r="G165" s="25">
        <f t="shared" si="1253"/>
        <v>177.8741</v>
      </c>
      <c r="H165" s="25">
        <f t="shared" si="1253"/>
        <v>221.00179999999997</v>
      </c>
      <c r="I165" s="25">
        <f t="shared" si="1253"/>
        <v>274.8331</v>
      </c>
      <c r="J165" s="25">
        <f t="shared" si="1253"/>
        <v>341.34820000000002</v>
      </c>
      <c r="K165" s="25">
        <f t="shared" si="1253"/>
        <v>362.81389999999999</v>
      </c>
      <c r="L165" s="25">
        <f t="shared" si="1253"/>
        <v>407.18090000000001</v>
      </c>
      <c r="M165" s="25">
        <f t="shared" si="1253"/>
        <v>489.25400000000002</v>
      </c>
      <c r="N165" s="25">
        <f t="shared" si="1253"/>
        <v>484.26099999999997</v>
      </c>
      <c r="O165" s="25">
        <f t="shared" si="1253"/>
        <v>514.95699999999999</v>
      </c>
      <c r="P165" s="25">
        <f t="shared" si="1253"/>
        <v>581.60300000000007</v>
      </c>
      <c r="Q165" s="25">
        <f t="shared" si="1253"/>
        <v>604.14300000000003</v>
      </c>
      <c r="R165" s="25">
        <f t="shared" si="1253"/>
        <v>667.14400000000001</v>
      </c>
      <c r="S165" s="25">
        <f t="shared" si="1253"/>
        <v>723.053</v>
      </c>
      <c r="T165" s="25">
        <f t="shared" si="1253"/>
        <v>801.19</v>
      </c>
      <c r="U165" s="25">
        <f t="shared" si="1253"/>
        <v>888.66700000000003</v>
      </c>
      <c r="V165" s="25">
        <f t="shared" si="1253"/>
        <v>950.61799999999994</v>
      </c>
      <c r="W165" s="25">
        <f t="shared" ref="W165" si="1254">W164+W156+W158</f>
        <v>1010.838</v>
      </c>
      <c r="X165" s="25">
        <f t="shared" ref="X165:Y165" si="1255">X164+X156+X158</f>
        <v>1143.116</v>
      </c>
      <c r="Y165" s="25">
        <f t="shared" si="1255"/>
        <v>1301.9090000000001</v>
      </c>
      <c r="Z165" s="25">
        <f t="shared" ref="Z165:AA165" si="1256">Z164+Z156+Z158</f>
        <v>1485.35</v>
      </c>
      <c r="AA165" s="25">
        <f t="shared" ref="AA165" si="1257">AA164+AA156+AA158</f>
        <v>1678.7339999999999</v>
      </c>
      <c r="AB165" s="26">
        <f t="shared" ref="AB165:AD165" si="1258">AB164+AB156+AB158</f>
        <v>1993.2082385770195</v>
      </c>
      <c r="AC165" s="26">
        <f t="shared" si="1258"/>
        <v>2353.409892302986</v>
      </c>
      <c r="AD165" s="26">
        <f t="shared" si="1258"/>
        <v>2753.2508842019147</v>
      </c>
      <c r="AE165" s="26">
        <f t="shared" ref="AE165" si="1259">AE164+AE156+AE158</f>
        <v>3207.9928114635331</v>
      </c>
      <c r="AI165" s="25">
        <f t="shared" ref="AI165:AL165" si="1260">AI164+AI156+AI158</f>
        <v>471.43</v>
      </c>
      <c r="AJ165" s="25">
        <f t="shared" si="1260"/>
        <v>484.35</v>
      </c>
      <c r="AK165" s="25">
        <f t="shared" si="1260"/>
        <v>0</v>
      </c>
      <c r="AL165" s="25">
        <f t="shared" si="1260"/>
        <v>15.61</v>
      </c>
      <c r="AM165" s="25">
        <f t="shared" ref="AM165:AP165" si="1261">AM164+AM156+AM158</f>
        <v>488.90999999999997</v>
      </c>
      <c r="AN165" s="25">
        <f t="shared" si="1261"/>
        <v>506.81</v>
      </c>
      <c r="AO165" s="25">
        <f t="shared" si="1261"/>
        <v>514.94999999999993</v>
      </c>
      <c r="AP165" s="25">
        <f t="shared" si="1261"/>
        <v>530.07999999999993</v>
      </c>
      <c r="AQ165" s="25">
        <f t="shared" ref="AQ165:AT165" si="1262">AQ164+AQ156+AQ158</f>
        <v>517.91999999999996</v>
      </c>
      <c r="AR165" s="25">
        <f t="shared" si="1262"/>
        <v>535.79000000000008</v>
      </c>
      <c r="AS165" s="25">
        <f t="shared" si="1262"/>
        <v>581.61</v>
      </c>
      <c r="AT165" s="25">
        <f t="shared" si="1262"/>
        <v>588.01999999999987</v>
      </c>
      <c r="AU165" s="25">
        <f t="shared" ref="AU165:AX165" si="1263">AU164+AU156+AU158</f>
        <v>542.1099999999999</v>
      </c>
      <c r="AV165" s="25">
        <f t="shared" si="1263"/>
        <v>558.96</v>
      </c>
      <c r="AW165" s="25">
        <f t="shared" si="1263"/>
        <v>604.14999999999986</v>
      </c>
      <c r="AX165" s="25">
        <f t="shared" si="1263"/>
        <v>621</v>
      </c>
      <c r="AY165" s="25">
        <f t="shared" ref="AY165:BB165" si="1264">AY164+AY156+AY158</f>
        <v>587.33000000000015</v>
      </c>
      <c r="AZ165" s="25">
        <f t="shared" si="1264"/>
        <v>596</v>
      </c>
      <c r="BA165" s="25">
        <f t="shared" si="1264"/>
        <v>667.15000000000009</v>
      </c>
      <c r="BB165" s="25">
        <f t="shared" si="1264"/>
        <v>680.45</v>
      </c>
      <c r="BC165" s="25">
        <f t="shared" ref="BC165:BF165" si="1265">BC164+BC156+BC158</f>
        <v>728.7399999999999</v>
      </c>
      <c r="BD165" s="25">
        <f t="shared" si="1265"/>
        <v>740.34</v>
      </c>
      <c r="BE165" s="25">
        <f t="shared" si="1265"/>
        <v>723</v>
      </c>
      <c r="BF165" s="25">
        <f t="shared" si="1265"/>
        <v>735.5</v>
      </c>
      <c r="BG165" s="25">
        <f t="shared" ref="BG165:BJ165" si="1266">BG164+BG156+BG158</f>
        <v>697.6</v>
      </c>
      <c r="BH165" s="25">
        <f t="shared" si="1266"/>
        <v>714.6</v>
      </c>
      <c r="BI165" s="25">
        <f t="shared" si="1266"/>
        <v>801.19999999999993</v>
      </c>
      <c r="BJ165" s="25">
        <f t="shared" si="1266"/>
        <v>817.79999999999984</v>
      </c>
      <c r="BK165" s="25">
        <f t="shared" ref="BK165:BN165" si="1267">BK164+BK156+BK158</f>
        <v>823.1</v>
      </c>
      <c r="BL165" s="25">
        <f t="shared" si="1267"/>
        <v>848.80000000000007</v>
      </c>
      <c r="BM165" s="25">
        <f t="shared" si="1267"/>
        <v>888.69999999999993</v>
      </c>
      <c r="BN165" s="25">
        <f t="shared" si="1267"/>
        <v>899.59999999999991</v>
      </c>
      <c r="BO165" s="25">
        <f t="shared" ref="BO165:BR165" si="1268">BO164+BO156+BO158</f>
        <v>906.2</v>
      </c>
      <c r="BP165" s="25">
        <f t="shared" si="1268"/>
        <v>948.90000000000009</v>
      </c>
      <c r="BQ165" s="25">
        <f t="shared" si="1268"/>
        <v>950.59999999999991</v>
      </c>
      <c r="BR165" s="25">
        <f t="shared" si="1268"/>
        <v>994.49999999999989</v>
      </c>
      <c r="BS165" s="25">
        <f t="shared" ref="BS165:BV165" si="1269">BS164+BS156+BS158</f>
        <v>999.3</v>
      </c>
      <c r="BT165" s="25">
        <f t="shared" si="1269"/>
        <v>1038.2</v>
      </c>
      <c r="BU165" s="25">
        <f t="shared" si="1269"/>
        <v>1010.8</v>
      </c>
      <c r="BV165" s="25">
        <f t="shared" si="1269"/>
        <v>1051.2</v>
      </c>
      <c r="BW165" s="25">
        <f t="shared" ref="BW165:BZ165" si="1270">BW164+BW156+BW158</f>
        <v>1085</v>
      </c>
      <c r="BX165" s="25">
        <f t="shared" si="1270"/>
        <v>1124</v>
      </c>
      <c r="BY165" s="25">
        <f t="shared" si="1270"/>
        <v>1143.0999999999999</v>
      </c>
      <c r="BZ165" s="25">
        <f t="shared" si="1270"/>
        <v>1184</v>
      </c>
      <c r="CA165" s="25">
        <f t="shared" ref="CA165:CD165" si="1271">CA164+CA156+CA158</f>
        <v>1194</v>
      </c>
      <c r="CB165" s="25">
        <f t="shared" si="1271"/>
        <v>1244.1000000000001</v>
      </c>
      <c r="CC165" s="25">
        <f t="shared" si="1271"/>
        <v>1301.8999999999999</v>
      </c>
      <c r="CD165" s="25">
        <f t="shared" si="1271"/>
        <v>1346.5</v>
      </c>
      <c r="CE165" s="25">
        <f t="shared" ref="CE165" si="1272">CE164+CE156+CE158</f>
        <v>1351</v>
      </c>
      <c r="CF165" s="25">
        <f t="shared" ref="CF165:CH165" si="1273">CF164+CF156+CF158</f>
        <v>1412.7</v>
      </c>
      <c r="CG165" s="25">
        <f t="shared" ref="CG165" si="1274">CG164+CG156+CG158</f>
        <v>1485.35</v>
      </c>
      <c r="CH165" s="25">
        <f t="shared" si="1273"/>
        <v>1536.95</v>
      </c>
      <c r="CI165" s="25">
        <f t="shared" ref="CI165:CJ165" si="1275">CI164+CI156+CI158</f>
        <v>1534.3999999999999</v>
      </c>
      <c r="CJ165" s="25">
        <f t="shared" si="1275"/>
        <v>1601.8999999999999</v>
      </c>
      <c r="CK165" s="25">
        <f t="shared" ref="CK165:DA165" si="1276">CK164+CK156+CK158</f>
        <v>1678.8</v>
      </c>
      <c r="CL165" s="25">
        <f t="shared" si="1276"/>
        <v>1718.6</v>
      </c>
      <c r="CM165" s="26">
        <f t="shared" si="1276"/>
        <v>1810.5745668987875</v>
      </c>
      <c r="CN165" s="26">
        <f t="shared" si="1276"/>
        <v>1885.7639570434235</v>
      </c>
      <c r="CO165" s="26">
        <f t="shared" si="1276"/>
        <v>1993.2082385770195</v>
      </c>
      <c r="CP165" s="26">
        <f t="shared" si="1276"/>
        <v>2046.1511664829363</v>
      </c>
      <c r="CQ165" s="26">
        <f t="shared" si="1276"/>
        <v>2146.3196321699256</v>
      </c>
      <c r="CR165" s="26">
        <f t="shared" si="1276"/>
        <v>2231.2041130616158</v>
      </c>
      <c r="CS165" s="26">
        <f t="shared" si="1276"/>
        <v>2353.409892302986</v>
      </c>
      <c r="CT165" s="26">
        <f t="shared" si="1276"/>
        <v>2413.2090972700657</v>
      </c>
      <c r="CU165" s="26">
        <f t="shared" si="1276"/>
        <v>2524.0411457349428</v>
      </c>
      <c r="CV165" s="26">
        <f t="shared" si="1276"/>
        <v>2617.9345761237796</v>
      </c>
      <c r="CW165" s="26">
        <f t="shared" si="1276"/>
        <v>2753.2508842019147</v>
      </c>
      <c r="CX165" s="26">
        <f t="shared" si="1276"/>
        <v>2822.6391505694914</v>
      </c>
      <c r="CY165" s="26">
        <f t="shared" si="1276"/>
        <v>2948.1799296273948</v>
      </c>
      <c r="CZ165" s="26">
        <f t="shared" si="1276"/>
        <v>3055.2198032240026</v>
      </c>
      <c r="DA165" s="26">
        <f t="shared" si="1276"/>
        <v>3207.9928114635331</v>
      </c>
      <c r="DD165" s="120"/>
      <c r="DE165" s="25">
        <v>1678.8</v>
      </c>
    </row>
    <row r="166" spans="1:109" s="22" customFormat="1" x14ac:dyDescent="0.2">
      <c r="AB166" s="23"/>
      <c r="AC166" s="23"/>
      <c r="AD166" s="23"/>
      <c r="AE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D166" s="122"/>
    </row>
    <row r="167" spans="1:109" s="22" customFormat="1" outlineLevel="1" x14ac:dyDescent="0.2">
      <c r="A167" s="22" t="s">
        <v>50</v>
      </c>
      <c r="B167" s="22">
        <f>'Annual Raw'!C62</f>
        <v>106.509</v>
      </c>
      <c r="C167" s="22">
        <f>'Annual Raw'!D62</f>
        <v>117.0222</v>
      </c>
      <c r="D167" s="22">
        <f>'Annual Raw'!E62</f>
        <v>133.63890000000001</v>
      </c>
      <c r="E167" s="22">
        <f>'Annual Raw'!F62-E171</f>
        <v>138.17240000000001</v>
      </c>
      <c r="F167" s="22">
        <f>'Annual Raw'!G62-F171</f>
        <v>143.96360000000001</v>
      </c>
      <c r="G167" s="22">
        <f>'Annual Raw'!H62-G171</f>
        <v>153.11959999999999</v>
      </c>
      <c r="H167" s="22">
        <f>'Annual Raw'!I62-H171</f>
        <v>166.14439999999999</v>
      </c>
      <c r="I167" s="22">
        <f>'Annual Raw'!J62-I171</f>
        <v>195.40119999999999</v>
      </c>
      <c r="J167" s="22">
        <f>'Annual Raw'!K62-J171</f>
        <v>231.4391</v>
      </c>
      <c r="K167" s="22">
        <f>'Annual Raw'!L62-K171</f>
        <v>264.45420000000001</v>
      </c>
      <c r="L167" s="22">
        <f>'Annual Raw'!M62-L171</f>
        <v>309.5197</v>
      </c>
      <c r="M167" s="22">
        <f>'Annual Raw'!N62-M171</f>
        <v>326.48899999999998</v>
      </c>
      <c r="N167" s="22">
        <f>'Annual Raw'!O62-N171</f>
        <v>352.18400000000003</v>
      </c>
      <c r="O167" s="22">
        <f>'Annual Raw'!P62-O171</f>
        <v>388.52800000000002</v>
      </c>
      <c r="P167" s="22">
        <f>'Annual Raw'!Q62-P171</f>
        <v>421.94400000000002</v>
      </c>
      <c r="Q167" s="22">
        <f>'Annual Raw'!R62-Q171</f>
        <v>446.14800000000002</v>
      </c>
      <c r="R167" s="22">
        <f>'Annual Raw'!S62-R171</f>
        <v>498.39499999999998</v>
      </c>
      <c r="S167" s="22">
        <f>'Annual Raw'!T62-S171</f>
        <v>611.08000000000004</v>
      </c>
      <c r="T167" s="22">
        <f>'Annual Raw'!U62-T171</f>
        <v>657.404</v>
      </c>
      <c r="U167" s="22">
        <f>'Annual Raw'!V62-U171</f>
        <v>683.92700000000002</v>
      </c>
      <c r="V167" s="22">
        <f>'Annual Raw'!W62-V171</f>
        <v>723.13900000000001</v>
      </c>
      <c r="W167" s="22">
        <f>'Annual Raw'!X62-W171</f>
        <v>741.34100000000001</v>
      </c>
      <c r="X167" s="22">
        <f>'Annual Raw'!Y62-X171</f>
        <v>821.53200000000004</v>
      </c>
      <c r="Y167" s="22">
        <f>'Annual Raw'!Z62-Y171</f>
        <v>923.63900000000001</v>
      </c>
      <c r="Z167" s="22">
        <f>'Annual Raw'!AA62-Z171</f>
        <v>987.11800000000005</v>
      </c>
      <c r="AA167" s="22">
        <f>'Annual Raw'!AB62-AA171</f>
        <v>1056.633</v>
      </c>
      <c r="AB167" s="23">
        <f t="shared" ref="AB167:AB169" si="1277">+CO167</f>
        <v>564.01021830004652</v>
      </c>
      <c r="AC167" s="23">
        <f t="shared" ref="AC167:AC169" si="1278">+CS167</f>
        <v>668.07152810032517</v>
      </c>
      <c r="AD167" s="23">
        <f t="shared" ref="AD167:AD169" si="1279">+CW167</f>
        <v>777.5206688341849</v>
      </c>
      <c r="AE167" s="23">
        <f t="shared" ref="AE167:AE169" si="1280">+DA167</f>
        <v>892.35764050162561</v>
      </c>
      <c r="AI167" s="22">
        <f>+'QTR Raw'!C68</f>
        <v>167.15</v>
      </c>
      <c r="AK167" s="22">
        <f>+'QTR Raw'!E68</f>
        <v>0</v>
      </c>
      <c r="AM167" s="22">
        <f>+'QTR Raw'!G68</f>
        <v>190.9</v>
      </c>
      <c r="AO167" s="22">
        <f>+'QTR Raw'!I68</f>
        <v>189.49</v>
      </c>
      <c r="AQ167" s="22">
        <f>+'QTR Raw'!K68</f>
        <v>186.64</v>
      </c>
      <c r="AS167" s="22">
        <f>+'QTR Raw'!M68</f>
        <v>200.77</v>
      </c>
      <c r="AU167" s="22">
        <f>+'QTR Raw'!O68</f>
        <v>200.53</v>
      </c>
      <c r="AW167" s="22">
        <f>+'QTR Raw'!Q68</f>
        <v>208.27</v>
      </c>
      <c r="AY167" s="22">
        <f>+'QTR Raw'!S68</f>
        <v>236.68</v>
      </c>
      <c r="BA167" s="22">
        <f>+'QTR Raw'!U68</f>
        <v>218.63</v>
      </c>
      <c r="BC167" s="22">
        <f>+'QTR Raw'!W68</f>
        <v>218.33</v>
      </c>
      <c r="BE167" s="22">
        <f>+'QTR Raw'!Y68</f>
        <v>308.2</v>
      </c>
      <c r="BG167" s="22">
        <f>+'QTR Raw'!AA68</f>
        <v>296.89999999999998</v>
      </c>
      <c r="BI167" s="22">
        <f>+'QTR Raw'!AC68</f>
        <v>321.10000000000002</v>
      </c>
      <c r="BK167" s="22">
        <f>+'QTR Raw'!AE68</f>
        <v>318.10000000000002</v>
      </c>
      <c r="BM167" s="22">
        <f>+'QTR Raw'!AG68</f>
        <v>307.3</v>
      </c>
      <c r="BO167" s="22">
        <f>+'QTR Raw'!AI68</f>
        <v>297.3</v>
      </c>
      <c r="BQ167" s="22">
        <f>+'QTR Raw'!AK68</f>
        <v>292.2</v>
      </c>
      <c r="BS167" s="22">
        <f>+'QTR Raw'!AM68</f>
        <v>282.39999999999998</v>
      </c>
      <c r="BU167" s="22">
        <f>+'QTR Raw'!AO68</f>
        <v>283.3</v>
      </c>
      <c r="BW167" s="22">
        <f>+'QTR Raw'!AQ68</f>
        <v>302.7</v>
      </c>
      <c r="BY167" s="22">
        <f>+'QTR Raw'!AS68</f>
        <v>323.2</v>
      </c>
      <c r="CA167" s="22">
        <f>+'QTR Raw'!AU68</f>
        <v>339</v>
      </c>
      <c r="CC167" s="22">
        <f>+'QTR Raw'!AW68</f>
        <v>393.5</v>
      </c>
      <c r="CE167" s="22">
        <f>+'QTR Raw'!AY68</f>
        <v>397.5</v>
      </c>
      <c r="CG167" s="22">
        <f t="shared" ref="CG167:CG173" si="1281">+Z167</f>
        <v>987.11800000000005</v>
      </c>
      <c r="CI167" s="22">
        <f>+CI168+CI170</f>
        <v>425.2</v>
      </c>
      <c r="CJ167" s="22">
        <f>+CJ168+CJ170</f>
        <v>440</v>
      </c>
      <c r="CK167" s="22">
        <f>+CK168+CK170</f>
        <v>475</v>
      </c>
      <c r="CL167" s="22">
        <f>+CL168+CL170</f>
        <v>489.5</v>
      </c>
      <c r="CM167" s="23">
        <f t="shared" ref="CM167:DA167" si="1282">+CM168+CM170</f>
        <v>514</v>
      </c>
      <c r="CN167" s="23">
        <f t="shared" si="1282"/>
        <v>538.83673943334884</v>
      </c>
      <c r="CO167" s="23">
        <f t="shared" si="1282"/>
        <v>564.01021830004652</v>
      </c>
      <c r="CP167" s="23">
        <f t="shared" si="1282"/>
        <v>589.52043660009292</v>
      </c>
      <c r="CQ167" s="23">
        <f t="shared" si="1282"/>
        <v>615.36739433348816</v>
      </c>
      <c r="CR167" s="23">
        <f t="shared" si="1282"/>
        <v>641.55109150023225</v>
      </c>
      <c r="CS167" s="23">
        <f t="shared" si="1282"/>
        <v>668.07152810032517</v>
      </c>
      <c r="CT167" s="23">
        <f t="shared" si="1282"/>
        <v>694.92870413376681</v>
      </c>
      <c r="CU167" s="23">
        <f t="shared" si="1282"/>
        <v>722.12261960055741</v>
      </c>
      <c r="CV167" s="23">
        <f t="shared" si="1282"/>
        <v>749.65327450069674</v>
      </c>
      <c r="CW167" s="23">
        <f t="shared" si="1282"/>
        <v>777.5206688341849</v>
      </c>
      <c r="CX167" s="23">
        <f t="shared" si="1282"/>
        <v>805.72480260102191</v>
      </c>
      <c r="CY167" s="23">
        <f t="shared" si="1282"/>
        <v>834.26567580120764</v>
      </c>
      <c r="CZ167" s="23">
        <f t="shared" si="1282"/>
        <v>863.14328843474232</v>
      </c>
      <c r="DA167" s="23">
        <f t="shared" si="1282"/>
        <v>892.35764050162561</v>
      </c>
      <c r="DD167" s="122"/>
      <c r="DE167" s="22">
        <v>475</v>
      </c>
    </row>
    <row r="168" spans="1:109" s="22" customFormat="1" outlineLevel="1" x14ac:dyDescent="0.2">
      <c r="A168" s="22" t="s">
        <v>51</v>
      </c>
      <c r="B168" s="22">
        <f>'Annual Raw'!C63</f>
        <v>56.981999999999999</v>
      </c>
      <c r="C168" s="22">
        <f>'Annual Raw'!D63</f>
        <v>64.012299999999996</v>
      </c>
      <c r="D168" s="22">
        <f>'Annual Raw'!E63</f>
        <v>80.626999999999995</v>
      </c>
      <c r="E168" s="22">
        <f>'Annual Raw'!F63</f>
        <v>89.854500000000002</v>
      </c>
      <c r="F168" s="22">
        <f>'Annual Raw'!G63</f>
        <v>98.235799999999998</v>
      </c>
      <c r="G168" s="22">
        <f>'Annual Raw'!H63</f>
        <v>106.3989</v>
      </c>
      <c r="H168" s="22">
        <f>'Annual Raw'!I63</f>
        <v>113.1434</v>
      </c>
      <c r="I168" s="22">
        <f>'Annual Raw'!J63</f>
        <v>120.1433</v>
      </c>
      <c r="J168" s="22">
        <f>'Annual Raw'!K63</f>
        <v>125.5428</v>
      </c>
      <c r="K168" s="22">
        <f>'Annual Raw'!L63</f>
        <v>139.97030000000001</v>
      </c>
      <c r="L168" s="22">
        <f>'Annual Raw'!M63</f>
        <v>158.1936</v>
      </c>
      <c r="M168" s="22">
        <f>'Annual Raw'!N63</f>
        <v>173.73599999999999</v>
      </c>
      <c r="N168" s="22">
        <f>'Annual Raw'!O63</f>
        <v>193.72</v>
      </c>
      <c r="O168" s="22">
        <f>'Annual Raw'!P63</f>
        <v>207.28100000000001</v>
      </c>
      <c r="P168" s="22">
        <f>'Annual Raw'!Q63</f>
        <v>231.13200000000001</v>
      </c>
      <c r="Q168" s="22">
        <f>'Annual Raw'!R63</f>
        <v>252.09200000000001</v>
      </c>
      <c r="R168" s="22">
        <f>'Annual Raw'!S63</f>
        <v>279.76400000000001</v>
      </c>
      <c r="S168" s="22">
        <f>'Annual Raw'!T63</f>
        <v>302.88099999999997</v>
      </c>
      <c r="T168" s="22">
        <f>'Annual Raw'!U63</f>
        <v>336.34399999999999</v>
      </c>
      <c r="U168" s="22">
        <f>'Annual Raw'!V63</f>
        <v>376.642</v>
      </c>
      <c r="V168" s="22">
        <f>'Annual Raw'!W63</f>
        <v>404.72300000000001</v>
      </c>
      <c r="W168" s="22">
        <f>'Annual Raw'!X63</f>
        <v>430.70400000000001</v>
      </c>
      <c r="X168" s="22">
        <f>'Annual Raw'!Y63</f>
        <v>471.45499999999998</v>
      </c>
      <c r="Y168" s="22">
        <f>'Annual Raw'!Z63</f>
        <v>504.65</v>
      </c>
      <c r="Z168" s="22">
        <f>'Annual Raw'!AA63</f>
        <v>548.654</v>
      </c>
      <c r="AA168" s="22">
        <f>'Annual Raw'!AB63</f>
        <v>595.024</v>
      </c>
      <c r="AB168" s="23">
        <f t="shared" si="1277"/>
        <v>103.41021830004645</v>
      </c>
      <c r="AC168" s="23">
        <f t="shared" si="1278"/>
        <v>167.47152810032514</v>
      </c>
      <c r="AD168" s="23">
        <f t="shared" si="1279"/>
        <v>236.92066883418488</v>
      </c>
      <c r="AE168" s="23">
        <f t="shared" si="1280"/>
        <v>311.75764050162564</v>
      </c>
      <c r="CG168" s="22">
        <f t="shared" si="1281"/>
        <v>548.654</v>
      </c>
      <c r="CI168" s="22">
        <f t="shared" ref="CI168:CL168" si="1283">CH168+CI68</f>
        <v>14</v>
      </c>
      <c r="CJ168" s="22">
        <f t="shared" si="1283"/>
        <v>28.8</v>
      </c>
      <c r="CK168" s="22">
        <f t="shared" si="1283"/>
        <v>44.4</v>
      </c>
      <c r="CL168" s="22">
        <f t="shared" si="1283"/>
        <v>58.9</v>
      </c>
      <c r="CM168" s="23">
        <f t="shared" ref="CM168" si="1284">CL168+CM68</f>
        <v>73.400000000000006</v>
      </c>
      <c r="CN168" s="23">
        <f t="shared" ref="CN168" si="1285">CM168+CN68</f>
        <v>88.236739433348816</v>
      </c>
      <c r="CO168" s="23">
        <f t="shared" ref="CO168" si="1286">CN168+CO68</f>
        <v>103.41021830004645</v>
      </c>
      <c r="CP168" s="23">
        <f t="shared" ref="CP168" si="1287">CO168+CP68</f>
        <v>118.9204366000929</v>
      </c>
      <c r="CQ168" s="23">
        <f t="shared" ref="CQ168" si="1288">CP168+CQ68</f>
        <v>134.76739433348817</v>
      </c>
      <c r="CR168" s="23">
        <f t="shared" ref="CR168" si="1289">CQ168+CR68</f>
        <v>150.95109150023225</v>
      </c>
      <c r="CS168" s="23">
        <f t="shared" ref="CS168" si="1290">CR168+CS68</f>
        <v>167.47152810032514</v>
      </c>
      <c r="CT168" s="23">
        <f t="shared" ref="CT168" si="1291">CS168+CT68</f>
        <v>184.32870413376685</v>
      </c>
      <c r="CU168" s="23">
        <f t="shared" ref="CU168" si="1292">CT168+CU68</f>
        <v>201.52261960055736</v>
      </c>
      <c r="CV168" s="23">
        <f t="shared" ref="CV168" si="1293">CU168+CV68</f>
        <v>219.05327450069672</v>
      </c>
      <c r="CW168" s="23">
        <f t="shared" ref="CW168" si="1294">CV168+CW68</f>
        <v>236.92066883418488</v>
      </c>
      <c r="CX168" s="23">
        <f t="shared" ref="CX168" si="1295">CW168+CX68</f>
        <v>255.12480260102186</v>
      </c>
      <c r="CY168" s="23">
        <f t="shared" ref="CY168" si="1296">CX168+CY68</f>
        <v>273.66567580120761</v>
      </c>
      <c r="CZ168" s="23">
        <f t="shared" ref="CZ168" si="1297">CY168+CZ68</f>
        <v>292.54328843474224</v>
      </c>
      <c r="DA168" s="23">
        <f t="shared" ref="DA168" si="1298">CZ168+DA68</f>
        <v>311.75764050162564</v>
      </c>
      <c r="DD168" s="122"/>
      <c r="DE168" s="22">
        <v>44.4</v>
      </c>
    </row>
    <row r="169" spans="1:109" s="22" customFormat="1" outlineLevel="1" x14ac:dyDescent="0.2">
      <c r="A169" s="22" t="s">
        <v>52</v>
      </c>
      <c r="B169" s="22">
        <f>'Annual Raw'!C64</f>
        <v>0</v>
      </c>
      <c r="C169" s="22">
        <f>'Annual Raw'!D64</f>
        <v>0</v>
      </c>
      <c r="D169" s="22">
        <f>'Annual Raw'!E64</f>
        <v>0</v>
      </c>
      <c r="E169" s="22">
        <f>'Annual Raw'!F64</f>
        <v>0</v>
      </c>
      <c r="F169" s="22">
        <f>'Annual Raw'!G64</f>
        <v>0</v>
      </c>
      <c r="G169" s="22">
        <f>'Annual Raw'!H64</f>
        <v>0</v>
      </c>
      <c r="H169" s="22">
        <f>'Annual Raw'!I64</f>
        <v>0</v>
      </c>
      <c r="I169" s="22">
        <f>'Annual Raw'!J64</f>
        <v>0</v>
      </c>
      <c r="J169" s="22">
        <f>'Annual Raw'!K64</f>
        <v>0</v>
      </c>
      <c r="K169" s="22">
        <f>'Annual Raw'!L64</f>
        <v>0</v>
      </c>
      <c r="L169" s="22">
        <f>'Annual Raw'!M64</f>
        <v>0</v>
      </c>
      <c r="M169" s="22">
        <f>'Annual Raw'!N64</f>
        <v>0</v>
      </c>
      <c r="N169" s="22">
        <f>'Annual Raw'!O64</f>
        <v>0</v>
      </c>
      <c r="O169" s="22">
        <f>'Annual Raw'!P64</f>
        <v>0</v>
      </c>
      <c r="P169" s="22">
        <f>'Annual Raw'!Q64</f>
        <v>0</v>
      </c>
      <c r="Q169" s="22">
        <f>'Annual Raw'!R64</f>
        <v>0</v>
      </c>
      <c r="R169" s="22">
        <f>'Annual Raw'!S64</f>
        <v>0</v>
      </c>
      <c r="S169" s="22">
        <f>'Annual Raw'!T64</f>
        <v>0</v>
      </c>
      <c r="T169" s="22">
        <f>'Annual Raw'!U64</f>
        <v>0</v>
      </c>
      <c r="U169" s="22">
        <f>'Annual Raw'!V64</f>
        <v>0</v>
      </c>
      <c r="V169" s="22">
        <f>'Annual Raw'!W64</f>
        <v>0</v>
      </c>
      <c r="W169" s="22">
        <f>'Annual Raw'!X64</f>
        <v>0</v>
      </c>
      <c r="X169" s="22">
        <f>'Annual Raw'!Y64</f>
        <v>0</v>
      </c>
      <c r="Y169" s="22">
        <f>'Annual Raw'!Z64</f>
        <v>0</v>
      </c>
      <c r="Z169" s="22">
        <f>'Annual Raw'!AA64</f>
        <v>0</v>
      </c>
      <c r="AA169" s="22">
        <f>'Annual Raw'!AB64</f>
        <v>0</v>
      </c>
      <c r="AB169" s="23">
        <f t="shared" si="1277"/>
        <v>0</v>
      </c>
      <c r="AC169" s="23">
        <f t="shared" si="1278"/>
        <v>0</v>
      </c>
      <c r="AD169" s="23">
        <f t="shared" si="1279"/>
        <v>0</v>
      </c>
      <c r="AE169" s="23">
        <f t="shared" si="1280"/>
        <v>0</v>
      </c>
      <c r="AI169" s="22">
        <f>+'QTR Raw'!C70</f>
        <v>0</v>
      </c>
      <c r="AK169" s="22">
        <f>+'QTR Raw'!E70</f>
        <v>0</v>
      </c>
      <c r="AM169" s="22">
        <f>+'QTR Raw'!G70</f>
        <v>0</v>
      </c>
      <c r="AO169" s="22">
        <f>+'QTR Raw'!I70</f>
        <v>0</v>
      </c>
      <c r="AQ169" s="22">
        <f>+'QTR Raw'!K70</f>
        <v>0</v>
      </c>
      <c r="AS169" s="22">
        <f>+'QTR Raw'!M70</f>
        <v>0</v>
      </c>
      <c r="AU169" s="22">
        <f>+'QTR Raw'!O70</f>
        <v>0</v>
      </c>
      <c r="AW169" s="22">
        <f>+'QTR Raw'!Q70</f>
        <v>0</v>
      </c>
      <c r="AY169" s="22">
        <f>+'QTR Raw'!S70</f>
        <v>0</v>
      </c>
      <c r="BA169" s="22">
        <f>+'QTR Raw'!U70</f>
        <v>0</v>
      </c>
      <c r="BC169" s="22">
        <f>+'QTR Raw'!W70</f>
        <v>0</v>
      </c>
      <c r="BE169" s="22">
        <f>+'QTR Raw'!Y70</f>
        <v>0</v>
      </c>
      <c r="BG169" s="22">
        <f>+'QTR Raw'!AA70</f>
        <v>0</v>
      </c>
      <c r="BI169" s="22">
        <f>+'QTR Raw'!AC70</f>
        <v>0</v>
      </c>
      <c r="BK169" s="22">
        <f>+'QTR Raw'!AE70</f>
        <v>0</v>
      </c>
      <c r="BM169" s="22">
        <f>+'QTR Raw'!AG70</f>
        <v>0</v>
      </c>
      <c r="BO169" s="22">
        <f>+'QTR Raw'!AI70</f>
        <v>0</v>
      </c>
      <c r="BQ169" s="22">
        <f>+'QTR Raw'!AK70</f>
        <v>0</v>
      </c>
      <c r="BS169" s="22">
        <f>+'QTR Raw'!AM70</f>
        <v>0</v>
      </c>
      <c r="BU169" s="22">
        <f>+'QTR Raw'!AO70</f>
        <v>0</v>
      </c>
      <c r="BW169" s="22">
        <f>+'QTR Raw'!AQ70</f>
        <v>0</v>
      </c>
      <c r="BY169" s="22">
        <f>+'QTR Raw'!AS70</f>
        <v>0</v>
      </c>
      <c r="CA169" s="22">
        <f>+'QTR Raw'!AU70</f>
        <v>0</v>
      </c>
      <c r="CC169" s="22">
        <f>+'QTR Raw'!AW70</f>
        <v>0</v>
      </c>
      <c r="CE169" s="22">
        <f>+'QTR Raw'!AY70</f>
        <v>0</v>
      </c>
      <c r="CG169" s="22">
        <f t="shared" si="1281"/>
        <v>0</v>
      </c>
      <c r="CI169" s="22">
        <f>+'QTR Raw'!BC70</f>
        <v>0</v>
      </c>
      <c r="CJ169" s="22">
        <f t="shared" ref="CJ169:CL169" si="1299">+CI169</f>
        <v>0</v>
      </c>
      <c r="CK169" s="22">
        <f>+'QTR Raw'!BE70</f>
        <v>0</v>
      </c>
      <c r="CL169" s="22">
        <f t="shared" si="1299"/>
        <v>0</v>
      </c>
      <c r="CM169" s="23">
        <f t="shared" ref="CM169:DA169" si="1300">+CL169</f>
        <v>0</v>
      </c>
      <c r="CN169" s="23">
        <f t="shared" si="1300"/>
        <v>0</v>
      </c>
      <c r="CO169" s="23">
        <f t="shared" si="1300"/>
        <v>0</v>
      </c>
      <c r="CP169" s="23">
        <f t="shared" si="1300"/>
        <v>0</v>
      </c>
      <c r="CQ169" s="23">
        <f t="shared" si="1300"/>
        <v>0</v>
      </c>
      <c r="CR169" s="23">
        <f t="shared" si="1300"/>
        <v>0</v>
      </c>
      <c r="CS169" s="23">
        <f t="shared" si="1300"/>
        <v>0</v>
      </c>
      <c r="CT169" s="23">
        <f t="shared" si="1300"/>
        <v>0</v>
      </c>
      <c r="CU169" s="23">
        <f t="shared" si="1300"/>
        <v>0</v>
      </c>
      <c r="CV169" s="23">
        <f t="shared" si="1300"/>
        <v>0</v>
      </c>
      <c r="CW169" s="23">
        <f t="shared" si="1300"/>
        <v>0</v>
      </c>
      <c r="CX169" s="23">
        <f t="shared" si="1300"/>
        <v>0</v>
      </c>
      <c r="CY169" s="23">
        <f t="shared" si="1300"/>
        <v>0</v>
      </c>
      <c r="CZ169" s="23">
        <f t="shared" si="1300"/>
        <v>0</v>
      </c>
      <c r="DA169" s="23">
        <f t="shared" si="1300"/>
        <v>0</v>
      </c>
      <c r="DD169" s="122"/>
      <c r="DE169" s="22">
        <v>0</v>
      </c>
    </row>
    <row r="170" spans="1:109" s="21" customFormat="1" outlineLevel="1" x14ac:dyDescent="0.2">
      <c r="A170" s="21" t="s">
        <v>53</v>
      </c>
      <c r="B170" s="21">
        <f>+B167-B168-B169</f>
        <v>49.527000000000001</v>
      </c>
      <c r="C170" s="21">
        <f t="shared" ref="C170:W170" si="1301">+C167-C168-C169</f>
        <v>53.009900000000002</v>
      </c>
      <c r="D170" s="21">
        <f t="shared" si="1301"/>
        <v>53.011900000000011</v>
      </c>
      <c r="E170" s="21">
        <f t="shared" si="1301"/>
        <v>48.317900000000009</v>
      </c>
      <c r="F170" s="21">
        <f t="shared" si="1301"/>
        <v>45.727800000000016</v>
      </c>
      <c r="G170" s="21">
        <f t="shared" si="1301"/>
        <v>46.720699999999994</v>
      </c>
      <c r="H170" s="21">
        <f t="shared" si="1301"/>
        <v>53.000999999999991</v>
      </c>
      <c r="I170" s="21">
        <f t="shared" si="1301"/>
        <v>75.257899999999992</v>
      </c>
      <c r="J170" s="21">
        <f t="shared" si="1301"/>
        <v>105.8963</v>
      </c>
      <c r="K170" s="21">
        <f t="shared" si="1301"/>
        <v>124.48390000000001</v>
      </c>
      <c r="L170" s="21">
        <f t="shared" si="1301"/>
        <v>151.3261</v>
      </c>
      <c r="M170" s="21">
        <f t="shared" si="1301"/>
        <v>152.75299999999999</v>
      </c>
      <c r="N170" s="21">
        <f t="shared" si="1301"/>
        <v>158.46400000000003</v>
      </c>
      <c r="O170" s="21">
        <f t="shared" si="1301"/>
        <v>181.24700000000001</v>
      </c>
      <c r="P170" s="21">
        <f t="shared" si="1301"/>
        <v>190.81200000000001</v>
      </c>
      <c r="Q170" s="21">
        <f t="shared" si="1301"/>
        <v>194.05600000000001</v>
      </c>
      <c r="R170" s="21">
        <f t="shared" si="1301"/>
        <v>218.63099999999997</v>
      </c>
      <c r="S170" s="21">
        <f t="shared" si="1301"/>
        <v>308.19900000000007</v>
      </c>
      <c r="T170" s="21">
        <f t="shared" si="1301"/>
        <v>321.06</v>
      </c>
      <c r="U170" s="21">
        <f t="shared" si="1301"/>
        <v>307.28500000000003</v>
      </c>
      <c r="V170" s="21">
        <f t="shared" si="1301"/>
        <v>318.416</v>
      </c>
      <c r="W170" s="21">
        <f t="shared" si="1301"/>
        <v>310.637</v>
      </c>
      <c r="X170" s="21">
        <f t="shared" ref="X170:Y170" si="1302">+X167-X168-X169</f>
        <v>350.07700000000006</v>
      </c>
      <c r="Y170" s="21">
        <f t="shared" si="1302"/>
        <v>418.98900000000003</v>
      </c>
      <c r="Z170" s="21">
        <f t="shared" ref="Z170:AE170" si="1303">+Z167-Z168-Z169</f>
        <v>438.46400000000006</v>
      </c>
      <c r="AA170" s="21">
        <f t="shared" ref="AA170" si="1304">+AA167-AA168-AA169</f>
        <v>461.60900000000004</v>
      </c>
      <c r="AB170" s="20">
        <f t="shared" si="1303"/>
        <v>460.60000000000008</v>
      </c>
      <c r="AC170" s="20">
        <f t="shared" si="1303"/>
        <v>500.6</v>
      </c>
      <c r="AD170" s="20">
        <f t="shared" si="1303"/>
        <v>540.6</v>
      </c>
      <c r="AE170" s="20">
        <f t="shared" si="1303"/>
        <v>580.59999999999991</v>
      </c>
      <c r="AI170" s="21">
        <f t="shared" ref="AI170" si="1305">+AI167-AI168-AI169</f>
        <v>167.15</v>
      </c>
      <c r="AJ170" s="21">
        <f>+AI170</f>
        <v>167.15</v>
      </c>
      <c r="AK170" s="21">
        <f t="shared" ref="AK170" si="1306">+AK167-AK168-AK169</f>
        <v>0</v>
      </c>
      <c r="AL170" s="21">
        <f>+AK170</f>
        <v>0</v>
      </c>
      <c r="AM170" s="21">
        <f t="shared" ref="AM170" si="1307">+AM167-AM168-AM169</f>
        <v>190.9</v>
      </c>
      <c r="AN170" s="21">
        <f>+AM170</f>
        <v>190.9</v>
      </c>
      <c r="AO170" s="21">
        <f t="shared" ref="AO170" si="1308">+AO167-AO168-AO169</f>
        <v>189.49</v>
      </c>
      <c r="AP170" s="21">
        <f>+AO170</f>
        <v>189.49</v>
      </c>
      <c r="AQ170" s="21">
        <f t="shared" ref="AQ170" si="1309">+AQ167-AQ168-AQ169</f>
        <v>186.64</v>
      </c>
      <c r="AR170" s="21">
        <f>+AQ170</f>
        <v>186.64</v>
      </c>
      <c r="AS170" s="21">
        <f t="shared" ref="AS170" si="1310">+AS167-AS168-AS169</f>
        <v>200.77</v>
      </c>
      <c r="AT170" s="21">
        <f>+AS170</f>
        <v>200.77</v>
      </c>
      <c r="AU170" s="21">
        <f t="shared" ref="AU170" si="1311">+AU167-AU168-AU169</f>
        <v>200.53</v>
      </c>
      <c r="AV170" s="21">
        <f>+AU170</f>
        <v>200.53</v>
      </c>
      <c r="AW170" s="21">
        <f t="shared" ref="AW170" si="1312">+AW167-AW168-AW169</f>
        <v>208.27</v>
      </c>
      <c r="AX170" s="21">
        <f>+AW170</f>
        <v>208.27</v>
      </c>
      <c r="AY170" s="21">
        <f t="shared" ref="AY170" si="1313">+AY167-AY168-AY169</f>
        <v>236.68</v>
      </c>
      <c r="AZ170" s="21">
        <f>+AY170</f>
        <v>236.68</v>
      </c>
      <c r="BA170" s="21">
        <f t="shared" ref="BA170" si="1314">+BA167-BA168-BA169</f>
        <v>218.63</v>
      </c>
      <c r="BB170" s="21">
        <f>+BA170</f>
        <v>218.63</v>
      </c>
      <c r="BC170" s="21">
        <f t="shared" ref="BC170" si="1315">+BC167-BC168-BC169</f>
        <v>218.33</v>
      </c>
      <c r="BD170" s="21">
        <f>+BC170</f>
        <v>218.33</v>
      </c>
      <c r="BE170" s="21">
        <f t="shared" ref="BE170" si="1316">+BE167-BE168-BE169</f>
        <v>308.2</v>
      </c>
      <c r="BF170" s="21">
        <f>+BE170</f>
        <v>308.2</v>
      </c>
      <c r="BG170" s="21">
        <f t="shared" ref="BG170" si="1317">+BG167-BG168-BG169</f>
        <v>296.89999999999998</v>
      </c>
      <c r="BH170" s="21">
        <f>+BG170</f>
        <v>296.89999999999998</v>
      </c>
      <c r="BI170" s="21">
        <f t="shared" ref="BI170" si="1318">+BI167-BI168-BI169</f>
        <v>321.10000000000002</v>
      </c>
      <c r="BJ170" s="21">
        <f>+BI170</f>
        <v>321.10000000000002</v>
      </c>
      <c r="BK170" s="21">
        <f t="shared" ref="BK170" si="1319">+BK167-BK168-BK169</f>
        <v>318.10000000000002</v>
      </c>
      <c r="BL170" s="21">
        <f>+BK170</f>
        <v>318.10000000000002</v>
      </c>
      <c r="BM170" s="21">
        <f t="shared" ref="BM170" si="1320">+BM167-BM168-BM169</f>
        <v>307.3</v>
      </c>
      <c r="BN170" s="21">
        <f>+BM170</f>
        <v>307.3</v>
      </c>
      <c r="BO170" s="21">
        <f t="shared" ref="BO170" si="1321">+BO167-BO168-BO169</f>
        <v>297.3</v>
      </c>
      <c r="BP170" s="21">
        <f>+BO170</f>
        <v>297.3</v>
      </c>
      <c r="BQ170" s="21">
        <f t="shared" ref="BQ170" si="1322">+BQ167-BQ168-BQ169</f>
        <v>292.2</v>
      </c>
      <c r="BR170" s="21">
        <f>+BQ170</f>
        <v>292.2</v>
      </c>
      <c r="BS170" s="21">
        <f t="shared" ref="BS170" si="1323">+BS167-BS168-BS169</f>
        <v>282.39999999999998</v>
      </c>
      <c r="BT170" s="21">
        <f>+BS170</f>
        <v>282.39999999999998</v>
      </c>
      <c r="BU170" s="21">
        <f t="shared" ref="BU170" si="1324">+BU167-BU168-BU169</f>
        <v>283.3</v>
      </c>
      <c r="BV170" s="21">
        <f>+BU170</f>
        <v>283.3</v>
      </c>
      <c r="BW170" s="21">
        <f t="shared" ref="BW170" si="1325">+BW167-BW168-BW169</f>
        <v>302.7</v>
      </c>
      <c r="BX170" s="21">
        <f>+BW170</f>
        <v>302.7</v>
      </c>
      <c r="BY170" s="21">
        <f t="shared" ref="BY170" si="1326">+BY167-BY168-BY169</f>
        <v>323.2</v>
      </c>
      <c r="BZ170" s="21">
        <f>+BY170</f>
        <v>323.2</v>
      </c>
      <c r="CA170" s="21">
        <f t="shared" ref="CA170" si="1327">+CA167-CA168-CA169</f>
        <v>339</v>
      </c>
      <c r="CB170" s="21">
        <f>+CA170</f>
        <v>339</v>
      </c>
      <c r="CC170" s="21">
        <f t="shared" ref="CC170" si="1328">+CC167-CC168-CC169</f>
        <v>393.5</v>
      </c>
      <c r="CD170" s="21">
        <f>+CC170</f>
        <v>393.5</v>
      </c>
      <c r="CE170" s="21">
        <f t="shared" ref="CE170:CG170" si="1329">+CE167-CE168-CE169</f>
        <v>397.5</v>
      </c>
      <c r="CF170" s="21">
        <f>+CE170</f>
        <v>397.5</v>
      </c>
      <c r="CG170" s="21">
        <f t="shared" si="1329"/>
        <v>438.46400000000006</v>
      </c>
      <c r="CH170" s="21">
        <f t="shared" ref="CH170:CL170" si="1330">+CG170</f>
        <v>438.46400000000006</v>
      </c>
      <c r="CI170" s="21">
        <f>+'QTR Raw'!BC68</f>
        <v>411.2</v>
      </c>
      <c r="CJ170" s="21">
        <f t="shared" si="1330"/>
        <v>411.2</v>
      </c>
      <c r="CK170" s="21">
        <f>+'QTR Raw'!BE68</f>
        <v>430.6</v>
      </c>
      <c r="CL170" s="21">
        <f t="shared" si="1330"/>
        <v>430.6</v>
      </c>
      <c r="CM170" s="20">
        <f t="shared" ref="CM170:DA170" si="1331">+CL170+10</f>
        <v>440.6</v>
      </c>
      <c r="CN170" s="20">
        <f t="shared" si="1331"/>
        <v>450.6</v>
      </c>
      <c r="CO170" s="20">
        <f t="shared" si="1331"/>
        <v>460.6</v>
      </c>
      <c r="CP170" s="20">
        <f t="shared" si="1331"/>
        <v>470.6</v>
      </c>
      <c r="CQ170" s="20">
        <f t="shared" si="1331"/>
        <v>480.6</v>
      </c>
      <c r="CR170" s="20">
        <f t="shared" si="1331"/>
        <v>490.6</v>
      </c>
      <c r="CS170" s="20">
        <f t="shared" si="1331"/>
        <v>500.6</v>
      </c>
      <c r="CT170" s="20">
        <f t="shared" si="1331"/>
        <v>510.6</v>
      </c>
      <c r="CU170" s="20">
        <f t="shared" si="1331"/>
        <v>520.6</v>
      </c>
      <c r="CV170" s="20">
        <f t="shared" si="1331"/>
        <v>530.6</v>
      </c>
      <c r="CW170" s="20">
        <f t="shared" si="1331"/>
        <v>540.6</v>
      </c>
      <c r="CX170" s="20">
        <f t="shared" si="1331"/>
        <v>550.6</v>
      </c>
      <c r="CY170" s="20">
        <f t="shared" si="1331"/>
        <v>560.6</v>
      </c>
      <c r="CZ170" s="20">
        <f t="shared" si="1331"/>
        <v>570.6</v>
      </c>
      <c r="DA170" s="20">
        <f t="shared" si="1331"/>
        <v>580.6</v>
      </c>
      <c r="DD170" s="125"/>
      <c r="DE170" s="21">
        <v>430.6</v>
      </c>
    </row>
    <row r="171" spans="1:109" s="22" customFormat="1" outlineLevel="1" x14ac:dyDescent="0.2">
      <c r="A171" s="22" t="s">
        <v>54</v>
      </c>
      <c r="B171" s="22">
        <f>'Annual Raw'!C86</f>
        <v>0</v>
      </c>
      <c r="C171" s="22">
        <f>'Annual Raw'!D86</f>
        <v>0</v>
      </c>
      <c r="D171" s="22">
        <f>'Annual Raw'!E86</f>
        <v>0</v>
      </c>
      <c r="E171" s="22">
        <f>'Annual Raw'!F86</f>
        <v>0</v>
      </c>
      <c r="F171" s="22">
        <f>'Annual Raw'!G86</f>
        <v>0</v>
      </c>
      <c r="G171" s="22">
        <f>'Annual Raw'!H86</f>
        <v>0</v>
      </c>
      <c r="H171" s="22">
        <f>'Annual Raw'!I86</f>
        <v>0</v>
      </c>
      <c r="I171" s="22">
        <f>'Annual Raw'!J86</f>
        <v>0</v>
      </c>
      <c r="J171" s="22">
        <f>'Annual Raw'!K86</f>
        <v>0</v>
      </c>
      <c r="K171" s="22">
        <f>'Annual Raw'!L86</f>
        <v>0</v>
      </c>
      <c r="L171" s="22">
        <f>'Annual Raw'!M86</f>
        <v>0</v>
      </c>
      <c r="M171" s="22">
        <f>'Annual Raw'!N86</f>
        <v>0</v>
      </c>
      <c r="N171" s="22">
        <f>'Annual Raw'!O86</f>
        <v>0</v>
      </c>
      <c r="O171" s="22">
        <f>'Annual Raw'!P86</f>
        <v>0</v>
      </c>
      <c r="P171" s="22">
        <f>'Annual Raw'!Q86</f>
        <v>0</v>
      </c>
      <c r="Q171" s="22">
        <f>'Annual Raw'!R86</f>
        <v>0</v>
      </c>
      <c r="R171" s="22">
        <f>'Annual Raw'!S86</f>
        <v>0</v>
      </c>
      <c r="S171" s="22">
        <f>'Annual Raw'!T86</f>
        <v>0</v>
      </c>
      <c r="T171" s="22">
        <f>'Annual Raw'!U86</f>
        <v>0</v>
      </c>
      <c r="U171" s="22">
        <f>'Annual Raw'!V86</f>
        <v>0</v>
      </c>
      <c r="V171" s="22">
        <f>'Annual Raw'!W86</f>
        <v>0</v>
      </c>
      <c r="W171" s="22">
        <f>'Annual Raw'!X86</f>
        <v>0</v>
      </c>
      <c r="X171" s="22">
        <f>'Annual Raw'!Y86</f>
        <v>0</v>
      </c>
      <c r="Y171" s="22">
        <f>'Annual Raw'!Z86</f>
        <v>0</v>
      </c>
      <c r="Z171" s="22">
        <f>'Annual Raw'!AA86</f>
        <v>0</v>
      </c>
      <c r="AA171" s="22">
        <f>'Annual Raw'!AB86</f>
        <v>0</v>
      </c>
      <c r="AB171" s="23">
        <f t="shared" ref="AB171:AB173" si="1332">+CO171</f>
        <v>0</v>
      </c>
      <c r="AC171" s="23">
        <f t="shared" ref="AC171:AC173" si="1333">+CS171</f>
        <v>0</v>
      </c>
      <c r="AD171" s="23">
        <f t="shared" ref="AD171:AD173" si="1334">+CW171</f>
        <v>0</v>
      </c>
      <c r="AE171" s="23">
        <f t="shared" ref="AE171:AE173" si="1335">+DA171</f>
        <v>0</v>
      </c>
      <c r="AI171" s="22">
        <f>+'QTR Raw'!C72</f>
        <v>0</v>
      </c>
      <c r="AJ171" s="22">
        <f t="shared" ref="AJ171:AJ173" si="1336">+AI171</f>
        <v>0</v>
      </c>
      <c r="AK171" s="22">
        <f>+'QTR Raw'!E72</f>
        <v>0</v>
      </c>
      <c r="AL171" s="22">
        <f t="shared" ref="AL171:AL173" si="1337">+AK171</f>
        <v>0</v>
      </c>
      <c r="AM171" s="22">
        <f>+'QTR Raw'!G72</f>
        <v>0</v>
      </c>
      <c r="AN171" s="22">
        <f t="shared" ref="AN171:AN173" si="1338">+AM171</f>
        <v>0</v>
      </c>
      <c r="AO171" s="22">
        <f>+'QTR Raw'!I72</f>
        <v>0</v>
      </c>
      <c r="AP171" s="22">
        <f t="shared" ref="AP171:AP173" si="1339">+AO171</f>
        <v>0</v>
      </c>
      <c r="AQ171" s="22">
        <f>+'QTR Raw'!K72</f>
        <v>0</v>
      </c>
      <c r="AR171" s="22">
        <f t="shared" ref="AR171:AR173" si="1340">+AQ171</f>
        <v>0</v>
      </c>
      <c r="AS171" s="22">
        <f>+'QTR Raw'!M72</f>
        <v>0</v>
      </c>
      <c r="AT171" s="22">
        <f t="shared" ref="AT171:AT173" si="1341">+AS171</f>
        <v>0</v>
      </c>
      <c r="AU171" s="22">
        <f>+'QTR Raw'!O72</f>
        <v>0</v>
      </c>
      <c r="AV171" s="22">
        <f t="shared" ref="AV171:AV173" si="1342">+AU171</f>
        <v>0</v>
      </c>
      <c r="AW171" s="22">
        <f>+'QTR Raw'!Q72</f>
        <v>0</v>
      </c>
      <c r="AX171" s="22">
        <f t="shared" ref="AX171:AX173" si="1343">+AW171</f>
        <v>0</v>
      </c>
      <c r="AY171" s="22">
        <f>+'QTR Raw'!S72</f>
        <v>0</v>
      </c>
      <c r="AZ171" s="22">
        <f t="shared" ref="AZ171:AZ173" si="1344">+AY171</f>
        <v>0</v>
      </c>
      <c r="BA171" s="22">
        <f>+'QTR Raw'!U72</f>
        <v>0</v>
      </c>
      <c r="BB171" s="22">
        <f t="shared" ref="BB171:BB173" si="1345">+BA171</f>
        <v>0</v>
      </c>
      <c r="BC171" s="22">
        <f>+'QTR Raw'!W72</f>
        <v>0</v>
      </c>
      <c r="BD171" s="22">
        <f t="shared" ref="BD171:BD173" si="1346">+BC171</f>
        <v>0</v>
      </c>
      <c r="BE171" s="22">
        <f>+'QTR Raw'!Y72</f>
        <v>0</v>
      </c>
      <c r="BF171" s="22">
        <f t="shared" ref="BF171:BF173" si="1347">+BE171</f>
        <v>0</v>
      </c>
      <c r="BG171" s="22">
        <f>+'QTR Raw'!AA72</f>
        <v>0</v>
      </c>
      <c r="BH171" s="22">
        <f t="shared" ref="BH171:BH173" si="1348">+BG171</f>
        <v>0</v>
      </c>
      <c r="BI171" s="22">
        <f>+'QTR Raw'!AC72</f>
        <v>0</v>
      </c>
      <c r="BJ171" s="22">
        <f t="shared" ref="BJ171:BJ173" si="1349">+BI171</f>
        <v>0</v>
      </c>
      <c r="BK171" s="22">
        <f>+'QTR Raw'!AE72</f>
        <v>0</v>
      </c>
      <c r="BL171" s="22">
        <f t="shared" ref="BL171:BL173" si="1350">+BK171</f>
        <v>0</v>
      </c>
      <c r="BM171" s="22">
        <f>+'QTR Raw'!AG72</f>
        <v>0</v>
      </c>
      <c r="BN171" s="22">
        <f t="shared" ref="BN171:BN173" si="1351">+BM171</f>
        <v>0</v>
      </c>
      <c r="BO171" s="22">
        <f>+'QTR Raw'!AI72</f>
        <v>0</v>
      </c>
      <c r="BP171" s="22">
        <f t="shared" ref="BP171:BP173" si="1352">+BO171</f>
        <v>0</v>
      </c>
      <c r="BQ171" s="22">
        <f>+'QTR Raw'!AK72</f>
        <v>0</v>
      </c>
      <c r="BR171" s="22">
        <f t="shared" ref="BR171:BR173" si="1353">+BQ171</f>
        <v>0</v>
      </c>
      <c r="BS171" s="22">
        <f>+'QTR Raw'!AM72</f>
        <v>0</v>
      </c>
      <c r="BT171" s="22">
        <f t="shared" ref="BT171:BT173" si="1354">+BS171</f>
        <v>0</v>
      </c>
      <c r="BU171" s="22">
        <f>+'QTR Raw'!AO72</f>
        <v>0</v>
      </c>
      <c r="BV171" s="22">
        <f t="shared" ref="BV171:BV173" si="1355">+BU171</f>
        <v>0</v>
      </c>
      <c r="BW171" s="22">
        <f>+'QTR Raw'!AQ72</f>
        <v>0</v>
      </c>
      <c r="BX171" s="22">
        <f t="shared" ref="BX171:BX173" si="1356">+BW171</f>
        <v>0</v>
      </c>
      <c r="BY171" s="22">
        <f>+'QTR Raw'!AS72</f>
        <v>0</v>
      </c>
      <c r="BZ171" s="22">
        <f t="shared" ref="BZ171:BZ173" si="1357">+BY171</f>
        <v>0</v>
      </c>
      <c r="CA171" s="22">
        <f>+'QTR Raw'!AU72</f>
        <v>0</v>
      </c>
      <c r="CB171" s="22">
        <f t="shared" ref="CB171:CB173" si="1358">+CA171</f>
        <v>0</v>
      </c>
      <c r="CC171" s="22">
        <f>+'QTR Raw'!AW72</f>
        <v>0</v>
      </c>
      <c r="CD171" s="22">
        <f t="shared" ref="CD171:CD173" si="1359">+CC171</f>
        <v>0</v>
      </c>
      <c r="CE171" s="22">
        <f>+'QTR Raw'!AY72</f>
        <v>0</v>
      </c>
      <c r="CF171" s="22">
        <f t="shared" ref="CF171:CL173" si="1360">+CE171</f>
        <v>0</v>
      </c>
      <c r="CG171" s="22">
        <f t="shared" si="1281"/>
        <v>0</v>
      </c>
      <c r="CH171" s="22">
        <f t="shared" si="1360"/>
        <v>0</v>
      </c>
      <c r="CI171" s="22">
        <f>+'QTR Raw'!BC72</f>
        <v>0</v>
      </c>
      <c r="CJ171" s="22">
        <f t="shared" si="1360"/>
        <v>0</v>
      </c>
      <c r="CK171" s="22">
        <f>+'QTR Raw'!BE72</f>
        <v>0</v>
      </c>
      <c r="CL171" s="22">
        <f t="shared" si="1360"/>
        <v>0</v>
      </c>
      <c r="CM171" s="23">
        <f t="shared" ref="CM171:CM173" si="1361">+CL171</f>
        <v>0</v>
      </c>
      <c r="CN171" s="23">
        <f t="shared" ref="CN171:CN173" si="1362">+CM171</f>
        <v>0</v>
      </c>
      <c r="CO171" s="23">
        <f t="shared" ref="CO171:CO173" si="1363">+CN171</f>
        <v>0</v>
      </c>
      <c r="CP171" s="23">
        <f t="shared" ref="CP171:CP173" si="1364">+CO171</f>
        <v>0</v>
      </c>
      <c r="CQ171" s="23">
        <f t="shared" ref="CQ171:CQ173" si="1365">+CP171</f>
        <v>0</v>
      </c>
      <c r="CR171" s="23">
        <f t="shared" ref="CR171:CR173" si="1366">+CQ171</f>
        <v>0</v>
      </c>
      <c r="CS171" s="23">
        <f t="shared" ref="CS171:CS173" si="1367">+CR171</f>
        <v>0</v>
      </c>
      <c r="CT171" s="23">
        <f t="shared" ref="CT171:CT173" si="1368">+CS171</f>
        <v>0</v>
      </c>
      <c r="CU171" s="23">
        <f t="shared" ref="CU171:CU173" si="1369">+CT171</f>
        <v>0</v>
      </c>
      <c r="CV171" s="23">
        <f t="shared" ref="CV171:CV173" si="1370">+CU171</f>
        <v>0</v>
      </c>
      <c r="CW171" s="23">
        <f t="shared" ref="CW171:CW173" si="1371">+CV171</f>
        <v>0</v>
      </c>
      <c r="CX171" s="23">
        <f t="shared" ref="CX171:CX173" si="1372">+CW171</f>
        <v>0</v>
      </c>
      <c r="CY171" s="23">
        <f t="shared" ref="CY171:CY173" si="1373">+CX171</f>
        <v>0</v>
      </c>
      <c r="CZ171" s="23">
        <f t="shared" ref="CZ171:CZ173" si="1374">+CY171</f>
        <v>0</v>
      </c>
      <c r="DA171" s="23">
        <f t="shared" ref="DA171:DA173" si="1375">+CZ171</f>
        <v>0</v>
      </c>
      <c r="DD171" s="122"/>
      <c r="DE171" s="22">
        <v>0</v>
      </c>
    </row>
    <row r="172" spans="1:109" s="22" customFormat="1" outlineLevel="1" x14ac:dyDescent="0.2">
      <c r="A172" s="22" t="s">
        <v>55</v>
      </c>
      <c r="B172" s="22">
        <f>'Annual Raw'!C68</f>
        <v>0</v>
      </c>
      <c r="C172" s="22">
        <f>'Annual Raw'!D68</f>
        <v>0</v>
      </c>
      <c r="D172" s="22">
        <f>'Annual Raw'!E68</f>
        <v>0</v>
      </c>
      <c r="E172" s="22">
        <f>'Annual Raw'!F68</f>
        <v>0</v>
      </c>
      <c r="F172" s="22">
        <f>'Annual Raw'!G68</f>
        <v>0</v>
      </c>
      <c r="G172" s="22">
        <f>'Annual Raw'!H68</f>
        <v>0</v>
      </c>
      <c r="H172" s="22">
        <f>'Annual Raw'!I68</f>
        <v>0</v>
      </c>
      <c r="I172" s="22">
        <f>'Annual Raw'!J68</f>
        <v>0</v>
      </c>
      <c r="J172" s="22">
        <f>'Annual Raw'!K68</f>
        <v>0</v>
      </c>
      <c r="K172" s="22">
        <f>'Annual Raw'!L68</f>
        <v>0</v>
      </c>
      <c r="L172" s="22">
        <f>'Annual Raw'!M68</f>
        <v>0</v>
      </c>
      <c r="M172" s="22">
        <f>'Annual Raw'!N68</f>
        <v>0</v>
      </c>
      <c r="N172" s="22">
        <f>'Annual Raw'!O68</f>
        <v>0</v>
      </c>
      <c r="O172" s="22">
        <f>'Annual Raw'!P68</f>
        <v>0</v>
      </c>
      <c r="P172" s="22">
        <f>'Annual Raw'!Q68</f>
        <v>0</v>
      </c>
      <c r="Q172" s="22">
        <f>'Annual Raw'!R68</f>
        <v>0</v>
      </c>
      <c r="R172" s="22">
        <f>'Annual Raw'!S68</f>
        <v>0</v>
      </c>
      <c r="S172" s="22">
        <f>'Annual Raw'!T68</f>
        <v>0</v>
      </c>
      <c r="T172" s="22">
        <f>'Annual Raw'!U68</f>
        <v>0</v>
      </c>
      <c r="U172" s="22">
        <f>'Annual Raw'!V68</f>
        <v>0</v>
      </c>
      <c r="V172" s="22">
        <f>'Annual Raw'!W68</f>
        <v>0</v>
      </c>
      <c r="W172" s="22">
        <f>'Annual Raw'!X68</f>
        <v>0</v>
      </c>
      <c r="X172" s="22">
        <f>'Annual Raw'!Y68</f>
        <v>0</v>
      </c>
      <c r="Y172" s="22">
        <f>'Annual Raw'!Z68</f>
        <v>1.375</v>
      </c>
      <c r="Z172" s="22">
        <f>'Annual Raw'!AA68</f>
        <v>1.8480000000000001</v>
      </c>
      <c r="AA172" s="22">
        <f>'Annual Raw'!AB68</f>
        <v>2.9710000000000001</v>
      </c>
      <c r="AB172" s="23">
        <f t="shared" si="1332"/>
        <v>0</v>
      </c>
      <c r="AC172" s="23">
        <f t="shared" si="1333"/>
        <v>0</v>
      </c>
      <c r="AD172" s="23">
        <f t="shared" si="1334"/>
        <v>0</v>
      </c>
      <c r="AE172" s="23">
        <f t="shared" si="1335"/>
        <v>0</v>
      </c>
      <c r="AJ172" s="22">
        <f t="shared" si="1336"/>
        <v>0</v>
      </c>
      <c r="AL172" s="22">
        <f t="shared" si="1337"/>
        <v>0</v>
      </c>
      <c r="AN172" s="22">
        <f t="shared" si="1338"/>
        <v>0</v>
      </c>
      <c r="AP172" s="22">
        <f t="shared" si="1339"/>
        <v>0</v>
      </c>
      <c r="AR172" s="22">
        <f t="shared" si="1340"/>
        <v>0</v>
      </c>
      <c r="AT172" s="22">
        <f t="shared" si="1341"/>
        <v>0</v>
      </c>
      <c r="AV172" s="22">
        <f t="shared" si="1342"/>
        <v>0</v>
      </c>
      <c r="AX172" s="22">
        <f t="shared" si="1343"/>
        <v>0</v>
      </c>
      <c r="AZ172" s="22">
        <f t="shared" si="1344"/>
        <v>0</v>
      </c>
      <c r="BB172" s="22">
        <f t="shared" si="1345"/>
        <v>0</v>
      </c>
      <c r="BD172" s="22">
        <f t="shared" si="1346"/>
        <v>0</v>
      </c>
      <c r="BF172" s="22">
        <f t="shared" si="1347"/>
        <v>0</v>
      </c>
      <c r="BH172" s="22">
        <f t="shared" si="1348"/>
        <v>0</v>
      </c>
      <c r="BJ172" s="22">
        <f t="shared" si="1349"/>
        <v>0</v>
      </c>
      <c r="BL172" s="22">
        <f t="shared" si="1350"/>
        <v>0</v>
      </c>
      <c r="BN172" s="22">
        <f t="shared" si="1351"/>
        <v>0</v>
      </c>
      <c r="BP172" s="22">
        <f t="shared" si="1352"/>
        <v>0</v>
      </c>
      <c r="BR172" s="22">
        <f t="shared" si="1353"/>
        <v>0</v>
      </c>
      <c r="BT172" s="22">
        <f t="shared" si="1354"/>
        <v>0</v>
      </c>
      <c r="BV172" s="22">
        <f t="shared" si="1355"/>
        <v>0</v>
      </c>
      <c r="BX172" s="22">
        <f t="shared" si="1356"/>
        <v>0</v>
      </c>
      <c r="BZ172" s="22">
        <f t="shared" si="1357"/>
        <v>0</v>
      </c>
      <c r="CB172" s="22">
        <f t="shared" si="1358"/>
        <v>0</v>
      </c>
      <c r="CD172" s="22">
        <f t="shared" si="1359"/>
        <v>0</v>
      </c>
      <c r="CF172" s="22">
        <f t="shared" si="1360"/>
        <v>0</v>
      </c>
      <c r="CG172" s="22">
        <f t="shared" si="1281"/>
        <v>1.8480000000000001</v>
      </c>
      <c r="CH172" s="22">
        <f t="shared" si="1360"/>
        <v>1.8480000000000001</v>
      </c>
      <c r="CJ172" s="22">
        <f t="shared" si="1360"/>
        <v>0</v>
      </c>
      <c r="CL172" s="22">
        <f t="shared" si="1360"/>
        <v>0</v>
      </c>
      <c r="CM172" s="23">
        <f t="shared" si="1361"/>
        <v>0</v>
      </c>
      <c r="CN172" s="23">
        <f t="shared" si="1362"/>
        <v>0</v>
      </c>
      <c r="CO172" s="23">
        <f t="shared" si="1363"/>
        <v>0</v>
      </c>
      <c r="CP172" s="23">
        <f t="shared" si="1364"/>
        <v>0</v>
      </c>
      <c r="CQ172" s="23">
        <f t="shared" si="1365"/>
        <v>0</v>
      </c>
      <c r="CR172" s="23">
        <f t="shared" si="1366"/>
        <v>0</v>
      </c>
      <c r="CS172" s="23">
        <f t="shared" si="1367"/>
        <v>0</v>
      </c>
      <c r="CT172" s="23">
        <f t="shared" si="1368"/>
        <v>0</v>
      </c>
      <c r="CU172" s="23">
        <f t="shared" si="1369"/>
        <v>0</v>
      </c>
      <c r="CV172" s="23">
        <f t="shared" si="1370"/>
        <v>0</v>
      </c>
      <c r="CW172" s="23">
        <f t="shared" si="1371"/>
        <v>0</v>
      </c>
      <c r="CX172" s="23">
        <f t="shared" si="1372"/>
        <v>0</v>
      </c>
      <c r="CY172" s="23">
        <f t="shared" si="1373"/>
        <v>0</v>
      </c>
      <c r="CZ172" s="23">
        <f t="shared" si="1374"/>
        <v>0</v>
      </c>
      <c r="DA172" s="23">
        <f t="shared" si="1375"/>
        <v>0</v>
      </c>
      <c r="DD172" s="122"/>
      <c r="DE172" s="22">
        <v>0</v>
      </c>
    </row>
    <row r="173" spans="1:109" s="22" customFormat="1" outlineLevel="1" x14ac:dyDescent="0.2">
      <c r="A173" s="22" t="s">
        <v>56</v>
      </c>
      <c r="B173" s="22">
        <f>'Annual Raw'!C67+'Annual Raw'!C66+'Annual Raw'!C69+'Annual Raw'!C70</f>
        <v>2.7124999999999999</v>
      </c>
      <c r="C173" s="22">
        <f>'Annual Raw'!D67+'Annual Raw'!D66+'Annual Raw'!D69+'Annual Raw'!D70</f>
        <v>1.9755</v>
      </c>
      <c r="D173" s="22">
        <f>'Annual Raw'!E67+'Annual Raw'!E66+'Annual Raw'!E69+'Annual Raw'!E70</f>
        <v>0.65229999999999999</v>
      </c>
      <c r="E173" s="22">
        <f>'Annual Raw'!F67+'Annual Raw'!F66+'Annual Raw'!F69+'Annual Raw'!F70</f>
        <v>0.7873</v>
      </c>
      <c r="F173" s="22">
        <f>'Annual Raw'!G67+'Annual Raw'!G66+'Annual Raw'!G69+'Annual Raw'!G70</f>
        <v>4.399</v>
      </c>
      <c r="G173" s="22">
        <f>'Annual Raw'!H67+'Annual Raw'!H66+'Annual Raw'!H69+'Annual Raw'!H70</f>
        <v>1.5322</v>
      </c>
      <c r="H173" s="22">
        <f>'Annual Raw'!I67+'Annual Raw'!I66+'Annual Raw'!I69+'Annual Raw'!I70</f>
        <v>15.5914</v>
      </c>
      <c r="I173" s="22">
        <f>'Annual Raw'!J67+'Annual Raw'!J66+'Annual Raw'!J69+'Annual Raw'!J70</f>
        <v>14.5624</v>
      </c>
      <c r="J173" s="22">
        <f>'Annual Raw'!K67+'Annual Raw'!K66+'Annual Raw'!K69+'Annual Raw'!K70</f>
        <v>33.7729</v>
      </c>
      <c r="K173" s="22">
        <f>'Annual Raw'!L67+'Annual Raw'!L66+'Annual Raw'!L69+'Annual Raw'!L70</f>
        <v>33.433999999999997</v>
      </c>
      <c r="L173" s="22">
        <f>'Annual Raw'!M67+'Annual Raw'!M66+'Annual Raw'!M69+'Annual Raw'!M70</f>
        <v>8.6983999999999995</v>
      </c>
      <c r="M173" s="22">
        <f>'Annual Raw'!N67+'Annual Raw'!N66+'Annual Raw'!N69+'Annual Raw'!N70</f>
        <v>6.9660000000000002</v>
      </c>
      <c r="N173" s="22">
        <f>'Annual Raw'!O67+'Annual Raw'!O66+'Annual Raw'!O69+'Annual Raw'!O70</f>
        <v>26.706</v>
      </c>
      <c r="O173" s="22">
        <f>'Annual Raw'!P67+'Annual Raw'!P66+'Annual Raw'!P69+'Annual Raw'!P70</f>
        <v>8.2420000000000009</v>
      </c>
      <c r="P173" s="22">
        <f>'Annual Raw'!Q67+'Annual Raw'!Q66+'Annual Raw'!Q69+'Annual Raw'!Q70</f>
        <v>9.9570000000000007</v>
      </c>
      <c r="Q173" s="22">
        <f>'Annual Raw'!R67+'Annual Raw'!R66+'Annual Raw'!R69+'Annual Raw'!R70</f>
        <v>14.218</v>
      </c>
      <c r="R173" s="22">
        <f>'Annual Raw'!S67+'Annual Raw'!S66+'Annual Raw'!S69+'Annual Raw'!S70</f>
        <v>16.495000000000001</v>
      </c>
      <c r="S173" s="22">
        <f>'Annual Raw'!T67+'Annual Raw'!T66+'Annual Raw'!T69+'Annual Raw'!T70</f>
        <v>4.0919999999999996</v>
      </c>
      <c r="T173" s="22">
        <f>'Annual Raw'!U67+'Annual Raw'!U66+'Annual Raw'!U69+'Annual Raw'!U70</f>
        <v>4.1379999999999999</v>
      </c>
      <c r="U173" s="22">
        <f>'Annual Raw'!V67+'Annual Raw'!V66+'Annual Raw'!V69+'Annual Raw'!V70</f>
        <v>34.49</v>
      </c>
      <c r="V173" s="22">
        <f>'Annual Raw'!W67+'Annual Raw'!W66+'Annual Raw'!W69+'Annual Raw'!W70</f>
        <v>25.1</v>
      </c>
      <c r="W173" s="22">
        <f>'Annual Raw'!X67+'Annual Raw'!X66+'Annual Raw'!X69+'Annual Raw'!X70</f>
        <v>39.176000000000002</v>
      </c>
      <c r="X173" s="22">
        <f>'Annual Raw'!Y67+'Annual Raw'!Y66+'Annual Raw'!Y69+'Annual Raw'!Y70</f>
        <v>25.143000000000001</v>
      </c>
      <c r="Y173" s="22">
        <f>'Annual Raw'!Z67+'Annual Raw'!Z66+'Annual Raw'!Z69+'Annual Raw'!Z70</f>
        <v>31.024999999999999</v>
      </c>
      <c r="Z173" s="22">
        <f>'Annual Raw'!AA67+'Annual Raw'!AA66+'Annual Raw'!AA69+'Annual Raw'!AA70</f>
        <v>52.808</v>
      </c>
      <c r="AA173" s="22">
        <f>'Annual Raw'!AB67+'Annual Raw'!AB66+'Annual Raw'!AB69+'Annual Raw'!AB70</f>
        <v>88.891000000000005</v>
      </c>
      <c r="AB173" s="23">
        <f t="shared" si="1332"/>
        <v>88.9</v>
      </c>
      <c r="AC173" s="23">
        <f t="shared" si="1333"/>
        <v>88.9</v>
      </c>
      <c r="AD173" s="23">
        <f t="shared" si="1334"/>
        <v>88.9</v>
      </c>
      <c r="AE173" s="23">
        <f t="shared" si="1335"/>
        <v>88.9</v>
      </c>
      <c r="AI173" s="22">
        <f>+'QTR Raw'!C74</f>
        <v>0</v>
      </c>
      <c r="AJ173" s="22">
        <f t="shared" si="1336"/>
        <v>0</v>
      </c>
      <c r="AK173" s="22">
        <f>+'QTR Raw'!E74</f>
        <v>0</v>
      </c>
      <c r="AL173" s="22">
        <f t="shared" si="1337"/>
        <v>0</v>
      </c>
      <c r="AM173" s="22">
        <f>+'QTR Raw'!G74</f>
        <v>0</v>
      </c>
      <c r="AN173" s="22">
        <f t="shared" si="1338"/>
        <v>0</v>
      </c>
      <c r="AO173" s="22">
        <f>+'QTR Raw'!I74</f>
        <v>0</v>
      </c>
      <c r="AP173" s="22">
        <f t="shared" si="1339"/>
        <v>0</v>
      </c>
      <c r="AQ173" s="22">
        <f>+'QTR Raw'!K74</f>
        <v>0</v>
      </c>
      <c r="AR173" s="22">
        <f t="shared" si="1340"/>
        <v>0</v>
      </c>
      <c r="AS173" s="22">
        <f>+'QTR Raw'!M74</f>
        <v>0</v>
      </c>
      <c r="AT173" s="22">
        <f t="shared" si="1341"/>
        <v>0</v>
      </c>
      <c r="AU173" s="22">
        <f>+'QTR Raw'!O74</f>
        <v>0</v>
      </c>
      <c r="AV173" s="22">
        <f t="shared" si="1342"/>
        <v>0</v>
      </c>
      <c r="AW173" s="22">
        <f>+'QTR Raw'!Q74</f>
        <v>0</v>
      </c>
      <c r="AX173" s="22">
        <f t="shared" si="1343"/>
        <v>0</v>
      </c>
      <c r="AY173" s="22">
        <f>+'QTR Raw'!S74</f>
        <v>0</v>
      </c>
      <c r="AZ173" s="22">
        <f t="shared" si="1344"/>
        <v>0</v>
      </c>
      <c r="BA173" s="22">
        <f>+'QTR Raw'!U74</f>
        <v>16.489999999999998</v>
      </c>
      <c r="BB173" s="22">
        <f t="shared" si="1345"/>
        <v>16.489999999999998</v>
      </c>
      <c r="BC173" s="22">
        <f>+'QTR Raw'!W74</f>
        <v>93.59</v>
      </c>
      <c r="BD173" s="22">
        <f t="shared" si="1346"/>
        <v>93.59</v>
      </c>
      <c r="BE173" s="22">
        <f>+'QTR Raw'!Y74</f>
        <v>4.0999999999999996</v>
      </c>
      <c r="BF173" s="22">
        <f t="shared" si="1347"/>
        <v>4.0999999999999996</v>
      </c>
      <c r="BG173" s="22">
        <f>+'QTR Raw'!AA74</f>
        <v>5.3</v>
      </c>
      <c r="BH173" s="22">
        <f t="shared" si="1348"/>
        <v>5.3</v>
      </c>
      <c r="BI173" s="22">
        <f>+'QTR Raw'!AC74</f>
        <v>4.0999999999999996</v>
      </c>
      <c r="BJ173" s="22">
        <f t="shared" si="1349"/>
        <v>4.0999999999999996</v>
      </c>
      <c r="BK173" s="22">
        <f>+'QTR Raw'!AE74</f>
        <v>5.2</v>
      </c>
      <c r="BL173" s="22">
        <f t="shared" si="1350"/>
        <v>5.2</v>
      </c>
      <c r="BM173" s="22">
        <f>+'QTR Raw'!AG74</f>
        <v>34.5</v>
      </c>
      <c r="BN173" s="22">
        <f t="shared" si="1351"/>
        <v>34.5</v>
      </c>
      <c r="BO173" s="22">
        <f>+'QTR Raw'!AI74</f>
        <v>31.4</v>
      </c>
      <c r="BP173" s="22">
        <f t="shared" si="1352"/>
        <v>31.4</v>
      </c>
      <c r="BQ173" s="22">
        <f>+'QTR Raw'!AK74</f>
        <v>25.1</v>
      </c>
      <c r="BR173" s="22">
        <f t="shared" si="1353"/>
        <v>25.1</v>
      </c>
      <c r="BS173" s="22">
        <f>+'QTR Raw'!AM74</f>
        <v>21.3</v>
      </c>
      <c r="BT173" s="22">
        <f t="shared" si="1354"/>
        <v>21.3</v>
      </c>
      <c r="BU173" s="22">
        <f>+'QTR Raw'!AO74</f>
        <v>39.200000000000003</v>
      </c>
      <c r="BV173" s="22">
        <f t="shared" si="1355"/>
        <v>39.200000000000003</v>
      </c>
      <c r="BW173" s="22">
        <f>+'QTR Raw'!AQ74</f>
        <v>15.9</v>
      </c>
      <c r="BX173" s="22">
        <f t="shared" si="1356"/>
        <v>15.9</v>
      </c>
      <c r="BY173" s="22">
        <f>+'QTR Raw'!AS74</f>
        <v>25.1</v>
      </c>
      <c r="BZ173" s="22">
        <f t="shared" si="1357"/>
        <v>25.1</v>
      </c>
      <c r="CA173" s="22">
        <f>+'QTR Raw'!AU74</f>
        <v>43.4</v>
      </c>
      <c r="CB173" s="22">
        <f t="shared" si="1358"/>
        <v>43.4</v>
      </c>
      <c r="CC173" s="22">
        <f>+'QTR Raw'!AW74</f>
        <v>31</v>
      </c>
      <c r="CD173" s="22">
        <f t="shared" si="1359"/>
        <v>31</v>
      </c>
      <c r="CE173" s="22">
        <f>+'QTR Raw'!AY74</f>
        <v>37.1</v>
      </c>
      <c r="CF173" s="22">
        <f t="shared" si="1360"/>
        <v>37.1</v>
      </c>
      <c r="CG173" s="22">
        <f t="shared" si="1281"/>
        <v>52.808</v>
      </c>
      <c r="CH173" s="22">
        <f t="shared" si="1360"/>
        <v>52.808</v>
      </c>
      <c r="CI173" s="22">
        <f>+'QTR Raw'!BC74</f>
        <v>61.1</v>
      </c>
      <c r="CJ173" s="22">
        <f t="shared" si="1360"/>
        <v>61.1</v>
      </c>
      <c r="CK173" s="22">
        <f>+'QTR Raw'!BE74</f>
        <v>88.9</v>
      </c>
      <c r="CL173" s="22">
        <f t="shared" si="1360"/>
        <v>88.9</v>
      </c>
      <c r="CM173" s="23">
        <f t="shared" si="1361"/>
        <v>88.9</v>
      </c>
      <c r="CN173" s="23">
        <f t="shared" si="1362"/>
        <v>88.9</v>
      </c>
      <c r="CO173" s="23">
        <f t="shared" si="1363"/>
        <v>88.9</v>
      </c>
      <c r="CP173" s="23">
        <f t="shared" si="1364"/>
        <v>88.9</v>
      </c>
      <c r="CQ173" s="23">
        <f t="shared" si="1365"/>
        <v>88.9</v>
      </c>
      <c r="CR173" s="23">
        <f t="shared" si="1366"/>
        <v>88.9</v>
      </c>
      <c r="CS173" s="23">
        <f t="shared" si="1367"/>
        <v>88.9</v>
      </c>
      <c r="CT173" s="23">
        <f t="shared" si="1368"/>
        <v>88.9</v>
      </c>
      <c r="CU173" s="23">
        <f t="shared" si="1369"/>
        <v>88.9</v>
      </c>
      <c r="CV173" s="23">
        <f t="shared" si="1370"/>
        <v>88.9</v>
      </c>
      <c r="CW173" s="23">
        <f t="shared" si="1371"/>
        <v>88.9</v>
      </c>
      <c r="CX173" s="23">
        <f t="shared" si="1372"/>
        <v>88.9</v>
      </c>
      <c r="CY173" s="23">
        <f t="shared" si="1373"/>
        <v>88.9</v>
      </c>
      <c r="CZ173" s="23">
        <f t="shared" si="1374"/>
        <v>88.9</v>
      </c>
      <c r="DA173" s="23">
        <f t="shared" si="1375"/>
        <v>88.9</v>
      </c>
      <c r="DD173" s="122"/>
      <c r="DE173" s="22">
        <v>88.9</v>
      </c>
    </row>
    <row r="174" spans="1:109" s="21" customFormat="1" x14ac:dyDescent="0.2">
      <c r="A174" s="21" t="s">
        <v>57</v>
      </c>
      <c r="B174" s="21">
        <f>B170+B173+B172</f>
        <v>52.2395</v>
      </c>
      <c r="C174" s="21">
        <f t="shared" ref="C174:D174" si="1376">C170+C173+C172</f>
        <v>54.985399999999998</v>
      </c>
      <c r="D174" s="21">
        <f t="shared" si="1376"/>
        <v>53.664200000000008</v>
      </c>
      <c r="E174" s="21">
        <f t="shared" ref="E174:Y174" si="1377">E170+E173+E172+E171</f>
        <v>49.105200000000011</v>
      </c>
      <c r="F174" s="21">
        <f t="shared" si="1377"/>
        <v>50.126800000000017</v>
      </c>
      <c r="G174" s="21">
        <f t="shared" si="1377"/>
        <v>48.252899999999997</v>
      </c>
      <c r="H174" s="21">
        <f t="shared" si="1377"/>
        <v>68.592399999999998</v>
      </c>
      <c r="I174" s="21">
        <f t="shared" si="1377"/>
        <v>89.820299999999989</v>
      </c>
      <c r="J174" s="21">
        <f t="shared" si="1377"/>
        <v>139.66919999999999</v>
      </c>
      <c r="K174" s="21">
        <f t="shared" si="1377"/>
        <v>157.9179</v>
      </c>
      <c r="L174" s="21">
        <f t="shared" si="1377"/>
        <v>160.02449999999999</v>
      </c>
      <c r="M174" s="21">
        <f t="shared" si="1377"/>
        <v>159.71899999999999</v>
      </c>
      <c r="N174" s="21">
        <f t="shared" si="1377"/>
        <v>185.17000000000002</v>
      </c>
      <c r="O174" s="21">
        <f t="shared" si="1377"/>
        <v>189.489</v>
      </c>
      <c r="P174" s="21">
        <f t="shared" si="1377"/>
        <v>200.76900000000001</v>
      </c>
      <c r="Q174" s="21">
        <f t="shared" si="1377"/>
        <v>208.274</v>
      </c>
      <c r="R174" s="21">
        <f t="shared" si="1377"/>
        <v>235.12599999999998</v>
      </c>
      <c r="S174" s="21">
        <f t="shared" si="1377"/>
        <v>312.29100000000005</v>
      </c>
      <c r="T174" s="21">
        <f t="shared" si="1377"/>
        <v>325.19799999999998</v>
      </c>
      <c r="U174" s="21">
        <f t="shared" si="1377"/>
        <v>341.77500000000003</v>
      </c>
      <c r="V174" s="21">
        <f t="shared" si="1377"/>
        <v>343.51600000000002</v>
      </c>
      <c r="W174" s="21">
        <f t="shared" si="1377"/>
        <v>349.81299999999999</v>
      </c>
      <c r="X174" s="21">
        <f t="shared" si="1377"/>
        <v>375.22</v>
      </c>
      <c r="Y174" s="21">
        <f t="shared" si="1377"/>
        <v>451.38900000000001</v>
      </c>
      <c r="Z174" s="21">
        <f>Z170+Z173+Z172+Z171</f>
        <v>493.12000000000006</v>
      </c>
      <c r="AA174" s="21">
        <f>AA170+AA173+AA172+AA171</f>
        <v>553.471</v>
      </c>
      <c r="AB174" s="160">
        <f t="shared" ref="AB174:AE174" si="1378">AB170+AB173+AB172+AB171</f>
        <v>549.50000000000011</v>
      </c>
      <c r="AC174" s="160">
        <f t="shared" si="1378"/>
        <v>589.5</v>
      </c>
      <c r="AD174" s="160">
        <f t="shared" si="1378"/>
        <v>629.5</v>
      </c>
      <c r="AE174" s="160">
        <f t="shared" si="1378"/>
        <v>669.49999999999989</v>
      </c>
      <c r="AI174" s="21">
        <f t="shared" ref="AI174:AL174" si="1379">AI170+AI173+AI171+AI172</f>
        <v>167.15</v>
      </c>
      <c r="AJ174" s="21">
        <f t="shared" si="1379"/>
        <v>167.15</v>
      </c>
      <c r="AK174" s="21">
        <f t="shared" si="1379"/>
        <v>0</v>
      </c>
      <c r="AL174" s="21">
        <f t="shared" si="1379"/>
        <v>0</v>
      </c>
      <c r="AM174" s="21">
        <f t="shared" ref="AM174:AP174" si="1380">AM170+AM173+AM171+AM172</f>
        <v>190.9</v>
      </c>
      <c r="AN174" s="21">
        <f t="shared" si="1380"/>
        <v>190.9</v>
      </c>
      <c r="AO174" s="21">
        <f t="shared" si="1380"/>
        <v>189.49</v>
      </c>
      <c r="AP174" s="21">
        <f t="shared" si="1380"/>
        <v>189.49</v>
      </c>
      <c r="AQ174" s="21">
        <f t="shared" ref="AQ174:AT174" si="1381">AQ170+AQ173+AQ171+AQ172</f>
        <v>186.64</v>
      </c>
      <c r="AR174" s="21">
        <f t="shared" si="1381"/>
        <v>186.64</v>
      </c>
      <c r="AS174" s="21">
        <f t="shared" si="1381"/>
        <v>200.77</v>
      </c>
      <c r="AT174" s="21">
        <f t="shared" si="1381"/>
        <v>200.77</v>
      </c>
      <c r="AU174" s="21">
        <f t="shared" ref="AU174:AX174" si="1382">AU170+AU173+AU171+AU172</f>
        <v>200.53</v>
      </c>
      <c r="AV174" s="21">
        <f t="shared" si="1382"/>
        <v>200.53</v>
      </c>
      <c r="AW174" s="21">
        <f t="shared" si="1382"/>
        <v>208.27</v>
      </c>
      <c r="AX174" s="21">
        <f t="shared" si="1382"/>
        <v>208.27</v>
      </c>
      <c r="AY174" s="21">
        <f t="shared" ref="AY174:BB174" si="1383">AY170+AY173+AY171+AY172</f>
        <v>236.68</v>
      </c>
      <c r="AZ174" s="21">
        <f t="shared" si="1383"/>
        <v>236.68</v>
      </c>
      <c r="BA174" s="21">
        <f t="shared" si="1383"/>
        <v>235.12</v>
      </c>
      <c r="BB174" s="21">
        <f t="shared" si="1383"/>
        <v>235.12</v>
      </c>
      <c r="BC174" s="21">
        <f t="shared" ref="BC174:BF174" si="1384">BC170+BC173+BC171+BC172</f>
        <v>311.92</v>
      </c>
      <c r="BD174" s="21">
        <f t="shared" si="1384"/>
        <v>311.92</v>
      </c>
      <c r="BE174" s="21">
        <f t="shared" si="1384"/>
        <v>312.3</v>
      </c>
      <c r="BF174" s="21">
        <f t="shared" si="1384"/>
        <v>312.3</v>
      </c>
      <c r="BG174" s="21">
        <f t="shared" ref="BG174:BJ174" si="1385">BG170+BG173+BG171+BG172</f>
        <v>302.2</v>
      </c>
      <c r="BH174" s="21">
        <f t="shared" si="1385"/>
        <v>302.2</v>
      </c>
      <c r="BI174" s="21">
        <f t="shared" si="1385"/>
        <v>325.20000000000005</v>
      </c>
      <c r="BJ174" s="21">
        <f t="shared" si="1385"/>
        <v>325.20000000000005</v>
      </c>
      <c r="BK174" s="21">
        <f t="shared" ref="BK174:BN174" si="1386">BK170+BK173+BK171+BK172</f>
        <v>323.3</v>
      </c>
      <c r="BL174" s="21">
        <f t="shared" si="1386"/>
        <v>323.3</v>
      </c>
      <c r="BM174" s="21">
        <f t="shared" si="1386"/>
        <v>341.8</v>
      </c>
      <c r="BN174" s="21">
        <f t="shared" si="1386"/>
        <v>341.8</v>
      </c>
      <c r="BO174" s="21">
        <f t="shared" ref="BO174:BR174" si="1387">BO170+BO173+BO171+BO172</f>
        <v>328.7</v>
      </c>
      <c r="BP174" s="21">
        <f t="shared" si="1387"/>
        <v>328.7</v>
      </c>
      <c r="BQ174" s="21">
        <f t="shared" si="1387"/>
        <v>317.3</v>
      </c>
      <c r="BR174" s="21">
        <f t="shared" si="1387"/>
        <v>317.3</v>
      </c>
      <c r="BS174" s="21">
        <f t="shared" ref="BS174:BV174" si="1388">BS170+BS173+BS171+BS172</f>
        <v>303.7</v>
      </c>
      <c r="BT174" s="21">
        <f t="shared" si="1388"/>
        <v>303.7</v>
      </c>
      <c r="BU174" s="21">
        <f t="shared" si="1388"/>
        <v>322.5</v>
      </c>
      <c r="BV174" s="21">
        <f t="shared" si="1388"/>
        <v>322.5</v>
      </c>
      <c r="BW174" s="21">
        <f t="shared" ref="BW174:BZ174" si="1389">BW170+BW173+BW171+BW172</f>
        <v>318.59999999999997</v>
      </c>
      <c r="BX174" s="21">
        <f t="shared" si="1389"/>
        <v>318.59999999999997</v>
      </c>
      <c r="BY174" s="21">
        <f t="shared" si="1389"/>
        <v>348.3</v>
      </c>
      <c r="BZ174" s="21">
        <f t="shared" si="1389"/>
        <v>348.3</v>
      </c>
      <c r="CA174" s="21">
        <f t="shared" ref="CA174:CD174" si="1390">CA170+CA173+CA171+CA172</f>
        <v>382.4</v>
      </c>
      <c r="CB174" s="21">
        <f t="shared" si="1390"/>
        <v>382.4</v>
      </c>
      <c r="CC174" s="21">
        <f t="shared" si="1390"/>
        <v>424.5</v>
      </c>
      <c r="CD174" s="21">
        <f t="shared" si="1390"/>
        <v>424.5</v>
      </c>
      <c r="CE174" s="21">
        <f>CE167+CE173+CE171+CE172</f>
        <v>434.6</v>
      </c>
      <c r="CF174" s="21">
        <f t="shared" ref="CF174:CH174" si="1391">CF170+CF173+CF171+CF172</f>
        <v>434.6</v>
      </c>
      <c r="CG174" s="21">
        <f t="shared" ref="CG174:CJ174" si="1392">CG170+CG173+CG171+CG172</f>
        <v>493.12000000000006</v>
      </c>
      <c r="CH174" s="21">
        <f t="shared" si="1391"/>
        <v>493.12000000000006</v>
      </c>
      <c r="CI174" s="21">
        <f t="shared" si="1392"/>
        <v>472.3</v>
      </c>
      <c r="CJ174" s="21">
        <f t="shared" si="1392"/>
        <v>472.3</v>
      </c>
      <c r="CK174" s="21">
        <f t="shared" ref="CK174:CL174" si="1393">CK170+CK173+CK171+CK172</f>
        <v>519.5</v>
      </c>
      <c r="CL174" s="21">
        <f t="shared" si="1393"/>
        <v>519.5</v>
      </c>
      <c r="CM174" s="20">
        <f t="shared" ref="CM174:DA174" si="1394">CM170+CM173+CM171+CM172</f>
        <v>529.5</v>
      </c>
      <c r="CN174" s="20">
        <f t="shared" si="1394"/>
        <v>539.5</v>
      </c>
      <c r="CO174" s="20">
        <f t="shared" si="1394"/>
        <v>549.5</v>
      </c>
      <c r="CP174" s="20">
        <f t="shared" si="1394"/>
        <v>559.5</v>
      </c>
      <c r="CQ174" s="20">
        <f t="shared" si="1394"/>
        <v>569.5</v>
      </c>
      <c r="CR174" s="20">
        <f t="shared" si="1394"/>
        <v>579.5</v>
      </c>
      <c r="CS174" s="20">
        <f t="shared" si="1394"/>
        <v>589.5</v>
      </c>
      <c r="CT174" s="20">
        <f t="shared" si="1394"/>
        <v>599.5</v>
      </c>
      <c r="CU174" s="20">
        <f t="shared" si="1394"/>
        <v>609.5</v>
      </c>
      <c r="CV174" s="20">
        <f t="shared" si="1394"/>
        <v>619.5</v>
      </c>
      <c r="CW174" s="20">
        <f t="shared" si="1394"/>
        <v>629.5</v>
      </c>
      <c r="CX174" s="20">
        <f t="shared" si="1394"/>
        <v>639.5</v>
      </c>
      <c r="CY174" s="20">
        <f t="shared" si="1394"/>
        <v>649.5</v>
      </c>
      <c r="CZ174" s="20">
        <f t="shared" si="1394"/>
        <v>659.5</v>
      </c>
      <c r="DA174" s="20">
        <f t="shared" si="1394"/>
        <v>669.5</v>
      </c>
      <c r="DD174" s="125"/>
      <c r="DE174" s="21">
        <v>519.5</v>
      </c>
    </row>
    <row r="175" spans="1:109" s="22" customFormat="1" x14ac:dyDescent="0.2">
      <c r="AB175" s="23"/>
      <c r="AC175" s="23"/>
      <c r="AD175" s="23"/>
      <c r="AE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D175" s="122"/>
    </row>
    <row r="176" spans="1:109" s="22" customFormat="1" x14ac:dyDescent="0.2">
      <c r="A176" s="22" t="s">
        <v>58</v>
      </c>
      <c r="B176" s="22">
        <f>'Annual Raw'!C71</f>
        <v>8.3354999999999997</v>
      </c>
      <c r="C176" s="22">
        <f>'Annual Raw'!D71</f>
        <v>8.6372999999999998</v>
      </c>
      <c r="D176" s="22">
        <f>'Annual Raw'!E71</f>
        <v>9.0798000000000005</v>
      </c>
      <c r="E176" s="22">
        <f>'Annual Raw'!F71</f>
        <v>11.472200000000001</v>
      </c>
      <c r="F176" s="22">
        <f>'Annual Raw'!G71</f>
        <v>7.7687999999999997</v>
      </c>
      <c r="G176" s="22">
        <f>'Annual Raw'!H71</f>
        <v>11.817</v>
      </c>
      <c r="H176" s="22">
        <f>'Annual Raw'!I71</f>
        <v>15.1249</v>
      </c>
      <c r="I176" s="22">
        <f>'Annual Raw'!J71</f>
        <v>18.048999999999999</v>
      </c>
      <c r="J176" s="22">
        <f>'Annual Raw'!K71</f>
        <v>23.430199999999999</v>
      </c>
      <c r="K176" s="22">
        <f>'Annual Raw'!L71</f>
        <v>27.566299999999998</v>
      </c>
      <c r="L176" s="22">
        <f>'Annual Raw'!M71</f>
        <v>33.298200000000001</v>
      </c>
      <c r="M176" s="22">
        <f>'Annual Raw'!N71</f>
        <v>38.375999999999998</v>
      </c>
      <c r="N176" s="22">
        <f>'Annual Raw'!O71</f>
        <v>42.779000000000003</v>
      </c>
      <c r="O176" s="22">
        <f>'Annual Raw'!P71</f>
        <v>48.482999999999997</v>
      </c>
      <c r="P176" s="22">
        <f>'Annual Raw'!Q71</f>
        <v>49.883000000000003</v>
      </c>
      <c r="Q176" s="22">
        <f>'Annual Raw'!R71</f>
        <v>51.366999999999997</v>
      </c>
      <c r="R176" s="22">
        <f>'Annual Raw'!S71</f>
        <v>54.104999999999997</v>
      </c>
      <c r="S176" s="22">
        <f>'Annual Raw'!T71</f>
        <v>57.805</v>
      </c>
      <c r="T176" s="22">
        <f>'Annual Raw'!U71</f>
        <v>59.771999999999998</v>
      </c>
      <c r="U176" s="22">
        <f>'Annual Raw'!V71</f>
        <v>64.414000000000001</v>
      </c>
      <c r="V176" s="22">
        <f>'Annual Raw'!W71</f>
        <v>66.231999999999999</v>
      </c>
      <c r="W176" s="22">
        <f>'Annual Raw'!X71</f>
        <v>69.748000000000005</v>
      </c>
      <c r="X176" s="22">
        <f>'Annual Raw'!Y71</f>
        <v>74.161000000000001</v>
      </c>
      <c r="Y176" s="22">
        <f>'Annual Raw'!Z71</f>
        <v>79.536000000000001</v>
      </c>
      <c r="Z176" s="22">
        <f>'Annual Raw'!AA71</f>
        <v>87.828000000000003</v>
      </c>
      <c r="AA176" s="22">
        <f>'Annual Raw'!AB71</f>
        <v>96.504999999999995</v>
      </c>
      <c r="AB176" s="23">
        <f t="shared" ref="AB176" si="1395">+CO176</f>
        <v>96.5</v>
      </c>
      <c r="AC176" s="23">
        <f t="shared" ref="AC176" si="1396">+CS176</f>
        <v>96.5</v>
      </c>
      <c r="AD176" s="23">
        <f t="shared" ref="AD176" si="1397">+CW176</f>
        <v>96.5</v>
      </c>
      <c r="AE176" s="23">
        <f t="shared" ref="AE176" si="1398">+DA176</f>
        <v>96.5</v>
      </c>
      <c r="AI176" s="22">
        <f>+'QTR Raw'!C77</f>
        <v>6.36</v>
      </c>
      <c r="AJ176" s="22">
        <f t="shared" ref="AJ176" si="1399">+AI176</f>
        <v>6.36</v>
      </c>
      <c r="AK176" s="22">
        <f>+'QTR Raw'!E77</f>
        <v>0</v>
      </c>
      <c r="AL176" s="22">
        <f t="shared" ref="AL176" si="1400">+AK176</f>
        <v>0</v>
      </c>
      <c r="AM176" s="22">
        <f>+'QTR Raw'!G77</f>
        <v>6.31</v>
      </c>
      <c r="AN176" s="22">
        <f t="shared" ref="AN176" si="1401">+AM176</f>
        <v>6.31</v>
      </c>
      <c r="AO176" s="22">
        <f>+'QTR Raw'!I77</f>
        <v>48.48</v>
      </c>
      <c r="AP176" s="22">
        <f t="shared" ref="AP176" si="1402">+AO176</f>
        <v>48.48</v>
      </c>
      <c r="AQ176" s="22">
        <f>+'QTR Raw'!K77</f>
        <v>6.31</v>
      </c>
      <c r="AR176" s="22">
        <f t="shared" ref="AR176" si="1403">+AQ176</f>
        <v>6.31</v>
      </c>
      <c r="AS176" s="22">
        <f>+'QTR Raw'!M77</f>
        <v>49.88</v>
      </c>
      <c r="AT176" s="22">
        <f t="shared" ref="AT176" si="1404">+AS176</f>
        <v>49.88</v>
      </c>
      <c r="AU176" s="22">
        <f>+'QTR Raw'!O77</f>
        <v>6.31</v>
      </c>
      <c r="AV176" s="22">
        <f t="shared" ref="AV176" si="1405">+AU176</f>
        <v>6.31</v>
      </c>
      <c r="AW176" s="22">
        <f>+'QTR Raw'!Q77</f>
        <v>51.37</v>
      </c>
      <c r="AX176" s="22">
        <f t="shared" ref="AX176" si="1406">+AW176</f>
        <v>51.37</v>
      </c>
      <c r="AY176" s="22">
        <f>+'QTR Raw'!S77</f>
        <v>6.31</v>
      </c>
      <c r="AZ176" s="22">
        <f t="shared" ref="AZ176" si="1407">+AY176</f>
        <v>6.31</v>
      </c>
      <c r="BA176" s="22">
        <f>+'QTR Raw'!U77</f>
        <v>54.11</v>
      </c>
      <c r="BB176" s="22">
        <f t="shared" ref="BB176" si="1408">+BA176</f>
        <v>54.11</v>
      </c>
      <c r="BC176" s="22">
        <f>+'QTR Raw'!W77</f>
        <v>6.31</v>
      </c>
      <c r="BD176" s="22">
        <f t="shared" ref="BD176" si="1409">+BC176</f>
        <v>6.31</v>
      </c>
      <c r="BE176" s="22">
        <f>+'QTR Raw'!Y77</f>
        <v>57.8</v>
      </c>
      <c r="BF176" s="22">
        <f t="shared" ref="BF176" si="1410">+BE176</f>
        <v>57.8</v>
      </c>
      <c r="BG176" s="22">
        <f>+'QTR Raw'!AA77</f>
        <v>6.3</v>
      </c>
      <c r="BH176" s="22">
        <f t="shared" ref="BH176" si="1411">+BG176</f>
        <v>6.3</v>
      </c>
      <c r="BI176" s="22">
        <f>+'QTR Raw'!AC77</f>
        <v>59.8</v>
      </c>
      <c r="BJ176" s="22">
        <f t="shared" ref="BJ176" si="1412">+BI176</f>
        <v>59.8</v>
      </c>
      <c r="BK176" s="22">
        <f>+'QTR Raw'!AE77</f>
        <v>59</v>
      </c>
      <c r="BL176" s="22">
        <f t="shared" ref="BL176" si="1413">+BK176</f>
        <v>59</v>
      </c>
      <c r="BM176" s="22">
        <f>+'QTR Raw'!AG77</f>
        <v>64.400000000000006</v>
      </c>
      <c r="BN176" s="22">
        <f t="shared" ref="BN176" si="1414">+BM176</f>
        <v>64.400000000000006</v>
      </c>
      <c r="BO176" s="22">
        <f>+'QTR Raw'!AI77</f>
        <v>65.599999999999994</v>
      </c>
      <c r="BP176" s="22">
        <f t="shared" ref="BP176" si="1415">+BO176</f>
        <v>65.599999999999994</v>
      </c>
      <c r="BQ176" s="22">
        <f>+'QTR Raw'!AK77</f>
        <v>66.2</v>
      </c>
      <c r="BR176" s="22">
        <f t="shared" ref="BR176" si="1416">+BQ176</f>
        <v>66.2</v>
      </c>
      <c r="BS176" s="22">
        <f>+'QTR Raw'!AM77</f>
        <v>66.599999999999994</v>
      </c>
      <c r="BT176" s="22">
        <f t="shared" ref="BT176" si="1417">+BS176</f>
        <v>66.599999999999994</v>
      </c>
      <c r="BU176" s="22">
        <f>+'QTR Raw'!AO77</f>
        <v>69.7</v>
      </c>
      <c r="BV176" s="22">
        <f t="shared" ref="BV176" si="1418">+BU176</f>
        <v>69.7</v>
      </c>
      <c r="BW176" s="22">
        <f>+'QTR Raw'!AQ77</f>
        <v>70.5</v>
      </c>
      <c r="BX176" s="22">
        <f t="shared" ref="BX176" si="1419">+BW176</f>
        <v>70.5</v>
      </c>
      <c r="BY176" s="22">
        <f>+'QTR Raw'!AS77</f>
        <v>74.2</v>
      </c>
      <c r="BZ176" s="22">
        <f t="shared" ref="BZ176" si="1420">+BY176</f>
        <v>74.2</v>
      </c>
      <c r="CA176" s="22">
        <f>+'QTR Raw'!AU77</f>
        <v>74.099999999999994</v>
      </c>
      <c r="CB176" s="22">
        <f t="shared" ref="CB176" si="1421">+CA176</f>
        <v>74.099999999999994</v>
      </c>
      <c r="CC176" s="22">
        <f>+'QTR Raw'!AW77</f>
        <v>79.5</v>
      </c>
      <c r="CD176" s="22">
        <f t="shared" ref="CD176" si="1422">+CC176</f>
        <v>79.5</v>
      </c>
      <c r="CE176" s="22">
        <f>+'QTR Raw'!AY77</f>
        <v>80.8</v>
      </c>
      <c r="CF176" s="22">
        <f t="shared" ref="CF176:CL176" si="1423">+CE176</f>
        <v>80.8</v>
      </c>
      <c r="CG176" s="22">
        <f t="shared" ref="CG176" si="1424">+Z176</f>
        <v>87.828000000000003</v>
      </c>
      <c r="CH176" s="22">
        <f t="shared" si="1423"/>
        <v>87.828000000000003</v>
      </c>
      <c r="CI176" s="22">
        <f>+'QTR Raw'!BC77</f>
        <v>88.3</v>
      </c>
      <c r="CJ176" s="22">
        <f t="shared" si="1423"/>
        <v>88.3</v>
      </c>
      <c r="CK176" s="22">
        <f>+'QTR Raw'!BE77</f>
        <v>96.5</v>
      </c>
      <c r="CL176" s="22">
        <f t="shared" si="1423"/>
        <v>96.5</v>
      </c>
      <c r="CM176" s="23">
        <f t="shared" ref="CM176" si="1425">+CL176</f>
        <v>96.5</v>
      </c>
      <c r="CN176" s="23">
        <f t="shared" ref="CN176" si="1426">+CM176</f>
        <v>96.5</v>
      </c>
      <c r="CO176" s="23">
        <f t="shared" ref="CO176" si="1427">+CN176</f>
        <v>96.5</v>
      </c>
      <c r="CP176" s="23">
        <f t="shared" ref="CP176" si="1428">+CO176</f>
        <v>96.5</v>
      </c>
      <c r="CQ176" s="23">
        <f t="shared" ref="CQ176" si="1429">+CP176</f>
        <v>96.5</v>
      </c>
      <c r="CR176" s="23">
        <f t="shared" ref="CR176" si="1430">+CQ176</f>
        <v>96.5</v>
      </c>
      <c r="CS176" s="23">
        <f t="shared" ref="CS176" si="1431">+CR176</f>
        <v>96.5</v>
      </c>
      <c r="CT176" s="23">
        <f t="shared" ref="CT176" si="1432">+CS176</f>
        <v>96.5</v>
      </c>
      <c r="CU176" s="23">
        <f t="shared" ref="CU176" si="1433">+CT176</f>
        <v>96.5</v>
      </c>
      <c r="CV176" s="23">
        <f t="shared" ref="CV176" si="1434">+CU176</f>
        <v>96.5</v>
      </c>
      <c r="CW176" s="23">
        <f t="shared" ref="CW176" si="1435">+CV176</f>
        <v>96.5</v>
      </c>
      <c r="CX176" s="23">
        <f t="shared" ref="CX176" si="1436">+CW176</f>
        <v>96.5</v>
      </c>
      <c r="CY176" s="23">
        <f t="shared" ref="CY176" si="1437">+CX176</f>
        <v>96.5</v>
      </c>
      <c r="CZ176" s="23">
        <f t="shared" ref="CZ176" si="1438">+CY176</f>
        <v>96.5</v>
      </c>
      <c r="DA176" s="23">
        <f t="shared" ref="DA176" si="1439">+CZ176</f>
        <v>96.5</v>
      </c>
      <c r="DD176" s="122"/>
      <c r="DE176" s="22">
        <v>96.5</v>
      </c>
    </row>
    <row r="177" spans="1:109" s="22" customFormat="1" x14ac:dyDescent="0.2">
      <c r="AB177" s="23"/>
      <c r="AC177" s="23"/>
      <c r="AD177" s="23"/>
      <c r="AE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22" customFormat="1" outlineLevel="1" x14ac:dyDescent="0.2">
      <c r="A178" s="22" t="s">
        <v>59</v>
      </c>
      <c r="B178" s="22">
        <f>'Annual Raw'!C72</f>
        <v>0</v>
      </c>
      <c r="C178" s="22">
        <f>'Annual Raw'!D72</f>
        <v>0</v>
      </c>
      <c r="D178" s="22">
        <f>'Annual Raw'!E72</f>
        <v>0</v>
      </c>
      <c r="E178" s="22">
        <f>'Annual Raw'!F72+'Annual Raw'!F61</f>
        <v>0</v>
      </c>
      <c r="F178" s="22">
        <f>'Annual Raw'!G72+'Annual Raw'!G61</f>
        <v>0</v>
      </c>
      <c r="G178" s="22">
        <f>'Annual Raw'!H72+'Annual Raw'!H61</f>
        <v>0</v>
      </c>
      <c r="H178" s="22">
        <f>'Annual Raw'!I72+'Annual Raw'!I61</f>
        <v>0</v>
      </c>
      <c r="I178" s="22">
        <f>'Annual Raw'!J72+'Annual Raw'!J61</f>
        <v>0</v>
      </c>
      <c r="J178" s="22">
        <f>'Annual Raw'!K72+'Annual Raw'!K61</f>
        <v>0</v>
      </c>
      <c r="K178" s="22">
        <f>'Annual Raw'!L72+'Annual Raw'!L61</f>
        <v>0</v>
      </c>
      <c r="L178" s="22">
        <f>'Annual Raw'!M72+'Annual Raw'!M61</f>
        <v>0</v>
      </c>
      <c r="M178" s="22">
        <f>'Annual Raw'!N72+'Annual Raw'!N61</f>
        <v>46.927999999999997</v>
      </c>
      <c r="N178" s="22">
        <f>'Annual Raw'!O72+'Annual Raw'!O61</f>
        <v>49.52</v>
      </c>
      <c r="O178" s="22">
        <f>'Annual Raw'!P72+'Annual Raw'!P61</f>
        <v>56.43</v>
      </c>
      <c r="P178" s="22">
        <f>'Annual Raw'!Q72+'Annual Raw'!Q61</f>
        <v>54.859000000000002</v>
      </c>
      <c r="Q178" s="22">
        <f>'Annual Raw'!R72+'Annual Raw'!R61</f>
        <v>49.286999999999999</v>
      </c>
      <c r="R178" s="22">
        <f>'Annual Raw'!S72+'Annual Raw'!S61</f>
        <v>70.295000000000002</v>
      </c>
      <c r="S178" s="22">
        <f>'Annual Raw'!T72+'Annual Raw'!T61</f>
        <v>62.959000000000003</v>
      </c>
      <c r="T178" s="22">
        <f>'Annual Raw'!U72+'Annual Raw'!U61</f>
        <v>51.911999999999999</v>
      </c>
      <c r="U178" s="22">
        <f>'Annual Raw'!V72+'Annual Raw'!V61</f>
        <v>40.765999999999998</v>
      </c>
      <c r="V178" s="22">
        <f>'Annual Raw'!W72+'Annual Raw'!W61</f>
        <v>38.210999999999999</v>
      </c>
      <c r="W178" s="22">
        <f>'Annual Raw'!X72+'Annual Raw'!X61</f>
        <v>64.325000000000003</v>
      </c>
      <c r="X178" s="22">
        <f>'Annual Raw'!Y72+'Annual Raw'!Y61</f>
        <v>101.191</v>
      </c>
      <c r="Y178" s="22">
        <f>'Annual Raw'!Z72+'Annual Raw'!Z61</f>
        <v>67.34</v>
      </c>
      <c r="Z178" s="22">
        <f>'Annual Raw'!AA72+'Annual Raw'!AA61</f>
        <v>60.475000000000001</v>
      </c>
      <c r="AA178" s="22">
        <f>'Annual Raw'!AB72+'Annual Raw'!AB61</f>
        <v>54.521999999999998</v>
      </c>
      <c r="AB178" s="23">
        <f t="shared" ref="AB178:AB183" si="1440">+CO178</f>
        <v>0</v>
      </c>
      <c r="AC178" s="23">
        <f t="shared" ref="AC178:AC183" si="1441">+CS178</f>
        <v>0</v>
      </c>
      <c r="AD178" s="23">
        <f t="shared" ref="AD178:AD183" si="1442">+CW178</f>
        <v>0</v>
      </c>
      <c r="AE178" s="23">
        <f t="shared" ref="AE178:AE183" si="1443">+DA178</f>
        <v>0</v>
      </c>
      <c r="AI178" s="22">
        <f>+'QTR Raw'!C78</f>
        <v>52.37</v>
      </c>
      <c r="AJ178" s="22">
        <f t="shared" ref="AJ178:AJ179" si="1444">+AI178</f>
        <v>52.37</v>
      </c>
      <c r="AK178" s="22">
        <f>+'QTR Raw'!E78</f>
        <v>0</v>
      </c>
      <c r="AL178" s="22">
        <f t="shared" ref="AL178:AL179" si="1445">+AK178</f>
        <v>0</v>
      </c>
      <c r="AM178" s="22">
        <f>+'QTR Raw'!G78</f>
        <v>52.64</v>
      </c>
      <c r="AN178" s="22">
        <f t="shared" ref="AN178:AN179" si="1446">+AM178</f>
        <v>52.64</v>
      </c>
      <c r="AO178" s="22">
        <f>+'QTR Raw'!I78</f>
        <v>56.57</v>
      </c>
      <c r="AP178" s="22">
        <f t="shared" ref="AP178:AP179" si="1447">+AO178</f>
        <v>56.57</v>
      </c>
      <c r="AQ178" s="22">
        <f>+'QTR Raw'!K78</f>
        <v>57.59</v>
      </c>
      <c r="AR178" s="22">
        <f t="shared" ref="AR178:AR179" si="1448">+AQ178</f>
        <v>57.59</v>
      </c>
      <c r="AS178" s="22">
        <f>+'QTR Raw'!M78</f>
        <v>54.94</v>
      </c>
      <c r="AT178" s="22">
        <f t="shared" ref="AT178:AT179" si="1449">+AS178</f>
        <v>54.94</v>
      </c>
      <c r="AU178" s="22">
        <f>+'QTR Raw'!O78</f>
        <v>54.42</v>
      </c>
      <c r="AV178" s="22">
        <f t="shared" ref="AV178:AV179" si="1450">+AU178</f>
        <v>54.42</v>
      </c>
      <c r="AW178" s="22">
        <f>+'QTR Raw'!Q78</f>
        <v>49.32</v>
      </c>
      <c r="AX178" s="22">
        <f t="shared" ref="AX178:AX179" si="1451">+AW178</f>
        <v>49.32</v>
      </c>
      <c r="AY178" s="22">
        <f>+'QTR Raw'!S78</f>
        <v>54.25</v>
      </c>
      <c r="AZ178" s="22">
        <f t="shared" ref="AZ178:AZ179" si="1452">+AY178</f>
        <v>54.25</v>
      </c>
      <c r="BA178" s="22">
        <f>+'QTR Raw'!U78</f>
        <v>2.5499999999999998</v>
      </c>
      <c r="BB178" s="22">
        <f t="shared" ref="BB178:BB179" si="1453">+BA178</f>
        <v>2.5499999999999998</v>
      </c>
      <c r="BC178" s="22">
        <f>+'QTR Raw'!W78</f>
        <v>0</v>
      </c>
      <c r="BD178" s="22">
        <f t="shared" ref="BD178:BD179" si="1454">+BC178</f>
        <v>0</v>
      </c>
      <c r="BE178" s="22">
        <f>+'QTR Raw'!Y78</f>
        <v>6.8</v>
      </c>
      <c r="BF178" s="22">
        <f t="shared" ref="BF178:BF179" si="1455">+BE178</f>
        <v>6.8</v>
      </c>
      <c r="BG178" s="22">
        <f>+'QTR Raw'!AA78</f>
        <v>3.9</v>
      </c>
      <c r="BH178" s="22">
        <f t="shared" ref="BH178:BH179" si="1456">+BG178</f>
        <v>3.9</v>
      </c>
      <c r="BI178" s="22">
        <f>+'QTR Raw'!AC78</f>
        <v>6.8</v>
      </c>
      <c r="BJ178" s="22">
        <f t="shared" ref="BJ178:BJ179" si="1457">+BI178</f>
        <v>6.8</v>
      </c>
      <c r="BK178" s="22">
        <f>+'QTR Raw'!AE78</f>
        <v>6.6</v>
      </c>
      <c r="BL178" s="22">
        <f t="shared" ref="BL178:BL179" si="1458">+BK178</f>
        <v>6.6</v>
      </c>
      <c r="BM178" s="22">
        <f>+'QTR Raw'!AG78</f>
        <v>8.1</v>
      </c>
      <c r="BN178" s="22">
        <f t="shared" ref="BN178:BN179" si="1459">+BM178</f>
        <v>8.1</v>
      </c>
      <c r="BO178" s="22">
        <f>+'QTR Raw'!AI78</f>
        <v>7.6</v>
      </c>
      <c r="BP178" s="22">
        <f t="shared" ref="BP178:BP179" si="1460">+BO178</f>
        <v>7.6</v>
      </c>
      <c r="BQ178" s="22">
        <f>+'QTR Raw'!AK78</f>
        <v>8.1</v>
      </c>
      <c r="BR178" s="22">
        <f t="shared" ref="BR178:BR179" si="1461">+BQ178</f>
        <v>8.1</v>
      </c>
      <c r="BS178" s="22">
        <f>+'QTR Raw'!AM78</f>
        <v>7.6</v>
      </c>
      <c r="BT178" s="22">
        <f t="shared" ref="BT178:BT179" si="1462">+BS178</f>
        <v>7.6</v>
      </c>
      <c r="BU178" s="22">
        <f>+'QTR Raw'!AO78</f>
        <v>8.3000000000000007</v>
      </c>
      <c r="BV178" s="22">
        <f t="shared" ref="BV178:BV179" si="1463">+BU178</f>
        <v>8.3000000000000007</v>
      </c>
      <c r="BW178" s="22">
        <f>+'QTR Raw'!AQ78</f>
        <v>8.3000000000000007</v>
      </c>
      <c r="BX178" s="22">
        <f t="shared" ref="BX178:BX179" si="1464">+BW178</f>
        <v>8.3000000000000007</v>
      </c>
      <c r="BY178" s="22">
        <f>+'QTR Raw'!AS78</f>
        <v>9.1</v>
      </c>
      <c r="BZ178" s="22">
        <f t="shared" ref="BZ178:BZ179" si="1465">+BY178</f>
        <v>9.1</v>
      </c>
      <c r="CA178" s="22">
        <f>+'QTR Raw'!AU78</f>
        <v>8.6</v>
      </c>
      <c r="CB178" s="22">
        <f t="shared" ref="CB178:CB179" si="1466">+CA178</f>
        <v>8.6</v>
      </c>
      <c r="CC178" s="22">
        <f>+'QTR Raw'!AW78</f>
        <v>7.4</v>
      </c>
      <c r="CD178" s="22">
        <f t="shared" ref="CD178:CD179" si="1467">+CC178</f>
        <v>7.4</v>
      </c>
      <c r="CE178" s="22">
        <f>+'QTR Raw'!AY78</f>
        <v>8.6999999999999993</v>
      </c>
      <c r="CF178" s="22">
        <f t="shared" ref="CF178:CL183" si="1468">+CE178</f>
        <v>8.6999999999999993</v>
      </c>
      <c r="CG178" s="22">
        <f t="shared" ref="CG178:CG183" si="1469">+Z178</f>
        <v>60.475000000000001</v>
      </c>
      <c r="CH178" s="22">
        <f t="shared" si="1468"/>
        <v>60.475000000000001</v>
      </c>
      <c r="CI178" s="22">
        <f>+'QTR Raw'!BC78</f>
        <v>7.4</v>
      </c>
      <c r="CJ178" s="22">
        <f t="shared" si="1468"/>
        <v>7.4</v>
      </c>
      <c r="CK178" s="22">
        <f>+'QTR Raw'!BE78</f>
        <v>8.3000000000000007</v>
      </c>
      <c r="CL178" s="22">
        <f t="shared" si="1468"/>
        <v>8.3000000000000007</v>
      </c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D178" s="122"/>
      <c r="DE178" s="22">
        <v>8.3000000000000007</v>
      </c>
    </row>
    <row r="179" spans="1:109" s="22" customFormat="1" outlineLevel="1" x14ac:dyDescent="0.2">
      <c r="A179" s="22" t="s">
        <v>60</v>
      </c>
      <c r="B179" s="22">
        <f>'Annual Raw'!C73+'Annual Raw'!C81</f>
        <v>0</v>
      </c>
      <c r="C179" s="22">
        <f>'Annual Raw'!D73+'Annual Raw'!D81</f>
        <v>0</v>
      </c>
      <c r="D179" s="22">
        <f>'Annual Raw'!E73+'Annual Raw'!E81</f>
        <v>0</v>
      </c>
      <c r="E179" s="22">
        <f>'Annual Raw'!F73+'Annual Raw'!F81</f>
        <v>0</v>
      </c>
      <c r="F179" s="22">
        <f>'Annual Raw'!G73+'Annual Raw'!G81</f>
        <v>0</v>
      </c>
      <c r="G179" s="22">
        <f>'Annual Raw'!H73+'Annual Raw'!H81</f>
        <v>0</v>
      </c>
      <c r="H179" s="22">
        <f>'Annual Raw'!I73+'Annual Raw'!I81</f>
        <v>0</v>
      </c>
      <c r="I179" s="22">
        <f>'Annual Raw'!J73+'Annual Raw'!J81</f>
        <v>0</v>
      </c>
      <c r="J179" s="22">
        <f>'Annual Raw'!K73+'Annual Raw'!K81</f>
        <v>0</v>
      </c>
      <c r="K179" s="22">
        <f>'Annual Raw'!L73+'Annual Raw'!L81</f>
        <v>0</v>
      </c>
      <c r="L179" s="22">
        <f>'Annual Raw'!M73+'Annual Raw'!M81</f>
        <v>0</v>
      </c>
      <c r="M179" s="22">
        <f>'Annual Raw'!N73+'Annual Raw'!N81</f>
        <v>2.3E-2</v>
      </c>
      <c r="N179" s="22">
        <f>'Annual Raw'!O73+'Annual Raw'!O81</f>
        <v>3.6999999999999998E-2</v>
      </c>
      <c r="O179" s="22">
        <f>'Annual Raw'!P73+'Annual Raw'!P81</f>
        <v>0.13900000000000001</v>
      </c>
      <c r="P179" s="22">
        <f>'Annual Raw'!Q73+'Annual Raw'!Q81</f>
        <v>7.9000000000000001E-2</v>
      </c>
      <c r="Q179" s="22">
        <f>'Annual Raw'!R73+'Annual Raw'!R81</f>
        <v>3.3000000000000002E-2</v>
      </c>
      <c r="R179" s="22">
        <f>'Annual Raw'!S73+'Annual Raw'!S81</f>
        <v>0.14699999999999999</v>
      </c>
      <c r="S179" s="22">
        <f>'Annual Raw'!T73+'Annual Raw'!T81</f>
        <v>0.14399999999999999</v>
      </c>
      <c r="T179" s="22">
        <f>'Annual Raw'!U73+'Annual Raw'!U81</f>
        <v>0.21199999999999999</v>
      </c>
      <c r="U179" s="22">
        <f>'Annual Raw'!V73+'Annual Raw'!V81</f>
        <v>0.183</v>
      </c>
      <c r="V179" s="22">
        <f>'Annual Raw'!W73+'Annual Raw'!W81</f>
        <v>8.7999999999999995E-2</v>
      </c>
      <c r="W179" s="22">
        <f>'Annual Raw'!X73+'Annual Raw'!X81</f>
        <v>0.154</v>
      </c>
      <c r="X179" s="22">
        <f>'Annual Raw'!Y73+'Annual Raw'!Y81</f>
        <v>0.42799999999999999</v>
      </c>
      <c r="Y179" s="22">
        <f>'Annual Raw'!Z73+'Annual Raw'!Z81</f>
        <v>1.343</v>
      </c>
      <c r="Z179" s="22">
        <f>'Annual Raw'!AA73+'Annual Raw'!AA81</f>
        <v>2.8959999999999999</v>
      </c>
      <c r="AA179" s="22">
        <f>'Annual Raw'!AB73+'Annual Raw'!AB81</f>
        <v>2.306</v>
      </c>
      <c r="AB179" s="23">
        <f t="shared" si="1440"/>
        <v>0</v>
      </c>
      <c r="AC179" s="23">
        <f t="shared" si="1441"/>
        <v>0</v>
      </c>
      <c r="AD179" s="23">
        <f t="shared" si="1442"/>
        <v>0</v>
      </c>
      <c r="AE179" s="23">
        <f t="shared" si="1443"/>
        <v>0</v>
      </c>
      <c r="AI179" s="22">
        <f>+'QTR Raw'!C79</f>
        <v>0</v>
      </c>
      <c r="AJ179" s="22">
        <f t="shared" si="1444"/>
        <v>0</v>
      </c>
      <c r="AK179" s="22">
        <f>+'QTR Raw'!E79</f>
        <v>0</v>
      </c>
      <c r="AL179" s="22">
        <f t="shared" si="1445"/>
        <v>0</v>
      </c>
      <c r="AM179" s="22">
        <f>+'QTR Raw'!G79</f>
        <v>0</v>
      </c>
      <c r="AN179" s="22">
        <f t="shared" si="1446"/>
        <v>0</v>
      </c>
      <c r="AO179" s="22">
        <f>+'QTR Raw'!I79</f>
        <v>0</v>
      </c>
      <c r="AP179" s="22">
        <f t="shared" si="1447"/>
        <v>0</v>
      </c>
      <c r="AQ179" s="22">
        <f>+'QTR Raw'!K79</f>
        <v>0</v>
      </c>
      <c r="AR179" s="22">
        <f t="shared" si="1448"/>
        <v>0</v>
      </c>
      <c r="AS179" s="22">
        <f>+'QTR Raw'!M79</f>
        <v>0</v>
      </c>
      <c r="AT179" s="22">
        <f t="shared" si="1449"/>
        <v>0</v>
      </c>
      <c r="AU179" s="22">
        <f>+'QTR Raw'!O79</f>
        <v>0</v>
      </c>
      <c r="AV179" s="22">
        <f t="shared" si="1450"/>
        <v>0</v>
      </c>
      <c r="AW179" s="22">
        <f>+'QTR Raw'!Q79</f>
        <v>0</v>
      </c>
      <c r="AX179" s="22">
        <f t="shared" si="1451"/>
        <v>0</v>
      </c>
      <c r="AY179" s="22">
        <f>+'QTR Raw'!S79</f>
        <v>0</v>
      </c>
      <c r="AZ179" s="22">
        <f t="shared" si="1452"/>
        <v>0</v>
      </c>
      <c r="BA179" s="22">
        <f>+'QTR Raw'!U79</f>
        <v>67.900000000000006</v>
      </c>
      <c r="BB179" s="22">
        <f t="shared" si="1453"/>
        <v>67.900000000000006</v>
      </c>
      <c r="BC179" s="22">
        <f>+'QTR Raw'!W79</f>
        <v>53.32</v>
      </c>
      <c r="BD179" s="22">
        <f t="shared" si="1454"/>
        <v>53.32</v>
      </c>
      <c r="BE179" s="22">
        <f>+'QTR Raw'!Y79</f>
        <v>56.3</v>
      </c>
      <c r="BF179" s="22">
        <f t="shared" si="1455"/>
        <v>56.3</v>
      </c>
      <c r="BG179" s="22">
        <f>+'QTR Raw'!AA79</f>
        <v>58</v>
      </c>
      <c r="BH179" s="22">
        <f t="shared" si="1456"/>
        <v>58</v>
      </c>
      <c r="BI179" s="22">
        <f>+'QTR Raw'!AC79</f>
        <v>45.4</v>
      </c>
      <c r="BJ179" s="22">
        <f t="shared" si="1457"/>
        <v>45.4</v>
      </c>
      <c r="BK179" s="22">
        <f>+'QTR Raw'!AE79</f>
        <v>60.9</v>
      </c>
      <c r="BL179" s="22">
        <f t="shared" si="1458"/>
        <v>60.9</v>
      </c>
      <c r="BM179" s="22">
        <f>+'QTR Raw'!AG79</f>
        <v>32.9</v>
      </c>
      <c r="BN179" s="22">
        <f t="shared" si="1459"/>
        <v>32.9</v>
      </c>
      <c r="BO179" s="22">
        <f>+'QTR Raw'!AI79</f>
        <v>41.1</v>
      </c>
      <c r="BP179" s="22">
        <f t="shared" si="1460"/>
        <v>41.1</v>
      </c>
      <c r="BQ179" s="22">
        <f>+'QTR Raw'!AK79</f>
        <v>56.4</v>
      </c>
      <c r="BR179" s="22">
        <f t="shared" si="1461"/>
        <v>56.4</v>
      </c>
      <c r="BS179" s="22">
        <f>+'QTR Raw'!AM79</f>
        <v>59.3</v>
      </c>
      <c r="BT179" s="22">
        <f t="shared" si="1462"/>
        <v>59.3</v>
      </c>
      <c r="BU179" s="22">
        <f>+'QTR Raw'!AO79</f>
        <v>83.5</v>
      </c>
      <c r="BV179" s="22">
        <f t="shared" si="1463"/>
        <v>83.5</v>
      </c>
      <c r="BW179" s="22">
        <f>+'QTR Raw'!AQ79</f>
        <v>84.5</v>
      </c>
      <c r="BX179" s="22">
        <f t="shared" si="1464"/>
        <v>84.5</v>
      </c>
      <c r="BY179" s="22">
        <f>+'QTR Raw'!AS79</f>
        <v>119.4</v>
      </c>
      <c r="BZ179" s="22">
        <f t="shared" si="1465"/>
        <v>119.4</v>
      </c>
      <c r="CA179" s="22">
        <f>+'QTR Raw'!AU79</f>
        <v>84.3</v>
      </c>
      <c r="CB179" s="22">
        <f t="shared" si="1466"/>
        <v>84.3</v>
      </c>
      <c r="CC179" s="22">
        <f>+'QTR Raw'!AW79</f>
        <v>88.2</v>
      </c>
      <c r="CD179" s="22">
        <f t="shared" si="1467"/>
        <v>88.2</v>
      </c>
      <c r="CE179" s="22">
        <f>+'QTR Raw'!AY79</f>
        <v>93.9</v>
      </c>
      <c r="CF179" s="22">
        <f t="shared" si="1468"/>
        <v>93.9</v>
      </c>
      <c r="CG179" s="22">
        <f t="shared" si="1469"/>
        <v>2.8959999999999999</v>
      </c>
      <c r="CH179" s="22">
        <f t="shared" si="1468"/>
        <v>2.8959999999999999</v>
      </c>
      <c r="CI179" s="22">
        <f>+'QTR Raw'!BC79</f>
        <v>89.8</v>
      </c>
      <c r="CJ179" s="22">
        <f t="shared" si="1468"/>
        <v>89.8</v>
      </c>
      <c r="CK179" s="22">
        <f>+'QTR Raw'!BE79</f>
        <v>82.5</v>
      </c>
      <c r="CL179" s="22">
        <f t="shared" si="1468"/>
        <v>82.5</v>
      </c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D179" s="122"/>
      <c r="DE179" s="22">
        <v>82.5</v>
      </c>
    </row>
    <row r="180" spans="1:109" s="22" customFormat="1" outlineLevel="1" x14ac:dyDescent="0.2">
      <c r="A180" s="22" t="s">
        <v>61</v>
      </c>
      <c r="B180" s="22">
        <f>'Annual Raw'!C76</f>
        <v>58.462299999999999</v>
      </c>
      <c r="C180" s="22">
        <f>'Annual Raw'!D76</f>
        <v>61.619500000000002</v>
      </c>
      <c r="D180" s="22">
        <f>'Annual Raw'!E76</f>
        <v>54.449599999999997</v>
      </c>
      <c r="E180" s="22">
        <f>'Annual Raw'!F76</f>
        <v>62.2044</v>
      </c>
      <c r="F180" s="22">
        <f>'Annual Raw'!G76</f>
        <v>73.048000000000002</v>
      </c>
      <c r="G180" s="22">
        <f>'Annual Raw'!H76</f>
        <v>87.170699999999997</v>
      </c>
      <c r="H180" s="22">
        <f>'Annual Raw'!I76</f>
        <v>96.172200000000004</v>
      </c>
      <c r="I180" s="22">
        <f>'Annual Raw'!J76</f>
        <v>122.59099999999999</v>
      </c>
      <c r="J180" s="22">
        <f>'Annual Raw'!K76</f>
        <v>133.21879999999999</v>
      </c>
      <c r="K180" s="22">
        <f>'Annual Raw'!L76</f>
        <v>116.3447</v>
      </c>
      <c r="L180" s="22">
        <f>'Annual Raw'!M76</f>
        <v>158.50049999999999</v>
      </c>
      <c r="M180" s="22">
        <f>'Annual Raw'!N76</f>
        <v>198.01900000000001</v>
      </c>
      <c r="N180" s="22">
        <f>'Annual Raw'!O76</f>
        <v>193.535</v>
      </c>
      <c r="O180" s="22">
        <f>'Annual Raw'!P76</f>
        <v>183.30199999999999</v>
      </c>
      <c r="P180" s="22">
        <f>'Annual Raw'!Q76</f>
        <v>201.77199999999999</v>
      </c>
      <c r="Q180" s="22">
        <f>'Annual Raw'!R76</f>
        <v>182.64099999999999</v>
      </c>
      <c r="R180" s="22">
        <f>'Annual Raw'!S76</f>
        <v>211.863</v>
      </c>
      <c r="S180" s="22">
        <f>'Annual Raw'!T76</f>
        <v>247.637</v>
      </c>
      <c r="T180" s="22">
        <f>'Annual Raw'!U76</f>
        <v>303.02300000000002</v>
      </c>
      <c r="U180" s="22">
        <f>'Annual Raw'!V76</f>
        <v>324.84300000000002</v>
      </c>
      <c r="V180" s="22">
        <f>'Annual Raw'!W76</f>
        <v>360.875</v>
      </c>
      <c r="W180" s="22">
        <f>'Annual Raw'!X76</f>
        <v>423.084</v>
      </c>
      <c r="X180" s="22">
        <f>'Annual Raw'!Y76</f>
        <v>561.08900000000006</v>
      </c>
      <c r="Y180" s="22">
        <f>'Annual Raw'!Z76</f>
        <v>642.63400000000001</v>
      </c>
      <c r="Z180" s="22">
        <f>'Annual Raw'!AA76</f>
        <v>642.82299999999998</v>
      </c>
      <c r="AA180" s="22">
        <f>'Annual Raw'!AB76</f>
        <v>786.05600000000004</v>
      </c>
      <c r="AB180" s="23">
        <f t="shared" si="1440"/>
        <v>856.96687216388011</v>
      </c>
      <c r="AC180" s="23">
        <f t="shared" si="1441"/>
        <v>940.52642292979715</v>
      </c>
      <c r="AD180" s="23">
        <f t="shared" si="1442"/>
        <v>1033.9892064080191</v>
      </c>
      <c r="AE180" s="23">
        <f t="shared" si="1443"/>
        <v>1137.2253234892867</v>
      </c>
      <c r="AI180" s="22">
        <f>+'QTR Raw'!C81</f>
        <v>193.91</v>
      </c>
      <c r="AJ180" s="22">
        <f>+AJ215*AJ46/90</f>
        <v>175.65526416906823</v>
      </c>
      <c r="AK180" s="22">
        <f>+'QTR Raw'!E81</f>
        <v>0</v>
      </c>
      <c r="AL180" s="22">
        <f>+AL215*AL46/90</f>
        <v>0</v>
      </c>
      <c r="AM180" s="22">
        <f>+'QTR Raw'!G81</f>
        <v>198.61</v>
      </c>
      <c r="AN180" s="22">
        <f>+AN215*AN46/90</f>
        <v>193.54352218010456</v>
      </c>
      <c r="AO180" s="22">
        <f>+'QTR Raw'!I81</f>
        <v>183.3</v>
      </c>
      <c r="AP180" s="22">
        <f>+AP215*AP46/90</f>
        <v>174.52205502773356</v>
      </c>
      <c r="AQ180" s="22">
        <f>+'QTR Raw'!K81</f>
        <v>214.12</v>
      </c>
      <c r="AR180" s="22">
        <f>+AR215*AR46/90</f>
        <v>213.62591823426135</v>
      </c>
      <c r="AS180" s="22">
        <f>+'QTR Raw'!M81</f>
        <v>201.77</v>
      </c>
      <c r="AT180" s="22">
        <f>+AT215*AT46/90</f>
        <v>165.97421834934156</v>
      </c>
      <c r="AU180" s="22">
        <f>+'QTR Raw'!O81</f>
        <v>194.66</v>
      </c>
      <c r="AV180" s="22">
        <f>+AV215*AV46/90</f>
        <v>180.72027784718406</v>
      </c>
      <c r="AW180" s="22">
        <f>+'QTR Raw'!Q81</f>
        <v>182.64</v>
      </c>
      <c r="AX180" s="22">
        <f>+AX215*AX46/90</f>
        <v>157.49092550790067</v>
      </c>
      <c r="AY180" s="22">
        <f>+'QTR Raw'!S81</f>
        <v>187.19</v>
      </c>
      <c r="AZ180" s="22">
        <f>+AZ215*AZ46/90</f>
        <v>139.04086970563807</v>
      </c>
      <c r="BA180" s="22">
        <f>+'QTR Raw'!U81</f>
        <v>211.86</v>
      </c>
      <c r="BB180" s="22">
        <f>+BB215*BB46/90</f>
        <v>162.60385621403486</v>
      </c>
      <c r="BC180" s="22">
        <f>+'QTR Raw'!W81</f>
        <v>284.52</v>
      </c>
      <c r="BD180" s="22">
        <f>+BD215*BD46/90</f>
        <v>255.69816225907667</v>
      </c>
      <c r="BE180" s="22">
        <f>+'QTR Raw'!Y81</f>
        <v>247.6</v>
      </c>
      <c r="BF180" s="22">
        <f>+BF215*BF46/90</f>
        <v>160.31383302864108</v>
      </c>
      <c r="BG180" s="22">
        <f>+'QTR Raw'!AA81</f>
        <v>312.60000000000002</v>
      </c>
      <c r="BH180" s="22">
        <f>+BH215*BH46/90</f>
        <v>345.6350157728707</v>
      </c>
      <c r="BI180" s="22">
        <f>+'QTR Raw'!AC81</f>
        <v>303</v>
      </c>
      <c r="BJ180" s="22">
        <f>+BJ215*BJ46/90</f>
        <v>252.90796306982116</v>
      </c>
      <c r="BK180" s="22">
        <f>+'QTR Raw'!AE81</f>
        <v>339.3</v>
      </c>
      <c r="BL180" s="22">
        <f>+BL215*BL46/90</f>
        <v>411.25228628230616</v>
      </c>
      <c r="BM180" s="22">
        <f>+'QTR Raw'!AG81</f>
        <v>324.8</v>
      </c>
      <c r="BN180" s="22">
        <f>+BN215*BN46/90</f>
        <v>247.6961424332344</v>
      </c>
      <c r="BO180" s="22">
        <f>+'QTR Raw'!AI81</f>
        <v>345.4</v>
      </c>
      <c r="BP180" s="22">
        <f>+BP215*BP46/90</f>
        <v>571.66934673366836</v>
      </c>
      <c r="BQ180" s="22">
        <f>+'QTR Raw'!AK81</f>
        <v>360.9</v>
      </c>
      <c r="BR180" s="22">
        <f>+BR215*BR46/90</f>
        <v>372.31532846715339</v>
      </c>
      <c r="BS180" s="22">
        <f>+'QTR Raw'!AM81</f>
        <v>394.9</v>
      </c>
      <c r="BT180" s="22">
        <f>+BT215*BT46/90</f>
        <v>479.7448514851485</v>
      </c>
      <c r="BU180" s="22">
        <f>+'QTR Raw'!AO81</f>
        <v>423.1</v>
      </c>
      <c r="BV180" s="22">
        <f>+BV215*BV46/90</f>
        <v>397.50083220872699</v>
      </c>
      <c r="BW180" s="22">
        <f>+'QTR Raw'!AQ81</f>
        <v>479.2</v>
      </c>
      <c r="BX180" s="22">
        <f>+BX215*BX46/90</f>
        <v>460.92542372881354</v>
      </c>
      <c r="BY180" s="22">
        <f>+'QTR Raw'!AS81</f>
        <v>561.1</v>
      </c>
      <c r="BZ180" s="22">
        <f>+BZ215*BZ46/90</f>
        <v>523.66481128478836</v>
      </c>
      <c r="CA180" s="22">
        <f>+'QTR Raw'!AU81</f>
        <v>671.2</v>
      </c>
      <c r="CB180" s="22">
        <f>+CB215*CB46/90</f>
        <v>639.87052257737196</v>
      </c>
      <c r="CC180" s="22">
        <f>+'QTR Raw'!AW81</f>
        <v>642.6</v>
      </c>
      <c r="CD180" s="22">
        <f>+CD215*CD46/90</f>
        <v>580.32346498506467</v>
      </c>
      <c r="CE180" s="22">
        <f>+'QTR Raw'!AY81</f>
        <v>658.3</v>
      </c>
      <c r="CF180" s="22">
        <f>+CF215*CF46/90</f>
        <v>628.23831269349841</v>
      </c>
      <c r="CG180" s="22">
        <f t="shared" si="1469"/>
        <v>642.82299999999998</v>
      </c>
      <c r="CH180" s="22">
        <f>+CH215*CH46/90</f>
        <v>526.89539399779721</v>
      </c>
      <c r="CI180" s="22">
        <f>+'QTR Raw'!BC81</f>
        <v>741.2</v>
      </c>
      <c r="CJ180" s="22">
        <f>+CJ215*CJ46/90</f>
        <v>722.189170541473</v>
      </c>
      <c r="CK180" s="22">
        <f>+'QTR Raw'!BE81</f>
        <v>786.1</v>
      </c>
      <c r="CL180" s="22">
        <f>+CL215*CL46/90</f>
        <v>602.91062499999998</v>
      </c>
      <c r="CM180" s="23">
        <f t="shared" ref="CM180:DA180" si="1470">+CM215*CM46/90</f>
        <v>769.71151846815212</v>
      </c>
      <c r="CN180" s="23">
        <f t="shared" si="1470"/>
        <v>834.49043978767008</v>
      </c>
      <c r="CO180" s="23">
        <f t="shared" si="1470"/>
        <v>856.96687216388011</v>
      </c>
      <c r="CP180" s="23">
        <f t="shared" si="1470"/>
        <v>766.15931268202326</v>
      </c>
      <c r="CQ180" s="23">
        <f t="shared" si="1470"/>
        <v>842.98776512112943</v>
      </c>
      <c r="CR180" s="23">
        <f t="shared" si="1470"/>
        <v>915.25004522269364</v>
      </c>
      <c r="CS180" s="23">
        <f t="shared" si="1470"/>
        <v>940.52642292979715</v>
      </c>
      <c r="CT180" s="23">
        <f t="shared" si="1470"/>
        <v>841.46623957797487</v>
      </c>
      <c r="CU180" s="23">
        <f t="shared" si="1470"/>
        <v>926.26673197261016</v>
      </c>
      <c r="CV180" s="23">
        <f t="shared" si="1470"/>
        <v>1006.0327531866753</v>
      </c>
      <c r="CW180" s="23">
        <f t="shared" si="1470"/>
        <v>1033.9892064080191</v>
      </c>
      <c r="CX180" s="23">
        <f t="shared" si="1470"/>
        <v>925.25157272190881</v>
      </c>
      <c r="CY180" s="23">
        <f t="shared" si="1470"/>
        <v>1018.6119333351804</v>
      </c>
      <c r="CZ180" s="23">
        <f t="shared" si="1470"/>
        <v>1106.4311514756266</v>
      </c>
      <c r="DA180" s="23">
        <f t="shared" si="1470"/>
        <v>1137.2253234892867</v>
      </c>
      <c r="DD180" s="122"/>
      <c r="DE180" s="22">
        <v>786.1</v>
      </c>
    </row>
    <row r="181" spans="1:109" s="22" customFormat="1" outlineLevel="1" x14ac:dyDescent="0.2">
      <c r="A181" s="22" t="s">
        <v>62</v>
      </c>
      <c r="B181" s="22">
        <f>'Annual Raw'!C77</f>
        <v>41.8416</v>
      </c>
      <c r="C181" s="22">
        <f>'Annual Raw'!D77</f>
        <v>50.389699999999998</v>
      </c>
      <c r="D181" s="22">
        <f>'Annual Raw'!E77</f>
        <v>51.750700000000002</v>
      </c>
      <c r="E181" s="22">
        <f>'Annual Raw'!F77</f>
        <v>46.501899999999999</v>
      </c>
      <c r="F181" s="22">
        <f>'Annual Raw'!G77</f>
        <v>62.719700000000003</v>
      </c>
      <c r="G181" s="22">
        <f>'Annual Raw'!H77</f>
        <v>68.806299999999993</v>
      </c>
      <c r="H181" s="22">
        <f>'Annual Raw'!I77</f>
        <v>83.111599999999996</v>
      </c>
      <c r="I181" s="22">
        <f>'Annual Raw'!J77</f>
        <v>105.9616</v>
      </c>
      <c r="J181" s="22">
        <f>'Annual Raw'!K77</f>
        <v>137.87530000000001</v>
      </c>
      <c r="K181" s="22">
        <f>'Annual Raw'!L77</f>
        <v>104.76600000000001</v>
      </c>
      <c r="L181" s="22">
        <f>'Annual Raw'!M77</f>
        <v>113.8409</v>
      </c>
      <c r="M181" s="22">
        <f>'Annual Raw'!N77</f>
        <v>183.50399999999999</v>
      </c>
      <c r="N181" s="22">
        <f>'Annual Raw'!O77</f>
        <v>146.08600000000001</v>
      </c>
      <c r="O181" s="22">
        <f>'Annual Raw'!P77</f>
        <v>126.729</v>
      </c>
      <c r="P181" s="22">
        <f>'Annual Raw'!Q77</f>
        <v>179.036</v>
      </c>
      <c r="Q181" s="22">
        <f>'Annual Raw'!R77</f>
        <v>178.37299999999999</v>
      </c>
      <c r="R181" s="22">
        <f>'Annual Raw'!S77</f>
        <v>162.541</v>
      </c>
      <c r="S181" s="22">
        <f>'Annual Raw'!T77</f>
        <v>254.98</v>
      </c>
      <c r="T181" s="22">
        <f>'Annual Raw'!U77</f>
        <v>290.71499999999997</v>
      </c>
      <c r="U181" s="22">
        <f>'Annual Raw'!V77</f>
        <v>296.17899999999997</v>
      </c>
      <c r="V181" s="22">
        <f>'Annual Raw'!W77</f>
        <v>266.75900000000001</v>
      </c>
      <c r="W181" s="22">
        <f>'Annual Raw'!X77</f>
        <v>277.983</v>
      </c>
      <c r="X181" s="22">
        <f>'Annual Raw'!Y77</f>
        <v>403.65300000000002</v>
      </c>
      <c r="Y181" s="22">
        <f>'Annual Raw'!Z77</f>
        <v>491.71899999999999</v>
      </c>
      <c r="Z181" s="22">
        <f>'Annual Raw'!AA77</f>
        <v>650.27300000000002</v>
      </c>
      <c r="AA181" s="22">
        <f>'Annual Raw'!AB77</f>
        <v>869.18799999999999</v>
      </c>
      <c r="AB181" s="23">
        <f t="shared" si="1440"/>
        <v>947.55833263559907</v>
      </c>
      <c r="AC181" s="23">
        <f t="shared" si="1441"/>
        <v>1039.9511090326669</v>
      </c>
      <c r="AD181" s="23">
        <f t="shared" si="1442"/>
        <v>1143.2940061186237</v>
      </c>
      <c r="AE181" s="23">
        <f t="shared" si="1443"/>
        <v>1257.4433929231495</v>
      </c>
      <c r="AI181" s="22">
        <f>+'QTR Raw'!C82</f>
        <v>160.24</v>
      </c>
      <c r="AJ181" s="22">
        <f>+AJ216*AJ46/90</f>
        <v>145.15496637848224</v>
      </c>
      <c r="AK181" s="22">
        <f>+'QTR Raw'!E82</f>
        <v>0</v>
      </c>
      <c r="AL181" s="22">
        <f>+AL216*AL46/90</f>
        <v>0</v>
      </c>
      <c r="AM181" s="22">
        <f>+'QTR Raw'!G82</f>
        <v>137.96</v>
      </c>
      <c r="AN181" s="22">
        <f>+AN216*AN46/90</f>
        <v>134.44068435611109</v>
      </c>
      <c r="AO181" s="22">
        <f>+'QTR Raw'!I82</f>
        <v>126.73</v>
      </c>
      <c r="AP181" s="22">
        <f>+AP216*AP46/90</f>
        <v>120.6611022022077</v>
      </c>
      <c r="AQ181" s="22">
        <f>+'QTR Raw'!K82</f>
        <v>135.61000000000001</v>
      </c>
      <c r="AR181" s="22">
        <f>+AR216*AR46/90</f>
        <v>135.29708001003263</v>
      </c>
      <c r="AS181" s="22">
        <f>+'QTR Raw'!M82</f>
        <v>179.04</v>
      </c>
      <c r="AT181" s="22">
        <f>+AT216*AT46/90</f>
        <v>147.27672128297618</v>
      </c>
      <c r="AU181" s="22">
        <f>+'QTR Raw'!O82</f>
        <v>156.03</v>
      </c>
      <c r="AV181" s="22">
        <f>+AV216*AV46/90</f>
        <v>144.85659587227025</v>
      </c>
      <c r="AW181" s="22">
        <f>+'QTR Raw'!Q82</f>
        <v>178.37</v>
      </c>
      <c r="AX181" s="22">
        <f>+AX216*AX46/90</f>
        <v>153.80889390519187</v>
      </c>
      <c r="AY181" s="22">
        <f>+'QTR Raw'!S82</f>
        <v>130.06</v>
      </c>
      <c r="AZ181" s="22">
        <f>+AZ216*AZ46/90</f>
        <v>96.605884469871725</v>
      </c>
      <c r="BA181" s="22">
        <f>+'QTR Raw'!U82</f>
        <v>162.54</v>
      </c>
      <c r="BB181" s="22">
        <f>+BB216*BB46/90</f>
        <v>124.75045213362229</v>
      </c>
      <c r="BC181" s="22">
        <f>+'QTR Raw'!W82</f>
        <v>157.4</v>
      </c>
      <c r="BD181" s="22">
        <f>+BD216*BD46/90</f>
        <v>141.45540116539669</v>
      </c>
      <c r="BE181" s="22">
        <f>+'QTR Raw'!Y82</f>
        <v>255</v>
      </c>
      <c r="BF181" s="22">
        <f>+BF216*BF46/90</f>
        <v>165.10511882998171</v>
      </c>
      <c r="BG181" s="22">
        <f>+'QTR Raw'!AA82</f>
        <v>179</v>
      </c>
      <c r="BH181" s="22">
        <f>+BH216*BH46/90</f>
        <v>197.91640378548897</v>
      </c>
      <c r="BI181" s="22">
        <f>+'QTR Raw'!AC82</f>
        <v>290.7</v>
      </c>
      <c r="BJ181" s="22">
        <f>+BJ216*BJ46/90</f>
        <v>242.64140219272937</v>
      </c>
      <c r="BK181" s="22">
        <f>+'QTR Raw'!AE82</f>
        <v>239.2</v>
      </c>
      <c r="BL181" s="22">
        <f>+BL216*BL46/90</f>
        <v>289.92498343273689</v>
      </c>
      <c r="BM181" s="22">
        <f>+'QTR Raw'!AG82</f>
        <v>296.2</v>
      </c>
      <c r="BN181" s="22">
        <f>+BN216*BN46/90</f>
        <v>225.88545994065279</v>
      </c>
      <c r="BO181" s="22">
        <f>+'QTR Raw'!AI82</f>
        <v>233</v>
      </c>
      <c r="BP181" s="22">
        <f>+BP216*BP46/90</f>
        <v>385.6368204659662</v>
      </c>
      <c r="BQ181" s="22">
        <f>+'QTR Raw'!AK82</f>
        <v>266.7</v>
      </c>
      <c r="BR181" s="22">
        <f>+BR216*BR46/90</f>
        <v>275.13576642335772</v>
      </c>
      <c r="BS181" s="22">
        <f>+'QTR Raw'!AM82</f>
        <v>230.9</v>
      </c>
      <c r="BT181" s="22">
        <f>+BT216*BT46/90</f>
        <v>280.50920792079211</v>
      </c>
      <c r="BU181" s="22">
        <f>+'QTR Raw'!AO82</f>
        <v>278</v>
      </c>
      <c r="BV181" s="22">
        <f>+BV216*BV46/90</f>
        <v>261.17993702204228</v>
      </c>
      <c r="BW181" s="22">
        <f>+'QTR Raw'!AQ82</f>
        <v>317.10000000000002</v>
      </c>
      <c r="BX181" s="22">
        <f>+BX216*BX46/90</f>
        <v>305.00720338983052</v>
      </c>
      <c r="BY181" s="22">
        <f>+'QTR Raw'!AS82</f>
        <v>403.7</v>
      </c>
      <c r="BZ181" s="22">
        <f>+BZ216*BZ46/90</f>
        <v>376.76614563476937</v>
      </c>
      <c r="CA181" s="22">
        <f>+'QTR Raw'!AU82</f>
        <v>438</v>
      </c>
      <c r="CB181" s="22">
        <f>+CB216*CB46/90</f>
        <v>417.55555555555566</v>
      </c>
      <c r="CC181" s="22">
        <f>+'QTR Raw'!AW82</f>
        <v>491.7</v>
      </c>
      <c r="CD181" s="22">
        <f>+CD216*CD46/90</f>
        <v>444.04769332890805</v>
      </c>
      <c r="CE181" s="22">
        <f>+'QTR Raw'!AY82</f>
        <v>503.8</v>
      </c>
      <c r="CF181" s="22">
        <f>+CF216*CF46/90</f>
        <v>480.79365325077401</v>
      </c>
      <c r="CG181" s="22">
        <f t="shared" si="1469"/>
        <v>650.27300000000002</v>
      </c>
      <c r="CH181" s="22">
        <f>+CH216*CH46/90</f>
        <v>533.00185049559468</v>
      </c>
      <c r="CI181" s="22">
        <f>+'QTR Raw'!BC82</f>
        <v>685.6</v>
      </c>
      <c r="CJ181" s="22">
        <f>+CJ216*CJ46/90</f>
        <v>668.01523923803813</v>
      </c>
      <c r="CK181" s="22">
        <f>+'QTR Raw'!BE82</f>
        <v>869.2</v>
      </c>
      <c r="CL181" s="22">
        <f>+CL216*CL46/90</f>
        <v>666.64535714285716</v>
      </c>
      <c r="CM181" s="23">
        <f t="shared" ref="CM181:DA181" si="1471">+CM216*CM46/90</f>
        <v>851.07906354473698</v>
      </c>
      <c r="CN181" s="23">
        <f t="shared" si="1471"/>
        <v>922.70587744999716</v>
      </c>
      <c r="CO181" s="23">
        <f t="shared" si="1471"/>
        <v>947.55833263559907</v>
      </c>
      <c r="CP181" s="23">
        <f t="shared" si="1471"/>
        <v>847.15134789875901</v>
      </c>
      <c r="CQ181" s="23">
        <f t="shared" si="1471"/>
        <v>932.10146984262258</v>
      </c>
      <c r="CR181" s="23">
        <f t="shared" si="1471"/>
        <v>1012.0027214191136</v>
      </c>
      <c r="CS181" s="23">
        <f t="shared" si="1471"/>
        <v>1039.9511090326669</v>
      </c>
      <c r="CT181" s="23">
        <f t="shared" si="1471"/>
        <v>930.41910118455121</v>
      </c>
      <c r="CU181" s="23">
        <f t="shared" si="1471"/>
        <v>1024.1840013110198</v>
      </c>
      <c r="CV181" s="23">
        <f t="shared" si="1471"/>
        <v>1112.3822275408447</v>
      </c>
      <c r="CW181" s="23">
        <f t="shared" si="1471"/>
        <v>1143.2940061186237</v>
      </c>
      <c r="CX181" s="23">
        <f t="shared" si="1471"/>
        <v>1023.061527808018</v>
      </c>
      <c r="CY181" s="23">
        <f t="shared" si="1471"/>
        <v>1126.2911747296</v>
      </c>
      <c r="CZ181" s="23">
        <f t="shared" si="1471"/>
        <v>1223.3939153576068</v>
      </c>
      <c r="DA181" s="23">
        <f t="shared" si="1471"/>
        <v>1257.4433929231495</v>
      </c>
      <c r="DD181" s="122"/>
      <c r="DE181" s="22">
        <v>869.2</v>
      </c>
    </row>
    <row r="182" spans="1:109" s="22" customFormat="1" outlineLevel="1" x14ac:dyDescent="0.2">
      <c r="A182" s="22" t="s">
        <v>63</v>
      </c>
      <c r="B182" s="22">
        <f>'Annual Raw'!C79</f>
        <v>1.6000000000000001E-3</v>
      </c>
      <c r="C182" s="22">
        <f>'Annual Raw'!D79</f>
        <v>8.9999999999999998E-4</v>
      </c>
      <c r="D182" s="22">
        <f>'Annual Raw'!E79</f>
        <v>1.1000000000000001E-3</v>
      </c>
      <c r="E182" s="22">
        <f>'Annual Raw'!F79</f>
        <v>1.6999999999999999E-3</v>
      </c>
      <c r="F182" s="22">
        <f>'Annual Raw'!G79</f>
        <v>2.2000000000000001E-3</v>
      </c>
      <c r="G182" s="22">
        <f>'Annual Raw'!H79</f>
        <v>6.4000000000000003E-3</v>
      </c>
      <c r="H182" s="22">
        <f>'Annual Raw'!I79</f>
        <v>3.3E-3</v>
      </c>
      <c r="I182" s="22">
        <f>'Annual Raw'!J79</f>
        <v>1.1000000000000001E-3</v>
      </c>
      <c r="J182" s="22">
        <f>'Annual Raw'!K79</f>
        <v>0</v>
      </c>
      <c r="K182" s="22">
        <f>'Annual Raw'!L79</f>
        <v>0</v>
      </c>
      <c r="L182" s="22">
        <f>'Annual Raw'!M79</f>
        <v>0</v>
      </c>
      <c r="M182" s="22">
        <f>'Annual Raw'!N79</f>
        <v>3.35</v>
      </c>
      <c r="N182" s="22">
        <f>'Annual Raw'!O79</f>
        <v>3.823</v>
      </c>
      <c r="O182" s="22">
        <f>'Annual Raw'!P79</f>
        <v>4.1020000000000003</v>
      </c>
      <c r="P182" s="22">
        <f>'Annual Raw'!Q79</f>
        <v>6.766</v>
      </c>
      <c r="Q182" s="22">
        <f>'Annual Raw'!R79</f>
        <v>4.6820000000000004</v>
      </c>
      <c r="R182" s="22">
        <f>'Annual Raw'!S79</f>
        <v>6.6470000000000002</v>
      </c>
      <c r="S182" s="22">
        <f>'Annual Raw'!T79</f>
        <v>2.7170000000000001</v>
      </c>
      <c r="T182" s="22">
        <f>'Annual Raw'!U79</f>
        <v>5.4960000000000004</v>
      </c>
      <c r="U182" s="22">
        <f>'Annual Raw'!V79</f>
        <v>11.234999999999999</v>
      </c>
      <c r="V182" s="22">
        <f>'Annual Raw'!W79</f>
        <v>11.499000000000001</v>
      </c>
      <c r="W182" s="22">
        <f>'Annual Raw'!X79</f>
        <v>11.214</v>
      </c>
      <c r="X182" s="22">
        <f>'Annual Raw'!Y79</f>
        <v>10.773</v>
      </c>
      <c r="Y182" s="22">
        <f>'Annual Raw'!Z79</f>
        <v>13.843999999999999</v>
      </c>
      <c r="Z182" s="22">
        <f>'Annual Raw'!AA79</f>
        <v>14.914</v>
      </c>
      <c r="AA182" s="22">
        <f>'Annual Raw'!AB79</f>
        <v>24.100999999999999</v>
      </c>
      <c r="AB182" s="23">
        <f t="shared" si="1440"/>
        <v>247.46403763032734</v>
      </c>
      <c r="AC182" s="23">
        <f t="shared" si="1441"/>
        <v>271.59330620158175</v>
      </c>
      <c r="AD182" s="23">
        <f t="shared" si="1442"/>
        <v>298.58230486530948</v>
      </c>
      <c r="AE182" s="23">
        <f t="shared" si="1443"/>
        <v>328.39352300224846</v>
      </c>
      <c r="AI182" s="22">
        <f>+'QTR Raw'!C84</f>
        <v>4.59</v>
      </c>
      <c r="AJ182" s="22">
        <f t="shared" ref="AJ182:AJ183" si="1472">+AI182</f>
        <v>4.59</v>
      </c>
      <c r="AK182" s="22">
        <f>+'QTR Raw'!E84</f>
        <v>0</v>
      </c>
      <c r="AL182" s="22">
        <f t="shared" ref="AL182:AL183" si="1473">+AK182</f>
        <v>0</v>
      </c>
      <c r="AM182" s="22">
        <f>+'QTR Raw'!G84</f>
        <v>5.27</v>
      </c>
      <c r="AN182" s="22">
        <f t="shared" ref="AN182:AN183" si="1474">+AM182</f>
        <v>5.27</v>
      </c>
      <c r="AO182" s="22">
        <f>+'QTR Raw'!I84</f>
        <v>3.47</v>
      </c>
      <c r="AP182" s="22">
        <f t="shared" ref="AP182:AP183" si="1475">+AO182</f>
        <v>3.47</v>
      </c>
      <c r="AQ182" s="22">
        <f>+'QTR Raw'!K84</f>
        <v>7.43</v>
      </c>
      <c r="AR182" s="22">
        <f t="shared" ref="AR182:AR183" si="1476">+AQ182</f>
        <v>7.43</v>
      </c>
      <c r="AS182" s="22">
        <f>+'QTR Raw'!M84</f>
        <v>6</v>
      </c>
      <c r="AT182" s="22">
        <f t="shared" ref="AT182:AT183" si="1477">+AS182</f>
        <v>6</v>
      </c>
      <c r="AU182" s="22">
        <f>+'QTR Raw'!O84</f>
        <v>8.61</v>
      </c>
      <c r="AV182" s="22">
        <f t="shared" ref="AV182:AV183" si="1478">+AU182</f>
        <v>8.61</v>
      </c>
      <c r="AW182" s="22">
        <f>+'QTR Raw'!Q84</f>
        <v>4.16</v>
      </c>
      <c r="AX182" s="22">
        <f t="shared" ref="AX182:AX183" si="1479">+AW182</f>
        <v>4.16</v>
      </c>
      <c r="AY182" s="22">
        <f>+'QTR Raw'!S84</f>
        <v>8.65</v>
      </c>
      <c r="AZ182" s="22">
        <f t="shared" ref="AZ182:AZ183" si="1480">+AY182</f>
        <v>8.65</v>
      </c>
      <c r="BA182" s="22">
        <f>+'QTR Raw'!U84</f>
        <v>43</v>
      </c>
      <c r="BB182" s="22">
        <f t="shared" ref="BB182:BB183" si="1481">+BA182</f>
        <v>43</v>
      </c>
      <c r="BC182" s="22">
        <f>+'QTR Raw'!W84</f>
        <v>55.32</v>
      </c>
      <c r="BD182" s="22">
        <f t="shared" ref="BD182:BD183" si="1482">+BC182</f>
        <v>55.32</v>
      </c>
      <c r="BE182" s="22">
        <f>+'QTR Raw'!Y84</f>
        <v>38.700000000000003</v>
      </c>
      <c r="BF182" s="22">
        <f t="shared" ref="BF182:BF183" si="1483">+BE182</f>
        <v>38.700000000000003</v>
      </c>
      <c r="BG182" s="22">
        <f>+'QTR Raw'!AA84</f>
        <v>46.4</v>
      </c>
      <c r="BH182" s="22">
        <f t="shared" ref="BH182:BH183" si="1484">+BG182</f>
        <v>46.4</v>
      </c>
      <c r="BI182" s="22">
        <f>+'QTR Raw'!AC84</f>
        <v>72.599999999999994</v>
      </c>
      <c r="BJ182" s="22">
        <f t="shared" ref="BJ182:BJ183" si="1485">+BI182</f>
        <v>72.599999999999994</v>
      </c>
      <c r="BK182" s="22">
        <f>+'QTR Raw'!AE84</f>
        <v>67.599999999999994</v>
      </c>
      <c r="BL182" s="22">
        <f t="shared" ref="BL182:BL183" si="1486">+BK182</f>
        <v>67.599999999999994</v>
      </c>
      <c r="BM182" s="22">
        <f>+'QTR Raw'!AG84</f>
        <v>73.8</v>
      </c>
      <c r="BN182" s="22">
        <f t="shared" ref="BN182:BN183" si="1487">+BM182</f>
        <v>73.8</v>
      </c>
      <c r="BO182" s="22">
        <f>+'QTR Raw'!AI84</f>
        <v>60.2</v>
      </c>
      <c r="BP182" s="22">
        <f t="shared" ref="BP182:BP183" si="1488">+BO182</f>
        <v>60.2</v>
      </c>
      <c r="BQ182" s="22">
        <f>+'QTR Raw'!AK84</f>
        <v>58.4</v>
      </c>
      <c r="BR182" s="22">
        <f t="shared" ref="BR182:BR183" si="1489">+BQ182</f>
        <v>58.4</v>
      </c>
      <c r="BS182" s="22">
        <f>+'QTR Raw'!AM84</f>
        <v>62.7</v>
      </c>
      <c r="BT182" s="22">
        <f t="shared" ref="BT182:BT183" si="1490">+BS182</f>
        <v>62.7</v>
      </c>
      <c r="BU182" s="22">
        <f>+'QTR Raw'!AO84</f>
        <v>61.9</v>
      </c>
      <c r="BV182" s="22">
        <f t="shared" ref="BV182:BV183" si="1491">+BU182</f>
        <v>61.9</v>
      </c>
      <c r="BW182" s="22">
        <f>+'QTR Raw'!AQ84</f>
        <v>63.2</v>
      </c>
      <c r="BX182" s="22">
        <f t="shared" ref="BX182:BX183" si="1492">+BW182</f>
        <v>63.2</v>
      </c>
      <c r="BY182" s="22">
        <f>+'QTR Raw'!AS84</f>
        <v>44.1</v>
      </c>
      <c r="BZ182" s="22">
        <f t="shared" ref="BZ182:BZ183" si="1493">+BY182</f>
        <v>44.1</v>
      </c>
      <c r="CA182" s="22">
        <f>+'QTR Raw'!AU84</f>
        <v>60.1</v>
      </c>
      <c r="CB182" s="22">
        <f t="shared" ref="CB182:CB183" si="1494">+CA182</f>
        <v>60.1</v>
      </c>
      <c r="CC182" s="22">
        <f>+'QTR Raw'!AW84</f>
        <v>54.5</v>
      </c>
      <c r="CD182" s="22">
        <f t="shared" ref="CD182:CD183" si="1495">+CC182</f>
        <v>54.5</v>
      </c>
      <c r="CE182" s="22">
        <f>+'QTR Raw'!AY84</f>
        <v>75.2</v>
      </c>
      <c r="CF182" s="22">
        <f t="shared" si="1468"/>
        <v>75.2</v>
      </c>
      <c r="CG182" s="22">
        <f t="shared" si="1469"/>
        <v>14.914</v>
      </c>
      <c r="CH182" s="22">
        <f t="shared" si="1468"/>
        <v>14.914</v>
      </c>
      <c r="CI182" s="22">
        <f>+'QTR Raw'!BC84</f>
        <v>100.2</v>
      </c>
      <c r="CJ182" s="22">
        <f t="shared" si="1468"/>
        <v>100.2</v>
      </c>
      <c r="CK182" s="22">
        <f>+'QTR Raw'!BE84</f>
        <v>131.30000000000001</v>
      </c>
      <c r="CL182" s="22">
        <f t="shared" si="1468"/>
        <v>131.30000000000001</v>
      </c>
      <c r="CM182" s="23">
        <f t="shared" ref="CM182:DA182" si="1496">CM46/90*CM217</f>
        <v>222.26754190595364</v>
      </c>
      <c r="CN182" s="23">
        <f t="shared" si="1496"/>
        <v>240.97357821116992</v>
      </c>
      <c r="CO182" s="23">
        <f t="shared" si="1496"/>
        <v>247.46403763032734</v>
      </c>
      <c r="CP182" s="23">
        <f t="shared" si="1496"/>
        <v>221.24178091695569</v>
      </c>
      <c r="CQ182" s="23">
        <f t="shared" si="1496"/>
        <v>243.42732818025178</v>
      </c>
      <c r="CR182" s="23">
        <f t="shared" si="1496"/>
        <v>264.29431403835514</v>
      </c>
      <c r="CS182" s="23">
        <f t="shared" si="1496"/>
        <v>271.59330620158175</v>
      </c>
      <c r="CT182" s="23">
        <f t="shared" si="1496"/>
        <v>242.98796130797592</v>
      </c>
      <c r="CU182" s="23">
        <f t="shared" si="1496"/>
        <v>267.47557328302003</v>
      </c>
      <c r="CV182" s="23">
        <f t="shared" si="1496"/>
        <v>290.50939444520384</v>
      </c>
      <c r="CW182" s="23">
        <f t="shared" si="1496"/>
        <v>298.58230486530948</v>
      </c>
      <c r="CX182" s="23">
        <f t="shared" si="1496"/>
        <v>267.18242845423333</v>
      </c>
      <c r="CY182" s="23">
        <f t="shared" si="1496"/>
        <v>294.14185074047248</v>
      </c>
      <c r="CZ182" s="23">
        <f t="shared" si="1496"/>
        <v>319.50117209638302</v>
      </c>
      <c r="DA182" s="23">
        <f t="shared" si="1496"/>
        <v>328.39352300224846</v>
      </c>
      <c r="DD182" s="122"/>
      <c r="DE182" s="22">
        <v>131.30000000000001</v>
      </c>
    </row>
    <row r="183" spans="1:109" s="22" customFormat="1" outlineLevel="1" x14ac:dyDescent="0.2">
      <c r="A183" s="22" t="s">
        <v>64</v>
      </c>
      <c r="B183" s="22">
        <f>'Annual Raw'!C80</f>
        <v>15.1274</v>
      </c>
      <c r="C183" s="22">
        <f>'Annual Raw'!D80</f>
        <v>19.334299999999999</v>
      </c>
      <c r="D183" s="22">
        <f>'Annual Raw'!E80</f>
        <v>13.9496</v>
      </c>
      <c r="E183" s="22">
        <f>'Annual Raw'!F80</f>
        <v>15.6496</v>
      </c>
      <c r="F183" s="22">
        <f>'Annual Raw'!G80</f>
        <v>18.142199999999999</v>
      </c>
      <c r="G183" s="22">
        <f>'Annual Raw'!H80</f>
        <v>19.418700000000001</v>
      </c>
      <c r="H183" s="22">
        <f>'Annual Raw'!I80</f>
        <v>24.904599999999999</v>
      </c>
      <c r="I183" s="22">
        <f>'Annual Raw'!J80</f>
        <v>42.131599999999999</v>
      </c>
      <c r="J183" s="22">
        <f>'Annual Raw'!K80</f>
        <v>41.436799999999998</v>
      </c>
      <c r="K183" s="22">
        <f>'Annual Raw'!L80</f>
        <v>53.3964</v>
      </c>
      <c r="L183" s="22">
        <f>'Annual Raw'!M80</f>
        <v>65.384399999999999</v>
      </c>
      <c r="M183" s="22">
        <f>'Annual Raw'!N80</f>
        <v>26.628</v>
      </c>
      <c r="N183" s="22">
        <f>'Annual Raw'!O80</f>
        <v>20.876000000000001</v>
      </c>
      <c r="O183" s="22">
        <f>'Annual Raw'!P80</f>
        <v>22.651</v>
      </c>
      <c r="P183" s="22">
        <f>'Annual Raw'!Q80</f>
        <v>31.777000000000001</v>
      </c>
      <c r="Q183" s="22">
        <f>'Annual Raw'!R80</f>
        <v>34.878999999999998</v>
      </c>
      <c r="R183" s="22">
        <f>'Annual Raw'!S80</f>
        <v>38.189</v>
      </c>
      <c r="S183" s="22">
        <f>'Annual Raw'!T80</f>
        <v>39.017000000000003</v>
      </c>
      <c r="T183" s="22">
        <f>'Annual Raw'!U80</f>
        <v>68.346999999999994</v>
      </c>
      <c r="U183" s="22">
        <f>'Annual Raw'!V80</f>
        <v>64.766999999999996</v>
      </c>
      <c r="V183" s="22">
        <f>'Annual Raw'!W80</f>
        <v>48.762</v>
      </c>
      <c r="W183" s="22">
        <f>'Annual Raw'!X80</f>
        <v>53.412999999999997</v>
      </c>
      <c r="X183" s="22">
        <f>'Annual Raw'!Y80</f>
        <v>37.29</v>
      </c>
      <c r="Y183" s="22">
        <f>'Annual Raw'!Z80</f>
        <v>43.37</v>
      </c>
      <c r="Z183" s="22">
        <f>'Annual Raw'!AA80</f>
        <v>72.230999999999995</v>
      </c>
      <c r="AA183" s="22">
        <f>'Annual Raw'!AB80</f>
        <v>112.116</v>
      </c>
      <c r="AB183" s="23">
        <f t="shared" si="1440"/>
        <v>0</v>
      </c>
      <c r="AC183" s="23">
        <f t="shared" si="1441"/>
        <v>0</v>
      </c>
      <c r="AD183" s="23">
        <f t="shared" si="1442"/>
        <v>0</v>
      </c>
      <c r="AE183" s="23">
        <f t="shared" si="1443"/>
        <v>0</v>
      </c>
      <c r="AI183" s="22">
        <f>+'QTR Raw'!C85</f>
        <v>24.81</v>
      </c>
      <c r="AJ183" s="22">
        <f t="shared" si="1472"/>
        <v>24.81</v>
      </c>
      <c r="AK183" s="22">
        <f>+'QTR Raw'!E85</f>
        <v>0</v>
      </c>
      <c r="AL183" s="22">
        <f t="shared" si="1473"/>
        <v>0</v>
      </c>
      <c r="AM183" s="22">
        <f>+'QTR Raw'!G85</f>
        <v>19.18</v>
      </c>
      <c r="AN183" s="22">
        <f t="shared" si="1474"/>
        <v>19.18</v>
      </c>
      <c r="AO183" s="22">
        <f>+'QTR Raw'!I85</f>
        <v>23.28</v>
      </c>
      <c r="AP183" s="22">
        <f t="shared" si="1475"/>
        <v>23.28</v>
      </c>
      <c r="AQ183" s="22">
        <f>+'QTR Raw'!K85</f>
        <v>30.62</v>
      </c>
      <c r="AR183" s="22">
        <f t="shared" si="1476"/>
        <v>30.62</v>
      </c>
      <c r="AS183" s="22">
        <f>+'QTR Raw'!M85</f>
        <v>32.54</v>
      </c>
      <c r="AT183" s="22">
        <f t="shared" si="1477"/>
        <v>32.54</v>
      </c>
      <c r="AU183" s="22">
        <f>+'QTR Raw'!O85</f>
        <v>33.880000000000003</v>
      </c>
      <c r="AV183" s="22">
        <f t="shared" si="1478"/>
        <v>33.880000000000003</v>
      </c>
      <c r="AW183" s="22">
        <f>+'QTR Raw'!Q85</f>
        <v>35.409999999999997</v>
      </c>
      <c r="AX183" s="22">
        <f t="shared" si="1479"/>
        <v>35.409999999999997</v>
      </c>
      <c r="AY183" s="22">
        <f>+'QTR Raw'!S85</f>
        <v>37.950000000000003</v>
      </c>
      <c r="AZ183" s="22">
        <f t="shared" si="1480"/>
        <v>37.950000000000003</v>
      </c>
      <c r="BA183" s="22">
        <f>+'QTR Raw'!U85</f>
        <v>1.83</v>
      </c>
      <c r="BB183" s="22">
        <f t="shared" si="1481"/>
        <v>1.83</v>
      </c>
      <c r="BC183" s="22">
        <f>+'QTR Raw'!W85</f>
        <v>0</v>
      </c>
      <c r="BD183" s="22">
        <f t="shared" si="1482"/>
        <v>0</v>
      </c>
      <c r="BE183" s="22">
        <f>+'QTR Raw'!Y85</f>
        <v>3</v>
      </c>
      <c r="BF183" s="22">
        <f t="shared" si="1483"/>
        <v>3</v>
      </c>
      <c r="BG183" s="22">
        <f>+'QTR Raw'!AA85</f>
        <v>2.5</v>
      </c>
      <c r="BH183" s="22">
        <f t="shared" si="1484"/>
        <v>2.5</v>
      </c>
      <c r="BI183" s="22">
        <f>+'QTR Raw'!AC85</f>
        <v>1.2</v>
      </c>
      <c r="BJ183" s="22">
        <f t="shared" si="1485"/>
        <v>1.2</v>
      </c>
      <c r="BK183" s="22">
        <f>+'QTR Raw'!AE85</f>
        <v>3.9</v>
      </c>
      <c r="BL183" s="22">
        <f t="shared" si="1486"/>
        <v>3.9</v>
      </c>
      <c r="BM183" s="22">
        <f>+'QTR Raw'!AG85</f>
        <v>2.1</v>
      </c>
      <c r="BN183" s="22">
        <f t="shared" si="1487"/>
        <v>2.1</v>
      </c>
      <c r="BO183" s="22">
        <f>+'QTR Raw'!AI85</f>
        <v>1.9</v>
      </c>
      <c r="BP183" s="22">
        <f t="shared" si="1488"/>
        <v>1.9</v>
      </c>
      <c r="BQ183" s="22">
        <f>+'QTR Raw'!AK85</f>
        <v>1.9</v>
      </c>
      <c r="BR183" s="22">
        <f t="shared" si="1489"/>
        <v>1.9</v>
      </c>
      <c r="BS183" s="22">
        <f>+'QTR Raw'!AM85</f>
        <v>2</v>
      </c>
      <c r="BT183" s="22">
        <f t="shared" si="1490"/>
        <v>2</v>
      </c>
      <c r="BU183" s="22">
        <f>+'QTR Raw'!AO85</f>
        <v>2.7</v>
      </c>
      <c r="BV183" s="22">
        <f t="shared" si="1491"/>
        <v>2.7</v>
      </c>
      <c r="BW183" s="22">
        <f>+'QTR Raw'!AQ85</f>
        <v>3</v>
      </c>
      <c r="BX183" s="22">
        <f t="shared" si="1492"/>
        <v>3</v>
      </c>
      <c r="BY183" s="22">
        <f>+'QTR Raw'!AS85</f>
        <v>3.9</v>
      </c>
      <c r="BZ183" s="22">
        <f t="shared" si="1493"/>
        <v>3.9</v>
      </c>
      <c r="CA183" s="22">
        <f>+'QTR Raw'!AU85</f>
        <v>2.9</v>
      </c>
      <c r="CB183" s="22">
        <f t="shared" si="1494"/>
        <v>2.9</v>
      </c>
      <c r="CC183" s="22">
        <f>+'QTR Raw'!AW85</f>
        <v>2.8</v>
      </c>
      <c r="CD183" s="22">
        <f t="shared" si="1495"/>
        <v>2.8</v>
      </c>
      <c r="CE183" s="22">
        <f>+'QTR Raw'!AY85</f>
        <v>3.3</v>
      </c>
      <c r="CF183" s="22">
        <f t="shared" si="1468"/>
        <v>3.3</v>
      </c>
      <c r="CG183" s="22">
        <f t="shared" si="1469"/>
        <v>72.230999999999995</v>
      </c>
      <c r="CH183" s="22">
        <f t="shared" si="1468"/>
        <v>72.230999999999995</v>
      </c>
      <c r="CI183" s="22">
        <f>+'QTR Raw'!BC85</f>
        <v>4.3</v>
      </c>
      <c r="CJ183" s="22">
        <f t="shared" si="1468"/>
        <v>4.3</v>
      </c>
      <c r="CK183" s="22">
        <f>+'QTR Raw'!BE85</f>
        <v>4.9000000000000004</v>
      </c>
      <c r="CL183" s="22">
        <f t="shared" si="1468"/>
        <v>4.9000000000000004</v>
      </c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D183" s="122"/>
      <c r="DE183" s="22">
        <v>4.9000000000000004</v>
      </c>
    </row>
    <row r="184" spans="1:109" s="21" customFormat="1" x14ac:dyDescent="0.2">
      <c r="A184" s="21" t="s">
        <v>65</v>
      </c>
      <c r="B184" s="21">
        <f>SUM(B178:B183)</f>
        <v>115.43289999999999</v>
      </c>
      <c r="C184" s="21">
        <f t="shared" ref="C184:V184" si="1497">SUM(C178:C183)</f>
        <v>131.34440000000001</v>
      </c>
      <c r="D184" s="21">
        <f t="shared" si="1497"/>
        <v>120.151</v>
      </c>
      <c r="E184" s="21">
        <f t="shared" si="1497"/>
        <v>124.35759999999999</v>
      </c>
      <c r="F184" s="21">
        <f t="shared" si="1497"/>
        <v>153.91209999999998</v>
      </c>
      <c r="G184" s="21">
        <f t="shared" si="1497"/>
        <v>175.40209999999999</v>
      </c>
      <c r="H184" s="21">
        <f t="shared" si="1497"/>
        <v>204.19169999999997</v>
      </c>
      <c r="I184" s="21">
        <f t="shared" si="1497"/>
        <v>270.68529999999998</v>
      </c>
      <c r="J184" s="21">
        <f t="shared" si="1497"/>
        <v>312.53090000000003</v>
      </c>
      <c r="K184" s="21">
        <f t="shared" si="1497"/>
        <v>274.50710000000004</v>
      </c>
      <c r="L184" s="21">
        <f>SUM(L178:L183)</f>
        <v>337.72580000000005</v>
      </c>
      <c r="M184" s="21">
        <f>SUM(M178:M183)</f>
        <v>458.452</v>
      </c>
      <c r="N184" s="21">
        <f t="shared" si="1497"/>
        <v>413.87699999999995</v>
      </c>
      <c r="O184" s="21">
        <f t="shared" si="1497"/>
        <v>393.35299999999995</v>
      </c>
      <c r="P184" s="21">
        <f t="shared" si="1497"/>
        <v>474.28899999999999</v>
      </c>
      <c r="Q184" s="21">
        <f t="shared" si="1497"/>
        <v>449.89499999999998</v>
      </c>
      <c r="R184" s="21">
        <f t="shared" si="1497"/>
        <v>489.68200000000002</v>
      </c>
      <c r="S184" s="21">
        <f t="shared" si="1497"/>
        <v>607.45400000000006</v>
      </c>
      <c r="T184" s="21">
        <f t="shared" si="1497"/>
        <v>719.70500000000004</v>
      </c>
      <c r="U184" s="21">
        <f t="shared" si="1497"/>
        <v>737.97299999999996</v>
      </c>
      <c r="V184" s="21">
        <f t="shared" si="1497"/>
        <v>726.19399999999996</v>
      </c>
      <c r="W184" s="21">
        <f t="shared" ref="W184" si="1498">SUM(W178:W183)</f>
        <v>830.17300000000012</v>
      </c>
      <c r="X184" s="21">
        <f t="shared" ref="X184:Y184" si="1499">SUM(X178:X183)</f>
        <v>1114.424</v>
      </c>
      <c r="Y184" s="21">
        <f t="shared" si="1499"/>
        <v>1260.25</v>
      </c>
      <c r="Z184" s="21">
        <f t="shared" ref="Z184:AA184" si="1500">SUM(Z178:Z183)</f>
        <v>1443.6120000000001</v>
      </c>
      <c r="AA184" s="21">
        <f t="shared" ref="AA184" si="1501">SUM(AA178:AA183)</f>
        <v>1848.2890000000002</v>
      </c>
      <c r="AB184" s="20">
        <f t="shared" ref="AB184:AD184" si="1502">SUM(AB178:AB183)</f>
        <v>2051.9892424298064</v>
      </c>
      <c r="AC184" s="20">
        <f t="shared" si="1502"/>
        <v>2252.0708381640461</v>
      </c>
      <c r="AD184" s="20">
        <f t="shared" si="1502"/>
        <v>2475.8655173919524</v>
      </c>
      <c r="AE184" s="20">
        <f t="shared" ref="AE184" si="1503">SUM(AE178:AE183)</f>
        <v>2723.0622394146844</v>
      </c>
      <c r="AI184" s="21">
        <f t="shared" ref="AI184:AL184" si="1504">SUM(AI178:AI183)</f>
        <v>435.91999999999996</v>
      </c>
      <c r="AJ184" s="21">
        <f t="shared" si="1504"/>
        <v>402.58023054755046</v>
      </c>
      <c r="AK184" s="21">
        <f t="shared" si="1504"/>
        <v>0</v>
      </c>
      <c r="AL184" s="21">
        <f t="shared" si="1504"/>
        <v>0</v>
      </c>
      <c r="AM184" s="21">
        <f t="shared" ref="AM184:AP184" si="1505">SUM(AM178:AM183)</f>
        <v>413.66</v>
      </c>
      <c r="AN184" s="21">
        <f t="shared" si="1505"/>
        <v>405.07420653621563</v>
      </c>
      <c r="AO184" s="21">
        <f t="shared" si="1505"/>
        <v>393.35</v>
      </c>
      <c r="AP184" s="21">
        <f t="shared" si="1505"/>
        <v>378.50315722994128</v>
      </c>
      <c r="AQ184" s="21">
        <f t="shared" ref="AQ184:AT184" si="1506">SUM(AQ178:AQ183)</f>
        <v>445.37000000000006</v>
      </c>
      <c r="AR184" s="21">
        <f t="shared" si="1506"/>
        <v>444.56299824429402</v>
      </c>
      <c r="AS184" s="21">
        <f t="shared" si="1506"/>
        <v>474.29</v>
      </c>
      <c r="AT184" s="21">
        <f t="shared" si="1506"/>
        <v>406.73093963231776</v>
      </c>
      <c r="AU184" s="21">
        <f t="shared" ref="AU184:AX184" si="1507">SUM(AU178:AU183)</f>
        <v>447.6</v>
      </c>
      <c r="AV184" s="21">
        <f t="shared" si="1507"/>
        <v>422.48687371945431</v>
      </c>
      <c r="AW184" s="21">
        <f t="shared" si="1507"/>
        <v>449.9</v>
      </c>
      <c r="AX184" s="21">
        <f t="shared" si="1507"/>
        <v>400.18981941309255</v>
      </c>
      <c r="AY184" s="21">
        <f t="shared" ref="AY184:BB184" si="1508">SUM(AY178:AY183)</f>
        <v>418.09999999999997</v>
      </c>
      <c r="AZ184" s="21">
        <f t="shared" si="1508"/>
        <v>336.49675417550975</v>
      </c>
      <c r="BA184" s="21">
        <f t="shared" si="1508"/>
        <v>489.68</v>
      </c>
      <c r="BB184" s="21">
        <f t="shared" si="1508"/>
        <v>402.63430834765711</v>
      </c>
      <c r="BC184" s="21">
        <f t="shared" ref="BC184:BF184" si="1509">SUM(BC178:BC183)</f>
        <v>550.56000000000006</v>
      </c>
      <c r="BD184" s="21">
        <f t="shared" si="1509"/>
        <v>505.79356342447335</v>
      </c>
      <c r="BE184" s="21">
        <f t="shared" si="1509"/>
        <v>607.40000000000009</v>
      </c>
      <c r="BF184" s="21">
        <f t="shared" si="1509"/>
        <v>430.2189518586228</v>
      </c>
      <c r="BG184" s="21">
        <f t="shared" ref="BG184:BJ184" si="1510">SUM(BG178:BG183)</f>
        <v>602.4</v>
      </c>
      <c r="BH184" s="21">
        <f t="shared" si="1510"/>
        <v>654.35141955835968</v>
      </c>
      <c r="BI184" s="21">
        <f t="shared" si="1510"/>
        <v>719.7</v>
      </c>
      <c r="BJ184" s="21">
        <f t="shared" si="1510"/>
        <v>621.54936526255062</v>
      </c>
      <c r="BK184" s="21">
        <f t="shared" ref="BK184:BN184" si="1511">SUM(BK178:BK183)</f>
        <v>717.5</v>
      </c>
      <c r="BL184" s="21">
        <f t="shared" si="1511"/>
        <v>840.17726971504305</v>
      </c>
      <c r="BM184" s="21">
        <f t="shared" si="1511"/>
        <v>737.9</v>
      </c>
      <c r="BN184" s="21">
        <f t="shared" si="1511"/>
        <v>590.4816023738872</v>
      </c>
      <c r="BO184" s="21">
        <f t="shared" ref="BO184:BR184" si="1512">SUM(BO178:BO183)</f>
        <v>689.19999999999993</v>
      </c>
      <c r="BP184" s="21">
        <f t="shared" si="1512"/>
        <v>1068.1061671996347</v>
      </c>
      <c r="BQ184" s="21">
        <f t="shared" si="1512"/>
        <v>752.39999999999986</v>
      </c>
      <c r="BR184" s="21">
        <f t="shared" si="1512"/>
        <v>772.25109489051101</v>
      </c>
      <c r="BS184" s="21">
        <f t="shared" ref="BS184:BV184" si="1513">SUM(BS178:BS183)</f>
        <v>757.4</v>
      </c>
      <c r="BT184" s="21">
        <f t="shared" si="1513"/>
        <v>891.85405940594069</v>
      </c>
      <c r="BU184" s="21">
        <f t="shared" si="1513"/>
        <v>857.5</v>
      </c>
      <c r="BV184" s="21">
        <f t="shared" si="1513"/>
        <v>815.08076923076931</v>
      </c>
      <c r="BW184" s="21">
        <f t="shared" ref="BW184:BZ184" si="1514">SUM(BW178:BW183)</f>
        <v>955.30000000000007</v>
      </c>
      <c r="BX184" s="21">
        <f t="shared" si="1514"/>
        <v>924.93262711864418</v>
      </c>
      <c r="BY184" s="21">
        <f t="shared" si="1514"/>
        <v>1141.3</v>
      </c>
      <c r="BZ184" s="21">
        <f t="shared" si="1514"/>
        <v>1076.9309569195577</v>
      </c>
      <c r="CA184" s="21">
        <f t="shared" ref="CA184:CD184" si="1515">SUM(CA178:CA183)</f>
        <v>1265.0999999999999</v>
      </c>
      <c r="CB184" s="21">
        <f t="shared" si="1515"/>
        <v>1213.3260781329277</v>
      </c>
      <c r="CC184" s="21">
        <f t="shared" si="1515"/>
        <v>1287.2</v>
      </c>
      <c r="CD184" s="21">
        <f t="shared" si="1515"/>
        <v>1177.2711583139728</v>
      </c>
      <c r="CE184" s="21">
        <f t="shared" ref="CE184" si="1516">SUM(CE178:CE183)</f>
        <v>1343.2</v>
      </c>
      <c r="CF184" s="21">
        <f t="shared" ref="CF184:CH184" si="1517">SUM(CF178:CF183)</f>
        <v>1290.1319659442725</v>
      </c>
      <c r="CG184" s="21">
        <f t="shared" ref="CG184" si="1518">SUM(CG178:CG183)</f>
        <v>1443.6120000000001</v>
      </c>
      <c r="CH184" s="21">
        <f t="shared" si="1517"/>
        <v>1210.4132444933919</v>
      </c>
      <c r="CI184" s="21">
        <f t="shared" ref="CI184:CJ184" si="1519">SUM(CI178:CI183)</f>
        <v>1628.5</v>
      </c>
      <c r="CJ184" s="21">
        <f t="shared" si="1519"/>
        <v>1591.9044097795113</v>
      </c>
      <c r="CK184" s="21">
        <f t="shared" ref="CK184:CL184" si="1520">SUM(CK178:CK183)</f>
        <v>1882.3</v>
      </c>
      <c r="CL184" s="21">
        <f t="shared" si="1520"/>
        <v>1496.5559821428571</v>
      </c>
      <c r="CM184" s="20">
        <f t="shared" ref="CM184:DA184" si="1521">SUM(CM178:CM183)</f>
        <v>1843.0581239188427</v>
      </c>
      <c r="CN184" s="20">
        <f t="shared" si="1521"/>
        <v>1998.1698954488372</v>
      </c>
      <c r="CO184" s="20">
        <f t="shared" si="1521"/>
        <v>2051.9892424298064</v>
      </c>
      <c r="CP184" s="20">
        <f t="shared" si="1521"/>
        <v>1834.5524414977381</v>
      </c>
      <c r="CQ184" s="20">
        <f t="shared" si="1521"/>
        <v>2018.5165631440038</v>
      </c>
      <c r="CR184" s="20">
        <f t="shared" si="1521"/>
        <v>2191.5470806801623</v>
      </c>
      <c r="CS184" s="20">
        <f t="shared" si="1521"/>
        <v>2252.0708381640461</v>
      </c>
      <c r="CT184" s="20">
        <f t="shared" si="1521"/>
        <v>2014.8733020705019</v>
      </c>
      <c r="CU184" s="20">
        <f t="shared" si="1521"/>
        <v>2217.9263065666501</v>
      </c>
      <c r="CV184" s="20">
        <f t="shared" si="1521"/>
        <v>2408.9243751727236</v>
      </c>
      <c r="CW184" s="20">
        <f t="shared" si="1521"/>
        <v>2475.8655173919524</v>
      </c>
      <c r="CX184" s="20">
        <f t="shared" si="1521"/>
        <v>2215.49552898416</v>
      </c>
      <c r="CY184" s="20">
        <f t="shared" si="1521"/>
        <v>2439.0449588052529</v>
      </c>
      <c r="CZ184" s="20">
        <f t="shared" si="1521"/>
        <v>2649.3262389296165</v>
      </c>
      <c r="DA184" s="20">
        <f t="shared" si="1521"/>
        <v>2723.0622394146844</v>
      </c>
      <c r="DD184" s="125"/>
      <c r="DE184" s="21">
        <v>1882.3</v>
      </c>
    </row>
    <row r="185" spans="1:109" s="22" customFormat="1" outlineLevel="1" x14ac:dyDescent="0.2">
      <c r="A185" s="22" t="s">
        <v>66</v>
      </c>
      <c r="B185" s="22">
        <f>'Annual Raw'!C50+'Annual Raw'!C58</f>
        <v>0</v>
      </c>
      <c r="C185" s="22">
        <f>'Annual Raw'!D50+'Annual Raw'!D58</f>
        <v>0</v>
      </c>
      <c r="D185" s="22">
        <f>'Annual Raw'!E50+'Annual Raw'!E58</f>
        <v>0</v>
      </c>
      <c r="E185" s="22">
        <f>'Annual Raw'!F50+'Annual Raw'!F58</f>
        <v>0</v>
      </c>
      <c r="F185" s="22">
        <f>'Annual Raw'!G50+'Annual Raw'!G58</f>
        <v>0</v>
      </c>
      <c r="G185" s="22">
        <f>'Annual Raw'!H50+'Annual Raw'!H58</f>
        <v>0</v>
      </c>
      <c r="H185" s="22">
        <f>'Annual Raw'!I50+'Annual Raw'!I58</f>
        <v>0</v>
      </c>
      <c r="I185" s="22">
        <f>'Annual Raw'!J50+'Annual Raw'!J58</f>
        <v>0</v>
      </c>
      <c r="J185" s="22">
        <f>'Annual Raw'!K50+'Annual Raw'!K58</f>
        <v>0</v>
      </c>
      <c r="K185" s="22">
        <f>'Annual Raw'!L50+'Annual Raw'!L58</f>
        <v>0</v>
      </c>
      <c r="L185" s="22">
        <f>'Annual Raw'!M50+'Annual Raw'!M58</f>
        <v>0</v>
      </c>
      <c r="M185" s="22">
        <f>'Annual Raw'!N50+'Annual Raw'!N58</f>
        <v>5.3019999999999996</v>
      </c>
      <c r="N185" s="22">
        <f>'Annual Raw'!O50+'Annual Raw'!O58</f>
        <v>5.6040000000000001</v>
      </c>
      <c r="O185" s="22">
        <f>'Annual Raw'!P50+'Annual Raw'!P58</f>
        <v>6.0439999999999996</v>
      </c>
      <c r="P185" s="22">
        <f>'Annual Raw'!Q50+'Annual Raw'!Q58</f>
        <v>6.6669999999999998</v>
      </c>
      <c r="Q185" s="22">
        <f>'Annual Raw'!R50+'Annual Raw'!R58</f>
        <v>7.0419999999999998</v>
      </c>
      <c r="R185" s="22">
        <f>'Annual Raw'!S50+'Annual Raw'!S58</f>
        <v>0</v>
      </c>
      <c r="S185" s="22">
        <f>'Annual Raw'!T50+'Annual Raw'!T58</f>
        <v>0</v>
      </c>
      <c r="T185" s="22">
        <f>'Annual Raw'!U50+'Annual Raw'!U58</f>
        <v>0</v>
      </c>
      <c r="U185" s="22">
        <f>'Annual Raw'!V50+'Annual Raw'!V58</f>
        <v>0</v>
      </c>
      <c r="V185" s="22">
        <f>'Annual Raw'!W50+'Annual Raw'!W58</f>
        <v>0.89800000000000002</v>
      </c>
      <c r="W185" s="22">
        <f>'Annual Raw'!X50+'Annual Raw'!X58</f>
        <v>2.0339999999999998</v>
      </c>
      <c r="X185" s="22">
        <f>'Annual Raw'!Y50+'Annual Raw'!Y58</f>
        <v>1.9510000000000001</v>
      </c>
      <c r="Y185" s="22">
        <f>'Annual Raw'!Z50+'Annual Raw'!Z58</f>
        <v>2.1019999999999999</v>
      </c>
      <c r="Z185" s="22">
        <f>'Annual Raw'!AA50+'Annual Raw'!AA58</f>
        <v>2.1669999999999998</v>
      </c>
      <c r="AA185" s="22">
        <f>'Annual Raw'!AB50+'Annual Raw'!AB58</f>
        <v>3.7309999999999999</v>
      </c>
      <c r="AB185" s="23">
        <f t="shared" ref="AB185:AB191" si="1522">+CO185</f>
        <v>0</v>
      </c>
      <c r="AC185" s="23">
        <f t="shared" ref="AC185:AC191" si="1523">+CS185</f>
        <v>0</v>
      </c>
      <c r="AD185" s="23">
        <f t="shared" ref="AD185:AD191" si="1524">+CW185</f>
        <v>0</v>
      </c>
      <c r="AE185" s="23">
        <f t="shared" ref="AE185:AE191" si="1525">+DA185</f>
        <v>0</v>
      </c>
      <c r="AI185" s="22">
        <f>+'QTR Raw'!C64</f>
        <v>5.4</v>
      </c>
      <c r="AJ185" s="22">
        <f t="shared" ref="AJ185:AJ188" si="1526">+AI185</f>
        <v>5.4</v>
      </c>
      <c r="AK185" s="22">
        <f>+'QTR Raw'!E64</f>
        <v>0</v>
      </c>
      <c r="AL185" s="22">
        <f t="shared" ref="AL185:AL188" si="1527">+AK185</f>
        <v>0</v>
      </c>
      <c r="AM185" s="22">
        <f>+'QTR Raw'!G64</f>
        <v>5.79</v>
      </c>
      <c r="AN185" s="22">
        <f t="shared" ref="AN185:AN188" si="1528">+AM185</f>
        <v>5.79</v>
      </c>
      <c r="AO185" s="22">
        <f>+'QTR Raw'!I64</f>
        <v>6.04</v>
      </c>
      <c r="AP185" s="22">
        <f t="shared" ref="AP185:AP188" si="1529">+AO185</f>
        <v>6.04</v>
      </c>
      <c r="AQ185" s="22">
        <f>+'QTR Raw'!K64</f>
        <v>6.29</v>
      </c>
      <c r="AR185" s="22">
        <f t="shared" ref="AR185:AR188" si="1530">+AQ185</f>
        <v>6.29</v>
      </c>
      <c r="AS185" s="22">
        <f>+'QTR Raw'!M64</f>
        <v>6.67</v>
      </c>
      <c r="AT185" s="22">
        <f t="shared" ref="AT185:AT188" si="1531">+AS185</f>
        <v>6.67</v>
      </c>
      <c r="AU185" s="22">
        <f>+'QTR Raw'!O64</f>
        <v>6.7</v>
      </c>
      <c r="AV185" s="22">
        <f t="shared" ref="AV185:AV188" si="1532">+AU185</f>
        <v>6.7</v>
      </c>
      <c r="AW185" s="22">
        <f>+'QTR Raw'!Q64</f>
        <v>7.04</v>
      </c>
      <c r="AX185" s="22">
        <f t="shared" ref="AX185:AX188" si="1533">+AW185</f>
        <v>7.04</v>
      </c>
      <c r="AY185" s="22">
        <f>+'QTR Raw'!S64</f>
        <v>6.95</v>
      </c>
      <c r="AZ185" s="22">
        <f t="shared" ref="AZ185:AZ188" si="1534">+AY185</f>
        <v>6.95</v>
      </c>
      <c r="BA185" s="22">
        <f>+'QTR Raw'!U64</f>
        <v>0</v>
      </c>
      <c r="BB185" s="22">
        <f t="shared" ref="BB185:BB188" si="1535">+BA185</f>
        <v>0</v>
      </c>
      <c r="BC185" s="22">
        <f>+'QTR Raw'!W64</f>
        <v>0</v>
      </c>
      <c r="BD185" s="22">
        <f t="shared" ref="BD185:BD188" si="1536">+BC185</f>
        <v>0</v>
      </c>
      <c r="BE185" s="22">
        <f>+'QTR Raw'!Y64</f>
        <v>0</v>
      </c>
      <c r="BF185" s="22">
        <f t="shared" ref="BF185:BF188" si="1537">+BE185</f>
        <v>0</v>
      </c>
      <c r="BG185" s="22">
        <f>+'QTR Raw'!AA64</f>
        <v>0</v>
      </c>
      <c r="BH185" s="22">
        <f t="shared" ref="BH185:BH188" si="1538">+BG185</f>
        <v>0</v>
      </c>
      <c r="BI185" s="22">
        <f>+'QTR Raw'!AC64</f>
        <v>0</v>
      </c>
      <c r="BJ185" s="22">
        <f t="shared" ref="BJ185:BJ188" si="1539">+BI185</f>
        <v>0</v>
      </c>
      <c r="BK185" s="22">
        <f>+'QTR Raw'!AE64</f>
        <v>59</v>
      </c>
      <c r="BL185" s="22">
        <f t="shared" ref="BL185:BL188" si="1540">+BK185</f>
        <v>59</v>
      </c>
      <c r="BM185" s="22">
        <f>+'QTR Raw'!AG64</f>
        <v>0</v>
      </c>
      <c r="BN185" s="22">
        <f t="shared" ref="BN185:BN188" si="1541">+BM185</f>
        <v>0</v>
      </c>
      <c r="BO185" s="22">
        <f>+'QTR Raw'!AI64</f>
        <v>0</v>
      </c>
      <c r="BP185" s="22">
        <f t="shared" ref="BP185:BP188" si="1542">+BO185</f>
        <v>0</v>
      </c>
      <c r="BQ185" s="22">
        <f>+'QTR Raw'!AK64</f>
        <v>0.9</v>
      </c>
      <c r="BR185" s="22">
        <f t="shared" ref="BR185:BR188" si="1543">+BQ185</f>
        <v>0.9</v>
      </c>
      <c r="BS185" s="22">
        <f>+'QTR Raw'!AM64</f>
        <v>2.2000000000000002</v>
      </c>
      <c r="BT185" s="22">
        <f t="shared" ref="BT185:BT188" si="1544">+BS185</f>
        <v>2.2000000000000002</v>
      </c>
      <c r="BU185" s="22">
        <f>+'QTR Raw'!AO64</f>
        <v>2</v>
      </c>
      <c r="BV185" s="22">
        <f t="shared" ref="BV185:BV188" si="1545">+BU185</f>
        <v>2</v>
      </c>
      <c r="BW185" s="22">
        <f>+'QTR Raw'!AQ64</f>
        <v>2</v>
      </c>
      <c r="BX185" s="22">
        <f t="shared" ref="BX185:BX188" si="1546">+BW185</f>
        <v>2</v>
      </c>
      <c r="BY185" s="22">
        <f>+'QTR Raw'!AS64</f>
        <v>2</v>
      </c>
      <c r="BZ185" s="22">
        <f t="shared" ref="BZ185:BZ188" si="1547">+BY185</f>
        <v>2</v>
      </c>
      <c r="CA185" s="22">
        <f>+'QTR Raw'!AU64</f>
        <v>1.8</v>
      </c>
      <c r="CB185" s="22">
        <f t="shared" ref="CB185:CB188" si="1548">+CA185</f>
        <v>1.8</v>
      </c>
      <c r="CC185" s="22">
        <f>+'QTR Raw'!AW64</f>
        <v>2.1</v>
      </c>
      <c r="CD185" s="22">
        <f t="shared" ref="CD185:CD188" si="1549">+CC185</f>
        <v>2.1</v>
      </c>
      <c r="CE185" s="22">
        <f>+'QTR Raw'!AY64</f>
        <v>1.6</v>
      </c>
      <c r="CF185" s="22">
        <f t="shared" ref="CF185:CL191" si="1550">+CE185</f>
        <v>1.6</v>
      </c>
      <c r="CG185" s="22">
        <f t="shared" ref="CG185:CG191" si="1551">+Z185</f>
        <v>2.1669999999999998</v>
      </c>
      <c r="CH185" s="22">
        <f t="shared" si="1550"/>
        <v>2.1669999999999998</v>
      </c>
      <c r="CI185" s="22">
        <f>+'QTR Raw'!BC64</f>
        <v>3.4</v>
      </c>
      <c r="CJ185" s="22">
        <f t="shared" si="1550"/>
        <v>3.4</v>
      </c>
      <c r="CK185" s="22">
        <f>+'QTR Raw'!BE64</f>
        <v>3.7</v>
      </c>
      <c r="CL185" s="22">
        <f t="shared" si="1550"/>
        <v>3.7</v>
      </c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D185" s="122"/>
      <c r="DE185" s="22">
        <v>3.7</v>
      </c>
    </row>
    <row r="186" spans="1:109" s="22" customFormat="1" outlineLevel="1" x14ac:dyDescent="0.2">
      <c r="A186" s="22" t="s">
        <v>67</v>
      </c>
      <c r="B186" s="22">
        <f>'Annual Raw'!C51</f>
        <v>0</v>
      </c>
      <c r="C186" s="22">
        <f>'Annual Raw'!D51</f>
        <v>0</v>
      </c>
      <c r="D186" s="22">
        <f>'Annual Raw'!E51</f>
        <v>0</v>
      </c>
      <c r="E186" s="22">
        <f>'Annual Raw'!F51</f>
        <v>0</v>
      </c>
      <c r="F186" s="22">
        <f>'Annual Raw'!G51</f>
        <v>0</v>
      </c>
      <c r="G186" s="22">
        <f>'Annual Raw'!H51</f>
        <v>0</v>
      </c>
      <c r="H186" s="22">
        <f>'Annual Raw'!I51</f>
        <v>0</v>
      </c>
      <c r="I186" s="22">
        <f>'Annual Raw'!J51</f>
        <v>0</v>
      </c>
      <c r="J186" s="22">
        <f>'Annual Raw'!K51</f>
        <v>0</v>
      </c>
      <c r="K186" s="22">
        <f>'Annual Raw'!L51</f>
        <v>0</v>
      </c>
      <c r="L186" s="22">
        <f>'Annual Raw'!M51</f>
        <v>0</v>
      </c>
      <c r="M186" s="22">
        <f>'Annual Raw'!N51</f>
        <v>0</v>
      </c>
      <c r="N186" s="22">
        <f>'Annual Raw'!O51</f>
        <v>0</v>
      </c>
      <c r="O186" s="22">
        <f>'Annual Raw'!P51</f>
        <v>0</v>
      </c>
      <c r="P186" s="22">
        <f>'Annual Raw'!Q51</f>
        <v>0</v>
      </c>
      <c r="Q186" s="22">
        <f>'Annual Raw'!R51</f>
        <v>0</v>
      </c>
      <c r="R186" s="22">
        <f>'Annual Raw'!S51</f>
        <v>0</v>
      </c>
      <c r="S186" s="22">
        <f>'Annual Raw'!T51</f>
        <v>0</v>
      </c>
      <c r="T186" s="22">
        <f>'Annual Raw'!U51</f>
        <v>0</v>
      </c>
      <c r="U186" s="22">
        <f>'Annual Raw'!V51</f>
        <v>0</v>
      </c>
      <c r="V186" s="22">
        <f>'Annual Raw'!W51</f>
        <v>0</v>
      </c>
      <c r="W186" s="22">
        <f>'Annual Raw'!X51</f>
        <v>0</v>
      </c>
      <c r="X186" s="22">
        <f>'Annual Raw'!Y51</f>
        <v>0</v>
      </c>
      <c r="Y186" s="22">
        <f>'Annual Raw'!Z51</f>
        <v>0</v>
      </c>
      <c r="Z186" s="22">
        <f>'Annual Raw'!AA51</f>
        <v>0</v>
      </c>
      <c r="AA186" s="22">
        <f>'Annual Raw'!AB51</f>
        <v>0</v>
      </c>
      <c r="AB186" s="23">
        <f t="shared" si="1522"/>
        <v>0</v>
      </c>
      <c r="AC186" s="23">
        <f t="shared" si="1523"/>
        <v>0</v>
      </c>
      <c r="AD186" s="23">
        <f t="shared" si="1524"/>
        <v>0</v>
      </c>
      <c r="AE186" s="23">
        <f t="shared" si="1525"/>
        <v>0</v>
      </c>
      <c r="AI186" s="22">
        <f>+'QTR Raw'!C65</f>
        <v>0</v>
      </c>
      <c r="AJ186" s="22">
        <f t="shared" si="1526"/>
        <v>0</v>
      </c>
      <c r="AK186" s="22">
        <f>+'QTR Raw'!E65</f>
        <v>0</v>
      </c>
      <c r="AL186" s="22">
        <f t="shared" si="1527"/>
        <v>0</v>
      </c>
      <c r="AM186" s="22">
        <f>+'QTR Raw'!G65</f>
        <v>0</v>
      </c>
      <c r="AN186" s="22">
        <f t="shared" si="1528"/>
        <v>0</v>
      </c>
      <c r="AO186" s="22">
        <f>+'QTR Raw'!I65</f>
        <v>0</v>
      </c>
      <c r="AP186" s="22">
        <f t="shared" si="1529"/>
        <v>0</v>
      </c>
      <c r="AQ186" s="22">
        <f>+'QTR Raw'!K65</f>
        <v>0</v>
      </c>
      <c r="AR186" s="22">
        <f t="shared" si="1530"/>
        <v>0</v>
      </c>
      <c r="AS186" s="22">
        <f>+'QTR Raw'!M65</f>
        <v>0</v>
      </c>
      <c r="AT186" s="22">
        <f t="shared" si="1531"/>
        <v>0</v>
      </c>
      <c r="AU186" s="22">
        <f>+'QTR Raw'!O65</f>
        <v>0</v>
      </c>
      <c r="AV186" s="22">
        <f t="shared" si="1532"/>
        <v>0</v>
      </c>
      <c r="AW186" s="22">
        <f>+'QTR Raw'!Q65</f>
        <v>0</v>
      </c>
      <c r="AX186" s="22">
        <f t="shared" si="1533"/>
        <v>0</v>
      </c>
      <c r="AY186" s="22">
        <f>+'QTR Raw'!S65</f>
        <v>0</v>
      </c>
      <c r="AZ186" s="22">
        <f t="shared" si="1534"/>
        <v>0</v>
      </c>
      <c r="BA186" s="22">
        <f>+'QTR Raw'!U65</f>
        <v>0</v>
      </c>
      <c r="BB186" s="22">
        <f t="shared" si="1535"/>
        <v>0</v>
      </c>
      <c r="BC186" s="22">
        <f>+'QTR Raw'!W65</f>
        <v>0</v>
      </c>
      <c r="BD186" s="22">
        <f t="shared" si="1536"/>
        <v>0</v>
      </c>
      <c r="BE186" s="22">
        <f>+'QTR Raw'!Y65</f>
        <v>0</v>
      </c>
      <c r="BF186" s="22">
        <f t="shared" si="1537"/>
        <v>0</v>
      </c>
      <c r="BG186" s="22">
        <f>+'QTR Raw'!AA65</f>
        <v>0</v>
      </c>
      <c r="BH186" s="22">
        <f t="shared" si="1538"/>
        <v>0</v>
      </c>
      <c r="BI186" s="22">
        <f>+'QTR Raw'!AC65</f>
        <v>0</v>
      </c>
      <c r="BJ186" s="22">
        <f t="shared" si="1539"/>
        <v>0</v>
      </c>
      <c r="BK186" s="22">
        <f>+'QTR Raw'!AE65</f>
        <v>0</v>
      </c>
      <c r="BL186" s="22">
        <f t="shared" si="1540"/>
        <v>0</v>
      </c>
      <c r="BM186" s="22">
        <f>+'QTR Raw'!AG65</f>
        <v>0</v>
      </c>
      <c r="BN186" s="22">
        <f t="shared" si="1541"/>
        <v>0</v>
      </c>
      <c r="BO186" s="22">
        <f>+'QTR Raw'!AI65</f>
        <v>0</v>
      </c>
      <c r="BP186" s="22">
        <f t="shared" si="1542"/>
        <v>0</v>
      </c>
      <c r="BQ186" s="22">
        <f>+'QTR Raw'!AK65</f>
        <v>0</v>
      </c>
      <c r="BR186" s="22">
        <f t="shared" si="1543"/>
        <v>0</v>
      </c>
      <c r="BS186" s="22">
        <f>+'QTR Raw'!AM65</f>
        <v>0</v>
      </c>
      <c r="BT186" s="22">
        <f t="shared" si="1544"/>
        <v>0</v>
      </c>
      <c r="BU186" s="22">
        <f>+'QTR Raw'!AO65</f>
        <v>0</v>
      </c>
      <c r="BV186" s="22">
        <f t="shared" si="1545"/>
        <v>0</v>
      </c>
      <c r="BW186" s="22">
        <f>+'QTR Raw'!AQ65</f>
        <v>0</v>
      </c>
      <c r="BX186" s="22">
        <f t="shared" si="1546"/>
        <v>0</v>
      </c>
      <c r="BY186" s="22">
        <f>+'QTR Raw'!AS65</f>
        <v>0</v>
      </c>
      <c r="BZ186" s="22">
        <f t="shared" si="1547"/>
        <v>0</v>
      </c>
      <c r="CA186" s="22">
        <f>+'QTR Raw'!AU65</f>
        <v>0</v>
      </c>
      <c r="CB186" s="22">
        <f t="shared" si="1548"/>
        <v>0</v>
      </c>
      <c r="CC186" s="22">
        <f>+'QTR Raw'!AW65</f>
        <v>0</v>
      </c>
      <c r="CD186" s="22">
        <f t="shared" si="1549"/>
        <v>0</v>
      </c>
      <c r="CE186" s="22">
        <f>+'QTR Raw'!AY65</f>
        <v>0</v>
      </c>
      <c r="CF186" s="22">
        <f t="shared" si="1550"/>
        <v>0</v>
      </c>
      <c r="CG186" s="22">
        <f t="shared" si="1551"/>
        <v>0</v>
      </c>
      <c r="CH186" s="22">
        <f t="shared" si="1550"/>
        <v>0</v>
      </c>
      <c r="CI186" s="22">
        <f>+'QTR Raw'!BC65</f>
        <v>0</v>
      </c>
      <c r="CJ186" s="22">
        <f t="shared" si="1550"/>
        <v>0</v>
      </c>
      <c r="CK186" s="22">
        <f>+'QTR Raw'!BE65</f>
        <v>0</v>
      </c>
      <c r="CL186" s="22">
        <f t="shared" si="1550"/>
        <v>0</v>
      </c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D186" s="122"/>
      <c r="DE186" s="22">
        <v>0</v>
      </c>
    </row>
    <row r="187" spans="1:109" s="22" customFormat="1" outlineLevel="1" x14ac:dyDescent="0.2">
      <c r="A187" s="22" t="s">
        <v>68</v>
      </c>
      <c r="B187" s="22">
        <f>'Annual Raw'!C52</f>
        <v>0</v>
      </c>
      <c r="C187" s="22">
        <f>'Annual Raw'!D52</f>
        <v>0</v>
      </c>
      <c r="D187" s="22">
        <f>'Annual Raw'!E52</f>
        <v>0</v>
      </c>
      <c r="E187" s="22">
        <f>'Annual Raw'!F52</f>
        <v>0</v>
      </c>
      <c r="F187" s="22">
        <f>'Annual Raw'!G52</f>
        <v>0</v>
      </c>
      <c r="G187" s="22">
        <f>'Annual Raw'!H52</f>
        <v>0</v>
      </c>
      <c r="H187" s="22">
        <f>'Annual Raw'!I52</f>
        <v>0</v>
      </c>
      <c r="I187" s="22">
        <f>'Annual Raw'!J52</f>
        <v>0</v>
      </c>
      <c r="J187" s="22">
        <f>'Annual Raw'!K52</f>
        <v>0</v>
      </c>
      <c r="K187" s="22">
        <f>'Annual Raw'!L52</f>
        <v>0</v>
      </c>
      <c r="L187" s="22">
        <f>'Annual Raw'!M52</f>
        <v>0</v>
      </c>
      <c r="M187" s="22">
        <f>'Annual Raw'!N52</f>
        <v>18.370999999999999</v>
      </c>
      <c r="N187" s="22">
        <f>'Annual Raw'!O52</f>
        <v>22.765000000000001</v>
      </c>
      <c r="O187" s="22">
        <f>'Annual Raw'!P52</f>
        <v>23.268000000000001</v>
      </c>
      <c r="P187" s="22">
        <f>'Annual Raw'!Q52</f>
        <v>29.59</v>
      </c>
      <c r="Q187" s="22">
        <f>'Annual Raw'!R52</f>
        <v>29.446999999999999</v>
      </c>
      <c r="R187" s="22">
        <f>'Annual Raw'!S52</f>
        <v>36.988</v>
      </c>
      <c r="S187" s="22">
        <f>'Annual Raw'!T52</f>
        <v>37.335000000000001</v>
      </c>
      <c r="T187" s="22">
        <f>'Annual Raw'!U52</f>
        <v>36.579000000000001</v>
      </c>
      <c r="U187" s="22">
        <f>'Annual Raw'!V52</f>
        <v>42.44</v>
      </c>
      <c r="V187" s="22">
        <f>'Annual Raw'!W52</f>
        <v>45.350999999999999</v>
      </c>
      <c r="W187" s="22">
        <f>'Annual Raw'!X52</f>
        <v>51.667000000000002</v>
      </c>
      <c r="X187" s="22">
        <f>'Annual Raw'!Y52</f>
        <v>43.31</v>
      </c>
      <c r="Y187" s="22">
        <f>'Annual Raw'!Z52</f>
        <v>43.7</v>
      </c>
      <c r="Z187" s="22">
        <f>'Annual Raw'!AA52</f>
        <v>56.981999999999999</v>
      </c>
      <c r="AA187" s="22">
        <f>'Annual Raw'!AB52</f>
        <v>85.616</v>
      </c>
      <c r="AB187" s="23">
        <f t="shared" si="1522"/>
        <v>0</v>
      </c>
      <c r="AC187" s="23">
        <f t="shared" si="1523"/>
        <v>0</v>
      </c>
      <c r="AD187" s="23">
        <f t="shared" si="1524"/>
        <v>0</v>
      </c>
      <c r="AE187" s="23">
        <f t="shared" si="1525"/>
        <v>0</v>
      </c>
      <c r="AI187" s="22">
        <f>+'QTR Raw'!C66</f>
        <v>22.05</v>
      </c>
      <c r="AJ187" s="22">
        <f t="shared" si="1526"/>
        <v>22.05</v>
      </c>
      <c r="AK187" s="22">
        <f>+'QTR Raw'!E66</f>
        <v>0</v>
      </c>
      <c r="AL187" s="22">
        <f t="shared" si="1527"/>
        <v>0</v>
      </c>
      <c r="AM187" s="22">
        <f>+'QTR Raw'!G66</f>
        <v>22.96</v>
      </c>
      <c r="AN187" s="22">
        <f t="shared" si="1528"/>
        <v>22.96</v>
      </c>
      <c r="AO187" s="22">
        <f>+'QTR Raw'!I66</f>
        <v>23.27</v>
      </c>
      <c r="AP187" s="22">
        <f t="shared" si="1529"/>
        <v>23.27</v>
      </c>
      <c r="AQ187" s="22">
        <f>+'QTR Raw'!K66</f>
        <v>23.31</v>
      </c>
      <c r="AR187" s="22">
        <f t="shared" si="1530"/>
        <v>23.31</v>
      </c>
      <c r="AS187" s="22">
        <f>+'QTR Raw'!M66</f>
        <v>29.59</v>
      </c>
      <c r="AT187" s="22">
        <f t="shared" si="1531"/>
        <v>29.59</v>
      </c>
      <c r="AU187" s="22">
        <f>+'QTR Raw'!O66</f>
        <v>29.25</v>
      </c>
      <c r="AV187" s="22">
        <f t="shared" si="1532"/>
        <v>29.25</v>
      </c>
      <c r="AW187" s="22">
        <f>+'QTR Raw'!Q66</f>
        <v>29.45</v>
      </c>
      <c r="AX187" s="22">
        <f t="shared" si="1533"/>
        <v>29.45</v>
      </c>
      <c r="AY187" s="22">
        <f>+'QTR Raw'!S66</f>
        <v>30.29</v>
      </c>
      <c r="AZ187" s="22">
        <f t="shared" si="1534"/>
        <v>30.29</v>
      </c>
      <c r="BA187" s="22">
        <f>+'QTR Raw'!U66</f>
        <v>36.99</v>
      </c>
      <c r="BB187" s="22">
        <f t="shared" si="1535"/>
        <v>36.99</v>
      </c>
      <c r="BC187" s="22">
        <f>+'QTR Raw'!W66</f>
        <v>33.5</v>
      </c>
      <c r="BD187" s="22">
        <f t="shared" si="1536"/>
        <v>33.5</v>
      </c>
      <c r="BE187" s="22">
        <f>+'QTR Raw'!Y66</f>
        <v>37.299999999999997</v>
      </c>
      <c r="BF187" s="22">
        <f t="shared" si="1537"/>
        <v>37.299999999999997</v>
      </c>
      <c r="BG187" s="22">
        <f>+'QTR Raw'!AA66</f>
        <v>36.6</v>
      </c>
      <c r="BH187" s="22">
        <f t="shared" si="1538"/>
        <v>36.6</v>
      </c>
      <c r="BI187" s="22">
        <f>+'QTR Raw'!AC66</f>
        <v>36.6</v>
      </c>
      <c r="BJ187" s="22">
        <f t="shared" si="1539"/>
        <v>36.6</v>
      </c>
      <c r="BK187" s="22">
        <f>+'QTR Raw'!AE66</f>
        <v>31.6</v>
      </c>
      <c r="BL187" s="22">
        <f t="shared" si="1540"/>
        <v>31.6</v>
      </c>
      <c r="BM187" s="22">
        <f>+'QTR Raw'!AG66</f>
        <v>42.4</v>
      </c>
      <c r="BN187" s="22">
        <f t="shared" si="1541"/>
        <v>42.4</v>
      </c>
      <c r="BO187" s="22">
        <f>+'QTR Raw'!AI66</f>
        <v>44.6</v>
      </c>
      <c r="BP187" s="22">
        <f t="shared" si="1542"/>
        <v>44.6</v>
      </c>
      <c r="BQ187" s="22">
        <f>+'QTR Raw'!AK66</f>
        <v>45.4</v>
      </c>
      <c r="BR187" s="22">
        <f t="shared" si="1543"/>
        <v>45.4</v>
      </c>
      <c r="BS187" s="22">
        <f>+'QTR Raw'!AM66</f>
        <v>47.4</v>
      </c>
      <c r="BT187" s="22">
        <f t="shared" si="1544"/>
        <v>47.4</v>
      </c>
      <c r="BU187" s="22">
        <f>+'QTR Raw'!AO66</f>
        <v>51.7</v>
      </c>
      <c r="BV187" s="22">
        <f t="shared" si="1545"/>
        <v>51.7</v>
      </c>
      <c r="BW187" s="22">
        <f>+'QTR Raw'!AQ66</f>
        <v>45.9</v>
      </c>
      <c r="BX187" s="22">
        <f t="shared" si="1546"/>
        <v>45.9</v>
      </c>
      <c r="BY187" s="22">
        <f>+'QTR Raw'!AS66</f>
        <v>43.3</v>
      </c>
      <c r="BZ187" s="22">
        <f t="shared" si="1547"/>
        <v>43.3</v>
      </c>
      <c r="CA187" s="22">
        <f>+'QTR Raw'!AU66</f>
        <v>45.6</v>
      </c>
      <c r="CB187" s="22">
        <f t="shared" si="1548"/>
        <v>45.6</v>
      </c>
      <c r="CC187" s="22">
        <f>+'QTR Raw'!AW66</f>
        <v>43.7</v>
      </c>
      <c r="CD187" s="22">
        <f t="shared" si="1549"/>
        <v>43.7</v>
      </c>
      <c r="CE187" s="22">
        <f>+'QTR Raw'!AY66</f>
        <v>47.1</v>
      </c>
      <c r="CF187" s="22">
        <f t="shared" si="1550"/>
        <v>47.1</v>
      </c>
      <c r="CG187" s="22">
        <f t="shared" si="1551"/>
        <v>56.981999999999999</v>
      </c>
      <c r="CH187" s="22">
        <f t="shared" si="1550"/>
        <v>56.981999999999999</v>
      </c>
      <c r="CI187" s="22">
        <f>+'QTR Raw'!BC66</f>
        <v>64.7</v>
      </c>
      <c r="CJ187" s="22">
        <f t="shared" si="1550"/>
        <v>64.7</v>
      </c>
      <c r="CK187" s="22">
        <f>+'QTR Raw'!BE66</f>
        <v>85.6</v>
      </c>
      <c r="CL187" s="22">
        <f t="shared" si="1550"/>
        <v>85.6</v>
      </c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D187" s="122"/>
      <c r="DE187" s="22">
        <v>85.6</v>
      </c>
    </row>
    <row r="188" spans="1:109" s="22" customFormat="1" outlineLevel="1" x14ac:dyDescent="0.2">
      <c r="A188" s="22" t="s">
        <v>69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3">
        <f t="shared" si="1522"/>
        <v>733.12583835416524</v>
      </c>
      <c r="AC188" s="23">
        <f t="shared" si="1523"/>
        <v>804.61012520072313</v>
      </c>
      <c r="AD188" s="23">
        <f t="shared" si="1524"/>
        <v>884.56651992035722</v>
      </c>
      <c r="AE188" s="23">
        <f t="shared" si="1525"/>
        <v>972.88389523794092</v>
      </c>
      <c r="AI188" s="22">
        <f>+'QTR Raw'!C87</f>
        <v>193.63</v>
      </c>
      <c r="AJ188" s="22">
        <f t="shared" si="1526"/>
        <v>193.63</v>
      </c>
      <c r="AK188" s="22">
        <f>+'QTR Raw'!E87</f>
        <v>0</v>
      </c>
      <c r="AL188" s="22">
        <f t="shared" si="1527"/>
        <v>0</v>
      </c>
      <c r="AM188" s="22">
        <f>+'QTR Raw'!G87</f>
        <v>0</v>
      </c>
      <c r="AN188" s="22">
        <f t="shared" si="1528"/>
        <v>0</v>
      </c>
      <c r="AO188" s="22">
        <f>+'QTR Raw'!I87</f>
        <v>0</v>
      </c>
      <c r="AP188" s="22">
        <f t="shared" si="1529"/>
        <v>0</v>
      </c>
      <c r="AQ188" s="22">
        <f>+'QTR Raw'!K87</f>
        <v>0</v>
      </c>
      <c r="AR188" s="22">
        <f t="shared" si="1530"/>
        <v>0</v>
      </c>
      <c r="AS188" s="22">
        <f>+'QTR Raw'!M87</f>
        <v>0</v>
      </c>
      <c r="AT188" s="22">
        <f t="shared" si="1531"/>
        <v>0</v>
      </c>
      <c r="AU188" s="22">
        <f>+'QTR Raw'!O87</f>
        <v>0</v>
      </c>
      <c r="AV188" s="22">
        <f t="shared" si="1532"/>
        <v>0</v>
      </c>
      <c r="AW188" s="22">
        <f>+'QTR Raw'!Q87</f>
        <v>0</v>
      </c>
      <c r="AX188" s="22">
        <f t="shared" si="1533"/>
        <v>0</v>
      </c>
      <c r="AY188" s="22">
        <f>+'QTR Raw'!S87</f>
        <v>0</v>
      </c>
      <c r="AZ188" s="22">
        <f t="shared" si="1534"/>
        <v>0</v>
      </c>
      <c r="BA188" s="22">
        <f>+'QTR Raw'!U87</f>
        <v>0</v>
      </c>
      <c r="BB188" s="22">
        <f t="shared" si="1535"/>
        <v>0</v>
      </c>
      <c r="BC188" s="22">
        <f>+'QTR Raw'!W87</f>
        <v>0</v>
      </c>
      <c r="BD188" s="22">
        <f t="shared" si="1536"/>
        <v>0</v>
      </c>
      <c r="BE188" s="22">
        <f>+'QTR Raw'!Y87</f>
        <v>0</v>
      </c>
      <c r="BF188" s="22">
        <f t="shared" si="1537"/>
        <v>0</v>
      </c>
      <c r="BG188" s="22">
        <f>+'QTR Raw'!AA87</f>
        <v>0</v>
      </c>
      <c r="BH188" s="22">
        <f t="shared" si="1538"/>
        <v>0</v>
      </c>
      <c r="BI188" s="22">
        <f>+'QTR Raw'!AC87</f>
        <v>0</v>
      </c>
      <c r="BJ188" s="22">
        <f t="shared" si="1539"/>
        <v>0</v>
      </c>
      <c r="BK188" s="22">
        <f>+'QTR Raw'!AE87</f>
        <v>0</v>
      </c>
      <c r="BL188" s="22">
        <f t="shared" si="1540"/>
        <v>0</v>
      </c>
      <c r="BM188" s="22">
        <f>+'QTR Raw'!AG87</f>
        <v>0</v>
      </c>
      <c r="BN188" s="22">
        <f t="shared" si="1541"/>
        <v>0</v>
      </c>
      <c r="BO188" s="22">
        <f>+'QTR Raw'!AI87</f>
        <v>0</v>
      </c>
      <c r="BP188" s="22">
        <f t="shared" si="1542"/>
        <v>0</v>
      </c>
      <c r="BQ188" s="22">
        <f>+'QTR Raw'!AK87</f>
        <v>0</v>
      </c>
      <c r="BR188" s="22">
        <f t="shared" si="1543"/>
        <v>0</v>
      </c>
      <c r="BS188" s="22">
        <f>+'QTR Raw'!AM87</f>
        <v>0</v>
      </c>
      <c r="BT188" s="22">
        <f t="shared" si="1544"/>
        <v>0</v>
      </c>
      <c r="BU188" s="22">
        <f>+'QTR Raw'!AO87</f>
        <v>0</v>
      </c>
      <c r="BV188" s="22">
        <f t="shared" si="1545"/>
        <v>0</v>
      </c>
      <c r="BW188" s="22">
        <f>+'QTR Raw'!AQ87</f>
        <v>0</v>
      </c>
      <c r="BX188" s="22">
        <f t="shared" si="1546"/>
        <v>0</v>
      </c>
      <c r="BY188" s="22">
        <f>+'QTR Raw'!AS87</f>
        <v>0</v>
      </c>
      <c r="BZ188" s="22">
        <f t="shared" si="1547"/>
        <v>0</v>
      </c>
      <c r="CA188" s="22">
        <f>+'QTR Raw'!AU87</f>
        <v>0</v>
      </c>
      <c r="CB188" s="22">
        <f t="shared" si="1548"/>
        <v>0</v>
      </c>
      <c r="CC188" s="22">
        <f>+'QTR Raw'!AW87</f>
        <v>0</v>
      </c>
      <c r="CD188" s="22">
        <f t="shared" si="1549"/>
        <v>0</v>
      </c>
      <c r="CE188" s="22">
        <f>+'QTR Raw'!AY87</f>
        <v>0</v>
      </c>
      <c r="CF188" s="22">
        <f t="shared" si="1550"/>
        <v>0</v>
      </c>
      <c r="CG188" s="22">
        <f t="shared" si="1551"/>
        <v>0</v>
      </c>
      <c r="CH188" s="22">
        <f t="shared" si="1550"/>
        <v>0</v>
      </c>
      <c r="CI188" s="22">
        <f>+'QTR Raw'!BC87</f>
        <v>0</v>
      </c>
      <c r="CJ188" s="22">
        <f t="shared" si="1550"/>
        <v>0</v>
      </c>
      <c r="CK188" s="22">
        <f>+'QTR Raw'!BE87</f>
        <v>0</v>
      </c>
      <c r="CL188" s="22">
        <f t="shared" si="1550"/>
        <v>0</v>
      </c>
      <c r="CM188" s="23">
        <f t="shared" ref="CM188:DA188" si="1552">CM46/90*CM220</f>
        <v>658.47983229847648</v>
      </c>
      <c r="CN188" s="23">
        <f t="shared" si="1552"/>
        <v>713.89749492075828</v>
      </c>
      <c r="CO188" s="23">
        <f t="shared" si="1552"/>
        <v>733.12583835416524</v>
      </c>
      <c r="CP188" s="23">
        <f t="shared" si="1552"/>
        <v>655.44095888393406</v>
      </c>
      <c r="CQ188" s="23">
        <f t="shared" si="1552"/>
        <v>721.16686432255381</v>
      </c>
      <c r="CR188" s="23">
        <f t="shared" si="1552"/>
        <v>782.98645899028293</v>
      </c>
      <c r="CS188" s="23">
        <f t="shared" si="1552"/>
        <v>804.61012520072313</v>
      </c>
      <c r="CT188" s="23">
        <f t="shared" si="1552"/>
        <v>719.86521576922541</v>
      </c>
      <c r="CU188" s="23">
        <f t="shared" si="1552"/>
        <v>792.41111468207657</v>
      </c>
      <c r="CV188" s="23">
        <f t="shared" si="1552"/>
        <v>860.65007825726889</v>
      </c>
      <c r="CW188" s="23">
        <f t="shared" si="1552"/>
        <v>884.56651992035722</v>
      </c>
      <c r="CX188" s="23">
        <f t="shared" si="1552"/>
        <v>791.54265698445954</v>
      </c>
      <c r="CY188" s="23">
        <f t="shared" si="1552"/>
        <v>871.41143005712865</v>
      </c>
      <c r="CZ188" s="23">
        <f t="shared" si="1552"/>
        <v>946.53981601241435</v>
      </c>
      <c r="DA188" s="23">
        <f t="shared" si="1552"/>
        <v>972.88389523794092</v>
      </c>
      <c r="DD188" s="122"/>
      <c r="DE188" s="22">
        <v>0</v>
      </c>
    </row>
    <row r="189" spans="1:109" s="22" customFormat="1" outlineLevel="1" x14ac:dyDescent="0.2">
      <c r="A189" s="22" t="s">
        <v>70</v>
      </c>
      <c r="B189" s="22">
        <f>'Annual Raw'!C54</f>
        <v>36.051499999999997</v>
      </c>
      <c r="C189" s="22">
        <f>'Annual Raw'!D54</f>
        <v>39.6937</v>
      </c>
      <c r="D189" s="22">
        <f>'Annual Raw'!E54</f>
        <v>47.741</v>
      </c>
      <c r="E189" s="22">
        <f>'Annual Raw'!F54</f>
        <v>51.657600000000002</v>
      </c>
      <c r="F189" s="22">
        <f>'Annual Raw'!G54</f>
        <v>61.178400000000003</v>
      </c>
      <c r="G189" s="22">
        <f>'Annual Raw'!H54</f>
        <v>65.317099999999996</v>
      </c>
      <c r="H189" s="22">
        <f>'Annual Raw'!I54</f>
        <v>89.025099999999995</v>
      </c>
      <c r="I189" s="22">
        <f>'Annual Raw'!J54</f>
        <v>101.7805</v>
      </c>
      <c r="J189" s="22">
        <f>'Annual Raw'!K54</f>
        <v>124.339</v>
      </c>
      <c r="K189" s="22">
        <f>'Annual Raw'!L54</f>
        <v>125.7462</v>
      </c>
      <c r="L189" s="22">
        <f>'Annual Raw'!M54</f>
        <v>143.53989999999999</v>
      </c>
      <c r="M189" s="22">
        <f>'Annual Raw'!N54</f>
        <v>129.53200000000001</v>
      </c>
      <c r="N189" s="22">
        <f>'Annual Raw'!O54</f>
        <v>112.17700000000001</v>
      </c>
      <c r="O189" s="22">
        <f>'Annual Raw'!P54</f>
        <v>129.76300000000001</v>
      </c>
      <c r="P189" s="22">
        <f>'Annual Raw'!Q54</f>
        <v>153.726</v>
      </c>
      <c r="Q189" s="22">
        <f>'Annual Raw'!R54</f>
        <v>154.572</v>
      </c>
      <c r="R189" s="22">
        <f>'Annual Raw'!S54</f>
        <v>150.68799999999999</v>
      </c>
      <c r="S189" s="22">
        <f>'Annual Raw'!T54</f>
        <v>177.76300000000001</v>
      </c>
      <c r="T189" s="22">
        <f>'Annual Raw'!U54</f>
        <v>217.709</v>
      </c>
      <c r="U189" s="22">
        <f>'Annual Raw'!V54</f>
        <v>242.28399999999999</v>
      </c>
      <c r="V189" s="22">
        <f>'Annual Raw'!W54</f>
        <v>262.76</v>
      </c>
      <c r="W189" s="22">
        <f>'Annual Raw'!X54</f>
        <v>279.15499999999997</v>
      </c>
      <c r="X189" s="22">
        <f>'Annual Raw'!Y54</f>
        <v>314.267</v>
      </c>
      <c r="Y189" s="22">
        <f>'Annual Raw'!Z54</f>
        <v>343.255</v>
      </c>
      <c r="Z189" s="22">
        <f>'Annual Raw'!AA54</f>
        <v>371.92500000000001</v>
      </c>
      <c r="AA189" s="22">
        <f>'Annual Raw'!AB54</f>
        <v>441.42599999999999</v>
      </c>
      <c r="AB189" s="23">
        <f t="shared" si="1522"/>
        <v>481.08317095270354</v>
      </c>
      <c r="AC189" s="23">
        <f t="shared" si="1523"/>
        <v>527.99174461127006</v>
      </c>
      <c r="AD189" s="23">
        <f t="shared" si="1524"/>
        <v>580.45978474476374</v>
      </c>
      <c r="AE189" s="23">
        <f t="shared" si="1525"/>
        <v>638.41436872639883</v>
      </c>
      <c r="AI189" s="22">
        <f>+'QTR Raw'!C89</f>
        <v>0</v>
      </c>
      <c r="AJ189" s="22">
        <f>+AJ219*AJ46/90</f>
        <v>0</v>
      </c>
      <c r="AK189" s="22">
        <f>+'QTR Raw'!E89</f>
        <v>0</v>
      </c>
      <c r="AL189" s="22">
        <f>+AL219*AL46/90</f>
        <v>0</v>
      </c>
      <c r="AM189" s="22">
        <f>+'QTR Raw'!G89</f>
        <v>106.31</v>
      </c>
      <c r="AN189" s="22">
        <f>+AN219*AN46/90</f>
        <v>103.59806577194961</v>
      </c>
      <c r="AO189" s="22">
        <f>+'QTR Raw'!I89</f>
        <v>129.77000000000001</v>
      </c>
      <c r="AP189" s="22">
        <f>+AP219*AP46/90</f>
        <v>123.55552144543908</v>
      </c>
      <c r="AQ189" s="22">
        <f>+'QTR Raw'!K89</f>
        <v>137.5</v>
      </c>
      <c r="AR189" s="22">
        <f>+AR219*AR46/90</f>
        <v>137.1827188362177</v>
      </c>
      <c r="AS189" s="22">
        <f>+'QTR Raw'!M89</f>
        <v>153.72</v>
      </c>
      <c r="AT189" s="22">
        <f>+AT219*AT46/90</f>
        <v>126.44871311226039</v>
      </c>
      <c r="AU189" s="22">
        <f>+'QTR Raw'!O89</f>
        <v>137.52000000000001</v>
      </c>
      <c r="AV189" s="22">
        <f>+AV219*AV46/90</f>
        <v>127.67210834041281</v>
      </c>
      <c r="AW189" s="22">
        <f>+'QTR Raw'!Q89</f>
        <v>154.56</v>
      </c>
      <c r="AX189" s="22">
        <f>+AX219*AX46/90</f>
        <v>133.27747178329571</v>
      </c>
      <c r="AY189" s="22">
        <f>+'QTR Raw'!S89</f>
        <v>150.87</v>
      </c>
      <c r="AZ189" s="22">
        <f>+AZ219*AZ46/90</f>
        <v>112.06312309679801</v>
      </c>
      <c r="BA189" s="22">
        <f>+'QTR Raw'!U89</f>
        <v>150.68</v>
      </c>
      <c r="BB189" s="22">
        <f>+BB219*BB46/90</f>
        <v>115.64782901128468</v>
      </c>
      <c r="BC189" s="22">
        <f>+'QTR Raw'!W89</f>
        <v>200.9</v>
      </c>
      <c r="BD189" s="22">
        <f>+BD219*BD46/90</f>
        <v>180.54885701479159</v>
      </c>
      <c r="BE189" s="22">
        <f>+'QTR Raw'!Y89</f>
        <v>177.8</v>
      </c>
      <c r="BF189" s="22">
        <f>+BF219*BF46/90</f>
        <v>115.12035344302255</v>
      </c>
      <c r="BG189" s="22">
        <f>+'QTR Raw'!AA89</f>
        <v>184.7</v>
      </c>
      <c r="BH189" s="22">
        <f>+BH219*BH46/90</f>
        <v>204.2187697160883</v>
      </c>
      <c r="BI189" s="22">
        <f>+'QTR Raw'!AC89</f>
        <v>217.7</v>
      </c>
      <c r="BJ189" s="22">
        <f>+BJ219*BJ46/90</f>
        <v>181.70978072706291</v>
      </c>
      <c r="BK189" s="22">
        <f>+'QTR Raw'!AE89</f>
        <v>245.9</v>
      </c>
      <c r="BL189" s="22">
        <f>+BL219*BL46/90</f>
        <v>298.04579191517564</v>
      </c>
      <c r="BM189" s="22">
        <f>+'QTR Raw'!AG89</f>
        <v>242.3</v>
      </c>
      <c r="BN189" s="22">
        <f>+BN219*BN46/90</f>
        <v>184.78071216617209</v>
      </c>
      <c r="BO189" s="22">
        <f>+'QTR Raw'!AI89</f>
        <v>249.1</v>
      </c>
      <c r="BP189" s="22">
        <f>+BP219*BP46/90</f>
        <v>412.28382823206937</v>
      </c>
      <c r="BQ189" s="22">
        <f>+'QTR Raw'!AK89</f>
        <v>262.8</v>
      </c>
      <c r="BR189" s="22">
        <f>+BR219*BR46/90</f>
        <v>271.11240875912415</v>
      </c>
      <c r="BS189" s="22">
        <f>+'QTR Raw'!AM89</f>
        <v>250.4</v>
      </c>
      <c r="BT189" s="22">
        <f>+BT219*BT46/90</f>
        <v>304.19881188118813</v>
      </c>
      <c r="BU189" s="22">
        <f>+'QTR Raw'!AO89</f>
        <v>279.2</v>
      </c>
      <c r="BV189" s="22">
        <f>+BV219*BV46/90</f>
        <v>262.30733243364818</v>
      </c>
      <c r="BW189" s="22">
        <f>+'QTR Raw'!AQ89</f>
        <v>301.89999999999998</v>
      </c>
      <c r="BX189" s="22">
        <f>+BX219*BX46/90</f>
        <v>290.38686440677969</v>
      </c>
      <c r="BY189" s="22">
        <f>+'QTR Raw'!AS89</f>
        <v>314.3</v>
      </c>
      <c r="BZ189" s="22">
        <f>+BZ219*BZ46/90</f>
        <v>293.33069004956161</v>
      </c>
      <c r="CA189" s="22">
        <f>+'QTR Raw'!AU89</f>
        <v>396.3</v>
      </c>
      <c r="CB189" s="22">
        <f>+CB219*CB46/90</f>
        <v>377.80197869101983</v>
      </c>
      <c r="CC189" s="22">
        <f>+'QTR Raw'!AW89</f>
        <v>343.3</v>
      </c>
      <c r="CD189" s="22">
        <f>+CD219*CD46/90</f>
        <v>310.02963823431799</v>
      </c>
      <c r="CE189" s="22">
        <f>+'QTR Raw'!AY89</f>
        <v>362.8</v>
      </c>
      <c r="CF189" s="22">
        <f>+CF219*CF46/90</f>
        <v>346.23250773993811</v>
      </c>
      <c r="CG189" s="22">
        <f t="shared" si="1551"/>
        <v>371.92500000000001</v>
      </c>
      <c r="CH189" s="22">
        <f>+CH219*CH46/90</f>
        <v>304.85152120044052</v>
      </c>
      <c r="CI189" s="22">
        <f>+'QTR Raw'!BC89</f>
        <v>425.9</v>
      </c>
      <c r="CJ189" s="22">
        <f>+CJ219*CJ46/90</f>
        <v>414.97621118944051</v>
      </c>
      <c r="CK189" s="22">
        <f>+'QTR Raw'!BE89</f>
        <v>441.3</v>
      </c>
      <c r="CL189" s="22">
        <f>+CL219*CL46/90</f>
        <v>338.4613392857143</v>
      </c>
      <c r="CM189" s="23">
        <f t="shared" ref="CM189:DA189" si="1553">+CM219*CM46/90</f>
        <v>432.09985129117865</v>
      </c>
      <c r="CN189" s="23">
        <f t="shared" si="1553"/>
        <v>468.46537473387457</v>
      </c>
      <c r="CO189" s="23">
        <f t="shared" si="1553"/>
        <v>481.08317095270354</v>
      </c>
      <c r="CP189" s="23">
        <f t="shared" si="1553"/>
        <v>430.10571770331615</v>
      </c>
      <c r="CQ189" s="23">
        <f t="shared" si="1553"/>
        <v>473.2355943874245</v>
      </c>
      <c r="CR189" s="23">
        <f t="shared" si="1553"/>
        <v>513.80211799615142</v>
      </c>
      <c r="CS189" s="23">
        <f t="shared" si="1553"/>
        <v>527.99174461127006</v>
      </c>
      <c r="CT189" s="23">
        <f t="shared" si="1553"/>
        <v>472.38144196127757</v>
      </c>
      <c r="CU189" s="23">
        <f t="shared" si="1553"/>
        <v>519.98665414007496</v>
      </c>
      <c r="CV189" s="23">
        <f t="shared" si="1553"/>
        <v>564.76562012629404</v>
      </c>
      <c r="CW189" s="23">
        <f t="shared" si="1553"/>
        <v>580.45978474476374</v>
      </c>
      <c r="CX189" s="23">
        <f t="shared" si="1553"/>
        <v>519.41676509627064</v>
      </c>
      <c r="CY189" s="23">
        <f t="shared" si="1553"/>
        <v>571.82730718841765</v>
      </c>
      <c r="CZ189" s="23">
        <f t="shared" si="1553"/>
        <v>621.12716848517243</v>
      </c>
      <c r="DA189" s="23">
        <f t="shared" si="1553"/>
        <v>638.41436872639883</v>
      </c>
      <c r="DD189" s="122"/>
      <c r="DE189" s="22">
        <v>441.3</v>
      </c>
    </row>
    <row r="190" spans="1:109" s="22" customFormat="1" outlineLevel="1" x14ac:dyDescent="0.2">
      <c r="A190" s="22" t="s">
        <v>71</v>
      </c>
      <c r="B190" s="22">
        <f>'Annual Raw'!C55-Template!B162</f>
        <v>9.5578000000000003</v>
      </c>
      <c r="C190" s="22">
        <f>'Annual Raw'!D55-Template!C162</f>
        <v>14.373900000000001</v>
      </c>
      <c r="D190" s="22">
        <f>'Annual Raw'!E55-Template!D162</f>
        <v>11.5318</v>
      </c>
      <c r="E190" s="22">
        <f>'Annual Raw'!F55-Template!E162</f>
        <v>11.9199</v>
      </c>
      <c r="F190" s="22">
        <f>'Annual Raw'!G55-Template!F162</f>
        <v>14.631399999999999</v>
      </c>
      <c r="G190" s="22">
        <f>'Annual Raw'!H55-Template!G162</f>
        <v>18.223600000000001</v>
      </c>
      <c r="H190" s="22">
        <f>'Annual Raw'!I55-Template!H162</f>
        <v>18.439299999999999</v>
      </c>
      <c r="I190" s="22">
        <f>'Annual Raw'!J55-Template!I162</f>
        <v>34.7149</v>
      </c>
      <c r="J190" s="22">
        <f>'Annual Raw'!K55-Template!J162</f>
        <v>34.903300000000002</v>
      </c>
      <c r="K190" s="22">
        <f>'Annual Raw'!L55-Template!K162</f>
        <v>31.4908</v>
      </c>
      <c r="L190" s="22">
        <f>'Annual Raw'!M55-Template!L162</f>
        <v>43.834499999999998</v>
      </c>
      <c r="M190" s="22">
        <f>'Annual Raw'!N55-Template!M162</f>
        <v>77.576000000000008</v>
      </c>
      <c r="N190" s="22">
        <f>'Annual Raw'!O55-Template!N162</f>
        <v>94.292000000000002</v>
      </c>
      <c r="O190" s="22">
        <f>'Annual Raw'!P55-Template!O162</f>
        <v>96.004000000000005</v>
      </c>
      <c r="P190" s="22">
        <f>'Annual Raw'!Q55-Template!P162</f>
        <v>107.696</v>
      </c>
      <c r="Q190" s="22">
        <f>'Annual Raw'!R55-Template!Q162</f>
        <v>107.568</v>
      </c>
      <c r="R190" s="22">
        <f>'Annual Raw'!S55-Template!R162</f>
        <v>93.009</v>
      </c>
      <c r="S190" s="22">
        <f>'Annual Raw'!T55-Template!S162</f>
        <v>88.515000000000001</v>
      </c>
      <c r="T190" s="22">
        <f>'Annual Raw'!U55-Template!T162</f>
        <v>151.751</v>
      </c>
      <c r="U190" s="22">
        <f>'Annual Raw'!V55-Template!U162</f>
        <v>214.42400000000001</v>
      </c>
      <c r="V190" s="22">
        <f>'Annual Raw'!W55-Template!V162</f>
        <v>212.78899999999999</v>
      </c>
      <c r="W190" s="22">
        <f>'Annual Raw'!X55-Template!W162</f>
        <v>209.84100000000001</v>
      </c>
      <c r="X190" s="22">
        <f>'Annual Raw'!Y55-Template!X162</f>
        <v>270.58600000000001</v>
      </c>
      <c r="Y190" s="22">
        <f>'Annual Raw'!Z55-Template!Y162</f>
        <v>319.488</v>
      </c>
      <c r="Z190" s="22">
        <f>'Annual Raw'!AA55-Template!Z162</f>
        <v>362.58499999999998</v>
      </c>
      <c r="AA190" s="22">
        <f>'Annual Raw'!AB55-Template!AA162</f>
        <v>495.32</v>
      </c>
      <c r="AB190" s="23">
        <f t="shared" si="1522"/>
        <v>0</v>
      </c>
      <c r="AC190" s="23">
        <f t="shared" si="1523"/>
        <v>0</v>
      </c>
      <c r="AD190" s="23">
        <f t="shared" si="1524"/>
        <v>0</v>
      </c>
      <c r="AE190" s="23">
        <f t="shared" si="1525"/>
        <v>0</v>
      </c>
      <c r="AI190" s="22">
        <f>+'QTR Raw'!C91</f>
        <v>0</v>
      </c>
      <c r="AJ190" s="22">
        <f t="shared" ref="AJ190:AJ191" si="1554">+AI190</f>
        <v>0</v>
      </c>
      <c r="AK190" s="22">
        <f>+'QTR Raw'!E91</f>
        <v>0</v>
      </c>
      <c r="AL190" s="22">
        <f t="shared" ref="AL190:AL191" si="1555">+AK190</f>
        <v>0</v>
      </c>
      <c r="AM190" s="22">
        <f>+'QTR Raw'!G91</f>
        <v>91.04</v>
      </c>
      <c r="AN190" s="22">
        <f t="shared" ref="AN190:AN191" si="1556">+AM190</f>
        <v>91.04</v>
      </c>
      <c r="AO190" s="22">
        <f>+'QTR Raw'!I91</f>
        <v>96</v>
      </c>
      <c r="AP190" s="22">
        <f t="shared" ref="AP190:AP191" si="1557">+AO190</f>
        <v>96</v>
      </c>
      <c r="AQ190" s="22">
        <f>+'QTR Raw'!K91</f>
        <v>100.28</v>
      </c>
      <c r="AR190" s="22">
        <f t="shared" ref="AR190:AR191" si="1558">+AQ190</f>
        <v>100.28</v>
      </c>
      <c r="AS190" s="22">
        <f>+'QTR Raw'!M91</f>
        <v>107.69</v>
      </c>
      <c r="AT190" s="22">
        <f t="shared" ref="AT190:AT191" si="1559">+AS190</f>
        <v>107.69</v>
      </c>
      <c r="AU190" s="22">
        <f>+'QTR Raw'!O91</f>
        <v>95.93</v>
      </c>
      <c r="AV190" s="22">
        <f t="shared" ref="AV190:AV191" si="1560">+AU190</f>
        <v>95.93</v>
      </c>
      <c r="AW190" s="22">
        <f>+'QTR Raw'!Q91</f>
        <v>107.57</v>
      </c>
      <c r="AX190" s="22">
        <f t="shared" ref="AX190:AX191" si="1561">+AW190</f>
        <v>107.57</v>
      </c>
      <c r="AY190" s="22">
        <f>+'QTR Raw'!S91</f>
        <v>90.66</v>
      </c>
      <c r="AZ190" s="22">
        <f t="shared" ref="AZ190:AZ191" si="1562">+AY190</f>
        <v>90.66</v>
      </c>
      <c r="BA190" s="22">
        <f>+'QTR Raw'!U91</f>
        <v>97.94</v>
      </c>
      <c r="BB190" s="22">
        <f t="shared" ref="BB190:BB191" si="1563">+BA190</f>
        <v>97.94</v>
      </c>
      <c r="BC190" s="22">
        <f>+'QTR Raw'!W91</f>
        <v>93.42</v>
      </c>
      <c r="BD190" s="22">
        <f t="shared" ref="BD190:BD191" si="1564">+BC190</f>
        <v>93.42</v>
      </c>
      <c r="BE190" s="22">
        <f>+'QTR Raw'!Y91</f>
        <v>90</v>
      </c>
      <c r="BF190" s="22">
        <f t="shared" ref="BF190:BF191" si="1565">+BE190</f>
        <v>90</v>
      </c>
      <c r="BG190" s="22">
        <f>+'QTR Raw'!AA91</f>
        <v>97.3</v>
      </c>
      <c r="BH190" s="22">
        <f t="shared" ref="BH190:BH191" si="1566">+BG190</f>
        <v>97.3</v>
      </c>
      <c r="BI190" s="22">
        <f>+'QTR Raw'!AC91</f>
        <v>153.30000000000001</v>
      </c>
      <c r="BJ190" s="22">
        <f t="shared" ref="BJ190:BJ191" si="1567">+BI190</f>
        <v>153.30000000000001</v>
      </c>
      <c r="BK190" s="22">
        <f>+'QTR Raw'!AE91</f>
        <v>112.2</v>
      </c>
      <c r="BL190" s="22">
        <f t="shared" ref="BL190:BL191" si="1568">+BK190</f>
        <v>112.2</v>
      </c>
      <c r="BM190" s="22">
        <f>+'QTR Raw'!AG91</f>
        <v>215.7</v>
      </c>
      <c r="BN190" s="22">
        <f t="shared" ref="BN190:BN191" si="1569">+BM190</f>
        <v>215.7</v>
      </c>
      <c r="BO190" s="22">
        <f>+'QTR Raw'!AI91</f>
        <v>176.9</v>
      </c>
      <c r="BP190" s="22">
        <f t="shared" ref="BP190:BP191" si="1570">+BO190</f>
        <v>176.9</v>
      </c>
      <c r="BQ190" s="22">
        <f>+'QTR Raw'!AK91</f>
        <v>231.2</v>
      </c>
      <c r="BR190" s="22">
        <f t="shared" ref="BR190:BR191" si="1571">+BQ190</f>
        <v>231.2</v>
      </c>
      <c r="BS190" s="22">
        <f>+'QTR Raw'!AM91</f>
        <v>216.1</v>
      </c>
      <c r="BT190" s="22">
        <f t="shared" ref="BT190:BT191" si="1572">+BS190</f>
        <v>216.1</v>
      </c>
      <c r="BU190" s="22">
        <f>+'QTR Raw'!AO91</f>
        <v>211.6</v>
      </c>
      <c r="BV190" s="22">
        <f t="shared" ref="BV190:BV191" si="1573">+BU190</f>
        <v>211.6</v>
      </c>
      <c r="BW190" s="22">
        <f>+'QTR Raw'!AQ91</f>
        <v>172.9</v>
      </c>
      <c r="BX190" s="22">
        <f t="shared" ref="BX190:BX191" si="1574">+BW190</f>
        <v>172.9</v>
      </c>
      <c r="BY190" s="22">
        <f>+'QTR Raw'!AS91</f>
        <v>270.60000000000002</v>
      </c>
      <c r="BZ190" s="22">
        <f t="shared" ref="BZ190:BZ191" si="1575">+BY190</f>
        <v>270.60000000000002</v>
      </c>
      <c r="CA190" s="22">
        <f>+'QTR Raw'!AU91</f>
        <v>288.2</v>
      </c>
      <c r="CB190" s="22">
        <f t="shared" ref="CB190:CB191" si="1576">+CA190</f>
        <v>288.2</v>
      </c>
      <c r="CC190" s="22">
        <f>+'QTR Raw'!AW91</f>
        <v>319.5</v>
      </c>
      <c r="CD190" s="22">
        <f t="shared" ref="CD190:CD191" si="1577">+CC190</f>
        <v>319.5</v>
      </c>
      <c r="CE190" s="22">
        <f>+'QTR Raw'!AY91</f>
        <v>422.2</v>
      </c>
      <c r="CF190" s="22">
        <f t="shared" si="1550"/>
        <v>422.2</v>
      </c>
      <c r="CG190" s="22">
        <f t="shared" si="1551"/>
        <v>362.58499999999998</v>
      </c>
      <c r="CH190" s="22">
        <f t="shared" si="1550"/>
        <v>362.58499999999998</v>
      </c>
      <c r="CI190" s="22">
        <f>+'QTR Raw'!BC91</f>
        <v>427.3</v>
      </c>
      <c r="CJ190" s="22">
        <f t="shared" si="1550"/>
        <v>427.3</v>
      </c>
      <c r="CK190" s="22">
        <f>+'QTR Raw'!BE91</f>
        <v>499.3</v>
      </c>
      <c r="CL190" s="22">
        <f t="shared" si="1550"/>
        <v>499.3</v>
      </c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D190" s="122"/>
      <c r="DE190" s="22">
        <v>499.3</v>
      </c>
    </row>
    <row r="191" spans="1:109" s="22" customFormat="1" outlineLevel="1" x14ac:dyDescent="0.2">
      <c r="A191" s="22" t="s">
        <v>72</v>
      </c>
      <c r="B191" s="22">
        <f>'Annual Raw'!C57</f>
        <v>9.1946999999999992</v>
      </c>
      <c r="C191" s="22">
        <f>'Annual Raw'!D57</f>
        <v>6.9173999999999998</v>
      </c>
      <c r="D191" s="22">
        <f>'Annual Raw'!E57</f>
        <v>10.459099999999999</v>
      </c>
      <c r="E191" s="22">
        <f>'Annual Raw'!F57</f>
        <v>12.6799</v>
      </c>
      <c r="F191" s="22">
        <f>'Annual Raw'!G57</f>
        <v>16.417100000000001</v>
      </c>
      <c r="G191" s="22">
        <f>'Annual Raw'!H57</f>
        <v>17.838200000000001</v>
      </c>
      <c r="H191" s="22">
        <f>'Annual Raw'!I57</f>
        <v>22.802700000000002</v>
      </c>
      <c r="I191" s="22">
        <f>'Annual Raw'!J57</f>
        <v>22.2361</v>
      </c>
      <c r="J191" s="22">
        <f>'Annual Raw'!K57</f>
        <v>25.7865</v>
      </c>
      <c r="K191" s="22">
        <f>'Annual Raw'!L57</f>
        <v>40.664999999999999</v>
      </c>
      <c r="L191" s="22">
        <f>'Annual Raw'!M57</f>
        <v>42.227899999999998</v>
      </c>
      <c r="M191" s="22">
        <f>'Annual Raw'!N57</f>
        <v>26.231999999999999</v>
      </c>
      <c r="N191" s="22">
        <f>'Annual Raw'!O57</f>
        <v>34.651000000000003</v>
      </c>
      <c r="O191" s="22">
        <f>'Annual Raw'!P57</f>
        <v>29.128</v>
      </c>
      <c r="P191" s="22">
        <f>'Annual Raw'!Q57</f>
        <v>34.430999999999997</v>
      </c>
      <c r="Q191" s="22">
        <f>'Annual Raw'!R57</f>
        <v>47.908000000000001</v>
      </c>
      <c r="R191" s="22">
        <f>'Annual Raw'!S57</f>
        <v>39.932000000000002</v>
      </c>
      <c r="S191" s="22">
        <f>'Annual Raw'!T57</f>
        <v>50.518999999999998</v>
      </c>
      <c r="T191" s="22">
        <f>'Annual Raw'!U57</f>
        <v>42.720999999999997</v>
      </c>
      <c r="U191" s="22">
        <f>'Annual Raw'!V57</f>
        <v>47.972000000000001</v>
      </c>
      <c r="V191" s="22">
        <f>'Annual Raw'!W57</f>
        <v>67.77</v>
      </c>
      <c r="W191" s="22">
        <f>'Annual Raw'!X57</f>
        <v>55.838999999999999</v>
      </c>
      <c r="X191" s="22">
        <f>'Annual Raw'!Y57</f>
        <v>50.293999999999997</v>
      </c>
      <c r="Y191" s="22">
        <f>'Annual Raw'!Z57</f>
        <v>53.749000000000002</v>
      </c>
      <c r="Z191" s="22">
        <f>'Annual Raw'!AA57</f>
        <v>66.736000000000004</v>
      </c>
      <c r="AA191" s="22">
        <f>'Annual Raw'!AB57</f>
        <v>87.725999999999999</v>
      </c>
      <c r="AB191" s="23">
        <f t="shared" si="1522"/>
        <v>0</v>
      </c>
      <c r="AC191" s="23">
        <f t="shared" si="1523"/>
        <v>0</v>
      </c>
      <c r="AD191" s="23">
        <f t="shared" si="1524"/>
        <v>0</v>
      </c>
      <c r="AE191" s="23">
        <f t="shared" si="1525"/>
        <v>0</v>
      </c>
      <c r="AI191" s="22">
        <f>+'QTR Raw'!C92</f>
        <v>17.850000000000001</v>
      </c>
      <c r="AJ191" s="22">
        <f t="shared" si="1554"/>
        <v>17.850000000000001</v>
      </c>
      <c r="AK191" s="22">
        <f>+'QTR Raw'!E92</f>
        <v>0</v>
      </c>
      <c r="AL191" s="22">
        <f t="shared" si="1555"/>
        <v>0</v>
      </c>
      <c r="AM191" s="22">
        <f>+'QTR Raw'!G92</f>
        <v>14.66</v>
      </c>
      <c r="AN191" s="22">
        <f t="shared" si="1556"/>
        <v>14.66</v>
      </c>
      <c r="AO191" s="22">
        <f>+'QTR Raw'!I92</f>
        <v>29.13</v>
      </c>
      <c r="AP191" s="22">
        <f t="shared" si="1557"/>
        <v>29.13</v>
      </c>
      <c r="AQ191" s="22">
        <f>+'QTR Raw'!K92</f>
        <v>16.53</v>
      </c>
      <c r="AR191" s="22">
        <f t="shared" si="1558"/>
        <v>16.53</v>
      </c>
      <c r="AS191" s="22">
        <f>+'QTR Raw'!M92</f>
        <v>34.43</v>
      </c>
      <c r="AT191" s="22">
        <f t="shared" si="1559"/>
        <v>34.43</v>
      </c>
      <c r="AU191" s="22">
        <f>+'QTR Raw'!O92</f>
        <v>18.809999999999999</v>
      </c>
      <c r="AV191" s="22">
        <f t="shared" si="1560"/>
        <v>18.809999999999999</v>
      </c>
      <c r="AW191" s="22">
        <f>+'QTR Raw'!Q92</f>
        <v>47.91</v>
      </c>
      <c r="AX191" s="22">
        <f t="shared" si="1561"/>
        <v>47.91</v>
      </c>
      <c r="AY191" s="22">
        <f>+'QTR Raw'!S92</f>
        <v>27.13</v>
      </c>
      <c r="AZ191" s="22">
        <f t="shared" si="1562"/>
        <v>27.13</v>
      </c>
      <c r="BA191" s="22">
        <f>+'QTR Raw'!U92</f>
        <v>35</v>
      </c>
      <c r="BB191" s="22">
        <f t="shared" si="1563"/>
        <v>35</v>
      </c>
      <c r="BC191" s="22">
        <f>+'QTR Raw'!W92</f>
        <v>14.63</v>
      </c>
      <c r="BD191" s="22">
        <f t="shared" si="1564"/>
        <v>14.63</v>
      </c>
      <c r="BE191" s="22">
        <f>+'QTR Raw'!Y92</f>
        <v>49.1</v>
      </c>
      <c r="BF191" s="22">
        <f t="shared" si="1565"/>
        <v>49.1</v>
      </c>
      <c r="BG191" s="22">
        <f>+'QTR Raw'!AA92</f>
        <v>27.6</v>
      </c>
      <c r="BH191" s="22">
        <f t="shared" si="1566"/>
        <v>27.6</v>
      </c>
      <c r="BI191" s="22">
        <f>+'QTR Raw'!AC92</f>
        <v>41.2</v>
      </c>
      <c r="BJ191" s="22">
        <f t="shared" si="1567"/>
        <v>41.2</v>
      </c>
      <c r="BK191" s="22">
        <f>+'QTR Raw'!AE92</f>
        <v>36</v>
      </c>
      <c r="BL191" s="22">
        <f t="shared" si="1568"/>
        <v>36</v>
      </c>
      <c r="BM191" s="22">
        <f>+'QTR Raw'!AG92</f>
        <v>46.7</v>
      </c>
      <c r="BN191" s="22">
        <f t="shared" si="1569"/>
        <v>46.7</v>
      </c>
      <c r="BO191" s="22">
        <f>+'QTR Raw'!AI92</f>
        <v>38.799999999999997</v>
      </c>
      <c r="BP191" s="22">
        <f t="shared" si="1570"/>
        <v>38.799999999999997</v>
      </c>
      <c r="BQ191" s="22">
        <f>+'QTR Raw'!AK92</f>
        <v>49.3</v>
      </c>
      <c r="BR191" s="22">
        <f t="shared" si="1571"/>
        <v>49.3</v>
      </c>
      <c r="BS191" s="22">
        <f>+'QTR Raw'!AM92</f>
        <v>43.6</v>
      </c>
      <c r="BT191" s="22">
        <f t="shared" si="1572"/>
        <v>43.6</v>
      </c>
      <c r="BU191" s="22">
        <f>+'QTR Raw'!AO92</f>
        <v>54.1</v>
      </c>
      <c r="BV191" s="22">
        <f t="shared" si="1573"/>
        <v>54.1</v>
      </c>
      <c r="BW191" s="22">
        <f>+'QTR Raw'!AQ92</f>
        <v>47.2</v>
      </c>
      <c r="BX191" s="22">
        <f t="shared" si="1574"/>
        <v>47.2</v>
      </c>
      <c r="BY191" s="22">
        <f>+'QTR Raw'!AS92</f>
        <v>50.3</v>
      </c>
      <c r="BZ191" s="22">
        <f t="shared" si="1575"/>
        <v>50.3</v>
      </c>
      <c r="CA191" s="22">
        <f>+'QTR Raw'!AU92</f>
        <v>42</v>
      </c>
      <c r="CB191" s="22">
        <f t="shared" si="1576"/>
        <v>42</v>
      </c>
      <c r="CC191" s="22">
        <f>+'QTR Raw'!AW92</f>
        <v>53.7</v>
      </c>
      <c r="CD191" s="22">
        <f t="shared" si="1577"/>
        <v>53.7</v>
      </c>
      <c r="CE191" s="22">
        <f>+'QTR Raw'!AY92</f>
        <v>46.3</v>
      </c>
      <c r="CF191" s="22">
        <f t="shared" si="1550"/>
        <v>46.3</v>
      </c>
      <c r="CG191" s="22">
        <f t="shared" si="1551"/>
        <v>66.736000000000004</v>
      </c>
      <c r="CH191" s="22">
        <f t="shared" si="1550"/>
        <v>66.736000000000004</v>
      </c>
      <c r="CI191" s="22">
        <f>+'QTR Raw'!BC92</f>
        <v>48.4</v>
      </c>
      <c r="CJ191" s="22">
        <f t="shared" si="1550"/>
        <v>48.4</v>
      </c>
      <c r="CK191" s="22">
        <f>+'QTR Raw'!BE92</f>
        <v>83.9</v>
      </c>
      <c r="CL191" s="22">
        <f t="shared" si="1550"/>
        <v>83.9</v>
      </c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D191" s="122"/>
      <c r="DE191" s="22">
        <v>83.9</v>
      </c>
    </row>
    <row r="192" spans="1:109" s="21" customFormat="1" x14ac:dyDescent="0.2">
      <c r="A192" s="21" t="s">
        <v>73</v>
      </c>
      <c r="B192" s="21">
        <f>SUM(B185:B191)</f>
        <v>54.803999999999995</v>
      </c>
      <c r="C192" s="21">
        <f t="shared" ref="C192:V192" si="1578">SUM(C185:C191)</f>
        <v>60.984999999999999</v>
      </c>
      <c r="D192" s="21">
        <f t="shared" si="1578"/>
        <v>69.731899999999996</v>
      </c>
      <c r="E192" s="21">
        <f t="shared" si="1578"/>
        <v>76.257400000000004</v>
      </c>
      <c r="F192" s="21">
        <f t="shared" si="1578"/>
        <v>92.226900000000001</v>
      </c>
      <c r="G192" s="21">
        <f t="shared" si="1578"/>
        <v>101.3789</v>
      </c>
      <c r="H192" s="21">
        <f t="shared" si="1578"/>
        <v>130.2671</v>
      </c>
      <c r="I192" s="21">
        <f t="shared" si="1578"/>
        <v>158.73150000000001</v>
      </c>
      <c r="J192" s="21">
        <f t="shared" si="1578"/>
        <v>185.02879999999999</v>
      </c>
      <c r="K192" s="21">
        <f t="shared" si="1578"/>
        <v>197.90199999999999</v>
      </c>
      <c r="L192" s="21">
        <f t="shared" si="1578"/>
        <v>229.60229999999999</v>
      </c>
      <c r="M192" s="21">
        <f t="shared" si="1578"/>
        <v>257.01300000000003</v>
      </c>
      <c r="N192" s="21">
        <f t="shared" si="1578"/>
        <v>269.48899999999998</v>
      </c>
      <c r="O192" s="21">
        <f t="shared" si="1578"/>
        <v>284.20699999999999</v>
      </c>
      <c r="P192" s="21">
        <f t="shared" si="1578"/>
        <v>332.10999999999996</v>
      </c>
      <c r="Q192" s="21">
        <f t="shared" si="1578"/>
        <v>346.53700000000003</v>
      </c>
      <c r="R192" s="21">
        <f t="shared" si="1578"/>
        <v>320.61700000000002</v>
      </c>
      <c r="S192" s="21">
        <f t="shared" si="1578"/>
        <v>354.13200000000001</v>
      </c>
      <c r="T192" s="21">
        <f t="shared" si="1578"/>
        <v>448.76</v>
      </c>
      <c r="U192" s="21">
        <f t="shared" si="1578"/>
        <v>547.12</v>
      </c>
      <c r="V192" s="21">
        <f t="shared" si="1578"/>
        <v>589.56799999999998</v>
      </c>
      <c r="W192" s="21">
        <f t="shared" ref="W192" si="1579">SUM(W185:W191)</f>
        <v>598.53600000000006</v>
      </c>
      <c r="X192" s="21">
        <f t="shared" ref="X192:Y192" si="1580">SUM(X185:X191)</f>
        <v>680.40800000000002</v>
      </c>
      <c r="Y192" s="21">
        <f t="shared" si="1580"/>
        <v>762.2940000000001</v>
      </c>
      <c r="Z192" s="21">
        <f t="shared" ref="Z192:AA192" si="1581">SUM(Z185:Z191)</f>
        <v>860.39499999999998</v>
      </c>
      <c r="AA192" s="21">
        <f t="shared" ref="AA192" si="1582">SUM(AA185:AA191)</f>
        <v>1113.819</v>
      </c>
      <c r="AB192" s="20">
        <f t="shared" ref="AB192:AD192" si="1583">SUM(AB185:AB191)</f>
        <v>1214.2090093068687</v>
      </c>
      <c r="AC192" s="20">
        <f t="shared" si="1583"/>
        <v>1332.6018698119933</v>
      </c>
      <c r="AD192" s="20">
        <f t="shared" si="1583"/>
        <v>1465.026304665121</v>
      </c>
      <c r="AE192" s="20">
        <f t="shared" ref="AE192" si="1584">SUM(AE185:AE191)</f>
        <v>1611.2982639643396</v>
      </c>
      <c r="AI192" s="21">
        <f t="shared" ref="AI192:AL192" si="1585">SUM(AI185:AI191)</f>
        <v>238.92999999999998</v>
      </c>
      <c r="AJ192" s="21">
        <f t="shared" si="1585"/>
        <v>238.92999999999998</v>
      </c>
      <c r="AK192" s="21">
        <f t="shared" si="1585"/>
        <v>0</v>
      </c>
      <c r="AL192" s="21">
        <f t="shared" si="1585"/>
        <v>0</v>
      </c>
      <c r="AM192" s="21">
        <f t="shared" ref="AM192:AP192" si="1586">SUM(AM185:AM191)</f>
        <v>240.76000000000002</v>
      </c>
      <c r="AN192" s="21">
        <f t="shared" si="1586"/>
        <v>238.04806577194964</v>
      </c>
      <c r="AO192" s="21">
        <f t="shared" si="1586"/>
        <v>284.21000000000004</v>
      </c>
      <c r="AP192" s="21">
        <f t="shared" si="1586"/>
        <v>277.99552144543907</v>
      </c>
      <c r="AQ192" s="21">
        <f t="shared" ref="AQ192:AT192" si="1587">SUM(AQ185:AQ191)</f>
        <v>283.90999999999997</v>
      </c>
      <c r="AR192" s="21">
        <f t="shared" si="1587"/>
        <v>283.59271883621773</v>
      </c>
      <c r="AS192" s="21">
        <f t="shared" si="1587"/>
        <v>332.09999999999997</v>
      </c>
      <c r="AT192" s="21">
        <f t="shared" si="1587"/>
        <v>304.8287131122604</v>
      </c>
      <c r="AU192" s="21">
        <f t="shared" ref="AU192:AX192" si="1588">SUM(AU185:AU191)</f>
        <v>288.21000000000004</v>
      </c>
      <c r="AV192" s="21">
        <f t="shared" si="1588"/>
        <v>278.36210834041282</v>
      </c>
      <c r="AW192" s="21">
        <f t="shared" si="1588"/>
        <v>346.53</v>
      </c>
      <c r="AX192" s="21">
        <f t="shared" si="1588"/>
        <v>325.24747178329574</v>
      </c>
      <c r="AY192" s="21">
        <f t="shared" ref="AY192:BB192" si="1589">SUM(AY185:AY191)</f>
        <v>305.89999999999998</v>
      </c>
      <c r="AZ192" s="21">
        <f t="shared" si="1589"/>
        <v>267.09312309679802</v>
      </c>
      <c r="BA192" s="21">
        <f t="shared" si="1589"/>
        <v>320.61</v>
      </c>
      <c r="BB192" s="21">
        <f t="shared" si="1589"/>
        <v>285.57782901128468</v>
      </c>
      <c r="BC192" s="21">
        <f t="shared" ref="BC192:BF192" si="1590">SUM(BC185:BC191)</f>
        <v>342.45</v>
      </c>
      <c r="BD192" s="21">
        <f t="shared" si="1590"/>
        <v>322.09885701479158</v>
      </c>
      <c r="BE192" s="21">
        <f t="shared" si="1590"/>
        <v>354.20000000000005</v>
      </c>
      <c r="BF192" s="21">
        <f t="shared" si="1590"/>
        <v>291.52035344302254</v>
      </c>
      <c r="BG192" s="21">
        <f t="shared" ref="BG192:BJ192" si="1591">SUM(BG185:BG191)</f>
        <v>346.2</v>
      </c>
      <c r="BH192" s="21">
        <f t="shared" si="1591"/>
        <v>365.71876971608833</v>
      </c>
      <c r="BI192" s="21">
        <f t="shared" si="1591"/>
        <v>448.8</v>
      </c>
      <c r="BJ192" s="21">
        <f t="shared" si="1591"/>
        <v>412.8097807270629</v>
      </c>
      <c r="BK192" s="21">
        <f t="shared" ref="BK192:BN192" si="1592">SUM(BK185:BK191)</f>
        <v>484.7</v>
      </c>
      <c r="BL192" s="21">
        <f t="shared" si="1592"/>
        <v>536.8457919151756</v>
      </c>
      <c r="BM192" s="21">
        <f t="shared" si="1592"/>
        <v>547.1</v>
      </c>
      <c r="BN192" s="21">
        <f t="shared" si="1592"/>
        <v>489.58071216617208</v>
      </c>
      <c r="BO192" s="21">
        <f t="shared" ref="BO192:BR192" si="1593">SUM(BO185:BO191)</f>
        <v>509.40000000000003</v>
      </c>
      <c r="BP192" s="21">
        <f t="shared" si="1593"/>
        <v>672.58382823206932</v>
      </c>
      <c r="BQ192" s="21">
        <f t="shared" si="1593"/>
        <v>589.59999999999991</v>
      </c>
      <c r="BR192" s="21">
        <f t="shared" si="1593"/>
        <v>597.91240875912411</v>
      </c>
      <c r="BS192" s="21">
        <f t="shared" ref="BS192:BV192" si="1594">SUM(BS185:BS191)</f>
        <v>559.70000000000005</v>
      </c>
      <c r="BT192" s="21">
        <f t="shared" si="1594"/>
        <v>613.4988118811882</v>
      </c>
      <c r="BU192" s="21">
        <f t="shared" si="1594"/>
        <v>598.6</v>
      </c>
      <c r="BV192" s="21">
        <f t="shared" si="1594"/>
        <v>581.70733243364816</v>
      </c>
      <c r="BW192" s="21">
        <f t="shared" ref="BW192:BZ192" si="1595">SUM(BW185:BW191)</f>
        <v>569.9</v>
      </c>
      <c r="BX192" s="21">
        <f t="shared" si="1595"/>
        <v>558.38686440677975</v>
      </c>
      <c r="BY192" s="21">
        <f t="shared" si="1595"/>
        <v>680.5</v>
      </c>
      <c r="BZ192" s="21">
        <f t="shared" si="1595"/>
        <v>659.5306900495616</v>
      </c>
      <c r="CA192" s="21">
        <f t="shared" ref="CA192:CD192" si="1596">SUM(CA185:CA191)</f>
        <v>773.9</v>
      </c>
      <c r="CB192" s="21">
        <f t="shared" si="1596"/>
        <v>755.40197869101985</v>
      </c>
      <c r="CC192" s="21">
        <f t="shared" si="1596"/>
        <v>762.30000000000007</v>
      </c>
      <c r="CD192" s="21">
        <f t="shared" si="1596"/>
        <v>729.0296382343181</v>
      </c>
      <c r="CE192" s="21">
        <f t="shared" ref="CE192" si="1597">SUM(CE185:CE191)</f>
        <v>880</v>
      </c>
      <c r="CF192" s="21">
        <f t="shared" ref="CF192:CH192" si="1598">SUM(CF185:CF191)</f>
        <v>863.43250773993805</v>
      </c>
      <c r="CG192" s="21">
        <f t="shared" ref="CG192" si="1599">SUM(CG185:CG191)</f>
        <v>860.39499999999998</v>
      </c>
      <c r="CH192" s="21">
        <f t="shared" si="1598"/>
        <v>793.32152120044054</v>
      </c>
      <c r="CI192" s="21">
        <f t="shared" ref="CI192:CJ192" si="1600">SUM(CI185:CI191)</f>
        <v>969.69999999999993</v>
      </c>
      <c r="CJ192" s="21">
        <f t="shared" si="1600"/>
        <v>958.77621118944046</v>
      </c>
      <c r="CK192" s="21">
        <f t="shared" ref="CK192:CL192" si="1601">SUM(CK185:CK191)</f>
        <v>1113.8000000000002</v>
      </c>
      <c r="CL192" s="21">
        <f t="shared" si="1601"/>
        <v>1010.9613392857143</v>
      </c>
      <c r="CM192" s="20">
        <f t="shared" ref="CM192:DA192" si="1602">SUM(CM185:CM191)</f>
        <v>1090.5796835896551</v>
      </c>
      <c r="CN192" s="20">
        <f t="shared" si="1602"/>
        <v>1182.362869654633</v>
      </c>
      <c r="CO192" s="20">
        <f t="shared" si="1602"/>
        <v>1214.2090093068687</v>
      </c>
      <c r="CP192" s="20">
        <f t="shared" si="1602"/>
        <v>1085.5466765872502</v>
      </c>
      <c r="CQ192" s="20">
        <f t="shared" si="1602"/>
        <v>1194.4024587099784</v>
      </c>
      <c r="CR192" s="20">
        <f t="shared" si="1602"/>
        <v>1296.7885769864342</v>
      </c>
      <c r="CS192" s="20">
        <f t="shared" si="1602"/>
        <v>1332.6018698119933</v>
      </c>
      <c r="CT192" s="20">
        <f t="shared" si="1602"/>
        <v>1192.2466577305031</v>
      </c>
      <c r="CU192" s="20">
        <f t="shared" si="1602"/>
        <v>1312.3977688221516</v>
      </c>
      <c r="CV192" s="20">
        <f t="shared" si="1602"/>
        <v>1425.4156983835628</v>
      </c>
      <c r="CW192" s="20">
        <f t="shared" si="1602"/>
        <v>1465.026304665121</v>
      </c>
      <c r="CX192" s="20">
        <f t="shared" si="1602"/>
        <v>1310.9594220807303</v>
      </c>
      <c r="CY192" s="20">
        <f t="shared" si="1602"/>
        <v>1443.2387372455464</v>
      </c>
      <c r="CZ192" s="20">
        <f t="shared" si="1602"/>
        <v>1567.6669844975868</v>
      </c>
      <c r="DA192" s="20">
        <f t="shared" si="1602"/>
        <v>1611.2982639643396</v>
      </c>
      <c r="DD192" s="125"/>
      <c r="DE192" s="21">
        <v>1113.8000000000002</v>
      </c>
    </row>
    <row r="193" spans="1:109" s="21" customFormat="1" x14ac:dyDescent="0.2">
      <c r="A193" s="21" t="s">
        <v>74</v>
      </c>
      <c r="B193" s="21">
        <f>B184-B192</f>
        <v>60.628899999999994</v>
      </c>
      <c r="C193" s="21">
        <f t="shared" ref="C193:V193" si="1603">C184-C192</f>
        <v>70.359400000000008</v>
      </c>
      <c r="D193" s="21">
        <f t="shared" si="1603"/>
        <v>50.4191</v>
      </c>
      <c r="E193" s="21">
        <f t="shared" si="1603"/>
        <v>48.100199999999987</v>
      </c>
      <c r="F193" s="21">
        <f t="shared" si="1603"/>
        <v>61.68519999999998</v>
      </c>
      <c r="G193" s="21">
        <f t="shared" si="1603"/>
        <v>74.023199999999989</v>
      </c>
      <c r="H193" s="21">
        <f t="shared" si="1603"/>
        <v>73.92459999999997</v>
      </c>
      <c r="I193" s="21">
        <f t="shared" si="1603"/>
        <v>111.95379999999997</v>
      </c>
      <c r="J193" s="21">
        <f t="shared" si="1603"/>
        <v>127.50210000000004</v>
      </c>
      <c r="K193" s="21">
        <f t="shared" si="1603"/>
        <v>76.60510000000005</v>
      </c>
      <c r="L193" s="21">
        <f t="shared" si="1603"/>
        <v>108.12350000000006</v>
      </c>
      <c r="M193" s="21">
        <f t="shared" si="1603"/>
        <v>201.43899999999996</v>
      </c>
      <c r="N193" s="21">
        <f t="shared" si="1603"/>
        <v>144.38799999999998</v>
      </c>
      <c r="O193" s="21">
        <f t="shared" si="1603"/>
        <v>109.14599999999996</v>
      </c>
      <c r="P193" s="21">
        <f t="shared" si="1603"/>
        <v>142.17900000000003</v>
      </c>
      <c r="Q193" s="21">
        <f t="shared" si="1603"/>
        <v>103.35799999999995</v>
      </c>
      <c r="R193" s="21">
        <f t="shared" si="1603"/>
        <v>169.065</v>
      </c>
      <c r="S193" s="21">
        <f t="shared" si="1603"/>
        <v>253.32200000000006</v>
      </c>
      <c r="T193" s="21">
        <f t="shared" si="1603"/>
        <v>270.94500000000005</v>
      </c>
      <c r="U193" s="21">
        <f t="shared" si="1603"/>
        <v>190.85299999999995</v>
      </c>
      <c r="V193" s="21">
        <f t="shared" si="1603"/>
        <v>136.62599999999998</v>
      </c>
      <c r="W193" s="21">
        <f t="shared" ref="W193" si="1604">W184-W192</f>
        <v>231.63700000000006</v>
      </c>
      <c r="X193" s="21">
        <f t="shared" ref="X193:Y193" si="1605">X184-X192</f>
        <v>434.01599999999996</v>
      </c>
      <c r="Y193" s="21">
        <f t="shared" si="1605"/>
        <v>497.9559999999999</v>
      </c>
      <c r="Z193" s="21">
        <f t="shared" ref="Z193:AA193" si="1606">Z184-Z192</f>
        <v>583.2170000000001</v>
      </c>
      <c r="AA193" s="21">
        <f t="shared" ref="AA193" si="1607">AA184-AA192</f>
        <v>734.47000000000025</v>
      </c>
      <c r="AB193" s="20">
        <f t="shared" ref="AB193:AD193" si="1608">AB184-AB192</f>
        <v>837.78023312293772</v>
      </c>
      <c r="AC193" s="20">
        <f t="shared" si="1608"/>
        <v>919.4689683520528</v>
      </c>
      <c r="AD193" s="20">
        <f t="shared" si="1608"/>
        <v>1010.8392127268314</v>
      </c>
      <c r="AE193" s="20">
        <f t="shared" ref="AE193" si="1609">AE184-AE192</f>
        <v>1111.7639754503448</v>
      </c>
      <c r="AI193" s="21">
        <f t="shared" ref="AI193:AL193" si="1610">AI184-AI192</f>
        <v>196.98999999999998</v>
      </c>
      <c r="AJ193" s="21">
        <f t="shared" si="1610"/>
        <v>163.65023054755048</v>
      </c>
      <c r="AK193" s="21">
        <f t="shared" si="1610"/>
        <v>0</v>
      </c>
      <c r="AL193" s="21">
        <f t="shared" si="1610"/>
        <v>0</v>
      </c>
      <c r="AM193" s="21">
        <f t="shared" ref="AM193:AP193" si="1611">AM184-AM192</f>
        <v>172.9</v>
      </c>
      <c r="AN193" s="21">
        <f t="shared" si="1611"/>
        <v>167.02614076426599</v>
      </c>
      <c r="AO193" s="21">
        <f t="shared" si="1611"/>
        <v>109.13999999999999</v>
      </c>
      <c r="AP193" s="21">
        <f t="shared" si="1611"/>
        <v>100.50763578450221</v>
      </c>
      <c r="AQ193" s="21">
        <f t="shared" ref="AQ193:AT193" si="1612">AQ184-AQ192</f>
        <v>161.46000000000009</v>
      </c>
      <c r="AR193" s="21">
        <f t="shared" si="1612"/>
        <v>160.97027940807629</v>
      </c>
      <c r="AS193" s="21">
        <f t="shared" si="1612"/>
        <v>142.19000000000005</v>
      </c>
      <c r="AT193" s="21">
        <f t="shared" si="1612"/>
        <v>101.90222652005735</v>
      </c>
      <c r="AU193" s="21">
        <f t="shared" ref="AU193:AX193" si="1613">AU184-AU192</f>
        <v>159.38999999999999</v>
      </c>
      <c r="AV193" s="21">
        <f t="shared" si="1613"/>
        <v>144.12476537904149</v>
      </c>
      <c r="AW193" s="21">
        <f t="shared" si="1613"/>
        <v>103.37</v>
      </c>
      <c r="AX193" s="21">
        <f t="shared" si="1613"/>
        <v>74.942347629796814</v>
      </c>
      <c r="AY193" s="21">
        <f t="shared" ref="AY193:BB193" si="1614">AY184-AY192</f>
        <v>112.19999999999999</v>
      </c>
      <c r="AZ193" s="21">
        <f t="shared" si="1614"/>
        <v>69.403631078711726</v>
      </c>
      <c r="BA193" s="21">
        <f t="shared" si="1614"/>
        <v>169.07</v>
      </c>
      <c r="BB193" s="21">
        <f t="shared" si="1614"/>
        <v>117.05647933637243</v>
      </c>
      <c r="BC193" s="21">
        <f t="shared" ref="BC193:BF193" si="1615">BC184-BC192</f>
        <v>208.11000000000007</v>
      </c>
      <c r="BD193" s="21">
        <f t="shared" si="1615"/>
        <v>183.69470640968177</v>
      </c>
      <c r="BE193" s="21">
        <f t="shared" si="1615"/>
        <v>253.20000000000005</v>
      </c>
      <c r="BF193" s="21">
        <f t="shared" si="1615"/>
        <v>138.69859841560026</v>
      </c>
      <c r="BG193" s="21">
        <f t="shared" ref="BG193:BJ193" si="1616">BG184-BG192</f>
        <v>256.2</v>
      </c>
      <c r="BH193" s="21">
        <f t="shared" si="1616"/>
        <v>288.63264984227135</v>
      </c>
      <c r="BI193" s="21">
        <f t="shared" si="1616"/>
        <v>270.90000000000003</v>
      </c>
      <c r="BJ193" s="21">
        <f t="shared" si="1616"/>
        <v>208.73958453548772</v>
      </c>
      <c r="BK193" s="21">
        <f t="shared" ref="BK193:BN193" si="1617">BK184-BK192</f>
        <v>232.8</v>
      </c>
      <c r="BL193" s="21">
        <f t="shared" si="1617"/>
        <v>303.33147779986746</v>
      </c>
      <c r="BM193" s="21">
        <f t="shared" si="1617"/>
        <v>190.79999999999995</v>
      </c>
      <c r="BN193" s="21">
        <f t="shared" si="1617"/>
        <v>100.90089020771512</v>
      </c>
      <c r="BO193" s="21">
        <f t="shared" ref="BO193:BR193" si="1618">BO184-BO192</f>
        <v>179.7999999999999</v>
      </c>
      <c r="BP193" s="21">
        <f t="shared" si="1618"/>
        <v>395.52233896756536</v>
      </c>
      <c r="BQ193" s="21">
        <f t="shared" si="1618"/>
        <v>162.79999999999995</v>
      </c>
      <c r="BR193" s="21">
        <f t="shared" si="1618"/>
        <v>174.33868613138691</v>
      </c>
      <c r="BS193" s="21">
        <f t="shared" ref="BS193:BV193" si="1619">BS184-BS192</f>
        <v>197.69999999999993</v>
      </c>
      <c r="BT193" s="21">
        <f t="shared" si="1619"/>
        <v>278.35524752475249</v>
      </c>
      <c r="BU193" s="21">
        <f t="shared" si="1619"/>
        <v>258.89999999999998</v>
      </c>
      <c r="BV193" s="21">
        <f t="shared" si="1619"/>
        <v>233.37343679712114</v>
      </c>
      <c r="BW193" s="21">
        <f t="shared" ref="BW193:BZ193" si="1620">BW184-BW192</f>
        <v>385.40000000000009</v>
      </c>
      <c r="BX193" s="21">
        <f t="shared" si="1620"/>
        <v>366.54576271186443</v>
      </c>
      <c r="BY193" s="21">
        <f t="shared" si="1620"/>
        <v>460.79999999999995</v>
      </c>
      <c r="BZ193" s="21">
        <f t="shared" si="1620"/>
        <v>417.40026686999613</v>
      </c>
      <c r="CA193" s="21">
        <f t="shared" ref="CA193:CD193" si="1621">CA184-CA192</f>
        <v>491.19999999999993</v>
      </c>
      <c r="CB193" s="21">
        <f t="shared" si="1621"/>
        <v>457.92409944190786</v>
      </c>
      <c r="CC193" s="21">
        <f t="shared" si="1621"/>
        <v>524.9</v>
      </c>
      <c r="CD193" s="21">
        <f t="shared" si="1621"/>
        <v>448.24152007965472</v>
      </c>
      <c r="CE193" s="21">
        <f t="shared" ref="CE193" si="1622">CE184-CE192</f>
        <v>463.20000000000005</v>
      </c>
      <c r="CF193" s="21">
        <f t="shared" ref="CF193:CH193" si="1623">CF184-CF192</f>
        <v>426.69945820433441</v>
      </c>
      <c r="CG193" s="21">
        <f t="shared" ref="CG193" si="1624">CG184-CG192</f>
        <v>583.2170000000001</v>
      </c>
      <c r="CH193" s="21">
        <f t="shared" si="1623"/>
        <v>417.09172329295131</v>
      </c>
      <c r="CI193" s="21">
        <f t="shared" ref="CI193:CJ193" si="1625">CI184-CI192</f>
        <v>658.80000000000007</v>
      </c>
      <c r="CJ193" s="21">
        <f t="shared" si="1625"/>
        <v>633.12819859007084</v>
      </c>
      <c r="CK193" s="21">
        <f t="shared" ref="CK193:CL193" si="1626">CK184-CK192</f>
        <v>768.49999999999977</v>
      </c>
      <c r="CL193" s="21">
        <f t="shared" si="1626"/>
        <v>485.59464285714284</v>
      </c>
      <c r="CM193" s="20">
        <f t="shared" ref="CM193:DA193" si="1627">CM184-CM192</f>
        <v>752.47844032918761</v>
      </c>
      <c r="CN193" s="20">
        <f t="shared" si="1627"/>
        <v>815.80702579420426</v>
      </c>
      <c r="CO193" s="20">
        <f t="shared" si="1627"/>
        <v>837.78023312293772</v>
      </c>
      <c r="CP193" s="20">
        <f t="shared" si="1627"/>
        <v>749.00576491048787</v>
      </c>
      <c r="CQ193" s="20">
        <f t="shared" si="1627"/>
        <v>824.11410443402542</v>
      </c>
      <c r="CR193" s="20">
        <f t="shared" si="1627"/>
        <v>894.75850369372802</v>
      </c>
      <c r="CS193" s="20">
        <f t="shared" si="1627"/>
        <v>919.4689683520528</v>
      </c>
      <c r="CT193" s="20">
        <f t="shared" si="1627"/>
        <v>822.62664433999885</v>
      </c>
      <c r="CU193" s="20">
        <f t="shared" si="1627"/>
        <v>905.52853774449841</v>
      </c>
      <c r="CV193" s="20">
        <f t="shared" si="1627"/>
        <v>983.50867678916075</v>
      </c>
      <c r="CW193" s="20">
        <f t="shared" si="1627"/>
        <v>1010.8392127268314</v>
      </c>
      <c r="CX193" s="20">
        <f t="shared" si="1627"/>
        <v>904.53610690342975</v>
      </c>
      <c r="CY193" s="20">
        <f t="shared" si="1627"/>
        <v>995.8062215597065</v>
      </c>
      <c r="CZ193" s="20">
        <f t="shared" si="1627"/>
        <v>1081.6592544320297</v>
      </c>
      <c r="DA193" s="20">
        <f t="shared" si="1627"/>
        <v>1111.7639754503448</v>
      </c>
      <c r="DD193" s="125"/>
      <c r="DE193" s="21">
        <v>768.49999999999977</v>
      </c>
    </row>
    <row r="194" spans="1:109" s="22" customFormat="1" x14ac:dyDescent="0.2">
      <c r="AB194" s="23"/>
      <c r="AC194" s="23"/>
      <c r="AD194" s="23"/>
      <c r="AE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D194" s="122"/>
    </row>
    <row r="195" spans="1:109" s="22" customFormat="1" outlineLevel="1" x14ac:dyDescent="0.2">
      <c r="A195" s="22" t="s">
        <v>75</v>
      </c>
      <c r="B195" s="22">
        <f>'Annual Raw'!C75</f>
        <v>0</v>
      </c>
      <c r="C195" s="22">
        <f>'Annual Raw'!D75</f>
        <v>0</v>
      </c>
      <c r="D195" s="22">
        <f>'Annual Raw'!E75</f>
        <v>0</v>
      </c>
      <c r="E195" s="22">
        <f>'Annual Raw'!F75</f>
        <v>9.8572000000000006</v>
      </c>
      <c r="F195" s="22">
        <f>'Annual Raw'!G75</f>
        <v>0</v>
      </c>
      <c r="G195" s="22">
        <f>'Annual Raw'!H75</f>
        <v>0</v>
      </c>
      <c r="H195" s="22">
        <f>'Annual Raw'!I75</f>
        <v>0</v>
      </c>
      <c r="I195" s="22">
        <f>'Annual Raw'!J75</f>
        <v>0</v>
      </c>
      <c r="J195" s="22">
        <f>'Annual Raw'!K75</f>
        <v>0</v>
      </c>
      <c r="K195" s="22">
        <f>'Annual Raw'!L75</f>
        <v>0</v>
      </c>
      <c r="L195" s="22">
        <f>'Annual Raw'!M75</f>
        <v>0</v>
      </c>
      <c r="M195" s="22">
        <f>'Annual Raw'!N75</f>
        <v>0</v>
      </c>
      <c r="N195" s="22">
        <f>'Annual Raw'!O75</f>
        <v>0</v>
      </c>
      <c r="O195" s="22">
        <f>'Annual Raw'!P75</f>
        <v>0</v>
      </c>
      <c r="P195" s="22">
        <f>'Annual Raw'!Q75</f>
        <v>0</v>
      </c>
      <c r="Q195" s="22">
        <f>'Annual Raw'!R75</f>
        <v>0</v>
      </c>
      <c r="R195" s="22">
        <f>'Annual Raw'!S75</f>
        <v>0</v>
      </c>
      <c r="S195" s="22">
        <f>'Annual Raw'!T75</f>
        <v>0</v>
      </c>
      <c r="T195" s="22">
        <f>'Annual Raw'!U75</f>
        <v>0</v>
      </c>
      <c r="U195" s="22">
        <f>'Annual Raw'!V75</f>
        <v>0</v>
      </c>
      <c r="V195" s="22">
        <f>'Annual Raw'!W75</f>
        <v>0</v>
      </c>
      <c r="W195" s="22">
        <f>'Annual Raw'!X75</f>
        <v>0</v>
      </c>
      <c r="X195" s="22">
        <f>'Annual Raw'!Y75</f>
        <v>0</v>
      </c>
      <c r="Y195" s="22">
        <f>'Annual Raw'!Z75</f>
        <v>0</v>
      </c>
      <c r="Z195" s="22">
        <f>'Annual Raw'!AA75</f>
        <v>0</v>
      </c>
      <c r="AA195" s="22">
        <f>'Annual Raw'!AB75</f>
        <v>0</v>
      </c>
      <c r="AB195" s="23">
        <f t="shared" ref="AB195:AB196" si="1628">+CO195</f>
        <v>0</v>
      </c>
      <c r="AC195" s="23">
        <f t="shared" ref="AC195:AC196" si="1629">+CS195</f>
        <v>0</v>
      </c>
      <c r="AD195" s="23">
        <f t="shared" ref="AD195:AD196" si="1630">+CW195</f>
        <v>0</v>
      </c>
      <c r="AE195" s="23">
        <f t="shared" ref="AE195:AE196" si="1631">+DA195</f>
        <v>0</v>
      </c>
      <c r="AI195" s="22">
        <f>+'QTR Raw'!C80</f>
        <v>0</v>
      </c>
      <c r="AK195" s="22">
        <f>+'QTR Raw'!E80</f>
        <v>0</v>
      </c>
      <c r="AM195" s="22">
        <f>+'QTR Raw'!G80</f>
        <v>0</v>
      </c>
      <c r="AO195" s="22">
        <f>+'QTR Raw'!I80</f>
        <v>0</v>
      </c>
      <c r="AQ195" s="22">
        <f>+'QTR Raw'!K80</f>
        <v>0</v>
      </c>
      <c r="AS195" s="22">
        <f>+'QTR Raw'!M80</f>
        <v>0</v>
      </c>
      <c r="AU195" s="22">
        <f>+'QTR Raw'!O80</f>
        <v>0</v>
      </c>
      <c r="AW195" s="22">
        <f>+'QTR Raw'!Q80</f>
        <v>0</v>
      </c>
      <c r="AY195" s="22">
        <f>+'QTR Raw'!S80</f>
        <v>0</v>
      </c>
      <c r="BA195" s="22">
        <f>+'QTR Raw'!U80</f>
        <v>0</v>
      </c>
      <c r="BC195" s="22">
        <f>+'QTR Raw'!W80</f>
        <v>0</v>
      </c>
      <c r="BE195" s="22">
        <f>+'QTR Raw'!Y80</f>
        <v>0</v>
      </c>
      <c r="BG195" s="22">
        <f>+'QTR Raw'!AA80</f>
        <v>0</v>
      </c>
      <c r="BI195" s="22">
        <f>+'QTR Raw'!AC80</f>
        <v>0</v>
      </c>
      <c r="BK195" s="22">
        <f>+'QTR Raw'!AE80</f>
        <v>0</v>
      </c>
      <c r="BM195" s="22">
        <f>+'QTR Raw'!AG80</f>
        <v>0</v>
      </c>
      <c r="BO195" s="22">
        <f>+'QTR Raw'!AI80</f>
        <v>0</v>
      </c>
      <c r="BQ195" s="22">
        <f>+'QTR Raw'!AK80</f>
        <v>0</v>
      </c>
      <c r="BS195" s="22">
        <f>+'QTR Raw'!AM80</f>
        <v>0</v>
      </c>
      <c r="BU195" s="22">
        <f>+'QTR Raw'!AO80</f>
        <v>0</v>
      </c>
      <c r="BW195" s="22">
        <f>+'QTR Raw'!AQ80</f>
        <v>0</v>
      </c>
      <c r="BY195" s="22">
        <f>+'QTR Raw'!AS80</f>
        <v>0</v>
      </c>
      <c r="CA195" s="22">
        <f>+'QTR Raw'!AU80</f>
        <v>0</v>
      </c>
      <c r="CC195" s="22">
        <f>+'QTR Raw'!AW80</f>
        <v>0</v>
      </c>
      <c r="CE195" s="22">
        <f>+'QTR Raw'!AY80</f>
        <v>0</v>
      </c>
      <c r="CG195" s="22">
        <f t="shared" ref="CG195:CG196" si="1632">+Z195</f>
        <v>0</v>
      </c>
      <c r="CI195" s="22">
        <f>+'QTR Raw'!BC80</f>
        <v>0</v>
      </c>
      <c r="CK195" s="22">
        <f>+'QTR Raw'!BE80</f>
        <v>0</v>
      </c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D195" s="122"/>
      <c r="DE195" s="22">
        <v>0</v>
      </c>
    </row>
    <row r="196" spans="1:109" s="22" customFormat="1" outlineLevel="1" x14ac:dyDescent="0.2">
      <c r="A196" s="22" t="s">
        <v>76</v>
      </c>
      <c r="B196" s="22">
        <f>'Annual Raw'!C78</f>
        <v>12.208600000000001</v>
      </c>
      <c r="C196" s="22">
        <f>'Annual Raw'!D78</f>
        <v>6.5682</v>
      </c>
      <c r="D196" s="22">
        <f>'Annual Raw'!E78</f>
        <v>20.292999999999999</v>
      </c>
      <c r="E196" s="22">
        <f>'Annual Raw'!F78</f>
        <v>9.5968999999999998</v>
      </c>
      <c r="F196" s="22">
        <f>'Annual Raw'!G78</f>
        <v>22.676200000000001</v>
      </c>
      <c r="G196" s="22">
        <f>'Annual Raw'!H78</f>
        <v>43.780999999999999</v>
      </c>
      <c r="H196" s="22">
        <f>'Annual Raw'!I78</f>
        <v>63.3596</v>
      </c>
      <c r="I196" s="22">
        <f>'Annual Raw'!J78</f>
        <v>53.962699999999998</v>
      </c>
      <c r="J196" s="22">
        <f>'Annual Raw'!K78</f>
        <v>49.686500000000002</v>
      </c>
      <c r="K196" s="22">
        <f>'Annual Raw'!L78</f>
        <v>98.768900000000002</v>
      </c>
      <c r="L196" s="22">
        <f>'Annual Raw'!M78</f>
        <v>101.0444</v>
      </c>
      <c r="M196" s="22">
        <f>'Annual Raw'!N78</f>
        <v>84.486999999999995</v>
      </c>
      <c r="N196" s="22">
        <f>'Annual Raw'!O78</f>
        <v>104.46599999999999</v>
      </c>
      <c r="O196" s="22">
        <f>'Annual Raw'!P78</f>
        <v>160.06399999999999</v>
      </c>
      <c r="P196" s="22">
        <f>'Annual Raw'!Q78</f>
        <v>178.75</v>
      </c>
      <c r="Q196" s="22">
        <f>'Annual Raw'!R78</f>
        <v>228.36199999999999</v>
      </c>
      <c r="R196" s="22">
        <f>'Annual Raw'!S78</f>
        <v>202.184</v>
      </c>
      <c r="S196" s="22">
        <f>'Annual Raw'!T78</f>
        <v>91.274000000000001</v>
      </c>
      <c r="T196" s="22">
        <f>'Annual Raw'!U78</f>
        <v>138.691</v>
      </c>
      <c r="U196" s="22">
        <f>'Annual Raw'!V78</f>
        <v>290.04500000000002</v>
      </c>
      <c r="V196" s="22">
        <f>'Annual Raw'!W78</f>
        <v>403.351</v>
      </c>
      <c r="W196" s="22">
        <f>'Annual Raw'!X78</f>
        <v>354.53</v>
      </c>
      <c r="X196" s="22">
        <f>'Annual Raw'!Y78</f>
        <v>261.00700000000001</v>
      </c>
      <c r="Y196" s="22">
        <f>'Annual Raw'!Z78</f>
        <v>274.56799999999998</v>
      </c>
      <c r="Z196" s="22">
        <f>'Annual Raw'!AA78</f>
        <v>323.46800000000002</v>
      </c>
      <c r="AA196" s="22">
        <f>'Annual Raw'!AB78</f>
        <v>283.39</v>
      </c>
      <c r="AB196" s="23">
        <f t="shared" si="1628"/>
        <v>498.52800545408127</v>
      </c>
      <c r="AC196" s="23">
        <f t="shared" si="1629"/>
        <v>737.04092395093255</v>
      </c>
      <c r="AD196" s="23">
        <f t="shared" si="1630"/>
        <v>1005.5116714750823</v>
      </c>
      <c r="AE196" s="23">
        <f t="shared" si="1631"/>
        <v>1319.3288360131878</v>
      </c>
      <c r="AI196" s="22">
        <f>+'QTR Raw'!C83</f>
        <v>95</v>
      </c>
      <c r="AJ196" s="22">
        <f t="shared" ref="AJ196" si="1633">+AJ246</f>
        <v>141.25976945244952</v>
      </c>
      <c r="AK196" s="22">
        <f>+'QTR Raw'!E83</f>
        <v>0</v>
      </c>
      <c r="AL196" s="22">
        <f t="shared" ref="AL196" si="1634">+AL246</f>
        <v>15.61</v>
      </c>
      <c r="AM196" s="22">
        <f>+'QTR Raw'!G83</f>
        <v>112.15</v>
      </c>
      <c r="AN196" s="22">
        <f t="shared" ref="AN196" si="1635">+AN246</f>
        <v>135.92385923573406</v>
      </c>
      <c r="AO196" s="22">
        <f>+'QTR Raw'!I83</f>
        <v>160.06</v>
      </c>
      <c r="AP196" s="22">
        <f t="shared" ref="AP196" si="1636">+AP246</f>
        <v>183.82236421549777</v>
      </c>
      <c r="AQ196" s="22">
        <f>+'QTR Raw'!K83</f>
        <v>155.06</v>
      </c>
      <c r="AR196" s="22">
        <f t="shared" ref="AR196" si="1637">+AR246</f>
        <v>173.41972059192386</v>
      </c>
      <c r="AS196" s="22">
        <f>+'QTR Raw'!M83</f>
        <v>178.75</v>
      </c>
      <c r="AT196" s="22">
        <f t="shared" ref="AT196" si="1638">+AT246</f>
        <v>225.44777347994255</v>
      </c>
      <c r="AU196" s="22">
        <f>+'QTR Raw'!O83</f>
        <v>164.59</v>
      </c>
      <c r="AV196" s="22">
        <f t="shared" ref="AV196" si="1639">+AV246</f>
        <v>196.70523462095861</v>
      </c>
      <c r="AW196" s="22">
        <f>+'QTR Raw'!Q83</f>
        <v>228.36</v>
      </c>
      <c r="AX196" s="22">
        <f t="shared" ref="AX196" si="1640">+AX246</f>
        <v>273.63765237020334</v>
      </c>
      <c r="AY196" s="22">
        <f>+'QTR Raw'!S83</f>
        <v>218.18</v>
      </c>
      <c r="AZ196" s="22">
        <f t="shared" ref="AZ196" si="1641">+AZ246</f>
        <v>269.64636892128817</v>
      </c>
      <c r="BA196" s="22">
        <f>+'QTR Raw'!U83</f>
        <v>202.19</v>
      </c>
      <c r="BB196" s="22">
        <f t="shared" ref="BB196" si="1642">+BB246</f>
        <v>267.50352066362757</v>
      </c>
      <c r="BC196" s="22">
        <f>+'QTR Raw'!W83</f>
        <v>187.12</v>
      </c>
      <c r="BD196" s="22">
        <f t="shared" ref="BD196" si="1643">+BD246</f>
        <v>223.13529359031838</v>
      </c>
      <c r="BE196" s="22">
        <f>+'QTR Raw'!Y83</f>
        <v>91.3</v>
      </c>
      <c r="BF196" s="22">
        <f t="shared" ref="BF196" si="1644">+BF246</f>
        <v>218.3014015843998</v>
      </c>
      <c r="BG196" s="22">
        <f>+'QTR Raw'!AA83</f>
        <v>114.7</v>
      </c>
      <c r="BH196" s="22">
        <f t="shared" ref="BH196" si="1645">+BH246</f>
        <v>99.267350157728629</v>
      </c>
      <c r="BI196" s="22">
        <f>+'QTR Raw'!AC83</f>
        <v>138.69999999999999</v>
      </c>
      <c r="BJ196" s="22">
        <f t="shared" ref="BJ196" si="1646">+BJ246</f>
        <v>217.46041546451227</v>
      </c>
      <c r="BK196" s="22">
        <f>+'QTR Raw'!AE83</f>
        <v>207.3</v>
      </c>
      <c r="BL196" s="22">
        <f t="shared" ref="BL196" si="1647">+BL246</f>
        <v>162.46852220013258</v>
      </c>
      <c r="BM196" s="22">
        <f>+'QTR Raw'!AG83</f>
        <v>290.10000000000002</v>
      </c>
      <c r="BN196" s="22">
        <f t="shared" ref="BN196" si="1648">+BN246</f>
        <v>390.89910979228489</v>
      </c>
      <c r="BO196" s="22">
        <f>+'QTR Raw'!AI83</f>
        <v>334.6</v>
      </c>
      <c r="BP196" s="22">
        <f t="shared" ref="BP196" si="1649">+BP246</f>
        <v>161.57766103243455</v>
      </c>
      <c r="BQ196" s="22">
        <f>+'QTR Raw'!AK83</f>
        <v>403.4</v>
      </c>
      <c r="BR196" s="22">
        <f t="shared" ref="BR196" si="1650">+BR246</f>
        <v>435.761313868613</v>
      </c>
      <c r="BS196" s="22">
        <f>+'QTR Raw'!AM83</f>
        <v>427.7</v>
      </c>
      <c r="BT196" s="22">
        <f t="shared" ref="BT196" si="1651">+BT246</f>
        <v>385.94475247524747</v>
      </c>
      <c r="BU196" s="22">
        <f>+'QTR Raw'!AO83</f>
        <v>354.6</v>
      </c>
      <c r="BV196" s="22">
        <f t="shared" ref="BV196" si="1652">+BV246</f>
        <v>420.52656320287895</v>
      </c>
      <c r="BW196" s="22">
        <f>+'QTR Raw'!AQ83</f>
        <v>308.89999999999998</v>
      </c>
      <c r="BX196" s="22">
        <f t="shared" ref="BX196" si="1653">+BX246</f>
        <v>366.7542372881357</v>
      </c>
      <c r="BY196" s="22">
        <f>+'QTR Raw'!AS83</f>
        <v>261.10000000000002</v>
      </c>
      <c r="BZ196" s="22">
        <f t="shared" ref="BZ196" si="1654">+BZ246</f>
        <v>345.39973313000382</v>
      </c>
      <c r="CA196" s="22">
        <f>+'QTR Raw'!AU83</f>
        <v>247</v>
      </c>
      <c r="CB196" s="22">
        <f t="shared" ref="CB196" si="1655">+CB246</f>
        <v>330.37590055809216</v>
      </c>
      <c r="CC196" s="22">
        <f>+'QTR Raw'!AW83</f>
        <v>274.5</v>
      </c>
      <c r="CD196" s="22">
        <f t="shared" ref="CD196" si="1656">+CD246</f>
        <v>395.75847992034528</v>
      </c>
      <c r="CE196" s="22">
        <f>+'QTR Raw'!AY83</f>
        <v>373.9</v>
      </c>
      <c r="CF196" s="22">
        <f t="shared" ref="CF196:CH196" si="1657">+CF246</f>
        <v>472.10054179566561</v>
      </c>
      <c r="CG196" s="22">
        <f t="shared" si="1632"/>
        <v>323.46800000000002</v>
      </c>
      <c r="CH196" s="22">
        <f t="shared" si="1657"/>
        <v>541.19327670704888</v>
      </c>
      <c r="CI196" s="22">
        <f>+'QTR Raw'!BC83</f>
        <v>316.7</v>
      </c>
      <c r="CJ196" s="22">
        <f t="shared" ref="CJ196:CL196" si="1658">+CJ246</f>
        <v>409.87180140992928</v>
      </c>
      <c r="CK196" s="22">
        <f>+'QTR Raw'!BE83</f>
        <v>283.39999999999998</v>
      </c>
      <c r="CL196" s="22">
        <f t="shared" si="1658"/>
        <v>606.10535714285686</v>
      </c>
      <c r="CM196" s="23">
        <f t="shared" ref="CM196:DA196" si="1659">+CM246</f>
        <v>421.19612656959953</v>
      </c>
      <c r="CN196" s="23">
        <f t="shared" si="1659"/>
        <v>423.05693124921879</v>
      </c>
      <c r="CO196" s="23">
        <f t="shared" si="1659"/>
        <v>498.52800545408127</v>
      </c>
      <c r="CP196" s="23">
        <f t="shared" si="1659"/>
        <v>630.24540157244792</v>
      </c>
      <c r="CQ196" s="23">
        <f t="shared" si="1659"/>
        <v>645.30552773589977</v>
      </c>
      <c r="CR196" s="23">
        <f t="shared" si="1659"/>
        <v>649.54560936788721</v>
      </c>
      <c r="CS196" s="23">
        <f t="shared" si="1659"/>
        <v>737.04092395093255</v>
      </c>
      <c r="CT196" s="23">
        <f t="shared" si="1659"/>
        <v>883.68245293006601</v>
      </c>
      <c r="CU196" s="23">
        <f t="shared" si="1659"/>
        <v>901.61260799044339</v>
      </c>
      <c r="CV196" s="23">
        <f t="shared" si="1659"/>
        <v>907.52589933461798</v>
      </c>
      <c r="CW196" s="23">
        <f t="shared" si="1659"/>
        <v>1005.5116714750823</v>
      </c>
      <c r="CX196" s="23">
        <f t="shared" si="1659"/>
        <v>1171.2030436660607</v>
      </c>
      <c r="CY196" s="23">
        <f t="shared" si="1659"/>
        <v>1195.4737080676875</v>
      </c>
      <c r="CZ196" s="23">
        <f t="shared" si="1659"/>
        <v>1206.6605487919724</v>
      </c>
      <c r="DA196" s="23">
        <f t="shared" si="1659"/>
        <v>1319.3288360131878</v>
      </c>
      <c r="DD196" s="122"/>
      <c r="DE196" s="22">
        <v>283.39999999999998</v>
      </c>
    </row>
    <row r="197" spans="1:109" s="21" customFormat="1" x14ac:dyDescent="0.2">
      <c r="A197" s="21" t="s">
        <v>77</v>
      </c>
      <c r="B197" s="21">
        <f>B195+B196</f>
        <v>12.208600000000001</v>
      </c>
      <c r="C197" s="21">
        <f t="shared" ref="C197:V197" si="1660">C195+C196</f>
        <v>6.5682</v>
      </c>
      <c r="D197" s="21">
        <f t="shared" si="1660"/>
        <v>20.292999999999999</v>
      </c>
      <c r="E197" s="21">
        <f t="shared" si="1660"/>
        <v>19.4541</v>
      </c>
      <c r="F197" s="21">
        <f t="shared" si="1660"/>
        <v>22.676200000000001</v>
      </c>
      <c r="G197" s="21">
        <f t="shared" si="1660"/>
        <v>43.780999999999999</v>
      </c>
      <c r="H197" s="21">
        <f t="shared" si="1660"/>
        <v>63.3596</v>
      </c>
      <c r="I197" s="21">
        <f t="shared" si="1660"/>
        <v>53.962699999999998</v>
      </c>
      <c r="J197" s="21">
        <f t="shared" si="1660"/>
        <v>49.686500000000002</v>
      </c>
      <c r="K197" s="21">
        <f t="shared" si="1660"/>
        <v>98.768900000000002</v>
      </c>
      <c r="L197" s="21">
        <f t="shared" si="1660"/>
        <v>101.0444</v>
      </c>
      <c r="M197" s="21">
        <f t="shared" si="1660"/>
        <v>84.486999999999995</v>
      </c>
      <c r="N197" s="21">
        <f t="shared" si="1660"/>
        <v>104.46599999999999</v>
      </c>
      <c r="O197" s="21">
        <f t="shared" si="1660"/>
        <v>160.06399999999999</v>
      </c>
      <c r="P197" s="21">
        <f t="shared" si="1660"/>
        <v>178.75</v>
      </c>
      <c r="Q197" s="21">
        <f t="shared" si="1660"/>
        <v>228.36199999999999</v>
      </c>
      <c r="R197" s="21">
        <f t="shared" si="1660"/>
        <v>202.184</v>
      </c>
      <c r="S197" s="21">
        <f t="shared" si="1660"/>
        <v>91.274000000000001</v>
      </c>
      <c r="T197" s="21">
        <f t="shared" si="1660"/>
        <v>138.691</v>
      </c>
      <c r="U197" s="21">
        <f t="shared" si="1660"/>
        <v>290.04500000000002</v>
      </c>
      <c r="V197" s="21">
        <f t="shared" si="1660"/>
        <v>403.351</v>
      </c>
      <c r="W197" s="21">
        <f t="shared" ref="W197" si="1661">W195+W196</f>
        <v>354.53</v>
      </c>
      <c r="X197" s="21">
        <f t="shared" ref="X197:Y197" si="1662">X195+X196</f>
        <v>261.00700000000001</v>
      </c>
      <c r="Y197" s="21">
        <f t="shared" si="1662"/>
        <v>274.56799999999998</v>
      </c>
      <c r="Z197" s="21">
        <f t="shared" ref="Z197:AA197" si="1663">Z195+Z196</f>
        <v>323.46800000000002</v>
      </c>
      <c r="AA197" s="21">
        <f t="shared" ref="AA197" si="1664">AA195+AA196</f>
        <v>283.39</v>
      </c>
      <c r="AB197" s="20">
        <f t="shared" ref="AB197:AD197" si="1665">AB195+AB196</f>
        <v>498.52800545408127</v>
      </c>
      <c r="AC197" s="20">
        <f t="shared" si="1665"/>
        <v>737.04092395093255</v>
      </c>
      <c r="AD197" s="20">
        <f t="shared" si="1665"/>
        <v>1005.5116714750823</v>
      </c>
      <c r="AE197" s="20">
        <f t="shared" ref="AE197" si="1666">AE195+AE196</f>
        <v>1319.3288360131878</v>
      </c>
      <c r="AI197" s="21">
        <f t="shared" ref="AI197:AL197" si="1667">AI195+AI196</f>
        <v>95</v>
      </c>
      <c r="AJ197" s="21">
        <f t="shared" si="1667"/>
        <v>141.25976945244952</v>
      </c>
      <c r="AK197" s="21">
        <f t="shared" si="1667"/>
        <v>0</v>
      </c>
      <c r="AL197" s="21">
        <f t="shared" si="1667"/>
        <v>15.61</v>
      </c>
      <c r="AM197" s="21">
        <f t="shared" ref="AM197:AP197" si="1668">AM195+AM196</f>
        <v>112.15</v>
      </c>
      <c r="AN197" s="21">
        <f t="shared" si="1668"/>
        <v>135.92385923573406</v>
      </c>
      <c r="AO197" s="21">
        <f t="shared" si="1668"/>
        <v>160.06</v>
      </c>
      <c r="AP197" s="21">
        <f t="shared" si="1668"/>
        <v>183.82236421549777</v>
      </c>
      <c r="AQ197" s="21">
        <f t="shared" ref="AQ197:AT197" si="1669">AQ195+AQ196</f>
        <v>155.06</v>
      </c>
      <c r="AR197" s="21">
        <f t="shared" si="1669"/>
        <v>173.41972059192386</v>
      </c>
      <c r="AS197" s="21">
        <f t="shared" si="1669"/>
        <v>178.75</v>
      </c>
      <c r="AT197" s="21">
        <f t="shared" si="1669"/>
        <v>225.44777347994255</v>
      </c>
      <c r="AU197" s="21">
        <f t="shared" ref="AU197:AX197" si="1670">AU195+AU196</f>
        <v>164.59</v>
      </c>
      <c r="AV197" s="21">
        <f t="shared" si="1670"/>
        <v>196.70523462095861</v>
      </c>
      <c r="AW197" s="21">
        <f t="shared" si="1670"/>
        <v>228.36</v>
      </c>
      <c r="AX197" s="21">
        <f t="shared" si="1670"/>
        <v>273.63765237020334</v>
      </c>
      <c r="AY197" s="21">
        <f t="shared" ref="AY197:BB197" si="1671">AY195+AY196</f>
        <v>218.18</v>
      </c>
      <c r="AZ197" s="21">
        <f t="shared" si="1671"/>
        <v>269.64636892128817</v>
      </c>
      <c r="BA197" s="21">
        <f t="shared" si="1671"/>
        <v>202.19</v>
      </c>
      <c r="BB197" s="21">
        <f t="shared" si="1671"/>
        <v>267.50352066362757</v>
      </c>
      <c r="BC197" s="21">
        <f t="shared" ref="BC197:BF197" si="1672">BC195+BC196</f>
        <v>187.12</v>
      </c>
      <c r="BD197" s="21">
        <f t="shared" si="1672"/>
        <v>223.13529359031838</v>
      </c>
      <c r="BE197" s="21">
        <f t="shared" si="1672"/>
        <v>91.3</v>
      </c>
      <c r="BF197" s="21">
        <f t="shared" si="1672"/>
        <v>218.3014015843998</v>
      </c>
      <c r="BG197" s="21">
        <f t="shared" ref="BG197:BJ197" si="1673">BG195+BG196</f>
        <v>114.7</v>
      </c>
      <c r="BH197" s="21">
        <f t="shared" si="1673"/>
        <v>99.267350157728629</v>
      </c>
      <c r="BI197" s="21">
        <f t="shared" si="1673"/>
        <v>138.69999999999999</v>
      </c>
      <c r="BJ197" s="21">
        <f t="shared" si="1673"/>
        <v>217.46041546451227</v>
      </c>
      <c r="BK197" s="21">
        <f t="shared" ref="BK197:BN197" si="1674">BK195+BK196</f>
        <v>207.3</v>
      </c>
      <c r="BL197" s="21">
        <f t="shared" si="1674"/>
        <v>162.46852220013258</v>
      </c>
      <c r="BM197" s="21">
        <f t="shared" si="1674"/>
        <v>290.10000000000002</v>
      </c>
      <c r="BN197" s="21">
        <f t="shared" si="1674"/>
        <v>390.89910979228489</v>
      </c>
      <c r="BO197" s="21">
        <f t="shared" ref="BO197:BR197" si="1675">BO195+BO196</f>
        <v>334.6</v>
      </c>
      <c r="BP197" s="21">
        <f t="shared" si="1675"/>
        <v>161.57766103243455</v>
      </c>
      <c r="BQ197" s="21">
        <f t="shared" si="1675"/>
        <v>403.4</v>
      </c>
      <c r="BR197" s="21">
        <f t="shared" si="1675"/>
        <v>435.761313868613</v>
      </c>
      <c r="BS197" s="21">
        <f t="shared" ref="BS197:BV197" si="1676">BS195+BS196</f>
        <v>427.7</v>
      </c>
      <c r="BT197" s="21">
        <f t="shared" si="1676"/>
        <v>385.94475247524747</v>
      </c>
      <c r="BU197" s="21">
        <f t="shared" si="1676"/>
        <v>354.6</v>
      </c>
      <c r="BV197" s="21">
        <f t="shared" si="1676"/>
        <v>420.52656320287895</v>
      </c>
      <c r="BW197" s="21">
        <f t="shared" ref="BW197:BZ197" si="1677">BW195+BW196</f>
        <v>308.89999999999998</v>
      </c>
      <c r="BX197" s="21">
        <f t="shared" si="1677"/>
        <v>366.7542372881357</v>
      </c>
      <c r="BY197" s="21">
        <f t="shared" si="1677"/>
        <v>261.10000000000002</v>
      </c>
      <c r="BZ197" s="21">
        <f t="shared" si="1677"/>
        <v>345.39973313000382</v>
      </c>
      <c r="CA197" s="21">
        <f t="shared" ref="CA197:CD197" si="1678">CA195+CA196</f>
        <v>247</v>
      </c>
      <c r="CB197" s="21">
        <f t="shared" si="1678"/>
        <v>330.37590055809216</v>
      </c>
      <c r="CC197" s="21">
        <f t="shared" si="1678"/>
        <v>274.5</v>
      </c>
      <c r="CD197" s="21">
        <f t="shared" si="1678"/>
        <v>395.75847992034528</v>
      </c>
      <c r="CE197" s="21">
        <f t="shared" ref="CE197" si="1679">CE195+CE196</f>
        <v>373.9</v>
      </c>
      <c r="CF197" s="21">
        <f t="shared" ref="CF197:CH197" si="1680">CF195+CF196</f>
        <v>472.10054179566561</v>
      </c>
      <c r="CG197" s="21">
        <f t="shared" ref="CG197" si="1681">CG195+CG196</f>
        <v>323.46800000000002</v>
      </c>
      <c r="CH197" s="21">
        <f t="shared" si="1680"/>
        <v>541.19327670704888</v>
      </c>
      <c r="CI197" s="21">
        <f t="shared" ref="CI197:CJ197" si="1682">CI195+CI196</f>
        <v>316.7</v>
      </c>
      <c r="CJ197" s="21">
        <f t="shared" si="1682"/>
        <v>409.87180140992928</v>
      </c>
      <c r="CK197" s="21">
        <f t="shared" ref="CK197:CL197" si="1683">CK195+CK196</f>
        <v>283.39999999999998</v>
      </c>
      <c r="CL197" s="21">
        <f t="shared" si="1683"/>
        <v>606.10535714285686</v>
      </c>
      <c r="CM197" s="20">
        <f t="shared" ref="CM197:DA197" si="1684">CM195+CM196</f>
        <v>421.19612656959953</v>
      </c>
      <c r="CN197" s="20">
        <f t="shared" si="1684"/>
        <v>423.05693124921879</v>
      </c>
      <c r="CO197" s="20">
        <f t="shared" si="1684"/>
        <v>498.52800545408127</v>
      </c>
      <c r="CP197" s="20">
        <f t="shared" si="1684"/>
        <v>630.24540157244792</v>
      </c>
      <c r="CQ197" s="20">
        <f t="shared" si="1684"/>
        <v>645.30552773589977</v>
      </c>
      <c r="CR197" s="20">
        <f t="shared" si="1684"/>
        <v>649.54560936788721</v>
      </c>
      <c r="CS197" s="20">
        <f t="shared" si="1684"/>
        <v>737.04092395093255</v>
      </c>
      <c r="CT197" s="20">
        <f t="shared" si="1684"/>
        <v>883.68245293006601</v>
      </c>
      <c r="CU197" s="20">
        <f t="shared" si="1684"/>
        <v>901.61260799044339</v>
      </c>
      <c r="CV197" s="20">
        <f t="shared" si="1684"/>
        <v>907.52589933461798</v>
      </c>
      <c r="CW197" s="20">
        <f t="shared" si="1684"/>
        <v>1005.5116714750823</v>
      </c>
      <c r="CX197" s="20">
        <f t="shared" si="1684"/>
        <v>1171.2030436660607</v>
      </c>
      <c r="CY197" s="20">
        <f t="shared" si="1684"/>
        <v>1195.4737080676875</v>
      </c>
      <c r="CZ197" s="20">
        <f t="shared" si="1684"/>
        <v>1206.6605487919724</v>
      </c>
      <c r="DA197" s="20">
        <f t="shared" si="1684"/>
        <v>1319.3288360131878</v>
      </c>
      <c r="DD197" s="125"/>
      <c r="DE197" s="21">
        <v>283.39999999999998</v>
      </c>
    </row>
    <row r="198" spans="1:109" s="22" customFormat="1" x14ac:dyDescent="0.2">
      <c r="AB198" s="23"/>
      <c r="AC198" s="23"/>
      <c r="AD198" s="23"/>
      <c r="AE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D198" s="122"/>
    </row>
    <row r="199" spans="1:109" s="22" customFormat="1" x14ac:dyDescent="0.2">
      <c r="A199" s="22" t="s">
        <v>78</v>
      </c>
      <c r="B199" s="22">
        <f>-'Annual Raw'!C49</f>
        <v>0</v>
      </c>
      <c r="C199" s="22">
        <f>-'Annual Raw'!D49</f>
        <v>0</v>
      </c>
      <c r="D199" s="22">
        <f>-'Annual Raw'!E49</f>
        <v>-5.1151999999999997</v>
      </c>
      <c r="E199" s="22">
        <f>-'Annual Raw'!F49</f>
        <v>-2.4358</v>
      </c>
      <c r="F199" s="22">
        <f>-'Annual Raw'!G49</f>
        <v>-1.0205</v>
      </c>
      <c r="G199" s="22">
        <f>-'Annual Raw'!H49</f>
        <v>0</v>
      </c>
      <c r="H199" s="22">
        <f>-'Annual Raw'!I49</f>
        <v>2.9999999999999997E-4</v>
      </c>
      <c r="I199" s="22">
        <f>-'Annual Raw'!J49</f>
        <v>1.0472999999999999</v>
      </c>
      <c r="J199" s="22">
        <f>-'Annual Raw'!K49</f>
        <v>1.0602</v>
      </c>
      <c r="K199" s="22">
        <f>-'Annual Raw'!L49</f>
        <v>1.9557</v>
      </c>
      <c r="L199" s="22">
        <f>-'Annual Raw'!M49</f>
        <v>4.6902999999999997</v>
      </c>
      <c r="M199" s="22">
        <f>-'Annual Raw'!N49</f>
        <v>5.2329999999999997</v>
      </c>
      <c r="N199" s="22">
        <f>-'Annual Raw'!O49</f>
        <v>7.4580000000000002</v>
      </c>
      <c r="O199" s="22">
        <f>-'Annual Raw'!P49</f>
        <v>7.7750000000000004</v>
      </c>
      <c r="P199" s="22">
        <f>-'Annual Raw'!Q49</f>
        <v>10.022</v>
      </c>
      <c r="Q199" s="22">
        <f>-'Annual Raw'!R49</f>
        <v>12.782</v>
      </c>
      <c r="R199" s="22">
        <f>-'Annual Raw'!S49</f>
        <v>6.6639999999999997</v>
      </c>
      <c r="S199" s="22">
        <f>-'Annual Raw'!T49</f>
        <v>8.3610000000000007</v>
      </c>
      <c r="T199" s="22">
        <f>-'Annual Raw'!U49</f>
        <v>6.5839999999999996</v>
      </c>
      <c r="U199" s="22">
        <f>-'Annual Raw'!V49</f>
        <v>1.58</v>
      </c>
      <c r="V199" s="22">
        <f>-'Annual Raw'!W49</f>
        <v>0.89300000000000002</v>
      </c>
      <c r="W199" s="22">
        <f>-'Annual Raw'!X49</f>
        <v>5.1100000000000003</v>
      </c>
      <c r="X199" s="22">
        <f>-'Annual Raw'!Y49</f>
        <v>-1.288</v>
      </c>
      <c r="Y199" s="22">
        <f>-'Annual Raw'!Z49</f>
        <v>-1.54</v>
      </c>
      <c r="Z199" s="22">
        <f>-'Annual Raw'!AA49</f>
        <v>-2.2829999999999999</v>
      </c>
      <c r="AA199" s="22">
        <f>-'Annual Raw'!AB49</f>
        <v>10.898</v>
      </c>
      <c r="AB199" s="23">
        <f t="shared" ref="AB199:AB200" si="1685">+CO199</f>
        <v>10.9</v>
      </c>
      <c r="AC199" s="23">
        <f t="shared" ref="AC199:AC200" si="1686">+CS199</f>
        <v>10.9</v>
      </c>
      <c r="AD199" s="23">
        <f t="shared" ref="AD199:AD200" si="1687">+CW199</f>
        <v>10.9</v>
      </c>
      <c r="AE199" s="23">
        <f t="shared" ref="AE199:AE200" si="1688">+DA199</f>
        <v>10.9</v>
      </c>
      <c r="AI199" s="22">
        <f>+'QTR Raw'!C96</f>
        <v>5.93</v>
      </c>
      <c r="AJ199" s="22">
        <f t="shared" ref="AJ199:AJ200" si="1689">+AI199</f>
        <v>5.93</v>
      </c>
      <c r="AK199" s="22">
        <f>+'QTR Raw'!E96</f>
        <v>0</v>
      </c>
      <c r="AL199" s="22">
        <f t="shared" ref="AL199:AL200" si="1690">+AK199</f>
        <v>0</v>
      </c>
      <c r="AM199" s="22">
        <f>+'QTR Raw'!G96</f>
        <v>6.65</v>
      </c>
      <c r="AN199" s="22">
        <f t="shared" ref="AN199:AN200" si="1691">+AM199</f>
        <v>6.65</v>
      </c>
      <c r="AO199" s="22">
        <f>+'QTR Raw'!I96</f>
        <v>7.78</v>
      </c>
      <c r="AP199" s="22">
        <f t="shared" ref="AP199:AP200" si="1692">+AO199</f>
        <v>7.78</v>
      </c>
      <c r="AQ199" s="22">
        <f>+'QTR Raw'!K96</f>
        <v>8.4499999999999993</v>
      </c>
      <c r="AR199" s="22">
        <f t="shared" ref="AR199:AR200" si="1693">+AQ199</f>
        <v>8.4499999999999993</v>
      </c>
      <c r="AS199" s="22">
        <f>+'QTR Raw'!M96</f>
        <v>10.02</v>
      </c>
      <c r="AT199" s="22">
        <f t="shared" ref="AT199:AT200" si="1694">+AS199</f>
        <v>10.02</v>
      </c>
      <c r="AU199" s="22">
        <f>+'QTR Raw'!O96</f>
        <v>11.29</v>
      </c>
      <c r="AV199" s="22">
        <f t="shared" ref="AV199:AV200" si="1695">+AU199</f>
        <v>11.29</v>
      </c>
      <c r="AW199" s="22">
        <f>+'QTR Raw'!Q96</f>
        <v>12.78</v>
      </c>
      <c r="AX199" s="22">
        <f t="shared" ref="AX199:AX200" si="1696">+AW199</f>
        <v>12.78</v>
      </c>
      <c r="AY199" s="22">
        <f>+'QTR Raw'!S96</f>
        <v>13.96</v>
      </c>
      <c r="AZ199" s="22">
        <f t="shared" ref="AZ199:AZ200" si="1697">+AY199</f>
        <v>13.96</v>
      </c>
      <c r="BA199" s="22">
        <f>+'QTR Raw'!U96</f>
        <v>6.66</v>
      </c>
      <c r="BB199" s="22">
        <f t="shared" ref="BB199:BB200" si="1698">+BA199</f>
        <v>6.66</v>
      </c>
      <c r="BC199" s="22">
        <f>+'QTR Raw'!W96</f>
        <v>15.28</v>
      </c>
      <c r="BD199" s="22">
        <f t="shared" ref="BD199:BD200" si="1699">+BC199</f>
        <v>15.28</v>
      </c>
      <c r="BE199" s="22">
        <f>+'QTR Raw'!Y96</f>
        <v>8.4</v>
      </c>
      <c r="BF199" s="22">
        <f t="shared" ref="BF199:BF200" si="1700">+BE199</f>
        <v>8.4</v>
      </c>
      <c r="BG199" s="22">
        <f>+'QTR Raw'!AA96</f>
        <v>18.2</v>
      </c>
      <c r="BH199" s="22">
        <f t="shared" ref="BH199:BH200" si="1701">+BG199</f>
        <v>18.2</v>
      </c>
      <c r="BI199" s="22">
        <f>+'QTR Raw'!AC96</f>
        <v>6.6</v>
      </c>
      <c r="BJ199" s="22">
        <f t="shared" ref="BJ199:BJ200" si="1702">+BI199</f>
        <v>6.6</v>
      </c>
      <c r="BK199" s="22">
        <f>+'QTR Raw'!AE96</f>
        <v>0.7</v>
      </c>
      <c r="BL199" s="22">
        <f t="shared" ref="BL199:BL200" si="1703">+BK199</f>
        <v>0.7</v>
      </c>
      <c r="BM199" s="22">
        <f>+'QTR Raw'!AG96</f>
        <v>1.6</v>
      </c>
      <c r="BN199" s="22">
        <f t="shared" ref="BN199:BN200" si="1704">+BM199</f>
        <v>1.6</v>
      </c>
      <c r="BO199" s="22">
        <f>+'QTR Raw'!AI96</f>
        <v>-2.5</v>
      </c>
      <c r="BP199" s="22">
        <f t="shared" ref="BP199:BP200" si="1705">+BO199</f>
        <v>-2.5</v>
      </c>
      <c r="BQ199" s="22">
        <f>+'QTR Raw'!AK96</f>
        <v>0.9</v>
      </c>
      <c r="BR199" s="22">
        <f t="shared" ref="BR199:BR200" si="1706">+BQ199</f>
        <v>0.9</v>
      </c>
      <c r="BS199" s="22">
        <f>+'QTR Raw'!AM96</f>
        <v>3.6</v>
      </c>
      <c r="BT199" s="22">
        <f t="shared" ref="BT199:BT200" si="1707">+BS199</f>
        <v>3.6</v>
      </c>
      <c r="BU199" s="22">
        <f>+'QTR Raw'!AO96</f>
        <v>5.0999999999999996</v>
      </c>
      <c r="BV199" s="22">
        <f t="shared" ref="BV199:BV200" si="1708">+BU199</f>
        <v>5.0999999999999996</v>
      </c>
      <c r="BW199" s="22">
        <f>+'QTR Raw'!AQ96</f>
        <v>1.6</v>
      </c>
      <c r="BX199" s="22">
        <f t="shared" ref="BX199:BX200" si="1709">+BW199</f>
        <v>1.6</v>
      </c>
      <c r="BY199" s="22">
        <f>+'QTR Raw'!AS96</f>
        <v>-1.3</v>
      </c>
      <c r="BZ199" s="22">
        <f t="shared" ref="BZ199:BZ200" si="1710">+BY199</f>
        <v>-1.3</v>
      </c>
      <c r="CA199" s="22">
        <f>+'QTR Raw'!AU96</f>
        <v>-0.7</v>
      </c>
      <c r="CB199" s="22">
        <f t="shared" ref="CB199:CB200" si="1711">+CA199</f>
        <v>-0.7</v>
      </c>
      <c r="CC199" s="22">
        <f>+'QTR Raw'!AW96</f>
        <v>-1.5</v>
      </c>
      <c r="CD199" s="22">
        <f t="shared" ref="CD199:CD200" si="1712">+CC199</f>
        <v>-1.5</v>
      </c>
      <c r="CE199" s="22">
        <f>+'QTR Raw'!AY96</f>
        <v>-1.5</v>
      </c>
      <c r="CF199" s="22">
        <f t="shared" ref="CF199:CL199" si="1713">+CE199</f>
        <v>-1.5</v>
      </c>
      <c r="CG199" s="22">
        <f>+'QTR Raw'!BA96</f>
        <v>-2.2999999999999998</v>
      </c>
      <c r="CH199" s="22">
        <f t="shared" si="1713"/>
        <v>-2.2999999999999998</v>
      </c>
      <c r="CI199" s="22">
        <f>+'QTR Raw'!BC96</f>
        <v>-1.7</v>
      </c>
      <c r="CJ199" s="22">
        <f t="shared" si="1713"/>
        <v>-1.7</v>
      </c>
      <c r="CK199" s="22">
        <f>+'QTR Raw'!BE96</f>
        <v>10.9</v>
      </c>
      <c r="CL199" s="22">
        <f t="shared" si="1713"/>
        <v>10.9</v>
      </c>
      <c r="CM199" s="23">
        <f t="shared" ref="CM199:CM200" si="1714">+CL199</f>
        <v>10.9</v>
      </c>
      <c r="CN199" s="23">
        <f t="shared" ref="CN199:CN200" si="1715">+CM199</f>
        <v>10.9</v>
      </c>
      <c r="CO199" s="23">
        <f t="shared" ref="CO199:CO200" si="1716">+CN199</f>
        <v>10.9</v>
      </c>
      <c r="CP199" s="23">
        <f t="shared" ref="CP199:CP200" si="1717">+CO199</f>
        <v>10.9</v>
      </c>
      <c r="CQ199" s="23">
        <f t="shared" ref="CQ199:CQ200" si="1718">+CP199</f>
        <v>10.9</v>
      </c>
      <c r="CR199" s="23">
        <f t="shared" ref="CR199:CR200" si="1719">+CQ199</f>
        <v>10.9</v>
      </c>
      <c r="CS199" s="23">
        <f t="shared" ref="CS199:CS200" si="1720">+CR199</f>
        <v>10.9</v>
      </c>
      <c r="CT199" s="23">
        <f t="shared" ref="CT199:CT200" si="1721">+CS199</f>
        <v>10.9</v>
      </c>
      <c r="CU199" s="23">
        <f t="shared" ref="CU199:CU200" si="1722">+CT199</f>
        <v>10.9</v>
      </c>
      <c r="CV199" s="23">
        <f t="shared" ref="CV199:CV200" si="1723">+CU199</f>
        <v>10.9</v>
      </c>
      <c r="CW199" s="23">
        <f t="shared" ref="CW199:CW200" si="1724">+CV199</f>
        <v>10.9</v>
      </c>
      <c r="CX199" s="23">
        <f t="shared" ref="CX199:CX200" si="1725">+CW199</f>
        <v>10.9</v>
      </c>
      <c r="CY199" s="23">
        <f t="shared" ref="CY199:CY200" si="1726">+CX199</f>
        <v>10.9</v>
      </c>
      <c r="CZ199" s="23">
        <f t="shared" ref="CZ199:CZ200" si="1727">+CY199</f>
        <v>10.9</v>
      </c>
      <c r="DA199" s="23">
        <f t="shared" ref="DA199:DA200" si="1728">+CZ199</f>
        <v>10.9</v>
      </c>
      <c r="DD199" s="122"/>
      <c r="DE199" s="22">
        <v>10.9</v>
      </c>
    </row>
    <row r="200" spans="1:109" s="22" customFormat="1" x14ac:dyDescent="0.2">
      <c r="A200" s="22" t="s">
        <v>79</v>
      </c>
      <c r="B200" s="22">
        <f>'Annual Raw'!C83</f>
        <v>0</v>
      </c>
      <c r="C200" s="22">
        <f>'Annual Raw'!D83</f>
        <v>0</v>
      </c>
      <c r="D200" s="22">
        <f>'Annual Raw'!E83</f>
        <v>0</v>
      </c>
      <c r="E200" s="22">
        <f>'Annual Raw'!F83</f>
        <v>0</v>
      </c>
      <c r="F200" s="22">
        <f>'Annual Raw'!G83</f>
        <v>0</v>
      </c>
      <c r="G200" s="22">
        <f>'Annual Raw'!H83</f>
        <v>0</v>
      </c>
      <c r="H200" s="22">
        <f>'Annual Raw'!I83</f>
        <v>0</v>
      </c>
      <c r="I200" s="22">
        <f>'Annual Raw'!J83</f>
        <v>0</v>
      </c>
      <c r="J200" s="22">
        <f>'Annual Raw'!K83</f>
        <v>0</v>
      </c>
      <c r="K200" s="22">
        <f>'Annual Raw'!L83</f>
        <v>0</v>
      </c>
      <c r="L200" s="22">
        <f>'Annual Raw'!M83</f>
        <v>0</v>
      </c>
      <c r="M200" s="22">
        <f>'Annual Raw'!N83</f>
        <v>0</v>
      </c>
      <c r="N200" s="22">
        <f>'Annual Raw'!O83</f>
        <v>0</v>
      </c>
      <c r="O200" s="22">
        <f>'Annual Raw'!P83</f>
        <v>0</v>
      </c>
      <c r="P200" s="22">
        <f>'Annual Raw'!Q83</f>
        <v>0</v>
      </c>
      <c r="Q200" s="22">
        <f>'Annual Raw'!R83</f>
        <v>0</v>
      </c>
      <c r="R200" s="22">
        <f>'Annual Raw'!S83</f>
        <v>0</v>
      </c>
      <c r="S200" s="22">
        <f>'Annual Raw'!T83</f>
        <v>0</v>
      </c>
      <c r="T200" s="22">
        <f>'Annual Raw'!U83</f>
        <v>0</v>
      </c>
      <c r="U200" s="22">
        <f>'Annual Raw'!V83</f>
        <v>0</v>
      </c>
      <c r="V200" s="22">
        <f>'Annual Raw'!W83</f>
        <v>0</v>
      </c>
      <c r="W200" s="22">
        <f>'Annual Raw'!X83</f>
        <v>0</v>
      </c>
      <c r="X200" s="22">
        <f>'Annual Raw'!Y83</f>
        <v>0</v>
      </c>
      <c r="Y200" s="22">
        <f>'Annual Raw'!Z83</f>
        <v>0</v>
      </c>
      <c r="Z200" s="22">
        <f>'Annual Raw'!AA83</f>
        <v>0</v>
      </c>
      <c r="AA200" s="22">
        <f>'Annual Raw'!AB83</f>
        <v>0</v>
      </c>
      <c r="AB200" s="23">
        <f t="shared" si="1685"/>
        <v>0</v>
      </c>
      <c r="AC200" s="23">
        <f t="shared" si="1686"/>
        <v>0</v>
      </c>
      <c r="AD200" s="23">
        <f t="shared" si="1687"/>
        <v>0</v>
      </c>
      <c r="AE200" s="23">
        <f t="shared" si="1688"/>
        <v>0</v>
      </c>
      <c r="AI200" s="22">
        <f>+'QTR Raw'!C95</f>
        <v>0</v>
      </c>
      <c r="AJ200" s="22">
        <f t="shared" si="1689"/>
        <v>0</v>
      </c>
      <c r="AK200" s="22">
        <f>+'QTR Raw'!E95</f>
        <v>0</v>
      </c>
      <c r="AL200" s="22">
        <f t="shared" si="1690"/>
        <v>0</v>
      </c>
      <c r="AM200" s="22">
        <f>+'QTR Raw'!G95</f>
        <v>0</v>
      </c>
      <c r="AN200" s="22">
        <f t="shared" si="1691"/>
        <v>0</v>
      </c>
      <c r="AO200" s="22">
        <f>+'QTR Raw'!I95</f>
        <v>0</v>
      </c>
      <c r="AP200" s="22">
        <f t="shared" si="1692"/>
        <v>0</v>
      </c>
      <c r="AQ200" s="22">
        <f>+'QTR Raw'!K95</f>
        <v>0</v>
      </c>
      <c r="AR200" s="22">
        <f t="shared" si="1693"/>
        <v>0</v>
      </c>
      <c r="AS200" s="22">
        <f>+'QTR Raw'!M95</f>
        <v>0</v>
      </c>
      <c r="AT200" s="22">
        <f t="shared" si="1694"/>
        <v>0</v>
      </c>
      <c r="AU200" s="22">
        <f>+'QTR Raw'!O95</f>
        <v>0</v>
      </c>
      <c r="AV200" s="22">
        <f t="shared" si="1695"/>
        <v>0</v>
      </c>
      <c r="AW200" s="22">
        <f>+'QTR Raw'!Q95</f>
        <v>0</v>
      </c>
      <c r="AX200" s="22">
        <f t="shared" si="1696"/>
        <v>0</v>
      </c>
      <c r="AY200" s="22">
        <f>+'QTR Raw'!S95</f>
        <v>0</v>
      </c>
      <c r="AZ200" s="22">
        <f t="shared" si="1697"/>
        <v>0</v>
      </c>
      <c r="BA200" s="22">
        <f>+'QTR Raw'!U95</f>
        <v>0</v>
      </c>
      <c r="BB200" s="22">
        <f t="shared" si="1698"/>
        <v>0</v>
      </c>
      <c r="BC200" s="22">
        <f>+'QTR Raw'!W95</f>
        <v>0</v>
      </c>
      <c r="BD200" s="22">
        <f t="shared" si="1699"/>
        <v>0</v>
      </c>
      <c r="BE200" s="22">
        <f>+'QTR Raw'!Y95</f>
        <v>0</v>
      </c>
      <c r="BF200" s="22">
        <f t="shared" si="1700"/>
        <v>0</v>
      </c>
      <c r="BG200" s="22">
        <f>+'QTR Raw'!AA95</f>
        <v>0</v>
      </c>
      <c r="BH200" s="22">
        <f t="shared" si="1701"/>
        <v>0</v>
      </c>
      <c r="BI200" s="22">
        <f>+'QTR Raw'!AC95</f>
        <v>0</v>
      </c>
      <c r="BJ200" s="22">
        <f t="shared" si="1702"/>
        <v>0</v>
      </c>
      <c r="BK200" s="22">
        <f>+'QTR Raw'!AE95</f>
        <v>0</v>
      </c>
      <c r="BL200" s="22">
        <f t="shared" si="1703"/>
        <v>0</v>
      </c>
      <c r="BM200" s="22">
        <f>+'QTR Raw'!AG95</f>
        <v>0</v>
      </c>
      <c r="BN200" s="22">
        <f t="shared" si="1704"/>
        <v>0</v>
      </c>
      <c r="BO200" s="22">
        <f>+'QTR Raw'!AI95</f>
        <v>0</v>
      </c>
      <c r="BP200" s="22">
        <f t="shared" si="1705"/>
        <v>0</v>
      </c>
      <c r="BQ200" s="22">
        <f>+'QTR Raw'!AK95</f>
        <v>0</v>
      </c>
      <c r="BR200" s="22">
        <f t="shared" si="1706"/>
        <v>0</v>
      </c>
      <c r="BS200" s="22">
        <f>+'QTR Raw'!AM95</f>
        <v>0</v>
      </c>
      <c r="BT200" s="22">
        <f t="shared" si="1707"/>
        <v>0</v>
      </c>
      <c r="BU200" s="22">
        <f>+'QTR Raw'!AO95</f>
        <v>0</v>
      </c>
      <c r="BV200" s="22">
        <f t="shared" si="1708"/>
        <v>0</v>
      </c>
      <c r="BW200" s="22">
        <f>+'QTR Raw'!AQ95</f>
        <v>0</v>
      </c>
      <c r="BX200" s="22">
        <f t="shared" si="1709"/>
        <v>0</v>
      </c>
      <c r="BY200" s="22">
        <f>+'QTR Raw'!AS95</f>
        <v>0</v>
      </c>
      <c r="BZ200" s="22">
        <f t="shared" si="1710"/>
        <v>0</v>
      </c>
      <c r="CA200" s="22">
        <f>+'QTR Raw'!AU95</f>
        <v>0</v>
      </c>
      <c r="CB200" s="22">
        <f t="shared" si="1711"/>
        <v>0</v>
      </c>
      <c r="CC200" s="22">
        <f>+'QTR Raw'!AW95</f>
        <v>0</v>
      </c>
      <c r="CD200" s="22">
        <f t="shared" si="1712"/>
        <v>0</v>
      </c>
      <c r="CE200" s="22">
        <f>+'QTR Raw'!AY95</f>
        <v>0</v>
      </c>
      <c r="CF200" s="22">
        <f t="shared" ref="CF200:CL200" si="1729">+CE200</f>
        <v>0</v>
      </c>
      <c r="CG200" s="22">
        <f>+'QTR Raw'!BA95</f>
        <v>0</v>
      </c>
      <c r="CH200" s="22">
        <f t="shared" si="1729"/>
        <v>0</v>
      </c>
      <c r="CI200" s="22">
        <f>+'QTR Raw'!BC95</f>
        <v>0</v>
      </c>
      <c r="CJ200" s="22">
        <f t="shared" si="1729"/>
        <v>0</v>
      </c>
      <c r="CK200" s="22">
        <f t="shared" ref="CK200" si="1730">+CJ200</f>
        <v>0</v>
      </c>
      <c r="CL200" s="22">
        <f t="shared" si="1729"/>
        <v>0</v>
      </c>
      <c r="CM200" s="23">
        <f t="shared" si="1714"/>
        <v>0</v>
      </c>
      <c r="CN200" s="23">
        <f t="shared" si="1715"/>
        <v>0</v>
      </c>
      <c r="CO200" s="23">
        <f t="shared" si="1716"/>
        <v>0</v>
      </c>
      <c r="CP200" s="23">
        <f t="shared" si="1717"/>
        <v>0</v>
      </c>
      <c r="CQ200" s="23">
        <f t="shared" si="1718"/>
        <v>0</v>
      </c>
      <c r="CR200" s="23">
        <f t="shared" si="1719"/>
        <v>0</v>
      </c>
      <c r="CS200" s="23">
        <f t="shared" si="1720"/>
        <v>0</v>
      </c>
      <c r="CT200" s="23">
        <f t="shared" si="1721"/>
        <v>0</v>
      </c>
      <c r="CU200" s="23">
        <f t="shared" si="1722"/>
        <v>0</v>
      </c>
      <c r="CV200" s="23">
        <f t="shared" si="1723"/>
        <v>0</v>
      </c>
      <c r="CW200" s="23">
        <f t="shared" si="1724"/>
        <v>0</v>
      </c>
      <c r="CX200" s="23">
        <f t="shared" si="1725"/>
        <v>0</v>
      </c>
      <c r="CY200" s="23">
        <f t="shared" si="1726"/>
        <v>0</v>
      </c>
      <c r="CZ200" s="23">
        <f t="shared" si="1727"/>
        <v>0</v>
      </c>
      <c r="DA200" s="23">
        <f t="shared" si="1728"/>
        <v>0</v>
      </c>
      <c r="DD200" s="122"/>
      <c r="DE200" s="22">
        <v>0</v>
      </c>
    </row>
    <row r="201" spans="1:109" s="25" customFormat="1" x14ac:dyDescent="0.2">
      <c r="A201" s="25" t="s">
        <v>438</v>
      </c>
      <c r="B201" s="25">
        <f t="shared" ref="B201:W201" si="1731">B199+B197+B193+B176+B174+B200</f>
        <v>133.41249999999999</v>
      </c>
      <c r="C201" s="25">
        <f t="shared" si="1731"/>
        <v>140.55029999999999</v>
      </c>
      <c r="D201" s="25">
        <f t="shared" si="1731"/>
        <v>128.34090000000003</v>
      </c>
      <c r="E201" s="25">
        <f t="shared" si="1731"/>
        <v>125.69589999999999</v>
      </c>
      <c r="F201" s="25">
        <f t="shared" si="1731"/>
        <v>141.23649999999998</v>
      </c>
      <c r="G201" s="25">
        <f t="shared" si="1731"/>
        <v>177.8741</v>
      </c>
      <c r="H201" s="25">
        <f t="shared" si="1731"/>
        <v>221.00179999999997</v>
      </c>
      <c r="I201" s="25">
        <f t="shared" si="1731"/>
        <v>274.83309999999994</v>
      </c>
      <c r="J201" s="25">
        <f t="shared" si="1731"/>
        <v>341.34820000000002</v>
      </c>
      <c r="K201" s="25">
        <f t="shared" si="1731"/>
        <v>362.8139000000001</v>
      </c>
      <c r="L201" s="25">
        <f t="shared" si="1731"/>
        <v>407.18090000000007</v>
      </c>
      <c r="M201" s="25">
        <f t="shared" si="1731"/>
        <v>489.25399999999996</v>
      </c>
      <c r="N201" s="25">
        <f t="shared" si="1731"/>
        <v>484.26099999999997</v>
      </c>
      <c r="O201" s="25">
        <f t="shared" si="1731"/>
        <v>514.95699999999999</v>
      </c>
      <c r="P201" s="25">
        <f t="shared" si="1731"/>
        <v>581.60300000000007</v>
      </c>
      <c r="Q201" s="25">
        <f t="shared" si="1731"/>
        <v>604.14300000000003</v>
      </c>
      <c r="R201" s="25">
        <f t="shared" si="1731"/>
        <v>667.14400000000001</v>
      </c>
      <c r="S201" s="25">
        <f t="shared" si="1731"/>
        <v>723.05300000000011</v>
      </c>
      <c r="T201" s="25">
        <f t="shared" si="1731"/>
        <v>801.19</v>
      </c>
      <c r="U201" s="25">
        <f t="shared" si="1731"/>
        <v>888.66699999999992</v>
      </c>
      <c r="V201" s="25">
        <f t="shared" si="1731"/>
        <v>950.61799999999994</v>
      </c>
      <c r="W201" s="25">
        <f t="shared" si="1731"/>
        <v>1010.8380000000001</v>
      </c>
      <c r="X201" s="25">
        <f t="shared" ref="X201:Y201" si="1732">X199+X197+X193+X176+X174+X200</f>
        <v>1143.116</v>
      </c>
      <c r="Y201" s="25">
        <f t="shared" si="1732"/>
        <v>1301.9090000000001</v>
      </c>
      <c r="Z201" s="25">
        <f t="shared" ref="Z201:AA201" si="1733">Z199+Z197+Z193+Z176+Z174+Z200</f>
        <v>1485.3500000000001</v>
      </c>
      <c r="AA201" s="25">
        <f t="shared" ref="AA201" si="1734">AA199+AA197+AA193+AA176+AA174+AA200</f>
        <v>1678.7340000000004</v>
      </c>
      <c r="AB201" s="26">
        <f t="shared" ref="AB201:AD201" si="1735">AB199+AB197+AB193+AB176+AB174+AB200</f>
        <v>1993.2082385770191</v>
      </c>
      <c r="AC201" s="26">
        <f t="shared" si="1735"/>
        <v>2353.4098923029851</v>
      </c>
      <c r="AD201" s="26">
        <f t="shared" si="1735"/>
        <v>2753.2508842019138</v>
      </c>
      <c r="AE201" s="26">
        <f t="shared" ref="AE201" si="1736">AE199+AE197+AE193+AE176+AE174+AE200</f>
        <v>3207.9928114635327</v>
      </c>
      <c r="AI201" s="25">
        <f t="shared" ref="AI201:AL201" si="1737">AI199+AI197+AI193+AI176+AI174+AI200</f>
        <v>471.42999999999995</v>
      </c>
      <c r="AJ201" s="25">
        <f t="shared" si="1737"/>
        <v>484.35</v>
      </c>
      <c r="AK201" s="25">
        <f t="shared" si="1737"/>
        <v>0</v>
      </c>
      <c r="AL201" s="25">
        <f t="shared" si="1737"/>
        <v>15.61</v>
      </c>
      <c r="AM201" s="25">
        <f t="shared" ref="AM201:AP201" si="1738">AM199+AM197+AM193+AM176+AM174+AM200</f>
        <v>488.91000000000008</v>
      </c>
      <c r="AN201" s="25">
        <f t="shared" si="1738"/>
        <v>506.81000000000006</v>
      </c>
      <c r="AO201" s="25">
        <f t="shared" si="1738"/>
        <v>514.95000000000005</v>
      </c>
      <c r="AP201" s="25">
        <f t="shared" si="1738"/>
        <v>530.08000000000004</v>
      </c>
      <c r="AQ201" s="25">
        <f t="shared" ref="AQ201:AT201" si="1739">AQ199+AQ197+AQ193+AQ176+AQ174+AQ200</f>
        <v>517.92000000000007</v>
      </c>
      <c r="AR201" s="25">
        <f t="shared" si="1739"/>
        <v>535.79000000000019</v>
      </c>
      <c r="AS201" s="25">
        <f t="shared" si="1739"/>
        <v>581.61</v>
      </c>
      <c r="AT201" s="25">
        <f t="shared" si="1739"/>
        <v>588.01999999999987</v>
      </c>
      <c r="AU201" s="25">
        <f t="shared" ref="AU201:AX201" si="1740">AU199+AU197+AU193+AU176+AU174+AU200</f>
        <v>542.11</v>
      </c>
      <c r="AV201" s="25">
        <f t="shared" si="1740"/>
        <v>558.96000000000015</v>
      </c>
      <c r="AW201" s="25">
        <f t="shared" si="1740"/>
        <v>604.15</v>
      </c>
      <c r="AX201" s="25">
        <f t="shared" si="1740"/>
        <v>621.00000000000011</v>
      </c>
      <c r="AY201" s="25">
        <f t="shared" ref="AY201:BB201" si="1741">AY199+AY197+AY193+AY176+AY174+AY200</f>
        <v>587.33000000000004</v>
      </c>
      <c r="AZ201" s="25">
        <f t="shared" si="1741"/>
        <v>595.99999999999989</v>
      </c>
      <c r="BA201" s="25">
        <f t="shared" si="1741"/>
        <v>667.15</v>
      </c>
      <c r="BB201" s="25">
        <f t="shared" si="1741"/>
        <v>680.45</v>
      </c>
      <c r="BC201" s="25">
        <f t="shared" ref="BC201:BF201" si="1742">BC199+BC197+BC193+BC176+BC174+BC200</f>
        <v>728.74000000000012</v>
      </c>
      <c r="BD201" s="25">
        <f t="shared" si="1742"/>
        <v>740.34000000000015</v>
      </c>
      <c r="BE201" s="25">
        <f t="shared" si="1742"/>
        <v>723</v>
      </c>
      <c r="BF201" s="25">
        <f t="shared" si="1742"/>
        <v>735.50000000000011</v>
      </c>
      <c r="BG201" s="25">
        <f t="shared" ref="BG201:BJ201" si="1743">BG199+BG197+BG193+BG176+BG174+BG200</f>
        <v>697.6</v>
      </c>
      <c r="BH201" s="25">
        <f t="shared" si="1743"/>
        <v>714.59999999999991</v>
      </c>
      <c r="BI201" s="25">
        <f t="shared" si="1743"/>
        <v>801.2</v>
      </c>
      <c r="BJ201" s="25">
        <f t="shared" si="1743"/>
        <v>817.8</v>
      </c>
      <c r="BK201" s="25">
        <f t="shared" ref="BK201:BN201" si="1744">BK199+BK197+BK193+BK176+BK174+BK200</f>
        <v>823.1</v>
      </c>
      <c r="BL201" s="25">
        <f t="shared" si="1744"/>
        <v>848.8</v>
      </c>
      <c r="BM201" s="25">
        <f t="shared" si="1744"/>
        <v>888.7</v>
      </c>
      <c r="BN201" s="25">
        <f t="shared" si="1744"/>
        <v>899.60000000000014</v>
      </c>
      <c r="BO201" s="25">
        <f t="shared" ref="BO201:BR201" si="1745">BO199+BO197+BO193+BO176+BO174+BO200</f>
        <v>906.19999999999982</v>
      </c>
      <c r="BP201" s="25">
        <f t="shared" si="1745"/>
        <v>948.89999999999986</v>
      </c>
      <c r="BQ201" s="25">
        <f t="shared" si="1745"/>
        <v>950.59999999999991</v>
      </c>
      <c r="BR201" s="25">
        <f t="shared" si="1745"/>
        <v>994.5</v>
      </c>
      <c r="BS201" s="25">
        <f t="shared" ref="BS201:BV201" si="1746">BS199+BS197+BS193+BS176+BS174+BS200</f>
        <v>999.3</v>
      </c>
      <c r="BT201" s="25">
        <f t="shared" si="1746"/>
        <v>1038.2</v>
      </c>
      <c r="BU201" s="25">
        <f t="shared" si="1746"/>
        <v>1010.8000000000001</v>
      </c>
      <c r="BV201" s="25">
        <f t="shared" si="1746"/>
        <v>1051.2000000000003</v>
      </c>
      <c r="BW201" s="25">
        <f t="shared" ref="BW201:BZ201" si="1747">BW199+BW197+BW193+BW176+BW174+BW200</f>
        <v>1085</v>
      </c>
      <c r="BX201" s="25">
        <f t="shared" si="1747"/>
        <v>1124</v>
      </c>
      <c r="BY201" s="25">
        <f t="shared" si="1747"/>
        <v>1143.0999999999999</v>
      </c>
      <c r="BZ201" s="25">
        <f t="shared" si="1747"/>
        <v>1184</v>
      </c>
      <c r="CA201" s="25">
        <f t="shared" ref="CA201:CD201" si="1748">CA199+CA197+CA193+CA176+CA174+CA200</f>
        <v>1194</v>
      </c>
      <c r="CB201" s="25">
        <f t="shared" si="1748"/>
        <v>1244.0999999999999</v>
      </c>
      <c r="CC201" s="25">
        <f t="shared" si="1748"/>
        <v>1301.9000000000001</v>
      </c>
      <c r="CD201" s="25">
        <f t="shared" si="1748"/>
        <v>1346.5</v>
      </c>
      <c r="CE201" s="25">
        <f t="shared" ref="CE201" si="1749">CE199+CE197+CE193+CE176+CE174+CE200</f>
        <v>1351</v>
      </c>
      <c r="CF201" s="25">
        <f t="shared" ref="CF201:CH201" si="1750">CF199+CF197+CF193+CF176+CF174+CF200</f>
        <v>1412.6999999999998</v>
      </c>
      <c r="CG201" s="25">
        <f t="shared" ref="CG201" si="1751">CG199+CG197+CG193+CG176+CG174+CG200</f>
        <v>1485.3330000000001</v>
      </c>
      <c r="CH201" s="25">
        <f t="shared" si="1750"/>
        <v>1536.9330000000004</v>
      </c>
      <c r="CI201" s="25">
        <f t="shared" ref="CI201:CJ201" si="1752">CI199+CI197+CI193+CI176+CI174+CI200</f>
        <v>1534.4</v>
      </c>
      <c r="CJ201" s="25">
        <f t="shared" si="1752"/>
        <v>1601.9</v>
      </c>
      <c r="CK201" s="25">
        <f t="shared" ref="CK201:DA201" si="1753">CK199+CK197+CK193+CK176+CK174+CK200</f>
        <v>1678.7999999999997</v>
      </c>
      <c r="CL201" s="25">
        <f t="shared" si="1753"/>
        <v>1718.5999999999997</v>
      </c>
      <c r="CM201" s="26">
        <f t="shared" si="1753"/>
        <v>1810.574566898787</v>
      </c>
      <c r="CN201" s="26">
        <f t="shared" si="1753"/>
        <v>1885.763957043423</v>
      </c>
      <c r="CO201" s="26">
        <f t="shared" si="1753"/>
        <v>1993.2082385770191</v>
      </c>
      <c r="CP201" s="26">
        <f t="shared" si="1753"/>
        <v>2046.1511664829359</v>
      </c>
      <c r="CQ201" s="26">
        <f t="shared" si="1753"/>
        <v>2146.3196321699252</v>
      </c>
      <c r="CR201" s="26">
        <f t="shared" si="1753"/>
        <v>2231.2041130616153</v>
      </c>
      <c r="CS201" s="26">
        <f t="shared" si="1753"/>
        <v>2353.4098923029851</v>
      </c>
      <c r="CT201" s="26">
        <f t="shared" si="1753"/>
        <v>2413.2090972700648</v>
      </c>
      <c r="CU201" s="26">
        <f t="shared" si="1753"/>
        <v>2524.0411457349419</v>
      </c>
      <c r="CV201" s="26">
        <f t="shared" si="1753"/>
        <v>2617.9345761237787</v>
      </c>
      <c r="CW201" s="26">
        <f t="shared" si="1753"/>
        <v>2753.2508842019138</v>
      </c>
      <c r="CX201" s="26">
        <f t="shared" si="1753"/>
        <v>2822.6391505694905</v>
      </c>
      <c r="CY201" s="26">
        <f t="shared" si="1753"/>
        <v>2948.1799296273939</v>
      </c>
      <c r="CZ201" s="26">
        <f t="shared" si="1753"/>
        <v>3055.2198032240021</v>
      </c>
      <c r="DA201" s="26">
        <f t="shared" si="1753"/>
        <v>3207.9928114635327</v>
      </c>
      <c r="DD201" s="120"/>
      <c r="DE201" s="25">
        <v>1678.7999999999997</v>
      </c>
    </row>
    <row r="202" spans="1:109" s="22" customFormat="1" x14ac:dyDescent="0.2">
      <c r="A202" s="27" t="s">
        <v>439</v>
      </c>
      <c r="B202" s="22">
        <f t="shared" ref="B202:W202" si="1754">B201-B165</f>
        <v>0</v>
      </c>
      <c r="C202" s="22">
        <f t="shared" si="1754"/>
        <v>0</v>
      </c>
      <c r="D202" s="22">
        <f t="shared" si="1754"/>
        <v>0</v>
      </c>
      <c r="E202" s="22">
        <f t="shared" si="1754"/>
        <v>0</v>
      </c>
      <c r="F202" s="22">
        <f t="shared" si="1754"/>
        <v>0</v>
      </c>
      <c r="G202" s="22">
        <f t="shared" si="1754"/>
        <v>0</v>
      </c>
      <c r="H202" s="22">
        <f t="shared" si="1754"/>
        <v>0</v>
      </c>
      <c r="I202" s="22">
        <f t="shared" si="1754"/>
        <v>0</v>
      </c>
      <c r="J202" s="22">
        <f t="shared" si="1754"/>
        <v>0</v>
      </c>
      <c r="K202" s="22">
        <f t="shared" si="1754"/>
        <v>0</v>
      </c>
      <c r="L202" s="22">
        <f t="shared" si="1754"/>
        <v>0</v>
      </c>
      <c r="M202" s="22">
        <f t="shared" si="1754"/>
        <v>0</v>
      </c>
      <c r="N202" s="22">
        <f t="shared" si="1754"/>
        <v>0</v>
      </c>
      <c r="O202" s="22">
        <f t="shared" si="1754"/>
        <v>0</v>
      </c>
      <c r="P202" s="22">
        <f t="shared" si="1754"/>
        <v>0</v>
      </c>
      <c r="Q202" s="22">
        <f t="shared" si="1754"/>
        <v>0</v>
      </c>
      <c r="R202" s="22">
        <f t="shared" si="1754"/>
        <v>0</v>
      </c>
      <c r="S202" s="22">
        <f t="shared" si="1754"/>
        <v>0</v>
      </c>
      <c r="T202" s="22">
        <f t="shared" si="1754"/>
        <v>0</v>
      </c>
      <c r="U202" s="22">
        <f t="shared" si="1754"/>
        <v>0</v>
      </c>
      <c r="V202" s="22">
        <f t="shared" si="1754"/>
        <v>0</v>
      </c>
      <c r="W202" s="22">
        <f t="shared" si="1754"/>
        <v>0</v>
      </c>
      <c r="X202" s="22">
        <f t="shared" ref="X202:Y202" si="1755">X201-X165</f>
        <v>0</v>
      </c>
      <c r="Y202" s="22">
        <f t="shared" si="1755"/>
        <v>0</v>
      </c>
      <c r="Z202" s="22">
        <f t="shared" ref="Z202:AA202" si="1756">Z201-Z165</f>
        <v>0</v>
      </c>
      <c r="AA202" s="22">
        <f t="shared" ref="AA202" si="1757">AA201-AA165</f>
        <v>0</v>
      </c>
      <c r="AB202" s="23">
        <f t="shared" ref="AB202:AD202" si="1758">AB201-AB165</f>
        <v>0</v>
      </c>
      <c r="AC202" s="23">
        <f t="shared" si="1758"/>
        <v>0</v>
      </c>
      <c r="AD202" s="23">
        <f t="shared" si="1758"/>
        <v>0</v>
      </c>
      <c r="AE202" s="23">
        <f t="shared" ref="AE202" si="1759">AE201-AE165</f>
        <v>0</v>
      </c>
      <c r="AI202" s="22">
        <f t="shared" ref="AI202:AL202" si="1760">AI201-AI165</f>
        <v>0</v>
      </c>
      <c r="AJ202" s="22">
        <f t="shared" si="1760"/>
        <v>0</v>
      </c>
      <c r="AK202" s="22">
        <f t="shared" si="1760"/>
        <v>0</v>
      </c>
      <c r="AL202" s="22">
        <f t="shared" si="1760"/>
        <v>0</v>
      </c>
      <c r="AM202" s="22">
        <f t="shared" ref="AM202:AP202" si="1761">AM201-AM165</f>
        <v>0</v>
      </c>
      <c r="AN202" s="22">
        <f t="shared" si="1761"/>
        <v>0</v>
      </c>
      <c r="AO202" s="22">
        <f t="shared" si="1761"/>
        <v>0</v>
      </c>
      <c r="AP202" s="22">
        <f t="shared" si="1761"/>
        <v>0</v>
      </c>
      <c r="AQ202" s="22">
        <f t="shared" ref="AQ202:AT202" si="1762">AQ201-AQ165</f>
        <v>0</v>
      </c>
      <c r="AR202" s="22">
        <f t="shared" si="1762"/>
        <v>0</v>
      </c>
      <c r="AS202" s="22">
        <f t="shared" si="1762"/>
        <v>0</v>
      </c>
      <c r="AT202" s="22">
        <f t="shared" si="1762"/>
        <v>0</v>
      </c>
      <c r="AU202" s="22">
        <f t="shared" ref="AU202:AX202" si="1763">AU201-AU165</f>
        <v>0</v>
      </c>
      <c r="AV202" s="22">
        <f t="shared" si="1763"/>
        <v>0</v>
      </c>
      <c r="AW202" s="22">
        <f t="shared" si="1763"/>
        <v>0</v>
      </c>
      <c r="AX202" s="22">
        <f t="shared" si="1763"/>
        <v>0</v>
      </c>
      <c r="AY202" s="22">
        <f t="shared" ref="AY202:BB202" si="1764">AY201-AY165</f>
        <v>0</v>
      </c>
      <c r="AZ202" s="22">
        <f t="shared" si="1764"/>
        <v>0</v>
      </c>
      <c r="BA202" s="22">
        <f t="shared" si="1764"/>
        <v>0</v>
      </c>
      <c r="BB202" s="22">
        <f t="shared" si="1764"/>
        <v>0</v>
      </c>
      <c r="BC202" s="22">
        <f t="shared" ref="BC202:BF202" si="1765">BC201-BC165</f>
        <v>0</v>
      </c>
      <c r="BD202" s="22">
        <f t="shared" si="1765"/>
        <v>0</v>
      </c>
      <c r="BE202" s="22">
        <f t="shared" si="1765"/>
        <v>0</v>
      </c>
      <c r="BF202" s="22">
        <f t="shared" si="1765"/>
        <v>0</v>
      </c>
      <c r="BG202" s="22">
        <f t="shared" ref="BG202:BJ202" si="1766">BG201-BG165</f>
        <v>0</v>
      </c>
      <c r="BH202" s="22">
        <f t="shared" si="1766"/>
        <v>0</v>
      </c>
      <c r="BI202" s="22">
        <f t="shared" si="1766"/>
        <v>0</v>
      </c>
      <c r="BJ202" s="22">
        <f t="shared" si="1766"/>
        <v>0</v>
      </c>
      <c r="BK202" s="22">
        <f t="shared" ref="BK202:BN202" si="1767">BK201-BK165</f>
        <v>0</v>
      </c>
      <c r="BL202" s="22">
        <f t="shared" si="1767"/>
        <v>0</v>
      </c>
      <c r="BM202" s="22">
        <f t="shared" si="1767"/>
        <v>0</v>
      </c>
      <c r="BN202" s="22">
        <f t="shared" si="1767"/>
        <v>0</v>
      </c>
      <c r="BO202" s="22">
        <f t="shared" ref="BO202:BR202" si="1768">BO201-BO165</f>
        <v>0</v>
      </c>
      <c r="BP202" s="22">
        <f t="shared" si="1768"/>
        <v>0</v>
      </c>
      <c r="BQ202" s="22">
        <f t="shared" si="1768"/>
        <v>0</v>
      </c>
      <c r="BR202" s="22">
        <f t="shared" si="1768"/>
        <v>0</v>
      </c>
      <c r="BS202" s="22">
        <f t="shared" ref="BS202:BV202" si="1769">BS201-BS165</f>
        <v>0</v>
      </c>
      <c r="BT202" s="22">
        <f t="shared" si="1769"/>
        <v>0</v>
      </c>
      <c r="BU202" s="22">
        <f t="shared" si="1769"/>
        <v>0</v>
      </c>
      <c r="BV202" s="22">
        <f t="shared" si="1769"/>
        <v>0</v>
      </c>
      <c r="BW202" s="22">
        <f t="shared" ref="BW202:BZ202" si="1770">BW201-BW165</f>
        <v>0</v>
      </c>
      <c r="BX202" s="22">
        <f t="shared" si="1770"/>
        <v>0</v>
      </c>
      <c r="BY202" s="22">
        <f t="shared" si="1770"/>
        <v>0</v>
      </c>
      <c r="BZ202" s="22">
        <f t="shared" si="1770"/>
        <v>0</v>
      </c>
      <c r="CA202" s="22">
        <f t="shared" ref="CA202:CD202" si="1771">CA201-CA165</f>
        <v>0</v>
      </c>
      <c r="CB202" s="22">
        <f t="shared" si="1771"/>
        <v>0</v>
      </c>
      <c r="CC202" s="22">
        <f t="shared" si="1771"/>
        <v>0</v>
      </c>
      <c r="CD202" s="22">
        <f t="shared" si="1771"/>
        <v>0</v>
      </c>
      <c r="CE202" s="22">
        <f t="shared" ref="CE202" si="1772">CE201-CE165</f>
        <v>0</v>
      </c>
      <c r="CF202" s="22">
        <f t="shared" ref="CF202:CH202" si="1773">CF201-CF165</f>
        <v>0</v>
      </c>
      <c r="CG202" s="22">
        <f t="shared" ref="CG202" si="1774">CG201-CG165</f>
        <v>-1.6999999999825377E-2</v>
      </c>
      <c r="CH202" s="22">
        <f t="shared" si="1773"/>
        <v>-1.6999999999598003E-2</v>
      </c>
      <c r="CI202" s="22">
        <f t="shared" ref="CI202:CJ202" si="1775">CI201-CI165</f>
        <v>0</v>
      </c>
      <c r="CJ202" s="22">
        <f t="shared" si="1775"/>
        <v>0</v>
      </c>
      <c r="CK202" s="22">
        <f t="shared" ref="CK202:DA202" si="1776">CK201-CK165</f>
        <v>0</v>
      </c>
      <c r="CL202" s="22">
        <f t="shared" si="1776"/>
        <v>0</v>
      </c>
      <c r="CM202" s="23">
        <f t="shared" si="1776"/>
        <v>0</v>
      </c>
      <c r="CN202" s="23">
        <f t="shared" si="1776"/>
        <v>0</v>
      </c>
      <c r="CO202" s="23">
        <f t="shared" si="1776"/>
        <v>0</v>
      </c>
      <c r="CP202" s="23">
        <f t="shared" si="1776"/>
        <v>0</v>
      </c>
      <c r="CQ202" s="23">
        <f t="shared" si="1776"/>
        <v>0</v>
      </c>
      <c r="CR202" s="23">
        <f t="shared" si="1776"/>
        <v>0</v>
      </c>
      <c r="CS202" s="23">
        <f t="shared" si="1776"/>
        <v>0</v>
      </c>
      <c r="CT202" s="23">
        <f t="shared" si="1776"/>
        <v>0</v>
      </c>
      <c r="CU202" s="23">
        <f t="shared" si="1776"/>
        <v>0</v>
      </c>
      <c r="CV202" s="23">
        <f t="shared" si="1776"/>
        <v>0</v>
      </c>
      <c r="CW202" s="23">
        <f t="shared" si="1776"/>
        <v>0</v>
      </c>
      <c r="CX202" s="23">
        <f t="shared" si="1776"/>
        <v>0</v>
      </c>
      <c r="CY202" s="23">
        <f t="shared" si="1776"/>
        <v>0</v>
      </c>
      <c r="CZ202" s="23">
        <f t="shared" si="1776"/>
        <v>0</v>
      </c>
      <c r="DA202" s="23">
        <f t="shared" si="1776"/>
        <v>0</v>
      </c>
      <c r="DD202" s="122"/>
      <c r="DE202" s="22">
        <v>0</v>
      </c>
    </row>
    <row r="203" spans="1:109" s="22" customFormat="1" x14ac:dyDescent="0.2">
      <c r="A203" s="27"/>
      <c r="AB203" s="23"/>
      <c r="AC203" s="23"/>
      <c r="AD203" s="23"/>
      <c r="AE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D203" s="122"/>
    </row>
    <row r="204" spans="1:109" s="21" customFormat="1" x14ac:dyDescent="0.2">
      <c r="A204" s="21" t="s">
        <v>80</v>
      </c>
      <c r="B204" s="21">
        <f t="shared" ref="B204:W204" si="1777">B164-B197</f>
        <v>29.344399999999997</v>
      </c>
      <c r="C204" s="21">
        <f t="shared" si="1777"/>
        <v>39.899800000000006</v>
      </c>
      <c r="D204" s="21">
        <f t="shared" si="1777"/>
        <v>8.1128</v>
      </c>
      <c r="E204" s="21">
        <f t="shared" si="1777"/>
        <v>-6.7074999999999996</v>
      </c>
      <c r="F204" s="21">
        <f t="shared" si="1777"/>
        <v>-14.997300000000001</v>
      </c>
      <c r="G204" s="21">
        <f t="shared" si="1777"/>
        <v>-32.4788</v>
      </c>
      <c r="H204" s="21">
        <f t="shared" si="1777"/>
        <v>-52.408799999999999</v>
      </c>
      <c r="I204" s="21">
        <f t="shared" si="1777"/>
        <v>-28.850399999999997</v>
      </c>
      <c r="J204" s="21">
        <f t="shared" si="1777"/>
        <v>-18.371500000000001</v>
      </c>
      <c r="K204" s="21">
        <f t="shared" si="1777"/>
        <v>-91.242999999999995</v>
      </c>
      <c r="L204" s="21">
        <f t="shared" si="1777"/>
        <v>-87.317099999999996</v>
      </c>
      <c r="M204" s="21">
        <f t="shared" si="1777"/>
        <v>-21.311999999999991</v>
      </c>
      <c r="N204" s="21">
        <f t="shared" si="1777"/>
        <v>-87.611999999999995</v>
      </c>
      <c r="O204" s="21">
        <f t="shared" si="1777"/>
        <v>-156.87899999999999</v>
      </c>
      <c r="P204" s="21">
        <f t="shared" si="1777"/>
        <v>-154.37100000000001</v>
      </c>
      <c r="Q204" s="21">
        <f t="shared" si="1777"/>
        <v>-227.065</v>
      </c>
      <c r="R204" s="21">
        <f t="shared" si="1777"/>
        <v>-195.197</v>
      </c>
      <c r="S204" s="21">
        <f t="shared" si="1777"/>
        <v>-78.64</v>
      </c>
      <c r="T204" s="21">
        <f t="shared" si="1777"/>
        <v>-95.265000000000001</v>
      </c>
      <c r="U204" s="21">
        <f t="shared" si="1777"/>
        <v>-230.04500000000002</v>
      </c>
      <c r="V204" s="21">
        <f t="shared" si="1777"/>
        <v>-343.351</v>
      </c>
      <c r="W204" s="21">
        <f t="shared" si="1777"/>
        <v>-354.53</v>
      </c>
      <c r="X204" s="21">
        <f t="shared" ref="X204:Y204" si="1778">X164-X197</f>
        <v>-261.00700000000001</v>
      </c>
      <c r="Y204" s="21">
        <f t="shared" si="1778"/>
        <v>-274.56799999999998</v>
      </c>
      <c r="Z204" s="21">
        <f t="shared" ref="Z204:AA204" si="1779">Z164-Z197</f>
        <v>-323.46800000000002</v>
      </c>
      <c r="AA204" s="21">
        <f t="shared" ref="AA204" si="1780">AA164-AA197</f>
        <v>-283.39</v>
      </c>
      <c r="AB204" s="20">
        <f t="shared" ref="AB204:AD204" si="1781">AB164-AB197</f>
        <v>-498.52800545408127</v>
      </c>
      <c r="AC204" s="20">
        <f t="shared" si="1781"/>
        <v>-737.04092395093255</v>
      </c>
      <c r="AD204" s="20">
        <f t="shared" si="1781"/>
        <v>-1005.5116714750823</v>
      </c>
      <c r="AE204" s="20">
        <f t="shared" ref="AE204" si="1782">AE164-AE197</f>
        <v>-1319.3288360131878</v>
      </c>
      <c r="AI204" s="21">
        <f t="shared" ref="AI204:AL204" si="1783">AI164-AI197</f>
        <v>-39.25</v>
      </c>
      <c r="AJ204" s="21">
        <f t="shared" si="1783"/>
        <v>-85.509769452449518</v>
      </c>
      <c r="AK204" s="21">
        <f t="shared" si="1783"/>
        <v>0</v>
      </c>
      <c r="AL204" s="21">
        <f t="shared" si="1783"/>
        <v>-15.61</v>
      </c>
      <c r="AM204" s="21">
        <f t="shared" ref="AM204:AP204" si="1784">AM164-AM197</f>
        <v>-80.2</v>
      </c>
      <c r="AN204" s="21">
        <f t="shared" si="1784"/>
        <v>-103.97385923573405</v>
      </c>
      <c r="AO204" s="21">
        <f t="shared" si="1784"/>
        <v>-156.88</v>
      </c>
      <c r="AP204" s="21">
        <f t="shared" si="1784"/>
        <v>-180.64236421549776</v>
      </c>
      <c r="AQ204" s="21">
        <f t="shared" ref="AQ204:AT204" si="1785">AQ164-AQ197</f>
        <v>-137.97</v>
      </c>
      <c r="AR204" s="21">
        <f t="shared" si="1785"/>
        <v>-156.32972059192386</v>
      </c>
      <c r="AS204" s="21">
        <f t="shared" si="1785"/>
        <v>-154.37</v>
      </c>
      <c r="AT204" s="21">
        <f t="shared" si="1785"/>
        <v>-201.06777347994256</v>
      </c>
      <c r="AU204" s="21">
        <f t="shared" ref="AU204:AX204" si="1786">AU164-AU197</f>
        <v>-157.55000000000001</v>
      </c>
      <c r="AV204" s="21">
        <f t="shared" si="1786"/>
        <v>-189.66523462095861</v>
      </c>
      <c r="AW204" s="21">
        <f t="shared" si="1786"/>
        <v>-227.06</v>
      </c>
      <c r="AX204" s="21">
        <f t="shared" si="1786"/>
        <v>-272.33765237020333</v>
      </c>
      <c r="AY204" s="21">
        <f t="shared" ref="AY204:BB204" si="1787">AY164-AY197</f>
        <v>-215.49</v>
      </c>
      <c r="AZ204" s="21">
        <f t="shared" si="1787"/>
        <v>-266.95636892128817</v>
      </c>
      <c r="BA204" s="21">
        <f t="shared" si="1787"/>
        <v>-195.2</v>
      </c>
      <c r="BB204" s="21">
        <f t="shared" si="1787"/>
        <v>-260.51352066362756</v>
      </c>
      <c r="BC204" s="21">
        <f t="shared" ref="BC204:BF204" si="1788">BC164-BC197</f>
        <v>-80.960000000000008</v>
      </c>
      <c r="BD204" s="21">
        <f t="shared" si="1788"/>
        <v>-116.97529359031839</v>
      </c>
      <c r="BE204" s="21">
        <f t="shared" si="1788"/>
        <v>-78.7</v>
      </c>
      <c r="BF204" s="21">
        <f t="shared" si="1788"/>
        <v>-205.7014015843998</v>
      </c>
      <c r="BG204" s="21">
        <f t="shared" ref="BG204:BJ204" si="1789">BG164-BG197</f>
        <v>-88</v>
      </c>
      <c r="BH204" s="21">
        <f t="shared" si="1789"/>
        <v>-72.567350157728626</v>
      </c>
      <c r="BI204" s="21">
        <f t="shared" si="1789"/>
        <v>-95.299999999999983</v>
      </c>
      <c r="BJ204" s="21">
        <f t="shared" si="1789"/>
        <v>-174.06041546451226</v>
      </c>
      <c r="BK204" s="21">
        <f t="shared" ref="BK204:BN204" si="1790">BK164-BK197</f>
        <v>-159.20000000000002</v>
      </c>
      <c r="BL204" s="21">
        <f t="shared" si="1790"/>
        <v>-114.36852220013259</v>
      </c>
      <c r="BM204" s="21">
        <f t="shared" si="1790"/>
        <v>-230.10000000000002</v>
      </c>
      <c r="BN204" s="21">
        <f t="shared" si="1790"/>
        <v>-330.89910979228489</v>
      </c>
      <c r="BO204" s="21">
        <f t="shared" ref="BO204:BR204" si="1791">BO164-BO197</f>
        <v>-274.40000000000003</v>
      </c>
      <c r="BP204" s="21">
        <f t="shared" si="1791"/>
        <v>-101.37766103243455</v>
      </c>
      <c r="BQ204" s="21">
        <f t="shared" si="1791"/>
        <v>-343.4</v>
      </c>
      <c r="BR204" s="21">
        <f t="shared" si="1791"/>
        <v>-375.761313868613</v>
      </c>
      <c r="BS204" s="21">
        <f t="shared" ref="BS204:BV204" si="1792">BS164-BS197</f>
        <v>-360</v>
      </c>
      <c r="BT204" s="21">
        <f t="shared" si="1792"/>
        <v>-318.24475247524748</v>
      </c>
      <c r="BU204" s="21">
        <f t="shared" si="1792"/>
        <v>-354.6</v>
      </c>
      <c r="BV204" s="21">
        <f t="shared" si="1792"/>
        <v>-420.52656320287895</v>
      </c>
      <c r="BW204" s="21">
        <f t="shared" ref="BW204:BZ204" si="1793">BW164-BW197</f>
        <v>-279.7</v>
      </c>
      <c r="BX204" s="21">
        <f t="shared" si="1793"/>
        <v>-337.55423728813571</v>
      </c>
      <c r="BY204" s="21">
        <f t="shared" si="1793"/>
        <v>-261.10000000000002</v>
      </c>
      <c r="BZ204" s="21">
        <f t="shared" si="1793"/>
        <v>-345.39973313000382</v>
      </c>
      <c r="CA204" s="21">
        <f t="shared" ref="CA204:CD204" si="1794">CA164-CA197</f>
        <v>-247</v>
      </c>
      <c r="CB204" s="21">
        <f t="shared" si="1794"/>
        <v>-330.37590055809216</v>
      </c>
      <c r="CC204" s="21">
        <f t="shared" si="1794"/>
        <v>-274.5</v>
      </c>
      <c r="CD204" s="21">
        <f t="shared" si="1794"/>
        <v>-395.75847992034528</v>
      </c>
      <c r="CE204" s="21">
        <f t="shared" ref="CE204" si="1795">CE164-CE197</f>
        <v>-373.9</v>
      </c>
      <c r="CF204" s="21">
        <f t="shared" ref="CF204" si="1796">CF164-CF197</f>
        <v>-472.10054179566561</v>
      </c>
      <c r="CG204" s="21">
        <f t="shared" ref="CG204" si="1797">CG164-CG197</f>
        <v>-323.46800000000002</v>
      </c>
      <c r="CH204" s="21">
        <f t="shared" ref="CH204:CI204" si="1798">CH164-CH197</f>
        <v>-541.19327670704888</v>
      </c>
      <c r="CI204" s="21">
        <f t="shared" si="1798"/>
        <v>-316.7</v>
      </c>
      <c r="CJ204" s="21">
        <f t="shared" ref="CJ204:CL204" si="1799">CJ164-CJ197</f>
        <v>-409.87180140992928</v>
      </c>
      <c r="CK204" s="21">
        <f t="shared" ref="CK204:DA204" si="1800">CK164-CK197</f>
        <v>-283.39999999999998</v>
      </c>
      <c r="CL204" s="21">
        <f t="shared" si="1799"/>
        <v>-606.10535714285686</v>
      </c>
      <c r="CM204" s="20">
        <f t="shared" si="1800"/>
        <v>-421.19612656959953</v>
      </c>
      <c r="CN204" s="20">
        <f t="shared" si="1800"/>
        <v>-423.05693124921879</v>
      </c>
      <c r="CO204" s="20">
        <f t="shared" si="1800"/>
        <v>-498.52800545408127</v>
      </c>
      <c r="CP204" s="20">
        <f t="shared" si="1800"/>
        <v>-630.24540157244792</v>
      </c>
      <c r="CQ204" s="20">
        <f t="shared" si="1800"/>
        <v>-645.30552773589977</v>
      </c>
      <c r="CR204" s="20">
        <f t="shared" si="1800"/>
        <v>-649.54560936788721</v>
      </c>
      <c r="CS204" s="20">
        <f t="shared" si="1800"/>
        <v>-737.04092395093255</v>
      </c>
      <c r="CT204" s="20">
        <f t="shared" si="1800"/>
        <v>-883.68245293006601</v>
      </c>
      <c r="CU204" s="20">
        <f t="shared" si="1800"/>
        <v>-901.61260799044339</v>
      </c>
      <c r="CV204" s="20">
        <f t="shared" si="1800"/>
        <v>-907.52589933461798</v>
      </c>
      <c r="CW204" s="20">
        <f t="shared" si="1800"/>
        <v>-1005.5116714750823</v>
      </c>
      <c r="CX204" s="20">
        <f t="shared" si="1800"/>
        <v>-1171.2030436660607</v>
      </c>
      <c r="CY204" s="20">
        <f t="shared" si="1800"/>
        <v>-1195.4737080676875</v>
      </c>
      <c r="CZ204" s="20">
        <f t="shared" si="1800"/>
        <v>-1206.6605487919724</v>
      </c>
      <c r="DA204" s="20">
        <f t="shared" si="1800"/>
        <v>-1319.3288360131878</v>
      </c>
      <c r="DD204" s="125"/>
      <c r="DE204" s="21">
        <v>-283.39999999999998</v>
      </c>
    </row>
    <row r="205" spans="1:109" x14ac:dyDescent="0.2">
      <c r="AI205" s="110"/>
      <c r="AK205" s="110"/>
      <c r="AM205" s="110"/>
      <c r="AO205" s="110"/>
      <c r="AQ205" s="110"/>
      <c r="AS205" s="110"/>
      <c r="AU205" s="110"/>
      <c r="AW205" s="110"/>
      <c r="AY205" s="110"/>
      <c r="BA205" s="110"/>
      <c r="BC205" s="110"/>
      <c r="BE205" s="110"/>
      <c r="BG205" s="110"/>
      <c r="BI205" s="110"/>
      <c r="BK205" s="110"/>
      <c r="BM205" s="110"/>
      <c r="BO205" s="110"/>
      <c r="BQ205" s="110"/>
      <c r="BS205" s="110"/>
      <c r="BU205" s="110"/>
      <c r="BW205" s="110"/>
      <c r="BY205" s="110"/>
      <c r="CA205" s="110"/>
      <c r="CC205" s="110"/>
      <c r="CE205" s="110"/>
      <c r="CG205" s="110"/>
      <c r="CL205" s="2"/>
    </row>
    <row r="206" spans="1:109" s="48" customFormat="1" x14ac:dyDescent="0.2">
      <c r="A206" s="48" t="s">
        <v>81</v>
      </c>
      <c r="B206" s="48">
        <f>'Annual Raw'!C85</f>
        <v>5.9927000000000001</v>
      </c>
      <c r="C206" s="48">
        <f>'Annual Raw'!D85</f>
        <v>6.4934000000000003</v>
      </c>
      <c r="D206" s="48">
        <f>'Annual Raw'!E85</f>
        <v>4.6490999999999998</v>
      </c>
      <c r="E206" s="48">
        <f>'Annual Raw'!F85</f>
        <v>6.0663999999999998</v>
      </c>
      <c r="F206" s="48">
        <f>'Annual Raw'!G85</f>
        <v>6.8917000000000002</v>
      </c>
      <c r="G206" s="48">
        <f>'Annual Raw'!H85</f>
        <v>43.107999999999997</v>
      </c>
      <c r="H206" s="48">
        <f>'Annual Raw'!I85</f>
        <v>20.163900000000002</v>
      </c>
      <c r="I206" s="48">
        <f>'Annual Raw'!J85</f>
        <v>17.485900000000001</v>
      </c>
      <c r="J206" s="48">
        <f>'Annual Raw'!K85</f>
        <v>10.1531</v>
      </c>
      <c r="K206" s="48">
        <f>'Annual Raw'!L85</f>
        <v>11.3148</v>
      </c>
      <c r="L206" s="48">
        <f>'Annual Raw'!M85</f>
        <v>11.8009</v>
      </c>
      <c r="M206" s="48">
        <f>'Annual Raw'!N85</f>
        <v>107.59</v>
      </c>
      <c r="N206" s="48">
        <f>'Annual Raw'!O85</f>
        <v>112.637</v>
      </c>
      <c r="O206" s="48">
        <f>'Annual Raw'!P85</f>
        <v>137.12799999999999</v>
      </c>
      <c r="P206" s="48">
        <f>'Annual Raw'!Q85</f>
        <v>126.893</v>
      </c>
      <c r="Q206" s="48">
        <f>'Annual Raw'!R85</f>
        <v>176.22900000000001</v>
      </c>
      <c r="R206" s="48">
        <f>'Annual Raw'!S85</f>
        <v>64.058999999999997</v>
      </c>
      <c r="S206" s="48">
        <f>'Annual Raw'!T85</f>
        <v>65.697000000000003</v>
      </c>
      <c r="T206" s="48">
        <f>'Annual Raw'!U85</f>
        <v>68.045000000000002</v>
      </c>
      <c r="U206" s="48">
        <f>'Annual Raw'!V85</f>
        <v>71.582999999999998</v>
      </c>
      <c r="V206" s="48">
        <f>'Annual Raw'!W85</f>
        <v>57.360999999999997</v>
      </c>
      <c r="W206" s="48">
        <f>'Annual Raw'!X85</f>
        <v>118.465</v>
      </c>
      <c r="X206" s="48">
        <f>'Annual Raw'!Y85</f>
        <v>176.535</v>
      </c>
      <c r="Y206" s="48">
        <f>'Annual Raw'!Z85</f>
        <v>187.22200000000001</v>
      </c>
      <c r="Z206" s="48">
        <f>'Annual Raw'!AA85</f>
        <v>192.20599999999999</v>
      </c>
      <c r="AA206" s="48">
        <f>'Annual Raw'!AB85</f>
        <v>211.989</v>
      </c>
      <c r="AB206" s="49"/>
      <c r="AC206" s="49"/>
      <c r="AD206" s="49"/>
      <c r="AE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D206" s="137"/>
      <c r="DE206" s="48">
        <v>211.989</v>
      </c>
    </row>
    <row r="207" spans="1:109" s="28" customFormat="1" x14ac:dyDescent="0.2">
      <c r="A207" s="28" t="s">
        <v>82</v>
      </c>
      <c r="B207" s="28">
        <f>'Annual Raw'!C95</f>
        <v>1.7</v>
      </c>
      <c r="C207" s="28">
        <f>'Annual Raw'!D95</f>
        <v>0</v>
      </c>
      <c r="D207" s="28">
        <f>'Annual Raw'!E95</f>
        <v>0</v>
      </c>
      <c r="E207" s="28">
        <f>'Annual Raw'!F95</f>
        <v>0</v>
      </c>
      <c r="F207" s="28">
        <f>'Annual Raw'!G95</f>
        <v>0</v>
      </c>
      <c r="G207" s="28">
        <f>'Annual Raw'!H95</f>
        <v>0</v>
      </c>
      <c r="H207" s="28">
        <f>'Annual Raw'!I95</f>
        <v>0</v>
      </c>
      <c r="I207" s="28">
        <f>'Annual Raw'!J95</f>
        <v>0</v>
      </c>
      <c r="J207" s="28">
        <f>'Annual Raw'!K95</f>
        <v>0</v>
      </c>
      <c r="K207" s="28">
        <f>'Annual Raw'!L95</f>
        <v>0</v>
      </c>
      <c r="L207" s="28">
        <f>'Annual Raw'!M95</f>
        <v>0</v>
      </c>
      <c r="M207" s="28">
        <f>'Annual Raw'!N95</f>
        <v>92.236000000000004</v>
      </c>
      <c r="N207" s="28">
        <f>'Annual Raw'!O95</f>
        <v>97.07</v>
      </c>
      <c r="O207" s="28">
        <f>'Annual Raw'!P95</f>
        <v>118.63800000000001</v>
      </c>
      <c r="P207" s="28">
        <f>'Annual Raw'!Q95</f>
        <v>106.17</v>
      </c>
      <c r="Q207" s="28">
        <f>'Annual Raw'!R95</f>
        <v>114.89100000000001</v>
      </c>
      <c r="R207" s="28">
        <f>'Annual Raw'!S95</f>
        <v>0</v>
      </c>
      <c r="S207" s="28">
        <f>'Annual Raw'!T95</f>
        <v>0</v>
      </c>
      <c r="T207" s="28">
        <f>'Annual Raw'!U95</f>
        <v>0</v>
      </c>
      <c r="U207" s="28">
        <f>'Annual Raw'!V95</f>
        <v>0</v>
      </c>
      <c r="V207" s="28">
        <f>'Annual Raw'!W95</f>
        <v>0</v>
      </c>
      <c r="W207" s="28">
        <f>'Annual Raw'!X95</f>
        <v>0</v>
      </c>
      <c r="X207" s="28">
        <f>'Annual Raw'!Y95</f>
        <v>0</v>
      </c>
      <c r="Y207" s="28">
        <f>'Annual Raw'!Z95</f>
        <v>0</v>
      </c>
      <c r="Z207" s="28">
        <f>'Annual Raw'!AA95</f>
        <v>0</v>
      </c>
      <c r="AA207" s="28">
        <f>'Annual Raw'!AB95</f>
        <v>0</v>
      </c>
      <c r="AB207" s="29"/>
      <c r="AC207" s="29"/>
      <c r="AD207" s="29"/>
      <c r="AE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D207" s="138"/>
      <c r="DE207" s="28">
        <v>0</v>
      </c>
    </row>
    <row r="208" spans="1:109" s="28" customFormat="1" x14ac:dyDescent="0.2">
      <c r="A208" s="28" t="s">
        <v>83</v>
      </c>
      <c r="B208" s="28">
        <f>'Annual Raw'!C93</f>
        <v>4.2454999999999998</v>
      </c>
      <c r="C208" s="28">
        <f>'Annual Raw'!D93</f>
        <v>6.4794</v>
      </c>
      <c r="D208" s="28">
        <f>'Annual Raw'!E93</f>
        <v>2.5001000000000002</v>
      </c>
      <c r="E208" s="28">
        <f>'Annual Raw'!F93</f>
        <v>5.0814000000000004</v>
      </c>
      <c r="F208" s="28">
        <f>'Annual Raw'!G93</f>
        <v>5.4446000000000003</v>
      </c>
      <c r="G208" s="28">
        <f>'Annual Raw'!H93</f>
        <v>40.485799999999998</v>
      </c>
      <c r="H208" s="28">
        <f>'Annual Raw'!I93</f>
        <v>18.428799999999999</v>
      </c>
      <c r="I208" s="28">
        <f>'Annual Raw'!J93</f>
        <v>7.1669999999999998</v>
      </c>
      <c r="J208" s="28">
        <f>'Annual Raw'!K93</f>
        <v>8.8735999999999997</v>
      </c>
      <c r="K208" s="28">
        <f>'Annual Raw'!L93</f>
        <v>9.2324000000000002</v>
      </c>
      <c r="L208" s="28">
        <f>'Annual Raw'!M93</f>
        <v>9.7728000000000002</v>
      </c>
      <c r="M208" s="28">
        <f>'Annual Raw'!N93</f>
        <v>12.798999999999999</v>
      </c>
      <c r="N208" s="28">
        <f>'Annual Raw'!O93</f>
        <v>12.888</v>
      </c>
      <c r="O208" s="28">
        <f>'Annual Raw'!P93</f>
        <v>14.965</v>
      </c>
      <c r="P208" s="28">
        <f>'Annual Raw'!Q93</f>
        <v>19.352</v>
      </c>
      <c r="Q208" s="28">
        <f>'Annual Raw'!R93</f>
        <v>58.924999999999997</v>
      </c>
      <c r="R208" s="28">
        <f>'Annual Raw'!S93</f>
        <v>64.058999999999997</v>
      </c>
      <c r="S208" s="28">
        <f>'Annual Raw'!T93</f>
        <v>65.697000000000003</v>
      </c>
      <c r="T208" s="28">
        <f>'Annual Raw'!U93</f>
        <v>68.045000000000002</v>
      </c>
      <c r="U208" s="28">
        <f>'Annual Raw'!V93</f>
        <v>71.582999999999998</v>
      </c>
      <c r="V208" s="28">
        <f>'Annual Raw'!W93</f>
        <v>57.360999999999997</v>
      </c>
      <c r="W208" s="28">
        <f>'Annual Raw'!X93</f>
        <v>118.465</v>
      </c>
      <c r="X208" s="28">
        <f>'Annual Raw'!Y93</f>
        <v>176.535</v>
      </c>
      <c r="Y208" s="28">
        <f>'Annual Raw'!Z93</f>
        <v>187.22200000000001</v>
      </c>
      <c r="Z208" s="28">
        <f>'Annual Raw'!AA93</f>
        <v>192.20599999999999</v>
      </c>
      <c r="AA208" s="28">
        <f>'Annual Raw'!AB93</f>
        <v>211.989</v>
      </c>
      <c r="AB208" s="29"/>
      <c r="AC208" s="29"/>
      <c r="AD208" s="29"/>
      <c r="AE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D208" s="138"/>
      <c r="DE208" s="28">
        <v>211.989</v>
      </c>
    </row>
    <row r="209" spans="1:109" s="28" customFormat="1" x14ac:dyDescent="0.2">
      <c r="A209" s="28" t="s">
        <v>84</v>
      </c>
      <c r="B209" s="28">
        <f t="shared" ref="B209:V209" si="1801">B206-B207-B208</f>
        <v>4.7200000000000131E-2</v>
      </c>
      <c r="C209" s="28">
        <f t="shared" si="1801"/>
        <v>1.4000000000000234E-2</v>
      </c>
      <c r="D209" s="28">
        <f t="shared" si="1801"/>
        <v>2.1489999999999996</v>
      </c>
      <c r="E209" s="28">
        <f t="shared" si="1801"/>
        <v>0.98499999999999943</v>
      </c>
      <c r="F209" s="28">
        <f t="shared" si="1801"/>
        <v>1.4470999999999998</v>
      </c>
      <c r="G209" s="28">
        <f t="shared" si="1801"/>
        <v>2.6221999999999994</v>
      </c>
      <c r="H209" s="28">
        <f t="shared" si="1801"/>
        <v>1.7351000000000028</v>
      </c>
      <c r="I209" s="28">
        <f t="shared" si="1801"/>
        <v>10.318900000000001</v>
      </c>
      <c r="J209" s="28">
        <f t="shared" si="1801"/>
        <v>1.2795000000000005</v>
      </c>
      <c r="K209" s="28">
        <f t="shared" si="1801"/>
        <v>2.0823999999999998</v>
      </c>
      <c r="L209" s="28">
        <f t="shared" si="1801"/>
        <v>2.0281000000000002</v>
      </c>
      <c r="M209" s="28">
        <f t="shared" si="1801"/>
        <v>2.5549999999999997</v>
      </c>
      <c r="N209" s="28">
        <f t="shared" si="1801"/>
        <v>2.6790000000000074</v>
      </c>
      <c r="O209" s="28">
        <f t="shared" si="1801"/>
        <v>3.5249999999999808</v>
      </c>
      <c r="P209" s="28">
        <f t="shared" si="1801"/>
        <v>1.3709999999999987</v>
      </c>
      <c r="Q209" s="28">
        <f t="shared" si="1801"/>
        <v>2.4130000000000109</v>
      </c>
      <c r="R209" s="28">
        <f t="shared" si="1801"/>
        <v>0</v>
      </c>
      <c r="S209" s="28">
        <f t="shared" si="1801"/>
        <v>0</v>
      </c>
      <c r="T209" s="28">
        <f t="shared" si="1801"/>
        <v>0</v>
      </c>
      <c r="U209" s="28">
        <f t="shared" si="1801"/>
        <v>0</v>
      </c>
      <c r="V209" s="28">
        <f t="shared" si="1801"/>
        <v>0</v>
      </c>
      <c r="W209" s="28">
        <f t="shared" ref="W209" si="1802">W206-W207-W208</f>
        <v>0</v>
      </c>
      <c r="X209" s="28">
        <f t="shared" ref="X209:Y209" si="1803">X206-X207-X208</f>
        <v>0</v>
      </c>
      <c r="Y209" s="28">
        <f t="shared" si="1803"/>
        <v>0</v>
      </c>
      <c r="Z209" s="28">
        <f t="shared" ref="Z209:AA209" si="1804">Z206-Z207-Z208</f>
        <v>0</v>
      </c>
      <c r="AA209" s="28">
        <f t="shared" ref="AA209" si="1805">AA206-AA207-AA208</f>
        <v>0</v>
      </c>
      <c r="AB209" s="29">
        <f t="shared" ref="AB209:AD209" si="1806">AB206-AB207-AB208</f>
        <v>0</v>
      </c>
      <c r="AC209" s="29">
        <f t="shared" si="1806"/>
        <v>0</v>
      </c>
      <c r="AD209" s="29">
        <f t="shared" si="1806"/>
        <v>0</v>
      </c>
      <c r="AE209" s="29">
        <f t="shared" ref="AE209" si="1807">AE206-AE207-AE208</f>
        <v>0</v>
      </c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D209" s="138"/>
      <c r="DE209" s="28">
        <v>0</v>
      </c>
    </row>
    <row r="210" spans="1:109" s="5" customFormat="1" x14ac:dyDescent="0.2">
      <c r="AB210" s="62"/>
      <c r="AC210" s="62"/>
      <c r="AD210" s="62"/>
      <c r="AE210" s="62"/>
      <c r="AI210" s="111"/>
      <c r="AK210" s="111"/>
      <c r="AM210" s="111"/>
      <c r="AO210" s="111"/>
      <c r="AQ210" s="111"/>
      <c r="AS210" s="111"/>
      <c r="AU210" s="111"/>
      <c r="AW210" s="111"/>
      <c r="AY210" s="111"/>
      <c r="BA210" s="111"/>
      <c r="BC210" s="111"/>
      <c r="BE210" s="111"/>
      <c r="BG210" s="111"/>
      <c r="BI210" s="111"/>
      <c r="BK210" s="111"/>
      <c r="BM210" s="111"/>
      <c r="BO210" s="111"/>
      <c r="BQ210" s="111"/>
      <c r="BS210" s="111"/>
      <c r="BU210" s="111"/>
      <c r="BW210" s="111"/>
      <c r="BY210" s="111"/>
      <c r="CA210" s="111"/>
      <c r="CC210" s="111"/>
      <c r="CE210" s="111"/>
      <c r="CG210" s="111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D210" s="138"/>
    </row>
    <row r="211" spans="1:109" s="94" customFormat="1" x14ac:dyDescent="0.2">
      <c r="A211" s="94" t="s">
        <v>85</v>
      </c>
      <c r="B211" s="94">
        <f t="shared" ref="B211:W211" si="1808">B206/B156</f>
        <v>6.5237672750232692E-2</v>
      </c>
      <c r="C211" s="94">
        <f t="shared" si="1808"/>
        <v>6.9018295683672695E-2</v>
      </c>
      <c r="D211" s="94">
        <f t="shared" si="1808"/>
        <v>4.6696839669262101E-2</v>
      </c>
      <c r="E211" s="94">
        <f t="shared" si="1808"/>
        <v>5.3709053531097582E-2</v>
      </c>
      <c r="F211" s="94">
        <f t="shared" si="1808"/>
        <v>5.1600957190006409E-2</v>
      </c>
      <c r="G211" s="94">
        <f t="shared" si="1808"/>
        <v>0.25879515092281469</v>
      </c>
      <c r="H211" s="94">
        <f t="shared" si="1808"/>
        <v>9.5995258294414229E-2</v>
      </c>
      <c r="I211" s="94">
        <f t="shared" si="1808"/>
        <v>7.0021800346627111E-2</v>
      </c>
      <c r="J211" s="94">
        <f t="shared" si="1808"/>
        <v>3.2748428232847321E-2</v>
      </c>
      <c r="K211" s="94">
        <f t="shared" si="1808"/>
        <v>3.184683974690955E-2</v>
      </c>
      <c r="L211" s="94">
        <f t="shared" si="1808"/>
        <v>2.999311735869236E-2</v>
      </c>
      <c r="M211" s="94">
        <f t="shared" si="1808"/>
        <v>0.2525118581295957</v>
      </c>
      <c r="N211" s="94">
        <f t="shared" si="1808"/>
        <v>0.24098269816241522</v>
      </c>
      <c r="O211" s="94">
        <f t="shared" si="1808"/>
        <v>0.26794744534675596</v>
      </c>
      <c r="P211" s="94">
        <f t="shared" si="1808"/>
        <v>0.22772350078245013</v>
      </c>
      <c r="Q211" s="94">
        <f t="shared" si="1808"/>
        <v>0.29232838900813807</v>
      </c>
      <c r="R211" s="94">
        <f t="shared" si="1808"/>
        <v>9.7036008101103216E-2</v>
      </c>
      <c r="S211" s="94">
        <f t="shared" si="1808"/>
        <v>9.2476411807679695E-2</v>
      </c>
      <c r="T211" s="94">
        <f t="shared" si="1808"/>
        <v>8.9797087219767632E-2</v>
      </c>
      <c r="U211" s="94">
        <f t="shared" si="1808"/>
        <v>8.6383311993840708E-2</v>
      </c>
      <c r="V211" s="94">
        <f t="shared" si="1808"/>
        <v>6.4405839540633586E-2</v>
      </c>
      <c r="W211" s="94">
        <f t="shared" si="1808"/>
        <v>0.11719484229916169</v>
      </c>
      <c r="X211" s="94">
        <f t="shared" ref="X211:Y211" si="1809">X206/X156</f>
        <v>0.15443314589245535</v>
      </c>
      <c r="Y211" s="94">
        <f t="shared" si="1809"/>
        <v>0.14380574986423783</v>
      </c>
      <c r="Z211" s="94">
        <f t="shared" ref="Z211:AA211" si="1810">Z206/Z156</f>
        <v>0.1294011512438146</v>
      </c>
      <c r="AA211" s="94">
        <f t="shared" ref="AA211" si="1811">AA206/AA156</f>
        <v>0.12627908888483821</v>
      </c>
      <c r="AB211" s="86">
        <f t="shared" ref="AB211:AD211" si="1812">AB206/AB156</f>
        <v>0</v>
      </c>
      <c r="AC211" s="86">
        <f t="shared" si="1812"/>
        <v>0</v>
      </c>
      <c r="AD211" s="86">
        <f t="shared" si="1812"/>
        <v>0</v>
      </c>
      <c r="AE211" s="86">
        <f t="shared" ref="AE211" si="1813">AE206/AE156</f>
        <v>0</v>
      </c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D211" s="139"/>
      <c r="DE211" s="94">
        <v>0</v>
      </c>
    </row>
    <row r="212" spans="1:109" x14ac:dyDescent="0.2">
      <c r="A212" s="151" t="s">
        <v>493</v>
      </c>
      <c r="AI212" s="110"/>
      <c r="AK212" s="110"/>
      <c r="AM212" s="110"/>
      <c r="AO212" s="110"/>
      <c r="AQ212" s="110"/>
      <c r="AS212" s="110"/>
      <c r="AU212" s="110"/>
      <c r="AW212" s="110"/>
      <c r="AY212" s="110"/>
      <c r="BA212" s="110"/>
      <c r="BC212" s="110"/>
      <c r="BE212" s="110"/>
      <c r="BG212" s="110"/>
      <c r="BI212" s="110"/>
      <c r="BK212" s="110"/>
      <c r="BM212" s="110"/>
      <c r="BO212" s="110"/>
      <c r="BQ212" s="110"/>
      <c r="BS212" s="110"/>
      <c r="BU212" s="110"/>
      <c r="BW212" s="110"/>
      <c r="BY212" s="110"/>
      <c r="CA212" s="110"/>
      <c r="CC212" s="110"/>
      <c r="CE212" s="110"/>
      <c r="CG212" s="110"/>
      <c r="CL212" s="2"/>
    </row>
    <row r="213" spans="1:109" s="6" customFormat="1" x14ac:dyDescent="0.2">
      <c r="AB213" s="18"/>
      <c r="AC213" s="18"/>
      <c r="AD213" s="18"/>
      <c r="AE213" s="18"/>
      <c r="AI213" s="112"/>
      <c r="AK213" s="112"/>
      <c r="AM213" s="112"/>
      <c r="AO213" s="112"/>
      <c r="AQ213" s="112"/>
      <c r="AS213" s="112"/>
      <c r="AU213" s="112"/>
      <c r="AW213" s="112"/>
      <c r="AY213" s="112"/>
      <c r="BA213" s="112"/>
      <c r="BC213" s="112"/>
      <c r="BE213" s="112"/>
      <c r="BG213" s="112"/>
      <c r="BI213" s="112"/>
      <c r="BK213" s="112"/>
      <c r="BM213" s="112"/>
      <c r="BO213" s="112"/>
      <c r="BQ213" s="112"/>
      <c r="BS213" s="112"/>
      <c r="BU213" s="112"/>
      <c r="BW213" s="112"/>
      <c r="BY213" s="112"/>
      <c r="CA213" s="112"/>
      <c r="CC213" s="112"/>
      <c r="CE213" s="112"/>
      <c r="CG213" s="112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D213" s="122"/>
    </row>
    <row r="214" spans="1:109" s="61" customFormat="1" x14ac:dyDescent="0.2">
      <c r="A214" s="152" t="s">
        <v>494</v>
      </c>
      <c r="AB214" s="62"/>
      <c r="AC214" s="62"/>
      <c r="AD214" s="62"/>
      <c r="AE214" s="62"/>
      <c r="AI214" s="113"/>
      <c r="AK214" s="113"/>
      <c r="AM214" s="113"/>
      <c r="AO214" s="113"/>
      <c r="AQ214" s="113"/>
      <c r="AS214" s="113"/>
      <c r="AU214" s="113"/>
      <c r="AW214" s="113"/>
      <c r="AY214" s="113"/>
      <c r="BA214" s="113"/>
      <c r="BC214" s="113"/>
      <c r="BE214" s="113"/>
      <c r="BG214" s="113"/>
      <c r="BI214" s="113"/>
      <c r="BK214" s="113"/>
      <c r="BM214" s="113"/>
      <c r="BO214" s="113"/>
      <c r="BQ214" s="113"/>
      <c r="BS214" s="113"/>
      <c r="BU214" s="113"/>
      <c r="BW214" s="113"/>
      <c r="BY214" s="113"/>
      <c r="CA214" s="113"/>
      <c r="CC214" s="113"/>
      <c r="CE214" s="113"/>
      <c r="CG214" s="113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D214" s="138"/>
    </row>
    <row r="215" spans="1:109" s="61" customFormat="1" outlineLevel="1" x14ac:dyDescent="0.2">
      <c r="A215" s="67" t="s">
        <v>464</v>
      </c>
      <c r="B215" s="66">
        <f t="shared" ref="B215:AE215" si="1814">B180/B44*365</f>
        <v>116.24268537554487</v>
      </c>
      <c r="C215" s="66">
        <f t="shared" si="1814"/>
        <v>108.09919013746034</v>
      </c>
      <c r="D215" s="66">
        <f t="shared" si="1814"/>
        <v>80.568198632772038</v>
      </c>
      <c r="E215" s="66">
        <f t="shared" si="1814"/>
        <v>86.38283803269708</v>
      </c>
      <c r="F215" s="66">
        <f t="shared" si="1814"/>
        <v>80.201441203401245</v>
      </c>
      <c r="G215" s="66">
        <f t="shared" si="1814"/>
        <v>79.990068273860729</v>
      </c>
      <c r="H215" s="66">
        <f t="shared" si="1814"/>
        <v>77.464929003976863</v>
      </c>
      <c r="I215" s="66">
        <f t="shared" si="1814"/>
        <v>87.203744409899571</v>
      </c>
      <c r="J215" s="66">
        <f t="shared" si="1814"/>
        <v>73.700978857876365</v>
      </c>
      <c r="K215" s="66">
        <f t="shared" si="1814"/>
        <v>71.601084322926241</v>
      </c>
      <c r="L215" s="66">
        <f t="shared" si="1814"/>
        <v>89.935540893278898</v>
      </c>
      <c r="M215" s="66">
        <f t="shared" si="1814"/>
        <v>90.826527547567196</v>
      </c>
      <c r="N215" s="66">
        <f t="shared" si="1814"/>
        <v>92.605091424885813</v>
      </c>
      <c r="O215" s="66">
        <f t="shared" si="1814"/>
        <v>85.073750251132324</v>
      </c>
      <c r="P215" s="66">
        <f t="shared" si="1814"/>
        <v>86.402765947961313</v>
      </c>
      <c r="Q215" s="66">
        <f t="shared" si="1814"/>
        <v>76.388267890761881</v>
      </c>
      <c r="R215" s="66">
        <f t="shared" si="1814"/>
        <v>87.87988763010668</v>
      </c>
      <c r="S215" s="66">
        <f t="shared" si="1814"/>
        <v>93.255387945487584</v>
      </c>
      <c r="T215" s="66">
        <f t="shared" si="1814"/>
        <v>101.18638307293431</v>
      </c>
      <c r="U215" s="66">
        <f t="shared" si="1814"/>
        <v>87.224458192946585</v>
      </c>
      <c r="V215" s="66">
        <f t="shared" si="1814"/>
        <v>105.95818525233967</v>
      </c>
      <c r="W215" s="66">
        <f t="shared" si="1814"/>
        <v>100.23357552422408</v>
      </c>
      <c r="X215" s="66">
        <f t="shared" si="1814"/>
        <v>110.51657148346035</v>
      </c>
      <c r="Y215" s="66">
        <f t="shared" si="1814"/>
        <v>101.84276727921319</v>
      </c>
      <c r="Z215" s="66">
        <f t="shared" si="1814"/>
        <v>90.375415755871614</v>
      </c>
      <c r="AA215" s="66">
        <f t="shared" ref="AA215" si="1815">AA180/AA44*365</f>
        <v>104.21643101679061</v>
      </c>
      <c r="AB215" s="17">
        <f t="shared" si="1814"/>
        <v>102.35724988541314</v>
      </c>
      <c r="AC215" s="17">
        <f t="shared" si="1814"/>
        <v>99.341781235176313</v>
      </c>
      <c r="AD215" s="17">
        <f t="shared" si="1814"/>
        <v>99.380599926188523</v>
      </c>
      <c r="AE215" s="17">
        <f t="shared" si="1814"/>
        <v>99.39035175700198</v>
      </c>
      <c r="AI215" s="66">
        <f>AI180/AI44*90</f>
        <v>93.136407300672431</v>
      </c>
      <c r="AJ215" s="66">
        <f t="shared" ref="AJ215:CL220" si="1816">+AI215</f>
        <v>93.136407300672431</v>
      </c>
      <c r="AK215" s="66">
        <f>AK180/AK44*90</f>
        <v>0</v>
      </c>
      <c r="AL215" s="66">
        <f t="shared" si="1816"/>
        <v>0</v>
      </c>
      <c r="AM215" s="66">
        <f>AM180/AM44*90</f>
        <v>91.5628521667862</v>
      </c>
      <c r="AN215" s="66">
        <f t="shared" si="1816"/>
        <v>91.5628521667862</v>
      </c>
      <c r="AO215" s="66">
        <f>AO180/AO44*90</f>
        <v>90.598055906419916</v>
      </c>
      <c r="AP215" s="66">
        <f t="shared" si="1816"/>
        <v>90.598055906419916</v>
      </c>
      <c r="AQ215" s="66">
        <f>AQ180/AQ44*90</f>
        <v>96.668171557562076</v>
      </c>
      <c r="AR215" s="66">
        <f t="shared" si="1816"/>
        <v>96.668171557562076</v>
      </c>
      <c r="AS215" s="66">
        <f>AS180/AS44*90</f>
        <v>78.922595506106305</v>
      </c>
      <c r="AT215" s="66">
        <f t="shared" si="1816"/>
        <v>78.922595506106305</v>
      </c>
      <c r="AU215" s="66">
        <f>AU180/AU44*90</f>
        <v>87.548848133526562</v>
      </c>
      <c r="AV215" s="66">
        <f t="shared" si="1816"/>
        <v>87.548848133526562</v>
      </c>
      <c r="AW215" s="66">
        <f>AW180/AW44*90</f>
        <v>67.463985224707571</v>
      </c>
      <c r="AX215" s="66">
        <f t="shared" si="1816"/>
        <v>67.463985224707571</v>
      </c>
      <c r="AY215" s="66">
        <f>AY180/AY44*90</f>
        <v>77.72953769493401</v>
      </c>
      <c r="AZ215" s="66">
        <f t="shared" si="1816"/>
        <v>77.72953769493401</v>
      </c>
      <c r="BA215" s="66">
        <f>BA180/BA44*90</f>
        <v>71.24803826320904</v>
      </c>
      <c r="BB215" s="66">
        <f t="shared" si="1816"/>
        <v>71.24803826320904</v>
      </c>
      <c r="BC215" s="66">
        <f>BC180/BC44*90</f>
        <v>114.77722994173017</v>
      </c>
      <c r="BD215" s="66">
        <f t="shared" si="1816"/>
        <v>114.77722994173017</v>
      </c>
      <c r="BE215" s="66">
        <f>BE180/BE44*90</f>
        <v>67.897623400365632</v>
      </c>
      <c r="BF215" s="66">
        <f t="shared" si="1816"/>
        <v>67.897623400365632</v>
      </c>
      <c r="BG215" s="66">
        <f>BG180/BG44*90</f>
        <v>110.93848580441642</v>
      </c>
      <c r="BH215" s="66">
        <f t="shared" si="1816"/>
        <v>110.93848580441642</v>
      </c>
      <c r="BI215" s="66">
        <f>BI180/BI44*90</f>
        <v>78.678592036930183</v>
      </c>
      <c r="BJ215" s="66">
        <f t="shared" si="1816"/>
        <v>78.678592036930183</v>
      </c>
      <c r="BK215" s="66">
        <f>BK180/BK44*90</f>
        <v>101.18290258449304</v>
      </c>
      <c r="BL215" s="66">
        <f t="shared" si="1816"/>
        <v>101.18290258449304</v>
      </c>
      <c r="BM215" s="66">
        <f>BM180/BM44*90</f>
        <v>86.741839762611278</v>
      </c>
      <c r="BN215" s="66">
        <f t="shared" si="1816"/>
        <v>86.741839762611278</v>
      </c>
      <c r="BO215" s="66">
        <f>BO180/BO44*90</f>
        <v>142.01005025125627</v>
      </c>
      <c r="BP215" s="66">
        <f t="shared" si="1816"/>
        <v>142.01005025125627</v>
      </c>
      <c r="BQ215" s="66">
        <f>BQ180/BQ44*90</f>
        <v>87.810218978102199</v>
      </c>
      <c r="BR215" s="66">
        <f t="shared" si="1816"/>
        <v>87.810218978102199</v>
      </c>
      <c r="BS215" s="66">
        <f>BS180/BS44*90</f>
        <v>117.29702970297029</v>
      </c>
      <c r="BT215" s="66">
        <f t="shared" si="1816"/>
        <v>117.29702970297029</v>
      </c>
      <c r="BU215" s="66">
        <f>BU180/BU44*90</f>
        <v>85.647773279352236</v>
      </c>
      <c r="BV215" s="66">
        <f t="shared" si="1816"/>
        <v>85.647773279352236</v>
      </c>
      <c r="BW215" s="66">
        <f>BW180/BW44*90</f>
        <v>96.181980374665471</v>
      </c>
      <c r="BX215" s="66">
        <f t="shared" si="1816"/>
        <v>96.181980374665471</v>
      </c>
      <c r="BY215" s="66">
        <f>BY180/BY44*90</f>
        <v>96.261913839115508</v>
      </c>
      <c r="BZ215" s="66">
        <f t="shared" si="1816"/>
        <v>96.261913839115508</v>
      </c>
      <c r="CA215" s="66">
        <f>CA180/CA44*90</f>
        <v>102.16133942161341</v>
      </c>
      <c r="CB215" s="66">
        <f t="shared" si="1816"/>
        <v>102.16133942161341</v>
      </c>
      <c r="CC215" s="66">
        <f>CC180/CC44*90</f>
        <v>95.974112180550932</v>
      </c>
      <c r="CD215" s="66">
        <f t="shared" si="1816"/>
        <v>95.974112180550932</v>
      </c>
      <c r="CE215" s="66">
        <f>CE180/CE44*90</f>
        <v>91.713622291021665</v>
      </c>
      <c r="CF215" s="66">
        <f t="shared" si="1816"/>
        <v>91.713622291021665</v>
      </c>
      <c r="CG215" s="66">
        <f>CG180/CG44*90</f>
        <v>79.644920154185016</v>
      </c>
      <c r="CH215" s="66">
        <f t="shared" si="1816"/>
        <v>79.644920154185016</v>
      </c>
      <c r="CI215" s="66">
        <f>CI180/CI44*90</f>
        <v>100.05699715014249</v>
      </c>
      <c r="CJ215" s="66">
        <f t="shared" si="1816"/>
        <v>100.05699715014249</v>
      </c>
      <c r="CK215" s="66">
        <f>CK180/CK44*90</f>
        <v>90.241071428571445</v>
      </c>
      <c r="CL215" s="66">
        <f t="shared" si="1816"/>
        <v>90.241071428571445</v>
      </c>
      <c r="CM215" s="29">
        <f t="shared" ref="CM215:CM216" si="1817">+CL215</f>
        <v>90.241071428571445</v>
      </c>
      <c r="CN215" s="29">
        <f t="shared" ref="CN215:CN216" si="1818">+CM215</f>
        <v>90.241071428571445</v>
      </c>
      <c r="CO215" s="29">
        <f t="shared" ref="CO215:CO216" si="1819">+CN215</f>
        <v>90.241071428571445</v>
      </c>
      <c r="CP215" s="29">
        <f t="shared" ref="CP215:CP216" si="1820">+CO215</f>
        <v>90.241071428571445</v>
      </c>
      <c r="CQ215" s="29">
        <f t="shared" ref="CQ215:CQ216" si="1821">+CP215</f>
        <v>90.241071428571445</v>
      </c>
      <c r="CR215" s="29">
        <f t="shared" ref="CR215:CR216" si="1822">+CQ215</f>
        <v>90.241071428571445</v>
      </c>
      <c r="CS215" s="29">
        <f t="shared" ref="CS215:CS216" si="1823">+CR215</f>
        <v>90.241071428571445</v>
      </c>
      <c r="CT215" s="29">
        <f t="shared" ref="CT215:CT216" si="1824">+CS215</f>
        <v>90.241071428571445</v>
      </c>
      <c r="CU215" s="29">
        <f t="shared" ref="CU215:CU216" si="1825">+CT215</f>
        <v>90.241071428571445</v>
      </c>
      <c r="CV215" s="29">
        <f t="shared" ref="CV215:CV216" si="1826">+CU215</f>
        <v>90.241071428571445</v>
      </c>
      <c r="CW215" s="29">
        <f t="shared" ref="CW215:CW216" si="1827">+CV215</f>
        <v>90.241071428571445</v>
      </c>
      <c r="CX215" s="29">
        <f t="shared" ref="CX215:CX216" si="1828">+CW215</f>
        <v>90.241071428571445</v>
      </c>
      <c r="CY215" s="29">
        <f t="shared" ref="CY215:CY216" si="1829">+CX215</f>
        <v>90.241071428571445</v>
      </c>
      <c r="CZ215" s="29">
        <f t="shared" ref="CZ215:CZ216" si="1830">+CY215</f>
        <v>90.241071428571445</v>
      </c>
      <c r="DA215" s="29">
        <f t="shared" ref="DA215:DA216" si="1831">+CZ215</f>
        <v>90.241071428571445</v>
      </c>
      <c r="DD215" s="138"/>
      <c r="DE215" s="61">
        <v>106.43858737990134</v>
      </c>
    </row>
    <row r="216" spans="1:109" s="61" customFormat="1" outlineLevel="1" x14ac:dyDescent="0.2">
      <c r="A216" s="67" t="s">
        <v>465</v>
      </c>
      <c r="B216" s="66">
        <f t="shared" ref="B216:AE216" si="1832">B181/B44*365</f>
        <v>83.195152164889137</v>
      </c>
      <c r="C216" s="66">
        <f t="shared" si="1832"/>
        <v>88.398733538402382</v>
      </c>
      <c r="D216" s="66">
        <f t="shared" si="1832"/>
        <v>76.574679648427093</v>
      </c>
      <c r="E216" s="66">
        <f t="shared" si="1832"/>
        <v>64.576880347896221</v>
      </c>
      <c r="F216" s="66">
        <f t="shared" si="1832"/>
        <v>68.861711913330481</v>
      </c>
      <c r="G216" s="66">
        <f t="shared" si="1832"/>
        <v>63.138424202991864</v>
      </c>
      <c r="H216" s="66">
        <f t="shared" si="1832"/>
        <v>66.944857177094036</v>
      </c>
      <c r="I216" s="66">
        <f t="shared" si="1832"/>
        <v>75.374605669780124</v>
      </c>
      <c r="J216" s="66">
        <f t="shared" si="1832"/>
        <v>76.277106311747019</v>
      </c>
      <c r="K216" s="66">
        <f t="shared" si="1832"/>
        <v>64.475297973828546</v>
      </c>
      <c r="L216" s="66">
        <f t="shared" si="1832"/>
        <v>64.595019683077822</v>
      </c>
      <c r="M216" s="66">
        <f t="shared" si="1832"/>
        <v>84.16884799483266</v>
      </c>
      <c r="N216" s="66">
        <f t="shared" si="1832"/>
        <v>69.901089652496296</v>
      </c>
      <c r="O216" s="66">
        <f t="shared" si="1832"/>
        <v>58.817204916344323</v>
      </c>
      <c r="P216" s="66">
        <f t="shared" si="1832"/>
        <v>76.666760523061683</v>
      </c>
      <c r="Q216" s="66">
        <f t="shared" si="1832"/>
        <v>74.603207978925155</v>
      </c>
      <c r="R216" s="66">
        <f t="shared" si="1832"/>
        <v>67.421328005763954</v>
      </c>
      <c r="S216" s="66">
        <f t="shared" si="1832"/>
        <v>96.020622194342621</v>
      </c>
      <c r="T216" s="66">
        <f t="shared" si="1832"/>
        <v>97.076457414282388</v>
      </c>
      <c r="U216" s="66">
        <f t="shared" si="1832"/>
        <v>79.527811290773471</v>
      </c>
      <c r="V216" s="66">
        <f t="shared" si="1832"/>
        <v>78.324349261458622</v>
      </c>
      <c r="W216" s="66">
        <f t="shared" si="1832"/>
        <v>65.857442079942473</v>
      </c>
      <c r="X216" s="66">
        <f t="shared" si="1832"/>
        <v>79.506719306586334</v>
      </c>
      <c r="Y216" s="66">
        <f t="shared" si="1832"/>
        <v>77.926197001352918</v>
      </c>
      <c r="Z216" s="66">
        <f t="shared" si="1832"/>
        <v>91.42282203626489</v>
      </c>
      <c r="AA216" s="66">
        <f t="shared" ref="AA216" si="1833">AA181/AA44*365</f>
        <v>115.23819071748349</v>
      </c>
      <c r="AB216" s="17">
        <f t="shared" si="1832"/>
        <v>113.17761302684276</v>
      </c>
      <c r="AC216" s="17">
        <f t="shared" si="1832"/>
        <v>109.84337393412444</v>
      </c>
      <c r="AD216" s="17">
        <f t="shared" si="1832"/>
        <v>109.88629621656668</v>
      </c>
      <c r="AE216" s="17">
        <f t="shared" si="1832"/>
        <v>109.89707893039831</v>
      </c>
      <c r="AI216" s="66">
        <f>AI181/AI44*90</f>
        <v>76.964457252641694</v>
      </c>
      <c r="AJ216" s="66">
        <f t="shared" si="1816"/>
        <v>76.964457252641694</v>
      </c>
      <c r="AK216" s="66">
        <f>AK181/AK44*90</f>
        <v>0</v>
      </c>
      <c r="AL216" s="66">
        <f t="shared" si="1816"/>
        <v>0</v>
      </c>
      <c r="AM216" s="66">
        <f>AM181/AM44*90</f>
        <v>63.602089949800231</v>
      </c>
      <c r="AN216" s="66">
        <f t="shared" si="1816"/>
        <v>63.602089949800231</v>
      </c>
      <c r="AO216" s="66">
        <f>AO181/AO44*90</f>
        <v>62.637706628590259</v>
      </c>
      <c r="AP216" s="66">
        <f t="shared" si="1816"/>
        <v>62.637706628590259</v>
      </c>
      <c r="AQ216" s="66">
        <f>AQ181/AQ44*90</f>
        <v>61.223476297968404</v>
      </c>
      <c r="AR216" s="66">
        <f t="shared" si="1816"/>
        <v>61.223476297968404</v>
      </c>
      <c r="AS216" s="66">
        <f>AS181/AS44*90</f>
        <v>70.031726715632999</v>
      </c>
      <c r="AT216" s="66">
        <f t="shared" si="1816"/>
        <v>70.031726715632999</v>
      </c>
      <c r="AU216" s="66">
        <f>AU181/AU44*90</f>
        <v>70.174903802908403</v>
      </c>
      <c r="AV216" s="66">
        <f t="shared" si="1816"/>
        <v>70.174903802908403</v>
      </c>
      <c r="AW216" s="66">
        <f>AW181/AW44*90</f>
        <v>65.886722758054589</v>
      </c>
      <c r="AX216" s="66">
        <f t="shared" si="1816"/>
        <v>65.886722758054589</v>
      </c>
      <c r="AY216" s="66">
        <f>AY181/AY44*90</f>
        <v>54.006643905139796</v>
      </c>
      <c r="AZ216" s="66">
        <f t="shared" si="1816"/>
        <v>54.006643905139796</v>
      </c>
      <c r="BA216" s="66">
        <f>BA181/BA44*90</f>
        <v>54.661833943651445</v>
      </c>
      <c r="BB216" s="66">
        <f t="shared" si="1816"/>
        <v>54.661833943651445</v>
      </c>
      <c r="BC216" s="66">
        <f>BC181/BC44*90</f>
        <v>63.496190049305248</v>
      </c>
      <c r="BD216" s="66">
        <f t="shared" si="1816"/>
        <v>63.496190049305248</v>
      </c>
      <c r="BE216" s="66">
        <f>BE181/BE44*90</f>
        <v>69.926873857404019</v>
      </c>
      <c r="BF216" s="66">
        <f t="shared" si="1816"/>
        <v>69.926873857404019</v>
      </c>
      <c r="BG216" s="66">
        <f>BG181/BG44*90</f>
        <v>63.525236593059944</v>
      </c>
      <c r="BH216" s="66">
        <f t="shared" si="1816"/>
        <v>63.525236593059944</v>
      </c>
      <c r="BI216" s="66">
        <f>BI181/BI44*90</f>
        <v>75.48470859780727</v>
      </c>
      <c r="BJ216" s="66">
        <f t="shared" si="1816"/>
        <v>75.48470859780727</v>
      </c>
      <c r="BK216" s="66">
        <f>BK181/BK44*90</f>
        <v>71.332007952286276</v>
      </c>
      <c r="BL216" s="66">
        <f t="shared" si="1816"/>
        <v>71.332007952286276</v>
      </c>
      <c r="BM216" s="66">
        <f>BM181/BM44*90</f>
        <v>79.103857566765569</v>
      </c>
      <c r="BN216" s="66">
        <f t="shared" si="1816"/>
        <v>79.103857566765569</v>
      </c>
      <c r="BO216" s="66">
        <f>BO181/BO44*90</f>
        <v>95.79716765646414</v>
      </c>
      <c r="BP216" s="66">
        <f t="shared" si="1816"/>
        <v>95.79716765646414</v>
      </c>
      <c r="BQ216" s="66">
        <f>BQ181/BQ44*90</f>
        <v>64.890510948905117</v>
      </c>
      <c r="BR216" s="66">
        <f t="shared" si="1816"/>
        <v>64.890510948905117</v>
      </c>
      <c r="BS216" s="66">
        <f>BS181/BS44*90</f>
        <v>68.584158415841586</v>
      </c>
      <c r="BT216" s="66">
        <f t="shared" si="1816"/>
        <v>68.584158415841586</v>
      </c>
      <c r="BU216" s="66">
        <f>BU181/BU44*90</f>
        <v>56.275303643724698</v>
      </c>
      <c r="BV216" s="66">
        <f t="shared" si="1816"/>
        <v>56.275303643724698</v>
      </c>
      <c r="BW216" s="66">
        <f>BW181/BW44*90</f>
        <v>63.646297948260482</v>
      </c>
      <c r="BX216" s="66">
        <f t="shared" si="1816"/>
        <v>63.646297948260482</v>
      </c>
      <c r="BY216" s="66">
        <f>BY181/BY44*90</f>
        <v>69.258482653450244</v>
      </c>
      <c r="BZ216" s="66">
        <f t="shared" si="1816"/>
        <v>69.258482653450244</v>
      </c>
      <c r="CA216" s="66">
        <f>CA181/CA44*90</f>
        <v>66.666666666666671</v>
      </c>
      <c r="CB216" s="66">
        <f t="shared" si="1816"/>
        <v>66.666666666666671</v>
      </c>
      <c r="CC216" s="66">
        <f>CC181/CC44*90</f>
        <v>73.436773979422497</v>
      </c>
      <c r="CD216" s="66">
        <f t="shared" si="1816"/>
        <v>73.436773979422497</v>
      </c>
      <c r="CE216" s="66">
        <f>CE181/CE44*90</f>
        <v>70.188854489164086</v>
      </c>
      <c r="CF216" s="66">
        <f t="shared" si="1816"/>
        <v>70.188854489164086</v>
      </c>
      <c r="CG216" s="66">
        <f>CG181/CG44*90</f>
        <v>80.567965308370049</v>
      </c>
      <c r="CH216" s="66">
        <f t="shared" si="1816"/>
        <v>80.567965308370049</v>
      </c>
      <c r="CI216" s="66">
        <f>CI181/CI44*90</f>
        <v>92.551372431378425</v>
      </c>
      <c r="CJ216" s="66">
        <f t="shared" si="1816"/>
        <v>92.551372431378425</v>
      </c>
      <c r="CK216" s="66">
        <f>CK181/CK44*90</f>
        <v>99.780612244897966</v>
      </c>
      <c r="CL216" s="66">
        <f t="shared" si="1816"/>
        <v>99.780612244897966</v>
      </c>
      <c r="CM216" s="29">
        <f t="shared" si="1817"/>
        <v>99.780612244897966</v>
      </c>
      <c r="CN216" s="29">
        <f t="shared" si="1818"/>
        <v>99.780612244897966</v>
      </c>
      <c r="CO216" s="29">
        <f t="shared" si="1819"/>
        <v>99.780612244897966</v>
      </c>
      <c r="CP216" s="29">
        <f t="shared" si="1820"/>
        <v>99.780612244897966</v>
      </c>
      <c r="CQ216" s="29">
        <f t="shared" si="1821"/>
        <v>99.780612244897966</v>
      </c>
      <c r="CR216" s="29">
        <f t="shared" si="1822"/>
        <v>99.780612244897966</v>
      </c>
      <c r="CS216" s="29">
        <f t="shared" si="1823"/>
        <v>99.780612244897966</v>
      </c>
      <c r="CT216" s="29">
        <f t="shared" si="1824"/>
        <v>99.780612244897966</v>
      </c>
      <c r="CU216" s="29">
        <f t="shared" si="1825"/>
        <v>99.780612244897966</v>
      </c>
      <c r="CV216" s="29">
        <f t="shared" si="1826"/>
        <v>99.780612244897966</v>
      </c>
      <c r="CW216" s="29">
        <f t="shared" si="1827"/>
        <v>99.780612244897966</v>
      </c>
      <c r="CX216" s="29">
        <f t="shared" si="1828"/>
        <v>99.780612244897966</v>
      </c>
      <c r="CY216" s="29">
        <f t="shared" si="1829"/>
        <v>99.780612244897966</v>
      </c>
      <c r="CZ216" s="29">
        <f t="shared" si="1830"/>
        <v>99.780612244897966</v>
      </c>
      <c r="DA216" s="29">
        <f t="shared" si="1831"/>
        <v>99.780612244897966</v>
      </c>
      <c r="DD216" s="138"/>
      <c r="DE216" s="61">
        <v>117.69039581555813</v>
      </c>
    </row>
    <row r="217" spans="1:109" s="61" customFormat="1" outlineLevel="1" x14ac:dyDescent="0.2">
      <c r="A217" s="67" t="s">
        <v>466</v>
      </c>
      <c r="B217" s="66">
        <f>B218-B216-B215</f>
        <v>30.081532663727202</v>
      </c>
      <c r="C217" s="66">
        <f t="shared" ref="C217:U217" si="1834">C218-C216-C215</f>
        <v>33.9197731423628</v>
      </c>
      <c r="D217" s="66">
        <f t="shared" si="1834"/>
        <v>20.642626734929422</v>
      </c>
      <c r="E217" s="66">
        <f t="shared" si="1834"/>
        <v>21.73485658411866</v>
      </c>
      <c r="F217" s="66">
        <f t="shared" si="1834"/>
        <v>19.921243973428304</v>
      </c>
      <c r="G217" s="66">
        <f t="shared" si="1834"/>
        <v>17.824969573796821</v>
      </c>
      <c r="H217" s="66">
        <f t="shared" si="1834"/>
        <v>20.062852936068367</v>
      </c>
      <c r="I217" s="66">
        <f t="shared" si="1834"/>
        <v>29.970627550953793</v>
      </c>
      <c r="J217" s="66">
        <f t="shared" si="1834"/>
        <v>22.924187282411012</v>
      </c>
      <c r="K217" s="66">
        <f t="shared" si="1834"/>
        <v>32.861317610004591</v>
      </c>
      <c r="L217" s="66">
        <f t="shared" si="1834"/>
        <v>37.100080946006557</v>
      </c>
      <c r="M217" s="66">
        <f t="shared" si="1834"/>
        <v>35.28547229158211</v>
      </c>
      <c r="N217" s="66">
        <f t="shared" si="1834"/>
        <v>35.530956513531464</v>
      </c>
      <c r="O217" s="66">
        <f t="shared" si="1834"/>
        <v>38.671236639124771</v>
      </c>
      <c r="P217" s="66">
        <f t="shared" si="1834"/>
        <v>40.030415338012077</v>
      </c>
      <c r="Q217" s="66">
        <f t="shared" si="1834"/>
        <v>37.173830839728254</v>
      </c>
      <c r="R217" s="66">
        <f t="shared" si="1834"/>
        <v>47.816832982745666</v>
      </c>
      <c r="S217" s="66">
        <f t="shared" si="1834"/>
        <v>39.479621809507805</v>
      </c>
      <c r="T217" s="66">
        <f t="shared" si="1834"/>
        <v>42.063292609961351</v>
      </c>
      <c r="U217" s="66">
        <f t="shared" si="1834"/>
        <v>31.402824164668118</v>
      </c>
      <c r="V217" s="66">
        <f>V218-V216-V215</f>
        <v>28.938659476191461</v>
      </c>
      <c r="W217" s="66">
        <f t="shared" ref="W217" si="1835">W218-W216-W215</f>
        <v>30.586729825827661</v>
      </c>
      <c r="X217" s="66">
        <f t="shared" ref="X217:Y217" si="1836">X218-X216-X215</f>
        <v>29.48256239703025</v>
      </c>
      <c r="Y217" s="66">
        <f t="shared" si="1836"/>
        <v>19.951790400369561</v>
      </c>
      <c r="Z217" s="66">
        <f t="shared" ref="Z217:AA217" si="1837">Z218-Z216-Z215</f>
        <v>21.161262241566916</v>
      </c>
      <c r="AA217" s="66">
        <f t="shared" ref="AA217" si="1838">AA218-AA216-AA215</f>
        <v>25.594182762597541</v>
      </c>
      <c r="AB217" s="17">
        <f t="shared" ref="AB217:AD217" si="1839">AB218-AB216-AB215</f>
        <v>29.557430001257714</v>
      </c>
      <c r="AC217" s="17">
        <f t="shared" si="1839"/>
        <v>28.686661163191673</v>
      </c>
      <c r="AD217" s="17">
        <f t="shared" si="1839"/>
        <v>28.697870733042549</v>
      </c>
      <c r="AE217" s="17">
        <f t="shared" ref="AE217" si="1840">AE218-AE216-AE215</f>
        <v>28.700686743212572</v>
      </c>
      <c r="AI217" s="66">
        <f t="shared" ref="AI217:AK217" si="1841">AI218-AI216-AI215</f>
        <v>39.274735830931803</v>
      </c>
      <c r="AJ217" s="66">
        <f t="shared" si="1816"/>
        <v>39.274735830931803</v>
      </c>
      <c r="AK217" s="66">
        <f t="shared" si="1841"/>
        <v>0</v>
      </c>
      <c r="AL217" s="66">
        <f t="shared" si="1816"/>
        <v>0</v>
      </c>
      <c r="AM217" s="66">
        <f t="shared" ref="AM217:AO217" si="1842">AM218-AM216-AM215</f>
        <v>35.539903698391569</v>
      </c>
      <c r="AN217" s="66">
        <f t="shared" si="1816"/>
        <v>35.539903698391569</v>
      </c>
      <c r="AO217" s="66">
        <f t="shared" si="1842"/>
        <v>41.181833159426645</v>
      </c>
      <c r="AP217" s="66">
        <f t="shared" si="1816"/>
        <v>41.181833159426645</v>
      </c>
      <c r="AQ217" s="66">
        <f t="shared" ref="AQ217:BA217" si="1843">AQ218-AQ216-AQ215</f>
        <v>43.178329571106119</v>
      </c>
      <c r="AR217" s="66">
        <f t="shared" si="1816"/>
        <v>43.178329571106119</v>
      </c>
      <c r="AS217" s="66">
        <f t="shared" si="1843"/>
        <v>36.564822460776256</v>
      </c>
      <c r="AT217" s="66">
        <f t="shared" si="1816"/>
        <v>36.564822460776256</v>
      </c>
      <c r="AU217" s="66">
        <f t="shared" si="1843"/>
        <v>43.58552795962224</v>
      </c>
      <c r="AV217" s="66">
        <f t="shared" si="1816"/>
        <v>43.58552795962224</v>
      </c>
      <c r="AW217" s="66">
        <f t="shared" si="1843"/>
        <v>32.834393597373278</v>
      </c>
      <c r="AX217" s="66">
        <f t="shared" si="1816"/>
        <v>32.834393597373278</v>
      </c>
      <c r="AY217" s="66">
        <f t="shared" si="1843"/>
        <v>41.87736458429454</v>
      </c>
      <c r="AZ217" s="66">
        <f t="shared" si="1816"/>
        <v>41.87736458429454</v>
      </c>
      <c r="BA217" s="66">
        <f t="shared" si="1843"/>
        <v>38.768402959420058</v>
      </c>
      <c r="BB217" s="66">
        <f t="shared" si="1816"/>
        <v>38.768402959420058</v>
      </c>
      <c r="BC217" s="66">
        <f t="shared" ref="BC217:BE217" si="1844">BC218-BC216-BC215</f>
        <v>43.826086956521763</v>
      </c>
      <c r="BD217" s="66">
        <f t="shared" si="1816"/>
        <v>43.826086956521763</v>
      </c>
      <c r="BE217" s="66">
        <f t="shared" si="1844"/>
        <v>28.73857404021939</v>
      </c>
      <c r="BF217" s="66">
        <f t="shared" si="1816"/>
        <v>28.73857404021939</v>
      </c>
      <c r="BG217" s="66">
        <f t="shared" ref="BG217:BI217" si="1845">BG218-BG216-BG215</f>
        <v>39.321766561514153</v>
      </c>
      <c r="BH217" s="66">
        <f t="shared" si="1816"/>
        <v>39.321766561514153</v>
      </c>
      <c r="BI217" s="66">
        <f t="shared" si="1845"/>
        <v>32.717830351990756</v>
      </c>
      <c r="BJ217" s="66">
        <f t="shared" si="1816"/>
        <v>32.717830351990756</v>
      </c>
      <c r="BK217" s="66">
        <f t="shared" ref="BK217:BM217" si="1846">BK218-BK216-BK215</f>
        <v>41.451292246520893</v>
      </c>
      <c r="BL217" s="66">
        <f t="shared" si="1816"/>
        <v>41.451292246520893</v>
      </c>
      <c r="BM217" s="66">
        <f t="shared" si="1846"/>
        <v>31.21958456973293</v>
      </c>
      <c r="BN217" s="66">
        <f t="shared" si="1816"/>
        <v>31.21958456973293</v>
      </c>
      <c r="BO217" s="66">
        <f t="shared" ref="BO217:BQ217" si="1847">BO218-BO216-BO215</f>
        <v>45.555047967108266</v>
      </c>
      <c r="BP217" s="66">
        <f t="shared" si="1816"/>
        <v>45.555047967108266</v>
      </c>
      <c r="BQ217" s="66">
        <f t="shared" si="1847"/>
        <v>30.364963503649605</v>
      </c>
      <c r="BR217" s="66">
        <f t="shared" si="1816"/>
        <v>30.364963503649605</v>
      </c>
      <c r="BS217" s="66">
        <f t="shared" ref="BS217:BU217" si="1848">BS218-BS216-BS215</f>
        <v>39.089108910891071</v>
      </c>
      <c r="BT217" s="66">
        <f t="shared" si="1816"/>
        <v>39.089108910891071</v>
      </c>
      <c r="BU217" s="66">
        <f t="shared" si="1848"/>
        <v>31.659919028340056</v>
      </c>
      <c r="BV217" s="66">
        <f t="shared" si="1816"/>
        <v>31.659919028340056</v>
      </c>
      <c r="BW217" s="66">
        <f t="shared" ref="BW217:BY217" si="1849">BW218-BW216-BW215</f>
        <v>31.913470115967954</v>
      </c>
      <c r="BX217" s="66">
        <f t="shared" si="1816"/>
        <v>31.913470115967954</v>
      </c>
      <c r="BY217" s="66">
        <f t="shared" si="1849"/>
        <v>30.280213495996932</v>
      </c>
      <c r="BZ217" s="66">
        <f t="shared" si="1816"/>
        <v>30.280213495996932</v>
      </c>
      <c r="CA217" s="66">
        <f t="shared" ref="CA217:CC217" si="1850">CA218-CA216-CA215</f>
        <v>23.729071537290693</v>
      </c>
      <c r="CB217" s="66">
        <f t="shared" si="1816"/>
        <v>23.729071537290693</v>
      </c>
      <c r="CC217" s="66">
        <f t="shared" si="1850"/>
        <v>22.836043810155999</v>
      </c>
      <c r="CD217" s="66">
        <f t="shared" si="1816"/>
        <v>22.836043810155999</v>
      </c>
      <c r="CE217" s="66">
        <f t="shared" ref="CE217" si="1851">CE218-CE216-CE215</f>
        <v>25.230650154798766</v>
      </c>
      <c r="CF217" s="66">
        <f t="shared" si="1816"/>
        <v>25.230650154798766</v>
      </c>
      <c r="CG217" s="66">
        <f t="shared" ref="CG217" si="1852">CG218-CG216-CG215</f>
        <v>18.648733480176233</v>
      </c>
      <c r="CH217" s="66">
        <f t="shared" si="1816"/>
        <v>18.648733480176233</v>
      </c>
      <c r="CI217" s="66">
        <f t="shared" ref="CI217:CK217" si="1853">CI218-CI216-CI215</f>
        <v>27.228138593070355</v>
      </c>
      <c r="CJ217" s="66">
        <f t="shared" si="1816"/>
        <v>27.228138593070355</v>
      </c>
      <c r="CK217" s="66">
        <f t="shared" si="1853"/>
        <v>26.058673469387699</v>
      </c>
      <c r="CL217" s="66">
        <f t="shared" si="1816"/>
        <v>26.058673469387699</v>
      </c>
      <c r="CM217" s="29">
        <f t="shared" ref="CM217:DA217" si="1854">CL217</f>
        <v>26.058673469387699</v>
      </c>
      <c r="CN217" s="29">
        <f t="shared" si="1854"/>
        <v>26.058673469387699</v>
      </c>
      <c r="CO217" s="29">
        <f t="shared" si="1854"/>
        <v>26.058673469387699</v>
      </c>
      <c r="CP217" s="29">
        <f t="shared" si="1854"/>
        <v>26.058673469387699</v>
      </c>
      <c r="CQ217" s="29">
        <f t="shared" si="1854"/>
        <v>26.058673469387699</v>
      </c>
      <c r="CR217" s="29">
        <f t="shared" si="1854"/>
        <v>26.058673469387699</v>
      </c>
      <c r="CS217" s="29">
        <f t="shared" si="1854"/>
        <v>26.058673469387699</v>
      </c>
      <c r="CT217" s="29">
        <f t="shared" si="1854"/>
        <v>26.058673469387699</v>
      </c>
      <c r="CU217" s="29">
        <f t="shared" si="1854"/>
        <v>26.058673469387699</v>
      </c>
      <c r="CV217" s="29">
        <f t="shared" si="1854"/>
        <v>26.058673469387699</v>
      </c>
      <c r="CW217" s="29">
        <f t="shared" si="1854"/>
        <v>26.058673469387699</v>
      </c>
      <c r="CX217" s="29">
        <f t="shared" si="1854"/>
        <v>26.058673469387699</v>
      </c>
      <c r="CY217" s="29">
        <f t="shared" si="1854"/>
        <v>26.058673469387699</v>
      </c>
      <c r="CZ217" s="29">
        <f t="shared" si="1854"/>
        <v>26.058673469387699</v>
      </c>
      <c r="DA217" s="29">
        <f t="shared" si="1854"/>
        <v>26.058673469387699</v>
      </c>
      <c r="DD217" s="138"/>
      <c r="DE217" s="61">
        <v>30.735986942167145</v>
      </c>
    </row>
    <row r="218" spans="1:109" s="7" customFormat="1" outlineLevel="1" x14ac:dyDescent="0.2">
      <c r="A218" s="68" t="s">
        <v>467</v>
      </c>
      <c r="B218" s="69">
        <f t="shared" ref="B218:AE218" si="1855">B184/B44*365</f>
        <v>229.51937020416119</v>
      </c>
      <c r="C218" s="69">
        <f t="shared" si="1855"/>
        <v>230.41769681822552</v>
      </c>
      <c r="D218" s="69">
        <f t="shared" si="1855"/>
        <v>177.78550501612855</v>
      </c>
      <c r="E218" s="69">
        <f t="shared" si="1855"/>
        <v>172.69457496471196</v>
      </c>
      <c r="F218" s="69">
        <f t="shared" si="1855"/>
        <v>168.98439709016003</v>
      </c>
      <c r="G218" s="69">
        <f t="shared" si="1855"/>
        <v>160.95346205064942</v>
      </c>
      <c r="H218" s="69">
        <f t="shared" si="1855"/>
        <v>164.47263911713927</v>
      </c>
      <c r="I218" s="69">
        <f t="shared" si="1855"/>
        <v>192.54897763063349</v>
      </c>
      <c r="J218" s="69">
        <f t="shared" si="1855"/>
        <v>172.9022724520344</v>
      </c>
      <c r="K218" s="69">
        <f t="shared" si="1855"/>
        <v>168.93769990675938</v>
      </c>
      <c r="L218" s="69">
        <f t="shared" si="1855"/>
        <v>191.63064152236328</v>
      </c>
      <c r="M218" s="69">
        <f t="shared" si="1855"/>
        <v>210.28084783398197</v>
      </c>
      <c r="N218" s="69">
        <f t="shared" si="1855"/>
        <v>198.03713759091357</v>
      </c>
      <c r="O218" s="69">
        <f t="shared" si="1855"/>
        <v>182.56219180660142</v>
      </c>
      <c r="P218" s="69">
        <f t="shared" si="1855"/>
        <v>203.09994180903507</v>
      </c>
      <c r="Q218" s="69">
        <f t="shared" si="1855"/>
        <v>188.16530670941529</v>
      </c>
      <c r="R218" s="69">
        <f t="shared" si="1855"/>
        <v>203.11804861861629</v>
      </c>
      <c r="S218" s="69">
        <f t="shared" si="1855"/>
        <v>228.75563194933801</v>
      </c>
      <c r="T218" s="69">
        <f t="shared" si="1855"/>
        <v>240.32613309717803</v>
      </c>
      <c r="U218" s="69">
        <f t="shared" si="1855"/>
        <v>198.15509364838817</v>
      </c>
      <c r="V218" s="69">
        <f t="shared" si="1855"/>
        <v>213.22119398998976</v>
      </c>
      <c r="W218" s="69">
        <f t="shared" si="1855"/>
        <v>196.67774742999421</v>
      </c>
      <c r="X218" s="69">
        <f t="shared" si="1855"/>
        <v>219.50585318707695</v>
      </c>
      <c r="Y218" s="69">
        <f t="shared" si="1855"/>
        <v>199.72075468093567</v>
      </c>
      <c r="Z218" s="69">
        <f t="shared" si="1855"/>
        <v>202.95950003370342</v>
      </c>
      <c r="AA218" s="69">
        <f t="shared" ref="AA218" si="1856">AA184/AA44*365</f>
        <v>245.04880449687164</v>
      </c>
      <c r="AB218" s="70">
        <f t="shared" si="1855"/>
        <v>245.09229291351363</v>
      </c>
      <c r="AC218" s="70">
        <f t="shared" si="1855"/>
        <v>237.87181633249244</v>
      </c>
      <c r="AD218" s="70">
        <f t="shared" si="1855"/>
        <v>237.96476687579775</v>
      </c>
      <c r="AE218" s="70">
        <f t="shared" si="1855"/>
        <v>237.98811743061285</v>
      </c>
      <c r="AI218" s="69">
        <f>AI184/AI44*90</f>
        <v>209.37560038424593</v>
      </c>
      <c r="AJ218" s="69">
        <f>+AJ215+AJ216+AJ217</f>
        <v>209.37560038424593</v>
      </c>
      <c r="AK218" s="69">
        <f>AK184/AK44*90</f>
        <v>0</v>
      </c>
      <c r="AL218" s="69">
        <f>+AL215+AL216+AL217</f>
        <v>0</v>
      </c>
      <c r="AM218" s="69">
        <f>AM184/AM44*90</f>
        <v>190.704845814978</v>
      </c>
      <c r="AN218" s="69">
        <f>+AN215+AN216+AN217</f>
        <v>190.704845814978</v>
      </c>
      <c r="AO218" s="69">
        <f>AO184/AO44*90</f>
        <v>194.41759569443681</v>
      </c>
      <c r="AP218" s="69">
        <f>+AP215+AP216+AP217</f>
        <v>194.41759569443681</v>
      </c>
      <c r="AQ218" s="69">
        <f>AQ184/AQ44*90</f>
        <v>201.0699774266366</v>
      </c>
      <c r="AR218" s="69">
        <f>+AR215+AR216+AR217</f>
        <v>201.06997742663663</v>
      </c>
      <c r="AS218" s="69">
        <f>AS184/AS44*90</f>
        <v>185.51914468251556</v>
      </c>
      <c r="AT218" s="69">
        <f>+AT215+AT216+AT217</f>
        <v>185.51914468251556</v>
      </c>
      <c r="AU218" s="69">
        <f>AU184/AU44*90</f>
        <v>201.30927989605721</v>
      </c>
      <c r="AV218" s="69">
        <f>+AV215+AV216+AV217</f>
        <v>201.30927989605721</v>
      </c>
      <c r="AW218" s="69">
        <f>AW184/AW44*90</f>
        <v>166.18510158013544</v>
      </c>
      <c r="AX218" s="69">
        <f>+AX215+AX216+AX217</f>
        <v>166.18510158013544</v>
      </c>
      <c r="AY218" s="69">
        <f>AY184/AY44*90</f>
        <v>173.61354618436835</v>
      </c>
      <c r="AZ218" s="69">
        <f>+AZ215+AZ216+AZ217</f>
        <v>173.61354618436832</v>
      </c>
      <c r="BA218" s="69">
        <f>BA184/BA44*90</f>
        <v>164.67827516628054</v>
      </c>
      <c r="BB218" s="69">
        <f>+BB215+BB216+BB217</f>
        <v>164.67827516628054</v>
      </c>
      <c r="BC218" s="69">
        <f>BC184/BC44*90</f>
        <v>222.09950694755719</v>
      </c>
      <c r="BD218" s="69">
        <f>+BD215+BD216+BD217</f>
        <v>222.09950694755719</v>
      </c>
      <c r="BE218" s="69">
        <f>BE184/BE44*90</f>
        <v>166.56307129798904</v>
      </c>
      <c r="BF218" s="69">
        <f>+BF215+BF216+BF217</f>
        <v>166.56307129798904</v>
      </c>
      <c r="BG218" s="69">
        <f>BG184/BG44*90</f>
        <v>213.78548895899053</v>
      </c>
      <c r="BH218" s="69">
        <f>+BH215+BH216+BH217</f>
        <v>213.78548895899053</v>
      </c>
      <c r="BI218" s="69">
        <f>BI184/BI44*90</f>
        <v>186.88113098672821</v>
      </c>
      <c r="BJ218" s="69">
        <f>+BJ215+BJ216+BJ217</f>
        <v>186.88113098672821</v>
      </c>
      <c r="BK218" s="69">
        <f>BK184/BK44*90</f>
        <v>213.96620278330022</v>
      </c>
      <c r="BL218" s="69">
        <f>+BL215+BL216+BL217</f>
        <v>213.96620278330022</v>
      </c>
      <c r="BM218" s="69">
        <f>BM184/BM44*90</f>
        <v>197.06528189910978</v>
      </c>
      <c r="BN218" s="69">
        <f>+BN215+BN216+BN217</f>
        <v>197.06528189910978</v>
      </c>
      <c r="BO218" s="69">
        <f>BO184/BO44*90</f>
        <v>283.36226587482867</v>
      </c>
      <c r="BP218" s="69">
        <f>+BP215+BP216+BP217</f>
        <v>283.36226587482872</v>
      </c>
      <c r="BQ218" s="69">
        <f>BQ184/BQ44*90</f>
        <v>183.06569343065692</v>
      </c>
      <c r="BR218" s="69">
        <f>+BR215+BR216+BR217</f>
        <v>183.06569343065695</v>
      </c>
      <c r="BS218" s="69">
        <f>BS184/BS44*90</f>
        <v>224.97029702970295</v>
      </c>
      <c r="BT218" s="69">
        <f>+BT215+BT216+BT217</f>
        <v>224.97029702970295</v>
      </c>
      <c r="BU218" s="69">
        <f>BU184/BU44*90</f>
        <v>173.58299595141699</v>
      </c>
      <c r="BV218" s="69">
        <f>+BV215+BV216+BV217</f>
        <v>173.58299595141699</v>
      </c>
      <c r="BW218" s="69">
        <f>BW184/BW44*90</f>
        <v>191.74174843889389</v>
      </c>
      <c r="BX218" s="69">
        <f>+BX215+BX216+BX217</f>
        <v>191.74174843889389</v>
      </c>
      <c r="BY218" s="69">
        <f>BY184/BY44*90</f>
        <v>195.80060998856268</v>
      </c>
      <c r="BZ218" s="69">
        <f>+BZ215+BZ216+BZ217</f>
        <v>195.80060998856266</v>
      </c>
      <c r="CA218" s="69">
        <f>CA184/CA44*90</f>
        <v>192.55707762557077</v>
      </c>
      <c r="CB218" s="69">
        <f>+CB215+CB216+CB217</f>
        <v>192.55707762557074</v>
      </c>
      <c r="CC218" s="69">
        <f>CC184/CC44*90</f>
        <v>192.24692997012943</v>
      </c>
      <c r="CD218" s="69">
        <f>+CD215+CD216+CD217</f>
        <v>192.24692997012943</v>
      </c>
      <c r="CE218" s="69">
        <f>CE184/CE44*90</f>
        <v>187.13312693498452</v>
      </c>
      <c r="CF218" s="69">
        <f>+CF215+CF216+CF217</f>
        <v>187.13312693498449</v>
      </c>
      <c r="CG218" s="69">
        <f>CG184/CG44*90</f>
        <v>178.8616189427313</v>
      </c>
      <c r="CH218" s="69">
        <f>+CH215+CH216+CH217</f>
        <v>178.8616189427313</v>
      </c>
      <c r="CI218" s="69">
        <f>CI184/CI44*90</f>
        <v>219.83650817459127</v>
      </c>
      <c r="CJ218" s="69">
        <f>+CJ215+CJ216+CJ217</f>
        <v>219.83650817459127</v>
      </c>
      <c r="CK218" s="69">
        <f>CK184/CK44*90</f>
        <v>216.08035714285711</v>
      </c>
      <c r="CL218" s="69">
        <f>+CL215+CL216+CL217</f>
        <v>216.08035714285711</v>
      </c>
      <c r="CM218" s="49">
        <f t="shared" ref="CM218:DA218" si="1857">CM215+CM216+CM217</f>
        <v>216.08035714285711</v>
      </c>
      <c r="CN218" s="49">
        <f t="shared" si="1857"/>
        <v>216.08035714285711</v>
      </c>
      <c r="CO218" s="49">
        <f t="shared" si="1857"/>
        <v>216.08035714285711</v>
      </c>
      <c r="CP218" s="49">
        <f t="shared" si="1857"/>
        <v>216.08035714285711</v>
      </c>
      <c r="CQ218" s="49">
        <f t="shared" si="1857"/>
        <v>216.08035714285711</v>
      </c>
      <c r="CR218" s="49">
        <f t="shared" si="1857"/>
        <v>216.08035714285711</v>
      </c>
      <c r="CS218" s="49">
        <f t="shared" si="1857"/>
        <v>216.08035714285711</v>
      </c>
      <c r="CT218" s="49">
        <f t="shared" si="1857"/>
        <v>216.08035714285711</v>
      </c>
      <c r="CU218" s="49">
        <f t="shared" si="1857"/>
        <v>216.08035714285711</v>
      </c>
      <c r="CV218" s="49">
        <f t="shared" si="1857"/>
        <v>216.08035714285711</v>
      </c>
      <c r="CW218" s="49">
        <f t="shared" si="1857"/>
        <v>216.08035714285711</v>
      </c>
      <c r="CX218" s="49">
        <f t="shared" si="1857"/>
        <v>216.08035714285711</v>
      </c>
      <c r="CY218" s="49">
        <f t="shared" si="1857"/>
        <v>216.08035714285711</v>
      </c>
      <c r="CZ218" s="49">
        <f t="shared" si="1857"/>
        <v>216.08035714285711</v>
      </c>
      <c r="DA218" s="49">
        <f t="shared" si="1857"/>
        <v>216.08035714285711</v>
      </c>
      <c r="DD218" s="137"/>
      <c r="DE218" s="7">
        <v>254.86497013762661</v>
      </c>
    </row>
    <row r="219" spans="1:109" s="61" customFormat="1" outlineLevel="1" x14ac:dyDescent="0.2">
      <c r="A219" s="67" t="s">
        <v>468</v>
      </c>
      <c r="B219" s="66">
        <f t="shared" ref="B219:AE219" si="1858">B189/B44*365</f>
        <v>71.682488917070586</v>
      </c>
      <c r="C219" s="66">
        <f t="shared" si="1858"/>
        <v>69.634723156781703</v>
      </c>
      <c r="D219" s="66">
        <f t="shared" si="1858"/>
        <v>70.641590956171768</v>
      </c>
      <c r="E219" s="66">
        <f t="shared" si="1858"/>
        <v>71.73656676951876</v>
      </c>
      <c r="F219" s="66">
        <f t="shared" si="1858"/>
        <v>67.169475557416533</v>
      </c>
      <c r="G219" s="66">
        <f t="shared" si="1858"/>
        <v>59.93664486404937</v>
      </c>
      <c r="H219" s="66">
        <f t="shared" si="1858"/>
        <v>71.708072094346818</v>
      </c>
      <c r="I219" s="66">
        <f t="shared" si="1858"/>
        <v>72.400426686394468</v>
      </c>
      <c r="J219" s="66">
        <f t="shared" si="1858"/>
        <v>68.788384298683752</v>
      </c>
      <c r="K219" s="66">
        <f t="shared" si="1858"/>
        <v>77.386973961749405</v>
      </c>
      <c r="L219" s="66">
        <f t="shared" si="1858"/>
        <v>81.446673961704633</v>
      </c>
      <c r="M219" s="66">
        <f t="shared" si="1858"/>
        <v>59.413196543217943</v>
      </c>
      <c r="N219" s="66">
        <f t="shared" si="1858"/>
        <v>53.675879508974688</v>
      </c>
      <c r="O219" s="66">
        <f t="shared" si="1858"/>
        <v>60.225338806110599</v>
      </c>
      <c r="P219" s="66">
        <f t="shared" si="1858"/>
        <v>65.828517327063722</v>
      </c>
      <c r="Q219" s="66">
        <f t="shared" si="1858"/>
        <v>64.648613095695083</v>
      </c>
      <c r="R219" s="66">
        <f t="shared" si="1858"/>
        <v>62.50475310557065</v>
      </c>
      <c r="S219" s="66">
        <f t="shared" si="1858"/>
        <v>66.942167476401792</v>
      </c>
      <c r="T219" s="66">
        <f t="shared" si="1858"/>
        <v>72.698066722411994</v>
      </c>
      <c r="U219" s="66">
        <f t="shared" si="1858"/>
        <v>65.05632145011549</v>
      </c>
      <c r="V219" s="66">
        <f t="shared" si="1858"/>
        <v>77.150184293466637</v>
      </c>
      <c r="W219" s="66">
        <f t="shared" si="1858"/>
        <v>66.135102663926702</v>
      </c>
      <c r="X219" s="66">
        <f t="shared" si="1858"/>
        <v>61.900538720938449</v>
      </c>
      <c r="Y219" s="66">
        <f t="shared" si="1858"/>
        <v>54.39805407498875</v>
      </c>
      <c r="Z219" s="66">
        <f t="shared" si="1858"/>
        <v>52.289473937619768</v>
      </c>
      <c r="AA219" s="66">
        <f t="shared" ref="AA219" si="1859">AA189/AA44*365</f>
        <v>58.524891710028058</v>
      </c>
      <c r="AB219" s="17">
        <f t="shared" si="1858"/>
        <v>57.461206429758072</v>
      </c>
      <c r="AC219" s="17">
        <f t="shared" si="1858"/>
        <v>55.768385776724706</v>
      </c>
      <c r="AD219" s="17">
        <f t="shared" si="1858"/>
        <v>55.790177773091209</v>
      </c>
      <c r="AE219" s="17">
        <f t="shared" si="1858"/>
        <v>55.795652245725698</v>
      </c>
      <c r="AI219" s="66">
        <f>AI189/AI44*90</f>
        <v>0</v>
      </c>
      <c r="AJ219" s="66">
        <f t="shared" si="1816"/>
        <v>0</v>
      </c>
      <c r="AK219" s="66">
        <f>AK189/AK44*90</f>
        <v>0</v>
      </c>
      <c r="AL219" s="66">
        <f t="shared" si="1816"/>
        <v>0</v>
      </c>
      <c r="AM219" s="66">
        <f>AM189/AM44*90</f>
        <v>49.010859543079604</v>
      </c>
      <c r="AN219" s="66">
        <f t="shared" si="1816"/>
        <v>49.010859543079604</v>
      </c>
      <c r="AO219" s="66">
        <f>AO189/AO44*90</f>
        <v>64.140260310835302</v>
      </c>
      <c r="AP219" s="66">
        <f t="shared" si="1816"/>
        <v>64.140260310835302</v>
      </c>
      <c r="AQ219" s="66">
        <f>AQ189/AQ44*90</f>
        <v>62.07674943566591</v>
      </c>
      <c r="AR219" s="66">
        <f t="shared" si="1816"/>
        <v>62.07674943566591</v>
      </c>
      <c r="AS219" s="66">
        <f>AS189/AS44*90</f>
        <v>60.127776087617889</v>
      </c>
      <c r="AT219" s="66">
        <f t="shared" si="1816"/>
        <v>60.127776087617889</v>
      </c>
      <c r="AU219" s="66">
        <f>AU189/AU44*90</f>
        <v>61.849982509619721</v>
      </c>
      <c r="AV219" s="66">
        <f t="shared" si="1816"/>
        <v>61.849982509619721</v>
      </c>
      <c r="AW219" s="66">
        <f>AW189/AW44*90</f>
        <v>57.091729940488406</v>
      </c>
      <c r="AX219" s="66">
        <f t="shared" si="1816"/>
        <v>57.091729940488406</v>
      </c>
      <c r="AY219" s="66">
        <f>AY189/AY44*90</f>
        <v>62.647873027590663</v>
      </c>
      <c r="AZ219" s="66">
        <f t="shared" si="1816"/>
        <v>62.647873027590663</v>
      </c>
      <c r="BA219" s="66">
        <f>BA189/BA44*90</f>
        <v>50.67334279949182</v>
      </c>
      <c r="BB219" s="66">
        <f t="shared" si="1816"/>
        <v>50.67334279949182</v>
      </c>
      <c r="BC219" s="66">
        <f>BC189/BC44*90</f>
        <v>81.044374719856577</v>
      </c>
      <c r="BD219" s="66">
        <f t="shared" si="1816"/>
        <v>81.044374719856577</v>
      </c>
      <c r="BE219" s="66">
        <f>BE189/BE44*90</f>
        <v>48.756855575868379</v>
      </c>
      <c r="BF219" s="66">
        <f t="shared" si="1816"/>
        <v>48.756855575868379</v>
      </c>
      <c r="BG219" s="66">
        <f>BG189/BG44*90</f>
        <v>65.548107255520506</v>
      </c>
      <c r="BH219" s="66">
        <f t="shared" si="1816"/>
        <v>65.548107255520506</v>
      </c>
      <c r="BI219" s="66">
        <f>BI189/BI44*90</f>
        <v>56.529140219272932</v>
      </c>
      <c r="BJ219" s="66">
        <f t="shared" si="1816"/>
        <v>56.529140219272932</v>
      </c>
      <c r="BK219" s="66">
        <f>BK189/BK44*90</f>
        <v>73.33001988071571</v>
      </c>
      <c r="BL219" s="66">
        <f t="shared" si="1816"/>
        <v>73.33001988071571</v>
      </c>
      <c r="BM219" s="66">
        <f>BM189/BM44*90</f>
        <v>64.709198813056375</v>
      </c>
      <c r="BN219" s="66">
        <f t="shared" si="1816"/>
        <v>64.709198813056375</v>
      </c>
      <c r="BO219" s="66">
        <f>BO189/BO44*90</f>
        <v>102.4166285975331</v>
      </c>
      <c r="BP219" s="66">
        <f t="shared" si="1816"/>
        <v>102.4166285975331</v>
      </c>
      <c r="BQ219" s="66">
        <f>BQ189/BQ44*90</f>
        <v>63.941605839416063</v>
      </c>
      <c r="BR219" s="66">
        <f t="shared" si="1816"/>
        <v>63.941605839416063</v>
      </c>
      <c r="BS219" s="66">
        <f>BS189/BS44*90</f>
        <v>74.376237623762378</v>
      </c>
      <c r="BT219" s="66">
        <f t="shared" si="1816"/>
        <v>74.376237623762378</v>
      </c>
      <c r="BU219" s="66">
        <f>BU189/BU44*90</f>
        <v>56.518218623481772</v>
      </c>
      <c r="BV219" s="66">
        <f t="shared" si="1816"/>
        <v>56.518218623481772</v>
      </c>
      <c r="BW219" s="66">
        <f>BW189/BW44*90</f>
        <v>60.595450490633368</v>
      </c>
      <c r="BX219" s="66">
        <f t="shared" si="1816"/>
        <v>60.595450490633368</v>
      </c>
      <c r="BY219" s="66">
        <f>BY189/BY44*90</f>
        <v>53.921082729698824</v>
      </c>
      <c r="BZ219" s="66">
        <f t="shared" si="1816"/>
        <v>53.921082729698824</v>
      </c>
      <c r="CA219" s="66">
        <f>CA189/CA44*90</f>
        <v>60.31963470319635</v>
      </c>
      <c r="CB219" s="66">
        <f t="shared" si="1816"/>
        <v>60.31963470319635</v>
      </c>
      <c r="CC219" s="66">
        <f>CC189/CC44*90</f>
        <v>51.272817789578497</v>
      </c>
      <c r="CD219" s="66">
        <f t="shared" si="1816"/>
        <v>51.272817789578497</v>
      </c>
      <c r="CE219" s="66">
        <f>CE189/CE44*90</f>
        <v>50.544891640866879</v>
      </c>
      <c r="CF219" s="66">
        <f t="shared" si="1816"/>
        <v>50.544891640866879</v>
      </c>
      <c r="CG219" s="66">
        <f>CG189/CG44*90</f>
        <v>46.081015969162998</v>
      </c>
      <c r="CH219" s="66">
        <f t="shared" si="1816"/>
        <v>46.081015969162998</v>
      </c>
      <c r="CI219" s="66">
        <f>CI189/CI44*90</f>
        <v>57.493625318734054</v>
      </c>
      <c r="CJ219" s="66">
        <f t="shared" si="1816"/>
        <v>57.493625318734054</v>
      </c>
      <c r="CK219" s="66">
        <f>CK189/CK44*90</f>
        <v>50.65943877551021</v>
      </c>
      <c r="CL219" s="66">
        <f t="shared" si="1816"/>
        <v>50.65943877551021</v>
      </c>
      <c r="CM219" s="29">
        <f t="shared" ref="CM219" si="1860">+CL219</f>
        <v>50.65943877551021</v>
      </c>
      <c r="CN219" s="29">
        <f t="shared" ref="CN219" si="1861">+CM219</f>
        <v>50.65943877551021</v>
      </c>
      <c r="CO219" s="29">
        <f t="shared" ref="CO219" si="1862">+CN219</f>
        <v>50.65943877551021</v>
      </c>
      <c r="CP219" s="29">
        <f t="shared" ref="CP219" si="1863">+CO219</f>
        <v>50.65943877551021</v>
      </c>
      <c r="CQ219" s="29">
        <f t="shared" ref="CQ219" si="1864">+CP219</f>
        <v>50.65943877551021</v>
      </c>
      <c r="CR219" s="29">
        <f t="shared" ref="CR219" si="1865">+CQ219</f>
        <v>50.65943877551021</v>
      </c>
      <c r="CS219" s="29">
        <f t="shared" ref="CS219" si="1866">+CR219</f>
        <v>50.65943877551021</v>
      </c>
      <c r="CT219" s="29">
        <f t="shared" ref="CT219" si="1867">+CS219</f>
        <v>50.65943877551021</v>
      </c>
      <c r="CU219" s="29">
        <f t="shared" ref="CU219" si="1868">+CT219</f>
        <v>50.65943877551021</v>
      </c>
      <c r="CV219" s="29">
        <f t="shared" ref="CV219" si="1869">+CU219</f>
        <v>50.65943877551021</v>
      </c>
      <c r="CW219" s="29">
        <f t="shared" ref="CW219" si="1870">+CV219</f>
        <v>50.65943877551021</v>
      </c>
      <c r="CX219" s="29">
        <f t="shared" ref="CX219" si="1871">+CW219</f>
        <v>50.65943877551021</v>
      </c>
      <c r="CY219" s="29">
        <f t="shared" ref="CY219" si="1872">+CX219</f>
        <v>50.65943877551021</v>
      </c>
      <c r="CZ219" s="29">
        <f t="shared" ref="CZ219" si="1873">+CY219</f>
        <v>50.65943877551021</v>
      </c>
      <c r="DA219" s="29">
        <f t="shared" ref="DA219" si="1874">+CZ219</f>
        <v>50.65943877551021</v>
      </c>
      <c r="DD219" s="138"/>
      <c r="DE219" s="61">
        <v>59.752383425455356</v>
      </c>
    </row>
    <row r="220" spans="1:109" s="61" customFormat="1" outlineLevel="1" x14ac:dyDescent="0.2">
      <c r="A220" s="67" t="s">
        <v>466</v>
      </c>
      <c r="B220" s="66">
        <f>B221-B219</f>
        <v>37.286267517783344</v>
      </c>
      <c r="C220" s="66">
        <f t="shared" ref="C220:V220" si="1875">C221-C219</f>
        <v>37.351362587715073</v>
      </c>
      <c r="D220" s="66">
        <f t="shared" si="1875"/>
        <v>32.539581545381893</v>
      </c>
      <c r="E220" s="66">
        <f t="shared" si="1875"/>
        <v>34.161579229712714</v>
      </c>
      <c r="F220" s="66">
        <f t="shared" si="1875"/>
        <v>34.089016088103747</v>
      </c>
      <c r="G220" s="66">
        <f t="shared" si="1875"/>
        <v>33.09123184829663</v>
      </c>
      <c r="H220" s="66">
        <f t="shared" si="1875"/>
        <v>33.219668490291525</v>
      </c>
      <c r="I220" s="66">
        <f t="shared" si="1875"/>
        <v>40.511460448876278</v>
      </c>
      <c r="J220" s="66">
        <f t="shared" si="1875"/>
        <v>33.575573918161282</v>
      </c>
      <c r="K220" s="66">
        <f t="shared" si="1875"/>
        <v>44.406264489815186</v>
      </c>
      <c r="L220" s="66">
        <f t="shared" si="1875"/>
        <v>48.83308566581006</v>
      </c>
      <c r="M220" s="66">
        <f t="shared" si="1875"/>
        <v>58.472452432804012</v>
      </c>
      <c r="N220" s="66">
        <f t="shared" si="1875"/>
        <v>75.272649093092369</v>
      </c>
      <c r="O220" s="66">
        <f t="shared" si="1875"/>
        <v>71.680234169762898</v>
      </c>
      <c r="P220" s="66">
        <f t="shared" si="1875"/>
        <v>76.387561211967622</v>
      </c>
      <c r="Q220" s="66">
        <f t="shared" si="1875"/>
        <v>80.287962974633899</v>
      </c>
      <c r="R220" s="66">
        <f t="shared" si="1875"/>
        <v>70.485839552429638</v>
      </c>
      <c r="S220" s="66">
        <f t="shared" si="1875"/>
        <v>66.417213568883895</v>
      </c>
      <c r="T220" s="66">
        <f t="shared" si="1875"/>
        <v>77.153268878548971</v>
      </c>
      <c r="U220" s="66">
        <f t="shared" si="1875"/>
        <v>81.852325393205547</v>
      </c>
      <c r="V220" s="66">
        <f t="shared" si="1875"/>
        <v>95.955615118660532</v>
      </c>
      <c r="W220" s="66">
        <f t="shared" ref="W220" si="1876">W221-W219</f>
        <v>75.665115165078859</v>
      </c>
      <c r="X220" s="66">
        <f t="shared" ref="X220:Y220" si="1877">X221-X219</f>
        <v>72.118056136416271</v>
      </c>
      <c r="Y220" s="66">
        <f t="shared" si="1877"/>
        <v>66.408081984324241</v>
      </c>
      <c r="Z220" s="66">
        <f t="shared" ref="Z220:AA220" si="1878">Z221-Z219</f>
        <v>68.674704132040404</v>
      </c>
      <c r="AA220" s="66">
        <f t="shared" ref="AA220" si="1879">AA221-AA219</f>
        <v>89.146827580570445</v>
      </c>
      <c r="AB220" s="17">
        <f t="shared" ref="AB220:AD220" si="1880">AB221-AB219</f>
        <v>87.56551399051051</v>
      </c>
      <c r="AC220" s="17">
        <f t="shared" si="1880"/>
        <v>84.985813357913855</v>
      </c>
      <c r="AD220" s="17">
        <f t="shared" si="1880"/>
        <v>85.019022325864114</v>
      </c>
      <c r="AE220" s="17">
        <f t="shared" ref="AE220" si="1881">AE221-AE219</f>
        <v>85.027364911059436</v>
      </c>
      <c r="AI220" s="66">
        <f t="shared" ref="AI220:AK220" si="1882">AI221-AI219</f>
        <v>114.75984630163305</v>
      </c>
      <c r="AJ220" s="66">
        <f t="shared" si="1816"/>
        <v>114.75984630163305</v>
      </c>
      <c r="AK220" s="66">
        <f t="shared" si="1882"/>
        <v>0</v>
      </c>
      <c r="AL220" s="66">
        <f t="shared" si="1816"/>
        <v>0</v>
      </c>
      <c r="AM220" s="66">
        <f t="shared" ref="AM220:AO220" si="1883">AM221-AM219</f>
        <v>61.983915582419854</v>
      </c>
      <c r="AN220" s="66">
        <f t="shared" si="1816"/>
        <v>61.983915582419854</v>
      </c>
      <c r="AO220" s="66">
        <f t="shared" si="1883"/>
        <v>76.33368114668572</v>
      </c>
      <c r="AP220" s="66">
        <f t="shared" si="1816"/>
        <v>76.33368114668572</v>
      </c>
      <c r="AQ220" s="66">
        <f t="shared" ref="AQ220:BA220" si="1884">AQ221-AQ219</f>
        <v>66.099322799097081</v>
      </c>
      <c r="AR220" s="66">
        <f t="shared" si="1816"/>
        <v>66.099322799097081</v>
      </c>
      <c r="AS220" s="66">
        <f t="shared" si="1884"/>
        <v>69.773566865139713</v>
      </c>
      <c r="AT220" s="66">
        <f t="shared" si="1816"/>
        <v>69.773566865139713</v>
      </c>
      <c r="AU220" s="66">
        <f t="shared" si="1884"/>
        <v>67.7732247264005</v>
      </c>
      <c r="AV220" s="66">
        <f t="shared" si="1816"/>
        <v>67.7732247264005</v>
      </c>
      <c r="AW220" s="66">
        <f t="shared" si="1884"/>
        <v>70.910322183459883</v>
      </c>
      <c r="AX220" s="66">
        <f t="shared" si="1816"/>
        <v>70.910322183459883</v>
      </c>
      <c r="AY220" s="66">
        <f t="shared" si="1884"/>
        <v>64.375288363938338</v>
      </c>
      <c r="AZ220" s="66">
        <f t="shared" si="1816"/>
        <v>64.375288363938338</v>
      </c>
      <c r="BA220" s="66">
        <f t="shared" si="1884"/>
        <v>57.147074209700307</v>
      </c>
      <c r="BB220" s="66">
        <f t="shared" si="1816"/>
        <v>57.147074209700307</v>
      </c>
      <c r="BC220" s="66">
        <f t="shared" ref="BC220:BE220" si="1885">BC221-BC219</f>
        <v>57.102196324518147</v>
      </c>
      <c r="BD220" s="66">
        <f t="shared" si="1816"/>
        <v>57.102196324518147</v>
      </c>
      <c r="BE220" s="66">
        <f t="shared" si="1885"/>
        <v>48.37294332723949</v>
      </c>
      <c r="BF220" s="66">
        <f t="shared" si="1816"/>
        <v>48.37294332723949</v>
      </c>
      <c r="BG220" s="66">
        <f t="shared" ref="BG220:BI220" si="1886">BG221-BG219</f>
        <v>57.314668769716079</v>
      </c>
      <c r="BH220" s="66">
        <f t="shared" si="1816"/>
        <v>57.314668769716079</v>
      </c>
      <c r="BI220" s="66">
        <f t="shared" si="1886"/>
        <v>60.008655510675126</v>
      </c>
      <c r="BJ220" s="66">
        <f t="shared" si="1816"/>
        <v>60.008655510675126</v>
      </c>
      <c r="BK220" s="66">
        <f t="shared" ref="BK220:BM220" si="1887">BK221-BK219</f>
        <v>71.212723658051672</v>
      </c>
      <c r="BL220" s="66">
        <f t="shared" si="1816"/>
        <v>71.212723658051672</v>
      </c>
      <c r="BM220" s="66">
        <f t="shared" si="1887"/>
        <v>81.400593471810097</v>
      </c>
      <c r="BN220" s="66">
        <f t="shared" si="1816"/>
        <v>81.400593471810097</v>
      </c>
      <c r="BO220" s="66">
        <f t="shared" ref="BO220:BQ220" si="1888">BO221-BO219</f>
        <v>107.02147099132026</v>
      </c>
      <c r="BP220" s="66">
        <f t="shared" si="1816"/>
        <v>107.02147099132026</v>
      </c>
      <c r="BQ220" s="66">
        <f t="shared" si="1888"/>
        <v>79.513381995133784</v>
      </c>
      <c r="BR220" s="66">
        <f t="shared" si="1816"/>
        <v>79.513381995133784</v>
      </c>
      <c r="BS220" s="66">
        <f t="shared" ref="BS220:BU220" si="1889">BS221-BS219</f>
        <v>91.871287128712893</v>
      </c>
      <c r="BT220" s="66">
        <f t="shared" si="1816"/>
        <v>91.871287128712893</v>
      </c>
      <c r="BU220" s="66">
        <f t="shared" si="1889"/>
        <v>64.655870445344135</v>
      </c>
      <c r="BV220" s="66">
        <f t="shared" si="1816"/>
        <v>64.655870445344135</v>
      </c>
      <c r="BW220" s="66">
        <f t="shared" ref="BW220:BY220" si="1890">BW221-BW219</f>
        <v>53.791257805530776</v>
      </c>
      <c r="BX220" s="66">
        <f t="shared" si="1816"/>
        <v>53.791257805530776</v>
      </c>
      <c r="BY220" s="66">
        <f t="shared" si="1890"/>
        <v>62.825009531071274</v>
      </c>
      <c r="BZ220" s="66">
        <f t="shared" si="1816"/>
        <v>62.825009531071274</v>
      </c>
      <c r="CA220" s="66">
        <f t="shared" ref="CA220:CC220" si="1891">CA221-CA219</f>
        <v>57.473363774733649</v>
      </c>
      <c r="CB220" s="66">
        <f t="shared" si="1816"/>
        <v>57.473363774733649</v>
      </c>
      <c r="CC220" s="66">
        <f t="shared" si="1891"/>
        <v>62.578825091271156</v>
      </c>
      <c r="CD220" s="66">
        <f t="shared" si="1816"/>
        <v>62.578825091271156</v>
      </c>
      <c r="CE220" s="66">
        <f t="shared" ref="CE220" si="1892">CE221-CE219</f>
        <v>72.055727554179555</v>
      </c>
      <c r="CF220" s="66">
        <f t="shared" si="1816"/>
        <v>72.055727554179555</v>
      </c>
      <c r="CG220" s="66">
        <f t="shared" ref="CG220" si="1893">CG221-CG219</f>
        <v>60.520787444933923</v>
      </c>
      <c r="CH220" s="66">
        <f t="shared" si="1816"/>
        <v>60.520787444933923</v>
      </c>
      <c r="CI220" s="66">
        <f t="shared" ref="CI220:CK220" si="1894">CI221-CI219</f>
        <v>73.409329533523334</v>
      </c>
      <c r="CJ220" s="66">
        <f t="shared" si="1816"/>
        <v>73.409329533523334</v>
      </c>
      <c r="CK220" s="66">
        <f t="shared" si="1894"/>
        <v>77.200255102040828</v>
      </c>
      <c r="CL220" s="66">
        <f t="shared" si="1816"/>
        <v>77.200255102040828</v>
      </c>
      <c r="CM220" s="29">
        <f t="shared" ref="CM220:DA220" si="1895">CL220</f>
        <v>77.200255102040828</v>
      </c>
      <c r="CN220" s="29">
        <f t="shared" si="1895"/>
        <v>77.200255102040828</v>
      </c>
      <c r="CO220" s="29">
        <f t="shared" si="1895"/>
        <v>77.200255102040828</v>
      </c>
      <c r="CP220" s="29">
        <f t="shared" si="1895"/>
        <v>77.200255102040828</v>
      </c>
      <c r="CQ220" s="29">
        <f t="shared" si="1895"/>
        <v>77.200255102040828</v>
      </c>
      <c r="CR220" s="29">
        <f t="shared" si="1895"/>
        <v>77.200255102040828</v>
      </c>
      <c r="CS220" s="29">
        <f t="shared" si="1895"/>
        <v>77.200255102040828</v>
      </c>
      <c r="CT220" s="29">
        <f t="shared" si="1895"/>
        <v>77.200255102040828</v>
      </c>
      <c r="CU220" s="29">
        <f t="shared" si="1895"/>
        <v>77.200255102040828</v>
      </c>
      <c r="CV220" s="29">
        <f t="shared" si="1895"/>
        <v>77.200255102040828</v>
      </c>
      <c r="CW220" s="29">
        <f t="shared" si="1895"/>
        <v>77.200255102040828</v>
      </c>
      <c r="CX220" s="29">
        <f t="shared" si="1895"/>
        <v>77.200255102040828</v>
      </c>
      <c r="CY220" s="29">
        <f t="shared" si="1895"/>
        <v>77.200255102040828</v>
      </c>
      <c r="CZ220" s="29">
        <f t="shared" si="1895"/>
        <v>77.200255102040828</v>
      </c>
      <c r="DA220" s="29">
        <f t="shared" si="1895"/>
        <v>77.200255102040828</v>
      </c>
      <c r="DD220" s="138"/>
      <c r="DE220" s="61">
        <v>91.057053826464426</v>
      </c>
    </row>
    <row r="221" spans="1:109" s="7" customFormat="1" outlineLevel="1" x14ac:dyDescent="0.2">
      <c r="A221" s="68" t="s">
        <v>469</v>
      </c>
      <c r="B221" s="69">
        <f t="shared" ref="B221:AE221" si="1896">B192/B44*365</f>
        <v>108.96875643485393</v>
      </c>
      <c r="C221" s="69">
        <f t="shared" si="1896"/>
        <v>106.98608574449678</v>
      </c>
      <c r="D221" s="69">
        <f t="shared" si="1896"/>
        <v>103.18117250155366</v>
      </c>
      <c r="E221" s="69">
        <f t="shared" si="1896"/>
        <v>105.89814599923147</v>
      </c>
      <c r="F221" s="69">
        <f t="shared" si="1896"/>
        <v>101.25849164552028</v>
      </c>
      <c r="G221" s="69">
        <f t="shared" si="1896"/>
        <v>93.027876712346</v>
      </c>
      <c r="H221" s="69">
        <f t="shared" si="1896"/>
        <v>104.92774058463834</v>
      </c>
      <c r="I221" s="69">
        <f t="shared" si="1896"/>
        <v>112.91188713527075</v>
      </c>
      <c r="J221" s="69">
        <f t="shared" si="1896"/>
        <v>102.36395821684503</v>
      </c>
      <c r="K221" s="69">
        <f t="shared" si="1896"/>
        <v>121.79323845156459</v>
      </c>
      <c r="L221" s="69">
        <f t="shared" si="1896"/>
        <v>130.27975962751469</v>
      </c>
      <c r="M221" s="69">
        <f t="shared" si="1896"/>
        <v>117.88564897602195</v>
      </c>
      <c r="N221" s="69">
        <f t="shared" si="1896"/>
        <v>128.94852860206706</v>
      </c>
      <c r="O221" s="69">
        <f t="shared" si="1896"/>
        <v>131.9055729758735</v>
      </c>
      <c r="P221" s="69">
        <f t="shared" si="1896"/>
        <v>142.21607853903134</v>
      </c>
      <c r="Q221" s="69">
        <f t="shared" si="1896"/>
        <v>144.93657607032898</v>
      </c>
      <c r="R221" s="69">
        <f t="shared" si="1896"/>
        <v>132.99059265800028</v>
      </c>
      <c r="S221" s="69">
        <f t="shared" si="1896"/>
        <v>133.35938104528569</v>
      </c>
      <c r="T221" s="69">
        <f t="shared" si="1896"/>
        <v>149.85133560096097</v>
      </c>
      <c r="U221" s="69">
        <f t="shared" si="1896"/>
        <v>146.90864684332104</v>
      </c>
      <c r="V221" s="69">
        <f t="shared" si="1896"/>
        <v>173.10579941212717</v>
      </c>
      <c r="W221" s="69">
        <f t="shared" si="1896"/>
        <v>141.80021782900556</v>
      </c>
      <c r="X221" s="69">
        <f t="shared" si="1896"/>
        <v>134.01859485735471</v>
      </c>
      <c r="Y221" s="69">
        <f t="shared" si="1896"/>
        <v>120.80613605931299</v>
      </c>
      <c r="Z221" s="69">
        <f t="shared" si="1896"/>
        <v>120.96417806966016</v>
      </c>
      <c r="AA221" s="69">
        <f t="shared" ref="AA221" si="1897">AA192/AA44*365</f>
        <v>147.6717192905985</v>
      </c>
      <c r="AB221" s="70">
        <f t="shared" si="1896"/>
        <v>145.02672042026859</v>
      </c>
      <c r="AC221" s="70">
        <f t="shared" si="1896"/>
        <v>140.75419913463855</v>
      </c>
      <c r="AD221" s="70">
        <f t="shared" si="1896"/>
        <v>140.80920009895533</v>
      </c>
      <c r="AE221" s="70">
        <f t="shared" si="1896"/>
        <v>140.82301715678514</v>
      </c>
      <c r="AI221" s="69">
        <f>AI192/AI44*90</f>
        <v>114.75984630163305</v>
      </c>
      <c r="AJ221" s="69">
        <f>+AJ219+AJ220</f>
        <v>114.75984630163305</v>
      </c>
      <c r="AK221" s="69">
        <f>AK192/AK44*90</f>
        <v>0</v>
      </c>
      <c r="AL221" s="69">
        <f>+AL219+AL220</f>
        <v>0</v>
      </c>
      <c r="AM221" s="69">
        <f>AM192/AM44*90</f>
        <v>110.99477512549946</v>
      </c>
      <c r="AN221" s="69">
        <f>+AN219+AN220</f>
        <v>110.99477512549946</v>
      </c>
      <c r="AO221" s="69">
        <f>AO192/AO44*90</f>
        <v>140.47394145752102</v>
      </c>
      <c r="AP221" s="69">
        <f>+AP219+AP220</f>
        <v>140.47394145752102</v>
      </c>
      <c r="AQ221" s="69">
        <f>AQ192/AQ44*90</f>
        <v>128.17607223476298</v>
      </c>
      <c r="AR221" s="69">
        <f>+AR219+AR220</f>
        <v>128.17607223476298</v>
      </c>
      <c r="AS221" s="69">
        <f>AS192/AS44*90</f>
        <v>129.9013429527576</v>
      </c>
      <c r="AT221" s="69">
        <f>+AT219+AT220</f>
        <v>129.9013429527576</v>
      </c>
      <c r="AU221" s="69">
        <f>AU192/AU44*90</f>
        <v>129.62320723602022</v>
      </c>
      <c r="AV221" s="69">
        <f>+AV219+AV220</f>
        <v>129.62320723602022</v>
      </c>
      <c r="AW221" s="69">
        <f>AW192/AW44*90</f>
        <v>128.00205212394829</v>
      </c>
      <c r="AX221" s="69">
        <f>+AX219+AX220</f>
        <v>128.00205212394829</v>
      </c>
      <c r="AY221" s="69">
        <f>AY192/AY44*90</f>
        <v>127.023161391529</v>
      </c>
      <c r="AZ221" s="69">
        <f>+AZ219+AZ220</f>
        <v>127.023161391529</v>
      </c>
      <c r="BA221" s="69">
        <f>BA192/BA44*90</f>
        <v>107.82041700919213</v>
      </c>
      <c r="BB221" s="69">
        <f>+BB219+BB220</f>
        <v>107.82041700919213</v>
      </c>
      <c r="BC221" s="69">
        <f>BC192/BC44*90</f>
        <v>138.14657104437472</v>
      </c>
      <c r="BD221" s="69">
        <f>+BD219+BD220</f>
        <v>138.14657104437472</v>
      </c>
      <c r="BE221" s="69">
        <f>BE192/BE44*90</f>
        <v>97.129798903107869</v>
      </c>
      <c r="BF221" s="69">
        <f>+BF219+BF220</f>
        <v>97.129798903107869</v>
      </c>
      <c r="BG221" s="69">
        <f>BG192/BG44*90</f>
        <v>122.86277602523658</v>
      </c>
      <c r="BH221" s="69">
        <f>+BH219+BH220</f>
        <v>122.86277602523658</v>
      </c>
      <c r="BI221" s="69">
        <f>BI192/BI44*90</f>
        <v>116.53779572994806</v>
      </c>
      <c r="BJ221" s="69">
        <f>+BJ219+BJ220</f>
        <v>116.53779572994806</v>
      </c>
      <c r="BK221" s="69">
        <f>BK192/BK44*90</f>
        <v>144.54274353876738</v>
      </c>
      <c r="BL221" s="69">
        <f>+BL219+BL220</f>
        <v>144.54274353876738</v>
      </c>
      <c r="BM221" s="69">
        <f>BM192/BM44*90</f>
        <v>146.10979228486647</v>
      </c>
      <c r="BN221" s="69">
        <f>+BN219+BN220</f>
        <v>146.10979228486647</v>
      </c>
      <c r="BO221" s="69">
        <f>BO192/BO44*90</f>
        <v>209.43809958885336</v>
      </c>
      <c r="BP221" s="69">
        <f>+BP219+BP220</f>
        <v>209.43809958885336</v>
      </c>
      <c r="BQ221" s="69">
        <f>BQ192/BQ44*90</f>
        <v>143.45498783454985</v>
      </c>
      <c r="BR221" s="69">
        <f>+BR219+BR220</f>
        <v>143.45498783454985</v>
      </c>
      <c r="BS221" s="69">
        <f>BS192/BS44*90</f>
        <v>166.24752475247527</v>
      </c>
      <c r="BT221" s="69">
        <f>+BT219+BT220</f>
        <v>166.24752475247527</v>
      </c>
      <c r="BU221" s="69">
        <f>BU192/BU44*90</f>
        <v>121.17408906882591</v>
      </c>
      <c r="BV221" s="69">
        <f>+BV219+BV220</f>
        <v>121.17408906882591</v>
      </c>
      <c r="BW221" s="69">
        <f>BW192/BW44*90</f>
        <v>114.38670829616414</v>
      </c>
      <c r="BX221" s="69">
        <f>+BX219+BX220</f>
        <v>114.38670829616414</v>
      </c>
      <c r="BY221" s="69">
        <f>BY192/BY44*90</f>
        <v>116.7460922607701</v>
      </c>
      <c r="BZ221" s="69">
        <f>+BZ219+BZ220</f>
        <v>116.7460922607701</v>
      </c>
      <c r="CA221" s="69">
        <f>CA192/CA44*90</f>
        <v>117.79299847793</v>
      </c>
      <c r="CB221" s="69">
        <f>+CB219+CB220</f>
        <v>117.79299847793</v>
      </c>
      <c r="CC221" s="69">
        <f>CC192/CC44*90</f>
        <v>113.85164288084965</v>
      </c>
      <c r="CD221" s="69">
        <f>+CD219+CD220</f>
        <v>113.85164288084965</v>
      </c>
      <c r="CE221" s="69">
        <f>CE192/CE44*90</f>
        <v>122.60061919504643</v>
      </c>
      <c r="CF221" s="69">
        <f>+CF219+CF220</f>
        <v>122.60061919504643</v>
      </c>
      <c r="CG221" s="69">
        <f>CG192/CG44*90</f>
        <v>106.60180341409692</v>
      </c>
      <c r="CH221" s="69">
        <f>+CH219+CH220</f>
        <v>106.60180341409692</v>
      </c>
      <c r="CI221" s="69">
        <f>CI192/CI44*90</f>
        <v>130.90295485225738</v>
      </c>
      <c r="CJ221" s="69">
        <f>+CJ219+CJ220</f>
        <v>130.90295485225738</v>
      </c>
      <c r="CK221" s="69">
        <f>CK192/CK44*90</f>
        <v>127.85969387755104</v>
      </c>
      <c r="CL221" s="69">
        <f>+CL219+CL220</f>
        <v>127.85969387755104</v>
      </c>
      <c r="CM221" s="49">
        <f t="shared" ref="CM221:DA221" si="1898">CM219+CM220</f>
        <v>127.85969387755104</v>
      </c>
      <c r="CN221" s="49">
        <f t="shared" si="1898"/>
        <v>127.85969387755104</v>
      </c>
      <c r="CO221" s="49">
        <f t="shared" si="1898"/>
        <v>127.85969387755104</v>
      </c>
      <c r="CP221" s="49">
        <f t="shared" si="1898"/>
        <v>127.85969387755104</v>
      </c>
      <c r="CQ221" s="49">
        <f t="shared" si="1898"/>
        <v>127.85969387755104</v>
      </c>
      <c r="CR221" s="49">
        <f t="shared" si="1898"/>
        <v>127.85969387755104</v>
      </c>
      <c r="CS221" s="49">
        <f t="shared" si="1898"/>
        <v>127.85969387755104</v>
      </c>
      <c r="CT221" s="49">
        <f t="shared" si="1898"/>
        <v>127.85969387755104</v>
      </c>
      <c r="CU221" s="49">
        <f t="shared" si="1898"/>
        <v>127.85969387755104</v>
      </c>
      <c r="CV221" s="49">
        <f t="shared" si="1898"/>
        <v>127.85969387755104</v>
      </c>
      <c r="CW221" s="49">
        <f t="shared" si="1898"/>
        <v>127.85969387755104</v>
      </c>
      <c r="CX221" s="49">
        <f t="shared" si="1898"/>
        <v>127.85969387755104</v>
      </c>
      <c r="CY221" s="49">
        <f t="shared" si="1898"/>
        <v>127.85969387755104</v>
      </c>
      <c r="CZ221" s="49">
        <f t="shared" si="1898"/>
        <v>127.85969387755104</v>
      </c>
      <c r="DA221" s="49">
        <f t="shared" si="1898"/>
        <v>127.85969387755104</v>
      </c>
      <c r="DD221" s="137"/>
      <c r="DE221" s="7">
        <v>150.80943725191977</v>
      </c>
    </row>
    <row r="222" spans="1:109" s="7" customFormat="1" x14ac:dyDescent="0.2">
      <c r="A222" s="68" t="s">
        <v>470</v>
      </c>
      <c r="B222" s="69">
        <f>B218-B221</f>
        <v>120.55061376930726</v>
      </c>
      <c r="C222" s="69">
        <f t="shared" ref="C222:V222" si="1899">C218-C221</f>
        <v>123.43161107372875</v>
      </c>
      <c r="D222" s="69">
        <f t="shared" si="1899"/>
        <v>74.604332514574892</v>
      </c>
      <c r="E222" s="69">
        <f t="shared" si="1899"/>
        <v>66.796428965480487</v>
      </c>
      <c r="F222" s="69">
        <f t="shared" si="1899"/>
        <v>67.72590544463975</v>
      </c>
      <c r="G222" s="69">
        <f t="shared" si="1899"/>
        <v>67.925585338303421</v>
      </c>
      <c r="H222" s="69">
        <f t="shared" si="1899"/>
        <v>59.544898532500923</v>
      </c>
      <c r="I222" s="69">
        <f t="shared" si="1899"/>
        <v>79.637090495362742</v>
      </c>
      <c r="J222" s="69">
        <f t="shared" si="1899"/>
        <v>70.538314235189361</v>
      </c>
      <c r="K222" s="69">
        <f t="shared" si="1899"/>
        <v>47.144461455194786</v>
      </c>
      <c r="L222" s="69">
        <f t="shared" si="1899"/>
        <v>61.350881894848584</v>
      </c>
      <c r="M222" s="69">
        <f t="shared" si="1899"/>
        <v>92.395198857960011</v>
      </c>
      <c r="N222" s="69">
        <f t="shared" si="1899"/>
        <v>69.088608988846516</v>
      </c>
      <c r="O222" s="69">
        <f t="shared" si="1899"/>
        <v>50.656618830727922</v>
      </c>
      <c r="P222" s="69">
        <f t="shared" si="1899"/>
        <v>60.883863270003729</v>
      </c>
      <c r="Q222" s="69">
        <f t="shared" si="1899"/>
        <v>43.228730639086308</v>
      </c>
      <c r="R222" s="69">
        <f t="shared" si="1899"/>
        <v>70.127455960616004</v>
      </c>
      <c r="S222" s="69">
        <f t="shared" si="1899"/>
        <v>95.396250904052323</v>
      </c>
      <c r="T222" s="69">
        <f t="shared" si="1899"/>
        <v>90.474797496217064</v>
      </c>
      <c r="U222" s="69">
        <f t="shared" si="1899"/>
        <v>51.246446805067137</v>
      </c>
      <c r="V222" s="69">
        <f t="shared" si="1899"/>
        <v>40.115394577862588</v>
      </c>
      <c r="W222" s="69">
        <f t="shared" ref="W222" si="1900">W218-W221</f>
        <v>54.877529600988652</v>
      </c>
      <c r="X222" s="69">
        <f t="shared" ref="X222:Y222" si="1901">X218-X221</f>
        <v>85.487258329722238</v>
      </c>
      <c r="Y222" s="69">
        <f t="shared" si="1901"/>
        <v>78.914618621622679</v>
      </c>
      <c r="Z222" s="69">
        <f t="shared" ref="Z222:AA222" si="1902">Z218-Z221</f>
        <v>81.995321964043256</v>
      </c>
      <c r="AA222" s="69">
        <f t="shared" ref="AA222" si="1903">AA218-AA221</f>
        <v>97.377085206273136</v>
      </c>
      <c r="AB222" s="70">
        <f t="shared" ref="AB222:AD222" si="1904">AB218-AB221</f>
        <v>100.06557249324504</v>
      </c>
      <c r="AC222" s="70">
        <f t="shared" si="1904"/>
        <v>97.117617197853889</v>
      </c>
      <c r="AD222" s="70">
        <f t="shared" si="1904"/>
        <v>97.15556677684242</v>
      </c>
      <c r="AE222" s="70">
        <f t="shared" ref="AE222" si="1905">AE218-AE221</f>
        <v>97.165100273827704</v>
      </c>
      <c r="AI222" s="69">
        <f t="shared" ref="AI222:AL222" si="1906">AI218-AI221</f>
        <v>94.615754082612881</v>
      </c>
      <c r="AJ222" s="69">
        <f t="shared" si="1906"/>
        <v>94.615754082612881</v>
      </c>
      <c r="AK222" s="69">
        <f t="shared" si="1906"/>
        <v>0</v>
      </c>
      <c r="AL222" s="69">
        <f t="shared" si="1906"/>
        <v>0</v>
      </c>
      <c r="AM222" s="69">
        <f t="shared" ref="AM222:AP222" si="1907">AM218-AM221</f>
        <v>79.710070689478542</v>
      </c>
      <c r="AN222" s="69">
        <f t="shared" si="1907"/>
        <v>79.710070689478542</v>
      </c>
      <c r="AO222" s="69">
        <f t="shared" si="1907"/>
        <v>53.943654236915791</v>
      </c>
      <c r="AP222" s="69">
        <f t="shared" si="1907"/>
        <v>53.943654236915791</v>
      </c>
      <c r="AQ222" s="69">
        <f t="shared" ref="AQ222:BB222" si="1908">AQ218-AQ221</f>
        <v>72.893905191873614</v>
      </c>
      <c r="AR222" s="69">
        <f t="shared" si="1908"/>
        <v>72.893905191873642</v>
      </c>
      <c r="AS222" s="69">
        <f t="shared" si="1908"/>
        <v>55.617801729757957</v>
      </c>
      <c r="AT222" s="69">
        <f t="shared" si="1908"/>
        <v>55.617801729757957</v>
      </c>
      <c r="AU222" s="69">
        <f t="shared" si="1908"/>
        <v>71.686072660036984</v>
      </c>
      <c r="AV222" s="69">
        <f t="shared" si="1908"/>
        <v>71.686072660036984</v>
      </c>
      <c r="AW222" s="69">
        <f t="shared" si="1908"/>
        <v>38.183049456187149</v>
      </c>
      <c r="AX222" s="69">
        <f t="shared" si="1908"/>
        <v>38.183049456187149</v>
      </c>
      <c r="AY222" s="69">
        <f t="shared" si="1908"/>
        <v>46.590384792839345</v>
      </c>
      <c r="AZ222" s="69">
        <f t="shared" si="1908"/>
        <v>46.590384792839316</v>
      </c>
      <c r="BA222" s="69">
        <f t="shared" si="1908"/>
        <v>56.857858157088415</v>
      </c>
      <c r="BB222" s="69">
        <f t="shared" si="1908"/>
        <v>56.857858157088415</v>
      </c>
      <c r="BC222" s="69">
        <f t="shared" ref="BC222:BF222" si="1909">BC218-BC221</f>
        <v>83.952935903182464</v>
      </c>
      <c r="BD222" s="69">
        <f t="shared" si="1909"/>
        <v>83.952935903182464</v>
      </c>
      <c r="BE222" s="69">
        <f t="shared" si="1909"/>
        <v>69.433272394881172</v>
      </c>
      <c r="BF222" s="69">
        <f t="shared" si="1909"/>
        <v>69.433272394881172</v>
      </c>
      <c r="BG222" s="69">
        <f t="shared" ref="BG222:BJ222" si="1910">BG218-BG221</f>
        <v>90.922712933753942</v>
      </c>
      <c r="BH222" s="69">
        <f t="shared" si="1910"/>
        <v>90.922712933753942</v>
      </c>
      <c r="BI222" s="69">
        <f t="shared" si="1910"/>
        <v>70.343335256780151</v>
      </c>
      <c r="BJ222" s="69">
        <f t="shared" si="1910"/>
        <v>70.343335256780151</v>
      </c>
      <c r="BK222" s="69">
        <f t="shared" ref="BK222:BN222" si="1911">BK218-BK221</f>
        <v>69.423459244532836</v>
      </c>
      <c r="BL222" s="69">
        <f t="shared" si="1911"/>
        <v>69.423459244532836</v>
      </c>
      <c r="BM222" s="69">
        <f t="shared" si="1911"/>
        <v>50.955489614243305</v>
      </c>
      <c r="BN222" s="69">
        <f t="shared" si="1911"/>
        <v>50.955489614243305</v>
      </c>
      <c r="BO222" s="69">
        <f t="shared" ref="BO222:BR222" si="1912">BO218-BO221</f>
        <v>73.924166285975303</v>
      </c>
      <c r="BP222" s="69">
        <f t="shared" si="1912"/>
        <v>73.92416628597536</v>
      </c>
      <c r="BQ222" s="69">
        <f t="shared" si="1912"/>
        <v>39.610705596107067</v>
      </c>
      <c r="BR222" s="69">
        <f t="shared" si="1912"/>
        <v>39.610705596107096</v>
      </c>
      <c r="BS222" s="69">
        <f t="shared" ref="BS222:BV222" si="1913">BS218-BS221</f>
        <v>58.722772277227676</v>
      </c>
      <c r="BT222" s="69">
        <f t="shared" si="1913"/>
        <v>58.722772277227676</v>
      </c>
      <c r="BU222" s="69">
        <f t="shared" si="1913"/>
        <v>52.408906882591083</v>
      </c>
      <c r="BV222" s="69">
        <f t="shared" si="1913"/>
        <v>52.408906882591083</v>
      </c>
      <c r="BW222" s="69">
        <f t="shared" ref="BW222:BZ222" si="1914">BW218-BW221</f>
        <v>77.355040142729749</v>
      </c>
      <c r="BX222" s="69">
        <f t="shared" si="1914"/>
        <v>77.355040142729749</v>
      </c>
      <c r="BY222" s="69">
        <f t="shared" si="1914"/>
        <v>79.054517727792586</v>
      </c>
      <c r="BZ222" s="69">
        <f t="shared" si="1914"/>
        <v>79.054517727792557</v>
      </c>
      <c r="CA222" s="69">
        <f t="shared" ref="CA222:CD222" si="1915">CA218-CA221</f>
        <v>74.764079147640771</v>
      </c>
      <c r="CB222" s="69">
        <f t="shared" si="1915"/>
        <v>74.764079147640743</v>
      </c>
      <c r="CC222" s="69">
        <f t="shared" si="1915"/>
        <v>78.395287089279776</v>
      </c>
      <c r="CD222" s="69">
        <f t="shared" si="1915"/>
        <v>78.395287089279776</v>
      </c>
      <c r="CE222" s="69">
        <f t="shared" ref="CE222:CF222" si="1916">CE218-CE221</f>
        <v>64.532507739938083</v>
      </c>
      <c r="CF222" s="69">
        <f t="shared" si="1916"/>
        <v>64.532507739938055</v>
      </c>
      <c r="CG222" s="69">
        <f t="shared" ref="CG222:CI222" si="1917">CG218-CG221</f>
        <v>72.259815528634377</v>
      </c>
      <c r="CH222" s="69">
        <f t="shared" ref="CH222:CK222" si="1918">CH218-CH221</f>
        <v>72.259815528634377</v>
      </c>
      <c r="CI222" s="69">
        <f t="shared" si="1917"/>
        <v>88.933553322333893</v>
      </c>
      <c r="CJ222" s="69">
        <f t="shared" si="1918"/>
        <v>88.933553322333893</v>
      </c>
      <c r="CK222" s="69">
        <f t="shared" si="1918"/>
        <v>88.220663265306072</v>
      </c>
      <c r="CL222" s="69">
        <f t="shared" ref="CL222" si="1919">CL218-CL221</f>
        <v>88.220663265306072</v>
      </c>
      <c r="CM222" s="49">
        <f t="shared" ref="CM222:DA222" si="1920">CM218-CM221</f>
        <v>88.220663265306072</v>
      </c>
      <c r="CN222" s="49">
        <f t="shared" si="1920"/>
        <v>88.220663265306072</v>
      </c>
      <c r="CO222" s="49">
        <f t="shared" si="1920"/>
        <v>88.220663265306072</v>
      </c>
      <c r="CP222" s="49">
        <f t="shared" si="1920"/>
        <v>88.220663265306072</v>
      </c>
      <c r="CQ222" s="49">
        <f t="shared" si="1920"/>
        <v>88.220663265306072</v>
      </c>
      <c r="CR222" s="49">
        <f t="shared" si="1920"/>
        <v>88.220663265306072</v>
      </c>
      <c r="CS222" s="49">
        <f t="shared" si="1920"/>
        <v>88.220663265306072</v>
      </c>
      <c r="CT222" s="49">
        <f t="shared" si="1920"/>
        <v>88.220663265306072</v>
      </c>
      <c r="CU222" s="49">
        <f t="shared" si="1920"/>
        <v>88.220663265306072</v>
      </c>
      <c r="CV222" s="49">
        <f t="shared" si="1920"/>
        <v>88.220663265306072</v>
      </c>
      <c r="CW222" s="49">
        <f t="shared" si="1920"/>
        <v>88.220663265306072</v>
      </c>
      <c r="CX222" s="49">
        <f t="shared" si="1920"/>
        <v>88.220663265306072</v>
      </c>
      <c r="CY222" s="49">
        <f t="shared" si="1920"/>
        <v>88.220663265306072</v>
      </c>
      <c r="CZ222" s="49">
        <f t="shared" si="1920"/>
        <v>88.220663265306072</v>
      </c>
      <c r="DA222" s="49">
        <f t="shared" si="1920"/>
        <v>88.220663265306072</v>
      </c>
      <c r="DD222" s="137"/>
      <c r="DE222" s="7">
        <v>104.05553288570684</v>
      </c>
    </row>
    <row r="223" spans="1:109" s="7" customFormat="1" x14ac:dyDescent="0.2">
      <c r="A223" s="68" t="s">
        <v>86</v>
      </c>
      <c r="AB223" s="76"/>
      <c r="AC223" s="76"/>
      <c r="AD223" s="76"/>
      <c r="AE223" s="76"/>
      <c r="CE223" s="114"/>
      <c r="CG223" s="114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D223" s="137"/>
    </row>
    <row r="224" spans="1:109" s="85" customFormat="1" x14ac:dyDescent="0.2">
      <c r="A224" s="85" t="s">
        <v>440</v>
      </c>
      <c r="C224" s="85">
        <f t="shared" ref="C224:AE224" si="1921">C46/B46-1</f>
        <v>0.13340589397212832</v>
      </c>
      <c r="D224" s="85">
        <f t="shared" si="1921"/>
        <v>0.10799192540613278</v>
      </c>
      <c r="E224" s="85">
        <f t="shared" si="1921"/>
        <v>5.3428031551806088E-2</v>
      </c>
      <c r="F224" s="85">
        <f t="shared" si="1921"/>
        <v>0.25414924303723962</v>
      </c>
      <c r="G224" s="85">
        <f t="shared" si="1921"/>
        <v>0.18169189120859475</v>
      </c>
      <c r="H224" s="85">
        <f t="shared" si="1921"/>
        <v>0.13226455912647195</v>
      </c>
      <c r="I224" s="85">
        <f t="shared" si="1921"/>
        <v>0.14471921229652929</v>
      </c>
      <c r="J224" s="85">
        <f t="shared" si="1921"/>
        <v>0.28216212925304807</v>
      </c>
      <c r="K224" s="85">
        <f t="shared" si="1921"/>
        <v>-5.483436365259664E-2</v>
      </c>
      <c r="L224" s="85">
        <f t="shared" si="1921"/>
        <v>7.945827282006257E-2</v>
      </c>
      <c r="M224" s="85">
        <f t="shared" si="1921"/>
        <v>0.2321978430765248</v>
      </c>
      <c r="N224" s="85">
        <f t="shared" si="1921"/>
        <v>-4.8584078211175941E-2</v>
      </c>
      <c r="O224" s="85">
        <f t="shared" si="1921"/>
        <v>2.4256970401827171E-2</v>
      </c>
      <c r="P224" s="85">
        <f t="shared" si="1921"/>
        <v>9.6812626665847779E-2</v>
      </c>
      <c r="Q224" s="85">
        <f t="shared" si="1921"/>
        <v>2.1220073338285461E-2</v>
      </c>
      <c r="R224" s="85">
        <f t="shared" si="1921"/>
        <v>6.0178354069015949E-3</v>
      </c>
      <c r="S224" s="85">
        <f t="shared" si="1921"/>
        <v>0.14372760898474679</v>
      </c>
      <c r="T224" s="85">
        <f t="shared" si="1921"/>
        <v>0.15749568215584064</v>
      </c>
      <c r="U224" s="85">
        <f t="shared" si="1921"/>
        <v>0.18374187834952305</v>
      </c>
      <c r="V224" s="85">
        <f t="shared" si="1921"/>
        <v>-6.6305332372935233E-2</v>
      </c>
      <c r="W224" s="85">
        <f t="shared" si="1921"/>
        <v>0.23936131907972324</v>
      </c>
      <c r="X224" s="85">
        <f t="shared" si="1921"/>
        <v>0.21683760872135083</v>
      </c>
      <c r="Y224" s="85">
        <f t="shared" si="1921"/>
        <v>0.23341785769171652</v>
      </c>
      <c r="Z224" s="85">
        <f t="shared" si="1921"/>
        <v>0.12719970025426797</v>
      </c>
      <c r="AA224" s="85">
        <f t="shared" si="1921"/>
        <v>6.4207058110147042E-2</v>
      </c>
      <c r="AB224" s="86">
        <f t="shared" si="1921"/>
        <v>0.13360621880086065</v>
      </c>
      <c r="AC224" s="86">
        <f t="shared" si="1921"/>
        <v>0.13082039691462088</v>
      </c>
      <c r="AD224" s="86">
        <f t="shared" si="1921"/>
        <v>9.8943419859811588E-2</v>
      </c>
      <c r="AE224" s="86">
        <f t="shared" si="1921"/>
        <v>9.9734635433194496E-2</v>
      </c>
      <c r="AN224" s="85">
        <f t="shared" ref="AN224:BS224" si="1922">+(AN46+AM46)/(AJ46+AI46)-1</f>
        <v>7.9357078853046659E-2</v>
      </c>
      <c r="AO224" s="85">
        <f t="shared" si="1922"/>
        <v>2.1986166007905039E-2</v>
      </c>
      <c r="AP224" s="85">
        <f t="shared" si="1922"/>
        <v>-8.1200993386721931E-3</v>
      </c>
      <c r="AQ224" s="85">
        <f t="shared" si="1922"/>
        <v>3.8188351299406786E-2</v>
      </c>
      <c r="AR224" s="85">
        <f t="shared" si="1922"/>
        <v>3.3155191200124445E-2</v>
      </c>
      <c r="AS224" s="85">
        <f t="shared" si="1922"/>
        <v>0.15214997448499989</v>
      </c>
      <c r="AT224" s="85">
        <f t="shared" si="1922"/>
        <v>0.17976706239801943</v>
      </c>
      <c r="AU224" s="85">
        <f t="shared" si="1922"/>
        <v>4.4698433140158755E-2</v>
      </c>
      <c r="AV224" s="85">
        <f t="shared" si="1922"/>
        <v>-3.1011450381679406E-2</v>
      </c>
      <c r="AW224" s="85">
        <f t="shared" si="1922"/>
        <v>1.048999953377594E-3</v>
      </c>
      <c r="AX224" s="85">
        <f t="shared" si="1922"/>
        <v>8.2005913773368855E-2</v>
      </c>
      <c r="AY224" s="85">
        <f t="shared" si="1922"/>
        <v>6.0994401356001759E-2</v>
      </c>
      <c r="AZ224" s="85">
        <f t="shared" si="1922"/>
        <v>-5.6674181761641962E-2</v>
      </c>
      <c r="BA224" s="85">
        <f t="shared" si="1922"/>
        <v>-4.1403721211838884E-2</v>
      </c>
      <c r="BB224" s="85">
        <f t="shared" si="1922"/>
        <v>5.0909090909090349E-3</v>
      </c>
      <c r="BC224" s="85">
        <f t="shared" si="1922"/>
        <v>5.9787476097112879E-3</v>
      </c>
      <c r="BD224" s="85">
        <f t="shared" si="1922"/>
        <v>0.12823471237844086</v>
      </c>
      <c r="BE224" s="85">
        <f t="shared" si="1922"/>
        <v>0.28434349568808481</v>
      </c>
      <c r="BF224" s="85">
        <f t="shared" si="1922"/>
        <v>0.18558961540148244</v>
      </c>
      <c r="BG224" s="85">
        <f t="shared" si="1922"/>
        <v>0.12151106833493741</v>
      </c>
      <c r="BH224" s="85">
        <f t="shared" si="1922"/>
        <v>0.30021913805697586</v>
      </c>
      <c r="BI224" s="85">
        <f t="shared" si="1922"/>
        <v>0.18592774730470962</v>
      </c>
      <c r="BJ224" s="85">
        <f t="shared" si="1922"/>
        <v>0.17606805992232299</v>
      </c>
      <c r="BK224" s="85">
        <f t="shared" si="1922"/>
        <v>0.26818279339197604</v>
      </c>
      <c r="BL224" s="85">
        <f t="shared" si="1922"/>
        <v>0.25018726591760299</v>
      </c>
      <c r="BM224" s="85">
        <f t="shared" si="1922"/>
        <v>0.1208931419457735</v>
      </c>
      <c r="BN224" s="85">
        <f t="shared" si="1922"/>
        <v>-6.5890863343293082E-2</v>
      </c>
      <c r="BO224" s="85">
        <f t="shared" si="1922"/>
        <v>-0.19489088140754529</v>
      </c>
      <c r="BP224" s="85">
        <f t="shared" si="1922"/>
        <v>-0.12941881366087471</v>
      </c>
      <c r="BQ224" s="85">
        <f t="shared" si="1922"/>
        <v>4.1832669322709348E-2</v>
      </c>
      <c r="BR224" s="85">
        <f t="shared" si="1922"/>
        <v>0.26515151515151514</v>
      </c>
      <c r="BS224" s="85">
        <f t="shared" si="1922"/>
        <v>0.43853750787980683</v>
      </c>
      <c r="BT224" s="85">
        <f t="shared" ref="BT224:CL224" si="1923">+(BT46+BS46)/(BP46+BO46)-1</f>
        <v>0.15467997247075016</v>
      </c>
      <c r="BU224" s="85">
        <f t="shared" si="1923"/>
        <v>0.10994263862332687</v>
      </c>
      <c r="BV224" s="85">
        <f t="shared" si="1923"/>
        <v>0.14743845642049225</v>
      </c>
      <c r="BW224" s="85">
        <f t="shared" si="1923"/>
        <v>0.26511831726555646</v>
      </c>
      <c r="BX224" s="85">
        <f t="shared" si="1923"/>
        <v>0.31083296081060952</v>
      </c>
      <c r="BY224" s="85">
        <f t="shared" si="1923"/>
        <v>0.1762027808539437</v>
      </c>
      <c r="BZ224" s="85">
        <f t="shared" si="1923"/>
        <v>0.17615678998028539</v>
      </c>
      <c r="CA224" s="85">
        <f t="shared" si="1923"/>
        <v>0.24800831312781457</v>
      </c>
      <c r="CB224" s="85">
        <f t="shared" si="1923"/>
        <v>0.3129475957712855</v>
      </c>
      <c r="CC224" s="85">
        <f t="shared" si="1923"/>
        <v>0.22010670572235602</v>
      </c>
      <c r="CD224" s="85">
        <f t="shared" si="1923"/>
        <v>0.13074344310786845</v>
      </c>
      <c r="CE224" s="85">
        <f t="shared" si="1923"/>
        <v>0.10111943750578223</v>
      </c>
      <c r="CF224" s="85">
        <f t="shared" si="1923"/>
        <v>9.3073593073593086E-2</v>
      </c>
      <c r="CG224" s="85">
        <f t="shared" si="1923"/>
        <v>0.15141901740547015</v>
      </c>
      <c r="CH224" s="85">
        <f t="shared" si="1923"/>
        <v>0.15259853505406329</v>
      </c>
      <c r="CI224" s="85">
        <f t="shared" si="1923"/>
        <v>6.041001512350852E-2</v>
      </c>
      <c r="CJ224" s="85">
        <f t="shared" si="1923"/>
        <v>4.2613861386138652E-2</v>
      </c>
      <c r="CL224" s="85">
        <f t="shared" si="1923"/>
        <v>4.8040550764109513E-2</v>
      </c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D224" s="140"/>
      <c r="DE224" s="85">
        <v>6.4196004399376783E-2</v>
      </c>
    </row>
    <row r="225" spans="1:109" s="85" customFormat="1" x14ac:dyDescent="0.2">
      <c r="A225" s="85" t="s">
        <v>441</v>
      </c>
      <c r="C225" s="85">
        <f t="shared" ref="C225" si="1924">C222/B222-1</f>
        <v>2.3898653141117387E-2</v>
      </c>
      <c r="D225" s="85">
        <f t="shared" ref="D225" si="1925">D222/C222-1</f>
        <v>-0.39558163532345147</v>
      </c>
      <c r="E225" s="85">
        <f>E222/D222-1</f>
        <v>-0.10465750829643883</v>
      </c>
      <c r="F225" s="85">
        <f t="shared" ref="F225" si="1926">F222/E222-1</f>
        <v>1.3915062430053027E-2</v>
      </c>
      <c r="G225" s="85">
        <f t="shared" ref="G225" si="1927">G222/F222-1</f>
        <v>2.9483532534959611E-3</v>
      </c>
      <c r="H225" s="85">
        <f t="shared" ref="H225" si="1928">H222/G222-1</f>
        <v>-0.12338041349312612</v>
      </c>
      <c r="I225" s="85">
        <f t="shared" ref="I225" si="1929">I222/H222-1</f>
        <v>0.33742927535421119</v>
      </c>
      <c r="J225" s="85">
        <f t="shared" ref="J225" si="1930">J222/I222-1</f>
        <v>-0.11425299698390168</v>
      </c>
      <c r="K225" s="85">
        <f>K222/J222-1</f>
        <v>-0.3316474604424855</v>
      </c>
      <c r="L225" s="85">
        <f t="shared" ref="L225" si="1931">L222/K222-1</f>
        <v>0.30133805756070231</v>
      </c>
      <c r="M225" s="85">
        <f t="shared" ref="M225" si="1932">M222/L222-1</f>
        <v>0.50601256256298588</v>
      </c>
      <c r="N225" s="85">
        <f t="shared" ref="N225" si="1933">N222/M222-1</f>
        <v>-0.25224892805245136</v>
      </c>
      <c r="O225" s="85">
        <f t="shared" ref="O225" si="1934">O222/N222-1</f>
        <v>-0.26678768653591223</v>
      </c>
      <c r="P225" s="85">
        <f t="shared" ref="P225" si="1935">P222/O222-1</f>
        <v>0.20189354669427795</v>
      </c>
      <c r="Q225" s="85">
        <f t="shared" ref="Q225" si="1936">Q222/P222-1</f>
        <v>-0.28998049208246868</v>
      </c>
      <c r="R225" s="85">
        <f t="shared" ref="R225" si="1937">R222/Q222-1</f>
        <v>0.62224184989620213</v>
      </c>
      <c r="S225" s="85">
        <f t="shared" ref="S225" si="1938">S222/R222-1</f>
        <v>0.36032670224950736</v>
      </c>
      <c r="T225" s="85">
        <f t="shared" ref="T225" si="1939">T222/S222-1</f>
        <v>-5.1589589330771068E-2</v>
      </c>
      <c r="U225" s="85">
        <f t="shared" ref="U225" si="1940">U222/T222-1</f>
        <v>-0.43358318312666178</v>
      </c>
      <c r="V225" s="85">
        <f t="shared" ref="V225" si="1941">V222/U222-1</f>
        <v>-0.21720632202160672</v>
      </c>
      <c r="W225" s="85">
        <f t="shared" ref="W225:AA225" si="1942">W222/V222-1</f>
        <v>0.36799176920653909</v>
      </c>
      <c r="X225" s="85">
        <f t="shared" si="1942"/>
        <v>0.55778255601691895</v>
      </c>
      <c r="Y225" s="85">
        <f t="shared" si="1942"/>
        <v>-7.6884436774765308E-2</v>
      </c>
      <c r="Z225" s="85">
        <f t="shared" si="1942"/>
        <v>3.9038436682965472E-2</v>
      </c>
      <c r="AA225" s="85">
        <f t="shared" si="1942"/>
        <v>0.18759318060821961</v>
      </c>
      <c r="AB225" s="86">
        <f t="shared" ref="AB225" si="1943">AB222/AA222-1</f>
        <v>2.7609034315176917E-2</v>
      </c>
      <c r="AC225" s="86">
        <f t="shared" ref="AC225" si="1944">AC222/AB222-1</f>
        <v>-2.9460235143212277E-2</v>
      </c>
      <c r="AD225" s="86">
        <f t="shared" ref="AD225" si="1945">AD222/AC222-1</f>
        <v>3.907589589149385E-4</v>
      </c>
      <c r="AE225" s="86">
        <f t="shared" ref="AE225" si="1946">AE222/AD222-1</f>
        <v>9.812610127823973E-5</v>
      </c>
      <c r="AN225" s="85">
        <f t="shared" ref="AN225:CI225" si="1947">+AN222/AJ222-1</f>
        <v>-0.15753912799891212</v>
      </c>
      <c r="AO225" s="85" t="e">
        <f t="shared" si="1947"/>
        <v>#DIV/0!</v>
      </c>
      <c r="AP225" s="85" t="e">
        <f t="shared" si="1947"/>
        <v>#DIV/0!</v>
      </c>
      <c r="AQ225" s="85">
        <f t="shared" si="1947"/>
        <v>-8.5511974066090457E-2</v>
      </c>
      <c r="AR225" s="85">
        <f t="shared" si="1947"/>
        <v>-8.5511974066090124E-2</v>
      </c>
      <c r="AS225" s="85">
        <f t="shared" si="1947"/>
        <v>3.1035114630711957E-2</v>
      </c>
      <c r="AT225" s="85">
        <f t="shared" si="1947"/>
        <v>3.1035114630711957E-2</v>
      </c>
      <c r="AU225" s="85">
        <f t="shared" si="1947"/>
        <v>-1.6569732800805981E-2</v>
      </c>
      <c r="AV225" s="85">
        <f t="shared" si="1947"/>
        <v>-1.6569732800806314E-2</v>
      </c>
      <c r="AW225" s="85">
        <f t="shared" si="1947"/>
        <v>-0.31347431454203722</v>
      </c>
      <c r="AX225" s="85">
        <f t="shared" si="1947"/>
        <v>-0.31347431454203722</v>
      </c>
      <c r="AY225" s="85">
        <f t="shared" si="1947"/>
        <v>-0.35007759437751707</v>
      </c>
      <c r="AZ225" s="85">
        <f t="shared" si="1947"/>
        <v>-0.3500775943775174</v>
      </c>
      <c r="BA225" s="85">
        <f t="shared" si="1947"/>
        <v>0.48908636075098011</v>
      </c>
      <c r="BB225" s="85">
        <f t="shared" si="1947"/>
        <v>0.48908636075098011</v>
      </c>
      <c r="BC225" s="85">
        <f t="shared" si="1947"/>
        <v>0.80193695064921444</v>
      </c>
      <c r="BD225" s="85">
        <f t="shared" si="1947"/>
        <v>0.80193695064921555</v>
      </c>
      <c r="BE225" s="85">
        <f t="shared" si="1947"/>
        <v>0.22117284479920207</v>
      </c>
      <c r="BF225" s="85">
        <f t="shared" si="1947"/>
        <v>0.22117284479920207</v>
      </c>
      <c r="BG225" s="85">
        <f t="shared" si="1947"/>
        <v>8.3020051122563165E-2</v>
      </c>
      <c r="BH225" s="85">
        <f t="shared" si="1947"/>
        <v>8.3020051122563165E-2</v>
      </c>
      <c r="BI225" s="85">
        <f t="shared" si="1947"/>
        <v>1.3107013835143233E-2</v>
      </c>
      <c r="BJ225" s="85">
        <f t="shared" si="1947"/>
        <v>1.3107013835143233E-2</v>
      </c>
      <c r="BK225" s="85">
        <f t="shared" si="1947"/>
        <v>-0.23645635942347443</v>
      </c>
      <c r="BL225" s="85">
        <f t="shared" si="1947"/>
        <v>-0.23645635942347443</v>
      </c>
      <c r="BM225" s="85">
        <f t="shared" si="1947"/>
        <v>-0.27561737827419996</v>
      </c>
      <c r="BN225" s="85">
        <f t="shared" si="1947"/>
        <v>-0.27561737827419996</v>
      </c>
      <c r="BO225" s="85">
        <f t="shared" si="1947"/>
        <v>6.4829772103252026E-2</v>
      </c>
      <c r="BP225" s="85">
        <f t="shared" si="1947"/>
        <v>6.4829772103252914E-2</v>
      </c>
      <c r="BQ225" s="85">
        <f t="shared" si="1947"/>
        <v>-0.22264105602794748</v>
      </c>
      <c r="BR225" s="85">
        <f t="shared" si="1947"/>
        <v>-0.22264105602794693</v>
      </c>
      <c r="BS225" s="85">
        <f t="shared" si="1947"/>
        <v>-0.20563497395345798</v>
      </c>
      <c r="BT225" s="85">
        <f t="shared" si="1947"/>
        <v>-0.20563497395345853</v>
      </c>
      <c r="BU225" s="85">
        <f t="shared" si="1947"/>
        <v>0.32309955336271057</v>
      </c>
      <c r="BV225" s="85">
        <f t="shared" si="1947"/>
        <v>0.32309955336270968</v>
      </c>
      <c r="BW225" s="85">
        <f t="shared" si="1947"/>
        <v>0.31729203412842866</v>
      </c>
      <c r="BX225" s="85">
        <f t="shared" si="1947"/>
        <v>0.31729203412842866</v>
      </c>
      <c r="BY225" s="85">
        <f t="shared" si="1947"/>
        <v>0.50841760361257426</v>
      </c>
      <c r="BZ225" s="85">
        <f t="shared" si="1947"/>
        <v>0.5084176036125736</v>
      </c>
      <c r="CA225" s="85">
        <f t="shared" si="1947"/>
        <v>-3.3494404376344877E-2</v>
      </c>
      <c r="CB225" s="85">
        <f t="shared" si="1947"/>
        <v>-3.349440437634521E-2</v>
      </c>
      <c r="CC225" s="85">
        <f t="shared" si="1947"/>
        <v>-8.3389369445365791E-3</v>
      </c>
      <c r="CD225" s="85">
        <f t="shared" si="1947"/>
        <v>-8.338936944536246E-3</v>
      </c>
      <c r="CE225" s="85">
        <f t="shared" si="1947"/>
        <v>-0.13685143352729368</v>
      </c>
      <c r="CF225" s="85">
        <f t="shared" si="1947"/>
        <v>-0.13685143352729379</v>
      </c>
      <c r="CG225" s="85">
        <f t="shared" si="1947"/>
        <v>-7.8263270515969596E-2</v>
      </c>
      <c r="CH225" s="85">
        <f t="shared" si="1947"/>
        <v>-7.8263270515969596E-2</v>
      </c>
      <c r="CI225" s="85">
        <f t="shared" si="1947"/>
        <v>0.37812021316032651</v>
      </c>
      <c r="CJ225" s="85">
        <f>+CJ222/CF222-1</f>
        <v>0.37812021316032718</v>
      </c>
      <c r="CL225" s="85">
        <f>+CL222/CH222-1</f>
        <v>0.22088137950403275</v>
      </c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D225" s="140"/>
      <c r="DE225" s="85">
        <v>0.26904231111303489</v>
      </c>
    </row>
    <row r="226" spans="1:109" s="102" customFormat="1" x14ac:dyDescent="0.2">
      <c r="A226" s="146" t="s">
        <v>87</v>
      </c>
      <c r="C226" s="102">
        <f>IF(C225&gt;C224,"RF",0)</f>
        <v>0</v>
      </c>
      <c r="D226" s="102">
        <f>IF(D225&gt;D224,"RF",0)</f>
        <v>0</v>
      </c>
      <c r="E226" s="102">
        <f t="shared" ref="E226:U226" si="1948">IF(E225&gt;E224,"RF",0)</f>
        <v>0</v>
      </c>
      <c r="F226" s="102">
        <f t="shared" si="1948"/>
        <v>0</v>
      </c>
      <c r="G226" s="102">
        <f t="shared" si="1948"/>
        <v>0</v>
      </c>
      <c r="H226" s="102">
        <f t="shared" si="1948"/>
        <v>0</v>
      </c>
      <c r="I226" s="102" t="str">
        <f t="shared" si="1948"/>
        <v>RF</v>
      </c>
      <c r="J226" s="102">
        <f t="shared" si="1948"/>
        <v>0</v>
      </c>
      <c r="K226" s="102">
        <f t="shared" si="1948"/>
        <v>0</v>
      </c>
      <c r="L226" s="102" t="str">
        <f t="shared" si="1948"/>
        <v>RF</v>
      </c>
      <c r="M226" s="102" t="str">
        <f t="shared" si="1948"/>
        <v>RF</v>
      </c>
      <c r="N226" s="102">
        <f t="shared" si="1948"/>
        <v>0</v>
      </c>
      <c r="O226" s="102">
        <f t="shared" si="1948"/>
        <v>0</v>
      </c>
      <c r="P226" s="102" t="str">
        <f t="shared" si="1948"/>
        <v>RF</v>
      </c>
      <c r="Q226" s="102">
        <f t="shared" si="1948"/>
        <v>0</v>
      </c>
      <c r="R226" s="102" t="str">
        <f t="shared" si="1948"/>
        <v>RF</v>
      </c>
      <c r="S226" s="102" t="str">
        <f t="shared" si="1948"/>
        <v>RF</v>
      </c>
      <c r="T226" s="102">
        <f t="shared" si="1948"/>
        <v>0</v>
      </c>
      <c r="U226" s="102">
        <f t="shared" si="1948"/>
        <v>0</v>
      </c>
      <c r="V226" s="102">
        <f>IF(V225&gt;V224,"RF",0)</f>
        <v>0</v>
      </c>
      <c r="W226" s="102" t="str">
        <f t="shared" ref="W226" si="1949">IF(W225&gt;W224,"RF",0)</f>
        <v>RF</v>
      </c>
      <c r="X226" s="102" t="str">
        <f t="shared" ref="X226:Y226" si="1950">IF(X225&gt;X224,"RF",0)</f>
        <v>RF</v>
      </c>
      <c r="Y226" s="102">
        <f t="shared" si="1950"/>
        <v>0</v>
      </c>
      <c r="Z226" s="102">
        <f t="shared" ref="Z226:AA226" si="1951">IF(Z225&gt;Z224,"RF",0)</f>
        <v>0</v>
      </c>
      <c r="AA226" s="102" t="str">
        <f t="shared" ref="AA226" si="1952">IF(AA225&gt;AA224,"RF",0)</f>
        <v>RF</v>
      </c>
      <c r="AB226" s="72">
        <f t="shared" ref="AB226:AD226" si="1953">IF(AB225&gt;AB224,"RF",0)</f>
        <v>0</v>
      </c>
      <c r="AC226" s="72">
        <f t="shared" si="1953"/>
        <v>0</v>
      </c>
      <c r="AD226" s="72">
        <f t="shared" si="1953"/>
        <v>0</v>
      </c>
      <c r="AE226" s="72">
        <f t="shared" ref="AE226" si="1954">IF(AE225&gt;AE224,"RF",0)</f>
        <v>0</v>
      </c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D226" s="141"/>
      <c r="DE226" s="102" t="s">
        <v>575</v>
      </c>
    </row>
    <row r="227" spans="1:109" x14ac:dyDescent="0.2">
      <c r="A227" s="152" t="s">
        <v>495</v>
      </c>
      <c r="CL227" s="2"/>
    </row>
    <row r="228" spans="1:109" x14ac:dyDescent="0.2">
      <c r="A228" s="151" t="s">
        <v>496</v>
      </c>
      <c r="CL228" s="2"/>
    </row>
    <row r="229" spans="1:109" s="22" customFormat="1" x14ac:dyDescent="0.2">
      <c r="A229" s="22" t="s">
        <v>22</v>
      </c>
      <c r="C229" s="22">
        <f t="shared" ref="C229:AE229" si="1955">C84</f>
        <v>8.2816000000000063</v>
      </c>
      <c r="D229" s="22">
        <f t="shared" si="1955"/>
        <v>11.79069999999998</v>
      </c>
      <c r="E229" s="22">
        <f t="shared" si="1955"/>
        <v>20.206699999999998</v>
      </c>
      <c r="F229" s="22">
        <f t="shared" si="1955"/>
        <v>30.024999999999959</v>
      </c>
      <c r="G229" s="22">
        <f t="shared" si="1955"/>
        <v>39.477399999999996</v>
      </c>
      <c r="H229" s="22">
        <f t="shared" si="1955"/>
        <v>55.676600000000001</v>
      </c>
      <c r="I229" s="22">
        <f t="shared" si="1955"/>
        <v>49.875499999999995</v>
      </c>
      <c r="J229" s="22">
        <f t="shared" si="1955"/>
        <v>70.659399999999962</v>
      </c>
      <c r="K229" s="22">
        <f t="shared" si="1955"/>
        <v>71.044200000000117</v>
      </c>
      <c r="L229" s="22">
        <f t="shared" si="1955"/>
        <v>58.40220000000005</v>
      </c>
      <c r="M229" s="22">
        <f t="shared" si="1955"/>
        <v>48.939999999999976</v>
      </c>
      <c r="N229" s="22">
        <f t="shared" si="1955"/>
        <v>63.579000000000001</v>
      </c>
      <c r="O229" s="22">
        <f t="shared" si="1955"/>
        <v>66.763999999999939</v>
      </c>
      <c r="P229" s="22">
        <f t="shared" si="1955"/>
        <v>68.424000000000049</v>
      </c>
      <c r="Q229" s="22">
        <f t="shared" si="1955"/>
        <v>68.731999999999971</v>
      </c>
      <c r="R229" s="22">
        <f t="shared" si="1955"/>
        <v>68.524000000000029</v>
      </c>
      <c r="S229" s="22">
        <f t="shared" si="1955"/>
        <v>70.884999999999991</v>
      </c>
      <c r="T229" s="22">
        <f t="shared" si="1955"/>
        <v>71.607000000000085</v>
      </c>
      <c r="U229" s="22">
        <f t="shared" si="1955"/>
        <v>100.73299999999982</v>
      </c>
      <c r="V229" s="22">
        <f t="shared" si="1955"/>
        <v>93.783999999999907</v>
      </c>
      <c r="W229" s="22">
        <f t="shared" si="1955"/>
        <v>149.38900000000001</v>
      </c>
      <c r="X229" s="22">
        <f t="shared" si="1955"/>
        <v>182.74100000000001</v>
      </c>
      <c r="Y229" s="22">
        <f t="shared" si="1955"/>
        <v>208.73299999999981</v>
      </c>
      <c r="Z229" s="22">
        <f t="shared" si="1955"/>
        <v>247.47500000000053</v>
      </c>
      <c r="AA229" s="22">
        <f t="shared" ref="AA229" si="1956">AA84</f>
        <v>270.49400000000009</v>
      </c>
      <c r="AB229" s="23">
        <f t="shared" si="1955"/>
        <v>314.40823857701901</v>
      </c>
      <c r="AC229" s="23">
        <f t="shared" si="1955"/>
        <v>360.20165372596574</v>
      </c>
      <c r="AD229" s="23">
        <f t="shared" si="1955"/>
        <v>399.84099189892873</v>
      </c>
      <c r="AE229" s="23">
        <f t="shared" si="1955"/>
        <v>454.7419272616188</v>
      </c>
      <c r="AI229" s="22">
        <f t="shared" ref="AI229:BN229" si="1957">AI84</f>
        <v>17.459999999999994</v>
      </c>
      <c r="AJ229" s="22">
        <f t="shared" si="1957"/>
        <v>12.920000000000016</v>
      </c>
      <c r="AK229" s="22">
        <f t="shared" si="1957"/>
        <v>19.539999999999996</v>
      </c>
      <c r="AL229" s="22">
        <f t="shared" si="1957"/>
        <v>15.61</v>
      </c>
      <c r="AM229" s="22">
        <f t="shared" si="1957"/>
        <v>15.45999999999998</v>
      </c>
      <c r="AN229" s="22">
        <f t="shared" si="1957"/>
        <v>17.90000000000002</v>
      </c>
      <c r="AO229" s="22">
        <f t="shared" si="1957"/>
        <v>10.79</v>
      </c>
      <c r="AP229" s="22">
        <f t="shared" si="1957"/>
        <v>15.13000000000001</v>
      </c>
      <c r="AQ229" s="22">
        <f t="shared" si="1957"/>
        <v>22.450000000000003</v>
      </c>
      <c r="AR229" s="22">
        <f t="shared" si="1957"/>
        <v>17.870000000000015</v>
      </c>
      <c r="AS229" s="22">
        <f t="shared" si="1957"/>
        <v>9.9699999999999953</v>
      </c>
      <c r="AT229" s="22">
        <f t="shared" si="1957"/>
        <v>6.4099999999999735</v>
      </c>
      <c r="AU229" s="22">
        <f t="shared" si="1957"/>
        <v>22.21999999999997</v>
      </c>
      <c r="AV229" s="22">
        <f t="shared" si="1957"/>
        <v>16.850000000000001</v>
      </c>
      <c r="AW229" s="22">
        <f t="shared" si="1957"/>
        <v>24.349999999999966</v>
      </c>
      <c r="AX229" s="22">
        <f t="shared" si="1957"/>
        <v>16.850000000000009</v>
      </c>
      <c r="AY229" s="22">
        <f t="shared" si="1957"/>
        <v>17.230000000000011</v>
      </c>
      <c r="AZ229" s="22">
        <f t="shared" si="1957"/>
        <v>8.670000000000007</v>
      </c>
      <c r="BA229" s="22">
        <f t="shared" si="1957"/>
        <v>22.590000000000003</v>
      </c>
      <c r="BB229" s="22">
        <f t="shared" si="1957"/>
        <v>13.300000000000008</v>
      </c>
      <c r="BC229" s="22">
        <f t="shared" si="1957"/>
        <v>15.299999999999986</v>
      </c>
      <c r="BD229" s="22">
        <f t="shared" si="1957"/>
        <v>11.599999999999996</v>
      </c>
      <c r="BE229" s="22">
        <f t="shared" si="1957"/>
        <v>27.39999999999997</v>
      </c>
      <c r="BF229" s="22">
        <f t="shared" si="1957"/>
        <v>12.500000000000014</v>
      </c>
      <c r="BG229" s="22">
        <f t="shared" si="1957"/>
        <v>15.399999999999979</v>
      </c>
      <c r="BH229" s="22">
        <f t="shared" si="1957"/>
        <v>16.999999999999993</v>
      </c>
      <c r="BI229" s="22">
        <f t="shared" si="1957"/>
        <v>26.700000000000024</v>
      </c>
      <c r="BJ229" s="22">
        <f t="shared" si="1957"/>
        <v>16.599999999999959</v>
      </c>
      <c r="BK229" s="22">
        <f t="shared" si="1957"/>
        <v>25.79999999999999</v>
      </c>
      <c r="BL229" s="22">
        <f t="shared" si="1957"/>
        <v>25.700000000000017</v>
      </c>
      <c r="BM229" s="22">
        <f t="shared" si="1957"/>
        <v>32.6</v>
      </c>
      <c r="BN229" s="22">
        <f t="shared" si="1957"/>
        <v>10.900000000000011</v>
      </c>
      <c r="BO229" s="22">
        <f t="shared" ref="BO229:CT229" si="1958">BO84</f>
        <v>8.2000000000000082</v>
      </c>
      <c r="BP229" s="22">
        <f t="shared" si="1958"/>
        <v>42.7</v>
      </c>
      <c r="BQ229" s="22">
        <f t="shared" si="1958"/>
        <v>31.999999999999986</v>
      </c>
      <c r="BR229" s="22">
        <f t="shared" si="1958"/>
        <v>43.900000000000006</v>
      </c>
      <c r="BS229" s="22">
        <f t="shared" si="1958"/>
        <v>27.200000000000028</v>
      </c>
      <c r="BT229" s="22">
        <f t="shared" si="1958"/>
        <v>38.900000000000041</v>
      </c>
      <c r="BU229" s="22">
        <f t="shared" si="1958"/>
        <v>39.400000000000034</v>
      </c>
      <c r="BV229" s="22">
        <f t="shared" si="1958"/>
        <v>40.399999999999984</v>
      </c>
      <c r="BW229" s="22">
        <f t="shared" si="1958"/>
        <v>47.399999999999963</v>
      </c>
      <c r="BX229" s="22">
        <f t="shared" si="1958"/>
        <v>39.000000000000028</v>
      </c>
      <c r="BY229" s="22">
        <f t="shared" si="1958"/>
        <v>55.899999999999991</v>
      </c>
      <c r="BZ229" s="22">
        <f t="shared" si="1958"/>
        <v>40.899999999999991</v>
      </c>
      <c r="CA229" s="22">
        <f t="shared" si="1958"/>
        <v>62.799999999999983</v>
      </c>
      <c r="CB229" s="22">
        <f t="shared" si="1958"/>
        <v>50.100000000000072</v>
      </c>
      <c r="CC229" s="22">
        <f t="shared" si="1958"/>
        <v>54.900000000000013</v>
      </c>
      <c r="CD229" s="22">
        <f t="shared" si="1958"/>
        <v>44.600000000000037</v>
      </c>
      <c r="CE229" s="22">
        <f t="shared" si="1958"/>
        <v>68.09999999999998</v>
      </c>
      <c r="CF229" s="22">
        <f t="shared" si="1958"/>
        <v>61.699999999999967</v>
      </c>
      <c r="CG229" s="22">
        <f t="shared" si="1958"/>
        <v>73.09999999999998</v>
      </c>
      <c r="CH229" s="22">
        <f t="shared" si="1958"/>
        <v>51.600000000000044</v>
      </c>
      <c r="CI229" s="22">
        <f t="shared" si="1958"/>
        <v>70.400000000000063</v>
      </c>
      <c r="CJ229" s="22">
        <f t="shared" si="1958"/>
        <v>67.500000000000071</v>
      </c>
      <c r="CK229" s="22">
        <f t="shared" si="1958"/>
        <v>80.999999999999986</v>
      </c>
      <c r="CL229" s="22">
        <f t="shared" ref="CL229" si="1959">CL84</f>
        <v>39.799999999999955</v>
      </c>
      <c r="CM229" s="23">
        <f t="shared" si="1958"/>
        <v>91.974566898787458</v>
      </c>
      <c r="CN229" s="23">
        <f t="shared" si="1958"/>
        <v>75.189390144635979</v>
      </c>
      <c r="CO229" s="23">
        <f t="shared" si="1958"/>
        <v>107.444281533596</v>
      </c>
      <c r="CP229" s="23">
        <f t="shared" si="1958"/>
        <v>52.942927905916704</v>
      </c>
      <c r="CQ229" s="23">
        <f t="shared" si="1958"/>
        <v>100.16846568698912</v>
      </c>
      <c r="CR229" s="23">
        <f t="shared" si="1958"/>
        <v>84.88448089169006</v>
      </c>
      <c r="CS229" s="23">
        <f t="shared" si="1958"/>
        <v>122.20577924137017</v>
      </c>
      <c r="CT229" s="23">
        <f t="shared" si="1958"/>
        <v>59.799204967079575</v>
      </c>
      <c r="CU229" s="23">
        <f t="shared" ref="CU229:DA229" si="1960">CU84</f>
        <v>110.83204846487688</v>
      </c>
      <c r="CV229" s="23">
        <f t="shared" si="1960"/>
        <v>93.893430388836904</v>
      </c>
      <c r="CW229" s="23">
        <f t="shared" si="1960"/>
        <v>135.31630807813497</v>
      </c>
      <c r="CX229" s="23">
        <f t="shared" si="1960"/>
        <v>69.388266367576733</v>
      </c>
      <c r="CY229" s="23">
        <f t="shared" si="1960"/>
        <v>125.54077905790358</v>
      </c>
      <c r="CZ229" s="23">
        <f t="shared" si="1960"/>
        <v>107.03987359660783</v>
      </c>
      <c r="DA229" s="23">
        <f t="shared" si="1960"/>
        <v>152.77300823953041</v>
      </c>
      <c r="DD229" s="122"/>
      <c r="DE229" s="22">
        <v>270.49999999999966</v>
      </c>
    </row>
    <row r="230" spans="1:109" s="22" customFormat="1" x14ac:dyDescent="0.2">
      <c r="A230" s="22" t="s">
        <v>88</v>
      </c>
      <c r="C230" s="22">
        <f t="shared" ref="C230:AE230" si="1961">C68</f>
        <v>8.4220000000000006</v>
      </c>
      <c r="D230" s="22">
        <f t="shared" si="1961"/>
        <v>9.1090999999999998</v>
      </c>
      <c r="E230" s="22">
        <f t="shared" si="1961"/>
        <v>9.6188000000000002</v>
      </c>
      <c r="F230" s="22">
        <f t="shared" si="1961"/>
        <v>9.3590999999999998</v>
      </c>
      <c r="G230" s="22">
        <f t="shared" si="1961"/>
        <v>9.9595000000000002</v>
      </c>
      <c r="H230" s="22">
        <f t="shared" si="1961"/>
        <v>8.8256999999999994</v>
      </c>
      <c r="I230" s="22">
        <f t="shared" si="1961"/>
        <v>10.9879</v>
      </c>
      <c r="J230" s="22">
        <f t="shared" si="1961"/>
        <v>13.021800000000001</v>
      </c>
      <c r="K230" s="22">
        <f t="shared" si="1961"/>
        <v>20.340900000000001</v>
      </c>
      <c r="L230" s="22">
        <f t="shared" si="1961"/>
        <v>20.741900000000001</v>
      </c>
      <c r="M230" s="22">
        <f t="shared" si="1961"/>
        <v>21.895</v>
      </c>
      <c r="N230" s="22">
        <f t="shared" si="1961"/>
        <v>23.539000000000001</v>
      </c>
      <c r="O230" s="22">
        <f t="shared" si="1961"/>
        <v>26.529</v>
      </c>
      <c r="P230" s="22">
        <f t="shared" si="1961"/>
        <v>27.553999999999998</v>
      </c>
      <c r="Q230" s="22">
        <f t="shared" si="1961"/>
        <v>27.766999999999999</v>
      </c>
      <c r="R230" s="22">
        <f t="shared" si="1961"/>
        <v>29.358000000000001</v>
      </c>
      <c r="S230" s="22">
        <f t="shared" si="1961"/>
        <v>30.878</v>
      </c>
      <c r="T230" s="22">
        <f t="shared" si="1961"/>
        <v>39.667000000000002</v>
      </c>
      <c r="U230" s="22">
        <f t="shared" si="1961"/>
        <v>45.722999999999999</v>
      </c>
      <c r="V230" s="22">
        <f t="shared" si="1961"/>
        <v>41.77</v>
      </c>
      <c r="W230" s="22">
        <f t="shared" si="1961"/>
        <v>43.533999999999999</v>
      </c>
      <c r="X230" s="22">
        <f t="shared" si="1961"/>
        <v>45.261000000000003</v>
      </c>
      <c r="Y230" s="22">
        <f t="shared" si="1961"/>
        <v>49.677999999999997</v>
      </c>
      <c r="Z230" s="22">
        <f t="shared" si="1961"/>
        <v>54.323999999999998</v>
      </c>
      <c r="AA230" s="22">
        <f t="shared" ref="AA230" si="1962">AA68</f>
        <v>58.335999999999999</v>
      </c>
      <c r="AB230" s="23">
        <f t="shared" si="1961"/>
        <v>59.010218300046439</v>
      </c>
      <c r="AC230" s="23">
        <f t="shared" si="1961"/>
        <v>64.061309800278678</v>
      </c>
      <c r="AD230" s="23">
        <f t="shared" si="1961"/>
        <v>69.449140733859736</v>
      </c>
      <c r="AE230" s="23">
        <f t="shared" si="1961"/>
        <v>74.836971667440778</v>
      </c>
      <c r="AI230" s="22">
        <f t="shared" ref="AI230:BN230" si="1963">AI68</f>
        <v>5.78</v>
      </c>
      <c r="AJ230" s="22">
        <f t="shared" si="1963"/>
        <v>5.89</v>
      </c>
      <c r="AK230" s="22">
        <f t="shared" si="1963"/>
        <v>6.21</v>
      </c>
      <c r="AL230" s="22">
        <f t="shared" si="1963"/>
        <v>6.2</v>
      </c>
      <c r="AM230" s="22">
        <f t="shared" si="1963"/>
        <v>6.58</v>
      </c>
      <c r="AN230" s="22">
        <f t="shared" si="1963"/>
        <v>6.76</v>
      </c>
      <c r="AO230" s="22">
        <f t="shared" si="1963"/>
        <v>6.99</v>
      </c>
      <c r="AP230" s="22">
        <f t="shared" si="1963"/>
        <v>6.71</v>
      </c>
      <c r="AQ230" s="22">
        <f t="shared" si="1963"/>
        <v>6.81</v>
      </c>
      <c r="AR230" s="22">
        <f t="shared" si="1963"/>
        <v>6.91</v>
      </c>
      <c r="AS230" s="22">
        <f t="shared" si="1963"/>
        <v>7.12</v>
      </c>
      <c r="AT230" s="22">
        <f t="shared" si="1963"/>
        <v>6.93</v>
      </c>
      <c r="AU230" s="22">
        <f t="shared" si="1963"/>
        <v>6.97</v>
      </c>
      <c r="AV230" s="22">
        <f t="shared" si="1963"/>
        <v>7.33</v>
      </c>
      <c r="AW230" s="22">
        <f t="shared" si="1963"/>
        <v>6.54</v>
      </c>
      <c r="AX230" s="22">
        <f t="shared" si="1963"/>
        <v>7.13</v>
      </c>
      <c r="AY230" s="22">
        <f t="shared" si="1963"/>
        <v>7.31</v>
      </c>
      <c r="AZ230" s="22">
        <f t="shared" si="1963"/>
        <v>7.29</v>
      </c>
      <c r="BA230" s="22">
        <f t="shared" si="1963"/>
        <v>7.63</v>
      </c>
      <c r="BB230" s="22">
        <f t="shared" si="1963"/>
        <v>7.5</v>
      </c>
      <c r="BC230" s="22">
        <f t="shared" si="1963"/>
        <v>7.4</v>
      </c>
      <c r="BD230" s="22">
        <f t="shared" si="1963"/>
        <v>7.6</v>
      </c>
      <c r="BE230" s="22">
        <f t="shared" si="1963"/>
        <v>8.5</v>
      </c>
      <c r="BF230" s="22">
        <f t="shared" si="1963"/>
        <v>9.6999999999999993</v>
      </c>
      <c r="BG230" s="22">
        <f t="shared" si="1963"/>
        <v>9.8000000000000007</v>
      </c>
      <c r="BH230" s="22">
        <f t="shared" si="1963"/>
        <v>9.8000000000000007</v>
      </c>
      <c r="BI230" s="22">
        <f t="shared" si="1963"/>
        <v>10.4</v>
      </c>
      <c r="BJ230" s="22">
        <f t="shared" si="1963"/>
        <v>10.199999999999999</v>
      </c>
      <c r="BK230" s="22">
        <f t="shared" si="1963"/>
        <v>10.3</v>
      </c>
      <c r="BL230" s="22">
        <f t="shared" si="1963"/>
        <v>10.5</v>
      </c>
      <c r="BM230" s="22">
        <f t="shared" si="1963"/>
        <v>14.7</v>
      </c>
      <c r="BN230" s="22">
        <f t="shared" si="1963"/>
        <v>9.9</v>
      </c>
      <c r="BO230" s="22">
        <f t="shared" ref="BO230:CT230" si="1964">BO68</f>
        <v>9.9</v>
      </c>
      <c r="BP230" s="22">
        <f t="shared" si="1964"/>
        <v>10.3</v>
      </c>
      <c r="BQ230" s="22">
        <f t="shared" si="1964"/>
        <v>11.7</v>
      </c>
      <c r="BR230" s="22">
        <f t="shared" si="1964"/>
        <v>10.8</v>
      </c>
      <c r="BS230" s="22">
        <f t="shared" si="1964"/>
        <v>10.8</v>
      </c>
      <c r="BT230" s="22">
        <f t="shared" si="1964"/>
        <v>10.9</v>
      </c>
      <c r="BU230" s="22">
        <f t="shared" si="1964"/>
        <v>11</v>
      </c>
      <c r="BV230" s="22">
        <f t="shared" si="1964"/>
        <v>10.5</v>
      </c>
      <c r="BW230" s="22">
        <f t="shared" si="1964"/>
        <v>11.1</v>
      </c>
      <c r="BX230" s="22">
        <f t="shared" si="1964"/>
        <v>11.7</v>
      </c>
      <c r="BY230" s="22">
        <f t="shared" si="1964"/>
        <v>12</v>
      </c>
      <c r="BZ230" s="22">
        <f t="shared" si="1964"/>
        <v>11.7</v>
      </c>
      <c r="CA230" s="22">
        <f t="shared" si="1964"/>
        <v>12</v>
      </c>
      <c r="CB230" s="22">
        <f t="shared" si="1964"/>
        <v>12.3</v>
      </c>
      <c r="CC230" s="22">
        <f t="shared" si="1964"/>
        <v>13.7</v>
      </c>
      <c r="CD230" s="22">
        <f t="shared" si="1964"/>
        <v>12.9</v>
      </c>
      <c r="CE230" s="22">
        <f t="shared" si="1964"/>
        <v>13.3</v>
      </c>
      <c r="CF230" s="22">
        <f t="shared" si="1964"/>
        <v>13.7</v>
      </c>
      <c r="CG230" s="22">
        <f t="shared" si="1964"/>
        <v>14.4</v>
      </c>
      <c r="CH230" s="22">
        <f t="shared" si="1964"/>
        <v>13.9</v>
      </c>
      <c r="CI230" s="22">
        <f t="shared" si="1964"/>
        <v>14</v>
      </c>
      <c r="CJ230" s="22">
        <f t="shared" si="1964"/>
        <v>14.8</v>
      </c>
      <c r="CK230" s="22">
        <f t="shared" si="1964"/>
        <v>15.6</v>
      </c>
      <c r="CL230" s="22">
        <f t="shared" ref="CL230" si="1965">CL68</f>
        <v>14.5</v>
      </c>
      <c r="CM230" s="23">
        <f t="shared" si="1964"/>
        <v>14.5</v>
      </c>
      <c r="CN230" s="23">
        <f t="shared" si="1964"/>
        <v>14.836739433348814</v>
      </c>
      <c r="CO230" s="23">
        <f t="shared" si="1964"/>
        <v>15.17347886669763</v>
      </c>
      <c r="CP230" s="23">
        <f t="shared" si="1964"/>
        <v>15.510218300046446</v>
      </c>
      <c r="CQ230" s="23">
        <f t="shared" si="1964"/>
        <v>15.846957733395262</v>
      </c>
      <c r="CR230" s="23">
        <f t="shared" si="1964"/>
        <v>16.183697166744079</v>
      </c>
      <c r="CS230" s="23">
        <f t="shared" si="1964"/>
        <v>16.520436600092893</v>
      </c>
      <c r="CT230" s="23">
        <f t="shared" si="1964"/>
        <v>16.857176033441707</v>
      </c>
      <c r="CU230" s="23">
        <f t="shared" ref="CU230:DA230" si="1966">CU68</f>
        <v>17.193915466790525</v>
      </c>
      <c r="CV230" s="23">
        <f t="shared" si="1966"/>
        <v>17.530654900139339</v>
      </c>
      <c r="CW230" s="23">
        <f t="shared" si="1966"/>
        <v>17.867394333488157</v>
      </c>
      <c r="CX230" s="23">
        <f t="shared" si="1966"/>
        <v>18.204133766836971</v>
      </c>
      <c r="CY230" s="23">
        <f t="shared" si="1966"/>
        <v>18.540873200185786</v>
      </c>
      <c r="CZ230" s="23">
        <f t="shared" si="1966"/>
        <v>18.877612633534604</v>
      </c>
      <c r="DA230" s="23">
        <f t="shared" si="1966"/>
        <v>19.214352066883418</v>
      </c>
      <c r="DD230" s="122"/>
      <c r="DE230" s="22">
        <v>58.300000000000004</v>
      </c>
    </row>
    <row r="231" spans="1:109" s="21" customFormat="1" x14ac:dyDescent="0.2">
      <c r="A231" s="21" t="s">
        <v>89</v>
      </c>
      <c r="C231" s="21">
        <f t="shared" ref="C231:W231" si="1967">C229+C230</f>
        <v>16.703600000000009</v>
      </c>
      <c r="D231" s="21">
        <f t="shared" si="1967"/>
        <v>20.899799999999978</v>
      </c>
      <c r="E231" s="21">
        <f t="shared" si="1967"/>
        <v>29.825499999999998</v>
      </c>
      <c r="F231" s="21">
        <f t="shared" si="1967"/>
        <v>39.384099999999961</v>
      </c>
      <c r="G231" s="21">
        <f t="shared" si="1967"/>
        <v>49.436899999999994</v>
      </c>
      <c r="H231" s="21">
        <f t="shared" si="1967"/>
        <v>64.502300000000005</v>
      </c>
      <c r="I231" s="21">
        <f t="shared" si="1967"/>
        <v>60.863399999999999</v>
      </c>
      <c r="J231" s="21">
        <f t="shared" si="1967"/>
        <v>83.681199999999961</v>
      </c>
      <c r="K231" s="21">
        <f t="shared" si="1967"/>
        <v>91.385100000000122</v>
      </c>
      <c r="L231" s="21">
        <f t="shared" si="1967"/>
        <v>79.144100000000051</v>
      </c>
      <c r="M231" s="21">
        <f t="shared" si="1967"/>
        <v>70.83499999999998</v>
      </c>
      <c r="N231" s="21">
        <f t="shared" si="1967"/>
        <v>87.117999999999995</v>
      </c>
      <c r="O231" s="21">
        <f t="shared" si="1967"/>
        <v>93.292999999999935</v>
      </c>
      <c r="P231" s="21">
        <f t="shared" si="1967"/>
        <v>95.978000000000051</v>
      </c>
      <c r="Q231" s="21">
        <f t="shared" si="1967"/>
        <v>96.498999999999967</v>
      </c>
      <c r="R231" s="21">
        <f t="shared" si="1967"/>
        <v>97.882000000000033</v>
      </c>
      <c r="S231" s="21">
        <f t="shared" si="1967"/>
        <v>101.76299999999999</v>
      </c>
      <c r="T231" s="21">
        <f t="shared" si="1967"/>
        <v>111.27400000000009</v>
      </c>
      <c r="U231" s="21">
        <f t="shared" si="1967"/>
        <v>146.45599999999982</v>
      </c>
      <c r="V231" s="21">
        <f t="shared" si="1967"/>
        <v>135.55399999999992</v>
      </c>
      <c r="W231" s="21">
        <f t="shared" si="1967"/>
        <v>192.923</v>
      </c>
      <c r="X231" s="21">
        <f t="shared" ref="X231:Y231" si="1968">X229+X230</f>
        <v>228.00200000000001</v>
      </c>
      <c r="Y231" s="21">
        <f t="shared" si="1968"/>
        <v>258.41099999999983</v>
      </c>
      <c r="Z231" s="21">
        <f t="shared" ref="Z231:AA231" si="1969">Z229+Z230</f>
        <v>301.79900000000055</v>
      </c>
      <c r="AA231" s="21">
        <f t="shared" ref="AA231" si="1970">AA229+AA230</f>
        <v>328.8300000000001</v>
      </c>
      <c r="AB231" s="20">
        <f t="shared" ref="AB231:AD231" si="1971">AB229+AB230</f>
        <v>373.41845687706547</v>
      </c>
      <c r="AC231" s="20">
        <f t="shared" si="1971"/>
        <v>424.26296352624445</v>
      </c>
      <c r="AD231" s="20">
        <f t="shared" si="1971"/>
        <v>469.29013263278847</v>
      </c>
      <c r="AE231" s="20">
        <f t="shared" ref="AE231" si="1972">AE229+AE230</f>
        <v>529.57889892905962</v>
      </c>
      <c r="AI231" s="21">
        <f t="shared" ref="AI231" si="1973">AI229+AI230</f>
        <v>23.239999999999995</v>
      </c>
      <c r="AJ231" s="21">
        <f t="shared" ref="AJ231:AL231" si="1974">AJ229+AJ230</f>
        <v>18.810000000000016</v>
      </c>
      <c r="AK231" s="21">
        <f t="shared" si="1974"/>
        <v>25.749999999999996</v>
      </c>
      <c r="AL231" s="21">
        <f t="shared" si="1974"/>
        <v>21.81</v>
      </c>
      <c r="AM231" s="21">
        <f t="shared" ref="AM231" si="1975">AM229+AM230</f>
        <v>22.039999999999978</v>
      </c>
      <c r="AN231" s="21">
        <f t="shared" ref="AN231:CD231" si="1976">AN229+AN230</f>
        <v>24.660000000000018</v>
      </c>
      <c r="AO231" s="21">
        <f t="shared" si="1976"/>
        <v>17.78</v>
      </c>
      <c r="AP231" s="21">
        <f t="shared" si="1976"/>
        <v>21.840000000000011</v>
      </c>
      <c r="AQ231" s="21">
        <f t="shared" si="1976"/>
        <v>29.26</v>
      </c>
      <c r="AR231" s="21">
        <f t="shared" si="1976"/>
        <v>24.780000000000015</v>
      </c>
      <c r="AS231" s="21">
        <f t="shared" si="1976"/>
        <v>17.089999999999996</v>
      </c>
      <c r="AT231" s="21">
        <f t="shared" si="1976"/>
        <v>13.339999999999973</v>
      </c>
      <c r="AU231" s="21">
        <f t="shared" si="1976"/>
        <v>29.189999999999969</v>
      </c>
      <c r="AV231" s="21">
        <f t="shared" si="1976"/>
        <v>24.18</v>
      </c>
      <c r="AW231" s="21">
        <f t="shared" si="1976"/>
        <v>30.889999999999965</v>
      </c>
      <c r="AX231" s="21">
        <f t="shared" si="1976"/>
        <v>23.980000000000008</v>
      </c>
      <c r="AY231" s="21">
        <f t="shared" si="1976"/>
        <v>24.54000000000001</v>
      </c>
      <c r="AZ231" s="21">
        <f t="shared" si="1976"/>
        <v>15.960000000000008</v>
      </c>
      <c r="BA231" s="21">
        <f t="shared" si="1976"/>
        <v>30.220000000000002</v>
      </c>
      <c r="BB231" s="21">
        <f t="shared" si="1976"/>
        <v>20.800000000000008</v>
      </c>
      <c r="BC231" s="21">
        <f t="shared" si="1976"/>
        <v>22.699999999999989</v>
      </c>
      <c r="BD231" s="21">
        <f t="shared" si="1976"/>
        <v>19.199999999999996</v>
      </c>
      <c r="BE231" s="21">
        <f t="shared" si="1976"/>
        <v>35.89999999999997</v>
      </c>
      <c r="BF231" s="21">
        <f t="shared" si="1976"/>
        <v>22.200000000000014</v>
      </c>
      <c r="BG231" s="21">
        <f t="shared" si="1976"/>
        <v>25.199999999999982</v>
      </c>
      <c r="BH231" s="21">
        <f t="shared" si="1976"/>
        <v>26.799999999999994</v>
      </c>
      <c r="BI231" s="21">
        <f t="shared" si="1976"/>
        <v>37.100000000000023</v>
      </c>
      <c r="BJ231" s="21">
        <f t="shared" si="1976"/>
        <v>26.799999999999958</v>
      </c>
      <c r="BK231" s="21">
        <f t="shared" si="1976"/>
        <v>36.099999999999994</v>
      </c>
      <c r="BL231" s="21">
        <f t="shared" si="1976"/>
        <v>36.200000000000017</v>
      </c>
      <c r="BM231" s="21">
        <f t="shared" si="1976"/>
        <v>47.3</v>
      </c>
      <c r="BN231" s="21">
        <f t="shared" si="1976"/>
        <v>20.800000000000011</v>
      </c>
      <c r="BO231" s="21">
        <f t="shared" si="1976"/>
        <v>18.100000000000009</v>
      </c>
      <c r="BP231" s="21">
        <f t="shared" si="1976"/>
        <v>53</v>
      </c>
      <c r="BQ231" s="21">
        <f t="shared" si="1976"/>
        <v>43.699999999999989</v>
      </c>
      <c r="BR231" s="21">
        <f t="shared" si="1976"/>
        <v>54.7</v>
      </c>
      <c r="BS231" s="21">
        <f t="shared" si="1976"/>
        <v>38.000000000000028</v>
      </c>
      <c r="BT231" s="21">
        <f t="shared" si="1976"/>
        <v>49.80000000000004</v>
      </c>
      <c r="BU231" s="21">
        <f t="shared" si="1976"/>
        <v>50.400000000000034</v>
      </c>
      <c r="BV231" s="21">
        <f t="shared" si="1976"/>
        <v>50.899999999999984</v>
      </c>
      <c r="BW231" s="21">
        <f t="shared" si="1976"/>
        <v>58.499999999999964</v>
      </c>
      <c r="BX231" s="21">
        <f t="shared" si="1976"/>
        <v>50.700000000000031</v>
      </c>
      <c r="BY231" s="21">
        <f t="shared" si="1976"/>
        <v>67.899999999999991</v>
      </c>
      <c r="BZ231" s="21">
        <f t="shared" si="1976"/>
        <v>52.599999999999994</v>
      </c>
      <c r="CA231" s="21">
        <f t="shared" si="1976"/>
        <v>74.799999999999983</v>
      </c>
      <c r="CB231" s="21">
        <f t="shared" si="1976"/>
        <v>62.400000000000077</v>
      </c>
      <c r="CC231" s="21">
        <f t="shared" si="1976"/>
        <v>68.600000000000009</v>
      </c>
      <c r="CD231" s="21">
        <f t="shared" si="1976"/>
        <v>57.500000000000036</v>
      </c>
      <c r="CE231" s="21">
        <f t="shared" ref="CE231:CF231" si="1977">CE229+CE230</f>
        <v>81.399999999999977</v>
      </c>
      <c r="CF231" s="21">
        <f t="shared" si="1977"/>
        <v>75.399999999999963</v>
      </c>
      <c r="CG231" s="21">
        <f t="shared" ref="CG231:CH231" si="1978">CG229+CG230</f>
        <v>87.499999999999986</v>
      </c>
      <c r="CH231" s="21">
        <f t="shared" si="1978"/>
        <v>65.500000000000043</v>
      </c>
      <c r="CI231" s="21">
        <f t="shared" ref="CI231:CJ231" si="1979">CI229+CI230</f>
        <v>84.400000000000063</v>
      </c>
      <c r="CJ231" s="21">
        <f t="shared" si="1979"/>
        <v>82.300000000000068</v>
      </c>
      <c r="CK231" s="21">
        <f t="shared" ref="CK231:DA231" si="1980">CK229+CK230</f>
        <v>96.59999999999998</v>
      </c>
      <c r="CL231" s="21">
        <f t="shared" si="1980"/>
        <v>54.299999999999955</v>
      </c>
      <c r="CM231" s="20">
        <f t="shared" si="1980"/>
        <v>106.47456689878746</v>
      </c>
      <c r="CN231" s="20">
        <f t="shared" si="1980"/>
        <v>90.02612957798479</v>
      </c>
      <c r="CO231" s="20">
        <f t="shared" si="1980"/>
        <v>122.61776040029363</v>
      </c>
      <c r="CP231" s="20">
        <f t="shared" si="1980"/>
        <v>68.453146205963151</v>
      </c>
      <c r="CQ231" s="20">
        <f t="shared" si="1980"/>
        <v>116.01542342038438</v>
      </c>
      <c r="CR231" s="20">
        <f t="shared" si="1980"/>
        <v>101.06817805843414</v>
      </c>
      <c r="CS231" s="20">
        <f t="shared" si="1980"/>
        <v>138.72621584146304</v>
      </c>
      <c r="CT231" s="20">
        <f t="shared" si="1980"/>
        <v>76.656381000521279</v>
      </c>
      <c r="CU231" s="20">
        <f t="shared" si="1980"/>
        <v>128.02596393166741</v>
      </c>
      <c r="CV231" s="20">
        <f t="shared" si="1980"/>
        <v>111.42408528897624</v>
      </c>
      <c r="CW231" s="20">
        <f t="shared" si="1980"/>
        <v>153.18370241162313</v>
      </c>
      <c r="CX231" s="20">
        <f t="shared" si="1980"/>
        <v>87.592400134413708</v>
      </c>
      <c r="CY231" s="20">
        <f t="shared" si="1980"/>
        <v>144.08165225808938</v>
      </c>
      <c r="CZ231" s="20">
        <f t="shared" si="1980"/>
        <v>125.91748623014243</v>
      </c>
      <c r="DA231" s="20">
        <f t="shared" si="1980"/>
        <v>171.98736030641382</v>
      </c>
      <c r="DD231" s="125"/>
      <c r="DE231" s="21">
        <v>328.79999999999967</v>
      </c>
    </row>
    <row r="232" spans="1:109" s="22" customFormat="1" x14ac:dyDescent="0.2">
      <c r="A232" s="22" t="s">
        <v>65</v>
      </c>
      <c r="C232" s="22">
        <f t="shared" ref="C232:AA232" si="1981">B184-C184+B199+B200-C199-C200</f>
        <v>-15.911500000000018</v>
      </c>
      <c r="D232" s="22">
        <f t="shared" si="1981"/>
        <v>16.308600000000013</v>
      </c>
      <c r="E232" s="22">
        <f>D184-E184+D199+D200-E199-E200</f>
        <v>-6.8859999999999939</v>
      </c>
      <c r="F232" s="22">
        <f t="shared" si="1981"/>
        <v>-30.969799999999992</v>
      </c>
      <c r="G232" s="22">
        <f t="shared" si="1981"/>
        <v>-22.510500000000008</v>
      </c>
      <c r="H232" s="22">
        <f t="shared" si="1981"/>
        <v>-28.789899999999978</v>
      </c>
      <c r="I232" s="22">
        <f t="shared" si="1981"/>
        <v>-67.540600000000012</v>
      </c>
      <c r="J232" s="22">
        <f>I184-J184+I199+I200-J199-J200</f>
        <v>-41.858500000000049</v>
      </c>
      <c r="K232" s="22">
        <f>J184-K184+J199+J200-K199-K200</f>
        <v>37.128299999999996</v>
      </c>
      <c r="L232" s="22">
        <f t="shared" si="1981"/>
        <v>-65.953300000000013</v>
      </c>
      <c r="M232" s="22">
        <f t="shared" si="1981"/>
        <v>-121.26889999999996</v>
      </c>
      <c r="N232" s="22">
        <f t="shared" si="1981"/>
        <v>42.350000000000044</v>
      </c>
      <c r="O232" s="22">
        <f t="shared" si="1981"/>
        <v>20.207000000000001</v>
      </c>
      <c r="P232" s="22">
        <f t="shared" si="1981"/>
        <v>-83.183000000000035</v>
      </c>
      <c r="Q232" s="22">
        <f t="shared" si="1981"/>
        <v>21.634000000000004</v>
      </c>
      <c r="R232" s="22">
        <f t="shared" si="1981"/>
        <v>-33.669000000000032</v>
      </c>
      <c r="S232" s="22">
        <f t="shared" si="1981"/>
        <v>-119.46900000000005</v>
      </c>
      <c r="T232" s="22">
        <f t="shared" si="1981"/>
        <v>-110.47399999999998</v>
      </c>
      <c r="U232" s="22">
        <f t="shared" si="1981"/>
        <v>-13.263999999999916</v>
      </c>
      <c r="V232" s="22">
        <f t="shared" si="1981"/>
        <v>12.465999999999996</v>
      </c>
      <c r="W232" s="22">
        <f t="shared" si="1981"/>
        <v>-108.19600000000015</v>
      </c>
      <c r="X232" s="22">
        <f t="shared" si="1981"/>
        <v>-277.85299999999984</v>
      </c>
      <c r="Y232" s="22">
        <f t="shared" si="1981"/>
        <v>-145.57400000000004</v>
      </c>
      <c r="Z232" s="22">
        <f t="shared" si="1981"/>
        <v>-182.61900000000009</v>
      </c>
      <c r="AA232" s="22">
        <f t="shared" si="1981"/>
        <v>-417.85800000000017</v>
      </c>
      <c r="AB232" s="23">
        <f t="shared" ref="AB232" si="1982">AA184-AB184+AA199+AA200-AB199-AB200</f>
        <v>-203.70224242980618</v>
      </c>
      <c r="AC232" s="23">
        <f t="shared" ref="AC232" si="1983">AB184-AC184+AB199+AB200-AC199-AC200</f>
        <v>-200.08159573423973</v>
      </c>
      <c r="AD232" s="23">
        <f t="shared" ref="AD232" si="1984">AC184-AD184+AC199+AC200-AD199-AD200</f>
        <v>-223.79467922790627</v>
      </c>
      <c r="AE232" s="23">
        <f t="shared" ref="AE232" si="1985">AD184-AE184+AD199+AD200-AE199-AE200</f>
        <v>-247.19672202273205</v>
      </c>
      <c r="AI232" s="22">
        <f>AH184-AI184+AH199+AH200-AI199-AJ200</f>
        <v>-441.84999999999997</v>
      </c>
      <c r="AJ232" s="22">
        <f t="shared" ref="AJ232:AL232" si="1986">AI184-AJ184+AI199+AI200-AJ199-AK200</f>
        <v>33.339769452449502</v>
      </c>
      <c r="AK232" s="22">
        <f t="shared" si="1986"/>
        <v>408.51023054755046</v>
      </c>
      <c r="AL232" s="22">
        <f t="shared" si="1986"/>
        <v>0</v>
      </c>
      <c r="AM232" s="22">
        <f t="shared" ref="AM232" si="1987">AL184-AM184+AL199+AL200-AM199-AM200</f>
        <v>-420.31</v>
      </c>
      <c r="AN232" s="22">
        <f t="shared" ref="AN232" si="1988">AM184-AN184+AM199+AM200-AN199-AN200</f>
        <v>8.5857934637843982</v>
      </c>
      <c r="AO232" s="22">
        <f t="shared" ref="AO232" si="1989">AN184-AO184+AN199+AN200-AO199-AO200</f>
        <v>10.594206536215601</v>
      </c>
      <c r="AP232" s="22">
        <f t="shared" ref="AP232" si="1990">AO184-AP184+AO199+AO200-AP199-AP200</f>
        <v>14.846842770058743</v>
      </c>
      <c r="AQ232" s="22">
        <f t="shared" ref="AQ232" si="1991">AP184-AQ184+AP199+AP200-AQ199-AQ200</f>
        <v>-67.536842770058783</v>
      </c>
      <c r="AR232" s="22">
        <f t="shared" ref="AR232" si="1992">AQ184-AR184+AQ199+AQ200-AR199-AR200</f>
        <v>0.8070017557060396</v>
      </c>
      <c r="AS232" s="22">
        <f t="shared" ref="AS232" si="1993">AR184-AS184+AR199+AR200-AS199-AS200</f>
        <v>-31.297001755705999</v>
      </c>
      <c r="AT232" s="22">
        <f t="shared" ref="AT232" si="1994">AS184-AT184+AS199+AS200-AT199-AT200</f>
        <v>67.559060367682264</v>
      </c>
      <c r="AU232" s="22">
        <f t="shared" ref="AU232" si="1995">AT184-AU184+AT199+AT200-AU199-AU200</f>
        <v>-42.139060367682262</v>
      </c>
      <c r="AV232" s="22">
        <f t="shared" ref="AV232" si="1996">AU184-AV184+AU199+AU200-AV199-AV200</f>
        <v>25.113126280545714</v>
      </c>
      <c r="AW232" s="22">
        <f t="shared" ref="AW232" si="1997">AV184-AW184+AV199+AV200-AW199-AW200</f>
        <v>-28.903126280545671</v>
      </c>
      <c r="AX232" s="22">
        <f t="shared" ref="AX232" si="1998">AW184-AX184+AW199+AW200-AX199-AX200</f>
        <v>49.710180586907427</v>
      </c>
      <c r="AY232" s="22">
        <f t="shared" ref="AY232" si="1999">AX184-AY184+AX199+AX200-AY199-AY200</f>
        <v>-19.090180586907415</v>
      </c>
      <c r="AZ232" s="22">
        <f t="shared" ref="AZ232" si="2000">AY184-AZ184+AY199+AY200-AZ199-AZ200</f>
        <v>81.603245824490216</v>
      </c>
      <c r="BA232" s="22">
        <f t="shared" ref="BA232" si="2001">AZ184-BA184+AZ199+AZ200-BA199-BA200</f>
        <v>-145.88324582449025</v>
      </c>
      <c r="BB232" s="22">
        <f t="shared" ref="BB232" si="2002">BA184-BB184+BA199+BA200-BB199-BB200</f>
        <v>87.045691652342896</v>
      </c>
      <c r="BC232" s="22">
        <f t="shared" ref="BC232" si="2003">BB184-BC184+BB199+BB200-BC199-BC200</f>
        <v>-156.54569165234295</v>
      </c>
      <c r="BD232" s="22">
        <f t="shared" ref="BD232" si="2004">BC184-BD184+BC199+BC200-BD199-BD200</f>
        <v>44.766436575526711</v>
      </c>
      <c r="BE232" s="22">
        <f t="shared" ref="BE232" si="2005">BD184-BE184+BD199+BD200-BE199-BE200</f>
        <v>-94.726436575526748</v>
      </c>
      <c r="BF232" s="22">
        <f t="shared" ref="BF232" si="2006">BE184-BF184+BE199+BE200-BF199-BF200</f>
        <v>177.18104814137729</v>
      </c>
      <c r="BG232" s="22">
        <f t="shared" ref="BG232" si="2007">BF184-BG184+BF199+BF200-BG199-BG200</f>
        <v>-181.98104814137716</v>
      </c>
      <c r="BH232" s="22">
        <f t="shared" ref="BH232" si="2008">BG184-BH184+BG199+BG200-BH199-BH200</f>
        <v>-51.951419558359703</v>
      </c>
      <c r="BI232" s="22">
        <f t="shared" ref="BI232" si="2009">BH184-BI184+BH199+BH200-BI199-BI200</f>
        <v>-53.748580441640364</v>
      </c>
      <c r="BJ232" s="22">
        <f t="shared" ref="BJ232" si="2010">BI184-BJ184+BI199+BI200-BJ199-BJ200</f>
        <v>98.150634737449423</v>
      </c>
      <c r="BK232" s="22">
        <f t="shared" ref="BK232" si="2011">BJ184-BK184+BJ199+BJ200-BK199-BK200</f>
        <v>-90.050634737449386</v>
      </c>
      <c r="BL232" s="22">
        <f t="shared" ref="BL232" si="2012">BK184-BL184+BK199+BK200-BL199-BL200</f>
        <v>-122.67726971504305</v>
      </c>
      <c r="BM232" s="22">
        <f t="shared" ref="BM232" si="2013">BL184-BM184+BL199+BL200-BM199-BM200</f>
        <v>101.37726971504308</v>
      </c>
      <c r="BN232" s="22">
        <f t="shared" ref="BN232" si="2014">BM184-BN184+BM199+BM200-BN199-BN200</f>
        <v>147.41839762611278</v>
      </c>
      <c r="BO232" s="22">
        <f t="shared" ref="BO232" si="2015">BN184-BO184+BN199+BN200-BO199-BO200</f>
        <v>-94.618397626112738</v>
      </c>
      <c r="BP232" s="22">
        <f t="shared" ref="BP232" si="2016">BO184-BP184+BO199+BO200-BP199-BP200</f>
        <v>-378.90616719963475</v>
      </c>
      <c r="BQ232" s="22">
        <f t="shared" ref="BQ232" si="2017">BP184-BQ184+BP199+BP200-BQ199-BQ200</f>
        <v>312.30616719963484</v>
      </c>
      <c r="BR232" s="22">
        <f t="shared" ref="BR232" si="2018">BQ184-BR184+BQ199+BQ200-BR199-BR200</f>
        <v>-19.851094890511149</v>
      </c>
      <c r="BS232" s="22">
        <f t="shared" ref="BS232" si="2019">BR184-BS184+BR199+BR200-BS199-BS200</f>
        <v>12.151094890511036</v>
      </c>
      <c r="BT232" s="22">
        <f t="shared" ref="BT232" si="2020">BS184-BT184+BS199+BS200-BT199-BT200</f>
        <v>-134.45405940594071</v>
      </c>
      <c r="BU232" s="22">
        <f t="shared" ref="BU232" si="2021">BT184-BU184+BT199+BT200-BU199-BU200</f>
        <v>32.854059405940689</v>
      </c>
      <c r="BV232" s="22">
        <f t="shared" ref="BV232" si="2022">BU184-BV184+BU199+BU200-BV199-BV200</f>
        <v>42.419230769230694</v>
      </c>
      <c r="BW232" s="22">
        <f t="shared" ref="BW232" si="2023">BV184-BW184+BV199+BV200-BW199-BW200</f>
        <v>-136.71923076923076</v>
      </c>
      <c r="BX232" s="22">
        <f t="shared" ref="BX232" si="2024">BW184-BX184+BW199+BW200-BX199-BX200</f>
        <v>30.367372881355891</v>
      </c>
      <c r="BY232" s="22">
        <f t="shared" ref="BY232" si="2025">BX184-BY184+BX199+BX200-BY199-BY200</f>
        <v>-213.46737288135577</v>
      </c>
      <c r="BZ232" s="22">
        <f t="shared" ref="BZ232" si="2026">BY184-BZ184+BY199+BY200-BZ199-BZ200</f>
        <v>64.369043080442225</v>
      </c>
      <c r="CA232" s="22">
        <f t="shared" ref="CA232" si="2027">BZ184-CA184+BZ199+BZ200-CA199-CA200</f>
        <v>-188.7690430804422</v>
      </c>
      <c r="CB232" s="22">
        <f t="shared" ref="CB232" si="2028">CA184-CB184+CA199+CA200-CB199-CB200</f>
        <v>51.773921867072204</v>
      </c>
      <c r="CC232" s="22">
        <f t="shared" ref="CC232" si="2029">CB184-CC184+CB199+CB200-CC199-CC200</f>
        <v>-73.073921867072343</v>
      </c>
      <c r="CD232" s="22">
        <f t="shared" ref="CD232" si="2030">CC184-CD184+CC199+CC200-CD199-CD200</f>
        <v>109.92884168602723</v>
      </c>
      <c r="CE232" s="22">
        <f t="shared" ref="CE232" si="2031">CD184-CE184+CD199+CD200-CE199-CE200</f>
        <v>-165.92884168602723</v>
      </c>
      <c r="CF232" s="22">
        <f t="shared" ref="CF232" si="2032">CE184-CF184+CE199+CE200-CF199-CF200</f>
        <v>53.068034055727594</v>
      </c>
      <c r="CG232" s="22">
        <f t="shared" ref="CG232" si="2033">CF184-CG184+CF199+CF200-CG199-CG200</f>
        <v>-152.68003405572762</v>
      </c>
      <c r="CH232" s="22">
        <f t="shared" ref="CH232:CL232" si="2034">CG184-CH184+CG199+CG200-CH199-CH200</f>
        <v>233.19875550660822</v>
      </c>
      <c r="CI232" s="22">
        <f t="shared" si="2034"/>
        <v>-418.68675550660816</v>
      </c>
      <c r="CJ232" s="22">
        <f t="shared" si="2034"/>
        <v>36.595590220488702</v>
      </c>
      <c r="CK232" s="22">
        <f t="shared" ref="CK232" si="2035">CJ184-CK184+CJ199+CJ200-CK199-CK200</f>
        <v>-302.99559022048862</v>
      </c>
      <c r="CL232" s="22">
        <f t="shared" si="2034"/>
        <v>385.74401785714281</v>
      </c>
      <c r="CM232" s="23">
        <f t="shared" ref="CM232" si="2036">CL184-CM184+CL199+CL200-CM199-CM200</f>
        <v>-346.50214177598559</v>
      </c>
      <c r="CN232" s="23">
        <f t="shared" ref="CN232" si="2037">CM184-CN184+CM199+CM200-CN199-CN200</f>
        <v>-155.11177152999448</v>
      </c>
      <c r="CO232" s="23">
        <f t="shared" ref="CO232" si="2038">CN184-CO184+CN199+CN200-CO199-CO200</f>
        <v>-53.819346980969158</v>
      </c>
      <c r="CP232" s="23">
        <f t="shared" ref="CP232" si="2039">CO184-CP184+CO199+CO200-CP199-CP200</f>
        <v>217.43680093206831</v>
      </c>
      <c r="CQ232" s="23">
        <f t="shared" ref="CQ232" si="2040">CP184-CQ184+CP199+CP200-CQ199-CQ200</f>
        <v>-183.96412164626577</v>
      </c>
      <c r="CR232" s="23">
        <f t="shared" ref="CR232" si="2041">CQ184-CR184+CQ199+CQ200-CR199-CR200</f>
        <v>-173.03051753615841</v>
      </c>
      <c r="CS232" s="23">
        <f t="shared" ref="CS232" si="2042">CR184-CS184+CR199+CR200-CS199-CS200</f>
        <v>-60.523757483883855</v>
      </c>
      <c r="CT232" s="23">
        <f t="shared" ref="CT232" si="2043">CS184-CT184+CS199+CS200-CT199-CT200</f>
        <v>237.19753609354416</v>
      </c>
      <c r="CU232" s="23">
        <f t="shared" ref="CU232" si="2044">CT184-CU184+CT199+CT200-CU199-CU200</f>
        <v>-203.05300449614811</v>
      </c>
      <c r="CV232" s="23">
        <f t="shared" ref="CV232" si="2045">CU184-CV184+CU199+CU200-CV199-CV200</f>
        <v>-190.9980686060735</v>
      </c>
      <c r="CW232" s="23">
        <f t="shared" ref="CW232" si="2046">CV184-CW184+CV199+CV200-CW199-CW200</f>
        <v>-66.941142219228823</v>
      </c>
      <c r="CX232" s="23">
        <f t="shared" ref="CX232" si="2047">CW184-CX184+CW199+CW200-CX199-CX200</f>
        <v>260.36998840779233</v>
      </c>
      <c r="CY232" s="23">
        <f t="shared" ref="CY232" si="2048">CX184-CY184+CX199+CX200-CY199-CY200</f>
        <v>-223.54942982109287</v>
      </c>
      <c r="CZ232" s="23">
        <f t="shared" ref="CZ232" si="2049">CY184-CZ184+CY199+CY200-CZ199-CZ200</f>
        <v>-210.28128012436355</v>
      </c>
      <c r="DA232" s="23">
        <f t="shared" ref="DA232" si="2050">CZ184-DA184+CZ199+CZ200-DA199-DA200</f>
        <v>-73.736000485067962</v>
      </c>
      <c r="DD232" s="122"/>
      <c r="DE232" s="22">
        <v>-451.87099999999987</v>
      </c>
    </row>
    <row r="233" spans="1:109" s="22" customFormat="1" x14ac:dyDescent="0.2">
      <c r="A233" s="22" t="s">
        <v>73</v>
      </c>
      <c r="C233" s="22">
        <f t="shared" ref="C233:AA233" si="2051">B192-C192</f>
        <v>-6.1810000000000045</v>
      </c>
      <c r="D233" s="22">
        <f t="shared" si="2051"/>
        <v>-8.7468999999999966</v>
      </c>
      <c r="E233" s="22">
        <f>D192-E192</f>
        <v>-6.5255000000000081</v>
      </c>
      <c r="F233" s="22">
        <f t="shared" si="2051"/>
        <v>-15.969499999999996</v>
      </c>
      <c r="G233" s="22">
        <f t="shared" si="2051"/>
        <v>-9.152000000000001</v>
      </c>
      <c r="H233" s="22">
        <f t="shared" si="2051"/>
        <v>-28.888199999999998</v>
      </c>
      <c r="I233" s="22">
        <f t="shared" si="2051"/>
        <v>-28.464400000000012</v>
      </c>
      <c r="J233" s="22">
        <f>I192-J192</f>
        <v>-26.297299999999979</v>
      </c>
      <c r="K233" s="22">
        <f>J192-K192</f>
        <v>-12.873199999999997</v>
      </c>
      <c r="L233" s="22">
        <f t="shared" si="2051"/>
        <v>-31.700299999999999</v>
      </c>
      <c r="M233" s="22">
        <f t="shared" si="2051"/>
        <v>-27.410700000000048</v>
      </c>
      <c r="N233" s="22">
        <f t="shared" si="2051"/>
        <v>-12.475999999999942</v>
      </c>
      <c r="O233" s="22">
        <f t="shared" si="2051"/>
        <v>-14.718000000000018</v>
      </c>
      <c r="P233" s="22">
        <f t="shared" si="2051"/>
        <v>-47.902999999999963</v>
      </c>
      <c r="Q233" s="22">
        <f t="shared" si="2051"/>
        <v>-14.427000000000078</v>
      </c>
      <c r="R233" s="22">
        <f t="shared" si="2051"/>
        <v>25.920000000000016</v>
      </c>
      <c r="S233" s="22">
        <f t="shared" si="2051"/>
        <v>-33.514999999999986</v>
      </c>
      <c r="T233" s="22">
        <f t="shared" si="2051"/>
        <v>-94.627999999999986</v>
      </c>
      <c r="U233" s="22">
        <f t="shared" si="2051"/>
        <v>-98.360000000000014</v>
      </c>
      <c r="V233" s="22">
        <f t="shared" si="2051"/>
        <v>-42.447999999999979</v>
      </c>
      <c r="W233" s="22">
        <f t="shared" si="2051"/>
        <v>-8.9680000000000746</v>
      </c>
      <c r="X233" s="22">
        <f t="shared" si="2051"/>
        <v>-81.871999999999957</v>
      </c>
      <c r="Y233" s="22">
        <f t="shared" si="2051"/>
        <v>-81.886000000000081</v>
      </c>
      <c r="Z233" s="22">
        <f t="shared" si="2051"/>
        <v>-98.100999999999885</v>
      </c>
      <c r="AA233" s="22">
        <f t="shared" si="2051"/>
        <v>-253.42399999999998</v>
      </c>
      <c r="AB233" s="23">
        <f t="shared" ref="AB233" si="2052">AA192-AB192</f>
        <v>-100.39000930686871</v>
      </c>
      <c r="AC233" s="23">
        <f t="shared" ref="AC233" si="2053">AB192-AC192</f>
        <v>-118.39286050512464</v>
      </c>
      <c r="AD233" s="23">
        <f t="shared" ref="AD233" si="2054">AC192-AD192</f>
        <v>-132.42443485312765</v>
      </c>
      <c r="AE233" s="23">
        <f t="shared" ref="AE233" si="2055">AD192-AE192</f>
        <v>-146.27195929921868</v>
      </c>
      <c r="AI233" s="22">
        <f t="shared" ref="AI233" si="2056">AH192-AI192</f>
        <v>-238.92999999999998</v>
      </c>
      <c r="AJ233" s="22">
        <f t="shared" ref="AJ233" si="2057">AI192-AJ192</f>
        <v>0</v>
      </c>
      <c r="AK233" s="22">
        <f t="shared" ref="AK233" si="2058">AJ192-AK192</f>
        <v>238.92999999999998</v>
      </c>
      <c r="AL233" s="22">
        <f t="shared" ref="AL233" si="2059">AK192-AL192</f>
        <v>0</v>
      </c>
      <c r="AM233" s="22">
        <f t="shared" ref="AM233" si="2060">AL192-AM192</f>
        <v>-240.76000000000002</v>
      </c>
      <c r="AN233" s="22">
        <f t="shared" ref="AN233" si="2061">AM192-AN192</f>
        <v>2.7119342280503815</v>
      </c>
      <c r="AO233" s="22">
        <f t="shared" ref="AO233" si="2062">AN192-AO192</f>
        <v>-46.161934228050399</v>
      </c>
      <c r="AP233" s="22">
        <f t="shared" ref="AP233" si="2063">AO192-AP192</f>
        <v>6.2144785545609693</v>
      </c>
      <c r="AQ233" s="22">
        <f t="shared" ref="AQ233" si="2064">AP192-AQ192</f>
        <v>-5.9144785545609011</v>
      </c>
      <c r="AR233" s="22">
        <f t="shared" ref="AR233" si="2065">AQ192-AR192</f>
        <v>0.31728116378224058</v>
      </c>
      <c r="AS233" s="22">
        <f t="shared" ref="AS233" si="2066">AR192-AS192</f>
        <v>-48.507281163782238</v>
      </c>
      <c r="AT233" s="22">
        <f t="shared" ref="AT233" si="2067">AS192-AT192</f>
        <v>27.271286887739564</v>
      </c>
      <c r="AU233" s="22">
        <f t="shared" ref="AU233" si="2068">AT192-AU192</f>
        <v>16.618713112260366</v>
      </c>
      <c r="AV233" s="22">
        <f t="shared" ref="AV233" si="2069">AU192-AV192</f>
        <v>9.8478916595872192</v>
      </c>
      <c r="AW233" s="22">
        <f t="shared" ref="AW233" si="2070">AV192-AW192</f>
        <v>-68.167891659587156</v>
      </c>
      <c r="AX233" s="22">
        <f t="shared" ref="AX233" si="2071">AW192-AX192</f>
        <v>21.282528216704236</v>
      </c>
      <c r="AY233" s="22">
        <f t="shared" ref="AY233" si="2072">AX192-AY192</f>
        <v>19.347471783295759</v>
      </c>
      <c r="AZ233" s="22">
        <f t="shared" ref="AZ233" si="2073">AY192-AZ192</f>
        <v>38.806876903201953</v>
      </c>
      <c r="BA233" s="22">
        <f t="shared" ref="BA233" si="2074">AZ192-BA192</f>
        <v>-53.51687690320199</v>
      </c>
      <c r="BB233" s="22">
        <f t="shared" ref="BB233" si="2075">BA192-BB192</f>
        <v>35.032170988715336</v>
      </c>
      <c r="BC233" s="22">
        <f t="shared" ref="BC233" si="2076">BB192-BC192</f>
        <v>-56.872170988715311</v>
      </c>
      <c r="BD233" s="22">
        <f t="shared" ref="BD233" si="2077">BC192-BD192</f>
        <v>20.351142985208412</v>
      </c>
      <c r="BE233" s="22">
        <f t="shared" ref="BE233" si="2078">BD192-BE192</f>
        <v>-32.101142985208469</v>
      </c>
      <c r="BF233" s="22">
        <f t="shared" ref="BF233" si="2079">BE192-BF192</f>
        <v>62.679646556977502</v>
      </c>
      <c r="BG233" s="22">
        <f t="shared" ref="BG233" si="2080">BF192-BG192</f>
        <v>-54.679646556977445</v>
      </c>
      <c r="BH233" s="22">
        <f t="shared" ref="BH233" si="2081">BG192-BH192</f>
        <v>-19.518769716088343</v>
      </c>
      <c r="BI233" s="22">
        <f t="shared" ref="BI233" si="2082">BH192-BI192</f>
        <v>-83.08123028391168</v>
      </c>
      <c r="BJ233" s="22">
        <f t="shared" ref="BJ233" si="2083">BI192-BJ192</f>
        <v>35.990219272937111</v>
      </c>
      <c r="BK233" s="22">
        <f t="shared" ref="BK233" si="2084">BJ192-BK192</f>
        <v>-71.890219272937088</v>
      </c>
      <c r="BL233" s="22">
        <f t="shared" ref="BL233" si="2085">BK192-BL192</f>
        <v>-52.145791915175607</v>
      </c>
      <c r="BM233" s="22">
        <f t="shared" ref="BM233" si="2086">BL192-BM192</f>
        <v>-10.254208084824427</v>
      </c>
      <c r="BN233" s="22">
        <f t="shared" ref="BN233" si="2087">BM192-BN192</f>
        <v>57.519287833827946</v>
      </c>
      <c r="BO233" s="22">
        <f t="shared" ref="BO233" si="2088">BN192-BO192</f>
        <v>-19.819287833827957</v>
      </c>
      <c r="BP233" s="22">
        <f t="shared" ref="BP233" si="2089">BO192-BP192</f>
        <v>-163.18382823206929</v>
      </c>
      <c r="BQ233" s="22">
        <f t="shared" ref="BQ233" si="2090">BP192-BQ192</f>
        <v>82.983828232069413</v>
      </c>
      <c r="BR233" s="22">
        <f t="shared" ref="BR233" si="2091">BQ192-BR192</f>
        <v>-8.312408759124196</v>
      </c>
      <c r="BS233" s="22">
        <f t="shared" ref="BS233" si="2092">BR192-BS192</f>
        <v>38.21240875912406</v>
      </c>
      <c r="BT233" s="22">
        <f t="shared" ref="BT233" si="2093">BS192-BT192</f>
        <v>-53.798811881188158</v>
      </c>
      <c r="BU233" s="22">
        <f t="shared" ref="BU233" si="2094">BT192-BU192</f>
        <v>14.89881188118818</v>
      </c>
      <c r="BV233" s="22">
        <f t="shared" ref="BV233" si="2095">BU192-BV192</f>
        <v>16.892667566351861</v>
      </c>
      <c r="BW233" s="22">
        <f t="shared" ref="BW233" si="2096">BV192-BW192</f>
        <v>11.807332433648185</v>
      </c>
      <c r="BX233" s="22">
        <f t="shared" ref="BX233" si="2097">BW192-BX192</f>
        <v>11.513135593220227</v>
      </c>
      <c r="BY233" s="22">
        <f t="shared" ref="BY233" si="2098">BX192-BY192</f>
        <v>-122.11313559322025</v>
      </c>
      <c r="BZ233" s="22">
        <f t="shared" ref="BZ233" si="2099">BY192-BZ192</f>
        <v>20.969309950438401</v>
      </c>
      <c r="CA233" s="22">
        <f t="shared" ref="CA233" si="2100">BZ192-CA192</f>
        <v>-114.36930995043838</v>
      </c>
      <c r="CB233" s="22">
        <f t="shared" ref="CB233" si="2101">CA192-CB192</f>
        <v>18.498021308980128</v>
      </c>
      <c r="CC233" s="22">
        <f t="shared" ref="CC233" si="2102">CB192-CC192</f>
        <v>-6.8980213089802191</v>
      </c>
      <c r="CD233" s="22">
        <f t="shared" ref="CD233" si="2103">CC192-CD192</f>
        <v>33.270361765681969</v>
      </c>
      <c r="CE233" s="22">
        <f t="shared" ref="CE233" si="2104">CD192-CE192</f>
        <v>-150.9703617656819</v>
      </c>
      <c r="CF233" s="22">
        <f t="shared" ref="CF233" si="2105">CE192-CF192</f>
        <v>16.567492260061954</v>
      </c>
      <c r="CG233" s="22">
        <f t="shared" ref="CG233" si="2106">CF192-CG192</f>
        <v>3.0375077399380643</v>
      </c>
      <c r="CH233" s="22">
        <f t="shared" ref="CH233:CL233" si="2107">CG192-CH192</f>
        <v>67.073478799559439</v>
      </c>
      <c r="CI233" s="22">
        <f t="shared" si="2107"/>
        <v>-176.37847879955939</v>
      </c>
      <c r="CJ233" s="22">
        <f t="shared" si="2107"/>
        <v>10.923788810559472</v>
      </c>
      <c r="CK233" s="22">
        <f t="shared" ref="CK233" si="2108">CJ192-CK192</f>
        <v>-155.02378881055972</v>
      </c>
      <c r="CL233" s="22">
        <f t="shared" si="2107"/>
        <v>102.83866071428588</v>
      </c>
      <c r="CM233" s="23">
        <f t="shared" ref="CM233" si="2109">CL192-CM192</f>
        <v>-79.61834430394083</v>
      </c>
      <c r="CN233" s="23">
        <f t="shared" ref="CN233" si="2110">CM192-CN192</f>
        <v>-91.783186064977826</v>
      </c>
      <c r="CO233" s="23">
        <f t="shared" ref="CO233" si="2111">CN192-CO192</f>
        <v>-31.846139652235706</v>
      </c>
      <c r="CP233" s="23">
        <f t="shared" ref="CP233" si="2112">CO192-CP192</f>
        <v>128.66233271961846</v>
      </c>
      <c r="CQ233" s="23">
        <f t="shared" ref="CQ233" si="2113">CP192-CQ192</f>
        <v>-108.85578212272821</v>
      </c>
      <c r="CR233" s="23">
        <f t="shared" ref="CR233" si="2114">CQ192-CR192</f>
        <v>-102.38611827645582</v>
      </c>
      <c r="CS233" s="23">
        <f t="shared" ref="CS233" si="2115">CR192-CS192</f>
        <v>-35.813292825559074</v>
      </c>
      <c r="CT233" s="23">
        <f t="shared" ref="CT233" si="2116">CS192-CT192</f>
        <v>140.35521208149021</v>
      </c>
      <c r="CU233" s="23">
        <f t="shared" ref="CU233" si="2117">CT192-CU192</f>
        <v>-120.15111109164854</v>
      </c>
      <c r="CV233" s="23">
        <f t="shared" ref="CV233" si="2118">CU192-CV192</f>
        <v>-113.01792956141117</v>
      </c>
      <c r="CW233" s="23">
        <f t="shared" ref="CW233" si="2119">CV192-CW192</f>
        <v>-39.610606281558148</v>
      </c>
      <c r="CX233" s="23">
        <f t="shared" ref="CX233" si="2120">CW192-CX192</f>
        <v>154.06688258439067</v>
      </c>
      <c r="CY233" s="23">
        <f t="shared" ref="CY233" si="2121">CX192-CY192</f>
        <v>-132.27931516481613</v>
      </c>
      <c r="CZ233" s="23">
        <f t="shared" ref="CZ233" si="2122">CY192-CZ192</f>
        <v>-124.42824725204036</v>
      </c>
      <c r="DA233" s="23">
        <f t="shared" ref="DA233" si="2123">CZ192-DA192</f>
        <v>-43.631279466752858</v>
      </c>
      <c r="DD233" s="122"/>
      <c r="DE233" s="22">
        <v>-253.4050000000002</v>
      </c>
    </row>
    <row r="234" spans="1:109" s="21" customFormat="1" x14ac:dyDescent="0.2">
      <c r="A234" s="21" t="s">
        <v>90</v>
      </c>
      <c r="C234" s="21">
        <f t="shared" ref="C234:W234" si="2124">C232-C233</f>
        <v>-9.7305000000000135</v>
      </c>
      <c r="D234" s="21">
        <f t="shared" si="2124"/>
        <v>25.055500000000009</v>
      </c>
      <c r="E234" s="21">
        <f t="shared" si="2124"/>
        <v>-0.36049999999998583</v>
      </c>
      <c r="F234" s="21">
        <f t="shared" si="2124"/>
        <v>-15.000299999999996</v>
      </c>
      <c r="G234" s="21">
        <f t="shared" si="2124"/>
        <v>-13.358500000000006</v>
      </c>
      <c r="H234" s="21">
        <f t="shared" si="2124"/>
        <v>9.8300000000019594E-2</v>
      </c>
      <c r="I234" s="21">
        <f t="shared" si="2124"/>
        <v>-39.0762</v>
      </c>
      <c r="J234" s="21">
        <f>J232-J233</f>
        <v>-15.561200000000071</v>
      </c>
      <c r="K234" s="21">
        <f t="shared" si="2124"/>
        <v>50.001499999999993</v>
      </c>
      <c r="L234" s="21">
        <f t="shared" si="2124"/>
        <v>-34.253000000000014</v>
      </c>
      <c r="M234" s="21">
        <f t="shared" si="2124"/>
        <v>-93.858199999999911</v>
      </c>
      <c r="N234" s="21">
        <f t="shared" si="2124"/>
        <v>54.825999999999986</v>
      </c>
      <c r="O234" s="21">
        <f t="shared" si="2124"/>
        <v>34.925000000000018</v>
      </c>
      <c r="P234" s="21">
        <f t="shared" si="2124"/>
        <v>-35.280000000000072</v>
      </c>
      <c r="Q234" s="21">
        <f t="shared" si="2124"/>
        <v>36.061000000000078</v>
      </c>
      <c r="R234" s="21">
        <f t="shared" si="2124"/>
        <v>-59.589000000000048</v>
      </c>
      <c r="S234" s="21">
        <f t="shared" si="2124"/>
        <v>-85.954000000000065</v>
      </c>
      <c r="T234" s="21">
        <f t="shared" si="2124"/>
        <v>-15.845999999999989</v>
      </c>
      <c r="U234" s="21">
        <f t="shared" si="2124"/>
        <v>85.096000000000103</v>
      </c>
      <c r="V234" s="21">
        <f t="shared" si="2124"/>
        <v>54.913999999999973</v>
      </c>
      <c r="W234" s="21">
        <f t="shared" si="2124"/>
        <v>-99.22800000000008</v>
      </c>
      <c r="X234" s="21">
        <f t="shared" ref="X234:Y234" si="2125">X232-X233</f>
        <v>-195.98099999999988</v>
      </c>
      <c r="Y234" s="21">
        <f t="shared" si="2125"/>
        <v>-63.68799999999996</v>
      </c>
      <c r="Z234" s="21">
        <f t="shared" ref="Z234:AA234" si="2126">Z232-Z233</f>
        <v>-84.5180000000002</v>
      </c>
      <c r="AA234" s="21">
        <f t="shared" ref="AA234" si="2127">AA232-AA233</f>
        <v>-164.4340000000002</v>
      </c>
      <c r="AB234" s="20">
        <f t="shared" ref="AB234:AD234" si="2128">AB232-AB233</f>
        <v>-103.31223312293747</v>
      </c>
      <c r="AC234" s="20">
        <f t="shared" si="2128"/>
        <v>-81.688735229115082</v>
      </c>
      <c r="AD234" s="20">
        <f t="shared" si="2128"/>
        <v>-91.370244374778622</v>
      </c>
      <c r="AE234" s="20">
        <f t="shared" ref="AE234" si="2129">AE232-AE233</f>
        <v>-100.92476272351337</v>
      </c>
      <c r="AI234" s="21">
        <f t="shared" ref="AI234" si="2130">AI232-AI233</f>
        <v>-202.92</v>
      </c>
      <c r="AJ234" s="21">
        <f t="shared" ref="AJ234:AL234" si="2131">AJ232-AJ233</f>
        <v>33.339769452449502</v>
      </c>
      <c r="AK234" s="21">
        <f t="shared" si="2131"/>
        <v>169.58023054755049</v>
      </c>
      <c r="AL234" s="21">
        <f t="shared" si="2131"/>
        <v>0</v>
      </c>
      <c r="AM234" s="21">
        <f t="shared" ref="AM234" si="2132">AM232-AM233</f>
        <v>-179.54999999999998</v>
      </c>
      <c r="AN234" s="21">
        <f t="shared" ref="AN234:CD234" si="2133">AN232-AN233</f>
        <v>5.8738592357340167</v>
      </c>
      <c r="AO234" s="21">
        <f t="shared" si="2133"/>
        <v>56.756140764266</v>
      </c>
      <c r="AP234" s="21">
        <f t="shared" si="2133"/>
        <v>8.6323642154977733</v>
      </c>
      <c r="AQ234" s="21">
        <f t="shared" si="2133"/>
        <v>-61.622364215497882</v>
      </c>
      <c r="AR234" s="21">
        <f t="shared" si="2133"/>
        <v>0.48972059192379902</v>
      </c>
      <c r="AS234" s="21">
        <f t="shared" si="2133"/>
        <v>17.210279408076239</v>
      </c>
      <c r="AT234" s="21">
        <f t="shared" si="2133"/>
        <v>40.2877734799427</v>
      </c>
      <c r="AU234" s="21">
        <f t="shared" si="2133"/>
        <v>-58.757773479942628</v>
      </c>
      <c r="AV234" s="21">
        <f t="shared" si="2133"/>
        <v>15.265234620958495</v>
      </c>
      <c r="AW234" s="21">
        <f t="shared" si="2133"/>
        <v>39.264765379041485</v>
      </c>
      <c r="AX234" s="21">
        <f t="shared" si="2133"/>
        <v>28.427652370203191</v>
      </c>
      <c r="AY234" s="21">
        <f t="shared" si="2133"/>
        <v>-38.437652370203175</v>
      </c>
      <c r="AZ234" s="21">
        <f t="shared" si="2133"/>
        <v>42.796368921288263</v>
      </c>
      <c r="BA234" s="21">
        <f t="shared" si="2133"/>
        <v>-92.366368921288256</v>
      </c>
      <c r="BB234" s="21">
        <f t="shared" si="2133"/>
        <v>52.01352066362756</v>
      </c>
      <c r="BC234" s="21">
        <f t="shared" si="2133"/>
        <v>-99.673520663627642</v>
      </c>
      <c r="BD234" s="21">
        <f t="shared" si="2133"/>
        <v>24.415293590318299</v>
      </c>
      <c r="BE234" s="21">
        <f t="shared" si="2133"/>
        <v>-62.625293590318279</v>
      </c>
      <c r="BF234" s="21">
        <f t="shared" si="2133"/>
        <v>114.50140158439979</v>
      </c>
      <c r="BG234" s="21">
        <f t="shared" si="2133"/>
        <v>-127.30140158439971</v>
      </c>
      <c r="BH234" s="21">
        <f t="shared" si="2133"/>
        <v>-32.43264984227136</v>
      </c>
      <c r="BI234" s="21">
        <f t="shared" si="2133"/>
        <v>29.332649842271316</v>
      </c>
      <c r="BJ234" s="21">
        <f t="shared" si="2133"/>
        <v>62.160415464512312</v>
      </c>
      <c r="BK234" s="21">
        <f t="shared" si="2133"/>
        <v>-18.160415464512297</v>
      </c>
      <c r="BL234" s="21">
        <f t="shared" si="2133"/>
        <v>-70.531477799867446</v>
      </c>
      <c r="BM234" s="21">
        <f t="shared" si="2133"/>
        <v>111.63147779986751</v>
      </c>
      <c r="BN234" s="21">
        <f t="shared" si="2133"/>
        <v>89.899109792284833</v>
      </c>
      <c r="BO234" s="21">
        <f t="shared" si="2133"/>
        <v>-74.799109792284781</v>
      </c>
      <c r="BP234" s="21">
        <f t="shared" si="2133"/>
        <v>-215.72233896756546</v>
      </c>
      <c r="BQ234" s="21">
        <f t="shared" si="2133"/>
        <v>229.32233896756543</v>
      </c>
      <c r="BR234" s="21">
        <f t="shared" si="2133"/>
        <v>-11.538686131386953</v>
      </c>
      <c r="BS234" s="21">
        <f t="shared" si="2133"/>
        <v>-26.061313868613023</v>
      </c>
      <c r="BT234" s="21">
        <f t="shared" si="2133"/>
        <v>-80.655247524752554</v>
      </c>
      <c r="BU234" s="21">
        <f t="shared" si="2133"/>
        <v>17.955247524752508</v>
      </c>
      <c r="BV234" s="21">
        <f t="shared" si="2133"/>
        <v>25.526563202878833</v>
      </c>
      <c r="BW234" s="21">
        <f t="shared" si="2133"/>
        <v>-148.52656320287895</v>
      </c>
      <c r="BX234" s="21">
        <f t="shared" si="2133"/>
        <v>18.854237288135664</v>
      </c>
      <c r="BY234" s="21">
        <f t="shared" si="2133"/>
        <v>-91.354237288135522</v>
      </c>
      <c r="BZ234" s="21">
        <f t="shared" si="2133"/>
        <v>43.399733130003824</v>
      </c>
      <c r="CA234" s="21">
        <f t="shared" si="2133"/>
        <v>-74.399733130003824</v>
      </c>
      <c r="CB234" s="21">
        <f t="shared" si="2133"/>
        <v>33.275900558092076</v>
      </c>
      <c r="CC234" s="21">
        <f t="shared" si="2133"/>
        <v>-66.175900558092124</v>
      </c>
      <c r="CD234" s="21">
        <f t="shared" si="2133"/>
        <v>76.658479920345258</v>
      </c>
      <c r="CE234" s="21">
        <f t="shared" ref="CE234:CF234" si="2134">CE232-CE233</f>
        <v>-14.958479920345326</v>
      </c>
      <c r="CF234" s="21">
        <f t="shared" si="2134"/>
        <v>36.50054179566564</v>
      </c>
      <c r="CG234" s="21">
        <f t="shared" ref="CG234:CH234" si="2135">CG232-CG233</f>
        <v>-155.71754179566568</v>
      </c>
      <c r="CH234" s="21">
        <f t="shared" si="2135"/>
        <v>166.12527670704878</v>
      </c>
      <c r="CI234" s="21">
        <f t="shared" ref="CI234:CJ234" si="2136">CI232-CI233</f>
        <v>-242.30827670704878</v>
      </c>
      <c r="CJ234" s="21">
        <f t="shared" si="2136"/>
        <v>25.67180140992923</v>
      </c>
      <c r="CK234" s="21">
        <f t="shared" ref="CK234:DA234" si="2137">CK232-CK233</f>
        <v>-147.9718014099289</v>
      </c>
      <c r="CL234" s="21">
        <f t="shared" si="2137"/>
        <v>282.90535714285693</v>
      </c>
      <c r="CM234" s="20">
        <f t="shared" si="2137"/>
        <v>-266.88379747204476</v>
      </c>
      <c r="CN234" s="20">
        <f t="shared" si="2137"/>
        <v>-63.328585465016658</v>
      </c>
      <c r="CO234" s="20">
        <f t="shared" si="2137"/>
        <v>-21.973207328733452</v>
      </c>
      <c r="CP234" s="20">
        <f t="shared" si="2137"/>
        <v>88.774468212449847</v>
      </c>
      <c r="CQ234" s="20">
        <f t="shared" si="2137"/>
        <v>-75.108339523537552</v>
      </c>
      <c r="CR234" s="20">
        <f t="shared" si="2137"/>
        <v>-70.644399259702595</v>
      </c>
      <c r="CS234" s="20">
        <f t="shared" si="2137"/>
        <v>-24.710464658324781</v>
      </c>
      <c r="CT234" s="20">
        <f t="shared" si="2137"/>
        <v>96.84232401205395</v>
      </c>
      <c r="CU234" s="20">
        <f t="shared" si="2137"/>
        <v>-82.90189340449956</v>
      </c>
      <c r="CV234" s="20">
        <f t="shared" si="2137"/>
        <v>-77.980139044662337</v>
      </c>
      <c r="CW234" s="20">
        <f t="shared" si="2137"/>
        <v>-27.330535937670675</v>
      </c>
      <c r="CX234" s="20">
        <f t="shared" si="2137"/>
        <v>106.30310582340167</v>
      </c>
      <c r="CY234" s="20">
        <f t="shared" si="2137"/>
        <v>-91.270114656276746</v>
      </c>
      <c r="CZ234" s="20">
        <f t="shared" si="2137"/>
        <v>-85.853032872323183</v>
      </c>
      <c r="DA234" s="20">
        <f t="shared" si="2137"/>
        <v>-30.104721018315104</v>
      </c>
      <c r="DD234" s="125"/>
      <c r="DE234" s="21">
        <v>-198.46599999999967</v>
      </c>
    </row>
    <row r="235" spans="1:109" s="21" customFormat="1" x14ac:dyDescent="0.2">
      <c r="A235" s="21" t="s">
        <v>91</v>
      </c>
      <c r="C235" s="21">
        <f t="shared" ref="C235:W235" si="2138">C231+C234</f>
        <v>6.9730999999999952</v>
      </c>
      <c r="D235" s="21">
        <f>D231+D234</f>
        <v>45.955299999999987</v>
      </c>
      <c r="E235" s="21">
        <f t="shared" si="2138"/>
        <v>29.465000000000011</v>
      </c>
      <c r="F235" s="21">
        <f t="shared" si="2138"/>
        <v>24.383799999999965</v>
      </c>
      <c r="G235" s="21">
        <f t="shared" si="2138"/>
        <v>36.078399999999988</v>
      </c>
      <c r="H235" s="21">
        <f t="shared" si="2138"/>
        <v>64.600600000000028</v>
      </c>
      <c r="I235" s="21">
        <f t="shared" si="2138"/>
        <v>21.787199999999999</v>
      </c>
      <c r="J235" s="21">
        <f>J231+J234</f>
        <v>68.119999999999891</v>
      </c>
      <c r="K235" s="21">
        <f t="shared" si="2138"/>
        <v>141.3866000000001</v>
      </c>
      <c r="L235" s="21">
        <f t="shared" si="2138"/>
        <v>44.891100000000037</v>
      </c>
      <c r="M235" s="21">
        <f t="shared" si="2138"/>
        <v>-23.023199999999932</v>
      </c>
      <c r="N235" s="21">
        <f t="shared" si="2138"/>
        <v>141.94399999999999</v>
      </c>
      <c r="O235" s="21">
        <f t="shared" si="2138"/>
        <v>128.21799999999996</v>
      </c>
      <c r="P235" s="21">
        <f t="shared" si="2138"/>
        <v>60.697999999999979</v>
      </c>
      <c r="Q235" s="21">
        <f t="shared" si="2138"/>
        <v>132.56000000000006</v>
      </c>
      <c r="R235" s="21">
        <f t="shared" si="2138"/>
        <v>38.292999999999985</v>
      </c>
      <c r="S235" s="21">
        <f t="shared" si="2138"/>
        <v>15.808999999999926</v>
      </c>
      <c r="T235" s="21">
        <f t="shared" si="2138"/>
        <v>95.428000000000097</v>
      </c>
      <c r="U235" s="21">
        <f t="shared" si="2138"/>
        <v>231.55199999999991</v>
      </c>
      <c r="V235" s="21">
        <f t="shared" si="2138"/>
        <v>190.4679999999999</v>
      </c>
      <c r="W235" s="21">
        <f t="shared" si="2138"/>
        <v>93.694999999999922</v>
      </c>
      <c r="X235" s="21">
        <f t="shared" ref="X235:Y235" si="2139">X231+X234</f>
        <v>32.021000000000129</v>
      </c>
      <c r="Y235" s="21">
        <f t="shared" si="2139"/>
        <v>194.72299999999987</v>
      </c>
      <c r="Z235" s="21">
        <f t="shared" ref="Z235:AA235" si="2140">Z231+Z234</f>
        <v>217.28100000000035</v>
      </c>
      <c r="AA235" s="21">
        <f t="shared" ref="AA235" si="2141">AA231+AA234</f>
        <v>164.3959999999999</v>
      </c>
      <c r="AB235" s="20">
        <f t="shared" ref="AB235:AD235" si="2142">AB231+AB234</f>
        <v>270.106223754128</v>
      </c>
      <c r="AC235" s="20">
        <f t="shared" si="2142"/>
        <v>342.57422829712937</v>
      </c>
      <c r="AD235" s="20">
        <f t="shared" si="2142"/>
        <v>377.91988825800985</v>
      </c>
      <c r="AE235" s="20">
        <f t="shared" ref="AE235" si="2143">AE231+AE234</f>
        <v>428.65413620554625</v>
      </c>
      <c r="AI235" s="21">
        <f t="shared" ref="AI235" si="2144">AI231+AI234</f>
        <v>-179.68</v>
      </c>
      <c r="AJ235" s="21">
        <f t="shared" ref="AJ235:AL235" si="2145">AJ231+AJ234</f>
        <v>52.149769452449519</v>
      </c>
      <c r="AK235" s="21">
        <f t="shared" si="2145"/>
        <v>195.33023054755049</v>
      </c>
      <c r="AL235" s="21">
        <f t="shared" si="2145"/>
        <v>21.81</v>
      </c>
      <c r="AM235" s="21">
        <f t="shared" ref="AM235" si="2146">AM231+AM234</f>
        <v>-157.51</v>
      </c>
      <c r="AN235" s="21">
        <f t="shared" ref="AN235:CD235" si="2147">AN231+AN234</f>
        <v>30.533859235734035</v>
      </c>
      <c r="AO235" s="21">
        <f t="shared" si="2147"/>
        <v>74.536140764266008</v>
      </c>
      <c r="AP235" s="21">
        <f t="shared" si="2147"/>
        <v>30.472364215497784</v>
      </c>
      <c r="AQ235" s="21">
        <f t="shared" si="2147"/>
        <v>-32.362364215497877</v>
      </c>
      <c r="AR235" s="21">
        <f t="shared" si="2147"/>
        <v>25.269720591923814</v>
      </c>
      <c r="AS235" s="21">
        <f t="shared" si="2147"/>
        <v>34.300279408076236</v>
      </c>
      <c r="AT235" s="21">
        <f t="shared" si="2147"/>
        <v>53.627773479942675</v>
      </c>
      <c r="AU235" s="21">
        <f t="shared" si="2147"/>
        <v>-29.567773479942659</v>
      </c>
      <c r="AV235" s="21">
        <f t="shared" si="2147"/>
        <v>39.445234620958495</v>
      </c>
      <c r="AW235" s="21">
        <f t="shared" si="2147"/>
        <v>70.15476537904145</v>
      </c>
      <c r="AX235" s="21">
        <f t="shared" si="2147"/>
        <v>52.407652370203195</v>
      </c>
      <c r="AY235" s="21">
        <f t="shared" si="2147"/>
        <v>-13.897652370203165</v>
      </c>
      <c r="AZ235" s="21">
        <f t="shared" si="2147"/>
        <v>58.756368921288271</v>
      </c>
      <c r="BA235" s="21">
        <f t="shared" si="2147"/>
        <v>-62.146368921288257</v>
      </c>
      <c r="BB235" s="21">
        <f t="shared" si="2147"/>
        <v>72.813520663627571</v>
      </c>
      <c r="BC235" s="21">
        <f t="shared" si="2147"/>
        <v>-76.973520663627653</v>
      </c>
      <c r="BD235" s="21">
        <f t="shared" si="2147"/>
        <v>43.615293590318295</v>
      </c>
      <c r="BE235" s="21">
        <f t="shared" si="2147"/>
        <v>-26.725293590318309</v>
      </c>
      <c r="BF235" s="21">
        <f t="shared" si="2147"/>
        <v>136.7014015843998</v>
      </c>
      <c r="BG235" s="21">
        <f t="shared" si="2147"/>
        <v>-102.10140158439972</v>
      </c>
      <c r="BH235" s="21">
        <f t="shared" si="2147"/>
        <v>-5.6326498422713662</v>
      </c>
      <c r="BI235" s="21">
        <f t="shared" si="2147"/>
        <v>66.432649842271331</v>
      </c>
      <c r="BJ235" s="21">
        <f t="shared" si="2147"/>
        <v>88.960415464512266</v>
      </c>
      <c r="BK235" s="21">
        <f t="shared" si="2147"/>
        <v>17.939584535487697</v>
      </c>
      <c r="BL235" s="21">
        <f t="shared" si="2147"/>
        <v>-34.331477799867429</v>
      </c>
      <c r="BM235" s="21">
        <f t="shared" si="2147"/>
        <v>158.93147779986751</v>
      </c>
      <c r="BN235" s="21">
        <f t="shared" si="2147"/>
        <v>110.69910979228484</v>
      </c>
      <c r="BO235" s="21">
        <f t="shared" si="2147"/>
        <v>-56.699109792284773</v>
      </c>
      <c r="BP235" s="21">
        <f t="shared" si="2147"/>
        <v>-162.72233896756546</v>
      </c>
      <c r="BQ235" s="21">
        <f t="shared" si="2147"/>
        <v>273.02233896756542</v>
      </c>
      <c r="BR235" s="21">
        <f t="shared" si="2147"/>
        <v>43.16131386861305</v>
      </c>
      <c r="BS235" s="21">
        <f t="shared" si="2147"/>
        <v>11.938686131387005</v>
      </c>
      <c r="BT235" s="21">
        <f t="shared" si="2147"/>
        <v>-30.855247524752514</v>
      </c>
      <c r="BU235" s="21">
        <f t="shared" si="2147"/>
        <v>68.355247524752542</v>
      </c>
      <c r="BV235" s="21">
        <f t="shared" si="2147"/>
        <v>76.42656320287881</v>
      </c>
      <c r="BW235" s="21">
        <f t="shared" si="2147"/>
        <v>-90.026563202878975</v>
      </c>
      <c r="BX235" s="21">
        <f t="shared" si="2147"/>
        <v>69.554237288135695</v>
      </c>
      <c r="BY235" s="21">
        <f t="shared" si="2147"/>
        <v>-23.454237288135531</v>
      </c>
      <c r="BZ235" s="21">
        <f t="shared" si="2147"/>
        <v>95.999733130003818</v>
      </c>
      <c r="CA235" s="21">
        <f t="shared" si="2147"/>
        <v>0.4002668699961589</v>
      </c>
      <c r="CB235" s="21">
        <f t="shared" si="2147"/>
        <v>95.675900558092152</v>
      </c>
      <c r="CC235" s="21">
        <f t="shared" si="2147"/>
        <v>2.4240994419078845</v>
      </c>
      <c r="CD235" s="21">
        <f t="shared" si="2147"/>
        <v>134.15847992034529</v>
      </c>
      <c r="CE235" s="21">
        <f t="shared" ref="CE235:CF235" si="2148">CE231+CE234</f>
        <v>66.441520079654651</v>
      </c>
      <c r="CF235" s="21">
        <f t="shared" si="2148"/>
        <v>111.9005417956656</v>
      </c>
      <c r="CG235" s="21">
        <f t="shared" ref="CG235:CH235" si="2149">CG231+CG234</f>
        <v>-68.217541795665696</v>
      </c>
      <c r="CH235" s="21">
        <f t="shared" si="2149"/>
        <v>231.62527670704884</v>
      </c>
      <c r="CI235" s="21">
        <f t="shared" ref="CI235:CJ235" si="2150">CI231+CI234</f>
        <v>-157.90827670704871</v>
      </c>
      <c r="CJ235" s="21">
        <f t="shared" si="2150"/>
        <v>107.9718014099293</v>
      </c>
      <c r="CK235" s="21">
        <f t="shared" ref="CK235:DA235" si="2151">CK231+CK234</f>
        <v>-51.371801409928921</v>
      </c>
      <c r="CL235" s="21">
        <f t="shared" si="2151"/>
        <v>337.20535714285688</v>
      </c>
      <c r="CM235" s="20">
        <f t="shared" si="2151"/>
        <v>-160.4092305732573</v>
      </c>
      <c r="CN235" s="20">
        <f t="shared" si="2151"/>
        <v>26.697544112968131</v>
      </c>
      <c r="CO235" s="20">
        <f t="shared" si="2151"/>
        <v>100.64455307156018</v>
      </c>
      <c r="CP235" s="20">
        <f t="shared" si="2151"/>
        <v>157.227614418413</v>
      </c>
      <c r="CQ235" s="20">
        <f t="shared" si="2151"/>
        <v>40.907083896846828</v>
      </c>
      <c r="CR235" s="20">
        <f t="shared" si="2151"/>
        <v>30.423778798731547</v>
      </c>
      <c r="CS235" s="20">
        <f t="shared" si="2151"/>
        <v>114.01575118313826</v>
      </c>
      <c r="CT235" s="20">
        <f t="shared" si="2151"/>
        <v>173.49870501257521</v>
      </c>
      <c r="CU235" s="20">
        <f t="shared" si="2151"/>
        <v>45.124070527167845</v>
      </c>
      <c r="CV235" s="20">
        <f t="shared" si="2151"/>
        <v>33.443946244313906</v>
      </c>
      <c r="CW235" s="20">
        <f t="shared" si="2151"/>
        <v>125.85316647395246</v>
      </c>
      <c r="CX235" s="20">
        <f t="shared" si="2151"/>
        <v>193.89550595781537</v>
      </c>
      <c r="CY235" s="20">
        <f t="shared" si="2151"/>
        <v>52.811537601812631</v>
      </c>
      <c r="CZ235" s="20">
        <f t="shared" si="2151"/>
        <v>40.064453357819247</v>
      </c>
      <c r="DA235" s="20">
        <f t="shared" si="2151"/>
        <v>141.88263928809872</v>
      </c>
      <c r="DD235" s="125"/>
      <c r="DE235" s="21">
        <v>130.334</v>
      </c>
    </row>
    <row r="236" spans="1:109" s="22" customFormat="1" x14ac:dyDescent="0.2">
      <c r="AB236" s="23"/>
      <c r="AC236" s="23"/>
      <c r="AD236" s="23"/>
      <c r="AE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D236" s="122"/>
    </row>
    <row r="237" spans="1:109" s="21" customFormat="1" x14ac:dyDescent="0.2">
      <c r="A237" s="21" t="s">
        <v>92</v>
      </c>
      <c r="C237" s="21">
        <f t="shared" ref="C237:W237" si="2152">C238+C239</f>
        <v>-11.469700000000003</v>
      </c>
      <c r="D237" s="21">
        <f>D238+D239</f>
        <v>-8.2304000000000084</v>
      </c>
      <c r="E237" s="21">
        <f t="shared" si="2152"/>
        <v>-7.452200000000003</v>
      </c>
      <c r="F237" s="21">
        <f t="shared" si="2152"/>
        <v>-6.6773000000000033</v>
      </c>
      <c r="G237" s="21">
        <f t="shared" si="2152"/>
        <v>-12.133799999999979</v>
      </c>
      <c r="H237" s="21">
        <f t="shared" si="2152"/>
        <v>-32.473100000000002</v>
      </c>
      <c r="I237" s="21">
        <f t="shared" si="2152"/>
        <v>-35.139899999999983</v>
      </c>
      <c r="J237" s="21">
        <f t="shared" si="2152"/>
        <v>-68.251900000000006</v>
      </c>
      <c r="K237" s="21">
        <f t="shared" si="2152"/>
        <v>-42.725700000000018</v>
      </c>
      <c r="L237" s="21">
        <f t="shared" si="2152"/>
        <v>-28.580400000000004</v>
      </c>
      <c r="M237" s="21">
        <f t="shared" si="2152"/>
        <v>-26.667300000000012</v>
      </c>
      <c r="N237" s="21">
        <f t="shared" si="2152"/>
        <v>-53.393000000000015</v>
      </c>
      <c r="O237" s="21">
        <f t="shared" si="2152"/>
        <v>-36.551999999999978</v>
      </c>
      <c r="P237" s="21">
        <f t="shared" si="2152"/>
        <v>-40.234000000000009</v>
      </c>
      <c r="Q237" s="21">
        <f t="shared" si="2152"/>
        <v>-36.755999999999986</v>
      </c>
      <c r="R237" s="21">
        <f t="shared" si="2152"/>
        <v>-58.947999999999979</v>
      </c>
      <c r="S237" s="21">
        <f t="shared" si="2152"/>
        <v>-111.74300000000007</v>
      </c>
      <c r="T237" s="21">
        <f t="shared" si="2152"/>
        <v>-54.540999999999954</v>
      </c>
      <c r="U237" s="21">
        <f t="shared" si="2152"/>
        <v>-66.942000000000064</v>
      </c>
      <c r="V237" s="21">
        <f t="shared" si="2152"/>
        <v>-45.328999999999965</v>
      </c>
      <c r="W237" s="21">
        <f t="shared" si="2152"/>
        <v>-53.346999999999966</v>
      </c>
      <c r="X237" s="21">
        <f t="shared" ref="X237:Y237" si="2153">X238+X239</f>
        <v>-75.08100000000006</v>
      </c>
      <c r="Y237" s="21">
        <f t="shared" si="2153"/>
        <v>-131.22199999999998</v>
      </c>
      <c r="Z237" s="21">
        <f t="shared" ref="Z237:AA237" si="2154">Z238+Z239</f>
        <v>-104.34700000000007</v>
      </c>
      <c r="AA237" s="21">
        <f t="shared" ref="AA237" si="2155">AA238+AA239</f>
        <v>-127.36399999999995</v>
      </c>
      <c r="AB237" s="20">
        <f t="shared" ref="AB237:AD237" si="2156">AB238+AB239</f>
        <v>-55.034218300046575</v>
      </c>
      <c r="AC237" s="20">
        <f t="shared" si="2156"/>
        <v>-104.06130980027854</v>
      </c>
      <c r="AD237" s="20">
        <f t="shared" si="2156"/>
        <v>-109.44914073385974</v>
      </c>
      <c r="AE237" s="20">
        <f t="shared" ref="AE237" si="2157">AE238+AE239</f>
        <v>-114.83697166744071</v>
      </c>
      <c r="AI237" s="21">
        <f t="shared" ref="AI237" si="2158">AI238+AI239</f>
        <v>-179.29000000000002</v>
      </c>
      <c r="AJ237" s="21">
        <f t="shared" ref="AJ237:AL237" si="2159">AJ238+AJ239</f>
        <v>-5.8899999999999864</v>
      </c>
      <c r="AK237" s="21">
        <f t="shared" si="2159"/>
        <v>167.3</v>
      </c>
      <c r="AL237" s="21">
        <f t="shared" si="2159"/>
        <v>-6.2</v>
      </c>
      <c r="AM237" s="21">
        <f t="shared" ref="AM237" si="2160">AM238+AM239</f>
        <v>-203.79000000000002</v>
      </c>
      <c r="AN237" s="21">
        <f t="shared" ref="AN237:CD237" si="2161">AN238+AN239</f>
        <v>-6.7599999999999909</v>
      </c>
      <c r="AO237" s="21">
        <f t="shared" si="2161"/>
        <v>-47.750000000000007</v>
      </c>
      <c r="AP237" s="21">
        <f t="shared" si="2161"/>
        <v>-6.710000000000008</v>
      </c>
      <c r="AQ237" s="21">
        <f t="shared" si="2161"/>
        <v>38.210000000000015</v>
      </c>
      <c r="AR237" s="21">
        <f t="shared" si="2161"/>
        <v>-6.9099999999999966</v>
      </c>
      <c r="AS237" s="21">
        <f t="shared" si="2161"/>
        <v>-64.820000000000022</v>
      </c>
      <c r="AT237" s="21">
        <f t="shared" si="2161"/>
        <v>-6.9300000000000068</v>
      </c>
      <c r="AU237" s="21">
        <f t="shared" si="2161"/>
        <v>36.840000000000011</v>
      </c>
      <c r="AV237" s="21">
        <f t="shared" si="2161"/>
        <v>-7.3300000000000125</v>
      </c>
      <c r="AW237" s="21">
        <f t="shared" si="2161"/>
        <v>-59.339999999999996</v>
      </c>
      <c r="AX237" s="21">
        <f t="shared" si="2161"/>
        <v>-7.1299999999999955</v>
      </c>
      <c r="AY237" s="21">
        <f t="shared" si="2161"/>
        <v>9.3399999999999963</v>
      </c>
      <c r="AZ237" s="21">
        <f t="shared" si="2161"/>
        <v>-7.289999999999992</v>
      </c>
      <c r="BA237" s="21">
        <f t="shared" si="2161"/>
        <v>-53.86999999999999</v>
      </c>
      <c r="BB237" s="21">
        <f t="shared" si="2161"/>
        <v>-7.5</v>
      </c>
      <c r="BC237" s="21">
        <f t="shared" si="2161"/>
        <v>-36.40000000000002</v>
      </c>
      <c r="BD237" s="21">
        <f t="shared" si="2161"/>
        <v>-7.6000000000000227</v>
      </c>
      <c r="BE237" s="21">
        <f t="shared" si="2161"/>
        <v>-60.36999999999999</v>
      </c>
      <c r="BF237" s="21">
        <f t="shared" si="2161"/>
        <v>-9.6999999999999886</v>
      </c>
      <c r="BG237" s="21">
        <f t="shared" si="2161"/>
        <v>51.800000000000011</v>
      </c>
      <c r="BH237" s="21">
        <f t="shared" si="2161"/>
        <v>-9.8000000000000114</v>
      </c>
      <c r="BI237" s="21">
        <f t="shared" si="2161"/>
        <v>-86.900000000000034</v>
      </c>
      <c r="BJ237" s="21">
        <f t="shared" si="2161"/>
        <v>-10.199999999999989</v>
      </c>
      <c r="BK237" s="21">
        <f t="shared" si="2161"/>
        <v>-7.5999999999999801</v>
      </c>
      <c r="BL237" s="21">
        <f t="shared" si="2161"/>
        <v>-10.5</v>
      </c>
      <c r="BM237" s="21">
        <f t="shared" si="2161"/>
        <v>-38.599999999999994</v>
      </c>
      <c r="BN237" s="21">
        <f t="shared" si="2161"/>
        <v>-9.8999999999999773</v>
      </c>
      <c r="BO237" s="21">
        <f t="shared" si="2161"/>
        <v>2.0000000000000568</v>
      </c>
      <c r="BP237" s="21">
        <f t="shared" si="2161"/>
        <v>-10.300000000000011</v>
      </c>
      <c r="BQ237" s="21">
        <f t="shared" si="2161"/>
        <v>-0.9000000000000199</v>
      </c>
      <c r="BR237" s="21">
        <f t="shared" si="2161"/>
        <v>-10.800000000000011</v>
      </c>
      <c r="BS237" s="21">
        <f t="shared" si="2161"/>
        <v>2.4000000000000199</v>
      </c>
      <c r="BT237" s="21">
        <f t="shared" si="2161"/>
        <v>-10.899999999999977</v>
      </c>
      <c r="BU237" s="21">
        <f t="shared" si="2161"/>
        <v>-32.90000000000002</v>
      </c>
      <c r="BV237" s="21">
        <f t="shared" si="2161"/>
        <v>-10.5</v>
      </c>
      <c r="BW237" s="21">
        <f t="shared" si="2161"/>
        <v>-7.9999999999999858</v>
      </c>
      <c r="BX237" s="21">
        <f t="shared" si="2161"/>
        <v>-11.699999999999989</v>
      </c>
      <c r="BY237" s="21">
        <f t="shared" si="2161"/>
        <v>-45.400000000000048</v>
      </c>
      <c r="BZ237" s="21">
        <f t="shared" si="2161"/>
        <v>-11.699999999999989</v>
      </c>
      <c r="CA237" s="21">
        <f t="shared" si="2161"/>
        <v>-45.999999999999957</v>
      </c>
      <c r="CB237" s="21">
        <f t="shared" si="2161"/>
        <v>-12.300000000000011</v>
      </c>
      <c r="CC237" s="21">
        <f t="shared" si="2161"/>
        <v>-61.200000000000017</v>
      </c>
      <c r="CD237" s="21">
        <f t="shared" si="2161"/>
        <v>-12.899999999999977</v>
      </c>
      <c r="CE237" s="21">
        <f t="shared" ref="CE237:CF237" si="2162">CE238+CE239</f>
        <v>-24.700000000000031</v>
      </c>
      <c r="CF237" s="21">
        <f t="shared" si="2162"/>
        <v>-13.699999999999989</v>
      </c>
      <c r="CG237" s="21">
        <f t="shared" ref="CG237:CH237" si="2163">CG238+CG239</f>
        <v>-79.948000000000022</v>
      </c>
      <c r="CH237" s="21">
        <f t="shared" si="2163"/>
        <v>-13.899999999999977</v>
      </c>
      <c r="CI237" s="21">
        <f t="shared" ref="CI237:CJ237" si="2164">CI238+CI239</f>
        <v>6.3480000000000558</v>
      </c>
      <c r="CJ237" s="21">
        <f t="shared" si="2164"/>
        <v>-14.800000000000011</v>
      </c>
      <c r="CK237" s="21">
        <f t="shared" ref="CK237:DA237" si="2165">CK238+CK239</f>
        <v>-71.000000000000014</v>
      </c>
      <c r="CL237" s="21">
        <f t="shared" si="2165"/>
        <v>-14.5</v>
      </c>
      <c r="CM237" s="20">
        <f t="shared" si="2165"/>
        <v>-24.5</v>
      </c>
      <c r="CN237" s="20">
        <f t="shared" si="2165"/>
        <v>-24.836739433348839</v>
      </c>
      <c r="CO237" s="20">
        <f t="shared" si="2165"/>
        <v>-25.173478866697678</v>
      </c>
      <c r="CP237" s="20">
        <f t="shared" si="2165"/>
        <v>-25.510218300046404</v>
      </c>
      <c r="CQ237" s="20">
        <f t="shared" si="2165"/>
        <v>-25.846957733395243</v>
      </c>
      <c r="CR237" s="20">
        <f t="shared" si="2165"/>
        <v>-26.183697166744082</v>
      </c>
      <c r="CS237" s="20">
        <f t="shared" si="2165"/>
        <v>-26.520436600092921</v>
      </c>
      <c r="CT237" s="20">
        <f t="shared" si="2165"/>
        <v>-26.85717603344176</v>
      </c>
      <c r="CU237" s="20">
        <f t="shared" si="2165"/>
        <v>-27.193915466790486</v>
      </c>
      <c r="CV237" s="20">
        <f t="shared" si="2165"/>
        <v>-27.530654900139325</v>
      </c>
      <c r="CW237" s="20">
        <f t="shared" si="2165"/>
        <v>-27.867394333488164</v>
      </c>
      <c r="CX237" s="20">
        <f t="shared" si="2165"/>
        <v>-28.204133766837003</v>
      </c>
      <c r="CY237" s="20">
        <f t="shared" si="2165"/>
        <v>-28.540873200185843</v>
      </c>
      <c r="CZ237" s="20">
        <f t="shared" si="2165"/>
        <v>-28.877612633534568</v>
      </c>
      <c r="DA237" s="20">
        <f t="shared" si="2165"/>
        <v>-29.214352066883407</v>
      </c>
      <c r="DD237" s="125"/>
      <c r="DE237" s="21">
        <v>-93.351999999999947</v>
      </c>
    </row>
    <row r="238" spans="1:109" s="22" customFormat="1" x14ac:dyDescent="0.2">
      <c r="A238" s="22" t="s">
        <v>93</v>
      </c>
      <c r="C238" s="22">
        <f t="shared" ref="C238:AA238" si="2166">B176-C176</f>
        <v>-0.30180000000000007</v>
      </c>
      <c r="D238" s="22">
        <f t="shared" si="2166"/>
        <v>-0.44250000000000078</v>
      </c>
      <c r="E238" s="22">
        <f>D176-E176</f>
        <v>-2.3924000000000003</v>
      </c>
      <c r="F238" s="22">
        <f t="shared" si="2166"/>
        <v>3.7034000000000011</v>
      </c>
      <c r="G238" s="22">
        <f t="shared" si="2166"/>
        <v>-4.0482000000000005</v>
      </c>
      <c r="H238" s="22">
        <f t="shared" si="2166"/>
        <v>-3.3079000000000001</v>
      </c>
      <c r="I238" s="22">
        <f t="shared" si="2166"/>
        <v>-2.9240999999999993</v>
      </c>
      <c r="J238" s="22">
        <f>I176-J176</f>
        <v>-5.3811999999999998</v>
      </c>
      <c r="K238" s="22">
        <f>J176-K176</f>
        <v>-4.136099999999999</v>
      </c>
      <c r="L238" s="22">
        <f t="shared" si="2166"/>
        <v>-5.7319000000000031</v>
      </c>
      <c r="M238" s="22">
        <f t="shared" si="2166"/>
        <v>-5.0777999999999963</v>
      </c>
      <c r="N238" s="22">
        <f t="shared" si="2166"/>
        <v>-4.4030000000000058</v>
      </c>
      <c r="O238" s="22">
        <f t="shared" si="2166"/>
        <v>-5.7039999999999935</v>
      </c>
      <c r="P238" s="22">
        <f t="shared" si="2166"/>
        <v>-1.4000000000000057</v>
      </c>
      <c r="Q238" s="22">
        <f t="shared" si="2166"/>
        <v>-1.4839999999999947</v>
      </c>
      <c r="R238" s="22">
        <f t="shared" si="2166"/>
        <v>-2.7379999999999995</v>
      </c>
      <c r="S238" s="22">
        <f t="shared" si="2166"/>
        <v>-3.7000000000000028</v>
      </c>
      <c r="T238" s="22">
        <f t="shared" si="2166"/>
        <v>-1.9669999999999987</v>
      </c>
      <c r="U238" s="22">
        <f t="shared" si="2166"/>
        <v>-4.642000000000003</v>
      </c>
      <c r="V238" s="22">
        <f t="shared" si="2166"/>
        <v>-1.8179999999999978</v>
      </c>
      <c r="W238" s="22">
        <f t="shared" si="2166"/>
        <v>-3.5160000000000053</v>
      </c>
      <c r="X238" s="22">
        <f t="shared" si="2166"/>
        <v>-4.4129999999999967</v>
      </c>
      <c r="Y238" s="22">
        <f t="shared" si="2166"/>
        <v>-5.375</v>
      </c>
      <c r="Z238" s="22">
        <f t="shared" si="2166"/>
        <v>-8.2920000000000016</v>
      </c>
      <c r="AA238" s="22">
        <f t="shared" si="2166"/>
        <v>-8.6769999999999925</v>
      </c>
      <c r="AB238" s="23">
        <f t="shared" ref="AB238" si="2167">AA176-AB176</f>
        <v>4.9999999999954525E-3</v>
      </c>
      <c r="AC238" s="23">
        <f t="shared" ref="AC238" si="2168">AB176-AC176</f>
        <v>0</v>
      </c>
      <c r="AD238" s="23">
        <f t="shared" ref="AD238" si="2169">AC176-AD176</f>
        <v>0</v>
      </c>
      <c r="AE238" s="23">
        <f t="shared" ref="AE238" si="2170">AD176-AE176</f>
        <v>0</v>
      </c>
      <c r="AI238" s="22">
        <f t="shared" ref="AI238" si="2171">AH176-AI176</f>
        <v>-6.36</v>
      </c>
      <c r="AJ238" s="22">
        <f t="shared" ref="AJ238" si="2172">AI176-AJ176</f>
        <v>0</v>
      </c>
      <c r="AK238" s="22">
        <f t="shared" ref="AK238" si="2173">AJ176-AK176</f>
        <v>6.36</v>
      </c>
      <c r="AL238" s="22">
        <f t="shared" ref="AL238" si="2174">AK176-AL176</f>
        <v>0</v>
      </c>
      <c r="AM238" s="22">
        <f t="shared" ref="AM238" si="2175">AL176-AM176</f>
        <v>-6.31</v>
      </c>
      <c r="AN238" s="22">
        <f t="shared" ref="AN238" si="2176">AM176-AN176</f>
        <v>0</v>
      </c>
      <c r="AO238" s="22">
        <f t="shared" ref="AO238" si="2177">AN176-AO176</f>
        <v>-42.169999999999995</v>
      </c>
      <c r="AP238" s="22">
        <f t="shared" ref="AP238" si="2178">AO176-AP176</f>
        <v>0</v>
      </c>
      <c r="AQ238" s="22">
        <f t="shared" ref="AQ238" si="2179">AP176-AQ176</f>
        <v>42.169999999999995</v>
      </c>
      <c r="AR238" s="22">
        <f t="shared" ref="AR238" si="2180">AQ176-AR176</f>
        <v>0</v>
      </c>
      <c r="AS238" s="22">
        <f t="shared" ref="AS238" si="2181">AR176-AS176</f>
        <v>-43.57</v>
      </c>
      <c r="AT238" s="22">
        <f t="shared" ref="AT238" si="2182">AS176-AT176</f>
        <v>0</v>
      </c>
      <c r="AU238" s="22">
        <f t="shared" ref="AU238" si="2183">AT176-AU176</f>
        <v>43.57</v>
      </c>
      <c r="AV238" s="22">
        <f t="shared" ref="AV238" si="2184">AU176-AV176</f>
        <v>0</v>
      </c>
      <c r="AW238" s="22">
        <f t="shared" ref="AW238" si="2185">AV176-AW176</f>
        <v>-45.059999999999995</v>
      </c>
      <c r="AX238" s="22">
        <f t="shared" ref="AX238" si="2186">AW176-AX176</f>
        <v>0</v>
      </c>
      <c r="AY238" s="22">
        <f t="shared" ref="AY238" si="2187">AX176-AY176</f>
        <v>45.059999999999995</v>
      </c>
      <c r="AZ238" s="22">
        <f t="shared" ref="AZ238" si="2188">AY176-AZ176</f>
        <v>0</v>
      </c>
      <c r="BA238" s="22">
        <f t="shared" ref="BA238" si="2189">AZ176-BA176</f>
        <v>-47.8</v>
      </c>
      <c r="BB238" s="22">
        <f t="shared" ref="BB238" si="2190">BA176-BB176</f>
        <v>0</v>
      </c>
      <c r="BC238" s="22">
        <f t="shared" ref="BC238" si="2191">BB176-BC176</f>
        <v>47.8</v>
      </c>
      <c r="BD238" s="22">
        <f t="shared" ref="BD238" si="2192">BC176-BD176</f>
        <v>0</v>
      </c>
      <c r="BE238" s="22">
        <f t="shared" ref="BE238" si="2193">BD176-BE176</f>
        <v>-51.489999999999995</v>
      </c>
      <c r="BF238" s="22">
        <f t="shared" ref="BF238" si="2194">BE176-BF176</f>
        <v>0</v>
      </c>
      <c r="BG238" s="22">
        <f t="shared" ref="BG238" si="2195">BF176-BG176</f>
        <v>51.5</v>
      </c>
      <c r="BH238" s="22">
        <f t="shared" ref="BH238" si="2196">BG176-BH176</f>
        <v>0</v>
      </c>
      <c r="BI238" s="22">
        <f t="shared" ref="BI238" si="2197">BH176-BI176</f>
        <v>-53.5</v>
      </c>
      <c r="BJ238" s="22">
        <f t="shared" ref="BJ238" si="2198">BI176-BJ176</f>
        <v>0</v>
      </c>
      <c r="BK238" s="22">
        <f t="shared" ref="BK238" si="2199">BJ176-BK176</f>
        <v>0.79999999999999716</v>
      </c>
      <c r="BL238" s="22">
        <f t="shared" ref="BL238" si="2200">BK176-BL176</f>
        <v>0</v>
      </c>
      <c r="BM238" s="22">
        <f t="shared" ref="BM238" si="2201">BL176-BM176</f>
        <v>-5.4000000000000057</v>
      </c>
      <c r="BN238" s="22">
        <f t="shared" ref="BN238" si="2202">BM176-BN176</f>
        <v>0</v>
      </c>
      <c r="BO238" s="22">
        <f t="shared" ref="BO238" si="2203">BN176-BO176</f>
        <v>-1.1999999999999886</v>
      </c>
      <c r="BP238" s="22">
        <f t="shared" ref="BP238" si="2204">BO176-BP176</f>
        <v>0</v>
      </c>
      <c r="BQ238" s="22">
        <f t="shared" ref="BQ238" si="2205">BP176-BQ176</f>
        <v>-0.60000000000000853</v>
      </c>
      <c r="BR238" s="22">
        <f t="shared" ref="BR238" si="2206">BQ176-BR176</f>
        <v>0</v>
      </c>
      <c r="BS238" s="22">
        <f t="shared" ref="BS238" si="2207">BR176-BS176</f>
        <v>-0.39999999999999147</v>
      </c>
      <c r="BT238" s="22">
        <f t="shared" ref="BT238" si="2208">BS176-BT176</f>
        <v>0</v>
      </c>
      <c r="BU238" s="22">
        <f t="shared" ref="BU238" si="2209">BT176-BU176</f>
        <v>-3.1000000000000085</v>
      </c>
      <c r="BV238" s="22">
        <f t="shared" ref="BV238" si="2210">BU176-BV176</f>
        <v>0</v>
      </c>
      <c r="BW238" s="22">
        <f t="shared" ref="BW238" si="2211">BV176-BW176</f>
        <v>-0.79999999999999716</v>
      </c>
      <c r="BX238" s="22">
        <f t="shared" ref="BX238" si="2212">BW176-BX176</f>
        <v>0</v>
      </c>
      <c r="BY238" s="22">
        <f t="shared" ref="BY238" si="2213">BX176-BY176</f>
        <v>-3.7000000000000028</v>
      </c>
      <c r="BZ238" s="22">
        <f t="shared" ref="BZ238" si="2214">BY176-BZ176</f>
        <v>0</v>
      </c>
      <c r="CA238" s="22">
        <f t="shared" ref="CA238" si="2215">BZ176-CA176</f>
        <v>0.10000000000000853</v>
      </c>
      <c r="CB238" s="22">
        <f t="shared" ref="CB238" si="2216">CA176-CB176</f>
        <v>0</v>
      </c>
      <c r="CC238" s="22">
        <f t="shared" ref="CC238" si="2217">CB176-CC176</f>
        <v>-5.4000000000000057</v>
      </c>
      <c r="CD238" s="22">
        <f t="shared" ref="CD238" si="2218">CC176-CD176</f>
        <v>0</v>
      </c>
      <c r="CE238" s="22">
        <f t="shared" ref="CE238" si="2219">CD176-CE176</f>
        <v>-1.2999999999999972</v>
      </c>
      <c r="CF238" s="22">
        <f t="shared" ref="CF238" si="2220">CE176-CF176</f>
        <v>0</v>
      </c>
      <c r="CG238" s="22">
        <f t="shared" ref="CG238" si="2221">CF176-CG176</f>
        <v>-7.0280000000000058</v>
      </c>
      <c r="CH238" s="22">
        <f t="shared" ref="CH238:CL238" si="2222">CG176-CH176</f>
        <v>0</v>
      </c>
      <c r="CI238" s="22">
        <f t="shared" si="2222"/>
        <v>-0.4719999999999942</v>
      </c>
      <c r="CJ238" s="22">
        <f t="shared" si="2222"/>
        <v>0</v>
      </c>
      <c r="CK238" s="22">
        <f t="shared" ref="CK238" si="2223">CJ176-CK176</f>
        <v>-8.2000000000000028</v>
      </c>
      <c r="CL238" s="22">
        <f t="shared" si="2222"/>
        <v>0</v>
      </c>
      <c r="CM238" s="23">
        <f t="shared" ref="CM238" si="2224">CL176-CM176</f>
        <v>0</v>
      </c>
      <c r="CN238" s="23">
        <f t="shared" ref="CN238" si="2225">CM176-CN176</f>
        <v>0</v>
      </c>
      <c r="CO238" s="23">
        <f t="shared" ref="CO238" si="2226">CN176-CO176</f>
        <v>0</v>
      </c>
      <c r="CP238" s="23">
        <f t="shared" ref="CP238" si="2227">CO176-CP176</f>
        <v>0</v>
      </c>
      <c r="CQ238" s="23">
        <f t="shared" ref="CQ238" si="2228">CP176-CQ176</f>
        <v>0</v>
      </c>
      <c r="CR238" s="23">
        <f t="shared" ref="CR238" si="2229">CQ176-CR176</f>
        <v>0</v>
      </c>
      <c r="CS238" s="23">
        <f t="shared" ref="CS238" si="2230">CR176-CS176</f>
        <v>0</v>
      </c>
      <c r="CT238" s="23">
        <f t="shared" ref="CT238" si="2231">CS176-CT176</f>
        <v>0</v>
      </c>
      <c r="CU238" s="23">
        <f t="shared" ref="CU238" si="2232">CT176-CU176</f>
        <v>0</v>
      </c>
      <c r="CV238" s="23">
        <f t="shared" ref="CV238" si="2233">CU176-CV176</f>
        <v>0</v>
      </c>
      <c r="CW238" s="23">
        <f t="shared" ref="CW238" si="2234">CV176-CW176</f>
        <v>0</v>
      </c>
      <c r="CX238" s="23">
        <f t="shared" ref="CX238" si="2235">CW176-CX176</f>
        <v>0</v>
      </c>
      <c r="CY238" s="23">
        <f t="shared" ref="CY238" si="2236">CX176-CY176</f>
        <v>0</v>
      </c>
      <c r="CZ238" s="23">
        <f t="shared" ref="CZ238" si="2237">CY176-CZ176</f>
        <v>0</v>
      </c>
      <c r="DA238" s="23">
        <f t="shared" ref="DA238" si="2238">CZ176-DA176</f>
        <v>0</v>
      </c>
      <c r="DD238" s="122"/>
      <c r="DE238" s="22">
        <v>-8.671999999999997</v>
      </c>
    </row>
    <row r="239" spans="1:109" s="22" customFormat="1" x14ac:dyDescent="0.2">
      <c r="A239" s="22" t="s">
        <v>94</v>
      </c>
      <c r="C239" s="22">
        <f t="shared" ref="C239:AE239" si="2239">B174-C68-C174</f>
        <v>-11.167900000000003</v>
      </c>
      <c r="D239" s="22">
        <f t="shared" si="2239"/>
        <v>-7.7879000000000076</v>
      </c>
      <c r="E239" s="22">
        <f t="shared" si="2239"/>
        <v>-5.0598000000000027</v>
      </c>
      <c r="F239" s="22">
        <f t="shared" si="2239"/>
        <v>-10.380700000000004</v>
      </c>
      <c r="G239" s="22">
        <f t="shared" si="2239"/>
        <v>-8.0855999999999781</v>
      </c>
      <c r="H239" s="22">
        <f t="shared" si="2239"/>
        <v>-29.165199999999999</v>
      </c>
      <c r="I239" s="22">
        <f t="shared" si="2239"/>
        <v>-32.215799999999987</v>
      </c>
      <c r="J239" s="22">
        <f t="shared" si="2239"/>
        <v>-62.870699999999999</v>
      </c>
      <c r="K239" s="22">
        <f t="shared" si="2239"/>
        <v>-38.589600000000019</v>
      </c>
      <c r="L239" s="22">
        <f t="shared" si="2239"/>
        <v>-22.848500000000001</v>
      </c>
      <c r="M239" s="22">
        <f t="shared" si="2239"/>
        <v>-21.589500000000015</v>
      </c>
      <c r="N239" s="22">
        <f t="shared" si="2239"/>
        <v>-48.990000000000009</v>
      </c>
      <c r="O239" s="22">
        <f t="shared" si="2239"/>
        <v>-30.847999999999985</v>
      </c>
      <c r="P239" s="22">
        <f t="shared" si="2239"/>
        <v>-38.834000000000003</v>
      </c>
      <c r="Q239" s="22">
        <f t="shared" si="2239"/>
        <v>-35.271999999999991</v>
      </c>
      <c r="R239" s="22">
        <f t="shared" si="2239"/>
        <v>-56.20999999999998</v>
      </c>
      <c r="S239" s="22">
        <f t="shared" si="2239"/>
        <v>-108.04300000000006</v>
      </c>
      <c r="T239" s="22">
        <f t="shared" si="2239"/>
        <v>-52.573999999999955</v>
      </c>
      <c r="U239" s="22">
        <f t="shared" si="2239"/>
        <v>-62.300000000000068</v>
      </c>
      <c r="V239" s="22">
        <f t="shared" si="2239"/>
        <v>-43.510999999999967</v>
      </c>
      <c r="W239" s="22">
        <f t="shared" si="2239"/>
        <v>-49.83099999999996</v>
      </c>
      <c r="X239" s="22">
        <f t="shared" si="2239"/>
        <v>-70.668000000000063</v>
      </c>
      <c r="Y239" s="22">
        <f t="shared" si="2239"/>
        <v>-125.84699999999998</v>
      </c>
      <c r="Z239" s="22">
        <f t="shared" si="2239"/>
        <v>-96.055000000000064</v>
      </c>
      <c r="AA239" s="22">
        <f t="shared" si="2239"/>
        <v>-118.68699999999995</v>
      </c>
      <c r="AB239" s="23">
        <f t="shared" si="2239"/>
        <v>-55.039218300046571</v>
      </c>
      <c r="AC239" s="23">
        <f t="shared" si="2239"/>
        <v>-104.06130980027854</v>
      </c>
      <c r="AD239" s="23">
        <f t="shared" si="2239"/>
        <v>-109.44914073385974</v>
      </c>
      <c r="AE239" s="23">
        <f t="shared" si="2239"/>
        <v>-114.83697166744071</v>
      </c>
      <c r="AI239" s="22">
        <f t="shared" ref="AI239:BN239" si="2240">AH174-AI68-AI174</f>
        <v>-172.93</v>
      </c>
      <c r="AJ239" s="22">
        <f t="shared" si="2240"/>
        <v>-5.8899999999999864</v>
      </c>
      <c r="AK239" s="22">
        <f t="shared" si="2240"/>
        <v>160.94</v>
      </c>
      <c r="AL239" s="22">
        <f t="shared" si="2240"/>
        <v>-6.2</v>
      </c>
      <c r="AM239" s="22">
        <f t="shared" si="2240"/>
        <v>-197.48000000000002</v>
      </c>
      <c r="AN239" s="22">
        <f t="shared" si="2240"/>
        <v>-6.7599999999999909</v>
      </c>
      <c r="AO239" s="22">
        <f t="shared" si="2240"/>
        <v>-5.5800000000000125</v>
      </c>
      <c r="AP239" s="22">
        <f t="shared" si="2240"/>
        <v>-6.710000000000008</v>
      </c>
      <c r="AQ239" s="22">
        <f t="shared" si="2240"/>
        <v>-3.9599999999999795</v>
      </c>
      <c r="AR239" s="22">
        <f t="shared" si="2240"/>
        <v>-6.9099999999999966</v>
      </c>
      <c r="AS239" s="22">
        <f t="shared" si="2240"/>
        <v>-21.250000000000028</v>
      </c>
      <c r="AT239" s="22">
        <f t="shared" si="2240"/>
        <v>-6.9300000000000068</v>
      </c>
      <c r="AU239" s="22">
        <f t="shared" si="2240"/>
        <v>-6.7299999999999898</v>
      </c>
      <c r="AV239" s="22">
        <f t="shared" si="2240"/>
        <v>-7.3300000000000125</v>
      </c>
      <c r="AW239" s="22">
        <f t="shared" si="2240"/>
        <v>-14.280000000000001</v>
      </c>
      <c r="AX239" s="22">
        <f t="shared" si="2240"/>
        <v>-7.1299999999999955</v>
      </c>
      <c r="AY239" s="22">
        <f t="shared" si="2240"/>
        <v>-35.72</v>
      </c>
      <c r="AZ239" s="22">
        <f t="shared" si="2240"/>
        <v>-7.289999999999992</v>
      </c>
      <c r="BA239" s="22">
        <f t="shared" si="2240"/>
        <v>-6.0699999999999932</v>
      </c>
      <c r="BB239" s="22">
        <f t="shared" si="2240"/>
        <v>-7.5</v>
      </c>
      <c r="BC239" s="22">
        <f t="shared" si="2240"/>
        <v>-84.200000000000017</v>
      </c>
      <c r="BD239" s="22">
        <f t="shared" si="2240"/>
        <v>-7.6000000000000227</v>
      </c>
      <c r="BE239" s="22">
        <f t="shared" si="2240"/>
        <v>-8.8799999999999955</v>
      </c>
      <c r="BF239" s="22">
        <f t="shared" si="2240"/>
        <v>-9.6999999999999886</v>
      </c>
      <c r="BG239" s="22">
        <f t="shared" si="2240"/>
        <v>0.30000000000001137</v>
      </c>
      <c r="BH239" s="22">
        <f t="shared" si="2240"/>
        <v>-9.8000000000000114</v>
      </c>
      <c r="BI239" s="22">
        <f t="shared" si="2240"/>
        <v>-33.400000000000034</v>
      </c>
      <c r="BJ239" s="22">
        <f t="shared" si="2240"/>
        <v>-10.199999999999989</v>
      </c>
      <c r="BK239" s="22">
        <f t="shared" si="2240"/>
        <v>-8.3999999999999773</v>
      </c>
      <c r="BL239" s="22">
        <f t="shared" si="2240"/>
        <v>-10.5</v>
      </c>
      <c r="BM239" s="22">
        <f t="shared" si="2240"/>
        <v>-33.199999999999989</v>
      </c>
      <c r="BN239" s="22">
        <f t="shared" si="2240"/>
        <v>-9.8999999999999773</v>
      </c>
      <c r="BO239" s="22">
        <f t="shared" ref="BO239:CT239" si="2241">BN174-BO68-BO174</f>
        <v>3.2000000000000455</v>
      </c>
      <c r="BP239" s="22">
        <f t="shared" si="2241"/>
        <v>-10.300000000000011</v>
      </c>
      <c r="BQ239" s="22">
        <f t="shared" si="2241"/>
        <v>-0.30000000000001137</v>
      </c>
      <c r="BR239" s="22">
        <f t="shared" si="2241"/>
        <v>-10.800000000000011</v>
      </c>
      <c r="BS239" s="22">
        <f t="shared" si="2241"/>
        <v>2.8000000000000114</v>
      </c>
      <c r="BT239" s="22">
        <f t="shared" si="2241"/>
        <v>-10.899999999999977</v>
      </c>
      <c r="BU239" s="22">
        <f t="shared" si="2241"/>
        <v>-29.800000000000011</v>
      </c>
      <c r="BV239" s="22">
        <f t="shared" si="2241"/>
        <v>-10.5</v>
      </c>
      <c r="BW239" s="22">
        <f t="shared" si="2241"/>
        <v>-7.1999999999999886</v>
      </c>
      <c r="BX239" s="22">
        <f t="shared" si="2241"/>
        <v>-11.699999999999989</v>
      </c>
      <c r="BY239" s="22">
        <f t="shared" si="2241"/>
        <v>-41.700000000000045</v>
      </c>
      <c r="BZ239" s="22">
        <f t="shared" si="2241"/>
        <v>-11.699999999999989</v>
      </c>
      <c r="CA239" s="22">
        <f t="shared" si="2241"/>
        <v>-46.099999999999966</v>
      </c>
      <c r="CB239" s="22">
        <f t="shared" si="2241"/>
        <v>-12.300000000000011</v>
      </c>
      <c r="CC239" s="22">
        <f t="shared" si="2241"/>
        <v>-55.800000000000011</v>
      </c>
      <c r="CD239" s="22">
        <f t="shared" si="2241"/>
        <v>-12.899999999999977</v>
      </c>
      <c r="CE239" s="22">
        <f t="shared" si="2241"/>
        <v>-23.400000000000034</v>
      </c>
      <c r="CF239" s="22">
        <f t="shared" si="2241"/>
        <v>-13.699999999999989</v>
      </c>
      <c r="CG239" s="22">
        <f t="shared" si="2241"/>
        <v>-72.920000000000016</v>
      </c>
      <c r="CH239" s="22">
        <f t="shared" si="2241"/>
        <v>-13.899999999999977</v>
      </c>
      <c r="CI239" s="22">
        <f t="shared" si="2241"/>
        <v>6.82000000000005</v>
      </c>
      <c r="CJ239" s="22">
        <f t="shared" si="2241"/>
        <v>-14.800000000000011</v>
      </c>
      <c r="CK239" s="22">
        <f t="shared" si="2241"/>
        <v>-62.800000000000011</v>
      </c>
      <c r="CL239" s="22">
        <f t="shared" si="2241"/>
        <v>-14.5</v>
      </c>
      <c r="CM239" s="23">
        <f t="shared" si="2241"/>
        <v>-24.5</v>
      </c>
      <c r="CN239" s="23">
        <f t="shared" si="2241"/>
        <v>-24.836739433348839</v>
      </c>
      <c r="CO239" s="23">
        <f t="shared" si="2241"/>
        <v>-25.173478866697678</v>
      </c>
      <c r="CP239" s="23">
        <f t="shared" si="2241"/>
        <v>-25.510218300046404</v>
      </c>
      <c r="CQ239" s="23">
        <f t="shared" si="2241"/>
        <v>-25.846957733395243</v>
      </c>
      <c r="CR239" s="23">
        <f t="shared" si="2241"/>
        <v>-26.183697166744082</v>
      </c>
      <c r="CS239" s="23">
        <f t="shared" si="2241"/>
        <v>-26.520436600092921</v>
      </c>
      <c r="CT239" s="23">
        <f t="shared" si="2241"/>
        <v>-26.85717603344176</v>
      </c>
      <c r="CU239" s="23">
        <f t="shared" ref="CU239:DA239" si="2242">CT174-CU68-CU174</f>
        <v>-27.193915466790486</v>
      </c>
      <c r="CV239" s="23">
        <f t="shared" si="2242"/>
        <v>-27.530654900139325</v>
      </c>
      <c r="CW239" s="23">
        <f t="shared" si="2242"/>
        <v>-27.867394333488164</v>
      </c>
      <c r="CX239" s="23">
        <f t="shared" si="2242"/>
        <v>-28.204133766837003</v>
      </c>
      <c r="CY239" s="23">
        <f t="shared" si="2242"/>
        <v>-28.540873200185843</v>
      </c>
      <c r="CZ239" s="23">
        <f t="shared" si="2242"/>
        <v>-28.877612633534568</v>
      </c>
      <c r="DA239" s="23">
        <f t="shared" si="2242"/>
        <v>-29.214352066883407</v>
      </c>
      <c r="DD239" s="122"/>
      <c r="DE239" s="22">
        <v>-84.67999999999995</v>
      </c>
    </row>
    <row r="240" spans="1:109" s="22" customFormat="1" x14ac:dyDescent="0.2">
      <c r="AB240" s="23"/>
      <c r="AC240" s="23"/>
      <c r="AD240" s="23"/>
      <c r="AE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D240" s="122"/>
    </row>
    <row r="241" spans="1:109" s="21" customFormat="1" x14ac:dyDescent="0.2">
      <c r="A241" s="21" t="s">
        <v>95</v>
      </c>
      <c r="C241" s="21">
        <f t="shared" ref="C241:W241" si="2243">C242+C243</f>
        <v>-1.1437999999999988</v>
      </c>
      <c r="D241" s="21">
        <f t="shared" si="2243"/>
        <v>-24.000099999999989</v>
      </c>
      <c r="E241" s="21">
        <f t="shared" si="2243"/>
        <v>-22.851700000000008</v>
      </c>
      <c r="F241" s="21">
        <f t="shared" si="2243"/>
        <v>-14.484399999999949</v>
      </c>
      <c r="G241" s="21">
        <f t="shared" si="2243"/>
        <v>-2.8397999999999968</v>
      </c>
      <c r="H241" s="21">
        <f t="shared" si="2243"/>
        <v>-12.548900000000021</v>
      </c>
      <c r="I241" s="21">
        <f t="shared" si="2243"/>
        <v>3.9558000000000231</v>
      </c>
      <c r="J241" s="21">
        <f t="shared" si="2243"/>
        <v>-4.144299999999923</v>
      </c>
      <c r="K241" s="21">
        <f t="shared" si="2243"/>
        <v>-49.578500000000119</v>
      </c>
      <c r="L241" s="21">
        <f t="shared" si="2243"/>
        <v>-14.035200000000067</v>
      </c>
      <c r="M241" s="21">
        <f t="shared" si="2243"/>
        <v>33.13310000000002</v>
      </c>
      <c r="N241" s="21">
        <f t="shared" si="2243"/>
        <v>-68.572000000000031</v>
      </c>
      <c r="O241" s="21">
        <f t="shared" si="2243"/>
        <v>-36.067999999999941</v>
      </c>
      <c r="P241" s="21">
        <f t="shared" si="2243"/>
        <v>-1.7779999999999774</v>
      </c>
      <c r="Q241" s="21">
        <f t="shared" si="2243"/>
        <v>-46.192000000000014</v>
      </c>
      <c r="R241" s="21">
        <f t="shared" si="2243"/>
        <v>-5.522999999999965</v>
      </c>
      <c r="S241" s="21">
        <f t="shared" si="2243"/>
        <v>-14.976000000000047</v>
      </c>
      <c r="T241" s="21">
        <f t="shared" si="2243"/>
        <v>6.5299999999999443</v>
      </c>
      <c r="U241" s="21">
        <f t="shared" si="2243"/>
        <v>-13.255999999999815</v>
      </c>
      <c r="V241" s="21">
        <f t="shared" si="2243"/>
        <v>-31.83299999999997</v>
      </c>
      <c r="W241" s="21">
        <f t="shared" si="2243"/>
        <v>-89.168999999999983</v>
      </c>
      <c r="X241" s="21">
        <f t="shared" ref="X241:Y241" si="2244">X242+X243</f>
        <v>-50.462999999999965</v>
      </c>
      <c r="Y241" s="21">
        <f t="shared" si="2244"/>
        <v>-49.9399999999996</v>
      </c>
      <c r="Z241" s="21">
        <f t="shared" ref="Z241:AA241" si="2245">Z242+Z243</f>
        <v>-64.034000000000788</v>
      </c>
      <c r="AA241" s="21">
        <f t="shared" ref="AA241" si="2246">AA242+AA243</f>
        <v>-77.110000000000127</v>
      </c>
      <c r="AB241" s="20">
        <f t="shared" ref="AB241:AD241" si="2247">AB242+AB243</f>
        <v>6.6000000000713044E-2</v>
      </c>
      <c r="AC241" s="20">
        <f t="shared" si="2247"/>
        <v>6.8212102632969618E-13</v>
      </c>
      <c r="AD241" s="20">
        <f t="shared" si="2247"/>
        <v>0</v>
      </c>
      <c r="AE241" s="20">
        <f t="shared" ref="AE241" si="2248">AE242+AE243</f>
        <v>-4.5474735088646412E-13</v>
      </c>
      <c r="AI241" s="21">
        <f t="shared" ref="AI241" si="2249">AI242+AI243</f>
        <v>453.97</v>
      </c>
      <c r="AJ241" s="21">
        <f t="shared" ref="AJ241:AL241" si="2250">AJ242+AJ243</f>
        <v>0</v>
      </c>
      <c r="AK241" s="21">
        <f t="shared" si="2250"/>
        <v>-503.89000000000004</v>
      </c>
      <c r="AL241" s="21">
        <f t="shared" si="2250"/>
        <v>0</v>
      </c>
      <c r="AM241" s="21">
        <f t="shared" ref="AM241" si="2251">AM242+AM243</f>
        <v>457.84</v>
      </c>
      <c r="AN241" s="21">
        <f t="shared" ref="AN241:CD241" si="2252">AN242+AN243</f>
        <v>0</v>
      </c>
      <c r="AO241" s="21">
        <f t="shared" si="2252"/>
        <v>-2.6500000000000519</v>
      </c>
      <c r="AP241" s="21">
        <f t="shared" si="2252"/>
        <v>0</v>
      </c>
      <c r="AQ241" s="21">
        <f t="shared" si="2252"/>
        <v>-34.609999999999985</v>
      </c>
      <c r="AR241" s="21">
        <f t="shared" si="2252"/>
        <v>5.6843418860808015E-14</v>
      </c>
      <c r="AS241" s="21">
        <f t="shared" si="2252"/>
        <v>35.849999999999945</v>
      </c>
      <c r="AT241" s="21">
        <f t="shared" si="2252"/>
        <v>-1.1368683772161603E-13</v>
      </c>
      <c r="AU241" s="21">
        <f t="shared" si="2252"/>
        <v>-68.129999999999967</v>
      </c>
      <c r="AV241" s="21">
        <f t="shared" si="2252"/>
        <v>1.1368683772161603E-13</v>
      </c>
      <c r="AW241" s="21">
        <f t="shared" si="2252"/>
        <v>20.839999999999925</v>
      </c>
      <c r="AX241" s="21">
        <f t="shared" si="2252"/>
        <v>1.1368683772161603E-13</v>
      </c>
      <c r="AY241" s="21">
        <f t="shared" si="2252"/>
        <v>-50.899999999999963</v>
      </c>
      <c r="AZ241" s="21">
        <f t="shared" si="2252"/>
        <v>-1.1368683772161603E-13</v>
      </c>
      <c r="BA241" s="21">
        <f t="shared" si="2252"/>
        <v>48.560000000000102</v>
      </c>
      <c r="BB241" s="21">
        <f t="shared" si="2252"/>
        <v>0</v>
      </c>
      <c r="BC241" s="21">
        <f t="shared" si="2252"/>
        <v>32.989999999999938</v>
      </c>
      <c r="BD241" s="21">
        <f t="shared" si="2252"/>
        <v>1.1368683772161603E-13</v>
      </c>
      <c r="BE241" s="21">
        <f t="shared" si="2252"/>
        <v>-44.740000000000066</v>
      </c>
      <c r="BF241" s="21">
        <f t="shared" si="2252"/>
        <v>0</v>
      </c>
      <c r="BG241" s="21">
        <f t="shared" si="2252"/>
        <v>-53.299999999999976</v>
      </c>
      <c r="BH241" s="21">
        <f t="shared" si="2252"/>
        <v>0</v>
      </c>
      <c r="BI241" s="21">
        <f t="shared" si="2252"/>
        <v>59.899999999999935</v>
      </c>
      <c r="BJ241" s="21">
        <f t="shared" si="2252"/>
        <v>0</v>
      </c>
      <c r="BK241" s="21">
        <f t="shared" si="2252"/>
        <v>-20.499999999999815</v>
      </c>
      <c r="BL241" s="21">
        <f t="shared" si="2252"/>
        <v>0</v>
      </c>
      <c r="BM241" s="21">
        <f t="shared" si="2252"/>
        <v>7.2999999999998622</v>
      </c>
      <c r="BN241" s="21">
        <f t="shared" si="2252"/>
        <v>0</v>
      </c>
      <c r="BO241" s="21">
        <f t="shared" si="2252"/>
        <v>-1.5999999999999517</v>
      </c>
      <c r="BP241" s="21">
        <f t="shared" si="2252"/>
        <v>0</v>
      </c>
      <c r="BQ241" s="21">
        <f t="shared" si="2252"/>
        <v>-30.300000000000139</v>
      </c>
      <c r="BR241" s="21">
        <f t="shared" si="2252"/>
        <v>0</v>
      </c>
      <c r="BS241" s="21">
        <f t="shared" si="2252"/>
        <v>-22.40000000000002</v>
      </c>
      <c r="BT241" s="21">
        <f t="shared" si="2252"/>
        <v>0</v>
      </c>
      <c r="BU241" s="21">
        <f t="shared" si="2252"/>
        <v>-66.800000000000139</v>
      </c>
      <c r="BV241" s="21">
        <f t="shared" si="2252"/>
        <v>1.1368683772161603E-13</v>
      </c>
      <c r="BW241" s="21">
        <f t="shared" si="2252"/>
        <v>-13.600000000000069</v>
      </c>
      <c r="BX241" s="21">
        <f t="shared" si="2252"/>
        <v>0</v>
      </c>
      <c r="BY241" s="21">
        <f t="shared" si="2252"/>
        <v>-36.800000000000139</v>
      </c>
      <c r="BZ241" s="21">
        <f t="shared" si="2252"/>
        <v>0</v>
      </c>
      <c r="CA241" s="21">
        <f t="shared" si="2252"/>
        <v>-52.799999999999955</v>
      </c>
      <c r="CB241" s="21">
        <f t="shared" si="2252"/>
        <v>0</v>
      </c>
      <c r="CC241" s="21">
        <f t="shared" si="2252"/>
        <v>2.8999999999996362</v>
      </c>
      <c r="CD241" s="21">
        <f t="shared" si="2252"/>
        <v>0</v>
      </c>
      <c r="CE241" s="21">
        <f t="shared" ref="CE241:CF241" si="2253">CE242+CE243</f>
        <v>-63.599999999999909</v>
      </c>
      <c r="CF241" s="21">
        <f t="shared" si="2253"/>
        <v>0</v>
      </c>
      <c r="CG241" s="21">
        <f t="shared" ref="CG241:CH241" si="2254">CG242+CG243</f>
        <v>-0.45000000000004547</v>
      </c>
      <c r="CH241" s="21">
        <f t="shared" si="2254"/>
        <v>0</v>
      </c>
      <c r="CI241" s="21">
        <f t="shared" ref="CI241:CJ241" si="2255">CI242+CI243</f>
        <v>-72.950000000000273</v>
      </c>
      <c r="CJ241" s="21">
        <f t="shared" si="2255"/>
        <v>0</v>
      </c>
      <c r="CK241" s="21">
        <f t="shared" ref="CK241:DA241" si="2256">CK242+CK243</f>
        <v>-4.0999999999999091</v>
      </c>
      <c r="CL241" s="21">
        <f t="shared" si="2256"/>
        <v>0</v>
      </c>
      <c r="CM241" s="20">
        <f t="shared" si="2256"/>
        <v>0</v>
      </c>
      <c r="CN241" s="20">
        <f t="shared" si="2256"/>
        <v>0</v>
      </c>
      <c r="CO241" s="20">
        <f t="shared" si="2256"/>
        <v>0</v>
      </c>
      <c r="CP241" s="20">
        <f t="shared" si="2256"/>
        <v>0</v>
      </c>
      <c r="CQ241" s="20">
        <f t="shared" si="2256"/>
        <v>2.2737367544323206E-13</v>
      </c>
      <c r="CR241" s="20">
        <f t="shared" si="2256"/>
        <v>0</v>
      </c>
      <c r="CS241" s="20">
        <f t="shared" si="2256"/>
        <v>0</v>
      </c>
      <c r="CT241" s="20">
        <f t="shared" si="2256"/>
        <v>0</v>
      </c>
      <c r="CU241" s="20">
        <f t="shared" si="2256"/>
        <v>0</v>
      </c>
      <c r="CV241" s="20">
        <f t="shared" si="2256"/>
        <v>0</v>
      </c>
      <c r="CW241" s="20">
        <f t="shared" si="2256"/>
        <v>0</v>
      </c>
      <c r="CX241" s="20">
        <f t="shared" si="2256"/>
        <v>0</v>
      </c>
      <c r="CY241" s="20">
        <f t="shared" si="2256"/>
        <v>0</v>
      </c>
      <c r="CZ241" s="20">
        <f t="shared" si="2256"/>
        <v>0</v>
      </c>
      <c r="DA241" s="20">
        <f t="shared" si="2256"/>
        <v>0</v>
      </c>
      <c r="DD241" s="125"/>
      <c r="DE241" s="21">
        <v>-77.049999999999727</v>
      </c>
    </row>
    <row r="242" spans="1:109" s="22" customFormat="1" x14ac:dyDescent="0.2">
      <c r="A242" s="22" t="s">
        <v>49</v>
      </c>
      <c r="C242" s="22">
        <f t="shared" ref="C242:AA242" si="2257">C164-B164</f>
        <v>4.9150000000000063</v>
      </c>
      <c r="D242" s="22">
        <f t="shared" si="2257"/>
        <v>-18.062200000000004</v>
      </c>
      <c r="E242" s="22">
        <f>E164-D164</f>
        <v>-15.659199999999998</v>
      </c>
      <c r="F242" s="22">
        <f t="shared" si="2257"/>
        <v>-5.0677000000000003</v>
      </c>
      <c r="G242" s="22">
        <f t="shared" si="2257"/>
        <v>3.6233000000000004</v>
      </c>
      <c r="H242" s="22">
        <f t="shared" si="2257"/>
        <v>-0.35140000000000171</v>
      </c>
      <c r="I242" s="22">
        <f t="shared" si="2257"/>
        <v>14.161500000000002</v>
      </c>
      <c r="J242" s="22">
        <f>J164-I164</f>
        <v>6.2027000000000001</v>
      </c>
      <c r="K242" s="22">
        <f>K164-J164</f>
        <v>-23.789100000000001</v>
      </c>
      <c r="L242" s="22">
        <f t="shared" si="2257"/>
        <v>6.2013999999999996</v>
      </c>
      <c r="M242" s="22">
        <f t="shared" si="2257"/>
        <v>49.447700000000005</v>
      </c>
      <c r="N242" s="22">
        <f t="shared" si="2257"/>
        <v>-46.321000000000005</v>
      </c>
      <c r="O242" s="22">
        <f t="shared" si="2257"/>
        <v>-13.668999999999999</v>
      </c>
      <c r="P242" s="22">
        <f t="shared" si="2257"/>
        <v>21.194000000000003</v>
      </c>
      <c r="Q242" s="22">
        <f t="shared" si="2257"/>
        <v>-23.082000000000001</v>
      </c>
      <c r="R242" s="22">
        <f t="shared" si="2257"/>
        <v>5.69</v>
      </c>
      <c r="S242" s="22">
        <f t="shared" si="2257"/>
        <v>5.6470000000000002</v>
      </c>
      <c r="T242" s="22">
        <f t="shared" si="2257"/>
        <v>30.792000000000002</v>
      </c>
      <c r="U242" s="22">
        <f t="shared" si="2257"/>
        <v>16.573999999999998</v>
      </c>
      <c r="V242" s="22">
        <f t="shared" si="2257"/>
        <v>0</v>
      </c>
      <c r="W242" s="22">
        <f t="shared" si="2257"/>
        <v>-60</v>
      </c>
      <c r="X242" s="22">
        <f t="shared" si="2257"/>
        <v>0</v>
      </c>
      <c r="Y242" s="22">
        <f t="shared" si="2257"/>
        <v>0</v>
      </c>
      <c r="Z242" s="22">
        <f t="shared" si="2257"/>
        <v>0</v>
      </c>
      <c r="AA242" s="22">
        <f t="shared" si="2257"/>
        <v>0</v>
      </c>
      <c r="AB242" s="23">
        <f t="shared" ref="AB242" si="2258">AB164-AA164</f>
        <v>0</v>
      </c>
      <c r="AC242" s="23">
        <f t="shared" ref="AC242" si="2259">AC164-AB164</f>
        <v>0</v>
      </c>
      <c r="AD242" s="23">
        <f t="shared" ref="AD242" si="2260">AD164-AC164</f>
        <v>0</v>
      </c>
      <c r="AE242" s="23">
        <f t="shared" ref="AE242" si="2261">AE164-AD164</f>
        <v>0</v>
      </c>
      <c r="AI242" s="22">
        <f t="shared" ref="AI242" si="2262">AI164-AH164</f>
        <v>55.75</v>
      </c>
      <c r="AJ242" s="22">
        <f t="shared" ref="AJ242" si="2263">AJ164-AI164</f>
        <v>0</v>
      </c>
      <c r="AK242" s="22">
        <f t="shared" ref="AK242" si="2264">AK164-AJ164</f>
        <v>-55.75</v>
      </c>
      <c r="AL242" s="22">
        <f t="shared" ref="AL242" si="2265">AL164-AK164</f>
        <v>0</v>
      </c>
      <c r="AM242" s="22">
        <f t="shared" ref="AM242" si="2266">AM164-AL164</f>
        <v>31.95</v>
      </c>
      <c r="AN242" s="22">
        <f t="shared" ref="AN242" si="2267">AN164-AM164</f>
        <v>0</v>
      </c>
      <c r="AO242" s="22">
        <f t="shared" ref="AO242" si="2268">AO164-AN164</f>
        <v>-28.77</v>
      </c>
      <c r="AP242" s="22">
        <f t="shared" ref="AP242" si="2269">AP164-AO164</f>
        <v>0</v>
      </c>
      <c r="AQ242" s="22">
        <f t="shared" ref="AQ242" si="2270">AQ164-AP164</f>
        <v>13.91</v>
      </c>
      <c r="AR242" s="22">
        <f t="shared" ref="AR242" si="2271">AR164-AQ164</f>
        <v>0</v>
      </c>
      <c r="AS242" s="22">
        <f t="shared" ref="AS242" si="2272">AS164-AR164</f>
        <v>7.2899999999999991</v>
      </c>
      <c r="AT242" s="22">
        <f t="shared" ref="AT242" si="2273">AT164-AS164</f>
        <v>0</v>
      </c>
      <c r="AU242" s="22">
        <f t="shared" ref="AU242" si="2274">AU164-AT164</f>
        <v>-17.34</v>
      </c>
      <c r="AV242" s="22">
        <f t="shared" ref="AV242" si="2275">AV164-AU164</f>
        <v>0</v>
      </c>
      <c r="AW242" s="22">
        <f t="shared" ref="AW242" si="2276">AW164-AV164</f>
        <v>-5.74</v>
      </c>
      <c r="AX242" s="22">
        <f t="shared" ref="AX242" si="2277">AX164-AW164</f>
        <v>0</v>
      </c>
      <c r="AY242" s="22">
        <f t="shared" ref="AY242" si="2278">AY164-AX164</f>
        <v>1.39</v>
      </c>
      <c r="AZ242" s="22">
        <f t="shared" ref="AZ242" si="2279">AZ164-AY164</f>
        <v>0</v>
      </c>
      <c r="BA242" s="22">
        <f t="shared" ref="BA242" si="2280">BA164-AZ164</f>
        <v>4.3000000000000007</v>
      </c>
      <c r="BB242" s="22">
        <f t="shared" ref="BB242" si="2281">BB164-BA164</f>
        <v>0</v>
      </c>
      <c r="BC242" s="22">
        <f t="shared" ref="BC242" si="2282">BC164-BB164</f>
        <v>99.17</v>
      </c>
      <c r="BD242" s="22">
        <f t="shared" ref="BD242" si="2283">BD164-BC164</f>
        <v>0</v>
      </c>
      <c r="BE242" s="22">
        <f t="shared" ref="BE242" si="2284">BE164-BD164</f>
        <v>-93.56</v>
      </c>
      <c r="BF242" s="22">
        <f t="shared" ref="BF242" si="2285">BF164-BE164</f>
        <v>0</v>
      </c>
      <c r="BG242" s="22">
        <f t="shared" ref="BG242" si="2286">BG164-BF164</f>
        <v>14.1</v>
      </c>
      <c r="BH242" s="22">
        <f t="shared" ref="BH242" si="2287">BH164-BG164</f>
        <v>0</v>
      </c>
      <c r="BI242" s="22">
        <f t="shared" ref="BI242" si="2288">BI164-BH164</f>
        <v>16.7</v>
      </c>
      <c r="BJ242" s="22">
        <f t="shared" ref="BJ242" si="2289">BJ164-BI164</f>
        <v>0</v>
      </c>
      <c r="BK242" s="22">
        <f t="shared" ref="BK242" si="2290">BK164-BJ164</f>
        <v>4.7000000000000028</v>
      </c>
      <c r="BL242" s="22">
        <f t="shared" ref="BL242" si="2291">BL164-BK164</f>
        <v>0</v>
      </c>
      <c r="BM242" s="22">
        <f t="shared" ref="BM242" si="2292">BM164-BL164</f>
        <v>11.899999999999999</v>
      </c>
      <c r="BN242" s="22">
        <f t="shared" ref="BN242" si="2293">BN164-BM164</f>
        <v>0</v>
      </c>
      <c r="BO242" s="22">
        <f t="shared" ref="BO242" si="2294">BO164-BN164</f>
        <v>0.20000000000000284</v>
      </c>
      <c r="BP242" s="22">
        <f t="shared" ref="BP242" si="2295">BP164-BO164</f>
        <v>0</v>
      </c>
      <c r="BQ242" s="22">
        <f t="shared" ref="BQ242" si="2296">BQ164-BP164</f>
        <v>-0.20000000000000284</v>
      </c>
      <c r="BR242" s="22">
        <f t="shared" ref="BR242" si="2297">BR164-BQ164</f>
        <v>0</v>
      </c>
      <c r="BS242" s="22">
        <f t="shared" ref="BS242" si="2298">BS164-BR164</f>
        <v>7.7000000000000028</v>
      </c>
      <c r="BT242" s="22">
        <f t="shared" ref="BT242" si="2299">BT164-BS164</f>
        <v>0</v>
      </c>
      <c r="BU242" s="22">
        <f t="shared" ref="BU242" si="2300">BU164-BT164</f>
        <v>-67.7</v>
      </c>
      <c r="BV242" s="22">
        <f t="shared" ref="BV242" si="2301">BV164-BU164</f>
        <v>0</v>
      </c>
      <c r="BW242" s="22">
        <f t="shared" ref="BW242" si="2302">BW164-BV164</f>
        <v>29.2</v>
      </c>
      <c r="BX242" s="22">
        <f t="shared" ref="BX242" si="2303">BX164-BW164</f>
        <v>0</v>
      </c>
      <c r="BY242" s="22">
        <f t="shared" ref="BY242" si="2304">BY164-BX164</f>
        <v>-29.2</v>
      </c>
      <c r="BZ242" s="22">
        <f t="shared" ref="BZ242" si="2305">BZ164-BY164</f>
        <v>0</v>
      </c>
      <c r="CA242" s="22">
        <f t="shared" ref="CA242" si="2306">CA164-BZ164</f>
        <v>0</v>
      </c>
      <c r="CB242" s="22">
        <f t="shared" ref="CB242" si="2307">CB164-CA164</f>
        <v>0</v>
      </c>
      <c r="CC242" s="22">
        <f t="shared" ref="CC242" si="2308">CC164-CB164</f>
        <v>0</v>
      </c>
      <c r="CD242" s="22">
        <f t="shared" ref="CD242" si="2309">CD164-CC164</f>
        <v>0</v>
      </c>
      <c r="CE242" s="22">
        <f t="shared" ref="CE242" si="2310">CE164-CD164</f>
        <v>0</v>
      </c>
      <c r="CF242" s="22">
        <f t="shared" ref="CF242" si="2311">CF164-CE164</f>
        <v>0</v>
      </c>
      <c r="CG242" s="22">
        <f t="shared" ref="CG242" si="2312">CG164-CF164</f>
        <v>0</v>
      </c>
      <c r="CH242" s="22">
        <f t="shared" ref="CH242:CL242" si="2313">CH164-CG164</f>
        <v>0</v>
      </c>
      <c r="CI242" s="22">
        <f t="shared" si="2313"/>
        <v>0</v>
      </c>
      <c r="CJ242" s="22">
        <f t="shared" si="2313"/>
        <v>0</v>
      </c>
      <c r="CK242" s="22">
        <f t="shared" ref="CK242" si="2314">CK164-CJ164</f>
        <v>0</v>
      </c>
      <c r="CL242" s="22">
        <f t="shared" si="2313"/>
        <v>0</v>
      </c>
      <c r="CM242" s="23">
        <f t="shared" ref="CM242" si="2315">CM164-CL164</f>
        <v>0</v>
      </c>
      <c r="CN242" s="23">
        <f t="shared" ref="CN242" si="2316">CN164-CM164</f>
        <v>0</v>
      </c>
      <c r="CO242" s="23">
        <f t="shared" ref="CO242" si="2317">CO164-CN164</f>
        <v>0</v>
      </c>
      <c r="CP242" s="23">
        <f t="shared" ref="CP242" si="2318">CP164-CO164</f>
        <v>0</v>
      </c>
      <c r="CQ242" s="23">
        <f t="shared" ref="CQ242" si="2319">CQ164-CP164</f>
        <v>0</v>
      </c>
      <c r="CR242" s="23">
        <f t="shared" ref="CR242" si="2320">CR164-CQ164</f>
        <v>0</v>
      </c>
      <c r="CS242" s="23">
        <f t="shared" ref="CS242" si="2321">CS164-CR164</f>
        <v>0</v>
      </c>
      <c r="CT242" s="23">
        <f t="shared" ref="CT242" si="2322">CT164-CS164</f>
        <v>0</v>
      </c>
      <c r="CU242" s="23">
        <f t="shared" ref="CU242" si="2323">CU164-CT164</f>
        <v>0</v>
      </c>
      <c r="CV242" s="23">
        <f t="shared" ref="CV242" si="2324">CV164-CU164</f>
        <v>0</v>
      </c>
      <c r="CW242" s="23">
        <f t="shared" ref="CW242" si="2325">CW164-CV164</f>
        <v>0</v>
      </c>
      <c r="CX242" s="23">
        <f t="shared" ref="CX242" si="2326">CX164-CW164</f>
        <v>0</v>
      </c>
      <c r="CY242" s="23">
        <f t="shared" ref="CY242" si="2327">CY164-CX164</f>
        <v>0</v>
      </c>
      <c r="CZ242" s="23">
        <f t="shared" ref="CZ242" si="2328">CZ164-CY164</f>
        <v>0</v>
      </c>
      <c r="DA242" s="23">
        <f t="shared" ref="DA242" si="2329">DA164-CZ164</f>
        <v>0</v>
      </c>
      <c r="DD242" s="122"/>
      <c r="DE242" s="22">
        <v>0</v>
      </c>
    </row>
    <row r="243" spans="1:109" s="22" customFormat="1" x14ac:dyDescent="0.2">
      <c r="A243" s="22" t="s">
        <v>27</v>
      </c>
      <c r="C243" s="22">
        <f t="shared" ref="C243:AE243" si="2330">C156-C84-B156+C158-B158</f>
        <v>-6.0588000000000051</v>
      </c>
      <c r="D243" s="22">
        <f t="shared" si="2330"/>
        <v>-5.9378999999999866</v>
      </c>
      <c r="E243" s="22">
        <f t="shared" si="2330"/>
        <v>-7.1925000000000079</v>
      </c>
      <c r="F243" s="22">
        <f t="shared" si="2330"/>
        <v>-9.416699999999949</v>
      </c>
      <c r="G243" s="22">
        <f t="shared" si="2330"/>
        <v>-6.4630999999999972</v>
      </c>
      <c r="H243" s="22">
        <f t="shared" si="2330"/>
        <v>-12.197500000000019</v>
      </c>
      <c r="I243" s="22">
        <f t="shared" si="2330"/>
        <v>-10.205699999999979</v>
      </c>
      <c r="J243" s="22">
        <f t="shared" si="2330"/>
        <v>-10.346999999999923</v>
      </c>
      <c r="K243" s="22">
        <f t="shared" si="2330"/>
        <v>-25.789400000000114</v>
      </c>
      <c r="L243" s="22">
        <f t="shared" si="2330"/>
        <v>-20.236600000000067</v>
      </c>
      <c r="M243" s="22">
        <f t="shared" si="2330"/>
        <v>-16.314599999999984</v>
      </c>
      <c r="N243" s="22">
        <f t="shared" si="2330"/>
        <v>-22.251000000000033</v>
      </c>
      <c r="O243" s="22">
        <f t="shared" si="2330"/>
        <v>-22.398999999999944</v>
      </c>
      <c r="P243" s="22">
        <f t="shared" si="2330"/>
        <v>-22.97199999999998</v>
      </c>
      <c r="Q243" s="22">
        <f t="shared" si="2330"/>
        <v>-23.110000000000014</v>
      </c>
      <c r="R243" s="22">
        <f t="shared" si="2330"/>
        <v>-11.212999999999965</v>
      </c>
      <c r="S243" s="22">
        <f t="shared" si="2330"/>
        <v>-20.623000000000047</v>
      </c>
      <c r="T243" s="22">
        <f t="shared" si="2330"/>
        <v>-24.262000000000057</v>
      </c>
      <c r="U243" s="22">
        <f t="shared" si="2330"/>
        <v>-29.829999999999814</v>
      </c>
      <c r="V243" s="22">
        <f t="shared" si="2330"/>
        <v>-31.83299999999997</v>
      </c>
      <c r="W243" s="22">
        <f t="shared" si="2330"/>
        <v>-29.168999999999983</v>
      </c>
      <c r="X243" s="22">
        <f t="shared" si="2330"/>
        <v>-50.462999999999965</v>
      </c>
      <c r="Y243" s="22">
        <f t="shared" si="2330"/>
        <v>-49.9399999999996</v>
      </c>
      <c r="Z243" s="22">
        <f t="shared" si="2330"/>
        <v>-64.034000000000788</v>
      </c>
      <c r="AA243" s="22">
        <f t="shared" si="2330"/>
        <v>-77.110000000000127</v>
      </c>
      <c r="AB243" s="23">
        <f t="shared" si="2330"/>
        <v>6.6000000000713044E-2</v>
      </c>
      <c r="AC243" s="23">
        <f t="shared" si="2330"/>
        <v>6.8212102632969618E-13</v>
      </c>
      <c r="AD243" s="23">
        <f t="shared" si="2330"/>
        <v>0</v>
      </c>
      <c r="AE243" s="23">
        <f t="shared" si="2330"/>
        <v>-4.5474735088646412E-13</v>
      </c>
      <c r="AI243" s="22">
        <f t="shared" ref="AI243:BN243" si="2331">AI156-AI84-AH156+AI158-AH158</f>
        <v>398.22</v>
      </c>
      <c r="AJ243" s="22">
        <f t="shared" si="2331"/>
        <v>0</v>
      </c>
      <c r="AK243" s="22">
        <f t="shared" si="2331"/>
        <v>-448.14000000000004</v>
      </c>
      <c r="AL243" s="22">
        <f t="shared" si="2331"/>
        <v>0</v>
      </c>
      <c r="AM243" s="22">
        <f t="shared" si="2331"/>
        <v>425.89</v>
      </c>
      <c r="AN243" s="22">
        <f t="shared" si="2331"/>
        <v>0</v>
      </c>
      <c r="AO243" s="22">
        <f t="shared" si="2331"/>
        <v>26.119999999999948</v>
      </c>
      <c r="AP243" s="22">
        <f t="shared" si="2331"/>
        <v>0</v>
      </c>
      <c r="AQ243" s="22">
        <f t="shared" si="2331"/>
        <v>-48.519999999999982</v>
      </c>
      <c r="AR243" s="22">
        <f t="shared" si="2331"/>
        <v>5.6843418860808015E-14</v>
      </c>
      <c r="AS243" s="22">
        <f t="shared" si="2331"/>
        <v>28.559999999999945</v>
      </c>
      <c r="AT243" s="22">
        <f t="shared" si="2331"/>
        <v>-1.1368683772161603E-13</v>
      </c>
      <c r="AU243" s="22">
        <f t="shared" si="2331"/>
        <v>-50.789999999999964</v>
      </c>
      <c r="AV243" s="22">
        <f t="shared" si="2331"/>
        <v>1.1368683772161603E-13</v>
      </c>
      <c r="AW243" s="22">
        <f t="shared" si="2331"/>
        <v>26.579999999999927</v>
      </c>
      <c r="AX243" s="22">
        <f t="shared" si="2331"/>
        <v>1.1368683772161603E-13</v>
      </c>
      <c r="AY243" s="22">
        <f t="shared" si="2331"/>
        <v>-52.289999999999964</v>
      </c>
      <c r="AZ243" s="22">
        <f t="shared" si="2331"/>
        <v>-1.1368683772161603E-13</v>
      </c>
      <c r="BA243" s="22">
        <f t="shared" si="2331"/>
        <v>44.260000000000105</v>
      </c>
      <c r="BB243" s="22">
        <f t="shared" si="2331"/>
        <v>0</v>
      </c>
      <c r="BC243" s="22">
        <f t="shared" si="2331"/>
        <v>-66.180000000000064</v>
      </c>
      <c r="BD243" s="22">
        <f t="shared" si="2331"/>
        <v>1.1368683772161603E-13</v>
      </c>
      <c r="BE243" s="22">
        <f t="shared" si="2331"/>
        <v>48.819999999999936</v>
      </c>
      <c r="BF243" s="22">
        <f t="shared" si="2331"/>
        <v>0</v>
      </c>
      <c r="BG243" s="22">
        <f t="shared" si="2331"/>
        <v>-67.399999999999977</v>
      </c>
      <c r="BH243" s="22">
        <f t="shared" si="2331"/>
        <v>0</v>
      </c>
      <c r="BI243" s="22">
        <f t="shared" si="2331"/>
        <v>43.199999999999932</v>
      </c>
      <c r="BJ243" s="22">
        <f t="shared" si="2331"/>
        <v>0</v>
      </c>
      <c r="BK243" s="22">
        <f t="shared" si="2331"/>
        <v>-25.199999999999818</v>
      </c>
      <c r="BL243" s="22">
        <f t="shared" si="2331"/>
        <v>0</v>
      </c>
      <c r="BM243" s="22">
        <f t="shared" si="2331"/>
        <v>-4.6000000000001364</v>
      </c>
      <c r="BN243" s="22">
        <f t="shared" si="2331"/>
        <v>0</v>
      </c>
      <c r="BO243" s="22">
        <f t="shared" ref="BO243:CT243" si="2332">BO156-BO84-BN156+BO158-BN158</f>
        <v>-1.7999999999999545</v>
      </c>
      <c r="BP243" s="22">
        <f t="shared" si="2332"/>
        <v>0</v>
      </c>
      <c r="BQ243" s="22">
        <f t="shared" si="2332"/>
        <v>-30.100000000000136</v>
      </c>
      <c r="BR243" s="22">
        <f t="shared" si="2332"/>
        <v>0</v>
      </c>
      <c r="BS243" s="22">
        <f t="shared" si="2332"/>
        <v>-30.100000000000023</v>
      </c>
      <c r="BT243" s="22">
        <f t="shared" si="2332"/>
        <v>0</v>
      </c>
      <c r="BU243" s="22">
        <f t="shared" si="2332"/>
        <v>0.89999999999986358</v>
      </c>
      <c r="BV243" s="22">
        <f t="shared" si="2332"/>
        <v>1.1368683772161603E-13</v>
      </c>
      <c r="BW243" s="22">
        <f t="shared" si="2332"/>
        <v>-42.800000000000068</v>
      </c>
      <c r="BX243" s="22">
        <f t="shared" si="2332"/>
        <v>0</v>
      </c>
      <c r="BY243" s="22">
        <f t="shared" si="2332"/>
        <v>-7.6000000000001364</v>
      </c>
      <c r="BZ243" s="22">
        <f t="shared" si="2332"/>
        <v>0</v>
      </c>
      <c r="CA243" s="22">
        <f t="shared" si="2332"/>
        <v>-52.799999999999955</v>
      </c>
      <c r="CB243" s="22">
        <f t="shared" si="2332"/>
        <v>0</v>
      </c>
      <c r="CC243" s="22">
        <f t="shared" si="2332"/>
        <v>2.8999999999996362</v>
      </c>
      <c r="CD243" s="22">
        <f t="shared" si="2332"/>
        <v>0</v>
      </c>
      <c r="CE243" s="22">
        <f t="shared" si="2332"/>
        <v>-63.599999999999909</v>
      </c>
      <c r="CF243" s="22">
        <f t="shared" si="2332"/>
        <v>0</v>
      </c>
      <c r="CG243" s="22">
        <f t="shared" si="2332"/>
        <v>-0.45000000000004547</v>
      </c>
      <c r="CH243" s="22">
        <f t="shared" si="2332"/>
        <v>0</v>
      </c>
      <c r="CI243" s="22">
        <f t="shared" si="2332"/>
        <v>-72.950000000000273</v>
      </c>
      <c r="CJ243" s="22">
        <f t="shared" si="2332"/>
        <v>0</v>
      </c>
      <c r="CK243" s="22">
        <f t="shared" si="2332"/>
        <v>-4.0999999999999091</v>
      </c>
      <c r="CL243" s="22">
        <f t="shared" si="2332"/>
        <v>0</v>
      </c>
      <c r="CM243" s="23">
        <f t="shared" si="2332"/>
        <v>0</v>
      </c>
      <c r="CN243" s="23">
        <f t="shared" si="2332"/>
        <v>0</v>
      </c>
      <c r="CO243" s="23">
        <f t="shared" si="2332"/>
        <v>0</v>
      </c>
      <c r="CP243" s="23">
        <f t="shared" si="2332"/>
        <v>0</v>
      </c>
      <c r="CQ243" s="23">
        <f t="shared" si="2332"/>
        <v>2.2737367544323206E-13</v>
      </c>
      <c r="CR243" s="23">
        <f t="shared" si="2332"/>
        <v>0</v>
      </c>
      <c r="CS243" s="23">
        <f t="shared" si="2332"/>
        <v>0</v>
      </c>
      <c r="CT243" s="23">
        <f t="shared" si="2332"/>
        <v>0</v>
      </c>
      <c r="CU243" s="23">
        <f t="shared" ref="CU243:DA243" si="2333">CU156-CU84-CT156+CU158-CT158</f>
        <v>0</v>
      </c>
      <c r="CV243" s="23">
        <f t="shared" si="2333"/>
        <v>0</v>
      </c>
      <c r="CW243" s="23">
        <f t="shared" si="2333"/>
        <v>0</v>
      </c>
      <c r="CX243" s="23">
        <f t="shared" si="2333"/>
        <v>0</v>
      </c>
      <c r="CY243" s="23">
        <f t="shared" si="2333"/>
        <v>0</v>
      </c>
      <c r="CZ243" s="23">
        <f t="shared" si="2333"/>
        <v>0</v>
      </c>
      <c r="DA243" s="23">
        <f t="shared" si="2333"/>
        <v>0</v>
      </c>
      <c r="DD243" s="122"/>
      <c r="DE243" s="22">
        <v>-77.049999999999727</v>
      </c>
    </row>
    <row r="244" spans="1:109" s="22" customFormat="1" x14ac:dyDescent="0.2">
      <c r="AB244" s="23"/>
      <c r="AC244" s="23"/>
      <c r="AD244" s="23"/>
      <c r="AE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D244" s="122"/>
    </row>
    <row r="245" spans="1:109" s="22" customFormat="1" x14ac:dyDescent="0.2">
      <c r="A245" s="22" t="s">
        <v>442</v>
      </c>
      <c r="C245" s="22">
        <f t="shared" ref="C245" si="2334">B197</f>
        <v>12.208600000000001</v>
      </c>
      <c r="D245" s="22">
        <f t="shared" ref="D245" si="2335">C197</f>
        <v>6.5682</v>
      </c>
      <c r="E245" s="22">
        <f>D197</f>
        <v>20.292999999999999</v>
      </c>
      <c r="F245" s="22">
        <f t="shared" ref="F245" si="2336">E197</f>
        <v>19.4541</v>
      </c>
      <c r="G245" s="22">
        <f t="shared" ref="G245" si="2337">F197</f>
        <v>22.676200000000001</v>
      </c>
      <c r="H245" s="22">
        <f t="shared" ref="H245" si="2338">G197</f>
        <v>43.780999999999999</v>
      </c>
      <c r="I245" s="22">
        <f t="shared" ref="I245" si="2339">H197</f>
        <v>63.3596</v>
      </c>
      <c r="J245" s="22">
        <f>I197</f>
        <v>53.962699999999998</v>
      </c>
      <c r="K245" s="22">
        <f>J197</f>
        <v>49.686500000000002</v>
      </c>
      <c r="L245" s="22">
        <f t="shared" ref="L245" si="2340">K197</f>
        <v>98.768900000000002</v>
      </c>
      <c r="M245" s="22">
        <f t="shared" ref="M245" si="2341">L197</f>
        <v>101.0444</v>
      </c>
      <c r="N245" s="22">
        <f t="shared" ref="N245" si="2342">M197</f>
        <v>84.486999999999995</v>
      </c>
      <c r="O245" s="22">
        <f t="shared" ref="O245" si="2343">N197</f>
        <v>104.46599999999999</v>
      </c>
      <c r="P245" s="22">
        <f t="shared" ref="P245" si="2344">O197</f>
        <v>160.06399999999999</v>
      </c>
      <c r="Q245" s="22">
        <f t="shared" ref="Q245" si="2345">P197</f>
        <v>178.75</v>
      </c>
      <c r="R245" s="22">
        <f t="shared" ref="R245" si="2346">Q197</f>
        <v>228.36199999999999</v>
      </c>
      <c r="S245" s="22">
        <f t="shared" ref="S245" si="2347">R197</f>
        <v>202.184</v>
      </c>
      <c r="T245" s="22">
        <f t="shared" ref="T245" si="2348">S197</f>
        <v>91.274000000000001</v>
      </c>
      <c r="U245" s="22">
        <f t="shared" ref="U245" si="2349">T197</f>
        <v>138.691</v>
      </c>
      <c r="V245" s="22">
        <f t="shared" ref="V245" si="2350">U197</f>
        <v>290.04500000000002</v>
      </c>
      <c r="W245" s="22">
        <f t="shared" ref="W245:AA245" si="2351">V197</f>
        <v>403.351</v>
      </c>
      <c r="X245" s="22">
        <f t="shared" si="2351"/>
        <v>354.53</v>
      </c>
      <c r="Y245" s="22">
        <f t="shared" si="2351"/>
        <v>261.00700000000001</v>
      </c>
      <c r="Z245" s="22">
        <f t="shared" si="2351"/>
        <v>274.56799999999998</v>
      </c>
      <c r="AA245" s="22">
        <f t="shared" si="2351"/>
        <v>323.46800000000002</v>
      </c>
      <c r="AB245" s="23">
        <f t="shared" ref="AB245" si="2352">AA197</f>
        <v>283.39</v>
      </c>
      <c r="AC245" s="23">
        <f t="shared" ref="AC245" si="2353">AB197</f>
        <v>498.52800545408127</v>
      </c>
      <c r="AD245" s="23">
        <f t="shared" ref="AD245" si="2354">AC197</f>
        <v>737.04092395093255</v>
      </c>
      <c r="AE245" s="23">
        <f t="shared" ref="AE245" si="2355">AD197</f>
        <v>1005.5116714750823</v>
      </c>
      <c r="AI245" s="22">
        <f t="shared" ref="AI245" si="2356">AH197</f>
        <v>0</v>
      </c>
      <c r="AJ245" s="22">
        <f t="shared" ref="AJ245" si="2357">AI197</f>
        <v>95</v>
      </c>
      <c r="AK245" s="22">
        <f t="shared" ref="AK245" si="2358">AJ197</f>
        <v>141.25976945244952</v>
      </c>
      <c r="AL245" s="22">
        <f t="shared" ref="AL245" si="2359">AK197</f>
        <v>0</v>
      </c>
      <c r="AM245" s="22">
        <f t="shared" ref="AM245" si="2360">AL197</f>
        <v>15.61</v>
      </c>
      <c r="AN245" s="22">
        <f t="shared" ref="AN245" si="2361">AM197</f>
        <v>112.15</v>
      </c>
      <c r="AO245" s="22">
        <f t="shared" ref="AO245" si="2362">AN197</f>
        <v>135.92385923573406</v>
      </c>
      <c r="AP245" s="22">
        <f t="shared" ref="AP245" si="2363">AO197</f>
        <v>160.06</v>
      </c>
      <c r="AQ245" s="22">
        <f t="shared" ref="AQ245" si="2364">AP197</f>
        <v>183.82236421549777</v>
      </c>
      <c r="AR245" s="22">
        <f t="shared" ref="AR245" si="2365">AQ197</f>
        <v>155.06</v>
      </c>
      <c r="AS245" s="22">
        <f t="shared" ref="AS245" si="2366">AR197</f>
        <v>173.41972059192386</v>
      </c>
      <c r="AT245" s="22">
        <f t="shared" ref="AT245" si="2367">AS197</f>
        <v>178.75</v>
      </c>
      <c r="AU245" s="22">
        <f t="shared" ref="AU245" si="2368">AT197</f>
        <v>225.44777347994255</v>
      </c>
      <c r="AV245" s="22">
        <f t="shared" ref="AV245" si="2369">AU197</f>
        <v>164.59</v>
      </c>
      <c r="AW245" s="22">
        <f t="shared" ref="AW245" si="2370">AV197</f>
        <v>196.70523462095861</v>
      </c>
      <c r="AX245" s="22">
        <f t="shared" ref="AX245" si="2371">AW197</f>
        <v>228.36</v>
      </c>
      <c r="AY245" s="22">
        <f t="shared" ref="AY245" si="2372">AX197</f>
        <v>273.63765237020334</v>
      </c>
      <c r="AZ245" s="22">
        <f t="shared" ref="AZ245" si="2373">AY197</f>
        <v>218.18</v>
      </c>
      <c r="BA245" s="22">
        <f t="shared" ref="BA245" si="2374">AZ197</f>
        <v>269.64636892128817</v>
      </c>
      <c r="BB245" s="22">
        <f t="shared" ref="BB245" si="2375">BA197</f>
        <v>202.19</v>
      </c>
      <c r="BC245" s="22">
        <f t="shared" ref="BC245" si="2376">BB197</f>
        <v>267.50352066362757</v>
      </c>
      <c r="BD245" s="22">
        <f t="shared" ref="BD245" si="2377">BC197</f>
        <v>187.12</v>
      </c>
      <c r="BE245" s="22">
        <f t="shared" ref="BE245" si="2378">BD197</f>
        <v>223.13529359031838</v>
      </c>
      <c r="BF245" s="22">
        <f t="shared" ref="BF245" si="2379">BE197</f>
        <v>91.3</v>
      </c>
      <c r="BG245" s="22">
        <f t="shared" ref="BG245" si="2380">BF197</f>
        <v>218.3014015843998</v>
      </c>
      <c r="BH245" s="22">
        <f t="shared" ref="BH245" si="2381">BG197</f>
        <v>114.7</v>
      </c>
      <c r="BI245" s="22">
        <f t="shared" ref="BI245" si="2382">BH197</f>
        <v>99.267350157728629</v>
      </c>
      <c r="BJ245" s="22">
        <f t="shared" ref="BJ245" si="2383">BI197</f>
        <v>138.69999999999999</v>
      </c>
      <c r="BK245" s="22">
        <f t="shared" ref="BK245" si="2384">BJ197</f>
        <v>217.46041546451227</v>
      </c>
      <c r="BL245" s="22">
        <f t="shared" ref="BL245" si="2385">BK197</f>
        <v>207.3</v>
      </c>
      <c r="BM245" s="22">
        <f t="shared" ref="BM245" si="2386">BL197</f>
        <v>162.46852220013258</v>
      </c>
      <c r="BN245" s="22">
        <f t="shared" ref="BN245" si="2387">BM197</f>
        <v>290.10000000000002</v>
      </c>
      <c r="BO245" s="22">
        <f t="shared" ref="BO245" si="2388">BN197</f>
        <v>390.89910979228489</v>
      </c>
      <c r="BP245" s="22">
        <f t="shared" ref="BP245" si="2389">BO197</f>
        <v>334.6</v>
      </c>
      <c r="BQ245" s="22">
        <f t="shared" ref="BQ245" si="2390">BP197</f>
        <v>161.57766103243455</v>
      </c>
      <c r="BR245" s="22">
        <f t="shared" ref="BR245" si="2391">BQ197</f>
        <v>403.4</v>
      </c>
      <c r="BS245" s="22">
        <f t="shared" ref="BS245" si="2392">BR197</f>
        <v>435.761313868613</v>
      </c>
      <c r="BT245" s="22">
        <f t="shared" ref="BT245" si="2393">BS197</f>
        <v>427.7</v>
      </c>
      <c r="BU245" s="22">
        <f t="shared" ref="BU245" si="2394">BT197</f>
        <v>385.94475247524747</v>
      </c>
      <c r="BV245" s="22">
        <f t="shared" ref="BV245" si="2395">BU197</f>
        <v>354.6</v>
      </c>
      <c r="BW245" s="22">
        <f t="shared" ref="BW245" si="2396">BV197</f>
        <v>420.52656320287895</v>
      </c>
      <c r="BX245" s="22">
        <f t="shared" ref="BX245" si="2397">BW197</f>
        <v>308.89999999999998</v>
      </c>
      <c r="BY245" s="22">
        <f t="shared" ref="BY245" si="2398">BX197</f>
        <v>366.7542372881357</v>
      </c>
      <c r="BZ245" s="22">
        <f t="shared" ref="BZ245" si="2399">BY197</f>
        <v>261.10000000000002</v>
      </c>
      <c r="CA245" s="22">
        <f t="shared" ref="CA245" si="2400">BZ197</f>
        <v>345.39973313000382</v>
      </c>
      <c r="CB245" s="22">
        <f t="shared" ref="CB245" si="2401">CA197</f>
        <v>247</v>
      </c>
      <c r="CC245" s="22">
        <f t="shared" ref="CC245" si="2402">CB197</f>
        <v>330.37590055809216</v>
      </c>
      <c r="CD245" s="22">
        <f t="shared" ref="CD245" si="2403">CC197</f>
        <v>274.5</v>
      </c>
      <c r="CE245" s="22">
        <f t="shared" ref="CE245" si="2404">CD197</f>
        <v>395.75847992034528</v>
      </c>
      <c r="CF245" s="22">
        <f t="shared" ref="CF245" si="2405">CE197</f>
        <v>373.9</v>
      </c>
      <c r="CG245" s="22">
        <f t="shared" ref="CG245" si="2406">CF197</f>
        <v>472.10054179566561</v>
      </c>
      <c r="CH245" s="22">
        <f t="shared" ref="CH245:CL245" si="2407">CG197</f>
        <v>323.46800000000002</v>
      </c>
      <c r="CI245" s="22">
        <f t="shared" si="2407"/>
        <v>541.19327670704888</v>
      </c>
      <c r="CJ245" s="22">
        <f t="shared" si="2407"/>
        <v>316.7</v>
      </c>
      <c r="CK245" s="22">
        <f t="shared" ref="CK245" si="2408">CJ197</f>
        <v>409.87180140992928</v>
      </c>
      <c r="CL245" s="22">
        <f t="shared" si="2407"/>
        <v>283.39999999999998</v>
      </c>
      <c r="CM245" s="23">
        <f t="shared" ref="CM245" si="2409">CL197</f>
        <v>606.10535714285686</v>
      </c>
      <c r="CN245" s="23">
        <f t="shared" ref="CN245" si="2410">CM197</f>
        <v>421.19612656959953</v>
      </c>
      <c r="CO245" s="23">
        <f t="shared" ref="CO245" si="2411">CN197</f>
        <v>423.05693124921879</v>
      </c>
      <c r="CP245" s="23">
        <f t="shared" ref="CP245" si="2412">CO197</f>
        <v>498.52800545408127</v>
      </c>
      <c r="CQ245" s="23">
        <f t="shared" ref="CQ245" si="2413">CP197</f>
        <v>630.24540157244792</v>
      </c>
      <c r="CR245" s="23">
        <f t="shared" ref="CR245" si="2414">CQ197</f>
        <v>645.30552773589977</v>
      </c>
      <c r="CS245" s="23">
        <f t="shared" ref="CS245" si="2415">CR197</f>
        <v>649.54560936788721</v>
      </c>
      <c r="CT245" s="23">
        <f t="shared" ref="CT245" si="2416">CS197</f>
        <v>737.04092395093255</v>
      </c>
      <c r="CU245" s="23">
        <f t="shared" ref="CU245" si="2417">CT197</f>
        <v>883.68245293006601</v>
      </c>
      <c r="CV245" s="23">
        <f t="shared" ref="CV245" si="2418">CU197</f>
        <v>901.61260799044339</v>
      </c>
      <c r="CW245" s="23">
        <f t="shared" ref="CW245" si="2419">CV197</f>
        <v>907.52589933461798</v>
      </c>
      <c r="CX245" s="23">
        <f t="shared" ref="CX245" si="2420">CW197</f>
        <v>1005.5116714750823</v>
      </c>
      <c r="CY245" s="23">
        <f t="shared" ref="CY245" si="2421">CX197</f>
        <v>1171.2030436660607</v>
      </c>
      <c r="CZ245" s="23">
        <f t="shared" ref="CZ245" si="2422">CY197</f>
        <v>1195.4737080676875</v>
      </c>
      <c r="DA245" s="23">
        <f t="shared" ref="DA245" si="2423">CZ197</f>
        <v>1206.6605487919724</v>
      </c>
      <c r="DD245" s="122"/>
      <c r="DE245" s="22">
        <v>323.46800000000002</v>
      </c>
    </row>
    <row r="246" spans="1:109" s="22" customFormat="1" x14ac:dyDescent="0.2">
      <c r="A246" s="22" t="s">
        <v>443</v>
      </c>
      <c r="C246" s="22">
        <f t="shared" ref="C246:W246" si="2424">C245+C241+C237+C235</f>
        <v>6.5681999999999938</v>
      </c>
      <c r="D246" s="22">
        <f t="shared" si="2424"/>
        <v>20.292999999999992</v>
      </c>
      <c r="E246" s="22">
        <f t="shared" si="2424"/>
        <v>19.454099999999997</v>
      </c>
      <c r="F246" s="22">
        <f t="shared" si="2424"/>
        <v>22.676200000000012</v>
      </c>
      <c r="G246" s="22">
        <f t="shared" si="2424"/>
        <v>43.781000000000013</v>
      </c>
      <c r="H246" s="22">
        <f t="shared" si="2424"/>
        <v>63.3596</v>
      </c>
      <c r="I246" s="22">
        <f t="shared" si="2424"/>
        <v>53.962700000000041</v>
      </c>
      <c r="J246" s="22">
        <f>J245+J241+J237+J235</f>
        <v>49.68649999999996</v>
      </c>
      <c r="K246" s="22">
        <f>K245+K241+K237+K235</f>
        <v>98.768899999999974</v>
      </c>
      <c r="L246" s="22">
        <f>L245+L241+L237+L235</f>
        <v>101.04439999999997</v>
      </c>
      <c r="M246" s="22">
        <f>M245+M241+M237+M235</f>
        <v>84.487000000000066</v>
      </c>
      <c r="N246" s="22">
        <f t="shared" si="2424"/>
        <v>104.46599999999994</v>
      </c>
      <c r="O246" s="22">
        <f t="shared" si="2424"/>
        <v>160.06400000000002</v>
      </c>
      <c r="P246" s="22">
        <f t="shared" si="2424"/>
        <v>178.74999999999997</v>
      </c>
      <c r="Q246" s="22">
        <f t="shared" si="2424"/>
        <v>228.36200000000008</v>
      </c>
      <c r="R246" s="22">
        <f t="shared" si="2424"/>
        <v>202.18400000000003</v>
      </c>
      <c r="S246" s="22">
        <f t="shared" si="2424"/>
        <v>91.273999999999802</v>
      </c>
      <c r="T246" s="22">
        <f t="shared" si="2424"/>
        <v>138.69100000000009</v>
      </c>
      <c r="U246" s="22">
        <f t="shared" si="2424"/>
        <v>290.04500000000002</v>
      </c>
      <c r="V246" s="22">
        <f t="shared" si="2424"/>
        <v>403.351</v>
      </c>
      <c r="W246" s="22">
        <f t="shared" si="2424"/>
        <v>354.53</v>
      </c>
      <c r="X246" s="22">
        <f t="shared" ref="X246:Y246" si="2425">X245+X241+X237+X235</f>
        <v>261.00700000000006</v>
      </c>
      <c r="Y246" s="22">
        <f t="shared" si="2425"/>
        <v>274.56800000000032</v>
      </c>
      <c r="Z246" s="22">
        <f t="shared" ref="Z246:AA246" si="2426">Z245+Z241+Z237+Z235</f>
        <v>323.46799999999951</v>
      </c>
      <c r="AA246" s="22">
        <f t="shared" ref="AA246" si="2427">AA245+AA241+AA237+AA235</f>
        <v>283.38999999999987</v>
      </c>
      <c r="AB246" s="23">
        <f t="shared" ref="AB246:AD246" si="2428">AB245+AB241+AB237+AB235</f>
        <v>498.52800545408212</v>
      </c>
      <c r="AC246" s="23">
        <f t="shared" si="2428"/>
        <v>737.04092395093278</v>
      </c>
      <c r="AD246" s="23">
        <f t="shared" si="2428"/>
        <v>1005.5116714750827</v>
      </c>
      <c r="AE246" s="23">
        <f t="shared" ref="AE246" si="2429">AE245+AE241+AE237+AE235</f>
        <v>1319.3288360131874</v>
      </c>
      <c r="AI246" s="22">
        <f t="shared" ref="AI246" si="2430">AI245+AI241+AI237+AI235</f>
        <v>95</v>
      </c>
      <c r="AJ246" s="22">
        <f t="shared" ref="AJ246:AL246" si="2431">AJ245+AJ241+AJ237+AJ235</f>
        <v>141.25976945244952</v>
      </c>
      <c r="AK246" s="22">
        <f t="shared" si="2431"/>
        <v>0</v>
      </c>
      <c r="AL246" s="22">
        <f t="shared" si="2431"/>
        <v>15.61</v>
      </c>
      <c r="AM246" s="22">
        <f t="shared" ref="AM246" si="2432">AM245+AM241+AM237+AM235</f>
        <v>112.14999999999998</v>
      </c>
      <c r="AN246" s="22">
        <f t="shared" ref="AN246:CD246" si="2433">AN245+AN241+AN237+AN235</f>
        <v>135.92385923573406</v>
      </c>
      <c r="AO246" s="22">
        <f t="shared" si="2433"/>
        <v>160.06</v>
      </c>
      <c r="AP246" s="22">
        <f t="shared" si="2433"/>
        <v>183.82236421549777</v>
      </c>
      <c r="AQ246" s="22">
        <f t="shared" si="2433"/>
        <v>155.05999999999992</v>
      </c>
      <c r="AR246" s="22">
        <f t="shared" si="2433"/>
        <v>173.41972059192386</v>
      </c>
      <c r="AS246" s="22">
        <f t="shared" si="2433"/>
        <v>178.75</v>
      </c>
      <c r="AT246" s="22">
        <f t="shared" si="2433"/>
        <v>225.44777347994255</v>
      </c>
      <c r="AU246" s="22">
        <f t="shared" si="2433"/>
        <v>164.58999999999992</v>
      </c>
      <c r="AV246" s="22">
        <f t="shared" si="2433"/>
        <v>196.70523462095861</v>
      </c>
      <c r="AW246" s="22">
        <f t="shared" si="2433"/>
        <v>228.35999999999996</v>
      </c>
      <c r="AX246" s="22">
        <f t="shared" si="2433"/>
        <v>273.63765237020334</v>
      </c>
      <c r="AY246" s="22">
        <f t="shared" si="2433"/>
        <v>218.18000000000021</v>
      </c>
      <c r="AZ246" s="22">
        <f t="shared" si="2433"/>
        <v>269.64636892128817</v>
      </c>
      <c r="BA246" s="22">
        <f t="shared" si="2433"/>
        <v>202.19000000000003</v>
      </c>
      <c r="BB246" s="22">
        <f t="shared" si="2433"/>
        <v>267.50352066362757</v>
      </c>
      <c r="BC246" s="22">
        <f t="shared" si="2433"/>
        <v>187.11999999999983</v>
      </c>
      <c r="BD246" s="22">
        <f t="shared" si="2433"/>
        <v>223.13529359031838</v>
      </c>
      <c r="BE246" s="22">
        <f t="shared" si="2433"/>
        <v>91.300000000000011</v>
      </c>
      <c r="BF246" s="22">
        <f t="shared" si="2433"/>
        <v>218.3014015843998</v>
      </c>
      <c r="BG246" s="22">
        <f t="shared" si="2433"/>
        <v>114.7000000000001</v>
      </c>
      <c r="BH246" s="22">
        <f t="shared" si="2433"/>
        <v>99.267350157728629</v>
      </c>
      <c r="BI246" s="22">
        <f t="shared" si="2433"/>
        <v>138.69999999999985</v>
      </c>
      <c r="BJ246" s="22">
        <f t="shared" si="2433"/>
        <v>217.46041546451227</v>
      </c>
      <c r="BK246" s="22">
        <f t="shared" si="2433"/>
        <v>207.30000000000018</v>
      </c>
      <c r="BL246" s="22">
        <f t="shared" si="2433"/>
        <v>162.46852220013258</v>
      </c>
      <c r="BM246" s="22">
        <f t="shared" si="2433"/>
        <v>290.09999999999997</v>
      </c>
      <c r="BN246" s="22">
        <f t="shared" si="2433"/>
        <v>390.89910979228489</v>
      </c>
      <c r="BO246" s="22">
        <f t="shared" si="2433"/>
        <v>334.60000000000019</v>
      </c>
      <c r="BP246" s="22">
        <f t="shared" si="2433"/>
        <v>161.57766103243455</v>
      </c>
      <c r="BQ246" s="22">
        <f t="shared" si="2433"/>
        <v>403.39999999999981</v>
      </c>
      <c r="BR246" s="22">
        <f t="shared" si="2433"/>
        <v>435.761313868613</v>
      </c>
      <c r="BS246" s="22">
        <f t="shared" si="2433"/>
        <v>427.7</v>
      </c>
      <c r="BT246" s="22">
        <f t="shared" si="2433"/>
        <v>385.94475247524747</v>
      </c>
      <c r="BU246" s="22">
        <f t="shared" si="2433"/>
        <v>354.59999999999985</v>
      </c>
      <c r="BV246" s="22">
        <f t="shared" si="2433"/>
        <v>420.52656320287895</v>
      </c>
      <c r="BW246" s="22">
        <f t="shared" si="2433"/>
        <v>308.89999999999986</v>
      </c>
      <c r="BX246" s="22">
        <f t="shared" si="2433"/>
        <v>366.7542372881357</v>
      </c>
      <c r="BY246" s="22">
        <f t="shared" si="2433"/>
        <v>261.10000000000002</v>
      </c>
      <c r="BZ246" s="22">
        <f t="shared" si="2433"/>
        <v>345.39973313000382</v>
      </c>
      <c r="CA246" s="22">
        <f t="shared" si="2433"/>
        <v>247.00000000000009</v>
      </c>
      <c r="CB246" s="22">
        <f t="shared" si="2433"/>
        <v>330.37590055809216</v>
      </c>
      <c r="CC246" s="22">
        <f t="shared" si="2433"/>
        <v>274.49999999999966</v>
      </c>
      <c r="CD246" s="22">
        <f t="shared" si="2433"/>
        <v>395.75847992034528</v>
      </c>
      <c r="CE246" s="22">
        <f t="shared" ref="CE246:CF246" si="2434">CE245+CE241+CE237+CE235</f>
        <v>373.9</v>
      </c>
      <c r="CF246" s="22">
        <f t="shared" si="2434"/>
        <v>472.10054179566561</v>
      </c>
      <c r="CG246" s="22">
        <f t="shared" ref="CG246:CH246" si="2435">CG245+CG241+CG237+CG235</f>
        <v>323.48499999999984</v>
      </c>
      <c r="CH246" s="22">
        <f t="shared" si="2435"/>
        <v>541.19327670704888</v>
      </c>
      <c r="CI246" s="22">
        <f t="shared" ref="CI246:CJ246" si="2436">CI245+CI241+CI237+CI235</f>
        <v>316.68299999999999</v>
      </c>
      <c r="CJ246" s="22">
        <f t="shared" si="2436"/>
        <v>409.87180140992928</v>
      </c>
      <c r="CK246" s="22">
        <f t="shared" ref="CK246:DA246" si="2437">CK245+CK241+CK237+CK235</f>
        <v>283.40000000000043</v>
      </c>
      <c r="CL246" s="22">
        <f t="shared" si="2437"/>
        <v>606.10535714285686</v>
      </c>
      <c r="CM246" s="23">
        <f t="shared" si="2437"/>
        <v>421.19612656959953</v>
      </c>
      <c r="CN246" s="23">
        <f t="shared" si="2437"/>
        <v>423.05693124921879</v>
      </c>
      <c r="CO246" s="23">
        <f t="shared" si="2437"/>
        <v>498.52800545408127</v>
      </c>
      <c r="CP246" s="23">
        <f t="shared" si="2437"/>
        <v>630.24540157244792</v>
      </c>
      <c r="CQ246" s="23">
        <f t="shared" si="2437"/>
        <v>645.30552773589977</v>
      </c>
      <c r="CR246" s="23">
        <f t="shared" si="2437"/>
        <v>649.54560936788721</v>
      </c>
      <c r="CS246" s="23">
        <f t="shared" si="2437"/>
        <v>737.04092395093255</v>
      </c>
      <c r="CT246" s="23">
        <f t="shared" si="2437"/>
        <v>883.68245293006601</v>
      </c>
      <c r="CU246" s="23">
        <f t="shared" si="2437"/>
        <v>901.61260799044339</v>
      </c>
      <c r="CV246" s="23">
        <f t="shared" si="2437"/>
        <v>907.52589933461798</v>
      </c>
      <c r="CW246" s="23">
        <f t="shared" si="2437"/>
        <v>1005.5116714750823</v>
      </c>
      <c r="CX246" s="23">
        <f t="shared" si="2437"/>
        <v>1171.2030436660607</v>
      </c>
      <c r="CY246" s="23">
        <f t="shared" si="2437"/>
        <v>1195.4737080676875</v>
      </c>
      <c r="CZ246" s="23">
        <f t="shared" si="2437"/>
        <v>1206.6605487919724</v>
      </c>
      <c r="DA246" s="23">
        <f t="shared" si="2437"/>
        <v>1319.3288360131878</v>
      </c>
      <c r="DD246" s="122"/>
      <c r="DE246" s="22">
        <v>283.40000000000032</v>
      </c>
    </row>
    <row r="247" spans="1:109" s="27" customFormat="1" x14ac:dyDescent="0.2">
      <c r="A247" s="27" t="s">
        <v>444</v>
      </c>
      <c r="C247" s="27">
        <f t="shared" ref="C247:W247" si="2438">C246-C197</f>
        <v>0</v>
      </c>
      <c r="D247" s="27">
        <f t="shared" si="2438"/>
        <v>0</v>
      </c>
      <c r="E247" s="27">
        <f t="shared" si="2438"/>
        <v>0</v>
      </c>
      <c r="F247" s="27">
        <f t="shared" si="2438"/>
        <v>0</v>
      </c>
      <c r="G247" s="27">
        <f t="shared" si="2438"/>
        <v>0</v>
      </c>
      <c r="H247" s="27">
        <f t="shared" si="2438"/>
        <v>0</v>
      </c>
      <c r="I247" s="27">
        <f t="shared" si="2438"/>
        <v>0</v>
      </c>
      <c r="J247" s="27">
        <f>J246-J197</f>
        <v>0</v>
      </c>
      <c r="K247" s="27">
        <f t="shared" si="2438"/>
        <v>0</v>
      </c>
      <c r="L247" s="27">
        <f t="shared" si="2438"/>
        <v>0</v>
      </c>
      <c r="M247" s="27">
        <f t="shared" si="2438"/>
        <v>0</v>
      </c>
      <c r="N247" s="27">
        <f t="shared" si="2438"/>
        <v>0</v>
      </c>
      <c r="O247" s="27">
        <f t="shared" si="2438"/>
        <v>0</v>
      </c>
      <c r="P247" s="27">
        <f t="shared" si="2438"/>
        <v>0</v>
      </c>
      <c r="Q247" s="27">
        <f t="shared" si="2438"/>
        <v>0</v>
      </c>
      <c r="R247" s="27">
        <f t="shared" si="2438"/>
        <v>0</v>
      </c>
      <c r="S247" s="27">
        <f t="shared" si="2438"/>
        <v>-1.9895196601282805E-13</v>
      </c>
      <c r="T247" s="27">
        <f t="shared" si="2438"/>
        <v>0</v>
      </c>
      <c r="U247" s="27">
        <f t="shared" si="2438"/>
        <v>0</v>
      </c>
      <c r="V247" s="27">
        <f t="shared" si="2438"/>
        <v>0</v>
      </c>
      <c r="W247" s="27">
        <f t="shared" si="2438"/>
        <v>0</v>
      </c>
      <c r="X247" s="27">
        <f t="shared" ref="X247:Y247" si="2439">X246-X197</f>
        <v>0</v>
      </c>
      <c r="Y247" s="27">
        <f t="shared" si="2439"/>
        <v>0</v>
      </c>
      <c r="Z247" s="27">
        <f t="shared" ref="Z247:AA247" si="2440">Z246-Z197</f>
        <v>-5.1159076974727213E-13</v>
      </c>
      <c r="AA247" s="27">
        <f t="shared" ref="AA247" si="2441">AA246-AA197</f>
        <v>0</v>
      </c>
      <c r="AB247" s="29">
        <f t="shared" ref="AB247:AD247" si="2442">AB246-AB197</f>
        <v>8.5265128291212022E-13</v>
      </c>
      <c r="AC247" s="29">
        <f t="shared" si="2442"/>
        <v>0</v>
      </c>
      <c r="AD247" s="29">
        <f t="shared" si="2442"/>
        <v>0</v>
      </c>
      <c r="AE247" s="29">
        <f t="shared" ref="AE247" si="2443">AE246-AE197</f>
        <v>0</v>
      </c>
      <c r="AI247" s="27">
        <f t="shared" ref="AI247" si="2444">AI246-AI197</f>
        <v>0</v>
      </c>
      <c r="AJ247" s="27">
        <f t="shared" ref="AJ247:AL247" si="2445">AJ246-AJ197</f>
        <v>0</v>
      </c>
      <c r="AK247" s="27">
        <f t="shared" si="2445"/>
        <v>0</v>
      </c>
      <c r="AL247" s="27">
        <f t="shared" si="2445"/>
        <v>0</v>
      </c>
      <c r="AM247" s="27">
        <f t="shared" ref="AM247" si="2446">AM246-AM197</f>
        <v>0</v>
      </c>
      <c r="AN247" s="27">
        <f t="shared" ref="AN247:CD247" si="2447">AN246-AN197</f>
        <v>0</v>
      </c>
      <c r="AO247" s="27">
        <f t="shared" si="2447"/>
        <v>0</v>
      </c>
      <c r="AP247" s="27">
        <f t="shared" si="2447"/>
        <v>0</v>
      </c>
      <c r="AQ247" s="27">
        <f t="shared" si="2447"/>
        <v>0</v>
      </c>
      <c r="AR247" s="27">
        <f t="shared" si="2447"/>
        <v>0</v>
      </c>
      <c r="AS247" s="27">
        <f t="shared" si="2447"/>
        <v>0</v>
      </c>
      <c r="AT247" s="27">
        <f t="shared" si="2447"/>
        <v>0</v>
      </c>
      <c r="AU247" s="27">
        <f t="shared" si="2447"/>
        <v>0</v>
      </c>
      <c r="AV247" s="27">
        <f t="shared" si="2447"/>
        <v>0</v>
      </c>
      <c r="AW247" s="27">
        <f t="shared" si="2447"/>
        <v>0</v>
      </c>
      <c r="AX247" s="27">
        <f t="shared" si="2447"/>
        <v>0</v>
      </c>
      <c r="AY247" s="27">
        <f t="shared" si="2447"/>
        <v>0</v>
      </c>
      <c r="AZ247" s="27">
        <f t="shared" si="2447"/>
        <v>0</v>
      </c>
      <c r="BA247" s="27">
        <f t="shared" si="2447"/>
        <v>0</v>
      </c>
      <c r="BB247" s="27">
        <f t="shared" si="2447"/>
        <v>0</v>
      </c>
      <c r="BC247" s="27">
        <f t="shared" si="2447"/>
        <v>0</v>
      </c>
      <c r="BD247" s="27">
        <f t="shared" si="2447"/>
        <v>0</v>
      </c>
      <c r="BE247" s="27">
        <f t="shared" si="2447"/>
        <v>0</v>
      </c>
      <c r="BF247" s="27">
        <f t="shared" si="2447"/>
        <v>0</v>
      </c>
      <c r="BG247" s="27">
        <f t="shared" si="2447"/>
        <v>0</v>
      </c>
      <c r="BH247" s="27">
        <f t="shared" si="2447"/>
        <v>0</v>
      </c>
      <c r="BI247" s="27">
        <f t="shared" si="2447"/>
        <v>0</v>
      </c>
      <c r="BJ247" s="27">
        <f t="shared" si="2447"/>
        <v>0</v>
      </c>
      <c r="BK247" s="27">
        <f t="shared" si="2447"/>
        <v>0</v>
      </c>
      <c r="BL247" s="27">
        <f t="shared" si="2447"/>
        <v>0</v>
      </c>
      <c r="BM247" s="27">
        <f t="shared" si="2447"/>
        <v>0</v>
      </c>
      <c r="BN247" s="27">
        <f t="shared" si="2447"/>
        <v>0</v>
      </c>
      <c r="BO247" s="27">
        <f t="shared" si="2447"/>
        <v>0</v>
      </c>
      <c r="BP247" s="27">
        <f t="shared" si="2447"/>
        <v>0</v>
      </c>
      <c r="BQ247" s="27">
        <f t="shared" si="2447"/>
        <v>0</v>
      </c>
      <c r="BR247" s="27">
        <f t="shared" si="2447"/>
        <v>0</v>
      </c>
      <c r="BS247" s="27">
        <f t="shared" si="2447"/>
        <v>0</v>
      </c>
      <c r="BT247" s="27">
        <f t="shared" si="2447"/>
        <v>0</v>
      </c>
      <c r="BU247" s="27">
        <f t="shared" si="2447"/>
        <v>0</v>
      </c>
      <c r="BV247" s="27">
        <f t="shared" si="2447"/>
        <v>0</v>
      </c>
      <c r="BW247" s="27">
        <f t="shared" si="2447"/>
        <v>0</v>
      </c>
      <c r="BX247" s="27">
        <f t="shared" si="2447"/>
        <v>0</v>
      </c>
      <c r="BY247" s="27">
        <f t="shared" si="2447"/>
        <v>0</v>
      </c>
      <c r="BZ247" s="27">
        <f t="shared" si="2447"/>
        <v>0</v>
      </c>
      <c r="CA247" s="27">
        <f t="shared" si="2447"/>
        <v>0</v>
      </c>
      <c r="CB247" s="27">
        <f t="shared" si="2447"/>
        <v>0</v>
      </c>
      <c r="CC247" s="27">
        <f t="shared" si="2447"/>
        <v>0</v>
      </c>
      <c r="CD247" s="27">
        <f t="shared" si="2447"/>
        <v>0</v>
      </c>
      <c r="CE247" s="27">
        <f t="shared" ref="CE247:CF247" si="2448">CE246-CE197</f>
        <v>0</v>
      </c>
      <c r="CF247" s="27">
        <f t="shared" si="2448"/>
        <v>0</v>
      </c>
      <c r="CG247" s="27">
        <f t="shared" ref="CG247:CH247" si="2449">CG246-CG197</f>
        <v>1.6999999999825377E-2</v>
      </c>
      <c r="CH247" s="27">
        <f t="shared" si="2449"/>
        <v>0</v>
      </c>
      <c r="CI247" s="27">
        <f t="shared" ref="CI247:CJ247" si="2450">CI246-CI197</f>
        <v>-1.6999999999995907E-2</v>
      </c>
      <c r="CJ247" s="27">
        <f t="shared" si="2450"/>
        <v>0</v>
      </c>
      <c r="CK247" s="27">
        <f t="shared" ref="CK247:DA247" si="2451">CK246-CK197</f>
        <v>4.5474735088646412E-13</v>
      </c>
      <c r="CL247" s="27">
        <f t="shared" si="2451"/>
        <v>0</v>
      </c>
      <c r="CM247" s="29">
        <f t="shared" si="2451"/>
        <v>0</v>
      </c>
      <c r="CN247" s="29">
        <f t="shared" si="2451"/>
        <v>0</v>
      </c>
      <c r="CO247" s="29">
        <f t="shared" si="2451"/>
        <v>0</v>
      </c>
      <c r="CP247" s="29">
        <f t="shared" si="2451"/>
        <v>0</v>
      </c>
      <c r="CQ247" s="29">
        <f t="shared" si="2451"/>
        <v>0</v>
      </c>
      <c r="CR247" s="29">
        <f t="shared" si="2451"/>
        <v>0</v>
      </c>
      <c r="CS247" s="29">
        <f t="shared" si="2451"/>
        <v>0</v>
      </c>
      <c r="CT247" s="29">
        <f t="shared" si="2451"/>
        <v>0</v>
      </c>
      <c r="CU247" s="29">
        <f t="shared" si="2451"/>
        <v>0</v>
      </c>
      <c r="CV247" s="29">
        <f t="shared" si="2451"/>
        <v>0</v>
      </c>
      <c r="CW247" s="29">
        <f t="shared" si="2451"/>
        <v>0</v>
      </c>
      <c r="CX247" s="29">
        <f t="shared" si="2451"/>
        <v>0</v>
      </c>
      <c r="CY247" s="29">
        <f t="shared" si="2451"/>
        <v>0</v>
      </c>
      <c r="CZ247" s="29">
        <f t="shared" si="2451"/>
        <v>0</v>
      </c>
      <c r="DA247" s="29">
        <f t="shared" si="2451"/>
        <v>0</v>
      </c>
      <c r="DD247" s="138"/>
      <c r="DE247" s="27">
        <v>0</v>
      </c>
    </row>
    <row r="248" spans="1:109" s="22" customFormat="1" x14ac:dyDescent="0.2">
      <c r="AB248" s="23"/>
      <c r="AC248" s="23"/>
      <c r="AD248" s="23"/>
      <c r="AE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D248" s="122"/>
    </row>
    <row r="249" spans="1:109" s="21" customFormat="1" x14ac:dyDescent="0.2">
      <c r="A249" s="21" t="s">
        <v>96</v>
      </c>
      <c r="C249" s="21">
        <f t="shared" ref="C249:W249" si="2452">C235+C237</f>
        <v>-4.4966000000000079</v>
      </c>
      <c r="D249" s="21">
        <f t="shared" si="2452"/>
        <v>37.724899999999977</v>
      </c>
      <c r="E249" s="21">
        <f t="shared" si="2452"/>
        <v>22.012800000000006</v>
      </c>
      <c r="F249" s="21">
        <f t="shared" si="2452"/>
        <v>17.706499999999963</v>
      </c>
      <c r="G249" s="21">
        <f t="shared" si="2452"/>
        <v>23.944600000000008</v>
      </c>
      <c r="H249" s="21">
        <f t="shared" si="2452"/>
        <v>32.127500000000026</v>
      </c>
      <c r="I249" s="21">
        <f t="shared" si="2452"/>
        <v>-13.352699999999984</v>
      </c>
      <c r="J249" s="21">
        <f>J235+J237</f>
        <v>-0.13190000000011537</v>
      </c>
      <c r="K249" s="21">
        <f t="shared" si="2452"/>
        <v>98.660900000000083</v>
      </c>
      <c r="L249" s="21">
        <f t="shared" si="2452"/>
        <v>16.310700000000033</v>
      </c>
      <c r="M249" s="21">
        <f t="shared" si="2452"/>
        <v>-49.690499999999943</v>
      </c>
      <c r="N249" s="21">
        <f t="shared" si="2452"/>
        <v>88.550999999999974</v>
      </c>
      <c r="O249" s="21">
        <f t="shared" si="2452"/>
        <v>91.665999999999983</v>
      </c>
      <c r="P249" s="21">
        <f t="shared" si="2452"/>
        <v>20.46399999999997</v>
      </c>
      <c r="Q249" s="21">
        <f t="shared" si="2452"/>
        <v>95.804000000000073</v>
      </c>
      <c r="R249" s="21">
        <f t="shared" si="2452"/>
        <v>-20.654999999999994</v>
      </c>
      <c r="S249" s="21">
        <f t="shared" si="2452"/>
        <v>-95.93400000000014</v>
      </c>
      <c r="T249" s="21">
        <f t="shared" si="2452"/>
        <v>40.887000000000143</v>
      </c>
      <c r="U249" s="21">
        <f t="shared" si="2452"/>
        <v>164.60999999999984</v>
      </c>
      <c r="V249" s="21">
        <f t="shared" si="2452"/>
        <v>145.13899999999995</v>
      </c>
      <c r="W249" s="21">
        <f t="shared" si="2452"/>
        <v>40.347999999999956</v>
      </c>
      <c r="X249" s="21">
        <f t="shared" ref="X249:Y249" si="2453">X235+X237</f>
        <v>-43.059999999999931</v>
      </c>
      <c r="Y249" s="21">
        <f t="shared" si="2453"/>
        <v>63.500999999999891</v>
      </c>
      <c r="Z249" s="21">
        <f t="shared" ref="Z249:AA249" si="2454">Z235+Z237</f>
        <v>112.93400000000028</v>
      </c>
      <c r="AA249" s="21">
        <f t="shared" ref="AA249" si="2455">AA235+AA237</f>
        <v>37.031999999999954</v>
      </c>
      <c r="AB249" s="20">
        <f t="shared" ref="AB249:AD249" si="2456">AB235+AB237</f>
        <v>215.07200545408142</v>
      </c>
      <c r="AC249" s="20">
        <f t="shared" si="2456"/>
        <v>238.51291849685083</v>
      </c>
      <c r="AD249" s="20">
        <f t="shared" si="2456"/>
        <v>268.47074752415011</v>
      </c>
      <c r="AE249" s="20">
        <f t="shared" ref="AE249" si="2457">AE235+AE237</f>
        <v>313.81716453810554</v>
      </c>
      <c r="AI249" s="21">
        <f t="shared" ref="AI249" si="2458">AI235+AI237</f>
        <v>-358.97</v>
      </c>
      <c r="AJ249" s="21">
        <f t="shared" ref="AJ249:AL249" si="2459">AJ235+AJ237</f>
        <v>46.259769452449532</v>
      </c>
      <c r="AK249" s="21">
        <f t="shared" si="2459"/>
        <v>362.63023054755047</v>
      </c>
      <c r="AL249" s="21">
        <f t="shared" si="2459"/>
        <v>15.61</v>
      </c>
      <c r="AM249" s="21">
        <f t="shared" ref="AM249" si="2460">AM235+AM237</f>
        <v>-361.3</v>
      </c>
      <c r="AN249" s="21">
        <f t="shared" ref="AN249:CD249" si="2461">AN235+AN237</f>
        <v>23.773859235734044</v>
      </c>
      <c r="AO249" s="21">
        <f t="shared" si="2461"/>
        <v>26.786140764266001</v>
      </c>
      <c r="AP249" s="21">
        <f t="shared" si="2461"/>
        <v>23.762364215497776</v>
      </c>
      <c r="AQ249" s="21">
        <f t="shared" si="2461"/>
        <v>5.8476357845021383</v>
      </c>
      <c r="AR249" s="21">
        <f t="shared" si="2461"/>
        <v>18.359720591923818</v>
      </c>
      <c r="AS249" s="21">
        <f t="shared" si="2461"/>
        <v>-30.519720591923786</v>
      </c>
      <c r="AT249" s="21">
        <f t="shared" si="2461"/>
        <v>46.697773479942668</v>
      </c>
      <c r="AU249" s="21">
        <f t="shared" si="2461"/>
        <v>7.2722265200573517</v>
      </c>
      <c r="AV249" s="21">
        <f t="shared" si="2461"/>
        <v>32.115234620958482</v>
      </c>
      <c r="AW249" s="21">
        <f t="shared" si="2461"/>
        <v>10.814765379041454</v>
      </c>
      <c r="AX249" s="21">
        <f t="shared" si="2461"/>
        <v>45.277652370203199</v>
      </c>
      <c r="AY249" s="21">
        <f t="shared" si="2461"/>
        <v>-4.5576523702031686</v>
      </c>
      <c r="AZ249" s="21">
        <f t="shared" si="2461"/>
        <v>51.466368921288279</v>
      </c>
      <c r="BA249" s="21">
        <f t="shared" si="2461"/>
        <v>-116.01636892128825</v>
      </c>
      <c r="BB249" s="21">
        <f t="shared" si="2461"/>
        <v>65.313520663627571</v>
      </c>
      <c r="BC249" s="21">
        <f t="shared" si="2461"/>
        <v>-113.37352066362767</v>
      </c>
      <c r="BD249" s="21">
        <f t="shared" si="2461"/>
        <v>36.015293590318272</v>
      </c>
      <c r="BE249" s="21">
        <f t="shared" si="2461"/>
        <v>-87.095293590318306</v>
      </c>
      <c r="BF249" s="21">
        <f t="shared" si="2461"/>
        <v>127.00140158439982</v>
      </c>
      <c r="BG249" s="21">
        <f t="shared" si="2461"/>
        <v>-50.301401584399713</v>
      </c>
      <c r="BH249" s="21">
        <f t="shared" si="2461"/>
        <v>-15.432649842271378</v>
      </c>
      <c r="BI249" s="21">
        <f t="shared" si="2461"/>
        <v>-20.467350157728703</v>
      </c>
      <c r="BJ249" s="21">
        <f t="shared" si="2461"/>
        <v>78.760415464512278</v>
      </c>
      <c r="BK249" s="21">
        <f t="shared" si="2461"/>
        <v>10.339584535487717</v>
      </c>
      <c r="BL249" s="21">
        <f t="shared" si="2461"/>
        <v>-44.831477799867429</v>
      </c>
      <c r="BM249" s="21">
        <f t="shared" si="2461"/>
        <v>120.33147779986751</v>
      </c>
      <c r="BN249" s="21">
        <f t="shared" si="2461"/>
        <v>100.79910979228487</v>
      </c>
      <c r="BO249" s="21">
        <f t="shared" si="2461"/>
        <v>-54.699109792284716</v>
      </c>
      <c r="BP249" s="21">
        <f t="shared" si="2461"/>
        <v>-173.02233896756547</v>
      </c>
      <c r="BQ249" s="21">
        <f t="shared" si="2461"/>
        <v>272.12233896756538</v>
      </c>
      <c r="BR249" s="21">
        <f t="shared" si="2461"/>
        <v>32.361313868613038</v>
      </c>
      <c r="BS249" s="21">
        <f t="shared" si="2461"/>
        <v>14.338686131387025</v>
      </c>
      <c r="BT249" s="21">
        <f t="shared" si="2461"/>
        <v>-41.755247524752491</v>
      </c>
      <c r="BU249" s="21">
        <f t="shared" si="2461"/>
        <v>35.455247524752522</v>
      </c>
      <c r="BV249" s="21">
        <f t="shared" si="2461"/>
        <v>65.92656320287881</v>
      </c>
      <c r="BW249" s="21">
        <f t="shared" si="2461"/>
        <v>-98.026563202878961</v>
      </c>
      <c r="BX249" s="21">
        <f t="shared" si="2461"/>
        <v>57.854237288135707</v>
      </c>
      <c r="BY249" s="21">
        <f t="shared" si="2461"/>
        <v>-68.854237288135579</v>
      </c>
      <c r="BZ249" s="21">
        <f t="shared" si="2461"/>
        <v>84.29973313000383</v>
      </c>
      <c r="CA249" s="21">
        <f t="shared" si="2461"/>
        <v>-45.599733130003798</v>
      </c>
      <c r="CB249" s="21">
        <f t="shared" si="2461"/>
        <v>83.375900558092141</v>
      </c>
      <c r="CC249" s="21">
        <f t="shared" si="2461"/>
        <v>-58.775900558092133</v>
      </c>
      <c r="CD249" s="21">
        <f t="shared" si="2461"/>
        <v>121.25847992034531</v>
      </c>
      <c r="CE249" s="21">
        <f t="shared" ref="CE249:CF249" si="2462">CE235+CE237</f>
        <v>41.74152007965462</v>
      </c>
      <c r="CF249" s="21">
        <f t="shared" si="2462"/>
        <v>98.200541795665615</v>
      </c>
      <c r="CG249" s="21">
        <f t="shared" ref="CG249:CH249" si="2463">CG235+CG237</f>
        <v>-148.16554179566572</v>
      </c>
      <c r="CH249" s="21">
        <f t="shared" si="2463"/>
        <v>217.72527670704886</v>
      </c>
      <c r="CI249" s="21">
        <f t="shared" ref="CI249:CJ249" si="2464">CI235+CI237</f>
        <v>-151.56027670704867</v>
      </c>
      <c r="CJ249" s="21">
        <f t="shared" si="2464"/>
        <v>93.171801409929287</v>
      </c>
      <c r="CK249" s="21">
        <f t="shared" ref="CK249:DA249" si="2465">CK235+CK237</f>
        <v>-122.37180140992893</v>
      </c>
      <c r="CL249" s="21">
        <f t="shared" si="2465"/>
        <v>322.70535714285688</v>
      </c>
      <c r="CM249" s="20">
        <f t="shared" si="2465"/>
        <v>-184.9092305732573</v>
      </c>
      <c r="CN249" s="20">
        <f t="shared" si="2465"/>
        <v>1.8608046796192923</v>
      </c>
      <c r="CO249" s="20">
        <f t="shared" si="2465"/>
        <v>75.471074204862504</v>
      </c>
      <c r="CP249" s="20">
        <f t="shared" si="2465"/>
        <v>131.71739611836659</v>
      </c>
      <c r="CQ249" s="20">
        <f t="shared" si="2465"/>
        <v>15.060126163451585</v>
      </c>
      <c r="CR249" s="20">
        <f t="shared" si="2465"/>
        <v>4.240081631987465</v>
      </c>
      <c r="CS249" s="20">
        <f t="shared" si="2465"/>
        <v>87.495314583045342</v>
      </c>
      <c r="CT249" s="20">
        <f t="shared" si="2465"/>
        <v>146.64152897913345</v>
      </c>
      <c r="CU249" s="20">
        <f t="shared" si="2465"/>
        <v>17.930155060377359</v>
      </c>
      <c r="CV249" s="20">
        <f t="shared" si="2465"/>
        <v>5.9132913441745814</v>
      </c>
      <c r="CW249" s="20">
        <f t="shared" si="2465"/>
        <v>97.985772140464292</v>
      </c>
      <c r="CX249" s="20">
        <f t="shared" si="2465"/>
        <v>165.69137219097837</v>
      </c>
      <c r="CY249" s="20">
        <f t="shared" si="2465"/>
        <v>24.270664401626789</v>
      </c>
      <c r="CZ249" s="20">
        <f t="shared" si="2465"/>
        <v>11.186840724284679</v>
      </c>
      <c r="DA249" s="20">
        <f t="shared" si="2465"/>
        <v>112.66828722121531</v>
      </c>
      <c r="DD249" s="125"/>
      <c r="DE249" s="21">
        <v>36.982000000000056</v>
      </c>
    </row>
    <row r="250" spans="1:109" x14ac:dyDescent="0.2">
      <c r="A250" s="151" t="s">
        <v>497</v>
      </c>
      <c r="CL250" s="2"/>
    </row>
    <row r="251" spans="1:109" x14ac:dyDescent="0.2">
      <c r="CL251" s="2"/>
    </row>
    <row r="252" spans="1:109" s="7" customFormat="1" hidden="1" outlineLevel="1" x14ac:dyDescent="0.2">
      <c r="A252" s="60" t="s">
        <v>97</v>
      </c>
      <c r="AB252" s="76"/>
      <c r="AC252" s="76"/>
      <c r="AD252" s="76"/>
      <c r="AE252" s="76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49"/>
      <c r="DD252" s="137"/>
    </row>
    <row r="253" spans="1:109" s="61" customFormat="1" hidden="1" outlineLevel="1" x14ac:dyDescent="0.2">
      <c r="A253" s="61" t="s">
        <v>98</v>
      </c>
      <c r="AB253" s="62"/>
      <c r="AC253" s="62"/>
      <c r="AD253" s="62"/>
      <c r="AE253" s="62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D253" s="138"/>
    </row>
    <row r="254" spans="1:109" s="61" customFormat="1" hidden="1" outlineLevel="1" x14ac:dyDescent="0.2">
      <c r="A254" s="61" t="s">
        <v>99</v>
      </c>
      <c r="AB254" s="62"/>
      <c r="AC254" s="62"/>
      <c r="AD254" s="62"/>
      <c r="AE254" s="62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D254" s="138"/>
    </row>
    <row r="255" spans="1:109" s="61" customFormat="1" hidden="1" outlineLevel="1" x14ac:dyDescent="0.2">
      <c r="A255" s="61" t="s">
        <v>100</v>
      </c>
      <c r="AB255" s="62"/>
      <c r="AC255" s="62"/>
      <c r="AD255" s="62"/>
      <c r="AE255" s="62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D255" s="138"/>
    </row>
    <row r="256" spans="1:109" s="61" customFormat="1" hidden="1" outlineLevel="1" x14ac:dyDescent="0.2">
      <c r="AB256" s="62"/>
      <c r="AC256" s="62"/>
      <c r="AD256" s="62"/>
      <c r="AE256" s="62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D256" s="138"/>
    </row>
    <row r="257" spans="1:109" s="61" customFormat="1" hidden="1" outlineLevel="1" x14ac:dyDescent="0.2">
      <c r="AB257" s="62"/>
      <c r="AC257" s="62"/>
      <c r="AD257" s="62"/>
      <c r="AE257" s="62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D257" s="138"/>
    </row>
    <row r="258" spans="1:109" s="61" customFormat="1" hidden="1" outlineLevel="1" x14ac:dyDescent="0.2">
      <c r="AB258" s="62"/>
      <c r="AC258" s="62"/>
      <c r="AD258" s="62"/>
      <c r="AE258" s="62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D258" s="138"/>
    </row>
    <row r="259" spans="1:109" s="11" customFormat="1" collapsed="1" x14ac:dyDescent="0.2">
      <c r="AB259" s="62"/>
      <c r="AC259" s="62"/>
      <c r="AD259" s="62"/>
      <c r="AE259" s="62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D259" s="138"/>
    </row>
    <row r="260" spans="1:109" s="82" customFormat="1" x14ac:dyDescent="0.2">
      <c r="A260" s="81" t="s">
        <v>101</v>
      </c>
      <c r="AB260" s="71"/>
      <c r="AC260" s="71"/>
      <c r="AD260" s="71"/>
      <c r="AE260" s="71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D260" s="138"/>
    </row>
    <row r="261" spans="1:109" s="65" customFormat="1" x14ac:dyDescent="0.2">
      <c r="A261" s="65" t="s">
        <v>471</v>
      </c>
      <c r="AB261" s="49"/>
      <c r="AC261" s="49"/>
      <c r="AD261" s="49"/>
      <c r="AE261" s="49"/>
      <c r="AL261" s="65">
        <f t="shared" ref="AL261:BQ261" si="2466">SUM(AI46:AL46)</f>
        <v>715.49</v>
      </c>
      <c r="AM261" s="65">
        <f t="shared" si="2466"/>
        <v>723.33</v>
      </c>
      <c r="AN261" s="65">
        <f t="shared" si="2466"/>
        <v>743.83</v>
      </c>
      <c r="AO261" s="65">
        <f t="shared" si="2466"/>
        <v>731.34</v>
      </c>
      <c r="AP261" s="65">
        <f t="shared" si="2466"/>
        <v>740.92000000000007</v>
      </c>
      <c r="AQ261" s="65">
        <f t="shared" si="2466"/>
        <v>745.05000000000007</v>
      </c>
      <c r="AR261" s="65">
        <f t="shared" si="2466"/>
        <v>753.7</v>
      </c>
      <c r="AS261" s="65">
        <f t="shared" si="2466"/>
        <v>801.7</v>
      </c>
      <c r="AT261" s="65">
        <f t="shared" si="2466"/>
        <v>817.6</v>
      </c>
      <c r="AU261" s="65">
        <f t="shared" si="2466"/>
        <v>818.36</v>
      </c>
      <c r="AV261" s="65">
        <f t="shared" si="2466"/>
        <v>805.25</v>
      </c>
      <c r="AW261" s="65">
        <f t="shared" si="2466"/>
        <v>818.81</v>
      </c>
      <c r="AX261" s="65">
        <f t="shared" si="2466"/>
        <v>839.64</v>
      </c>
      <c r="AY261" s="65">
        <f t="shared" si="2466"/>
        <v>842.56</v>
      </c>
      <c r="AZ261" s="65">
        <f t="shared" si="2466"/>
        <v>817.77</v>
      </c>
      <c r="BA261" s="65">
        <f t="shared" si="2466"/>
        <v>824.78</v>
      </c>
      <c r="BB261" s="65">
        <f t="shared" si="2466"/>
        <v>820.07999999999993</v>
      </c>
      <c r="BC261" s="65">
        <f t="shared" si="2466"/>
        <v>827.25</v>
      </c>
      <c r="BD261" s="65">
        <f t="shared" si="2466"/>
        <v>866.76</v>
      </c>
      <c r="BE261" s="65">
        <f t="shared" si="2466"/>
        <v>944.3</v>
      </c>
      <c r="BF261" s="65">
        <f t="shared" si="2466"/>
        <v>951.4</v>
      </c>
      <c r="BG261" s="65">
        <f t="shared" si="2466"/>
        <v>994.80000000000007</v>
      </c>
      <c r="BH261" s="65">
        <f t="shared" si="2466"/>
        <v>1074.7</v>
      </c>
      <c r="BI261" s="65">
        <f t="shared" si="2466"/>
        <v>1093.0999999999999</v>
      </c>
      <c r="BJ261" s="65">
        <f t="shared" si="2466"/>
        <v>1169.9000000000001</v>
      </c>
      <c r="BK261" s="65">
        <f t="shared" si="2466"/>
        <v>1218.0999999999999</v>
      </c>
      <c r="BL261" s="65">
        <f t="shared" si="2466"/>
        <v>1303.5</v>
      </c>
      <c r="BM261" s="65">
        <f t="shared" si="2466"/>
        <v>1293.9000000000001</v>
      </c>
      <c r="BN261" s="65">
        <f t="shared" si="2466"/>
        <v>1261.5999999999999</v>
      </c>
      <c r="BO261" s="65">
        <f t="shared" si="2466"/>
        <v>1178.7</v>
      </c>
      <c r="BP261" s="65">
        <f t="shared" si="2466"/>
        <v>1175.2</v>
      </c>
      <c r="BQ261" s="65">
        <f t="shared" si="2466"/>
        <v>1208.0999999999999</v>
      </c>
      <c r="BR261" s="65">
        <f t="shared" ref="BR261:CW261" si="2467">SUM(BO46:BR46)</f>
        <v>1332.7</v>
      </c>
      <c r="BS261" s="65">
        <f t="shared" si="2467"/>
        <v>1416.8000000000002</v>
      </c>
      <c r="BT261" s="65">
        <f t="shared" si="2467"/>
        <v>1422.6</v>
      </c>
      <c r="BU261" s="65">
        <f t="shared" si="2467"/>
        <v>1497.3000000000002</v>
      </c>
      <c r="BV261" s="65">
        <f t="shared" si="2467"/>
        <v>1533.4</v>
      </c>
      <c r="BW261" s="65">
        <f t="shared" si="2467"/>
        <v>1678.8000000000002</v>
      </c>
      <c r="BX261" s="65">
        <f t="shared" si="2467"/>
        <v>1741.9999999999998</v>
      </c>
      <c r="BY261" s="65">
        <f t="shared" si="2467"/>
        <v>1822</v>
      </c>
      <c r="BZ261" s="65">
        <f t="shared" si="2467"/>
        <v>1893.9</v>
      </c>
      <c r="CA261" s="65">
        <f t="shared" si="2467"/>
        <v>2036.8</v>
      </c>
      <c r="CB261" s="65">
        <f t="shared" si="2467"/>
        <v>2169.1999999999998</v>
      </c>
      <c r="CC261" s="65">
        <f t="shared" si="2467"/>
        <v>2247.2000000000003</v>
      </c>
      <c r="CD261" s="65">
        <f t="shared" si="2467"/>
        <v>2301.8000000000002</v>
      </c>
      <c r="CE261" s="65">
        <f t="shared" si="2467"/>
        <v>2356.5</v>
      </c>
      <c r="CF261" s="65">
        <f t="shared" si="2467"/>
        <v>2409.3000000000002</v>
      </c>
      <c r="CG261" s="65">
        <f t="shared" si="2467"/>
        <v>2533.1</v>
      </c>
      <c r="CH261" s="65">
        <f t="shared" si="2467"/>
        <v>2584.3000000000002</v>
      </c>
      <c r="CI261" s="65">
        <f t="shared" si="2467"/>
        <v>2605</v>
      </c>
      <c r="CJ261" s="65">
        <f t="shared" si="2467"/>
        <v>2638.1</v>
      </c>
      <c r="CK261" s="65">
        <f t="shared" si="2467"/>
        <v>2695.7</v>
      </c>
      <c r="CL261" s="65">
        <f t="shared" si="2467"/>
        <v>2701.6000000000004</v>
      </c>
      <c r="CM261" s="49">
        <f t="shared" si="2467"/>
        <v>2802.5552989174803</v>
      </c>
      <c r="CN261" s="49">
        <f t="shared" si="2467"/>
        <v>2985.2164677172932</v>
      </c>
      <c r="CO261" s="49">
        <f t="shared" si="2467"/>
        <v>3055.8940249956063</v>
      </c>
      <c r="CP261" s="49">
        <f t="shared" si="2467"/>
        <v>3218.7066075457988</v>
      </c>
      <c r="CQ261" s="49">
        <f t="shared" si="2467"/>
        <v>3291.7871028720092</v>
      </c>
      <c r="CR261" s="49">
        <f t="shared" si="2467"/>
        <v>3372.3309658170015</v>
      </c>
      <c r="CS261" s="49">
        <f t="shared" si="2467"/>
        <v>3455.6672942745499</v>
      </c>
      <c r="CT261" s="49">
        <f t="shared" si="2467"/>
        <v>3530.7730450523468</v>
      </c>
      <c r="CU261" s="49">
        <f t="shared" si="2467"/>
        <v>3613.8295391517759</v>
      </c>
      <c r="CV261" s="49">
        <f t="shared" si="2467"/>
        <v>3704.3697287507603</v>
      </c>
      <c r="CW261" s="49">
        <f t="shared" si="2467"/>
        <v>3797.582834267776</v>
      </c>
      <c r="CX261" s="49">
        <f t="shared" ref="CX261:DA261" si="2468">SUM(CU46:CX46)</f>
        <v>3881.1443419447178</v>
      </c>
      <c r="CY261" s="49">
        <f t="shared" si="2468"/>
        <v>3973.2428508726598</v>
      </c>
      <c r="CZ261" s="49">
        <f t="shared" si="2468"/>
        <v>4073.373043289067</v>
      </c>
      <c r="DA261" s="49">
        <f t="shared" si="2468"/>
        <v>4176.3333737708299</v>
      </c>
      <c r="DD261" s="137"/>
    </row>
    <row r="262" spans="1:109" s="65" customFormat="1" x14ac:dyDescent="0.2">
      <c r="A262" s="65" t="s">
        <v>472</v>
      </c>
      <c r="AB262" s="49"/>
      <c r="AC262" s="49"/>
      <c r="AD262" s="49"/>
      <c r="AE262" s="49"/>
      <c r="AL262" s="65">
        <f t="shared" ref="AL262:BQ262" si="2469">SUM(AI64:AL64)</f>
        <v>99.080000000000013</v>
      </c>
      <c r="AM262" s="65">
        <f t="shared" si="2469"/>
        <v>101.28999999999999</v>
      </c>
      <c r="AN262" s="65">
        <f t="shared" si="2469"/>
        <v>108.75999999999999</v>
      </c>
      <c r="AO262" s="65">
        <f t="shared" si="2469"/>
        <v>100.57</v>
      </c>
      <c r="AP262" s="65">
        <f t="shared" si="2469"/>
        <v>103.98</v>
      </c>
      <c r="AQ262" s="65">
        <f t="shared" si="2469"/>
        <v>106.39000000000003</v>
      </c>
      <c r="AR262" s="65">
        <f t="shared" si="2469"/>
        <v>103.22000000000003</v>
      </c>
      <c r="AS262" s="65">
        <f t="shared" si="2469"/>
        <v>99.300000000000026</v>
      </c>
      <c r="AT262" s="65">
        <f t="shared" si="2469"/>
        <v>86.339999999999989</v>
      </c>
      <c r="AU262" s="65">
        <f t="shared" si="2469"/>
        <v>78.829999999999956</v>
      </c>
      <c r="AV262" s="65">
        <f t="shared" si="2469"/>
        <v>80.939999999999941</v>
      </c>
      <c r="AW262" s="65">
        <f t="shared" si="2469"/>
        <v>104.11999999999991</v>
      </c>
      <c r="AX262" s="65">
        <f t="shared" si="2469"/>
        <v>118.59999999999994</v>
      </c>
      <c r="AY262" s="65">
        <f t="shared" si="2469"/>
        <v>123.36999999999998</v>
      </c>
      <c r="AZ262" s="65">
        <f t="shared" si="2469"/>
        <v>108.65999999999998</v>
      </c>
      <c r="BA262" s="65">
        <f t="shared" si="2469"/>
        <v>105.29000000000002</v>
      </c>
      <c r="BB262" s="65">
        <f t="shared" si="2469"/>
        <v>99.04000000000002</v>
      </c>
      <c r="BC262" s="65">
        <f t="shared" si="2469"/>
        <v>96.24</v>
      </c>
      <c r="BD262" s="65">
        <f t="shared" si="2469"/>
        <v>102.90999999999998</v>
      </c>
      <c r="BE262" s="65">
        <f t="shared" si="2469"/>
        <v>107.59999999999995</v>
      </c>
      <c r="BF262" s="65">
        <f t="shared" si="2469"/>
        <v>106.99999999999996</v>
      </c>
      <c r="BG262" s="65">
        <f t="shared" si="2469"/>
        <v>111.79999999999995</v>
      </c>
      <c r="BH262" s="65">
        <f t="shared" si="2469"/>
        <v>122.79999999999995</v>
      </c>
      <c r="BI262" s="65">
        <f t="shared" si="2469"/>
        <v>128.4</v>
      </c>
      <c r="BJ262" s="65">
        <f t="shared" si="2469"/>
        <v>140.39999999999995</v>
      </c>
      <c r="BK262" s="65">
        <f t="shared" si="2469"/>
        <v>143.89999999999998</v>
      </c>
      <c r="BL262" s="65">
        <f t="shared" si="2469"/>
        <v>150.5</v>
      </c>
      <c r="BM262" s="65">
        <f t="shared" si="2469"/>
        <v>150.29999999999995</v>
      </c>
      <c r="BN262" s="65">
        <f t="shared" si="2469"/>
        <v>136.50000000000003</v>
      </c>
      <c r="BO262" s="65">
        <f t="shared" si="2469"/>
        <v>118.00000000000004</v>
      </c>
      <c r="BP262" s="65">
        <f t="shared" si="2469"/>
        <v>140.20000000000002</v>
      </c>
      <c r="BQ262" s="65">
        <f t="shared" si="2469"/>
        <v>167.8</v>
      </c>
      <c r="BR262" s="65">
        <f t="shared" ref="BR262:CW262" si="2470">SUM(BO64:BR64)</f>
        <v>211.8</v>
      </c>
      <c r="BS262" s="65">
        <f t="shared" si="2470"/>
        <v>237.5</v>
      </c>
      <c r="BT262" s="65">
        <f t="shared" si="2470"/>
        <v>228.30000000000007</v>
      </c>
      <c r="BU262" s="65">
        <f t="shared" si="2470"/>
        <v>209.40000000000009</v>
      </c>
      <c r="BV262" s="65">
        <f t="shared" si="2470"/>
        <v>202.10000000000008</v>
      </c>
      <c r="BW262" s="65">
        <f t="shared" si="2470"/>
        <v>223.90000000000003</v>
      </c>
      <c r="BX262" s="65">
        <f t="shared" si="2470"/>
        <v>226.3</v>
      </c>
      <c r="BY262" s="65">
        <f t="shared" si="2470"/>
        <v>246.69999999999996</v>
      </c>
      <c r="BZ262" s="65">
        <f t="shared" si="2470"/>
        <v>249.19999999999996</v>
      </c>
      <c r="CA262" s="65">
        <f t="shared" si="2470"/>
        <v>273.29999999999995</v>
      </c>
      <c r="CB262" s="65">
        <f t="shared" si="2470"/>
        <v>289.5</v>
      </c>
      <c r="CC262" s="65">
        <f t="shared" si="2470"/>
        <v>293.60000000000002</v>
      </c>
      <c r="CD262" s="65">
        <f t="shared" si="2470"/>
        <v>297.30000000000007</v>
      </c>
      <c r="CE262" s="65">
        <f t="shared" si="2470"/>
        <v>302.70000000000005</v>
      </c>
      <c r="CF262" s="65">
        <f t="shared" si="2470"/>
        <v>320</v>
      </c>
      <c r="CG262" s="65">
        <f t="shared" si="2470"/>
        <v>337.49999999999994</v>
      </c>
      <c r="CH262" s="65">
        <f t="shared" si="2470"/>
        <v>344.29999999999995</v>
      </c>
      <c r="CI262" s="65">
        <f t="shared" si="2470"/>
        <v>345.1</v>
      </c>
      <c r="CJ262" s="65">
        <f t="shared" si="2470"/>
        <v>342.30000000000018</v>
      </c>
      <c r="CK262" s="65">
        <f t="shared" si="2470"/>
        <v>373.50000000000017</v>
      </c>
      <c r="CL262" s="65">
        <f t="shared" si="2470"/>
        <v>356.60000000000008</v>
      </c>
      <c r="CM262" s="49">
        <f t="shared" si="2470"/>
        <v>379.88292848409765</v>
      </c>
      <c r="CN262" s="49">
        <f t="shared" si="2470"/>
        <v>393.26963764653965</v>
      </c>
      <c r="CO262" s="49">
        <f t="shared" si="2470"/>
        <v>405.14378395388871</v>
      </c>
      <c r="CP262" s="49">
        <f t="shared" si="2470"/>
        <v>421.22206596486836</v>
      </c>
      <c r="CQ262" s="49">
        <f t="shared" si="2470"/>
        <v>432.7700207496448</v>
      </c>
      <c r="CR262" s="49">
        <f t="shared" si="2470"/>
        <v>440.32048411078983</v>
      </c>
      <c r="CS262" s="49">
        <f t="shared" si="2470"/>
        <v>454.55477844432392</v>
      </c>
      <c r="CT262" s="49">
        <f t="shared" si="2470"/>
        <v>461.57325599078547</v>
      </c>
      <c r="CU262" s="49">
        <f t="shared" si="2470"/>
        <v>473.95362481861952</v>
      </c>
      <c r="CV262" s="49">
        <f t="shared" si="2470"/>
        <v>484.13136584719314</v>
      </c>
      <c r="CW262" s="49">
        <f t="shared" si="2470"/>
        <v>499.75724949394601</v>
      </c>
      <c r="CX262" s="49">
        <f t="shared" ref="CX262:DA262" si="2471">SUM(CU64:CX64)</f>
        <v>507.1778537399004</v>
      </c>
      <c r="CY262" s="49">
        <f t="shared" si="2471"/>
        <v>520.948437495598</v>
      </c>
      <c r="CZ262" s="49">
        <f t="shared" si="2471"/>
        <v>532.47745867075673</v>
      </c>
      <c r="DA262" s="49">
        <f t="shared" si="2471"/>
        <v>549.62165038291209</v>
      </c>
      <c r="DD262" s="137"/>
    </row>
    <row r="263" spans="1:109" s="65" customFormat="1" x14ac:dyDescent="0.2">
      <c r="A263" s="65" t="s">
        <v>473</v>
      </c>
      <c r="AB263" s="49"/>
      <c r="AC263" s="49"/>
      <c r="AD263" s="49"/>
      <c r="AE263" s="49"/>
      <c r="AL263" s="65">
        <f t="shared" ref="AL263:BQ263" si="2472">SUM(AI77:AL77)</f>
        <v>65.53</v>
      </c>
      <c r="AM263" s="65">
        <f t="shared" si="2472"/>
        <v>63.529999999999987</v>
      </c>
      <c r="AN263" s="65">
        <f t="shared" si="2472"/>
        <v>68.509999999999991</v>
      </c>
      <c r="AO263" s="65">
        <f t="shared" si="2472"/>
        <v>59.76</v>
      </c>
      <c r="AP263" s="65">
        <f t="shared" si="2472"/>
        <v>59.280000000000008</v>
      </c>
      <c r="AQ263" s="65">
        <f t="shared" si="2472"/>
        <v>66.270000000000039</v>
      </c>
      <c r="AR263" s="65">
        <f t="shared" si="2472"/>
        <v>66.240000000000023</v>
      </c>
      <c r="AS263" s="65">
        <f t="shared" si="2472"/>
        <v>65.42000000000003</v>
      </c>
      <c r="AT263" s="65">
        <f t="shared" si="2472"/>
        <v>56.699999999999996</v>
      </c>
      <c r="AU263" s="65">
        <f t="shared" si="2472"/>
        <v>56.469999999999956</v>
      </c>
      <c r="AV263" s="65">
        <f t="shared" si="2472"/>
        <v>55.449999999999939</v>
      </c>
      <c r="AW263" s="65">
        <f t="shared" si="2472"/>
        <v>69.829999999999913</v>
      </c>
      <c r="AX263" s="65">
        <f t="shared" si="2472"/>
        <v>80.269999999999953</v>
      </c>
      <c r="AY263" s="65">
        <f t="shared" si="2472"/>
        <v>75.279999999999987</v>
      </c>
      <c r="AZ263" s="65">
        <f t="shared" si="2472"/>
        <v>67.099999999999994</v>
      </c>
      <c r="BA263" s="65">
        <f t="shared" si="2472"/>
        <v>65.340000000000032</v>
      </c>
      <c r="BB263" s="65">
        <f t="shared" si="2472"/>
        <v>61.790000000000035</v>
      </c>
      <c r="BC263" s="65">
        <f t="shared" si="2472"/>
        <v>59.86</v>
      </c>
      <c r="BD263" s="65">
        <f t="shared" si="2472"/>
        <v>62.789999999999992</v>
      </c>
      <c r="BE263" s="65">
        <f t="shared" si="2472"/>
        <v>67.599999999999966</v>
      </c>
      <c r="BF263" s="65">
        <f t="shared" si="2472"/>
        <v>65.699999999999974</v>
      </c>
      <c r="BG263" s="65">
        <f t="shared" si="2472"/>
        <v>64.899999999999949</v>
      </c>
      <c r="BH263" s="65">
        <f t="shared" si="2472"/>
        <v>69.399999999999949</v>
      </c>
      <c r="BI263" s="65">
        <f t="shared" si="2472"/>
        <v>67.300000000000011</v>
      </c>
      <c r="BJ263" s="65">
        <f t="shared" si="2472"/>
        <v>71.599999999999952</v>
      </c>
      <c r="BK263" s="65">
        <f t="shared" si="2472"/>
        <v>69.699999999999974</v>
      </c>
      <c r="BL263" s="65">
        <f t="shared" si="2472"/>
        <v>77.400000000000006</v>
      </c>
      <c r="BM263" s="65">
        <f t="shared" si="2472"/>
        <v>82.599999999999966</v>
      </c>
      <c r="BN263" s="65">
        <f t="shared" si="2472"/>
        <v>77.200000000000017</v>
      </c>
      <c r="BO263" s="65">
        <f t="shared" si="2472"/>
        <v>72.200000000000031</v>
      </c>
      <c r="BP263" s="65">
        <f t="shared" si="2472"/>
        <v>89.40000000000002</v>
      </c>
      <c r="BQ263" s="65">
        <f t="shared" si="2472"/>
        <v>88.5</v>
      </c>
      <c r="BR263" s="65">
        <f t="shared" ref="BR263:CW263" si="2473">SUM(BO77:BR77)</f>
        <v>120.19999999999999</v>
      </c>
      <c r="BS263" s="65">
        <f t="shared" si="2473"/>
        <v>138.60000000000002</v>
      </c>
      <c r="BT263" s="65">
        <f t="shared" si="2473"/>
        <v>135.20000000000007</v>
      </c>
      <c r="BU263" s="65">
        <f t="shared" si="2473"/>
        <v>143.00000000000011</v>
      </c>
      <c r="BV263" s="65">
        <f t="shared" si="2473"/>
        <v>139.50000000000011</v>
      </c>
      <c r="BW263" s="65">
        <f t="shared" si="2473"/>
        <v>158.90000000000003</v>
      </c>
      <c r="BX263" s="65">
        <f t="shared" si="2473"/>
        <v>158.60000000000002</v>
      </c>
      <c r="BY263" s="65">
        <f t="shared" si="2473"/>
        <v>174.89999999999998</v>
      </c>
      <c r="BZ263" s="65">
        <f t="shared" si="2473"/>
        <v>176.09999999999997</v>
      </c>
      <c r="CA263" s="65">
        <f t="shared" si="2473"/>
        <v>190.79999999999995</v>
      </c>
      <c r="CB263" s="65">
        <f t="shared" si="2473"/>
        <v>200.9</v>
      </c>
      <c r="CC263" s="65">
        <f t="shared" si="2473"/>
        <v>199.30000000000007</v>
      </c>
      <c r="CD263" s="65">
        <f t="shared" si="2473"/>
        <v>202.10000000000011</v>
      </c>
      <c r="CE263" s="65">
        <f t="shared" si="2473"/>
        <v>206.2000000000001</v>
      </c>
      <c r="CF263" s="65">
        <f t="shared" si="2473"/>
        <v>217.29999999999998</v>
      </c>
      <c r="CG263" s="65">
        <f t="shared" si="2473"/>
        <v>234.09999999999997</v>
      </c>
      <c r="CH263" s="65">
        <f t="shared" si="2473"/>
        <v>239.69999999999996</v>
      </c>
      <c r="CI263" s="65">
        <f t="shared" si="2473"/>
        <v>242.20000000000005</v>
      </c>
      <c r="CJ263" s="65">
        <f t="shared" si="2473"/>
        <v>247.90000000000018</v>
      </c>
      <c r="CK263" s="65">
        <f t="shared" si="2473"/>
        <v>281.40000000000015</v>
      </c>
      <c r="CL263" s="65">
        <f t="shared" si="2473"/>
        <v>269.90000000000009</v>
      </c>
      <c r="CM263" s="49">
        <f t="shared" si="2473"/>
        <v>291.97456689878749</v>
      </c>
      <c r="CN263" s="49">
        <f t="shared" si="2473"/>
        <v>299.76395704342337</v>
      </c>
      <c r="CO263" s="49">
        <f t="shared" si="2473"/>
        <v>301.60823857701939</v>
      </c>
      <c r="CP263" s="49">
        <f t="shared" si="2473"/>
        <v>314.75116648293613</v>
      </c>
      <c r="CQ263" s="49">
        <f t="shared" si="2473"/>
        <v>322.94506527113782</v>
      </c>
      <c r="CR263" s="49">
        <f t="shared" si="2473"/>
        <v>332.64015601819187</v>
      </c>
      <c r="CS263" s="49">
        <f t="shared" si="2473"/>
        <v>347.40165372596607</v>
      </c>
      <c r="CT263" s="49">
        <f t="shared" si="2473"/>
        <v>354.25793078712888</v>
      </c>
      <c r="CU263" s="49">
        <f t="shared" si="2473"/>
        <v>364.92151356501665</v>
      </c>
      <c r="CV263" s="49">
        <f t="shared" si="2473"/>
        <v>373.93046306216354</v>
      </c>
      <c r="CW263" s="49">
        <f t="shared" si="2473"/>
        <v>387.04099189892833</v>
      </c>
      <c r="CX263" s="49">
        <f t="shared" ref="CX263:DA263" si="2474">SUM(CU77:CX77)</f>
        <v>396.63005329942547</v>
      </c>
      <c r="CY263" s="49">
        <f t="shared" si="2474"/>
        <v>411.33878389245217</v>
      </c>
      <c r="CZ263" s="49">
        <f t="shared" si="2474"/>
        <v>424.48522710022314</v>
      </c>
      <c r="DA263" s="49">
        <f t="shared" si="2474"/>
        <v>441.94192726161862</v>
      </c>
      <c r="DD263" s="137"/>
    </row>
    <row r="264" spans="1:109" s="92" customFormat="1" x14ac:dyDescent="0.2">
      <c r="AB264" s="29"/>
      <c r="AC264" s="29"/>
      <c r="AD264" s="29"/>
      <c r="AE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D264" s="138"/>
    </row>
    <row r="265" spans="1:109" s="11" customFormat="1" x14ac:dyDescent="0.2">
      <c r="AB265" s="62"/>
      <c r="AC265" s="62"/>
      <c r="AD265" s="62"/>
      <c r="AE265" s="62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D265" s="138"/>
    </row>
    <row r="266" spans="1:109" s="61" customFormat="1" hidden="1" outlineLevel="1" x14ac:dyDescent="0.2">
      <c r="A266" s="60" t="s">
        <v>339</v>
      </c>
      <c r="AB266" s="62"/>
      <c r="AC266" s="62"/>
      <c r="AD266" s="62"/>
      <c r="AE266" s="62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D266" s="138"/>
    </row>
    <row r="267" spans="1:109" s="63" customFormat="1" hidden="1" outlineLevel="1" x14ac:dyDescent="0.2">
      <c r="A267" s="63" t="s">
        <v>474</v>
      </c>
      <c r="B267" s="63">
        <f t="shared" ref="B267:Z267" si="2475">B44-B273</f>
        <v>183.57060000000001</v>
      </c>
      <c r="C267" s="63">
        <f t="shared" si="2475"/>
        <v>208.06</v>
      </c>
      <c r="D267" s="63">
        <f t="shared" si="2475"/>
        <v>246.67429999999999</v>
      </c>
      <c r="E267" s="63">
        <f t="shared" si="2475"/>
        <v>262.83699999999999</v>
      </c>
      <c r="F267" s="63">
        <f t="shared" si="2475"/>
        <v>332.44439999999997</v>
      </c>
      <c r="G267" s="63">
        <f t="shared" si="2475"/>
        <v>397.76569999999998</v>
      </c>
      <c r="H267" s="63">
        <f t="shared" si="2475"/>
        <v>453.14510000000001</v>
      </c>
      <c r="I267" s="63">
        <f t="shared" si="2475"/>
        <v>513.11689999999999</v>
      </c>
      <c r="J267" s="63">
        <f t="shared" si="2475"/>
        <v>659.75869999999998</v>
      </c>
      <c r="K267" s="63">
        <f t="shared" si="2475"/>
        <v>593.08900000000006</v>
      </c>
      <c r="L267" s="63">
        <f t="shared" si="2475"/>
        <v>643.26829999999995</v>
      </c>
      <c r="M267" s="63">
        <f t="shared" si="2475"/>
        <v>795.76900000000001</v>
      </c>
      <c r="N267" s="63">
        <f t="shared" si="2475"/>
        <v>762.81200000000001</v>
      </c>
      <c r="O267" s="63">
        <f t="shared" si="2475"/>
        <v>786.43799999999999</v>
      </c>
      <c r="P267" s="63">
        <f t="shared" si="2475"/>
        <v>852.36599999999999</v>
      </c>
      <c r="Q267" s="63">
        <f t="shared" si="2475"/>
        <v>872.69899999999996</v>
      </c>
      <c r="R267" s="63">
        <f t="shared" si="2475"/>
        <v>879.95100000000002</v>
      </c>
      <c r="S267" s="63">
        <f t="shared" si="2475"/>
        <v>969.24699999999996</v>
      </c>
      <c r="T267" s="63">
        <f t="shared" si="2475"/>
        <v>1093.066</v>
      </c>
      <c r="U267" s="63">
        <f t="shared" si="2475"/>
        <v>1359.34</v>
      </c>
      <c r="V267" s="63">
        <f t="shared" si="2475"/>
        <v>1243.126</v>
      </c>
      <c r="W267" s="63">
        <f t="shared" si="2475"/>
        <v>1540.6579999999999</v>
      </c>
      <c r="X267" s="63">
        <f t="shared" si="2475"/>
        <v>1853.0930000000001</v>
      </c>
      <c r="Y267" s="63">
        <f t="shared" si="2475"/>
        <v>2303.172</v>
      </c>
      <c r="Z267" s="63">
        <f t="shared" si="2475"/>
        <v>2596.1750000000002</v>
      </c>
      <c r="AA267" s="63">
        <f t="shared" ref="AA267" si="2476">AA44-AA273</f>
        <v>2753.0250000000001</v>
      </c>
      <c r="AB267" s="29"/>
      <c r="AC267" s="29"/>
      <c r="AD267" s="29"/>
      <c r="AE267" s="29"/>
      <c r="AI267" s="63">
        <f t="shared" ref="AI267:BN267" si="2477">AI44-AI273</f>
        <v>187.38</v>
      </c>
      <c r="AJ267" s="63">
        <f t="shared" si="2477"/>
        <v>169.74</v>
      </c>
      <c r="AK267" s="63">
        <f t="shared" si="2477"/>
        <v>194.58</v>
      </c>
      <c r="AL267" s="63">
        <f t="shared" si="2477"/>
        <v>163.79</v>
      </c>
      <c r="AM267" s="63">
        <f t="shared" si="2477"/>
        <v>195.22</v>
      </c>
      <c r="AN267" s="63">
        <f t="shared" si="2477"/>
        <v>190.24</v>
      </c>
      <c r="AO267" s="63">
        <f t="shared" si="2477"/>
        <v>182.09</v>
      </c>
      <c r="AP267" s="63">
        <f t="shared" si="2477"/>
        <v>173.37</v>
      </c>
      <c r="AQ267" s="63">
        <f t="shared" si="2477"/>
        <v>199.35</v>
      </c>
      <c r="AR267" s="63">
        <f t="shared" si="2477"/>
        <v>198.89000000000001</v>
      </c>
      <c r="AS267" s="63">
        <f t="shared" si="2477"/>
        <v>230.09</v>
      </c>
      <c r="AT267" s="63">
        <f t="shared" si="2477"/>
        <v>189.26999999999998</v>
      </c>
      <c r="AU267" s="63">
        <f t="shared" si="2477"/>
        <v>200.10999999999999</v>
      </c>
      <c r="AV267" s="63">
        <f t="shared" si="2477"/>
        <v>185.78</v>
      </c>
      <c r="AW267" s="63">
        <f t="shared" si="2477"/>
        <v>243.64999999999998</v>
      </c>
      <c r="AX267" s="63">
        <f t="shared" si="2477"/>
        <v>223.12</v>
      </c>
      <c r="AY267" s="63">
        <f t="shared" si="2477"/>
        <v>216.74</v>
      </c>
      <c r="AZ267" s="63">
        <f t="shared" si="2477"/>
        <v>171.59</v>
      </c>
      <c r="BA267" s="63">
        <f t="shared" si="2477"/>
        <v>267.62</v>
      </c>
      <c r="BB267" s="63">
        <f t="shared" si="2477"/>
        <v>217.5</v>
      </c>
      <c r="BC267" s="63">
        <f t="shared" si="2477"/>
        <v>223.1</v>
      </c>
      <c r="BD267" s="63">
        <f t="shared" si="2477"/>
        <v>200.5</v>
      </c>
      <c r="BE267" s="63">
        <f t="shared" si="2477"/>
        <v>328.2</v>
      </c>
      <c r="BF267" s="63">
        <f t="shared" si="2477"/>
        <v>212.5</v>
      </c>
      <c r="BG267" s="63">
        <f t="shared" si="2477"/>
        <v>253.6</v>
      </c>
      <c r="BH267" s="63">
        <f t="shared" si="2477"/>
        <v>280.39999999999998</v>
      </c>
      <c r="BI267" s="63">
        <f t="shared" si="2477"/>
        <v>346.6</v>
      </c>
      <c r="BJ267" s="63">
        <f t="shared" si="2477"/>
        <v>289.3</v>
      </c>
      <c r="BK267" s="63">
        <f t="shared" si="2477"/>
        <v>301.8</v>
      </c>
      <c r="BL267" s="63">
        <f t="shared" si="2477"/>
        <v>365.8</v>
      </c>
      <c r="BM267" s="63">
        <f t="shared" si="2477"/>
        <v>337</v>
      </c>
      <c r="BN267" s="63">
        <f t="shared" si="2477"/>
        <v>257</v>
      </c>
      <c r="BO267" s="63">
        <f t="shared" ref="BO267:CT267" si="2478">BO44-BO273</f>
        <v>218.9</v>
      </c>
      <c r="BP267" s="63">
        <f t="shared" si="2478"/>
        <v>362.3</v>
      </c>
      <c r="BQ267" s="63">
        <f t="shared" si="2478"/>
        <v>369.9</v>
      </c>
      <c r="BR267" s="63">
        <f t="shared" si="2478"/>
        <v>381.6</v>
      </c>
      <c r="BS267" s="63">
        <f t="shared" si="2478"/>
        <v>303</v>
      </c>
      <c r="BT267" s="63">
        <f t="shared" si="2478"/>
        <v>368.1</v>
      </c>
      <c r="BU267" s="63">
        <f t="shared" si="2478"/>
        <v>444.6</v>
      </c>
      <c r="BV267" s="63">
        <f t="shared" si="2478"/>
        <v>417.7</v>
      </c>
      <c r="BW267" s="63">
        <f t="shared" si="2478"/>
        <v>448.4</v>
      </c>
      <c r="BX267" s="63">
        <f t="shared" si="2478"/>
        <v>431.3</v>
      </c>
      <c r="BY267" s="63">
        <f t="shared" si="2478"/>
        <v>524.6</v>
      </c>
      <c r="BZ267" s="63">
        <f t="shared" si="2478"/>
        <v>489.6</v>
      </c>
      <c r="CA267" s="63">
        <f t="shared" si="2478"/>
        <v>591.29999999999995</v>
      </c>
      <c r="CB267" s="63">
        <f t="shared" si="2478"/>
        <v>563.70000000000005</v>
      </c>
      <c r="CC267" s="63">
        <f t="shared" si="2478"/>
        <v>602.6</v>
      </c>
      <c r="CD267" s="63">
        <f t="shared" si="2478"/>
        <v>544.20000000000005</v>
      </c>
      <c r="CE267" s="63">
        <f t="shared" si="2478"/>
        <v>646</v>
      </c>
      <c r="CF267" s="63">
        <f t="shared" si="2478"/>
        <v>616.5</v>
      </c>
      <c r="CG267" s="63">
        <f t="shared" si="2478"/>
        <v>726.4</v>
      </c>
      <c r="CH267" s="63">
        <f t="shared" si="2478"/>
        <v>595.4</v>
      </c>
      <c r="CI267" s="63">
        <f t="shared" si="2478"/>
        <v>666.7</v>
      </c>
      <c r="CJ267" s="63">
        <f t="shared" si="2478"/>
        <v>649.6</v>
      </c>
      <c r="CK267" s="63">
        <f t="shared" si="2478"/>
        <v>784</v>
      </c>
      <c r="CL267" s="63">
        <f t="shared" ref="CL267" si="2479">CL44-CL273</f>
        <v>601.29999999999995</v>
      </c>
      <c r="CM267" s="29">
        <f t="shared" si="2478"/>
        <v>767.6552989174802</v>
      </c>
      <c r="CN267" s="29">
        <f t="shared" si="2478"/>
        <v>832.26116879981328</v>
      </c>
      <c r="CO267" s="29">
        <f t="shared" si="2478"/>
        <v>854.67755727831297</v>
      </c>
      <c r="CP267" s="29">
        <f t="shared" si="2478"/>
        <v>764.1125825501922</v>
      </c>
      <c r="CQ267" s="29">
        <f t="shared" si="2478"/>
        <v>840.73579424369086</v>
      </c>
      <c r="CR267" s="29">
        <f t="shared" si="2478"/>
        <v>912.80503174480555</v>
      </c>
      <c r="CS267" s="29">
        <f t="shared" si="2478"/>
        <v>938.01388573586155</v>
      </c>
      <c r="CT267" s="29">
        <f t="shared" si="2478"/>
        <v>839.21833332798906</v>
      </c>
      <c r="CU267" s="29">
        <f t="shared" ref="CU267:DA267" si="2480">CU44-CU273</f>
        <v>923.79228834311959</v>
      </c>
      <c r="CV267" s="29">
        <f t="shared" si="2480"/>
        <v>1003.3452213437899</v>
      </c>
      <c r="CW267" s="29">
        <f t="shared" si="2480"/>
        <v>1031.2269912528773</v>
      </c>
      <c r="CX267" s="29">
        <f t="shared" si="2480"/>
        <v>922.77984100493109</v>
      </c>
      <c r="CY267" s="29">
        <f t="shared" si="2480"/>
        <v>1015.8907972710613</v>
      </c>
      <c r="CZ267" s="29">
        <f t="shared" si="2480"/>
        <v>1103.4754137601974</v>
      </c>
      <c r="DA267" s="29">
        <f t="shared" si="2480"/>
        <v>1134.1873217346401</v>
      </c>
      <c r="DD267" s="138"/>
      <c r="DE267" s="63">
        <v>2753.0250000000001</v>
      </c>
    </row>
    <row r="268" spans="1:109" s="63" customFormat="1" hidden="1" outlineLevel="1" x14ac:dyDescent="0.2">
      <c r="A268" s="63" t="s">
        <v>475</v>
      </c>
      <c r="B268" s="63">
        <f t="shared" ref="B268:Z268" si="2481">B64-B274</f>
        <v>5.6765000000000327</v>
      </c>
      <c r="C268" s="63">
        <f t="shared" si="2481"/>
        <v>21.682100000000005</v>
      </c>
      <c r="D268" s="63">
        <f t="shared" si="2481"/>
        <v>26.993299999999977</v>
      </c>
      <c r="E268" s="63">
        <f t="shared" si="2481"/>
        <v>29.902299999999997</v>
      </c>
      <c r="F268" s="63">
        <f t="shared" si="2481"/>
        <v>49.564099999999954</v>
      </c>
      <c r="G268" s="63">
        <f t="shared" si="2481"/>
        <v>65.071499999999986</v>
      </c>
      <c r="H268" s="63">
        <f t="shared" si="2481"/>
        <v>83.478000000000009</v>
      </c>
      <c r="I268" s="63">
        <f t="shared" si="2481"/>
        <v>68.184699999999992</v>
      </c>
      <c r="J268" s="63">
        <f t="shared" si="2481"/>
        <v>105.23239999999996</v>
      </c>
      <c r="K268" s="63">
        <f t="shared" si="2481"/>
        <v>112.85470000000012</v>
      </c>
      <c r="L268" s="63">
        <f t="shared" si="2481"/>
        <v>77.976500000000044</v>
      </c>
      <c r="M268" s="63">
        <f t="shared" si="2481"/>
        <v>69.34499999999997</v>
      </c>
      <c r="N268" s="63">
        <f t="shared" si="2481"/>
        <v>92.605999999999995</v>
      </c>
      <c r="O268" s="63">
        <f t="shared" si="2481"/>
        <v>101.96199999999993</v>
      </c>
      <c r="P268" s="63">
        <f t="shared" si="2481"/>
        <v>101.12500000000006</v>
      </c>
      <c r="Q268" s="63">
        <f t="shared" si="2481"/>
        <v>105.92699999999996</v>
      </c>
      <c r="R268" s="63">
        <f t="shared" si="2481"/>
        <v>106.09000000000003</v>
      </c>
      <c r="S268" s="63">
        <f t="shared" si="2481"/>
        <v>107.495</v>
      </c>
      <c r="T268" s="63">
        <f t="shared" si="2481"/>
        <v>128.34000000000009</v>
      </c>
      <c r="U268" s="63">
        <f t="shared" si="2481"/>
        <v>151.73399999999981</v>
      </c>
      <c r="V268" s="63">
        <f t="shared" si="2481"/>
        <v>167.79099999999994</v>
      </c>
      <c r="W268" s="63">
        <f t="shared" si="2481"/>
        <v>209.46699999999998</v>
      </c>
      <c r="X268" s="63">
        <f t="shared" si="2481"/>
        <v>246.649</v>
      </c>
      <c r="Y268" s="63">
        <f t="shared" si="2481"/>
        <v>293.56999999999982</v>
      </c>
      <c r="Z268" s="63">
        <f t="shared" si="2481"/>
        <v>337.53400000000056</v>
      </c>
      <c r="AA268" s="63">
        <f t="shared" ref="AA268" si="2482">AA64-AA274</f>
        <v>373.59500000000014</v>
      </c>
      <c r="AB268" s="29"/>
      <c r="AC268" s="29"/>
      <c r="AD268" s="29"/>
      <c r="AE268" s="29"/>
      <c r="AI268" s="63">
        <f t="shared" ref="AI268:BN268" si="2483">AI64-AI274</f>
        <v>24.72</v>
      </c>
      <c r="AJ268" s="63">
        <f t="shared" si="2483"/>
        <v>22.730000000000018</v>
      </c>
      <c r="AK268" s="63">
        <f t="shared" si="2483"/>
        <v>29.909999999999997</v>
      </c>
      <c r="AL268" s="63">
        <f t="shared" si="2483"/>
        <v>21.72</v>
      </c>
      <c r="AM268" s="63">
        <f t="shared" si="2483"/>
        <v>26.929999999999978</v>
      </c>
      <c r="AN268" s="63">
        <f t="shared" si="2483"/>
        <v>30.200000000000017</v>
      </c>
      <c r="AO268" s="63">
        <f t="shared" si="2483"/>
        <v>21.72</v>
      </c>
      <c r="AP268" s="63">
        <f t="shared" si="2483"/>
        <v>25.13000000000001</v>
      </c>
      <c r="AQ268" s="63">
        <f t="shared" si="2483"/>
        <v>29.340000000000003</v>
      </c>
      <c r="AR268" s="63">
        <f t="shared" si="2483"/>
        <v>27.030000000000015</v>
      </c>
      <c r="AS268" s="63">
        <f t="shared" si="2483"/>
        <v>17.799999999999997</v>
      </c>
      <c r="AT268" s="63">
        <f t="shared" si="2483"/>
        <v>12.169999999999973</v>
      </c>
      <c r="AU268" s="63">
        <f t="shared" si="2483"/>
        <v>21.82999999999997</v>
      </c>
      <c r="AV268" s="63">
        <f t="shared" si="2483"/>
        <v>29.14</v>
      </c>
      <c r="AW268" s="63">
        <f t="shared" si="2483"/>
        <v>40.979999999999961</v>
      </c>
      <c r="AX268" s="63">
        <f t="shared" si="2483"/>
        <v>26.650000000000006</v>
      </c>
      <c r="AY268" s="63">
        <f t="shared" si="2483"/>
        <v>26.600000000000009</v>
      </c>
      <c r="AZ268" s="63">
        <f t="shared" si="2483"/>
        <v>14.430000000000007</v>
      </c>
      <c r="BA268" s="63">
        <f t="shared" si="2483"/>
        <v>37.61</v>
      </c>
      <c r="BB268" s="63">
        <f t="shared" si="2483"/>
        <v>20.400000000000006</v>
      </c>
      <c r="BC268" s="63">
        <f t="shared" si="2483"/>
        <v>23.799999999999983</v>
      </c>
      <c r="BD268" s="63">
        <f t="shared" si="2483"/>
        <v>21.099999999999994</v>
      </c>
      <c r="BE268" s="63">
        <f t="shared" si="2483"/>
        <v>42.299999999999969</v>
      </c>
      <c r="BF268" s="63">
        <f t="shared" si="2483"/>
        <v>19.800000000000011</v>
      </c>
      <c r="BG268" s="63">
        <f t="shared" si="2483"/>
        <v>28.59999999999998</v>
      </c>
      <c r="BH268" s="63">
        <f t="shared" si="2483"/>
        <v>32.099999999999994</v>
      </c>
      <c r="BI268" s="63">
        <f t="shared" si="2483"/>
        <v>47.90000000000002</v>
      </c>
      <c r="BJ268" s="63">
        <f t="shared" si="2483"/>
        <v>31.799999999999955</v>
      </c>
      <c r="BK268" s="63">
        <f t="shared" si="2483"/>
        <v>32.099999999999994</v>
      </c>
      <c r="BL268" s="63">
        <f t="shared" si="2483"/>
        <v>38.700000000000017</v>
      </c>
      <c r="BM268" s="63">
        <f t="shared" si="2483"/>
        <v>47.7</v>
      </c>
      <c r="BN268" s="63">
        <f t="shared" si="2483"/>
        <v>18.000000000000014</v>
      </c>
      <c r="BO268" s="63">
        <f t="shared" ref="BO268:CT268" si="2484">BO64-BO274</f>
        <v>13.600000000000009</v>
      </c>
      <c r="BP268" s="63">
        <f t="shared" si="2484"/>
        <v>60.899999999999991</v>
      </c>
      <c r="BQ268" s="63">
        <f t="shared" si="2484"/>
        <v>75.3</v>
      </c>
      <c r="BR268" s="63">
        <f t="shared" si="2484"/>
        <v>62</v>
      </c>
      <c r="BS268" s="63">
        <f t="shared" si="2484"/>
        <v>39.300000000000026</v>
      </c>
      <c r="BT268" s="63">
        <f t="shared" si="2484"/>
        <v>51.700000000000045</v>
      </c>
      <c r="BU268" s="63">
        <f t="shared" si="2484"/>
        <v>56.400000000000034</v>
      </c>
      <c r="BV268" s="63">
        <f t="shared" si="2484"/>
        <v>54.699999999999989</v>
      </c>
      <c r="BW268" s="63">
        <f t="shared" si="2484"/>
        <v>61.099999999999966</v>
      </c>
      <c r="BX268" s="63">
        <f t="shared" si="2484"/>
        <v>54.100000000000023</v>
      </c>
      <c r="BY268" s="63">
        <f t="shared" si="2484"/>
        <v>76.799999999999983</v>
      </c>
      <c r="BZ268" s="63">
        <f t="shared" si="2484"/>
        <v>57.199999999999989</v>
      </c>
      <c r="CA268" s="63">
        <f t="shared" si="2484"/>
        <v>85.199999999999989</v>
      </c>
      <c r="CB268" s="63">
        <f t="shared" si="2484"/>
        <v>70.300000000000068</v>
      </c>
      <c r="CC268" s="63">
        <f t="shared" si="2484"/>
        <v>80.900000000000006</v>
      </c>
      <c r="CD268" s="63">
        <f t="shared" si="2484"/>
        <v>60.900000000000034</v>
      </c>
      <c r="CE268" s="63">
        <f t="shared" si="2484"/>
        <v>90.599999999999966</v>
      </c>
      <c r="CF268" s="63">
        <f t="shared" si="2484"/>
        <v>87.599999999999966</v>
      </c>
      <c r="CG268" s="63">
        <f t="shared" si="2484"/>
        <v>98.399999999999977</v>
      </c>
      <c r="CH268" s="63">
        <f t="shared" si="2484"/>
        <v>67.700000000000045</v>
      </c>
      <c r="CI268" s="63">
        <f t="shared" si="2484"/>
        <v>91.400000000000063</v>
      </c>
      <c r="CJ268" s="63">
        <f t="shared" si="2484"/>
        <v>84.800000000000068</v>
      </c>
      <c r="CK268" s="63">
        <f t="shared" si="2484"/>
        <v>129.6</v>
      </c>
      <c r="CL268" s="63">
        <f t="shared" ref="CL268" si="2485">CL64-CL274</f>
        <v>50.799999999999955</v>
      </c>
      <c r="CM268" s="29">
        <f t="shared" si="2484"/>
        <v>114.68292848409757</v>
      </c>
      <c r="CN268" s="29">
        <f t="shared" si="2484"/>
        <v>98.186709162442128</v>
      </c>
      <c r="CO268" s="29">
        <f t="shared" si="2484"/>
        <v>141.47414630734909</v>
      </c>
      <c r="CP268" s="29">
        <f t="shared" si="2484"/>
        <v>66.878282010979603</v>
      </c>
      <c r="CQ268" s="29">
        <f t="shared" si="2484"/>
        <v>126.23088326887398</v>
      </c>
      <c r="CR268" s="29">
        <f t="shared" si="2484"/>
        <v>105.73717252358716</v>
      </c>
      <c r="CS268" s="29">
        <f t="shared" si="2484"/>
        <v>155.70844064088317</v>
      </c>
      <c r="CT268" s="29">
        <f t="shared" si="2484"/>
        <v>73.896759557441158</v>
      </c>
      <c r="CU268" s="29">
        <f t="shared" ref="CU268:DA268" si="2486">CU64-CU274</f>
        <v>138.61125209670803</v>
      </c>
      <c r="CV268" s="29">
        <f t="shared" si="2486"/>
        <v>115.91491355216078</v>
      </c>
      <c r="CW268" s="29">
        <f t="shared" si="2486"/>
        <v>171.33432428763604</v>
      </c>
      <c r="CX268" s="29">
        <f t="shared" si="2486"/>
        <v>81.317363803395551</v>
      </c>
      <c r="CY268" s="29">
        <f t="shared" si="2486"/>
        <v>152.38183585240569</v>
      </c>
      <c r="CZ268" s="29">
        <f t="shared" si="2486"/>
        <v>127.44393472731952</v>
      </c>
      <c r="DA268" s="29">
        <f t="shared" si="2486"/>
        <v>188.47851599979134</v>
      </c>
      <c r="DD268" s="138"/>
      <c r="DE268" s="63">
        <v>373.59500000000014</v>
      </c>
    </row>
    <row r="269" spans="1:109" s="88" customFormat="1" hidden="1" outlineLevel="1" x14ac:dyDescent="0.2">
      <c r="A269" s="85" t="s">
        <v>476</v>
      </c>
      <c r="B269" s="85">
        <f>+B268/B267</f>
        <v>3.0922707666696258E-2</v>
      </c>
      <c r="C269" s="85">
        <f t="shared" ref="C269" si="2487">+C268/C267</f>
        <v>0.10421080457560322</v>
      </c>
      <c r="D269" s="85">
        <f t="shared" ref="D269" si="2488">+D268/D267</f>
        <v>0.10942891091613507</v>
      </c>
      <c r="E269" s="85">
        <f t="shared" ref="E269" si="2489">+E268/E267</f>
        <v>0.11376746805054082</v>
      </c>
      <c r="F269" s="85">
        <f t="shared" ref="F269" si="2490">+F268/F267</f>
        <v>0.14908989292645614</v>
      </c>
      <c r="G269" s="85">
        <f t="shared" ref="G269" si="2491">+G268/G267</f>
        <v>0.16359253701362383</v>
      </c>
      <c r="H269" s="85">
        <f t="shared" ref="H269" si="2492">+H268/H267</f>
        <v>0.18421913863793299</v>
      </c>
      <c r="I269" s="85">
        <f t="shared" ref="I269" si="2493">+I268/I267</f>
        <v>0.13288336439513099</v>
      </c>
      <c r="J269" s="85">
        <f t="shared" ref="J269" si="2494">+J268/J267</f>
        <v>0.15950134496142296</v>
      </c>
      <c r="K269" s="85">
        <f t="shared" ref="K269" si="2495">+K268/K267</f>
        <v>0.19028290863597219</v>
      </c>
      <c r="L269" s="85">
        <f t="shared" ref="L269" si="2496">+L268/L267</f>
        <v>0.12121924864010872</v>
      </c>
      <c r="M269" s="85">
        <f t="shared" ref="M269" si="2497">+M268/M267</f>
        <v>8.7142122902500563E-2</v>
      </c>
      <c r="N269" s="85">
        <f t="shared" ref="N269" si="2498">+N268/N267</f>
        <v>0.12140081697718441</v>
      </c>
      <c r="O269" s="85">
        <f t="shared" ref="O269" si="2499">+O268/O267</f>
        <v>0.12965039837851164</v>
      </c>
      <c r="P269" s="85">
        <f t="shared" ref="P269" si="2500">+P268/P267</f>
        <v>0.11864034933350234</v>
      </c>
      <c r="Q269" s="85">
        <f t="shared" ref="Q269" si="2501">+Q268/Q267</f>
        <v>0.12137861966153275</v>
      </c>
      <c r="R269" s="85">
        <f t="shared" ref="R269" si="2502">+R268/R267</f>
        <v>0.12056353137845179</v>
      </c>
      <c r="S269" s="85">
        <f t="shared" ref="S269" si="2503">+S268/S267</f>
        <v>0.11090568245246053</v>
      </c>
      <c r="T269" s="85">
        <f t="shared" ref="T269" si="2504">+T268/T267</f>
        <v>0.117412855216428</v>
      </c>
      <c r="U269" s="85">
        <f t="shared" ref="U269" si="2505">+U268/U267</f>
        <v>0.11162328777200688</v>
      </c>
      <c r="V269" s="85">
        <f t="shared" ref="V269" si="2506">+V268/V267</f>
        <v>0.13497505482147421</v>
      </c>
      <c r="W269" s="85">
        <f t="shared" ref="W269" si="2507">+W268/W267</f>
        <v>0.13595944070650332</v>
      </c>
      <c r="X269" s="85">
        <f t="shared" ref="X269:Y269" si="2508">+X268/X267</f>
        <v>0.13310125287829591</v>
      </c>
      <c r="Y269" s="85">
        <f t="shared" si="2508"/>
        <v>0.12746334186070332</v>
      </c>
      <c r="Z269" s="85">
        <f t="shared" ref="Z269:AA269" si="2509">+Z268/Z267</f>
        <v>0.13001203693895849</v>
      </c>
      <c r="AA269" s="85">
        <f t="shared" ref="AA269" si="2510">+AA268/AA267</f>
        <v>0.13570345347390603</v>
      </c>
      <c r="AB269" s="86"/>
      <c r="AC269" s="86"/>
      <c r="AD269" s="86"/>
      <c r="AE269" s="86"/>
      <c r="AF269" s="85"/>
      <c r="AG269" s="85"/>
      <c r="AH269" s="85"/>
      <c r="AI269" s="85">
        <f t="shared" ref="AI269" si="2511">+AI268/AI267</f>
        <v>0.1319244316362472</v>
      </c>
      <c r="AJ269" s="85">
        <f t="shared" ref="AJ269" si="2512">+AJ268/AJ267</f>
        <v>0.13391068693295638</v>
      </c>
      <c r="AK269" s="85">
        <f t="shared" ref="AK269" si="2513">+AK268/AK267</f>
        <v>0.15371569534381743</v>
      </c>
      <c r="AL269" s="85">
        <f t="shared" ref="AL269" si="2514">+AL268/AL267</f>
        <v>0.13260882837780083</v>
      </c>
      <c r="AM269" s="85">
        <f t="shared" ref="AM269" si="2515">+AM268/AM267</f>
        <v>0.1379469316668373</v>
      </c>
      <c r="AN269" s="85">
        <f t="shared" ref="AN269" si="2516">+AN268/AN267</f>
        <v>0.15874684608915063</v>
      </c>
      <c r="AO269" s="85">
        <f t="shared" ref="AO269" si="2517">+AO268/AO267</f>
        <v>0.1192816738975232</v>
      </c>
      <c r="AP269" s="85">
        <f t="shared" ref="AP269" si="2518">+AP268/AP267</f>
        <v>0.14495010670819639</v>
      </c>
      <c r="AQ269" s="85">
        <f t="shared" ref="AQ269" si="2519">+AQ268/AQ267</f>
        <v>0.1471783295711061</v>
      </c>
      <c r="AR269" s="85">
        <f t="shared" ref="AR269" si="2520">+AR268/AR267</f>
        <v>0.13590426869123642</v>
      </c>
      <c r="AS269" s="85">
        <f t="shared" ref="AS269" si="2521">+AS268/AS267</f>
        <v>7.7361032639401958E-2</v>
      </c>
      <c r="AT269" s="85">
        <f t="shared" ref="AT269" si="2522">+AT268/AT267</f>
        <v>6.4299677709092701E-2</v>
      </c>
      <c r="AU269" s="85">
        <f t="shared" ref="AU269" si="2523">+AU268/AU267</f>
        <v>0.109090000499725</v>
      </c>
      <c r="AV269" s="85">
        <f t="shared" ref="AV269" si="2524">+AV268/AV267</f>
        <v>0.1568521907632684</v>
      </c>
      <c r="AW269" s="85">
        <f t="shared" ref="AW269" si="2525">+AW268/AW267</f>
        <v>0.16819207880155948</v>
      </c>
      <c r="AX269" s="85">
        <f t="shared" ref="AX269" si="2526">+AX268/AX267</f>
        <v>0.11944245249193261</v>
      </c>
      <c r="AY269" s="85">
        <f t="shared" ref="AY269" si="2527">+AY268/AY267</f>
        <v>0.12272769216572856</v>
      </c>
      <c r="AZ269" s="85">
        <f t="shared" ref="AZ269" si="2528">+AZ268/AZ267</f>
        <v>8.4095809779124689E-2</v>
      </c>
      <c r="BA269" s="85">
        <f t="shared" ref="BA269" si="2529">+BA268/BA267</f>
        <v>0.14053508706374709</v>
      </c>
      <c r="BB269" s="85">
        <f t="shared" ref="BB269" si="2530">+BB268/BB267</f>
        <v>9.3793103448275891E-2</v>
      </c>
      <c r="BC269" s="85">
        <f t="shared" ref="BC269" si="2531">+BC268/BC267</f>
        <v>0.10667861945315994</v>
      </c>
      <c r="BD269" s="85">
        <f t="shared" ref="BD269" si="2532">+BD268/BD267</f>
        <v>0.10523690773067329</v>
      </c>
      <c r="BE269" s="85">
        <f t="shared" ref="BE269" si="2533">+BE268/BE267</f>
        <v>0.12888482632541123</v>
      </c>
      <c r="BF269" s="85">
        <f t="shared" ref="BF269" si="2534">+BF268/BF267</f>
        <v>9.3176470588235347E-2</v>
      </c>
      <c r="BG269" s="85">
        <f t="shared" ref="BG269" si="2535">+BG268/BG267</f>
        <v>0.11277602523659298</v>
      </c>
      <c r="BH269" s="85">
        <f t="shared" ref="BH269" si="2536">+BH268/BH267</f>
        <v>0.11447931526390868</v>
      </c>
      <c r="BI269" s="85">
        <f t="shared" ref="BI269" si="2537">+BI268/BI267</f>
        <v>0.13819965377957305</v>
      </c>
      <c r="BJ269" s="85">
        <f t="shared" ref="BJ269" si="2538">+BJ268/BJ267</f>
        <v>0.1099204977531972</v>
      </c>
      <c r="BK269" s="85">
        <f t="shared" ref="BK269" si="2539">+BK268/BK267</f>
        <v>0.10636182902584491</v>
      </c>
      <c r="BL269" s="85">
        <f t="shared" ref="BL269" si="2540">+BL268/BL267</f>
        <v>0.10579551667577916</v>
      </c>
      <c r="BM269" s="85">
        <f t="shared" ref="BM269" si="2541">+BM268/BM267</f>
        <v>0.14154302670623145</v>
      </c>
      <c r="BN269" s="85">
        <f t="shared" ref="BN269" si="2542">+BN268/BN267</f>
        <v>7.0038910505836632E-2</v>
      </c>
      <c r="BO269" s="85">
        <f t="shared" ref="BO269" si="2543">+BO268/BO267</f>
        <v>6.2128825947921462E-2</v>
      </c>
      <c r="BP269" s="85">
        <f t="shared" ref="BP269" si="2544">+BP268/BP267</f>
        <v>0.16809274082252273</v>
      </c>
      <c r="BQ269" s="85">
        <f t="shared" ref="BQ269" si="2545">+BQ268/BQ267</f>
        <v>0.20356853203568531</v>
      </c>
      <c r="BR269" s="85">
        <f t="shared" ref="BR269" si="2546">+BR268/BR267</f>
        <v>0.16247379454926625</v>
      </c>
      <c r="BS269" s="85">
        <f t="shared" ref="BS269" si="2547">+BS268/BS267</f>
        <v>0.12970297029702979</v>
      </c>
      <c r="BT269" s="85">
        <f t="shared" ref="BT269" si="2548">+BT268/BT267</f>
        <v>0.14045096441184471</v>
      </c>
      <c r="BU269" s="85">
        <f t="shared" ref="BU269" si="2549">+BU268/BU267</f>
        <v>0.12685560053981113</v>
      </c>
      <c r="BV269" s="85">
        <f t="shared" ref="BV269" si="2550">+BV268/BV267</f>
        <v>0.13095523102705289</v>
      </c>
      <c r="BW269" s="85">
        <f t="shared" ref="BW269" si="2551">+BW268/BW267</f>
        <v>0.13626226583407663</v>
      </c>
      <c r="BX269" s="85">
        <f t="shared" ref="BX269" si="2552">+BX268/BX267</f>
        <v>0.12543473220496179</v>
      </c>
      <c r="BY269" s="85">
        <f t="shared" ref="BY269" si="2553">+BY268/BY267</f>
        <v>0.14639725505146775</v>
      </c>
      <c r="BZ269" s="85">
        <f t="shared" ref="BZ269" si="2554">+BZ268/BZ267</f>
        <v>0.1168300653594771</v>
      </c>
      <c r="CA269" s="85">
        <f t="shared" ref="CA269" si="2555">+CA268/CA267</f>
        <v>0.14408929477422627</v>
      </c>
      <c r="CB269" s="85">
        <f t="shared" ref="CB269:CC269" si="2556">+CB268/CB267</f>
        <v>0.12471172609544094</v>
      </c>
      <c r="CC269" s="85">
        <f t="shared" si="2556"/>
        <v>0.13425157650182543</v>
      </c>
      <c r="CD269" s="85">
        <f t="shared" ref="CD269" si="2557">+CD268/CD267</f>
        <v>0.11190738699007723</v>
      </c>
      <c r="CE269" s="85">
        <f t="shared" ref="CE269:CF269" si="2558">+CE268/CE267</f>
        <v>0.14024767801857579</v>
      </c>
      <c r="CF269" s="85">
        <f t="shared" si="2558"/>
        <v>0.14209245742092452</v>
      </c>
      <c r="CG269" s="85">
        <f t="shared" ref="CG269:CH269" si="2559">+CG268/CG267</f>
        <v>0.13546255506607927</v>
      </c>
      <c r="CH269" s="85">
        <f t="shared" si="2559"/>
        <v>0.11370507222035614</v>
      </c>
      <c r="CI269" s="85">
        <f t="shared" ref="CI269:CJ269" si="2560">+CI268/CI267</f>
        <v>0.13709314534273295</v>
      </c>
      <c r="CJ269" s="85">
        <f t="shared" si="2560"/>
        <v>0.13054187192118236</v>
      </c>
      <c r="CK269" s="85">
        <f t="shared" ref="CK269:DA269" si="2561">+CK268/CK267</f>
        <v>0.16530612244897958</v>
      </c>
      <c r="CL269" s="85">
        <f t="shared" si="2561"/>
        <v>8.4483618825877196E-2</v>
      </c>
      <c r="CM269" s="46">
        <f t="shared" si="2561"/>
        <v>0.14939378213870119</v>
      </c>
      <c r="CN269" s="46">
        <f t="shared" si="2561"/>
        <v>0.11797583840663281</v>
      </c>
      <c r="CO269" s="46">
        <f t="shared" si="2561"/>
        <v>0.16552926317366742</v>
      </c>
      <c r="CP269" s="46">
        <f t="shared" si="2561"/>
        <v>8.7524120840644024E-2</v>
      </c>
      <c r="CQ269" s="46">
        <f t="shared" si="2561"/>
        <v>0.1501433436439194</v>
      </c>
      <c r="CR269" s="46">
        <f t="shared" si="2561"/>
        <v>0.11583763108916371</v>
      </c>
      <c r="CS269" s="46">
        <f t="shared" si="2561"/>
        <v>0.16599801240546841</v>
      </c>
      <c r="CT269" s="46">
        <f t="shared" si="2561"/>
        <v>8.8054272199223182E-2</v>
      </c>
      <c r="CU269" s="46">
        <f t="shared" si="2561"/>
        <v>0.15004590733845174</v>
      </c>
      <c r="CV269" s="46">
        <f t="shared" si="2561"/>
        <v>0.11552844533102458</v>
      </c>
      <c r="CW269" s="46">
        <f t="shared" si="2561"/>
        <v>0.16614608203716175</v>
      </c>
      <c r="CX269" s="46">
        <f t="shared" si="2561"/>
        <v>8.8122171930889642E-2</v>
      </c>
      <c r="CY269" s="46">
        <f t="shared" si="2561"/>
        <v>0.14999824416339011</v>
      </c>
      <c r="CZ269" s="46">
        <f t="shared" si="2561"/>
        <v>0.11549322543856431</v>
      </c>
      <c r="DA269" s="46">
        <f t="shared" si="2561"/>
        <v>0.16617935361112127</v>
      </c>
      <c r="DD269" s="129"/>
      <c r="DE269" s="88">
        <v>0.13570345347390603</v>
      </c>
    </row>
    <row r="270" spans="1:109" s="63" customFormat="1" hidden="1" outlineLevel="1" x14ac:dyDescent="0.2">
      <c r="A270" s="63" t="s">
        <v>477</v>
      </c>
      <c r="B270" s="63">
        <f t="shared" ref="B270:Z270" si="2562">B77-B276</f>
        <v>14.865800000000032</v>
      </c>
      <c r="C270" s="63">
        <f t="shared" si="2562"/>
        <v>8.2816000000000063</v>
      </c>
      <c r="D270" s="63">
        <f t="shared" si="2562"/>
        <v>11.80429999999998</v>
      </c>
      <c r="E270" s="63">
        <f t="shared" si="2562"/>
        <v>17.705199999999998</v>
      </c>
      <c r="F270" s="63">
        <f t="shared" si="2562"/>
        <v>30.024999999999959</v>
      </c>
      <c r="G270" s="63">
        <f t="shared" si="2562"/>
        <v>38.142899999999997</v>
      </c>
      <c r="H270" s="63">
        <f t="shared" si="2562"/>
        <v>52.148200000000003</v>
      </c>
      <c r="I270" s="63">
        <f t="shared" si="2562"/>
        <v>43.426899999999996</v>
      </c>
      <c r="J270" s="63">
        <f t="shared" si="2562"/>
        <v>64.624599999999958</v>
      </c>
      <c r="K270" s="63">
        <f t="shared" si="2562"/>
        <v>64.295400000000114</v>
      </c>
      <c r="L270" s="63">
        <f t="shared" si="2562"/>
        <v>49.36110000000005</v>
      </c>
      <c r="M270" s="63">
        <f t="shared" si="2562"/>
        <v>39.966999999999977</v>
      </c>
      <c r="N270" s="63">
        <f t="shared" si="2562"/>
        <v>55.28</v>
      </c>
      <c r="O270" s="63">
        <f t="shared" si="2562"/>
        <v>57.122999999999941</v>
      </c>
      <c r="P270" s="63">
        <f t="shared" si="2562"/>
        <v>61.806000000000047</v>
      </c>
      <c r="Q270" s="63">
        <f t="shared" si="2562"/>
        <v>64.123999999999967</v>
      </c>
      <c r="R270" s="63">
        <f t="shared" si="2562"/>
        <v>63.943000000000033</v>
      </c>
      <c r="S270" s="63">
        <f t="shared" si="2562"/>
        <v>65.706999999999994</v>
      </c>
      <c r="T270" s="63">
        <f t="shared" si="2562"/>
        <v>67.290000000000077</v>
      </c>
      <c r="U270" s="63">
        <f t="shared" si="2562"/>
        <v>82.575999999999809</v>
      </c>
      <c r="V270" s="63">
        <f t="shared" si="2562"/>
        <v>88.481999999999914</v>
      </c>
      <c r="W270" s="63">
        <f t="shared" si="2562"/>
        <v>142.96900000000002</v>
      </c>
      <c r="X270" s="63">
        <f t="shared" si="2562"/>
        <v>174.91800000000001</v>
      </c>
      <c r="Y270" s="63">
        <f t="shared" si="2562"/>
        <v>199.32299999999981</v>
      </c>
      <c r="Z270" s="63">
        <f t="shared" si="2562"/>
        <v>234.06900000000053</v>
      </c>
      <c r="AA270" s="63">
        <f t="shared" ref="AA270" si="2563">AA77-AA276</f>
        <v>281.40400000000011</v>
      </c>
      <c r="AB270" s="29"/>
      <c r="AC270" s="29"/>
      <c r="AD270" s="29"/>
      <c r="AE270" s="29"/>
      <c r="AI270" s="63">
        <f t="shared" ref="AI270:BN270" si="2564">AI77-AI276</f>
        <v>17.459999999999994</v>
      </c>
      <c r="AJ270" s="63">
        <f t="shared" si="2564"/>
        <v>12.920000000000016</v>
      </c>
      <c r="AK270" s="63">
        <f t="shared" si="2564"/>
        <v>19.539999999999996</v>
      </c>
      <c r="AL270" s="63">
        <f t="shared" si="2564"/>
        <v>15.61</v>
      </c>
      <c r="AM270" s="63">
        <f t="shared" si="2564"/>
        <v>15.45999999999998</v>
      </c>
      <c r="AN270" s="63">
        <f t="shared" si="2564"/>
        <v>17.90000000000002</v>
      </c>
      <c r="AO270" s="63">
        <f t="shared" si="2564"/>
        <v>10.79</v>
      </c>
      <c r="AP270" s="63">
        <f t="shared" si="2564"/>
        <v>15.13000000000001</v>
      </c>
      <c r="AQ270" s="63">
        <f t="shared" si="2564"/>
        <v>22.450000000000003</v>
      </c>
      <c r="AR270" s="63">
        <f t="shared" si="2564"/>
        <v>17.870000000000015</v>
      </c>
      <c r="AS270" s="63">
        <f t="shared" si="2564"/>
        <v>9.9699999999999953</v>
      </c>
      <c r="AT270" s="63">
        <f t="shared" si="2564"/>
        <v>6.4099999999999735</v>
      </c>
      <c r="AU270" s="63">
        <f t="shared" si="2564"/>
        <v>22.21999999999997</v>
      </c>
      <c r="AV270" s="63">
        <f t="shared" si="2564"/>
        <v>16.850000000000001</v>
      </c>
      <c r="AW270" s="63">
        <f t="shared" si="2564"/>
        <v>24.349999999999966</v>
      </c>
      <c r="AX270" s="63">
        <f t="shared" si="2564"/>
        <v>16.850000000000009</v>
      </c>
      <c r="AY270" s="63">
        <f t="shared" si="2564"/>
        <v>17.230000000000011</v>
      </c>
      <c r="AZ270" s="63">
        <f t="shared" si="2564"/>
        <v>8.670000000000007</v>
      </c>
      <c r="BA270" s="63">
        <f t="shared" si="2564"/>
        <v>22.590000000000003</v>
      </c>
      <c r="BB270" s="63">
        <f t="shared" si="2564"/>
        <v>13.300000000000008</v>
      </c>
      <c r="BC270" s="63">
        <f t="shared" si="2564"/>
        <v>15.299999999999986</v>
      </c>
      <c r="BD270" s="63">
        <f t="shared" si="2564"/>
        <v>11.599999999999996</v>
      </c>
      <c r="BE270" s="63">
        <f t="shared" si="2564"/>
        <v>27.39999999999997</v>
      </c>
      <c r="BF270" s="63">
        <f t="shared" si="2564"/>
        <v>11.400000000000015</v>
      </c>
      <c r="BG270" s="63">
        <f t="shared" si="2564"/>
        <v>14.499999999999979</v>
      </c>
      <c r="BH270" s="63">
        <f t="shared" si="2564"/>
        <v>16.099999999999994</v>
      </c>
      <c r="BI270" s="63">
        <f t="shared" si="2564"/>
        <v>25.300000000000026</v>
      </c>
      <c r="BJ270" s="63">
        <f t="shared" si="2564"/>
        <v>15.699999999999958</v>
      </c>
      <c r="BK270" s="63">
        <f t="shared" si="2564"/>
        <v>12.599999999999993</v>
      </c>
      <c r="BL270" s="63">
        <f t="shared" si="2564"/>
        <v>23.800000000000018</v>
      </c>
      <c r="BM270" s="63">
        <f t="shared" si="2564"/>
        <v>30.5</v>
      </c>
      <c r="BN270" s="63">
        <f t="shared" si="2564"/>
        <v>10.300000000000011</v>
      </c>
      <c r="BO270" s="63">
        <f t="shared" ref="BO270:CT270" si="2565">BO77-BO276</f>
        <v>7.6000000000000085</v>
      </c>
      <c r="BP270" s="63">
        <f t="shared" si="2565"/>
        <v>41</v>
      </c>
      <c r="BQ270" s="63">
        <f t="shared" si="2565"/>
        <v>29.599999999999987</v>
      </c>
      <c r="BR270" s="63">
        <f t="shared" si="2565"/>
        <v>42.000000000000007</v>
      </c>
      <c r="BS270" s="63">
        <f t="shared" si="2565"/>
        <v>26.000000000000028</v>
      </c>
      <c r="BT270" s="63">
        <f t="shared" si="2565"/>
        <v>37.600000000000044</v>
      </c>
      <c r="BU270" s="63">
        <f t="shared" si="2565"/>
        <v>37.400000000000034</v>
      </c>
      <c r="BV270" s="63">
        <f t="shared" si="2565"/>
        <v>38.499999999999986</v>
      </c>
      <c r="BW270" s="63">
        <f t="shared" si="2565"/>
        <v>45.399999999999963</v>
      </c>
      <c r="BX270" s="63">
        <f t="shared" si="2565"/>
        <v>37.300000000000026</v>
      </c>
      <c r="BY270" s="63">
        <f t="shared" si="2565"/>
        <v>53.699999999999989</v>
      </c>
      <c r="BZ270" s="63">
        <f t="shared" si="2565"/>
        <v>39.699999999999989</v>
      </c>
      <c r="CA270" s="63">
        <f t="shared" si="2565"/>
        <v>60.09999999999998</v>
      </c>
      <c r="CB270" s="63">
        <f t="shared" si="2565"/>
        <v>47.40000000000007</v>
      </c>
      <c r="CC270" s="63">
        <f t="shared" si="2565"/>
        <v>52.100000000000016</v>
      </c>
      <c r="CD270" s="63">
        <f t="shared" si="2565"/>
        <v>42.500000000000036</v>
      </c>
      <c r="CE270" s="63">
        <f t="shared" si="2565"/>
        <v>64.199999999999974</v>
      </c>
      <c r="CF270" s="63">
        <f t="shared" si="2565"/>
        <v>58.499999999999964</v>
      </c>
      <c r="CG270" s="63">
        <f t="shared" si="2565"/>
        <v>68.899999999999977</v>
      </c>
      <c r="CH270" s="63">
        <f t="shared" si="2565"/>
        <v>48.100000000000044</v>
      </c>
      <c r="CI270" s="63">
        <f t="shared" si="2565"/>
        <v>66.70000000000006</v>
      </c>
      <c r="CJ270" s="63">
        <f t="shared" si="2565"/>
        <v>64.200000000000074</v>
      </c>
      <c r="CK270" s="63">
        <f t="shared" si="2565"/>
        <v>102.39999999999999</v>
      </c>
      <c r="CL270" s="63">
        <f t="shared" ref="CL270" si="2566">CL77-CL276</f>
        <v>36.599999999999952</v>
      </c>
      <c r="CM270" s="29">
        <f t="shared" si="2565"/>
        <v>88.774566898787455</v>
      </c>
      <c r="CN270" s="29">
        <f t="shared" si="2565"/>
        <v>71.989390144635976</v>
      </c>
      <c r="CO270" s="29">
        <f t="shared" si="2565"/>
        <v>104.24428153359599</v>
      </c>
      <c r="CP270" s="29">
        <f t="shared" si="2565"/>
        <v>49.742927905916702</v>
      </c>
      <c r="CQ270" s="29">
        <f t="shared" si="2565"/>
        <v>96.96846568698912</v>
      </c>
      <c r="CR270" s="29">
        <f t="shared" si="2565"/>
        <v>81.684480891690058</v>
      </c>
      <c r="CS270" s="29">
        <f t="shared" si="2565"/>
        <v>119.00577924137016</v>
      </c>
      <c r="CT270" s="29">
        <f t="shared" si="2565"/>
        <v>56.599204967079572</v>
      </c>
      <c r="CU270" s="29">
        <f t="shared" ref="CU270:DA270" si="2567">CU77-CU276</f>
        <v>107.63204846487687</v>
      </c>
      <c r="CV270" s="29">
        <f t="shared" si="2567"/>
        <v>90.693430388836902</v>
      </c>
      <c r="CW270" s="29">
        <f t="shared" si="2567"/>
        <v>132.11630807813498</v>
      </c>
      <c r="CX270" s="29">
        <f t="shared" si="2567"/>
        <v>66.18826636757673</v>
      </c>
      <c r="CY270" s="29">
        <f t="shared" si="2567"/>
        <v>122.34077905790357</v>
      </c>
      <c r="CZ270" s="29">
        <f t="shared" si="2567"/>
        <v>103.83987359660783</v>
      </c>
      <c r="DA270" s="29">
        <f t="shared" si="2567"/>
        <v>149.57300823953042</v>
      </c>
      <c r="DD270" s="138"/>
      <c r="DE270" s="63">
        <v>281.40400000000011</v>
      </c>
    </row>
    <row r="271" spans="1:109" s="63" customFormat="1" hidden="1" outlineLevel="1" x14ac:dyDescent="0.2">
      <c r="AB271" s="29"/>
      <c r="AC271" s="29"/>
      <c r="AD271" s="29"/>
      <c r="AE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D271" s="138"/>
    </row>
    <row r="272" spans="1:109" s="63" customFormat="1" hidden="1" outlineLevel="1" x14ac:dyDescent="0.2">
      <c r="A272" s="64" t="s">
        <v>352</v>
      </c>
      <c r="AB272" s="29"/>
      <c r="AC272" s="29"/>
      <c r="AD272" s="29"/>
      <c r="AE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D272" s="138"/>
    </row>
    <row r="273" spans="1:109" s="63" customFormat="1" hidden="1" outlineLevel="1" x14ac:dyDescent="0.2">
      <c r="A273" s="63" t="s">
        <v>478</v>
      </c>
      <c r="AB273" s="29"/>
      <c r="AC273" s="29"/>
      <c r="AD273" s="29"/>
      <c r="AE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D273" s="138"/>
    </row>
    <row r="274" spans="1:109" s="63" customFormat="1" hidden="1" outlineLevel="1" x14ac:dyDescent="0.2">
      <c r="A274" s="63" t="s">
        <v>479</v>
      </c>
      <c r="AB274" s="29"/>
      <c r="AC274" s="29"/>
      <c r="AD274" s="29"/>
      <c r="AE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D274" s="138"/>
    </row>
    <row r="275" spans="1:109" s="88" customFormat="1" hidden="1" outlineLevel="1" x14ac:dyDescent="0.2">
      <c r="A275" s="85" t="s">
        <v>480</v>
      </c>
      <c r="B275" s="85" t="e">
        <f>+B274/B273</f>
        <v>#DIV/0!</v>
      </c>
      <c r="C275" s="85" t="e">
        <f t="shared" ref="C275:X275" si="2568">+C274/C273</f>
        <v>#DIV/0!</v>
      </c>
      <c r="D275" s="85" t="e">
        <f t="shared" si="2568"/>
        <v>#DIV/0!</v>
      </c>
      <c r="E275" s="85" t="e">
        <f t="shared" si="2568"/>
        <v>#DIV/0!</v>
      </c>
      <c r="F275" s="85" t="e">
        <f t="shared" si="2568"/>
        <v>#DIV/0!</v>
      </c>
      <c r="G275" s="85" t="e">
        <f t="shared" si="2568"/>
        <v>#DIV/0!</v>
      </c>
      <c r="H275" s="85" t="e">
        <f t="shared" si="2568"/>
        <v>#DIV/0!</v>
      </c>
      <c r="I275" s="85" t="e">
        <f t="shared" si="2568"/>
        <v>#DIV/0!</v>
      </c>
      <c r="J275" s="85" t="e">
        <f t="shared" si="2568"/>
        <v>#DIV/0!</v>
      </c>
      <c r="K275" s="85" t="e">
        <f t="shared" si="2568"/>
        <v>#DIV/0!</v>
      </c>
      <c r="L275" s="85" t="e">
        <f t="shared" si="2568"/>
        <v>#DIV/0!</v>
      </c>
      <c r="M275" s="85" t="e">
        <f t="shared" si="2568"/>
        <v>#DIV/0!</v>
      </c>
      <c r="N275" s="85" t="e">
        <f t="shared" si="2568"/>
        <v>#DIV/0!</v>
      </c>
      <c r="O275" s="85" t="e">
        <f t="shared" si="2568"/>
        <v>#DIV/0!</v>
      </c>
      <c r="P275" s="85" t="e">
        <f t="shared" si="2568"/>
        <v>#DIV/0!</v>
      </c>
      <c r="Q275" s="85" t="e">
        <f t="shared" si="2568"/>
        <v>#DIV/0!</v>
      </c>
      <c r="R275" s="85" t="e">
        <f t="shared" si="2568"/>
        <v>#DIV/0!</v>
      </c>
      <c r="S275" s="85" t="e">
        <f t="shared" si="2568"/>
        <v>#DIV/0!</v>
      </c>
      <c r="T275" s="85" t="e">
        <f t="shared" si="2568"/>
        <v>#DIV/0!</v>
      </c>
      <c r="U275" s="85" t="e">
        <f t="shared" si="2568"/>
        <v>#DIV/0!</v>
      </c>
      <c r="V275" s="85" t="e">
        <f t="shared" si="2568"/>
        <v>#DIV/0!</v>
      </c>
      <c r="W275" s="85" t="e">
        <f t="shared" si="2568"/>
        <v>#DIV/0!</v>
      </c>
      <c r="X275" s="85" t="e">
        <f t="shared" si="2568"/>
        <v>#DIV/0!</v>
      </c>
      <c r="Y275" s="85" t="e">
        <f t="shared" ref="Y275:Z275" si="2569">+Y274/Y273</f>
        <v>#DIV/0!</v>
      </c>
      <c r="Z275" s="85" t="e">
        <f t="shared" si="2569"/>
        <v>#DIV/0!</v>
      </c>
      <c r="AA275" s="85" t="e">
        <f t="shared" ref="AA275" si="2570">+AA274/AA273</f>
        <v>#DIV/0!</v>
      </c>
      <c r="AB275" s="86"/>
      <c r="AC275" s="86"/>
      <c r="AD275" s="86"/>
      <c r="AE275" s="86"/>
      <c r="AF275" s="85"/>
      <c r="AG275" s="85"/>
      <c r="AH275" s="85"/>
      <c r="AI275" s="85" t="e">
        <f t="shared" ref="AI275" si="2571">+AI274/AI273</f>
        <v>#DIV/0!</v>
      </c>
      <c r="AJ275" s="85" t="e">
        <f t="shared" ref="AJ275" si="2572">+AJ274/AJ273</f>
        <v>#DIV/0!</v>
      </c>
      <c r="AK275" s="85" t="e">
        <f t="shared" ref="AK275" si="2573">+AK274/AK273</f>
        <v>#DIV/0!</v>
      </c>
      <c r="AL275" s="85" t="e">
        <f t="shared" ref="AL275" si="2574">+AL274/AL273</f>
        <v>#DIV/0!</v>
      </c>
      <c r="AM275" s="85" t="e">
        <f t="shared" ref="AM275" si="2575">+AM274/AM273</f>
        <v>#DIV/0!</v>
      </c>
      <c r="AN275" s="85" t="e">
        <f t="shared" ref="AN275" si="2576">+AN274/AN273</f>
        <v>#DIV/0!</v>
      </c>
      <c r="AO275" s="85" t="e">
        <f t="shared" ref="AO275" si="2577">+AO274/AO273</f>
        <v>#DIV/0!</v>
      </c>
      <c r="AP275" s="85" t="e">
        <f t="shared" ref="AP275" si="2578">+AP274/AP273</f>
        <v>#DIV/0!</v>
      </c>
      <c r="AQ275" s="85" t="e">
        <f t="shared" ref="AQ275" si="2579">+AQ274/AQ273</f>
        <v>#DIV/0!</v>
      </c>
      <c r="AR275" s="85" t="e">
        <f t="shared" ref="AR275" si="2580">+AR274/AR273</f>
        <v>#DIV/0!</v>
      </c>
      <c r="AS275" s="85" t="e">
        <f t="shared" ref="AS275" si="2581">+AS274/AS273</f>
        <v>#DIV/0!</v>
      </c>
      <c r="AT275" s="85" t="e">
        <f t="shared" ref="AT275" si="2582">+AT274/AT273</f>
        <v>#DIV/0!</v>
      </c>
      <c r="AU275" s="85" t="e">
        <f t="shared" ref="AU275" si="2583">+AU274/AU273</f>
        <v>#DIV/0!</v>
      </c>
      <c r="AV275" s="85" t="e">
        <f t="shared" ref="AV275" si="2584">+AV274/AV273</f>
        <v>#DIV/0!</v>
      </c>
      <c r="AW275" s="85" t="e">
        <f t="shared" ref="AW275" si="2585">+AW274/AW273</f>
        <v>#DIV/0!</v>
      </c>
      <c r="AX275" s="85" t="e">
        <f t="shared" ref="AX275" si="2586">+AX274/AX273</f>
        <v>#DIV/0!</v>
      </c>
      <c r="AY275" s="85" t="e">
        <f t="shared" ref="AY275" si="2587">+AY274/AY273</f>
        <v>#DIV/0!</v>
      </c>
      <c r="AZ275" s="85" t="e">
        <f t="shared" ref="AZ275" si="2588">+AZ274/AZ273</f>
        <v>#DIV/0!</v>
      </c>
      <c r="BA275" s="85" t="e">
        <f t="shared" ref="BA275" si="2589">+BA274/BA273</f>
        <v>#DIV/0!</v>
      </c>
      <c r="BB275" s="85" t="e">
        <f t="shared" ref="BB275" si="2590">+BB274/BB273</f>
        <v>#DIV/0!</v>
      </c>
      <c r="BC275" s="85" t="e">
        <f t="shared" ref="BC275" si="2591">+BC274/BC273</f>
        <v>#DIV/0!</v>
      </c>
      <c r="BD275" s="85" t="e">
        <f t="shared" ref="BD275" si="2592">+BD274/BD273</f>
        <v>#DIV/0!</v>
      </c>
      <c r="BE275" s="85" t="e">
        <f t="shared" ref="BE275" si="2593">+BE274/BE273</f>
        <v>#DIV/0!</v>
      </c>
      <c r="BF275" s="85" t="e">
        <f t="shared" ref="BF275" si="2594">+BF274/BF273</f>
        <v>#DIV/0!</v>
      </c>
      <c r="BG275" s="85" t="e">
        <f t="shared" ref="BG275" si="2595">+BG274/BG273</f>
        <v>#DIV/0!</v>
      </c>
      <c r="BH275" s="85" t="e">
        <f t="shared" ref="BH275" si="2596">+BH274/BH273</f>
        <v>#DIV/0!</v>
      </c>
      <c r="BI275" s="85" t="e">
        <f t="shared" ref="BI275" si="2597">+BI274/BI273</f>
        <v>#DIV/0!</v>
      </c>
      <c r="BJ275" s="85" t="e">
        <f t="shared" ref="BJ275" si="2598">+BJ274/BJ273</f>
        <v>#DIV/0!</v>
      </c>
      <c r="BK275" s="85" t="e">
        <f t="shared" ref="BK275" si="2599">+BK274/BK273</f>
        <v>#DIV/0!</v>
      </c>
      <c r="BL275" s="85" t="e">
        <f t="shared" ref="BL275" si="2600">+BL274/BL273</f>
        <v>#DIV/0!</v>
      </c>
      <c r="BM275" s="85" t="e">
        <f t="shared" ref="BM275" si="2601">+BM274/BM273</f>
        <v>#DIV/0!</v>
      </c>
      <c r="BN275" s="85" t="e">
        <f t="shared" ref="BN275" si="2602">+BN274/BN273</f>
        <v>#DIV/0!</v>
      </c>
      <c r="BO275" s="85" t="e">
        <f t="shared" ref="BO275" si="2603">+BO274/BO273</f>
        <v>#DIV/0!</v>
      </c>
      <c r="BP275" s="85" t="e">
        <f t="shared" ref="BP275" si="2604">+BP274/BP273</f>
        <v>#DIV/0!</v>
      </c>
      <c r="BQ275" s="85" t="e">
        <f t="shared" ref="BQ275" si="2605">+BQ274/BQ273</f>
        <v>#DIV/0!</v>
      </c>
      <c r="BR275" s="85" t="e">
        <f t="shared" ref="BR275" si="2606">+BR274/BR273</f>
        <v>#DIV/0!</v>
      </c>
      <c r="BS275" s="85" t="e">
        <f t="shared" ref="BS275" si="2607">+BS274/BS273</f>
        <v>#DIV/0!</v>
      </c>
      <c r="BT275" s="85" t="e">
        <f t="shared" ref="BT275" si="2608">+BT274/BT273</f>
        <v>#DIV/0!</v>
      </c>
      <c r="BU275" s="85" t="e">
        <f t="shared" ref="BU275" si="2609">+BU274/BU273</f>
        <v>#DIV/0!</v>
      </c>
      <c r="BV275" s="85" t="e">
        <f t="shared" ref="BV275" si="2610">+BV274/BV273</f>
        <v>#DIV/0!</v>
      </c>
      <c r="BW275" s="85" t="e">
        <f t="shared" ref="BW275" si="2611">+BW274/BW273</f>
        <v>#DIV/0!</v>
      </c>
      <c r="BX275" s="85" t="e">
        <f t="shared" ref="BX275" si="2612">+BX274/BX273</f>
        <v>#DIV/0!</v>
      </c>
      <c r="BY275" s="85" t="e">
        <f t="shared" ref="BY275" si="2613">+BY274/BY273</f>
        <v>#DIV/0!</v>
      </c>
      <c r="BZ275" s="85" t="e">
        <f t="shared" ref="BZ275" si="2614">+BZ274/BZ273</f>
        <v>#DIV/0!</v>
      </c>
      <c r="CA275" s="85" t="e">
        <f t="shared" ref="CA275" si="2615">+CA274/CA273</f>
        <v>#DIV/0!</v>
      </c>
      <c r="CB275" s="85" t="e">
        <f t="shared" ref="CB275:CC275" si="2616">+CB274/CB273</f>
        <v>#DIV/0!</v>
      </c>
      <c r="CC275" s="85" t="e">
        <f t="shared" si="2616"/>
        <v>#DIV/0!</v>
      </c>
      <c r="CD275" s="85" t="e">
        <f t="shared" ref="CD275" si="2617">+CD274/CD273</f>
        <v>#DIV/0!</v>
      </c>
      <c r="CE275" s="85" t="e">
        <f t="shared" ref="CE275:CF275" si="2618">+CE274/CE273</f>
        <v>#DIV/0!</v>
      </c>
      <c r="CF275" s="85" t="e">
        <f t="shared" si="2618"/>
        <v>#DIV/0!</v>
      </c>
      <c r="CG275" s="85" t="e">
        <f t="shared" ref="CG275:CH275" si="2619">+CG274/CG273</f>
        <v>#DIV/0!</v>
      </c>
      <c r="CH275" s="85" t="e">
        <f t="shared" si="2619"/>
        <v>#DIV/0!</v>
      </c>
      <c r="CI275" s="85" t="e">
        <f t="shared" ref="CI275:CJ275" si="2620">+CI274/CI273</f>
        <v>#DIV/0!</v>
      </c>
      <c r="CJ275" s="85" t="e">
        <f t="shared" si="2620"/>
        <v>#DIV/0!</v>
      </c>
      <c r="CK275" s="85" t="e">
        <f t="shared" ref="CK275:DA275" si="2621">+CK274/CK273</f>
        <v>#DIV/0!</v>
      </c>
      <c r="CL275" s="85" t="e">
        <f t="shared" si="2621"/>
        <v>#DIV/0!</v>
      </c>
      <c r="CM275" s="46" t="e">
        <f t="shared" si="2621"/>
        <v>#DIV/0!</v>
      </c>
      <c r="CN275" s="46" t="e">
        <f t="shared" si="2621"/>
        <v>#DIV/0!</v>
      </c>
      <c r="CO275" s="46" t="e">
        <f t="shared" si="2621"/>
        <v>#DIV/0!</v>
      </c>
      <c r="CP275" s="46" t="e">
        <f t="shared" si="2621"/>
        <v>#DIV/0!</v>
      </c>
      <c r="CQ275" s="46" t="e">
        <f t="shared" si="2621"/>
        <v>#DIV/0!</v>
      </c>
      <c r="CR275" s="46" t="e">
        <f t="shared" si="2621"/>
        <v>#DIV/0!</v>
      </c>
      <c r="CS275" s="46" t="e">
        <f t="shared" si="2621"/>
        <v>#DIV/0!</v>
      </c>
      <c r="CT275" s="46" t="e">
        <f t="shared" si="2621"/>
        <v>#DIV/0!</v>
      </c>
      <c r="CU275" s="46" t="e">
        <f t="shared" si="2621"/>
        <v>#DIV/0!</v>
      </c>
      <c r="CV275" s="46" t="e">
        <f t="shared" si="2621"/>
        <v>#DIV/0!</v>
      </c>
      <c r="CW275" s="46" t="e">
        <f t="shared" si="2621"/>
        <v>#DIV/0!</v>
      </c>
      <c r="CX275" s="46" t="e">
        <f t="shared" si="2621"/>
        <v>#DIV/0!</v>
      </c>
      <c r="CY275" s="46" t="e">
        <f t="shared" si="2621"/>
        <v>#DIV/0!</v>
      </c>
      <c r="CZ275" s="46" t="e">
        <f t="shared" si="2621"/>
        <v>#DIV/0!</v>
      </c>
      <c r="DA275" s="46" t="e">
        <f t="shared" si="2621"/>
        <v>#DIV/0!</v>
      </c>
      <c r="DD275" s="129"/>
    </row>
    <row r="276" spans="1:109" s="63" customFormat="1" hidden="1" outlineLevel="1" x14ac:dyDescent="0.2">
      <c r="A276" s="63" t="s">
        <v>481</v>
      </c>
      <c r="AB276" s="29"/>
      <c r="AC276" s="29"/>
      <c r="AD276" s="29"/>
      <c r="AE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D276" s="138"/>
    </row>
    <row r="277" spans="1:109" s="61" customFormat="1" hidden="1" outlineLevel="1" x14ac:dyDescent="0.2">
      <c r="AB277" s="62"/>
      <c r="AC277" s="62"/>
      <c r="AD277" s="62"/>
      <c r="AE277" s="62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D277" s="138"/>
    </row>
    <row r="278" spans="1:109" s="11" customFormat="1" collapsed="1" x14ac:dyDescent="0.2">
      <c r="AB278" s="62"/>
      <c r="AC278" s="62"/>
      <c r="AD278" s="62"/>
      <c r="AE278" s="62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D278" s="138"/>
    </row>
    <row r="279" spans="1:109" s="61" customFormat="1" x14ac:dyDescent="0.2">
      <c r="A279" s="153" t="s">
        <v>498</v>
      </c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62"/>
      <c r="AC279" s="62"/>
      <c r="AD279" s="62"/>
      <c r="AE279" s="62"/>
      <c r="AL279" s="179"/>
      <c r="CF279" s="179"/>
      <c r="CG279" s="179"/>
      <c r="CH279" s="179"/>
      <c r="CI279" s="179"/>
      <c r="CJ279" s="179"/>
      <c r="CK279" s="179"/>
      <c r="CL279" s="17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D279" s="138"/>
    </row>
    <row r="280" spans="1:109" s="83" customFormat="1" x14ac:dyDescent="0.2">
      <c r="A280" s="83" t="s">
        <v>513</v>
      </c>
      <c r="B280" s="83">
        <f>B44/B201</f>
        <v>1.3759625222524128</v>
      </c>
      <c r="C280" s="83">
        <f>C44/C201</f>
        <v>1.4803241259534843</v>
      </c>
      <c r="D280" s="83">
        <f>D44/D201</f>
        <v>1.9220240780608515</v>
      </c>
      <c r="E280" s="83">
        <f t="shared" ref="E280:AE280" si="2622">E46/(E197+E184+E174)</f>
        <v>1.2588088446372505</v>
      </c>
      <c r="F280" s="83">
        <f t="shared" si="2622"/>
        <v>1.3433798630968998</v>
      </c>
      <c r="G280" s="83">
        <f t="shared" si="2622"/>
        <v>1.3457477676902136</v>
      </c>
      <c r="H280" s="83">
        <f t="shared" si="2622"/>
        <v>1.2122898629365955</v>
      </c>
      <c r="I280" s="83">
        <f t="shared" si="2622"/>
        <v>1.1254834205655777</v>
      </c>
      <c r="J280" s="83">
        <f t="shared" si="2622"/>
        <v>1.1917022689986143</v>
      </c>
      <c r="K280" s="83">
        <f t="shared" si="2622"/>
        <v>1.0642121455084481</v>
      </c>
      <c r="L280" s="83">
        <f t="shared" si="2622"/>
        <v>1.0190821662249181</v>
      </c>
      <c r="M280" s="83">
        <f t="shared" si="2622"/>
        <v>1.0700981131645837</v>
      </c>
      <c r="N280" s="83">
        <f t="shared" si="2622"/>
        <v>1.0168710457376056</v>
      </c>
      <c r="O280" s="83">
        <f t="shared" si="2622"/>
        <v>0.98630916966614901</v>
      </c>
      <c r="P280" s="83">
        <f t="shared" si="2622"/>
        <v>0.94128070948035159</v>
      </c>
      <c r="Q280" s="83">
        <f t="shared" si="2622"/>
        <v>0.9257736052095189</v>
      </c>
      <c r="R280" s="83">
        <f t="shared" si="2622"/>
        <v>0.89069377082002876</v>
      </c>
      <c r="S280" s="83">
        <f t="shared" si="2622"/>
        <v>0.93404476078095455</v>
      </c>
      <c r="T280" s="83">
        <f t="shared" si="2622"/>
        <v>0.92351431318509558</v>
      </c>
      <c r="U280" s="83">
        <f t="shared" si="2622"/>
        <v>0.94460111856316964</v>
      </c>
      <c r="V280" s="83">
        <f t="shared" si="2622"/>
        <v>0.82013915241799207</v>
      </c>
      <c r="W280" s="83">
        <f t="shared" si="2622"/>
        <v>0.97574153674513653</v>
      </c>
      <c r="X280" s="83">
        <f t="shared" si="2622"/>
        <v>1.0407328473807744</v>
      </c>
      <c r="Y280" s="83">
        <f t="shared" si="2622"/>
        <v>1.1314218507940008</v>
      </c>
      <c r="Z280" s="83">
        <f t="shared" si="2622"/>
        <v>1.1207353331563579</v>
      </c>
      <c r="AA280" s="83">
        <f t="shared" ref="AA280" si="2623">AA46/(AA197+AA184+AA174)</f>
        <v>1.0039394447237584</v>
      </c>
      <c r="AB280" s="49">
        <f t="shared" si="2622"/>
        <v>0.9857667814853609</v>
      </c>
      <c r="AC280" s="49">
        <f t="shared" si="2622"/>
        <v>0.96564464769775193</v>
      </c>
      <c r="AD280" s="49">
        <f t="shared" si="2622"/>
        <v>0.92378892868711482</v>
      </c>
      <c r="AE280" s="49">
        <f t="shared" si="2622"/>
        <v>0.88633911669776666</v>
      </c>
      <c r="AL280" s="83">
        <f t="shared" ref="AL280:BQ280" si="2624">SUM(AI46:AL46)/(AL197+AL184+AL174)</f>
        <v>45.835361947469572</v>
      </c>
      <c r="AM280" s="83">
        <f t="shared" si="2624"/>
        <v>1.0092366508071604</v>
      </c>
      <c r="AN280" s="83">
        <f t="shared" si="2624"/>
        <v>1.0163027268223008</v>
      </c>
      <c r="AO280" s="83">
        <f t="shared" si="2624"/>
        <v>0.98443935926773452</v>
      </c>
      <c r="AP280" s="83">
        <f t="shared" si="2624"/>
        <v>0.98550771946754789</v>
      </c>
      <c r="AQ280" s="83">
        <f t="shared" si="2624"/>
        <v>0.94661211836304271</v>
      </c>
      <c r="AR280" s="83">
        <f t="shared" si="2624"/>
        <v>0.9367123029910579</v>
      </c>
      <c r="AS280" s="83">
        <f t="shared" si="2624"/>
        <v>0.93896768601913783</v>
      </c>
      <c r="AT280" s="83">
        <f t="shared" si="2624"/>
        <v>0.98157303940729945</v>
      </c>
      <c r="AU280" s="83">
        <f t="shared" si="2624"/>
        <v>1.0069396594152968</v>
      </c>
      <c r="AV280" s="83">
        <f t="shared" si="2624"/>
        <v>0.98234510428209298</v>
      </c>
      <c r="AW280" s="83">
        <f t="shared" si="2624"/>
        <v>0.92361228610424917</v>
      </c>
      <c r="AX280" s="83">
        <f t="shared" si="2624"/>
        <v>0.95186759610878202</v>
      </c>
      <c r="AY280" s="83">
        <f t="shared" si="2624"/>
        <v>0.96517595307917881</v>
      </c>
      <c r="AZ280" s="83">
        <f t="shared" si="2624"/>
        <v>0.97027475586485479</v>
      </c>
      <c r="BA280" s="83">
        <f t="shared" si="2624"/>
        <v>0.88973991089440008</v>
      </c>
      <c r="BB280" s="83">
        <f t="shared" si="2624"/>
        <v>0.90590765825873576</v>
      </c>
      <c r="BC280" s="83">
        <f t="shared" si="2624"/>
        <v>0.78815739329268286</v>
      </c>
      <c r="BD280" s="83">
        <f t="shared" si="2624"/>
        <v>0.83274338455432662</v>
      </c>
      <c r="BE280" s="83">
        <f t="shared" si="2624"/>
        <v>0.93402571711177051</v>
      </c>
      <c r="BF280" s="83">
        <f t="shared" si="2624"/>
        <v>0.99019551010835105</v>
      </c>
      <c r="BG280" s="83">
        <f t="shared" si="2624"/>
        <v>0.97596389679191609</v>
      </c>
      <c r="BH280" s="83">
        <f t="shared" si="2624"/>
        <v>1.017883021997221</v>
      </c>
      <c r="BI280" s="83">
        <f t="shared" si="2624"/>
        <v>0.92353835755322722</v>
      </c>
      <c r="BJ280" s="83">
        <f t="shared" si="2624"/>
        <v>1.0048876236629651</v>
      </c>
      <c r="BK280" s="83">
        <f t="shared" si="2624"/>
        <v>0.97596346446598825</v>
      </c>
      <c r="BL280" s="83">
        <f t="shared" si="2624"/>
        <v>0.98307186307914185</v>
      </c>
      <c r="BM280" s="83">
        <f t="shared" si="2624"/>
        <v>0.94459045116075346</v>
      </c>
      <c r="BN280" s="83">
        <f t="shared" si="2624"/>
        <v>0.9534600893136066</v>
      </c>
      <c r="BO280" s="83">
        <f t="shared" si="2624"/>
        <v>0.87149722735674684</v>
      </c>
      <c r="BP280" s="83">
        <f t="shared" si="2624"/>
        <v>0.75411460174944356</v>
      </c>
      <c r="BQ280" s="83">
        <f t="shared" si="2624"/>
        <v>0.82010725680537655</v>
      </c>
      <c r="BR280" s="83">
        <f t="shared" ref="BR280:CW280" si="2625">SUM(BO46:BR46)/(BR197+BR184+BR174)</f>
        <v>0.8737226500925025</v>
      </c>
      <c r="BS280" s="83">
        <f t="shared" si="2625"/>
        <v>0.95163890381515326</v>
      </c>
      <c r="BT280" s="83">
        <f t="shared" si="2625"/>
        <v>0.89952644245607838</v>
      </c>
      <c r="BU280" s="83">
        <f t="shared" si="2625"/>
        <v>0.97569399191971862</v>
      </c>
      <c r="BV280" s="83">
        <f t="shared" si="2625"/>
        <v>0.98414272757765853</v>
      </c>
      <c r="BW280" s="83">
        <f t="shared" si="2625"/>
        <v>1.0606520090978016</v>
      </c>
      <c r="BX280" s="83">
        <f t="shared" si="2625"/>
        <v>1.0817948270612903</v>
      </c>
      <c r="BY280" s="83">
        <f t="shared" si="2625"/>
        <v>1.0407265665162506</v>
      </c>
      <c r="BZ280" s="83">
        <f t="shared" si="2625"/>
        <v>1.0696188711983683</v>
      </c>
      <c r="CA280" s="83">
        <f t="shared" si="2625"/>
        <v>1.0751121667986276</v>
      </c>
      <c r="CB280" s="83">
        <f t="shared" si="2625"/>
        <v>1.1262124352700109</v>
      </c>
      <c r="CC280" s="83">
        <f t="shared" si="2625"/>
        <v>1.1314067062732858</v>
      </c>
      <c r="CD280" s="83">
        <f t="shared" si="2625"/>
        <v>1.1523233277452827</v>
      </c>
      <c r="CE280" s="83">
        <f t="shared" si="2625"/>
        <v>1.0951805549100713</v>
      </c>
      <c r="CF280" s="83">
        <f t="shared" si="2625"/>
        <v>1.0967153806726233</v>
      </c>
      <c r="CG280" s="83">
        <f t="shared" si="2625"/>
        <v>1.1207415272984689</v>
      </c>
      <c r="CH280" s="83">
        <f t="shared" si="2625"/>
        <v>1.1512761022745708</v>
      </c>
      <c r="CI280" s="83">
        <f t="shared" si="2625"/>
        <v>1.0775594622543951</v>
      </c>
      <c r="CJ280" s="83">
        <f t="shared" si="2625"/>
        <v>1.0662969831198947</v>
      </c>
      <c r="CK280" s="83">
        <f t="shared" si="2625"/>
        <v>1.003910323253389</v>
      </c>
      <c r="CL280" s="83">
        <f t="shared" si="2625"/>
        <v>1.0302951079035914</v>
      </c>
      <c r="CM280" s="49">
        <f t="shared" si="2625"/>
        <v>1.0031502586268994</v>
      </c>
      <c r="CN280" s="49">
        <f t="shared" si="2625"/>
        <v>1.0082714963090835</v>
      </c>
      <c r="CO280" s="49">
        <f t="shared" si="2625"/>
        <v>0.9857667814853609</v>
      </c>
      <c r="CP280" s="49">
        <f t="shared" si="2625"/>
        <v>1.0642822812313533</v>
      </c>
      <c r="CQ280" s="49">
        <f t="shared" si="2625"/>
        <v>1.0180820253438454</v>
      </c>
      <c r="CR280" s="49">
        <f t="shared" si="2625"/>
        <v>0.98589082986364851</v>
      </c>
      <c r="CS280" s="49">
        <f t="shared" si="2625"/>
        <v>0.96564464769775193</v>
      </c>
      <c r="CT280" s="49">
        <f t="shared" si="2625"/>
        <v>1.0093529927317506</v>
      </c>
      <c r="CU280" s="49">
        <f t="shared" si="2625"/>
        <v>0.96910480741952754</v>
      </c>
      <c r="CV280" s="49">
        <f t="shared" si="2625"/>
        <v>0.94116273590738697</v>
      </c>
      <c r="CW280" s="49">
        <f t="shared" si="2625"/>
        <v>0.92378892868711482</v>
      </c>
      <c r="CX280" s="49">
        <f t="shared" ref="CX280:DA280" si="2626">SUM(CU46:CX46)/(CX197+CX184+CX174)</f>
        <v>0.96397241018094593</v>
      </c>
      <c r="CY280" s="49">
        <f t="shared" si="2626"/>
        <v>0.92745694167875159</v>
      </c>
      <c r="CZ280" s="49">
        <f t="shared" si="2626"/>
        <v>0.90208946117731803</v>
      </c>
      <c r="DA280" s="49">
        <f t="shared" si="2626"/>
        <v>0.88633911669776666</v>
      </c>
      <c r="DD280" s="137"/>
      <c r="DE280" s="83">
        <v>1.003910323253389</v>
      </c>
    </row>
    <row r="281" spans="1:109" s="83" customFormat="1" x14ac:dyDescent="0.2">
      <c r="A281" s="83" t="s">
        <v>514</v>
      </c>
      <c r="E281" s="180">
        <f>+E78</f>
        <v>7.2907259965698357E-2</v>
      </c>
      <c r="F281" s="180">
        <f t="shared" ref="F281:AE281" si="2627">+F78</f>
        <v>9.8583387098627601E-2</v>
      </c>
      <c r="G281" s="180">
        <f t="shared" si="2627"/>
        <v>0.10598152716271735</v>
      </c>
      <c r="H281" s="180">
        <f t="shared" si="2627"/>
        <v>0.12796991241304373</v>
      </c>
      <c r="I281" s="180">
        <f t="shared" si="2627"/>
        <v>9.3095439605622735E-2</v>
      </c>
      <c r="J281" s="180">
        <f t="shared" si="2627"/>
        <v>0.10804993283725074</v>
      </c>
      <c r="K281" s="180">
        <f t="shared" si="2627"/>
        <v>0.11373617334420674</v>
      </c>
      <c r="L281" s="180">
        <f t="shared" si="2627"/>
        <v>8.0890529824440741E-2</v>
      </c>
      <c r="M281" s="180">
        <f t="shared" si="2627"/>
        <v>5.3153755820154691E-2</v>
      </c>
      <c r="N281" s="180">
        <f t="shared" si="2627"/>
        <v>7.7273400784475976E-2</v>
      </c>
      <c r="O281" s="180">
        <f t="shared" si="2627"/>
        <v>7.7958607136277017E-2</v>
      </c>
      <c r="P281" s="180">
        <f t="shared" si="2627"/>
        <v>7.6904412615578788E-2</v>
      </c>
      <c r="Q281" s="180">
        <f t="shared" si="2627"/>
        <v>7.8130730437770371E-2</v>
      </c>
      <c r="R281" s="180">
        <f t="shared" si="2627"/>
        <v>7.7444148118004166E-2</v>
      </c>
      <c r="S281" s="180">
        <f t="shared" si="2627"/>
        <v>6.9580033399093744E-2</v>
      </c>
      <c r="T281" s="180">
        <f t="shared" si="2627"/>
        <v>6.1560784069763466E-2</v>
      </c>
      <c r="U281" s="180">
        <f t="shared" si="2627"/>
        <v>6.3819065961412874E-2</v>
      </c>
      <c r="V281" s="180">
        <f t="shared" si="2627"/>
        <v>7.3239716417725059E-2</v>
      </c>
      <c r="W281" s="180">
        <f t="shared" si="2627"/>
        <v>9.5485112780347992E-2</v>
      </c>
      <c r="X281" s="180">
        <f t="shared" si="2627"/>
        <v>9.6005400777185015E-2</v>
      </c>
      <c r="Y281" s="180">
        <f t="shared" si="2627"/>
        <v>8.8696880348231838E-2</v>
      </c>
      <c r="Z281" s="180">
        <f t="shared" si="2627"/>
        <v>9.2404679509499682E-2</v>
      </c>
      <c r="AA281" s="180">
        <f t="shared" ref="AA281" si="2628">+AA78</f>
        <v>0.10438887009371869</v>
      </c>
      <c r="AB281" s="181">
        <f t="shared" si="2627"/>
        <v>9.8697217936885961E-2</v>
      </c>
      <c r="AC281" s="181">
        <f t="shared" si="2627"/>
        <v>0.10053098986165447</v>
      </c>
      <c r="AD281" s="181">
        <f t="shared" si="2627"/>
        <v>0.10191772208533151</v>
      </c>
      <c r="AE281" s="181">
        <f t="shared" si="2627"/>
        <v>0.10582055782165385</v>
      </c>
      <c r="AL281" s="180">
        <f t="shared" ref="AL281:CW281" si="2629">+AL78</f>
        <v>9.5304963672995915E-2</v>
      </c>
      <c r="AM281" s="180">
        <f t="shared" si="2629"/>
        <v>7.9192705665403026E-2</v>
      </c>
      <c r="AN281" s="180">
        <f t="shared" si="2629"/>
        <v>9.4091673675357548E-2</v>
      </c>
      <c r="AO281" s="180">
        <f t="shared" si="2629"/>
        <v>5.9256411664561477E-2</v>
      </c>
      <c r="AP281" s="180">
        <f t="shared" si="2629"/>
        <v>8.7270000576801121E-2</v>
      </c>
      <c r="AQ281" s="180">
        <f t="shared" si="2629"/>
        <v>0.11261600200652121</v>
      </c>
      <c r="AR281" s="180">
        <f t="shared" si="2629"/>
        <v>8.9848660063351668E-2</v>
      </c>
      <c r="AS281" s="180">
        <f t="shared" si="2629"/>
        <v>4.333087052892344E-2</v>
      </c>
      <c r="AT281" s="180">
        <f t="shared" si="2629"/>
        <v>3.3866962540286226E-2</v>
      </c>
      <c r="AU281" s="180">
        <f t="shared" si="2629"/>
        <v>0.11103892858927576</v>
      </c>
      <c r="AV281" s="180">
        <f t="shared" si="2629"/>
        <v>9.069867585315966E-2</v>
      </c>
      <c r="AW281" s="180">
        <f t="shared" si="2629"/>
        <v>9.9938436281551274E-2</v>
      </c>
      <c r="AX281" s="180">
        <f t="shared" si="2629"/>
        <v>8.0199904807234698E-2</v>
      </c>
      <c r="AY281" s="180">
        <f t="shared" si="2629"/>
        <v>8.4864305767620607E-2</v>
      </c>
      <c r="AZ281" s="180">
        <f t="shared" si="2629"/>
        <v>5.3854276663146822E-2</v>
      </c>
      <c r="BA281" s="180">
        <f t="shared" si="2629"/>
        <v>9.0122077714832854E-2</v>
      </c>
      <c r="BB281" s="180">
        <f t="shared" si="2629"/>
        <v>6.4751703992210363E-2</v>
      </c>
      <c r="BC281" s="180">
        <f t="shared" si="2629"/>
        <v>7.2787821122740182E-2</v>
      </c>
      <c r="BD281" s="180">
        <f t="shared" si="2629"/>
        <v>5.7855361596009958E-2</v>
      </c>
      <c r="BE281" s="180">
        <f t="shared" si="2629"/>
        <v>8.3485679463741538E-2</v>
      </c>
      <c r="BF281" s="180">
        <f t="shared" si="2629"/>
        <v>5.3647058823529478E-2</v>
      </c>
      <c r="BG281" s="180">
        <f t="shared" si="2629"/>
        <v>5.7176656151419473E-2</v>
      </c>
      <c r="BH281" s="180">
        <f t="shared" si="2629"/>
        <v>5.7417974322396557E-2</v>
      </c>
      <c r="BI281" s="180">
        <f t="shared" si="2629"/>
        <v>7.2994806693594996E-2</v>
      </c>
      <c r="BJ281" s="180">
        <f t="shared" si="2629"/>
        <v>5.4268924991358304E-2</v>
      </c>
      <c r="BK281" s="180">
        <f t="shared" si="2629"/>
        <v>4.1749502982107327E-2</v>
      </c>
      <c r="BL281" s="180">
        <f t="shared" si="2629"/>
        <v>6.5062875888463684E-2</v>
      </c>
      <c r="BM281" s="180">
        <f t="shared" si="2629"/>
        <v>9.050445103857567E-2</v>
      </c>
      <c r="BN281" s="180">
        <f t="shared" si="2629"/>
        <v>4.0077821011673197E-2</v>
      </c>
      <c r="BO281" s="180">
        <f t="shared" si="2629"/>
        <v>3.4719049794426714E-2</v>
      </c>
      <c r="BP281" s="180">
        <f t="shared" si="2629"/>
        <v>0.11316588462600055</v>
      </c>
      <c r="BQ281" s="180">
        <f t="shared" si="2629"/>
        <v>8.0021627466882905E-2</v>
      </c>
      <c r="BR281" s="180">
        <f t="shared" si="2629"/>
        <v>0.11006289308176102</v>
      </c>
      <c r="BS281" s="180">
        <f t="shared" si="2629"/>
        <v>8.5808580858085903E-2</v>
      </c>
      <c r="BT281" s="180">
        <f t="shared" si="2629"/>
        <v>0.10214615593588711</v>
      </c>
      <c r="BU281" s="180">
        <f t="shared" si="2629"/>
        <v>8.4120557804768403E-2</v>
      </c>
      <c r="BV281" s="180">
        <f t="shared" si="2629"/>
        <v>9.2171414891070114E-2</v>
      </c>
      <c r="BW281" s="180">
        <f t="shared" si="2629"/>
        <v>0.10124888492417476</v>
      </c>
      <c r="BX281" s="180">
        <f t="shared" si="2629"/>
        <v>8.6482726640389571E-2</v>
      </c>
      <c r="BY281" s="180">
        <f t="shared" si="2629"/>
        <v>0.10236370568051846</v>
      </c>
      <c r="BZ281" s="180">
        <f t="shared" si="2629"/>
        <v>8.1086601307189518E-2</v>
      </c>
      <c r="CA281" s="180">
        <f t="shared" si="2629"/>
        <v>0.10164045323862674</v>
      </c>
      <c r="CB281" s="180">
        <f t="shared" si="2629"/>
        <v>8.4087280468334344E-2</v>
      </c>
      <c r="CC281" s="180">
        <f t="shared" si="2629"/>
        <v>8.6458679057417873E-2</v>
      </c>
      <c r="CD281" s="180">
        <f t="shared" si="2629"/>
        <v>7.8096288129364269E-2</v>
      </c>
      <c r="CE281" s="180">
        <f t="shared" si="2629"/>
        <v>9.9380804953560331E-2</v>
      </c>
      <c r="CF281" s="180">
        <f t="shared" si="2629"/>
        <v>9.4890510948905049E-2</v>
      </c>
      <c r="CG281" s="180">
        <f t="shared" si="2629"/>
        <v>9.4851321585903051E-2</v>
      </c>
      <c r="CH281" s="180">
        <f t="shared" si="2629"/>
        <v>8.078602620087344E-2</v>
      </c>
      <c r="CI281" s="180">
        <f t="shared" si="2629"/>
        <v>0.10004499775011258</v>
      </c>
      <c r="CJ281" s="180">
        <f t="shared" si="2629"/>
        <v>9.8830049261083852E-2</v>
      </c>
      <c r="CK281" s="180">
        <f t="shared" si="2629"/>
        <v>0.13061224489795917</v>
      </c>
      <c r="CL281" s="180">
        <f t="shared" ref="CL281" si="2630">+CL78</f>
        <v>6.0868119075336694E-2</v>
      </c>
      <c r="CM281" s="181">
        <f t="shared" si="2629"/>
        <v>0.11564378833048394</v>
      </c>
      <c r="CN281" s="181">
        <f t="shared" si="2629"/>
        <v>8.649855699557675E-2</v>
      </c>
      <c r="CO281" s="181">
        <f t="shared" si="2629"/>
        <v>0.12196913402705671</v>
      </c>
      <c r="CP281" s="181">
        <f t="shared" si="2629"/>
        <v>6.5098951439723537E-2</v>
      </c>
      <c r="CQ281" s="181">
        <f t="shared" si="2629"/>
        <v>0.11533762015475982</v>
      </c>
      <c r="CR281" s="181">
        <f t="shared" si="2629"/>
        <v>8.9487325388152253E-2</v>
      </c>
      <c r="CS281" s="181">
        <f t="shared" si="2629"/>
        <v>0.12686995475340052</v>
      </c>
      <c r="CT281" s="181">
        <f t="shared" si="2629"/>
        <v>6.7442765153414588E-2</v>
      </c>
      <c r="CU281" s="181">
        <f t="shared" si="2629"/>
        <v>0.11651109218276959</v>
      </c>
      <c r="CV281" s="181">
        <f t="shared" si="2629"/>
        <v>9.0391052311357314E-2</v>
      </c>
      <c r="CW281" s="181">
        <f t="shared" si="2629"/>
        <v>0.12811564204464995</v>
      </c>
      <c r="CX281" s="181">
        <f t="shared" ref="CX281:DA281" si="2631">+CX78</f>
        <v>7.172703978393806E-2</v>
      </c>
      <c r="CY281" s="181">
        <f t="shared" si="2631"/>
        <v>0.12042709648176925</v>
      </c>
      <c r="CZ281" s="181">
        <f t="shared" si="2631"/>
        <v>9.4102571114623737E-2</v>
      </c>
      <c r="DA281" s="181">
        <f t="shared" si="2631"/>
        <v>0.1318768120338108</v>
      </c>
      <c r="DD281" s="137"/>
      <c r="DE281" s="83">
        <v>0.10438847052713568</v>
      </c>
    </row>
    <row r="282" spans="1:109" s="83" customFormat="1" x14ac:dyDescent="0.2">
      <c r="A282" s="83" t="s">
        <v>515</v>
      </c>
      <c r="E282" s="83">
        <f>(E197+E184+E174+E176)/E156</f>
        <v>1.8095649995174825</v>
      </c>
      <c r="F282" s="83">
        <f t="shared" ref="F282:AE282" si="2632">(F197+F184+F174+F176)/F156</f>
        <v>1.755676202627181</v>
      </c>
      <c r="G282" s="83">
        <f t="shared" si="2632"/>
        <v>1.6764712415479441</v>
      </c>
      <c r="H282" s="83">
        <f t="shared" si="2632"/>
        <v>1.672301488686081</v>
      </c>
      <c r="I282" s="83">
        <f t="shared" si="2632"/>
        <v>1.7320035015104867</v>
      </c>
      <c r="J282" s="83">
        <f t="shared" si="2632"/>
        <v>1.6943888589996168</v>
      </c>
      <c r="K282" s="83">
        <f t="shared" si="2632"/>
        <v>1.5726965166287632</v>
      </c>
      <c r="L282" s="83">
        <f t="shared" si="2632"/>
        <v>1.6065246321294302</v>
      </c>
      <c r="M282" s="83">
        <f t="shared" si="2632"/>
        <v>1.7391939053555794</v>
      </c>
      <c r="N282" s="83">
        <f t="shared" si="2632"/>
        <v>1.5966641492318256</v>
      </c>
      <c r="O282" s="83">
        <f t="shared" si="2632"/>
        <v>1.5463702586307964</v>
      </c>
      <c r="P282" s="83">
        <f t="shared" si="2632"/>
        <v>1.6217732904541082</v>
      </c>
      <c r="Q282" s="83">
        <f t="shared" si="2632"/>
        <v>1.5557837324955295</v>
      </c>
      <c r="R282" s="83">
        <f t="shared" si="2632"/>
        <v>1.4861570808156241</v>
      </c>
      <c r="S282" s="83">
        <f t="shared" si="2632"/>
        <v>1.504498049742476</v>
      </c>
      <c r="T282" s="83">
        <f t="shared" si="2632"/>
        <v>1.6408354052185112</v>
      </c>
      <c r="U282" s="83">
        <f t="shared" si="2632"/>
        <v>1.7307398508689258</v>
      </c>
      <c r="V282" s="83">
        <f t="shared" si="2632"/>
        <v>1.7283425666222783</v>
      </c>
      <c r="W282" s="83">
        <f t="shared" si="2632"/>
        <v>1.5870634067971328</v>
      </c>
      <c r="X282" s="83">
        <f t="shared" si="2632"/>
        <v>1.5963489269680418</v>
      </c>
      <c r="Y282" s="83">
        <f t="shared" si="2632"/>
        <v>1.5867030644998996</v>
      </c>
      <c r="Z282" s="83">
        <f t="shared" si="2632"/>
        <v>1.5807910593462824</v>
      </c>
      <c r="AA282" s="83">
        <f t="shared" ref="AA282" si="2633">(AA197+AA184+AA174+AA176)/AA156</f>
        <v>1.6569956884175816</v>
      </c>
      <c r="AB282" s="49">
        <f t="shared" si="2632"/>
        <v>1.6037046135058763</v>
      </c>
      <c r="AC282" s="49">
        <f t="shared" si="2632"/>
        <v>1.5616114193004473</v>
      </c>
      <c r="AD282" s="49">
        <f t="shared" si="2632"/>
        <v>1.528148855961097</v>
      </c>
      <c r="AE282" s="49">
        <f t="shared" si="2632"/>
        <v>1.4988783822225007</v>
      </c>
      <c r="AL282" s="83">
        <f t="shared" ref="AL282:CW282" si="2634">(AL197+AL184+AL174+AL176)/AL156</f>
        <v>1</v>
      </c>
      <c r="AM282" s="83">
        <f t="shared" si="2634"/>
        <v>1.5822391456582634</v>
      </c>
      <c r="AN282" s="83">
        <f t="shared" si="2634"/>
        <v>1.5545804358588837</v>
      </c>
      <c r="AO282" s="83">
        <f t="shared" si="2634"/>
        <v>1.5463587158293768</v>
      </c>
      <c r="AP282" s="83">
        <f t="shared" si="2634"/>
        <v>1.5188755388981574</v>
      </c>
      <c r="AQ282" s="83">
        <f t="shared" si="2634"/>
        <v>1.5841303436295751</v>
      </c>
      <c r="AR282" s="83">
        <f t="shared" si="2634"/>
        <v>1.5633944839718867</v>
      </c>
      <c r="AS282" s="83">
        <f t="shared" si="2634"/>
        <v>1.6217540333435025</v>
      </c>
      <c r="AT282" s="83">
        <f t="shared" si="2634"/>
        <v>1.5662989019804494</v>
      </c>
      <c r="AU282" s="83">
        <f t="shared" si="2634"/>
        <v>1.5306969181602408</v>
      </c>
      <c r="AV282" s="83">
        <f t="shared" si="2634"/>
        <v>1.4966518849478416</v>
      </c>
      <c r="AW282" s="83">
        <f t="shared" si="2634"/>
        <v>1.5557767272124079</v>
      </c>
      <c r="AX282" s="83">
        <f t="shared" si="2634"/>
        <v>1.5063215616964594</v>
      </c>
      <c r="AY282" s="83">
        <f t="shared" si="2634"/>
        <v>1.5039511494252871</v>
      </c>
      <c r="AZ282" s="83">
        <f t="shared" si="2634"/>
        <v>1.431179523515191</v>
      </c>
      <c r="BA282" s="83">
        <f t="shared" si="2634"/>
        <v>1.4861548715462916</v>
      </c>
      <c r="BB282" s="83">
        <f t="shared" si="2634"/>
        <v>1.4245357244844306</v>
      </c>
      <c r="BC282" s="83">
        <f t="shared" si="2634"/>
        <v>1.696023001060105</v>
      </c>
      <c r="BD282" s="83">
        <f t="shared" si="2634"/>
        <v>1.6512013261452452</v>
      </c>
      <c r="BE282" s="83">
        <f t="shared" si="2634"/>
        <v>1.5045045045045045</v>
      </c>
      <c r="BF282" s="83">
        <f t="shared" si="2634"/>
        <v>1.4090750497206013</v>
      </c>
      <c r="BG282" s="83">
        <f t="shared" si="2634"/>
        <v>1.5286928007154568</v>
      </c>
      <c r="BH282" s="83">
        <f t="shared" si="2634"/>
        <v>1.5440017004158866</v>
      </c>
      <c r="BI282" s="83">
        <f t="shared" si="2634"/>
        <v>1.6408023225125365</v>
      </c>
      <c r="BJ282" s="83">
        <f t="shared" si="2634"/>
        <v>1.5805911424677985</v>
      </c>
      <c r="BK282" s="83">
        <f t="shared" si="2634"/>
        <v>1.6865806451612901</v>
      </c>
      <c r="BL282" s="83">
        <f t="shared" si="2634"/>
        <v>1.7296687797117218</v>
      </c>
      <c r="BM282" s="83">
        <f t="shared" si="2634"/>
        <v>1.7306624834077473</v>
      </c>
      <c r="BN282" s="83">
        <f t="shared" si="2634"/>
        <v>1.6526687853336974</v>
      </c>
      <c r="BO282" s="83">
        <f t="shared" si="2634"/>
        <v>1.6762411347517729</v>
      </c>
      <c r="BP282" s="83">
        <f t="shared" si="2634"/>
        <v>1.8273701229121964</v>
      </c>
      <c r="BQ282" s="83">
        <f t="shared" si="2634"/>
        <v>1.7283853581854929</v>
      </c>
      <c r="BR282" s="83">
        <f t="shared" si="2634"/>
        <v>1.7030630377304699</v>
      </c>
      <c r="BS282" s="83">
        <f t="shared" si="2634"/>
        <v>1.6696006869901245</v>
      </c>
      <c r="BT282" s="83">
        <f t="shared" si="2634"/>
        <v>1.6981955815365153</v>
      </c>
      <c r="BU282" s="83">
        <f t="shared" si="2634"/>
        <v>1.5871586861891571</v>
      </c>
      <c r="BV282" s="83">
        <f t="shared" si="2634"/>
        <v>1.5485229570335315</v>
      </c>
      <c r="BW282" s="83">
        <f t="shared" si="2634"/>
        <v>1.5659215760560712</v>
      </c>
      <c r="BX282" s="83">
        <f t="shared" si="2634"/>
        <v>1.5352455831263974</v>
      </c>
      <c r="BY282" s="83">
        <f t="shared" si="2634"/>
        <v>1.5964482547458667</v>
      </c>
      <c r="BZ282" s="83">
        <f t="shared" si="2634"/>
        <v>1.5581340287580756</v>
      </c>
      <c r="CA282" s="83">
        <f t="shared" si="2634"/>
        <v>1.6487437185929648</v>
      </c>
      <c r="CB282" s="83">
        <f t="shared" si="2634"/>
        <v>1.6077501637256004</v>
      </c>
      <c r="CC282" s="83">
        <f t="shared" si="2634"/>
        <v>1.5866810046854598</v>
      </c>
      <c r="CD282" s="83">
        <f t="shared" si="2634"/>
        <v>1.5425396496355872</v>
      </c>
      <c r="CE282" s="83">
        <f t="shared" si="2634"/>
        <v>1.652479644707624</v>
      </c>
      <c r="CF282" s="83">
        <f t="shared" si="2634"/>
        <v>1.6122549074396109</v>
      </c>
      <c r="CG282" s="83">
        <f t="shared" si="2634"/>
        <v>1.5807910593462824</v>
      </c>
      <c r="CH282" s="83">
        <f t="shared" si="2634"/>
        <v>1.5176515314098966</v>
      </c>
      <c r="CI282" s="83">
        <f t="shared" si="2634"/>
        <v>1.6330813347236708</v>
      </c>
      <c r="CJ282" s="83">
        <f t="shared" si="2634"/>
        <v>1.5995856240648236</v>
      </c>
      <c r="CK282" s="83">
        <f t="shared" si="2634"/>
        <v>1.6569573504884441</v>
      </c>
      <c r="CL282" s="83">
        <f t="shared" ref="CL282" si="2635">(CL197+CL184+CL174+CL176)/CL156</f>
        <v>1.581904654536084</v>
      </c>
      <c r="CM282" s="49">
        <f t="shared" si="2634"/>
        <v>1.5963188168709153</v>
      </c>
      <c r="CN282" s="49">
        <f t="shared" si="2634"/>
        <v>1.6212139463580049</v>
      </c>
      <c r="CO282" s="49">
        <f t="shared" si="2634"/>
        <v>1.6037046135058763</v>
      </c>
      <c r="CP282" s="49">
        <f t="shared" si="2634"/>
        <v>1.5252039508080066</v>
      </c>
      <c r="CQ282" s="49">
        <f t="shared" si="2634"/>
        <v>1.5514101632259958</v>
      </c>
      <c r="CR282" s="49">
        <f t="shared" si="2634"/>
        <v>1.5763204582936887</v>
      </c>
      <c r="CS282" s="49">
        <f t="shared" si="2634"/>
        <v>1.5616114193004473</v>
      </c>
      <c r="CT282" s="49">
        <f t="shared" si="2634"/>
        <v>1.4895334842997634</v>
      </c>
      <c r="CU282" s="49">
        <f t="shared" si="2634"/>
        <v>1.5156404724310406</v>
      </c>
      <c r="CV282" s="49">
        <f t="shared" si="2634"/>
        <v>1.5403174362278951</v>
      </c>
      <c r="CW282" s="49">
        <f t="shared" si="2634"/>
        <v>1.528148855961097</v>
      </c>
      <c r="CX282" s="49">
        <f t="shared" ref="CX282:DA282" si="2636">(CX197+CX184+CX174+CX176)/CX156</f>
        <v>1.4605829341729464</v>
      </c>
      <c r="CY282" s="49">
        <f t="shared" si="2636"/>
        <v>1.4858383041182195</v>
      </c>
      <c r="CZ282" s="49">
        <f t="shared" si="2636"/>
        <v>1.5095433666850475</v>
      </c>
      <c r="DA282" s="49">
        <f t="shared" si="2636"/>
        <v>1.4988783822225007</v>
      </c>
      <c r="DD282" s="137"/>
      <c r="DE282" s="83">
        <v>1.6569573504884441</v>
      </c>
    </row>
    <row r="283" spans="1:109" s="83" customFormat="1" x14ac:dyDescent="0.2">
      <c r="A283" s="153" t="s">
        <v>499</v>
      </c>
      <c r="AB283" s="49"/>
      <c r="AC283" s="49"/>
      <c r="AD283" s="49"/>
      <c r="AE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D283" s="137"/>
    </row>
    <row r="284" spans="1:109" s="87" customFormat="1" x14ac:dyDescent="0.2">
      <c r="A284" s="87" t="s">
        <v>102</v>
      </c>
      <c r="B284" s="87">
        <f t="shared" ref="B284:AE284" si="2637">B197/B156</f>
        <v>0.13290514318061825</v>
      </c>
      <c r="C284" s="87">
        <f t="shared" si="2637"/>
        <v>6.9813344274108943E-2</v>
      </c>
      <c r="D284" s="87">
        <f t="shared" si="2637"/>
        <v>0.20382847592186357</v>
      </c>
      <c r="F284" s="87">
        <f t="shared" si="2637"/>
        <v>0.16978592008242138</v>
      </c>
      <c r="G284" s="87">
        <f t="shared" si="2637"/>
        <v>0.26283544823586691</v>
      </c>
      <c r="H284" s="87">
        <f t="shared" si="2637"/>
        <v>0.30163912573613078</v>
      </c>
      <c r="I284" s="87">
        <f t="shared" si="2637"/>
        <v>0.21609213169267438</v>
      </c>
      <c r="J284" s="87">
        <f t="shared" si="2637"/>
        <v>0.16026186872889742</v>
      </c>
      <c r="K284" s="87">
        <f t="shared" si="2637"/>
        <v>0.27799672378464796</v>
      </c>
      <c r="L284" s="87">
        <f t="shared" si="2637"/>
        <v>0.25681401822222494</v>
      </c>
      <c r="M284" s="87">
        <f t="shared" si="2637"/>
        <v>0.19828951907979506</v>
      </c>
      <c r="N284" s="87">
        <f t="shared" si="2637"/>
        <v>0.2235011456824566</v>
      </c>
      <c r="O284" s="87">
        <f t="shared" si="2637"/>
        <v>0.31276427784247673</v>
      </c>
      <c r="P284" s="87">
        <f t="shared" si="2637"/>
        <v>0.32078661364191058</v>
      </c>
      <c r="Q284" s="87">
        <f t="shared" si="2637"/>
        <v>0.37880652770359263</v>
      </c>
      <c r="R284" s="87">
        <f t="shared" si="2637"/>
        <v>0.30626653962617983</v>
      </c>
      <c r="S284" s="87">
        <f t="shared" si="2637"/>
        <v>0.12847910880761917</v>
      </c>
      <c r="T284" s="87">
        <f t="shared" si="2637"/>
        <v>0.18302664154011011</v>
      </c>
      <c r="U284" s="87">
        <f t="shared" si="2637"/>
        <v>0.35001393804749076</v>
      </c>
      <c r="V284" s="87">
        <f t="shared" si="2637"/>
        <v>0.45288889288112305</v>
      </c>
      <c r="W284" s="87">
        <f t="shared" si="2637"/>
        <v>0.35072880125203049</v>
      </c>
      <c r="X284" s="87">
        <f t="shared" si="2637"/>
        <v>0.2283294083889999</v>
      </c>
      <c r="Y284" s="87">
        <f t="shared" si="2637"/>
        <v>0.21089646050530411</v>
      </c>
      <c r="Z284" s="87">
        <f t="shared" si="2637"/>
        <v>0.21777224223247049</v>
      </c>
      <c r="AA284" s="87">
        <f t="shared" ref="AA284" si="2638">AA197/AA156</f>
        <v>0.16881173551021186</v>
      </c>
      <c r="AB284" s="41">
        <f t="shared" si="2637"/>
        <v>0.25011335785466532</v>
      </c>
      <c r="AC284" s="41">
        <f t="shared" si="2637"/>
        <v>0.31318000589760564</v>
      </c>
      <c r="AD284" s="41">
        <f t="shared" si="2637"/>
        <v>0.36520887988983614</v>
      </c>
      <c r="AE284" s="41">
        <f t="shared" si="2637"/>
        <v>0.41126302755375899</v>
      </c>
      <c r="AL284" s="87">
        <f t="shared" ref="AL284:CW284" si="2639">AL197/AL156</f>
        <v>1</v>
      </c>
      <c r="AM284" s="87">
        <f t="shared" si="2639"/>
        <v>0.2454262955182073</v>
      </c>
      <c r="AN284" s="87">
        <f t="shared" si="2639"/>
        <v>0.28623985855985773</v>
      </c>
      <c r="AO284" s="87">
        <f t="shared" si="2639"/>
        <v>0.31275768411591148</v>
      </c>
      <c r="AP284" s="87">
        <f t="shared" si="2639"/>
        <v>0.34887524049249913</v>
      </c>
      <c r="AQ284" s="87">
        <f t="shared" si="2639"/>
        <v>0.30960605395044227</v>
      </c>
      <c r="AR284" s="87">
        <f t="shared" si="2639"/>
        <v>0.33433530092909935</v>
      </c>
      <c r="AS284" s="87">
        <f t="shared" si="2639"/>
        <v>0.32078315955709491</v>
      </c>
      <c r="AT284" s="87">
        <f t="shared" si="2639"/>
        <v>0.39998540465535198</v>
      </c>
      <c r="AU284" s="87">
        <f t="shared" si="2639"/>
        <v>0.30760461248061005</v>
      </c>
      <c r="AV284" s="87">
        <f t="shared" si="2639"/>
        <v>0.35640171514161217</v>
      </c>
      <c r="AW284" s="87">
        <f t="shared" si="2639"/>
        <v>0.37880069669071914</v>
      </c>
      <c r="AX284" s="87">
        <f t="shared" si="2639"/>
        <v>0.44156471255478991</v>
      </c>
      <c r="AY284" s="87">
        <f t="shared" si="2639"/>
        <v>0.37318691844553908</v>
      </c>
      <c r="AZ284" s="87">
        <f t="shared" si="2639"/>
        <v>0.4544780450713593</v>
      </c>
      <c r="BA284" s="87">
        <f t="shared" si="2639"/>
        <v>0.30627423654871544</v>
      </c>
      <c r="BB284" s="87">
        <f t="shared" si="2639"/>
        <v>0.39720773418410532</v>
      </c>
      <c r="BC284" s="87">
        <f t="shared" si="2639"/>
        <v>0.3005557518712455</v>
      </c>
      <c r="BD284" s="87">
        <f t="shared" si="2639"/>
        <v>0.3518485187018171</v>
      </c>
      <c r="BE284" s="87">
        <f t="shared" si="2639"/>
        <v>0.12851914414414414</v>
      </c>
      <c r="BF284" s="87">
        <f t="shared" si="2639"/>
        <v>0.30198008242412477</v>
      </c>
      <c r="BG284" s="87">
        <f t="shared" si="2639"/>
        <v>0.17096437621105978</v>
      </c>
      <c r="BH284" s="87">
        <f t="shared" si="2639"/>
        <v>0.14430491373415996</v>
      </c>
      <c r="BI284" s="87">
        <f t="shared" si="2639"/>
        <v>0.18302982317234098</v>
      </c>
      <c r="BJ284" s="87">
        <f t="shared" si="2639"/>
        <v>0.28081148691181856</v>
      </c>
      <c r="BK284" s="87">
        <f t="shared" si="2639"/>
        <v>0.26748387096774195</v>
      </c>
      <c r="BL284" s="87">
        <f t="shared" si="2639"/>
        <v>0.20290810815552962</v>
      </c>
      <c r="BM284" s="87">
        <f t="shared" si="2639"/>
        <v>0.35006636901170513</v>
      </c>
      <c r="BN284" s="87">
        <f t="shared" si="2639"/>
        <v>0.46557778679405065</v>
      </c>
      <c r="BO284" s="87">
        <f t="shared" si="2639"/>
        <v>0.3955082742316785</v>
      </c>
      <c r="BP284" s="87">
        <f t="shared" si="2639"/>
        <v>0.18181350403109547</v>
      </c>
      <c r="BQ284" s="87">
        <f t="shared" si="2639"/>
        <v>0.45295306534920282</v>
      </c>
      <c r="BR284" s="87">
        <f t="shared" si="2639"/>
        <v>0.46630424169996049</v>
      </c>
      <c r="BS284" s="87">
        <f t="shared" si="2639"/>
        <v>0.45910261914984973</v>
      </c>
      <c r="BT284" s="87">
        <f t="shared" si="2639"/>
        <v>0.39767620038665374</v>
      </c>
      <c r="BU284" s="87">
        <f t="shared" si="2639"/>
        <v>0.350811238622873</v>
      </c>
      <c r="BV284" s="87">
        <f t="shared" si="2639"/>
        <v>0.40004429528432167</v>
      </c>
      <c r="BW284" s="87">
        <f t="shared" si="2639"/>
        <v>0.29257435120287933</v>
      </c>
      <c r="BX284" s="87">
        <f t="shared" si="2639"/>
        <v>0.33499656310571402</v>
      </c>
      <c r="BY284" s="87">
        <f t="shared" si="2639"/>
        <v>0.22841396203306802</v>
      </c>
      <c r="BZ284" s="87">
        <f t="shared" si="2639"/>
        <v>0.29172274757601674</v>
      </c>
      <c r="CA284" s="87">
        <f t="shared" si="2639"/>
        <v>0.20686767169179229</v>
      </c>
      <c r="CB284" s="87">
        <f t="shared" si="2639"/>
        <v>0.26555413596824379</v>
      </c>
      <c r="CC284" s="87">
        <f t="shared" si="2639"/>
        <v>0.21084568707273987</v>
      </c>
      <c r="CD284" s="87">
        <f t="shared" si="2639"/>
        <v>0.29391643514321969</v>
      </c>
      <c r="CE284" s="87">
        <f t="shared" si="2639"/>
        <v>0.27675795706883788</v>
      </c>
      <c r="CF284" s="87">
        <f t="shared" si="2639"/>
        <v>0.33418315409900584</v>
      </c>
      <c r="CG284" s="87">
        <f t="shared" si="2639"/>
        <v>0.21777224223247049</v>
      </c>
      <c r="CH284" s="87">
        <f t="shared" si="2639"/>
        <v>0.35212158932108972</v>
      </c>
      <c r="CI284" s="87">
        <f t="shared" si="2639"/>
        <v>0.20639989572471326</v>
      </c>
      <c r="CJ284" s="87">
        <f t="shared" si="2639"/>
        <v>0.25586603496468524</v>
      </c>
      <c r="CK284" s="87">
        <f t="shared" si="2639"/>
        <v>0.16881105551584463</v>
      </c>
      <c r="CL284" s="87">
        <f t="shared" ref="CL284" si="2640">CL197/CL156</f>
        <v>0.35267389569583202</v>
      </c>
      <c r="CM284" s="41">
        <f t="shared" si="2639"/>
        <v>0.23263119579274677</v>
      </c>
      <c r="CN284" s="41">
        <f t="shared" si="2639"/>
        <v>0.22434246325956111</v>
      </c>
      <c r="CO284" s="41">
        <f t="shared" si="2639"/>
        <v>0.25011335785466532</v>
      </c>
      <c r="CP284" s="41">
        <f t="shared" si="2639"/>
        <v>0.30801507332215172</v>
      </c>
      <c r="CQ284" s="41">
        <f t="shared" si="2639"/>
        <v>0.30065676987890988</v>
      </c>
      <c r="CR284" s="41">
        <f t="shared" si="2639"/>
        <v>0.2911188651748195</v>
      </c>
      <c r="CS284" s="41">
        <f t="shared" si="2639"/>
        <v>0.31318000589760564</v>
      </c>
      <c r="CT284" s="41">
        <f t="shared" si="2639"/>
        <v>0.3661856131446416</v>
      </c>
      <c r="CU284" s="41">
        <f t="shared" si="2639"/>
        <v>0.35720994862305011</v>
      </c>
      <c r="CV284" s="41">
        <f t="shared" si="2639"/>
        <v>0.34665721122730947</v>
      </c>
      <c r="CW284" s="41">
        <f t="shared" si="2639"/>
        <v>0.36520887988983614</v>
      </c>
      <c r="CX284" s="41">
        <f t="shared" ref="CX284:DA284" si="2641">CX197/CX156</f>
        <v>0.41493190634366439</v>
      </c>
      <c r="CY284" s="41">
        <f t="shared" si="2641"/>
        <v>0.40549550454974342</v>
      </c>
      <c r="CZ284" s="41">
        <f t="shared" si="2641"/>
        <v>0.39495048687451256</v>
      </c>
      <c r="DA284" s="41">
        <f t="shared" si="2641"/>
        <v>0.41126302755375899</v>
      </c>
      <c r="DD284" s="124"/>
      <c r="DE284" s="87">
        <v>0.16881105551584463</v>
      </c>
    </row>
    <row r="285" spans="1:109" s="88" customFormat="1" x14ac:dyDescent="0.2">
      <c r="A285" s="88" t="s">
        <v>103</v>
      </c>
      <c r="C285" s="88">
        <f t="shared" ref="C285:AE285" si="2642">C164/B164-1</f>
        <v>0.11828267513777591</v>
      </c>
      <c r="D285" s="88">
        <f t="shared" si="2642"/>
        <v>-0.38870190238443669</v>
      </c>
      <c r="F285" s="88">
        <f t="shared" si="2642"/>
        <v>-0.39757268604961327</v>
      </c>
      <c r="G285" s="88">
        <f t="shared" si="2642"/>
        <v>0.4718514370547866</v>
      </c>
      <c r="H285" s="88">
        <f t="shared" si="2642"/>
        <v>-3.1091291960857359E-2</v>
      </c>
      <c r="I285" s="88">
        <f t="shared" si="2642"/>
        <v>1.2931931913650145</v>
      </c>
      <c r="J285" s="88">
        <f t="shared" si="2642"/>
        <v>0.2469984828151941</v>
      </c>
      <c r="K285" s="88">
        <f>K164/J164-1</f>
        <v>-0.75967108414497841</v>
      </c>
      <c r="L285" s="88">
        <f t="shared" si="2642"/>
        <v>0.82400775986925145</v>
      </c>
      <c r="M285" s="88">
        <f t="shared" si="2642"/>
        <v>3.602143174549985</v>
      </c>
      <c r="N285" s="88">
        <f t="shared" si="2642"/>
        <v>-0.73321725366046697</v>
      </c>
      <c r="O285" s="88">
        <f t="shared" si="2642"/>
        <v>-0.81102408923697644</v>
      </c>
      <c r="P285" s="88">
        <f t="shared" si="2642"/>
        <v>6.6543171114599691</v>
      </c>
      <c r="Q285" s="88">
        <f t="shared" si="2642"/>
        <v>-0.94679847409655848</v>
      </c>
      <c r="R285" s="88">
        <f t="shared" si="2642"/>
        <v>4.3870470316114112</v>
      </c>
      <c r="S285" s="88">
        <f t="shared" si="2642"/>
        <v>0.80821525690568197</v>
      </c>
      <c r="T285" s="88">
        <f t="shared" si="2642"/>
        <v>2.4372328637011238</v>
      </c>
      <c r="U285" s="88">
        <f t="shared" si="2642"/>
        <v>0.3816607562289871</v>
      </c>
      <c r="V285" s="88">
        <f t="shared" si="2642"/>
        <v>0</v>
      </c>
      <c r="W285" s="88">
        <f t="shared" si="2642"/>
        <v>-1</v>
      </c>
      <c r="X285" s="88" t="e">
        <f t="shared" si="2642"/>
        <v>#DIV/0!</v>
      </c>
      <c r="Y285" s="88" t="e">
        <f t="shared" si="2642"/>
        <v>#DIV/0!</v>
      </c>
      <c r="Z285" s="88" t="e">
        <f t="shared" si="2642"/>
        <v>#DIV/0!</v>
      </c>
      <c r="AA285" s="88" t="e">
        <f t="shared" si="2642"/>
        <v>#DIV/0!</v>
      </c>
      <c r="AB285" s="46" t="e">
        <f t="shared" si="2642"/>
        <v>#DIV/0!</v>
      </c>
      <c r="AC285" s="46" t="e">
        <f t="shared" si="2642"/>
        <v>#DIV/0!</v>
      </c>
      <c r="AD285" s="46" t="e">
        <f t="shared" si="2642"/>
        <v>#DIV/0!</v>
      </c>
      <c r="AE285" s="46" t="e">
        <f t="shared" si="2642"/>
        <v>#DIV/0!</v>
      </c>
      <c r="AL285" s="88" t="e">
        <f t="shared" ref="AL285:CW285" si="2643">AL164/AK164-1</f>
        <v>#DIV/0!</v>
      </c>
      <c r="AM285" s="88" t="e">
        <f t="shared" si="2643"/>
        <v>#DIV/0!</v>
      </c>
      <c r="AN285" s="88">
        <f t="shared" si="2643"/>
        <v>0</v>
      </c>
      <c r="AO285" s="88">
        <f t="shared" si="2643"/>
        <v>-0.9004694835680751</v>
      </c>
      <c r="AP285" s="88">
        <f t="shared" si="2643"/>
        <v>0</v>
      </c>
      <c r="AQ285" s="88">
        <f t="shared" si="2643"/>
        <v>4.3742138364779874</v>
      </c>
      <c r="AR285" s="88">
        <f t="shared" si="2643"/>
        <v>0</v>
      </c>
      <c r="AS285" s="88">
        <f t="shared" si="2643"/>
        <v>0.42656524283206543</v>
      </c>
      <c r="AT285" s="88">
        <f t="shared" si="2643"/>
        <v>0</v>
      </c>
      <c r="AU285" s="88">
        <f t="shared" si="2643"/>
        <v>-0.71123872026251023</v>
      </c>
      <c r="AV285" s="88">
        <f t="shared" si="2643"/>
        <v>0</v>
      </c>
      <c r="AW285" s="88">
        <f t="shared" si="2643"/>
        <v>-0.81534090909090906</v>
      </c>
      <c r="AX285" s="88">
        <f t="shared" si="2643"/>
        <v>0</v>
      </c>
      <c r="AY285" s="88">
        <f t="shared" si="2643"/>
        <v>1.069230769230769</v>
      </c>
      <c r="AZ285" s="88">
        <f t="shared" si="2643"/>
        <v>0</v>
      </c>
      <c r="BA285" s="88">
        <f t="shared" si="2643"/>
        <v>1.5985130111524164</v>
      </c>
      <c r="BB285" s="88">
        <f t="shared" si="2643"/>
        <v>0</v>
      </c>
      <c r="BC285" s="88">
        <f t="shared" si="2643"/>
        <v>14.187410586552216</v>
      </c>
      <c r="BD285" s="88">
        <f t="shared" si="2643"/>
        <v>0</v>
      </c>
      <c r="BE285" s="88">
        <f t="shared" si="2643"/>
        <v>-0.8813112283345893</v>
      </c>
      <c r="BF285" s="88">
        <f t="shared" si="2643"/>
        <v>0</v>
      </c>
      <c r="BG285" s="88">
        <f t="shared" si="2643"/>
        <v>1.1190476190476191</v>
      </c>
      <c r="BH285" s="88">
        <f t="shared" si="2643"/>
        <v>0</v>
      </c>
      <c r="BI285" s="88">
        <f t="shared" si="2643"/>
        <v>0.62546816479400746</v>
      </c>
      <c r="BJ285" s="88">
        <f t="shared" si="2643"/>
        <v>0</v>
      </c>
      <c r="BK285" s="88">
        <f t="shared" si="2643"/>
        <v>0.10829493087557607</v>
      </c>
      <c r="BL285" s="88">
        <f t="shared" si="2643"/>
        <v>0</v>
      </c>
      <c r="BM285" s="88">
        <f t="shared" si="2643"/>
        <v>0.24740124740124747</v>
      </c>
      <c r="BN285" s="88">
        <f t="shared" si="2643"/>
        <v>0</v>
      </c>
      <c r="BO285" s="88">
        <f t="shared" si="2643"/>
        <v>3.3333333333334103E-3</v>
      </c>
      <c r="BP285" s="88">
        <f t="shared" si="2643"/>
        <v>0</v>
      </c>
      <c r="BQ285" s="88">
        <f t="shared" si="2643"/>
        <v>-3.3222591362126463E-3</v>
      </c>
      <c r="BR285" s="88">
        <f t="shared" si="2643"/>
        <v>0</v>
      </c>
      <c r="BS285" s="88">
        <f t="shared" si="2643"/>
        <v>0.12833333333333341</v>
      </c>
      <c r="BT285" s="88">
        <f t="shared" si="2643"/>
        <v>0</v>
      </c>
      <c r="BU285" s="88">
        <f t="shared" si="2643"/>
        <v>-1</v>
      </c>
      <c r="BV285" s="88" t="e">
        <f t="shared" si="2643"/>
        <v>#DIV/0!</v>
      </c>
      <c r="BW285" s="88" t="e">
        <f t="shared" si="2643"/>
        <v>#DIV/0!</v>
      </c>
      <c r="BX285" s="88">
        <f t="shared" si="2643"/>
        <v>0</v>
      </c>
      <c r="BY285" s="88">
        <f t="shared" si="2643"/>
        <v>-1</v>
      </c>
      <c r="BZ285" s="88" t="e">
        <f t="shared" si="2643"/>
        <v>#DIV/0!</v>
      </c>
      <c r="CA285" s="88" t="e">
        <f t="shared" si="2643"/>
        <v>#DIV/0!</v>
      </c>
      <c r="CB285" s="88" t="e">
        <f t="shared" si="2643"/>
        <v>#DIV/0!</v>
      </c>
      <c r="CC285" s="88" t="e">
        <f t="shared" si="2643"/>
        <v>#DIV/0!</v>
      </c>
      <c r="CD285" s="88" t="e">
        <f t="shared" si="2643"/>
        <v>#DIV/0!</v>
      </c>
      <c r="CE285" s="88" t="e">
        <f t="shared" si="2643"/>
        <v>#DIV/0!</v>
      </c>
      <c r="CF285" s="88" t="e">
        <f t="shared" si="2643"/>
        <v>#DIV/0!</v>
      </c>
      <c r="CG285" s="88" t="e">
        <f t="shared" si="2643"/>
        <v>#DIV/0!</v>
      </c>
      <c r="CH285" s="88" t="e">
        <f t="shared" si="2643"/>
        <v>#DIV/0!</v>
      </c>
      <c r="CI285" s="88" t="e">
        <f t="shared" si="2643"/>
        <v>#DIV/0!</v>
      </c>
      <c r="CJ285" s="88" t="e">
        <f t="shared" si="2643"/>
        <v>#DIV/0!</v>
      </c>
      <c r="CK285" s="88" t="e">
        <f t="shared" si="2643"/>
        <v>#DIV/0!</v>
      </c>
      <c r="CL285" s="88" t="e">
        <f t="shared" si="2643"/>
        <v>#DIV/0!</v>
      </c>
      <c r="CM285" s="46" t="e">
        <f t="shared" si="2643"/>
        <v>#DIV/0!</v>
      </c>
      <c r="CN285" s="46" t="e">
        <f t="shared" si="2643"/>
        <v>#DIV/0!</v>
      </c>
      <c r="CO285" s="46" t="e">
        <f t="shared" si="2643"/>
        <v>#DIV/0!</v>
      </c>
      <c r="CP285" s="46" t="e">
        <f t="shared" si="2643"/>
        <v>#DIV/0!</v>
      </c>
      <c r="CQ285" s="46" t="e">
        <f t="shared" si="2643"/>
        <v>#DIV/0!</v>
      </c>
      <c r="CR285" s="46" t="e">
        <f t="shared" si="2643"/>
        <v>#DIV/0!</v>
      </c>
      <c r="CS285" s="46" t="e">
        <f t="shared" si="2643"/>
        <v>#DIV/0!</v>
      </c>
      <c r="CT285" s="46" t="e">
        <f t="shared" si="2643"/>
        <v>#DIV/0!</v>
      </c>
      <c r="CU285" s="46" t="e">
        <f t="shared" si="2643"/>
        <v>#DIV/0!</v>
      </c>
      <c r="CV285" s="46" t="e">
        <f t="shared" si="2643"/>
        <v>#DIV/0!</v>
      </c>
      <c r="CW285" s="46" t="e">
        <f t="shared" si="2643"/>
        <v>#DIV/0!</v>
      </c>
      <c r="CX285" s="46" t="e">
        <f t="shared" ref="CX285:DA285" si="2644">CX164/CW164-1</f>
        <v>#DIV/0!</v>
      </c>
      <c r="CY285" s="46" t="e">
        <f t="shared" si="2644"/>
        <v>#DIV/0!</v>
      </c>
      <c r="CZ285" s="46" t="e">
        <f t="shared" si="2644"/>
        <v>#DIV/0!</v>
      </c>
      <c r="DA285" s="46" t="e">
        <f t="shared" si="2644"/>
        <v>#DIV/0!</v>
      </c>
      <c r="DD285" s="129"/>
    </row>
    <row r="286" spans="1:109" s="88" customFormat="1" x14ac:dyDescent="0.2">
      <c r="A286" s="88" t="s">
        <v>104</v>
      </c>
      <c r="C286" s="88">
        <f>C64/B64-1</f>
        <v>2.8196247687835605</v>
      </c>
      <c r="D286" s="88">
        <f>D64/C64-1</f>
        <v>0.2449578223511546</v>
      </c>
      <c r="F286" s="88">
        <f t="shared" ref="F286:AE286" si="2645">F64/E64-1</f>
        <v>0.65753470468826669</v>
      </c>
      <c r="G286" s="88">
        <f t="shared" si="2645"/>
        <v>0.31287564991596839</v>
      </c>
      <c r="H286" s="88">
        <f t="shared" si="2645"/>
        <v>0.28286577072912156</v>
      </c>
      <c r="I286" s="88">
        <f t="shared" si="2645"/>
        <v>-0.18320156208821503</v>
      </c>
      <c r="J286" s="88">
        <f t="shared" si="2645"/>
        <v>0.54334330135646214</v>
      </c>
      <c r="K286" s="88">
        <f t="shared" si="2645"/>
        <v>7.2433014926963191E-2</v>
      </c>
      <c r="L286" s="88">
        <f t="shared" si="2645"/>
        <v>-0.30905403142270582</v>
      </c>
      <c r="M286" s="88">
        <f t="shared" si="2645"/>
        <v>-0.11069360640705939</v>
      </c>
      <c r="N286" s="88">
        <f t="shared" si="2645"/>
        <v>0.33543874828754827</v>
      </c>
      <c r="O286" s="88">
        <f t="shared" si="2645"/>
        <v>0.10103017083126287</v>
      </c>
      <c r="P286" s="88">
        <f t="shared" si="2645"/>
        <v>-8.2089405857072029E-3</v>
      </c>
      <c r="Q286" s="88">
        <f t="shared" si="2645"/>
        <v>4.7485784919653051E-2</v>
      </c>
      <c r="R286" s="88">
        <f t="shared" si="2645"/>
        <v>1.5387955856398516E-3</v>
      </c>
      <c r="S286" s="88">
        <f t="shared" si="2645"/>
        <v>1.3243472523329025E-2</v>
      </c>
      <c r="T286" s="88">
        <f t="shared" si="2645"/>
        <v>0.19391599609284227</v>
      </c>
      <c r="U286" s="88">
        <f t="shared" si="2645"/>
        <v>0.18228143992519641</v>
      </c>
      <c r="V286" s="88">
        <f t="shared" si="2645"/>
        <v>0.10582334875505928</v>
      </c>
      <c r="W286" s="88">
        <f t="shared" si="2645"/>
        <v>0.2483804256485751</v>
      </c>
      <c r="X286" s="88">
        <f t="shared" si="2645"/>
        <v>0.17750767423985647</v>
      </c>
      <c r="Y286" s="88">
        <f t="shared" si="2645"/>
        <v>0.19023389513032618</v>
      </c>
      <c r="Z286" s="88">
        <f t="shared" si="2645"/>
        <v>0.14975644650339182</v>
      </c>
      <c r="AA286" s="88">
        <f t="shared" si="2645"/>
        <v>0.10683664460469022</v>
      </c>
      <c r="AB286" s="46">
        <f t="shared" si="2645"/>
        <v>8.444648336805427E-2</v>
      </c>
      <c r="AC286" s="46">
        <f t="shared" si="2645"/>
        <v>0.12195915733476714</v>
      </c>
      <c r="AD286" s="46">
        <f t="shared" si="2645"/>
        <v>9.9443396468791967E-2</v>
      </c>
      <c r="AE286" s="46">
        <f t="shared" si="2645"/>
        <v>9.9777243730748477E-2</v>
      </c>
      <c r="AL286" s="88">
        <f t="shared" ref="AL286:CW286" si="2646">AL64/AK64-1</f>
        <v>-0.27382146439317945</v>
      </c>
      <c r="AM286" s="88">
        <f t="shared" si="2646"/>
        <v>0.2398710865561684</v>
      </c>
      <c r="AN286" s="88">
        <f t="shared" si="2646"/>
        <v>0.12142591904938893</v>
      </c>
      <c r="AO286" s="88">
        <f t="shared" si="2646"/>
        <v>-0.28079470198675538</v>
      </c>
      <c r="AP286" s="88">
        <f t="shared" si="2646"/>
        <v>0.15699815837937425</v>
      </c>
      <c r="AQ286" s="88">
        <f t="shared" si="2646"/>
        <v>0.16752884998010309</v>
      </c>
      <c r="AR286" s="88">
        <f t="shared" si="2646"/>
        <v>-7.8732106339467922E-2</v>
      </c>
      <c r="AS286" s="88">
        <f t="shared" si="2646"/>
        <v>-0.34147243803181693</v>
      </c>
      <c r="AT286" s="88">
        <f t="shared" si="2646"/>
        <v>-0.31629213483146201</v>
      </c>
      <c r="AU286" s="88">
        <f t="shared" si="2646"/>
        <v>0.79375513557929489</v>
      </c>
      <c r="AV286" s="88">
        <f t="shared" si="2646"/>
        <v>0.3348602840128283</v>
      </c>
      <c r="AW286" s="88">
        <f t="shared" si="2646"/>
        <v>0.40631434454358129</v>
      </c>
      <c r="AX286" s="88">
        <f t="shared" si="2646"/>
        <v>-0.34968277208394261</v>
      </c>
      <c r="AY286" s="88">
        <f t="shared" si="2646"/>
        <v>-1.8761726078798668E-3</v>
      </c>
      <c r="AZ286" s="88">
        <f t="shared" si="2646"/>
        <v>-0.4575187969924811</v>
      </c>
      <c r="BA286" s="88">
        <f t="shared" si="2646"/>
        <v>1.6063756063756052</v>
      </c>
      <c r="BB286" s="88">
        <f t="shared" si="2646"/>
        <v>-0.45759106620579615</v>
      </c>
      <c r="BC286" s="88">
        <f t="shared" si="2646"/>
        <v>0.16666666666666541</v>
      </c>
      <c r="BD286" s="88">
        <f t="shared" si="2646"/>
        <v>-0.1134453781512601</v>
      </c>
      <c r="BE286" s="88">
        <f t="shared" si="2646"/>
        <v>1.0047393364928903</v>
      </c>
      <c r="BF286" s="88">
        <f t="shared" si="2646"/>
        <v>-0.5319148936170206</v>
      </c>
      <c r="BG286" s="88">
        <f t="shared" si="2646"/>
        <v>0.44444444444444264</v>
      </c>
      <c r="BH286" s="88">
        <f t="shared" si="2646"/>
        <v>0.12237762237762295</v>
      </c>
      <c r="BI286" s="88">
        <f t="shared" si="2646"/>
        <v>0.49221183800623147</v>
      </c>
      <c r="BJ286" s="88">
        <f t="shared" si="2646"/>
        <v>-0.33611691022964629</v>
      </c>
      <c r="BK286" s="88">
        <f t="shared" si="2646"/>
        <v>9.4339622641521625E-3</v>
      </c>
      <c r="BL286" s="88">
        <f t="shared" si="2646"/>
        <v>0.20560747663551471</v>
      </c>
      <c r="BM286" s="88">
        <f t="shared" si="2646"/>
        <v>0.23255813953488325</v>
      </c>
      <c r="BN286" s="88">
        <f t="shared" si="2646"/>
        <v>-0.62264150943396201</v>
      </c>
      <c r="BO286" s="88">
        <f t="shared" si="2646"/>
        <v>-0.24444444444444458</v>
      </c>
      <c r="BP286" s="88">
        <f t="shared" si="2646"/>
        <v>3.4779411764705852</v>
      </c>
      <c r="BQ286" s="88">
        <f t="shared" si="2646"/>
        <v>0.23645320197044351</v>
      </c>
      <c r="BR286" s="88">
        <f t="shared" si="2646"/>
        <v>-0.17662682602921642</v>
      </c>
      <c r="BS286" s="88">
        <f t="shared" si="2646"/>
        <v>-0.36612903225806415</v>
      </c>
      <c r="BT286" s="88">
        <f t="shared" si="2646"/>
        <v>0.31552162849872811</v>
      </c>
      <c r="BU286" s="88">
        <f t="shared" si="2646"/>
        <v>9.0909090909090606E-2</v>
      </c>
      <c r="BV286" s="88">
        <f t="shared" si="2646"/>
        <v>-3.0141843971631999E-2</v>
      </c>
      <c r="BW286" s="88">
        <f t="shared" si="2646"/>
        <v>0.11700182815356452</v>
      </c>
      <c r="BX286" s="88">
        <f t="shared" si="2646"/>
        <v>-0.11456628477904984</v>
      </c>
      <c r="BY286" s="88">
        <f t="shared" si="2646"/>
        <v>0.41959334565619133</v>
      </c>
      <c r="BZ286" s="88">
        <f t="shared" si="2646"/>
        <v>-0.25520833333333337</v>
      </c>
      <c r="CA286" s="88">
        <f t="shared" si="2646"/>
        <v>0.48951048951048959</v>
      </c>
      <c r="CB286" s="88">
        <f t="shared" si="2646"/>
        <v>-0.17488262910798036</v>
      </c>
      <c r="CC286" s="88">
        <f t="shared" si="2646"/>
        <v>0.15078236130867606</v>
      </c>
      <c r="CD286" s="88">
        <f t="shared" si="2646"/>
        <v>-0.24721878862793534</v>
      </c>
      <c r="CE286" s="88">
        <f t="shared" si="2646"/>
        <v>0.48768472906403804</v>
      </c>
      <c r="CF286" s="88">
        <f t="shared" si="2646"/>
        <v>-3.3112582781457012E-2</v>
      </c>
      <c r="CG286" s="88">
        <f t="shared" si="2646"/>
        <v>0.12328767123287698</v>
      </c>
      <c r="CH286" s="88">
        <f t="shared" si="2646"/>
        <v>-0.31199186991869854</v>
      </c>
      <c r="CI286" s="88">
        <f t="shared" si="2646"/>
        <v>0.35007385524372236</v>
      </c>
      <c r="CJ286" s="88">
        <f t="shared" si="2646"/>
        <v>-7.2210065645514132E-2</v>
      </c>
      <c r="CK286" s="88">
        <f t="shared" si="2646"/>
        <v>0.5283018867924516</v>
      </c>
      <c r="CL286" s="88">
        <f t="shared" si="2646"/>
        <v>-0.60802469135802495</v>
      </c>
      <c r="CM286" s="46">
        <f t="shared" si="2646"/>
        <v>1.2575379622853875</v>
      </c>
      <c r="CN286" s="46">
        <f t="shared" si="2646"/>
        <v>-0.1438419783982311</v>
      </c>
      <c r="CO286" s="46">
        <f t="shared" si="2646"/>
        <v>0.44086860140399775</v>
      </c>
      <c r="CP286" s="46">
        <f t="shared" si="2646"/>
        <v>-0.5272755923496566</v>
      </c>
      <c r="CQ286" s="46">
        <f t="shared" si="2646"/>
        <v>0.88747197854380122</v>
      </c>
      <c r="CR286" s="46">
        <f t="shared" si="2646"/>
        <v>-0.16235100487758503</v>
      </c>
      <c r="CS286" s="46">
        <f t="shared" si="2646"/>
        <v>0.47259886872943135</v>
      </c>
      <c r="CT286" s="46">
        <f t="shared" si="2646"/>
        <v>-0.52541583967260763</v>
      </c>
      <c r="CU286" s="46">
        <f t="shared" si="2646"/>
        <v>0.87574195305496771</v>
      </c>
      <c r="CV286" s="46">
        <f t="shared" si="2646"/>
        <v>-0.16374095321433346</v>
      </c>
      <c r="CW286" s="46">
        <f t="shared" si="2646"/>
        <v>0.47810423212313369</v>
      </c>
      <c r="CX286" s="46">
        <f t="shared" ref="CX286:DA286" si="2647">CX64/CW64-1</f>
        <v>-0.52538778121959973</v>
      </c>
      <c r="CY286" s="46">
        <f t="shared" si="2647"/>
        <v>0.87391509912723842</v>
      </c>
      <c r="CZ286" s="46">
        <f t="shared" si="2647"/>
        <v>-0.16365402730310041</v>
      </c>
      <c r="DA286" s="46">
        <f t="shared" si="2647"/>
        <v>0.47891318957675089</v>
      </c>
      <c r="DD286" s="129"/>
      <c r="DE286" s="88">
        <v>0.10655519147700399</v>
      </c>
    </row>
    <row r="287" spans="1:109" s="102" customFormat="1" x14ac:dyDescent="0.2">
      <c r="A287" s="146" t="s">
        <v>105</v>
      </c>
      <c r="C287" s="102">
        <f>IF(C285&gt;C286,"RF",0)</f>
        <v>0</v>
      </c>
      <c r="D287" s="102">
        <f t="shared" ref="D287:U287" si="2648">IF(D285&gt;D286,"RF",0)</f>
        <v>0</v>
      </c>
      <c r="F287" s="102">
        <f t="shared" si="2648"/>
        <v>0</v>
      </c>
      <c r="G287" s="102" t="str">
        <f t="shared" si="2648"/>
        <v>RF</v>
      </c>
      <c r="H287" s="102">
        <f t="shared" si="2648"/>
        <v>0</v>
      </c>
      <c r="I287" s="102" t="str">
        <f t="shared" si="2648"/>
        <v>RF</v>
      </c>
      <c r="J287" s="102">
        <f t="shared" si="2648"/>
        <v>0</v>
      </c>
      <c r="K287" s="102">
        <f t="shared" si="2648"/>
        <v>0</v>
      </c>
      <c r="L287" s="102" t="str">
        <f t="shared" si="2648"/>
        <v>RF</v>
      </c>
      <c r="M287" s="102" t="str">
        <f t="shared" si="2648"/>
        <v>RF</v>
      </c>
      <c r="N287" s="102">
        <f t="shared" si="2648"/>
        <v>0</v>
      </c>
      <c r="O287" s="102">
        <f t="shared" si="2648"/>
        <v>0</v>
      </c>
      <c r="P287" s="102" t="str">
        <f t="shared" si="2648"/>
        <v>RF</v>
      </c>
      <c r="Q287" s="102">
        <f t="shared" si="2648"/>
        <v>0</v>
      </c>
      <c r="R287" s="102" t="str">
        <f t="shared" si="2648"/>
        <v>RF</v>
      </c>
      <c r="S287" s="102" t="str">
        <f t="shared" si="2648"/>
        <v>RF</v>
      </c>
      <c r="T287" s="102" t="str">
        <f t="shared" si="2648"/>
        <v>RF</v>
      </c>
      <c r="U287" s="102" t="str">
        <f t="shared" si="2648"/>
        <v>RF</v>
      </c>
      <c r="V287" s="102">
        <f>IF(V285&gt;V286,"RF",0)</f>
        <v>0</v>
      </c>
      <c r="W287" s="102">
        <f t="shared" ref="W287:AE287" si="2649">IF(W285&gt;W286,"RF",0)</f>
        <v>0</v>
      </c>
      <c r="X287" s="102" t="e">
        <f t="shared" si="2649"/>
        <v>#DIV/0!</v>
      </c>
      <c r="Y287" s="102" t="e">
        <f t="shared" si="2649"/>
        <v>#DIV/0!</v>
      </c>
      <c r="Z287" s="102" t="e">
        <f t="shared" si="2649"/>
        <v>#DIV/0!</v>
      </c>
      <c r="AA287" s="102" t="e">
        <f t="shared" ref="AA287" si="2650">IF(AA285&gt;AA286,"RF",0)</f>
        <v>#DIV/0!</v>
      </c>
      <c r="AB287" s="72" t="e">
        <f t="shared" si="2649"/>
        <v>#DIV/0!</v>
      </c>
      <c r="AC287" s="72" t="e">
        <f t="shared" si="2649"/>
        <v>#DIV/0!</v>
      </c>
      <c r="AD287" s="72" t="e">
        <f t="shared" si="2649"/>
        <v>#DIV/0!</v>
      </c>
      <c r="AE287" s="72" t="e">
        <f t="shared" si="2649"/>
        <v>#DIV/0!</v>
      </c>
      <c r="AL287" s="102" t="e">
        <f t="shared" ref="AL287:CW287" si="2651">IF(AL285&gt;AL286,"RF",0)</f>
        <v>#DIV/0!</v>
      </c>
      <c r="AM287" s="102" t="e">
        <f t="shared" si="2651"/>
        <v>#DIV/0!</v>
      </c>
      <c r="AN287" s="102">
        <f t="shared" si="2651"/>
        <v>0</v>
      </c>
      <c r="AO287" s="102">
        <f t="shared" si="2651"/>
        <v>0</v>
      </c>
      <c r="AP287" s="102">
        <f t="shared" si="2651"/>
        <v>0</v>
      </c>
      <c r="AQ287" s="102" t="str">
        <f t="shared" si="2651"/>
        <v>RF</v>
      </c>
      <c r="AR287" s="102" t="str">
        <f t="shared" si="2651"/>
        <v>RF</v>
      </c>
      <c r="AS287" s="102" t="str">
        <f t="shared" si="2651"/>
        <v>RF</v>
      </c>
      <c r="AT287" s="102" t="str">
        <f t="shared" si="2651"/>
        <v>RF</v>
      </c>
      <c r="AU287" s="102">
        <f t="shared" si="2651"/>
        <v>0</v>
      </c>
      <c r="AV287" s="102">
        <f t="shared" si="2651"/>
        <v>0</v>
      </c>
      <c r="AW287" s="102">
        <f t="shared" si="2651"/>
        <v>0</v>
      </c>
      <c r="AX287" s="102" t="str">
        <f t="shared" si="2651"/>
        <v>RF</v>
      </c>
      <c r="AY287" s="102" t="str">
        <f t="shared" si="2651"/>
        <v>RF</v>
      </c>
      <c r="AZ287" s="102" t="str">
        <f t="shared" si="2651"/>
        <v>RF</v>
      </c>
      <c r="BA287" s="102">
        <f t="shared" si="2651"/>
        <v>0</v>
      </c>
      <c r="BB287" s="102" t="str">
        <f t="shared" si="2651"/>
        <v>RF</v>
      </c>
      <c r="BC287" s="102" t="str">
        <f t="shared" si="2651"/>
        <v>RF</v>
      </c>
      <c r="BD287" s="102" t="str">
        <f t="shared" si="2651"/>
        <v>RF</v>
      </c>
      <c r="BE287" s="102">
        <f t="shared" si="2651"/>
        <v>0</v>
      </c>
      <c r="BF287" s="102" t="str">
        <f t="shared" si="2651"/>
        <v>RF</v>
      </c>
      <c r="BG287" s="102" t="str">
        <f t="shared" si="2651"/>
        <v>RF</v>
      </c>
      <c r="BH287" s="102">
        <f t="shared" si="2651"/>
        <v>0</v>
      </c>
      <c r="BI287" s="102" t="str">
        <f t="shared" si="2651"/>
        <v>RF</v>
      </c>
      <c r="BJ287" s="102" t="str">
        <f t="shared" si="2651"/>
        <v>RF</v>
      </c>
      <c r="BK287" s="102" t="str">
        <f t="shared" si="2651"/>
        <v>RF</v>
      </c>
      <c r="BL287" s="102">
        <f t="shared" si="2651"/>
        <v>0</v>
      </c>
      <c r="BM287" s="102" t="str">
        <f t="shared" si="2651"/>
        <v>RF</v>
      </c>
      <c r="BN287" s="102" t="str">
        <f t="shared" si="2651"/>
        <v>RF</v>
      </c>
      <c r="BO287" s="102" t="str">
        <f t="shared" si="2651"/>
        <v>RF</v>
      </c>
      <c r="BP287" s="102">
        <f t="shared" si="2651"/>
        <v>0</v>
      </c>
      <c r="BQ287" s="102">
        <f t="shared" si="2651"/>
        <v>0</v>
      </c>
      <c r="BR287" s="102" t="str">
        <f t="shared" si="2651"/>
        <v>RF</v>
      </c>
      <c r="BS287" s="102" t="str">
        <f t="shared" si="2651"/>
        <v>RF</v>
      </c>
      <c r="BT287" s="102">
        <f t="shared" si="2651"/>
        <v>0</v>
      </c>
      <c r="BU287" s="102">
        <f t="shared" si="2651"/>
        <v>0</v>
      </c>
      <c r="BV287" s="102" t="e">
        <f t="shared" si="2651"/>
        <v>#DIV/0!</v>
      </c>
      <c r="BW287" s="102" t="e">
        <f t="shared" si="2651"/>
        <v>#DIV/0!</v>
      </c>
      <c r="BX287" s="102" t="str">
        <f t="shared" si="2651"/>
        <v>RF</v>
      </c>
      <c r="BY287" s="102">
        <f t="shared" si="2651"/>
        <v>0</v>
      </c>
      <c r="BZ287" s="102" t="e">
        <f t="shared" si="2651"/>
        <v>#DIV/0!</v>
      </c>
      <c r="CA287" s="102" t="e">
        <f t="shared" si="2651"/>
        <v>#DIV/0!</v>
      </c>
      <c r="CB287" s="102" t="e">
        <f t="shared" si="2651"/>
        <v>#DIV/0!</v>
      </c>
      <c r="CC287" s="102" t="e">
        <f t="shared" si="2651"/>
        <v>#DIV/0!</v>
      </c>
      <c r="CD287" s="102" t="e">
        <f t="shared" si="2651"/>
        <v>#DIV/0!</v>
      </c>
      <c r="CE287" s="102" t="e">
        <f t="shared" si="2651"/>
        <v>#DIV/0!</v>
      </c>
      <c r="CF287" s="102" t="e">
        <f t="shared" si="2651"/>
        <v>#DIV/0!</v>
      </c>
      <c r="CG287" s="102" t="e">
        <f t="shared" si="2651"/>
        <v>#DIV/0!</v>
      </c>
      <c r="CH287" s="102" t="e">
        <f t="shared" si="2651"/>
        <v>#DIV/0!</v>
      </c>
      <c r="CI287" s="102" t="e">
        <f t="shared" si="2651"/>
        <v>#DIV/0!</v>
      </c>
      <c r="CJ287" s="102" t="e">
        <f t="shared" si="2651"/>
        <v>#DIV/0!</v>
      </c>
      <c r="CK287" s="102" t="e">
        <f t="shared" si="2651"/>
        <v>#DIV/0!</v>
      </c>
      <c r="CL287" s="102" t="e">
        <f t="shared" ref="CL287" si="2652">IF(CL285&gt;CL286,"RF",0)</f>
        <v>#DIV/0!</v>
      </c>
      <c r="CM287" s="72" t="e">
        <f t="shared" si="2651"/>
        <v>#DIV/0!</v>
      </c>
      <c r="CN287" s="72" t="e">
        <f t="shared" si="2651"/>
        <v>#DIV/0!</v>
      </c>
      <c r="CO287" s="72" t="e">
        <f t="shared" si="2651"/>
        <v>#DIV/0!</v>
      </c>
      <c r="CP287" s="72" t="e">
        <f t="shared" si="2651"/>
        <v>#DIV/0!</v>
      </c>
      <c r="CQ287" s="72" t="e">
        <f t="shared" si="2651"/>
        <v>#DIV/0!</v>
      </c>
      <c r="CR287" s="72" t="e">
        <f t="shared" si="2651"/>
        <v>#DIV/0!</v>
      </c>
      <c r="CS287" s="72" t="e">
        <f t="shared" si="2651"/>
        <v>#DIV/0!</v>
      </c>
      <c r="CT287" s="72" t="e">
        <f t="shared" si="2651"/>
        <v>#DIV/0!</v>
      </c>
      <c r="CU287" s="72" t="e">
        <f t="shared" si="2651"/>
        <v>#DIV/0!</v>
      </c>
      <c r="CV287" s="72" t="e">
        <f t="shared" si="2651"/>
        <v>#DIV/0!</v>
      </c>
      <c r="CW287" s="72" t="e">
        <f t="shared" si="2651"/>
        <v>#DIV/0!</v>
      </c>
      <c r="CX287" s="72" t="e">
        <f t="shared" ref="CX287:DA287" si="2653">IF(CX285&gt;CX286,"RF",0)</f>
        <v>#DIV/0!</v>
      </c>
      <c r="CY287" s="72" t="e">
        <f t="shared" si="2653"/>
        <v>#DIV/0!</v>
      </c>
      <c r="CZ287" s="72" t="e">
        <f t="shared" si="2653"/>
        <v>#DIV/0!</v>
      </c>
      <c r="DA287" s="72" t="e">
        <f t="shared" si="2653"/>
        <v>#DIV/0!</v>
      </c>
      <c r="DD287" s="141"/>
    </row>
    <row r="288" spans="1:109" s="85" customFormat="1" x14ac:dyDescent="0.2">
      <c r="A288" s="85" t="s">
        <v>432</v>
      </c>
      <c r="B288" s="85">
        <f>B72/B44</f>
        <v>2.0709198531791036E-2</v>
      </c>
      <c r="C288" s="85">
        <f>C72/C44</f>
        <v>2.1012208016918197E-2</v>
      </c>
      <c r="D288" s="85">
        <f>D72/D44</f>
        <v>9.2968744615876068E-3</v>
      </c>
      <c r="F288" s="85">
        <f t="shared" ref="F288:AE288" si="2654">F72/F44</f>
        <v>2.2635363988685025E-3</v>
      </c>
      <c r="G288" s="85">
        <f t="shared" si="2654"/>
        <v>1.3558232899417925E-3</v>
      </c>
      <c r="H288" s="85">
        <f t="shared" si="2654"/>
        <v>2.1284573087075199E-3</v>
      </c>
      <c r="I288" s="85">
        <f t="shared" si="2654"/>
        <v>1.2669627525423543E-3</v>
      </c>
      <c r="J288" s="85">
        <f t="shared" si="2654"/>
        <v>3.4156427190728971E-3</v>
      </c>
      <c r="K288" s="85">
        <f t="shared" si="2654"/>
        <v>3.0877321953366186E-3</v>
      </c>
      <c r="L288" s="85">
        <f t="shared" si="2654"/>
        <v>8.3091301094737611E-4</v>
      </c>
      <c r="M288" s="85">
        <f t="shared" si="2654"/>
        <v>3.4884495374914075E-3</v>
      </c>
      <c r="N288" s="85">
        <f t="shared" si="2654"/>
        <v>6.8693203567851586E-3</v>
      </c>
      <c r="O288" s="85">
        <f t="shared" si="2654"/>
        <v>3.2984164040903412E-3</v>
      </c>
      <c r="P288" s="85">
        <f t="shared" si="2654"/>
        <v>2.5188710014242706E-3</v>
      </c>
      <c r="Q288" s="85">
        <f t="shared" si="2654"/>
        <v>1.9880852390113889E-3</v>
      </c>
      <c r="R288" s="85">
        <f t="shared" si="2654"/>
        <v>3.5808812081581814E-3</v>
      </c>
      <c r="S288" s="85">
        <f t="shared" si="2654"/>
        <v>3.6605736205528624E-3</v>
      </c>
      <c r="T288" s="85">
        <f t="shared" si="2654"/>
        <v>3.4334614744214896E-3</v>
      </c>
      <c r="U288" s="85">
        <f t="shared" si="2654"/>
        <v>3.9077787749937478E-3</v>
      </c>
      <c r="V288" s="85">
        <f t="shared" si="2654"/>
        <v>2.730213992789146E-3</v>
      </c>
      <c r="W288" s="85">
        <f t="shared" si="2654"/>
        <v>3.2713295228402411E-3</v>
      </c>
      <c r="X288" s="85">
        <f t="shared" si="2654"/>
        <v>3.3058243703904771E-3</v>
      </c>
      <c r="Y288" s="85">
        <f t="shared" si="2654"/>
        <v>2.2968323685769016E-3</v>
      </c>
      <c r="Z288" s="85">
        <f t="shared" si="2654"/>
        <v>1.0465396207882749E-3</v>
      </c>
      <c r="AA288" s="85">
        <f t="shared" ref="AA288" si="2655">AA72/AA44</f>
        <v>1.0998810399469674E-3</v>
      </c>
      <c r="AB288" s="86">
        <f t="shared" si="2654"/>
        <v>-1.4041963529449275E-2</v>
      </c>
      <c r="AC288" s="86">
        <f t="shared" si="2654"/>
        <v>-2.1040433042953943E-2</v>
      </c>
      <c r="AD288" s="86">
        <f t="shared" si="2654"/>
        <v>-2.2579243389087147E-2</v>
      </c>
      <c r="AE288" s="86">
        <f t="shared" si="2654"/>
        <v>-2.7409503517834236E-2</v>
      </c>
      <c r="AL288" s="85">
        <f t="shared" ref="AL288:BQ288" si="2656">AL72/AL44</f>
        <v>4.1516576103547229E-3</v>
      </c>
      <c r="AM288" s="85">
        <f t="shared" si="2656"/>
        <v>5.276098760372913E-3</v>
      </c>
      <c r="AN288" s="85">
        <f t="shared" si="2656"/>
        <v>3.0487804878048777E-3</v>
      </c>
      <c r="AO288" s="85">
        <f t="shared" si="2656"/>
        <v>1.6475369322862319E-3</v>
      </c>
      <c r="AP288" s="85">
        <f t="shared" si="2656"/>
        <v>1.038241910365115E-3</v>
      </c>
      <c r="AQ288" s="85">
        <f t="shared" si="2656"/>
        <v>1.6052169551040883E-3</v>
      </c>
      <c r="AR288" s="85">
        <f t="shared" si="2656"/>
        <v>6.2848810900497758E-3</v>
      </c>
      <c r="AS288" s="85">
        <f t="shared" si="2656"/>
        <v>1.7384501716719545E-3</v>
      </c>
      <c r="AT288" s="85">
        <f t="shared" si="2656"/>
        <v>4.173931420721721E-3</v>
      </c>
      <c r="AU288" s="85">
        <f t="shared" si="2656"/>
        <v>2.9983509070011494E-3</v>
      </c>
      <c r="AV288" s="85">
        <f t="shared" si="2656"/>
        <v>1.2380234686187965E-3</v>
      </c>
      <c r="AW288" s="85">
        <f t="shared" si="2656"/>
        <v>4.5146726862302486E-4</v>
      </c>
      <c r="AX288" s="85">
        <f t="shared" si="2656"/>
        <v>2.1513087128002869E-3</v>
      </c>
      <c r="AY288" s="85">
        <f t="shared" si="2656"/>
        <v>2.9067084986619911E-3</v>
      </c>
      <c r="AZ288" s="85">
        <f t="shared" si="2656"/>
        <v>3.6715426306894341E-3</v>
      </c>
      <c r="BA288" s="85">
        <f t="shared" si="2656"/>
        <v>5.2686645243255354E-3</v>
      </c>
      <c r="BB288" s="85">
        <f t="shared" si="2656"/>
        <v>1.0114942528735633E-2</v>
      </c>
      <c r="BC288" s="85">
        <f t="shared" si="2656"/>
        <v>8.9645898700134474E-4</v>
      </c>
      <c r="BD288" s="85">
        <f t="shared" si="2656"/>
        <v>2.4937655860349127E-3</v>
      </c>
      <c r="BE288" s="85">
        <f t="shared" si="2656"/>
        <v>1.8281535648994515E-3</v>
      </c>
      <c r="BF288" s="85">
        <f t="shared" si="2656"/>
        <v>2.352941176470588E-3</v>
      </c>
      <c r="BG288" s="85">
        <f t="shared" si="2656"/>
        <v>1.9716088328075709E-3</v>
      </c>
      <c r="BH288" s="85">
        <f t="shared" si="2656"/>
        <v>4.6362339514978606E-3</v>
      </c>
      <c r="BI288" s="85">
        <f t="shared" si="2656"/>
        <v>4.0392383150605884E-3</v>
      </c>
      <c r="BJ288" s="85">
        <f t="shared" si="2656"/>
        <v>3.1109574835810577E-3</v>
      </c>
      <c r="BK288" s="85">
        <f t="shared" si="2656"/>
        <v>3.3134526176275677E-3</v>
      </c>
      <c r="BL288" s="85">
        <f t="shared" si="2656"/>
        <v>3.2804811372334607E-3</v>
      </c>
      <c r="BM288" s="85">
        <f t="shared" si="2656"/>
        <v>6.5281899109792289E-3</v>
      </c>
      <c r="BN288" s="85">
        <f t="shared" si="2656"/>
        <v>3.1128404669260703E-3</v>
      </c>
      <c r="BO288" s="85">
        <f t="shared" si="2656"/>
        <v>4.1114664230242123E-3</v>
      </c>
      <c r="BP288" s="85">
        <f t="shared" si="2656"/>
        <v>2.760143527463428E-3</v>
      </c>
      <c r="BQ288" s="85">
        <f t="shared" si="2656"/>
        <v>1.8924033522573669E-3</v>
      </c>
      <c r="BR288" s="85">
        <f t="shared" ref="BR288:DA288" si="2657">BR72/BR44</f>
        <v>2.3584905660377358E-3</v>
      </c>
      <c r="BS288" s="85">
        <f t="shared" si="2657"/>
        <v>3.3003300330033004E-3</v>
      </c>
      <c r="BT288" s="85">
        <f t="shared" si="2657"/>
        <v>3.2599837000814994E-3</v>
      </c>
      <c r="BU288" s="85">
        <f t="shared" si="2657"/>
        <v>4.2735042735042731E-3</v>
      </c>
      <c r="BV288" s="85">
        <f t="shared" si="2657"/>
        <v>2.1546564519990424E-3</v>
      </c>
      <c r="BW288" s="85">
        <f t="shared" si="2657"/>
        <v>3.1222123104371097E-3</v>
      </c>
      <c r="BX288" s="85">
        <f t="shared" si="2657"/>
        <v>3.0141432877347552E-3</v>
      </c>
      <c r="BY288" s="85">
        <f t="shared" si="2657"/>
        <v>4.7655356462066338E-3</v>
      </c>
      <c r="BZ288" s="85">
        <f t="shared" si="2657"/>
        <v>1.6339869281045752E-3</v>
      </c>
      <c r="CA288" s="85">
        <f t="shared" si="2657"/>
        <v>1.5220700152207003E-3</v>
      </c>
      <c r="CB288" s="85">
        <f t="shared" si="2657"/>
        <v>3.5479865176512326E-3</v>
      </c>
      <c r="CC288" s="85">
        <f t="shared" si="2657"/>
        <v>2.6551609691337539E-3</v>
      </c>
      <c r="CD288" s="85">
        <f t="shared" si="2657"/>
        <v>1.65380374862183E-3</v>
      </c>
      <c r="CE288" s="85">
        <f t="shared" si="2657"/>
        <v>1.238390092879257E-3</v>
      </c>
      <c r="CF288" s="85">
        <f t="shared" si="2657"/>
        <v>9.7323600973236004E-4</v>
      </c>
      <c r="CG288" s="85">
        <f t="shared" si="2657"/>
        <v>5.506607929515419E-4</v>
      </c>
      <c r="CH288" s="85">
        <f t="shared" si="2657"/>
        <v>1.3436345314074573E-3</v>
      </c>
      <c r="CI288" s="85">
        <f t="shared" si="2657"/>
        <v>1.0499475026248687E-3</v>
      </c>
      <c r="CJ288" s="85">
        <f t="shared" si="2657"/>
        <v>1.0775862068965517E-3</v>
      </c>
      <c r="CK288" s="85">
        <f t="shared" si="2657"/>
        <v>1.0204081632653062E-3</v>
      </c>
      <c r="CL288" s="85">
        <f t="shared" ref="CL288" si="2658">CL72/CL44</f>
        <v>9.9783801762847162E-4</v>
      </c>
      <c r="CM288" s="86">
        <f t="shared" si="2657"/>
        <v>-2.3686621768815953E-2</v>
      </c>
      <c r="CN288" s="86">
        <f t="shared" si="2657"/>
        <v>-1.5182594443652745E-2</v>
      </c>
      <c r="CO288" s="86">
        <f t="shared" si="2657"/>
        <v>-1.4849703059821539E-2</v>
      </c>
      <c r="CP288" s="86">
        <f t="shared" si="2657"/>
        <v>-1.9572822781831412E-2</v>
      </c>
      <c r="CQ288" s="86">
        <f t="shared" si="2657"/>
        <v>-2.2489065145825177E-2</v>
      </c>
      <c r="CR288" s="86">
        <f t="shared" si="2657"/>
        <v>-2.120843461508138E-2</v>
      </c>
      <c r="CS288" s="86">
        <f t="shared" si="2657"/>
        <v>-2.0774072300379406E-2</v>
      </c>
      <c r="CT288" s="86">
        <f t="shared" si="2657"/>
        <v>-2.1956173223365377E-2</v>
      </c>
      <c r="CU288" s="86">
        <f t="shared" si="2657"/>
        <v>-2.3914533171601998E-2</v>
      </c>
      <c r="CV288" s="86">
        <f t="shared" si="2657"/>
        <v>-2.2465164252810838E-2</v>
      </c>
      <c r="CW288" s="86">
        <f t="shared" si="2657"/>
        <v>-2.2001118740890162E-2</v>
      </c>
      <c r="CX288" s="86">
        <f t="shared" si="2657"/>
        <v>-2.724137510362315E-2</v>
      </c>
      <c r="CY288" s="86">
        <f t="shared" si="2657"/>
        <v>-2.8822070413773986E-2</v>
      </c>
      <c r="CZ288" s="86">
        <f t="shared" si="2657"/>
        <v>-2.7084285095079673E-2</v>
      </c>
      <c r="DA288" s="86">
        <f t="shared" si="2657"/>
        <v>-2.6597470401681332E-2</v>
      </c>
      <c r="DD288" s="140"/>
      <c r="DE288" s="85">
        <v>1.112883481099529E-3</v>
      </c>
    </row>
    <row r="289" spans="1:109" s="85" customFormat="1" x14ac:dyDescent="0.2">
      <c r="A289" s="85" t="s">
        <v>433</v>
      </c>
      <c r="B289" s="85">
        <f>B68/B44</f>
        <v>1.9987405390623551E-2</v>
      </c>
      <c r="C289" s="85">
        <f>C68/C44</f>
        <v>4.0478708064981259E-2</v>
      </c>
      <c r="D289" s="85">
        <f>D68/D44</f>
        <v>3.6927641023000772E-2</v>
      </c>
      <c r="F289" s="85">
        <f t="shared" ref="F289:AE289" si="2659">F68/F44</f>
        <v>2.8152376758339141E-2</v>
      </c>
      <c r="G289" s="85">
        <f t="shared" si="2659"/>
        <v>2.503860941252602E-2</v>
      </c>
      <c r="H289" s="85">
        <f t="shared" si="2659"/>
        <v>1.9476542943970925E-2</v>
      </c>
      <c r="I289" s="85">
        <f t="shared" si="2659"/>
        <v>2.1414028655068661E-2</v>
      </c>
      <c r="J289" s="85">
        <f t="shared" si="2659"/>
        <v>1.973721604580584E-2</v>
      </c>
      <c r="K289" s="85">
        <f t="shared" si="2659"/>
        <v>3.4296538968013233E-2</v>
      </c>
      <c r="L289" s="85">
        <f t="shared" si="2659"/>
        <v>3.2244554877024101E-2</v>
      </c>
      <c r="M289" s="85">
        <f t="shared" si="2659"/>
        <v>2.7514266074702583E-2</v>
      </c>
      <c r="N289" s="85">
        <f t="shared" si="2659"/>
        <v>3.0858193106558369E-2</v>
      </c>
      <c r="O289" s="85">
        <f t="shared" si="2659"/>
        <v>3.3733110556712673E-2</v>
      </c>
      <c r="P289" s="85">
        <f t="shared" si="2659"/>
        <v>3.2326488855726296E-2</v>
      </c>
      <c r="Q289" s="85">
        <f t="shared" si="2659"/>
        <v>3.1817384917365556E-2</v>
      </c>
      <c r="R289" s="85">
        <f t="shared" si="2659"/>
        <v>3.3363221361189431E-2</v>
      </c>
      <c r="S289" s="85">
        <f t="shared" si="2659"/>
        <v>3.185772047785549E-2</v>
      </c>
      <c r="T289" s="85">
        <f t="shared" si="2659"/>
        <v>3.6289665948808218E-2</v>
      </c>
      <c r="U289" s="85">
        <f t="shared" si="2659"/>
        <v>3.3636176379713688E-2</v>
      </c>
      <c r="V289" s="85">
        <f t="shared" si="2659"/>
        <v>3.3600777395050865E-2</v>
      </c>
      <c r="W289" s="85">
        <f t="shared" si="2659"/>
        <v>2.8256757826850606E-2</v>
      </c>
      <c r="X289" s="85">
        <f t="shared" si="2659"/>
        <v>2.4424570164584294E-2</v>
      </c>
      <c r="Y289" s="85">
        <f t="shared" si="2659"/>
        <v>2.1569383441618774E-2</v>
      </c>
      <c r="Z289" s="85">
        <f t="shared" si="2659"/>
        <v>2.0924629503018863E-2</v>
      </c>
      <c r="AA289" s="85">
        <f t="shared" ref="AA289" si="2660">AA68/AA44</f>
        <v>2.1189782148727309E-2</v>
      </c>
      <c r="AB289" s="86">
        <f t="shared" si="2659"/>
        <v>1.9310296043440603E-2</v>
      </c>
      <c r="AC289" s="86">
        <f t="shared" si="2659"/>
        <v>1.8538043261982228E-2</v>
      </c>
      <c r="AD289" s="86">
        <f t="shared" si="2659"/>
        <v>1.8287722418371011E-2</v>
      </c>
      <c r="AE289" s="86">
        <f t="shared" si="2659"/>
        <v>1.7919300249699691E-2</v>
      </c>
      <c r="AL289" s="85">
        <f t="shared" ref="AL289:BQ289" si="2661">AL68/AL44</f>
        <v>3.7853348800293063E-2</v>
      </c>
      <c r="AM289" s="85">
        <f t="shared" si="2661"/>
        <v>3.3705562954615305E-2</v>
      </c>
      <c r="AN289" s="85">
        <f t="shared" si="2661"/>
        <v>3.5534062237174091E-2</v>
      </c>
      <c r="AO289" s="85">
        <f t="shared" si="2661"/>
        <v>3.838761052226921E-2</v>
      </c>
      <c r="AP289" s="85">
        <f t="shared" si="2661"/>
        <v>3.870335121416623E-2</v>
      </c>
      <c r="AQ289" s="85">
        <f t="shared" si="2661"/>
        <v>3.4161023325808879E-2</v>
      </c>
      <c r="AR289" s="85">
        <f t="shared" si="2661"/>
        <v>3.4742822665795162E-2</v>
      </c>
      <c r="AS289" s="85">
        <f t="shared" si="2661"/>
        <v>3.0944413055760789E-2</v>
      </c>
      <c r="AT289" s="85">
        <f t="shared" si="2661"/>
        <v>3.6614360437470281E-2</v>
      </c>
      <c r="AU289" s="85">
        <f t="shared" si="2661"/>
        <v>3.4830843036330023E-2</v>
      </c>
      <c r="AV289" s="85">
        <f t="shared" si="2661"/>
        <v>3.9455269673807733E-2</v>
      </c>
      <c r="AW289" s="85">
        <f t="shared" si="2661"/>
        <v>2.6841781243587114E-2</v>
      </c>
      <c r="AX289" s="85">
        <f t="shared" si="2661"/>
        <v>3.1955898171387595E-2</v>
      </c>
      <c r="AY289" s="85">
        <f t="shared" si="2661"/>
        <v>3.3727046230506597E-2</v>
      </c>
      <c r="AZ289" s="85">
        <f t="shared" si="2661"/>
        <v>4.2484993297977738E-2</v>
      </c>
      <c r="BA289" s="85">
        <f t="shared" si="2661"/>
        <v>2.8510574695463715E-2</v>
      </c>
      <c r="BB289" s="85">
        <f t="shared" si="2661"/>
        <v>3.4482758620689655E-2</v>
      </c>
      <c r="BC289" s="85">
        <f t="shared" si="2661"/>
        <v>3.3168982519049754E-2</v>
      </c>
      <c r="BD289" s="85">
        <f t="shared" si="2661"/>
        <v>3.790523690773067E-2</v>
      </c>
      <c r="BE289" s="85">
        <f t="shared" si="2661"/>
        <v>2.5898842169408898E-2</v>
      </c>
      <c r="BF289" s="85">
        <f t="shared" si="2661"/>
        <v>4.5647058823529409E-2</v>
      </c>
      <c r="BG289" s="85">
        <f t="shared" si="2661"/>
        <v>3.8643533123028394E-2</v>
      </c>
      <c r="BH289" s="85">
        <f t="shared" si="2661"/>
        <v>3.4950071326676185E-2</v>
      </c>
      <c r="BI289" s="85">
        <f t="shared" si="2661"/>
        <v>3.0005770340450086E-2</v>
      </c>
      <c r="BJ289" s="85">
        <f t="shared" si="2661"/>
        <v>3.5257518147251983E-2</v>
      </c>
      <c r="BK289" s="85">
        <f t="shared" si="2661"/>
        <v>3.4128561961563948E-2</v>
      </c>
      <c r="BL289" s="85">
        <f t="shared" si="2661"/>
        <v>2.8704209950792783E-2</v>
      </c>
      <c r="BM289" s="85">
        <f t="shared" si="2661"/>
        <v>4.3620178041543022E-2</v>
      </c>
      <c r="BN289" s="85">
        <f t="shared" si="2661"/>
        <v>3.8521400778210119E-2</v>
      </c>
      <c r="BO289" s="85">
        <f t="shared" si="2661"/>
        <v>4.5226130653266333E-2</v>
      </c>
      <c r="BP289" s="85">
        <f t="shared" si="2661"/>
        <v>2.842947833287331E-2</v>
      </c>
      <c r="BQ289" s="85">
        <f t="shared" si="2661"/>
        <v>3.1630170316301706E-2</v>
      </c>
      <c r="BR289" s="85">
        <f t="shared" ref="BR289:DA289" si="2662">BR68/BR44</f>
        <v>2.8301886792452831E-2</v>
      </c>
      <c r="BS289" s="85">
        <f t="shared" si="2662"/>
        <v>3.5643564356435647E-2</v>
      </c>
      <c r="BT289" s="85">
        <f t="shared" si="2662"/>
        <v>2.9611518609073621E-2</v>
      </c>
      <c r="BU289" s="85">
        <f t="shared" si="2662"/>
        <v>2.4741340530814213E-2</v>
      </c>
      <c r="BV289" s="85">
        <f t="shared" si="2662"/>
        <v>2.5137658606655493E-2</v>
      </c>
      <c r="BW289" s="85">
        <f t="shared" si="2662"/>
        <v>2.4754683318465656E-2</v>
      </c>
      <c r="BX289" s="85">
        <f t="shared" si="2662"/>
        <v>2.7127289589612795E-2</v>
      </c>
      <c r="BY289" s="85">
        <f t="shared" si="2662"/>
        <v>2.2874571101791842E-2</v>
      </c>
      <c r="BZ289" s="85">
        <f t="shared" si="2662"/>
        <v>2.389705882352941E-2</v>
      </c>
      <c r="CA289" s="85">
        <f t="shared" si="2662"/>
        <v>2.0294266869609338E-2</v>
      </c>
      <c r="CB289" s="85">
        <f t="shared" si="2662"/>
        <v>2.1820117083555083E-2</v>
      </c>
      <c r="CC289" s="85">
        <f t="shared" si="2662"/>
        <v>2.2734815798207766E-2</v>
      </c>
      <c r="CD289" s="85">
        <f t="shared" si="2662"/>
        <v>2.3704520396912898E-2</v>
      </c>
      <c r="CE289" s="85">
        <f t="shared" si="2662"/>
        <v>2.0588235294117647E-2</v>
      </c>
      <c r="CF289" s="85">
        <f t="shared" si="2662"/>
        <v>2.222222222222222E-2</v>
      </c>
      <c r="CG289" s="85">
        <f t="shared" si="2662"/>
        <v>1.9823788546255508E-2</v>
      </c>
      <c r="CH289" s="85">
        <f t="shared" si="2662"/>
        <v>2.3345649983204569E-2</v>
      </c>
      <c r="CI289" s="85">
        <f t="shared" si="2662"/>
        <v>2.0998950052497373E-2</v>
      </c>
      <c r="CJ289" s="85">
        <f t="shared" si="2662"/>
        <v>2.2783251231527094E-2</v>
      </c>
      <c r="CK289" s="85">
        <f t="shared" si="2662"/>
        <v>1.9897959183673469E-2</v>
      </c>
      <c r="CL289" s="85">
        <f t="shared" ref="CL289" si="2663">CL68/CL44</f>
        <v>2.4114418759354734E-2</v>
      </c>
      <c r="CM289" s="86">
        <f t="shared" si="2662"/>
        <v>1.888868613353855E-2</v>
      </c>
      <c r="CN289" s="86">
        <f t="shared" si="2662"/>
        <v>1.7827023522849889E-2</v>
      </c>
      <c r="CO289" s="86">
        <f t="shared" si="2662"/>
        <v>1.7753454197413324E-2</v>
      </c>
      <c r="CP289" s="86">
        <f t="shared" si="2662"/>
        <v>2.0298341702844069E-2</v>
      </c>
      <c r="CQ289" s="86">
        <f t="shared" si="2662"/>
        <v>1.884891525006482E-2</v>
      </c>
      <c r="CR289" s="86">
        <f t="shared" si="2662"/>
        <v>1.7729631853375435E-2</v>
      </c>
      <c r="CS289" s="86">
        <f t="shared" si="2662"/>
        <v>1.7612145034647107E-2</v>
      </c>
      <c r="CT289" s="86">
        <f t="shared" si="2662"/>
        <v>2.0086758551369099E-2</v>
      </c>
      <c r="CU289" s="86">
        <f t="shared" si="2662"/>
        <v>1.8612317599694308E-2</v>
      </c>
      <c r="CV289" s="86">
        <f t="shared" si="2662"/>
        <v>1.7472206502025658E-2</v>
      </c>
      <c r="CW289" s="86">
        <f t="shared" si="2662"/>
        <v>1.7326344718518641E-2</v>
      </c>
      <c r="CX289" s="86">
        <f t="shared" si="2662"/>
        <v>1.9727493989262053E-2</v>
      </c>
      <c r="CY289" s="86">
        <f t="shared" si="2662"/>
        <v>1.8250852601471777E-2</v>
      </c>
      <c r="CZ289" s="86">
        <f t="shared" si="2662"/>
        <v>1.7107415714145677E-2</v>
      </c>
      <c r="DA289" s="86">
        <f t="shared" si="2662"/>
        <v>1.6941074634388216E-2</v>
      </c>
      <c r="DD289" s="140"/>
      <c r="DE289" s="85">
        <v>2.1627035649367514E-2</v>
      </c>
    </row>
    <row r="290" spans="1:109" s="84" customFormat="1" x14ac:dyDescent="0.2">
      <c r="AB290" s="57"/>
      <c r="AC290" s="57"/>
      <c r="AD290" s="57"/>
      <c r="AE290" s="57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D290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C8B9-7B68-498D-8930-BB1B4B5441EB}">
  <dimension ref="A1:P26"/>
  <sheetViews>
    <sheetView topLeftCell="A13" workbookViewId="0">
      <selection activeCell="B25" sqref="B25:P26"/>
    </sheetView>
  </sheetViews>
  <sheetFormatPr defaultRowHeight="33.75" customHeight="1" x14ac:dyDescent="0.25"/>
  <cols>
    <col min="1" max="1" width="32.5703125" customWidth="1"/>
    <col min="2" max="2" width="20.5703125" customWidth="1"/>
    <col min="3" max="3" width="15" bestFit="1" customWidth="1"/>
    <col min="4" max="4" width="29.28515625" bestFit="1" customWidth="1"/>
    <col min="5" max="5" width="23.85546875" customWidth="1"/>
  </cols>
  <sheetData>
    <row r="1" spans="1:5" ht="33.75" customHeight="1" thickBot="1" x14ac:dyDescent="0.3"/>
    <row r="2" spans="1:5" ht="33.75" customHeight="1" thickBot="1" x14ac:dyDescent="0.3">
      <c r="A2" s="193" t="s">
        <v>542</v>
      </c>
      <c r="B2" s="193" t="s">
        <v>541</v>
      </c>
      <c r="C2" s="193" t="s">
        <v>543</v>
      </c>
      <c r="D2" s="193" t="s">
        <v>544</v>
      </c>
      <c r="E2" s="193" t="s">
        <v>545</v>
      </c>
    </row>
    <row r="3" spans="1:5" ht="33.75" customHeight="1" thickBot="1" x14ac:dyDescent="0.3">
      <c r="A3" s="193">
        <v>2022</v>
      </c>
      <c r="B3" s="194" t="s">
        <v>546</v>
      </c>
      <c r="C3" s="194" t="s">
        <v>547</v>
      </c>
      <c r="D3" s="194" t="s">
        <v>548</v>
      </c>
      <c r="E3" s="196">
        <v>1450</v>
      </c>
    </row>
    <row r="4" spans="1:5" ht="33.75" customHeight="1" thickBot="1" x14ac:dyDescent="0.3">
      <c r="A4" s="194"/>
      <c r="B4" s="194" t="s">
        <v>549</v>
      </c>
      <c r="C4" s="194" t="s">
        <v>550</v>
      </c>
      <c r="D4" s="194" t="s">
        <v>551</v>
      </c>
      <c r="E4" s="196">
        <v>1600</v>
      </c>
    </row>
    <row r="5" spans="1:5" ht="33.75" customHeight="1" thickBot="1" x14ac:dyDescent="0.3">
      <c r="A5" s="194"/>
      <c r="B5" s="194" t="s">
        <v>552</v>
      </c>
      <c r="C5" s="194" t="s">
        <v>553</v>
      </c>
      <c r="D5" s="197">
        <v>1050</v>
      </c>
      <c r="E5" s="196">
        <v>1750</v>
      </c>
    </row>
    <row r="6" spans="1:5" ht="33.75" customHeight="1" thickBot="1" x14ac:dyDescent="0.3">
      <c r="A6" s="193">
        <v>2023</v>
      </c>
      <c r="B6" s="194" t="s">
        <v>554</v>
      </c>
      <c r="C6" s="194" t="s">
        <v>555</v>
      </c>
      <c r="D6" s="194" t="s">
        <v>556</v>
      </c>
      <c r="E6" s="196">
        <v>1800</v>
      </c>
    </row>
    <row r="7" spans="1:5" ht="33.75" customHeight="1" thickBot="1" x14ac:dyDescent="0.3">
      <c r="A7" s="194"/>
      <c r="B7" s="194" t="s">
        <v>546</v>
      </c>
      <c r="C7" s="194" t="s">
        <v>555</v>
      </c>
      <c r="D7" s="197">
        <v>1200</v>
      </c>
      <c r="E7" s="196">
        <v>1950</v>
      </c>
    </row>
    <row r="8" spans="1:5" ht="33.75" customHeight="1" thickBot="1" x14ac:dyDescent="0.3">
      <c r="A8" s="194"/>
      <c r="B8" s="194" t="s">
        <v>549</v>
      </c>
      <c r="C8" s="197">
        <v>1020</v>
      </c>
      <c r="D8" s="197">
        <v>1180</v>
      </c>
      <c r="E8" s="196">
        <v>2200</v>
      </c>
    </row>
    <row r="9" spans="1:5" ht="33.75" customHeight="1" thickBot="1" x14ac:dyDescent="0.3">
      <c r="A9" s="194"/>
      <c r="B9" s="194" t="s">
        <v>552</v>
      </c>
      <c r="C9" s="194">
        <v>920</v>
      </c>
      <c r="D9" s="197">
        <v>1180</v>
      </c>
      <c r="E9" s="196">
        <v>2100</v>
      </c>
    </row>
    <row r="10" spans="1:5" ht="33.75" customHeight="1" thickBot="1" x14ac:dyDescent="0.3">
      <c r="A10" s="193">
        <v>2024</v>
      </c>
      <c r="B10" s="194" t="s">
        <v>554</v>
      </c>
      <c r="C10" s="194" t="s">
        <v>557</v>
      </c>
      <c r="D10" s="197">
        <v>1235</v>
      </c>
      <c r="E10" s="196">
        <v>2150</v>
      </c>
    </row>
    <row r="11" spans="1:5" ht="33.75" customHeight="1" thickBot="1" x14ac:dyDescent="0.3">
      <c r="A11" s="194"/>
      <c r="B11" s="194" t="s">
        <v>546</v>
      </c>
      <c r="C11" s="194" t="s">
        <v>557</v>
      </c>
      <c r="D11" s="194" t="s">
        <v>558</v>
      </c>
      <c r="E11" s="196">
        <v>2180</v>
      </c>
    </row>
    <row r="12" spans="1:5" ht="33.75" customHeight="1" thickBot="1" x14ac:dyDescent="0.3">
      <c r="A12" s="194"/>
      <c r="B12" s="194" t="s">
        <v>549</v>
      </c>
      <c r="C12" s="194" t="s">
        <v>559</v>
      </c>
      <c r="D12" s="194" t="s">
        <v>560</v>
      </c>
      <c r="E12" s="196">
        <v>2250</v>
      </c>
    </row>
    <row r="13" spans="1:5" ht="33.75" customHeight="1" thickBot="1" x14ac:dyDescent="0.3">
      <c r="A13" s="194"/>
      <c r="B13" s="194" t="s">
        <v>552</v>
      </c>
      <c r="C13" s="194" t="s">
        <v>559</v>
      </c>
      <c r="D13" s="194" t="s">
        <v>561</v>
      </c>
      <c r="E13" s="196">
        <v>2300</v>
      </c>
    </row>
    <row r="14" spans="1:5" ht="33.75" customHeight="1" thickBot="1" x14ac:dyDescent="0.3">
      <c r="A14" s="193">
        <v>2025</v>
      </c>
      <c r="B14" s="194" t="s">
        <v>554</v>
      </c>
      <c r="C14" s="194" t="s">
        <v>562</v>
      </c>
      <c r="D14" s="194" t="s">
        <v>563</v>
      </c>
      <c r="E14" s="196">
        <v>2450</v>
      </c>
    </row>
    <row r="15" spans="1:5" ht="33.75" customHeight="1" thickBot="1" x14ac:dyDescent="0.3">
      <c r="A15" s="194"/>
      <c r="B15" s="194" t="s">
        <v>546</v>
      </c>
      <c r="C15" s="194" t="s">
        <v>564</v>
      </c>
      <c r="D15" s="194" t="s">
        <v>565</v>
      </c>
      <c r="E15" s="196">
        <v>2697</v>
      </c>
    </row>
    <row r="16" spans="1:5" ht="33.75" customHeight="1" thickBot="1" x14ac:dyDescent="0.3">
      <c r="A16" s="194"/>
      <c r="B16" s="194" t="s">
        <v>549</v>
      </c>
      <c r="C16" s="197">
        <v>1314</v>
      </c>
      <c r="D16" s="197">
        <v>1325</v>
      </c>
      <c r="E16" s="196">
        <v>2639</v>
      </c>
    </row>
    <row r="17" spans="1:16" ht="33.75" customHeight="1" thickBot="1" x14ac:dyDescent="0.3">
      <c r="A17" s="194"/>
      <c r="B17" s="194" t="s">
        <v>552</v>
      </c>
      <c r="C17" s="193" t="s">
        <v>566</v>
      </c>
      <c r="D17" s="193" t="s">
        <v>567</v>
      </c>
      <c r="E17" s="196">
        <v>2700</v>
      </c>
    </row>
    <row r="19" spans="1:16" ht="33.75" customHeight="1" x14ac:dyDescent="0.25">
      <c r="B19">
        <v>2022</v>
      </c>
      <c r="E19">
        <v>2023</v>
      </c>
      <c r="I19">
        <v>2024</v>
      </c>
      <c r="M19">
        <v>2025</v>
      </c>
    </row>
    <row r="20" spans="1:16" ht="33.75" customHeight="1" x14ac:dyDescent="0.25">
      <c r="B20" t="s">
        <v>546</v>
      </c>
      <c r="C20" t="s">
        <v>549</v>
      </c>
      <c r="D20" t="s">
        <v>552</v>
      </c>
      <c r="E20" t="s">
        <v>554</v>
      </c>
      <c r="F20" t="s">
        <v>546</v>
      </c>
      <c r="G20" t="s">
        <v>549</v>
      </c>
      <c r="H20" t="s">
        <v>552</v>
      </c>
      <c r="I20" t="s">
        <v>554</v>
      </c>
      <c r="J20" t="s">
        <v>546</v>
      </c>
      <c r="K20" t="s">
        <v>549</v>
      </c>
      <c r="L20" t="s">
        <v>552</v>
      </c>
      <c r="M20" t="s">
        <v>554</v>
      </c>
      <c r="N20" t="s">
        <v>546</v>
      </c>
      <c r="O20" t="s">
        <v>549</v>
      </c>
      <c r="P20" t="s">
        <v>552</v>
      </c>
    </row>
    <row r="21" spans="1:16" ht="33.75" customHeight="1" x14ac:dyDescent="0.25">
      <c r="A21" t="s">
        <v>543</v>
      </c>
      <c r="B21" t="s">
        <v>547</v>
      </c>
      <c r="C21" t="s">
        <v>550</v>
      </c>
      <c r="D21" t="s">
        <v>553</v>
      </c>
      <c r="E21" t="s">
        <v>555</v>
      </c>
      <c r="F21" t="s">
        <v>555</v>
      </c>
      <c r="G21" s="195">
        <v>1020</v>
      </c>
      <c r="H21">
        <v>920</v>
      </c>
      <c r="I21" t="s">
        <v>557</v>
      </c>
      <c r="J21" t="s">
        <v>557</v>
      </c>
      <c r="K21" t="s">
        <v>559</v>
      </c>
      <c r="L21" t="s">
        <v>559</v>
      </c>
      <c r="M21" t="s">
        <v>562</v>
      </c>
      <c r="N21" t="s">
        <v>564</v>
      </c>
      <c r="O21" s="195">
        <v>1314</v>
      </c>
      <c r="P21" t="s">
        <v>566</v>
      </c>
    </row>
    <row r="22" spans="1:16" ht="33.75" customHeight="1" x14ac:dyDescent="0.25">
      <c r="A22" t="s">
        <v>544</v>
      </c>
      <c r="B22" t="s">
        <v>548</v>
      </c>
      <c r="C22" t="s">
        <v>551</v>
      </c>
      <c r="D22" s="195">
        <v>1050</v>
      </c>
      <c r="E22" t="s">
        <v>556</v>
      </c>
      <c r="F22" s="195">
        <v>1200</v>
      </c>
      <c r="G22" s="195">
        <v>1180</v>
      </c>
      <c r="H22" s="195">
        <v>1180</v>
      </c>
      <c r="I22" s="195">
        <v>1235</v>
      </c>
      <c r="J22" t="s">
        <v>558</v>
      </c>
      <c r="K22" t="s">
        <v>560</v>
      </c>
      <c r="L22" t="s">
        <v>561</v>
      </c>
      <c r="M22" t="s">
        <v>563</v>
      </c>
      <c r="N22" t="s">
        <v>565</v>
      </c>
      <c r="O22" s="195">
        <v>1325</v>
      </c>
      <c r="P22" t="s">
        <v>567</v>
      </c>
    </row>
    <row r="23" spans="1:16" ht="33.75" customHeight="1" x14ac:dyDescent="0.25">
      <c r="B23" s="195">
        <v>1450</v>
      </c>
      <c r="C23" s="195">
        <v>1600</v>
      </c>
      <c r="D23" s="195">
        <v>1750</v>
      </c>
      <c r="E23" s="195">
        <v>1800</v>
      </c>
      <c r="F23" s="195">
        <v>1950</v>
      </c>
      <c r="G23" s="195">
        <v>2200</v>
      </c>
      <c r="H23" s="195">
        <v>2100</v>
      </c>
      <c r="I23" s="195">
        <v>2150</v>
      </c>
      <c r="J23" s="195">
        <v>2180</v>
      </c>
      <c r="K23" s="195">
        <v>2250</v>
      </c>
      <c r="L23" s="195">
        <v>2300</v>
      </c>
      <c r="M23" s="195">
        <v>2450</v>
      </c>
      <c r="N23" s="195">
        <v>2697</v>
      </c>
      <c r="O23" s="195">
        <v>2639</v>
      </c>
      <c r="P23" s="195">
        <v>2700</v>
      </c>
    </row>
    <row r="25" spans="1:16" ht="33.75" customHeight="1" x14ac:dyDescent="0.25">
      <c r="B25">
        <v>600</v>
      </c>
      <c r="C25">
        <v>650</v>
      </c>
      <c r="D25">
        <v>700</v>
      </c>
      <c r="E25">
        <v>750</v>
      </c>
      <c r="F25">
        <v>750</v>
      </c>
      <c r="G25" s="195">
        <v>1020</v>
      </c>
      <c r="H25">
        <v>920</v>
      </c>
      <c r="I25">
        <v>915</v>
      </c>
      <c r="J25">
        <v>915</v>
      </c>
      <c r="K25">
        <v>920</v>
      </c>
      <c r="L25">
        <v>920</v>
      </c>
      <c r="M25">
        <v>1310</v>
      </c>
      <c r="N25">
        <v>1313</v>
      </c>
      <c r="O25" s="195">
        <v>1314</v>
      </c>
      <c r="P25">
        <v>1315</v>
      </c>
    </row>
    <row r="26" spans="1:16" ht="33.75" customHeight="1" x14ac:dyDescent="0.25">
      <c r="B26">
        <v>850</v>
      </c>
      <c r="C26">
        <v>950</v>
      </c>
      <c r="D26">
        <v>1050</v>
      </c>
      <c r="E26">
        <v>1050</v>
      </c>
      <c r="F26">
        <v>1200</v>
      </c>
      <c r="G26" s="195">
        <v>1180</v>
      </c>
      <c r="H26">
        <v>1180</v>
      </c>
      <c r="I26">
        <v>1235</v>
      </c>
      <c r="J26">
        <v>1265</v>
      </c>
      <c r="K26">
        <v>1330</v>
      </c>
      <c r="L26">
        <v>1380</v>
      </c>
      <c r="M26">
        <v>1140</v>
      </c>
      <c r="N26">
        <v>1384</v>
      </c>
      <c r="O26" s="195">
        <v>1325</v>
      </c>
      <c r="P26">
        <v>1385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AZ31" activePane="bottomRight" state="frozen"/>
      <selection activeCell="A2" sqref="A2"/>
      <selection pane="topRight" activeCell="A2" sqref="A2"/>
      <selection pane="bottomLeft" activeCell="A2" sqref="A2"/>
      <selection pane="bottomRight" activeCell="BE58" sqref="BE5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100249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KSB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186.66</v>
      </c>
      <c r="D6">
        <f>_xll.EQNXTDZ($A$1,$B6,D$1,$B$1)</f>
        <v>168.72</v>
      </c>
      <c r="E6">
        <f>_xll.EQNXTDZ($A$1,$B6,E$1,$B$1)</f>
        <v>193.77</v>
      </c>
      <c r="F6">
        <f>_xll.EQNXTDZ($A$1,$B6,F$1,$B$1)</f>
        <v>162.87</v>
      </c>
      <c r="G6">
        <f>_xll.EQNXTDZ($A$1,$B6,G$1,$B$1)</f>
        <v>194.1</v>
      </c>
      <c r="H6">
        <f>_xll.EQNXTDZ($A$1,$B6,H$1,$B$1)</f>
        <v>188.16</v>
      </c>
      <c r="I6">
        <f>_xll.EQNXTDZ($A$1,$B6,I$1,$B$1)</f>
        <v>179.49</v>
      </c>
      <c r="J6">
        <f>_xll.EQNXTDZ($A$1,$B6,J$1,$B$1)</f>
        <v>171.63</v>
      </c>
      <c r="K6">
        <f>_xll.EQNXTDZ($A$1,$B6,K$1,$B$1)</f>
        <v>196.37</v>
      </c>
      <c r="L6">
        <f>_xll.EQNXTDZ($A$1,$B6,L$1,$B$1)</f>
        <v>197.83</v>
      </c>
      <c r="M6">
        <f>_xll.EQNXTDZ($A$1,$B6,M$1,$B$1)</f>
        <v>227.19</v>
      </c>
      <c r="N6">
        <f>_xll.EQNXTDZ($A$1,$B6,N$1,$B$1)</f>
        <v>188.17</v>
      </c>
      <c r="O6">
        <f>_xll.EQNXTDZ($A$1,$B6,O$1,$B$1)</f>
        <v>198.54</v>
      </c>
      <c r="P6">
        <f>_xll.EQNXTDZ($A$1,$B6,P$1,$B$1)</f>
        <v>183.43</v>
      </c>
      <c r="Q6">
        <f>_xll.EQNXTDZ($A$1,$B6,Q$1,$B$1)</f>
        <v>241.89</v>
      </c>
      <c r="R6">
        <f>_xll.EQNXTDZ($A$1,$B6,R$1,$B$1)</f>
        <v>223.12</v>
      </c>
      <c r="S6">
        <f>_xll.EQNXTDZ($A$1,$B6,S$1,$B$1)</f>
        <v>216.74</v>
      </c>
      <c r="T6">
        <f>_xll.EQNXTDZ($A$1,$B6,T$1,$B$1)</f>
        <v>171.59</v>
      </c>
      <c r="U6">
        <f>_xll.EQNXTDZ($A$1,$B6,U$1,$B$1)</f>
        <v>267.62</v>
      </c>
      <c r="V6">
        <f>_xll.EQNXTDZ($A$1,$B6,V$1,$B$1)</f>
        <v>217.5</v>
      </c>
      <c r="W6">
        <f>_xll.EQNXTDZ($A$1,$B6,W$1,$B$1)</f>
        <v>223.1</v>
      </c>
      <c r="X6">
        <f>_xll.EQNXTDZ($A$1,$B6,X$1,$B$1)</f>
        <v>200.5</v>
      </c>
      <c r="Y6">
        <f>_xll.EQNXTDZ($A$1,$B6,Y$1,$B$1)</f>
        <v>328.2</v>
      </c>
      <c r="Z6">
        <f>_xll.EQNXTDZ($A$1,$B6,Z$1,$B$1)</f>
        <v>212.5</v>
      </c>
      <c r="AA6">
        <f>_xll.EQNXTDZ($A$1,$B6,AA$1,$B$1)</f>
        <v>253.6</v>
      </c>
      <c r="AB6">
        <f>_xll.EQNXTDZ($A$1,$B6,AB$1,$B$1)</f>
        <v>280.39999999999998</v>
      </c>
      <c r="AC6">
        <f>_xll.EQNXTDZ($A$1,$B6,AC$1,$B$1)</f>
        <v>346.6</v>
      </c>
      <c r="AD6">
        <f>_xll.EQNXTDZ($A$1,$B6,AD$1,$B$1)</f>
        <v>289.3</v>
      </c>
      <c r="AE6">
        <f>_xll.EQNXTDZ($A$1,$B6,AE$1,$B$1)</f>
        <v>301.8</v>
      </c>
      <c r="AF6">
        <f>_xll.EQNXTDZ($A$1,$B6,AF$1,$B$1)</f>
        <v>365.8</v>
      </c>
      <c r="AG6">
        <f>_xll.EQNXTDZ($A$1,$B6,AG$1,$B$1)</f>
        <v>337</v>
      </c>
      <c r="AH6">
        <f>_xll.EQNXTDZ($A$1,$B6,AH$1,$B$1)</f>
        <v>257</v>
      </c>
      <c r="AI6">
        <f>_xll.EQNXTDZ($A$1,$B6,AI$1,$B$1)</f>
        <v>218.9</v>
      </c>
      <c r="AJ6">
        <f>_xll.EQNXTDZ($A$1,$B6,AJ$1,$B$1)</f>
        <v>362.3</v>
      </c>
      <c r="AK6">
        <f>_xll.EQNXTDZ($A$1,$B6,AK$1,$B$1)</f>
        <v>369.9</v>
      </c>
      <c r="AL6">
        <f>_xll.EQNXTDZ($A$1,$B6,AL$1,$B$1)</f>
        <v>381.6</v>
      </c>
      <c r="AM6">
        <f>_xll.EQNXTDZ($A$1,$B6,AM$1,$B$1)</f>
        <v>303</v>
      </c>
      <c r="AN6">
        <f>_xll.EQNXTDZ($A$1,$B6,AN$1,$B$1)</f>
        <v>368.1</v>
      </c>
      <c r="AO6">
        <f>_xll.EQNXTDZ($A$1,$B6,AO$1,$B$1)</f>
        <v>444.6</v>
      </c>
      <c r="AP6">
        <f>_xll.EQNXTDZ($A$1,$B6,AP$1,$B$1)</f>
        <v>417.7</v>
      </c>
      <c r="AQ6">
        <f>_xll.EQNXTDZ($A$1,$B6,AQ$1,$B$1)</f>
        <v>448.4</v>
      </c>
      <c r="AR6">
        <f>_xll.EQNXTDZ($A$1,$B6,AR$1,$B$1)</f>
        <v>431.3</v>
      </c>
      <c r="AS6">
        <f>_xll.EQNXTDZ($A$1,$B6,AS$1,$B$1)</f>
        <v>524.6</v>
      </c>
      <c r="AT6">
        <f>_xll.EQNXTDZ($A$1,$B6,AT$1,$B$1)</f>
        <v>489.6</v>
      </c>
      <c r="AU6">
        <f>_xll.EQNXTDZ($A$1,$B6,AU$1,$B$1)</f>
        <v>591.29999999999995</v>
      </c>
      <c r="AV6">
        <f>_xll.EQNXTDZ($A$1,$B6,AV$1,$B$1)</f>
        <v>563.70000000000005</v>
      </c>
      <c r="AW6">
        <f>_xll.EQNXTDZ($A$1,$B6,AW$1,$B$1)</f>
        <v>602.6</v>
      </c>
      <c r="AX6">
        <f>_xll.EQNXTDZ($A$1,$B6,AX$1,$B$1)</f>
        <v>544.20000000000005</v>
      </c>
      <c r="AY6">
        <f>_xll.EQNXTDZ($A$1,$B6,AY$1,$B$1)</f>
        <v>646</v>
      </c>
      <c r="AZ6">
        <f>_xll.EQNXTDZ($A$1,$B6,AZ$1,$B$1)</f>
        <v>616.5</v>
      </c>
      <c r="BA6">
        <f>_xll.EQNXTDZ($A$1,$B6,BA$1,$B$1)</f>
        <v>726.4</v>
      </c>
      <c r="BB6">
        <f>_xll.EQNXTDZ($A$1,$B6,BB$1,$B$1)</f>
        <v>595.4</v>
      </c>
      <c r="BC6">
        <f>_xll.EQNXTDZ($A$1,$B6,BC$1,$B$1)</f>
        <v>666.7</v>
      </c>
      <c r="BD6">
        <f>_xll.EQNXTDZ($A$1,$B6,BD$1,$B$1)</f>
        <v>649.6</v>
      </c>
      <c r="BE6">
        <f>_xll.EQNXTDZ($A$1,$B6,BE$1,$B$1)</f>
        <v>784</v>
      </c>
      <c r="BF6">
        <f>_xll.EQNXTDZ($A$1,$B6,BF$1,$B$1)</f>
        <v>601.29999999999995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0.72</v>
      </c>
      <c r="D8">
        <f>_xll.EQNXTDZ($A$1,$B8,D$1,$B$1)</f>
        <v>1.02</v>
      </c>
      <c r="E8">
        <f>_xll.EQNXTDZ($A$1,$B8,E$1,$B$1)</f>
        <v>0.81</v>
      </c>
      <c r="F8">
        <f>_xll.EQNXTDZ($A$1,$B8,F$1,$B$1)</f>
        <v>0.92</v>
      </c>
      <c r="G8">
        <f>_xll.EQNXTDZ($A$1,$B8,G$1,$B$1)</f>
        <v>1.1200000000000001</v>
      </c>
      <c r="H8">
        <f>_xll.EQNXTDZ($A$1,$B8,H$1,$B$1)</f>
        <v>2.08</v>
      </c>
      <c r="I8">
        <f>_xll.EQNXTDZ($A$1,$B8,I$1,$B$1)</f>
        <v>2.6</v>
      </c>
      <c r="J8">
        <f>_xll.EQNXTDZ($A$1,$B8,J$1,$B$1)</f>
        <v>1.74</v>
      </c>
      <c r="K8">
        <f>_xll.EQNXTDZ($A$1,$B8,K$1,$B$1)</f>
        <v>2.98</v>
      </c>
      <c r="L8">
        <f>_xll.EQNXTDZ($A$1,$B8,L$1,$B$1)</f>
        <v>1.06</v>
      </c>
      <c r="M8">
        <f>_xll.EQNXTDZ($A$1,$B8,M$1,$B$1)</f>
        <v>2.9</v>
      </c>
      <c r="N8">
        <f>_xll.EQNXTDZ($A$1,$B8,N$1,$B$1)</f>
        <v>1.1000000000000001</v>
      </c>
      <c r="O8">
        <f>_xll.EQNXTDZ($A$1,$B8,O$1,$B$1)</f>
        <v>1.57</v>
      </c>
      <c r="P8">
        <f>_xll.EQNXTDZ($A$1,$B8,P$1,$B$1)</f>
        <v>2.35</v>
      </c>
      <c r="Q8">
        <f>_xll.EQNXTDZ($A$1,$B8,Q$1,$B$1)</f>
        <v>1.76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187.38</v>
      </c>
      <c r="D9">
        <f>_xll.EQNXTDZ($A$1,$B9,D$1,$B$1)</f>
        <v>169.74</v>
      </c>
      <c r="E9">
        <f>_xll.EQNXTDZ($A$1,$B9,E$1,$B$1)</f>
        <v>194.58</v>
      </c>
      <c r="F9">
        <f>_xll.EQNXTDZ($A$1,$B9,F$1,$B$1)</f>
        <v>163.79</v>
      </c>
      <c r="G9">
        <f>_xll.EQNXTDZ($A$1,$B9,G$1,$B$1)</f>
        <v>195.22</v>
      </c>
      <c r="H9">
        <f>_xll.EQNXTDZ($A$1,$B9,H$1,$B$1)</f>
        <v>190.24</v>
      </c>
      <c r="I9">
        <f>_xll.EQNXTDZ($A$1,$B9,I$1,$B$1)</f>
        <v>182.09</v>
      </c>
      <c r="J9">
        <f>_xll.EQNXTDZ($A$1,$B9,J$1,$B$1)</f>
        <v>173.37</v>
      </c>
      <c r="K9">
        <f>_xll.EQNXTDZ($A$1,$B9,K$1,$B$1)</f>
        <v>199.35</v>
      </c>
      <c r="L9">
        <f>_xll.EQNXTDZ($A$1,$B9,L$1,$B$1)</f>
        <v>198.89</v>
      </c>
      <c r="M9">
        <f>_xll.EQNXTDZ($A$1,$B9,M$1,$B$1)</f>
        <v>230.09</v>
      </c>
      <c r="N9">
        <f>_xll.EQNXTDZ($A$1,$B9,N$1,$B$1)</f>
        <v>189.27</v>
      </c>
      <c r="O9">
        <f>_xll.EQNXTDZ($A$1,$B9,O$1,$B$1)</f>
        <v>200.11</v>
      </c>
      <c r="P9">
        <f>_xll.EQNXTDZ($A$1,$B9,P$1,$B$1)</f>
        <v>185.78</v>
      </c>
      <c r="Q9">
        <f>_xll.EQNXTDZ($A$1,$B9,Q$1,$B$1)</f>
        <v>243.65</v>
      </c>
      <c r="R9">
        <f>_xll.EQNXTDZ($A$1,$B9,R$1,$B$1)</f>
        <v>223.12</v>
      </c>
      <c r="S9">
        <f>_xll.EQNXTDZ($A$1,$B9,S$1,$B$1)</f>
        <v>216.74</v>
      </c>
      <c r="T9">
        <f>_xll.EQNXTDZ($A$1,$B9,T$1,$B$1)</f>
        <v>171.59</v>
      </c>
      <c r="U9">
        <f>_xll.EQNXTDZ($A$1,$B9,U$1,$B$1)</f>
        <v>267.62</v>
      </c>
      <c r="V9">
        <f>_xll.EQNXTDZ($A$1,$B9,V$1,$B$1)</f>
        <v>217.5</v>
      </c>
      <c r="W9">
        <f>_xll.EQNXTDZ($A$1,$B9,W$1,$B$1)</f>
        <v>223.1</v>
      </c>
      <c r="X9">
        <f>_xll.EQNXTDZ($A$1,$B9,X$1,$B$1)</f>
        <v>200.5</v>
      </c>
      <c r="Y9">
        <f>_xll.EQNXTDZ($A$1,$B9,Y$1,$B$1)</f>
        <v>328.2</v>
      </c>
      <c r="Z9">
        <f>_xll.EQNXTDZ($A$1,$B9,Z$1,$B$1)</f>
        <v>212.5</v>
      </c>
      <c r="AA9">
        <f>_xll.EQNXTDZ($A$1,$B9,AA$1,$B$1)</f>
        <v>253.6</v>
      </c>
      <c r="AB9">
        <f>_xll.EQNXTDZ($A$1,$B9,AB$1,$B$1)</f>
        <v>280.39999999999998</v>
      </c>
      <c r="AC9">
        <f>_xll.EQNXTDZ($A$1,$B9,AC$1,$B$1)</f>
        <v>346.6</v>
      </c>
      <c r="AD9">
        <f>_xll.EQNXTDZ($A$1,$B9,AD$1,$B$1)</f>
        <v>289.3</v>
      </c>
      <c r="AE9">
        <f>_xll.EQNXTDZ($A$1,$B9,AE$1,$B$1)</f>
        <v>301.8</v>
      </c>
      <c r="AF9">
        <f>_xll.EQNXTDZ($A$1,$B9,AF$1,$B$1)</f>
        <v>365.8</v>
      </c>
      <c r="AG9">
        <f>_xll.EQNXTDZ($A$1,$B9,AG$1,$B$1)</f>
        <v>337</v>
      </c>
      <c r="AH9">
        <f>_xll.EQNXTDZ($A$1,$B9,AH$1,$B$1)</f>
        <v>257</v>
      </c>
      <c r="AI9">
        <f>_xll.EQNXTDZ($A$1,$B9,AI$1,$B$1)</f>
        <v>218.9</v>
      </c>
      <c r="AJ9">
        <f>_xll.EQNXTDZ($A$1,$B9,AJ$1,$B$1)</f>
        <v>362.3</v>
      </c>
      <c r="AK9">
        <f>_xll.EQNXTDZ($A$1,$B9,AK$1,$B$1)</f>
        <v>369.9</v>
      </c>
      <c r="AL9">
        <f>_xll.EQNXTDZ($A$1,$B9,AL$1,$B$1)</f>
        <v>381.6</v>
      </c>
      <c r="AM9">
        <f>_xll.EQNXTDZ($A$1,$B9,AM$1,$B$1)</f>
        <v>303</v>
      </c>
      <c r="AN9">
        <f>_xll.EQNXTDZ($A$1,$B9,AN$1,$B$1)</f>
        <v>368.1</v>
      </c>
      <c r="AO9">
        <f>_xll.EQNXTDZ($A$1,$B9,AO$1,$B$1)</f>
        <v>444.6</v>
      </c>
      <c r="AP9">
        <f>_xll.EQNXTDZ($A$1,$B9,AP$1,$B$1)</f>
        <v>417.7</v>
      </c>
      <c r="AQ9">
        <f>_xll.EQNXTDZ($A$1,$B9,AQ$1,$B$1)</f>
        <v>448.4</v>
      </c>
      <c r="AR9">
        <f>_xll.EQNXTDZ($A$1,$B9,AR$1,$B$1)</f>
        <v>431.3</v>
      </c>
      <c r="AS9">
        <f>_xll.EQNXTDZ($A$1,$B9,AS$1,$B$1)</f>
        <v>524.6</v>
      </c>
      <c r="AT9">
        <f>_xll.EQNXTDZ($A$1,$B9,AT$1,$B$1)</f>
        <v>489.6</v>
      </c>
      <c r="AU9">
        <f>_xll.EQNXTDZ($A$1,$B9,AU$1,$B$1)</f>
        <v>591.29999999999995</v>
      </c>
      <c r="AV9">
        <f>_xll.EQNXTDZ($A$1,$B9,AV$1,$B$1)</f>
        <v>563.70000000000005</v>
      </c>
      <c r="AW9">
        <f>_xll.EQNXTDZ($A$1,$B9,AW$1,$B$1)</f>
        <v>602.6</v>
      </c>
      <c r="AX9">
        <f>_xll.EQNXTDZ($A$1,$B9,AX$1,$B$1)</f>
        <v>544.20000000000005</v>
      </c>
      <c r="AY9">
        <f>_xll.EQNXTDZ($A$1,$B9,AY$1,$B$1)</f>
        <v>646</v>
      </c>
      <c r="AZ9">
        <f>_xll.EQNXTDZ($A$1,$B9,AZ$1,$B$1)</f>
        <v>616.5</v>
      </c>
      <c r="BA9">
        <f>_xll.EQNXTDZ($A$1,$B9,BA$1,$B$1)</f>
        <v>726.4</v>
      </c>
      <c r="BB9">
        <f>_xll.EQNXTDZ($A$1,$B9,BB$1,$B$1)</f>
        <v>595.4</v>
      </c>
      <c r="BC9">
        <f>_xll.EQNXTDZ($A$1,$B9,BC$1,$B$1)</f>
        <v>666.7</v>
      </c>
      <c r="BD9">
        <f>_xll.EQNXTDZ($A$1,$B9,BD$1,$B$1)</f>
        <v>649.6</v>
      </c>
      <c r="BE9">
        <f>_xll.EQNXTDZ($A$1,$B9,BE$1,$B$1)</f>
        <v>784</v>
      </c>
      <c r="BF9">
        <f>_xll.EQNXTDZ($A$1,$B9,BF$1,$B$1)</f>
        <v>601.29999999999995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8.2799999999999994</v>
      </c>
      <c r="D10">
        <f>_xll.EQNXTDZ($A$1,$B10,D$1,$B$1)</f>
        <v>-7.8</v>
      </c>
      <c r="E10">
        <f>_xll.EQNXTDZ($A$1,$B10,E$1,$B$1)</f>
        <v>8.8000000000000007</v>
      </c>
      <c r="F10">
        <f>_xll.EQNXTDZ($A$1,$B10,F$1,$B$1)</f>
        <v>-21.35</v>
      </c>
      <c r="G10">
        <f>_xll.EQNXTDZ($A$1,$B10,G$1,$B$1)</f>
        <v>11.93</v>
      </c>
      <c r="H10">
        <f>_xll.EQNXTDZ($A$1,$B10,H$1,$B$1)</f>
        <v>6</v>
      </c>
      <c r="I10">
        <f>_xll.EQNXTDZ($A$1,$B10,I$1,$B$1)</f>
        <v>7.68</v>
      </c>
      <c r="J10">
        <f>_xll.EQNXTDZ($A$1,$B10,J$1,$B$1)</f>
        <v>-17.34</v>
      </c>
      <c r="K10">
        <f>_xll.EQNXTDZ($A$1,$B10,K$1,$B$1)</f>
        <v>-12.54</v>
      </c>
      <c r="L10">
        <f>_xll.EQNXTDZ($A$1,$B10,L$1,$B$1)</f>
        <v>-14.65</v>
      </c>
      <c r="M10">
        <f>_xll.EQNXTDZ($A$1,$B10,M$1,$B$1)</f>
        <v>24.84</v>
      </c>
      <c r="N10">
        <f>_xll.EQNXTDZ($A$1,$B10,N$1,$B$1)</f>
        <v>-4.4400000000000004</v>
      </c>
      <c r="O10">
        <f>_xll.EQNXTDZ($A$1,$B10,O$1,$B$1)</f>
        <v>7.43</v>
      </c>
      <c r="P10">
        <f>_xll.EQNXTDZ($A$1,$B10,P$1,$B$1)</f>
        <v>-4.0999999999999996</v>
      </c>
      <c r="Q10">
        <f>_xll.EQNXTDZ($A$1,$B10,Q$1,$B$1)</f>
        <v>13.03</v>
      </c>
      <c r="R10">
        <f>_xll.EQNXTDZ($A$1,$B10,R$1,$B$1)</f>
        <v>2.9</v>
      </c>
      <c r="S10">
        <f>_xll.EQNXTDZ($A$1,$B10,S$1,$B$1)</f>
        <v>2.4</v>
      </c>
      <c r="T10">
        <f>_xll.EQNXTDZ($A$1,$B10,T$1,$B$1)</f>
        <v>-31.8</v>
      </c>
      <c r="U10">
        <f>_xll.EQNXTDZ($A$1,$B10,U$1,$B$1)</f>
        <v>14.73</v>
      </c>
      <c r="V10">
        <f>_xll.EQNXTDZ($A$1,$B10,V$1,$B$1)</f>
        <v>-27</v>
      </c>
      <c r="W10">
        <f>_xll.EQNXTDZ($A$1,$B10,W$1,$B$1)</f>
        <v>-32</v>
      </c>
      <c r="X10">
        <f>_xll.EQNXTDZ($A$1,$B10,X$1,$B$1)</f>
        <v>-12.2</v>
      </c>
      <c r="Y10">
        <f>_xll.EQNXTDZ($A$1,$B10,Y$1,$B$1)</f>
        <v>43.8</v>
      </c>
      <c r="Z10">
        <f>_xll.EQNXTDZ($A$1,$B10,Z$1,$B$1)</f>
        <v>-31.1</v>
      </c>
      <c r="AA10">
        <f>_xll.EQNXTDZ($A$1,$B10,AA$1,$B$1)</f>
        <v>-20.8</v>
      </c>
      <c r="AB10">
        <f>_xll.EQNXTDZ($A$1,$B10,AB$1,$B$1)</f>
        <v>-5.3</v>
      </c>
      <c r="AC10">
        <f>_xll.EQNXTDZ($A$1,$B10,AC$1,$B$1)</f>
        <v>23.5</v>
      </c>
      <c r="AD10">
        <f>_xll.EQNXTDZ($A$1,$B10,AD$1,$B$1)</f>
        <v>-5.9</v>
      </c>
      <c r="AE10">
        <f>_xll.EQNXTDZ($A$1,$B10,AE$1,$B$1)</f>
        <v>-20.7</v>
      </c>
      <c r="AF10">
        <f>_xll.EQNXTDZ($A$1,$B10,AF$1,$B$1)</f>
        <v>9.4</v>
      </c>
      <c r="AG10">
        <f>_xll.EQNXTDZ($A$1,$B10,AG$1,$B$1)</f>
        <v>4.4000000000000004</v>
      </c>
      <c r="AH10">
        <f>_xll.EQNXTDZ($A$1,$B10,AH$1,$B$1)</f>
        <v>-27.1</v>
      </c>
      <c r="AI10">
        <f>_xll.EQNXTDZ($A$1,$B10,AI$1,$B$1)</f>
        <v>19.600000000000001</v>
      </c>
      <c r="AJ10">
        <f>_xll.EQNXTDZ($A$1,$B10,AJ$1,$B$1)</f>
        <v>1.3</v>
      </c>
      <c r="AK10">
        <f>_xll.EQNXTDZ($A$1,$B10,AK$1,$B$1)</f>
        <v>-21.6</v>
      </c>
      <c r="AL10">
        <f>_xll.EQNXTDZ($A$1,$B10,AL$1,$B$1)</f>
        <v>-6.4</v>
      </c>
      <c r="AM10">
        <f>_xll.EQNXTDZ($A$1,$B10,AM$1,$B$1)</f>
        <v>-15.8</v>
      </c>
      <c r="AN10">
        <f>_xll.EQNXTDZ($A$1,$B10,AN$1,$B$1)</f>
        <v>-38.799999999999997</v>
      </c>
      <c r="AO10">
        <f>_xll.EQNXTDZ($A$1,$B10,AO$1,$B$1)</f>
        <v>-3.2</v>
      </c>
      <c r="AP10">
        <f>_xll.EQNXTDZ($A$1,$B10,AP$1,$B$1)</f>
        <v>-10.1</v>
      </c>
      <c r="AQ10">
        <f>_xll.EQNXTDZ($A$1,$B10,AQ$1,$B$1)</f>
        <v>-21.9</v>
      </c>
      <c r="AR10">
        <f>_xll.EQNXTDZ($A$1,$B10,AR$1,$B$1)</f>
        <v>-51.5</v>
      </c>
      <c r="AS10">
        <f>_xll.EQNXTDZ($A$1,$B10,AS$1,$B$1)</f>
        <v>8.5</v>
      </c>
      <c r="AT10">
        <f>_xll.EQNXTDZ($A$1,$B10,AT$1,$B$1)</f>
        <v>-1.9</v>
      </c>
      <c r="AU10">
        <f>_xll.EQNXTDZ($A$1,$B10,AU$1,$B$1)</f>
        <v>-11.1</v>
      </c>
      <c r="AV10">
        <f>_xll.EQNXTDZ($A$1,$B10,AV$1,$B$1)</f>
        <v>-10.7</v>
      </c>
      <c r="AW10">
        <f>_xll.EQNXTDZ($A$1,$B10,AW$1,$B$1)</f>
        <v>41.6</v>
      </c>
      <c r="AX10">
        <f>_xll.EQNXTDZ($A$1,$B10,AX$1,$B$1)</f>
        <v>-11.5</v>
      </c>
      <c r="AY10">
        <f>_xll.EQNXTDZ($A$1,$B10,AY$1,$B$1)</f>
        <v>5.4</v>
      </c>
      <c r="AZ10">
        <f>_xll.EQNXTDZ($A$1,$B10,AZ$1,$B$1)</f>
        <v>-31.4</v>
      </c>
      <c r="BA10">
        <f>_xll.EQNXTDZ($A$1,$B10,BA$1,$B$1)</f>
        <v>-0.5</v>
      </c>
      <c r="BB10">
        <f>_xll.EQNXTDZ($A$1,$B10,BB$1,$B$1)</f>
        <v>-39.200000000000003</v>
      </c>
      <c r="BC10">
        <f>_xll.EQNXTDZ($A$1,$B10,BC$1,$B$1)</f>
        <v>-41.4</v>
      </c>
      <c r="BD10">
        <f>_xll.EQNXTDZ($A$1,$B10,BD$1,$B$1)</f>
        <v>-15.6</v>
      </c>
      <c r="BE10">
        <f>_xll.EQNXTDZ($A$1,$B10,BE$1,$B$1)</f>
        <v>3</v>
      </c>
      <c r="BF10">
        <f>_xll.EQNXTDZ($A$1,$B10,BF$1,$B$1)</f>
        <v>-100.1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91.95</v>
      </c>
      <c r="D11">
        <f>_xll.EQNXTDZ($A$1,$B11,D$1,$B$1)</f>
        <v>87.13</v>
      </c>
      <c r="E11">
        <f>_xll.EQNXTDZ($A$1,$B11,E$1,$B$1)</f>
        <v>82.97</v>
      </c>
      <c r="F11">
        <f>_xll.EQNXTDZ($A$1,$B11,F$1,$B$1)</f>
        <v>91.88</v>
      </c>
      <c r="G11">
        <f>_xll.EQNXTDZ($A$1,$B11,G$1,$B$1)</f>
        <v>85.09</v>
      </c>
      <c r="H11">
        <f>_xll.EQNXTDZ($A$1,$B11,H$1,$B$1)</f>
        <v>77.48</v>
      </c>
      <c r="I11">
        <f>_xll.EQNXTDZ($A$1,$B11,I$1,$B$1)</f>
        <v>73.569999999999993</v>
      </c>
      <c r="J11">
        <f>_xll.EQNXTDZ($A$1,$B11,J$1,$B$1)</f>
        <v>86.74</v>
      </c>
      <c r="K11">
        <f>_xll.EQNXTDZ($A$1,$B11,K$1,$B$1)</f>
        <v>94.05</v>
      </c>
      <c r="L11">
        <f>_xll.EQNXTDZ($A$1,$B11,L$1,$B$1)</f>
        <v>94.53</v>
      </c>
      <c r="M11">
        <f>_xll.EQNXTDZ($A$1,$B11,M$1,$B$1)</f>
        <v>89.61</v>
      </c>
      <c r="N11">
        <f>_xll.EQNXTDZ($A$1,$B11,N$1,$B$1)</f>
        <v>92.05</v>
      </c>
      <c r="O11">
        <f>_xll.EQNXTDZ($A$1,$B11,O$1,$B$1)</f>
        <v>82.19</v>
      </c>
      <c r="P11">
        <f>_xll.EQNXTDZ($A$1,$B11,P$1,$B$1)</f>
        <v>75.349999999999994</v>
      </c>
      <c r="Q11">
        <f>_xll.EQNXTDZ($A$1,$B11,Q$1,$B$1)</f>
        <v>96.39</v>
      </c>
      <c r="R11">
        <f>_xll.EQNXTDZ($A$1,$B11,R$1,$B$1)</f>
        <v>87.85</v>
      </c>
      <c r="S11">
        <f>_xll.EQNXTDZ($A$1,$B11,S$1,$B$1)</f>
        <v>85.84</v>
      </c>
      <c r="T11">
        <f>_xll.EQNXTDZ($A$1,$B11,T$1,$B$1)</f>
        <v>94.28</v>
      </c>
      <c r="U11">
        <f>_xll.EQNXTDZ($A$1,$B11,U$1,$B$1)</f>
        <v>91.55</v>
      </c>
      <c r="V11">
        <f>_xll.EQNXTDZ($A$1,$B11,V$1,$B$1)</f>
        <v>107.5</v>
      </c>
      <c r="W11">
        <f>_xll.EQNXTDZ($A$1,$B11,W$1,$B$1)</f>
        <v>115.9</v>
      </c>
      <c r="X11">
        <f>_xll.EQNXTDZ($A$1,$B11,X$1,$B$1)</f>
        <v>94</v>
      </c>
      <c r="Y11">
        <f>_xll.EQNXTDZ($A$1,$B11,Y$1,$B$1)</f>
        <v>112.8</v>
      </c>
      <c r="Z11">
        <f>_xll.EQNXTDZ($A$1,$B11,Z$1,$B$1)</f>
        <v>109.1</v>
      </c>
      <c r="AA11">
        <f>_xll.EQNXTDZ($A$1,$B11,AA$1,$B$1)</f>
        <v>130.6</v>
      </c>
      <c r="AB11">
        <f>_xll.EQNXTDZ($A$1,$B11,AB$1,$B$1)</f>
        <v>133.69999999999999</v>
      </c>
      <c r="AC11">
        <f>_xll.EQNXTDZ($A$1,$B11,AC$1,$B$1)</f>
        <v>147</v>
      </c>
      <c r="AD11">
        <f>_xll.EQNXTDZ($A$1,$B11,AD$1,$B$1)</f>
        <v>139.80000000000001</v>
      </c>
      <c r="AE11">
        <f>_xll.EQNXTDZ($A$1,$B11,AE$1,$B$1)</f>
        <v>152.5</v>
      </c>
      <c r="AF11">
        <f>_xll.EQNXTDZ($A$1,$B11,AF$1,$B$1)</f>
        <v>173.8</v>
      </c>
      <c r="AG11">
        <f>_xll.EQNXTDZ($A$1,$B11,AG$1,$B$1)</f>
        <v>138.80000000000001</v>
      </c>
      <c r="AH11">
        <f>_xll.EQNXTDZ($A$1,$B11,AH$1,$B$1)</f>
        <v>140.9</v>
      </c>
      <c r="AI11">
        <f>_xll.EQNXTDZ($A$1,$B11,AI$1,$B$1)</f>
        <v>90.5</v>
      </c>
      <c r="AJ11">
        <f>_xll.EQNXTDZ($A$1,$B11,AJ$1,$B$1)</f>
        <v>158.30000000000001</v>
      </c>
      <c r="AK11">
        <f>_xll.EQNXTDZ($A$1,$B11,AK$1,$B$1)</f>
        <v>161.6</v>
      </c>
      <c r="AL11">
        <f>_xll.EQNXTDZ($A$1,$B11,AL$1,$B$1)</f>
        <v>176.4</v>
      </c>
      <c r="AM11">
        <f>_xll.EQNXTDZ($A$1,$B11,AM$1,$B$1)</f>
        <v>130</v>
      </c>
      <c r="AN11">
        <f>_xll.EQNXTDZ($A$1,$B11,AN$1,$B$1)</f>
        <v>204.2</v>
      </c>
      <c r="AO11">
        <f>_xll.EQNXTDZ($A$1,$B11,AO$1,$B$1)</f>
        <v>210.7</v>
      </c>
      <c r="AP11">
        <f>_xll.EQNXTDZ($A$1,$B11,AP$1,$B$1)</f>
        <v>198</v>
      </c>
      <c r="AQ11">
        <f>_xll.EQNXTDZ($A$1,$B11,AQ$1,$B$1)</f>
        <v>223.2</v>
      </c>
      <c r="AR11">
        <f>_xll.EQNXTDZ($A$1,$B11,AR$1,$B$1)</f>
        <v>240.7</v>
      </c>
      <c r="AS11">
        <f>_xll.EQNXTDZ($A$1,$B11,AS$1,$B$1)</f>
        <v>232.3</v>
      </c>
      <c r="AT11">
        <f>_xll.EQNXTDZ($A$1,$B11,AT$1,$B$1)</f>
        <v>239.8</v>
      </c>
      <c r="AU11">
        <f>_xll.EQNXTDZ($A$1,$B11,AU$1,$B$1)</f>
        <v>283.5</v>
      </c>
      <c r="AV11">
        <f>_xll.EQNXTDZ($A$1,$B11,AV$1,$B$1)</f>
        <v>283.60000000000002</v>
      </c>
      <c r="AW11">
        <f>_xll.EQNXTDZ($A$1,$B11,AW$1,$B$1)</f>
        <v>262</v>
      </c>
      <c r="AX11">
        <f>_xll.EQNXTDZ($A$1,$B11,AX$1,$B$1)</f>
        <v>278.5</v>
      </c>
      <c r="AY11">
        <f>_xll.EQNXTDZ($A$1,$B11,AY$1,$B$1)</f>
        <v>289.10000000000002</v>
      </c>
      <c r="AZ11">
        <f>_xll.EQNXTDZ($A$1,$B11,AZ$1,$B$1)</f>
        <v>294.8</v>
      </c>
      <c r="BA11">
        <f>_xll.EQNXTDZ($A$1,$B11,BA$1,$B$1)</f>
        <v>341</v>
      </c>
      <c r="BB11">
        <f>_xll.EQNXTDZ($A$1,$B11,BB$1,$B$1)</f>
        <v>305.7</v>
      </c>
      <c r="BC11">
        <f>_xll.EQNXTDZ($A$1,$B11,BC$1,$B$1)</f>
        <v>324.7</v>
      </c>
      <c r="BD11">
        <f>_xll.EQNXTDZ($A$1,$B11,BD$1,$B$1)</f>
        <v>295.39999999999998</v>
      </c>
      <c r="BE11">
        <f>_xll.EQNXTDZ($A$1,$B11,BE$1,$B$1)</f>
        <v>348.8</v>
      </c>
      <c r="BF11">
        <f>_xll.EQNXTDZ($A$1,$B11,BF$1,$B$1)</f>
        <v>358.1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1.88</v>
      </c>
      <c r="D12">
        <f>_xll.EQNXTDZ($A$1,$B12,D$1,$B$1)</f>
        <v>2.2599999999999998</v>
      </c>
      <c r="E12">
        <f>_xll.EQNXTDZ($A$1,$B12,E$1,$B$1)</f>
        <v>4.2300000000000004</v>
      </c>
      <c r="F12">
        <f>_xll.EQNXTDZ($A$1,$B12,F$1,$B$1)</f>
        <v>1.71</v>
      </c>
      <c r="G12">
        <f>_xll.EQNXTDZ($A$1,$B12,G$1,$B$1)</f>
        <v>0.31</v>
      </c>
      <c r="H12">
        <f>_xll.EQNXTDZ($A$1,$B12,H$1,$B$1)</f>
        <v>2.52</v>
      </c>
      <c r="I12">
        <f>_xll.EQNXTDZ($A$1,$B12,I$1,$B$1)</f>
        <v>7.51</v>
      </c>
      <c r="J12">
        <f>_xll.EQNXTDZ($A$1,$B12,J$1,$B$1)</f>
        <v>8.42</v>
      </c>
      <c r="K12">
        <f>_xll.EQNXTDZ($A$1,$B12,K$1,$B$1)</f>
        <v>8.43</v>
      </c>
      <c r="L12">
        <f>_xll.EQNXTDZ($A$1,$B12,L$1,$B$1)</f>
        <v>9.69</v>
      </c>
      <c r="M12">
        <f>_xll.EQNXTDZ($A$1,$B12,M$1,$B$1)</f>
        <v>7.15</v>
      </c>
      <c r="N12">
        <f>_xll.EQNXTDZ($A$1,$B12,N$1,$B$1)</f>
        <v>6.56</v>
      </c>
      <c r="O12">
        <f>_xll.EQNXTDZ($A$1,$B12,O$1,$B$1)</f>
        <v>7.62</v>
      </c>
      <c r="P12">
        <f>_xll.EQNXTDZ($A$1,$B12,P$1,$B$1)</f>
        <v>7.62</v>
      </c>
      <c r="Q12">
        <f>_xll.EQNXTDZ($A$1,$B12,Q$1,$B$1)</f>
        <v>9.07</v>
      </c>
      <c r="R12">
        <f>_xll.EQNXTDZ($A$1,$B12,R$1,$B$1)</f>
        <v>9.4700000000000006</v>
      </c>
      <c r="S12">
        <f>_xll.EQNXTDZ($A$1,$B12,S$1,$B$1)</f>
        <v>8.74</v>
      </c>
      <c r="T12">
        <f>_xll.EQNXTDZ($A$1,$B12,T$1,$B$1)</f>
        <v>6.12</v>
      </c>
      <c r="U12">
        <f>_xll.EQNXTDZ($A$1,$B12,U$1,$B$1)</f>
        <v>14.94</v>
      </c>
      <c r="V12">
        <f>_xll.EQNXTDZ($A$1,$B12,V$1,$B$1)</f>
        <v>12.1</v>
      </c>
      <c r="W12">
        <f>_xll.EQNXTDZ($A$1,$B12,W$1,$B$1)</f>
        <v>19.7</v>
      </c>
      <c r="X12">
        <f>_xll.EQNXTDZ($A$1,$B12,X$1,$B$1)</f>
        <v>14.4</v>
      </c>
      <c r="Y12">
        <f>_xll.EQNXTDZ($A$1,$B12,Y$1,$B$1)</f>
        <v>18.100000000000001</v>
      </c>
      <c r="Z12">
        <f>_xll.EQNXTDZ($A$1,$B12,Z$1,$B$1)</f>
        <v>19.600000000000001</v>
      </c>
      <c r="AA12">
        <f>_xll.EQNXTDZ($A$1,$B12,AA$1,$B$1)</f>
        <v>18.899999999999999</v>
      </c>
      <c r="AB12">
        <f>_xll.EQNXTDZ($A$1,$B12,AB$1,$B$1)</f>
        <v>16.5</v>
      </c>
      <c r="AC12">
        <f>_xll.EQNXTDZ($A$1,$B12,AC$1,$B$1)</f>
        <v>23.4</v>
      </c>
      <c r="AD12">
        <f>_xll.EQNXTDZ($A$1,$B12,AD$1,$B$1)</f>
        <v>21.3</v>
      </c>
      <c r="AE12">
        <f>_xll.EQNXTDZ($A$1,$B12,AE$1,$B$1)</f>
        <v>29</v>
      </c>
      <c r="AF12">
        <f>_xll.EQNXTDZ($A$1,$B12,AF$1,$B$1)</f>
        <v>25</v>
      </c>
      <c r="AG12">
        <f>_xll.EQNXTDZ($A$1,$B12,AG$1,$B$1)</f>
        <v>30.9</v>
      </c>
      <c r="AH12">
        <f>_xll.EQNXTDZ($A$1,$B12,AH$1,$B$1)</f>
        <v>17</v>
      </c>
      <c r="AI12">
        <f>_xll.EQNXTDZ($A$1,$B12,AI$1,$B$1)</f>
        <v>15.2</v>
      </c>
      <c r="AJ12">
        <f>_xll.EQNXTDZ($A$1,$B12,AJ$1,$B$1)</f>
        <v>34.6</v>
      </c>
      <c r="AK12">
        <f>_xll.EQNXTDZ($A$1,$B12,AK$1,$B$1)</f>
        <v>30.3</v>
      </c>
      <c r="AL12">
        <f>_xll.EQNXTDZ($A$1,$B12,AL$1,$B$1)</f>
        <v>19.100000000000001</v>
      </c>
      <c r="AM12">
        <f>_xll.EQNXTDZ($A$1,$B12,AM$1,$B$1)</f>
        <v>42.7</v>
      </c>
      <c r="AN12">
        <f>_xll.EQNXTDZ($A$1,$B12,AN$1,$B$1)</f>
        <v>31.5</v>
      </c>
      <c r="AO12">
        <f>_xll.EQNXTDZ($A$1,$B12,AO$1,$B$1)</f>
        <v>42</v>
      </c>
      <c r="AP12">
        <f>_xll.EQNXTDZ($A$1,$B12,AP$1,$B$1)</f>
        <v>38.5</v>
      </c>
      <c r="AQ12">
        <f>_xll.EQNXTDZ($A$1,$B12,AQ$1,$B$1)</f>
        <v>49.9</v>
      </c>
      <c r="AR12">
        <f>_xll.EQNXTDZ($A$1,$B12,AR$1,$B$1)</f>
        <v>43.5</v>
      </c>
      <c r="AS12">
        <f>_xll.EQNXTDZ($A$1,$B12,AS$1,$B$1)</f>
        <v>36.9</v>
      </c>
      <c r="AT12">
        <f>_xll.EQNXTDZ($A$1,$B12,AT$1,$B$1)</f>
        <v>33.200000000000003</v>
      </c>
      <c r="AU12">
        <f>_xll.EQNXTDZ($A$1,$B12,AU$1,$B$1)</f>
        <v>60.5</v>
      </c>
      <c r="AV12">
        <f>_xll.EQNXTDZ($A$1,$B12,AV$1,$B$1)</f>
        <v>44.1</v>
      </c>
      <c r="AW12">
        <f>_xll.EQNXTDZ($A$1,$B12,AW$1,$B$1)</f>
        <v>52.9</v>
      </c>
      <c r="AX12">
        <f>_xll.EQNXTDZ($A$1,$B12,AX$1,$B$1)</f>
        <v>47.2</v>
      </c>
      <c r="AY12">
        <f>_xll.EQNXTDZ($A$1,$B12,AY$1,$B$1)</f>
        <v>69.599999999999994</v>
      </c>
      <c r="AZ12">
        <f>_xll.EQNXTDZ($A$1,$B12,AZ$1,$B$1)</f>
        <v>69.2</v>
      </c>
      <c r="BA12">
        <f>_xll.EQNXTDZ($A$1,$B12,BA$1,$B$1)</f>
        <v>70.7</v>
      </c>
      <c r="BB12">
        <f>_xll.EQNXTDZ($A$1,$B12,BB$1,$B$1)</f>
        <v>56.8</v>
      </c>
      <c r="BC12">
        <f>_xll.EQNXTDZ($A$1,$B12,BC$1,$B$1)</f>
        <v>85.1</v>
      </c>
      <c r="BD12">
        <f>_xll.EQNXTDZ($A$1,$B12,BD$1,$B$1)</f>
        <v>61</v>
      </c>
      <c r="BE12">
        <f>_xll.EQNXTDZ($A$1,$B12,BE$1,$B$1)</f>
        <v>72</v>
      </c>
      <c r="BF12">
        <f>_xll.EQNXTDZ($A$1,$B12,BF$1,$B$1)</f>
        <v>68.7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13.02</v>
      </c>
      <c r="S13">
        <f>_xll.EQNXTDZ($A$1,$B13,S$1,$B$1)</f>
        <v>13.71</v>
      </c>
      <c r="T13">
        <f>_xll.EQNXTDZ($A$1,$B13,T$1,$B$1)</f>
        <v>10.6</v>
      </c>
      <c r="U13">
        <f>_xll.EQNXTDZ($A$1,$B13,U$1,$B$1)</f>
        <v>16.96</v>
      </c>
      <c r="V13">
        <f>_xll.EQNXTDZ($A$1,$B13,V$1,$B$1)</f>
        <v>12.1</v>
      </c>
      <c r="W13">
        <f>_xll.EQNXTDZ($A$1,$B13,W$1,$B$1)</f>
        <v>12.9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34.83</v>
      </c>
      <c r="D14">
        <f>_xll.EQNXTDZ($A$1,$B14,D$1,$B$1)</f>
        <v>40.74</v>
      </c>
      <c r="E14">
        <f>_xll.EQNXTDZ($A$1,$B14,E$1,$B$1)</f>
        <v>44.25</v>
      </c>
      <c r="F14">
        <f>_xll.EQNXTDZ($A$1,$B14,F$1,$B$1)</f>
        <v>41.57</v>
      </c>
      <c r="G14">
        <f>_xll.EQNXTDZ($A$1,$B14,G$1,$B$1)</f>
        <v>42.57</v>
      </c>
      <c r="H14">
        <f>_xll.EQNXTDZ($A$1,$B14,H$1,$B$1)</f>
        <v>46.26</v>
      </c>
      <c r="I14">
        <f>_xll.EQNXTDZ($A$1,$B14,I$1,$B$1)</f>
        <v>45.98</v>
      </c>
      <c r="J14">
        <f>_xll.EQNXTDZ($A$1,$B14,J$1,$B$1)</f>
        <v>39.340000000000003</v>
      </c>
      <c r="K14">
        <f>_xll.EQNXTDZ($A$1,$B14,K$1,$B$1)</f>
        <v>47.79</v>
      </c>
      <c r="L14">
        <f>_xll.EQNXTDZ($A$1,$B14,L$1,$B$1)</f>
        <v>50.77</v>
      </c>
      <c r="M14">
        <f>_xll.EQNXTDZ($A$1,$B14,M$1,$B$1)</f>
        <v>58.53</v>
      </c>
      <c r="N14">
        <f>_xll.EQNXTDZ($A$1,$B14,N$1,$B$1)</f>
        <v>49.57</v>
      </c>
      <c r="O14">
        <f>_xll.EQNXTDZ($A$1,$B14,O$1,$B$1)</f>
        <v>49.28</v>
      </c>
      <c r="P14">
        <f>_xll.EQNXTDZ($A$1,$B14,P$1,$B$1)</f>
        <v>46.12</v>
      </c>
      <c r="Q14">
        <f>_xll.EQNXTDZ($A$1,$B14,Q$1,$B$1)</f>
        <v>56.17</v>
      </c>
      <c r="R14">
        <f>_xll.EQNXTDZ($A$1,$B14,R$1,$B$1)</f>
        <v>49.86</v>
      </c>
      <c r="S14">
        <f>_xll.EQNXTDZ($A$1,$B14,S$1,$B$1)</f>
        <v>47.01</v>
      </c>
      <c r="T14">
        <f>_xll.EQNXTDZ($A$1,$B14,T$1,$B$1)</f>
        <v>44.11</v>
      </c>
      <c r="U14">
        <f>_xll.EQNXTDZ($A$1,$B14,U$1,$B$1)</f>
        <v>55.48</v>
      </c>
      <c r="V14">
        <f>_xll.EQNXTDZ($A$1,$B14,V$1,$B$1)</f>
        <v>56.9</v>
      </c>
      <c r="W14">
        <f>_xll.EQNXTDZ($A$1,$B14,W$1,$B$1)</f>
        <v>46</v>
      </c>
      <c r="X14">
        <f>_xll.EQNXTDZ($A$1,$B14,X$1,$B$1)</f>
        <v>47.4</v>
      </c>
      <c r="Y14">
        <f>_xll.EQNXTDZ($A$1,$B14,Y$1,$B$1)</f>
        <v>74.7</v>
      </c>
      <c r="Z14">
        <f>_xll.EQNXTDZ($A$1,$B14,Z$1,$B$1)</f>
        <v>59.3</v>
      </c>
      <c r="AA14">
        <f>_xll.EQNXTDZ($A$1,$B14,AA$1,$B$1)</f>
        <v>57.5</v>
      </c>
      <c r="AB14">
        <f>_xll.EQNXTDZ($A$1,$B14,AB$1,$B$1)</f>
        <v>64</v>
      </c>
      <c r="AC14">
        <f>_xll.EQNXTDZ($A$1,$B14,AC$1,$B$1)</f>
        <v>64.8</v>
      </c>
      <c r="AD14">
        <f>_xll.EQNXTDZ($A$1,$B14,AD$1,$B$1)</f>
        <v>60.6</v>
      </c>
      <c r="AE14">
        <f>_xll.EQNXTDZ($A$1,$B14,AE$1,$B$1)</f>
        <v>63.4</v>
      </c>
      <c r="AF14">
        <f>_xll.EQNXTDZ($A$1,$B14,AF$1,$B$1)</f>
        <v>75</v>
      </c>
      <c r="AG14">
        <f>_xll.EQNXTDZ($A$1,$B14,AG$1,$B$1)</f>
        <v>68.400000000000006</v>
      </c>
      <c r="AH14">
        <f>_xll.EQNXTDZ($A$1,$B14,AH$1,$B$1)</f>
        <v>61.7</v>
      </c>
      <c r="AI14">
        <f>_xll.EQNXTDZ($A$1,$B14,AI$1,$B$1)</f>
        <v>35</v>
      </c>
      <c r="AJ14">
        <f>_xll.EQNXTDZ($A$1,$B14,AJ$1,$B$1)</f>
        <v>59.5</v>
      </c>
      <c r="AK14">
        <f>_xll.EQNXTDZ($A$1,$B14,AK$1,$B$1)</f>
        <v>78.3</v>
      </c>
      <c r="AL14">
        <f>_xll.EQNXTDZ($A$1,$B14,AL$1,$B$1)</f>
        <v>78.5</v>
      </c>
      <c r="AM14">
        <f>_xll.EQNXTDZ($A$1,$B14,AM$1,$B$1)</f>
        <v>56.5</v>
      </c>
      <c r="AN14">
        <f>_xll.EQNXTDZ($A$1,$B14,AN$1,$B$1)</f>
        <v>66.099999999999994</v>
      </c>
      <c r="AO14">
        <f>_xll.EQNXTDZ($A$1,$B14,AO$1,$B$1)</f>
        <v>79</v>
      </c>
      <c r="AP14">
        <f>_xll.EQNXTDZ($A$1,$B14,AP$1,$B$1)</f>
        <v>80.400000000000006</v>
      </c>
      <c r="AQ14">
        <f>_xll.EQNXTDZ($A$1,$B14,AQ$1,$B$1)</f>
        <v>75.5</v>
      </c>
      <c r="AR14">
        <f>_xll.EQNXTDZ($A$1,$B14,AR$1,$B$1)</f>
        <v>84.8</v>
      </c>
      <c r="AS14">
        <f>_xll.EQNXTDZ($A$1,$B14,AS$1,$B$1)</f>
        <v>102.7</v>
      </c>
      <c r="AT14">
        <f>_xll.EQNXTDZ($A$1,$B14,AT$1,$B$1)</f>
        <v>95.2</v>
      </c>
      <c r="AU14">
        <f>_xll.EQNXTDZ($A$1,$B14,AU$1,$B$1)</f>
        <v>106.4</v>
      </c>
      <c r="AV14">
        <f>_xll.EQNXTDZ($A$1,$B14,AV$1,$B$1)</f>
        <v>108.4</v>
      </c>
      <c r="AW14">
        <f>_xll.EQNXTDZ($A$1,$B14,AW$1,$B$1)</f>
        <v>96.4</v>
      </c>
      <c r="AX14">
        <f>_xll.EQNXTDZ($A$1,$B14,AX$1,$B$1)</f>
        <v>93.4</v>
      </c>
      <c r="AY14">
        <f>_xll.EQNXTDZ($A$1,$B14,AY$1,$B$1)</f>
        <v>115.8</v>
      </c>
      <c r="AZ14">
        <f>_xll.EQNXTDZ($A$1,$B14,AZ$1,$B$1)</f>
        <v>116.7</v>
      </c>
      <c r="BA14">
        <f>_xll.EQNXTDZ($A$1,$B14,BA$1,$B$1)</f>
        <v>134</v>
      </c>
      <c r="BB14">
        <f>_xll.EQNXTDZ($A$1,$B14,BB$1,$B$1)</f>
        <v>111.6</v>
      </c>
      <c r="BC14">
        <f>_xll.EQNXTDZ($A$1,$B14,BC$1,$B$1)</f>
        <v>120.5</v>
      </c>
      <c r="BD14">
        <f>_xll.EQNXTDZ($A$1,$B14,BD$1,$B$1)</f>
        <v>129.9</v>
      </c>
      <c r="BE14">
        <f>_xll.EQNXTDZ($A$1,$B14,BE$1,$B$1)</f>
        <v>139.6</v>
      </c>
      <c r="BF14">
        <f>_xll.EQNXTDZ($A$1,$B14,BF$1,$B$1)</f>
        <v>127.8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25.72</v>
      </c>
      <c r="D16">
        <f>_xll.EQNXTDZ($A$1,$B16,D$1,$B$1)</f>
        <v>24.68</v>
      </c>
      <c r="E16">
        <f>_xll.EQNXTDZ($A$1,$B16,E$1,$B$1)</f>
        <v>24.42</v>
      </c>
      <c r="F16">
        <f>_xll.EQNXTDZ($A$1,$B16,F$1,$B$1)</f>
        <v>28.26</v>
      </c>
      <c r="G16">
        <f>_xll.EQNXTDZ($A$1,$B16,G$1,$B$1)</f>
        <v>28.39</v>
      </c>
      <c r="H16">
        <f>_xll.EQNXTDZ($A$1,$B16,H$1,$B$1)</f>
        <v>27.78</v>
      </c>
      <c r="I16">
        <f>_xll.EQNXTDZ($A$1,$B16,I$1,$B$1)</f>
        <v>25.63</v>
      </c>
      <c r="J16">
        <f>_xll.EQNXTDZ($A$1,$B16,J$1,$B$1)</f>
        <v>31.08</v>
      </c>
      <c r="K16">
        <f>_xll.EQNXTDZ($A$1,$B16,K$1,$B$1)</f>
        <v>32.28</v>
      </c>
      <c r="L16">
        <f>_xll.EQNXTDZ($A$1,$B16,L$1,$B$1)</f>
        <v>31.52</v>
      </c>
      <c r="M16">
        <f>_xll.EQNXTDZ($A$1,$B16,M$1,$B$1)</f>
        <v>32.159999999999997</v>
      </c>
      <c r="N16">
        <f>_xll.EQNXTDZ($A$1,$B16,N$1,$B$1)</f>
        <v>33.36</v>
      </c>
      <c r="O16">
        <f>_xll.EQNXTDZ($A$1,$B16,O$1,$B$1)</f>
        <v>31.76</v>
      </c>
      <c r="P16">
        <f>_xll.EQNXTDZ($A$1,$B16,P$1,$B$1)</f>
        <v>31.65</v>
      </c>
      <c r="Q16">
        <f>_xll.EQNXTDZ($A$1,$B16,Q$1,$B$1)</f>
        <v>28.01</v>
      </c>
      <c r="R16">
        <f>_xll.EQNXTDZ($A$1,$B16,R$1,$B$1)</f>
        <v>33.369999999999997</v>
      </c>
      <c r="S16">
        <f>_xll.EQNXTDZ($A$1,$B16,S$1,$B$1)</f>
        <v>32.44</v>
      </c>
      <c r="T16">
        <f>_xll.EQNXTDZ($A$1,$B16,T$1,$B$1)</f>
        <v>33.85</v>
      </c>
      <c r="U16">
        <f>_xll.EQNXTDZ($A$1,$B16,U$1,$B$1)</f>
        <v>36.35</v>
      </c>
      <c r="V16">
        <f>_xll.EQNXTDZ($A$1,$B16,V$1,$B$1)</f>
        <v>35.5</v>
      </c>
      <c r="W16">
        <f>_xll.EQNXTDZ($A$1,$B16,W$1,$B$1)</f>
        <v>36.799999999999997</v>
      </c>
      <c r="X16">
        <f>_xll.EQNXTDZ($A$1,$B16,X$1,$B$1)</f>
        <v>35.799999999999997</v>
      </c>
      <c r="Y16">
        <f>_xll.EQNXTDZ($A$1,$B16,Y$1,$B$1)</f>
        <v>36.5</v>
      </c>
      <c r="Z16">
        <f>_xll.EQNXTDZ($A$1,$B16,Z$1,$B$1)</f>
        <v>35.799999999999997</v>
      </c>
      <c r="AA16">
        <f>_xll.EQNXTDZ($A$1,$B16,AA$1,$B$1)</f>
        <v>38.799999999999997</v>
      </c>
      <c r="AB16">
        <f>_xll.EQNXTDZ($A$1,$B16,AB$1,$B$1)</f>
        <v>39.4</v>
      </c>
      <c r="AC16">
        <f>_xll.EQNXTDZ($A$1,$B16,AC$1,$B$1)</f>
        <v>40</v>
      </c>
      <c r="AD16">
        <f>_xll.EQNXTDZ($A$1,$B16,AD$1,$B$1)</f>
        <v>41.7</v>
      </c>
      <c r="AE16">
        <f>_xll.EQNXTDZ($A$1,$B16,AE$1,$B$1)</f>
        <v>45.5</v>
      </c>
      <c r="AF16">
        <f>_xll.EQNXTDZ($A$1,$B16,AF$1,$B$1)</f>
        <v>43.9</v>
      </c>
      <c r="AG16">
        <f>_xll.EQNXTDZ($A$1,$B16,AG$1,$B$1)</f>
        <v>46.8</v>
      </c>
      <c r="AH16">
        <f>_xll.EQNXTDZ($A$1,$B16,AH$1,$B$1)</f>
        <v>46.5</v>
      </c>
      <c r="AI16">
        <f>_xll.EQNXTDZ($A$1,$B16,AI$1,$B$1)</f>
        <v>45</v>
      </c>
      <c r="AJ16">
        <f>_xll.EQNXTDZ($A$1,$B16,AJ$1,$B$1)</f>
        <v>47.7</v>
      </c>
      <c r="AK16">
        <f>_xll.EQNXTDZ($A$1,$B16,AK$1,$B$1)</f>
        <v>46</v>
      </c>
      <c r="AL16">
        <f>_xll.EQNXTDZ($A$1,$B16,AL$1,$B$1)</f>
        <v>52</v>
      </c>
      <c r="AM16">
        <f>_xll.EQNXTDZ($A$1,$B16,AM$1,$B$1)</f>
        <v>50.3</v>
      </c>
      <c r="AN16">
        <f>_xll.EQNXTDZ($A$1,$B16,AN$1,$B$1)</f>
        <v>53.4</v>
      </c>
      <c r="AO16">
        <f>_xll.EQNXTDZ($A$1,$B16,AO$1,$B$1)</f>
        <v>59.7</v>
      </c>
      <c r="AP16">
        <f>_xll.EQNXTDZ($A$1,$B16,AP$1,$B$1)</f>
        <v>56.2</v>
      </c>
      <c r="AQ16">
        <f>_xll.EQNXTDZ($A$1,$B16,AQ$1,$B$1)</f>
        <v>60.6</v>
      </c>
      <c r="AR16">
        <f>_xll.EQNXTDZ($A$1,$B16,AR$1,$B$1)</f>
        <v>59.7</v>
      </c>
      <c r="AS16">
        <f>_xll.EQNXTDZ($A$1,$B16,AS$1,$B$1)</f>
        <v>67.400000000000006</v>
      </c>
      <c r="AT16">
        <f>_xll.EQNXTDZ($A$1,$B16,AT$1,$B$1)</f>
        <v>66.099999999999994</v>
      </c>
      <c r="AU16">
        <f>_xll.EQNXTDZ($A$1,$B16,AU$1,$B$1)</f>
        <v>66.8</v>
      </c>
      <c r="AV16">
        <f>_xll.EQNXTDZ($A$1,$B16,AV$1,$B$1)</f>
        <v>68</v>
      </c>
      <c r="AW16">
        <f>_xll.EQNXTDZ($A$1,$B16,AW$1,$B$1)</f>
        <v>68.8</v>
      </c>
      <c r="AX16">
        <f>_xll.EQNXTDZ($A$1,$B16,AX$1,$B$1)</f>
        <v>75.7</v>
      </c>
      <c r="AY16">
        <f>_xll.EQNXTDZ($A$1,$B16,AY$1,$B$1)</f>
        <v>75.5</v>
      </c>
      <c r="AZ16">
        <f>_xll.EQNXTDZ($A$1,$B16,AZ$1,$B$1)</f>
        <v>79.599999999999994</v>
      </c>
      <c r="BA16">
        <f>_xll.EQNXTDZ($A$1,$B16,BA$1,$B$1)</f>
        <v>82.8</v>
      </c>
      <c r="BB16">
        <f>_xll.EQNXTDZ($A$1,$B16,BB$1,$B$1)</f>
        <v>92.8</v>
      </c>
      <c r="BC16">
        <f>_xll.EQNXTDZ($A$1,$B16,BC$1,$B$1)</f>
        <v>86.4</v>
      </c>
      <c r="BD16">
        <f>_xll.EQNXTDZ($A$1,$B16,BD$1,$B$1)</f>
        <v>94.1</v>
      </c>
      <c r="BE16">
        <f>_xll.EQNXTDZ($A$1,$B16,BE$1,$B$1)</f>
        <v>91</v>
      </c>
      <c r="BF16">
        <f>_xll.EQNXTDZ($A$1,$B16,BF$1,$B$1)</f>
        <v>96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24.72</v>
      </c>
      <c r="D22">
        <f>_xll.EQNXTDZ($A$1,$B22,D$1,$B$1)</f>
        <v>22.73</v>
      </c>
      <c r="E22">
        <f>_xll.EQNXTDZ($A$1,$B22,E$1,$B$1)</f>
        <v>29.91</v>
      </c>
      <c r="F22">
        <f>_xll.EQNXTDZ($A$1,$B22,F$1,$B$1)</f>
        <v>21.72</v>
      </c>
      <c r="G22">
        <f>_xll.EQNXTDZ($A$1,$B22,G$1,$B$1)</f>
        <v>26.93</v>
      </c>
      <c r="H22">
        <f>_xll.EQNXTDZ($A$1,$B22,H$1,$B$1)</f>
        <v>30.2</v>
      </c>
      <c r="I22">
        <f>_xll.EQNXTDZ($A$1,$B22,I$1,$B$1)</f>
        <v>21.72</v>
      </c>
      <c r="J22">
        <f>_xll.EQNXTDZ($A$1,$B22,J$1,$B$1)</f>
        <v>25.13</v>
      </c>
      <c r="K22">
        <f>_xll.EQNXTDZ($A$1,$B22,K$1,$B$1)</f>
        <v>29.34</v>
      </c>
      <c r="L22">
        <f>_xll.EQNXTDZ($A$1,$B22,L$1,$B$1)</f>
        <v>27.03</v>
      </c>
      <c r="M22">
        <f>_xll.EQNXTDZ($A$1,$B22,M$1,$B$1)</f>
        <v>17.8</v>
      </c>
      <c r="N22">
        <f>_xll.EQNXTDZ($A$1,$B22,N$1,$B$1)</f>
        <v>12.17</v>
      </c>
      <c r="O22">
        <f>_xll.EQNXTDZ($A$1,$B22,O$1,$B$1)</f>
        <v>21.83</v>
      </c>
      <c r="P22">
        <f>_xll.EQNXTDZ($A$1,$B22,P$1,$B$1)</f>
        <v>29.14</v>
      </c>
      <c r="Q22">
        <f>_xll.EQNXTDZ($A$1,$B22,Q$1,$B$1)</f>
        <v>40.98</v>
      </c>
      <c r="R22">
        <f>_xll.EQNXTDZ($A$1,$B22,R$1,$B$1)</f>
        <v>26.65</v>
      </c>
      <c r="S22">
        <f>_xll.EQNXTDZ($A$1,$B22,S$1,$B$1)</f>
        <v>26.6</v>
      </c>
      <c r="T22">
        <f>_xll.EQNXTDZ($A$1,$B22,T$1,$B$1)</f>
        <v>14.43</v>
      </c>
      <c r="U22">
        <f>_xll.EQNXTDZ($A$1,$B22,U$1,$B$1)</f>
        <v>37.61</v>
      </c>
      <c r="V22">
        <f>_xll.EQNXTDZ($A$1,$B22,V$1,$B$1)</f>
        <v>20.399999999999999</v>
      </c>
      <c r="W22">
        <f>_xll.EQNXTDZ($A$1,$B22,W$1,$B$1)</f>
        <v>23.8</v>
      </c>
      <c r="X22">
        <f>_xll.EQNXTDZ($A$1,$B22,X$1,$B$1)</f>
        <v>21.1</v>
      </c>
      <c r="Y22">
        <f>_xll.EQNXTDZ($A$1,$B22,Y$1,$B$1)</f>
        <v>42.3</v>
      </c>
      <c r="Z22">
        <f>_xll.EQNXTDZ($A$1,$B22,Z$1,$B$1)</f>
        <v>19.8</v>
      </c>
      <c r="AA22">
        <f>_xll.EQNXTDZ($A$1,$B22,AA$1,$B$1)</f>
        <v>28.6</v>
      </c>
      <c r="AB22">
        <f>_xll.EQNXTDZ($A$1,$B22,AB$1,$B$1)</f>
        <v>32.1</v>
      </c>
      <c r="AC22">
        <f>_xll.EQNXTDZ($A$1,$B22,AC$1,$B$1)</f>
        <v>47.9</v>
      </c>
      <c r="AD22">
        <f>_xll.EQNXTDZ($A$1,$B22,AD$1,$B$1)</f>
        <v>31.8</v>
      </c>
      <c r="AE22">
        <f>_xll.EQNXTDZ($A$1,$B22,AE$1,$B$1)</f>
        <v>32.1</v>
      </c>
      <c r="AF22">
        <f>_xll.EQNXTDZ($A$1,$B22,AF$1,$B$1)</f>
        <v>38.700000000000003</v>
      </c>
      <c r="AG22">
        <f>_xll.EQNXTDZ($A$1,$B22,AG$1,$B$1)</f>
        <v>47.7</v>
      </c>
      <c r="AH22">
        <f>_xll.EQNXTDZ($A$1,$B22,AH$1,$B$1)</f>
        <v>18</v>
      </c>
      <c r="AI22">
        <f>_xll.EQNXTDZ($A$1,$B22,AI$1,$B$1)</f>
        <v>13.6</v>
      </c>
      <c r="AJ22">
        <f>_xll.EQNXTDZ($A$1,$B22,AJ$1,$B$1)</f>
        <v>60.9</v>
      </c>
      <c r="AK22">
        <f>_xll.EQNXTDZ($A$1,$B22,AK$1,$B$1)</f>
        <v>75.3</v>
      </c>
      <c r="AL22">
        <f>_xll.EQNXTDZ($A$1,$B22,AL$1,$B$1)</f>
        <v>62</v>
      </c>
      <c r="AM22">
        <f>_xll.EQNXTDZ($A$1,$B22,AM$1,$B$1)</f>
        <v>39.299999999999997</v>
      </c>
      <c r="AN22">
        <f>_xll.EQNXTDZ($A$1,$B22,AN$1,$B$1)</f>
        <v>51.7</v>
      </c>
      <c r="AO22">
        <f>_xll.EQNXTDZ($A$1,$B22,AO$1,$B$1)</f>
        <v>56.4</v>
      </c>
      <c r="AP22">
        <f>_xll.EQNXTDZ($A$1,$B22,AP$1,$B$1)</f>
        <v>54.7</v>
      </c>
      <c r="AQ22">
        <f>_xll.EQNXTDZ($A$1,$B22,AQ$1,$B$1)</f>
        <v>61.1</v>
      </c>
      <c r="AR22">
        <f>_xll.EQNXTDZ($A$1,$B22,AR$1,$B$1)</f>
        <v>54.1</v>
      </c>
      <c r="AS22">
        <f>_xll.EQNXTDZ($A$1,$B22,AS$1,$B$1)</f>
        <v>76.8</v>
      </c>
      <c r="AT22">
        <f>_xll.EQNXTDZ($A$1,$B22,AT$1,$B$1)</f>
        <v>57.2</v>
      </c>
      <c r="AU22">
        <f>_xll.EQNXTDZ($A$1,$B22,AU$1,$B$1)</f>
        <v>85.2</v>
      </c>
      <c r="AV22">
        <f>_xll.EQNXTDZ($A$1,$B22,AV$1,$B$1)</f>
        <v>70.3</v>
      </c>
      <c r="AW22">
        <f>_xll.EQNXTDZ($A$1,$B22,AW$1,$B$1)</f>
        <v>80.900000000000006</v>
      </c>
      <c r="AX22">
        <f>_xll.EQNXTDZ($A$1,$B22,AX$1,$B$1)</f>
        <v>60.9</v>
      </c>
      <c r="AY22">
        <f>_xll.EQNXTDZ($A$1,$B22,AY$1,$B$1)</f>
        <v>90.6</v>
      </c>
      <c r="AZ22">
        <f>_xll.EQNXTDZ($A$1,$B22,AZ$1,$B$1)</f>
        <v>87.6</v>
      </c>
      <c r="BA22">
        <f>_xll.EQNXTDZ($A$1,$B22,BA$1,$B$1)</f>
        <v>98.4</v>
      </c>
      <c r="BB22">
        <f>_xll.EQNXTDZ($A$1,$B22,BB$1,$B$1)</f>
        <v>67.7</v>
      </c>
      <c r="BC22">
        <f>_xll.EQNXTDZ($A$1,$B22,BC$1,$B$1)</f>
        <v>91.4</v>
      </c>
      <c r="BD22">
        <f>_xll.EQNXTDZ($A$1,$B22,BD$1,$B$1)</f>
        <v>84.8</v>
      </c>
      <c r="BE22">
        <f>_xll.EQNXTDZ($A$1,$B22,BE$1,$B$1)</f>
        <v>129.6</v>
      </c>
      <c r="BF22">
        <f>_xll.EQNXTDZ($A$1,$B22,BF$1,$B$1)</f>
        <v>50.8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6.56</v>
      </c>
      <c r="D23">
        <f>_xll.EQNXTDZ($A$1,$B23,D$1,$B$1)</f>
        <v>2.88</v>
      </c>
      <c r="E23">
        <f>_xll.EQNXTDZ($A$1,$B23,E$1,$B$1)</f>
        <v>3.27</v>
      </c>
      <c r="F23">
        <f>_xll.EQNXTDZ($A$1,$B23,F$1,$B$1)</f>
        <v>6.49</v>
      </c>
      <c r="G23">
        <f>_xll.EQNXTDZ($A$1,$B23,G$1,$B$1)</f>
        <v>3.8</v>
      </c>
      <c r="H23">
        <f>_xll.EQNXTDZ($A$1,$B23,H$1,$B$1)</f>
        <v>3.51</v>
      </c>
      <c r="I23">
        <f>_xll.EQNXTDZ($A$1,$B23,I$1,$B$1)</f>
        <v>2.36</v>
      </c>
      <c r="J23">
        <f>_xll.EQNXTDZ($A$1,$B23,J$1,$B$1)</f>
        <v>4.57</v>
      </c>
      <c r="K23">
        <f>_xll.EQNXTDZ($A$1,$B23,K$1,$B$1)</f>
        <v>9.39</v>
      </c>
      <c r="L23">
        <f>_xll.EQNXTDZ($A$1,$B23,L$1,$B$1)</f>
        <v>8.0399999999999991</v>
      </c>
      <c r="M23">
        <f>_xll.EQNXTDZ($A$1,$B23,M$1,$B$1)</f>
        <v>5.52</v>
      </c>
      <c r="N23">
        <f>_xll.EQNXTDZ($A$1,$B23,N$1,$B$1)</f>
        <v>5.2</v>
      </c>
      <c r="O23">
        <f>_xll.EQNXTDZ($A$1,$B23,O$1,$B$1)</f>
        <v>16.059999999999999</v>
      </c>
      <c r="P23">
        <f>_xll.EQNXTDZ($A$1,$B23,P$1,$B$1)</f>
        <v>4.33</v>
      </c>
      <c r="Q23">
        <f>_xll.EQNXTDZ($A$1,$B23,Q$1,$B$1)</f>
        <v>5.28</v>
      </c>
      <c r="R23">
        <f>_xll.EQNXTDZ($A$1,$B23,R$1,$B$1)</f>
        <v>7.48</v>
      </c>
      <c r="S23">
        <f>_xll.EQNXTDZ($A$1,$B23,S$1,$B$1)</f>
        <v>6.94</v>
      </c>
      <c r="T23">
        <f>_xll.EQNXTDZ($A$1,$B23,T$1,$B$1)</f>
        <v>6.91</v>
      </c>
      <c r="U23">
        <f>_xll.EQNXTDZ($A$1,$B23,U$1,$B$1)</f>
        <v>4.8499999999999996</v>
      </c>
      <c r="V23">
        <f>_xll.EQNXTDZ($A$1,$B23,V$1,$B$1)</f>
        <v>9.6</v>
      </c>
      <c r="W23">
        <f>_xll.EQNXTDZ($A$1,$B23,W$1,$B$1)</f>
        <v>7.1</v>
      </c>
      <c r="X23">
        <f>_xll.EQNXTDZ($A$1,$B23,X$1,$B$1)</f>
        <v>5.2</v>
      </c>
      <c r="Y23">
        <f>_xll.EQNXTDZ($A$1,$B23,Y$1,$B$1)</f>
        <v>9.6</v>
      </c>
      <c r="Z23">
        <f>_xll.EQNXTDZ($A$1,$B23,Z$1,$B$1)</f>
        <v>7.9</v>
      </c>
      <c r="AA23">
        <f>_xll.EQNXTDZ($A$1,$B23,AA$1,$B$1)</f>
        <v>2.9</v>
      </c>
      <c r="AB23">
        <f>_xll.EQNXTDZ($A$1,$B23,AB$1,$B$1)</f>
        <v>3.5</v>
      </c>
      <c r="AC23">
        <f>_xll.EQNXTDZ($A$1,$B23,AC$1,$B$1)</f>
        <v>5.7</v>
      </c>
      <c r="AD23">
        <f>_xll.EQNXTDZ($A$1,$B23,AD$1,$B$1)</f>
        <v>3.6</v>
      </c>
      <c r="AE23">
        <f>_xll.EQNXTDZ($A$1,$B23,AE$1,$B$1)</f>
        <v>5.7</v>
      </c>
      <c r="AF23">
        <f>_xll.EQNXTDZ($A$1,$B23,AF$1,$B$1)</f>
        <v>5.2</v>
      </c>
      <c r="AG23">
        <f>_xll.EQNXTDZ($A$1,$B23,AG$1,$B$1)</f>
        <v>8.6</v>
      </c>
      <c r="AH23">
        <f>_xll.EQNXTDZ($A$1,$B23,AH$1,$B$1)</f>
        <v>12.8</v>
      </c>
      <c r="AI23">
        <f>_xll.EQNXTDZ($A$1,$B23,AI$1,$B$1)</f>
        <v>6.9</v>
      </c>
      <c r="AJ23">
        <f>_xll.EQNXTDZ($A$1,$B23,AJ$1,$B$1)</f>
        <v>6.6</v>
      </c>
      <c r="AK23">
        <f>_xll.EQNXTDZ($A$1,$B23,AK$1,$B$1)</f>
        <v>2.8</v>
      </c>
      <c r="AL23">
        <f>_xll.EQNXTDZ($A$1,$B23,AL$1,$B$1)</f>
        <v>7.2</v>
      </c>
      <c r="AM23">
        <f>_xll.EQNXTDZ($A$1,$B23,AM$1,$B$1)</f>
        <v>8.4</v>
      </c>
      <c r="AN23">
        <f>_xll.EQNXTDZ($A$1,$B23,AN$1,$B$1)</f>
        <v>9.9</v>
      </c>
      <c r="AO23">
        <f>_xll.EQNXTDZ($A$1,$B23,AO$1,$B$1)</f>
        <v>8.1999999999999993</v>
      </c>
      <c r="AP23">
        <f>_xll.EQNXTDZ($A$1,$B23,AP$1,$B$1)</f>
        <v>9.5</v>
      </c>
      <c r="AQ23">
        <f>_xll.EQNXTDZ($A$1,$B23,AQ$1,$B$1)</f>
        <v>13.4</v>
      </c>
      <c r="AR23">
        <f>_xll.EQNXTDZ($A$1,$B23,AR$1,$B$1)</f>
        <v>10.6</v>
      </c>
      <c r="AS23">
        <f>_xll.EQNXTDZ($A$1,$B23,AS$1,$B$1)</f>
        <v>8.6999999999999993</v>
      </c>
      <c r="AT23">
        <f>_xll.EQNXTDZ($A$1,$B23,AT$1,$B$1)</f>
        <v>9.3000000000000007</v>
      </c>
      <c r="AU23">
        <f>_xll.EQNXTDZ($A$1,$B23,AU$1,$B$1)</f>
        <v>8.1</v>
      </c>
      <c r="AV23">
        <f>_xll.EQNXTDZ($A$1,$B23,AV$1,$B$1)</f>
        <v>8.5</v>
      </c>
      <c r="AW23">
        <f>_xll.EQNXTDZ($A$1,$B23,AW$1,$B$1)</f>
        <v>6.4</v>
      </c>
      <c r="AX23">
        <f>_xll.EQNXTDZ($A$1,$B23,AX$1,$B$1)</f>
        <v>10.5</v>
      </c>
      <c r="AY23">
        <f>_xll.EQNXTDZ($A$1,$B23,AY$1,$B$1)</f>
        <v>9.5</v>
      </c>
      <c r="AZ23">
        <f>_xll.EQNXTDZ($A$1,$B23,AZ$1,$B$1)</f>
        <v>6.6</v>
      </c>
      <c r="BA23">
        <f>_xll.EQNXTDZ($A$1,$B23,BA$1,$B$1)</f>
        <v>10.199999999999999</v>
      </c>
      <c r="BB23">
        <f>_xll.EQNXTDZ($A$1,$B23,BB$1,$B$1)</f>
        <v>12.5</v>
      </c>
      <c r="BC23">
        <f>_xll.EQNXTDZ($A$1,$B23,BC$1,$B$1)</f>
        <v>11.8</v>
      </c>
      <c r="BD23">
        <f>_xll.EQNXTDZ($A$1,$B23,BD$1,$B$1)</f>
        <v>18.5</v>
      </c>
      <c r="BE23">
        <f>_xll.EQNXTDZ($A$1,$B23,BE$1,$B$1)</f>
        <v>16.399999999999999</v>
      </c>
      <c r="BF23">
        <f>_xll.EQNXTDZ($A$1,$B23,BF$1,$B$1)</f>
        <v>14.4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31.28</v>
      </c>
      <c r="D24">
        <f>_xll.EQNXTDZ($A$1,$B24,D$1,$B$1)</f>
        <v>25.61</v>
      </c>
      <c r="E24">
        <f>_xll.EQNXTDZ($A$1,$B24,E$1,$B$1)</f>
        <v>33.18</v>
      </c>
      <c r="F24">
        <f>_xll.EQNXTDZ($A$1,$B24,F$1,$B$1)</f>
        <v>28.21</v>
      </c>
      <c r="G24">
        <f>_xll.EQNXTDZ($A$1,$B24,G$1,$B$1)</f>
        <v>30.73</v>
      </c>
      <c r="H24">
        <f>_xll.EQNXTDZ($A$1,$B24,H$1,$B$1)</f>
        <v>33.71</v>
      </c>
      <c r="I24">
        <f>_xll.EQNXTDZ($A$1,$B24,I$1,$B$1)</f>
        <v>24.08</v>
      </c>
      <c r="J24">
        <f>_xll.EQNXTDZ($A$1,$B24,J$1,$B$1)</f>
        <v>29.7</v>
      </c>
      <c r="K24">
        <f>_xll.EQNXTDZ($A$1,$B24,K$1,$B$1)</f>
        <v>38.729999999999997</v>
      </c>
      <c r="L24">
        <f>_xll.EQNXTDZ($A$1,$B24,L$1,$B$1)</f>
        <v>35.07</v>
      </c>
      <c r="M24">
        <f>_xll.EQNXTDZ($A$1,$B24,M$1,$B$1)</f>
        <v>23.32</v>
      </c>
      <c r="N24">
        <f>_xll.EQNXTDZ($A$1,$B24,N$1,$B$1)</f>
        <v>17.37</v>
      </c>
      <c r="O24">
        <f>_xll.EQNXTDZ($A$1,$B24,O$1,$B$1)</f>
        <v>37.89</v>
      </c>
      <c r="P24">
        <f>_xll.EQNXTDZ($A$1,$B24,P$1,$B$1)</f>
        <v>33.47</v>
      </c>
      <c r="Q24">
        <f>_xll.EQNXTDZ($A$1,$B24,Q$1,$B$1)</f>
        <v>46.26</v>
      </c>
      <c r="R24">
        <f>_xll.EQNXTDZ($A$1,$B24,R$1,$B$1)</f>
        <v>34.130000000000003</v>
      </c>
      <c r="S24">
        <f>_xll.EQNXTDZ($A$1,$B24,S$1,$B$1)</f>
        <v>33.54</v>
      </c>
      <c r="T24">
        <f>_xll.EQNXTDZ($A$1,$B24,T$1,$B$1)</f>
        <v>21.34</v>
      </c>
      <c r="U24">
        <f>_xll.EQNXTDZ($A$1,$B24,U$1,$B$1)</f>
        <v>42.46</v>
      </c>
      <c r="V24">
        <f>_xll.EQNXTDZ($A$1,$B24,V$1,$B$1)</f>
        <v>30</v>
      </c>
      <c r="W24">
        <f>_xll.EQNXTDZ($A$1,$B24,W$1,$B$1)</f>
        <v>30.9</v>
      </c>
      <c r="X24">
        <f>_xll.EQNXTDZ($A$1,$B24,X$1,$B$1)</f>
        <v>26.3</v>
      </c>
      <c r="Y24">
        <f>_xll.EQNXTDZ($A$1,$B24,Y$1,$B$1)</f>
        <v>51.9</v>
      </c>
      <c r="Z24">
        <f>_xll.EQNXTDZ($A$1,$B24,Z$1,$B$1)</f>
        <v>27.7</v>
      </c>
      <c r="AA24">
        <f>_xll.EQNXTDZ($A$1,$B24,AA$1,$B$1)</f>
        <v>31.5</v>
      </c>
      <c r="AB24">
        <f>_xll.EQNXTDZ($A$1,$B24,AB$1,$B$1)</f>
        <v>35.6</v>
      </c>
      <c r="AC24">
        <f>_xll.EQNXTDZ($A$1,$B24,AC$1,$B$1)</f>
        <v>53.6</v>
      </c>
      <c r="AD24">
        <f>_xll.EQNXTDZ($A$1,$B24,AD$1,$B$1)</f>
        <v>35.4</v>
      </c>
      <c r="AE24">
        <f>_xll.EQNXTDZ($A$1,$B24,AE$1,$B$1)</f>
        <v>37.799999999999997</v>
      </c>
      <c r="AF24">
        <f>_xll.EQNXTDZ($A$1,$B24,AF$1,$B$1)</f>
        <v>43.9</v>
      </c>
      <c r="AG24">
        <f>_xll.EQNXTDZ($A$1,$B24,AG$1,$B$1)</f>
        <v>56.3</v>
      </c>
      <c r="AH24">
        <f>_xll.EQNXTDZ($A$1,$B24,AH$1,$B$1)</f>
        <v>30.8</v>
      </c>
      <c r="AI24">
        <f>_xll.EQNXTDZ($A$1,$B24,AI$1,$B$1)</f>
        <v>20.5</v>
      </c>
      <c r="AJ24">
        <f>_xll.EQNXTDZ($A$1,$B24,AJ$1,$B$1)</f>
        <v>67.5</v>
      </c>
      <c r="AK24">
        <f>_xll.EQNXTDZ($A$1,$B24,AK$1,$B$1)</f>
        <v>78.099999999999994</v>
      </c>
      <c r="AL24">
        <f>_xll.EQNXTDZ($A$1,$B24,AL$1,$B$1)</f>
        <v>69.2</v>
      </c>
      <c r="AM24">
        <f>_xll.EQNXTDZ($A$1,$B24,AM$1,$B$1)</f>
        <v>47.7</v>
      </c>
      <c r="AN24">
        <f>_xll.EQNXTDZ($A$1,$B24,AN$1,$B$1)</f>
        <v>61.6</v>
      </c>
      <c r="AO24">
        <f>_xll.EQNXTDZ($A$1,$B24,AO$1,$B$1)</f>
        <v>64.599999999999994</v>
      </c>
      <c r="AP24">
        <f>_xll.EQNXTDZ($A$1,$B24,AP$1,$B$1)</f>
        <v>64.2</v>
      </c>
      <c r="AQ24">
        <f>_xll.EQNXTDZ($A$1,$B24,AQ$1,$B$1)</f>
        <v>74.5</v>
      </c>
      <c r="AR24">
        <f>_xll.EQNXTDZ($A$1,$B24,AR$1,$B$1)</f>
        <v>64.7</v>
      </c>
      <c r="AS24">
        <f>_xll.EQNXTDZ($A$1,$B24,AS$1,$B$1)</f>
        <v>85.5</v>
      </c>
      <c r="AT24">
        <f>_xll.EQNXTDZ($A$1,$B24,AT$1,$B$1)</f>
        <v>66.5</v>
      </c>
      <c r="AU24">
        <f>_xll.EQNXTDZ($A$1,$B24,AU$1,$B$1)</f>
        <v>93.3</v>
      </c>
      <c r="AV24">
        <f>_xll.EQNXTDZ($A$1,$B24,AV$1,$B$1)</f>
        <v>78.8</v>
      </c>
      <c r="AW24">
        <f>_xll.EQNXTDZ($A$1,$B24,AW$1,$B$1)</f>
        <v>87.3</v>
      </c>
      <c r="AX24">
        <f>_xll.EQNXTDZ($A$1,$B24,AX$1,$B$1)</f>
        <v>71.400000000000006</v>
      </c>
      <c r="AY24">
        <f>_xll.EQNXTDZ($A$1,$B24,AY$1,$B$1)</f>
        <v>100.1</v>
      </c>
      <c r="AZ24">
        <f>_xll.EQNXTDZ($A$1,$B24,AZ$1,$B$1)</f>
        <v>94.2</v>
      </c>
      <c r="BA24">
        <f>_xll.EQNXTDZ($A$1,$B24,BA$1,$B$1)</f>
        <v>108.6</v>
      </c>
      <c r="BB24">
        <f>_xll.EQNXTDZ($A$1,$B24,BB$1,$B$1)</f>
        <v>80.2</v>
      </c>
      <c r="BC24">
        <f>_xll.EQNXTDZ($A$1,$B24,BC$1,$B$1)</f>
        <v>103.2</v>
      </c>
      <c r="BD24">
        <f>_xll.EQNXTDZ($A$1,$B24,BD$1,$B$1)</f>
        <v>103.3</v>
      </c>
      <c r="BE24">
        <f>_xll.EQNXTDZ($A$1,$B24,BE$1,$B$1)</f>
        <v>146</v>
      </c>
      <c r="BF24">
        <f>_xll.EQNXTDZ($A$1,$B24,BF$1,$B$1)</f>
        <v>65.2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1.51</v>
      </c>
      <c r="D25">
        <f>_xll.EQNXTDZ($A$1,$B25,D$1,$B$1)</f>
        <v>0.76</v>
      </c>
      <c r="E25">
        <f>_xll.EQNXTDZ($A$1,$B25,E$1,$B$1)</f>
        <v>1.23</v>
      </c>
      <c r="F25">
        <f>_xll.EQNXTDZ($A$1,$B25,F$1,$B$1)</f>
        <v>0.68</v>
      </c>
      <c r="G25">
        <f>_xll.EQNXTDZ($A$1,$B25,G$1,$B$1)</f>
        <v>1.03</v>
      </c>
      <c r="H25">
        <f>_xll.EQNXTDZ($A$1,$B25,H$1,$B$1)</f>
        <v>0.57999999999999996</v>
      </c>
      <c r="I25">
        <f>_xll.EQNXTDZ($A$1,$B25,I$1,$B$1)</f>
        <v>0.3</v>
      </c>
      <c r="J25">
        <f>_xll.EQNXTDZ($A$1,$B25,J$1,$B$1)</f>
        <v>0.18</v>
      </c>
      <c r="K25">
        <f>_xll.EQNXTDZ($A$1,$B25,K$1,$B$1)</f>
        <v>0.32</v>
      </c>
      <c r="L25">
        <f>_xll.EQNXTDZ($A$1,$B25,L$1,$B$1)</f>
        <v>1.25</v>
      </c>
      <c r="M25">
        <f>_xll.EQNXTDZ($A$1,$B25,M$1,$B$1)</f>
        <v>0.4</v>
      </c>
      <c r="N25">
        <f>_xll.EQNXTDZ($A$1,$B25,N$1,$B$1)</f>
        <v>0.79</v>
      </c>
      <c r="O25">
        <f>_xll.EQNXTDZ($A$1,$B25,O$1,$B$1)</f>
        <v>0.6</v>
      </c>
      <c r="P25">
        <f>_xll.EQNXTDZ($A$1,$B25,P$1,$B$1)</f>
        <v>0.23</v>
      </c>
      <c r="Q25">
        <f>_xll.EQNXTDZ($A$1,$B25,Q$1,$B$1)</f>
        <v>0.11</v>
      </c>
      <c r="R25">
        <f>_xll.EQNXTDZ($A$1,$B25,R$1,$B$1)</f>
        <v>0.48</v>
      </c>
      <c r="S25">
        <f>_xll.EQNXTDZ($A$1,$B25,S$1,$B$1)</f>
        <v>0.63</v>
      </c>
      <c r="T25">
        <f>_xll.EQNXTDZ($A$1,$B25,T$1,$B$1)</f>
        <v>0.63</v>
      </c>
      <c r="U25">
        <f>_xll.EQNXTDZ($A$1,$B25,U$1,$B$1)</f>
        <v>1.41</v>
      </c>
      <c r="V25">
        <f>_xll.EQNXTDZ($A$1,$B25,V$1,$B$1)</f>
        <v>2.2000000000000002</v>
      </c>
      <c r="W25">
        <f>_xll.EQNXTDZ($A$1,$B25,W$1,$B$1)</f>
        <v>0.2</v>
      </c>
      <c r="X25">
        <f>_xll.EQNXTDZ($A$1,$B25,X$1,$B$1)</f>
        <v>0.5</v>
      </c>
      <c r="Y25">
        <f>_xll.EQNXTDZ($A$1,$B25,Y$1,$B$1)</f>
        <v>0.6</v>
      </c>
      <c r="Z25">
        <f>_xll.EQNXTDZ($A$1,$B25,Z$1,$B$1)</f>
        <v>0.5</v>
      </c>
      <c r="AA25">
        <f>_xll.EQNXTDZ($A$1,$B25,AA$1,$B$1)</f>
        <v>0.5</v>
      </c>
      <c r="AB25">
        <f>_xll.EQNXTDZ($A$1,$B25,AB$1,$B$1)</f>
        <v>1.3</v>
      </c>
      <c r="AC25">
        <f>_xll.EQNXTDZ($A$1,$B25,AC$1,$B$1)</f>
        <v>1.4</v>
      </c>
      <c r="AD25">
        <f>_xll.EQNXTDZ($A$1,$B25,AD$1,$B$1)</f>
        <v>0.9</v>
      </c>
      <c r="AE25">
        <f>_xll.EQNXTDZ($A$1,$B25,AE$1,$B$1)</f>
        <v>1</v>
      </c>
      <c r="AF25">
        <f>_xll.EQNXTDZ($A$1,$B25,AF$1,$B$1)</f>
        <v>1.2</v>
      </c>
      <c r="AG25">
        <f>_xll.EQNXTDZ($A$1,$B25,AG$1,$B$1)</f>
        <v>2.2000000000000002</v>
      </c>
      <c r="AH25">
        <f>_xll.EQNXTDZ($A$1,$B25,AH$1,$B$1)</f>
        <v>0.8</v>
      </c>
      <c r="AI25">
        <f>_xll.EQNXTDZ($A$1,$B25,AI$1,$B$1)</f>
        <v>0.9</v>
      </c>
      <c r="AJ25">
        <f>_xll.EQNXTDZ($A$1,$B25,AJ$1,$B$1)</f>
        <v>1</v>
      </c>
      <c r="AK25">
        <f>_xll.EQNXTDZ($A$1,$B25,AK$1,$B$1)</f>
        <v>0.7</v>
      </c>
      <c r="AL25">
        <f>_xll.EQNXTDZ($A$1,$B25,AL$1,$B$1)</f>
        <v>0.9</v>
      </c>
      <c r="AM25">
        <f>_xll.EQNXTDZ($A$1,$B25,AM$1,$B$1)</f>
        <v>1</v>
      </c>
      <c r="AN25">
        <f>_xll.EQNXTDZ($A$1,$B25,AN$1,$B$1)</f>
        <v>1.2</v>
      </c>
      <c r="AO25">
        <f>_xll.EQNXTDZ($A$1,$B25,AO$1,$B$1)</f>
        <v>1.9</v>
      </c>
      <c r="AP25">
        <f>_xll.EQNXTDZ($A$1,$B25,AP$1,$B$1)</f>
        <v>0.9</v>
      </c>
      <c r="AQ25">
        <f>_xll.EQNXTDZ($A$1,$B25,AQ$1,$B$1)</f>
        <v>1.4</v>
      </c>
      <c r="AR25">
        <f>_xll.EQNXTDZ($A$1,$B25,AR$1,$B$1)</f>
        <v>1.3</v>
      </c>
      <c r="AS25">
        <f>_xll.EQNXTDZ($A$1,$B25,AS$1,$B$1)</f>
        <v>2.5</v>
      </c>
      <c r="AT25">
        <f>_xll.EQNXTDZ($A$1,$B25,AT$1,$B$1)</f>
        <v>0.8</v>
      </c>
      <c r="AU25">
        <f>_xll.EQNXTDZ($A$1,$B25,AU$1,$B$1)</f>
        <v>0.9</v>
      </c>
      <c r="AV25">
        <f>_xll.EQNXTDZ($A$1,$B25,AV$1,$B$1)</f>
        <v>2</v>
      </c>
      <c r="AW25">
        <f>_xll.EQNXTDZ($A$1,$B25,AW$1,$B$1)</f>
        <v>1.6</v>
      </c>
      <c r="AX25">
        <f>_xll.EQNXTDZ($A$1,$B25,AX$1,$B$1)</f>
        <v>0.9</v>
      </c>
      <c r="AY25">
        <f>_xll.EQNXTDZ($A$1,$B25,AY$1,$B$1)</f>
        <v>0.8</v>
      </c>
      <c r="AZ25">
        <f>_xll.EQNXTDZ($A$1,$B25,AZ$1,$B$1)</f>
        <v>0.6</v>
      </c>
      <c r="BA25">
        <f>_xll.EQNXTDZ($A$1,$B25,BA$1,$B$1)</f>
        <v>0.4</v>
      </c>
      <c r="BB25">
        <f>_xll.EQNXTDZ($A$1,$B25,BB$1,$B$1)</f>
        <v>0.8</v>
      </c>
      <c r="BC25">
        <f>_xll.EQNXTDZ($A$1,$B25,BC$1,$B$1)</f>
        <v>0.7</v>
      </c>
      <c r="BD25">
        <f>_xll.EQNXTDZ($A$1,$B25,BD$1,$B$1)</f>
        <v>0.7</v>
      </c>
      <c r="BE25">
        <f>_xll.EQNXTDZ($A$1,$B25,BE$1,$B$1)</f>
        <v>0.8</v>
      </c>
      <c r="BF25">
        <f>_xll.EQNXTDZ($A$1,$B25,BF$1,$B$1)</f>
        <v>0.6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12.7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-25.5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29.77</v>
      </c>
      <c r="D27">
        <f>_xll.EQNXTDZ($A$1,$B27,D$1,$B$1)</f>
        <v>24.85</v>
      </c>
      <c r="E27">
        <f>_xll.EQNXTDZ($A$1,$B27,E$1,$B$1)</f>
        <v>31.95</v>
      </c>
      <c r="F27">
        <f>_xll.EQNXTDZ($A$1,$B27,F$1,$B$1)</f>
        <v>27.53</v>
      </c>
      <c r="G27">
        <f>_xll.EQNXTDZ($A$1,$B27,G$1,$B$1)</f>
        <v>29.7</v>
      </c>
      <c r="H27">
        <f>_xll.EQNXTDZ($A$1,$B27,H$1,$B$1)</f>
        <v>33.130000000000003</v>
      </c>
      <c r="I27">
        <f>_xll.EQNXTDZ($A$1,$B27,I$1,$B$1)</f>
        <v>23.78</v>
      </c>
      <c r="J27">
        <f>_xll.EQNXTDZ($A$1,$B27,J$1,$B$1)</f>
        <v>29.52</v>
      </c>
      <c r="K27">
        <f>_xll.EQNXTDZ($A$1,$B27,K$1,$B$1)</f>
        <v>38.409999999999997</v>
      </c>
      <c r="L27">
        <f>_xll.EQNXTDZ($A$1,$B27,L$1,$B$1)</f>
        <v>33.82</v>
      </c>
      <c r="M27">
        <f>_xll.EQNXTDZ($A$1,$B27,M$1,$B$1)</f>
        <v>22.92</v>
      </c>
      <c r="N27">
        <f>_xll.EQNXTDZ($A$1,$B27,N$1,$B$1)</f>
        <v>16.579999999999998</v>
      </c>
      <c r="O27">
        <f>_xll.EQNXTDZ($A$1,$B27,O$1,$B$1)</f>
        <v>37.29</v>
      </c>
      <c r="P27">
        <f>_xll.EQNXTDZ($A$1,$B27,P$1,$B$1)</f>
        <v>33.24</v>
      </c>
      <c r="Q27">
        <f>_xll.EQNXTDZ($A$1,$B27,Q$1,$B$1)</f>
        <v>46.15</v>
      </c>
      <c r="R27">
        <f>_xll.EQNXTDZ($A$1,$B27,R$1,$B$1)</f>
        <v>33.65</v>
      </c>
      <c r="S27">
        <f>_xll.EQNXTDZ($A$1,$B27,S$1,$B$1)</f>
        <v>32.909999999999997</v>
      </c>
      <c r="T27">
        <f>_xll.EQNXTDZ($A$1,$B27,T$1,$B$1)</f>
        <v>20.71</v>
      </c>
      <c r="U27">
        <f>_xll.EQNXTDZ($A$1,$B27,U$1,$B$1)</f>
        <v>41.05</v>
      </c>
      <c r="V27">
        <f>_xll.EQNXTDZ($A$1,$B27,V$1,$B$1)</f>
        <v>27.8</v>
      </c>
      <c r="W27">
        <f>_xll.EQNXTDZ($A$1,$B27,W$1,$B$1)</f>
        <v>30.7</v>
      </c>
      <c r="X27">
        <f>_xll.EQNXTDZ($A$1,$B27,X$1,$B$1)</f>
        <v>25.8</v>
      </c>
      <c r="Y27">
        <f>_xll.EQNXTDZ($A$1,$B27,Y$1,$B$1)</f>
        <v>51.3</v>
      </c>
      <c r="Z27">
        <f>_xll.EQNXTDZ($A$1,$B27,Z$1,$B$1)</f>
        <v>27.2</v>
      </c>
      <c r="AA27">
        <f>_xll.EQNXTDZ($A$1,$B27,AA$1,$B$1)</f>
        <v>31</v>
      </c>
      <c r="AB27">
        <f>_xll.EQNXTDZ($A$1,$B27,AB$1,$B$1)</f>
        <v>34.299999999999997</v>
      </c>
      <c r="AC27">
        <f>_xll.EQNXTDZ($A$1,$B27,AC$1,$B$1)</f>
        <v>52.2</v>
      </c>
      <c r="AD27">
        <f>_xll.EQNXTDZ($A$1,$B27,AD$1,$B$1)</f>
        <v>34.5</v>
      </c>
      <c r="AE27">
        <f>_xll.EQNXTDZ($A$1,$B27,AE$1,$B$1)</f>
        <v>49.5</v>
      </c>
      <c r="AF27">
        <f>_xll.EQNXTDZ($A$1,$B27,AF$1,$B$1)</f>
        <v>42.7</v>
      </c>
      <c r="AG27">
        <f>_xll.EQNXTDZ($A$1,$B27,AG$1,$B$1)</f>
        <v>54.1</v>
      </c>
      <c r="AH27">
        <f>_xll.EQNXTDZ($A$1,$B27,AH$1,$B$1)</f>
        <v>30</v>
      </c>
      <c r="AI27">
        <f>_xll.EQNXTDZ($A$1,$B27,AI$1,$B$1)</f>
        <v>19.600000000000001</v>
      </c>
      <c r="AJ27">
        <f>_xll.EQNXTDZ($A$1,$B27,AJ$1,$B$1)</f>
        <v>66.5</v>
      </c>
      <c r="AK27">
        <f>_xll.EQNXTDZ($A$1,$B27,AK$1,$B$1)</f>
        <v>77.400000000000006</v>
      </c>
      <c r="AL27">
        <f>_xll.EQNXTDZ($A$1,$B27,AL$1,$B$1)</f>
        <v>68.3</v>
      </c>
      <c r="AM27">
        <f>_xll.EQNXTDZ($A$1,$B27,AM$1,$B$1)</f>
        <v>46.7</v>
      </c>
      <c r="AN27">
        <f>_xll.EQNXTDZ($A$1,$B27,AN$1,$B$1)</f>
        <v>60.4</v>
      </c>
      <c r="AO27">
        <f>_xll.EQNXTDZ($A$1,$B27,AO$1,$B$1)</f>
        <v>62.7</v>
      </c>
      <c r="AP27">
        <f>_xll.EQNXTDZ($A$1,$B27,AP$1,$B$1)</f>
        <v>63.3</v>
      </c>
      <c r="AQ27">
        <f>_xll.EQNXTDZ($A$1,$B27,AQ$1,$B$1)</f>
        <v>73.099999999999994</v>
      </c>
      <c r="AR27">
        <f>_xll.EQNXTDZ($A$1,$B27,AR$1,$B$1)</f>
        <v>63.4</v>
      </c>
      <c r="AS27">
        <f>_xll.EQNXTDZ($A$1,$B27,AS$1,$B$1)</f>
        <v>83</v>
      </c>
      <c r="AT27">
        <f>_xll.EQNXTDZ($A$1,$B27,AT$1,$B$1)</f>
        <v>65.7</v>
      </c>
      <c r="AU27">
        <f>_xll.EQNXTDZ($A$1,$B27,AU$1,$B$1)</f>
        <v>92.4</v>
      </c>
      <c r="AV27">
        <f>_xll.EQNXTDZ($A$1,$B27,AV$1,$B$1)</f>
        <v>76.8</v>
      </c>
      <c r="AW27">
        <f>_xll.EQNXTDZ($A$1,$B27,AW$1,$B$1)</f>
        <v>85.7</v>
      </c>
      <c r="AX27">
        <f>_xll.EQNXTDZ($A$1,$B27,AX$1,$B$1)</f>
        <v>70.5</v>
      </c>
      <c r="AY27">
        <f>_xll.EQNXTDZ($A$1,$B27,AY$1,$B$1)</f>
        <v>99.3</v>
      </c>
      <c r="AZ27">
        <f>_xll.EQNXTDZ($A$1,$B27,AZ$1,$B$1)</f>
        <v>93.6</v>
      </c>
      <c r="BA27">
        <f>_xll.EQNXTDZ($A$1,$B27,BA$1,$B$1)</f>
        <v>108.2</v>
      </c>
      <c r="BB27">
        <f>_xll.EQNXTDZ($A$1,$B27,BB$1,$B$1)</f>
        <v>79.400000000000006</v>
      </c>
      <c r="BC27">
        <f>_xll.EQNXTDZ($A$1,$B27,BC$1,$B$1)</f>
        <v>102.5</v>
      </c>
      <c r="BD27">
        <f>_xll.EQNXTDZ($A$1,$B27,BD$1,$B$1)</f>
        <v>102.6</v>
      </c>
      <c r="BE27">
        <f>_xll.EQNXTDZ($A$1,$B27,BE$1,$B$1)</f>
        <v>119.7</v>
      </c>
      <c r="BF27">
        <f>_xll.EQNXTDZ($A$1,$B27,BF$1,$B$1)</f>
        <v>64.599999999999994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5.78</v>
      </c>
      <c r="D28">
        <f>_xll.EQNXTDZ($A$1,$B28,D$1,$B$1)</f>
        <v>5.89</v>
      </c>
      <c r="E28">
        <f>_xll.EQNXTDZ($A$1,$B28,E$1,$B$1)</f>
        <v>6.21</v>
      </c>
      <c r="F28">
        <f>_xll.EQNXTDZ($A$1,$B28,F$1,$B$1)</f>
        <v>6.2</v>
      </c>
      <c r="G28">
        <f>_xll.EQNXTDZ($A$1,$B28,G$1,$B$1)</f>
        <v>6.58</v>
      </c>
      <c r="H28">
        <f>_xll.EQNXTDZ($A$1,$B28,H$1,$B$1)</f>
        <v>6.76</v>
      </c>
      <c r="I28">
        <f>_xll.EQNXTDZ($A$1,$B28,I$1,$B$1)</f>
        <v>6.99</v>
      </c>
      <c r="J28">
        <f>_xll.EQNXTDZ($A$1,$B28,J$1,$B$1)</f>
        <v>6.71</v>
      </c>
      <c r="K28">
        <f>_xll.EQNXTDZ($A$1,$B28,K$1,$B$1)</f>
        <v>6.81</v>
      </c>
      <c r="L28">
        <f>_xll.EQNXTDZ($A$1,$B28,L$1,$B$1)</f>
        <v>6.91</v>
      </c>
      <c r="M28">
        <f>_xll.EQNXTDZ($A$1,$B28,M$1,$B$1)</f>
        <v>7.12</v>
      </c>
      <c r="N28">
        <f>_xll.EQNXTDZ($A$1,$B28,N$1,$B$1)</f>
        <v>6.93</v>
      </c>
      <c r="O28">
        <f>_xll.EQNXTDZ($A$1,$B28,O$1,$B$1)</f>
        <v>6.97</v>
      </c>
      <c r="P28">
        <f>_xll.EQNXTDZ($A$1,$B28,P$1,$B$1)</f>
        <v>7.33</v>
      </c>
      <c r="Q28">
        <f>_xll.EQNXTDZ($A$1,$B28,Q$1,$B$1)</f>
        <v>6.54</v>
      </c>
      <c r="R28">
        <f>_xll.EQNXTDZ($A$1,$B28,R$1,$B$1)</f>
        <v>7.13</v>
      </c>
      <c r="S28">
        <f>_xll.EQNXTDZ($A$1,$B28,S$1,$B$1)</f>
        <v>7.31</v>
      </c>
      <c r="T28">
        <f>_xll.EQNXTDZ($A$1,$B28,T$1,$B$1)</f>
        <v>7.29</v>
      </c>
      <c r="U28">
        <f>_xll.EQNXTDZ($A$1,$B28,U$1,$B$1)</f>
        <v>7.63</v>
      </c>
      <c r="V28">
        <f>_xll.EQNXTDZ($A$1,$B28,V$1,$B$1)</f>
        <v>7.5</v>
      </c>
      <c r="W28">
        <f>_xll.EQNXTDZ($A$1,$B28,W$1,$B$1)</f>
        <v>7.4</v>
      </c>
      <c r="X28">
        <f>_xll.EQNXTDZ($A$1,$B28,X$1,$B$1)</f>
        <v>7.6</v>
      </c>
      <c r="Y28">
        <f>_xll.EQNXTDZ($A$1,$B28,Y$1,$B$1)</f>
        <v>8.5</v>
      </c>
      <c r="Z28">
        <f>_xll.EQNXTDZ($A$1,$B28,Z$1,$B$1)</f>
        <v>9.6999999999999993</v>
      </c>
      <c r="AA28">
        <f>_xll.EQNXTDZ($A$1,$B28,AA$1,$B$1)</f>
        <v>9.8000000000000007</v>
      </c>
      <c r="AB28">
        <f>_xll.EQNXTDZ($A$1,$B28,AB$1,$B$1)</f>
        <v>9.8000000000000007</v>
      </c>
      <c r="AC28">
        <f>_xll.EQNXTDZ($A$1,$B28,AC$1,$B$1)</f>
        <v>10.4</v>
      </c>
      <c r="AD28">
        <f>_xll.EQNXTDZ($A$1,$B28,AD$1,$B$1)</f>
        <v>10.199999999999999</v>
      </c>
      <c r="AE28">
        <f>_xll.EQNXTDZ($A$1,$B28,AE$1,$B$1)</f>
        <v>10.3</v>
      </c>
      <c r="AF28">
        <f>_xll.EQNXTDZ($A$1,$B28,AF$1,$B$1)</f>
        <v>10.5</v>
      </c>
      <c r="AG28">
        <f>_xll.EQNXTDZ($A$1,$B28,AG$1,$B$1)</f>
        <v>14.7</v>
      </c>
      <c r="AH28">
        <f>_xll.EQNXTDZ($A$1,$B28,AH$1,$B$1)</f>
        <v>9.9</v>
      </c>
      <c r="AI28">
        <f>_xll.EQNXTDZ($A$1,$B28,AI$1,$B$1)</f>
        <v>9.9</v>
      </c>
      <c r="AJ28">
        <f>_xll.EQNXTDZ($A$1,$B28,AJ$1,$B$1)</f>
        <v>10.3</v>
      </c>
      <c r="AK28">
        <f>_xll.EQNXTDZ($A$1,$B28,AK$1,$B$1)</f>
        <v>11.7</v>
      </c>
      <c r="AL28">
        <f>_xll.EQNXTDZ($A$1,$B28,AL$1,$B$1)</f>
        <v>10.8</v>
      </c>
      <c r="AM28">
        <f>_xll.EQNXTDZ($A$1,$B28,AM$1,$B$1)</f>
        <v>10.8</v>
      </c>
      <c r="AN28">
        <f>_xll.EQNXTDZ($A$1,$B28,AN$1,$B$1)</f>
        <v>10.9</v>
      </c>
      <c r="AO28">
        <f>_xll.EQNXTDZ($A$1,$B28,AO$1,$B$1)</f>
        <v>11</v>
      </c>
      <c r="AP28">
        <f>_xll.EQNXTDZ($A$1,$B28,AP$1,$B$1)</f>
        <v>10.5</v>
      </c>
      <c r="AQ28">
        <f>_xll.EQNXTDZ($A$1,$B28,AQ$1,$B$1)</f>
        <v>11.1</v>
      </c>
      <c r="AR28">
        <f>_xll.EQNXTDZ($A$1,$B28,AR$1,$B$1)</f>
        <v>11.7</v>
      </c>
      <c r="AS28">
        <f>_xll.EQNXTDZ($A$1,$B28,AS$1,$B$1)</f>
        <v>12</v>
      </c>
      <c r="AT28">
        <f>_xll.EQNXTDZ($A$1,$B28,AT$1,$B$1)</f>
        <v>11.7</v>
      </c>
      <c r="AU28">
        <f>_xll.EQNXTDZ($A$1,$B28,AU$1,$B$1)</f>
        <v>12</v>
      </c>
      <c r="AV28">
        <f>_xll.EQNXTDZ($A$1,$B28,AV$1,$B$1)</f>
        <v>12.3</v>
      </c>
      <c r="AW28">
        <f>_xll.EQNXTDZ($A$1,$B28,AW$1,$B$1)</f>
        <v>13.7</v>
      </c>
      <c r="AX28">
        <f>_xll.EQNXTDZ($A$1,$B28,AX$1,$B$1)</f>
        <v>12.9</v>
      </c>
      <c r="AY28">
        <f>_xll.EQNXTDZ($A$1,$B28,AY$1,$B$1)</f>
        <v>13.3</v>
      </c>
      <c r="AZ28">
        <f>_xll.EQNXTDZ($A$1,$B28,AZ$1,$B$1)</f>
        <v>13.7</v>
      </c>
      <c r="BA28">
        <f>_xll.EQNXTDZ($A$1,$B28,BA$1,$B$1)</f>
        <v>14.4</v>
      </c>
      <c r="BB28">
        <f>_xll.EQNXTDZ($A$1,$B28,BB$1,$B$1)</f>
        <v>13.9</v>
      </c>
      <c r="BC28">
        <f>_xll.EQNXTDZ($A$1,$B28,BC$1,$B$1)</f>
        <v>14</v>
      </c>
      <c r="BD28">
        <f>_xll.EQNXTDZ($A$1,$B28,BD$1,$B$1)</f>
        <v>14.8</v>
      </c>
      <c r="BE28">
        <f>_xll.EQNXTDZ($A$1,$B28,BE$1,$B$1)</f>
        <v>15.6</v>
      </c>
      <c r="BF28">
        <f>_xll.EQNXTDZ($A$1,$B28,BF$1,$B$1)</f>
        <v>14.5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6.53</v>
      </c>
      <c r="D29">
        <f>_xll.EQNXTDZ($A$1,$B29,D$1,$B$1)</f>
        <v>6.04</v>
      </c>
      <c r="E29">
        <f>_xll.EQNXTDZ($A$1,$B29,E$1,$B$1)</f>
        <v>6.2</v>
      </c>
      <c r="F29">
        <f>_xll.EQNXTDZ($A$1,$B29,F$1,$B$1)</f>
        <v>5.72</v>
      </c>
      <c r="G29">
        <f>_xll.EQNXTDZ($A$1,$B29,G$1,$B$1)</f>
        <v>7.66</v>
      </c>
      <c r="H29">
        <f>_xll.EQNXTDZ($A$1,$B29,H$1,$B$1)</f>
        <v>8.4700000000000006</v>
      </c>
      <c r="I29">
        <f>_xll.EQNXTDZ($A$1,$B29,I$1,$B$1)</f>
        <v>6</v>
      </c>
      <c r="J29">
        <f>_xll.EQNXTDZ($A$1,$B29,J$1,$B$1)</f>
        <v>7.68</v>
      </c>
      <c r="K29">
        <f>_xll.EQNXTDZ($A$1,$B29,K$1,$B$1)</f>
        <v>9.15</v>
      </c>
      <c r="L29">
        <f>_xll.EQNXTDZ($A$1,$B29,L$1,$B$1)</f>
        <v>9.0399999999999991</v>
      </c>
      <c r="M29">
        <f>_xll.EQNXTDZ($A$1,$B29,M$1,$B$1)</f>
        <v>5.83</v>
      </c>
      <c r="N29">
        <f>_xll.EQNXTDZ($A$1,$B29,N$1,$B$1)</f>
        <v>3.24</v>
      </c>
      <c r="O29">
        <f>_xll.EQNXTDZ($A$1,$B29,O$1,$B$1)</f>
        <v>8.1</v>
      </c>
      <c r="P29">
        <f>_xll.EQNXTDZ($A$1,$B29,P$1,$B$1)</f>
        <v>9.06</v>
      </c>
      <c r="Q29">
        <f>_xll.EQNXTDZ($A$1,$B29,Q$1,$B$1)</f>
        <v>15.26</v>
      </c>
      <c r="R29">
        <f>_xll.EQNXTDZ($A$1,$B29,R$1,$B$1)</f>
        <v>9.67</v>
      </c>
      <c r="S29">
        <f>_xll.EQNXTDZ($A$1,$B29,S$1,$B$1)</f>
        <v>8.3699999999999992</v>
      </c>
      <c r="T29">
        <f>_xll.EQNXTDZ($A$1,$B29,T$1,$B$1)</f>
        <v>4.75</v>
      </c>
      <c r="U29">
        <f>_xll.EQNXTDZ($A$1,$B29,U$1,$B$1)</f>
        <v>10.83</v>
      </c>
      <c r="V29">
        <f>_xll.EQNXTDZ($A$1,$B29,V$1,$B$1)</f>
        <v>7</v>
      </c>
      <c r="W29">
        <f>_xll.EQNXTDZ($A$1,$B29,W$1,$B$1)</f>
        <v>8</v>
      </c>
      <c r="X29">
        <f>_xll.EQNXTDZ($A$1,$B29,X$1,$B$1)</f>
        <v>6.6</v>
      </c>
      <c r="Y29">
        <f>_xll.EQNXTDZ($A$1,$B29,Y$1,$B$1)</f>
        <v>15.4</v>
      </c>
      <c r="Z29">
        <f>_xll.EQNXTDZ($A$1,$B29,Z$1,$B$1)</f>
        <v>6.1</v>
      </c>
      <c r="AA29">
        <f>_xll.EQNXTDZ($A$1,$B29,AA$1,$B$1)</f>
        <v>6.7</v>
      </c>
      <c r="AB29">
        <f>_xll.EQNXTDZ($A$1,$B29,AB$1,$B$1)</f>
        <v>8.4</v>
      </c>
      <c r="AC29">
        <f>_xll.EQNXTDZ($A$1,$B29,AC$1,$B$1)</f>
        <v>16.5</v>
      </c>
      <c r="AD29">
        <f>_xll.EQNXTDZ($A$1,$B29,AD$1,$B$1)</f>
        <v>8.6</v>
      </c>
      <c r="AE29">
        <f>_xll.EQNXTDZ($A$1,$B29,AE$1,$B$1)</f>
        <v>13.9</v>
      </c>
      <c r="AF29">
        <f>_xll.EQNXTDZ($A$1,$B29,AF$1,$B$1)</f>
        <v>8.4</v>
      </c>
      <c r="AG29">
        <f>_xll.EQNXTDZ($A$1,$B29,AG$1,$B$1)</f>
        <v>8.9</v>
      </c>
      <c r="AH29">
        <f>_xll.EQNXTDZ($A$1,$B29,AH$1,$B$1)</f>
        <v>9.8000000000000007</v>
      </c>
      <c r="AI29">
        <f>_xll.EQNXTDZ($A$1,$B29,AI$1,$B$1)</f>
        <v>2.1</v>
      </c>
      <c r="AJ29">
        <f>_xll.EQNXTDZ($A$1,$B29,AJ$1,$B$1)</f>
        <v>15.2</v>
      </c>
      <c r="AK29">
        <f>_xll.EQNXTDZ($A$1,$B29,AK$1,$B$1)</f>
        <v>36.1</v>
      </c>
      <c r="AL29">
        <f>_xll.EQNXTDZ($A$1,$B29,AL$1,$B$1)</f>
        <v>15.5</v>
      </c>
      <c r="AM29">
        <f>_xll.EQNXTDZ($A$1,$B29,AM$1,$B$1)</f>
        <v>9.9</v>
      </c>
      <c r="AN29">
        <f>_xll.EQNXTDZ($A$1,$B29,AN$1,$B$1)</f>
        <v>11.9</v>
      </c>
      <c r="AO29">
        <f>_xll.EQNXTDZ($A$1,$B29,AO$1,$B$1)</f>
        <v>14.3</v>
      </c>
      <c r="AP29">
        <f>_xll.EQNXTDZ($A$1,$B29,AP$1,$B$1)</f>
        <v>14.3</v>
      </c>
      <c r="AQ29">
        <f>_xll.EQNXTDZ($A$1,$B29,AQ$1,$B$1)</f>
        <v>16.600000000000001</v>
      </c>
      <c r="AR29">
        <f>_xll.EQNXTDZ($A$1,$B29,AR$1,$B$1)</f>
        <v>14.4</v>
      </c>
      <c r="AS29">
        <f>_xll.EQNXTDZ($A$1,$B29,AS$1,$B$1)</f>
        <v>17.3</v>
      </c>
      <c r="AT29">
        <f>_xll.EQNXTDZ($A$1,$B29,AT$1,$B$1)</f>
        <v>14.3</v>
      </c>
      <c r="AU29">
        <f>_xll.EQNXTDZ($A$1,$B29,AU$1,$B$1)</f>
        <v>20.3</v>
      </c>
      <c r="AV29">
        <f>_xll.EQNXTDZ($A$1,$B29,AV$1,$B$1)</f>
        <v>17.100000000000001</v>
      </c>
      <c r="AW29">
        <f>_xll.EQNXTDZ($A$1,$B29,AW$1,$B$1)</f>
        <v>19.899999999999999</v>
      </c>
      <c r="AX29">
        <f>_xll.EQNXTDZ($A$1,$B29,AX$1,$B$1)</f>
        <v>15.1</v>
      </c>
      <c r="AY29">
        <f>_xll.EQNXTDZ($A$1,$B29,AY$1,$B$1)</f>
        <v>21.8</v>
      </c>
      <c r="AZ29">
        <f>_xll.EQNXTDZ($A$1,$B29,AZ$1,$B$1)</f>
        <v>21.4</v>
      </c>
      <c r="BA29">
        <f>_xll.EQNXTDZ($A$1,$B29,BA$1,$B$1)</f>
        <v>24.9</v>
      </c>
      <c r="BB29">
        <f>_xll.EQNXTDZ($A$1,$B29,BB$1,$B$1)</f>
        <v>17.399999999999999</v>
      </c>
      <c r="BC29">
        <f>_xll.EQNXTDZ($A$1,$B29,BC$1,$B$1)</f>
        <v>21.8</v>
      </c>
      <c r="BD29">
        <f>_xll.EQNXTDZ($A$1,$B29,BD$1,$B$1)</f>
        <v>23.6</v>
      </c>
      <c r="BE29">
        <f>_xll.EQNXTDZ($A$1,$B29,BE$1,$B$1)</f>
        <v>27.2</v>
      </c>
      <c r="BF29">
        <f>_xll.EQNXTDZ($A$1,$B29,BF$1,$B$1)</f>
        <v>13.5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17.46</v>
      </c>
      <c r="D30">
        <f>_xll.EQNXTDZ($A$1,$B30,D$1,$B$1)</f>
        <v>12.92</v>
      </c>
      <c r="E30">
        <f>_xll.EQNXTDZ($A$1,$B30,E$1,$B$1)</f>
        <v>19.54</v>
      </c>
      <c r="F30">
        <f>_xll.EQNXTDZ($A$1,$B30,F$1,$B$1)</f>
        <v>15.61</v>
      </c>
      <c r="G30">
        <f>_xll.EQNXTDZ($A$1,$B30,G$1,$B$1)</f>
        <v>15.46</v>
      </c>
      <c r="H30">
        <f>_xll.EQNXTDZ($A$1,$B30,H$1,$B$1)</f>
        <v>17.899999999999999</v>
      </c>
      <c r="I30">
        <f>_xll.EQNXTDZ($A$1,$B30,I$1,$B$1)</f>
        <v>10.79</v>
      </c>
      <c r="J30">
        <f>_xll.EQNXTDZ($A$1,$B30,J$1,$B$1)</f>
        <v>15.13</v>
      </c>
      <c r="K30">
        <f>_xll.EQNXTDZ($A$1,$B30,K$1,$B$1)</f>
        <v>22.45</v>
      </c>
      <c r="L30">
        <f>_xll.EQNXTDZ($A$1,$B30,L$1,$B$1)</f>
        <v>17.87</v>
      </c>
      <c r="M30">
        <f>_xll.EQNXTDZ($A$1,$B30,M$1,$B$1)</f>
        <v>9.9700000000000006</v>
      </c>
      <c r="N30">
        <f>_xll.EQNXTDZ($A$1,$B30,N$1,$B$1)</f>
        <v>6.41</v>
      </c>
      <c r="O30">
        <f>_xll.EQNXTDZ($A$1,$B30,O$1,$B$1)</f>
        <v>22.22</v>
      </c>
      <c r="P30">
        <f>_xll.EQNXTDZ($A$1,$B30,P$1,$B$1)</f>
        <v>16.850000000000001</v>
      </c>
      <c r="Q30">
        <f>_xll.EQNXTDZ($A$1,$B30,Q$1,$B$1)</f>
        <v>24.35</v>
      </c>
      <c r="R30">
        <f>_xll.EQNXTDZ($A$1,$B30,R$1,$B$1)</f>
        <v>16.850000000000001</v>
      </c>
      <c r="S30">
        <f>_xll.EQNXTDZ($A$1,$B30,S$1,$B$1)</f>
        <v>17.23</v>
      </c>
      <c r="T30">
        <f>_xll.EQNXTDZ($A$1,$B30,T$1,$B$1)</f>
        <v>8.67</v>
      </c>
      <c r="U30">
        <f>_xll.EQNXTDZ($A$1,$B30,U$1,$B$1)</f>
        <v>22.59</v>
      </c>
      <c r="V30">
        <f>_xll.EQNXTDZ($A$1,$B30,V$1,$B$1)</f>
        <v>13.3</v>
      </c>
      <c r="W30">
        <f>_xll.EQNXTDZ($A$1,$B30,W$1,$B$1)</f>
        <v>15.3</v>
      </c>
      <c r="X30">
        <f>_xll.EQNXTDZ($A$1,$B30,X$1,$B$1)</f>
        <v>11.6</v>
      </c>
      <c r="Y30">
        <f>_xll.EQNXTDZ($A$1,$B30,Y$1,$B$1)</f>
        <v>27.4</v>
      </c>
      <c r="Z30">
        <f>_xll.EQNXTDZ($A$1,$B30,Z$1,$B$1)</f>
        <v>11.4</v>
      </c>
      <c r="AA30">
        <f>_xll.EQNXTDZ($A$1,$B30,AA$1,$B$1)</f>
        <v>14.5</v>
      </c>
      <c r="AB30">
        <f>_xll.EQNXTDZ($A$1,$B30,AB$1,$B$1)</f>
        <v>16.100000000000001</v>
      </c>
      <c r="AC30">
        <f>_xll.EQNXTDZ($A$1,$B30,AC$1,$B$1)</f>
        <v>25.3</v>
      </c>
      <c r="AD30">
        <f>_xll.EQNXTDZ($A$1,$B30,AD$1,$B$1)</f>
        <v>15.7</v>
      </c>
      <c r="AE30">
        <f>_xll.EQNXTDZ($A$1,$B30,AE$1,$B$1)</f>
        <v>25.3</v>
      </c>
      <c r="AF30">
        <f>_xll.EQNXTDZ($A$1,$B30,AF$1,$B$1)</f>
        <v>23.8</v>
      </c>
      <c r="AG30">
        <f>_xll.EQNXTDZ($A$1,$B30,AG$1,$B$1)</f>
        <v>30.5</v>
      </c>
      <c r="AH30">
        <f>_xll.EQNXTDZ($A$1,$B30,AH$1,$B$1)</f>
        <v>10.3</v>
      </c>
      <c r="AI30">
        <f>_xll.EQNXTDZ($A$1,$B30,AI$1,$B$1)</f>
        <v>7.6</v>
      </c>
      <c r="AJ30">
        <f>_xll.EQNXTDZ($A$1,$B30,AJ$1,$B$1)</f>
        <v>41</v>
      </c>
      <c r="AK30">
        <f>_xll.EQNXTDZ($A$1,$B30,AK$1,$B$1)</f>
        <v>29.6</v>
      </c>
      <c r="AL30">
        <f>_xll.EQNXTDZ($A$1,$B30,AL$1,$B$1)</f>
        <v>42</v>
      </c>
      <c r="AM30">
        <f>_xll.EQNXTDZ($A$1,$B30,AM$1,$B$1)</f>
        <v>26</v>
      </c>
      <c r="AN30">
        <f>_xll.EQNXTDZ($A$1,$B30,AN$1,$B$1)</f>
        <v>37.6</v>
      </c>
      <c r="AO30">
        <f>_xll.EQNXTDZ($A$1,$B30,AO$1,$B$1)</f>
        <v>37.4</v>
      </c>
      <c r="AP30">
        <f>_xll.EQNXTDZ($A$1,$B30,AP$1,$B$1)</f>
        <v>38.5</v>
      </c>
      <c r="AQ30">
        <f>_xll.EQNXTDZ($A$1,$B30,AQ$1,$B$1)</f>
        <v>45.4</v>
      </c>
      <c r="AR30">
        <f>_xll.EQNXTDZ($A$1,$B30,AR$1,$B$1)</f>
        <v>37.299999999999997</v>
      </c>
      <c r="AS30">
        <f>_xll.EQNXTDZ($A$1,$B30,AS$1,$B$1)</f>
        <v>53.7</v>
      </c>
      <c r="AT30">
        <f>_xll.EQNXTDZ($A$1,$B30,AT$1,$B$1)</f>
        <v>39.700000000000003</v>
      </c>
      <c r="AU30">
        <f>_xll.EQNXTDZ($A$1,$B30,AU$1,$B$1)</f>
        <v>60.1</v>
      </c>
      <c r="AV30">
        <f>_xll.EQNXTDZ($A$1,$B30,AV$1,$B$1)</f>
        <v>47.4</v>
      </c>
      <c r="AW30">
        <f>_xll.EQNXTDZ($A$1,$B30,AW$1,$B$1)</f>
        <v>52.1</v>
      </c>
      <c r="AX30">
        <f>_xll.EQNXTDZ($A$1,$B30,AX$1,$B$1)</f>
        <v>42.5</v>
      </c>
      <c r="AY30">
        <f>_xll.EQNXTDZ($A$1,$B30,AY$1,$B$1)</f>
        <v>64.2</v>
      </c>
      <c r="AZ30">
        <f>_xll.EQNXTDZ($A$1,$B30,AZ$1,$B$1)</f>
        <v>58.5</v>
      </c>
      <c r="BA30">
        <f>_xll.EQNXTDZ($A$1,$B30,BA$1,$B$1)</f>
        <v>68.900000000000006</v>
      </c>
      <c r="BB30">
        <f>_xll.EQNXTDZ($A$1,$B30,BB$1,$B$1)</f>
        <v>48.1</v>
      </c>
      <c r="BC30">
        <f>_xll.EQNXTDZ($A$1,$B30,BC$1,$B$1)</f>
        <v>66.7</v>
      </c>
      <c r="BD30">
        <f>_xll.EQNXTDZ($A$1,$B30,BD$1,$B$1)</f>
        <v>64.2</v>
      </c>
      <c r="BE30">
        <f>_xll.EQNXTDZ($A$1,$B30,BE$1,$B$1)</f>
        <v>76.900000000000006</v>
      </c>
      <c r="BF30">
        <f>_xll.EQNXTDZ($A$1,$B30,BF$1,$B$1)</f>
        <v>36.6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1.1000000000000001</v>
      </c>
      <c r="AA35">
        <f>_xll.EQNXTDZ($A$1,$B35,AA$1,$B$1)</f>
        <v>0.9</v>
      </c>
      <c r="AB35">
        <f>_xll.EQNXTDZ($A$1,$B35,AB$1,$B$1)</f>
        <v>0.9</v>
      </c>
      <c r="AC35">
        <f>_xll.EQNXTDZ($A$1,$B35,AC$1,$B$1)</f>
        <v>1.4</v>
      </c>
      <c r="AD35">
        <f>_xll.EQNXTDZ($A$1,$B35,AD$1,$B$1)</f>
        <v>0.9</v>
      </c>
      <c r="AE35">
        <f>_xll.EQNXTDZ($A$1,$B35,AE$1,$B$1)</f>
        <v>0.5</v>
      </c>
      <c r="AF35">
        <f>_xll.EQNXTDZ($A$1,$B35,AF$1,$B$1)</f>
        <v>1.9</v>
      </c>
      <c r="AG35">
        <f>_xll.EQNXTDZ($A$1,$B35,AG$1,$B$1)</f>
        <v>2.1</v>
      </c>
      <c r="AH35">
        <f>_xll.EQNXTDZ($A$1,$B35,AH$1,$B$1)</f>
        <v>0.6</v>
      </c>
      <c r="AI35">
        <f>_xll.EQNXTDZ($A$1,$B35,AI$1,$B$1)</f>
        <v>0.6</v>
      </c>
      <c r="AJ35">
        <f>_xll.EQNXTDZ($A$1,$B35,AJ$1,$B$1)</f>
        <v>1.7</v>
      </c>
      <c r="AK35">
        <f>_xll.EQNXTDZ($A$1,$B35,AK$1,$B$1)</f>
        <v>2.4</v>
      </c>
      <c r="AL35">
        <f>_xll.EQNXTDZ($A$1,$B35,AL$1,$B$1)</f>
        <v>1.9</v>
      </c>
      <c r="AM35">
        <f>_xll.EQNXTDZ($A$1,$B35,AM$1,$B$1)</f>
        <v>1.2</v>
      </c>
      <c r="AN35">
        <f>_xll.EQNXTDZ($A$1,$B35,AN$1,$B$1)</f>
        <v>1.3</v>
      </c>
      <c r="AO35">
        <f>_xll.EQNXTDZ($A$1,$B35,AO$1,$B$1)</f>
        <v>2</v>
      </c>
      <c r="AP35">
        <f>_xll.EQNXTDZ($A$1,$B35,AP$1,$B$1)</f>
        <v>1.9</v>
      </c>
      <c r="AQ35">
        <f>_xll.EQNXTDZ($A$1,$B35,AQ$1,$B$1)</f>
        <v>2</v>
      </c>
      <c r="AR35">
        <f>_xll.EQNXTDZ($A$1,$B35,AR$1,$B$1)</f>
        <v>1.7</v>
      </c>
      <c r="AS35">
        <f>_xll.EQNXTDZ($A$1,$B35,AS$1,$B$1)</f>
        <v>2.2000000000000002</v>
      </c>
      <c r="AT35">
        <f>_xll.EQNXTDZ($A$1,$B35,AT$1,$B$1)</f>
        <v>1.2</v>
      </c>
      <c r="AU35">
        <f>_xll.EQNXTDZ($A$1,$B35,AU$1,$B$1)</f>
        <v>2.7</v>
      </c>
      <c r="AV35">
        <f>_xll.EQNXTDZ($A$1,$B35,AV$1,$B$1)</f>
        <v>2.7</v>
      </c>
      <c r="AW35">
        <f>_xll.EQNXTDZ($A$1,$B35,AW$1,$B$1)</f>
        <v>2.8</v>
      </c>
      <c r="AX35">
        <f>_xll.EQNXTDZ($A$1,$B35,AX$1,$B$1)</f>
        <v>2.1</v>
      </c>
      <c r="AY35">
        <f>_xll.EQNXTDZ($A$1,$B35,AY$1,$B$1)</f>
        <v>3.9</v>
      </c>
      <c r="AZ35">
        <f>_xll.EQNXTDZ($A$1,$B35,AZ$1,$B$1)</f>
        <v>3.2</v>
      </c>
      <c r="BA35">
        <f>_xll.EQNXTDZ($A$1,$B35,BA$1,$B$1)</f>
        <v>4.2</v>
      </c>
      <c r="BB35">
        <f>_xll.EQNXTDZ($A$1,$B35,BB$1,$B$1)</f>
        <v>3.5</v>
      </c>
      <c r="BC35">
        <f>_xll.EQNXTDZ($A$1,$B35,BC$1,$B$1)</f>
        <v>3.7</v>
      </c>
      <c r="BD35">
        <f>_xll.EQNXTDZ($A$1,$B35,BD$1,$B$1)</f>
        <v>3.3</v>
      </c>
      <c r="BE35">
        <f>_xll.EQNXTDZ($A$1,$B35,BE$1,$B$1)</f>
        <v>4.0999999999999996</v>
      </c>
      <c r="BF35">
        <f>_xll.EQNXTDZ($A$1,$B35,BF$1,$B$1)</f>
        <v>3.2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17.46</v>
      </c>
      <c r="D38">
        <f>_xll.EQNXTDZ($A$1,$B38,D$1,$B$1)</f>
        <v>12.92</v>
      </c>
      <c r="E38">
        <f>_xll.EQNXTDZ($A$1,$B38,E$1,$B$1)</f>
        <v>19.54</v>
      </c>
      <c r="F38">
        <f>_xll.EQNXTDZ($A$1,$B38,F$1,$B$1)</f>
        <v>15.61</v>
      </c>
      <c r="G38">
        <f>_xll.EQNXTDZ($A$1,$B38,G$1,$B$1)</f>
        <v>15.46</v>
      </c>
      <c r="H38">
        <f>_xll.EQNXTDZ($A$1,$B38,H$1,$B$1)</f>
        <v>17.899999999999999</v>
      </c>
      <c r="I38">
        <f>_xll.EQNXTDZ($A$1,$B38,I$1,$B$1)</f>
        <v>10.79</v>
      </c>
      <c r="J38">
        <f>_xll.EQNXTDZ($A$1,$B38,J$1,$B$1)</f>
        <v>15.13</v>
      </c>
      <c r="K38">
        <f>_xll.EQNXTDZ($A$1,$B38,K$1,$B$1)</f>
        <v>22.45</v>
      </c>
      <c r="L38">
        <f>_xll.EQNXTDZ($A$1,$B38,L$1,$B$1)</f>
        <v>17.87</v>
      </c>
      <c r="M38">
        <f>_xll.EQNXTDZ($A$1,$B38,M$1,$B$1)</f>
        <v>9.9700000000000006</v>
      </c>
      <c r="N38">
        <f>_xll.EQNXTDZ($A$1,$B38,N$1,$B$1)</f>
        <v>6.41</v>
      </c>
      <c r="O38">
        <f>_xll.EQNXTDZ($A$1,$B38,O$1,$B$1)</f>
        <v>22.22</v>
      </c>
      <c r="P38">
        <f>_xll.EQNXTDZ($A$1,$B38,P$1,$B$1)</f>
        <v>16.850000000000001</v>
      </c>
      <c r="Q38">
        <f>_xll.EQNXTDZ($A$1,$B38,Q$1,$B$1)</f>
        <v>24.35</v>
      </c>
      <c r="R38">
        <f>_xll.EQNXTDZ($A$1,$B38,R$1,$B$1)</f>
        <v>16.850000000000001</v>
      </c>
      <c r="S38">
        <f>_xll.EQNXTDZ($A$1,$B38,S$1,$B$1)</f>
        <v>17.23</v>
      </c>
      <c r="T38">
        <f>_xll.EQNXTDZ($A$1,$B38,T$1,$B$1)</f>
        <v>8.67</v>
      </c>
      <c r="U38">
        <f>_xll.EQNXTDZ($A$1,$B38,U$1,$B$1)</f>
        <v>22.59</v>
      </c>
      <c r="V38">
        <f>_xll.EQNXTDZ($A$1,$B38,V$1,$B$1)</f>
        <v>13.3</v>
      </c>
      <c r="W38">
        <f>_xll.EQNXTDZ($A$1,$B38,W$1,$B$1)</f>
        <v>15.3</v>
      </c>
      <c r="X38">
        <f>_xll.EQNXTDZ($A$1,$B38,X$1,$B$1)</f>
        <v>11.6</v>
      </c>
      <c r="Y38">
        <f>_xll.EQNXTDZ($A$1,$B38,Y$1,$B$1)</f>
        <v>27.4</v>
      </c>
      <c r="Z38">
        <f>_xll.EQNXTDZ($A$1,$B38,Z$1,$B$1)</f>
        <v>12.5</v>
      </c>
      <c r="AA38">
        <f>_xll.EQNXTDZ($A$1,$B38,AA$1,$B$1)</f>
        <v>15.4</v>
      </c>
      <c r="AB38">
        <f>_xll.EQNXTDZ($A$1,$B38,AB$1,$B$1)</f>
        <v>17</v>
      </c>
      <c r="AC38">
        <f>_xll.EQNXTDZ($A$1,$B38,AC$1,$B$1)</f>
        <v>26.7</v>
      </c>
      <c r="AD38">
        <f>_xll.EQNXTDZ($A$1,$B38,AD$1,$B$1)</f>
        <v>16.600000000000001</v>
      </c>
      <c r="AE38">
        <f>_xll.EQNXTDZ($A$1,$B38,AE$1,$B$1)</f>
        <v>25.8</v>
      </c>
      <c r="AF38">
        <f>_xll.EQNXTDZ($A$1,$B38,AF$1,$B$1)</f>
        <v>25.7</v>
      </c>
      <c r="AG38">
        <f>_xll.EQNXTDZ($A$1,$B38,AG$1,$B$1)</f>
        <v>32.6</v>
      </c>
      <c r="AH38">
        <f>_xll.EQNXTDZ($A$1,$B38,AH$1,$B$1)</f>
        <v>10.9</v>
      </c>
      <c r="AI38">
        <f>_xll.EQNXTDZ($A$1,$B38,AI$1,$B$1)</f>
        <v>8.1999999999999993</v>
      </c>
      <c r="AJ38">
        <f>_xll.EQNXTDZ($A$1,$B38,AJ$1,$B$1)</f>
        <v>42.7</v>
      </c>
      <c r="AK38">
        <f>_xll.EQNXTDZ($A$1,$B38,AK$1,$B$1)</f>
        <v>32</v>
      </c>
      <c r="AL38">
        <f>_xll.EQNXTDZ($A$1,$B38,AL$1,$B$1)</f>
        <v>43.9</v>
      </c>
      <c r="AM38">
        <f>_xll.EQNXTDZ($A$1,$B38,AM$1,$B$1)</f>
        <v>27.2</v>
      </c>
      <c r="AN38">
        <f>_xll.EQNXTDZ($A$1,$B38,AN$1,$B$1)</f>
        <v>38.9</v>
      </c>
      <c r="AO38">
        <f>_xll.EQNXTDZ($A$1,$B38,AO$1,$B$1)</f>
        <v>39.4</v>
      </c>
      <c r="AP38">
        <f>_xll.EQNXTDZ($A$1,$B38,AP$1,$B$1)</f>
        <v>40.4</v>
      </c>
      <c r="AQ38">
        <f>_xll.EQNXTDZ($A$1,$B38,AQ$1,$B$1)</f>
        <v>47.4</v>
      </c>
      <c r="AR38">
        <f>_xll.EQNXTDZ($A$1,$B38,AR$1,$B$1)</f>
        <v>39</v>
      </c>
      <c r="AS38">
        <f>_xll.EQNXTDZ($A$1,$B38,AS$1,$B$1)</f>
        <v>55.9</v>
      </c>
      <c r="AT38">
        <f>_xll.EQNXTDZ($A$1,$B38,AT$1,$B$1)</f>
        <v>40.9</v>
      </c>
      <c r="AU38">
        <f>_xll.EQNXTDZ($A$1,$B38,AU$1,$B$1)</f>
        <v>62.8</v>
      </c>
      <c r="AV38">
        <f>_xll.EQNXTDZ($A$1,$B38,AV$1,$B$1)</f>
        <v>50.1</v>
      </c>
      <c r="AW38">
        <f>_xll.EQNXTDZ($A$1,$B38,AW$1,$B$1)</f>
        <v>54.9</v>
      </c>
      <c r="AX38">
        <f>_xll.EQNXTDZ($A$1,$B38,AX$1,$B$1)</f>
        <v>44.6</v>
      </c>
      <c r="AY38">
        <f>_xll.EQNXTDZ($A$1,$B38,AY$1,$B$1)</f>
        <v>68.099999999999994</v>
      </c>
      <c r="AZ38">
        <f>_xll.EQNXTDZ($A$1,$B38,AZ$1,$B$1)</f>
        <v>61.7</v>
      </c>
      <c r="BA38">
        <f>_xll.EQNXTDZ($A$1,$B38,BA$1,$B$1)</f>
        <v>73.099999999999994</v>
      </c>
      <c r="BB38">
        <f>_xll.EQNXTDZ($A$1,$B38,BB$1,$B$1)</f>
        <v>51.6</v>
      </c>
      <c r="BC38">
        <f>_xll.EQNXTDZ($A$1,$B38,BC$1,$B$1)</f>
        <v>70.400000000000006</v>
      </c>
      <c r="BD38">
        <f>_xll.EQNXTDZ($A$1,$B38,BD$1,$B$1)</f>
        <v>67.5</v>
      </c>
      <c r="BE38">
        <f>_xll.EQNXTDZ($A$1,$B38,BE$1,$B$1)</f>
        <v>81</v>
      </c>
      <c r="BF38">
        <f>_xll.EQNXTDZ($A$1,$B38,BF$1,$B$1)</f>
        <v>39.799999999999997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-0.85</v>
      </c>
      <c r="S40">
        <f>_xll.EQNXTDZ($A$1,$B40,S$1,$B$1)</f>
        <v>-1.25</v>
      </c>
      <c r="T40">
        <f>_xll.EQNXTDZ($A$1,$B40,T$1,$B$1)</f>
        <v>-0.88</v>
      </c>
      <c r="U40">
        <f>_xll.EQNXTDZ($A$1,$B40,U$1,$B$1)</f>
        <v>-0.67</v>
      </c>
      <c r="V40">
        <f>_xll.EQNXTDZ($A$1,$B40,V$1,$B$1)</f>
        <v>0.4</v>
      </c>
      <c r="W40">
        <f>_xll.EQNXTDZ($A$1,$B40,W$1,$B$1)</f>
        <v>0.3</v>
      </c>
      <c r="X40">
        <f>_xll.EQNXTDZ($A$1,$B40,X$1,$B$1)</f>
        <v>0.4</v>
      </c>
      <c r="Y40">
        <f>_xll.EQNXTDZ($A$1,$B40,Y$1,$B$1)</f>
        <v>1.2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1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-0.1</v>
      </c>
      <c r="AG40">
        <f>_xll.EQNXTDZ($A$1,$B40,AG$1,$B$1)</f>
        <v>-5.3</v>
      </c>
      <c r="AH40">
        <f>_xll.EQNXTDZ($A$1,$B40,AH$1,$B$1)</f>
        <v>0</v>
      </c>
      <c r="AI40">
        <f>_xll.EQNXTDZ($A$1,$B40,AI$1,$B$1)</f>
        <v>-1.8</v>
      </c>
      <c r="AJ40">
        <f>_xll.EQNXTDZ($A$1,$B40,AJ$1,$B$1)</f>
        <v>-1</v>
      </c>
      <c r="AK40">
        <f>_xll.EQNXTDZ($A$1,$B40,AK$1,$B$1)</f>
        <v>-1.2</v>
      </c>
      <c r="AL40">
        <f>_xll.EQNXTDZ($A$1,$B40,AL$1,$B$1)</f>
        <v>-0.2</v>
      </c>
      <c r="AM40">
        <f>_xll.EQNXTDZ($A$1,$B40,AM$1,$B$1)</f>
        <v>-0.3</v>
      </c>
      <c r="AN40">
        <f>_xll.EQNXTDZ($A$1,$B40,AN$1,$B$1)</f>
        <v>-0.3</v>
      </c>
      <c r="AO40">
        <f>_xll.EQNXTDZ($A$1,$B40,AO$1,$B$1)</f>
        <v>1.2</v>
      </c>
      <c r="AP40">
        <f>_xll.EQNXTDZ($A$1,$B40,AP$1,$B$1)</f>
        <v>0.3</v>
      </c>
      <c r="AQ40">
        <f>_xll.EQNXTDZ($A$1,$B40,AQ$1,$B$1)</f>
        <v>0.3</v>
      </c>
      <c r="AR40">
        <f>_xll.EQNXTDZ($A$1,$B40,AR$1,$B$1)</f>
        <v>0.3</v>
      </c>
      <c r="AS40">
        <f>_xll.EQNXTDZ($A$1,$B40,AS$1,$B$1)</f>
        <v>-7.9</v>
      </c>
      <c r="AT40">
        <f>_xll.EQNXTDZ($A$1,$B40,AT$1,$B$1)</f>
        <v>-0.3</v>
      </c>
      <c r="AU40">
        <f>_xll.EQNXTDZ($A$1,$B40,AU$1,$B$1)</f>
        <v>-0.3</v>
      </c>
      <c r="AV40">
        <f>_xll.EQNXTDZ($A$1,$B40,AV$1,$B$1)</f>
        <v>-0.9</v>
      </c>
      <c r="AW40">
        <f>_xll.EQNXTDZ($A$1,$B40,AW$1,$B$1)</f>
        <v>3.8</v>
      </c>
      <c r="AX40">
        <f>_xll.EQNXTDZ($A$1,$B40,AX$1,$B$1)</f>
        <v>-1.4</v>
      </c>
      <c r="AY40">
        <f>_xll.EQNXTDZ($A$1,$B40,AY$1,$B$1)</f>
        <v>-1.3</v>
      </c>
      <c r="AZ40">
        <f>_xll.EQNXTDZ($A$1,$B40,AZ$1,$B$1)</f>
        <v>-1.3</v>
      </c>
      <c r="BA40">
        <f>_xll.EQNXTDZ($A$1,$B40,BA$1,$B$1)</f>
        <v>0.9</v>
      </c>
      <c r="BB40">
        <f>_xll.EQNXTDZ($A$1,$B40,BB$1,$B$1)</f>
        <v>-0.8</v>
      </c>
      <c r="BC40">
        <f>_xll.EQNXTDZ($A$1,$B40,BC$1,$B$1)</f>
        <v>-2.6</v>
      </c>
      <c r="BD40">
        <f>_xll.EQNXTDZ($A$1,$B40,BD$1,$B$1)</f>
        <v>-1.6</v>
      </c>
      <c r="BE40">
        <f>_xll.EQNXTDZ($A$1,$B40,BE$1,$B$1)</f>
        <v>-2.5</v>
      </c>
      <c r="BF40">
        <f>_xll.EQNXTDZ($A$1,$B40,BF$1,$B$1)</f>
        <v>-0.8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22.22</v>
      </c>
      <c r="P41">
        <f>_xll.EQNXTDZ($A$1,$B41,P$1,$B$1)</f>
        <v>16.850000000000001</v>
      </c>
      <c r="Q41">
        <f>_xll.EQNXTDZ($A$1,$B41,Q$1,$B$1)</f>
        <v>24.35</v>
      </c>
      <c r="R41">
        <f>_xll.EQNXTDZ($A$1,$B41,R$1,$B$1)</f>
        <v>16</v>
      </c>
      <c r="S41">
        <f>_xll.EQNXTDZ($A$1,$B41,S$1,$B$1)</f>
        <v>15.98</v>
      </c>
      <c r="T41">
        <f>_xll.EQNXTDZ($A$1,$B41,T$1,$B$1)</f>
        <v>7.79</v>
      </c>
      <c r="U41">
        <f>_xll.EQNXTDZ($A$1,$B41,U$1,$B$1)</f>
        <v>21.92</v>
      </c>
      <c r="V41">
        <f>_xll.EQNXTDZ($A$1,$B41,V$1,$B$1)</f>
        <v>13.7</v>
      </c>
      <c r="W41">
        <f>_xll.EQNXTDZ($A$1,$B41,W$1,$B$1)</f>
        <v>15.6</v>
      </c>
      <c r="X41">
        <f>_xll.EQNXTDZ($A$1,$B41,X$1,$B$1)</f>
        <v>12</v>
      </c>
      <c r="Y41">
        <f>_xll.EQNXTDZ($A$1,$B41,Y$1,$B$1)</f>
        <v>28.6</v>
      </c>
      <c r="Z41">
        <f>_xll.EQNXTDZ($A$1,$B41,Z$1,$B$1)</f>
        <v>12.5</v>
      </c>
      <c r="AA41">
        <f>_xll.EQNXTDZ($A$1,$B41,AA$1,$B$1)</f>
        <v>15.4</v>
      </c>
      <c r="AB41">
        <f>_xll.EQNXTDZ($A$1,$B41,AB$1,$B$1)</f>
        <v>17</v>
      </c>
      <c r="AC41">
        <f>_xll.EQNXTDZ($A$1,$B41,AC$1,$B$1)</f>
        <v>27.7</v>
      </c>
      <c r="AD41">
        <f>_xll.EQNXTDZ($A$1,$B41,AD$1,$B$1)</f>
        <v>16.600000000000001</v>
      </c>
      <c r="AE41">
        <f>_xll.EQNXTDZ($A$1,$B41,AE$1,$B$1)</f>
        <v>25.8</v>
      </c>
      <c r="AF41">
        <f>_xll.EQNXTDZ($A$1,$B41,AF$1,$B$1)</f>
        <v>25.6</v>
      </c>
      <c r="AG41">
        <f>_xll.EQNXTDZ($A$1,$B41,AG$1,$B$1)</f>
        <v>27.3</v>
      </c>
      <c r="AH41">
        <f>_xll.EQNXTDZ($A$1,$B41,AH$1,$B$1)</f>
        <v>10.9</v>
      </c>
      <c r="AI41">
        <f>_xll.EQNXTDZ($A$1,$B41,AI$1,$B$1)</f>
        <v>6.4</v>
      </c>
      <c r="AJ41">
        <f>_xll.EQNXTDZ($A$1,$B41,AJ$1,$B$1)</f>
        <v>41.7</v>
      </c>
      <c r="AK41">
        <f>_xll.EQNXTDZ($A$1,$B41,AK$1,$B$1)</f>
        <v>30.8</v>
      </c>
      <c r="AL41">
        <f>_xll.EQNXTDZ($A$1,$B41,AL$1,$B$1)</f>
        <v>43.7</v>
      </c>
      <c r="AM41">
        <f>_xll.EQNXTDZ($A$1,$B41,AM$1,$B$1)</f>
        <v>26.9</v>
      </c>
      <c r="AN41">
        <f>_xll.EQNXTDZ($A$1,$B41,AN$1,$B$1)</f>
        <v>38.6</v>
      </c>
      <c r="AO41">
        <f>_xll.EQNXTDZ($A$1,$B41,AO$1,$B$1)</f>
        <v>40.6</v>
      </c>
      <c r="AP41">
        <f>_xll.EQNXTDZ($A$1,$B41,AP$1,$B$1)</f>
        <v>40.700000000000003</v>
      </c>
      <c r="AQ41">
        <f>_xll.EQNXTDZ($A$1,$B41,AQ$1,$B$1)</f>
        <v>47.7</v>
      </c>
      <c r="AR41">
        <f>_xll.EQNXTDZ($A$1,$B41,AR$1,$B$1)</f>
        <v>39.299999999999997</v>
      </c>
      <c r="AS41">
        <f>_xll.EQNXTDZ($A$1,$B41,AS$1,$B$1)</f>
        <v>48</v>
      </c>
      <c r="AT41">
        <f>_xll.EQNXTDZ($A$1,$B41,AT$1,$B$1)</f>
        <v>40.6</v>
      </c>
      <c r="AU41">
        <f>_xll.EQNXTDZ($A$1,$B41,AU$1,$B$1)</f>
        <v>62.5</v>
      </c>
      <c r="AV41">
        <f>_xll.EQNXTDZ($A$1,$B41,AV$1,$B$1)</f>
        <v>49.2</v>
      </c>
      <c r="AW41">
        <f>_xll.EQNXTDZ($A$1,$B41,AW$1,$B$1)</f>
        <v>58.7</v>
      </c>
      <c r="AX41">
        <f>_xll.EQNXTDZ($A$1,$B41,AX$1,$B$1)</f>
        <v>43.2</v>
      </c>
      <c r="AY41">
        <f>_xll.EQNXTDZ($A$1,$B41,AY$1,$B$1)</f>
        <v>66.8</v>
      </c>
      <c r="AZ41">
        <f>_xll.EQNXTDZ($A$1,$B41,AZ$1,$B$1)</f>
        <v>60.4</v>
      </c>
      <c r="BA41">
        <f>_xll.EQNXTDZ($A$1,$B41,BA$1,$B$1)</f>
        <v>74</v>
      </c>
      <c r="BB41">
        <f>_xll.EQNXTDZ($A$1,$B41,BB$1,$B$1)</f>
        <v>50.8</v>
      </c>
      <c r="BC41">
        <f>_xll.EQNXTDZ($A$1,$B41,BC$1,$B$1)</f>
        <v>67.8</v>
      </c>
      <c r="BD41">
        <f>_xll.EQNXTDZ($A$1,$B41,BD$1,$B$1)</f>
        <v>65.900000000000006</v>
      </c>
      <c r="BE41">
        <f>_xll.EQNXTDZ($A$1,$B41,BE$1,$B$1)</f>
        <v>78.5</v>
      </c>
      <c r="BF41">
        <f>_xll.EQNXTDZ($A$1,$B41,BF$1,$B$1)</f>
        <v>39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17.46</v>
      </c>
      <c r="D42">
        <f>_xll.EQNXTDZ($A$1,$B42,D$1,$B$1)</f>
        <v>12.92</v>
      </c>
      <c r="E42">
        <f>_xll.EQNXTDZ($A$1,$B42,E$1,$B$1)</f>
        <v>19.54</v>
      </c>
      <c r="F42">
        <f>_xll.EQNXTDZ($A$1,$B42,F$1,$B$1)</f>
        <v>15.61</v>
      </c>
      <c r="G42">
        <f>_xll.EQNXTDZ($A$1,$B42,G$1,$B$1)</f>
        <v>15.46</v>
      </c>
      <c r="H42">
        <f>_xll.EQNXTDZ($A$1,$B42,H$1,$B$1)</f>
        <v>17.899999999999999</v>
      </c>
      <c r="I42">
        <f>_xll.EQNXTDZ($A$1,$B42,I$1,$B$1)</f>
        <v>10.79</v>
      </c>
      <c r="J42">
        <f>_xll.EQNXTDZ($A$1,$B42,J$1,$B$1)</f>
        <v>15.13</v>
      </c>
      <c r="K42">
        <f>_xll.EQNXTDZ($A$1,$B42,K$1,$B$1)</f>
        <v>22.45</v>
      </c>
      <c r="L42">
        <f>_xll.EQNXTDZ($A$1,$B42,L$1,$B$1)</f>
        <v>17.87</v>
      </c>
      <c r="M42">
        <f>_xll.EQNXTDZ($A$1,$B42,M$1,$B$1)</f>
        <v>9.9700000000000006</v>
      </c>
      <c r="N42">
        <f>_xll.EQNXTDZ($A$1,$B42,N$1,$B$1)</f>
        <v>6.41</v>
      </c>
      <c r="O42">
        <f>_xll.EQNXTDZ($A$1,$B42,O$1,$B$1)</f>
        <v>22.22</v>
      </c>
      <c r="P42">
        <f>_xll.EQNXTDZ($A$1,$B42,P$1,$B$1)</f>
        <v>16.850000000000001</v>
      </c>
      <c r="Q42">
        <f>_xll.EQNXTDZ($A$1,$B42,Q$1,$B$1)</f>
        <v>24.35</v>
      </c>
      <c r="R42">
        <f>_xll.EQNXTDZ($A$1,$B42,R$1,$B$1)</f>
        <v>16.850000000000001</v>
      </c>
      <c r="S42">
        <f>_xll.EQNXTDZ($A$1,$B42,S$1,$B$1)</f>
        <v>17.23</v>
      </c>
      <c r="T42">
        <f>_xll.EQNXTDZ($A$1,$B42,T$1,$B$1)</f>
        <v>8.67</v>
      </c>
      <c r="U42">
        <f>_xll.EQNXTDZ($A$1,$B42,U$1,$B$1)</f>
        <v>22.59</v>
      </c>
      <c r="V42">
        <f>_xll.EQNXTDZ($A$1,$B42,V$1,$B$1)</f>
        <v>13.3</v>
      </c>
      <c r="W42">
        <f>_xll.EQNXTDZ($A$1,$B42,W$1,$B$1)</f>
        <v>15.3</v>
      </c>
      <c r="X42">
        <f>_xll.EQNXTDZ($A$1,$B42,X$1,$B$1)</f>
        <v>11.6</v>
      </c>
      <c r="Y42">
        <f>_xll.EQNXTDZ($A$1,$B42,Y$1,$B$1)</f>
        <v>27.4</v>
      </c>
      <c r="Z42">
        <f>_xll.EQNXTDZ($A$1,$B42,Z$1,$B$1)</f>
        <v>12.5</v>
      </c>
      <c r="AA42">
        <f>_xll.EQNXTDZ($A$1,$B42,AA$1,$B$1)</f>
        <v>15.4</v>
      </c>
      <c r="AB42">
        <f>_xll.EQNXTDZ($A$1,$B42,AB$1,$B$1)</f>
        <v>17</v>
      </c>
      <c r="AC42">
        <f>_xll.EQNXTDZ($A$1,$B42,AC$1,$B$1)</f>
        <v>26.7</v>
      </c>
      <c r="AD42">
        <f>_xll.EQNXTDZ($A$1,$B42,AD$1,$B$1)</f>
        <v>16.600000000000001</v>
      </c>
      <c r="AE42">
        <f>_xll.EQNXTDZ($A$1,$B42,AE$1,$B$1)</f>
        <v>25.8</v>
      </c>
      <c r="AF42">
        <f>_xll.EQNXTDZ($A$1,$B42,AF$1,$B$1)</f>
        <v>25.7</v>
      </c>
      <c r="AG42">
        <f>_xll.EQNXTDZ($A$1,$B42,AG$1,$B$1)</f>
        <v>32.6</v>
      </c>
      <c r="AH42">
        <f>_xll.EQNXTDZ($A$1,$B42,AH$1,$B$1)</f>
        <v>10.9</v>
      </c>
      <c r="AI42">
        <f>_xll.EQNXTDZ($A$1,$B42,AI$1,$B$1)</f>
        <v>8.1999999999999993</v>
      </c>
      <c r="AJ42">
        <f>_xll.EQNXTDZ($A$1,$B42,AJ$1,$B$1)</f>
        <v>42.7</v>
      </c>
      <c r="AK42">
        <f>_xll.EQNXTDZ($A$1,$B42,AK$1,$B$1)</f>
        <v>32</v>
      </c>
      <c r="AL42">
        <f>_xll.EQNXTDZ($A$1,$B42,AL$1,$B$1)</f>
        <v>43.9</v>
      </c>
      <c r="AM42">
        <f>_xll.EQNXTDZ($A$1,$B42,AM$1,$B$1)</f>
        <v>27.2</v>
      </c>
      <c r="AN42">
        <f>_xll.EQNXTDZ($A$1,$B42,AN$1,$B$1)</f>
        <v>38.9</v>
      </c>
      <c r="AO42">
        <f>_xll.EQNXTDZ($A$1,$B42,AO$1,$B$1)</f>
        <v>39.4</v>
      </c>
      <c r="AP42">
        <f>_xll.EQNXTDZ($A$1,$B42,AP$1,$B$1)</f>
        <v>40.4</v>
      </c>
      <c r="AQ42">
        <f>_xll.EQNXTDZ($A$1,$B42,AQ$1,$B$1)</f>
        <v>47.4</v>
      </c>
      <c r="AR42">
        <f>_xll.EQNXTDZ($A$1,$B42,AR$1,$B$1)</f>
        <v>39</v>
      </c>
      <c r="AS42">
        <f>_xll.EQNXTDZ($A$1,$B42,AS$1,$B$1)</f>
        <v>55.9</v>
      </c>
      <c r="AT42">
        <f>_xll.EQNXTDZ($A$1,$B42,AT$1,$B$1)</f>
        <v>40.9</v>
      </c>
      <c r="AU42">
        <f>_xll.EQNXTDZ($A$1,$B42,AU$1,$B$1)</f>
        <v>62.8</v>
      </c>
      <c r="AV42">
        <f>_xll.EQNXTDZ($A$1,$B42,AV$1,$B$1)</f>
        <v>50.1</v>
      </c>
      <c r="AW42">
        <f>_xll.EQNXTDZ($A$1,$B42,AW$1,$B$1)</f>
        <v>54.9</v>
      </c>
      <c r="AX42">
        <f>_xll.EQNXTDZ($A$1,$B42,AX$1,$B$1)</f>
        <v>44.6</v>
      </c>
      <c r="AY42">
        <f>_xll.EQNXTDZ($A$1,$B42,AY$1,$B$1)</f>
        <v>68.099999999999994</v>
      </c>
      <c r="AZ42">
        <f>_xll.EQNXTDZ($A$1,$B42,AZ$1,$B$1)</f>
        <v>61.7</v>
      </c>
      <c r="BA42">
        <f>_xll.EQNXTDZ($A$1,$B42,BA$1,$B$1)</f>
        <v>73.099999999999994</v>
      </c>
      <c r="BB42">
        <f>_xll.EQNXTDZ($A$1,$B42,BB$1,$B$1)</f>
        <v>51.6</v>
      </c>
      <c r="BC42">
        <f>_xll.EQNXTDZ($A$1,$B42,BC$1,$B$1)</f>
        <v>70.400000000000006</v>
      </c>
      <c r="BD42">
        <f>_xll.EQNXTDZ($A$1,$B42,BD$1,$B$1)</f>
        <v>67.5</v>
      </c>
      <c r="BE42">
        <f>_xll.EQNXTDZ($A$1,$B42,BE$1,$B$1)</f>
        <v>81</v>
      </c>
      <c r="BF42">
        <f>_xll.EQNXTDZ($A$1,$B42,BF$1,$B$1)</f>
        <v>39.799999999999997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34.81</v>
      </c>
      <c r="D45">
        <f>_xll.EQNXTDZ($A$1,$B45,D$1,$B$1)</f>
        <v>34.81</v>
      </c>
      <c r="E45">
        <f>_xll.EQNXTDZ($A$1,$B45,E$1,$B$1)</f>
        <v>34.81</v>
      </c>
      <c r="F45">
        <f>_xll.EQNXTDZ($A$1,$B45,F$1,$B$1)</f>
        <v>34.81</v>
      </c>
      <c r="G45">
        <f>_xll.EQNXTDZ($A$1,$B45,G$1,$B$1)</f>
        <v>34.81</v>
      </c>
      <c r="H45">
        <f>_xll.EQNXTDZ($A$1,$B45,H$1,$B$1)</f>
        <v>34.81</v>
      </c>
      <c r="I45">
        <f>_xll.EQNXTDZ($A$1,$B45,I$1,$B$1)</f>
        <v>34.81</v>
      </c>
      <c r="J45">
        <f>_xll.EQNXTDZ($A$1,$B45,J$1,$B$1)</f>
        <v>34.81</v>
      </c>
      <c r="K45">
        <f>_xll.EQNXTDZ($A$1,$B45,K$1,$B$1)</f>
        <v>34.81</v>
      </c>
      <c r="L45">
        <f>_xll.EQNXTDZ($A$1,$B45,L$1,$B$1)</f>
        <v>34.81</v>
      </c>
      <c r="M45">
        <f>_xll.EQNXTDZ($A$1,$B45,M$1,$B$1)</f>
        <v>34.81</v>
      </c>
      <c r="N45">
        <f>_xll.EQNXTDZ($A$1,$B45,N$1,$B$1)</f>
        <v>34.81</v>
      </c>
      <c r="O45">
        <f>_xll.EQNXTDZ($A$1,$B45,O$1,$B$1)</f>
        <v>34.81</v>
      </c>
      <c r="P45">
        <f>_xll.EQNXTDZ($A$1,$B45,P$1,$B$1)</f>
        <v>34.81</v>
      </c>
      <c r="Q45">
        <f>_xll.EQNXTDZ($A$1,$B45,Q$1,$B$1)</f>
        <v>34.81</v>
      </c>
      <c r="R45">
        <f>_xll.EQNXTDZ($A$1,$B45,R$1,$B$1)</f>
        <v>34.81</v>
      </c>
      <c r="S45">
        <f>_xll.EQNXTDZ($A$1,$B45,S$1,$B$1)</f>
        <v>34.81</v>
      </c>
      <c r="T45">
        <f>_xll.EQNXTDZ($A$1,$B45,T$1,$B$1)</f>
        <v>34.81</v>
      </c>
      <c r="U45">
        <f>_xll.EQNXTDZ($A$1,$B45,U$1,$B$1)</f>
        <v>34.81</v>
      </c>
      <c r="V45">
        <f>_xll.EQNXTDZ($A$1,$B45,V$1,$B$1)</f>
        <v>34.799999999999997</v>
      </c>
      <c r="W45">
        <f>_xll.EQNXTDZ($A$1,$B45,W$1,$B$1)</f>
        <v>34.799999999999997</v>
      </c>
      <c r="X45">
        <f>_xll.EQNXTDZ($A$1,$B45,X$1,$B$1)</f>
        <v>34.799999999999997</v>
      </c>
      <c r="Y45">
        <f>_xll.EQNXTDZ($A$1,$B45,Y$1,$B$1)</f>
        <v>34.799999999999997</v>
      </c>
      <c r="Z45">
        <f>_xll.EQNXTDZ($A$1,$B45,Z$1,$B$1)</f>
        <v>34.799999999999997</v>
      </c>
      <c r="AA45">
        <f>_xll.EQNXTDZ($A$1,$B45,AA$1,$B$1)</f>
        <v>34.799999999999997</v>
      </c>
      <c r="AB45">
        <f>_xll.EQNXTDZ($A$1,$B45,AB$1,$B$1)</f>
        <v>34.799999999999997</v>
      </c>
      <c r="AC45">
        <f>_xll.EQNXTDZ($A$1,$B45,AC$1,$B$1)</f>
        <v>34.799999999999997</v>
      </c>
      <c r="AD45">
        <f>_xll.EQNXTDZ($A$1,$B45,AD$1,$B$1)</f>
        <v>34.799999999999997</v>
      </c>
      <c r="AE45">
        <f>_xll.EQNXTDZ($A$1,$B45,AE$1,$B$1)</f>
        <v>34.799999999999997</v>
      </c>
      <c r="AF45">
        <f>_xll.EQNXTDZ($A$1,$B45,AF$1,$B$1)</f>
        <v>34.799999999999997</v>
      </c>
      <c r="AG45">
        <f>_xll.EQNXTDZ($A$1,$B45,AG$1,$B$1)</f>
        <v>34.799999999999997</v>
      </c>
      <c r="AH45">
        <f>_xll.EQNXTDZ($A$1,$B45,AH$1,$B$1)</f>
        <v>34.799999999999997</v>
      </c>
      <c r="AI45">
        <f>_xll.EQNXTDZ($A$1,$B45,AI$1,$B$1)</f>
        <v>34.799999999999997</v>
      </c>
      <c r="AJ45">
        <f>_xll.EQNXTDZ($A$1,$B45,AJ$1,$B$1)</f>
        <v>34.799999999999997</v>
      </c>
      <c r="AK45">
        <f>_xll.EQNXTDZ($A$1,$B45,AK$1,$B$1)</f>
        <v>34.799999999999997</v>
      </c>
      <c r="AL45">
        <f>_xll.EQNXTDZ($A$1,$B45,AL$1,$B$1)</f>
        <v>34.799999999999997</v>
      </c>
      <c r="AM45">
        <f>_xll.EQNXTDZ($A$1,$B45,AM$1,$B$1)</f>
        <v>34.799999999999997</v>
      </c>
      <c r="AN45">
        <f>_xll.EQNXTDZ($A$1,$B45,AN$1,$B$1)</f>
        <v>34.799999999999997</v>
      </c>
      <c r="AO45">
        <f>_xll.EQNXTDZ($A$1,$B45,AO$1,$B$1)</f>
        <v>34.799999999999997</v>
      </c>
      <c r="AP45">
        <f>_xll.EQNXTDZ($A$1,$B45,AP$1,$B$1)</f>
        <v>34.799999999999997</v>
      </c>
      <c r="AQ45">
        <f>_xll.EQNXTDZ($A$1,$B45,AQ$1,$B$1)</f>
        <v>34.799999999999997</v>
      </c>
      <c r="AR45">
        <f>_xll.EQNXTDZ($A$1,$B45,AR$1,$B$1)</f>
        <v>34.799999999999997</v>
      </c>
      <c r="AS45">
        <f>_xll.EQNXTDZ($A$1,$B45,AS$1,$B$1)</f>
        <v>34.799999999999997</v>
      </c>
      <c r="AT45">
        <f>_xll.EQNXTDZ($A$1,$B45,AT$1,$B$1)</f>
        <v>34.799999999999997</v>
      </c>
      <c r="AU45">
        <f>_xll.EQNXTDZ($A$1,$B45,AU$1,$B$1)</f>
        <v>34.799999999999997</v>
      </c>
      <c r="AV45">
        <f>_xll.EQNXTDZ($A$1,$B45,AV$1,$B$1)</f>
        <v>34.799999999999997</v>
      </c>
      <c r="AW45">
        <f>_xll.EQNXTDZ($A$1,$B45,AW$1,$B$1)</f>
        <v>34.799999999999997</v>
      </c>
      <c r="AX45">
        <f>_xll.EQNXTDZ($A$1,$B45,AX$1,$B$1)</f>
        <v>34.799999999999997</v>
      </c>
      <c r="AY45">
        <f>_xll.EQNXTDZ($A$1,$B45,AY$1,$B$1)</f>
        <v>34.799999999999997</v>
      </c>
      <c r="AZ45">
        <f>_xll.EQNXTDZ($A$1,$B45,AZ$1,$B$1)</f>
        <v>34.799999999999997</v>
      </c>
      <c r="BA45">
        <f>_xll.EQNXTDZ($A$1,$B45,BA$1,$B$1)</f>
        <v>34.799999999999997</v>
      </c>
      <c r="BB45">
        <f>_xll.EQNXTDZ($A$1,$B45,BB$1,$B$1)</f>
        <v>34.799999999999997</v>
      </c>
      <c r="BC45">
        <f>_xll.EQNXTDZ($A$1,$B45,BC$1,$B$1)</f>
        <v>34.799999999999997</v>
      </c>
      <c r="BD45">
        <f>_xll.EQNXTDZ($A$1,$B45,BD$1,$B$1)</f>
        <v>34.799999999999997</v>
      </c>
      <c r="BE45">
        <f>_xll.EQNXTDZ($A$1,$B45,BE$1,$B$1)</f>
        <v>34.799999999999997</v>
      </c>
      <c r="BF45">
        <f>_xll.EQNXTDZ($A$1,$B45,BF$1,$B$1)</f>
        <v>34.799999999999997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36.880000000000003</v>
      </c>
      <c r="D48" s="54">
        <f>_xll.EQNXTDZ($A$1,$B48,D$5)</f>
        <v>41.19</v>
      </c>
      <c r="E48" s="54">
        <f>_xll.EQNXTDZ($A$1,$B48,E$5)</f>
        <v>44.32</v>
      </c>
      <c r="F48" s="54">
        <f>_xll.EQNXTDZ($A$1,$B48,F$5)</f>
        <v>40.659999999999997</v>
      </c>
      <c r="G48" s="54">
        <f>_xll.EQNXTDZ($A$1,$B48,G$5)</f>
        <v>41.64</v>
      </c>
      <c r="H48" s="54">
        <f>_xll.EQNXTDZ($A$1,$B48,H$5)</f>
        <v>42.91</v>
      </c>
      <c r="I48" s="54">
        <f>_xll.EQNXTDZ($A$1,$B48,I$5)</f>
        <v>53.6</v>
      </c>
      <c r="J48" s="54">
        <f>_xll.EQNXTDZ($A$1,$B48,J$5)</f>
        <v>64.959999999999994</v>
      </c>
      <c r="K48" s="54">
        <f>_xll.EQNXTDZ($A$1,$B48,K$5)</f>
        <v>109.35</v>
      </c>
      <c r="L48" s="54">
        <f>_xll.EQNXTDZ($A$1,$B48,L$5)</f>
        <v>108.84</v>
      </c>
      <c r="M48" s="54">
        <f>_xll.EQNXTDZ($A$1,$B48,M$5)</f>
        <v>132.69</v>
      </c>
      <c r="N48" s="54">
        <f>_xll.EQNXTDZ($A$1,$B48,N$5)</f>
        <v>147.94999999999999</v>
      </c>
      <c r="O48" s="54">
        <f>_xll.EQNXTDZ($A$1,$B48,O$5)</f>
        <v>123.3</v>
      </c>
      <c r="P48" s="54">
        <f>_xll.EQNXTDZ($A$1,$B48,P$5)</f>
        <v>117.85</v>
      </c>
      <c r="Q48" s="54">
        <f>_xll.EQNXTDZ($A$1,$B48,Q$5)</f>
        <v>123.55</v>
      </c>
      <c r="R48" s="54">
        <f>_xll.EQNXTDZ($A$1,$B48,R$5)</f>
        <v>126.3</v>
      </c>
      <c r="S48" s="54">
        <f>_xll.EQNXTDZ($A$1,$B48,S$5)</f>
        <v>147.47</v>
      </c>
      <c r="T48" s="54">
        <f>_xll.EQNXTDZ($A$1,$B48,T$5)</f>
        <v>118.96</v>
      </c>
      <c r="U48" s="54">
        <f>_xll.EQNXTDZ($A$1,$B48,U$5)</f>
        <v>125.79</v>
      </c>
      <c r="V48" s="54">
        <f>_xll.EQNXTDZ($A$1,$B48,V$5)</f>
        <v>144.78</v>
      </c>
      <c r="W48" s="54">
        <f>_xll.EQNXTDZ($A$1,$B48,W$5)</f>
        <v>151.91</v>
      </c>
      <c r="X48" s="54">
        <f>_xll.EQNXTDZ($A$1,$B48,X$5)</f>
        <v>146.47</v>
      </c>
      <c r="Y48" s="54">
        <f>_xll.EQNXTDZ($A$1,$B48,Y$5)</f>
        <v>177.3</v>
      </c>
      <c r="Z48" s="54">
        <f>_xll.EQNXTDZ($A$1,$B48,Z$5)</f>
        <v>158.09</v>
      </c>
      <c r="AA48" s="54">
        <f>_xll.EQNXTDZ($A$1,$B48,AA$5)</f>
        <v>155.43</v>
      </c>
      <c r="AB48" s="54">
        <f>_xll.EQNXTDZ($A$1,$B48,AB$5)</f>
        <v>144.58000000000001</v>
      </c>
      <c r="AC48" s="54">
        <f>_xll.EQNXTDZ($A$1,$B48,AC$5)</f>
        <v>155.85</v>
      </c>
      <c r="AD48" s="54">
        <f>_xll.EQNXTDZ($A$1,$B48,AD$5)</f>
        <v>137.56</v>
      </c>
      <c r="AE48" s="54">
        <f>_xll.EQNXTDZ($A$1,$B48,AE$5)</f>
        <v>143.32</v>
      </c>
      <c r="AF48" s="54">
        <f>_xll.EQNXTDZ($A$1,$B48,AF$5)</f>
        <v>139.08000000000001</v>
      </c>
      <c r="AG48" s="54">
        <f>_xll.EQNXTDZ($A$1,$B48,AG$5)</f>
        <v>135</v>
      </c>
      <c r="AH48" s="54">
        <f>_xll.EQNXTDZ($A$1,$B48,AH$5)</f>
        <v>84.84</v>
      </c>
      <c r="AI48" s="54">
        <f>_xll.EQNXTDZ($A$1,$B48,AI$5)</f>
        <v>93.35</v>
      </c>
      <c r="AJ48" s="54">
        <f>_xll.EQNXTDZ($A$1,$B48,AJ$5)</f>
        <v>95.57</v>
      </c>
      <c r="AK48" s="54">
        <f>_xll.EQNXTDZ($A$1,$B48,AK$5)</f>
        <v>129.36000000000001</v>
      </c>
      <c r="AL48" s="54">
        <f>_xll.EQNXTDZ($A$1,$B48,AL$5)</f>
        <v>179.07</v>
      </c>
      <c r="AM48" s="54">
        <f>_xll.EQNXTDZ($A$1,$B48,AM$5)</f>
        <v>202.22</v>
      </c>
      <c r="AN48" s="54">
        <f>_xll.EQNXTDZ($A$1,$B48,AN$5)</f>
        <v>244.3</v>
      </c>
      <c r="AO48" s="54">
        <f>_xll.EQNXTDZ($A$1,$B48,AO$5)</f>
        <v>243.08</v>
      </c>
      <c r="AP48" s="54">
        <f>_xll.EQNXTDZ($A$1,$B48,AP$5)</f>
        <v>262.92</v>
      </c>
      <c r="AQ48" s="54">
        <f>_xll.EQNXTDZ($A$1,$B48,AQ$5)</f>
        <v>296.70999999999998</v>
      </c>
      <c r="AR48" s="54">
        <f>_xll.EQNXTDZ($A$1,$B48,AR$5)</f>
        <v>401.25</v>
      </c>
      <c r="AS48" s="54">
        <f>_xll.EQNXTDZ($A$1,$B48,AS$5)</f>
        <v>387.38</v>
      </c>
      <c r="AT48" s="54">
        <f>_xll.EQNXTDZ($A$1,$B48,AT$5)</f>
        <v>418.32</v>
      </c>
      <c r="AU48" s="54">
        <f>_xll.EQNXTDZ($A$1,$B48,AU$5)</f>
        <v>431.17</v>
      </c>
      <c r="AV48" s="54">
        <f>_xll.EQNXTDZ($A$1,$B48,AV$5)</f>
        <v>599.16</v>
      </c>
      <c r="AW48" s="54">
        <f>_xll.EQNXTDZ($A$1,$B48,AW$5)</f>
        <v>692.83</v>
      </c>
      <c r="AX48" s="54">
        <f>_xll.EQNXTDZ($A$1,$B48,AX$5)</f>
        <v>770.92</v>
      </c>
      <c r="AY48" s="54">
        <f>_xll.EQNXTDZ($A$1,$B48,AY$5)</f>
        <v>934.99</v>
      </c>
      <c r="AZ48" s="54">
        <f>_xll.EQNXTDZ($A$1,$B48,AZ$5)</f>
        <v>898.9</v>
      </c>
      <c r="BA48" s="54">
        <f>_xll.EQNXTDZ($A$1,$B48,BA$5)</f>
        <v>767.4</v>
      </c>
      <c r="BB48" s="54">
        <f>_xll.EQNXTDZ($A$1,$B48,BB$5)</f>
        <v>712.7</v>
      </c>
      <c r="BC48" s="54">
        <f>_xll.EQNXTDZ($A$1,$B48,BC$5)</f>
        <v>817.9</v>
      </c>
      <c r="BD48" s="54">
        <f>_xll.EQNXTDZ($A$1,$B48,BD$5)</f>
        <v>821.45</v>
      </c>
      <c r="BE48" s="54">
        <f>_xll.EQNXTDZ($A$1,$B48,BE$5)</f>
        <v>754.25</v>
      </c>
      <c r="BF48" s="54">
        <f>_xll.EQNXTDZ($A$1,$B48,BF$5)</f>
        <v>792.25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66.8</v>
      </c>
      <c r="D49" s="54">
        <f>_xll.EQNXTDZ($A$1,$B49,D$5)</f>
        <v>66.8</v>
      </c>
      <c r="E49" s="54">
        <f>_xll.EQNXTDZ($A$1,$B49,E$5)</f>
        <v>66.8</v>
      </c>
      <c r="F49" s="54">
        <f>_xll.EQNXTDZ($A$1,$B49,F$5)</f>
        <v>66.8</v>
      </c>
      <c r="G49" s="54">
        <f>_xll.EQNXTDZ($A$1,$B49,G$5)</f>
        <v>66.8</v>
      </c>
      <c r="H49" s="54">
        <f>_xll.EQNXTDZ($A$1,$B49,H$5)</f>
        <v>66.8</v>
      </c>
      <c r="I49" s="54">
        <f>_xll.EQNXTDZ($A$1,$B49,I$5)</f>
        <v>66.42</v>
      </c>
      <c r="J49" s="54">
        <f>_xll.EQNXTDZ($A$1,$B49,J$5)</f>
        <v>66.42</v>
      </c>
      <c r="K49" s="54">
        <f>_xll.EQNXTDZ($A$1,$B49,K$5)</f>
        <v>66.42</v>
      </c>
      <c r="L49" s="54">
        <f>_xll.EQNXTDZ($A$1,$B49,L$5)</f>
        <v>66.41</v>
      </c>
      <c r="M49" s="54">
        <f>_xll.EQNXTDZ($A$1,$B49,M$5)</f>
        <v>66.41</v>
      </c>
      <c r="N49" s="54">
        <f>_xll.EQNXTDZ($A$1,$B49,N$5)</f>
        <v>66.41</v>
      </c>
      <c r="O49" s="54">
        <f>_xll.EQNXTDZ($A$1,$B49,O$5)</f>
        <v>66.41</v>
      </c>
      <c r="P49" s="54">
        <f>_xll.EQNXTDZ($A$1,$B49,P$5)</f>
        <v>66.41</v>
      </c>
      <c r="Q49" s="54">
        <f>_xll.EQNXTDZ($A$1,$B49,Q$5)</f>
        <v>66.41</v>
      </c>
      <c r="R49" s="54">
        <f>_xll.EQNXTDZ($A$1,$B49,R$5)</f>
        <v>66.41</v>
      </c>
      <c r="S49" s="54">
        <f>_xll.EQNXTDZ($A$1,$B49,S$5)</f>
        <v>66.41</v>
      </c>
      <c r="T49" s="54">
        <f>_xll.EQNXTDZ($A$1,$B49,T$5)</f>
        <v>66.41</v>
      </c>
      <c r="U49" s="54">
        <f>_xll.EQNXTDZ($A$1,$B49,U$5)</f>
        <v>66.41</v>
      </c>
      <c r="V49" s="54">
        <f>_xll.EQNXTDZ($A$1,$B49,V$5)</f>
        <v>66.41</v>
      </c>
      <c r="W49" s="54">
        <f>_xll.EQNXTDZ($A$1,$B49,W$5)</f>
        <v>66.41</v>
      </c>
      <c r="X49" s="54">
        <f>_xll.EQNXTDZ($A$1,$B49,X$5)</f>
        <v>66.41</v>
      </c>
      <c r="Y49" s="54">
        <f>_xll.EQNXTDZ($A$1,$B49,Y$5)</f>
        <v>66.41</v>
      </c>
      <c r="Z49" s="54">
        <f>_xll.EQNXTDZ($A$1,$B49,Z$5)</f>
        <v>66.41</v>
      </c>
      <c r="AA49" s="54">
        <f>_xll.EQNXTDZ($A$1,$B49,AA$5)</f>
        <v>66.41</v>
      </c>
      <c r="AB49" s="54">
        <f>_xll.EQNXTDZ($A$1,$B49,AB$5)</f>
        <v>66.41</v>
      </c>
      <c r="AC49" s="54">
        <f>_xll.EQNXTDZ($A$1,$B49,AC$5)</f>
        <v>66.41</v>
      </c>
      <c r="AD49" s="54">
        <f>_xll.EQNXTDZ($A$1,$B49,AD$5)</f>
        <v>66.41</v>
      </c>
      <c r="AE49" s="54">
        <f>_xll.EQNXTDZ($A$1,$B49,AE$5)</f>
        <v>66.41</v>
      </c>
      <c r="AF49" s="54">
        <f>_xll.EQNXTDZ($A$1,$B49,AF$5)</f>
        <v>66.41</v>
      </c>
      <c r="AG49" s="54">
        <f>_xll.EQNXTDZ($A$1,$B49,AG$5)</f>
        <v>66.41</v>
      </c>
      <c r="AH49" s="54">
        <f>_xll.EQNXTDZ($A$1,$B49,AH$5)</f>
        <v>66.41</v>
      </c>
      <c r="AI49" s="54">
        <f>_xll.EQNXTDZ($A$1,$B49,AI$5)</f>
        <v>66.41</v>
      </c>
      <c r="AJ49" s="54">
        <f>_xll.EQNXTDZ($A$1,$B49,AJ$5)</f>
        <v>66.41</v>
      </c>
      <c r="AK49" s="54">
        <f>_xll.EQNXTDZ($A$1,$B49,AK$5)</f>
        <v>66.41</v>
      </c>
      <c r="AL49" s="54">
        <f>_xll.EQNXTDZ($A$1,$B49,AL$5)</f>
        <v>66.69</v>
      </c>
      <c r="AM49" s="54">
        <f>_xll.EQNXTDZ($A$1,$B49,AM$5)</f>
        <v>66.69</v>
      </c>
      <c r="AN49" s="54">
        <f>_xll.EQNXTDZ($A$1,$B49,AN$5)</f>
        <v>66.69</v>
      </c>
      <c r="AO49" s="54">
        <f>_xll.EQNXTDZ($A$1,$B49,AO$5)</f>
        <v>66.69</v>
      </c>
      <c r="AP49" s="54">
        <f>_xll.EQNXTDZ($A$1,$B49,AP$5)</f>
        <v>66.69</v>
      </c>
      <c r="AQ49" s="54">
        <f>_xll.EQNXTDZ($A$1,$B49,AQ$5)</f>
        <v>66.69</v>
      </c>
      <c r="AR49" s="54">
        <f>_xll.EQNXTDZ($A$1,$B49,AR$5)</f>
        <v>66.69</v>
      </c>
      <c r="AS49" s="54">
        <f>_xll.EQNXTDZ($A$1,$B49,AS$5)</f>
        <v>66.69</v>
      </c>
      <c r="AT49" s="54">
        <f>_xll.EQNXTDZ($A$1,$B49,AT$5)</f>
        <v>66.69</v>
      </c>
      <c r="AU49" s="54">
        <f>_xll.EQNXTDZ($A$1,$B49,AU$5)</f>
        <v>66.69</v>
      </c>
      <c r="AV49" s="54">
        <f>_xll.EQNXTDZ($A$1,$B49,AV$5)</f>
        <v>66.69</v>
      </c>
      <c r="AW49" s="54">
        <f>_xll.EQNXTDZ($A$1,$B49,AW$5)</f>
        <v>66.69</v>
      </c>
      <c r="AX49" s="54">
        <f>_xll.EQNXTDZ($A$1,$B49,AX$5)</f>
        <v>66.69</v>
      </c>
      <c r="AY49" s="54">
        <f>_xll.EQNXTDZ($A$1,$B49,AY$5)</f>
        <v>69.8</v>
      </c>
      <c r="AZ49" s="54">
        <f>_xll.EQNXTDZ($A$1,$B49,AZ$5)</f>
        <v>69.8</v>
      </c>
      <c r="BA49" s="54">
        <f>_xll.EQNXTDZ($A$1,$B49,BA$5)</f>
        <v>69.8</v>
      </c>
      <c r="BB49" s="54">
        <f>_xll.EQNXTDZ($A$1,$B49,BB$5)</f>
        <v>69.8</v>
      </c>
      <c r="BC49" s="54">
        <f>_xll.EQNXTDZ($A$1,$B49,BC$5)</f>
        <v>69.8</v>
      </c>
      <c r="BD49" s="54">
        <f>_xll.EQNXTDZ($A$1,$B49,BD$5)</f>
        <v>69.8</v>
      </c>
      <c r="BE49" s="54">
        <f>_xll.EQNXTDZ($A$1,$B49,BE$5)</f>
        <v>69.8</v>
      </c>
      <c r="BF49" s="54">
        <f>_xll.EQNXTDZ($A$1,$B49,BF$5)</f>
        <v>69.8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0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34.81</v>
      </c>
      <c r="D56" s="54">
        <f>_xll.EQNXTDZ($A$1,$B56,D$5,$B$1)</f>
        <v>0</v>
      </c>
      <c r="E56" s="54">
        <f>_xll.EQNXTDZ($A$1,$B56,E$5,$B$1)</f>
        <v>0</v>
      </c>
      <c r="F56" s="54">
        <f>_xll.EQNXTDZ($A$1,$B56,F$5,$B$1)</f>
        <v>0</v>
      </c>
      <c r="G56" s="54">
        <f>_xll.EQNXTDZ($A$1,$B56,G$5,$B$1)</f>
        <v>34.81</v>
      </c>
      <c r="H56" s="54">
        <f>_xll.EQNXTDZ($A$1,$B56,H$5,$B$1)</f>
        <v>0</v>
      </c>
      <c r="I56" s="54">
        <f>_xll.EQNXTDZ($A$1,$B56,I$5,$B$1)</f>
        <v>34.81</v>
      </c>
      <c r="J56" s="54">
        <f>_xll.EQNXTDZ($A$1,$B56,J$5,$B$1)</f>
        <v>0</v>
      </c>
      <c r="K56" s="54">
        <f>_xll.EQNXTDZ($A$1,$B56,K$5,$B$1)</f>
        <v>34.81</v>
      </c>
      <c r="L56" s="54">
        <f>_xll.EQNXTDZ($A$1,$B56,L$5,$B$1)</f>
        <v>0</v>
      </c>
      <c r="M56" s="54">
        <f>_xll.EQNXTDZ($A$1,$B56,M$5,$B$1)</f>
        <v>34.81</v>
      </c>
      <c r="N56" s="54">
        <f>_xll.EQNXTDZ($A$1,$B56,N$5,$B$1)</f>
        <v>0</v>
      </c>
      <c r="O56" s="54">
        <f>_xll.EQNXTDZ($A$1,$B56,O$5,$B$1)</f>
        <v>34.81</v>
      </c>
      <c r="P56" s="54">
        <f>_xll.EQNXTDZ($A$1,$B56,P$5,$B$1)</f>
        <v>0</v>
      </c>
      <c r="Q56" s="54">
        <f>_xll.EQNXTDZ($A$1,$B56,Q$5,$B$1)</f>
        <v>34.81</v>
      </c>
      <c r="R56" s="54">
        <f>_xll.EQNXTDZ($A$1,$B56,R$5,$B$1)</f>
        <v>0</v>
      </c>
      <c r="S56" s="54">
        <f>_xll.EQNXTDZ($A$1,$B56,S$5,$B$1)</f>
        <v>34.81</v>
      </c>
      <c r="T56" s="54">
        <f>_xll.EQNXTDZ($A$1,$B56,T$5,$B$1)</f>
        <v>0</v>
      </c>
      <c r="U56" s="54">
        <f>_xll.EQNXTDZ($A$1,$B56,U$5,$B$1)</f>
        <v>34.81</v>
      </c>
      <c r="V56" s="54">
        <f>_xll.EQNXTDZ($A$1,$B56,V$5,$B$1)</f>
        <v>0</v>
      </c>
      <c r="W56" s="54">
        <f>_xll.EQNXTDZ($A$1,$B56,W$5,$B$1)</f>
        <v>34.81</v>
      </c>
      <c r="X56" s="54">
        <f>_xll.EQNXTDZ($A$1,$B56,X$5,$B$1)</f>
        <v>0</v>
      </c>
      <c r="Y56" s="54">
        <f>_xll.EQNXTDZ($A$1,$B56,Y$5,$B$1)</f>
        <v>34.799999999999997</v>
      </c>
      <c r="Z56" s="54">
        <f>_xll.EQNXTDZ($A$1,$B56,Z$5,$B$1)</f>
        <v>0</v>
      </c>
      <c r="AA56" s="54">
        <f>_xll.EQNXTDZ($A$1,$B56,AA$5,$B$1)</f>
        <v>34.799999999999997</v>
      </c>
      <c r="AB56" s="54">
        <f>_xll.EQNXTDZ($A$1,$B56,AB$5,$B$1)</f>
        <v>0</v>
      </c>
      <c r="AC56" s="54">
        <f>_xll.EQNXTDZ($A$1,$B56,AC$5,$B$1)</f>
        <v>34.799999999999997</v>
      </c>
      <c r="AD56" s="54">
        <f>_xll.EQNXTDZ($A$1,$B56,AD$5,$B$1)</f>
        <v>0</v>
      </c>
      <c r="AE56" s="54">
        <f>_xll.EQNXTDZ($A$1,$B56,AE$5,$B$1)</f>
        <v>34.799999999999997</v>
      </c>
      <c r="AF56" s="54">
        <f>_xll.EQNXTDZ($A$1,$B56,AF$5,$B$1)</f>
        <v>0</v>
      </c>
      <c r="AG56" s="54">
        <f>_xll.EQNXTDZ($A$1,$B56,AG$5,$B$1)</f>
        <v>34.799999999999997</v>
      </c>
      <c r="AH56" s="54">
        <f>_xll.EQNXTDZ($A$1,$B56,AH$5,$B$1)</f>
        <v>0</v>
      </c>
      <c r="AI56" s="54">
        <f>_xll.EQNXTDZ($A$1,$B56,AI$5,$B$1)</f>
        <v>34.799999999999997</v>
      </c>
      <c r="AJ56" s="54">
        <f>_xll.EQNXTDZ($A$1,$B56,AJ$5,$B$1)</f>
        <v>0</v>
      </c>
      <c r="AK56" s="54">
        <f>_xll.EQNXTDZ($A$1,$B56,AK$5,$B$1)</f>
        <v>34.799999999999997</v>
      </c>
      <c r="AL56" s="54">
        <f>_xll.EQNXTDZ($A$1,$B56,AL$5,$B$1)</f>
        <v>0</v>
      </c>
      <c r="AM56" s="54">
        <f>_xll.EQNXTDZ($A$1,$B56,AM$5,$B$1)</f>
        <v>34.799999999999997</v>
      </c>
      <c r="AN56" s="54">
        <f>_xll.EQNXTDZ($A$1,$B56,AN$5,$B$1)</f>
        <v>0</v>
      </c>
      <c r="AO56" s="54">
        <f>_xll.EQNXTDZ($A$1,$B56,AO$5,$B$1)</f>
        <v>34.799999999999997</v>
      </c>
      <c r="AP56" s="54">
        <f>_xll.EQNXTDZ($A$1,$B56,AP$5,$B$1)</f>
        <v>0</v>
      </c>
      <c r="AQ56" s="54">
        <f>_xll.EQNXTDZ($A$1,$B56,AQ$5,$B$1)</f>
        <v>34.799999999999997</v>
      </c>
      <c r="AR56" s="54">
        <f>_xll.EQNXTDZ($A$1,$B56,AR$5,$B$1)</f>
        <v>0</v>
      </c>
      <c r="AS56" s="54">
        <f>_xll.EQNXTDZ($A$1,$B56,AS$5,$B$1)</f>
        <v>34.799999999999997</v>
      </c>
      <c r="AT56" s="54">
        <f>_xll.EQNXTDZ($A$1,$B56,AT$5,$B$1)</f>
        <v>0</v>
      </c>
      <c r="AU56" s="54">
        <f>_xll.EQNXTDZ($A$1,$B56,AU$5,$B$1)</f>
        <v>34.799999999999997</v>
      </c>
      <c r="AV56" s="54">
        <f>_xll.EQNXTDZ($A$1,$B56,AV$5,$B$1)</f>
        <v>0</v>
      </c>
      <c r="AW56" s="54">
        <f>_xll.EQNXTDZ($A$1,$B56,AW$5,$B$1)</f>
        <v>34.799999999999997</v>
      </c>
      <c r="AX56" s="54">
        <f>_xll.EQNXTDZ($A$1,$B56,AX$5,$B$1)</f>
        <v>0</v>
      </c>
      <c r="AY56" s="54">
        <f>_xll.EQNXTDZ($A$1,$B56,AY$5,$B$1)</f>
        <v>34.799999999999997</v>
      </c>
      <c r="AZ56" s="54">
        <f>_xll.EQNXTDZ($A$1,$B56,AZ$5,$B$1)</f>
        <v>0</v>
      </c>
      <c r="BA56" s="54">
        <f>_xll.EQNXTDZ($A$1,$B56,BA$5,$B$1)</f>
        <v>34.799999999999997</v>
      </c>
      <c r="BB56" s="54">
        <f>_xll.EQNXTDZ($A$1,$B56,BB$5,$B$1)</f>
        <v>0</v>
      </c>
      <c r="BC56" s="54">
        <f>_xll.EQNXTDZ($A$1,$B56,BC$5,$B$1)</f>
        <v>34.799999999999997</v>
      </c>
      <c r="BD56" s="54">
        <f>_xll.EQNXTDZ($A$1,$B56,BD$5,$B$1)</f>
        <v>0</v>
      </c>
      <c r="BE56" s="54">
        <f>_xll.EQNXTDZ($A$1,$B56,BE$5,$B$1)</f>
        <v>34.799999999999997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380.87</v>
      </c>
      <c r="D58" s="54">
        <f>_xll.EQNXTDZ($A$1,$B58,D$5,$B$1)</f>
        <v>0</v>
      </c>
      <c r="E58" s="54">
        <f>_xll.EQNXTDZ($A$1,$B58,E$5,$B$1)</f>
        <v>0</v>
      </c>
      <c r="F58" s="54">
        <f>_xll.EQNXTDZ($A$1,$B58,F$5,$B$1)</f>
        <v>0</v>
      </c>
      <c r="G58" s="54">
        <f>_xll.EQNXTDZ($A$1,$B58,G$5,$B$1)</f>
        <v>422.15</v>
      </c>
      <c r="H58" s="54">
        <f>_xll.EQNXTDZ($A$1,$B58,H$5,$B$1)</f>
        <v>0</v>
      </c>
      <c r="I58" s="54">
        <f>_xll.EQNXTDZ($A$1,$B58,I$5,$B$1)</f>
        <v>476.96</v>
      </c>
      <c r="J58" s="54">
        <f>_xll.EQNXTDZ($A$1,$B58,J$5,$B$1)</f>
        <v>0</v>
      </c>
      <c r="K58" s="54">
        <f>_xll.EQNXTDZ($A$1,$B58,K$5,$B$1)</f>
        <v>466.02</v>
      </c>
      <c r="L58" s="54">
        <f>_xll.EQNXTDZ($A$1,$B58,L$5,$B$1)</f>
        <v>0</v>
      </c>
      <c r="M58" s="54">
        <f>_xll.EQNXTDZ($A$1,$B58,M$5,$B$1)</f>
        <v>522.41999999999996</v>
      </c>
      <c r="N58" s="54">
        <f>_xll.EQNXTDZ($A$1,$B58,N$5,$B$1)</f>
        <v>0</v>
      </c>
      <c r="O58" s="54">
        <f>_xll.EQNXTDZ($A$1,$B58,O$5,$B$1)</f>
        <v>500.26</v>
      </c>
      <c r="P58" s="54">
        <f>_xll.EQNXTDZ($A$1,$B58,P$5,$B$1)</f>
        <v>0</v>
      </c>
      <c r="Q58" s="54">
        <f>_xll.EQNXTDZ($A$1,$B58,Q$5,$B$1)</f>
        <v>568.04</v>
      </c>
      <c r="R58" s="54">
        <f>_xll.EQNXTDZ($A$1,$B58,R$5,$B$1)</f>
        <v>0</v>
      </c>
      <c r="S58" s="54">
        <f>_xll.EQNXTDZ($A$1,$B58,S$5,$B$1)</f>
        <v>549.83000000000004</v>
      </c>
      <c r="T58" s="54">
        <f>_xll.EQNXTDZ($A$1,$B58,T$5,$B$1)</f>
        <v>0</v>
      </c>
      <c r="U58" s="54">
        <f>_xll.EQNXTDZ($A$1,$B58,U$5,$B$1)</f>
        <v>625.35</v>
      </c>
      <c r="V58" s="54">
        <f>_xll.EQNXTDZ($A$1,$B58,V$5,$B$1)</f>
        <v>0</v>
      </c>
      <c r="W58" s="54">
        <f>_xll.EQNXTDZ($A$1,$B58,W$5,$B$1)</f>
        <v>587.77</v>
      </c>
      <c r="X58" s="54">
        <f>_xll.EQNXTDZ($A$1,$B58,X$5,$B$1)</f>
        <v>0</v>
      </c>
      <c r="Y58" s="54">
        <f>_xll.EQNXTDZ($A$1,$B58,Y$5,$B$1)</f>
        <v>675.6</v>
      </c>
      <c r="Z58" s="54">
        <f>_xll.EQNXTDZ($A$1,$B58,Z$5,$B$1)</f>
        <v>0</v>
      </c>
      <c r="AA58" s="54">
        <f>_xll.EQNXTDZ($A$1,$B58,AA$5,$B$1)</f>
        <v>636.1</v>
      </c>
      <c r="AB58" s="54">
        <f>_xll.EQNXTDZ($A$1,$B58,AB$5,$B$1)</f>
        <v>0</v>
      </c>
      <c r="AC58" s="54">
        <f>_xll.EQNXTDZ($A$1,$B58,AC$5,$B$1)</f>
        <v>723</v>
      </c>
      <c r="AD58" s="54">
        <f>_xll.EQNXTDZ($A$1,$B58,AD$5,$B$1)</f>
        <v>0</v>
      </c>
      <c r="AE58" s="54">
        <f>_xll.EQNXTDZ($A$1,$B58,AE$5,$B$1)</f>
        <v>740.2</v>
      </c>
      <c r="AF58" s="54">
        <f>_xll.EQNXTDZ($A$1,$B58,AF$5,$B$1)</f>
        <v>0</v>
      </c>
      <c r="AG58" s="54">
        <f>_xll.EQNXTDZ($A$1,$B58,AG$5,$B$1)</f>
        <v>793.9</v>
      </c>
      <c r="AH58" s="54">
        <f>_xll.EQNXTDZ($A$1,$B58,AH$5,$B$1)</f>
        <v>0</v>
      </c>
      <c r="AI58" s="54">
        <f>_xll.EQNXTDZ($A$1,$B58,AI$5,$B$1)</f>
        <v>811.2</v>
      </c>
      <c r="AJ58" s="54">
        <f>_xll.EQNXTDZ($A$1,$B58,AJ$5,$B$1)</f>
        <v>0</v>
      </c>
      <c r="AK58" s="54">
        <f>_xll.EQNXTDZ($A$1,$B58,AK$5,$B$1)</f>
        <v>855.8</v>
      </c>
      <c r="AL58" s="54">
        <f>_xll.EQNXTDZ($A$1,$B58,AL$5,$B$1)</f>
        <v>0</v>
      </c>
      <c r="AM58" s="54">
        <f>_xll.EQNXTDZ($A$1,$B58,AM$5,$B$1)</f>
        <v>896.8</v>
      </c>
      <c r="AN58" s="54">
        <f>_xll.EQNXTDZ($A$1,$B58,AN$5,$B$1)</f>
        <v>0</v>
      </c>
      <c r="AO58" s="54">
        <f>_xll.EQNXTDZ($A$1,$B58,AO$5,$B$1)</f>
        <v>976</v>
      </c>
      <c r="AP58" s="54">
        <f>_xll.EQNXTDZ($A$1,$B58,AP$5,$B$1)</f>
        <v>0</v>
      </c>
      <c r="AQ58" s="54">
        <f>_xll.EQNXTDZ($A$1,$B58,AQ$5,$B$1)</f>
        <v>1021</v>
      </c>
      <c r="AR58" s="54">
        <f>_xll.EQNXTDZ($A$1,$B58,AR$5,$B$1)</f>
        <v>0</v>
      </c>
      <c r="AS58" s="54">
        <f>_xll.EQNXTDZ($A$1,$B58,AS$5,$B$1)</f>
        <v>1108.3</v>
      </c>
      <c r="AT58" s="54">
        <f>_xll.EQNXTDZ($A$1,$B58,AT$5,$B$1)</f>
        <v>0</v>
      </c>
      <c r="AU58" s="54">
        <f>_xll.EQNXTDZ($A$1,$B58,AU$5,$B$1)</f>
        <v>1159.2</v>
      </c>
      <c r="AV58" s="54">
        <f>_xll.EQNXTDZ($A$1,$B58,AV$5,$B$1)</f>
        <v>0</v>
      </c>
      <c r="AW58" s="54">
        <f>_xll.EQNXTDZ($A$1,$B58,AW$5,$B$1)</f>
        <v>1267.0999999999999</v>
      </c>
      <c r="AX58" s="54">
        <f>_xll.EQNXTDZ($A$1,$B58,AX$5,$B$1)</f>
        <v>0</v>
      </c>
      <c r="AY58" s="54">
        <f>_xll.EQNXTDZ($A$1,$B58,AY$5,$B$1)</f>
        <v>1316.2</v>
      </c>
      <c r="AZ58" s="54">
        <f>_xll.EQNXTDZ($A$1,$B58,AZ$5,$B$1)</f>
        <v>0</v>
      </c>
      <c r="BA58" s="54">
        <f>_xll.EQNXTDZ($A$1,$B58,BA$5,$B$1)</f>
        <v>1450.6</v>
      </c>
      <c r="BB58" s="54">
        <f>_xll.EQNXTDZ($A$1,$B58,BB$5,$B$1)</f>
        <v>0</v>
      </c>
      <c r="BC58" s="54">
        <f>_xll.EQNXTDZ($A$1,$B58,BC$5,$B$1)</f>
        <v>1499.6</v>
      </c>
      <c r="BD58" s="54">
        <f>_xll.EQNXTDZ($A$1,$B58,BD$5,$B$1)</f>
        <v>0</v>
      </c>
      <c r="BE58" s="54">
        <f>_xll.EQNXTDZ($A$1,$B58,BE$5,$B$1)</f>
        <v>1644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415.68</v>
      </c>
      <c r="D59" s="54">
        <f>_xll.EQNXTDZ($A$1,$B59,D$5,$B$1)</f>
        <v>0</v>
      </c>
      <c r="E59" s="54">
        <f>_xll.EQNXTDZ($A$1,$B59,E$5,$B$1)</f>
        <v>0</v>
      </c>
      <c r="F59" s="54">
        <f>_xll.EQNXTDZ($A$1,$B59,F$5,$B$1)</f>
        <v>0</v>
      </c>
      <c r="G59" s="54">
        <f>_xll.EQNXTDZ($A$1,$B59,G$5,$B$1)</f>
        <v>456.96</v>
      </c>
      <c r="H59" s="54">
        <f>_xll.EQNXTDZ($A$1,$B59,H$5,$B$1)</f>
        <v>0</v>
      </c>
      <c r="I59" s="54">
        <f>_xll.EQNXTDZ($A$1,$B59,I$5,$B$1)</f>
        <v>511.77</v>
      </c>
      <c r="J59" s="54">
        <f>_xll.EQNXTDZ($A$1,$B59,J$5,$B$1)</f>
        <v>0</v>
      </c>
      <c r="K59" s="54">
        <f>_xll.EQNXTDZ($A$1,$B59,K$5,$B$1)</f>
        <v>500.83</v>
      </c>
      <c r="L59" s="54">
        <f>_xll.EQNXTDZ($A$1,$B59,L$5,$B$1)</f>
        <v>0</v>
      </c>
      <c r="M59" s="54">
        <f>_xll.EQNXTDZ($A$1,$B59,M$5,$B$1)</f>
        <v>557.23</v>
      </c>
      <c r="N59" s="54">
        <f>_xll.EQNXTDZ($A$1,$B59,N$5,$B$1)</f>
        <v>0</v>
      </c>
      <c r="O59" s="54">
        <f>_xll.EQNXTDZ($A$1,$B59,O$5,$B$1)</f>
        <v>535.07000000000005</v>
      </c>
      <c r="P59" s="54">
        <f>_xll.EQNXTDZ($A$1,$B59,P$5,$B$1)</f>
        <v>0</v>
      </c>
      <c r="Q59" s="54">
        <f>_xll.EQNXTDZ($A$1,$B59,Q$5,$B$1)</f>
        <v>602.85</v>
      </c>
      <c r="R59" s="54">
        <f>_xll.EQNXTDZ($A$1,$B59,R$5,$B$1)</f>
        <v>0</v>
      </c>
      <c r="S59" s="54">
        <f>_xll.EQNXTDZ($A$1,$B59,S$5,$B$1)</f>
        <v>584.64</v>
      </c>
      <c r="T59" s="54">
        <f>_xll.EQNXTDZ($A$1,$B59,T$5,$B$1)</f>
        <v>0</v>
      </c>
      <c r="U59" s="54">
        <f>_xll.EQNXTDZ($A$1,$B59,U$5,$B$1)</f>
        <v>660.16</v>
      </c>
      <c r="V59" s="54">
        <f>_xll.EQNXTDZ($A$1,$B59,V$5,$B$1)</f>
        <v>0</v>
      </c>
      <c r="W59" s="54">
        <f>_xll.EQNXTDZ($A$1,$B59,W$5,$B$1)</f>
        <v>622.58000000000004</v>
      </c>
      <c r="X59" s="54">
        <f>_xll.EQNXTDZ($A$1,$B59,X$5,$B$1)</f>
        <v>0</v>
      </c>
      <c r="Y59" s="54">
        <f>_xll.EQNXTDZ($A$1,$B59,Y$5,$B$1)</f>
        <v>710.4</v>
      </c>
      <c r="Z59" s="54">
        <f>_xll.EQNXTDZ($A$1,$B59,Z$5,$B$1)</f>
        <v>0</v>
      </c>
      <c r="AA59" s="54">
        <f>_xll.EQNXTDZ($A$1,$B59,AA$5,$B$1)</f>
        <v>670.9</v>
      </c>
      <c r="AB59" s="54">
        <f>_xll.EQNXTDZ($A$1,$B59,AB$5,$B$1)</f>
        <v>0</v>
      </c>
      <c r="AC59" s="54">
        <f>_xll.EQNXTDZ($A$1,$B59,AC$5,$B$1)</f>
        <v>757.8</v>
      </c>
      <c r="AD59" s="54">
        <f>_xll.EQNXTDZ($A$1,$B59,AD$5,$B$1)</f>
        <v>0</v>
      </c>
      <c r="AE59" s="54">
        <f>_xll.EQNXTDZ($A$1,$B59,AE$5,$B$1)</f>
        <v>775</v>
      </c>
      <c r="AF59" s="54">
        <f>_xll.EQNXTDZ($A$1,$B59,AF$5,$B$1)</f>
        <v>0</v>
      </c>
      <c r="AG59" s="54">
        <f>_xll.EQNXTDZ($A$1,$B59,AG$5,$B$1)</f>
        <v>828.7</v>
      </c>
      <c r="AH59" s="54">
        <f>_xll.EQNXTDZ($A$1,$B59,AH$5,$B$1)</f>
        <v>0</v>
      </c>
      <c r="AI59" s="54">
        <f>_xll.EQNXTDZ($A$1,$B59,AI$5,$B$1)</f>
        <v>846</v>
      </c>
      <c r="AJ59" s="54">
        <f>_xll.EQNXTDZ($A$1,$B59,AJ$5,$B$1)</f>
        <v>0</v>
      </c>
      <c r="AK59" s="54">
        <f>_xll.EQNXTDZ($A$1,$B59,AK$5,$B$1)</f>
        <v>890.6</v>
      </c>
      <c r="AL59" s="54">
        <f>_xll.EQNXTDZ($A$1,$B59,AL$5,$B$1)</f>
        <v>0</v>
      </c>
      <c r="AM59" s="54">
        <f>_xll.EQNXTDZ($A$1,$B59,AM$5,$B$1)</f>
        <v>931.6</v>
      </c>
      <c r="AN59" s="54">
        <f>_xll.EQNXTDZ($A$1,$B59,AN$5,$B$1)</f>
        <v>0</v>
      </c>
      <c r="AO59" s="54">
        <f>_xll.EQNXTDZ($A$1,$B59,AO$5,$B$1)</f>
        <v>1010.8</v>
      </c>
      <c r="AP59" s="54">
        <f>_xll.EQNXTDZ($A$1,$B59,AP$5,$B$1)</f>
        <v>0</v>
      </c>
      <c r="AQ59" s="54">
        <f>_xll.EQNXTDZ($A$1,$B59,AQ$5,$B$1)</f>
        <v>1055.8</v>
      </c>
      <c r="AR59" s="54">
        <f>_xll.EQNXTDZ($A$1,$B59,AR$5,$B$1)</f>
        <v>0</v>
      </c>
      <c r="AS59" s="54">
        <f>_xll.EQNXTDZ($A$1,$B59,AS$5,$B$1)</f>
        <v>1143.0999999999999</v>
      </c>
      <c r="AT59" s="54">
        <f>_xll.EQNXTDZ($A$1,$B59,AT$5,$B$1)</f>
        <v>0</v>
      </c>
      <c r="AU59" s="54">
        <f>_xll.EQNXTDZ($A$1,$B59,AU$5,$B$1)</f>
        <v>1194</v>
      </c>
      <c r="AV59" s="54">
        <f>_xll.EQNXTDZ($A$1,$B59,AV$5,$B$1)</f>
        <v>0</v>
      </c>
      <c r="AW59" s="54">
        <f>_xll.EQNXTDZ($A$1,$B59,AW$5,$B$1)</f>
        <v>1301.9000000000001</v>
      </c>
      <c r="AX59" s="54">
        <f>_xll.EQNXTDZ($A$1,$B59,AX$5,$B$1)</f>
        <v>0</v>
      </c>
      <c r="AY59" s="54">
        <f>_xll.EQNXTDZ($A$1,$B59,AY$5,$B$1)</f>
        <v>1351</v>
      </c>
      <c r="AZ59" s="54">
        <f>_xll.EQNXTDZ($A$1,$B59,AZ$5,$B$1)</f>
        <v>0</v>
      </c>
      <c r="BA59" s="54">
        <f>_xll.EQNXTDZ($A$1,$B59,BA$5,$B$1)</f>
        <v>1485.4</v>
      </c>
      <c r="BB59" s="54">
        <f>_xll.EQNXTDZ($A$1,$B59,BB$5,$B$1)</f>
        <v>0</v>
      </c>
      <c r="BC59" s="54">
        <f>_xll.EQNXTDZ($A$1,$B59,BC$5,$B$1)</f>
        <v>1534.4</v>
      </c>
      <c r="BD59" s="54">
        <f>_xll.EQNXTDZ($A$1,$B59,BD$5,$B$1)</f>
        <v>0</v>
      </c>
      <c r="BE59" s="54">
        <f>_xll.EQNXTDZ($A$1,$B59,BE$5,$B$1)</f>
        <v>1678.8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0.01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0.01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5.4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5.79</v>
      </c>
      <c r="H64" s="54">
        <f>_xll.EQNXTDZ($A$1,$B64,H$5,$B$1)</f>
        <v>0</v>
      </c>
      <c r="I64" s="54">
        <f>_xll.EQNXTDZ($A$1,$B64,I$5,$B$1)</f>
        <v>6.04</v>
      </c>
      <c r="J64" s="54">
        <f>_xll.EQNXTDZ($A$1,$B64,J$5,$B$1)</f>
        <v>0</v>
      </c>
      <c r="K64" s="54">
        <f>_xll.EQNXTDZ($A$1,$B64,K$5,$B$1)</f>
        <v>6.29</v>
      </c>
      <c r="L64" s="54">
        <f>_xll.EQNXTDZ($A$1,$B64,L$5,$B$1)</f>
        <v>0</v>
      </c>
      <c r="M64" s="54">
        <f>_xll.EQNXTDZ($A$1,$B64,M$5,$B$1)</f>
        <v>6.67</v>
      </c>
      <c r="N64" s="54">
        <f>_xll.EQNXTDZ($A$1,$B64,N$5,$B$1)</f>
        <v>0</v>
      </c>
      <c r="O64" s="54">
        <f>_xll.EQNXTDZ($A$1,$B64,O$5,$B$1)</f>
        <v>6.7</v>
      </c>
      <c r="P64" s="54">
        <f>_xll.EQNXTDZ($A$1,$B64,P$5,$B$1)</f>
        <v>0</v>
      </c>
      <c r="Q64" s="54">
        <f>_xll.EQNXTDZ($A$1,$B64,Q$5,$B$1)</f>
        <v>7.04</v>
      </c>
      <c r="R64" s="54">
        <f>_xll.EQNXTDZ($A$1,$B64,R$5,$B$1)</f>
        <v>0</v>
      </c>
      <c r="S64" s="54">
        <f>_xll.EQNXTDZ($A$1,$B64,S$5,$B$1)</f>
        <v>6.95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59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0</v>
      </c>
      <c r="AJ64" s="54">
        <f>_xll.EQNXTDZ($A$1,$B64,AJ$5,$B$1)</f>
        <v>0</v>
      </c>
      <c r="AK64" s="54">
        <f>_xll.EQNXTDZ($A$1,$B64,AK$5,$B$1)</f>
        <v>0.9</v>
      </c>
      <c r="AL64" s="54">
        <f>_xll.EQNXTDZ($A$1,$B64,AL$5,$B$1)</f>
        <v>0</v>
      </c>
      <c r="AM64" s="54">
        <f>_xll.EQNXTDZ($A$1,$B64,AM$5,$B$1)</f>
        <v>2.2000000000000002</v>
      </c>
      <c r="AN64" s="54">
        <f>_xll.EQNXTDZ($A$1,$B64,AN$5,$B$1)</f>
        <v>0</v>
      </c>
      <c r="AO64" s="54">
        <f>_xll.EQNXTDZ($A$1,$B64,AO$5,$B$1)</f>
        <v>2</v>
      </c>
      <c r="AP64" s="54">
        <f>_xll.EQNXTDZ($A$1,$B64,AP$5,$B$1)</f>
        <v>0</v>
      </c>
      <c r="AQ64" s="54">
        <f>_xll.EQNXTDZ($A$1,$B64,AQ$5,$B$1)</f>
        <v>2</v>
      </c>
      <c r="AR64" s="54">
        <f>_xll.EQNXTDZ($A$1,$B64,AR$5,$B$1)</f>
        <v>0</v>
      </c>
      <c r="AS64" s="54">
        <f>_xll.EQNXTDZ($A$1,$B64,AS$5,$B$1)</f>
        <v>2</v>
      </c>
      <c r="AT64" s="54">
        <f>_xll.EQNXTDZ($A$1,$B64,AT$5,$B$1)</f>
        <v>0</v>
      </c>
      <c r="AU64" s="54">
        <f>_xll.EQNXTDZ($A$1,$B64,AU$5,$B$1)</f>
        <v>1.8</v>
      </c>
      <c r="AV64" s="54">
        <f>_xll.EQNXTDZ($A$1,$B64,AV$5,$B$1)</f>
        <v>0</v>
      </c>
      <c r="AW64" s="54">
        <f>_xll.EQNXTDZ($A$1,$B64,AW$5,$B$1)</f>
        <v>2.1</v>
      </c>
      <c r="AX64" s="54">
        <f>_xll.EQNXTDZ($A$1,$B64,AX$5,$B$1)</f>
        <v>0</v>
      </c>
      <c r="AY64" s="54">
        <f>_xll.EQNXTDZ($A$1,$B64,AY$5,$B$1)</f>
        <v>1.6</v>
      </c>
      <c r="AZ64" s="54">
        <f>_xll.EQNXTDZ($A$1,$B64,AZ$5,$B$1)</f>
        <v>0</v>
      </c>
      <c r="BA64" s="54">
        <f>_xll.EQNXTDZ($A$1,$B64,BA$5,$B$1)</f>
        <v>2.2000000000000002</v>
      </c>
      <c r="BB64" s="54">
        <f>_xll.EQNXTDZ($A$1,$B64,BB$5,$B$1)</f>
        <v>0</v>
      </c>
      <c r="BC64" s="54">
        <f>_xll.EQNXTDZ($A$1,$B64,BC$5,$B$1)</f>
        <v>3.4</v>
      </c>
      <c r="BD64" s="54">
        <f>_xll.EQNXTDZ($A$1,$B64,BD$5,$B$1)</f>
        <v>0</v>
      </c>
      <c r="BE64" s="54">
        <f>_xll.EQNXTDZ($A$1,$B64,BE$5,$B$1)</f>
        <v>3.7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22.05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0</v>
      </c>
      <c r="G66" s="54">
        <f>_xll.EQNXTDZ($A$1,$B66,G$5,$B$1)</f>
        <v>22.96</v>
      </c>
      <c r="H66" s="54">
        <f>_xll.EQNXTDZ($A$1,$B66,H$5,$B$1)</f>
        <v>0</v>
      </c>
      <c r="I66" s="54">
        <f>_xll.EQNXTDZ($A$1,$B66,I$5,$B$1)</f>
        <v>23.27</v>
      </c>
      <c r="J66" s="54">
        <f>_xll.EQNXTDZ($A$1,$B66,J$5,$B$1)</f>
        <v>0</v>
      </c>
      <c r="K66" s="54">
        <f>_xll.EQNXTDZ($A$1,$B66,K$5,$B$1)</f>
        <v>23.31</v>
      </c>
      <c r="L66" s="54">
        <f>_xll.EQNXTDZ($A$1,$B66,L$5,$B$1)</f>
        <v>0</v>
      </c>
      <c r="M66" s="54">
        <f>_xll.EQNXTDZ($A$1,$B66,M$5,$B$1)</f>
        <v>29.59</v>
      </c>
      <c r="N66" s="54">
        <f>_xll.EQNXTDZ($A$1,$B66,N$5,$B$1)</f>
        <v>0</v>
      </c>
      <c r="O66" s="54">
        <f>_xll.EQNXTDZ($A$1,$B66,O$5,$B$1)</f>
        <v>29.25</v>
      </c>
      <c r="P66" s="54">
        <f>_xll.EQNXTDZ($A$1,$B66,P$5,$B$1)</f>
        <v>0</v>
      </c>
      <c r="Q66" s="54">
        <f>_xll.EQNXTDZ($A$1,$B66,Q$5,$B$1)</f>
        <v>29.45</v>
      </c>
      <c r="R66" s="54">
        <f>_xll.EQNXTDZ($A$1,$B66,R$5,$B$1)</f>
        <v>0</v>
      </c>
      <c r="S66" s="54">
        <f>_xll.EQNXTDZ($A$1,$B66,S$5,$B$1)</f>
        <v>30.29</v>
      </c>
      <c r="T66" s="54">
        <f>_xll.EQNXTDZ($A$1,$B66,T$5,$B$1)</f>
        <v>0</v>
      </c>
      <c r="U66" s="54">
        <f>_xll.EQNXTDZ($A$1,$B66,U$5,$B$1)</f>
        <v>36.99</v>
      </c>
      <c r="V66" s="54">
        <f>_xll.EQNXTDZ($A$1,$B66,V$5,$B$1)</f>
        <v>0</v>
      </c>
      <c r="W66" s="54">
        <f>_xll.EQNXTDZ($A$1,$B66,W$5,$B$1)</f>
        <v>33.5</v>
      </c>
      <c r="X66" s="54">
        <f>_xll.EQNXTDZ($A$1,$B66,X$5,$B$1)</f>
        <v>0</v>
      </c>
      <c r="Y66" s="54">
        <f>_xll.EQNXTDZ($A$1,$B66,Y$5,$B$1)</f>
        <v>37.299999999999997</v>
      </c>
      <c r="Z66" s="54">
        <f>_xll.EQNXTDZ($A$1,$B66,Z$5,$B$1)</f>
        <v>0</v>
      </c>
      <c r="AA66" s="54">
        <f>_xll.EQNXTDZ($A$1,$B66,AA$5,$B$1)</f>
        <v>36.6</v>
      </c>
      <c r="AB66" s="54">
        <f>_xll.EQNXTDZ($A$1,$B66,AB$5,$B$1)</f>
        <v>0</v>
      </c>
      <c r="AC66" s="54">
        <f>_xll.EQNXTDZ($A$1,$B66,AC$5,$B$1)</f>
        <v>36.6</v>
      </c>
      <c r="AD66" s="54">
        <f>_xll.EQNXTDZ($A$1,$B66,AD$5,$B$1)</f>
        <v>0</v>
      </c>
      <c r="AE66" s="54">
        <f>_xll.EQNXTDZ($A$1,$B66,AE$5,$B$1)</f>
        <v>31.6</v>
      </c>
      <c r="AF66" s="54">
        <f>_xll.EQNXTDZ($A$1,$B66,AF$5,$B$1)</f>
        <v>0</v>
      </c>
      <c r="AG66" s="54">
        <f>_xll.EQNXTDZ($A$1,$B66,AG$5,$B$1)</f>
        <v>42.4</v>
      </c>
      <c r="AH66" s="54">
        <f>_xll.EQNXTDZ($A$1,$B66,AH$5,$B$1)</f>
        <v>0</v>
      </c>
      <c r="AI66" s="54">
        <f>_xll.EQNXTDZ($A$1,$B66,AI$5,$B$1)</f>
        <v>44.6</v>
      </c>
      <c r="AJ66" s="54">
        <f>_xll.EQNXTDZ($A$1,$B66,AJ$5,$B$1)</f>
        <v>0</v>
      </c>
      <c r="AK66" s="54">
        <f>_xll.EQNXTDZ($A$1,$B66,AK$5,$B$1)</f>
        <v>45.4</v>
      </c>
      <c r="AL66" s="54">
        <f>_xll.EQNXTDZ($A$1,$B66,AL$5,$B$1)</f>
        <v>0</v>
      </c>
      <c r="AM66" s="54">
        <f>_xll.EQNXTDZ($A$1,$B66,AM$5,$B$1)</f>
        <v>47.4</v>
      </c>
      <c r="AN66" s="54">
        <f>_xll.EQNXTDZ($A$1,$B66,AN$5,$B$1)</f>
        <v>0</v>
      </c>
      <c r="AO66" s="54">
        <f>_xll.EQNXTDZ($A$1,$B66,AO$5,$B$1)</f>
        <v>51.7</v>
      </c>
      <c r="AP66" s="54">
        <f>_xll.EQNXTDZ($A$1,$B66,AP$5,$B$1)</f>
        <v>0</v>
      </c>
      <c r="AQ66" s="54">
        <f>_xll.EQNXTDZ($A$1,$B66,AQ$5,$B$1)</f>
        <v>45.9</v>
      </c>
      <c r="AR66" s="54">
        <f>_xll.EQNXTDZ($A$1,$B66,AR$5,$B$1)</f>
        <v>0</v>
      </c>
      <c r="AS66" s="54">
        <f>_xll.EQNXTDZ($A$1,$B66,AS$5,$B$1)</f>
        <v>43.3</v>
      </c>
      <c r="AT66" s="54">
        <f>_xll.EQNXTDZ($A$1,$B66,AT$5,$B$1)</f>
        <v>0</v>
      </c>
      <c r="AU66" s="54">
        <f>_xll.EQNXTDZ($A$1,$B66,AU$5,$B$1)</f>
        <v>45.6</v>
      </c>
      <c r="AV66" s="54">
        <f>_xll.EQNXTDZ($A$1,$B66,AV$5,$B$1)</f>
        <v>0</v>
      </c>
      <c r="AW66" s="54">
        <f>_xll.EQNXTDZ($A$1,$B66,AW$5,$B$1)</f>
        <v>43.7</v>
      </c>
      <c r="AX66" s="54">
        <f>_xll.EQNXTDZ($A$1,$B66,AX$5,$B$1)</f>
        <v>0</v>
      </c>
      <c r="AY66" s="54">
        <f>_xll.EQNXTDZ($A$1,$B66,AY$5,$B$1)</f>
        <v>47.1</v>
      </c>
      <c r="AZ66" s="54">
        <f>_xll.EQNXTDZ($A$1,$B66,AZ$5,$B$1)</f>
        <v>0</v>
      </c>
      <c r="BA66" s="54">
        <f>_xll.EQNXTDZ($A$1,$B66,BA$5,$B$1)</f>
        <v>56.9</v>
      </c>
      <c r="BB66" s="54">
        <f>_xll.EQNXTDZ($A$1,$B66,BB$5,$B$1)</f>
        <v>0</v>
      </c>
      <c r="BC66" s="54">
        <f>_xll.EQNXTDZ($A$1,$B66,BC$5,$B$1)</f>
        <v>64.7</v>
      </c>
      <c r="BD66" s="54">
        <f>_xll.EQNXTDZ($A$1,$B66,BD$5,$B$1)</f>
        <v>0</v>
      </c>
      <c r="BE66" s="54">
        <f>_xll.EQNXTDZ($A$1,$B66,BE$5,$B$1)</f>
        <v>85.6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443.14</v>
      </c>
      <c r="D67" s="54">
        <f>_xll.EQNXTDZ($A$1,$B67,D$5,$B$1)</f>
        <v>0</v>
      </c>
      <c r="E67" s="54">
        <f>_xll.EQNXTDZ($A$1,$B67,E$5,$B$1)</f>
        <v>0</v>
      </c>
      <c r="F67" s="54">
        <f>_xll.EQNXTDZ($A$1,$B67,F$5,$B$1)</f>
        <v>0</v>
      </c>
      <c r="G67" s="54">
        <f>_xll.EQNXTDZ($A$1,$B67,G$5,$B$1)</f>
        <v>485.71</v>
      </c>
      <c r="H67" s="54">
        <f>_xll.EQNXTDZ($A$1,$B67,H$5,$B$1)</f>
        <v>0</v>
      </c>
      <c r="I67" s="54">
        <f>_xll.EQNXTDZ($A$1,$B67,I$5,$B$1)</f>
        <v>541.08000000000004</v>
      </c>
      <c r="J67" s="54">
        <f>_xll.EQNXTDZ($A$1,$B67,J$5,$B$1)</f>
        <v>0</v>
      </c>
      <c r="K67" s="54">
        <f>_xll.EQNXTDZ($A$1,$B67,K$5,$B$1)</f>
        <v>530.42999999999995</v>
      </c>
      <c r="L67" s="54">
        <f>_xll.EQNXTDZ($A$1,$B67,L$5,$B$1)</f>
        <v>0</v>
      </c>
      <c r="M67" s="54">
        <f>_xll.EQNXTDZ($A$1,$B67,M$5,$B$1)</f>
        <v>593.49</v>
      </c>
      <c r="N67" s="54">
        <f>_xll.EQNXTDZ($A$1,$B67,N$5,$B$1)</f>
        <v>0</v>
      </c>
      <c r="O67" s="54">
        <f>_xll.EQNXTDZ($A$1,$B67,O$5,$B$1)</f>
        <v>571.02</v>
      </c>
      <c r="P67" s="54">
        <f>_xll.EQNXTDZ($A$1,$B67,P$5,$B$1)</f>
        <v>0</v>
      </c>
      <c r="Q67" s="54">
        <f>_xll.EQNXTDZ($A$1,$B67,Q$5,$B$1)</f>
        <v>639.34</v>
      </c>
      <c r="R67" s="54">
        <f>_xll.EQNXTDZ($A$1,$B67,R$5,$B$1)</f>
        <v>0</v>
      </c>
      <c r="S67" s="54">
        <f>_xll.EQNXTDZ($A$1,$B67,S$5,$B$1)</f>
        <v>621.88</v>
      </c>
      <c r="T67" s="54">
        <f>_xll.EQNXTDZ($A$1,$B67,T$5,$B$1)</f>
        <v>0</v>
      </c>
      <c r="U67" s="54">
        <f>_xll.EQNXTDZ($A$1,$B67,U$5,$B$1)</f>
        <v>697.15</v>
      </c>
      <c r="V67" s="54">
        <f>_xll.EQNXTDZ($A$1,$B67,V$5,$B$1)</f>
        <v>0</v>
      </c>
      <c r="W67" s="54">
        <f>_xll.EQNXTDZ($A$1,$B67,W$5,$B$1)</f>
        <v>656.08</v>
      </c>
      <c r="X67" s="54">
        <f>_xll.EQNXTDZ($A$1,$B67,X$5,$B$1)</f>
        <v>0</v>
      </c>
      <c r="Y67" s="54">
        <f>_xll.EQNXTDZ($A$1,$B67,Y$5,$B$1)</f>
        <v>747.7</v>
      </c>
      <c r="Z67" s="54">
        <f>_xll.EQNXTDZ($A$1,$B67,Z$5,$B$1)</f>
        <v>0</v>
      </c>
      <c r="AA67" s="54">
        <f>_xll.EQNXTDZ($A$1,$B67,AA$5,$B$1)</f>
        <v>707.5</v>
      </c>
      <c r="AB67" s="54">
        <f>_xll.EQNXTDZ($A$1,$B67,AB$5,$B$1)</f>
        <v>0</v>
      </c>
      <c r="AC67" s="54">
        <f>_xll.EQNXTDZ($A$1,$B67,AC$5,$B$1)</f>
        <v>794.4</v>
      </c>
      <c r="AD67" s="54">
        <f>_xll.EQNXTDZ($A$1,$B67,AD$5,$B$1)</f>
        <v>0</v>
      </c>
      <c r="AE67" s="54">
        <f>_xll.EQNXTDZ($A$1,$B67,AE$5,$B$1)</f>
        <v>865.6</v>
      </c>
      <c r="AF67" s="54">
        <f>_xll.EQNXTDZ($A$1,$B67,AF$5,$B$1)</f>
        <v>0</v>
      </c>
      <c r="AG67" s="54">
        <f>_xll.EQNXTDZ($A$1,$B67,AG$5,$B$1)</f>
        <v>871.1</v>
      </c>
      <c r="AH67" s="54">
        <f>_xll.EQNXTDZ($A$1,$B67,AH$5,$B$1)</f>
        <v>0</v>
      </c>
      <c r="AI67" s="54">
        <f>_xll.EQNXTDZ($A$1,$B67,AI$5,$B$1)</f>
        <v>890.6</v>
      </c>
      <c r="AJ67" s="54">
        <f>_xll.EQNXTDZ($A$1,$B67,AJ$5,$B$1)</f>
        <v>0</v>
      </c>
      <c r="AK67" s="54">
        <f>_xll.EQNXTDZ($A$1,$B67,AK$5,$B$1)</f>
        <v>936.9</v>
      </c>
      <c r="AL67" s="54">
        <f>_xll.EQNXTDZ($A$1,$B67,AL$5,$B$1)</f>
        <v>0</v>
      </c>
      <c r="AM67" s="54">
        <f>_xll.EQNXTDZ($A$1,$B67,AM$5,$B$1)</f>
        <v>981.2</v>
      </c>
      <c r="AN67" s="54">
        <f>_xll.EQNXTDZ($A$1,$B67,AN$5,$B$1)</f>
        <v>0</v>
      </c>
      <c r="AO67" s="54">
        <f>_xll.EQNXTDZ($A$1,$B67,AO$5,$B$1)</f>
        <v>1064.5</v>
      </c>
      <c r="AP67" s="54">
        <f>_xll.EQNXTDZ($A$1,$B67,AP$5,$B$1)</f>
        <v>0</v>
      </c>
      <c r="AQ67" s="54">
        <f>_xll.EQNXTDZ($A$1,$B67,AQ$5,$B$1)</f>
        <v>1103.7</v>
      </c>
      <c r="AR67" s="54">
        <f>_xll.EQNXTDZ($A$1,$B67,AR$5,$B$1)</f>
        <v>0</v>
      </c>
      <c r="AS67" s="54">
        <f>_xll.EQNXTDZ($A$1,$B67,AS$5,$B$1)</f>
        <v>1188.4000000000001</v>
      </c>
      <c r="AT67" s="54">
        <f>_xll.EQNXTDZ($A$1,$B67,AT$5,$B$1)</f>
        <v>0</v>
      </c>
      <c r="AU67" s="54">
        <f>_xll.EQNXTDZ($A$1,$B67,AU$5,$B$1)</f>
        <v>1241.4000000000001</v>
      </c>
      <c r="AV67" s="54">
        <f>_xll.EQNXTDZ($A$1,$B67,AV$5,$B$1)</f>
        <v>0</v>
      </c>
      <c r="AW67" s="54">
        <f>_xll.EQNXTDZ($A$1,$B67,AW$5,$B$1)</f>
        <v>1347.7</v>
      </c>
      <c r="AX67" s="54">
        <f>_xll.EQNXTDZ($A$1,$B67,AX$5,$B$1)</f>
        <v>0</v>
      </c>
      <c r="AY67" s="54">
        <f>_xll.EQNXTDZ($A$1,$B67,AY$5,$B$1)</f>
        <v>1399.7</v>
      </c>
      <c r="AZ67" s="54">
        <f>_xll.EQNXTDZ($A$1,$B67,AZ$5,$B$1)</f>
        <v>0</v>
      </c>
      <c r="BA67" s="54">
        <f>_xll.EQNXTDZ($A$1,$B67,BA$5,$B$1)</f>
        <v>1544.5</v>
      </c>
      <c r="BB67" s="54">
        <f>_xll.EQNXTDZ($A$1,$B67,BB$5,$B$1)</f>
        <v>0</v>
      </c>
      <c r="BC67" s="54">
        <f>_xll.EQNXTDZ($A$1,$B67,BC$5,$B$1)</f>
        <v>1602.5</v>
      </c>
      <c r="BD67" s="54">
        <f>_xll.EQNXTDZ($A$1,$B67,BD$5,$B$1)</f>
        <v>0</v>
      </c>
      <c r="BE67" s="54">
        <f>_xll.EQNXTDZ($A$1,$B67,BE$5,$B$1)</f>
        <v>1768.1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167.15</v>
      </c>
      <c r="D68" s="54">
        <f>_xll.EQNXTDZ($A$1,$B68,D$5,$B$1)</f>
        <v>0</v>
      </c>
      <c r="E68" s="54">
        <f>_xll.EQNXTDZ($A$1,$B68,E$5,$B$1)</f>
        <v>0</v>
      </c>
      <c r="F68" s="54">
        <f>_xll.EQNXTDZ($A$1,$B68,F$5,$B$1)</f>
        <v>0</v>
      </c>
      <c r="G68" s="54">
        <f>_xll.EQNXTDZ($A$1,$B68,G$5,$B$1)</f>
        <v>190.9</v>
      </c>
      <c r="H68" s="54">
        <f>_xll.EQNXTDZ($A$1,$B68,H$5,$B$1)</f>
        <v>0</v>
      </c>
      <c r="I68" s="54">
        <f>_xll.EQNXTDZ($A$1,$B68,I$5,$B$1)</f>
        <v>189.49</v>
      </c>
      <c r="J68" s="54">
        <f>_xll.EQNXTDZ($A$1,$B68,J$5,$B$1)</f>
        <v>0</v>
      </c>
      <c r="K68" s="54">
        <f>_xll.EQNXTDZ($A$1,$B68,K$5,$B$1)</f>
        <v>186.64</v>
      </c>
      <c r="L68" s="54">
        <f>_xll.EQNXTDZ($A$1,$B68,L$5,$B$1)</f>
        <v>0</v>
      </c>
      <c r="M68" s="54">
        <f>_xll.EQNXTDZ($A$1,$B68,M$5,$B$1)</f>
        <v>200.77</v>
      </c>
      <c r="N68" s="54">
        <f>_xll.EQNXTDZ($A$1,$B68,N$5,$B$1)</f>
        <v>0</v>
      </c>
      <c r="O68" s="54">
        <f>_xll.EQNXTDZ($A$1,$B68,O$5,$B$1)</f>
        <v>200.53</v>
      </c>
      <c r="P68" s="54">
        <f>_xll.EQNXTDZ($A$1,$B68,P$5,$B$1)</f>
        <v>0</v>
      </c>
      <c r="Q68" s="54">
        <f>_xll.EQNXTDZ($A$1,$B68,Q$5,$B$1)</f>
        <v>208.27</v>
      </c>
      <c r="R68" s="54">
        <f>_xll.EQNXTDZ($A$1,$B68,R$5,$B$1)</f>
        <v>0</v>
      </c>
      <c r="S68" s="54">
        <f>_xll.EQNXTDZ($A$1,$B68,S$5,$B$1)</f>
        <v>236.68</v>
      </c>
      <c r="T68" s="54">
        <f>_xll.EQNXTDZ($A$1,$B68,T$5,$B$1)</f>
        <v>0</v>
      </c>
      <c r="U68" s="54">
        <f>_xll.EQNXTDZ($A$1,$B68,U$5,$B$1)</f>
        <v>218.63</v>
      </c>
      <c r="V68" s="54">
        <f>_xll.EQNXTDZ($A$1,$B68,V$5,$B$1)</f>
        <v>0</v>
      </c>
      <c r="W68" s="54">
        <f>_xll.EQNXTDZ($A$1,$B68,W$5,$B$1)</f>
        <v>218.33</v>
      </c>
      <c r="X68" s="54">
        <f>_xll.EQNXTDZ($A$1,$B68,X$5,$B$1)</f>
        <v>0</v>
      </c>
      <c r="Y68" s="54">
        <f>_xll.EQNXTDZ($A$1,$B68,Y$5,$B$1)</f>
        <v>308.2</v>
      </c>
      <c r="Z68" s="54">
        <f>_xll.EQNXTDZ($A$1,$B68,Z$5,$B$1)</f>
        <v>0</v>
      </c>
      <c r="AA68" s="54">
        <f>_xll.EQNXTDZ($A$1,$B68,AA$5,$B$1)</f>
        <v>296.89999999999998</v>
      </c>
      <c r="AB68" s="54">
        <f>_xll.EQNXTDZ($A$1,$B68,AB$5,$B$1)</f>
        <v>0</v>
      </c>
      <c r="AC68" s="54">
        <f>_xll.EQNXTDZ($A$1,$B68,AC$5,$B$1)</f>
        <v>321.10000000000002</v>
      </c>
      <c r="AD68" s="54">
        <f>_xll.EQNXTDZ($A$1,$B68,AD$5,$B$1)</f>
        <v>0</v>
      </c>
      <c r="AE68" s="54">
        <f>_xll.EQNXTDZ($A$1,$B68,AE$5,$B$1)</f>
        <v>318.10000000000002</v>
      </c>
      <c r="AF68" s="54">
        <f>_xll.EQNXTDZ($A$1,$B68,AF$5,$B$1)</f>
        <v>0</v>
      </c>
      <c r="AG68" s="54">
        <f>_xll.EQNXTDZ($A$1,$B68,AG$5,$B$1)</f>
        <v>307.3</v>
      </c>
      <c r="AH68" s="54">
        <f>_xll.EQNXTDZ($A$1,$B68,AH$5,$B$1)</f>
        <v>0</v>
      </c>
      <c r="AI68" s="54">
        <f>_xll.EQNXTDZ($A$1,$B68,AI$5,$B$1)</f>
        <v>297.3</v>
      </c>
      <c r="AJ68" s="54">
        <f>_xll.EQNXTDZ($A$1,$B68,AJ$5,$B$1)</f>
        <v>0</v>
      </c>
      <c r="AK68" s="54">
        <f>_xll.EQNXTDZ($A$1,$B68,AK$5,$B$1)</f>
        <v>292.2</v>
      </c>
      <c r="AL68" s="54">
        <f>_xll.EQNXTDZ($A$1,$B68,AL$5,$B$1)</f>
        <v>0</v>
      </c>
      <c r="AM68" s="54">
        <f>_xll.EQNXTDZ($A$1,$B68,AM$5,$B$1)</f>
        <v>282.39999999999998</v>
      </c>
      <c r="AN68" s="54">
        <f>_xll.EQNXTDZ($A$1,$B68,AN$5,$B$1)</f>
        <v>0</v>
      </c>
      <c r="AO68" s="54">
        <f>_xll.EQNXTDZ($A$1,$B68,AO$5,$B$1)</f>
        <v>283.3</v>
      </c>
      <c r="AP68" s="54">
        <f>_xll.EQNXTDZ($A$1,$B68,AP$5,$B$1)</f>
        <v>0</v>
      </c>
      <c r="AQ68" s="54">
        <f>_xll.EQNXTDZ($A$1,$B68,AQ$5,$B$1)</f>
        <v>302.7</v>
      </c>
      <c r="AR68" s="54">
        <f>_xll.EQNXTDZ($A$1,$B68,AR$5,$B$1)</f>
        <v>0</v>
      </c>
      <c r="AS68" s="54">
        <f>_xll.EQNXTDZ($A$1,$B68,AS$5,$B$1)</f>
        <v>323.2</v>
      </c>
      <c r="AT68" s="54">
        <f>_xll.EQNXTDZ($A$1,$B68,AT$5,$B$1)</f>
        <v>0</v>
      </c>
      <c r="AU68" s="54">
        <f>_xll.EQNXTDZ($A$1,$B68,AU$5,$B$1)</f>
        <v>339</v>
      </c>
      <c r="AV68" s="54">
        <f>_xll.EQNXTDZ($A$1,$B68,AV$5,$B$1)</f>
        <v>0</v>
      </c>
      <c r="AW68" s="54">
        <f>_xll.EQNXTDZ($A$1,$B68,AW$5,$B$1)</f>
        <v>393.5</v>
      </c>
      <c r="AX68" s="54">
        <f>_xll.EQNXTDZ($A$1,$B68,AX$5,$B$1)</f>
        <v>0</v>
      </c>
      <c r="AY68" s="54">
        <f>_xll.EQNXTDZ($A$1,$B68,AY$5,$B$1)</f>
        <v>397.5</v>
      </c>
      <c r="AZ68" s="54">
        <f>_xll.EQNXTDZ($A$1,$B68,AZ$5,$B$1)</f>
        <v>0</v>
      </c>
      <c r="BA68" s="54">
        <f>_xll.EQNXTDZ($A$1,$B68,BA$5,$B$1)</f>
        <v>407.7</v>
      </c>
      <c r="BB68" s="54">
        <f>_xll.EQNXTDZ($A$1,$B68,BB$5,$B$1)</f>
        <v>0</v>
      </c>
      <c r="BC68" s="54">
        <f>_xll.EQNXTDZ($A$1,$B68,BC$5,$B$1)</f>
        <v>411.2</v>
      </c>
      <c r="BD68" s="54">
        <f>_xll.EQNXTDZ($A$1,$B68,BD$5,$B$1)</f>
        <v>0</v>
      </c>
      <c r="BE68" s="54">
        <f>_xll.EQNXTDZ($A$1,$B68,BE$5,$B$1)</f>
        <v>430.6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167.15</v>
      </c>
      <c r="D71" s="54">
        <f>_xll.EQNXTDZ($A$1,$B71,D$5,$B$1)</f>
        <v>0</v>
      </c>
      <c r="E71" s="54">
        <f>_xll.EQNXTDZ($A$1,$B71,E$5,$B$1)</f>
        <v>0</v>
      </c>
      <c r="F71" s="54">
        <f>_xll.EQNXTDZ($A$1,$B71,F$5,$B$1)</f>
        <v>0</v>
      </c>
      <c r="G71" s="54">
        <f>_xll.EQNXTDZ($A$1,$B71,G$5,$B$1)</f>
        <v>190.9</v>
      </c>
      <c r="H71" s="54">
        <f>_xll.EQNXTDZ($A$1,$B71,H$5,$B$1)</f>
        <v>0</v>
      </c>
      <c r="I71" s="54">
        <f>_xll.EQNXTDZ($A$1,$B71,I$5,$B$1)</f>
        <v>189.49</v>
      </c>
      <c r="J71" s="54">
        <f>_xll.EQNXTDZ($A$1,$B71,J$5,$B$1)</f>
        <v>0</v>
      </c>
      <c r="K71" s="54">
        <f>_xll.EQNXTDZ($A$1,$B71,K$5,$B$1)</f>
        <v>186.64</v>
      </c>
      <c r="L71" s="54">
        <f>_xll.EQNXTDZ($A$1,$B71,L$5,$B$1)</f>
        <v>0</v>
      </c>
      <c r="M71" s="54">
        <f>_xll.EQNXTDZ($A$1,$B71,M$5,$B$1)</f>
        <v>200.77</v>
      </c>
      <c r="N71" s="54">
        <f>_xll.EQNXTDZ($A$1,$B71,N$5,$B$1)</f>
        <v>0</v>
      </c>
      <c r="O71" s="54">
        <f>_xll.EQNXTDZ($A$1,$B71,O$5,$B$1)</f>
        <v>200.53</v>
      </c>
      <c r="P71" s="54">
        <f>_xll.EQNXTDZ($A$1,$B71,P$5,$B$1)</f>
        <v>0</v>
      </c>
      <c r="Q71" s="54">
        <f>_xll.EQNXTDZ($A$1,$B71,Q$5,$B$1)</f>
        <v>208.27</v>
      </c>
      <c r="R71" s="54">
        <f>_xll.EQNXTDZ($A$1,$B71,R$5,$B$1)</f>
        <v>0</v>
      </c>
      <c r="S71" s="54">
        <f>_xll.EQNXTDZ($A$1,$B71,S$5,$B$1)</f>
        <v>236.68</v>
      </c>
      <c r="T71" s="54">
        <f>_xll.EQNXTDZ($A$1,$B71,T$5,$B$1)</f>
        <v>0</v>
      </c>
      <c r="U71" s="54">
        <f>_xll.EQNXTDZ($A$1,$B71,U$5,$B$1)</f>
        <v>218.63</v>
      </c>
      <c r="V71" s="54">
        <f>_xll.EQNXTDZ($A$1,$B71,V$5,$B$1)</f>
        <v>0</v>
      </c>
      <c r="W71" s="54">
        <f>_xll.EQNXTDZ($A$1,$B71,W$5,$B$1)</f>
        <v>218.33</v>
      </c>
      <c r="X71" s="54">
        <f>_xll.EQNXTDZ($A$1,$B71,X$5,$B$1)</f>
        <v>0</v>
      </c>
      <c r="Y71" s="54">
        <f>_xll.EQNXTDZ($A$1,$B71,Y$5,$B$1)</f>
        <v>308.2</v>
      </c>
      <c r="Z71" s="54">
        <f>_xll.EQNXTDZ($A$1,$B71,Z$5,$B$1)</f>
        <v>0</v>
      </c>
      <c r="AA71" s="54">
        <f>_xll.EQNXTDZ($A$1,$B71,AA$5,$B$1)</f>
        <v>296.89999999999998</v>
      </c>
      <c r="AB71" s="54">
        <f>_xll.EQNXTDZ($A$1,$B71,AB$5,$B$1)</f>
        <v>0</v>
      </c>
      <c r="AC71" s="54">
        <f>_xll.EQNXTDZ($A$1,$B71,AC$5,$B$1)</f>
        <v>321.10000000000002</v>
      </c>
      <c r="AD71" s="54">
        <f>_xll.EQNXTDZ($A$1,$B71,AD$5,$B$1)</f>
        <v>0</v>
      </c>
      <c r="AE71" s="54">
        <f>_xll.EQNXTDZ($A$1,$B71,AE$5,$B$1)</f>
        <v>318.10000000000002</v>
      </c>
      <c r="AF71" s="54">
        <f>_xll.EQNXTDZ($A$1,$B71,AF$5,$B$1)</f>
        <v>0</v>
      </c>
      <c r="AG71" s="54">
        <f>_xll.EQNXTDZ($A$1,$B71,AG$5,$B$1)</f>
        <v>307.3</v>
      </c>
      <c r="AH71" s="54">
        <f>_xll.EQNXTDZ($A$1,$B71,AH$5,$B$1)</f>
        <v>0</v>
      </c>
      <c r="AI71" s="54">
        <f>_xll.EQNXTDZ($A$1,$B71,AI$5,$B$1)</f>
        <v>297.3</v>
      </c>
      <c r="AJ71" s="54">
        <f>_xll.EQNXTDZ($A$1,$B71,AJ$5,$B$1)</f>
        <v>0</v>
      </c>
      <c r="AK71" s="54">
        <f>_xll.EQNXTDZ($A$1,$B71,AK$5,$B$1)</f>
        <v>292.2</v>
      </c>
      <c r="AL71" s="54">
        <f>_xll.EQNXTDZ($A$1,$B71,AL$5,$B$1)</f>
        <v>0</v>
      </c>
      <c r="AM71" s="54">
        <f>_xll.EQNXTDZ($A$1,$B71,AM$5,$B$1)</f>
        <v>282.39999999999998</v>
      </c>
      <c r="AN71" s="54">
        <f>_xll.EQNXTDZ($A$1,$B71,AN$5,$B$1)</f>
        <v>0</v>
      </c>
      <c r="AO71" s="54">
        <f>_xll.EQNXTDZ($A$1,$B71,AO$5,$B$1)</f>
        <v>283.3</v>
      </c>
      <c r="AP71" s="54">
        <f>_xll.EQNXTDZ($A$1,$B71,AP$5,$B$1)</f>
        <v>0</v>
      </c>
      <c r="AQ71" s="54">
        <f>_xll.EQNXTDZ($A$1,$B71,AQ$5,$B$1)</f>
        <v>302.7</v>
      </c>
      <c r="AR71" s="54">
        <f>_xll.EQNXTDZ($A$1,$B71,AR$5,$B$1)</f>
        <v>0</v>
      </c>
      <c r="AS71" s="54">
        <f>_xll.EQNXTDZ($A$1,$B71,AS$5,$B$1)</f>
        <v>323.2</v>
      </c>
      <c r="AT71" s="54">
        <f>_xll.EQNXTDZ($A$1,$B71,AT$5,$B$1)</f>
        <v>0</v>
      </c>
      <c r="AU71" s="54">
        <f>_xll.EQNXTDZ($A$1,$B71,AU$5,$B$1)</f>
        <v>339</v>
      </c>
      <c r="AV71" s="54">
        <f>_xll.EQNXTDZ($A$1,$B71,AV$5,$B$1)</f>
        <v>0</v>
      </c>
      <c r="AW71" s="54">
        <f>_xll.EQNXTDZ($A$1,$B71,AW$5,$B$1)</f>
        <v>393.5</v>
      </c>
      <c r="AX71" s="54">
        <f>_xll.EQNXTDZ($A$1,$B71,AX$5,$B$1)</f>
        <v>0</v>
      </c>
      <c r="AY71" s="54">
        <f>_xll.EQNXTDZ($A$1,$B71,AY$5,$B$1)</f>
        <v>397.5</v>
      </c>
      <c r="AZ71" s="54">
        <f>_xll.EQNXTDZ($A$1,$B71,AZ$5,$B$1)</f>
        <v>0</v>
      </c>
      <c r="BA71" s="54">
        <f>_xll.EQNXTDZ($A$1,$B71,BA$5,$B$1)</f>
        <v>407.7</v>
      </c>
      <c r="BB71" s="54">
        <f>_xll.EQNXTDZ($A$1,$B71,BB$5,$B$1)</f>
        <v>0</v>
      </c>
      <c r="BC71" s="54">
        <f>_xll.EQNXTDZ($A$1,$B71,BC$5,$B$1)</f>
        <v>411.2</v>
      </c>
      <c r="BD71" s="54">
        <f>_xll.EQNXTDZ($A$1,$B71,BD$5,$B$1)</f>
        <v>0</v>
      </c>
      <c r="BE71" s="54">
        <f>_xll.EQNXTDZ($A$1,$B71,BE$5,$B$1)</f>
        <v>430.6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16.489999999999998</v>
      </c>
      <c r="V74" s="54">
        <f>_xll.EQNXTDZ($A$1,$B74,V$5,$B$1)</f>
        <v>0</v>
      </c>
      <c r="W74" s="54">
        <f>_xll.EQNXTDZ($A$1,$B74,W$5,$B$1)</f>
        <v>93.59</v>
      </c>
      <c r="X74" s="54">
        <f>_xll.EQNXTDZ($A$1,$B74,X$5,$B$1)</f>
        <v>0</v>
      </c>
      <c r="Y74" s="54">
        <f>_xll.EQNXTDZ($A$1,$B74,Y$5,$B$1)</f>
        <v>4.0999999999999996</v>
      </c>
      <c r="Z74" s="54">
        <f>_xll.EQNXTDZ($A$1,$B74,Z$5,$B$1)</f>
        <v>0</v>
      </c>
      <c r="AA74" s="54">
        <f>_xll.EQNXTDZ($A$1,$B74,AA$5,$B$1)</f>
        <v>5.3</v>
      </c>
      <c r="AB74" s="54">
        <f>_xll.EQNXTDZ($A$1,$B74,AB$5,$B$1)</f>
        <v>0</v>
      </c>
      <c r="AC74" s="54">
        <f>_xll.EQNXTDZ($A$1,$B74,AC$5,$B$1)</f>
        <v>4.0999999999999996</v>
      </c>
      <c r="AD74" s="54">
        <f>_xll.EQNXTDZ($A$1,$B74,AD$5,$B$1)</f>
        <v>0</v>
      </c>
      <c r="AE74" s="54">
        <f>_xll.EQNXTDZ($A$1,$B74,AE$5,$B$1)</f>
        <v>5.2</v>
      </c>
      <c r="AF74" s="54">
        <f>_xll.EQNXTDZ($A$1,$B74,AF$5,$B$1)</f>
        <v>0</v>
      </c>
      <c r="AG74" s="54">
        <f>_xll.EQNXTDZ($A$1,$B74,AG$5,$B$1)</f>
        <v>34.5</v>
      </c>
      <c r="AH74" s="54">
        <f>_xll.EQNXTDZ($A$1,$B74,AH$5,$B$1)</f>
        <v>0</v>
      </c>
      <c r="AI74" s="54">
        <f>_xll.EQNXTDZ($A$1,$B74,AI$5,$B$1)</f>
        <v>31.4</v>
      </c>
      <c r="AJ74" s="54">
        <f>_xll.EQNXTDZ($A$1,$B74,AJ$5,$B$1)</f>
        <v>0</v>
      </c>
      <c r="AK74" s="54">
        <f>_xll.EQNXTDZ($A$1,$B74,AK$5,$B$1)</f>
        <v>25.1</v>
      </c>
      <c r="AL74" s="54">
        <f>_xll.EQNXTDZ($A$1,$B74,AL$5,$B$1)</f>
        <v>0</v>
      </c>
      <c r="AM74" s="54">
        <f>_xll.EQNXTDZ($A$1,$B74,AM$5,$B$1)</f>
        <v>21.3</v>
      </c>
      <c r="AN74" s="54">
        <f>_xll.EQNXTDZ($A$1,$B74,AN$5,$B$1)</f>
        <v>0</v>
      </c>
      <c r="AO74" s="54">
        <f>_xll.EQNXTDZ($A$1,$B74,AO$5,$B$1)</f>
        <v>39.200000000000003</v>
      </c>
      <c r="AP74" s="54">
        <f>_xll.EQNXTDZ($A$1,$B74,AP$5,$B$1)</f>
        <v>0</v>
      </c>
      <c r="AQ74" s="54">
        <f>_xll.EQNXTDZ($A$1,$B74,AQ$5,$B$1)</f>
        <v>15.9</v>
      </c>
      <c r="AR74" s="54">
        <f>_xll.EQNXTDZ($A$1,$B74,AR$5,$B$1)</f>
        <v>0</v>
      </c>
      <c r="AS74" s="54">
        <f>_xll.EQNXTDZ($A$1,$B74,AS$5,$B$1)</f>
        <v>25.1</v>
      </c>
      <c r="AT74" s="54">
        <f>_xll.EQNXTDZ($A$1,$B74,AT$5,$B$1)</f>
        <v>0</v>
      </c>
      <c r="AU74" s="54">
        <f>_xll.EQNXTDZ($A$1,$B74,AU$5,$B$1)</f>
        <v>43.4</v>
      </c>
      <c r="AV74" s="54">
        <f>_xll.EQNXTDZ($A$1,$B74,AV$5,$B$1)</f>
        <v>0</v>
      </c>
      <c r="AW74" s="54">
        <f>_xll.EQNXTDZ($A$1,$B74,AW$5,$B$1)</f>
        <v>31</v>
      </c>
      <c r="AX74" s="54">
        <f>_xll.EQNXTDZ($A$1,$B74,AX$5,$B$1)</f>
        <v>0</v>
      </c>
      <c r="AY74" s="54">
        <f>_xll.EQNXTDZ($A$1,$B74,AY$5,$B$1)</f>
        <v>37.1</v>
      </c>
      <c r="AZ74" s="54">
        <f>_xll.EQNXTDZ($A$1,$B74,AZ$5,$B$1)</f>
        <v>0</v>
      </c>
      <c r="BA74" s="54">
        <f>_xll.EQNXTDZ($A$1,$B74,BA$5,$B$1)</f>
        <v>52.8</v>
      </c>
      <c r="BB74" s="54">
        <f>_xll.EQNXTDZ($A$1,$B74,BB$5,$B$1)</f>
        <v>0</v>
      </c>
      <c r="BC74" s="54">
        <f>_xll.EQNXTDZ($A$1,$B74,BC$5,$B$1)</f>
        <v>61.1</v>
      </c>
      <c r="BD74" s="54">
        <f>_xll.EQNXTDZ($A$1,$B74,BD$5,$B$1)</f>
        <v>0</v>
      </c>
      <c r="BE74" s="54">
        <f>_xll.EQNXTDZ($A$1,$B74,BE$5,$B$1)</f>
        <v>88.9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6.36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6.31</v>
      </c>
      <c r="H77" s="54">
        <f>_xll.EQNXTDZ($A$1,$B77,H$5,$B$1)</f>
        <v>0</v>
      </c>
      <c r="I77" s="54">
        <f>_xll.EQNXTDZ($A$1,$B77,I$5,$B$1)</f>
        <v>48.48</v>
      </c>
      <c r="J77" s="54">
        <f>_xll.EQNXTDZ($A$1,$B77,J$5,$B$1)</f>
        <v>0</v>
      </c>
      <c r="K77" s="54">
        <f>_xll.EQNXTDZ($A$1,$B77,K$5,$B$1)</f>
        <v>6.31</v>
      </c>
      <c r="L77" s="54">
        <f>_xll.EQNXTDZ($A$1,$B77,L$5,$B$1)</f>
        <v>0</v>
      </c>
      <c r="M77" s="54">
        <f>_xll.EQNXTDZ($A$1,$B77,M$5,$B$1)</f>
        <v>49.88</v>
      </c>
      <c r="N77" s="54">
        <f>_xll.EQNXTDZ($A$1,$B77,N$5,$B$1)</f>
        <v>0</v>
      </c>
      <c r="O77" s="54">
        <f>_xll.EQNXTDZ($A$1,$B77,O$5,$B$1)</f>
        <v>6.31</v>
      </c>
      <c r="P77" s="54">
        <f>_xll.EQNXTDZ($A$1,$B77,P$5,$B$1)</f>
        <v>0</v>
      </c>
      <c r="Q77" s="54">
        <f>_xll.EQNXTDZ($A$1,$B77,Q$5,$B$1)</f>
        <v>51.37</v>
      </c>
      <c r="R77" s="54">
        <f>_xll.EQNXTDZ($A$1,$B77,R$5,$B$1)</f>
        <v>0</v>
      </c>
      <c r="S77" s="54">
        <f>_xll.EQNXTDZ($A$1,$B77,S$5,$B$1)</f>
        <v>6.31</v>
      </c>
      <c r="T77" s="54">
        <f>_xll.EQNXTDZ($A$1,$B77,T$5,$B$1)</f>
        <v>0</v>
      </c>
      <c r="U77" s="54">
        <f>_xll.EQNXTDZ($A$1,$B77,U$5,$B$1)</f>
        <v>54.11</v>
      </c>
      <c r="V77" s="54">
        <f>_xll.EQNXTDZ($A$1,$B77,V$5,$B$1)</f>
        <v>0</v>
      </c>
      <c r="W77" s="54">
        <f>_xll.EQNXTDZ($A$1,$B77,W$5,$B$1)</f>
        <v>6.31</v>
      </c>
      <c r="X77" s="54">
        <f>_xll.EQNXTDZ($A$1,$B77,X$5,$B$1)</f>
        <v>0</v>
      </c>
      <c r="Y77" s="54">
        <f>_xll.EQNXTDZ($A$1,$B77,Y$5,$B$1)</f>
        <v>57.8</v>
      </c>
      <c r="Z77" s="54">
        <f>_xll.EQNXTDZ($A$1,$B77,Z$5,$B$1)</f>
        <v>0</v>
      </c>
      <c r="AA77" s="54">
        <f>_xll.EQNXTDZ($A$1,$B77,AA$5,$B$1)</f>
        <v>6.3</v>
      </c>
      <c r="AB77" s="54">
        <f>_xll.EQNXTDZ($A$1,$B77,AB$5,$B$1)</f>
        <v>0</v>
      </c>
      <c r="AC77" s="54">
        <f>_xll.EQNXTDZ($A$1,$B77,AC$5,$B$1)</f>
        <v>59.8</v>
      </c>
      <c r="AD77" s="54">
        <f>_xll.EQNXTDZ($A$1,$B77,AD$5,$B$1)</f>
        <v>0</v>
      </c>
      <c r="AE77" s="54">
        <f>_xll.EQNXTDZ($A$1,$B77,AE$5,$B$1)</f>
        <v>59</v>
      </c>
      <c r="AF77" s="54">
        <f>_xll.EQNXTDZ($A$1,$B77,AF$5,$B$1)</f>
        <v>0</v>
      </c>
      <c r="AG77" s="54">
        <f>_xll.EQNXTDZ($A$1,$B77,AG$5,$B$1)</f>
        <v>64.400000000000006</v>
      </c>
      <c r="AH77" s="54">
        <f>_xll.EQNXTDZ($A$1,$B77,AH$5,$B$1)</f>
        <v>0</v>
      </c>
      <c r="AI77" s="54">
        <f>_xll.EQNXTDZ($A$1,$B77,AI$5,$B$1)</f>
        <v>65.599999999999994</v>
      </c>
      <c r="AJ77" s="54">
        <f>_xll.EQNXTDZ($A$1,$B77,AJ$5,$B$1)</f>
        <v>0</v>
      </c>
      <c r="AK77" s="54">
        <f>_xll.EQNXTDZ($A$1,$B77,AK$5,$B$1)</f>
        <v>66.2</v>
      </c>
      <c r="AL77" s="54">
        <f>_xll.EQNXTDZ($A$1,$B77,AL$5,$B$1)</f>
        <v>0</v>
      </c>
      <c r="AM77" s="54">
        <f>_xll.EQNXTDZ($A$1,$B77,AM$5,$B$1)</f>
        <v>66.599999999999994</v>
      </c>
      <c r="AN77" s="54">
        <f>_xll.EQNXTDZ($A$1,$B77,AN$5,$B$1)</f>
        <v>0</v>
      </c>
      <c r="AO77" s="54">
        <f>_xll.EQNXTDZ($A$1,$B77,AO$5,$B$1)</f>
        <v>69.7</v>
      </c>
      <c r="AP77" s="54">
        <f>_xll.EQNXTDZ($A$1,$B77,AP$5,$B$1)</f>
        <v>0</v>
      </c>
      <c r="AQ77" s="54">
        <f>_xll.EQNXTDZ($A$1,$B77,AQ$5,$B$1)</f>
        <v>70.5</v>
      </c>
      <c r="AR77" s="54">
        <f>_xll.EQNXTDZ($A$1,$B77,AR$5,$B$1)</f>
        <v>0</v>
      </c>
      <c r="AS77" s="54">
        <f>_xll.EQNXTDZ($A$1,$B77,AS$5,$B$1)</f>
        <v>74.2</v>
      </c>
      <c r="AT77" s="54">
        <f>_xll.EQNXTDZ($A$1,$B77,AT$5,$B$1)</f>
        <v>0</v>
      </c>
      <c r="AU77" s="54">
        <f>_xll.EQNXTDZ($A$1,$B77,AU$5,$B$1)</f>
        <v>74.099999999999994</v>
      </c>
      <c r="AV77" s="54">
        <f>_xll.EQNXTDZ($A$1,$B77,AV$5,$B$1)</f>
        <v>0</v>
      </c>
      <c r="AW77" s="54">
        <f>_xll.EQNXTDZ($A$1,$B77,AW$5,$B$1)</f>
        <v>79.5</v>
      </c>
      <c r="AX77" s="54">
        <f>_xll.EQNXTDZ($A$1,$B77,AX$5,$B$1)</f>
        <v>0</v>
      </c>
      <c r="AY77" s="54">
        <f>_xll.EQNXTDZ($A$1,$B77,AY$5,$B$1)</f>
        <v>80.8</v>
      </c>
      <c r="AZ77" s="54">
        <f>_xll.EQNXTDZ($A$1,$B77,AZ$5,$B$1)</f>
        <v>0</v>
      </c>
      <c r="BA77" s="54">
        <f>_xll.EQNXTDZ($A$1,$B77,BA$5,$B$1)</f>
        <v>87.8</v>
      </c>
      <c r="BB77" s="54">
        <f>_xll.EQNXTDZ($A$1,$B77,BB$5,$B$1)</f>
        <v>0</v>
      </c>
      <c r="BC77" s="54">
        <f>_xll.EQNXTDZ($A$1,$B77,BC$5,$B$1)</f>
        <v>88.3</v>
      </c>
      <c r="BD77" s="54">
        <f>_xll.EQNXTDZ($A$1,$B77,BD$5,$B$1)</f>
        <v>0</v>
      </c>
      <c r="BE77" s="54">
        <f>_xll.EQNXTDZ($A$1,$B77,BE$5,$B$1)</f>
        <v>96.5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52.37</v>
      </c>
      <c r="D78" s="54">
        <f>_xll.EQNXTDZ($A$1,$B78,D$5,$B$1)</f>
        <v>0</v>
      </c>
      <c r="E78" s="54">
        <f>_xll.EQNXTDZ($A$1,$B78,E$5,$B$1)</f>
        <v>0</v>
      </c>
      <c r="F78" s="54">
        <f>_xll.EQNXTDZ($A$1,$B78,F$5,$B$1)</f>
        <v>0</v>
      </c>
      <c r="G78" s="54">
        <f>_xll.EQNXTDZ($A$1,$B78,G$5,$B$1)</f>
        <v>52.64</v>
      </c>
      <c r="H78" s="54">
        <f>_xll.EQNXTDZ($A$1,$B78,H$5,$B$1)</f>
        <v>0</v>
      </c>
      <c r="I78" s="54">
        <f>_xll.EQNXTDZ($A$1,$B78,I$5,$B$1)</f>
        <v>56.57</v>
      </c>
      <c r="J78" s="54">
        <f>_xll.EQNXTDZ($A$1,$B78,J$5,$B$1)</f>
        <v>0</v>
      </c>
      <c r="K78" s="54">
        <f>_xll.EQNXTDZ($A$1,$B78,K$5,$B$1)</f>
        <v>57.59</v>
      </c>
      <c r="L78" s="54">
        <f>_xll.EQNXTDZ($A$1,$B78,L$5,$B$1)</f>
        <v>0</v>
      </c>
      <c r="M78" s="54">
        <f>_xll.EQNXTDZ($A$1,$B78,M$5,$B$1)</f>
        <v>54.94</v>
      </c>
      <c r="N78" s="54">
        <f>_xll.EQNXTDZ($A$1,$B78,N$5,$B$1)</f>
        <v>0</v>
      </c>
      <c r="O78" s="54">
        <f>_xll.EQNXTDZ($A$1,$B78,O$5,$B$1)</f>
        <v>54.42</v>
      </c>
      <c r="P78" s="54">
        <f>_xll.EQNXTDZ($A$1,$B78,P$5,$B$1)</f>
        <v>0</v>
      </c>
      <c r="Q78" s="54">
        <f>_xll.EQNXTDZ($A$1,$B78,Q$5,$B$1)</f>
        <v>49.32</v>
      </c>
      <c r="R78" s="54">
        <f>_xll.EQNXTDZ($A$1,$B78,R$5,$B$1)</f>
        <v>0</v>
      </c>
      <c r="S78" s="54">
        <f>_xll.EQNXTDZ($A$1,$B78,S$5,$B$1)</f>
        <v>54.25</v>
      </c>
      <c r="T78" s="54">
        <f>_xll.EQNXTDZ($A$1,$B78,T$5,$B$1)</f>
        <v>0</v>
      </c>
      <c r="U78" s="54">
        <f>_xll.EQNXTDZ($A$1,$B78,U$5,$B$1)</f>
        <v>2.5499999999999998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6.8</v>
      </c>
      <c r="Z78" s="54">
        <f>_xll.EQNXTDZ($A$1,$B78,Z$5,$B$1)</f>
        <v>0</v>
      </c>
      <c r="AA78" s="54">
        <f>_xll.EQNXTDZ($A$1,$B78,AA$5,$B$1)</f>
        <v>3.9</v>
      </c>
      <c r="AB78" s="54">
        <f>_xll.EQNXTDZ($A$1,$B78,AB$5,$B$1)</f>
        <v>0</v>
      </c>
      <c r="AC78" s="54">
        <f>_xll.EQNXTDZ($A$1,$B78,AC$5,$B$1)</f>
        <v>6.8</v>
      </c>
      <c r="AD78" s="54">
        <f>_xll.EQNXTDZ($A$1,$B78,AD$5,$B$1)</f>
        <v>0</v>
      </c>
      <c r="AE78" s="54">
        <f>_xll.EQNXTDZ($A$1,$B78,AE$5,$B$1)</f>
        <v>6.6</v>
      </c>
      <c r="AF78" s="54">
        <f>_xll.EQNXTDZ($A$1,$B78,AF$5,$B$1)</f>
        <v>0</v>
      </c>
      <c r="AG78" s="54">
        <f>_xll.EQNXTDZ($A$1,$B78,AG$5,$B$1)</f>
        <v>8.1</v>
      </c>
      <c r="AH78" s="54">
        <f>_xll.EQNXTDZ($A$1,$B78,AH$5,$B$1)</f>
        <v>0</v>
      </c>
      <c r="AI78" s="54">
        <f>_xll.EQNXTDZ($A$1,$B78,AI$5,$B$1)</f>
        <v>7.6</v>
      </c>
      <c r="AJ78" s="54">
        <f>_xll.EQNXTDZ($A$1,$B78,AJ$5,$B$1)</f>
        <v>0</v>
      </c>
      <c r="AK78" s="54">
        <f>_xll.EQNXTDZ($A$1,$B78,AK$5,$B$1)</f>
        <v>8.1</v>
      </c>
      <c r="AL78" s="54">
        <f>_xll.EQNXTDZ($A$1,$B78,AL$5,$B$1)</f>
        <v>0</v>
      </c>
      <c r="AM78" s="54">
        <f>_xll.EQNXTDZ($A$1,$B78,AM$5,$B$1)</f>
        <v>7.6</v>
      </c>
      <c r="AN78" s="54">
        <f>_xll.EQNXTDZ($A$1,$B78,AN$5,$B$1)</f>
        <v>0</v>
      </c>
      <c r="AO78" s="54">
        <f>_xll.EQNXTDZ($A$1,$B78,AO$5,$B$1)</f>
        <v>8.3000000000000007</v>
      </c>
      <c r="AP78" s="54">
        <f>_xll.EQNXTDZ($A$1,$B78,AP$5,$B$1)</f>
        <v>0</v>
      </c>
      <c r="AQ78" s="54">
        <f>_xll.EQNXTDZ($A$1,$B78,AQ$5,$B$1)</f>
        <v>8.3000000000000007</v>
      </c>
      <c r="AR78" s="54">
        <f>_xll.EQNXTDZ($A$1,$B78,AR$5,$B$1)</f>
        <v>0</v>
      </c>
      <c r="AS78" s="54">
        <f>_xll.EQNXTDZ($A$1,$B78,AS$5,$B$1)</f>
        <v>9.1</v>
      </c>
      <c r="AT78" s="54">
        <f>_xll.EQNXTDZ($A$1,$B78,AT$5,$B$1)</f>
        <v>0</v>
      </c>
      <c r="AU78" s="54">
        <f>_xll.EQNXTDZ($A$1,$B78,AU$5,$B$1)</f>
        <v>8.6</v>
      </c>
      <c r="AV78" s="54">
        <f>_xll.EQNXTDZ($A$1,$B78,AV$5,$B$1)</f>
        <v>0</v>
      </c>
      <c r="AW78" s="54">
        <f>_xll.EQNXTDZ($A$1,$B78,AW$5,$B$1)</f>
        <v>7.4</v>
      </c>
      <c r="AX78" s="54">
        <f>_xll.EQNXTDZ($A$1,$B78,AX$5,$B$1)</f>
        <v>0</v>
      </c>
      <c r="AY78" s="54">
        <f>_xll.EQNXTDZ($A$1,$B78,AY$5,$B$1)</f>
        <v>8.6999999999999993</v>
      </c>
      <c r="AZ78" s="54">
        <f>_xll.EQNXTDZ($A$1,$B78,AZ$5,$B$1)</f>
        <v>0</v>
      </c>
      <c r="BA78" s="54">
        <f>_xll.EQNXTDZ($A$1,$B78,BA$5,$B$1)</f>
        <v>8</v>
      </c>
      <c r="BB78" s="54">
        <f>_xll.EQNXTDZ($A$1,$B78,BB$5,$B$1)</f>
        <v>0</v>
      </c>
      <c r="BC78" s="54">
        <f>_xll.EQNXTDZ($A$1,$B78,BC$5,$B$1)</f>
        <v>7.4</v>
      </c>
      <c r="BD78" s="54">
        <f>_xll.EQNXTDZ($A$1,$B78,BD$5,$B$1)</f>
        <v>0</v>
      </c>
      <c r="BE78" s="54">
        <f>_xll.EQNXTDZ($A$1,$B78,BE$5,$B$1)</f>
        <v>8.3000000000000007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67.900000000000006</v>
      </c>
      <c r="V79" s="54">
        <f>_xll.EQNXTDZ($A$1,$B79,V$5,$B$1)</f>
        <v>0</v>
      </c>
      <c r="W79" s="54">
        <f>_xll.EQNXTDZ($A$1,$B79,W$5,$B$1)</f>
        <v>53.32</v>
      </c>
      <c r="X79" s="54">
        <f>_xll.EQNXTDZ($A$1,$B79,X$5,$B$1)</f>
        <v>0</v>
      </c>
      <c r="Y79" s="54">
        <f>_xll.EQNXTDZ($A$1,$B79,Y$5,$B$1)</f>
        <v>56.3</v>
      </c>
      <c r="Z79" s="54">
        <f>_xll.EQNXTDZ($A$1,$B79,Z$5,$B$1)</f>
        <v>0</v>
      </c>
      <c r="AA79" s="54">
        <f>_xll.EQNXTDZ($A$1,$B79,AA$5,$B$1)</f>
        <v>58</v>
      </c>
      <c r="AB79" s="54">
        <f>_xll.EQNXTDZ($A$1,$B79,AB$5,$B$1)</f>
        <v>0</v>
      </c>
      <c r="AC79" s="54">
        <f>_xll.EQNXTDZ($A$1,$B79,AC$5,$B$1)</f>
        <v>45.4</v>
      </c>
      <c r="AD79" s="54">
        <f>_xll.EQNXTDZ($A$1,$B79,AD$5,$B$1)</f>
        <v>0</v>
      </c>
      <c r="AE79" s="54">
        <f>_xll.EQNXTDZ($A$1,$B79,AE$5,$B$1)</f>
        <v>60.9</v>
      </c>
      <c r="AF79" s="54">
        <f>_xll.EQNXTDZ($A$1,$B79,AF$5,$B$1)</f>
        <v>0</v>
      </c>
      <c r="AG79" s="54">
        <f>_xll.EQNXTDZ($A$1,$B79,AG$5,$B$1)</f>
        <v>32.9</v>
      </c>
      <c r="AH79" s="54">
        <f>_xll.EQNXTDZ($A$1,$B79,AH$5,$B$1)</f>
        <v>0</v>
      </c>
      <c r="AI79" s="54">
        <f>_xll.EQNXTDZ($A$1,$B79,AI$5,$B$1)</f>
        <v>41.1</v>
      </c>
      <c r="AJ79" s="54">
        <f>_xll.EQNXTDZ($A$1,$B79,AJ$5,$B$1)</f>
        <v>0</v>
      </c>
      <c r="AK79" s="54">
        <f>_xll.EQNXTDZ($A$1,$B79,AK$5,$B$1)</f>
        <v>56.4</v>
      </c>
      <c r="AL79" s="54">
        <f>_xll.EQNXTDZ($A$1,$B79,AL$5,$B$1)</f>
        <v>0</v>
      </c>
      <c r="AM79" s="54">
        <f>_xll.EQNXTDZ($A$1,$B79,AM$5,$B$1)</f>
        <v>59.3</v>
      </c>
      <c r="AN79" s="54">
        <f>_xll.EQNXTDZ($A$1,$B79,AN$5,$B$1)</f>
        <v>0</v>
      </c>
      <c r="AO79" s="54">
        <f>_xll.EQNXTDZ($A$1,$B79,AO$5,$B$1)</f>
        <v>83.5</v>
      </c>
      <c r="AP79" s="54">
        <f>_xll.EQNXTDZ($A$1,$B79,AP$5,$B$1)</f>
        <v>0</v>
      </c>
      <c r="AQ79" s="54">
        <f>_xll.EQNXTDZ($A$1,$B79,AQ$5,$B$1)</f>
        <v>84.5</v>
      </c>
      <c r="AR79" s="54">
        <f>_xll.EQNXTDZ($A$1,$B79,AR$5,$B$1)</f>
        <v>0</v>
      </c>
      <c r="AS79" s="54">
        <f>_xll.EQNXTDZ($A$1,$B79,AS$5,$B$1)</f>
        <v>119.4</v>
      </c>
      <c r="AT79" s="54">
        <f>_xll.EQNXTDZ($A$1,$B79,AT$5,$B$1)</f>
        <v>0</v>
      </c>
      <c r="AU79" s="54">
        <f>_xll.EQNXTDZ($A$1,$B79,AU$5,$B$1)</f>
        <v>84.3</v>
      </c>
      <c r="AV79" s="54">
        <f>_xll.EQNXTDZ($A$1,$B79,AV$5,$B$1)</f>
        <v>0</v>
      </c>
      <c r="AW79" s="54">
        <f>_xll.EQNXTDZ($A$1,$B79,AW$5,$B$1)</f>
        <v>88.2</v>
      </c>
      <c r="AX79" s="54">
        <f>_xll.EQNXTDZ($A$1,$B79,AX$5,$B$1)</f>
        <v>0</v>
      </c>
      <c r="AY79" s="54">
        <f>_xll.EQNXTDZ($A$1,$B79,AY$5,$B$1)</f>
        <v>93.9</v>
      </c>
      <c r="AZ79" s="54">
        <f>_xll.EQNXTDZ($A$1,$B79,AZ$5,$B$1)</f>
        <v>0</v>
      </c>
      <c r="BA79" s="54">
        <f>_xll.EQNXTDZ($A$1,$B79,BA$5,$B$1)</f>
        <v>88.1</v>
      </c>
      <c r="BB79" s="54">
        <f>_xll.EQNXTDZ($A$1,$B79,BB$5,$B$1)</f>
        <v>0</v>
      </c>
      <c r="BC79" s="54">
        <f>_xll.EQNXTDZ($A$1,$B79,BC$5,$B$1)</f>
        <v>89.8</v>
      </c>
      <c r="BD79" s="54">
        <f>_xll.EQNXTDZ($A$1,$B79,BD$5,$B$1)</f>
        <v>0</v>
      </c>
      <c r="BE79" s="54">
        <f>_xll.EQNXTDZ($A$1,$B79,BE$5,$B$1)</f>
        <v>82.5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193.91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198.61</v>
      </c>
      <c r="H81" s="54">
        <f>_xll.EQNXTDZ($A$1,$B81,H$5,$B$1)</f>
        <v>0</v>
      </c>
      <c r="I81" s="54">
        <f>_xll.EQNXTDZ($A$1,$B81,I$5,$B$1)</f>
        <v>183.3</v>
      </c>
      <c r="J81" s="54">
        <f>_xll.EQNXTDZ($A$1,$B81,J$5,$B$1)</f>
        <v>0</v>
      </c>
      <c r="K81" s="54">
        <f>_xll.EQNXTDZ($A$1,$B81,K$5,$B$1)</f>
        <v>214.12</v>
      </c>
      <c r="L81" s="54">
        <f>_xll.EQNXTDZ($A$1,$B81,L$5,$B$1)</f>
        <v>0</v>
      </c>
      <c r="M81" s="54">
        <f>_xll.EQNXTDZ($A$1,$B81,M$5,$B$1)</f>
        <v>201.77</v>
      </c>
      <c r="N81" s="54">
        <f>_xll.EQNXTDZ($A$1,$B81,N$5,$B$1)</f>
        <v>0</v>
      </c>
      <c r="O81" s="54">
        <f>_xll.EQNXTDZ($A$1,$B81,O$5,$B$1)</f>
        <v>194.66</v>
      </c>
      <c r="P81" s="54">
        <f>_xll.EQNXTDZ($A$1,$B81,P$5,$B$1)</f>
        <v>0</v>
      </c>
      <c r="Q81" s="54">
        <f>_xll.EQNXTDZ($A$1,$B81,Q$5,$B$1)</f>
        <v>182.64</v>
      </c>
      <c r="R81" s="54">
        <f>_xll.EQNXTDZ($A$1,$B81,R$5,$B$1)</f>
        <v>0</v>
      </c>
      <c r="S81" s="54">
        <f>_xll.EQNXTDZ($A$1,$B81,S$5,$B$1)</f>
        <v>187.19</v>
      </c>
      <c r="T81" s="54">
        <f>_xll.EQNXTDZ($A$1,$B81,T$5,$B$1)</f>
        <v>0</v>
      </c>
      <c r="U81" s="54">
        <f>_xll.EQNXTDZ($A$1,$B81,U$5,$B$1)</f>
        <v>211.86</v>
      </c>
      <c r="V81" s="54">
        <f>_xll.EQNXTDZ($A$1,$B81,V$5,$B$1)</f>
        <v>0</v>
      </c>
      <c r="W81" s="54">
        <f>_xll.EQNXTDZ($A$1,$B81,W$5,$B$1)</f>
        <v>284.52</v>
      </c>
      <c r="X81" s="54">
        <f>_xll.EQNXTDZ($A$1,$B81,X$5,$B$1)</f>
        <v>0</v>
      </c>
      <c r="Y81" s="54">
        <f>_xll.EQNXTDZ($A$1,$B81,Y$5,$B$1)</f>
        <v>247.6</v>
      </c>
      <c r="Z81" s="54">
        <f>_xll.EQNXTDZ($A$1,$B81,Z$5,$B$1)</f>
        <v>0</v>
      </c>
      <c r="AA81" s="54">
        <f>_xll.EQNXTDZ($A$1,$B81,AA$5,$B$1)</f>
        <v>312.60000000000002</v>
      </c>
      <c r="AB81" s="54">
        <f>_xll.EQNXTDZ($A$1,$B81,AB$5,$B$1)</f>
        <v>0</v>
      </c>
      <c r="AC81" s="54">
        <f>_xll.EQNXTDZ($A$1,$B81,AC$5,$B$1)</f>
        <v>303</v>
      </c>
      <c r="AD81" s="54">
        <f>_xll.EQNXTDZ($A$1,$B81,AD$5,$B$1)</f>
        <v>0</v>
      </c>
      <c r="AE81" s="54">
        <f>_xll.EQNXTDZ($A$1,$B81,AE$5,$B$1)</f>
        <v>339.3</v>
      </c>
      <c r="AF81" s="54">
        <f>_xll.EQNXTDZ($A$1,$B81,AF$5,$B$1)</f>
        <v>0</v>
      </c>
      <c r="AG81" s="54">
        <f>_xll.EQNXTDZ($A$1,$B81,AG$5,$B$1)</f>
        <v>324.8</v>
      </c>
      <c r="AH81" s="54">
        <f>_xll.EQNXTDZ($A$1,$B81,AH$5,$B$1)</f>
        <v>0</v>
      </c>
      <c r="AI81" s="54">
        <f>_xll.EQNXTDZ($A$1,$B81,AI$5,$B$1)</f>
        <v>345.4</v>
      </c>
      <c r="AJ81" s="54">
        <f>_xll.EQNXTDZ($A$1,$B81,AJ$5,$B$1)</f>
        <v>0</v>
      </c>
      <c r="AK81" s="54">
        <f>_xll.EQNXTDZ($A$1,$B81,AK$5,$B$1)</f>
        <v>360.9</v>
      </c>
      <c r="AL81" s="54">
        <f>_xll.EQNXTDZ($A$1,$B81,AL$5,$B$1)</f>
        <v>0</v>
      </c>
      <c r="AM81" s="54">
        <f>_xll.EQNXTDZ($A$1,$B81,AM$5,$B$1)</f>
        <v>394.9</v>
      </c>
      <c r="AN81" s="54">
        <f>_xll.EQNXTDZ($A$1,$B81,AN$5,$B$1)</f>
        <v>0</v>
      </c>
      <c r="AO81" s="54">
        <f>_xll.EQNXTDZ($A$1,$B81,AO$5,$B$1)</f>
        <v>423.1</v>
      </c>
      <c r="AP81" s="54">
        <f>_xll.EQNXTDZ($A$1,$B81,AP$5,$B$1)</f>
        <v>0</v>
      </c>
      <c r="AQ81" s="54">
        <f>_xll.EQNXTDZ($A$1,$B81,AQ$5,$B$1)</f>
        <v>479.2</v>
      </c>
      <c r="AR81" s="54">
        <f>_xll.EQNXTDZ($A$1,$B81,AR$5,$B$1)</f>
        <v>0</v>
      </c>
      <c r="AS81" s="54">
        <f>_xll.EQNXTDZ($A$1,$B81,AS$5,$B$1)</f>
        <v>561.1</v>
      </c>
      <c r="AT81" s="54">
        <f>_xll.EQNXTDZ($A$1,$B81,AT$5,$B$1)</f>
        <v>0</v>
      </c>
      <c r="AU81" s="54">
        <f>_xll.EQNXTDZ($A$1,$B81,AU$5,$B$1)</f>
        <v>671.2</v>
      </c>
      <c r="AV81" s="54">
        <f>_xll.EQNXTDZ($A$1,$B81,AV$5,$B$1)</f>
        <v>0</v>
      </c>
      <c r="AW81" s="54">
        <f>_xll.EQNXTDZ($A$1,$B81,AW$5,$B$1)</f>
        <v>642.6</v>
      </c>
      <c r="AX81" s="54">
        <f>_xll.EQNXTDZ($A$1,$B81,AX$5,$B$1)</f>
        <v>0</v>
      </c>
      <c r="AY81" s="54">
        <f>_xll.EQNXTDZ($A$1,$B81,AY$5,$B$1)</f>
        <v>658.3</v>
      </c>
      <c r="AZ81" s="54">
        <f>_xll.EQNXTDZ($A$1,$B81,AZ$5,$B$1)</f>
        <v>0</v>
      </c>
      <c r="BA81" s="54">
        <f>_xll.EQNXTDZ($A$1,$B81,BA$5,$B$1)</f>
        <v>642.79999999999995</v>
      </c>
      <c r="BB81" s="54">
        <f>_xll.EQNXTDZ($A$1,$B81,BB$5,$B$1)</f>
        <v>0</v>
      </c>
      <c r="BC81" s="54">
        <f>_xll.EQNXTDZ($A$1,$B81,BC$5,$B$1)</f>
        <v>741.2</v>
      </c>
      <c r="BD81" s="54">
        <f>_xll.EQNXTDZ($A$1,$B81,BD$5,$B$1)</f>
        <v>0</v>
      </c>
      <c r="BE81" s="54">
        <f>_xll.EQNXTDZ($A$1,$B81,BE$5,$B$1)</f>
        <v>786.1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160.24</v>
      </c>
      <c r="D82" s="54">
        <f>_xll.EQNXTDZ($A$1,$B82,D$5,$B$1)</f>
        <v>0</v>
      </c>
      <c r="E82" s="54">
        <f>_xll.EQNXTDZ($A$1,$B82,E$5,$B$1)</f>
        <v>0</v>
      </c>
      <c r="F82" s="54">
        <f>_xll.EQNXTDZ($A$1,$B82,F$5,$B$1)</f>
        <v>0</v>
      </c>
      <c r="G82" s="54">
        <f>_xll.EQNXTDZ($A$1,$B82,G$5,$B$1)</f>
        <v>137.96</v>
      </c>
      <c r="H82" s="54">
        <f>_xll.EQNXTDZ($A$1,$B82,H$5,$B$1)</f>
        <v>0</v>
      </c>
      <c r="I82" s="54">
        <f>_xll.EQNXTDZ($A$1,$B82,I$5,$B$1)</f>
        <v>126.73</v>
      </c>
      <c r="J82" s="54">
        <f>_xll.EQNXTDZ($A$1,$B82,J$5,$B$1)</f>
        <v>0</v>
      </c>
      <c r="K82" s="54">
        <f>_xll.EQNXTDZ($A$1,$B82,K$5,$B$1)</f>
        <v>135.61000000000001</v>
      </c>
      <c r="L82" s="54">
        <f>_xll.EQNXTDZ($A$1,$B82,L$5,$B$1)</f>
        <v>0</v>
      </c>
      <c r="M82" s="54">
        <f>_xll.EQNXTDZ($A$1,$B82,M$5,$B$1)</f>
        <v>179.04</v>
      </c>
      <c r="N82" s="54">
        <f>_xll.EQNXTDZ($A$1,$B82,N$5,$B$1)</f>
        <v>0</v>
      </c>
      <c r="O82" s="54">
        <f>_xll.EQNXTDZ($A$1,$B82,O$5,$B$1)</f>
        <v>156.03</v>
      </c>
      <c r="P82" s="54">
        <f>_xll.EQNXTDZ($A$1,$B82,P$5,$B$1)</f>
        <v>0</v>
      </c>
      <c r="Q82" s="54">
        <f>_xll.EQNXTDZ($A$1,$B82,Q$5,$B$1)</f>
        <v>178.37</v>
      </c>
      <c r="R82" s="54">
        <f>_xll.EQNXTDZ($A$1,$B82,R$5,$B$1)</f>
        <v>0</v>
      </c>
      <c r="S82" s="54">
        <f>_xll.EQNXTDZ($A$1,$B82,S$5,$B$1)</f>
        <v>130.06</v>
      </c>
      <c r="T82" s="54">
        <f>_xll.EQNXTDZ($A$1,$B82,T$5,$B$1)</f>
        <v>0</v>
      </c>
      <c r="U82" s="54">
        <f>_xll.EQNXTDZ($A$1,$B82,U$5,$B$1)</f>
        <v>162.54</v>
      </c>
      <c r="V82" s="54">
        <f>_xll.EQNXTDZ($A$1,$B82,V$5,$B$1)</f>
        <v>0</v>
      </c>
      <c r="W82" s="54">
        <f>_xll.EQNXTDZ($A$1,$B82,W$5,$B$1)</f>
        <v>157.4</v>
      </c>
      <c r="X82" s="54">
        <f>_xll.EQNXTDZ($A$1,$B82,X$5,$B$1)</f>
        <v>0</v>
      </c>
      <c r="Y82" s="54">
        <f>_xll.EQNXTDZ($A$1,$B82,Y$5,$B$1)</f>
        <v>255</v>
      </c>
      <c r="Z82" s="54">
        <f>_xll.EQNXTDZ($A$1,$B82,Z$5,$B$1)</f>
        <v>0</v>
      </c>
      <c r="AA82" s="54">
        <f>_xll.EQNXTDZ($A$1,$B82,AA$5,$B$1)</f>
        <v>179</v>
      </c>
      <c r="AB82" s="54">
        <f>_xll.EQNXTDZ($A$1,$B82,AB$5,$B$1)</f>
        <v>0</v>
      </c>
      <c r="AC82" s="54">
        <f>_xll.EQNXTDZ($A$1,$B82,AC$5,$B$1)</f>
        <v>290.7</v>
      </c>
      <c r="AD82" s="54">
        <f>_xll.EQNXTDZ($A$1,$B82,AD$5,$B$1)</f>
        <v>0</v>
      </c>
      <c r="AE82" s="54">
        <f>_xll.EQNXTDZ($A$1,$B82,AE$5,$B$1)</f>
        <v>239.2</v>
      </c>
      <c r="AF82" s="54">
        <f>_xll.EQNXTDZ($A$1,$B82,AF$5,$B$1)</f>
        <v>0</v>
      </c>
      <c r="AG82" s="54">
        <f>_xll.EQNXTDZ($A$1,$B82,AG$5,$B$1)</f>
        <v>296.2</v>
      </c>
      <c r="AH82" s="54">
        <f>_xll.EQNXTDZ($A$1,$B82,AH$5,$B$1)</f>
        <v>0</v>
      </c>
      <c r="AI82" s="54">
        <f>_xll.EQNXTDZ($A$1,$B82,AI$5,$B$1)</f>
        <v>233</v>
      </c>
      <c r="AJ82" s="54">
        <f>_xll.EQNXTDZ($A$1,$B82,AJ$5,$B$1)</f>
        <v>0</v>
      </c>
      <c r="AK82" s="54">
        <f>_xll.EQNXTDZ($A$1,$B82,AK$5,$B$1)</f>
        <v>266.7</v>
      </c>
      <c r="AL82" s="54">
        <f>_xll.EQNXTDZ($A$1,$B82,AL$5,$B$1)</f>
        <v>0</v>
      </c>
      <c r="AM82" s="54">
        <f>_xll.EQNXTDZ($A$1,$B82,AM$5,$B$1)</f>
        <v>230.9</v>
      </c>
      <c r="AN82" s="54">
        <f>_xll.EQNXTDZ($A$1,$B82,AN$5,$B$1)</f>
        <v>0</v>
      </c>
      <c r="AO82" s="54">
        <f>_xll.EQNXTDZ($A$1,$B82,AO$5,$B$1)</f>
        <v>278</v>
      </c>
      <c r="AP82" s="54">
        <f>_xll.EQNXTDZ($A$1,$B82,AP$5,$B$1)</f>
        <v>0</v>
      </c>
      <c r="AQ82" s="54">
        <f>_xll.EQNXTDZ($A$1,$B82,AQ$5,$B$1)</f>
        <v>317.10000000000002</v>
      </c>
      <c r="AR82" s="54">
        <f>_xll.EQNXTDZ($A$1,$B82,AR$5,$B$1)</f>
        <v>0</v>
      </c>
      <c r="AS82" s="54">
        <f>_xll.EQNXTDZ($A$1,$B82,AS$5,$B$1)</f>
        <v>403.7</v>
      </c>
      <c r="AT82" s="54">
        <f>_xll.EQNXTDZ($A$1,$B82,AT$5,$B$1)</f>
        <v>0</v>
      </c>
      <c r="AU82" s="54">
        <f>_xll.EQNXTDZ($A$1,$B82,AU$5,$B$1)</f>
        <v>438</v>
      </c>
      <c r="AV82" s="54">
        <f>_xll.EQNXTDZ($A$1,$B82,AV$5,$B$1)</f>
        <v>0</v>
      </c>
      <c r="AW82" s="54">
        <f>_xll.EQNXTDZ($A$1,$B82,AW$5,$B$1)</f>
        <v>491.7</v>
      </c>
      <c r="AX82" s="54">
        <f>_xll.EQNXTDZ($A$1,$B82,AX$5,$B$1)</f>
        <v>0</v>
      </c>
      <c r="AY82" s="54">
        <f>_xll.EQNXTDZ($A$1,$B82,AY$5,$B$1)</f>
        <v>503.8</v>
      </c>
      <c r="AZ82" s="54">
        <f>_xll.EQNXTDZ($A$1,$B82,AZ$5,$B$1)</f>
        <v>0</v>
      </c>
      <c r="BA82" s="54">
        <f>_xll.EQNXTDZ($A$1,$B82,BA$5,$B$1)</f>
        <v>650.29999999999995</v>
      </c>
      <c r="BB82" s="54">
        <f>_xll.EQNXTDZ($A$1,$B82,BB$5,$B$1)</f>
        <v>0</v>
      </c>
      <c r="BC82" s="54">
        <f>_xll.EQNXTDZ($A$1,$B82,BC$5,$B$1)</f>
        <v>685.6</v>
      </c>
      <c r="BD82" s="54">
        <f>_xll.EQNXTDZ($A$1,$B82,BD$5,$B$1)</f>
        <v>0</v>
      </c>
      <c r="BE82" s="54">
        <f>_xll.EQNXTDZ($A$1,$B82,BE$5,$B$1)</f>
        <v>869.2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95</v>
      </c>
      <c r="D83" s="54">
        <f>_xll.EQNXTDZ($A$1,$B83,D$5,$B$1)</f>
        <v>0</v>
      </c>
      <c r="E83" s="54">
        <f>_xll.EQNXTDZ($A$1,$B83,E$5,$B$1)</f>
        <v>0</v>
      </c>
      <c r="F83" s="54">
        <f>_xll.EQNXTDZ($A$1,$B83,F$5,$B$1)</f>
        <v>0</v>
      </c>
      <c r="G83" s="54">
        <f>_xll.EQNXTDZ($A$1,$B83,G$5,$B$1)</f>
        <v>112.15</v>
      </c>
      <c r="H83" s="54">
        <f>_xll.EQNXTDZ($A$1,$B83,H$5,$B$1)</f>
        <v>0</v>
      </c>
      <c r="I83" s="54">
        <f>_xll.EQNXTDZ($A$1,$B83,I$5,$B$1)</f>
        <v>160.06</v>
      </c>
      <c r="J83" s="54">
        <f>_xll.EQNXTDZ($A$1,$B83,J$5,$B$1)</f>
        <v>0</v>
      </c>
      <c r="K83" s="54">
        <f>_xll.EQNXTDZ($A$1,$B83,K$5,$B$1)</f>
        <v>155.06</v>
      </c>
      <c r="L83" s="54">
        <f>_xll.EQNXTDZ($A$1,$B83,L$5,$B$1)</f>
        <v>0</v>
      </c>
      <c r="M83" s="54">
        <f>_xll.EQNXTDZ($A$1,$B83,M$5,$B$1)</f>
        <v>178.75</v>
      </c>
      <c r="N83" s="54">
        <f>_xll.EQNXTDZ($A$1,$B83,N$5,$B$1)</f>
        <v>0</v>
      </c>
      <c r="O83" s="54">
        <f>_xll.EQNXTDZ($A$1,$B83,O$5,$B$1)</f>
        <v>164.59</v>
      </c>
      <c r="P83" s="54">
        <f>_xll.EQNXTDZ($A$1,$B83,P$5,$B$1)</f>
        <v>0</v>
      </c>
      <c r="Q83" s="54">
        <f>_xll.EQNXTDZ($A$1,$B83,Q$5,$B$1)</f>
        <v>228.36</v>
      </c>
      <c r="R83" s="54">
        <f>_xll.EQNXTDZ($A$1,$B83,R$5,$B$1)</f>
        <v>0</v>
      </c>
      <c r="S83" s="54">
        <f>_xll.EQNXTDZ($A$1,$B83,S$5,$B$1)</f>
        <v>218.18</v>
      </c>
      <c r="T83" s="54">
        <f>_xll.EQNXTDZ($A$1,$B83,T$5,$B$1)</f>
        <v>0</v>
      </c>
      <c r="U83" s="54">
        <f>_xll.EQNXTDZ($A$1,$B83,U$5,$B$1)</f>
        <v>202.19</v>
      </c>
      <c r="V83" s="54">
        <f>_xll.EQNXTDZ($A$1,$B83,V$5,$B$1)</f>
        <v>0</v>
      </c>
      <c r="W83" s="54">
        <f>_xll.EQNXTDZ($A$1,$B83,W$5,$B$1)</f>
        <v>187.12</v>
      </c>
      <c r="X83" s="54">
        <f>_xll.EQNXTDZ($A$1,$B83,X$5,$B$1)</f>
        <v>0</v>
      </c>
      <c r="Y83" s="54">
        <f>_xll.EQNXTDZ($A$1,$B83,Y$5,$B$1)</f>
        <v>91.3</v>
      </c>
      <c r="Z83" s="54">
        <f>_xll.EQNXTDZ($A$1,$B83,Z$5,$B$1)</f>
        <v>0</v>
      </c>
      <c r="AA83" s="54">
        <f>_xll.EQNXTDZ($A$1,$B83,AA$5,$B$1)</f>
        <v>114.7</v>
      </c>
      <c r="AB83" s="54">
        <f>_xll.EQNXTDZ($A$1,$B83,AB$5,$B$1)</f>
        <v>0</v>
      </c>
      <c r="AC83" s="54">
        <f>_xll.EQNXTDZ($A$1,$B83,AC$5,$B$1)</f>
        <v>138.69999999999999</v>
      </c>
      <c r="AD83" s="54">
        <f>_xll.EQNXTDZ($A$1,$B83,AD$5,$B$1)</f>
        <v>0</v>
      </c>
      <c r="AE83" s="54">
        <f>_xll.EQNXTDZ($A$1,$B83,AE$5,$B$1)</f>
        <v>207.3</v>
      </c>
      <c r="AF83" s="54">
        <f>_xll.EQNXTDZ($A$1,$B83,AF$5,$B$1)</f>
        <v>0</v>
      </c>
      <c r="AG83" s="54">
        <f>_xll.EQNXTDZ($A$1,$B83,AG$5,$B$1)</f>
        <v>290.10000000000002</v>
      </c>
      <c r="AH83" s="54">
        <f>_xll.EQNXTDZ($A$1,$B83,AH$5,$B$1)</f>
        <v>0</v>
      </c>
      <c r="AI83" s="54">
        <f>_xll.EQNXTDZ($A$1,$B83,AI$5,$B$1)</f>
        <v>334.6</v>
      </c>
      <c r="AJ83" s="54">
        <f>_xll.EQNXTDZ($A$1,$B83,AJ$5,$B$1)</f>
        <v>0</v>
      </c>
      <c r="AK83" s="54">
        <f>_xll.EQNXTDZ($A$1,$B83,AK$5,$B$1)</f>
        <v>403.4</v>
      </c>
      <c r="AL83" s="54">
        <f>_xll.EQNXTDZ($A$1,$B83,AL$5,$B$1)</f>
        <v>0</v>
      </c>
      <c r="AM83" s="54">
        <f>_xll.EQNXTDZ($A$1,$B83,AM$5,$B$1)</f>
        <v>427.7</v>
      </c>
      <c r="AN83" s="54">
        <f>_xll.EQNXTDZ($A$1,$B83,AN$5,$B$1)</f>
        <v>0</v>
      </c>
      <c r="AO83" s="54">
        <f>_xll.EQNXTDZ($A$1,$B83,AO$5,$B$1)</f>
        <v>354.6</v>
      </c>
      <c r="AP83" s="54">
        <f>_xll.EQNXTDZ($A$1,$B83,AP$5,$B$1)</f>
        <v>0</v>
      </c>
      <c r="AQ83" s="54">
        <f>_xll.EQNXTDZ($A$1,$B83,AQ$5,$B$1)</f>
        <v>308.89999999999998</v>
      </c>
      <c r="AR83" s="54">
        <f>_xll.EQNXTDZ($A$1,$B83,AR$5,$B$1)</f>
        <v>0</v>
      </c>
      <c r="AS83" s="54">
        <f>_xll.EQNXTDZ($A$1,$B83,AS$5,$B$1)</f>
        <v>261.10000000000002</v>
      </c>
      <c r="AT83" s="54">
        <f>_xll.EQNXTDZ($A$1,$B83,AT$5,$B$1)</f>
        <v>0</v>
      </c>
      <c r="AU83" s="54">
        <f>_xll.EQNXTDZ($A$1,$B83,AU$5,$B$1)</f>
        <v>247</v>
      </c>
      <c r="AV83" s="54">
        <f>_xll.EQNXTDZ($A$1,$B83,AV$5,$B$1)</f>
        <v>0</v>
      </c>
      <c r="AW83" s="54">
        <f>_xll.EQNXTDZ($A$1,$B83,AW$5,$B$1)</f>
        <v>274.5</v>
      </c>
      <c r="AX83" s="54">
        <f>_xll.EQNXTDZ($A$1,$B83,AX$5,$B$1)</f>
        <v>0</v>
      </c>
      <c r="AY83" s="54">
        <f>_xll.EQNXTDZ($A$1,$B83,AY$5,$B$1)</f>
        <v>373.9</v>
      </c>
      <c r="AZ83" s="54">
        <f>_xll.EQNXTDZ($A$1,$B83,AZ$5,$B$1)</f>
        <v>0</v>
      </c>
      <c r="BA83" s="54">
        <f>_xll.EQNXTDZ($A$1,$B83,BA$5,$B$1)</f>
        <v>323.5</v>
      </c>
      <c r="BB83" s="54">
        <f>_xll.EQNXTDZ($A$1,$B83,BB$5,$B$1)</f>
        <v>0</v>
      </c>
      <c r="BC83" s="54">
        <f>_xll.EQNXTDZ($A$1,$B83,BC$5,$B$1)</f>
        <v>316.7</v>
      </c>
      <c r="BD83" s="54">
        <f>_xll.EQNXTDZ($A$1,$B83,BD$5,$B$1)</f>
        <v>0</v>
      </c>
      <c r="BE83" s="54">
        <f>_xll.EQNXTDZ($A$1,$B83,BE$5,$B$1)</f>
        <v>283.39999999999998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4.59</v>
      </c>
      <c r="D84" s="54">
        <f>_xll.EQNXTDZ($A$1,$B84,D$5,$B$1)</f>
        <v>0</v>
      </c>
      <c r="E84" s="54">
        <f>_xll.EQNXTDZ($A$1,$B84,E$5,$B$1)</f>
        <v>0</v>
      </c>
      <c r="F84" s="54">
        <f>_xll.EQNXTDZ($A$1,$B84,F$5,$B$1)</f>
        <v>0</v>
      </c>
      <c r="G84" s="54">
        <f>_xll.EQNXTDZ($A$1,$B84,G$5,$B$1)</f>
        <v>5.27</v>
      </c>
      <c r="H84" s="54">
        <f>_xll.EQNXTDZ($A$1,$B84,H$5,$B$1)</f>
        <v>0</v>
      </c>
      <c r="I84" s="54">
        <f>_xll.EQNXTDZ($A$1,$B84,I$5,$B$1)</f>
        <v>3.47</v>
      </c>
      <c r="J84" s="54">
        <f>_xll.EQNXTDZ($A$1,$B84,J$5,$B$1)</f>
        <v>0</v>
      </c>
      <c r="K84" s="54">
        <f>_xll.EQNXTDZ($A$1,$B84,K$5,$B$1)</f>
        <v>7.43</v>
      </c>
      <c r="L84" s="54">
        <f>_xll.EQNXTDZ($A$1,$B84,L$5,$B$1)</f>
        <v>0</v>
      </c>
      <c r="M84" s="54">
        <f>_xll.EQNXTDZ($A$1,$B84,M$5,$B$1)</f>
        <v>6</v>
      </c>
      <c r="N84" s="54">
        <f>_xll.EQNXTDZ($A$1,$B84,N$5,$B$1)</f>
        <v>0</v>
      </c>
      <c r="O84" s="54">
        <f>_xll.EQNXTDZ($A$1,$B84,O$5,$B$1)</f>
        <v>8.61</v>
      </c>
      <c r="P84" s="54">
        <f>_xll.EQNXTDZ($A$1,$B84,P$5,$B$1)</f>
        <v>0</v>
      </c>
      <c r="Q84" s="54">
        <f>_xll.EQNXTDZ($A$1,$B84,Q$5,$B$1)</f>
        <v>4.16</v>
      </c>
      <c r="R84" s="54">
        <f>_xll.EQNXTDZ($A$1,$B84,R$5,$B$1)</f>
        <v>0</v>
      </c>
      <c r="S84" s="54">
        <f>_xll.EQNXTDZ($A$1,$B84,S$5,$B$1)</f>
        <v>8.65</v>
      </c>
      <c r="T84" s="54">
        <f>_xll.EQNXTDZ($A$1,$B84,T$5,$B$1)</f>
        <v>0</v>
      </c>
      <c r="U84" s="54">
        <f>_xll.EQNXTDZ($A$1,$B84,U$5,$B$1)</f>
        <v>43</v>
      </c>
      <c r="V84" s="54">
        <f>_xll.EQNXTDZ($A$1,$B84,V$5,$B$1)</f>
        <v>0</v>
      </c>
      <c r="W84" s="54">
        <f>_xll.EQNXTDZ($A$1,$B84,W$5,$B$1)</f>
        <v>55.32</v>
      </c>
      <c r="X84" s="54">
        <f>_xll.EQNXTDZ($A$1,$B84,X$5,$B$1)</f>
        <v>0</v>
      </c>
      <c r="Y84" s="54">
        <f>_xll.EQNXTDZ($A$1,$B84,Y$5,$B$1)</f>
        <v>38.700000000000003</v>
      </c>
      <c r="Z84" s="54">
        <f>_xll.EQNXTDZ($A$1,$B84,Z$5,$B$1)</f>
        <v>0</v>
      </c>
      <c r="AA84" s="54">
        <f>_xll.EQNXTDZ($A$1,$B84,AA$5,$B$1)</f>
        <v>46.4</v>
      </c>
      <c r="AB84" s="54">
        <f>_xll.EQNXTDZ($A$1,$B84,AB$5,$B$1)</f>
        <v>0</v>
      </c>
      <c r="AC84" s="54">
        <f>_xll.EQNXTDZ($A$1,$B84,AC$5,$B$1)</f>
        <v>72.599999999999994</v>
      </c>
      <c r="AD84" s="54">
        <f>_xll.EQNXTDZ($A$1,$B84,AD$5,$B$1)</f>
        <v>0</v>
      </c>
      <c r="AE84" s="54">
        <f>_xll.EQNXTDZ($A$1,$B84,AE$5,$B$1)</f>
        <v>67.599999999999994</v>
      </c>
      <c r="AF84" s="54">
        <f>_xll.EQNXTDZ($A$1,$B84,AF$5,$B$1)</f>
        <v>0</v>
      </c>
      <c r="AG84" s="54">
        <f>_xll.EQNXTDZ($A$1,$B84,AG$5,$B$1)</f>
        <v>73.8</v>
      </c>
      <c r="AH84" s="54">
        <f>_xll.EQNXTDZ($A$1,$B84,AH$5,$B$1)</f>
        <v>0</v>
      </c>
      <c r="AI84" s="54">
        <f>_xll.EQNXTDZ($A$1,$B84,AI$5,$B$1)</f>
        <v>60.2</v>
      </c>
      <c r="AJ84" s="54">
        <f>_xll.EQNXTDZ($A$1,$B84,AJ$5,$B$1)</f>
        <v>0</v>
      </c>
      <c r="AK84" s="54">
        <f>_xll.EQNXTDZ($A$1,$B84,AK$5,$B$1)</f>
        <v>58.4</v>
      </c>
      <c r="AL84" s="54">
        <f>_xll.EQNXTDZ($A$1,$B84,AL$5,$B$1)</f>
        <v>0</v>
      </c>
      <c r="AM84" s="54">
        <f>_xll.EQNXTDZ($A$1,$B84,AM$5,$B$1)</f>
        <v>62.7</v>
      </c>
      <c r="AN84" s="54">
        <f>_xll.EQNXTDZ($A$1,$B84,AN$5,$B$1)</f>
        <v>0</v>
      </c>
      <c r="AO84" s="54">
        <f>_xll.EQNXTDZ($A$1,$B84,AO$5,$B$1)</f>
        <v>61.9</v>
      </c>
      <c r="AP84" s="54">
        <f>_xll.EQNXTDZ($A$1,$B84,AP$5,$B$1)</f>
        <v>0</v>
      </c>
      <c r="AQ84" s="54">
        <f>_xll.EQNXTDZ($A$1,$B84,AQ$5,$B$1)</f>
        <v>63.2</v>
      </c>
      <c r="AR84" s="54">
        <f>_xll.EQNXTDZ($A$1,$B84,AR$5,$B$1)</f>
        <v>0</v>
      </c>
      <c r="AS84" s="54">
        <f>_xll.EQNXTDZ($A$1,$B84,AS$5,$B$1)</f>
        <v>44.1</v>
      </c>
      <c r="AT84" s="54">
        <f>_xll.EQNXTDZ($A$1,$B84,AT$5,$B$1)</f>
        <v>0</v>
      </c>
      <c r="AU84" s="54">
        <f>_xll.EQNXTDZ($A$1,$B84,AU$5,$B$1)</f>
        <v>60.1</v>
      </c>
      <c r="AV84" s="54">
        <f>_xll.EQNXTDZ($A$1,$B84,AV$5,$B$1)</f>
        <v>0</v>
      </c>
      <c r="AW84" s="54">
        <f>_xll.EQNXTDZ($A$1,$B84,AW$5,$B$1)</f>
        <v>54.5</v>
      </c>
      <c r="AX84" s="54">
        <f>_xll.EQNXTDZ($A$1,$B84,AX$5,$B$1)</f>
        <v>0</v>
      </c>
      <c r="AY84" s="54">
        <f>_xll.EQNXTDZ($A$1,$B84,AY$5,$B$1)</f>
        <v>75.2</v>
      </c>
      <c r="AZ84" s="54">
        <f>_xll.EQNXTDZ($A$1,$B84,AZ$5,$B$1)</f>
        <v>0</v>
      </c>
      <c r="BA84" s="54">
        <f>_xll.EQNXTDZ($A$1,$B84,BA$5,$B$1)</f>
        <v>81.8</v>
      </c>
      <c r="BB84" s="54">
        <f>_xll.EQNXTDZ($A$1,$B84,BB$5,$B$1)</f>
        <v>0</v>
      </c>
      <c r="BC84" s="54">
        <f>_xll.EQNXTDZ($A$1,$B84,BC$5,$B$1)</f>
        <v>100.2</v>
      </c>
      <c r="BD84" s="54">
        <f>_xll.EQNXTDZ($A$1,$B84,BD$5,$B$1)</f>
        <v>0</v>
      </c>
      <c r="BE84" s="54">
        <f>_xll.EQNXTDZ($A$1,$B84,BE$5,$B$1)</f>
        <v>131.30000000000001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24.81</v>
      </c>
      <c r="D85" s="54">
        <f>_xll.EQNXTDZ($A$1,$B85,D$5,$B$1)</f>
        <v>0</v>
      </c>
      <c r="E85" s="54">
        <f>_xll.EQNXTDZ($A$1,$B85,E$5,$B$1)</f>
        <v>0</v>
      </c>
      <c r="F85" s="54">
        <f>_xll.EQNXTDZ($A$1,$B85,F$5,$B$1)</f>
        <v>0</v>
      </c>
      <c r="G85" s="54">
        <f>_xll.EQNXTDZ($A$1,$B85,G$5,$B$1)</f>
        <v>19.18</v>
      </c>
      <c r="H85" s="54">
        <f>_xll.EQNXTDZ($A$1,$B85,H$5,$B$1)</f>
        <v>0</v>
      </c>
      <c r="I85" s="54">
        <f>_xll.EQNXTDZ($A$1,$B85,I$5,$B$1)</f>
        <v>23.28</v>
      </c>
      <c r="J85" s="54">
        <f>_xll.EQNXTDZ($A$1,$B85,J$5,$B$1)</f>
        <v>0</v>
      </c>
      <c r="K85" s="54">
        <f>_xll.EQNXTDZ($A$1,$B85,K$5,$B$1)</f>
        <v>30.62</v>
      </c>
      <c r="L85" s="54">
        <f>_xll.EQNXTDZ($A$1,$B85,L$5,$B$1)</f>
        <v>0</v>
      </c>
      <c r="M85" s="54">
        <f>_xll.EQNXTDZ($A$1,$B85,M$5,$B$1)</f>
        <v>32.54</v>
      </c>
      <c r="N85" s="54">
        <f>_xll.EQNXTDZ($A$1,$B85,N$5,$B$1)</f>
        <v>0</v>
      </c>
      <c r="O85" s="54">
        <f>_xll.EQNXTDZ($A$1,$B85,O$5,$B$1)</f>
        <v>33.880000000000003</v>
      </c>
      <c r="P85" s="54">
        <f>_xll.EQNXTDZ($A$1,$B85,P$5,$B$1)</f>
        <v>0</v>
      </c>
      <c r="Q85" s="54">
        <f>_xll.EQNXTDZ($A$1,$B85,Q$5,$B$1)</f>
        <v>35.409999999999997</v>
      </c>
      <c r="R85" s="54">
        <f>_xll.EQNXTDZ($A$1,$B85,R$5,$B$1)</f>
        <v>0</v>
      </c>
      <c r="S85" s="54">
        <f>_xll.EQNXTDZ($A$1,$B85,S$5,$B$1)</f>
        <v>37.950000000000003</v>
      </c>
      <c r="T85" s="54">
        <f>_xll.EQNXTDZ($A$1,$B85,T$5,$B$1)</f>
        <v>0</v>
      </c>
      <c r="U85" s="54">
        <f>_xll.EQNXTDZ($A$1,$B85,U$5,$B$1)</f>
        <v>1.83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3</v>
      </c>
      <c r="Z85" s="54">
        <f>_xll.EQNXTDZ($A$1,$B85,Z$5,$B$1)</f>
        <v>0</v>
      </c>
      <c r="AA85" s="54">
        <f>_xll.EQNXTDZ($A$1,$B85,AA$5,$B$1)</f>
        <v>2.5</v>
      </c>
      <c r="AB85" s="54">
        <f>_xll.EQNXTDZ($A$1,$B85,AB$5,$B$1)</f>
        <v>0</v>
      </c>
      <c r="AC85" s="54">
        <f>_xll.EQNXTDZ($A$1,$B85,AC$5,$B$1)</f>
        <v>1.2</v>
      </c>
      <c r="AD85" s="54">
        <f>_xll.EQNXTDZ($A$1,$B85,AD$5,$B$1)</f>
        <v>0</v>
      </c>
      <c r="AE85" s="54">
        <f>_xll.EQNXTDZ($A$1,$B85,AE$5,$B$1)</f>
        <v>3.9</v>
      </c>
      <c r="AF85" s="54">
        <f>_xll.EQNXTDZ($A$1,$B85,AF$5,$B$1)</f>
        <v>0</v>
      </c>
      <c r="AG85" s="54">
        <f>_xll.EQNXTDZ($A$1,$B85,AG$5,$B$1)</f>
        <v>2.1</v>
      </c>
      <c r="AH85" s="54">
        <f>_xll.EQNXTDZ($A$1,$B85,AH$5,$B$1)</f>
        <v>0</v>
      </c>
      <c r="AI85" s="54">
        <f>_xll.EQNXTDZ($A$1,$B85,AI$5,$B$1)</f>
        <v>1.9</v>
      </c>
      <c r="AJ85" s="54">
        <f>_xll.EQNXTDZ($A$1,$B85,AJ$5,$B$1)</f>
        <v>0</v>
      </c>
      <c r="AK85" s="54">
        <f>_xll.EQNXTDZ($A$1,$B85,AK$5,$B$1)</f>
        <v>1.9</v>
      </c>
      <c r="AL85" s="54">
        <f>_xll.EQNXTDZ($A$1,$B85,AL$5,$B$1)</f>
        <v>0</v>
      </c>
      <c r="AM85" s="54">
        <f>_xll.EQNXTDZ($A$1,$B85,AM$5,$B$1)</f>
        <v>2</v>
      </c>
      <c r="AN85" s="54">
        <f>_xll.EQNXTDZ($A$1,$B85,AN$5,$B$1)</f>
        <v>0</v>
      </c>
      <c r="AO85" s="54">
        <f>_xll.EQNXTDZ($A$1,$B85,AO$5,$B$1)</f>
        <v>2.7</v>
      </c>
      <c r="AP85" s="54">
        <f>_xll.EQNXTDZ($A$1,$B85,AP$5,$B$1)</f>
        <v>0</v>
      </c>
      <c r="AQ85" s="54">
        <f>_xll.EQNXTDZ($A$1,$B85,AQ$5,$B$1)</f>
        <v>3</v>
      </c>
      <c r="AR85" s="54">
        <f>_xll.EQNXTDZ($A$1,$B85,AR$5,$B$1)</f>
        <v>0</v>
      </c>
      <c r="AS85" s="54">
        <f>_xll.EQNXTDZ($A$1,$B85,AS$5,$B$1)</f>
        <v>3.9</v>
      </c>
      <c r="AT85" s="54">
        <f>_xll.EQNXTDZ($A$1,$B85,AT$5,$B$1)</f>
        <v>0</v>
      </c>
      <c r="AU85" s="54">
        <f>_xll.EQNXTDZ($A$1,$B85,AU$5,$B$1)</f>
        <v>2.9</v>
      </c>
      <c r="AV85" s="54">
        <f>_xll.EQNXTDZ($A$1,$B85,AV$5,$B$1)</f>
        <v>0</v>
      </c>
      <c r="AW85" s="54">
        <f>_xll.EQNXTDZ($A$1,$B85,AW$5,$B$1)</f>
        <v>2.8</v>
      </c>
      <c r="AX85" s="54">
        <f>_xll.EQNXTDZ($A$1,$B85,AX$5,$B$1)</f>
        <v>0</v>
      </c>
      <c r="AY85" s="54">
        <f>_xll.EQNXTDZ($A$1,$B85,AY$5,$B$1)</f>
        <v>3.3</v>
      </c>
      <c r="AZ85" s="54">
        <f>_xll.EQNXTDZ($A$1,$B85,AZ$5,$B$1)</f>
        <v>0</v>
      </c>
      <c r="BA85" s="54">
        <f>_xll.EQNXTDZ($A$1,$B85,BA$5,$B$1)</f>
        <v>5.3</v>
      </c>
      <c r="BB85" s="54">
        <f>_xll.EQNXTDZ($A$1,$B85,BB$5,$B$1)</f>
        <v>0</v>
      </c>
      <c r="BC85" s="54">
        <f>_xll.EQNXTDZ($A$1,$B85,BC$5,$B$1)</f>
        <v>4.3</v>
      </c>
      <c r="BD85" s="54">
        <f>_xll.EQNXTDZ($A$1,$B85,BD$5,$B$1)</f>
        <v>0</v>
      </c>
      <c r="BE85" s="54">
        <f>_xll.EQNXTDZ($A$1,$B85,BE$5,$B$1)</f>
        <v>4.9000000000000004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478.55</v>
      </c>
      <c r="D86" s="54">
        <f>_xll.EQNXTDZ($A$1,$B86,D$5,$B$1)</f>
        <v>0</v>
      </c>
      <c r="E86" s="54">
        <f>_xll.EQNXTDZ($A$1,$B86,E$5,$B$1)</f>
        <v>0</v>
      </c>
      <c r="F86" s="54">
        <f>_xll.EQNXTDZ($A$1,$B86,F$5,$B$1)</f>
        <v>0</v>
      </c>
      <c r="G86" s="54">
        <f>_xll.EQNXTDZ($A$1,$B86,G$5,$B$1)</f>
        <v>473.17</v>
      </c>
      <c r="H86" s="54">
        <f>_xll.EQNXTDZ($A$1,$B86,H$5,$B$1)</f>
        <v>0</v>
      </c>
      <c r="I86" s="54">
        <f>_xll.EQNXTDZ($A$1,$B86,I$5,$B$1)</f>
        <v>496.84</v>
      </c>
      <c r="J86" s="54">
        <f>_xll.EQNXTDZ($A$1,$B86,J$5,$B$1)</f>
        <v>0</v>
      </c>
      <c r="K86" s="54">
        <f>_xll.EQNXTDZ($A$1,$B86,K$5,$B$1)</f>
        <v>542.84</v>
      </c>
      <c r="L86" s="54">
        <f>_xll.EQNXTDZ($A$1,$B86,L$5,$B$1)</f>
        <v>0</v>
      </c>
      <c r="M86" s="54">
        <f>_xll.EQNXTDZ($A$1,$B86,M$5,$B$1)</f>
        <v>598.1</v>
      </c>
      <c r="N86" s="54">
        <f>_xll.EQNXTDZ($A$1,$B86,N$5,$B$1)</f>
        <v>0</v>
      </c>
      <c r="O86" s="54">
        <f>_xll.EQNXTDZ($A$1,$B86,O$5,$B$1)</f>
        <v>557.77</v>
      </c>
      <c r="P86" s="54">
        <f>_xll.EQNXTDZ($A$1,$B86,P$5,$B$1)</f>
        <v>0</v>
      </c>
      <c r="Q86" s="54">
        <f>_xll.EQNXTDZ($A$1,$B86,Q$5,$B$1)</f>
        <v>628.94000000000005</v>
      </c>
      <c r="R86" s="54">
        <f>_xll.EQNXTDZ($A$1,$B86,R$5,$B$1)</f>
        <v>0</v>
      </c>
      <c r="S86" s="54">
        <f>_xll.EQNXTDZ($A$1,$B86,S$5,$B$1)</f>
        <v>582.03</v>
      </c>
      <c r="T86" s="54">
        <f>_xll.EQNXTDZ($A$1,$B86,T$5,$B$1)</f>
        <v>0</v>
      </c>
      <c r="U86" s="54">
        <f>_xll.EQNXTDZ($A$1,$B86,U$5,$B$1)</f>
        <v>621.41999999999996</v>
      </c>
      <c r="V86" s="54">
        <f>_xll.EQNXTDZ($A$1,$B86,V$5,$B$1)</f>
        <v>0</v>
      </c>
      <c r="W86" s="54">
        <f>_xll.EQNXTDZ($A$1,$B86,W$5,$B$1)</f>
        <v>684.36</v>
      </c>
      <c r="X86" s="54">
        <f>_xll.EQNXTDZ($A$1,$B86,X$5,$B$1)</f>
        <v>0</v>
      </c>
      <c r="Y86" s="54">
        <f>_xll.EQNXTDZ($A$1,$B86,Y$5,$B$1)</f>
        <v>635.6</v>
      </c>
      <c r="Z86" s="54">
        <f>_xll.EQNXTDZ($A$1,$B86,Z$5,$B$1)</f>
        <v>0</v>
      </c>
      <c r="AA86" s="54">
        <f>_xll.EQNXTDZ($A$1,$B86,AA$5,$B$1)</f>
        <v>655.20000000000005</v>
      </c>
      <c r="AB86" s="54">
        <f>_xll.EQNXTDZ($A$1,$B86,AB$5,$B$1)</f>
        <v>0</v>
      </c>
      <c r="AC86" s="54">
        <f>_xll.EQNXTDZ($A$1,$B86,AC$5,$B$1)</f>
        <v>806.2</v>
      </c>
      <c r="AD86" s="54">
        <f>_xll.EQNXTDZ($A$1,$B86,AD$5,$B$1)</f>
        <v>0</v>
      </c>
      <c r="AE86" s="54">
        <f>_xll.EQNXTDZ($A$1,$B86,AE$5,$B$1)</f>
        <v>857.3</v>
      </c>
      <c r="AF86" s="54">
        <f>_xll.EQNXTDZ($A$1,$B86,AF$5,$B$1)</f>
        <v>0</v>
      </c>
      <c r="AG86" s="54">
        <f>_xll.EQNXTDZ($A$1,$B86,AG$5,$B$1)</f>
        <v>987</v>
      </c>
      <c r="AH86" s="54">
        <f>_xll.EQNXTDZ($A$1,$B86,AH$5,$B$1)</f>
        <v>0</v>
      </c>
      <c r="AI86" s="54">
        <f>_xll.EQNXTDZ($A$1,$B86,AI$5,$B$1)</f>
        <v>975.1</v>
      </c>
      <c r="AJ86" s="54">
        <f>_xll.EQNXTDZ($A$1,$B86,AJ$5,$B$1)</f>
        <v>0</v>
      </c>
      <c r="AK86" s="54">
        <f>_xll.EQNXTDZ($A$1,$B86,AK$5,$B$1)</f>
        <v>1091.3</v>
      </c>
      <c r="AL86" s="54">
        <f>_xll.EQNXTDZ($A$1,$B86,AL$5,$B$1)</f>
        <v>0</v>
      </c>
      <c r="AM86" s="54">
        <f>_xll.EQNXTDZ($A$1,$B86,AM$5,$B$1)</f>
        <v>1118.2</v>
      </c>
      <c r="AN86" s="54">
        <f>_xll.EQNXTDZ($A$1,$B86,AN$5,$B$1)</f>
        <v>0</v>
      </c>
      <c r="AO86" s="54">
        <f>_xll.EQNXTDZ($A$1,$B86,AO$5,$B$1)</f>
        <v>1120.3</v>
      </c>
      <c r="AP86" s="54">
        <f>_xll.EQNXTDZ($A$1,$B86,AP$5,$B$1)</f>
        <v>0</v>
      </c>
      <c r="AQ86" s="54">
        <f>_xll.EQNXTDZ($A$1,$B86,AQ$5,$B$1)</f>
        <v>1171.4000000000001</v>
      </c>
      <c r="AR86" s="54">
        <f>_xll.EQNXTDZ($A$1,$B86,AR$5,$B$1)</f>
        <v>0</v>
      </c>
      <c r="AS86" s="54">
        <f>_xll.EQNXTDZ($A$1,$B86,AS$5,$B$1)</f>
        <v>1273.9000000000001</v>
      </c>
      <c r="AT86" s="54">
        <f>_xll.EQNXTDZ($A$1,$B86,AT$5,$B$1)</f>
        <v>0</v>
      </c>
      <c r="AU86" s="54">
        <f>_xll.EQNXTDZ($A$1,$B86,AU$5,$B$1)</f>
        <v>1419.2</v>
      </c>
      <c r="AV86" s="54">
        <f>_xll.EQNXTDZ($A$1,$B86,AV$5,$B$1)</f>
        <v>0</v>
      </c>
      <c r="AW86" s="54">
        <f>_xll.EQNXTDZ($A$1,$B86,AW$5,$B$1)</f>
        <v>1466.1</v>
      </c>
      <c r="AX86" s="54">
        <f>_xll.EQNXTDZ($A$1,$B86,AX$5,$B$1)</f>
        <v>0</v>
      </c>
      <c r="AY86" s="54">
        <f>_xll.EQNXTDZ($A$1,$B86,AY$5,$B$1)</f>
        <v>1614.5</v>
      </c>
      <c r="AZ86" s="54">
        <f>_xll.EQNXTDZ($A$1,$B86,AZ$5,$B$1)</f>
        <v>0</v>
      </c>
      <c r="BA86" s="54">
        <f>_xll.EQNXTDZ($A$1,$B86,BA$5,$B$1)</f>
        <v>1703.7</v>
      </c>
      <c r="BB86" s="54">
        <f>_xll.EQNXTDZ($A$1,$B86,BB$5,$B$1)</f>
        <v>0</v>
      </c>
      <c r="BC86" s="54">
        <f>_xll.EQNXTDZ($A$1,$B86,BC$5,$B$1)</f>
        <v>1848</v>
      </c>
      <c r="BD86" s="54">
        <f>_xll.EQNXTDZ($A$1,$B86,BD$5,$B$1)</f>
        <v>0</v>
      </c>
      <c r="BE86" s="54">
        <f>_xll.EQNXTDZ($A$1,$B86,BE$5,$B$1)</f>
        <v>2074.9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193.63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55.74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31.95</v>
      </c>
      <c r="H88" s="54">
        <f>_xll.EQNXTDZ($A$1,$B88,H$5,$B$1)</f>
        <v>0</v>
      </c>
      <c r="I88" s="54">
        <f>_xll.EQNXTDZ($A$1,$B88,I$5,$B$1)</f>
        <v>3.18</v>
      </c>
      <c r="J88" s="54">
        <f>_xll.EQNXTDZ($A$1,$B88,J$5,$B$1)</f>
        <v>0</v>
      </c>
      <c r="K88" s="54">
        <f>_xll.EQNXTDZ($A$1,$B88,K$5,$B$1)</f>
        <v>17.09</v>
      </c>
      <c r="L88" s="54">
        <f>_xll.EQNXTDZ($A$1,$B88,L$5,$B$1)</f>
        <v>0</v>
      </c>
      <c r="M88" s="54">
        <f>_xll.EQNXTDZ($A$1,$B88,M$5,$B$1)</f>
        <v>24.38</v>
      </c>
      <c r="N88" s="54">
        <f>_xll.EQNXTDZ($A$1,$B88,N$5,$B$1)</f>
        <v>0</v>
      </c>
      <c r="O88" s="54">
        <f>_xll.EQNXTDZ($A$1,$B88,O$5,$B$1)</f>
        <v>7.04</v>
      </c>
      <c r="P88" s="54">
        <f>_xll.EQNXTDZ($A$1,$B88,P$5,$B$1)</f>
        <v>0</v>
      </c>
      <c r="Q88" s="54">
        <f>_xll.EQNXTDZ($A$1,$B88,Q$5,$B$1)</f>
        <v>1.3</v>
      </c>
      <c r="R88" s="54">
        <f>_xll.EQNXTDZ($A$1,$B88,R$5,$B$1)</f>
        <v>0</v>
      </c>
      <c r="S88" s="54">
        <f>_xll.EQNXTDZ($A$1,$B88,S$5,$B$1)</f>
        <v>2.69</v>
      </c>
      <c r="T88" s="54">
        <f>_xll.EQNXTDZ($A$1,$B88,T$5,$B$1)</f>
        <v>0</v>
      </c>
      <c r="U88" s="54">
        <f>_xll.EQNXTDZ($A$1,$B88,U$5,$B$1)</f>
        <v>6.99</v>
      </c>
      <c r="V88" s="54">
        <f>_xll.EQNXTDZ($A$1,$B88,V$5,$B$1)</f>
        <v>0</v>
      </c>
      <c r="W88" s="54">
        <f>_xll.EQNXTDZ($A$1,$B88,W$5,$B$1)</f>
        <v>106.16</v>
      </c>
      <c r="X88" s="54">
        <f>_xll.EQNXTDZ($A$1,$B88,X$5,$B$1)</f>
        <v>0</v>
      </c>
      <c r="Y88" s="54">
        <f>_xll.EQNXTDZ($A$1,$B88,Y$5,$B$1)</f>
        <v>12.6</v>
      </c>
      <c r="Z88" s="54">
        <f>_xll.EQNXTDZ($A$1,$B88,Z$5,$B$1)</f>
        <v>0</v>
      </c>
      <c r="AA88" s="54">
        <f>_xll.EQNXTDZ($A$1,$B88,AA$5,$B$1)</f>
        <v>26.7</v>
      </c>
      <c r="AB88" s="54">
        <f>_xll.EQNXTDZ($A$1,$B88,AB$5,$B$1)</f>
        <v>0</v>
      </c>
      <c r="AC88" s="54">
        <f>_xll.EQNXTDZ($A$1,$B88,AC$5,$B$1)</f>
        <v>43.4</v>
      </c>
      <c r="AD88" s="54">
        <f>_xll.EQNXTDZ($A$1,$B88,AD$5,$B$1)</f>
        <v>0</v>
      </c>
      <c r="AE88" s="54">
        <f>_xll.EQNXTDZ($A$1,$B88,AE$5,$B$1)</f>
        <v>48.1</v>
      </c>
      <c r="AF88" s="54">
        <f>_xll.EQNXTDZ($A$1,$B88,AF$5,$B$1)</f>
        <v>0</v>
      </c>
      <c r="AG88" s="54">
        <f>_xll.EQNXTDZ($A$1,$B88,AG$5,$B$1)</f>
        <v>60</v>
      </c>
      <c r="AH88" s="54">
        <f>_xll.EQNXTDZ($A$1,$B88,AH$5,$B$1)</f>
        <v>0</v>
      </c>
      <c r="AI88" s="54">
        <f>_xll.EQNXTDZ($A$1,$B88,AI$5,$B$1)</f>
        <v>60.2</v>
      </c>
      <c r="AJ88" s="54">
        <f>_xll.EQNXTDZ($A$1,$B88,AJ$5,$B$1)</f>
        <v>0</v>
      </c>
      <c r="AK88" s="54">
        <f>_xll.EQNXTDZ($A$1,$B88,AK$5,$B$1)</f>
        <v>60</v>
      </c>
      <c r="AL88" s="54">
        <f>_xll.EQNXTDZ($A$1,$B88,AL$5,$B$1)</f>
        <v>0</v>
      </c>
      <c r="AM88" s="54">
        <f>_xll.EQNXTDZ($A$1,$B88,AM$5,$B$1)</f>
        <v>67.7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29.2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106.31</v>
      </c>
      <c r="H89" s="54">
        <f>_xll.EQNXTDZ($A$1,$B89,H$5,$B$1)</f>
        <v>0</v>
      </c>
      <c r="I89" s="54">
        <f>_xll.EQNXTDZ($A$1,$B89,I$5,$B$1)</f>
        <v>129.77000000000001</v>
      </c>
      <c r="J89" s="54">
        <f>_xll.EQNXTDZ($A$1,$B89,J$5,$B$1)</f>
        <v>0</v>
      </c>
      <c r="K89" s="54">
        <f>_xll.EQNXTDZ($A$1,$B89,K$5,$B$1)</f>
        <v>137.5</v>
      </c>
      <c r="L89" s="54">
        <f>_xll.EQNXTDZ($A$1,$B89,L$5,$B$1)</f>
        <v>0</v>
      </c>
      <c r="M89" s="54">
        <f>_xll.EQNXTDZ($A$1,$B89,M$5,$B$1)</f>
        <v>153.72</v>
      </c>
      <c r="N89" s="54">
        <f>_xll.EQNXTDZ($A$1,$B89,N$5,$B$1)</f>
        <v>0</v>
      </c>
      <c r="O89" s="54">
        <f>_xll.EQNXTDZ($A$1,$B89,O$5,$B$1)</f>
        <v>137.52000000000001</v>
      </c>
      <c r="P89" s="54">
        <f>_xll.EQNXTDZ($A$1,$B89,P$5,$B$1)</f>
        <v>0</v>
      </c>
      <c r="Q89" s="54">
        <f>_xll.EQNXTDZ($A$1,$B89,Q$5,$B$1)</f>
        <v>154.56</v>
      </c>
      <c r="R89" s="54">
        <f>_xll.EQNXTDZ($A$1,$B89,R$5,$B$1)</f>
        <v>0</v>
      </c>
      <c r="S89" s="54">
        <f>_xll.EQNXTDZ($A$1,$B89,S$5,$B$1)</f>
        <v>150.87</v>
      </c>
      <c r="T89" s="54">
        <f>_xll.EQNXTDZ($A$1,$B89,T$5,$B$1)</f>
        <v>0</v>
      </c>
      <c r="U89" s="54">
        <f>_xll.EQNXTDZ($A$1,$B89,U$5,$B$1)</f>
        <v>150.68</v>
      </c>
      <c r="V89" s="54">
        <f>_xll.EQNXTDZ($A$1,$B89,V$5,$B$1)</f>
        <v>0</v>
      </c>
      <c r="W89" s="54">
        <f>_xll.EQNXTDZ($A$1,$B89,W$5,$B$1)</f>
        <v>200.9</v>
      </c>
      <c r="X89" s="54">
        <f>_xll.EQNXTDZ($A$1,$B89,X$5,$B$1)</f>
        <v>0</v>
      </c>
      <c r="Y89" s="54">
        <f>_xll.EQNXTDZ($A$1,$B89,Y$5,$B$1)</f>
        <v>177.8</v>
      </c>
      <c r="Z89" s="54">
        <f>_xll.EQNXTDZ($A$1,$B89,Z$5,$B$1)</f>
        <v>0</v>
      </c>
      <c r="AA89" s="54">
        <f>_xll.EQNXTDZ($A$1,$B89,AA$5,$B$1)</f>
        <v>184.7</v>
      </c>
      <c r="AB89" s="54">
        <f>_xll.EQNXTDZ($A$1,$B89,AB$5,$B$1)</f>
        <v>0</v>
      </c>
      <c r="AC89" s="54">
        <f>_xll.EQNXTDZ($A$1,$B89,AC$5,$B$1)</f>
        <v>217.7</v>
      </c>
      <c r="AD89" s="54">
        <f>_xll.EQNXTDZ($A$1,$B89,AD$5,$B$1)</f>
        <v>0</v>
      </c>
      <c r="AE89" s="54">
        <f>_xll.EQNXTDZ($A$1,$B89,AE$5,$B$1)</f>
        <v>245.9</v>
      </c>
      <c r="AF89" s="54">
        <f>_xll.EQNXTDZ($A$1,$B89,AF$5,$B$1)</f>
        <v>0</v>
      </c>
      <c r="AG89" s="54">
        <f>_xll.EQNXTDZ($A$1,$B89,AG$5,$B$1)</f>
        <v>242.3</v>
      </c>
      <c r="AH89" s="54">
        <f>_xll.EQNXTDZ($A$1,$B89,AH$5,$B$1)</f>
        <v>0</v>
      </c>
      <c r="AI89" s="54">
        <f>_xll.EQNXTDZ($A$1,$B89,AI$5,$B$1)</f>
        <v>249.1</v>
      </c>
      <c r="AJ89" s="54">
        <f>_xll.EQNXTDZ($A$1,$B89,AJ$5,$B$1)</f>
        <v>0</v>
      </c>
      <c r="AK89" s="54">
        <f>_xll.EQNXTDZ($A$1,$B89,AK$5,$B$1)</f>
        <v>262.8</v>
      </c>
      <c r="AL89" s="54">
        <f>_xll.EQNXTDZ($A$1,$B89,AL$5,$B$1)</f>
        <v>0</v>
      </c>
      <c r="AM89" s="54">
        <f>_xll.EQNXTDZ($A$1,$B89,AM$5,$B$1)</f>
        <v>250.4</v>
      </c>
      <c r="AN89" s="54">
        <f>_xll.EQNXTDZ($A$1,$B89,AN$5,$B$1)</f>
        <v>0</v>
      </c>
      <c r="AO89" s="54">
        <f>_xll.EQNXTDZ($A$1,$B89,AO$5,$B$1)</f>
        <v>279.2</v>
      </c>
      <c r="AP89" s="54">
        <f>_xll.EQNXTDZ($A$1,$B89,AP$5,$B$1)</f>
        <v>0</v>
      </c>
      <c r="AQ89" s="54">
        <f>_xll.EQNXTDZ($A$1,$B89,AQ$5,$B$1)</f>
        <v>301.89999999999998</v>
      </c>
      <c r="AR89" s="54">
        <f>_xll.EQNXTDZ($A$1,$B89,AR$5,$B$1)</f>
        <v>0</v>
      </c>
      <c r="AS89" s="54">
        <f>_xll.EQNXTDZ($A$1,$B89,AS$5,$B$1)</f>
        <v>314.3</v>
      </c>
      <c r="AT89" s="54">
        <f>_xll.EQNXTDZ($A$1,$B89,AT$5,$B$1)</f>
        <v>0</v>
      </c>
      <c r="AU89" s="54">
        <f>_xll.EQNXTDZ($A$1,$B89,AU$5,$B$1)</f>
        <v>396.3</v>
      </c>
      <c r="AV89" s="54">
        <f>_xll.EQNXTDZ($A$1,$B89,AV$5,$B$1)</f>
        <v>0</v>
      </c>
      <c r="AW89" s="54">
        <f>_xll.EQNXTDZ($A$1,$B89,AW$5,$B$1)</f>
        <v>343.3</v>
      </c>
      <c r="AX89" s="54">
        <f>_xll.EQNXTDZ($A$1,$B89,AX$5,$B$1)</f>
        <v>0</v>
      </c>
      <c r="AY89" s="54">
        <f>_xll.EQNXTDZ($A$1,$B89,AY$5,$B$1)</f>
        <v>362.8</v>
      </c>
      <c r="AZ89" s="54">
        <f>_xll.EQNXTDZ($A$1,$B89,AZ$5,$B$1)</f>
        <v>0</v>
      </c>
      <c r="BA89" s="54">
        <f>_xll.EQNXTDZ($A$1,$B89,BA$5,$B$1)</f>
        <v>371.9</v>
      </c>
      <c r="BB89" s="54">
        <f>_xll.EQNXTDZ($A$1,$B89,BB$5,$B$1)</f>
        <v>0</v>
      </c>
      <c r="BC89" s="54">
        <f>_xll.EQNXTDZ($A$1,$B89,BC$5,$B$1)</f>
        <v>425.9</v>
      </c>
      <c r="BD89" s="54">
        <f>_xll.EQNXTDZ($A$1,$B89,BD$5,$B$1)</f>
        <v>0</v>
      </c>
      <c r="BE89" s="54">
        <f>_xll.EQNXTDZ($A$1,$B89,BE$5,$B$1)</f>
        <v>441.3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91.04</v>
      </c>
      <c r="H91" s="54">
        <f>_xll.EQNXTDZ($A$1,$B91,H$5,$B$1)</f>
        <v>0</v>
      </c>
      <c r="I91" s="54">
        <f>_xll.EQNXTDZ($A$1,$B91,I$5,$B$1)</f>
        <v>96</v>
      </c>
      <c r="J91" s="54">
        <f>_xll.EQNXTDZ($A$1,$B91,J$5,$B$1)</f>
        <v>0</v>
      </c>
      <c r="K91" s="54">
        <f>_xll.EQNXTDZ($A$1,$B91,K$5,$B$1)</f>
        <v>100.28</v>
      </c>
      <c r="L91" s="54">
        <f>_xll.EQNXTDZ($A$1,$B91,L$5,$B$1)</f>
        <v>0</v>
      </c>
      <c r="M91" s="54">
        <f>_xll.EQNXTDZ($A$1,$B91,M$5,$B$1)</f>
        <v>107.69</v>
      </c>
      <c r="N91" s="54">
        <f>_xll.EQNXTDZ($A$1,$B91,N$5,$B$1)</f>
        <v>0</v>
      </c>
      <c r="O91" s="54">
        <f>_xll.EQNXTDZ($A$1,$B91,O$5,$B$1)</f>
        <v>95.93</v>
      </c>
      <c r="P91" s="54">
        <f>_xll.EQNXTDZ($A$1,$B91,P$5,$B$1)</f>
        <v>0</v>
      </c>
      <c r="Q91" s="54">
        <f>_xll.EQNXTDZ($A$1,$B91,Q$5,$B$1)</f>
        <v>107.57</v>
      </c>
      <c r="R91" s="54">
        <f>_xll.EQNXTDZ($A$1,$B91,R$5,$B$1)</f>
        <v>0</v>
      </c>
      <c r="S91" s="54">
        <f>_xll.EQNXTDZ($A$1,$B91,S$5,$B$1)</f>
        <v>90.66</v>
      </c>
      <c r="T91" s="54">
        <f>_xll.EQNXTDZ($A$1,$B91,T$5,$B$1)</f>
        <v>0</v>
      </c>
      <c r="U91" s="54">
        <f>_xll.EQNXTDZ($A$1,$B91,U$5,$B$1)</f>
        <v>97.94</v>
      </c>
      <c r="V91" s="54">
        <f>_xll.EQNXTDZ($A$1,$B91,V$5,$B$1)</f>
        <v>0</v>
      </c>
      <c r="W91" s="54">
        <f>_xll.EQNXTDZ($A$1,$B91,W$5,$B$1)</f>
        <v>93.42</v>
      </c>
      <c r="X91" s="54">
        <f>_xll.EQNXTDZ($A$1,$B91,X$5,$B$1)</f>
        <v>0</v>
      </c>
      <c r="Y91" s="54">
        <f>_xll.EQNXTDZ($A$1,$B91,Y$5,$B$1)</f>
        <v>90</v>
      </c>
      <c r="Z91" s="54">
        <f>_xll.EQNXTDZ($A$1,$B91,Z$5,$B$1)</f>
        <v>0</v>
      </c>
      <c r="AA91" s="54">
        <f>_xll.EQNXTDZ($A$1,$B91,AA$5,$B$1)</f>
        <v>97.3</v>
      </c>
      <c r="AB91" s="54">
        <f>_xll.EQNXTDZ($A$1,$B91,AB$5,$B$1)</f>
        <v>0</v>
      </c>
      <c r="AC91" s="54">
        <f>_xll.EQNXTDZ($A$1,$B91,AC$5,$B$1)</f>
        <v>153.30000000000001</v>
      </c>
      <c r="AD91" s="54">
        <f>_xll.EQNXTDZ($A$1,$B91,AD$5,$B$1)</f>
        <v>0</v>
      </c>
      <c r="AE91" s="54">
        <f>_xll.EQNXTDZ($A$1,$B91,AE$5,$B$1)</f>
        <v>112.2</v>
      </c>
      <c r="AF91" s="54">
        <f>_xll.EQNXTDZ($A$1,$B91,AF$5,$B$1)</f>
        <v>0</v>
      </c>
      <c r="AG91" s="54">
        <f>_xll.EQNXTDZ($A$1,$B91,AG$5,$B$1)</f>
        <v>215.7</v>
      </c>
      <c r="AH91" s="54">
        <f>_xll.EQNXTDZ($A$1,$B91,AH$5,$B$1)</f>
        <v>0</v>
      </c>
      <c r="AI91" s="54">
        <f>_xll.EQNXTDZ($A$1,$B91,AI$5,$B$1)</f>
        <v>176.9</v>
      </c>
      <c r="AJ91" s="54">
        <f>_xll.EQNXTDZ($A$1,$B91,AJ$5,$B$1)</f>
        <v>0</v>
      </c>
      <c r="AK91" s="54">
        <f>_xll.EQNXTDZ($A$1,$B91,AK$5,$B$1)</f>
        <v>231.2</v>
      </c>
      <c r="AL91" s="54">
        <f>_xll.EQNXTDZ($A$1,$B91,AL$5,$B$1)</f>
        <v>0</v>
      </c>
      <c r="AM91" s="54">
        <f>_xll.EQNXTDZ($A$1,$B91,AM$5,$B$1)</f>
        <v>216.1</v>
      </c>
      <c r="AN91" s="54">
        <f>_xll.EQNXTDZ($A$1,$B91,AN$5,$B$1)</f>
        <v>0</v>
      </c>
      <c r="AO91" s="54">
        <f>_xll.EQNXTDZ($A$1,$B91,AO$5,$B$1)</f>
        <v>211.6</v>
      </c>
      <c r="AP91" s="54">
        <f>_xll.EQNXTDZ($A$1,$B91,AP$5,$B$1)</f>
        <v>0</v>
      </c>
      <c r="AQ91" s="54">
        <f>_xll.EQNXTDZ($A$1,$B91,AQ$5,$B$1)</f>
        <v>172.9</v>
      </c>
      <c r="AR91" s="54">
        <f>_xll.EQNXTDZ($A$1,$B91,AR$5,$B$1)</f>
        <v>0</v>
      </c>
      <c r="AS91" s="54">
        <f>_xll.EQNXTDZ($A$1,$B91,AS$5,$B$1)</f>
        <v>270.60000000000002</v>
      </c>
      <c r="AT91" s="54">
        <f>_xll.EQNXTDZ($A$1,$B91,AT$5,$B$1)</f>
        <v>0</v>
      </c>
      <c r="AU91" s="54">
        <f>_xll.EQNXTDZ($A$1,$B91,AU$5,$B$1)</f>
        <v>288.2</v>
      </c>
      <c r="AV91" s="54">
        <f>_xll.EQNXTDZ($A$1,$B91,AV$5,$B$1)</f>
        <v>0</v>
      </c>
      <c r="AW91" s="54">
        <f>_xll.EQNXTDZ($A$1,$B91,AW$5,$B$1)</f>
        <v>319.5</v>
      </c>
      <c r="AX91" s="54">
        <f>_xll.EQNXTDZ($A$1,$B91,AX$5,$B$1)</f>
        <v>0</v>
      </c>
      <c r="AY91" s="54">
        <f>_xll.EQNXTDZ($A$1,$B91,AY$5,$B$1)</f>
        <v>422.2</v>
      </c>
      <c r="AZ91" s="54">
        <f>_xll.EQNXTDZ($A$1,$B91,AZ$5,$B$1)</f>
        <v>0</v>
      </c>
      <c r="BA91" s="54">
        <f>_xll.EQNXTDZ($A$1,$B91,BA$5,$B$1)</f>
        <v>370.1</v>
      </c>
      <c r="BB91" s="54">
        <f>_xll.EQNXTDZ($A$1,$B91,BB$5,$B$1)</f>
        <v>0</v>
      </c>
      <c r="BC91" s="54">
        <f>_xll.EQNXTDZ($A$1,$B91,BC$5,$B$1)</f>
        <v>427.3</v>
      </c>
      <c r="BD91" s="54">
        <f>_xll.EQNXTDZ($A$1,$B91,BD$5,$B$1)</f>
        <v>0</v>
      </c>
      <c r="BE91" s="54">
        <f>_xll.EQNXTDZ($A$1,$B91,BE$5,$B$1)</f>
        <v>499.3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17.850000000000001</v>
      </c>
      <c r="D92" s="54">
        <f>_xll.EQNXTDZ($A$1,$B92,D$5,$B$1)</f>
        <v>0</v>
      </c>
      <c r="E92" s="54">
        <f>_xll.EQNXTDZ($A$1,$B92,E$5,$B$1)</f>
        <v>0</v>
      </c>
      <c r="F92" s="54">
        <f>_xll.EQNXTDZ($A$1,$B92,F$5,$B$1)</f>
        <v>0</v>
      </c>
      <c r="G92" s="54">
        <f>_xll.EQNXTDZ($A$1,$B92,G$5,$B$1)</f>
        <v>14.66</v>
      </c>
      <c r="H92" s="54">
        <f>_xll.EQNXTDZ($A$1,$B92,H$5,$B$1)</f>
        <v>0</v>
      </c>
      <c r="I92" s="54">
        <f>_xll.EQNXTDZ($A$1,$B92,I$5,$B$1)</f>
        <v>29.13</v>
      </c>
      <c r="J92" s="54">
        <f>_xll.EQNXTDZ($A$1,$B92,J$5,$B$1)</f>
        <v>0</v>
      </c>
      <c r="K92" s="54">
        <f>_xll.EQNXTDZ($A$1,$B92,K$5,$B$1)</f>
        <v>16.53</v>
      </c>
      <c r="L92" s="54">
        <f>_xll.EQNXTDZ($A$1,$B92,L$5,$B$1)</f>
        <v>0</v>
      </c>
      <c r="M92" s="54">
        <f>_xll.EQNXTDZ($A$1,$B92,M$5,$B$1)</f>
        <v>34.43</v>
      </c>
      <c r="N92" s="54">
        <f>_xll.EQNXTDZ($A$1,$B92,N$5,$B$1)</f>
        <v>0</v>
      </c>
      <c r="O92" s="54">
        <f>_xll.EQNXTDZ($A$1,$B92,O$5,$B$1)</f>
        <v>18.809999999999999</v>
      </c>
      <c r="P92" s="54">
        <f>_xll.EQNXTDZ($A$1,$B92,P$5,$B$1)</f>
        <v>0</v>
      </c>
      <c r="Q92" s="54">
        <f>_xll.EQNXTDZ($A$1,$B92,Q$5,$B$1)</f>
        <v>47.91</v>
      </c>
      <c r="R92" s="54">
        <f>_xll.EQNXTDZ($A$1,$B92,R$5,$B$1)</f>
        <v>0</v>
      </c>
      <c r="S92" s="54">
        <f>_xll.EQNXTDZ($A$1,$B92,S$5,$B$1)</f>
        <v>27.13</v>
      </c>
      <c r="T92" s="54">
        <f>_xll.EQNXTDZ($A$1,$B92,T$5,$B$1)</f>
        <v>0</v>
      </c>
      <c r="U92" s="54">
        <f>_xll.EQNXTDZ($A$1,$B92,U$5,$B$1)</f>
        <v>35</v>
      </c>
      <c r="V92" s="54">
        <f>_xll.EQNXTDZ($A$1,$B92,V$5,$B$1)</f>
        <v>0</v>
      </c>
      <c r="W92" s="54">
        <f>_xll.EQNXTDZ($A$1,$B92,W$5,$B$1)</f>
        <v>14.63</v>
      </c>
      <c r="X92" s="54">
        <f>_xll.EQNXTDZ($A$1,$B92,X$5,$B$1)</f>
        <v>0</v>
      </c>
      <c r="Y92" s="54">
        <f>_xll.EQNXTDZ($A$1,$B92,Y$5,$B$1)</f>
        <v>49.1</v>
      </c>
      <c r="Z92" s="54">
        <f>_xll.EQNXTDZ($A$1,$B92,Z$5,$B$1)</f>
        <v>0</v>
      </c>
      <c r="AA92" s="54">
        <f>_xll.EQNXTDZ($A$1,$B92,AA$5,$B$1)</f>
        <v>27.6</v>
      </c>
      <c r="AB92" s="54">
        <f>_xll.EQNXTDZ($A$1,$B92,AB$5,$B$1)</f>
        <v>0</v>
      </c>
      <c r="AC92" s="54">
        <f>_xll.EQNXTDZ($A$1,$B92,AC$5,$B$1)</f>
        <v>41.2</v>
      </c>
      <c r="AD92" s="54">
        <f>_xll.EQNXTDZ($A$1,$B92,AD$5,$B$1)</f>
        <v>0</v>
      </c>
      <c r="AE92" s="54">
        <f>_xll.EQNXTDZ($A$1,$B92,AE$5,$B$1)</f>
        <v>36</v>
      </c>
      <c r="AF92" s="54">
        <f>_xll.EQNXTDZ($A$1,$B92,AF$5,$B$1)</f>
        <v>0</v>
      </c>
      <c r="AG92" s="54">
        <f>_xll.EQNXTDZ($A$1,$B92,AG$5,$B$1)</f>
        <v>46.7</v>
      </c>
      <c r="AH92" s="54">
        <f>_xll.EQNXTDZ($A$1,$B92,AH$5,$B$1)</f>
        <v>0</v>
      </c>
      <c r="AI92" s="54">
        <f>_xll.EQNXTDZ($A$1,$B92,AI$5,$B$1)</f>
        <v>38.799999999999997</v>
      </c>
      <c r="AJ92" s="54">
        <f>_xll.EQNXTDZ($A$1,$B92,AJ$5,$B$1)</f>
        <v>0</v>
      </c>
      <c r="AK92" s="54">
        <f>_xll.EQNXTDZ($A$1,$B92,AK$5,$B$1)</f>
        <v>49.3</v>
      </c>
      <c r="AL92" s="54">
        <f>_xll.EQNXTDZ($A$1,$B92,AL$5,$B$1)</f>
        <v>0</v>
      </c>
      <c r="AM92" s="54">
        <f>_xll.EQNXTDZ($A$1,$B92,AM$5,$B$1)</f>
        <v>43.6</v>
      </c>
      <c r="AN92" s="54">
        <f>_xll.EQNXTDZ($A$1,$B92,AN$5,$B$1)</f>
        <v>0</v>
      </c>
      <c r="AO92" s="54">
        <f>_xll.EQNXTDZ($A$1,$B92,AO$5,$B$1)</f>
        <v>54.1</v>
      </c>
      <c r="AP92" s="54">
        <f>_xll.EQNXTDZ($A$1,$B92,AP$5,$B$1)</f>
        <v>0</v>
      </c>
      <c r="AQ92" s="54">
        <f>_xll.EQNXTDZ($A$1,$B92,AQ$5,$B$1)</f>
        <v>47.2</v>
      </c>
      <c r="AR92" s="54">
        <f>_xll.EQNXTDZ($A$1,$B92,AR$5,$B$1)</f>
        <v>0</v>
      </c>
      <c r="AS92" s="54">
        <f>_xll.EQNXTDZ($A$1,$B92,AS$5,$B$1)</f>
        <v>50.3</v>
      </c>
      <c r="AT92" s="54">
        <f>_xll.EQNXTDZ($A$1,$B92,AT$5,$B$1)</f>
        <v>0</v>
      </c>
      <c r="AU92" s="54">
        <f>_xll.EQNXTDZ($A$1,$B92,AU$5,$B$1)</f>
        <v>42</v>
      </c>
      <c r="AV92" s="54">
        <f>_xll.EQNXTDZ($A$1,$B92,AV$5,$B$1)</f>
        <v>0</v>
      </c>
      <c r="AW92" s="54">
        <f>_xll.EQNXTDZ($A$1,$B92,AW$5,$B$1)</f>
        <v>53.7</v>
      </c>
      <c r="AX92" s="54">
        <f>_xll.EQNXTDZ($A$1,$B92,AX$5,$B$1)</f>
        <v>0</v>
      </c>
      <c r="AY92" s="54">
        <f>_xll.EQNXTDZ($A$1,$B92,AY$5,$B$1)</f>
        <v>46.3</v>
      </c>
      <c r="AZ92" s="54">
        <f>_xll.EQNXTDZ($A$1,$B92,AZ$5,$B$1)</f>
        <v>0</v>
      </c>
      <c r="BA92" s="54">
        <f>_xll.EQNXTDZ($A$1,$B92,BA$5,$B$1)</f>
        <v>59.3</v>
      </c>
      <c r="BB92" s="54">
        <f>_xll.EQNXTDZ($A$1,$B92,BB$5,$B$1)</f>
        <v>0</v>
      </c>
      <c r="BC92" s="54">
        <f>_xll.EQNXTDZ($A$1,$B92,BC$5,$B$1)</f>
        <v>48.4</v>
      </c>
      <c r="BD92" s="54">
        <f>_xll.EQNXTDZ($A$1,$B92,BD$5,$B$1)</f>
        <v>0</v>
      </c>
      <c r="BE92" s="54">
        <f>_xll.EQNXTDZ($A$1,$B92,BE$5,$B$1)</f>
        <v>83.9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267.22000000000003</v>
      </c>
      <c r="D93" s="54">
        <f>_xll.EQNXTDZ($A$1,$B93,D$5,$B$1)</f>
        <v>0</v>
      </c>
      <c r="E93" s="54">
        <f>_xll.EQNXTDZ($A$1,$B93,E$5,$B$1)</f>
        <v>0</v>
      </c>
      <c r="F93" s="54">
        <f>_xll.EQNXTDZ($A$1,$B93,F$5,$B$1)</f>
        <v>0</v>
      </c>
      <c r="G93" s="54">
        <f>_xll.EQNXTDZ($A$1,$B93,G$5,$B$1)</f>
        <v>243.96</v>
      </c>
      <c r="H93" s="54">
        <f>_xll.EQNXTDZ($A$1,$B93,H$5,$B$1)</f>
        <v>0</v>
      </c>
      <c r="I93" s="54">
        <f>_xll.EQNXTDZ($A$1,$B93,I$5,$B$1)</f>
        <v>258.08</v>
      </c>
      <c r="J93" s="54">
        <f>_xll.EQNXTDZ($A$1,$B93,J$5,$B$1)</f>
        <v>0</v>
      </c>
      <c r="K93" s="54">
        <f>_xll.EQNXTDZ($A$1,$B93,K$5,$B$1)</f>
        <v>271.39999999999998</v>
      </c>
      <c r="L93" s="54">
        <f>_xll.EQNXTDZ($A$1,$B93,L$5,$B$1)</f>
        <v>0</v>
      </c>
      <c r="M93" s="54">
        <f>_xll.EQNXTDZ($A$1,$B93,M$5,$B$1)</f>
        <v>320.22000000000003</v>
      </c>
      <c r="N93" s="54">
        <f>_xll.EQNXTDZ($A$1,$B93,N$5,$B$1)</f>
        <v>0</v>
      </c>
      <c r="O93" s="54">
        <f>_xll.EQNXTDZ($A$1,$B93,O$5,$B$1)</f>
        <v>259.3</v>
      </c>
      <c r="P93" s="54">
        <f>_xll.EQNXTDZ($A$1,$B93,P$5,$B$1)</f>
        <v>0</v>
      </c>
      <c r="Q93" s="54">
        <f>_xll.EQNXTDZ($A$1,$B93,Q$5,$B$1)</f>
        <v>311.33999999999997</v>
      </c>
      <c r="R93" s="54">
        <f>_xll.EQNXTDZ($A$1,$B93,R$5,$B$1)</f>
        <v>0</v>
      </c>
      <c r="S93" s="54">
        <f>_xll.EQNXTDZ($A$1,$B93,S$5,$B$1)</f>
        <v>271.35000000000002</v>
      </c>
      <c r="T93" s="54">
        <f>_xll.EQNXTDZ($A$1,$B93,T$5,$B$1)</f>
        <v>0</v>
      </c>
      <c r="U93" s="54">
        <f>_xll.EQNXTDZ($A$1,$B93,U$5,$B$1)</f>
        <v>290.61</v>
      </c>
      <c r="V93" s="54">
        <f>_xll.EQNXTDZ($A$1,$B93,V$5,$B$1)</f>
        <v>0</v>
      </c>
      <c r="W93" s="54">
        <f>_xll.EQNXTDZ($A$1,$B93,W$5,$B$1)</f>
        <v>415.11</v>
      </c>
      <c r="X93" s="54">
        <f>_xll.EQNXTDZ($A$1,$B93,X$5,$B$1)</f>
        <v>0</v>
      </c>
      <c r="Y93" s="54">
        <f>_xll.EQNXTDZ($A$1,$B93,Y$5,$B$1)</f>
        <v>329.5</v>
      </c>
      <c r="Z93" s="54">
        <f>_xll.EQNXTDZ($A$1,$B93,Z$5,$B$1)</f>
        <v>0</v>
      </c>
      <c r="AA93" s="54">
        <f>_xll.EQNXTDZ($A$1,$B93,AA$5,$B$1)</f>
        <v>336.3</v>
      </c>
      <c r="AB93" s="54">
        <f>_xll.EQNXTDZ($A$1,$B93,AB$5,$B$1)</f>
        <v>0</v>
      </c>
      <c r="AC93" s="54">
        <f>_xll.EQNXTDZ($A$1,$B93,AC$5,$B$1)</f>
        <v>455.6</v>
      </c>
      <c r="AD93" s="54">
        <f>_xll.EQNXTDZ($A$1,$B93,AD$5,$B$1)</f>
        <v>0</v>
      </c>
      <c r="AE93" s="54">
        <f>_xll.EQNXTDZ($A$1,$B93,AE$5,$B$1)</f>
        <v>442.2</v>
      </c>
      <c r="AF93" s="54">
        <f>_xll.EQNXTDZ($A$1,$B93,AF$5,$B$1)</f>
        <v>0</v>
      </c>
      <c r="AG93" s="54">
        <f>_xll.EQNXTDZ($A$1,$B93,AG$5,$B$1)</f>
        <v>564.70000000000005</v>
      </c>
      <c r="AH93" s="54">
        <f>_xll.EQNXTDZ($A$1,$B93,AH$5,$B$1)</f>
        <v>0</v>
      </c>
      <c r="AI93" s="54">
        <f>_xll.EQNXTDZ($A$1,$B93,AI$5,$B$1)</f>
        <v>525</v>
      </c>
      <c r="AJ93" s="54">
        <f>_xll.EQNXTDZ($A$1,$B93,AJ$5,$B$1)</f>
        <v>0</v>
      </c>
      <c r="AK93" s="54">
        <f>_xll.EQNXTDZ($A$1,$B93,AK$5,$B$1)</f>
        <v>603.29999999999995</v>
      </c>
      <c r="AL93" s="54">
        <f>_xll.EQNXTDZ($A$1,$B93,AL$5,$B$1)</f>
        <v>0</v>
      </c>
      <c r="AM93" s="54">
        <f>_xll.EQNXTDZ($A$1,$B93,AM$5,$B$1)</f>
        <v>577.79999999999995</v>
      </c>
      <c r="AN93" s="54">
        <f>_xll.EQNXTDZ($A$1,$B93,AN$5,$B$1)</f>
        <v>0</v>
      </c>
      <c r="AO93" s="54">
        <f>_xll.EQNXTDZ($A$1,$B93,AO$5,$B$1)</f>
        <v>544.9</v>
      </c>
      <c r="AP93" s="54">
        <f>_xll.EQNXTDZ($A$1,$B93,AP$5,$B$1)</f>
        <v>0</v>
      </c>
      <c r="AQ93" s="54">
        <f>_xll.EQNXTDZ($A$1,$B93,AQ$5,$B$1)</f>
        <v>551.20000000000005</v>
      </c>
      <c r="AR93" s="54">
        <f>_xll.EQNXTDZ($A$1,$B93,AR$5,$B$1)</f>
        <v>0</v>
      </c>
      <c r="AS93" s="54">
        <f>_xll.EQNXTDZ($A$1,$B93,AS$5,$B$1)</f>
        <v>635.20000000000005</v>
      </c>
      <c r="AT93" s="54">
        <f>_xll.EQNXTDZ($A$1,$B93,AT$5,$B$1)</f>
        <v>0</v>
      </c>
      <c r="AU93" s="54">
        <f>_xll.EQNXTDZ($A$1,$B93,AU$5,$B$1)</f>
        <v>726.5</v>
      </c>
      <c r="AV93" s="54">
        <f>_xll.EQNXTDZ($A$1,$B93,AV$5,$B$1)</f>
        <v>0</v>
      </c>
      <c r="AW93" s="54">
        <f>_xll.EQNXTDZ($A$1,$B93,AW$5,$B$1)</f>
        <v>716.5</v>
      </c>
      <c r="AX93" s="54">
        <f>_xll.EQNXTDZ($A$1,$B93,AX$5,$B$1)</f>
        <v>0</v>
      </c>
      <c r="AY93" s="54">
        <f>_xll.EQNXTDZ($A$1,$B93,AY$5,$B$1)</f>
        <v>831.3</v>
      </c>
      <c r="AZ93" s="54">
        <f>_xll.EQNXTDZ($A$1,$B93,AZ$5,$B$1)</f>
        <v>0</v>
      </c>
      <c r="BA93" s="54">
        <f>_xll.EQNXTDZ($A$1,$B93,BA$5,$B$1)</f>
        <v>801.3</v>
      </c>
      <c r="BB93" s="54">
        <f>_xll.EQNXTDZ($A$1,$B93,BB$5,$B$1)</f>
        <v>0</v>
      </c>
      <c r="BC93" s="54">
        <f>_xll.EQNXTDZ($A$1,$B93,BC$5,$B$1)</f>
        <v>901.6</v>
      </c>
      <c r="BD93" s="54">
        <f>_xll.EQNXTDZ($A$1,$B93,BD$5,$B$1)</f>
        <v>0</v>
      </c>
      <c r="BE93" s="54">
        <f>_xll.EQNXTDZ($A$1,$B93,BE$5,$B$1)</f>
        <v>1024.5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211.33</v>
      </c>
      <c r="D94" s="54">
        <f>_xll.EQNXTDZ($A$1,$B94,D$5,$B$1)</f>
        <v>0</v>
      </c>
      <c r="E94" s="54">
        <f>_xll.EQNXTDZ($A$1,$B94,E$5,$B$1)</f>
        <v>0</v>
      </c>
      <c r="F94" s="54">
        <f>_xll.EQNXTDZ($A$1,$B94,F$5,$B$1)</f>
        <v>0</v>
      </c>
      <c r="G94" s="54">
        <f>_xll.EQNXTDZ($A$1,$B94,G$5,$B$1)</f>
        <v>229.21</v>
      </c>
      <c r="H94" s="54">
        <f>_xll.EQNXTDZ($A$1,$B94,H$5,$B$1)</f>
        <v>0</v>
      </c>
      <c r="I94" s="54">
        <f>_xll.EQNXTDZ($A$1,$B94,I$5,$B$1)</f>
        <v>238.76</v>
      </c>
      <c r="J94" s="54">
        <f>_xll.EQNXTDZ($A$1,$B94,J$5,$B$1)</f>
        <v>0</v>
      </c>
      <c r="K94" s="54">
        <f>_xll.EQNXTDZ($A$1,$B94,K$5,$B$1)</f>
        <v>271.44</v>
      </c>
      <c r="L94" s="54">
        <f>_xll.EQNXTDZ($A$1,$B94,L$5,$B$1)</f>
        <v>0</v>
      </c>
      <c r="M94" s="54">
        <f>_xll.EQNXTDZ($A$1,$B94,M$5,$B$1)</f>
        <v>277.88</v>
      </c>
      <c r="N94" s="54">
        <f>_xll.EQNXTDZ($A$1,$B94,N$5,$B$1)</f>
        <v>0</v>
      </c>
      <c r="O94" s="54">
        <f>_xll.EQNXTDZ($A$1,$B94,O$5,$B$1)</f>
        <v>298.47000000000003</v>
      </c>
      <c r="P94" s="54">
        <f>_xll.EQNXTDZ($A$1,$B94,P$5,$B$1)</f>
        <v>0</v>
      </c>
      <c r="Q94" s="54">
        <f>_xll.EQNXTDZ($A$1,$B94,Q$5,$B$1)</f>
        <v>317.60000000000002</v>
      </c>
      <c r="R94" s="54">
        <f>_xll.EQNXTDZ($A$1,$B94,R$5,$B$1)</f>
        <v>0</v>
      </c>
      <c r="S94" s="54">
        <f>_xll.EQNXTDZ($A$1,$B94,S$5,$B$1)</f>
        <v>310.68</v>
      </c>
      <c r="T94" s="54">
        <f>_xll.EQNXTDZ($A$1,$B94,T$5,$B$1)</f>
        <v>0</v>
      </c>
      <c r="U94" s="54">
        <f>_xll.EQNXTDZ($A$1,$B94,U$5,$B$1)</f>
        <v>330.81</v>
      </c>
      <c r="V94" s="54">
        <f>_xll.EQNXTDZ($A$1,$B94,V$5,$B$1)</f>
        <v>0</v>
      </c>
      <c r="W94" s="54">
        <f>_xll.EQNXTDZ($A$1,$B94,W$5,$B$1)</f>
        <v>269.25</v>
      </c>
      <c r="X94" s="54">
        <f>_xll.EQNXTDZ($A$1,$B94,X$5,$B$1)</f>
        <v>0</v>
      </c>
      <c r="Y94" s="54">
        <f>_xll.EQNXTDZ($A$1,$B94,Y$5,$B$1)</f>
        <v>306.10000000000002</v>
      </c>
      <c r="Z94" s="54">
        <f>_xll.EQNXTDZ($A$1,$B94,Z$5,$B$1)</f>
        <v>0</v>
      </c>
      <c r="AA94" s="54">
        <f>_xll.EQNXTDZ($A$1,$B94,AA$5,$B$1)</f>
        <v>318.89999999999998</v>
      </c>
      <c r="AB94" s="54">
        <f>_xll.EQNXTDZ($A$1,$B94,AB$5,$B$1)</f>
        <v>0</v>
      </c>
      <c r="AC94" s="54">
        <f>_xll.EQNXTDZ($A$1,$B94,AC$5,$B$1)</f>
        <v>350.6</v>
      </c>
      <c r="AD94" s="54">
        <f>_xll.EQNXTDZ($A$1,$B94,AD$5,$B$1)</f>
        <v>0</v>
      </c>
      <c r="AE94" s="54">
        <f>_xll.EQNXTDZ($A$1,$B94,AE$5,$B$1)</f>
        <v>415.1</v>
      </c>
      <c r="AF94" s="54">
        <f>_xll.EQNXTDZ($A$1,$B94,AF$5,$B$1)</f>
        <v>0</v>
      </c>
      <c r="AG94" s="54">
        <f>_xll.EQNXTDZ($A$1,$B94,AG$5,$B$1)</f>
        <v>422.3</v>
      </c>
      <c r="AH94" s="54">
        <f>_xll.EQNXTDZ($A$1,$B94,AH$5,$B$1)</f>
        <v>0</v>
      </c>
      <c r="AI94" s="54">
        <f>_xll.EQNXTDZ($A$1,$B94,AI$5,$B$1)</f>
        <v>450.1</v>
      </c>
      <c r="AJ94" s="54">
        <f>_xll.EQNXTDZ($A$1,$B94,AJ$5,$B$1)</f>
        <v>0</v>
      </c>
      <c r="AK94" s="54">
        <f>_xll.EQNXTDZ($A$1,$B94,AK$5,$B$1)</f>
        <v>488</v>
      </c>
      <c r="AL94" s="54">
        <f>_xll.EQNXTDZ($A$1,$B94,AL$5,$B$1)</f>
        <v>0</v>
      </c>
      <c r="AM94" s="54">
        <f>_xll.EQNXTDZ($A$1,$B94,AM$5,$B$1)</f>
        <v>540.4</v>
      </c>
      <c r="AN94" s="54">
        <f>_xll.EQNXTDZ($A$1,$B94,AN$5,$B$1)</f>
        <v>0</v>
      </c>
      <c r="AO94" s="54">
        <f>_xll.EQNXTDZ($A$1,$B94,AO$5,$B$1)</f>
        <v>575.4</v>
      </c>
      <c r="AP94" s="54">
        <f>_xll.EQNXTDZ($A$1,$B94,AP$5,$B$1)</f>
        <v>0</v>
      </c>
      <c r="AQ94" s="54">
        <f>_xll.EQNXTDZ($A$1,$B94,AQ$5,$B$1)</f>
        <v>620.20000000000005</v>
      </c>
      <c r="AR94" s="54">
        <f>_xll.EQNXTDZ($A$1,$B94,AR$5,$B$1)</f>
        <v>0</v>
      </c>
      <c r="AS94" s="54">
        <f>_xll.EQNXTDZ($A$1,$B94,AS$5,$B$1)</f>
        <v>638.70000000000005</v>
      </c>
      <c r="AT94" s="54">
        <f>_xll.EQNXTDZ($A$1,$B94,AT$5,$B$1)</f>
        <v>0</v>
      </c>
      <c r="AU94" s="54">
        <f>_xll.EQNXTDZ($A$1,$B94,AU$5,$B$1)</f>
        <v>692.7</v>
      </c>
      <c r="AV94" s="54">
        <f>_xll.EQNXTDZ($A$1,$B94,AV$5,$B$1)</f>
        <v>0</v>
      </c>
      <c r="AW94" s="54">
        <f>_xll.EQNXTDZ($A$1,$B94,AW$5,$B$1)</f>
        <v>749.6</v>
      </c>
      <c r="AX94" s="54">
        <f>_xll.EQNXTDZ($A$1,$B94,AX$5,$B$1)</f>
        <v>0</v>
      </c>
      <c r="AY94" s="54">
        <f>_xll.EQNXTDZ($A$1,$B94,AY$5,$B$1)</f>
        <v>783.2</v>
      </c>
      <c r="AZ94" s="54">
        <f>_xll.EQNXTDZ($A$1,$B94,AZ$5,$B$1)</f>
        <v>0</v>
      </c>
      <c r="BA94" s="54">
        <f>_xll.EQNXTDZ($A$1,$B94,BA$5,$B$1)</f>
        <v>902.4</v>
      </c>
      <c r="BB94" s="54">
        <f>_xll.EQNXTDZ($A$1,$B94,BB$5,$B$1)</f>
        <v>0</v>
      </c>
      <c r="BC94" s="54">
        <f>_xll.EQNXTDZ($A$1,$B94,BC$5,$B$1)</f>
        <v>946.4</v>
      </c>
      <c r="BD94" s="54">
        <f>_xll.EQNXTDZ($A$1,$B94,BD$5,$B$1)</f>
        <v>0</v>
      </c>
      <c r="BE94" s="54">
        <f>_xll.EQNXTDZ($A$1,$B94,BE$5,$B$1)</f>
        <v>1050.4000000000001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5.93</v>
      </c>
      <c r="D96" s="54">
        <f>_xll.EQNXTDZ($A$1,$B96,D$5,$B$1)</f>
        <v>0</v>
      </c>
      <c r="E96" s="54">
        <f>_xll.EQNXTDZ($A$1,$B96,E$5,$B$1)</f>
        <v>0</v>
      </c>
      <c r="F96" s="54">
        <f>_xll.EQNXTDZ($A$1,$B96,F$5,$B$1)</f>
        <v>0</v>
      </c>
      <c r="G96" s="54">
        <f>_xll.EQNXTDZ($A$1,$B96,G$5,$B$1)</f>
        <v>6.65</v>
      </c>
      <c r="H96" s="54">
        <f>_xll.EQNXTDZ($A$1,$B96,H$5,$B$1)</f>
        <v>0</v>
      </c>
      <c r="I96" s="54">
        <f>_xll.EQNXTDZ($A$1,$B96,I$5,$B$1)</f>
        <v>7.78</v>
      </c>
      <c r="J96" s="54">
        <f>_xll.EQNXTDZ($A$1,$B96,J$5,$B$1)</f>
        <v>0</v>
      </c>
      <c r="K96" s="54">
        <f>_xll.EQNXTDZ($A$1,$B96,K$5,$B$1)</f>
        <v>8.4499999999999993</v>
      </c>
      <c r="L96" s="54">
        <f>_xll.EQNXTDZ($A$1,$B96,L$5,$B$1)</f>
        <v>0</v>
      </c>
      <c r="M96" s="54">
        <f>_xll.EQNXTDZ($A$1,$B96,M$5,$B$1)</f>
        <v>10.02</v>
      </c>
      <c r="N96" s="54">
        <f>_xll.EQNXTDZ($A$1,$B96,N$5,$B$1)</f>
        <v>0</v>
      </c>
      <c r="O96" s="54">
        <f>_xll.EQNXTDZ($A$1,$B96,O$5,$B$1)</f>
        <v>11.29</v>
      </c>
      <c r="P96" s="54">
        <f>_xll.EQNXTDZ($A$1,$B96,P$5,$B$1)</f>
        <v>0</v>
      </c>
      <c r="Q96" s="54">
        <f>_xll.EQNXTDZ($A$1,$B96,Q$5,$B$1)</f>
        <v>12.78</v>
      </c>
      <c r="R96" s="54">
        <f>_xll.EQNXTDZ($A$1,$B96,R$5,$B$1)</f>
        <v>0</v>
      </c>
      <c r="S96" s="54">
        <f>_xll.EQNXTDZ($A$1,$B96,S$5,$B$1)</f>
        <v>13.96</v>
      </c>
      <c r="T96" s="54">
        <f>_xll.EQNXTDZ($A$1,$B96,T$5,$B$1)</f>
        <v>0</v>
      </c>
      <c r="U96" s="54">
        <f>_xll.EQNXTDZ($A$1,$B96,U$5,$B$1)</f>
        <v>6.66</v>
      </c>
      <c r="V96" s="54">
        <f>_xll.EQNXTDZ($A$1,$B96,V$5,$B$1)</f>
        <v>0</v>
      </c>
      <c r="W96" s="54">
        <f>_xll.EQNXTDZ($A$1,$B96,W$5,$B$1)</f>
        <v>15.28</v>
      </c>
      <c r="X96" s="54">
        <f>_xll.EQNXTDZ($A$1,$B96,X$5,$B$1)</f>
        <v>0</v>
      </c>
      <c r="Y96" s="54">
        <f>_xll.EQNXTDZ($A$1,$B96,Y$5,$B$1)</f>
        <v>8.4</v>
      </c>
      <c r="Z96" s="54">
        <f>_xll.EQNXTDZ($A$1,$B96,Z$5,$B$1)</f>
        <v>0</v>
      </c>
      <c r="AA96" s="54">
        <f>_xll.EQNXTDZ($A$1,$B96,AA$5,$B$1)</f>
        <v>18.2</v>
      </c>
      <c r="AB96" s="54">
        <f>_xll.EQNXTDZ($A$1,$B96,AB$5,$B$1)</f>
        <v>0</v>
      </c>
      <c r="AC96" s="54">
        <f>_xll.EQNXTDZ($A$1,$B96,AC$5,$B$1)</f>
        <v>6.6</v>
      </c>
      <c r="AD96" s="54">
        <f>_xll.EQNXTDZ($A$1,$B96,AD$5,$B$1)</f>
        <v>0</v>
      </c>
      <c r="AE96" s="54">
        <f>_xll.EQNXTDZ($A$1,$B96,AE$5,$B$1)</f>
        <v>0.7</v>
      </c>
      <c r="AF96" s="54">
        <f>_xll.EQNXTDZ($A$1,$B96,AF$5,$B$1)</f>
        <v>0</v>
      </c>
      <c r="AG96" s="54">
        <f>_xll.EQNXTDZ($A$1,$B96,AG$5,$B$1)</f>
        <v>1.6</v>
      </c>
      <c r="AH96" s="54">
        <f>_xll.EQNXTDZ($A$1,$B96,AH$5,$B$1)</f>
        <v>0</v>
      </c>
      <c r="AI96" s="54">
        <f>_xll.EQNXTDZ($A$1,$B96,AI$5,$B$1)</f>
        <v>-2.5</v>
      </c>
      <c r="AJ96" s="54">
        <f>_xll.EQNXTDZ($A$1,$B96,AJ$5,$B$1)</f>
        <v>0</v>
      </c>
      <c r="AK96" s="54">
        <f>_xll.EQNXTDZ($A$1,$B96,AK$5,$B$1)</f>
        <v>0.9</v>
      </c>
      <c r="AL96" s="54">
        <f>_xll.EQNXTDZ($A$1,$B96,AL$5,$B$1)</f>
        <v>0</v>
      </c>
      <c r="AM96" s="54">
        <f>_xll.EQNXTDZ($A$1,$B96,AM$5,$B$1)</f>
        <v>3.6</v>
      </c>
      <c r="AN96" s="54">
        <f>_xll.EQNXTDZ($A$1,$B96,AN$5,$B$1)</f>
        <v>0</v>
      </c>
      <c r="AO96" s="54">
        <f>_xll.EQNXTDZ($A$1,$B96,AO$5,$B$1)</f>
        <v>5.0999999999999996</v>
      </c>
      <c r="AP96" s="54">
        <f>_xll.EQNXTDZ($A$1,$B96,AP$5,$B$1)</f>
        <v>0</v>
      </c>
      <c r="AQ96" s="54">
        <f>_xll.EQNXTDZ($A$1,$B96,AQ$5,$B$1)</f>
        <v>1.6</v>
      </c>
      <c r="AR96" s="54">
        <f>_xll.EQNXTDZ($A$1,$B96,AR$5,$B$1)</f>
        <v>0</v>
      </c>
      <c r="AS96" s="54">
        <f>_xll.EQNXTDZ($A$1,$B96,AS$5,$B$1)</f>
        <v>-1.3</v>
      </c>
      <c r="AT96" s="54">
        <f>_xll.EQNXTDZ($A$1,$B96,AT$5,$B$1)</f>
        <v>0</v>
      </c>
      <c r="AU96" s="54">
        <f>_xll.EQNXTDZ($A$1,$B96,AU$5,$B$1)</f>
        <v>-0.7</v>
      </c>
      <c r="AV96" s="54">
        <f>_xll.EQNXTDZ($A$1,$B96,AV$5,$B$1)</f>
        <v>0</v>
      </c>
      <c r="AW96" s="54">
        <f>_xll.EQNXTDZ($A$1,$B96,AW$5,$B$1)</f>
        <v>-1.5</v>
      </c>
      <c r="AX96" s="54">
        <f>_xll.EQNXTDZ($A$1,$B96,AX$5,$B$1)</f>
        <v>0</v>
      </c>
      <c r="AY96" s="54">
        <f>_xll.EQNXTDZ($A$1,$B96,AY$5,$B$1)</f>
        <v>-1.5</v>
      </c>
      <c r="AZ96" s="54">
        <f>_xll.EQNXTDZ($A$1,$B96,AZ$5,$B$1)</f>
        <v>0</v>
      </c>
      <c r="BA96" s="54">
        <f>_xll.EQNXTDZ($A$1,$B96,BA$5,$B$1)</f>
        <v>-2.2999999999999998</v>
      </c>
      <c r="BB96" s="54">
        <f>_xll.EQNXTDZ($A$1,$B96,BB$5,$B$1)</f>
        <v>0</v>
      </c>
      <c r="BC96" s="54">
        <f>_xll.EQNXTDZ($A$1,$B96,BC$5,$B$1)</f>
        <v>-1.7</v>
      </c>
      <c r="BD96" s="54">
        <f>_xll.EQNXTDZ($A$1,$B96,BD$5,$B$1)</f>
        <v>0</v>
      </c>
      <c r="BE96" s="54">
        <f>_xll.EQNXTDZ($A$1,$B96,BE$5,$B$1)</f>
        <v>10.9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443.14</v>
      </c>
      <c r="D97" s="54">
        <f>_xll.EQNXTDZ($A$1,$B97,D$5,$B$1)</f>
        <v>0</v>
      </c>
      <c r="E97" s="54">
        <f>_xll.EQNXTDZ($A$1,$B97,E$5,$B$1)</f>
        <v>0</v>
      </c>
      <c r="F97" s="54">
        <f>_xll.EQNXTDZ($A$1,$B97,F$5,$B$1)</f>
        <v>0</v>
      </c>
      <c r="G97" s="54">
        <f>_xll.EQNXTDZ($A$1,$B97,G$5,$B$1)</f>
        <v>485.71</v>
      </c>
      <c r="H97" s="54">
        <f>_xll.EQNXTDZ($A$1,$B97,H$5,$B$1)</f>
        <v>0</v>
      </c>
      <c r="I97" s="54">
        <f>_xll.EQNXTDZ($A$1,$B97,I$5,$B$1)</f>
        <v>541.08000000000004</v>
      </c>
      <c r="J97" s="54">
        <f>_xll.EQNXTDZ($A$1,$B97,J$5,$B$1)</f>
        <v>0</v>
      </c>
      <c r="K97" s="54">
        <f>_xll.EQNXTDZ($A$1,$B97,K$5,$B$1)</f>
        <v>530.42999999999995</v>
      </c>
      <c r="L97" s="54">
        <f>_xll.EQNXTDZ($A$1,$B97,L$5,$B$1)</f>
        <v>0</v>
      </c>
      <c r="M97" s="54">
        <f>_xll.EQNXTDZ($A$1,$B97,M$5,$B$1)</f>
        <v>593.49</v>
      </c>
      <c r="N97" s="54">
        <f>_xll.EQNXTDZ($A$1,$B97,N$5,$B$1)</f>
        <v>0</v>
      </c>
      <c r="O97" s="54">
        <f>_xll.EQNXTDZ($A$1,$B97,O$5,$B$1)</f>
        <v>571.02</v>
      </c>
      <c r="P97" s="54">
        <f>_xll.EQNXTDZ($A$1,$B97,P$5,$B$1)</f>
        <v>0</v>
      </c>
      <c r="Q97" s="54">
        <f>_xll.EQNXTDZ($A$1,$B97,Q$5,$B$1)</f>
        <v>639.34</v>
      </c>
      <c r="R97" s="54">
        <f>_xll.EQNXTDZ($A$1,$B97,R$5,$B$1)</f>
        <v>0</v>
      </c>
      <c r="S97" s="54">
        <f>_xll.EQNXTDZ($A$1,$B97,S$5,$B$1)</f>
        <v>621.88</v>
      </c>
      <c r="T97" s="54">
        <f>_xll.EQNXTDZ($A$1,$B97,T$5,$B$1)</f>
        <v>0</v>
      </c>
      <c r="U97" s="54">
        <f>_xll.EQNXTDZ($A$1,$B97,U$5,$B$1)</f>
        <v>697.15</v>
      </c>
      <c r="V97" s="54">
        <f>_xll.EQNXTDZ($A$1,$B97,V$5,$B$1)</f>
        <v>0</v>
      </c>
      <c r="W97" s="54">
        <f>_xll.EQNXTDZ($A$1,$B97,W$5,$B$1)</f>
        <v>656.08</v>
      </c>
      <c r="X97" s="54">
        <f>_xll.EQNXTDZ($A$1,$B97,X$5,$B$1)</f>
        <v>0</v>
      </c>
      <c r="Y97" s="54">
        <f>_xll.EQNXTDZ($A$1,$B97,Y$5,$B$1)</f>
        <v>747.7</v>
      </c>
      <c r="Z97" s="54">
        <f>_xll.EQNXTDZ($A$1,$B97,Z$5,$B$1)</f>
        <v>0</v>
      </c>
      <c r="AA97" s="54">
        <f>_xll.EQNXTDZ($A$1,$B97,AA$5,$B$1)</f>
        <v>707.5</v>
      </c>
      <c r="AB97" s="54">
        <f>_xll.EQNXTDZ($A$1,$B97,AB$5,$B$1)</f>
        <v>0</v>
      </c>
      <c r="AC97" s="54">
        <f>_xll.EQNXTDZ($A$1,$B97,AC$5,$B$1)</f>
        <v>794.4</v>
      </c>
      <c r="AD97" s="54">
        <f>_xll.EQNXTDZ($A$1,$B97,AD$5,$B$1)</f>
        <v>0</v>
      </c>
      <c r="AE97" s="54">
        <f>_xll.EQNXTDZ($A$1,$B97,AE$5,$B$1)</f>
        <v>865.6</v>
      </c>
      <c r="AF97" s="54">
        <f>_xll.EQNXTDZ($A$1,$B97,AF$5,$B$1)</f>
        <v>0</v>
      </c>
      <c r="AG97" s="54">
        <f>_xll.EQNXTDZ($A$1,$B97,AG$5,$B$1)</f>
        <v>871.1</v>
      </c>
      <c r="AH97" s="54">
        <f>_xll.EQNXTDZ($A$1,$B97,AH$5,$B$1)</f>
        <v>0</v>
      </c>
      <c r="AI97" s="54">
        <f>_xll.EQNXTDZ($A$1,$B97,AI$5,$B$1)</f>
        <v>890.6</v>
      </c>
      <c r="AJ97" s="54">
        <f>_xll.EQNXTDZ($A$1,$B97,AJ$5,$B$1)</f>
        <v>0</v>
      </c>
      <c r="AK97" s="54">
        <f>_xll.EQNXTDZ($A$1,$B97,AK$5,$B$1)</f>
        <v>936.9</v>
      </c>
      <c r="AL97" s="54">
        <f>_xll.EQNXTDZ($A$1,$B97,AL$5,$B$1)</f>
        <v>0</v>
      </c>
      <c r="AM97" s="54">
        <f>_xll.EQNXTDZ($A$1,$B97,AM$5,$B$1)</f>
        <v>981.2</v>
      </c>
      <c r="AN97" s="54">
        <f>_xll.EQNXTDZ($A$1,$B97,AN$5,$B$1)</f>
        <v>0</v>
      </c>
      <c r="AO97" s="54">
        <f>_xll.EQNXTDZ($A$1,$B97,AO$5,$B$1)</f>
        <v>1064.5</v>
      </c>
      <c r="AP97" s="54">
        <f>_xll.EQNXTDZ($A$1,$B97,AP$5,$B$1)</f>
        <v>0</v>
      </c>
      <c r="AQ97" s="54">
        <f>_xll.EQNXTDZ($A$1,$B97,AQ$5,$B$1)</f>
        <v>1103.7</v>
      </c>
      <c r="AR97" s="54">
        <f>_xll.EQNXTDZ($A$1,$B97,AR$5,$B$1)</f>
        <v>0</v>
      </c>
      <c r="AS97" s="54">
        <f>_xll.EQNXTDZ($A$1,$B97,AS$5,$B$1)</f>
        <v>1188.4000000000001</v>
      </c>
      <c r="AT97" s="54">
        <f>_xll.EQNXTDZ($A$1,$B97,AT$5,$B$1)</f>
        <v>0</v>
      </c>
      <c r="AU97" s="54">
        <f>_xll.EQNXTDZ($A$1,$B97,AU$5,$B$1)</f>
        <v>1241.4000000000001</v>
      </c>
      <c r="AV97" s="54">
        <f>_xll.EQNXTDZ($A$1,$B97,AV$5,$B$1)</f>
        <v>0</v>
      </c>
      <c r="AW97" s="54">
        <f>_xll.EQNXTDZ($A$1,$B97,AW$5,$B$1)</f>
        <v>1347.7</v>
      </c>
      <c r="AX97" s="54">
        <f>_xll.EQNXTDZ($A$1,$B97,AX$5,$B$1)</f>
        <v>0</v>
      </c>
      <c r="AY97" s="54">
        <f>_xll.EQNXTDZ($A$1,$B97,AY$5,$B$1)</f>
        <v>1399.7</v>
      </c>
      <c r="AZ97" s="54">
        <f>_xll.EQNXTDZ($A$1,$B97,AZ$5,$B$1)</f>
        <v>0</v>
      </c>
      <c r="BA97" s="54">
        <f>_xll.EQNXTDZ($A$1,$B97,BA$5,$B$1)</f>
        <v>1544.5</v>
      </c>
      <c r="BB97" s="54">
        <f>_xll.EQNXTDZ($A$1,$B97,BB$5,$B$1)</f>
        <v>0</v>
      </c>
      <c r="BC97" s="54">
        <f>_xll.EQNXTDZ($A$1,$B97,BC$5,$B$1)</f>
        <v>1602.5</v>
      </c>
      <c r="BD97" s="54">
        <f>_xll.EQNXTDZ($A$1,$B97,BD$5,$B$1)</f>
        <v>0</v>
      </c>
      <c r="BE97" s="54">
        <f>_xll.EQNXTDZ($A$1,$B97,BE$5,$B$1)</f>
        <v>1768.1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100249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KSB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183.57060000000001</v>
      </c>
      <c r="D6">
        <f>_xll.EQNXTDZ($A$1,$B6,D$1,$B$1)</f>
        <v>208.06</v>
      </c>
      <c r="E6">
        <f>_xll.EQNXTDZ($A$1,$B6,E$1,$B$1)</f>
        <v>246.67429999999999</v>
      </c>
      <c r="F6">
        <f>_xll.EQNXTDZ($A$1,$B6,F$1,$B$1)</f>
        <v>262.83699999999999</v>
      </c>
      <c r="G6">
        <f>_xll.EQNXTDZ($A$1,$B6,G$1,$B$1)</f>
        <v>332.44439999999997</v>
      </c>
      <c r="H6">
        <f>_xll.EQNXTDZ($A$1,$B6,H$1,$B$1)</f>
        <v>397.76569999999998</v>
      </c>
      <c r="I6">
        <f>_xll.EQNXTDZ($A$1,$B6,I$1,$B$1)</f>
        <v>453.14510000000001</v>
      </c>
      <c r="J6">
        <f>_xll.EQNXTDZ($A$1,$B6,J$1,$B$1)</f>
        <v>513.11689999999999</v>
      </c>
      <c r="K6">
        <f>_xll.EQNXTDZ($A$1,$B6,K$1,$B$1)</f>
        <v>659.75869999999998</v>
      </c>
      <c r="L6">
        <f>_xll.EQNXTDZ($A$1,$B6,L$1,$B$1)</f>
        <v>593.08900000000006</v>
      </c>
      <c r="M6">
        <f>_xll.EQNXTDZ($A$1,$B6,M$1,$B$1)</f>
        <v>643.26829999999995</v>
      </c>
      <c r="N6">
        <f>_xll.EQNXTDZ($A$1,$B6,N$1,$B$1)</f>
        <v>795.76900000000001</v>
      </c>
      <c r="O6">
        <f>_xll.EQNXTDZ($A$1,$B6,O$1,$B$1)</f>
        <v>762.81200000000001</v>
      </c>
      <c r="P6">
        <f>_xll.EQNXTDZ($A$1,$B6,P$1,$B$1)</f>
        <v>786.43799999999999</v>
      </c>
      <c r="Q6">
        <f>_xll.EQNXTDZ($A$1,$B6,Q$1,$B$1)</f>
        <v>852.36599999999999</v>
      </c>
      <c r="R6">
        <f>_xll.EQNXTDZ($A$1,$B6,R$1,$B$1)</f>
        <v>872.69899999999996</v>
      </c>
      <c r="S6">
        <f>_xll.EQNXTDZ($A$1,$B6,S$1,$B$1)</f>
        <v>879.95100000000002</v>
      </c>
      <c r="T6">
        <f>_xll.EQNXTDZ($A$1,$B6,T$1,$B$1)</f>
        <v>969.24699999999996</v>
      </c>
      <c r="U6">
        <f>_xll.EQNXTDZ($A$1,$B6,U$1,$B$1)</f>
        <v>1093.066</v>
      </c>
      <c r="V6">
        <f>_xll.EQNXTDZ($A$1,$B6,V$1,$B$1)</f>
        <v>1359.34</v>
      </c>
      <c r="W6">
        <f>_xll.EQNXTDZ($A$1,$B6,W$1,$B$1)</f>
        <v>1243.126</v>
      </c>
      <c r="X6">
        <f>_xll.EQNXTDZ($A$1,$B6,X$1,$B$1)</f>
        <v>1540.6579999999999</v>
      </c>
      <c r="Y6">
        <f>_xll.EQNXTDZ($A$1,$B6,Y$1,$B$1)</f>
        <v>1853.0930000000001</v>
      </c>
      <c r="Z6">
        <f>_xll.EQNXTDZ($A$1,$B6,Z$1,$B$1)</f>
        <v>2303.172</v>
      </c>
      <c r="AA6">
        <f>_xll.EQNXTDZ($A$1,$B6,AA$1,$B$1)</f>
        <v>2596.1750000000002</v>
      </c>
      <c r="AB6">
        <f>_xll.EQNXTDZ($A$1,$B6,AB$1,$B$1)</f>
        <v>2753.0250000000001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65.432000000000002</v>
      </c>
      <c r="W8">
        <f>_xll.EQNXTDZ($A$1,$B8,W$1,$B$1)</f>
        <v>35.011000000000003</v>
      </c>
      <c r="X8">
        <f>_xll.EQNXTDZ($A$1,$B8,X$1,$B$1)</f>
        <v>43.366999999999997</v>
      </c>
      <c r="Y8">
        <f>_xll.EQNXTDZ($A$1,$B8,Y$1,$B$1)</f>
        <v>31.132999999999999</v>
      </c>
      <c r="Z8">
        <f>_xll.EQNXTDZ($A$1,$B8,Z$1,$B$1)</f>
        <v>55.933999999999997</v>
      </c>
      <c r="AA8">
        <f>_xll.EQNXTDZ($A$1,$B8,AA$1,$B$1)</f>
        <v>63.088999999999999</v>
      </c>
      <c r="AB8">
        <f>_xll.EQNXTDZ($A$1,$B8,AB$1,$B$1)</f>
        <v>57.296999999999997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16.145499999999998</v>
      </c>
      <c r="F9">
        <f>_xll.EQNXTDZ($A$1,$B9,F$1,$B$1)</f>
        <v>19.991499999999998</v>
      </c>
      <c r="G9">
        <f>_xll.EQNXTDZ($A$1,$B9,G$1,$B$1)</f>
        <v>27.879899999999999</v>
      </c>
      <c r="H9">
        <f>_xll.EQNXTDZ($A$1,$B9,H$1,$B$1)</f>
        <v>37.8643</v>
      </c>
      <c r="I9">
        <f>_xll.EQNXTDZ($A$1,$B9,I$1,$B$1)</f>
        <v>45.641500000000001</v>
      </c>
      <c r="J9">
        <f>_xll.EQNXTDZ($A$1,$B9,J$1,$B$1)</f>
        <v>46.639699999999998</v>
      </c>
      <c r="K9">
        <f>_xll.EQNXTDZ($A$1,$B9,K$1,$B$1)</f>
        <v>61.659300000000002</v>
      </c>
      <c r="L9">
        <f>_xll.EQNXTDZ($A$1,$B9,L$1,$B$1)</f>
        <v>27.786000000000001</v>
      </c>
      <c r="M9">
        <f>_xll.EQNXTDZ($A$1,$B9,M$1,$B$1)</f>
        <v>33.0473</v>
      </c>
      <c r="N9">
        <f>_xll.EQNXTDZ($A$1,$B9,N$1,$B$1)</f>
        <v>43.856000000000002</v>
      </c>
      <c r="O9">
        <f>_xll.EQNXTDZ($A$1,$B9,O$1,$B$1)</f>
        <v>47.43</v>
      </c>
      <c r="P9">
        <f>_xll.EQNXTDZ($A$1,$B9,P$1,$B$1)</f>
        <v>53.703000000000003</v>
      </c>
      <c r="Q9">
        <f>_xll.EQNXTDZ($A$1,$B9,Q$1,$B$1)</f>
        <v>48.692999999999998</v>
      </c>
      <c r="R9">
        <f>_xll.EQNXTDZ($A$1,$B9,R$1,$B$1)</f>
        <v>51.972000000000001</v>
      </c>
      <c r="S9">
        <f>_xll.EQNXTDZ($A$1,$B9,S$1,$B$1)</f>
        <v>54.284999999999997</v>
      </c>
      <c r="T9">
        <f>_xll.EQNXTDZ($A$1,$B9,T$1,$B$1)</f>
        <v>24.91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183.57060000000001</v>
      </c>
      <c r="D10">
        <f>_xll.EQNXTDZ($A$1,$B10,D$1,$B$1)</f>
        <v>208.06</v>
      </c>
      <c r="E10">
        <f>_xll.EQNXTDZ($A$1,$B10,E$1,$B$1)</f>
        <v>230.52879999999999</v>
      </c>
      <c r="F10">
        <f>_xll.EQNXTDZ($A$1,$B10,F$1,$B$1)</f>
        <v>242.84549999999999</v>
      </c>
      <c r="G10">
        <f>_xll.EQNXTDZ($A$1,$B10,G$1,$B$1)</f>
        <v>304.56450000000001</v>
      </c>
      <c r="H10">
        <f>_xll.EQNXTDZ($A$1,$B10,H$1,$B$1)</f>
        <v>359.90140000000002</v>
      </c>
      <c r="I10">
        <f>_xll.EQNXTDZ($A$1,$B10,I$1,$B$1)</f>
        <v>407.50360000000001</v>
      </c>
      <c r="J10">
        <f>_xll.EQNXTDZ($A$1,$B10,J$1,$B$1)</f>
        <v>466.47719999999998</v>
      </c>
      <c r="K10">
        <f>_xll.EQNXTDZ($A$1,$B10,K$1,$B$1)</f>
        <v>598.09939999999995</v>
      </c>
      <c r="L10">
        <f>_xll.EQNXTDZ($A$1,$B10,L$1,$B$1)</f>
        <v>565.303</v>
      </c>
      <c r="M10">
        <f>_xll.EQNXTDZ($A$1,$B10,M$1,$B$1)</f>
        <v>610.221</v>
      </c>
      <c r="N10">
        <f>_xll.EQNXTDZ($A$1,$B10,N$1,$B$1)</f>
        <v>751.91300000000001</v>
      </c>
      <c r="O10">
        <f>_xll.EQNXTDZ($A$1,$B10,O$1,$B$1)</f>
        <v>715.38199999999995</v>
      </c>
      <c r="P10">
        <f>_xll.EQNXTDZ($A$1,$B10,P$1,$B$1)</f>
        <v>732.73500000000001</v>
      </c>
      <c r="Q10">
        <f>_xll.EQNXTDZ($A$1,$B10,Q$1,$B$1)</f>
        <v>803.673</v>
      </c>
      <c r="R10">
        <f>_xll.EQNXTDZ($A$1,$B10,R$1,$B$1)</f>
        <v>820.72699999999998</v>
      </c>
      <c r="S10">
        <f>_xll.EQNXTDZ($A$1,$B10,S$1,$B$1)</f>
        <v>825.66600000000005</v>
      </c>
      <c r="T10">
        <f>_xll.EQNXTDZ($A$1,$B10,T$1,$B$1)</f>
        <v>944.33699999999999</v>
      </c>
      <c r="U10">
        <f>_xll.EQNXTDZ($A$1,$B10,U$1,$B$1)</f>
        <v>1093.066</v>
      </c>
      <c r="V10">
        <f>_xll.EQNXTDZ($A$1,$B10,V$1,$B$1)</f>
        <v>1293.9079999999999</v>
      </c>
      <c r="W10">
        <f>_xll.EQNXTDZ($A$1,$B10,W$1,$B$1)</f>
        <v>1208.115</v>
      </c>
      <c r="X10">
        <f>_xll.EQNXTDZ($A$1,$B10,X$1,$B$1)</f>
        <v>1497.2909999999999</v>
      </c>
      <c r="Y10">
        <f>_xll.EQNXTDZ($A$1,$B10,Y$1,$B$1)</f>
        <v>1821.96</v>
      </c>
      <c r="Z10">
        <f>_xll.EQNXTDZ($A$1,$B10,Z$1,$B$1)</f>
        <v>2247.2379999999998</v>
      </c>
      <c r="AA10">
        <f>_xll.EQNXTDZ($A$1,$B10,AA$1,$B$1)</f>
        <v>2533.0859999999998</v>
      </c>
      <c r="AB10">
        <f>_xll.EQNXTDZ($A$1,$B10,AB$1,$B$1)</f>
        <v>2695.7280000000001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-4.9865000000000004</v>
      </c>
      <c r="D11">
        <f>_xll.EQNXTDZ($A$1,$B11,D$1,$B$1)</f>
        <v>-2.3003999999999998</v>
      </c>
      <c r="E11">
        <f>_xll.EQNXTDZ($A$1,$B11,E$1,$B$1)</f>
        <v>-0.21049999999999999</v>
      </c>
      <c r="F11">
        <f>_xll.EQNXTDZ($A$1,$B11,F$1,$B$1)</f>
        <v>-5.7236000000000002</v>
      </c>
      <c r="G11">
        <f>_xll.EQNXTDZ($A$1,$B11,G$1,$B$1)</f>
        <v>-2.9784999999999999</v>
      </c>
      <c r="H11">
        <f>_xll.EQNXTDZ($A$1,$B11,H$1,$B$1)</f>
        <v>-5.5270999999999999</v>
      </c>
      <c r="I11">
        <f>_xll.EQNXTDZ($A$1,$B11,I$1,$B$1)</f>
        <v>-1.3515999999999999</v>
      </c>
      <c r="J11">
        <f>_xll.EQNXTDZ($A$1,$B11,J$1,$B$1)</f>
        <v>-24.510999999999999</v>
      </c>
      <c r="K11">
        <f>_xll.EQNXTDZ($A$1,$B11,K$1,$B$1)</f>
        <v>-4.3746</v>
      </c>
      <c r="L11">
        <f>_xll.EQNXTDZ($A$1,$B11,L$1,$B$1)</f>
        <v>10.206899999999999</v>
      </c>
      <c r="M11">
        <f>_xll.EQNXTDZ($A$1,$B11,M$1,$B$1)</f>
        <v>-34.997999999999998</v>
      </c>
      <c r="N11">
        <f>_xll.EQNXTDZ($A$1,$B11,N$1,$B$1)</f>
        <v>-27.013999999999999</v>
      </c>
      <c r="O11">
        <f>_xll.EQNXTDZ($A$1,$B11,O$1,$B$1)</f>
        <v>5.82</v>
      </c>
      <c r="P11">
        <f>_xll.EQNXTDZ($A$1,$B11,P$1,$B$1)</f>
        <v>3.738</v>
      </c>
      <c r="Q11">
        <f>_xll.EQNXTDZ($A$1,$B11,Q$1,$B$1)</f>
        <v>-19.120999999999999</v>
      </c>
      <c r="R11">
        <f>_xll.EQNXTDZ($A$1,$B11,R$1,$B$1)</f>
        <v>10.457000000000001</v>
      </c>
      <c r="S11">
        <f>_xll.EQNXTDZ($A$1,$B11,S$1,$B$1)</f>
        <v>-11.885</v>
      </c>
      <c r="T11">
        <f>_xll.EQNXTDZ($A$1,$B11,T$1,$B$1)</f>
        <v>-28.899000000000001</v>
      </c>
      <c r="U11">
        <f>_xll.EQNXTDZ($A$1,$B11,U$1,$B$1)</f>
        <v>-33.654000000000003</v>
      </c>
      <c r="V11">
        <f>_xll.EQNXTDZ($A$1,$B11,V$1,$B$1)</f>
        <v>-9.5109999999999992</v>
      </c>
      <c r="W11">
        <f>_xll.EQNXTDZ($A$1,$B11,W$1,$B$1)</f>
        <v>-27.811</v>
      </c>
      <c r="X11">
        <f>_xll.EQNXTDZ($A$1,$B11,X$1,$B$1)</f>
        <v>-64.161000000000001</v>
      </c>
      <c r="Y11">
        <f>_xll.EQNXTDZ($A$1,$B11,Y$1,$B$1)</f>
        <v>-75.004999999999995</v>
      </c>
      <c r="Z11">
        <f>_xll.EQNXTDZ($A$1,$B11,Z$1,$B$1)</f>
        <v>17.908000000000001</v>
      </c>
      <c r="AA11">
        <f>_xll.EQNXTDZ($A$1,$B11,AA$1,$B$1)</f>
        <v>-37.994</v>
      </c>
      <c r="AB11">
        <f>_xll.EQNXTDZ($A$1,$B11,AB$1,$B$1)</f>
        <v>-93.224000000000004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89.888099999999994</v>
      </c>
      <c r="D12">
        <f>_xll.EQNXTDZ($A$1,$B12,D$1,$B$1)</f>
        <v>99.251099999999994</v>
      </c>
      <c r="E12">
        <f>_xll.EQNXTDZ($A$1,$B12,E$1,$B$1)</f>
        <v>101.80500000000001</v>
      </c>
      <c r="F12">
        <f>_xll.EQNXTDZ($A$1,$B12,F$1,$B$1)</f>
        <v>106.0585</v>
      </c>
      <c r="G12">
        <f>_xll.EQNXTDZ($A$1,$B12,G$1,$B$1)</f>
        <v>137.6404</v>
      </c>
      <c r="H12">
        <f>_xll.EQNXTDZ($A$1,$B12,H$1,$B$1)</f>
        <v>165.43620000000001</v>
      </c>
      <c r="I12">
        <f>_xll.EQNXTDZ($A$1,$B12,I$1,$B$1)</f>
        <v>175.74430000000001</v>
      </c>
      <c r="J12">
        <f>_xll.EQNXTDZ($A$1,$B12,J$1,$B$1)</f>
        <v>250.97550000000001</v>
      </c>
      <c r="K12">
        <f>_xll.EQNXTDZ($A$1,$B12,K$1,$B$1)</f>
        <v>291.21949999999998</v>
      </c>
      <c r="L12">
        <f>_xll.EQNXTDZ($A$1,$B12,L$1,$B$1)</f>
        <v>245.405</v>
      </c>
      <c r="M12">
        <f>_xll.EQNXTDZ($A$1,$B12,M$1,$B$1)</f>
        <v>338.31290000000001</v>
      </c>
      <c r="N12">
        <f>_xll.EQNXTDZ($A$1,$B12,N$1,$B$1)</f>
        <v>426.03100000000001</v>
      </c>
      <c r="O12">
        <f>_xll.EQNXTDZ($A$1,$B12,O$1,$B$1)</f>
        <v>352.33199999999999</v>
      </c>
      <c r="P12">
        <f>_xll.EQNXTDZ($A$1,$B12,P$1,$B$1)</f>
        <v>340.07499999999999</v>
      </c>
      <c r="Q12">
        <f>_xll.EQNXTDZ($A$1,$B12,Q$1,$B$1)</f>
        <v>401.22899999999998</v>
      </c>
      <c r="R12">
        <f>_xll.EQNXTDZ($A$1,$B12,R$1,$B$1)</f>
        <v>376.85399999999998</v>
      </c>
      <c r="S12">
        <f>_xll.EQNXTDZ($A$1,$B12,S$1,$B$1)</f>
        <v>398.79300000000001</v>
      </c>
      <c r="T12">
        <f>_xll.EQNXTDZ($A$1,$B12,T$1,$B$1)</f>
        <v>494.47199999999998</v>
      </c>
      <c r="U12">
        <f>_xll.EQNXTDZ($A$1,$B12,U$1,$B$1)</f>
        <v>598.72299999999996</v>
      </c>
      <c r="V12">
        <f>_xll.EQNXTDZ($A$1,$B12,V$1,$B$1)</f>
        <v>707.81700000000001</v>
      </c>
      <c r="W12">
        <f>_xll.EQNXTDZ($A$1,$B12,W$1,$B$1)</f>
        <v>648.32899999999995</v>
      </c>
      <c r="X12">
        <f>_xll.EQNXTDZ($A$1,$B12,X$1,$B$1)</f>
        <v>856.58600000000001</v>
      </c>
      <c r="Y12">
        <f>_xll.EQNXTDZ($A$1,$B12,Y$1,$B$1)</f>
        <v>1063.0060000000001</v>
      </c>
      <c r="Z12">
        <f>_xll.EQNXTDZ($A$1,$B12,Z$1,$B$1)</f>
        <v>1259.6020000000001</v>
      </c>
      <c r="AA12">
        <f>_xll.EQNXTDZ($A$1,$B12,AA$1,$B$1)</f>
        <v>1460.1379999999999</v>
      </c>
      <c r="AB12">
        <f>_xll.EQNXTDZ($A$1,$B12,AB$1,$B$1)</f>
        <v>1549.4880000000001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4.9139999999999997</v>
      </c>
      <c r="D13">
        <f>_xll.EQNXTDZ($A$1,$B13,D$1,$B$1)</f>
        <v>5.2111999999999998</v>
      </c>
      <c r="E13">
        <f>_xll.EQNXTDZ($A$1,$B13,E$1,$B$1)</f>
        <v>7.6916000000000002</v>
      </c>
      <c r="F13">
        <f>_xll.EQNXTDZ($A$1,$B13,F$1,$B$1)</f>
        <v>7.4721000000000002</v>
      </c>
      <c r="G13">
        <f>_xll.EQNXTDZ($A$1,$B13,G$1,$B$1)</f>
        <v>8.3324999999999996</v>
      </c>
      <c r="H13">
        <f>_xll.EQNXTDZ($A$1,$B13,H$1,$B$1)</f>
        <v>8.5091999999999999</v>
      </c>
      <c r="I13">
        <f>_xll.EQNXTDZ($A$1,$B13,I$1,$B$1)</f>
        <v>8.9056999999999995</v>
      </c>
      <c r="J13">
        <f>_xll.EQNXTDZ($A$1,$B13,J$1,$B$1)</f>
        <v>9.8512000000000004</v>
      </c>
      <c r="K13">
        <f>_xll.EQNXTDZ($A$1,$B13,K$1,$B$1)</f>
        <v>10.789199999999999</v>
      </c>
      <c r="L13">
        <f>_xll.EQNXTDZ($A$1,$B13,L$1,$B$1)</f>
        <v>9.0307999999999993</v>
      </c>
      <c r="M13">
        <f>_xll.EQNXTDZ($A$1,$B13,M$1,$B$1)</f>
        <v>11.4101</v>
      </c>
      <c r="N13">
        <f>_xll.EQNXTDZ($A$1,$B13,N$1,$B$1)</f>
        <v>13.952</v>
      </c>
      <c r="O13">
        <f>_xll.EQNXTDZ($A$1,$B13,O$1,$B$1)</f>
        <v>14.356</v>
      </c>
      <c r="P13">
        <f>_xll.EQNXTDZ($A$1,$B13,P$1,$B$1)</f>
        <v>15.666</v>
      </c>
      <c r="Q13">
        <f>_xll.EQNXTDZ($A$1,$B13,Q$1,$B$1)</f>
        <v>17.268999999999998</v>
      </c>
      <c r="R13">
        <f>_xll.EQNXTDZ($A$1,$B13,R$1,$B$1)</f>
        <v>17.588999999999999</v>
      </c>
      <c r="S13">
        <f>_xll.EQNXTDZ($A$1,$B13,S$1,$B$1)</f>
        <v>18.916</v>
      </c>
      <c r="T13">
        <f>_xll.EQNXTDZ($A$1,$B13,T$1,$B$1)</f>
        <v>21.13</v>
      </c>
      <c r="U13">
        <f>_xll.EQNXTDZ($A$1,$B13,U$1,$B$1)</f>
        <v>22.995999999999999</v>
      </c>
      <c r="V13">
        <f>_xll.EQNXTDZ($A$1,$B13,V$1,$B$1)</f>
        <v>24.233000000000001</v>
      </c>
      <c r="W13">
        <f>_xll.EQNXTDZ($A$1,$B13,W$1,$B$1)</f>
        <v>17.966999999999999</v>
      </c>
      <c r="X13">
        <f>_xll.EQNXTDZ($A$1,$B13,X$1,$B$1)</f>
        <v>21.501000000000001</v>
      </c>
      <c r="Y13">
        <f>_xll.EQNXTDZ($A$1,$B13,Y$1,$B$1)</f>
        <v>24.782</v>
      </c>
      <c r="Z13">
        <f>_xll.EQNXTDZ($A$1,$B13,Z$1,$B$1)</f>
        <v>24.606000000000002</v>
      </c>
      <c r="AA13">
        <f>_xll.EQNXTDZ($A$1,$B13,AA$1,$B$1)</f>
        <v>22.739000000000001</v>
      </c>
      <c r="AB13">
        <f>_xll.EQNXTDZ($A$1,$B13,AB$1,$B$1)</f>
        <v>22.018999999999998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37.540599999999998</v>
      </c>
      <c r="D14">
        <f>_xll.EQNXTDZ($A$1,$B14,D$1,$B$1)</f>
        <v>31.784500000000001</v>
      </c>
      <c r="E14">
        <f>_xll.EQNXTDZ($A$1,$B14,E$1,$B$1)</f>
        <v>38.630000000000003</v>
      </c>
      <c r="F14">
        <f>_xll.EQNXTDZ($A$1,$B14,F$1,$B$1)</f>
        <v>45.985399999999998</v>
      </c>
      <c r="G14">
        <f>_xll.EQNXTDZ($A$1,$B14,G$1,$B$1)</f>
        <v>45.377600000000001</v>
      </c>
      <c r="H14">
        <f>_xll.EQNXTDZ($A$1,$B14,H$1,$B$1)</f>
        <v>48.9709</v>
      </c>
      <c r="I14">
        <f>_xll.EQNXTDZ($A$1,$B14,I$1,$B$1)</f>
        <v>53.2348</v>
      </c>
      <c r="J14">
        <f>_xll.EQNXTDZ($A$1,$B14,J$1,$B$1)</f>
        <v>62.115699999999997</v>
      </c>
      <c r="K14">
        <f>_xll.EQNXTDZ($A$1,$B14,K$1,$B$1)</f>
        <v>77.013400000000004</v>
      </c>
      <c r="L14">
        <f>_xll.EQNXTDZ($A$1,$B14,L$1,$B$1)</f>
        <v>79.246899999999997</v>
      </c>
      <c r="M14">
        <f>_xll.EQNXTDZ($A$1,$B14,M$1,$B$1)</f>
        <v>91.230999999999995</v>
      </c>
      <c r="N14">
        <f>_xll.EQNXTDZ($A$1,$B14,N$1,$B$1)</f>
        <v>104.479</v>
      </c>
      <c r="O14">
        <f>_xll.EQNXTDZ($A$1,$B14,O$1,$B$1)</f>
        <v>103.667</v>
      </c>
      <c r="P14">
        <f>_xll.EQNXTDZ($A$1,$B14,P$1,$B$1)</f>
        <v>110.09699999999999</v>
      </c>
      <c r="Q14">
        <f>_xll.EQNXTDZ($A$1,$B14,Q$1,$B$1)</f>
        <v>127.10599999999999</v>
      </c>
      <c r="R14">
        <f>_xll.EQNXTDZ($A$1,$B14,R$1,$B$1)</f>
        <v>124.852</v>
      </c>
      <c r="S14">
        <f>_xll.EQNXTDZ($A$1,$B14,S$1,$B$1)</f>
        <v>136.078</v>
      </c>
      <c r="T14">
        <f>_xll.EQNXTDZ($A$1,$B14,T$1,$B$1)</f>
        <v>144.59399999999999</v>
      </c>
      <c r="U14">
        <f>_xll.EQNXTDZ($A$1,$B14,U$1,$B$1)</f>
        <v>153.96600000000001</v>
      </c>
      <c r="V14">
        <f>_xll.EQNXTDZ($A$1,$B14,V$1,$B$1)</f>
        <v>177.18299999999999</v>
      </c>
      <c r="W14">
        <f>_xll.EQNXTDZ($A$1,$B14,W$1,$B$1)</f>
        <v>186.24299999999999</v>
      </c>
      <c r="X14">
        <f>_xll.EQNXTDZ($A$1,$B14,X$1,$B$1)</f>
        <v>215.375</v>
      </c>
      <c r="Y14">
        <f>_xll.EQNXTDZ($A$1,$B14,Y$1,$B$1)</f>
        <v>243.89699999999999</v>
      </c>
      <c r="Z14">
        <f>_xll.EQNXTDZ($A$1,$B14,Z$1,$B$1)</f>
        <v>269.68299999999999</v>
      </c>
      <c r="AA14">
        <f>_xll.EQNXTDZ($A$1,$B14,AA$1,$B$1)</f>
        <v>313.51900000000001</v>
      </c>
      <c r="AB14">
        <f>_xll.EQNXTDZ($A$1,$B14,AB$1,$B$1)</f>
        <v>364.22800000000001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14.978199999999999</v>
      </c>
      <c r="D15">
        <f>_xll.EQNXTDZ($A$1,$B15,D$1,$B$1)</f>
        <v>15.8263</v>
      </c>
      <c r="E15">
        <f>_xll.EQNXTDZ($A$1,$B15,E$1,$B$1)</f>
        <v>19.458500000000001</v>
      </c>
      <c r="F15">
        <f>_xll.EQNXTDZ($A$1,$B15,F$1,$B$1)</f>
        <v>20.857800000000001</v>
      </c>
      <c r="G15">
        <f>_xll.EQNXTDZ($A$1,$B15,G$1,$B$1)</f>
        <v>26.298200000000001</v>
      </c>
      <c r="H15">
        <f>_xll.EQNXTDZ($A$1,$B15,H$1,$B$1)</f>
        <v>31.378399999999999</v>
      </c>
      <c r="I15">
        <f>_xll.EQNXTDZ($A$1,$B15,I$1,$B$1)</f>
        <v>36.229999999999997</v>
      </c>
      <c r="J15">
        <f>_xll.EQNXTDZ($A$1,$B15,J$1,$B$1)</f>
        <v>40.324599999999997</v>
      </c>
      <c r="K15">
        <f>_xll.EQNXTDZ($A$1,$B15,K$1,$B$1)</f>
        <v>45.583799999999997</v>
      </c>
      <c r="L15">
        <f>_xll.EQNXTDZ($A$1,$B15,L$1,$B$1)</f>
        <v>42.218400000000003</v>
      </c>
      <c r="M15">
        <f>_xll.EQNXTDZ($A$1,$B15,M$1,$B$1)</f>
        <v>48.388399999999997</v>
      </c>
      <c r="N15">
        <f>_xll.EQNXTDZ($A$1,$B15,N$1,$B$1)</f>
        <v>64.260000000000005</v>
      </c>
      <c r="O15">
        <f>_xll.EQNXTDZ($A$1,$B15,O$1,$B$1)</f>
        <v>65.188000000000002</v>
      </c>
      <c r="P15">
        <f>_xll.EQNXTDZ($A$1,$B15,P$1,$B$1)</f>
        <v>70.271000000000001</v>
      </c>
      <c r="Q15">
        <f>_xll.EQNXTDZ($A$1,$B15,Q$1,$B$1)</f>
        <v>76.210999999999999</v>
      </c>
      <c r="R15">
        <f>_xll.EQNXTDZ($A$1,$B15,R$1,$B$1)</f>
        <v>79.745000000000005</v>
      </c>
      <c r="S15">
        <f>_xll.EQNXTDZ($A$1,$B15,S$1,$B$1)</f>
        <v>84.483999999999995</v>
      </c>
      <c r="T15">
        <f>_xll.EQNXTDZ($A$1,$B15,T$1,$B$1)</f>
        <v>98.730999999999995</v>
      </c>
      <c r="U15">
        <f>_xll.EQNXTDZ($A$1,$B15,U$1,$B$1)</f>
        <v>114.02500000000001</v>
      </c>
      <c r="V15">
        <f>_xll.EQNXTDZ($A$1,$B15,V$1,$B$1)</f>
        <v>120.732</v>
      </c>
      <c r="W15">
        <f>_xll.EQNXTDZ($A$1,$B15,W$1,$B$1)</f>
        <v>97.183000000000007</v>
      </c>
      <c r="X15">
        <f>_xll.EQNXTDZ($A$1,$B15,X$1,$B$1)</f>
        <v>142.01400000000001</v>
      </c>
      <c r="Y15">
        <f>_xll.EQNXTDZ($A$1,$B15,Y$1,$B$1)</f>
        <v>182.54300000000001</v>
      </c>
      <c r="Z15">
        <f>_xll.EQNXTDZ($A$1,$B15,Z$1,$B$1)</f>
        <v>210.108</v>
      </c>
      <c r="AA15">
        <f>_xll.EQNXTDZ($A$1,$B15,AA$1,$B$1)</f>
        <v>240.31899999999999</v>
      </c>
      <c r="AB15">
        <f>_xll.EQNXTDZ($A$1,$B15,AB$1,$B$1)</f>
        <v>250.946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27.750599999999999</v>
      </c>
      <c r="D17">
        <f>_xll.EQNXTDZ($A$1,$B17,D$1,$B$1)</f>
        <v>27.981200000000001</v>
      </c>
      <c r="E17">
        <f>_xll.EQNXTDZ($A$1,$B17,E$1,$B$1)</f>
        <v>25.738299999999999</v>
      </c>
      <c r="F17">
        <f>_xll.EQNXTDZ($A$1,$B17,F$1,$B$1)</f>
        <v>27.442900000000002</v>
      </c>
      <c r="G17">
        <f>_xll.EQNXTDZ($A$1,$B17,G$1,$B$1)</f>
        <v>28.3811</v>
      </c>
      <c r="H17">
        <f>_xll.EQNXTDZ($A$1,$B17,H$1,$B$1)</f>
        <v>32.891399999999997</v>
      </c>
      <c r="I17">
        <f>_xll.EQNXTDZ($A$1,$B17,I$1,$B$1)</f>
        <v>40.055500000000002</v>
      </c>
      <c r="J17">
        <f>_xll.EQNXTDZ($A$1,$B17,J$1,$B$1)</f>
        <v>47.591799999999999</v>
      </c>
      <c r="K17">
        <f>_xll.EQNXTDZ($A$1,$B17,K$1,$B$1)</f>
        <v>45.800899999999999</v>
      </c>
      <c r="L17">
        <f>_xll.EQNXTDZ($A$1,$B17,L$1,$B$1)</f>
        <v>43.860700000000001</v>
      </c>
      <c r="M17">
        <f>_xll.EQNXTDZ($A$1,$B17,M$1,$B$1)</f>
        <v>61.178800000000003</v>
      </c>
      <c r="N17">
        <f>_xll.EQNXTDZ($A$1,$B17,N$1,$B$1)</f>
        <v>47.142000000000003</v>
      </c>
      <c r="O17">
        <f>_xll.EQNXTDZ($A$1,$B17,O$1,$B$1)</f>
        <v>30.952000000000002</v>
      </c>
      <c r="P17">
        <f>_xll.EQNXTDZ($A$1,$B17,P$1,$B$1)</f>
        <v>32.439</v>
      </c>
      <c r="Q17">
        <f>_xll.EQNXTDZ($A$1,$B17,Q$1,$B$1)</f>
        <v>32.353999999999999</v>
      </c>
      <c r="R17">
        <f>_xll.EQNXTDZ($A$1,$B17,R$1,$B$1)</f>
        <v>35.622</v>
      </c>
      <c r="S17">
        <f>_xll.EQNXTDZ($A$1,$B17,S$1,$B$1)</f>
        <v>41.192</v>
      </c>
      <c r="T17">
        <f>_xll.EQNXTDZ($A$1,$B17,T$1,$B$1)</f>
        <v>59.44</v>
      </c>
      <c r="U17">
        <f>_xll.EQNXTDZ($A$1,$B17,U$1,$B$1)</f>
        <v>59.418999999999997</v>
      </c>
      <c r="V17">
        <f>_xll.EQNXTDZ($A$1,$B17,V$1,$B$1)</f>
        <v>67.643000000000001</v>
      </c>
      <c r="W17">
        <f>_xll.EQNXTDZ($A$1,$B17,W$1,$B$1)</f>
        <v>54.423000000000002</v>
      </c>
      <c r="X17">
        <f>_xll.EQNXTDZ($A$1,$B17,X$1,$B$1)</f>
        <v>30.367000000000001</v>
      </c>
      <c r="Y17">
        <f>_xll.EQNXTDZ($A$1,$B17,Y$1,$B$1)</f>
        <v>27.555</v>
      </c>
      <c r="Z17">
        <f>_xll.EQNXTDZ($A$1,$B17,Z$1,$B$1)</f>
        <v>49.313000000000002</v>
      </c>
      <c r="AA17">
        <f>_xll.EQNXTDZ($A$1,$B17,AA$1,$B$1)</f>
        <v>54.283000000000001</v>
      </c>
      <c r="AB17">
        <f>_xll.EQNXTDZ($A$1,$B17,AB$1,$B$1)</f>
        <v>67.275000000000006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8.4801000000000002</v>
      </c>
      <c r="D18">
        <f>_xll.EQNXTDZ($A$1,$B18,D$1,$B$1)</f>
        <v>9.1987000000000005</v>
      </c>
      <c r="E18">
        <f>_xll.EQNXTDZ($A$1,$B18,E$1,$B$1)</f>
        <v>10.301299999999999</v>
      </c>
      <c r="F18">
        <f>_xll.EQNXTDZ($A$1,$B18,F$1,$B$1)</f>
        <v>10.936500000000001</v>
      </c>
      <c r="G18">
        <f>_xll.EQNXTDZ($A$1,$B18,G$1,$B$1)</f>
        <v>12.7087</v>
      </c>
      <c r="H18">
        <f>_xll.EQNXTDZ($A$1,$B18,H$1,$B$1)</f>
        <v>13.825200000000001</v>
      </c>
      <c r="I18">
        <f>_xll.EQNXTDZ($A$1,$B18,I$1,$B$1)</f>
        <v>11.452199999999999</v>
      </c>
      <c r="J18">
        <f>_xll.EQNXTDZ($A$1,$B18,J$1,$B$1)</f>
        <v>13.272</v>
      </c>
      <c r="K18">
        <f>_xll.EQNXTDZ($A$1,$B18,K$1,$B$1)</f>
        <v>25.514700000000001</v>
      </c>
      <c r="L18">
        <f>_xll.EQNXTDZ($A$1,$B18,L$1,$B$1)</f>
        <v>20.5916</v>
      </c>
      <c r="M18">
        <f>_xll.EQNXTDZ($A$1,$B18,M$1,$B$1)</f>
        <v>18.046800000000001</v>
      </c>
      <c r="N18">
        <f>_xll.EQNXTDZ($A$1,$B18,N$1,$B$1)</f>
        <v>23.242999999999999</v>
      </c>
      <c r="O18">
        <f>_xll.EQNXTDZ($A$1,$B18,O$1,$B$1)</f>
        <v>13.967000000000001</v>
      </c>
      <c r="P18">
        <f>_xll.EQNXTDZ($A$1,$B18,P$1,$B$1)</f>
        <v>17.035</v>
      </c>
      <c r="Q18">
        <f>_xll.EQNXTDZ($A$1,$B18,Q$1,$B$1)</f>
        <v>20.998999999999999</v>
      </c>
      <c r="R18">
        <f>_xll.EQNXTDZ($A$1,$B18,R$1,$B$1)</f>
        <v>22.687000000000001</v>
      </c>
      <c r="S18">
        <f>_xll.EQNXTDZ($A$1,$B18,S$1,$B$1)</f>
        <v>18.300999999999998</v>
      </c>
      <c r="T18">
        <f>_xll.EQNXTDZ($A$1,$B18,T$1,$B$1)</f>
        <v>10.936999999999999</v>
      </c>
      <c r="U18">
        <f>_xll.EQNXTDZ($A$1,$B18,U$1,$B$1)</f>
        <v>8.2720000000000002</v>
      </c>
      <c r="V18">
        <f>_xll.EQNXTDZ($A$1,$B18,V$1,$B$1)</f>
        <v>8.9960000000000004</v>
      </c>
      <c r="W18">
        <f>_xll.EQNXTDZ($A$1,$B18,W$1,$B$1)</f>
        <v>10.77</v>
      </c>
      <c r="X18">
        <f>_xll.EQNXTDZ($A$1,$B18,X$1,$B$1)</f>
        <v>38.283999999999999</v>
      </c>
      <c r="Y18">
        <f>_xll.EQNXTDZ($A$1,$B18,Y$1,$B$1)</f>
        <v>53.298999999999999</v>
      </c>
      <c r="Z18">
        <f>_xll.EQNXTDZ($A$1,$B18,Z$1,$B$1)</f>
        <v>55.627000000000002</v>
      </c>
      <c r="AA18">
        <f>_xll.EQNXTDZ($A$1,$B18,AA$1,$B$1)</f>
        <v>63.031999999999996</v>
      </c>
      <c r="AB18">
        <f>_xll.EQNXTDZ($A$1,$B18,AB$1,$B$1)</f>
        <v>72.796000000000006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0.25180000000000002</v>
      </c>
      <c r="D19">
        <f>_xll.EQNXTDZ($A$1,$B19,D$1,$B$1)</f>
        <v>0.4254</v>
      </c>
      <c r="E19">
        <f>_xll.EQNXTDZ($A$1,$B19,E$1,$B$1)</f>
        <v>1.2531000000000001</v>
      </c>
      <c r="F19">
        <f>_xll.EQNXTDZ($A$1,$B19,F$1,$B$1)</f>
        <v>1.1813</v>
      </c>
      <c r="G19">
        <f>_xll.EQNXTDZ($A$1,$B19,G$1,$B$1)</f>
        <v>0.40920000000000001</v>
      </c>
      <c r="H19">
        <f>_xll.EQNXTDZ($A$1,$B19,H$1,$B$1)</f>
        <v>0.43980000000000002</v>
      </c>
      <c r="I19">
        <f>_xll.EQNXTDZ($A$1,$B19,I$1,$B$1)</f>
        <v>0.96560000000000001</v>
      </c>
      <c r="J19">
        <f>_xll.EQNXTDZ($A$1,$B19,J$1,$B$1)</f>
        <v>0</v>
      </c>
      <c r="K19">
        <f>_xll.EQNXTDZ($A$1,$B19,K$1,$B$1)</f>
        <v>2.9066999999999998</v>
      </c>
      <c r="L19">
        <f>_xll.EQNXTDZ($A$1,$B19,L$1,$B$1)</f>
        <v>3.0318000000000001</v>
      </c>
      <c r="M19">
        <f>_xll.EQNXTDZ($A$1,$B19,M$1,$B$1)</f>
        <v>0</v>
      </c>
      <c r="N19">
        <f>_xll.EQNXTDZ($A$1,$B19,N$1,$B$1)</f>
        <v>31.747</v>
      </c>
      <c r="O19">
        <f>_xll.EQNXTDZ($A$1,$B19,O$1,$B$1)</f>
        <v>37.372</v>
      </c>
      <c r="P19">
        <f>_xll.EQNXTDZ($A$1,$B19,P$1,$B$1)</f>
        <v>42.512</v>
      </c>
      <c r="Q19">
        <f>_xll.EQNXTDZ($A$1,$B19,Q$1,$B$1)</f>
        <v>47.857999999999997</v>
      </c>
      <c r="R19">
        <f>_xll.EQNXTDZ($A$1,$B19,R$1,$B$1)</f>
        <v>48.923999999999999</v>
      </c>
      <c r="S19">
        <f>_xll.EQNXTDZ($A$1,$B19,S$1,$B$1)</f>
        <v>33.697000000000003</v>
      </c>
      <c r="T19">
        <f>_xll.EQNXTDZ($A$1,$B19,T$1,$B$1)</f>
        <v>36.436999999999998</v>
      </c>
      <c r="U19">
        <f>_xll.EQNXTDZ($A$1,$B19,U$1,$B$1)</f>
        <v>40.978999999999999</v>
      </c>
      <c r="V19">
        <f>_xll.EQNXTDZ($A$1,$B19,V$1,$B$1)</f>
        <v>45.081000000000003</v>
      </c>
      <c r="W19">
        <f>_xll.EQNXTDZ($A$1,$B19,W$1,$B$1)</f>
        <v>53.22</v>
      </c>
      <c r="X19">
        <f>_xll.EQNXTDZ($A$1,$B19,X$1,$B$1)</f>
        <v>47.857999999999997</v>
      </c>
      <c r="Y19">
        <f>_xll.EQNXTDZ($A$1,$B19,Y$1,$B$1)</f>
        <v>55.234000000000002</v>
      </c>
      <c r="Z19">
        <f>_xll.EQNXTDZ($A$1,$B19,Z$1,$B$1)</f>
        <v>66.820999999999998</v>
      </c>
      <c r="AA19">
        <f>_xll.EQNXTDZ($A$1,$B19,AA$1,$B$1)</f>
        <v>79.516000000000005</v>
      </c>
      <c r="AB19">
        <f>_xll.EQNXTDZ($A$1,$B19,AB$1,$B$1)</f>
        <v>88.605000000000004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0.92279999999999995</v>
      </c>
      <c r="D20">
        <f>_xll.EQNXTDZ($A$1,$B20,D$1,$B$1)</f>
        <v>1.0001</v>
      </c>
      <c r="E20">
        <f>_xll.EQNXTDZ($A$1,$B20,E$1,$B$1)</f>
        <v>1.1317999999999999</v>
      </c>
      <c r="F20">
        <f>_xll.EQNXTDZ($A$1,$B20,F$1,$B$1)</f>
        <v>1.2677</v>
      </c>
      <c r="G20">
        <f>_xll.EQNXTDZ($A$1,$B20,G$1,$B$1)</f>
        <v>1.1688000000000001</v>
      </c>
      <c r="H20">
        <f>_xll.EQNXTDZ($A$1,$B20,H$1,$B$1)</f>
        <v>1.0941000000000001</v>
      </c>
      <c r="I20">
        <f>_xll.EQNXTDZ($A$1,$B20,I$1,$B$1)</f>
        <v>1.2109000000000001</v>
      </c>
      <c r="J20">
        <f>_xll.EQNXTDZ($A$1,$B20,J$1,$B$1)</f>
        <v>1.3272999999999999</v>
      </c>
      <c r="K20">
        <f>_xll.EQNXTDZ($A$1,$B20,K$1,$B$1)</f>
        <v>1.5866</v>
      </c>
      <c r="L20">
        <f>_xll.EQNXTDZ($A$1,$B20,L$1,$B$1)</f>
        <v>1.1437999999999999</v>
      </c>
      <c r="M20">
        <f>_xll.EQNXTDZ($A$1,$B20,M$1,$B$1)</f>
        <v>1.3254999999999999</v>
      </c>
      <c r="N20">
        <f>_xll.EQNXTDZ($A$1,$B20,N$1,$B$1)</f>
        <v>1.272</v>
      </c>
      <c r="O20">
        <f>_xll.EQNXTDZ($A$1,$B20,O$1,$B$1)</f>
        <v>0.878</v>
      </c>
      <c r="P20">
        <f>_xll.EQNXTDZ($A$1,$B20,P$1,$B$1)</f>
        <v>1.06</v>
      </c>
      <c r="Q20">
        <f>_xll.EQNXTDZ($A$1,$B20,Q$1,$B$1)</f>
        <v>1.357</v>
      </c>
      <c r="R20">
        <f>_xll.EQNXTDZ($A$1,$B20,R$1,$B$1)</f>
        <v>1.93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177.89410000000001</v>
      </c>
      <c r="D21">
        <f>_xll.EQNXTDZ($A$1,$B21,D$1,$B$1)</f>
        <v>186.37790000000001</v>
      </c>
      <c r="E21">
        <f>_xll.EQNXTDZ($A$1,$B21,E$1,$B$1)</f>
        <v>203.53550000000001</v>
      </c>
      <c r="F21">
        <f>_xll.EQNXTDZ($A$1,$B21,F$1,$B$1)</f>
        <v>212.94319999999999</v>
      </c>
      <c r="G21">
        <f>_xll.EQNXTDZ($A$1,$B21,G$1,$B$1)</f>
        <v>255.00040000000001</v>
      </c>
      <c r="H21">
        <f>_xll.EQNXTDZ($A$1,$B21,H$1,$B$1)</f>
        <v>294.82990000000001</v>
      </c>
      <c r="I21">
        <f>_xll.EQNXTDZ($A$1,$B21,I$1,$B$1)</f>
        <v>324.0256</v>
      </c>
      <c r="J21">
        <f>_xll.EQNXTDZ($A$1,$B21,J$1,$B$1)</f>
        <v>398.29250000000002</v>
      </c>
      <c r="K21">
        <f>_xll.EQNXTDZ($A$1,$B21,K$1,$B$1)</f>
        <v>492.86700000000002</v>
      </c>
      <c r="L21">
        <f>_xll.EQNXTDZ($A$1,$B21,L$1,$B$1)</f>
        <v>452.44830000000002</v>
      </c>
      <c r="M21">
        <f>_xll.EQNXTDZ($A$1,$B21,M$1,$B$1)</f>
        <v>532.24450000000002</v>
      </c>
      <c r="N21">
        <f>_xll.EQNXTDZ($A$1,$B21,N$1,$B$1)</f>
        <v>682.56799999999998</v>
      </c>
      <c r="O21">
        <f>_xll.EQNXTDZ($A$1,$B21,O$1,$B$1)</f>
        <v>622.77599999999995</v>
      </c>
      <c r="P21">
        <f>_xll.EQNXTDZ($A$1,$B21,P$1,$B$1)</f>
        <v>630.77300000000002</v>
      </c>
      <c r="Q21">
        <f>_xll.EQNXTDZ($A$1,$B21,Q$1,$B$1)</f>
        <v>702.548</v>
      </c>
      <c r="R21">
        <f>_xll.EQNXTDZ($A$1,$B21,R$1,$B$1)</f>
        <v>714.8</v>
      </c>
      <c r="S21">
        <f>_xll.EQNXTDZ($A$1,$B21,S$1,$B$1)</f>
        <v>719.57600000000002</v>
      </c>
      <c r="T21">
        <f>_xll.EQNXTDZ($A$1,$B21,T$1,$B$1)</f>
        <v>836.84199999999998</v>
      </c>
      <c r="U21">
        <f>_xll.EQNXTDZ($A$1,$B21,U$1,$B$1)</f>
        <v>964.726</v>
      </c>
      <c r="V21">
        <f>_xll.EQNXTDZ($A$1,$B21,V$1,$B$1)</f>
        <v>1142.174</v>
      </c>
      <c r="W21">
        <f>_xll.EQNXTDZ($A$1,$B21,W$1,$B$1)</f>
        <v>1040.3240000000001</v>
      </c>
      <c r="X21">
        <f>_xll.EQNXTDZ($A$1,$B21,X$1,$B$1)</f>
        <v>1287.8240000000001</v>
      </c>
      <c r="Y21">
        <f>_xll.EQNXTDZ($A$1,$B21,Y$1,$B$1)</f>
        <v>1575.3109999999999</v>
      </c>
      <c r="Z21">
        <f>_xll.EQNXTDZ($A$1,$B21,Z$1,$B$1)</f>
        <v>1953.6679999999999</v>
      </c>
      <c r="AA21">
        <f>_xll.EQNXTDZ($A$1,$B21,AA$1,$B$1)</f>
        <v>2195.5520000000001</v>
      </c>
      <c r="AB21">
        <f>_xll.EQNXTDZ($A$1,$B21,AB$1,$B$1)</f>
        <v>2322.1329999999998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5.6764999999999999</v>
      </c>
      <c r="D22">
        <f>_xll.EQNXTDZ($A$1,$B22,D$1,$B$1)</f>
        <v>21.682099999999998</v>
      </c>
      <c r="E22">
        <f>_xll.EQNXTDZ($A$1,$B22,E$1,$B$1)</f>
        <v>26.993300000000001</v>
      </c>
      <c r="F22">
        <f>_xll.EQNXTDZ($A$1,$B22,F$1,$B$1)</f>
        <v>29.9023</v>
      </c>
      <c r="G22">
        <f>_xll.EQNXTDZ($A$1,$B22,G$1,$B$1)</f>
        <v>49.564100000000003</v>
      </c>
      <c r="H22">
        <f>_xll.EQNXTDZ($A$1,$B22,H$1,$B$1)</f>
        <v>65.0715</v>
      </c>
      <c r="I22">
        <f>_xll.EQNXTDZ($A$1,$B22,I$1,$B$1)</f>
        <v>83.477999999999994</v>
      </c>
      <c r="J22">
        <f>_xll.EQNXTDZ($A$1,$B22,J$1,$B$1)</f>
        <v>68.184700000000007</v>
      </c>
      <c r="K22">
        <f>_xll.EQNXTDZ($A$1,$B22,K$1,$B$1)</f>
        <v>105.2324</v>
      </c>
      <c r="L22">
        <f>_xll.EQNXTDZ($A$1,$B22,L$1,$B$1)</f>
        <v>112.85469999999999</v>
      </c>
      <c r="M22">
        <f>_xll.EQNXTDZ($A$1,$B22,M$1,$B$1)</f>
        <v>77.976500000000001</v>
      </c>
      <c r="N22">
        <f>_xll.EQNXTDZ($A$1,$B22,N$1,$B$1)</f>
        <v>69.344999999999999</v>
      </c>
      <c r="O22">
        <f>_xll.EQNXTDZ($A$1,$B22,O$1,$B$1)</f>
        <v>92.605999999999995</v>
      </c>
      <c r="P22">
        <f>_xll.EQNXTDZ($A$1,$B22,P$1,$B$1)</f>
        <v>101.962</v>
      </c>
      <c r="Q22">
        <f>_xll.EQNXTDZ($A$1,$B22,Q$1,$B$1)</f>
        <v>101.125</v>
      </c>
      <c r="R22">
        <f>_xll.EQNXTDZ($A$1,$B22,R$1,$B$1)</f>
        <v>105.92700000000001</v>
      </c>
      <c r="S22">
        <f>_xll.EQNXTDZ($A$1,$B22,S$1,$B$1)</f>
        <v>106.09</v>
      </c>
      <c r="T22">
        <f>_xll.EQNXTDZ($A$1,$B22,T$1,$B$1)</f>
        <v>107.495</v>
      </c>
      <c r="U22">
        <f>_xll.EQNXTDZ($A$1,$B22,U$1,$B$1)</f>
        <v>128.34</v>
      </c>
      <c r="V22">
        <f>_xll.EQNXTDZ($A$1,$B22,V$1,$B$1)</f>
        <v>151.73400000000001</v>
      </c>
      <c r="W22">
        <f>_xll.EQNXTDZ($A$1,$B22,W$1,$B$1)</f>
        <v>167.791</v>
      </c>
      <c r="X22">
        <f>_xll.EQNXTDZ($A$1,$B22,X$1,$B$1)</f>
        <v>209.46700000000001</v>
      </c>
      <c r="Y22">
        <f>_xll.EQNXTDZ($A$1,$B22,Y$1,$B$1)</f>
        <v>246.649</v>
      </c>
      <c r="Z22">
        <f>_xll.EQNXTDZ($A$1,$B22,Z$1,$B$1)</f>
        <v>293.57</v>
      </c>
      <c r="AA22">
        <f>_xll.EQNXTDZ($A$1,$B22,AA$1,$B$1)</f>
        <v>337.53399999999999</v>
      </c>
      <c r="AB22">
        <f>_xll.EQNXTDZ($A$1,$B22,AB$1,$B$1)</f>
        <v>373.59500000000003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23.41</v>
      </c>
      <c r="D23">
        <f>_xll.EQNXTDZ($A$1,$B23,D$1,$B$1)</f>
        <v>3.9933000000000001</v>
      </c>
      <c r="E23">
        <f>_xll.EQNXTDZ($A$1,$B23,E$1,$B$1)</f>
        <v>2.8567</v>
      </c>
      <c r="F23">
        <f>_xll.EQNXTDZ($A$1,$B23,F$1,$B$1)</f>
        <v>6.6992000000000003</v>
      </c>
      <c r="G23">
        <f>_xll.EQNXTDZ($A$1,$B23,G$1,$B$1)</f>
        <v>6.5571999999999999</v>
      </c>
      <c r="H23">
        <f>_xll.EQNXTDZ($A$1,$B23,H$1,$B$1)</f>
        <v>5.1677</v>
      </c>
      <c r="I23">
        <f>_xll.EQNXTDZ($A$1,$B23,I$1,$B$1)</f>
        <v>5.8851000000000004</v>
      </c>
      <c r="J23">
        <f>_xll.EQNXTDZ($A$1,$B23,J$1,$B$1)</f>
        <v>9.0130999999999997</v>
      </c>
      <c r="K23">
        <f>_xll.EQNXTDZ($A$1,$B23,K$1,$B$1)</f>
        <v>9.8148</v>
      </c>
      <c r="L23">
        <f>_xll.EQNXTDZ($A$1,$B23,L$1,$B$1)</f>
        <v>8.4393999999999991</v>
      </c>
      <c r="M23">
        <f>_xll.EQNXTDZ($A$1,$B23,M$1,$B$1)</f>
        <v>15.8764</v>
      </c>
      <c r="N23">
        <f>_xll.EQNXTDZ($A$1,$B23,N$1,$B$1)</f>
        <v>15.455</v>
      </c>
      <c r="O23">
        <f>_xll.EQNXTDZ($A$1,$B23,O$1,$B$1)</f>
        <v>14.715</v>
      </c>
      <c r="P23">
        <f>_xll.EQNXTDZ($A$1,$B23,P$1,$B$1)</f>
        <v>12.734999999999999</v>
      </c>
      <c r="Q23">
        <f>_xll.EQNXTDZ($A$1,$B23,Q$1,$B$1)</f>
        <v>22.856999999999999</v>
      </c>
      <c r="R23">
        <f>_xll.EQNXTDZ($A$1,$B23,R$1,$B$1)</f>
        <v>24.061</v>
      </c>
      <c r="S23">
        <f>_xll.EQNXTDZ($A$1,$B23,S$1,$B$1)</f>
        <v>24.373000000000001</v>
      </c>
      <c r="T23">
        <f>_xll.EQNXTDZ($A$1,$B23,T$1,$B$1)</f>
        <v>29.686</v>
      </c>
      <c r="U23">
        <f>_xll.EQNXTDZ($A$1,$B23,U$1,$B$1)</f>
        <v>20.029</v>
      </c>
      <c r="V23">
        <f>_xll.EQNXTDZ($A$1,$B23,V$1,$B$1)</f>
        <v>21.632999999999999</v>
      </c>
      <c r="W23">
        <f>_xll.EQNXTDZ($A$1,$B23,W$1,$B$1)</f>
        <v>29.027999999999999</v>
      </c>
      <c r="X23">
        <f>_xll.EQNXTDZ($A$1,$B23,X$1,$B$1)</f>
        <v>33.694000000000003</v>
      </c>
      <c r="Y23">
        <f>_xll.EQNXTDZ($A$1,$B23,Y$1,$B$1)</f>
        <v>42.183999999999997</v>
      </c>
      <c r="Z23">
        <f>_xll.EQNXTDZ($A$1,$B23,Z$1,$B$1)</f>
        <v>32.337000000000003</v>
      </c>
      <c r="AA23">
        <f>_xll.EQNXTDZ($A$1,$B23,AA$1,$B$1)</f>
        <v>36.750999999999998</v>
      </c>
      <c r="AB23">
        <f>_xll.EQNXTDZ($A$1,$B23,AB$1,$B$1)</f>
        <v>59.140999999999998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29.086500000000001</v>
      </c>
      <c r="D24">
        <f>_xll.EQNXTDZ($A$1,$B24,D$1,$B$1)</f>
        <v>25.6754</v>
      </c>
      <c r="E24">
        <f>_xll.EQNXTDZ($A$1,$B24,E$1,$B$1)</f>
        <v>29.85</v>
      </c>
      <c r="F24">
        <f>_xll.EQNXTDZ($A$1,$B24,F$1,$B$1)</f>
        <v>36.601500000000001</v>
      </c>
      <c r="G24">
        <f>_xll.EQNXTDZ($A$1,$B24,G$1,$B$1)</f>
        <v>56.121299999999998</v>
      </c>
      <c r="H24">
        <f>_xll.EQNXTDZ($A$1,$B24,H$1,$B$1)</f>
        <v>70.239199999999997</v>
      </c>
      <c r="I24">
        <f>_xll.EQNXTDZ($A$1,$B24,I$1,$B$1)</f>
        <v>89.363100000000003</v>
      </c>
      <c r="J24">
        <f>_xll.EQNXTDZ($A$1,$B24,J$1,$B$1)</f>
        <v>77.197800000000001</v>
      </c>
      <c r="K24">
        <f>_xll.EQNXTDZ($A$1,$B24,K$1,$B$1)</f>
        <v>115.0472</v>
      </c>
      <c r="L24">
        <f>_xll.EQNXTDZ($A$1,$B24,L$1,$B$1)</f>
        <v>121.2941</v>
      </c>
      <c r="M24">
        <f>_xll.EQNXTDZ($A$1,$B24,M$1,$B$1)</f>
        <v>93.852900000000005</v>
      </c>
      <c r="N24">
        <f>_xll.EQNXTDZ($A$1,$B24,N$1,$B$1)</f>
        <v>84.8</v>
      </c>
      <c r="O24">
        <f>_xll.EQNXTDZ($A$1,$B24,O$1,$B$1)</f>
        <v>107.321</v>
      </c>
      <c r="P24">
        <f>_xll.EQNXTDZ($A$1,$B24,P$1,$B$1)</f>
        <v>114.697</v>
      </c>
      <c r="Q24">
        <f>_xll.EQNXTDZ($A$1,$B24,Q$1,$B$1)</f>
        <v>123.982</v>
      </c>
      <c r="R24">
        <f>_xll.EQNXTDZ($A$1,$B24,R$1,$B$1)</f>
        <v>129.988</v>
      </c>
      <c r="S24">
        <f>_xll.EQNXTDZ($A$1,$B24,S$1,$B$1)</f>
        <v>130.46299999999999</v>
      </c>
      <c r="T24">
        <f>_xll.EQNXTDZ($A$1,$B24,T$1,$B$1)</f>
        <v>137.18100000000001</v>
      </c>
      <c r="U24">
        <f>_xll.EQNXTDZ($A$1,$B24,U$1,$B$1)</f>
        <v>148.369</v>
      </c>
      <c r="V24">
        <f>_xll.EQNXTDZ($A$1,$B24,V$1,$B$1)</f>
        <v>173.36699999999999</v>
      </c>
      <c r="W24">
        <f>_xll.EQNXTDZ($A$1,$B24,W$1,$B$1)</f>
        <v>196.81899999999999</v>
      </c>
      <c r="X24">
        <f>_xll.EQNXTDZ($A$1,$B24,X$1,$B$1)</f>
        <v>243.161</v>
      </c>
      <c r="Y24">
        <f>_xll.EQNXTDZ($A$1,$B24,Y$1,$B$1)</f>
        <v>288.83300000000003</v>
      </c>
      <c r="Z24">
        <f>_xll.EQNXTDZ($A$1,$B24,Z$1,$B$1)</f>
        <v>325.90699999999998</v>
      </c>
      <c r="AA24">
        <f>_xll.EQNXTDZ($A$1,$B24,AA$1,$B$1)</f>
        <v>374.28500000000003</v>
      </c>
      <c r="AB24">
        <f>_xll.EQNXTDZ($A$1,$B24,AB$1,$B$1)</f>
        <v>432.73599999999999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3.8016000000000001</v>
      </c>
      <c r="D25">
        <f>_xll.EQNXTDZ($A$1,$B25,D$1,$B$1)</f>
        <v>4.3718000000000004</v>
      </c>
      <c r="E25">
        <f>_xll.EQNXTDZ($A$1,$B25,E$1,$B$1)</f>
        <v>2.2932999999999999</v>
      </c>
      <c r="F25">
        <f>_xll.EQNXTDZ($A$1,$B25,F$1,$B$1)</f>
        <v>1.5704</v>
      </c>
      <c r="G25">
        <f>_xll.EQNXTDZ($A$1,$B25,G$1,$B$1)</f>
        <v>0.75249999999999995</v>
      </c>
      <c r="H25">
        <f>_xll.EQNXTDZ($A$1,$B25,H$1,$B$1)</f>
        <v>0.5393</v>
      </c>
      <c r="I25">
        <f>_xll.EQNXTDZ($A$1,$B25,I$1,$B$1)</f>
        <v>0.96450000000000002</v>
      </c>
      <c r="J25">
        <f>_xll.EQNXTDZ($A$1,$B25,J$1,$B$1)</f>
        <v>0.65010000000000001</v>
      </c>
      <c r="K25">
        <f>_xll.EQNXTDZ($A$1,$B25,K$1,$B$1)</f>
        <v>2.2534999999999998</v>
      </c>
      <c r="L25">
        <f>_xll.EQNXTDZ($A$1,$B25,L$1,$B$1)</f>
        <v>1.8312999999999999</v>
      </c>
      <c r="M25">
        <f>_xll.EQNXTDZ($A$1,$B25,M$1,$B$1)</f>
        <v>0.53449999999999998</v>
      </c>
      <c r="N25">
        <f>_xll.EQNXTDZ($A$1,$B25,N$1,$B$1)</f>
        <v>2.7759999999999998</v>
      </c>
      <c r="O25">
        <f>_xll.EQNXTDZ($A$1,$B25,O$1,$B$1)</f>
        <v>5.24</v>
      </c>
      <c r="P25">
        <f>_xll.EQNXTDZ($A$1,$B25,P$1,$B$1)</f>
        <v>2.5939999999999999</v>
      </c>
      <c r="Q25">
        <f>_xll.EQNXTDZ($A$1,$B25,Q$1,$B$1)</f>
        <v>2.1469999999999998</v>
      </c>
      <c r="R25">
        <f>_xll.EQNXTDZ($A$1,$B25,R$1,$B$1)</f>
        <v>1.7350000000000001</v>
      </c>
      <c r="S25">
        <f>_xll.EQNXTDZ($A$1,$B25,S$1,$B$1)</f>
        <v>3.1509999999999998</v>
      </c>
      <c r="T25">
        <f>_xll.EQNXTDZ($A$1,$B25,T$1,$B$1)</f>
        <v>3.548</v>
      </c>
      <c r="U25">
        <f>_xll.EQNXTDZ($A$1,$B25,U$1,$B$1)</f>
        <v>3.7530000000000001</v>
      </c>
      <c r="V25">
        <f>_xll.EQNXTDZ($A$1,$B25,V$1,$B$1)</f>
        <v>5.3120000000000003</v>
      </c>
      <c r="W25">
        <f>_xll.EQNXTDZ($A$1,$B25,W$1,$B$1)</f>
        <v>3.3940000000000001</v>
      </c>
      <c r="X25">
        <f>_xll.EQNXTDZ($A$1,$B25,X$1,$B$1)</f>
        <v>5.04</v>
      </c>
      <c r="Y25">
        <f>_xll.EQNXTDZ($A$1,$B25,Y$1,$B$1)</f>
        <v>6.1260000000000003</v>
      </c>
      <c r="Z25">
        <f>_xll.EQNXTDZ($A$1,$B25,Z$1,$B$1)</f>
        <v>5.29</v>
      </c>
      <c r="AA25">
        <f>_xll.EQNXTDZ($A$1,$B25,AA$1,$B$1)</f>
        <v>2.7170000000000001</v>
      </c>
      <c r="AB25">
        <f>_xll.EQNXTDZ($A$1,$B25,AB$1,$B$1)</f>
        <v>3.028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25.2849</v>
      </c>
      <c r="D26">
        <f>_xll.EQNXTDZ($A$1,$B26,D$1,$B$1)</f>
        <v>21.303599999999999</v>
      </c>
      <c r="E26">
        <f>_xll.EQNXTDZ($A$1,$B26,E$1,$B$1)</f>
        <v>27.556699999999999</v>
      </c>
      <c r="F26">
        <f>_xll.EQNXTDZ($A$1,$B26,F$1,$B$1)</f>
        <v>35.031100000000002</v>
      </c>
      <c r="G26">
        <f>_xll.EQNXTDZ($A$1,$B26,G$1,$B$1)</f>
        <v>55.3688</v>
      </c>
      <c r="H26">
        <f>_xll.EQNXTDZ($A$1,$B26,H$1,$B$1)</f>
        <v>69.6999</v>
      </c>
      <c r="I26">
        <f>_xll.EQNXTDZ($A$1,$B26,I$1,$B$1)</f>
        <v>88.398600000000002</v>
      </c>
      <c r="J26">
        <f>_xll.EQNXTDZ($A$1,$B26,J$1,$B$1)</f>
        <v>76.547700000000006</v>
      </c>
      <c r="K26">
        <f>_xll.EQNXTDZ($A$1,$B26,K$1,$B$1)</f>
        <v>112.7937</v>
      </c>
      <c r="L26">
        <f>_xll.EQNXTDZ($A$1,$B26,L$1,$B$1)</f>
        <v>119.4628</v>
      </c>
      <c r="M26">
        <f>_xll.EQNXTDZ($A$1,$B26,M$1,$B$1)</f>
        <v>93.318399999999997</v>
      </c>
      <c r="N26">
        <f>_xll.EQNXTDZ($A$1,$B26,N$1,$B$1)</f>
        <v>82.024000000000001</v>
      </c>
      <c r="O26">
        <f>_xll.EQNXTDZ($A$1,$B26,O$1,$B$1)</f>
        <v>102.081</v>
      </c>
      <c r="P26">
        <f>_xll.EQNXTDZ($A$1,$B26,P$1,$B$1)</f>
        <v>112.10299999999999</v>
      </c>
      <c r="Q26">
        <f>_xll.EQNXTDZ($A$1,$B26,Q$1,$B$1)</f>
        <v>121.83499999999999</v>
      </c>
      <c r="R26">
        <f>_xll.EQNXTDZ($A$1,$B26,R$1,$B$1)</f>
        <v>128.25299999999999</v>
      </c>
      <c r="S26">
        <f>_xll.EQNXTDZ($A$1,$B26,S$1,$B$1)</f>
        <v>127.312</v>
      </c>
      <c r="T26">
        <f>_xll.EQNXTDZ($A$1,$B26,T$1,$B$1)</f>
        <v>133.63300000000001</v>
      </c>
      <c r="U26">
        <f>_xll.EQNXTDZ($A$1,$B26,U$1,$B$1)</f>
        <v>144.61600000000001</v>
      </c>
      <c r="V26">
        <f>_xll.EQNXTDZ($A$1,$B26,V$1,$B$1)</f>
        <v>168.05500000000001</v>
      </c>
      <c r="W26">
        <f>_xll.EQNXTDZ($A$1,$B26,W$1,$B$1)</f>
        <v>193.42500000000001</v>
      </c>
      <c r="X26">
        <f>_xll.EQNXTDZ($A$1,$B26,X$1,$B$1)</f>
        <v>238.12100000000001</v>
      </c>
      <c r="Y26">
        <f>_xll.EQNXTDZ($A$1,$B26,Y$1,$B$1)</f>
        <v>282.70699999999999</v>
      </c>
      <c r="Z26">
        <f>_xll.EQNXTDZ($A$1,$B26,Z$1,$B$1)</f>
        <v>320.61700000000002</v>
      </c>
      <c r="AA26">
        <f>_xll.EQNXTDZ($A$1,$B26,AA$1,$B$1)</f>
        <v>371.56799999999998</v>
      </c>
      <c r="AB26">
        <f>_xll.EQNXTDZ($A$1,$B26,AB$1,$B$1)</f>
        <v>429.70800000000003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3.6690999999999998</v>
      </c>
      <c r="D27">
        <f>_xll.EQNXTDZ($A$1,$B27,D$1,$B$1)</f>
        <v>8.4220000000000006</v>
      </c>
      <c r="E27">
        <f>_xll.EQNXTDZ($A$1,$B27,E$1,$B$1)</f>
        <v>9.1090999999999998</v>
      </c>
      <c r="F27">
        <f>_xll.EQNXTDZ($A$1,$B27,F$1,$B$1)</f>
        <v>9.6188000000000002</v>
      </c>
      <c r="G27">
        <f>_xll.EQNXTDZ($A$1,$B27,G$1,$B$1)</f>
        <v>9.3590999999999998</v>
      </c>
      <c r="H27">
        <f>_xll.EQNXTDZ($A$1,$B27,H$1,$B$1)</f>
        <v>9.9595000000000002</v>
      </c>
      <c r="I27">
        <f>_xll.EQNXTDZ($A$1,$B27,I$1,$B$1)</f>
        <v>8.8256999999999994</v>
      </c>
      <c r="J27">
        <f>_xll.EQNXTDZ($A$1,$B27,J$1,$B$1)</f>
        <v>10.9879</v>
      </c>
      <c r="K27">
        <f>_xll.EQNXTDZ($A$1,$B27,K$1,$B$1)</f>
        <v>13.021800000000001</v>
      </c>
      <c r="L27">
        <f>_xll.EQNXTDZ($A$1,$B27,L$1,$B$1)</f>
        <v>20.340900000000001</v>
      </c>
      <c r="M27">
        <f>_xll.EQNXTDZ($A$1,$B27,M$1,$B$1)</f>
        <v>20.741900000000001</v>
      </c>
      <c r="N27">
        <f>_xll.EQNXTDZ($A$1,$B27,N$1,$B$1)</f>
        <v>21.895</v>
      </c>
      <c r="O27">
        <f>_xll.EQNXTDZ($A$1,$B27,O$1,$B$1)</f>
        <v>23.539000000000001</v>
      </c>
      <c r="P27">
        <f>_xll.EQNXTDZ($A$1,$B27,P$1,$B$1)</f>
        <v>26.529</v>
      </c>
      <c r="Q27">
        <f>_xll.EQNXTDZ($A$1,$B27,Q$1,$B$1)</f>
        <v>27.553999999999998</v>
      </c>
      <c r="R27">
        <f>_xll.EQNXTDZ($A$1,$B27,R$1,$B$1)</f>
        <v>27.766999999999999</v>
      </c>
      <c r="S27">
        <f>_xll.EQNXTDZ($A$1,$B27,S$1,$B$1)</f>
        <v>29.358000000000001</v>
      </c>
      <c r="T27">
        <f>_xll.EQNXTDZ($A$1,$B27,T$1,$B$1)</f>
        <v>30.878</v>
      </c>
      <c r="U27">
        <f>_xll.EQNXTDZ($A$1,$B27,U$1,$B$1)</f>
        <v>39.667000000000002</v>
      </c>
      <c r="V27">
        <f>_xll.EQNXTDZ($A$1,$B27,V$1,$B$1)</f>
        <v>45.722999999999999</v>
      </c>
      <c r="W27">
        <f>_xll.EQNXTDZ($A$1,$B27,W$1,$B$1)</f>
        <v>41.77</v>
      </c>
      <c r="X27">
        <f>_xll.EQNXTDZ($A$1,$B27,X$1,$B$1)</f>
        <v>43.533999999999999</v>
      </c>
      <c r="Y27">
        <f>_xll.EQNXTDZ($A$1,$B27,Y$1,$B$1)</f>
        <v>45.261000000000003</v>
      </c>
      <c r="Z27">
        <f>_xll.EQNXTDZ($A$1,$B27,Z$1,$B$1)</f>
        <v>49.677999999999997</v>
      </c>
      <c r="AA27">
        <f>_xll.EQNXTDZ($A$1,$B27,AA$1,$B$1)</f>
        <v>54.323999999999998</v>
      </c>
      <c r="AB27">
        <f>_xll.EQNXTDZ($A$1,$B27,AB$1,$B$1)</f>
        <v>58.335999999999999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4.5810000000000004</v>
      </c>
      <c r="T28">
        <f>_xll.EQNXTDZ($A$1,$B28,T$1,$B$1)</f>
        <v>5.1779999999999999</v>
      </c>
      <c r="U28">
        <f>_xll.EQNXTDZ($A$1,$B28,U$1,$B$1)</f>
        <v>4.3170000000000002</v>
      </c>
      <c r="V28">
        <f>_xll.EQNXTDZ($A$1,$B28,V$1,$B$1)</f>
        <v>5.415</v>
      </c>
      <c r="W28">
        <f>_xll.EQNXTDZ($A$1,$B28,W$1,$B$1)</f>
        <v>5.3019999999999996</v>
      </c>
      <c r="X28">
        <f>_xll.EQNXTDZ($A$1,$B28,X$1,$B$1)</f>
        <v>6.42</v>
      </c>
      <c r="Y28">
        <f>_xll.EQNXTDZ($A$1,$B28,Y$1,$B$1)</f>
        <v>7.8230000000000004</v>
      </c>
      <c r="Z28">
        <f>_xll.EQNXTDZ($A$1,$B28,Z$1,$B$1)</f>
        <v>9.41</v>
      </c>
      <c r="AA28">
        <f>_xll.EQNXTDZ($A$1,$B28,AA$1,$B$1)</f>
        <v>13.406000000000001</v>
      </c>
      <c r="AB28">
        <f>_xll.EQNXTDZ($A$1,$B28,AB$1,$B$1)</f>
        <v>14.638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12.742000000000001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-25.547999999999998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6.75</v>
      </c>
      <c r="D30">
        <f>_xll.EQNXTDZ($A$1,$B30,D$1,$B$1)</f>
        <v>4.5999999999999996</v>
      </c>
      <c r="E30">
        <f>_xll.EQNXTDZ($A$1,$B30,E$1,$B$1)</f>
        <v>6.6433</v>
      </c>
      <c r="F30">
        <f>_xll.EQNXTDZ($A$1,$B30,F$1,$B$1)</f>
        <v>7.7070999999999996</v>
      </c>
      <c r="G30">
        <f>_xll.EQNXTDZ($A$1,$B30,G$1,$B$1)</f>
        <v>15.9847</v>
      </c>
      <c r="H30">
        <f>_xll.EQNXTDZ($A$1,$B30,H$1,$B$1)</f>
        <v>21.5975</v>
      </c>
      <c r="I30">
        <f>_xll.EQNXTDZ($A$1,$B30,I$1,$B$1)</f>
        <v>27.424700000000001</v>
      </c>
      <c r="J30">
        <f>_xll.EQNXTDZ($A$1,$B30,J$1,$B$1)</f>
        <v>22.132899999999999</v>
      </c>
      <c r="K30">
        <f>_xll.EQNXTDZ($A$1,$B30,K$1,$B$1)</f>
        <v>35.147300000000001</v>
      </c>
      <c r="L30">
        <f>_xll.EQNXTDZ($A$1,$B30,L$1,$B$1)</f>
        <v>34.826500000000003</v>
      </c>
      <c r="M30">
        <f>_xll.EQNXTDZ($A$1,$B30,M$1,$B$1)</f>
        <v>23.215399999999999</v>
      </c>
      <c r="N30">
        <f>_xll.EQNXTDZ($A$1,$B30,N$1,$B$1)</f>
        <v>20.161999999999999</v>
      </c>
      <c r="O30">
        <f>_xll.EQNXTDZ($A$1,$B30,O$1,$B$1)</f>
        <v>23.262</v>
      </c>
      <c r="P30">
        <f>_xll.EQNXTDZ($A$1,$B30,P$1,$B$1)</f>
        <v>28.451000000000001</v>
      </c>
      <c r="Q30">
        <f>_xll.EQNXTDZ($A$1,$B30,Q$1,$B$1)</f>
        <v>32.475000000000001</v>
      </c>
      <c r="R30">
        <f>_xll.EQNXTDZ($A$1,$B30,R$1,$B$1)</f>
        <v>36.362000000000002</v>
      </c>
      <c r="S30">
        <f>_xll.EQNXTDZ($A$1,$B30,S$1,$B$1)</f>
        <v>34.011000000000003</v>
      </c>
      <c r="T30">
        <f>_xll.EQNXTDZ($A$1,$B30,T$1,$B$1)</f>
        <v>37.048000000000002</v>
      </c>
      <c r="U30">
        <f>_xll.EQNXTDZ($A$1,$B30,U$1,$B$1)</f>
        <v>37.658999999999999</v>
      </c>
      <c r="V30">
        <f>_xll.EQNXTDZ($A$1,$B30,V$1,$B$1)</f>
        <v>39.756</v>
      </c>
      <c r="W30">
        <f>_xll.EQNXTDZ($A$1,$B30,W$1,$B$1)</f>
        <v>63.173000000000002</v>
      </c>
      <c r="X30">
        <f>_xll.EQNXTDZ($A$1,$B30,X$1,$B$1)</f>
        <v>51.618000000000002</v>
      </c>
      <c r="Y30">
        <f>_xll.EQNXTDZ($A$1,$B30,Y$1,$B$1)</f>
        <v>62.527999999999999</v>
      </c>
      <c r="Z30">
        <f>_xll.EQNXTDZ($A$1,$B30,Z$1,$B$1)</f>
        <v>71.616</v>
      </c>
      <c r="AA30">
        <f>_xll.EQNXTDZ($A$1,$B30,AA$1,$B$1)</f>
        <v>83.174999999999997</v>
      </c>
      <c r="AB30">
        <f>_xll.EQNXTDZ($A$1,$B30,AB$1,$B$1)</f>
        <v>89.968000000000004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-1.3599999999999999E-2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2.5015000000000001</v>
      </c>
      <c r="G33">
        <f>_xll.EQNXTDZ($A$1,$B33,G$1,$B$1)</f>
        <v>0</v>
      </c>
      <c r="H33">
        <f>_xll.EQNXTDZ($A$1,$B33,H$1,$B$1)</f>
        <v>1.3345</v>
      </c>
      <c r="I33">
        <f>_xll.EQNXTDZ($A$1,$B33,I$1,$B$1)</f>
        <v>3.5284</v>
      </c>
      <c r="J33">
        <f>_xll.EQNXTDZ($A$1,$B33,J$1,$B$1)</f>
        <v>6.4485999999999999</v>
      </c>
      <c r="K33">
        <f>_xll.EQNXTDZ($A$1,$B33,K$1,$B$1)</f>
        <v>6.0347999999999997</v>
      </c>
      <c r="L33">
        <f>_xll.EQNXTDZ($A$1,$B33,L$1,$B$1)</f>
        <v>6.7488000000000001</v>
      </c>
      <c r="M33">
        <f>_xll.EQNXTDZ($A$1,$B33,M$1,$B$1)</f>
        <v>9.0411000000000001</v>
      </c>
      <c r="N33">
        <f>_xll.EQNXTDZ($A$1,$B33,N$1,$B$1)</f>
        <v>8.9730000000000008</v>
      </c>
      <c r="O33">
        <f>_xll.EQNXTDZ($A$1,$B33,O$1,$B$1)</f>
        <v>8.2989999999999995</v>
      </c>
      <c r="P33">
        <f>_xll.EQNXTDZ($A$1,$B33,P$1,$B$1)</f>
        <v>9.641</v>
      </c>
      <c r="Q33">
        <f>_xll.EQNXTDZ($A$1,$B33,Q$1,$B$1)</f>
        <v>6.6180000000000003</v>
      </c>
      <c r="R33">
        <f>_xll.EQNXTDZ($A$1,$B33,R$1,$B$1)</f>
        <v>4.6079999999999997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14.8658</v>
      </c>
      <c r="D35">
        <f>_xll.EQNXTDZ($A$1,$B35,D$1,$B$1)</f>
        <v>8.2815999999999992</v>
      </c>
      <c r="E35">
        <f>_xll.EQNXTDZ($A$1,$B35,E$1,$B$1)</f>
        <v>11.790699999999999</v>
      </c>
      <c r="F35">
        <f>_xll.EQNXTDZ($A$1,$B35,F$1,$B$1)</f>
        <v>20.206700000000001</v>
      </c>
      <c r="G35">
        <f>_xll.EQNXTDZ($A$1,$B35,G$1,$B$1)</f>
        <v>30.024999999999999</v>
      </c>
      <c r="H35">
        <f>_xll.EQNXTDZ($A$1,$B35,H$1,$B$1)</f>
        <v>39.477400000000003</v>
      </c>
      <c r="I35">
        <f>_xll.EQNXTDZ($A$1,$B35,I$1,$B$1)</f>
        <v>55.676600000000001</v>
      </c>
      <c r="J35">
        <f>_xll.EQNXTDZ($A$1,$B35,J$1,$B$1)</f>
        <v>49.875500000000002</v>
      </c>
      <c r="K35">
        <f>_xll.EQNXTDZ($A$1,$B35,K$1,$B$1)</f>
        <v>70.659400000000005</v>
      </c>
      <c r="L35">
        <f>_xll.EQNXTDZ($A$1,$B35,L$1,$B$1)</f>
        <v>71.044200000000004</v>
      </c>
      <c r="M35">
        <f>_xll.EQNXTDZ($A$1,$B35,M$1,$B$1)</f>
        <v>58.402200000000001</v>
      </c>
      <c r="N35">
        <f>_xll.EQNXTDZ($A$1,$B35,N$1,$B$1)</f>
        <v>48.94</v>
      </c>
      <c r="O35">
        <f>_xll.EQNXTDZ($A$1,$B35,O$1,$B$1)</f>
        <v>63.579000000000001</v>
      </c>
      <c r="P35">
        <f>_xll.EQNXTDZ($A$1,$B35,P$1,$B$1)</f>
        <v>66.763999999999996</v>
      </c>
      <c r="Q35">
        <f>_xll.EQNXTDZ($A$1,$B35,Q$1,$B$1)</f>
        <v>68.424000000000007</v>
      </c>
      <c r="R35">
        <f>_xll.EQNXTDZ($A$1,$B35,R$1,$B$1)</f>
        <v>68.731999999999999</v>
      </c>
      <c r="S35">
        <f>_xll.EQNXTDZ($A$1,$B35,S$1,$B$1)</f>
        <v>68.524000000000001</v>
      </c>
      <c r="T35">
        <f>_xll.EQNXTDZ($A$1,$B35,T$1,$B$1)</f>
        <v>70.885000000000005</v>
      </c>
      <c r="U35">
        <f>_xll.EQNXTDZ($A$1,$B35,U$1,$B$1)</f>
        <v>71.606999999999999</v>
      </c>
      <c r="V35">
        <f>_xll.EQNXTDZ($A$1,$B35,V$1,$B$1)</f>
        <v>100.733</v>
      </c>
      <c r="W35">
        <f>_xll.EQNXTDZ($A$1,$B35,W$1,$B$1)</f>
        <v>93.784000000000006</v>
      </c>
      <c r="X35">
        <f>_xll.EQNXTDZ($A$1,$B35,X$1,$B$1)</f>
        <v>149.38900000000001</v>
      </c>
      <c r="Y35">
        <f>_xll.EQNXTDZ($A$1,$B35,Y$1,$B$1)</f>
        <v>182.74100000000001</v>
      </c>
      <c r="Z35">
        <f>_xll.EQNXTDZ($A$1,$B35,Z$1,$B$1)</f>
        <v>208.733</v>
      </c>
      <c r="AA35">
        <f>_xll.EQNXTDZ($A$1,$B35,AA$1,$B$1)</f>
        <v>247.47499999999999</v>
      </c>
      <c r="AB35">
        <f>_xll.EQNXTDZ($A$1,$B35,AB$1,$B$1)</f>
        <v>270.49400000000003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17.402999999999999</v>
      </c>
      <c r="D41" s="54">
        <f>_xll.EQNXTDZ($A$1,$B41,D$1,$B$1)</f>
        <v>17.402999999999999</v>
      </c>
      <c r="E41" s="54">
        <f>_xll.EQNXTDZ($A$1,$B41,E$1,$B$1)</f>
        <v>17.4039</v>
      </c>
      <c r="F41" s="54">
        <f>_xll.EQNXTDZ($A$1,$B41,F$1,$B$1)</f>
        <v>17.4039</v>
      </c>
      <c r="G41" s="54">
        <f>_xll.EQNXTDZ($A$1,$B41,G$1,$B$1)</f>
        <v>17.4039</v>
      </c>
      <c r="H41" s="54">
        <f>_xll.EQNXTDZ($A$1,$B41,H$1,$B$1)</f>
        <v>17.4039</v>
      </c>
      <c r="I41" s="54">
        <f>_xll.EQNXTDZ($A$1,$B41,I$1,$B$1)</f>
        <v>17.4039</v>
      </c>
      <c r="J41" s="54">
        <f>_xll.EQNXTDZ($A$1,$B41,J$1,$B$1)</f>
        <v>17.4039</v>
      </c>
      <c r="K41" s="54">
        <f>_xll.EQNXTDZ($A$1,$B41,K$1,$B$1)</f>
        <v>17.4039</v>
      </c>
      <c r="L41" s="54">
        <f>_xll.EQNXTDZ($A$1,$B41,L$1,$B$1)</f>
        <v>17.4039</v>
      </c>
      <c r="M41" s="54">
        <f>_xll.EQNXTDZ($A$1,$B41,M$1,$B$1)</f>
        <v>17.4039</v>
      </c>
      <c r="N41" s="54">
        <f>_xll.EQNXTDZ($A$1,$B41,N$1,$B$1)</f>
        <v>34.808</v>
      </c>
      <c r="O41" s="54">
        <f>_xll.EQNXTDZ($A$1,$B41,O$1,$B$1)</f>
        <v>34.808</v>
      </c>
      <c r="P41" s="54">
        <f>_xll.EQNXTDZ($A$1,$B41,P$1,$B$1)</f>
        <v>34.808</v>
      </c>
      <c r="Q41" s="54">
        <f>_xll.EQNXTDZ($A$1,$B41,Q$1,$B$1)</f>
        <v>34.808</v>
      </c>
      <c r="R41" s="54">
        <f>_xll.EQNXTDZ($A$1,$B41,R$1,$B$1)</f>
        <v>34.808</v>
      </c>
      <c r="S41" s="54">
        <f>_xll.EQNXTDZ($A$1,$B41,S$1,$B$1)</f>
        <v>34.808</v>
      </c>
      <c r="T41" s="54">
        <f>_xll.EQNXTDZ($A$1,$B41,T$1,$B$1)</f>
        <v>34.808</v>
      </c>
      <c r="U41" s="54">
        <f>_xll.EQNXTDZ($A$1,$B41,U$1,$B$1)</f>
        <v>34.808</v>
      </c>
      <c r="V41" s="54">
        <f>_xll.EQNXTDZ($A$1,$B41,V$1,$B$1)</f>
        <v>34.808</v>
      </c>
      <c r="W41" s="54">
        <f>_xll.EQNXTDZ($A$1,$B41,W$1,$B$1)</f>
        <v>34.808</v>
      </c>
      <c r="X41" s="54">
        <f>_xll.EQNXTDZ($A$1,$B41,X$1,$B$1)</f>
        <v>34.808</v>
      </c>
      <c r="Y41" s="54">
        <f>_xll.EQNXTDZ($A$1,$B41,Y$1,$B$1)</f>
        <v>34.808</v>
      </c>
      <c r="Z41" s="54">
        <f>_xll.EQNXTDZ($A$1,$B41,Z$1,$B$1)</f>
        <v>34.808</v>
      </c>
      <c r="AA41" s="54">
        <f>_xll.EQNXTDZ($A$1,$B41,AA$1,$B$1)</f>
        <v>34.808</v>
      </c>
      <c r="AB41" s="54">
        <f>_xll.EQNXTDZ($A$1,$B41,AB$1,$B$1)</f>
        <v>34.808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74.456500000000005</v>
      </c>
      <c r="D43" s="54">
        <f>_xll.EQNXTDZ($A$1,$B43,D$1,$B$1)</f>
        <v>76.679299999999998</v>
      </c>
      <c r="E43" s="54">
        <f>_xll.EQNXTDZ($A$1,$B43,E$1,$B$1)</f>
        <v>82.155299999999997</v>
      </c>
      <c r="F43" s="54">
        <f>_xll.EQNXTDZ($A$1,$B43,F$1,$B$1)</f>
        <v>95.545400000000001</v>
      </c>
      <c r="G43" s="54">
        <f>_xll.EQNXTDZ($A$1,$B43,G$1,$B$1)</f>
        <v>116.1537</v>
      </c>
      <c r="H43" s="54">
        <f>_xll.EQNXTDZ($A$1,$B43,H$1,$B$1)</f>
        <v>149.16800000000001</v>
      </c>
      <c r="I43" s="54">
        <f>_xll.EQNXTDZ($A$1,$B43,I$1,$B$1)</f>
        <v>192.64709999999999</v>
      </c>
      <c r="J43" s="54">
        <f>_xll.EQNXTDZ($A$1,$B43,J$1,$B$1)</f>
        <v>232.3169</v>
      </c>
      <c r="K43" s="54">
        <f>_xll.EQNXTDZ($A$1,$B43,K$1,$B$1)</f>
        <v>292.6293</v>
      </c>
      <c r="L43" s="54">
        <f>_xll.EQNXTDZ($A$1,$B43,L$1,$B$1)</f>
        <v>337.88409999999999</v>
      </c>
      <c r="M43" s="54">
        <f>_xll.EQNXTDZ($A$1,$B43,M$1,$B$1)</f>
        <v>376.04969999999997</v>
      </c>
      <c r="N43" s="54">
        <f>_xll.EQNXTDZ($A$1,$B43,N$1,$B$1)</f>
        <v>391.27100000000002</v>
      </c>
      <c r="O43" s="54">
        <f>_xll.EQNXTDZ($A$1,$B43,O$1,$B$1)</f>
        <v>432.59899999999999</v>
      </c>
      <c r="P43" s="54">
        <f>_xll.EQNXTDZ($A$1,$B43,P$1,$B$1)</f>
        <v>476.964</v>
      </c>
      <c r="Q43" s="54">
        <f>_xll.EQNXTDZ($A$1,$B43,Q$1,$B$1)</f>
        <v>522.41600000000005</v>
      </c>
      <c r="R43" s="54">
        <f>_xll.EQNXTDZ($A$1,$B43,R$1,$B$1)</f>
        <v>568.03800000000001</v>
      </c>
      <c r="S43" s="54">
        <f>_xll.EQNXTDZ($A$1,$B43,S$1,$B$1)</f>
        <v>625.34900000000005</v>
      </c>
      <c r="T43" s="54">
        <f>_xll.EQNXTDZ($A$1,$B43,T$1,$B$1)</f>
        <v>675.61099999999999</v>
      </c>
      <c r="U43" s="54">
        <f>_xll.EQNXTDZ($A$1,$B43,U$1,$B$1)</f>
        <v>722.95600000000002</v>
      </c>
      <c r="V43" s="54">
        <f>_xll.EQNXTDZ($A$1,$B43,V$1,$B$1)</f>
        <v>793.85900000000004</v>
      </c>
      <c r="W43" s="54">
        <f>_xll.EQNXTDZ($A$1,$B43,W$1,$B$1)</f>
        <v>855.81</v>
      </c>
      <c r="X43" s="54">
        <f>_xll.EQNXTDZ($A$1,$B43,X$1,$B$1)</f>
        <v>976.03</v>
      </c>
      <c r="Y43" s="54">
        <f>_xll.EQNXTDZ($A$1,$B43,Y$1,$B$1)</f>
        <v>1108.308</v>
      </c>
      <c r="Z43" s="54">
        <f>_xll.EQNXTDZ($A$1,$B43,Z$1,$B$1)</f>
        <v>1267.1010000000001</v>
      </c>
      <c r="AA43" s="54">
        <f>_xll.EQNXTDZ($A$1,$B43,AA$1,$B$1)</f>
        <v>1450.5419999999999</v>
      </c>
      <c r="AB43" s="54">
        <f>_xll.EQNXTDZ($A$1,$B43,AB$1,$B$1)</f>
        <v>1643.9259999999999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91.859499999999997</v>
      </c>
      <c r="D44" s="54">
        <f>_xll.EQNXTDZ($A$1,$B44,D$1,$B$1)</f>
        <v>94.082300000000004</v>
      </c>
      <c r="E44" s="54">
        <f>_xll.EQNXTDZ($A$1,$B44,E$1,$B$1)</f>
        <v>99.559200000000004</v>
      </c>
      <c r="F44" s="54">
        <f>_xll.EQNXTDZ($A$1,$B44,F$1,$B$1)</f>
        <v>112.94929999999999</v>
      </c>
      <c r="G44" s="54">
        <f>_xll.EQNXTDZ($A$1,$B44,G$1,$B$1)</f>
        <v>133.55760000000001</v>
      </c>
      <c r="H44" s="54">
        <f>_xll.EQNXTDZ($A$1,$B44,H$1,$B$1)</f>
        <v>166.5719</v>
      </c>
      <c r="I44" s="54">
        <f>_xll.EQNXTDZ($A$1,$B44,I$1,$B$1)</f>
        <v>210.05099999999999</v>
      </c>
      <c r="J44" s="54">
        <f>_xll.EQNXTDZ($A$1,$B44,J$1,$B$1)</f>
        <v>249.7208</v>
      </c>
      <c r="K44" s="54">
        <f>_xll.EQNXTDZ($A$1,$B44,K$1,$B$1)</f>
        <v>310.03320000000002</v>
      </c>
      <c r="L44" s="54">
        <f>_xll.EQNXTDZ($A$1,$B44,L$1,$B$1)</f>
        <v>355.28800000000001</v>
      </c>
      <c r="M44" s="54">
        <f>_xll.EQNXTDZ($A$1,$B44,M$1,$B$1)</f>
        <v>393.45359999999999</v>
      </c>
      <c r="N44" s="54">
        <f>_xll.EQNXTDZ($A$1,$B44,N$1,$B$1)</f>
        <v>426.07900000000001</v>
      </c>
      <c r="O44" s="54">
        <f>_xll.EQNXTDZ($A$1,$B44,O$1,$B$1)</f>
        <v>467.40699999999998</v>
      </c>
      <c r="P44" s="54">
        <f>_xll.EQNXTDZ($A$1,$B44,P$1,$B$1)</f>
        <v>511.77199999999999</v>
      </c>
      <c r="Q44" s="54">
        <f>_xll.EQNXTDZ($A$1,$B44,Q$1,$B$1)</f>
        <v>557.22400000000005</v>
      </c>
      <c r="R44" s="54">
        <f>_xll.EQNXTDZ($A$1,$B44,R$1,$B$1)</f>
        <v>602.846</v>
      </c>
      <c r="S44" s="54">
        <f>_xll.EQNXTDZ($A$1,$B44,S$1,$B$1)</f>
        <v>660.15700000000004</v>
      </c>
      <c r="T44" s="54">
        <f>_xll.EQNXTDZ($A$1,$B44,T$1,$B$1)</f>
        <v>710.41899999999998</v>
      </c>
      <c r="U44" s="54">
        <f>_xll.EQNXTDZ($A$1,$B44,U$1,$B$1)</f>
        <v>757.76400000000001</v>
      </c>
      <c r="V44" s="54">
        <f>_xll.EQNXTDZ($A$1,$B44,V$1,$B$1)</f>
        <v>828.66700000000003</v>
      </c>
      <c r="W44" s="54">
        <f>_xll.EQNXTDZ($A$1,$B44,W$1,$B$1)</f>
        <v>890.61800000000005</v>
      </c>
      <c r="X44" s="54">
        <f>_xll.EQNXTDZ($A$1,$B44,X$1,$B$1)</f>
        <v>1010.838</v>
      </c>
      <c r="Y44" s="54">
        <f>_xll.EQNXTDZ($A$1,$B44,Y$1,$B$1)</f>
        <v>1143.116</v>
      </c>
      <c r="Z44" s="54">
        <f>_xll.EQNXTDZ($A$1,$B44,Z$1,$B$1)</f>
        <v>1301.9090000000001</v>
      </c>
      <c r="AA44" s="54">
        <f>_xll.EQNXTDZ($A$1,$B44,AA$1,$B$1)</f>
        <v>1485.35</v>
      </c>
      <c r="AB44" s="54">
        <f>_xll.EQNXTDZ($A$1,$B44,AB$1,$B$1)</f>
        <v>1678.7339999999999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0.37590000000000001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20.632899999999999</v>
      </c>
      <c r="D47" s="54">
        <f>_xll.EQNXTDZ($A$1,$B47,D$1,$B$1)</f>
        <v>19.8949</v>
      </c>
      <c r="E47" s="54">
        <f>_xll.EQNXTDZ($A$1,$B47,E$1,$B$1)</f>
        <v>10.899100000000001</v>
      </c>
      <c r="F47" s="54">
        <f>_xll.EQNXTDZ($A$1,$B47,F$1,$B$1)</f>
        <v>6.5449999999999999</v>
      </c>
      <c r="G47" s="54">
        <f>_xll.EQNXTDZ($A$1,$B47,G$1,$B$1)</f>
        <v>4.5415999999999999</v>
      </c>
      <c r="H47" s="54">
        <f>_xll.EQNXTDZ($A$1,$B47,H$1,$B$1)</f>
        <v>9.8549000000000007</v>
      </c>
      <c r="I47" s="54">
        <f>_xll.EQNXTDZ($A$1,$B47,I$1,$B$1)</f>
        <v>10.0336</v>
      </c>
      <c r="J47" s="54">
        <f>_xll.EQNXTDZ($A$1,$B47,J$1,$B$1)</f>
        <v>24.215</v>
      </c>
      <c r="K47" s="54">
        <f>_xll.EQNXTDZ($A$1,$B47,K$1,$B$1)</f>
        <v>30.962800000000001</v>
      </c>
      <c r="L47" s="54">
        <f>_xll.EQNXTDZ($A$1,$B47,L$1,$B$1)</f>
        <v>7.3301999999999996</v>
      </c>
      <c r="M47" s="54">
        <f>_xll.EQNXTDZ($A$1,$B47,M$1,$B$1)</f>
        <v>13.616099999999999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20.920100000000001</v>
      </c>
      <c r="D48" s="54">
        <f>_xll.EQNXTDZ($A$1,$B48,D$1,$B$1)</f>
        <v>26.5731</v>
      </c>
      <c r="E48" s="54">
        <f>_xll.EQNXTDZ($A$1,$B48,E$1,$B$1)</f>
        <v>17.506699999999999</v>
      </c>
      <c r="F48" s="54">
        <f>_xll.EQNXTDZ($A$1,$B48,F$1,$B$1)</f>
        <v>6.2016</v>
      </c>
      <c r="G48" s="54">
        <f>_xll.EQNXTDZ($A$1,$B48,G$1,$B$1)</f>
        <v>3.1373000000000002</v>
      </c>
      <c r="H48" s="54">
        <f>_xll.EQNXTDZ($A$1,$B48,H$1,$B$1)</f>
        <v>1.4473</v>
      </c>
      <c r="I48" s="54">
        <f>_xll.EQNXTDZ($A$1,$B48,I$1,$B$1)</f>
        <v>0.91720000000000002</v>
      </c>
      <c r="J48" s="54">
        <f>_xll.EQNXTDZ($A$1,$B48,J$1,$B$1)</f>
        <v>0.89729999999999999</v>
      </c>
      <c r="K48" s="54">
        <f>_xll.EQNXTDZ($A$1,$B48,K$1,$B$1)</f>
        <v>0.35220000000000001</v>
      </c>
      <c r="L48" s="54">
        <f>_xll.EQNXTDZ($A$1,$B48,L$1,$B$1)</f>
        <v>0.19570000000000001</v>
      </c>
      <c r="M48" s="54">
        <f>_xll.EQNXTDZ($A$1,$B48,M$1,$B$1)</f>
        <v>0.11119999999999999</v>
      </c>
      <c r="N48" s="54">
        <f>_xll.EQNXTDZ($A$1,$B48,N$1,$B$1)</f>
        <v>3.0000000000000001E-3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5.1151999999999997</v>
      </c>
      <c r="F49" s="54">
        <f>_xll.EQNXTDZ($A$1,$B49,F$1,$B$1)</f>
        <v>2.4358</v>
      </c>
      <c r="G49" s="54">
        <f>_xll.EQNXTDZ($A$1,$B49,G$1,$B$1)</f>
        <v>1.0205</v>
      </c>
      <c r="H49" s="54">
        <f>_xll.EQNXTDZ($A$1,$B49,H$1,$B$1)</f>
        <v>0</v>
      </c>
      <c r="I49" s="54">
        <f>_xll.EQNXTDZ($A$1,$B49,I$1,$B$1)</f>
        <v>-2.9999999999999997E-4</v>
      </c>
      <c r="J49" s="54">
        <f>_xll.EQNXTDZ($A$1,$B49,J$1,$B$1)</f>
        <v>-1.0472999999999999</v>
      </c>
      <c r="K49" s="54">
        <f>_xll.EQNXTDZ($A$1,$B49,K$1,$B$1)</f>
        <v>-1.0602</v>
      </c>
      <c r="L49" s="54">
        <f>_xll.EQNXTDZ($A$1,$B49,L$1,$B$1)</f>
        <v>-1.9557</v>
      </c>
      <c r="M49" s="54">
        <f>_xll.EQNXTDZ($A$1,$B49,M$1,$B$1)</f>
        <v>-4.6902999999999997</v>
      </c>
      <c r="N49" s="54">
        <f>_xll.EQNXTDZ($A$1,$B49,N$1,$B$1)</f>
        <v>-5.2329999999999997</v>
      </c>
      <c r="O49" s="54">
        <f>_xll.EQNXTDZ($A$1,$B49,O$1,$B$1)</f>
        <v>-7.4580000000000002</v>
      </c>
      <c r="P49" s="54">
        <f>_xll.EQNXTDZ($A$1,$B49,P$1,$B$1)</f>
        <v>-7.7750000000000004</v>
      </c>
      <c r="Q49" s="54">
        <f>_xll.EQNXTDZ($A$1,$B49,Q$1,$B$1)</f>
        <v>-10.022</v>
      </c>
      <c r="R49" s="54">
        <f>_xll.EQNXTDZ($A$1,$B49,R$1,$B$1)</f>
        <v>-12.782</v>
      </c>
      <c r="S49" s="54">
        <f>_xll.EQNXTDZ($A$1,$B49,S$1,$B$1)</f>
        <v>-6.6639999999999997</v>
      </c>
      <c r="T49" s="54">
        <f>_xll.EQNXTDZ($A$1,$B49,T$1,$B$1)</f>
        <v>-8.3610000000000007</v>
      </c>
      <c r="U49" s="54">
        <f>_xll.EQNXTDZ($A$1,$B49,U$1,$B$1)</f>
        <v>-6.5839999999999996</v>
      </c>
      <c r="V49" s="54">
        <f>_xll.EQNXTDZ($A$1,$B49,V$1,$B$1)</f>
        <v>-1.58</v>
      </c>
      <c r="W49" s="54">
        <f>_xll.EQNXTDZ($A$1,$B49,W$1,$B$1)</f>
        <v>-0.89300000000000002</v>
      </c>
      <c r="X49" s="54">
        <f>_xll.EQNXTDZ($A$1,$B49,X$1,$B$1)</f>
        <v>-5.1100000000000003</v>
      </c>
      <c r="Y49" s="54">
        <f>_xll.EQNXTDZ($A$1,$B49,Y$1,$B$1)</f>
        <v>1.288</v>
      </c>
      <c r="Z49" s="54">
        <f>_xll.EQNXTDZ($A$1,$B49,Z$1,$B$1)</f>
        <v>1.54</v>
      </c>
      <c r="AA49" s="54">
        <f>_xll.EQNXTDZ($A$1,$B49,AA$1,$B$1)</f>
        <v>2.2829999999999999</v>
      </c>
      <c r="AB49" s="54">
        <f>_xll.EQNXTDZ($A$1,$B49,AB$1,$B$1)</f>
        <v>-10.898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5.3019999999999996</v>
      </c>
      <c r="O50" s="54">
        <f>_xll.EQNXTDZ($A$1,$B50,O$1,$B$1)</f>
        <v>5.6040000000000001</v>
      </c>
      <c r="P50" s="54">
        <f>_xll.EQNXTDZ($A$1,$B50,P$1,$B$1)</f>
        <v>6.0439999999999996</v>
      </c>
      <c r="Q50" s="54">
        <f>_xll.EQNXTDZ($A$1,$B50,Q$1,$B$1)</f>
        <v>6.6669999999999998</v>
      </c>
      <c r="R50" s="54">
        <f>_xll.EQNXTDZ($A$1,$B50,R$1,$B$1)</f>
        <v>7.0419999999999998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0.89800000000000002</v>
      </c>
      <c r="X50" s="54">
        <f>_xll.EQNXTDZ($A$1,$B50,X$1,$B$1)</f>
        <v>2.0339999999999998</v>
      </c>
      <c r="Y50" s="54">
        <f>_xll.EQNXTDZ($A$1,$B50,Y$1,$B$1)</f>
        <v>1.9510000000000001</v>
      </c>
      <c r="Z50" s="54">
        <f>_xll.EQNXTDZ($A$1,$B50,Z$1,$B$1)</f>
        <v>2.1019999999999999</v>
      </c>
      <c r="AA50" s="54">
        <f>_xll.EQNXTDZ($A$1,$B50,AA$1,$B$1)</f>
        <v>2.1669999999999998</v>
      </c>
      <c r="AB50" s="54">
        <f>_xll.EQNXTDZ($A$1,$B50,AB$1,$B$1)</f>
        <v>3.7309999999999999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18.370999999999999</v>
      </c>
      <c r="O52" s="54">
        <f>_xll.EQNXTDZ($A$1,$B52,O$1,$B$1)</f>
        <v>22.765000000000001</v>
      </c>
      <c r="P52" s="54">
        <f>_xll.EQNXTDZ($A$1,$B52,P$1,$B$1)</f>
        <v>23.268000000000001</v>
      </c>
      <c r="Q52" s="54">
        <f>_xll.EQNXTDZ($A$1,$B52,Q$1,$B$1)</f>
        <v>29.59</v>
      </c>
      <c r="R52" s="54">
        <f>_xll.EQNXTDZ($A$1,$B52,R$1,$B$1)</f>
        <v>29.446999999999999</v>
      </c>
      <c r="S52" s="54">
        <f>_xll.EQNXTDZ($A$1,$B52,S$1,$B$1)</f>
        <v>36.988</v>
      </c>
      <c r="T52" s="54">
        <f>_xll.EQNXTDZ($A$1,$B52,T$1,$B$1)</f>
        <v>37.335000000000001</v>
      </c>
      <c r="U52" s="54">
        <f>_xll.EQNXTDZ($A$1,$B52,U$1,$B$1)</f>
        <v>36.579000000000001</v>
      </c>
      <c r="V52" s="54">
        <f>_xll.EQNXTDZ($A$1,$B52,V$1,$B$1)</f>
        <v>42.44</v>
      </c>
      <c r="W52" s="54">
        <f>_xll.EQNXTDZ($A$1,$B52,W$1,$B$1)</f>
        <v>45.350999999999999</v>
      </c>
      <c r="X52" s="54">
        <f>_xll.EQNXTDZ($A$1,$B52,X$1,$B$1)</f>
        <v>51.667000000000002</v>
      </c>
      <c r="Y52" s="54">
        <f>_xll.EQNXTDZ($A$1,$B52,Y$1,$B$1)</f>
        <v>43.31</v>
      </c>
      <c r="Z52" s="54">
        <f>_xll.EQNXTDZ($A$1,$B52,Z$1,$B$1)</f>
        <v>43.7</v>
      </c>
      <c r="AA52" s="54">
        <f>_xll.EQNXTDZ($A$1,$B52,AA$1,$B$1)</f>
        <v>56.981999999999999</v>
      </c>
      <c r="AB52" s="54">
        <f>_xll.EQNXTDZ($A$1,$B52,AB$1,$B$1)</f>
        <v>85.616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41.552999999999997</v>
      </c>
      <c r="D53" s="54">
        <f>_xll.EQNXTDZ($A$1,$B53,D$1,$B$1)</f>
        <v>46.468000000000004</v>
      </c>
      <c r="E53" s="54">
        <f>_xll.EQNXTDZ($A$1,$B53,E$1,$B$1)</f>
        <v>33.521000000000001</v>
      </c>
      <c r="F53" s="54">
        <f>_xll.EQNXTDZ($A$1,$B53,F$1,$B$1)</f>
        <v>15.182399999999999</v>
      </c>
      <c r="G53" s="54">
        <f>_xll.EQNXTDZ($A$1,$B53,G$1,$B$1)</f>
        <v>8.6994000000000007</v>
      </c>
      <c r="H53" s="54">
        <f>_xll.EQNXTDZ($A$1,$B53,H$1,$B$1)</f>
        <v>11.302199999999999</v>
      </c>
      <c r="I53" s="54">
        <f>_xll.EQNXTDZ($A$1,$B53,I$1,$B$1)</f>
        <v>10.9505</v>
      </c>
      <c r="J53" s="54">
        <f>_xll.EQNXTDZ($A$1,$B53,J$1,$B$1)</f>
        <v>24.065000000000001</v>
      </c>
      <c r="K53" s="54">
        <f>_xll.EQNXTDZ($A$1,$B53,K$1,$B$1)</f>
        <v>30.254799999999999</v>
      </c>
      <c r="L53" s="54">
        <f>_xll.EQNXTDZ($A$1,$B53,L$1,$B$1)</f>
        <v>5.5701999999999998</v>
      </c>
      <c r="M53" s="54">
        <f>_xll.EQNXTDZ($A$1,$B53,M$1,$B$1)</f>
        <v>9.0370000000000008</v>
      </c>
      <c r="N53" s="54">
        <f>_xll.EQNXTDZ($A$1,$B53,N$1,$B$1)</f>
        <v>18.443000000000001</v>
      </c>
      <c r="O53" s="54">
        <f>_xll.EQNXTDZ($A$1,$B53,O$1,$B$1)</f>
        <v>20.911000000000001</v>
      </c>
      <c r="P53" s="54">
        <f>_xll.EQNXTDZ($A$1,$B53,P$1,$B$1)</f>
        <v>21.536999999999999</v>
      </c>
      <c r="Q53" s="54">
        <f>_xll.EQNXTDZ($A$1,$B53,Q$1,$B$1)</f>
        <v>26.234999999999999</v>
      </c>
      <c r="R53" s="54">
        <f>_xll.EQNXTDZ($A$1,$B53,R$1,$B$1)</f>
        <v>23.707000000000001</v>
      </c>
      <c r="S53" s="54">
        <f>_xll.EQNXTDZ($A$1,$B53,S$1,$B$1)</f>
        <v>30.324000000000002</v>
      </c>
      <c r="T53" s="54">
        <f>_xll.EQNXTDZ($A$1,$B53,T$1,$B$1)</f>
        <v>28.974</v>
      </c>
      <c r="U53" s="54">
        <f>_xll.EQNXTDZ($A$1,$B53,U$1,$B$1)</f>
        <v>29.995000000000001</v>
      </c>
      <c r="V53" s="54">
        <f>_xll.EQNXTDZ($A$1,$B53,V$1,$B$1)</f>
        <v>40.86</v>
      </c>
      <c r="W53" s="54">
        <f>_xll.EQNXTDZ($A$1,$B53,W$1,$B$1)</f>
        <v>45.356000000000002</v>
      </c>
      <c r="X53" s="54">
        <f>_xll.EQNXTDZ($A$1,$B53,X$1,$B$1)</f>
        <v>48.591000000000001</v>
      </c>
      <c r="Y53" s="54">
        <f>_xll.EQNXTDZ($A$1,$B53,Y$1,$B$1)</f>
        <v>46.548999999999999</v>
      </c>
      <c r="Z53" s="54">
        <f>_xll.EQNXTDZ($A$1,$B53,Z$1,$B$1)</f>
        <v>47.341999999999999</v>
      </c>
      <c r="AA53" s="54">
        <f>_xll.EQNXTDZ($A$1,$B53,AA$1,$B$1)</f>
        <v>61.432000000000002</v>
      </c>
      <c r="AB53" s="54">
        <f>_xll.EQNXTDZ($A$1,$B53,AB$1,$B$1)</f>
        <v>78.448999999999998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36.051499999999997</v>
      </c>
      <c r="D54" s="54">
        <f>_xll.EQNXTDZ($A$1,$B54,D$1,$B$1)</f>
        <v>39.6937</v>
      </c>
      <c r="E54" s="54">
        <f>_xll.EQNXTDZ($A$1,$B54,E$1,$B$1)</f>
        <v>47.741</v>
      </c>
      <c r="F54" s="54">
        <f>_xll.EQNXTDZ($A$1,$B54,F$1,$B$1)</f>
        <v>51.657600000000002</v>
      </c>
      <c r="G54" s="54">
        <f>_xll.EQNXTDZ($A$1,$B54,G$1,$B$1)</f>
        <v>61.178400000000003</v>
      </c>
      <c r="H54" s="54">
        <f>_xll.EQNXTDZ($A$1,$B54,H$1,$B$1)</f>
        <v>65.317099999999996</v>
      </c>
      <c r="I54" s="54">
        <f>_xll.EQNXTDZ($A$1,$B54,I$1,$B$1)</f>
        <v>89.025099999999995</v>
      </c>
      <c r="J54" s="54">
        <f>_xll.EQNXTDZ($A$1,$B54,J$1,$B$1)</f>
        <v>101.7805</v>
      </c>
      <c r="K54" s="54">
        <f>_xll.EQNXTDZ($A$1,$B54,K$1,$B$1)</f>
        <v>124.339</v>
      </c>
      <c r="L54" s="54">
        <f>_xll.EQNXTDZ($A$1,$B54,L$1,$B$1)</f>
        <v>125.7462</v>
      </c>
      <c r="M54" s="54">
        <f>_xll.EQNXTDZ($A$1,$B54,M$1,$B$1)</f>
        <v>143.53989999999999</v>
      </c>
      <c r="N54" s="54">
        <f>_xll.EQNXTDZ($A$1,$B54,N$1,$B$1)</f>
        <v>129.53200000000001</v>
      </c>
      <c r="O54" s="54">
        <f>_xll.EQNXTDZ($A$1,$B54,O$1,$B$1)</f>
        <v>112.17700000000001</v>
      </c>
      <c r="P54" s="54">
        <f>_xll.EQNXTDZ($A$1,$B54,P$1,$B$1)</f>
        <v>129.76300000000001</v>
      </c>
      <c r="Q54" s="54">
        <f>_xll.EQNXTDZ($A$1,$B54,Q$1,$B$1)</f>
        <v>153.726</v>
      </c>
      <c r="R54" s="54">
        <f>_xll.EQNXTDZ($A$1,$B54,R$1,$B$1)</f>
        <v>154.572</v>
      </c>
      <c r="S54" s="54">
        <f>_xll.EQNXTDZ($A$1,$B54,S$1,$B$1)</f>
        <v>150.68799999999999</v>
      </c>
      <c r="T54" s="54">
        <f>_xll.EQNXTDZ($A$1,$B54,T$1,$B$1)</f>
        <v>177.76300000000001</v>
      </c>
      <c r="U54" s="54">
        <f>_xll.EQNXTDZ($A$1,$B54,U$1,$B$1)</f>
        <v>217.709</v>
      </c>
      <c r="V54" s="54">
        <f>_xll.EQNXTDZ($A$1,$B54,V$1,$B$1)</f>
        <v>242.28399999999999</v>
      </c>
      <c r="W54" s="54">
        <f>_xll.EQNXTDZ($A$1,$B54,W$1,$B$1)</f>
        <v>262.76</v>
      </c>
      <c r="X54" s="54">
        <f>_xll.EQNXTDZ($A$1,$B54,X$1,$B$1)</f>
        <v>279.15499999999997</v>
      </c>
      <c r="Y54" s="54">
        <f>_xll.EQNXTDZ($A$1,$B54,Y$1,$B$1)</f>
        <v>314.267</v>
      </c>
      <c r="Z54" s="54">
        <f>_xll.EQNXTDZ($A$1,$B54,Z$1,$B$1)</f>
        <v>343.255</v>
      </c>
      <c r="AA54" s="54">
        <f>_xll.EQNXTDZ($A$1,$B54,AA$1,$B$1)</f>
        <v>371.92500000000001</v>
      </c>
      <c r="AB54" s="54">
        <f>_xll.EQNXTDZ($A$1,$B54,AB$1,$B$1)</f>
        <v>441.42599999999999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9.5578000000000003</v>
      </c>
      <c r="D55" s="54">
        <f>_xll.EQNXTDZ($A$1,$B55,D$1,$B$1)</f>
        <v>14.373900000000001</v>
      </c>
      <c r="E55" s="54">
        <f>_xll.EQNXTDZ($A$1,$B55,E$1,$B$1)</f>
        <v>11.5318</v>
      </c>
      <c r="F55" s="54">
        <f>_xll.EQNXTDZ($A$1,$B55,F$1,$B$1)</f>
        <v>11.9199</v>
      </c>
      <c r="G55" s="54">
        <f>_xll.EQNXTDZ($A$1,$B55,G$1,$B$1)</f>
        <v>14.631399999999999</v>
      </c>
      <c r="H55" s="54">
        <f>_xll.EQNXTDZ($A$1,$B55,H$1,$B$1)</f>
        <v>18.223600000000001</v>
      </c>
      <c r="I55" s="54">
        <f>_xll.EQNXTDZ($A$1,$B55,I$1,$B$1)</f>
        <v>18.439299999999999</v>
      </c>
      <c r="J55" s="54">
        <f>_xll.EQNXTDZ($A$1,$B55,J$1,$B$1)</f>
        <v>34.7149</v>
      </c>
      <c r="K55" s="54">
        <f>_xll.EQNXTDZ($A$1,$B55,K$1,$B$1)</f>
        <v>34.903300000000002</v>
      </c>
      <c r="L55" s="54">
        <f>_xll.EQNXTDZ($A$1,$B55,L$1,$B$1)</f>
        <v>31.4908</v>
      </c>
      <c r="M55" s="54">
        <f>_xll.EQNXTDZ($A$1,$B55,M$1,$B$1)</f>
        <v>43.834499999999998</v>
      </c>
      <c r="N55" s="54">
        <f>_xll.EQNXTDZ($A$1,$B55,N$1,$B$1)</f>
        <v>77.593000000000004</v>
      </c>
      <c r="O55" s="54">
        <f>_xll.EQNXTDZ($A$1,$B55,O$1,$B$1)</f>
        <v>94.293999999999997</v>
      </c>
      <c r="P55" s="54">
        <f>_xll.EQNXTDZ($A$1,$B55,P$1,$B$1)</f>
        <v>96.004000000000005</v>
      </c>
      <c r="Q55" s="54">
        <f>_xll.EQNXTDZ($A$1,$B55,Q$1,$B$1)</f>
        <v>107.696</v>
      </c>
      <c r="R55" s="54">
        <f>_xll.EQNXTDZ($A$1,$B55,R$1,$B$1)</f>
        <v>107.568</v>
      </c>
      <c r="S55" s="54">
        <f>_xll.EQNXTDZ($A$1,$B55,S$1,$B$1)</f>
        <v>93.009</v>
      </c>
      <c r="T55" s="54">
        <f>_xll.EQNXTDZ($A$1,$B55,T$1,$B$1)</f>
        <v>88.515000000000001</v>
      </c>
      <c r="U55" s="54">
        <f>_xll.EQNXTDZ($A$1,$B55,U$1,$B$1)</f>
        <v>151.751</v>
      </c>
      <c r="V55" s="54">
        <f>_xll.EQNXTDZ($A$1,$B55,V$1,$B$1)</f>
        <v>214.42400000000001</v>
      </c>
      <c r="W55" s="54">
        <f>_xll.EQNXTDZ($A$1,$B55,W$1,$B$1)</f>
        <v>212.78899999999999</v>
      </c>
      <c r="X55" s="54">
        <f>_xll.EQNXTDZ($A$1,$B55,X$1,$B$1)</f>
        <v>209.84100000000001</v>
      </c>
      <c r="Y55" s="54">
        <f>_xll.EQNXTDZ($A$1,$B55,Y$1,$B$1)</f>
        <v>270.58600000000001</v>
      </c>
      <c r="Z55" s="54">
        <f>_xll.EQNXTDZ($A$1,$B55,Z$1,$B$1)</f>
        <v>319.488</v>
      </c>
      <c r="AA55" s="54">
        <f>_xll.EQNXTDZ($A$1,$B55,AA$1,$B$1)</f>
        <v>362.58499999999998</v>
      </c>
      <c r="AB55" s="54">
        <f>_xll.EQNXTDZ($A$1,$B55,AB$1,$B$1)</f>
        <v>495.32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63.155000000000001</v>
      </c>
      <c r="O56" s="54">
        <f>_xll.EQNXTDZ($A$1,$B56,O$1,$B$1)</f>
        <v>16.852</v>
      </c>
      <c r="P56" s="54">
        <f>_xll.EQNXTDZ($A$1,$B56,P$1,$B$1)</f>
        <v>3.1850000000000001</v>
      </c>
      <c r="Q56" s="54">
        <f>_xll.EQNXTDZ($A$1,$B56,Q$1,$B$1)</f>
        <v>24.379000000000001</v>
      </c>
      <c r="R56" s="54">
        <f>_xll.EQNXTDZ($A$1,$B56,R$1,$B$1)</f>
        <v>1.2969999999999999</v>
      </c>
      <c r="S56" s="54">
        <f>_xll.EQNXTDZ($A$1,$B56,S$1,$B$1)</f>
        <v>6.9870000000000001</v>
      </c>
      <c r="T56" s="54">
        <f>_xll.EQNXTDZ($A$1,$B56,T$1,$B$1)</f>
        <v>12.634</v>
      </c>
      <c r="U56" s="54">
        <f>_xll.EQNXTDZ($A$1,$B56,U$1,$B$1)</f>
        <v>43.426000000000002</v>
      </c>
      <c r="V56" s="54">
        <f>_xll.EQNXTDZ($A$1,$B56,V$1,$B$1)</f>
        <v>60</v>
      </c>
      <c r="W56" s="54">
        <f>_xll.EQNXTDZ($A$1,$B56,W$1,$B$1)</f>
        <v>60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9.1946999999999992</v>
      </c>
      <c r="D57" s="54">
        <f>_xll.EQNXTDZ($A$1,$B57,D$1,$B$1)</f>
        <v>6.9173999999999998</v>
      </c>
      <c r="E57" s="54">
        <f>_xll.EQNXTDZ($A$1,$B57,E$1,$B$1)</f>
        <v>10.459099999999999</v>
      </c>
      <c r="F57" s="54">
        <f>_xll.EQNXTDZ($A$1,$B57,F$1,$B$1)</f>
        <v>12.6799</v>
      </c>
      <c r="G57" s="54">
        <f>_xll.EQNXTDZ($A$1,$B57,G$1,$B$1)</f>
        <v>16.417100000000001</v>
      </c>
      <c r="H57" s="54">
        <f>_xll.EQNXTDZ($A$1,$B57,H$1,$B$1)</f>
        <v>17.838200000000001</v>
      </c>
      <c r="I57" s="54">
        <f>_xll.EQNXTDZ($A$1,$B57,I$1,$B$1)</f>
        <v>22.802700000000002</v>
      </c>
      <c r="J57" s="54">
        <f>_xll.EQNXTDZ($A$1,$B57,J$1,$B$1)</f>
        <v>22.2361</v>
      </c>
      <c r="K57" s="54">
        <f>_xll.EQNXTDZ($A$1,$B57,K$1,$B$1)</f>
        <v>25.7865</v>
      </c>
      <c r="L57" s="54">
        <f>_xll.EQNXTDZ($A$1,$B57,L$1,$B$1)</f>
        <v>40.664999999999999</v>
      </c>
      <c r="M57" s="54">
        <f>_xll.EQNXTDZ($A$1,$B57,M$1,$B$1)</f>
        <v>42.227899999999998</v>
      </c>
      <c r="N57" s="54">
        <f>_xll.EQNXTDZ($A$1,$B57,N$1,$B$1)</f>
        <v>26.231999999999999</v>
      </c>
      <c r="O57" s="54">
        <f>_xll.EQNXTDZ($A$1,$B57,O$1,$B$1)</f>
        <v>34.651000000000003</v>
      </c>
      <c r="P57" s="54">
        <f>_xll.EQNXTDZ($A$1,$B57,P$1,$B$1)</f>
        <v>29.128</v>
      </c>
      <c r="Q57" s="54">
        <f>_xll.EQNXTDZ($A$1,$B57,Q$1,$B$1)</f>
        <v>34.430999999999997</v>
      </c>
      <c r="R57" s="54">
        <f>_xll.EQNXTDZ($A$1,$B57,R$1,$B$1)</f>
        <v>47.908000000000001</v>
      </c>
      <c r="S57" s="54">
        <f>_xll.EQNXTDZ($A$1,$B57,S$1,$B$1)</f>
        <v>39.932000000000002</v>
      </c>
      <c r="T57" s="54">
        <f>_xll.EQNXTDZ($A$1,$B57,T$1,$B$1)</f>
        <v>50.518999999999998</v>
      </c>
      <c r="U57" s="54">
        <f>_xll.EQNXTDZ($A$1,$B57,U$1,$B$1)</f>
        <v>42.720999999999997</v>
      </c>
      <c r="V57" s="54">
        <f>_xll.EQNXTDZ($A$1,$B57,V$1,$B$1)</f>
        <v>47.972000000000001</v>
      </c>
      <c r="W57" s="54">
        <f>_xll.EQNXTDZ($A$1,$B57,W$1,$B$1)</f>
        <v>67.77</v>
      </c>
      <c r="X57" s="54">
        <f>_xll.EQNXTDZ($A$1,$B57,X$1,$B$1)</f>
        <v>55.838999999999999</v>
      </c>
      <c r="Y57" s="54">
        <f>_xll.EQNXTDZ($A$1,$B57,Y$1,$B$1)</f>
        <v>50.293999999999997</v>
      </c>
      <c r="Z57" s="54">
        <f>_xll.EQNXTDZ($A$1,$B57,Z$1,$B$1)</f>
        <v>53.749000000000002</v>
      </c>
      <c r="AA57" s="54">
        <f>_xll.EQNXTDZ($A$1,$B57,AA$1,$B$1)</f>
        <v>66.736000000000004</v>
      </c>
      <c r="AB57" s="54">
        <f>_xll.EQNXTDZ($A$1,$B57,AB$1,$B$1)</f>
        <v>87.725999999999999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54.804000000000002</v>
      </c>
      <c r="D59" s="54">
        <f>_xll.EQNXTDZ($A$1,$B59,D$1,$B$1)</f>
        <v>60.984999999999999</v>
      </c>
      <c r="E59" s="54">
        <f>_xll.EQNXTDZ($A$1,$B59,E$1,$B$1)</f>
        <v>69.731899999999996</v>
      </c>
      <c r="F59" s="54">
        <f>_xll.EQNXTDZ($A$1,$B59,F$1,$B$1)</f>
        <v>76.257400000000004</v>
      </c>
      <c r="G59" s="54">
        <f>_xll.EQNXTDZ($A$1,$B59,G$1,$B$1)</f>
        <v>92.226900000000001</v>
      </c>
      <c r="H59" s="54">
        <f>_xll.EQNXTDZ($A$1,$B59,H$1,$B$1)</f>
        <v>101.3789</v>
      </c>
      <c r="I59" s="54">
        <f>_xll.EQNXTDZ($A$1,$B59,I$1,$B$1)</f>
        <v>130.2671</v>
      </c>
      <c r="J59" s="54">
        <f>_xll.EQNXTDZ($A$1,$B59,J$1,$B$1)</f>
        <v>158.73150000000001</v>
      </c>
      <c r="K59" s="54">
        <f>_xll.EQNXTDZ($A$1,$B59,K$1,$B$1)</f>
        <v>185.02879999999999</v>
      </c>
      <c r="L59" s="54">
        <f>_xll.EQNXTDZ($A$1,$B59,L$1,$B$1)</f>
        <v>197.90199999999999</v>
      </c>
      <c r="M59" s="54">
        <f>_xll.EQNXTDZ($A$1,$B59,M$1,$B$1)</f>
        <v>229.60230000000001</v>
      </c>
      <c r="N59" s="54">
        <f>_xll.EQNXTDZ($A$1,$B59,N$1,$B$1)</f>
        <v>296.512</v>
      </c>
      <c r="O59" s="54">
        <f>_xll.EQNXTDZ($A$1,$B59,O$1,$B$1)</f>
        <v>257.97399999999999</v>
      </c>
      <c r="P59" s="54">
        <f>_xll.EQNXTDZ($A$1,$B59,P$1,$B$1)</f>
        <v>258.08</v>
      </c>
      <c r="Q59" s="54">
        <f>_xll.EQNXTDZ($A$1,$B59,Q$1,$B$1)</f>
        <v>320.23200000000003</v>
      </c>
      <c r="R59" s="54">
        <f>_xll.EQNXTDZ($A$1,$B59,R$1,$B$1)</f>
        <v>311.34500000000003</v>
      </c>
      <c r="S59" s="54">
        <f>_xll.EQNXTDZ($A$1,$B59,S$1,$B$1)</f>
        <v>290.61599999999999</v>
      </c>
      <c r="T59" s="54">
        <f>_xll.EQNXTDZ($A$1,$B59,T$1,$B$1)</f>
        <v>329.43099999999998</v>
      </c>
      <c r="U59" s="54">
        <f>_xll.EQNXTDZ($A$1,$B59,U$1,$B$1)</f>
        <v>455.60700000000003</v>
      </c>
      <c r="V59" s="54">
        <f>_xll.EQNXTDZ($A$1,$B59,V$1,$B$1)</f>
        <v>564.67999999999995</v>
      </c>
      <c r="W59" s="54">
        <f>_xll.EQNXTDZ($A$1,$B59,W$1,$B$1)</f>
        <v>603.31899999999996</v>
      </c>
      <c r="X59" s="54">
        <f>_xll.EQNXTDZ($A$1,$B59,X$1,$B$1)</f>
        <v>544.83500000000004</v>
      </c>
      <c r="Y59" s="54">
        <f>_xll.EQNXTDZ($A$1,$B59,Y$1,$B$1)</f>
        <v>635.14700000000005</v>
      </c>
      <c r="Z59" s="54">
        <f>_xll.EQNXTDZ($A$1,$B59,Z$1,$B$1)</f>
        <v>716.49199999999996</v>
      </c>
      <c r="AA59" s="54">
        <f>_xll.EQNXTDZ($A$1,$B59,AA$1,$B$1)</f>
        <v>801.24599999999998</v>
      </c>
      <c r="AB59" s="54">
        <f>_xll.EQNXTDZ($A$1,$B59,AB$1,$B$1)</f>
        <v>1024.472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188.2165</v>
      </c>
      <c r="D60" s="54">
        <f>_xll.EQNXTDZ($A$1,$B60,D$1,$B$1)</f>
        <v>201.53530000000001</v>
      </c>
      <c r="E60" s="54">
        <f>_xll.EQNXTDZ($A$1,$B60,E$1,$B$1)</f>
        <v>203.18799999999999</v>
      </c>
      <c r="F60" s="54">
        <f>_xll.EQNXTDZ($A$1,$B60,F$1,$B$1)</f>
        <v>204.38910000000001</v>
      </c>
      <c r="G60" s="54">
        <f>_xll.EQNXTDZ($A$1,$B60,G$1,$B$1)</f>
        <v>234.48390000000001</v>
      </c>
      <c r="H60" s="54">
        <f>_xll.EQNXTDZ($A$1,$B60,H$1,$B$1)</f>
        <v>279.25299999999999</v>
      </c>
      <c r="I60" s="54">
        <f>_xll.EQNXTDZ($A$1,$B60,I$1,$B$1)</f>
        <v>351.26859999999999</v>
      </c>
      <c r="J60" s="54">
        <f>_xll.EQNXTDZ($A$1,$B60,J$1,$B$1)</f>
        <v>432.51729999999998</v>
      </c>
      <c r="K60" s="54">
        <f>_xll.EQNXTDZ($A$1,$B60,K$1,$B$1)</f>
        <v>525.31679999999994</v>
      </c>
      <c r="L60" s="54">
        <f>_xll.EQNXTDZ($A$1,$B60,L$1,$B$1)</f>
        <v>558.76020000000005</v>
      </c>
      <c r="M60" s="54">
        <f>_xll.EQNXTDZ($A$1,$B60,M$1,$B$1)</f>
        <v>632.09289999999999</v>
      </c>
      <c r="N60" s="54">
        <f>_xll.EQNXTDZ($A$1,$B60,N$1,$B$1)</f>
        <v>741.03399999999999</v>
      </c>
      <c r="O60" s="54">
        <f>_xll.EQNXTDZ($A$1,$B60,O$1,$B$1)</f>
        <v>746.29200000000003</v>
      </c>
      <c r="P60" s="54">
        <f>_xll.EQNXTDZ($A$1,$B60,P$1,$B$1)</f>
        <v>791.38900000000001</v>
      </c>
      <c r="Q60" s="54">
        <f>_xll.EQNXTDZ($A$1,$B60,Q$1,$B$1)</f>
        <v>903.69100000000003</v>
      </c>
      <c r="R60" s="54">
        <f>_xll.EQNXTDZ($A$1,$B60,R$1,$B$1)</f>
        <v>937.89800000000002</v>
      </c>
      <c r="S60" s="54">
        <f>_xll.EQNXTDZ($A$1,$B60,S$1,$B$1)</f>
        <v>981.09699999999998</v>
      </c>
      <c r="T60" s="54">
        <f>_xll.EQNXTDZ($A$1,$B60,T$1,$B$1)</f>
        <v>1068.8240000000001</v>
      </c>
      <c r="U60" s="54">
        <f>_xll.EQNXTDZ($A$1,$B60,U$1,$B$1)</f>
        <v>1243.366</v>
      </c>
      <c r="V60" s="54">
        <f>_xll.EQNXTDZ($A$1,$B60,V$1,$B$1)</f>
        <v>1434.2070000000001</v>
      </c>
      <c r="W60" s="54">
        <f>_xll.EQNXTDZ($A$1,$B60,W$1,$B$1)</f>
        <v>1539.2929999999999</v>
      </c>
      <c r="X60" s="54">
        <f>_xll.EQNXTDZ($A$1,$B60,X$1,$B$1)</f>
        <v>1604.2639999999999</v>
      </c>
      <c r="Y60" s="54">
        <f>_xll.EQNXTDZ($A$1,$B60,Y$1,$B$1)</f>
        <v>1824.8119999999999</v>
      </c>
      <c r="Z60" s="54">
        <f>_xll.EQNXTDZ($A$1,$B60,Z$1,$B$1)</f>
        <v>2065.7429999999999</v>
      </c>
      <c r="AA60" s="54">
        <f>_xll.EQNXTDZ($A$1,$B60,AA$1,$B$1)</f>
        <v>2348.0279999999998</v>
      </c>
      <c r="AB60" s="54">
        <f>_xll.EQNXTDZ($A$1,$B60,AB$1,$B$1)</f>
        <v>2781.6550000000002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106.509</v>
      </c>
      <c r="D62" s="54">
        <f>_xll.EQNXTDZ($A$1,$B62,D$1,$B$1)</f>
        <v>117.0222</v>
      </c>
      <c r="E62" s="54">
        <f>_xll.EQNXTDZ($A$1,$B62,E$1,$B$1)</f>
        <v>133.63890000000001</v>
      </c>
      <c r="F62" s="54">
        <f>_xll.EQNXTDZ($A$1,$B62,F$1,$B$1)</f>
        <v>138.17240000000001</v>
      </c>
      <c r="G62" s="54">
        <f>_xll.EQNXTDZ($A$1,$B62,G$1,$B$1)</f>
        <v>143.96360000000001</v>
      </c>
      <c r="H62" s="54">
        <f>_xll.EQNXTDZ($A$1,$B62,H$1,$B$1)</f>
        <v>153.11959999999999</v>
      </c>
      <c r="I62" s="54">
        <f>_xll.EQNXTDZ($A$1,$B62,I$1,$B$1)</f>
        <v>166.14439999999999</v>
      </c>
      <c r="J62" s="54">
        <f>_xll.EQNXTDZ($A$1,$B62,J$1,$B$1)</f>
        <v>195.40119999999999</v>
      </c>
      <c r="K62" s="54">
        <f>_xll.EQNXTDZ($A$1,$B62,K$1,$B$1)</f>
        <v>231.4391</v>
      </c>
      <c r="L62" s="54">
        <f>_xll.EQNXTDZ($A$1,$B62,L$1,$B$1)</f>
        <v>264.45420000000001</v>
      </c>
      <c r="M62" s="54">
        <f>_xll.EQNXTDZ($A$1,$B62,M$1,$B$1)</f>
        <v>309.5197</v>
      </c>
      <c r="N62" s="54">
        <f>_xll.EQNXTDZ($A$1,$B62,N$1,$B$1)</f>
        <v>326.48899999999998</v>
      </c>
      <c r="O62" s="54">
        <f>_xll.EQNXTDZ($A$1,$B62,O$1,$B$1)</f>
        <v>352.18400000000003</v>
      </c>
      <c r="P62" s="54">
        <f>_xll.EQNXTDZ($A$1,$B62,P$1,$B$1)</f>
        <v>388.52800000000002</v>
      </c>
      <c r="Q62" s="54">
        <f>_xll.EQNXTDZ($A$1,$B62,Q$1,$B$1)</f>
        <v>421.94400000000002</v>
      </c>
      <c r="R62" s="54">
        <f>_xll.EQNXTDZ($A$1,$B62,R$1,$B$1)</f>
        <v>446.14800000000002</v>
      </c>
      <c r="S62" s="54">
        <f>_xll.EQNXTDZ($A$1,$B62,S$1,$B$1)</f>
        <v>498.39499999999998</v>
      </c>
      <c r="T62" s="54">
        <f>_xll.EQNXTDZ($A$1,$B62,T$1,$B$1)</f>
        <v>611.08000000000004</v>
      </c>
      <c r="U62" s="54">
        <f>_xll.EQNXTDZ($A$1,$B62,U$1,$B$1)</f>
        <v>657.404</v>
      </c>
      <c r="V62" s="54">
        <f>_xll.EQNXTDZ($A$1,$B62,V$1,$B$1)</f>
        <v>683.92700000000002</v>
      </c>
      <c r="W62" s="54">
        <f>_xll.EQNXTDZ($A$1,$B62,W$1,$B$1)</f>
        <v>723.13900000000001</v>
      </c>
      <c r="X62" s="54">
        <f>_xll.EQNXTDZ($A$1,$B62,X$1,$B$1)</f>
        <v>741.34100000000001</v>
      </c>
      <c r="Y62" s="54">
        <f>_xll.EQNXTDZ($A$1,$B62,Y$1,$B$1)</f>
        <v>821.53200000000004</v>
      </c>
      <c r="Z62" s="54">
        <f>_xll.EQNXTDZ($A$1,$B62,Z$1,$B$1)</f>
        <v>923.63900000000001</v>
      </c>
      <c r="AA62" s="54">
        <f>_xll.EQNXTDZ($A$1,$B62,AA$1,$B$1)</f>
        <v>987.11800000000005</v>
      </c>
      <c r="AB62" s="54">
        <f>_xll.EQNXTDZ($A$1,$B62,AB$1,$B$1)</f>
        <v>1056.633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56.981999999999999</v>
      </c>
      <c r="D63" s="54">
        <f>_xll.EQNXTDZ($A$1,$B63,D$1,$B$1)</f>
        <v>64.012299999999996</v>
      </c>
      <c r="E63" s="54">
        <f>_xll.EQNXTDZ($A$1,$B63,E$1,$B$1)</f>
        <v>80.626999999999995</v>
      </c>
      <c r="F63" s="54">
        <f>_xll.EQNXTDZ($A$1,$B63,F$1,$B$1)</f>
        <v>89.854500000000002</v>
      </c>
      <c r="G63" s="54">
        <f>_xll.EQNXTDZ($A$1,$B63,G$1,$B$1)</f>
        <v>98.235799999999998</v>
      </c>
      <c r="H63" s="54">
        <f>_xll.EQNXTDZ($A$1,$B63,H$1,$B$1)</f>
        <v>106.3989</v>
      </c>
      <c r="I63" s="54">
        <f>_xll.EQNXTDZ($A$1,$B63,I$1,$B$1)</f>
        <v>113.1434</v>
      </c>
      <c r="J63" s="54">
        <f>_xll.EQNXTDZ($A$1,$B63,J$1,$B$1)</f>
        <v>120.1433</v>
      </c>
      <c r="K63" s="54">
        <f>_xll.EQNXTDZ($A$1,$B63,K$1,$B$1)</f>
        <v>125.5428</v>
      </c>
      <c r="L63" s="54">
        <f>_xll.EQNXTDZ($A$1,$B63,L$1,$B$1)</f>
        <v>139.97030000000001</v>
      </c>
      <c r="M63" s="54">
        <f>_xll.EQNXTDZ($A$1,$B63,M$1,$B$1)</f>
        <v>158.1936</v>
      </c>
      <c r="N63" s="54">
        <f>_xll.EQNXTDZ($A$1,$B63,N$1,$B$1)</f>
        <v>173.73599999999999</v>
      </c>
      <c r="O63" s="54">
        <f>_xll.EQNXTDZ($A$1,$B63,O$1,$B$1)</f>
        <v>193.72</v>
      </c>
      <c r="P63" s="54">
        <f>_xll.EQNXTDZ($A$1,$B63,P$1,$B$1)</f>
        <v>207.28100000000001</v>
      </c>
      <c r="Q63" s="54">
        <f>_xll.EQNXTDZ($A$1,$B63,Q$1,$B$1)</f>
        <v>231.13200000000001</v>
      </c>
      <c r="R63" s="54">
        <f>_xll.EQNXTDZ($A$1,$B63,R$1,$B$1)</f>
        <v>252.09200000000001</v>
      </c>
      <c r="S63" s="54">
        <f>_xll.EQNXTDZ($A$1,$B63,S$1,$B$1)</f>
        <v>279.76400000000001</v>
      </c>
      <c r="T63" s="54">
        <f>_xll.EQNXTDZ($A$1,$B63,T$1,$B$1)</f>
        <v>302.88099999999997</v>
      </c>
      <c r="U63" s="54">
        <f>_xll.EQNXTDZ($A$1,$B63,U$1,$B$1)</f>
        <v>336.34399999999999</v>
      </c>
      <c r="V63" s="54">
        <f>_xll.EQNXTDZ($A$1,$B63,V$1,$B$1)</f>
        <v>376.642</v>
      </c>
      <c r="W63" s="54">
        <f>_xll.EQNXTDZ($A$1,$B63,W$1,$B$1)</f>
        <v>404.72300000000001</v>
      </c>
      <c r="X63" s="54">
        <f>_xll.EQNXTDZ($A$1,$B63,X$1,$B$1)</f>
        <v>430.70400000000001</v>
      </c>
      <c r="Y63" s="54">
        <f>_xll.EQNXTDZ($A$1,$B63,Y$1,$B$1)</f>
        <v>471.45499999999998</v>
      </c>
      <c r="Z63" s="54">
        <f>_xll.EQNXTDZ($A$1,$B63,Z$1,$B$1)</f>
        <v>504.65</v>
      </c>
      <c r="AA63" s="54">
        <f>_xll.EQNXTDZ($A$1,$B63,AA$1,$B$1)</f>
        <v>548.654</v>
      </c>
      <c r="AB63" s="54">
        <f>_xll.EQNXTDZ($A$1,$B63,AB$1,$B$1)</f>
        <v>595.024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49.527000000000001</v>
      </c>
      <c r="D65" s="54">
        <f>_xll.EQNXTDZ($A$1,$B65,D$1,$B$1)</f>
        <v>53.009900000000002</v>
      </c>
      <c r="E65" s="54">
        <f>_xll.EQNXTDZ($A$1,$B65,E$1,$B$1)</f>
        <v>53.011899999999997</v>
      </c>
      <c r="F65" s="54">
        <f>_xll.EQNXTDZ($A$1,$B65,F$1,$B$1)</f>
        <v>48.317900000000002</v>
      </c>
      <c r="G65" s="54">
        <f>_xll.EQNXTDZ($A$1,$B65,G$1,$B$1)</f>
        <v>45.727800000000002</v>
      </c>
      <c r="H65" s="54">
        <f>_xll.EQNXTDZ($A$1,$B65,H$1,$B$1)</f>
        <v>46.720700000000001</v>
      </c>
      <c r="I65" s="54">
        <f>_xll.EQNXTDZ($A$1,$B65,I$1,$B$1)</f>
        <v>53.000999999999998</v>
      </c>
      <c r="J65" s="54">
        <f>_xll.EQNXTDZ($A$1,$B65,J$1,$B$1)</f>
        <v>75.257900000000006</v>
      </c>
      <c r="K65" s="54">
        <f>_xll.EQNXTDZ($A$1,$B65,K$1,$B$1)</f>
        <v>105.8963</v>
      </c>
      <c r="L65" s="54">
        <f>_xll.EQNXTDZ($A$1,$B65,L$1,$B$1)</f>
        <v>124.48390000000001</v>
      </c>
      <c r="M65" s="54">
        <f>_xll.EQNXTDZ($A$1,$B65,M$1,$B$1)</f>
        <v>151.3261</v>
      </c>
      <c r="N65" s="54">
        <f>_xll.EQNXTDZ($A$1,$B65,N$1,$B$1)</f>
        <v>152.75299999999999</v>
      </c>
      <c r="O65" s="54">
        <f>_xll.EQNXTDZ($A$1,$B65,O$1,$B$1)</f>
        <v>158.464</v>
      </c>
      <c r="P65" s="54">
        <f>_xll.EQNXTDZ($A$1,$B65,P$1,$B$1)</f>
        <v>181.24700000000001</v>
      </c>
      <c r="Q65" s="54">
        <f>_xll.EQNXTDZ($A$1,$B65,Q$1,$B$1)</f>
        <v>190.81200000000001</v>
      </c>
      <c r="R65" s="54">
        <f>_xll.EQNXTDZ($A$1,$B65,R$1,$B$1)</f>
        <v>194.05600000000001</v>
      </c>
      <c r="S65" s="54">
        <f>_xll.EQNXTDZ($A$1,$B65,S$1,$B$1)</f>
        <v>218.631</v>
      </c>
      <c r="T65" s="54">
        <f>_xll.EQNXTDZ($A$1,$B65,T$1,$B$1)</f>
        <v>308.19900000000001</v>
      </c>
      <c r="U65" s="54">
        <f>_xll.EQNXTDZ($A$1,$B65,U$1,$B$1)</f>
        <v>321.06</v>
      </c>
      <c r="V65" s="54">
        <f>_xll.EQNXTDZ($A$1,$B65,V$1,$B$1)</f>
        <v>307.28500000000003</v>
      </c>
      <c r="W65" s="54">
        <f>_xll.EQNXTDZ($A$1,$B65,W$1,$B$1)</f>
        <v>318.416</v>
      </c>
      <c r="X65" s="54">
        <f>_xll.EQNXTDZ($A$1,$B65,X$1,$B$1)</f>
        <v>310.637</v>
      </c>
      <c r="Y65" s="54">
        <f>_xll.EQNXTDZ($A$1,$B65,Y$1,$B$1)</f>
        <v>350.077</v>
      </c>
      <c r="Z65" s="54">
        <f>_xll.EQNXTDZ($A$1,$B65,Z$1,$B$1)</f>
        <v>418.98899999999998</v>
      </c>
      <c r="AA65" s="54">
        <f>_xll.EQNXTDZ($A$1,$B65,AA$1,$B$1)</f>
        <v>438.464</v>
      </c>
      <c r="AB65" s="54">
        <f>_xll.EQNXTDZ($A$1,$B65,AB$1,$B$1)</f>
        <v>461.60899999999998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2.7124999999999999</v>
      </c>
      <c r="D67" s="54">
        <f>_xll.EQNXTDZ($A$1,$B67,D$1,$B$1)</f>
        <v>1.9755</v>
      </c>
      <c r="E67" s="54">
        <f>_xll.EQNXTDZ($A$1,$B67,E$1,$B$1)</f>
        <v>0.65229999999999999</v>
      </c>
      <c r="F67" s="54">
        <f>_xll.EQNXTDZ($A$1,$B67,F$1,$B$1)</f>
        <v>0.7873</v>
      </c>
      <c r="G67" s="54">
        <f>_xll.EQNXTDZ($A$1,$B67,G$1,$B$1)</f>
        <v>4.399</v>
      </c>
      <c r="H67" s="54">
        <f>_xll.EQNXTDZ($A$1,$B67,H$1,$B$1)</f>
        <v>1.5322</v>
      </c>
      <c r="I67" s="54">
        <f>_xll.EQNXTDZ($A$1,$B67,I$1,$B$1)</f>
        <v>15.5914</v>
      </c>
      <c r="J67" s="54">
        <f>_xll.EQNXTDZ($A$1,$B67,J$1,$B$1)</f>
        <v>14.5624</v>
      </c>
      <c r="K67" s="54">
        <f>_xll.EQNXTDZ($A$1,$B67,K$1,$B$1)</f>
        <v>33.7729</v>
      </c>
      <c r="L67" s="54">
        <f>_xll.EQNXTDZ($A$1,$B67,L$1,$B$1)</f>
        <v>33.433999999999997</v>
      </c>
      <c r="M67" s="54">
        <f>_xll.EQNXTDZ($A$1,$B67,M$1,$B$1)</f>
        <v>8.6983999999999995</v>
      </c>
      <c r="N67" s="54">
        <f>_xll.EQNXTDZ($A$1,$B67,N$1,$B$1)</f>
        <v>6.9660000000000002</v>
      </c>
      <c r="O67" s="54">
        <f>_xll.EQNXTDZ($A$1,$B67,O$1,$B$1)</f>
        <v>26.706</v>
      </c>
      <c r="P67" s="54">
        <f>_xll.EQNXTDZ($A$1,$B67,P$1,$B$1)</f>
        <v>8.2420000000000009</v>
      </c>
      <c r="Q67" s="54">
        <f>_xll.EQNXTDZ($A$1,$B67,Q$1,$B$1)</f>
        <v>9.9570000000000007</v>
      </c>
      <c r="R67" s="54">
        <f>_xll.EQNXTDZ($A$1,$B67,R$1,$B$1)</f>
        <v>14.218</v>
      </c>
      <c r="S67" s="54">
        <f>_xll.EQNXTDZ($A$1,$B67,S$1,$B$1)</f>
        <v>16.495000000000001</v>
      </c>
      <c r="T67" s="54">
        <f>_xll.EQNXTDZ($A$1,$B67,T$1,$B$1)</f>
        <v>4.0919999999999996</v>
      </c>
      <c r="U67" s="54">
        <f>_xll.EQNXTDZ($A$1,$B67,U$1,$B$1)</f>
        <v>4.1379999999999999</v>
      </c>
      <c r="V67" s="54">
        <f>_xll.EQNXTDZ($A$1,$B67,V$1,$B$1)</f>
        <v>34.49</v>
      </c>
      <c r="W67" s="54">
        <f>_xll.EQNXTDZ($A$1,$B67,W$1,$B$1)</f>
        <v>25.1</v>
      </c>
      <c r="X67" s="54">
        <f>_xll.EQNXTDZ($A$1,$B67,X$1,$B$1)</f>
        <v>39.176000000000002</v>
      </c>
      <c r="Y67" s="54">
        <f>_xll.EQNXTDZ($A$1,$B67,Y$1,$B$1)</f>
        <v>25.143000000000001</v>
      </c>
      <c r="Z67" s="54">
        <f>_xll.EQNXTDZ($A$1,$B67,Z$1,$B$1)</f>
        <v>31.024999999999999</v>
      </c>
      <c r="AA67" s="54">
        <f>_xll.EQNXTDZ($A$1,$B67,AA$1,$B$1)</f>
        <v>52.808</v>
      </c>
      <c r="AB67" s="54">
        <f>_xll.EQNXTDZ($A$1,$B67,AB$1,$B$1)</f>
        <v>88.891000000000005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1.375</v>
      </c>
      <c r="AA68" s="54">
        <f>_xll.EQNXTDZ($A$1,$B68,AA$1,$B$1)</f>
        <v>1.8480000000000001</v>
      </c>
      <c r="AB68" s="54">
        <f>_xll.EQNXTDZ($A$1,$B68,AB$1,$B$1)</f>
        <v>2.9710000000000001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8.3354999999999997</v>
      </c>
      <c r="D71" s="54">
        <f>_xll.EQNXTDZ($A$1,$B71,D$1,$B$1)</f>
        <v>8.6372999999999998</v>
      </c>
      <c r="E71" s="54">
        <f>_xll.EQNXTDZ($A$1,$B71,E$1,$B$1)</f>
        <v>9.0798000000000005</v>
      </c>
      <c r="F71" s="54">
        <f>_xll.EQNXTDZ($A$1,$B71,F$1,$B$1)</f>
        <v>11.472200000000001</v>
      </c>
      <c r="G71" s="54">
        <f>_xll.EQNXTDZ($A$1,$B71,G$1,$B$1)</f>
        <v>7.7687999999999997</v>
      </c>
      <c r="H71" s="54">
        <f>_xll.EQNXTDZ($A$1,$B71,H$1,$B$1)</f>
        <v>11.817</v>
      </c>
      <c r="I71" s="54">
        <f>_xll.EQNXTDZ($A$1,$B71,I$1,$B$1)</f>
        <v>15.1249</v>
      </c>
      <c r="J71" s="54">
        <f>_xll.EQNXTDZ($A$1,$B71,J$1,$B$1)</f>
        <v>18.048999999999999</v>
      </c>
      <c r="K71" s="54">
        <f>_xll.EQNXTDZ($A$1,$B71,K$1,$B$1)</f>
        <v>23.430199999999999</v>
      </c>
      <c r="L71" s="54">
        <f>_xll.EQNXTDZ($A$1,$B71,L$1,$B$1)</f>
        <v>27.566299999999998</v>
      </c>
      <c r="M71" s="54">
        <f>_xll.EQNXTDZ($A$1,$B71,M$1,$B$1)</f>
        <v>33.298200000000001</v>
      </c>
      <c r="N71" s="54">
        <f>_xll.EQNXTDZ($A$1,$B71,N$1,$B$1)</f>
        <v>38.375999999999998</v>
      </c>
      <c r="O71" s="54">
        <f>_xll.EQNXTDZ($A$1,$B71,O$1,$B$1)</f>
        <v>42.779000000000003</v>
      </c>
      <c r="P71" s="54">
        <f>_xll.EQNXTDZ($A$1,$B71,P$1,$B$1)</f>
        <v>48.482999999999997</v>
      </c>
      <c r="Q71" s="54">
        <f>_xll.EQNXTDZ($A$1,$B71,Q$1,$B$1)</f>
        <v>49.883000000000003</v>
      </c>
      <c r="R71" s="54">
        <f>_xll.EQNXTDZ($A$1,$B71,R$1,$B$1)</f>
        <v>51.366999999999997</v>
      </c>
      <c r="S71" s="54">
        <f>_xll.EQNXTDZ($A$1,$B71,S$1,$B$1)</f>
        <v>54.104999999999997</v>
      </c>
      <c r="T71" s="54">
        <f>_xll.EQNXTDZ($A$1,$B71,T$1,$B$1)</f>
        <v>57.805</v>
      </c>
      <c r="U71" s="54">
        <f>_xll.EQNXTDZ($A$1,$B71,U$1,$B$1)</f>
        <v>59.771999999999998</v>
      </c>
      <c r="V71" s="54">
        <f>_xll.EQNXTDZ($A$1,$B71,V$1,$B$1)</f>
        <v>64.414000000000001</v>
      </c>
      <c r="W71" s="54">
        <f>_xll.EQNXTDZ($A$1,$B71,W$1,$B$1)</f>
        <v>66.231999999999999</v>
      </c>
      <c r="X71" s="54">
        <f>_xll.EQNXTDZ($A$1,$B71,X$1,$B$1)</f>
        <v>69.748000000000005</v>
      </c>
      <c r="Y71" s="54">
        <f>_xll.EQNXTDZ($A$1,$B71,Y$1,$B$1)</f>
        <v>74.161000000000001</v>
      </c>
      <c r="Z71" s="54">
        <f>_xll.EQNXTDZ($A$1,$B71,Z$1,$B$1)</f>
        <v>79.536000000000001</v>
      </c>
      <c r="AA71" s="54">
        <f>_xll.EQNXTDZ($A$1,$B71,AA$1,$B$1)</f>
        <v>87.828000000000003</v>
      </c>
      <c r="AB71" s="54">
        <f>_xll.EQNXTDZ($A$1,$B71,AB$1,$B$1)</f>
        <v>96.504999999999995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46.927999999999997</v>
      </c>
      <c r="O72" s="54">
        <f>_xll.EQNXTDZ($A$1,$B72,O$1,$B$1)</f>
        <v>49.52</v>
      </c>
      <c r="P72" s="54">
        <f>_xll.EQNXTDZ($A$1,$B72,P$1,$B$1)</f>
        <v>56.43</v>
      </c>
      <c r="Q72" s="54">
        <f>_xll.EQNXTDZ($A$1,$B72,Q$1,$B$1)</f>
        <v>54.859000000000002</v>
      </c>
      <c r="R72" s="54">
        <f>_xll.EQNXTDZ($A$1,$B72,R$1,$B$1)</f>
        <v>49.286999999999999</v>
      </c>
      <c r="S72" s="54">
        <f>_xll.EQNXTDZ($A$1,$B72,S$1,$B$1)</f>
        <v>70.295000000000002</v>
      </c>
      <c r="T72" s="54">
        <f>_xll.EQNXTDZ($A$1,$B72,T$1,$B$1)</f>
        <v>62.959000000000003</v>
      </c>
      <c r="U72" s="54">
        <f>_xll.EQNXTDZ($A$1,$B72,U$1,$B$1)</f>
        <v>51.911999999999999</v>
      </c>
      <c r="V72" s="54">
        <f>_xll.EQNXTDZ($A$1,$B72,V$1,$B$1)</f>
        <v>40.765999999999998</v>
      </c>
      <c r="W72" s="54">
        <f>_xll.EQNXTDZ($A$1,$B72,W$1,$B$1)</f>
        <v>38.210999999999999</v>
      </c>
      <c r="X72" s="54">
        <f>_xll.EQNXTDZ($A$1,$B72,X$1,$B$1)</f>
        <v>64.325000000000003</v>
      </c>
      <c r="Y72" s="54">
        <f>_xll.EQNXTDZ($A$1,$B72,Y$1,$B$1)</f>
        <v>101.191</v>
      </c>
      <c r="Z72" s="54">
        <f>_xll.EQNXTDZ($A$1,$B72,Z$1,$B$1)</f>
        <v>67.34</v>
      </c>
      <c r="AA72" s="54">
        <f>_xll.EQNXTDZ($A$1,$B72,AA$1,$B$1)</f>
        <v>60.475000000000001</v>
      </c>
      <c r="AB72" s="54">
        <f>_xll.EQNXTDZ($A$1,$B72,AB$1,$B$1)</f>
        <v>54.521999999999998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2.3E-2</v>
      </c>
      <c r="O73" s="54">
        <f>_xll.EQNXTDZ($A$1,$B73,O$1,$B$1)</f>
        <v>3.6999999999999998E-2</v>
      </c>
      <c r="P73" s="54">
        <f>_xll.EQNXTDZ($A$1,$B73,P$1,$B$1)</f>
        <v>0.13900000000000001</v>
      </c>
      <c r="Q73" s="54">
        <f>_xll.EQNXTDZ($A$1,$B73,Q$1,$B$1)</f>
        <v>7.9000000000000001E-2</v>
      </c>
      <c r="R73" s="54">
        <f>_xll.EQNXTDZ($A$1,$B73,R$1,$B$1)</f>
        <v>3.3000000000000002E-2</v>
      </c>
      <c r="S73" s="54">
        <f>_xll.EQNXTDZ($A$1,$B73,S$1,$B$1)</f>
        <v>0.14699999999999999</v>
      </c>
      <c r="T73" s="54">
        <f>_xll.EQNXTDZ($A$1,$B73,T$1,$B$1)</f>
        <v>0.14399999999999999</v>
      </c>
      <c r="U73" s="54">
        <f>_xll.EQNXTDZ($A$1,$B73,U$1,$B$1)</f>
        <v>0.21199999999999999</v>
      </c>
      <c r="V73" s="54">
        <f>_xll.EQNXTDZ($A$1,$B73,V$1,$B$1)</f>
        <v>0.183</v>
      </c>
      <c r="W73" s="54">
        <f>_xll.EQNXTDZ($A$1,$B73,W$1,$B$1)</f>
        <v>8.7999999999999995E-2</v>
      </c>
      <c r="X73" s="54">
        <f>_xll.EQNXTDZ($A$1,$B73,X$1,$B$1)</f>
        <v>0.154</v>
      </c>
      <c r="Y73" s="54">
        <f>_xll.EQNXTDZ($A$1,$B73,Y$1,$B$1)</f>
        <v>0.42799999999999999</v>
      </c>
      <c r="Z73" s="54">
        <f>_xll.EQNXTDZ($A$1,$B73,Z$1,$B$1)</f>
        <v>1.343</v>
      </c>
      <c r="AA73" s="54">
        <f>_xll.EQNXTDZ($A$1,$B73,AA$1,$B$1)</f>
        <v>2.8959999999999999</v>
      </c>
      <c r="AB73" s="54">
        <f>_xll.EQNXTDZ($A$1,$B73,AB$1,$B$1)</f>
        <v>2.306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60.575000000000003</v>
      </c>
      <c r="D74" s="54">
        <f>_xll.EQNXTDZ($A$1,$B74,D$1,$B$1)</f>
        <v>63.622700000000002</v>
      </c>
      <c r="E74" s="54">
        <f>_xll.EQNXTDZ($A$1,$B74,E$1,$B$1)</f>
        <v>62.744</v>
      </c>
      <c r="F74" s="54">
        <f>_xll.EQNXTDZ($A$1,$B74,F$1,$B$1)</f>
        <v>60.577399999999997</v>
      </c>
      <c r="G74" s="54">
        <f>_xll.EQNXTDZ($A$1,$B74,G$1,$B$1)</f>
        <v>57.895600000000002</v>
      </c>
      <c r="H74" s="54">
        <f>_xll.EQNXTDZ($A$1,$B74,H$1,$B$1)</f>
        <v>60.069899999999997</v>
      </c>
      <c r="I74" s="54">
        <f>_xll.EQNXTDZ($A$1,$B74,I$1,$B$1)</f>
        <v>83.717299999999994</v>
      </c>
      <c r="J74" s="54">
        <f>_xll.EQNXTDZ($A$1,$B74,J$1,$B$1)</f>
        <v>107.8693</v>
      </c>
      <c r="K74" s="54">
        <f>_xll.EQNXTDZ($A$1,$B74,K$1,$B$1)</f>
        <v>163.0994</v>
      </c>
      <c r="L74" s="54">
        <f>_xll.EQNXTDZ($A$1,$B74,L$1,$B$1)</f>
        <v>185.48419999999999</v>
      </c>
      <c r="M74" s="54">
        <f>_xll.EQNXTDZ($A$1,$B74,M$1,$B$1)</f>
        <v>193.3227</v>
      </c>
      <c r="N74" s="54">
        <f>_xll.EQNXTDZ($A$1,$B74,N$1,$B$1)</f>
        <v>245.04599999999999</v>
      </c>
      <c r="O74" s="54">
        <f>_xll.EQNXTDZ($A$1,$B74,O$1,$B$1)</f>
        <v>277.50599999999997</v>
      </c>
      <c r="P74" s="54">
        <f>_xll.EQNXTDZ($A$1,$B74,P$1,$B$1)</f>
        <v>294.541</v>
      </c>
      <c r="Q74" s="54">
        <f>_xll.EQNXTDZ($A$1,$B74,Q$1,$B$1)</f>
        <v>305.58999999999997</v>
      </c>
      <c r="R74" s="54">
        <f>_xll.EQNXTDZ($A$1,$B74,R$1,$B$1)</f>
        <v>308.96100000000001</v>
      </c>
      <c r="S74" s="54">
        <f>_xll.EQNXTDZ($A$1,$B74,S$1,$B$1)</f>
        <v>359.673</v>
      </c>
      <c r="T74" s="54">
        <f>_xll.EQNXTDZ($A$1,$B74,T$1,$B$1)</f>
        <v>433.19900000000001</v>
      </c>
      <c r="U74" s="54">
        <f>_xll.EQNXTDZ($A$1,$B74,U$1,$B$1)</f>
        <v>437.09399999999999</v>
      </c>
      <c r="V74" s="54">
        <f>_xll.EQNXTDZ($A$1,$B74,V$1,$B$1)</f>
        <v>447.13799999999998</v>
      </c>
      <c r="W74" s="54">
        <f>_xll.EQNXTDZ($A$1,$B74,W$1,$B$1)</f>
        <v>448.04700000000003</v>
      </c>
      <c r="X74" s="54">
        <f>_xll.EQNXTDZ($A$1,$B74,X$1,$B$1)</f>
        <v>484.04</v>
      </c>
      <c r="Y74" s="54">
        <f>_xll.EQNXTDZ($A$1,$B74,Y$1,$B$1)</f>
        <v>551</v>
      </c>
      <c r="Z74" s="54">
        <f>_xll.EQNXTDZ($A$1,$B74,Z$1,$B$1)</f>
        <v>599.60799999999995</v>
      </c>
      <c r="AA74" s="54">
        <f>_xll.EQNXTDZ($A$1,$B74,AA$1,$B$1)</f>
        <v>644.31899999999996</v>
      </c>
      <c r="AB74" s="54">
        <f>_xll.EQNXTDZ($A$1,$B74,AB$1,$B$1)</f>
        <v>706.80399999999997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9.8572000000000006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58.462299999999999</v>
      </c>
      <c r="D76" s="54">
        <f>_xll.EQNXTDZ($A$1,$B76,D$1,$B$1)</f>
        <v>61.619500000000002</v>
      </c>
      <c r="E76" s="54">
        <f>_xll.EQNXTDZ($A$1,$B76,E$1,$B$1)</f>
        <v>54.449599999999997</v>
      </c>
      <c r="F76" s="54">
        <f>_xll.EQNXTDZ($A$1,$B76,F$1,$B$1)</f>
        <v>62.2044</v>
      </c>
      <c r="G76" s="54">
        <f>_xll.EQNXTDZ($A$1,$B76,G$1,$B$1)</f>
        <v>73.048000000000002</v>
      </c>
      <c r="H76" s="54">
        <f>_xll.EQNXTDZ($A$1,$B76,H$1,$B$1)</f>
        <v>87.170699999999997</v>
      </c>
      <c r="I76" s="54">
        <f>_xll.EQNXTDZ($A$1,$B76,I$1,$B$1)</f>
        <v>96.172200000000004</v>
      </c>
      <c r="J76" s="54">
        <f>_xll.EQNXTDZ($A$1,$B76,J$1,$B$1)</f>
        <v>122.59099999999999</v>
      </c>
      <c r="K76" s="54">
        <f>_xll.EQNXTDZ($A$1,$B76,K$1,$B$1)</f>
        <v>133.21879999999999</v>
      </c>
      <c r="L76" s="54">
        <f>_xll.EQNXTDZ($A$1,$B76,L$1,$B$1)</f>
        <v>116.3447</v>
      </c>
      <c r="M76" s="54">
        <f>_xll.EQNXTDZ($A$1,$B76,M$1,$B$1)</f>
        <v>158.50049999999999</v>
      </c>
      <c r="N76" s="54">
        <f>_xll.EQNXTDZ($A$1,$B76,N$1,$B$1)</f>
        <v>198.01900000000001</v>
      </c>
      <c r="O76" s="54">
        <f>_xll.EQNXTDZ($A$1,$B76,O$1,$B$1)</f>
        <v>193.535</v>
      </c>
      <c r="P76" s="54">
        <f>_xll.EQNXTDZ($A$1,$B76,P$1,$B$1)</f>
        <v>183.30199999999999</v>
      </c>
      <c r="Q76" s="54">
        <f>_xll.EQNXTDZ($A$1,$B76,Q$1,$B$1)</f>
        <v>201.77199999999999</v>
      </c>
      <c r="R76" s="54">
        <f>_xll.EQNXTDZ($A$1,$B76,R$1,$B$1)</f>
        <v>182.64099999999999</v>
      </c>
      <c r="S76" s="54">
        <f>_xll.EQNXTDZ($A$1,$B76,S$1,$B$1)</f>
        <v>211.863</v>
      </c>
      <c r="T76" s="54">
        <f>_xll.EQNXTDZ($A$1,$B76,T$1,$B$1)</f>
        <v>247.637</v>
      </c>
      <c r="U76" s="54">
        <f>_xll.EQNXTDZ($A$1,$B76,U$1,$B$1)</f>
        <v>303.02300000000002</v>
      </c>
      <c r="V76" s="54">
        <f>_xll.EQNXTDZ($A$1,$B76,V$1,$B$1)</f>
        <v>324.84300000000002</v>
      </c>
      <c r="W76" s="54">
        <f>_xll.EQNXTDZ($A$1,$B76,W$1,$B$1)</f>
        <v>360.875</v>
      </c>
      <c r="X76" s="54">
        <f>_xll.EQNXTDZ($A$1,$B76,X$1,$B$1)</f>
        <v>423.084</v>
      </c>
      <c r="Y76" s="54">
        <f>_xll.EQNXTDZ($A$1,$B76,Y$1,$B$1)</f>
        <v>561.08900000000006</v>
      </c>
      <c r="Z76" s="54">
        <f>_xll.EQNXTDZ($A$1,$B76,Z$1,$B$1)</f>
        <v>642.63400000000001</v>
      </c>
      <c r="AA76" s="54">
        <f>_xll.EQNXTDZ($A$1,$B76,AA$1,$B$1)</f>
        <v>642.82299999999998</v>
      </c>
      <c r="AB76" s="54">
        <f>_xll.EQNXTDZ($A$1,$B76,AB$1,$B$1)</f>
        <v>786.05600000000004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41.8416</v>
      </c>
      <c r="D77" s="54">
        <f>_xll.EQNXTDZ($A$1,$B77,D$1,$B$1)</f>
        <v>50.389699999999998</v>
      </c>
      <c r="E77" s="54">
        <f>_xll.EQNXTDZ($A$1,$B77,E$1,$B$1)</f>
        <v>51.750700000000002</v>
      </c>
      <c r="F77" s="54">
        <f>_xll.EQNXTDZ($A$1,$B77,F$1,$B$1)</f>
        <v>46.501899999999999</v>
      </c>
      <c r="G77" s="54">
        <f>_xll.EQNXTDZ($A$1,$B77,G$1,$B$1)</f>
        <v>62.719700000000003</v>
      </c>
      <c r="H77" s="54">
        <f>_xll.EQNXTDZ($A$1,$B77,H$1,$B$1)</f>
        <v>68.806299999999993</v>
      </c>
      <c r="I77" s="54">
        <f>_xll.EQNXTDZ($A$1,$B77,I$1,$B$1)</f>
        <v>83.111599999999996</v>
      </c>
      <c r="J77" s="54">
        <f>_xll.EQNXTDZ($A$1,$B77,J$1,$B$1)</f>
        <v>105.9616</v>
      </c>
      <c r="K77" s="54">
        <f>_xll.EQNXTDZ($A$1,$B77,K$1,$B$1)</f>
        <v>137.87530000000001</v>
      </c>
      <c r="L77" s="54">
        <f>_xll.EQNXTDZ($A$1,$B77,L$1,$B$1)</f>
        <v>104.76600000000001</v>
      </c>
      <c r="M77" s="54">
        <f>_xll.EQNXTDZ($A$1,$B77,M$1,$B$1)</f>
        <v>113.8409</v>
      </c>
      <c r="N77" s="54">
        <f>_xll.EQNXTDZ($A$1,$B77,N$1,$B$1)</f>
        <v>183.50399999999999</v>
      </c>
      <c r="O77" s="54">
        <f>_xll.EQNXTDZ($A$1,$B77,O$1,$B$1)</f>
        <v>146.08600000000001</v>
      </c>
      <c r="P77" s="54">
        <f>_xll.EQNXTDZ($A$1,$B77,P$1,$B$1)</f>
        <v>126.729</v>
      </c>
      <c r="Q77" s="54">
        <f>_xll.EQNXTDZ($A$1,$B77,Q$1,$B$1)</f>
        <v>179.036</v>
      </c>
      <c r="R77" s="54">
        <f>_xll.EQNXTDZ($A$1,$B77,R$1,$B$1)</f>
        <v>178.37299999999999</v>
      </c>
      <c r="S77" s="54">
        <f>_xll.EQNXTDZ($A$1,$B77,S$1,$B$1)</f>
        <v>162.541</v>
      </c>
      <c r="T77" s="54">
        <f>_xll.EQNXTDZ($A$1,$B77,T$1,$B$1)</f>
        <v>254.98</v>
      </c>
      <c r="U77" s="54">
        <f>_xll.EQNXTDZ($A$1,$B77,U$1,$B$1)</f>
        <v>290.71499999999997</v>
      </c>
      <c r="V77" s="54">
        <f>_xll.EQNXTDZ($A$1,$B77,V$1,$B$1)</f>
        <v>296.17899999999997</v>
      </c>
      <c r="W77" s="54">
        <f>_xll.EQNXTDZ($A$1,$B77,W$1,$B$1)</f>
        <v>266.75900000000001</v>
      </c>
      <c r="X77" s="54">
        <f>_xll.EQNXTDZ($A$1,$B77,X$1,$B$1)</f>
        <v>277.983</v>
      </c>
      <c r="Y77" s="54">
        <f>_xll.EQNXTDZ($A$1,$B77,Y$1,$B$1)</f>
        <v>403.65300000000002</v>
      </c>
      <c r="Z77" s="54">
        <f>_xll.EQNXTDZ($A$1,$B77,Z$1,$B$1)</f>
        <v>491.71899999999999</v>
      </c>
      <c r="AA77" s="54">
        <f>_xll.EQNXTDZ($A$1,$B77,AA$1,$B$1)</f>
        <v>650.27300000000002</v>
      </c>
      <c r="AB77" s="54">
        <f>_xll.EQNXTDZ($A$1,$B77,AB$1,$B$1)</f>
        <v>869.18799999999999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12.208600000000001</v>
      </c>
      <c r="D78" s="54">
        <f>_xll.EQNXTDZ($A$1,$B78,D$1,$B$1)</f>
        <v>6.5682</v>
      </c>
      <c r="E78" s="54">
        <f>_xll.EQNXTDZ($A$1,$B78,E$1,$B$1)</f>
        <v>20.292999999999999</v>
      </c>
      <c r="F78" s="54">
        <f>_xll.EQNXTDZ($A$1,$B78,F$1,$B$1)</f>
        <v>9.5968999999999998</v>
      </c>
      <c r="G78" s="54">
        <f>_xll.EQNXTDZ($A$1,$B78,G$1,$B$1)</f>
        <v>22.676200000000001</v>
      </c>
      <c r="H78" s="54">
        <f>_xll.EQNXTDZ($A$1,$B78,H$1,$B$1)</f>
        <v>43.780999999999999</v>
      </c>
      <c r="I78" s="54">
        <f>_xll.EQNXTDZ($A$1,$B78,I$1,$B$1)</f>
        <v>63.3596</v>
      </c>
      <c r="J78" s="54">
        <f>_xll.EQNXTDZ($A$1,$B78,J$1,$B$1)</f>
        <v>53.962699999999998</v>
      </c>
      <c r="K78" s="54">
        <f>_xll.EQNXTDZ($A$1,$B78,K$1,$B$1)</f>
        <v>49.686500000000002</v>
      </c>
      <c r="L78" s="54">
        <f>_xll.EQNXTDZ($A$1,$B78,L$1,$B$1)</f>
        <v>98.768900000000002</v>
      </c>
      <c r="M78" s="54">
        <f>_xll.EQNXTDZ($A$1,$B78,M$1,$B$1)</f>
        <v>101.0444</v>
      </c>
      <c r="N78" s="54">
        <f>_xll.EQNXTDZ($A$1,$B78,N$1,$B$1)</f>
        <v>84.486999999999995</v>
      </c>
      <c r="O78" s="54">
        <f>_xll.EQNXTDZ($A$1,$B78,O$1,$B$1)</f>
        <v>104.46599999999999</v>
      </c>
      <c r="P78" s="54">
        <f>_xll.EQNXTDZ($A$1,$B78,P$1,$B$1)</f>
        <v>160.06399999999999</v>
      </c>
      <c r="Q78" s="54">
        <f>_xll.EQNXTDZ($A$1,$B78,Q$1,$B$1)</f>
        <v>178.75</v>
      </c>
      <c r="R78" s="54">
        <f>_xll.EQNXTDZ($A$1,$B78,R$1,$B$1)</f>
        <v>228.36199999999999</v>
      </c>
      <c r="S78" s="54">
        <f>_xll.EQNXTDZ($A$1,$B78,S$1,$B$1)</f>
        <v>202.184</v>
      </c>
      <c r="T78" s="54">
        <f>_xll.EQNXTDZ($A$1,$B78,T$1,$B$1)</f>
        <v>91.274000000000001</v>
      </c>
      <c r="U78" s="54">
        <f>_xll.EQNXTDZ($A$1,$B78,U$1,$B$1)</f>
        <v>138.691</v>
      </c>
      <c r="V78" s="54">
        <f>_xll.EQNXTDZ($A$1,$B78,V$1,$B$1)</f>
        <v>290.04500000000002</v>
      </c>
      <c r="W78" s="54">
        <f>_xll.EQNXTDZ($A$1,$B78,W$1,$B$1)</f>
        <v>403.351</v>
      </c>
      <c r="X78" s="54">
        <f>_xll.EQNXTDZ($A$1,$B78,X$1,$B$1)</f>
        <v>354.53</v>
      </c>
      <c r="Y78" s="54">
        <f>_xll.EQNXTDZ($A$1,$B78,Y$1,$B$1)</f>
        <v>261.00700000000001</v>
      </c>
      <c r="Z78" s="54">
        <f>_xll.EQNXTDZ($A$1,$B78,Z$1,$B$1)</f>
        <v>274.56799999999998</v>
      </c>
      <c r="AA78" s="54">
        <f>_xll.EQNXTDZ($A$1,$B78,AA$1,$B$1)</f>
        <v>323.46800000000002</v>
      </c>
      <c r="AB78" s="54">
        <f>_xll.EQNXTDZ($A$1,$B78,AB$1,$B$1)</f>
        <v>283.39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1.6000000000000001E-3</v>
      </c>
      <c r="D79" s="54">
        <f>_xll.EQNXTDZ($A$1,$B79,D$1,$B$1)</f>
        <v>8.9999999999999998E-4</v>
      </c>
      <c r="E79" s="54">
        <f>_xll.EQNXTDZ($A$1,$B79,E$1,$B$1)</f>
        <v>1.1000000000000001E-3</v>
      </c>
      <c r="F79" s="54">
        <f>_xll.EQNXTDZ($A$1,$B79,F$1,$B$1)</f>
        <v>1.6999999999999999E-3</v>
      </c>
      <c r="G79" s="54">
        <f>_xll.EQNXTDZ($A$1,$B79,G$1,$B$1)</f>
        <v>2.2000000000000001E-3</v>
      </c>
      <c r="H79" s="54">
        <f>_xll.EQNXTDZ($A$1,$B79,H$1,$B$1)</f>
        <v>6.4000000000000003E-3</v>
      </c>
      <c r="I79" s="54">
        <f>_xll.EQNXTDZ($A$1,$B79,I$1,$B$1)</f>
        <v>3.3E-3</v>
      </c>
      <c r="J79" s="54">
        <f>_xll.EQNXTDZ($A$1,$B79,J$1,$B$1)</f>
        <v>1.1000000000000001E-3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3.35</v>
      </c>
      <c r="O79" s="54">
        <f>_xll.EQNXTDZ($A$1,$B79,O$1,$B$1)</f>
        <v>3.823</v>
      </c>
      <c r="P79" s="54">
        <f>_xll.EQNXTDZ($A$1,$B79,P$1,$B$1)</f>
        <v>4.1020000000000003</v>
      </c>
      <c r="Q79" s="54">
        <f>_xll.EQNXTDZ($A$1,$B79,Q$1,$B$1)</f>
        <v>6.766</v>
      </c>
      <c r="R79" s="54">
        <f>_xll.EQNXTDZ($A$1,$B79,R$1,$B$1)</f>
        <v>4.6820000000000004</v>
      </c>
      <c r="S79" s="54">
        <f>_xll.EQNXTDZ($A$1,$B79,S$1,$B$1)</f>
        <v>6.6470000000000002</v>
      </c>
      <c r="T79" s="54">
        <f>_xll.EQNXTDZ($A$1,$B79,T$1,$B$1)</f>
        <v>2.7170000000000001</v>
      </c>
      <c r="U79" s="54">
        <f>_xll.EQNXTDZ($A$1,$B79,U$1,$B$1)</f>
        <v>5.4960000000000004</v>
      </c>
      <c r="V79" s="54">
        <f>_xll.EQNXTDZ($A$1,$B79,V$1,$B$1)</f>
        <v>11.234999999999999</v>
      </c>
      <c r="W79" s="54">
        <f>_xll.EQNXTDZ($A$1,$B79,W$1,$B$1)</f>
        <v>11.499000000000001</v>
      </c>
      <c r="X79" s="54">
        <f>_xll.EQNXTDZ($A$1,$B79,X$1,$B$1)</f>
        <v>11.214</v>
      </c>
      <c r="Y79" s="54">
        <f>_xll.EQNXTDZ($A$1,$B79,Y$1,$B$1)</f>
        <v>10.773</v>
      </c>
      <c r="Z79" s="54">
        <f>_xll.EQNXTDZ($A$1,$B79,Z$1,$B$1)</f>
        <v>13.843999999999999</v>
      </c>
      <c r="AA79" s="54">
        <f>_xll.EQNXTDZ($A$1,$B79,AA$1,$B$1)</f>
        <v>14.914</v>
      </c>
      <c r="AB79" s="54">
        <f>_xll.EQNXTDZ($A$1,$B79,AB$1,$B$1)</f>
        <v>24.100999999999999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15.1274</v>
      </c>
      <c r="D80" s="54">
        <f>_xll.EQNXTDZ($A$1,$B80,D$1,$B$1)</f>
        <v>19.334299999999999</v>
      </c>
      <c r="E80" s="54">
        <f>_xll.EQNXTDZ($A$1,$B80,E$1,$B$1)</f>
        <v>13.9496</v>
      </c>
      <c r="F80" s="54">
        <f>_xll.EQNXTDZ($A$1,$B80,F$1,$B$1)</f>
        <v>15.6496</v>
      </c>
      <c r="G80" s="54">
        <f>_xll.EQNXTDZ($A$1,$B80,G$1,$B$1)</f>
        <v>18.142199999999999</v>
      </c>
      <c r="H80" s="54">
        <f>_xll.EQNXTDZ($A$1,$B80,H$1,$B$1)</f>
        <v>19.418700000000001</v>
      </c>
      <c r="I80" s="54">
        <f>_xll.EQNXTDZ($A$1,$B80,I$1,$B$1)</f>
        <v>24.904599999999999</v>
      </c>
      <c r="J80" s="54">
        <f>_xll.EQNXTDZ($A$1,$B80,J$1,$B$1)</f>
        <v>42.131599999999999</v>
      </c>
      <c r="K80" s="54">
        <f>_xll.EQNXTDZ($A$1,$B80,K$1,$B$1)</f>
        <v>41.436799999999998</v>
      </c>
      <c r="L80" s="54">
        <f>_xll.EQNXTDZ($A$1,$B80,L$1,$B$1)</f>
        <v>53.3964</v>
      </c>
      <c r="M80" s="54">
        <f>_xll.EQNXTDZ($A$1,$B80,M$1,$B$1)</f>
        <v>65.384399999999999</v>
      </c>
      <c r="N80" s="54">
        <f>_xll.EQNXTDZ($A$1,$B80,N$1,$B$1)</f>
        <v>26.628</v>
      </c>
      <c r="O80" s="54">
        <f>_xll.EQNXTDZ($A$1,$B80,O$1,$B$1)</f>
        <v>20.876000000000001</v>
      </c>
      <c r="P80" s="54">
        <f>_xll.EQNXTDZ($A$1,$B80,P$1,$B$1)</f>
        <v>22.651</v>
      </c>
      <c r="Q80" s="54">
        <f>_xll.EQNXTDZ($A$1,$B80,Q$1,$B$1)</f>
        <v>31.777000000000001</v>
      </c>
      <c r="R80" s="54">
        <f>_xll.EQNXTDZ($A$1,$B80,R$1,$B$1)</f>
        <v>34.878999999999998</v>
      </c>
      <c r="S80" s="54">
        <f>_xll.EQNXTDZ($A$1,$B80,S$1,$B$1)</f>
        <v>38.189</v>
      </c>
      <c r="T80" s="54">
        <f>_xll.EQNXTDZ($A$1,$B80,T$1,$B$1)</f>
        <v>39.017000000000003</v>
      </c>
      <c r="U80" s="54">
        <f>_xll.EQNXTDZ($A$1,$B80,U$1,$B$1)</f>
        <v>68.346999999999994</v>
      </c>
      <c r="V80" s="54">
        <f>_xll.EQNXTDZ($A$1,$B80,V$1,$B$1)</f>
        <v>64.766999999999996</v>
      </c>
      <c r="W80" s="54">
        <f>_xll.EQNXTDZ($A$1,$B80,W$1,$B$1)</f>
        <v>48.762</v>
      </c>
      <c r="X80" s="54">
        <f>_xll.EQNXTDZ($A$1,$B80,X$1,$B$1)</f>
        <v>53.412999999999997</v>
      </c>
      <c r="Y80" s="54">
        <f>_xll.EQNXTDZ($A$1,$B80,Y$1,$B$1)</f>
        <v>37.29</v>
      </c>
      <c r="Z80" s="54">
        <f>_xll.EQNXTDZ($A$1,$B80,Z$1,$B$1)</f>
        <v>43.37</v>
      </c>
      <c r="AA80" s="54">
        <f>_xll.EQNXTDZ($A$1,$B80,AA$1,$B$1)</f>
        <v>72.230999999999995</v>
      </c>
      <c r="AB80" s="54">
        <f>_xll.EQNXTDZ($A$1,$B80,AB$1,$B$1)</f>
        <v>112.116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127.64149999999999</v>
      </c>
      <c r="D82" s="54">
        <f>_xll.EQNXTDZ($A$1,$B82,D$1,$B$1)</f>
        <v>137.9126</v>
      </c>
      <c r="E82" s="54">
        <f>_xll.EQNXTDZ($A$1,$B82,E$1,$B$1)</f>
        <v>140.44399999999999</v>
      </c>
      <c r="F82" s="54">
        <f>_xll.EQNXTDZ($A$1,$B82,F$1,$B$1)</f>
        <v>143.8117</v>
      </c>
      <c r="G82" s="54">
        <f>_xll.EQNXTDZ($A$1,$B82,G$1,$B$1)</f>
        <v>176.5883</v>
      </c>
      <c r="H82" s="54">
        <f>_xll.EQNXTDZ($A$1,$B82,H$1,$B$1)</f>
        <v>219.1831</v>
      </c>
      <c r="I82" s="54">
        <f>_xll.EQNXTDZ($A$1,$B82,I$1,$B$1)</f>
        <v>267.55130000000003</v>
      </c>
      <c r="J82" s="54">
        <f>_xll.EQNXTDZ($A$1,$B82,J$1,$B$1)</f>
        <v>324.64800000000002</v>
      </c>
      <c r="K82" s="54">
        <f>_xll.EQNXTDZ($A$1,$B82,K$1,$B$1)</f>
        <v>362.2174</v>
      </c>
      <c r="L82" s="54">
        <f>_xll.EQNXTDZ($A$1,$B82,L$1,$B$1)</f>
        <v>373.27600000000001</v>
      </c>
      <c r="M82" s="54">
        <f>_xll.EQNXTDZ($A$1,$B82,M$1,$B$1)</f>
        <v>438.77019999999999</v>
      </c>
      <c r="N82" s="54">
        <f>_xll.EQNXTDZ($A$1,$B82,N$1,$B$1)</f>
        <v>495.988</v>
      </c>
      <c r="O82" s="54">
        <f>_xll.EQNXTDZ($A$1,$B82,O$1,$B$1)</f>
        <v>468.786</v>
      </c>
      <c r="P82" s="54">
        <f>_xll.EQNXTDZ($A$1,$B82,P$1,$B$1)</f>
        <v>496.84800000000001</v>
      </c>
      <c r="Q82" s="54">
        <f>_xll.EQNXTDZ($A$1,$B82,Q$1,$B$1)</f>
        <v>598.101</v>
      </c>
      <c r="R82" s="54">
        <f>_xll.EQNXTDZ($A$1,$B82,R$1,$B$1)</f>
        <v>628.93700000000001</v>
      </c>
      <c r="S82" s="54">
        <f>_xll.EQNXTDZ($A$1,$B82,S$1,$B$1)</f>
        <v>621.42399999999998</v>
      </c>
      <c r="T82" s="54">
        <f>_xll.EQNXTDZ($A$1,$B82,T$1,$B$1)</f>
        <v>635.625</v>
      </c>
      <c r="U82" s="54">
        <f>_xll.EQNXTDZ($A$1,$B82,U$1,$B$1)</f>
        <v>806.27200000000005</v>
      </c>
      <c r="V82" s="54">
        <f>_xll.EQNXTDZ($A$1,$B82,V$1,$B$1)</f>
        <v>987.06899999999996</v>
      </c>
      <c r="W82" s="54">
        <f>_xll.EQNXTDZ($A$1,$B82,W$1,$B$1)</f>
        <v>1091.2460000000001</v>
      </c>
      <c r="X82" s="54">
        <f>_xll.EQNXTDZ($A$1,$B82,X$1,$B$1)</f>
        <v>1120.2239999999999</v>
      </c>
      <c r="Y82" s="54">
        <f>_xll.EQNXTDZ($A$1,$B82,Y$1,$B$1)</f>
        <v>1273.8119999999999</v>
      </c>
      <c r="Z82" s="54">
        <f>_xll.EQNXTDZ($A$1,$B82,Z$1,$B$1)</f>
        <v>1466.135</v>
      </c>
      <c r="AA82" s="54">
        <f>_xll.EQNXTDZ($A$1,$B82,AA$1,$B$1)</f>
        <v>1703.7090000000001</v>
      </c>
      <c r="AB82" s="54">
        <f>_xll.EQNXTDZ($A$1,$B82,AB$1,$B$1)</f>
        <v>2074.8510000000001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188.2165</v>
      </c>
      <c r="D84" s="54">
        <f>_xll.EQNXTDZ($A$1,$B84,D$1,$B$1)</f>
        <v>201.53530000000001</v>
      </c>
      <c r="E84" s="54">
        <f>_xll.EQNXTDZ($A$1,$B84,E$1,$B$1)</f>
        <v>203.18799999999999</v>
      </c>
      <c r="F84" s="54">
        <f>_xll.EQNXTDZ($A$1,$B84,F$1,$B$1)</f>
        <v>204.38910000000001</v>
      </c>
      <c r="G84" s="54">
        <f>_xll.EQNXTDZ($A$1,$B84,G$1,$B$1)</f>
        <v>234.48390000000001</v>
      </c>
      <c r="H84" s="54">
        <f>_xll.EQNXTDZ($A$1,$B84,H$1,$B$1)</f>
        <v>279.25299999999999</v>
      </c>
      <c r="I84" s="54">
        <f>_xll.EQNXTDZ($A$1,$B84,I$1,$B$1)</f>
        <v>351.26859999999999</v>
      </c>
      <c r="J84" s="54">
        <f>_xll.EQNXTDZ($A$1,$B84,J$1,$B$1)</f>
        <v>432.51729999999998</v>
      </c>
      <c r="K84" s="54">
        <f>_xll.EQNXTDZ($A$1,$B84,K$1,$B$1)</f>
        <v>525.31679999999994</v>
      </c>
      <c r="L84" s="54">
        <f>_xll.EQNXTDZ($A$1,$B84,L$1,$B$1)</f>
        <v>558.76020000000005</v>
      </c>
      <c r="M84" s="54">
        <f>_xll.EQNXTDZ($A$1,$B84,M$1,$B$1)</f>
        <v>632.09289999999999</v>
      </c>
      <c r="N84" s="54">
        <f>_xll.EQNXTDZ($A$1,$B84,N$1,$B$1)</f>
        <v>741.03399999999999</v>
      </c>
      <c r="O84" s="54">
        <f>_xll.EQNXTDZ($A$1,$B84,O$1,$B$1)</f>
        <v>746.29200000000003</v>
      </c>
      <c r="P84" s="54">
        <f>_xll.EQNXTDZ($A$1,$B84,P$1,$B$1)</f>
        <v>791.38900000000001</v>
      </c>
      <c r="Q84" s="54">
        <f>_xll.EQNXTDZ($A$1,$B84,Q$1,$B$1)</f>
        <v>903.69100000000003</v>
      </c>
      <c r="R84" s="54">
        <f>_xll.EQNXTDZ($A$1,$B84,R$1,$B$1)</f>
        <v>937.89800000000002</v>
      </c>
      <c r="S84" s="54">
        <f>_xll.EQNXTDZ($A$1,$B84,S$1,$B$1)</f>
        <v>981.09699999999998</v>
      </c>
      <c r="T84" s="54">
        <f>_xll.EQNXTDZ($A$1,$B84,T$1,$B$1)</f>
        <v>1068.8240000000001</v>
      </c>
      <c r="U84" s="54">
        <f>_xll.EQNXTDZ($A$1,$B84,U$1,$B$1)</f>
        <v>1243.366</v>
      </c>
      <c r="V84" s="54">
        <f>_xll.EQNXTDZ($A$1,$B84,V$1,$B$1)</f>
        <v>1434.2070000000001</v>
      </c>
      <c r="W84" s="54">
        <f>_xll.EQNXTDZ($A$1,$B84,W$1,$B$1)</f>
        <v>1539.2929999999999</v>
      </c>
      <c r="X84" s="54">
        <f>_xll.EQNXTDZ($A$1,$B84,X$1,$B$1)</f>
        <v>1604.2639999999999</v>
      </c>
      <c r="Y84" s="54">
        <f>_xll.EQNXTDZ($A$1,$B84,Y$1,$B$1)</f>
        <v>1824.8119999999999</v>
      </c>
      <c r="Z84" s="54">
        <f>_xll.EQNXTDZ($A$1,$B84,Z$1,$B$1)</f>
        <v>2065.7429999999999</v>
      </c>
      <c r="AA84" s="54">
        <f>_xll.EQNXTDZ($A$1,$B84,AA$1,$B$1)</f>
        <v>2348.0279999999998</v>
      </c>
      <c r="AB84" s="54">
        <f>_xll.EQNXTDZ($A$1,$B84,AB$1,$B$1)</f>
        <v>2781.6550000000002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5.9927000000000001</v>
      </c>
      <c r="D85" s="54">
        <f>_xll.EQNXTDZ($A$1,$B85,D$1,$B$1)</f>
        <v>6.4934000000000003</v>
      </c>
      <c r="E85" s="54">
        <f>_xll.EQNXTDZ($A$1,$B85,E$1,$B$1)</f>
        <v>4.6490999999999998</v>
      </c>
      <c r="F85" s="54">
        <f>_xll.EQNXTDZ($A$1,$B85,F$1,$B$1)</f>
        <v>6.0663999999999998</v>
      </c>
      <c r="G85" s="54">
        <f>_xll.EQNXTDZ($A$1,$B85,G$1,$B$1)</f>
        <v>6.8917000000000002</v>
      </c>
      <c r="H85" s="54">
        <f>_xll.EQNXTDZ($A$1,$B85,H$1,$B$1)</f>
        <v>43.107999999999997</v>
      </c>
      <c r="I85" s="54">
        <f>_xll.EQNXTDZ($A$1,$B85,I$1,$B$1)</f>
        <v>20.163900000000002</v>
      </c>
      <c r="J85" s="54">
        <f>_xll.EQNXTDZ($A$1,$B85,J$1,$B$1)</f>
        <v>17.485900000000001</v>
      </c>
      <c r="K85" s="54">
        <f>_xll.EQNXTDZ($A$1,$B85,K$1,$B$1)</f>
        <v>10.1531</v>
      </c>
      <c r="L85" s="54">
        <f>_xll.EQNXTDZ($A$1,$B85,L$1,$B$1)</f>
        <v>11.3148</v>
      </c>
      <c r="M85" s="54">
        <f>_xll.EQNXTDZ($A$1,$B85,M$1,$B$1)</f>
        <v>11.8009</v>
      </c>
      <c r="N85" s="54">
        <f>_xll.EQNXTDZ($A$1,$B85,N$1,$B$1)</f>
        <v>107.59</v>
      </c>
      <c r="O85" s="54">
        <f>_xll.EQNXTDZ($A$1,$B85,O$1,$B$1)</f>
        <v>112.637</v>
      </c>
      <c r="P85" s="54">
        <f>_xll.EQNXTDZ($A$1,$B85,P$1,$B$1)</f>
        <v>137.12799999999999</v>
      </c>
      <c r="Q85" s="54">
        <f>_xll.EQNXTDZ($A$1,$B85,Q$1,$B$1)</f>
        <v>126.893</v>
      </c>
      <c r="R85" s="54">
        <f>_xll.EQNXTDZ($A$1,$B85,R$1,$B$1)</f>
        <v>176.22900000000001</v>
      </c>
      <c r="S85" s="54">
        <f>_xll.EQNXTDZ($A$1,$B85,S$1,$B$1)</f>
        <v>64.058999999999997</v>
      </c>
      <c r="T85" s="54">
        <f>_xll.EQNXTDZ($A$1,$B85,T$1,$B$1)</f>
        <v>65.697000000000003</v>
      </c>
      <c r="U85" s="54">
        <f>_xll.EQNXTDZ($A$1,$B85,U$1,$B$1)</f>
        <v>68.045000000000002</v>
      </c>
      <c r="V85" s="54">
        <f>_xll.EQNXTDZ($A$1,$B85,V$1,$B$1)</f>
        <v>71.582999999999998</v>
      </c>
      <c r="W85" s="54">
        <f>_xll.EQNXTDZ($A$1,$B85,W$1,$B$1)</f>
        <v>57.360999999999997</v>
      </c>
      <c r="X85" s="54">
        <f>_xll.EQNXTDZ($A$1,$B85,X$1,$B$1)</f>
        <v>118.465</v>
      </c>
      <c r="Y85" s="54">
        <f>_xll.EQNXTDZ($A$1,$B85,Y$1,$B$1)</f>
        <v>176.535</v>
      </c>
      <c r="Z85" s="54">
        <f>_xll.EQNXTDZ($A$1,$B85,Z$1,$B$1)</f>
        <v>187.22200000000001</v>
      </c>
      <c r="AA85" s="54">
        <f>_xll.EQNXTDZ($A$1,$B85,AA$1,$B$1)</f>
        <v>192.20599999999999</v>
      </c>
      <c r="AB85" s="54">
        <f>_xll.EQNXTDZ($A$1,$B85,AB$1,$B$1)</f>
        <v>211.989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1.7000000000000001E-2</v>
      </c>
      <c r="O90" s="54">
        <f>_xll.EQNXTDZ($A$1,$B90,O$1,$B$1)</f>
        <v>2E-3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4.2454999999999998</v>
      </c>
      <c r="D93" s="54">
        <f>_xll.EQNXTDZ($A$1,$B93,D$1,$B$1)</f>
        <v>6.4794</v>
      </c>
      <c r="E93" s="54">
        <f>_xll.EQNXTDZ($A$1,$B93,E$1,$B$1)</f>
        <v>2.5001000000000002</v>
      </c>
      <c r="F93" s="54">
        <f>_xll.EQNXTDZ($A$1,$B93,F$1,$B$1)</f>
        <v>5.0814000000000004</v>
      </c>
      <c r="G93" s="54">
        <f>_xll.EQNXTDZ($A$1,$B93,G$1,$B$1)</f>
        <v>5.4446000000000003</v>
      </c>
      <c r="H93" s="54">
        <f>_xll.EQNXTDZ($A$1,$B93,H$1,$B$1)</f>
        <v>40.485799999999998</v>
      </c>
      <c r="I93" s="54">
        <f>_xll.EQNXTDZ($A$1,$B93,I$1,$B$1)</f>
        <v>18.428799999999999</v>
      </c>
      <c r="J93" s="54">
        <f>_xll.EQNXTDZ($A$1,$B93,J$1,$B$1)</f>
        <v>7.1669999999999998</v>
      </c>
      <c r="K93" s="54">
        <f>_xll.EQNXTDZ($A$1,$B93,K$1,$B$1)</f>
        <v>8.8735999999999997</v>
      </c>
      <c r="L93" s="54">
        <f>_xll.EQNXTDZ($A$1,$B93,L$1,$B$1)</f>
        <v>9.2324000000000002</v>
      </c>
      <c r="M93" s="54">
        <f>_xll.EQNXTDZ($A$1,$B93,M$1,$B$1)</f>
        <v>9.7728000000000002</v>
      </c>
      <c r="N93" s="54">
        <f>_xll.EQNXTDZ($A$1,$B93,N$1,$B$1)</f>
        <v>12.798999999999999</v>
      </c>
      <c r="O93" s="54">
        <f>_xll.EQNXTDZ($A$1,$B93,O$1,$B$1)</f>
        <v>12.888</v>
      </c>
      <c r="P93" s="54">
        <f>_xll.EQNXTDZ($A$1,$B93,P$1,$B$1)</f>
        <v>14.965</v>
      </c>
      <c r="Q93" s="54">
        <f>_xll.EQNXTDZ($A$1,$B93,Q$1,$B$1)</f>
        <v>19.352</v>
      </c>
      <c r="R93" s="54">
        <f>_xll.EQNXTDZ($A$1,$B93,R$1,$B$1)</f>
        <v>58.924999999999997</v>
      </c>
      <c r="S93" s="54">
        <f>_xll.EQNXTDZ($A$1,$B93,S$1,$B$1)</f>
        <v>64.058999999999997</v>
      </c>
      <c r="T93" s="54">
        <f>_xll.EQNXTDZ($A$1,$B93,T$1,$B$1)</f>
        <v>65.697000000000003</v>
      </c>
      <c r="U93" s="54">
        <f>_xll.EQNXTDZ($A$1,$B93,U$1,$B$1)</f>
        <v>68.045000000000002</v>
      </c>
      <c r="V93" s="54">
        <f>_xll.EQNXTDZ($A$1,$B93,V$1,$B$1)</f>
        <v>71.582999999999998</v>
      </c>
      <c r="W93" s="54">
        <f>_xll.EQNXTDZ($A$1,$B93,W$1,$B$1)</f>
        <v>57.360999999999997</v>
      </c>
      <c r="X93" s="54">
        <f>_xll.EQNXTDZ($A$1,$B93,X$1,$B$1)</f>
        <v>118.465</v>
      </c>
      <c r="Y93" s="54">
        <f>_xll.EQNXTDZ($A$1,$B93,Y$1,$B$1)</f>
        <v>176.535</v>
      </c>
      <c r="Z93" s="54">
        <f>_xll.EQNXTDZ($A$1,$B93,Z$1,$B$1)</f>
        <v>187.22200000000001</v>
      </c>
      <c r="AA93" s="54">
        <f>_xll.EQNXTDZ($A$1,$B93,AA$1,$B$1)</f>
        <v>192.20599999999999</v>
      </c>
      <c r="AB93" s="54">
        <f>_xll.EQNXTDZ($A$1,$B93,AB$1,$B$1)</f>
        <v>211.989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1.7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92.236000000000004</v>
      </c>
      <c r="O95" s="54">
        <f>_xll.EQNXTDZ($A$1,$B95,O$1,$B$1)</f>
        <v>97.07</v>
      </c>
      <c r="P95" s="54">
        <f>_xll.EQNXTDZ($A$1,$B95,P$1,$B$1)</f>
        <v>118.63800000000001</v>
      </c>
      <c r="Q95" s="54">
        <f>_xll.EQNXTDZ($A$1,$B95,Q$1,$B$1)</f>
        <v>106.17</v>
      </c>
      <c r="R95" s="54">
        <f>_xll.EQNXTDZ($A$1,$B95,R$1,$B$1)</f>
        <v>114.89100000000001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4.7199999999999999E-2</v>
      </c>
      <c r="D97" s="54">
        <f>_xll.EQNXTDZ($A$1,$B97,D$1,$B$1)</f>
        <v>1.4E-2</v>
      </c>
      <c r="E97" s="54">
        <f>_xll.EQNXTDZ($A$1,$B97,E$1,$B$1)</f>
        <v>2.149</v>
      </c>
      <c r="F97" s="54">
        <f>_xll.EQNXTDZ($A$1,$B97,F$1,$B$1)</f>
        <v>0.98499999999999999</v>
      </c>
      <c r="G97" s="54">
        <f>_xll.EQNXTDZ($A$1,$B97,G$1,$B$1)</f>
        <v>1.4471000000000001</v>
      </c>
      <c r="H97" s="54">
        <f>_xll.EQNXTDZ($A$1,$B97,H$1,$B$1)</f>
        <v>2.6221999999999999</v>
      </c>
      <c r="I97" s="54">
        <f>_xll.EQNXTDZ($A$1,$B97,I$1,$B$1)</f>
        <v>1.7351000000000001</v>
      </c>
      <c r="J97" s="54">
        <f>_xll.EQNXTDZ($A$1,$B97,J$1,$B$1)</f>
        <v>10.318899999999999</v>
      </c>
      <c r="K97" s="54">
        <f>_xll.EQNXTDZ($A$1,$B97,K$1,$B$1)</f>
        <v>1.2795000000000001</v>
      </c>
      <c r="L97" s="54">
        <f>_xll.EQNXTDZ($A$1,$B97,L$1,$B$1)</f>
        <v>2.0823999999999998</v>
      </c>
      <c r="M97" s="54">
        <f>_xll.EQNXTDZ($A$1,$B97,M$1,$B$1)</f>
        <v>2.0280999999999998</v>
      </c>
      <c r="N97" s="54">
        <f>_xll.EQNXTDZ($A$1,$B97,N$1,$B$1)</f>
        <v>2.5550000000000002</v>
      </c>
      <c r="O97" s="54">
        <f>_xll.EQNXTDZ($A$1,$B97,O$1,$B$1)</f>
        <v>2.6789999999999998</v>
      </c>
      <c r="P97" s="54">
        <f>_xll.EQNXTDZ($A$1,$B97,P$1,$B$1)</f>
        <v>3.5249999999999999</v>
      </c>
      <c r="Q97" s="54">
        <f>_xll.EQNXTDZ($A$1,$B97,Q$1,$B$1)</f>
        <v>1.371</v>
      </c>
      <c r="R97" s="54">
        <f>_xll.EQNXTDZ($A$1,$B97,R$1,$B$1)</f>
        <v>2.4129999999999998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17.402999999999999</v>
      </c>
      <c r="D104" s="54">
        <f>_xll.EQNXTDZ($A$1,$B104,D$1,$B$1)</f>
        <v>17.402999999999999</v>
      </c>
      <c r="E104" s="54">
        <f>_xll.EQNXTDZ($A$1,$B104,E$1,$B$1)</f>
        <v>17.4039</v>
      </c>
      <c r="F104" s="54">
        <f>_xll.EQNXTDZ($A$1,$B104,F$1,$B$1)</f>
        <v>17.4039</v>
      </c>
      <c r="G104" s="54">
        <f>_xll.EQNXTDZ($A$1,$B104,G$1,$B$1)</f>
        <v>17.4039</v>
      </c>
      <c r="H104" s="54">
        <f>_xll.EQNXTDZ($A$1,$B104,H$1,$B$1)</f>
        <v>17.4039</v>
      </c>
      <c r="I104" s="54">
        <f>_xll.EQNXTDZ($A$1,$B104,I$1,$B$1)</f>
        <v>17.4039</v>
      </c>
      <c r="J104" s="54">
        <f>_xll.EQNXTDZ($A$1,$B104,J$1,$B$1)</f>
        <v>17.4039</v>
      </c>
      <c r="K104" s="54">
        <f>_xll.EQNXTDZ($A$1,$B104,K$1,$B$1)</f>
        <v>17.4039</v>
      </c>
      <c r="L104" s="54">
        <f>_xll.EQNXTDZ($A$1,$B104,L$1,$B$1)</f>
        <v>17.4039</v>
      </c>
      <c r="M104" s="54">
        <f>_xll.EQNXTDZ($A$1,$B104,M$1,$B$1)</f>
        <v>17.4039</v>
      </c>
      <c r="N104" s="54">
        <f>_xll.EQNXTDZ($A$1,$B104,N$1,$B$1)</f>
        <v>34.808</v>
      </c>
      <c r="O104" s="54">
        <f>_xll.EQNXTDZ($A$1,$B104,O$1,$B$1)</f>
        <v>34.808</v>
      </c>
      <c r="P104" s="54">
        <f>_xll.EQNXTDZ($A$1,$B104,P$1,$B$1)</f>
        <v>34.808</v>
      </c>
      <c r="Q104" s="54">
        <f>_xll.EQNXTDZ($A$1,$B104,Q$1,$B$1)</f>
        <v>34.808</v>
      </c>
      <c r="R104" s="54">
        <f>_xll.EQNXTDZ($A$1,$B104,R$1,$B$1)</f>
        <v>34.808</v>
      </c>
      <c r="S104" s="54">
        <f>_xll.EQNXTDZ($A$1,$B104,S$1,$B$1)</f>
        <v>34.808</v>
      </c>
      <c r="T104" s="54">
        <f>_xll.EQNXTDZ($A$1,$B104,T$1,$B$1)</f>
        <v>34.808</v>
      </c>
      <c r="U104" s="54">
        <f>_xll.EQNXTDZ($A$1,$B104,U$1,$B$1)</f>
        <v>34.808</v>
      </c>
      <c r="V104" s="54">
        <f>_xll.EQNXTDZ($A$1,$B104,V$1,$B$1)</f>
        <v>34.808</v>
      </c>
      <c r="W104" s="54">
        <f>_xll.EQNXTDZ($A$1,$B104,W$1,$B$1)</f>
        <v>34.808</v>
      </c>
      <c r="X104" s="54">
        <f>_xll.EQNXTDZ($A$1,$B104,X$1,$B$1)</f>
        <v>34.808</v>
      </c>
      <c r="Y104" s="54">
        <f>_xll.EQNXTDZ($A$1,$B104,Y$1,$B$1)</f>
        <v>34.808</v>
      </c>
      <c r="Z104" s="54">
        <f>_xll.EQNXTDZ($A$1,$B104,Z$1,$B$1)</f>
        <v>34.808</v>
      </c>
      <c r="AA104" s="54">
        <f>_xll.EQNXTDZ($A$1,$B104,AA$1,$B$1)</f>
        <v>34.808</v>
      </c>
      <c r="AB104" s="54">
        <f>_xll.EQNXTDZ($A$1,$B104,AB$1,$B$1)</f>
        <v>34.808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9.6</v>
      </c>
      <c r="D106" s="54">
        <f>_xll.EQNXTDZ($A$1,$B106,D$1,$B$1)</f>
        <v>5.375</v>
      </c>
      <c r="E106" s="54">
        <f>_xll.EQNXTDZ($A$1,$B106,E$1,$B$1)</f>
        <v>5.9950000000000001</v>
      </c>
      <c r="F106" s="54">
        <f>_xll.EQNXTDZ($A$1,$B106,F$1,$B$1)</f>
        <v>12.574999999999999</v>
      </c>
      <c r="G106" s="54">
        <f>_xll.EQNXTDZ($A$1,$B106,G$1,$B$1)</f>
        <v>24.33</v>
      </c>
      <c r="H106" s="54">
        <f>_xll.EQNXTDZ($A$1,$B106,H$1,$B$1)</f>
        <v>41.88</v>
      </c>
      <c r="I106" s="54">
        <f>_xll.EQNXTDZ($A$1,$B106,I$1,$B$1)</f>
        <v>67.635000000000005</v>
      </c>
      <c r="J106" s="54">
        <f>_xll.EQNXTDZ($A$1,$B106,J$1,$B$1)</f>
        <v>46.53</v>
      </c>
      <c r="K106" s="54">
        <f>_xll.EQNXTDZ($A$1,$B106,K$1,$B$1)</f>
        <v>22.45</v>
      </c>
      <c r="L106" s="54">
        <f>_xll.EQNXTDZ($A$1,$B106,L$1,$B$1)</f>
        <v>42.465000000000003</v>
      </c>
      <c r="M106" s="54">
        <f>_xll.EQNXTDZ($A$1,$B106,M$1,$B$1)</f>
        <v>53.14</v>
      </c>
      <c r="N106" s="54">
        <f>_xll.EQNXTDZ($A$1,$B106,N$1,$B$1)</f>
        <v>29.43</v>
      </c>
      <c r="O106" s="54">
        <f>_xll.EQNXTDZ($A$1,$B106,O$1,$B$1)</f>
        <v>44.32</v>
      </c>
      <c r="P106" s="54">
        <f>_xll.EQNXTDZ($A$1,$B106,P$1,$B$1)</f>
        <v>53.6</v>
      </c>
      <c r="Q106" s="54">
        <f>_xll.EQNXTDZ($A$1,$B106,Q$1,$B$1)</f>
        <v>132.69</v>
      </c>
      <c r="R106" s="54">
        <f>_xll.EQNXTDZ($A$1,$B106,R$1,$B$1)</f>
        <v>123.55</v>
      </c>
      <c r="S106" s="54">
        <f>_xll.EQNXTDZ($A$1,$B106,S$1,$B$1)</f>
        <v>125.79</v>
      </c>
      <c r="T106" s="54">
        <f>_xll.EQNXTDZ($A$1,$B106,T$1,$B$1)</f>
        <v>177.3</v>
      </c>
      <c r="U106" s="54">
        <f>_xll.EQNXTDZ($A$1,$B106,U$1,$B$1)</f>
        <v>155.85</v>
      </c>
      <c r="V106" s="54">
        <f>_xll.EQNXTDZ($A$1,$B106,V$1,$B$1)</f>
        <v>135</v>
      </c>
      <c r="W106" s="54">
        <f>_xll.EQNXTDZ($A$1,$B106,W$1,$B$1)</f>
        <v>129.36000000000001</v>
      </c>
      <c r="X106" s="54">
        <f>_xll.EQNXTDZ($A$1,$B106,X$1,$B$1)</f>
        <v>243.08</v>
      </c>
      <c r="Y106" s="54">
        <f>_xll.EQNXTDZ($A$1,$B106,Y$1,$B$1)</f>
        <v>387.38</v>
      </c>
      <c r="Z106" s="54">
        <f>_xll.EQNXTDZ($A$1,$B106,Z$1,$B$1)</f>
        <v>692.83</v>
      </c>
      <c r="AA106" s="54">
        <f>_xll.EQNXTDZ($A$1,$B106,AA$1,$B$1)</f>
        <v>767.4</v>
      </c>
      <c r="AB106" s="54">
        <f>_xll.EQNXTDZ($A$1,$B106,AB$1,$B$1)</f>
        <v>754.25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25.4</v>
      </c>
      <c r="D107" s="54">
        <f>_xll.EQNXTDZ($A$1,$B107,D$1,$B$1)</f>
        <v>10.365</v>
      </c>
      <c r="E107" s="54">
        <f>_xll.EQNXTDZ($A$1,$B107,E$1,$B$1)</f>
        <v>9.5</v>
      </c>
      <c r="F107" s="54">
        <f>_xll.EQNXTDZ($A$1,$B107,F$1,$B$1)</f>
        <v>16.2</v>
      </c>
      <c r="G107" s="54">
        <f>_xll.EQNXTDZ($A$1,$B107,G$1,$B$1)</f>
        <v>24.484999999999999</v>
      </c>
      <c r="H107" s="54">
        <f>_xll.EQNXTDZ($A$1,$B107,H$1,$B$1)</f>
        <v>45.5</v>
      </c>
      <c r="I107" s="54">
        <f>_xll.EQNXTDZ($A$1,$B107,I$1,$B$1)</f>
        <v>68.040000000000006</v>
      </c>
      <c r="J107" s="54">
        <f>_xll.EQNXTDZ($A$1,$B107,J$1,$B$1)</f>
        <v>67.900000000000006</v>
      </c>
      <c r="K107" s="54">
        <f>_xll.EQNXTDZ($A$1,$B107,K$1,$B$1)</f>
        <v>50.1</v>
      </c>
      <c r="L107" s="54">
        <f>_xll.EQNXTDZ($A$1,$B107,L$1,$B$1)</f>
        <v>45.994999999999997</v>
      </c>
      <c r="M107" s="54">
        <f>_xll.EQNXTDZ($A$1,$B107,M$1,$B$1)</f>
        <v>61</v>
      </c>
      <c r="N107" s="54">
        <f>_xll.EQNXTDZ($A$1,$B107,N$1,$B$1)</f>
        <v>59</v>
      </c>
      <c r="O107" s="54">
        <f>_xll.EQNXTDZ($A$1,$B107,O$1,$B$1)</f>
        <v>53.2</v>
      </c>
      <c r="P107" s="54">
        <f>_xll.EQNXTDZ($A$1,$B107,P$1,$B$1)</f>
        <v>54.8</v>
      </c>
      <c r="Q107" s="54">
        <f>_xll.EQNXTDZ($A$1,$B107,Q$1,$B$1)</f>
        <v>136</v>
      </c>
      <c r="R107" s="54">
        <f>_xll.EQNXTDZ($A$1,$B107,R$1,$B$1)</f>
        <v>165</v>
      </c>
      <c r="S107" s="54">
        <f>_xll.EQNXTDZ($A$1,$B107,S$1,$B$1)</f>
        <v>153.59</v>
      </c>
      <c r="T107" s="54">
        <f>_xll.EQNXTDZ($A$1,$B107,T$1,$B$1)</f>
        <v>186.2</v>
      </c>
      <c r="U107" s="54">
        <f>_xll.EQNXTDZ($A$1,$B107,U$1,$B$1)</f>
        <v>187.2</v>
      </c>
      <c r="V107" s="54">
        <f>_xll.EQNXTDZ($A$1,$B107,V$1,$B$1)</f>
        <v>156</v>
      </c>
      <c r="W107" s="54">
        <f>_xll.EQNXTDZ($A$1,$B107,W$1,$B$1)</f>
        <v>152.88999999999999</v>
      </c>
      <c r="X107" s="54">
        <f>_xll.EQNXTDZ($A$1,$B107,X$1,$B$1)</f>
        <v>281.82</v>
      </c>
      <c r="Y107" s="54">
        <f>_xll.EQNXTDZ($A$1,$B107,Y$1,$B$1)</f>
        <v>434.2</v>
      </c>
      <c r="Z107" s="54">
        <f>_xll.EQNXTDZ($A$1,$B107,Z$1,$B$1)</f>
        <v>709.8</v>
      </c>
      <c r="AA107" s="54">
        <f>_xll.EQNXTDZ($A$1,$B107,AA$1,$B$1)</f>
        <v>1057.54</v>
      </c>
      <c r="AB107" s="54">
        <f>_xll.EQNXTDZ($A$1,$B107,AB$1,$B$1)</f>
        <v>917.9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9.5</v>
      </c>
      <c r="D108" s="54">
        <f>_xll.EQNXTDZ($A$1,$B108,D$1,$B$1)</f>
        <v>4.9000000000000004</v>
      </c>
      <c r="E108" s="54">
        <f>_xll.EQNXTDZ($A$1,$B108,E$1,$B$1)</f>
        <v>4.4400000000000004</v>
      </c>
      <c r="F108" s="54">
        <f>_xll.EQNXTDZ($A$1,$B108,F$1,$B$1)</f>
        <v>5.75</v>
      </c>
      <c r="G108" s="54">
        <f>_xll.EQNXTDZ($A$1,$B108,G$1,$B$1)</f>
        <v>7.7</v>
      </c>
      <c r="H108" s="54">
        <f>_xll.EQNXTDZ($A$1,$B108,H$1,$B$1)</f>
        <v>20.125</v>
      </c>
      <c r="I108" s="54">
        <f>_xll.EQNXTDZ($A$1,$B108,I$1,$B$1)</f>
        <v>36</v>
      </c>
      <c r="J108" s="54">
        <f>_xll.EQNXTDZ($A$1,$B108,J$1,$B$1)</f>
        <v>41.524999999999999</v>
      </c>
      <c r="K108" s="54">
        <f>_xll.EQNXTDZ($A$1,$B108,K$1,$B$1)</f>
        <v>17.5</v>
      </c>
      <c r="L108" s="54">
        <f>_xll.EQNXTDZ($A$1,$B108,L$1,$B$1)</f>
        <v>17.600000000000001</v>
      </c>
      <c r="M108" s="54">
        <f>_xll.EQNXTDZ($A$1,$B108,M$1,$B$1)</f>
        <v>36.5</v>
      </c>
      <c r="N108" s="54">
        <f>_xll.EQNXTDZ($A$1,$B108,N$1,$B$1)</f>
        <v>28.3</v>
      </c>
      <c r="O108" s="54">
        <f>_xll.EQNXTDZ($A$1,$B108,O$1,$B$1)</f>
        <v>28.9</v>
      </c>
      <c r="P108" s="54">
        <f>_xll.EQNXTDZ($A$1,$B108,P$1,$B$1)</f>
        <v>35.47</v>
      </c>
      <c r="Q108" s="54">
        <f>_xll.EQNXTDZ($A$1,$B108,Q$1,$B$1)</f>
        <v>45.2</v>
      </c>
      <c r="R108" s="54">
        <f>_xll.EQNXTDZ($A$1,$B108,R$1,$B$1)</f>
        <v>108.5</v>
      </c>
      <c r="S108" s="54">
        <f>_xll.EQNXTDZ($A$1,$B108,S$1,$B$1)</f>
        <v>99.8</v>
      </c>
      <c r="T108" s="54">
        <f>_xll.EQNXTDZ($A$1,$B108,T$1,$B$1)</f>
        <v>120</v>
      </c>
      <c r="U108" s="54">
        <f>_xll.EQNXTDZ($A$1,$B108,U$1,$B$1)</f>
        <v>131.19999999999999</v>
      </c>
      <c r="V108" s="54">
        <f>_xll.EQNXTDZ($A$1,$B108,V$1,$B$1)</f>
        <v>107.13</v>
      </c>
      <c r="W108" s="54">
        <f>_xll.EQNXTDZ($A$1,$B108,W$1,$B$1)</f>
        <v>77.28</v>
      </c>
      <c r="X108" s="54">
        <f>_xll.EQNXTDZ($A$1,$B108,X$1,$B$1)</f>
        <v>124.6</v>
      </c>
      <c r="Y108" s="54">
        <f>_xll.EQNXTDZ($A$1,$B108,Y$1,$B$1)</f>
        <v>191.93</v>
      </c>
      <c r="Z108" s="54">
        <f>_xll.EQNXTDZ($A$1,$B108,Z$1,$B$1)</f>
        <v>341.24</v>
      </c>
      <c r="AA108" s="54">
        <f>_xll.EQNXTDZ($A$1,$B108,AA$1,$B$1)</f>
        <v>635</v>
      </c>
      <c r="AB108" s="54">
        <f>_xll.EQNXTDZ($A$1,$B108,AB$1,$B$1)</f>
        <v>585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167.06880000000001</v>
      </c>
      <c r="D109" s="54">
        <f>_xll.EQNXTDZ($A$1,$B109,D$1,$B$1)</f>
        <v>93.541124999999994</v>
      </c>
      <c r="E109" s="54">
        <f>_xll.EQNXTDZ($A$1,$B109,E$1,$B$1)</f>
        <v>104.3363805</v>
      </c>
      <c r="F109" s="54">
        <f>_xll.EQNXTDZ($A$1,$B109,F$1,$B$1)</f>
        <v>218.85404249999999</v>
      </c>
      <c r="G109" s="54">
        <f>_xll.EQNXTDZ($A$1,$B109,G$1,$B$1)</f>
        <v>423.43688700000001</v>
      </c>
      <c r="H109" s="54">
        <f>_xll.EQNXTDZ($A$1,$B109,H$1,$B$1)</f>
        <v>728.87533199999996</v>
      </c>
      <c r="I109" s="54">
        <f>_xll.EQNXTDZ($A$1,$B109,I$1,$B$1)</f>
        <v>1177.1127765000001</v>
      </c>
      <c r="J109" s="54">
        <f>_xll.EQNXTDZ($A$1,$B109,J$1,$B$1)</f>
        <v>809.80346699999996</v>
      </c>
      <c r="K109" s="54">
        <f>_xll.EQNXTDZ($A$1,$B109,K$1,$B$1)</f>
        <v>390.717555</v>
      </c>
      <c r="L109" s="54">
        <f>_xll.EQNXTDZ($A$1,$B109,L$1,$B$1)</f>
        <v>739.05661350000003</v>
      </c>
      <c r="M109" s="54">
        <f>_xll.EQNXTDZ($A$1,$B109,M$1,$B$1)</f>
        <v>924.84324600000002</v>
      </c>
      <c r="N109" s="54">
        <f>_xll.EQNXTDZ($A$1,$B109,N$1,$B$1)</f>
        <v>512.19971999999996</v>
      </c>
      <c r="O109" s="54">
        <f>_xll.EQNXTDZ($A$1,$B109,O$1,$B$1)</f>
        <v>771.34528</v>
      </c>
      <c r="P109" s="54">
        <f>_xll.EQNXTDZ($A$1,$B109,P$1,$B$1)</f>
        <v>932.85440000000006</v>
      </c>
      <c r="Q109" s="54">
        <f>_xll.EQNXTDZ($A$1,$B109,Q$1,$B$1)</f>
        <v>2309.3367600000001</v>
      </c>
      <c r="R109" s="54">
        <f>_xll.EQNXTDZ($A$1,$B109,R$1,$B$1)</f>
        <v>2150.2642000000001</v>
      </c>
      <c r="S109" s="54">
        <f>_xll.EQNXTDZ($A$1,$B109,S$1,$B$1)</f>
        <v>2189.2491599999998</v>
      </c>
      <c r="T109" s="54">
        <f>_xll.EQNXTDZ($A$1,$B109,T$1,$B$1)</f>
        <v>3085.7292000000002</v>
      </c>
      <c r="U109" s="54">
        <f>_xll.EQNXTDZ($A$1,$B109,U$1,$B$1)</f>
        <v>2712.4133999999999</v>
      </c>
      <c r="V109" s="54">
        <f>_xll.EQNXTDZ($A$1,$B109,V$1,$B$1)</f>
        <v>2349.54</v>
      </c>
      <c r="W109" s="54">
        <f>_xll.EQNXTDZ($A$1,$B109,W$1,$B$1)</f>
        <v>2251.3814400000001</v>
      </c>
      <c r="X109" s="54">
        <f>_xll.EQNXTDZ($A$1,$B109,X$1,$B$1)</f>
        <v>4230.5643200000004</v>
      </c>
      <c r="Y109" s="54">
        <f>_xll.EQNXTDZ($A$1,$B109,Y$1,$B$1)</f>
        <v>6741.9615199999998</v>
      </c>
      <c r="Z109" s="54">
        <f>_xll.EQNXTDZ($A$1,$B109,Z$1,$B$1)</f>
        <v>12058.01332</v>
      </c>
      <c r="AA109" s="54">
        <f>_xll.EQNXTDZ($A$1,$B109,AA$1,$B$1)</f>
        <v>13355.829599999999</v>
      </c>
      <c r="AB109" s="54">
        <f>_xll.EQNXTDZ($A$1,$B109,AB$1,$B$1)</f>
        <v>13126.967000000001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0.3</v>
      </c>
      <c r="D110" s="54">
        <f>_xll.EQNXTDZ($A$1,$B110,D$1,$B$1)</f>
        <v>0.3</v>
      </c>
      <c r="E110" s="54">
        <f>_xll.EQNXTDZ($A$1,$B110,E$1,$B$1)</f>
        <v>0.3</v>
      </c>
      <c r="F110" s="54">
        <f>_xll.EQNXTDZ($A$1,$B110,F$1,$B$1)</f>
        <v>0.35</v>
      </c>
      <c r="G110" s="54">
        <f>_xll.EQNXTDZ($A$1,$B110,G$1,$B$1)</f>
        <v>0.4</v>
      </c>
      <c r="H110" s="54">
        <f>_xll.EQNXTDZ($A$1,$B110,H$1,$B$1)</f>
        <v>0.45</v>
      </c>
      <c r="I110" s="54">
        <f>_xll.EQNXTDZ($A$1,$B110,I$1,$B$1)</f>
        <v>0.55000000000000004</v>
      </c>
      <c r="J110" s="54">
        <f>_xll.EQNXTDZ($A$1,$B110,J$1,$B$1)</f>
        <v>0.55000000000000004</v>
      </c>
      <c r="K110" s="54">
        <f>_xll.EQNXTDZ($A$1,$B110,K$1,$B$1)</f>
        <v>0.55000000000000004</v>
      </c>
      <c r="L110" s="54">
        <f>_xll.EQNXTDZ($A$1,$B110,L$1,$B$1)</f>
        <v>1.25</v>
      </c>
      <c r="M110" s="54">
        <f>_xll.EQNXTDZ($A$1,$B110,M$1,$B$1)</f>
        <v>1</v>
      </c>
      <c r="N110" s="54">
        <f>_xll.EQNXTDZ($A$1,$B110,N$1,$B$1)</f>
        <v>0.8</v>
      </c>
      <c r="O110" s="54">
        <f>_xll.EQNXTDZ($A$1,$B110,O$1,$B$1)</f>
        <v>1.1000000000000001</v>
      </c>
      <c r="P110" s="54">
        <f>_xll.EQNXTDZ($A$1,$B110,P$1,$B$1)</f>
        <v>1.1000000000000001</v>
      </c>
      <c r="Q110" s="54">
        <f>_xll.EQNXTDZ($A$1,$B110,Q$1,$B$1)</f>
        <v>1.1000000000000001</v>
      </c>
      <c r="R110" s="54">
        <f>_xll.EQNXTDZ($A$1,$B110,R$1,$B$1)</f>
        <v>1.1000000000000001</v>
      </c>
      <c r="S110" s="54">
        <f>_xll.EQNXTDZ($A$1,$B110,S$1,$B$1)</f>
        <v>1.1000000000000001</v>
      </c>
      <c r="T110" s="54">
        <f>_xll.EQNXTDZ($A$1,$B110,T$1,$B$1)</f>
        <v>1.2</v>
      </c>
      <c r="U110" s="54">
        <f>_xll.EQNXTDZ($A$1,$B110,U$1,$B$1)</f>
        <v>1.2</v>
      </c>
      <c r="V110" s="54">
        <f>_xll.EQNXTDZ($A$1,$B110,V$1,$B$1)</f>
        <v>1.6</v>
      </c>
      <c r="W110" s="54">
        <f>_xll.EQNXTDZ($A$1,$B110,W$1,$B$1)</f>
        <v>1.7</v>
      </c>
      <c r="X110" s="54">
        <f>_xll.EQNXTDZ($A$1,$B110,X$1,$B$1)</f>
        <v>2.5</v>
      </c>
      <c r="Y110" s="54">
        <f>_xll.EQNXTDZ($A$1,$B110,Y$1,$B$1)</f>
        <v>3</v>
      </c>
      <c r="Z110" s="54">
        <f>_xll.EQNXTDZ($A$1,$B110,Z$1,$B$1)</f>
        <v>3.5</v>
      </c>
      <c r="AA110" s="54">
        <f>_xll.EQNXTDZ($A$1,$B110,AA$1,$B$1)</f>
        <v>4</v>
      </c>
      <c r="AB110" s="54">
        <f>_xll.EQNXTDZ($A$1,$B110,AB$1,$B$1)</f>
        <v>4.4000000000000004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65.38</v>
      </c>
      <c r="E112" s="55">
        <f>_xll.EQNXTDZ($A$1,$B112,E$5)</f>
        <v>66.55</v>
      </c>
      <c r="F112" s="55">
        <f>_xll.EQNXTDZ($A$1,$B112,F$5)</f>
        <v>66.489999999999995</v>
      </c>
      <c r="G112" s="55">
        <f>_xll.EQNXTDZ($A$1,$B112,G$5)</f>
        <v>66.489999999999995</v>
      </c>
      <c r="H112" s="55">
        <f>_xll.EQNXTDZ($A$1,$B112,H$5)</f>
        <v>66.489999999999995</v>
      </c>
      <c r="I112" s="55">
        <f>_xll.EQNXTDZ($A$1,$B112,I$5)</f>
        <v>66.489999999999995</v>
      </c>
      <c r="J112" s="55">
        <f>_xll.EQNXTDZ($A$1,$B112,J$5)</f>
        <v>66.489999999999995</v>
      </c>
      <c r="K112" s="55">
        <f>_xll.EQNXTDZ($A$1,$B112,K$5)</f>
        <v>66.58</v>
      </c>
      <c r="L112" s="55">
        <f>_xll.EQNXTDZ($A$1,$B112,L$5)</f>
        <v>66.8</v>
      </c>
      <c r="M112" s="55">
        <f>_xll.EQNXTDZ($A$1,$B112,M$5)</f>
        <v>66.8</v>
      </c>
      <c r="N112" s="55">
        <f>_xll.EQNXTDZ($A$1,$B112,N$5)</f>
        <v>66.8</v>
      </c>
      <c r="O112" s="55">
        <f>_xll.EQNXTDZ($A$1,$B112,O$5)</f>
        <v>66.8</v>
      </c>
      <c r="P112" s="55">
        <f>_xll.EQNXTDZ($A$1,$B112,P$5)</f>
        <v>66.42</v>
      </c>
      <c r="Q112" s="55">
        <f>_xll.EQNXTDZ($A$1,$B112,Q$5)</f>
        <v>66.41</v>
      </c>
      <c r="R112" s="55">
        <f>_xll.EQNXTDZ($A$1,$B112,R$5)</f>
        <v>66.41</v>
      </c>
      <c r="S112" s="55">
        <f>_xll.EQNXTDZ($A$1,$B112,S$5)</f>
        <v>66.41</v>
      </c>
      <c r="T112" s="55">
        <f>_xll.EQNXTDZ($A$1,$B112,T$5)</f>
        <v>66.41</v>
      </c>
      <c r="U112" s="55">
        <f>_xll.EQNXTDZ($A$1,$B112,U$5)</f>
        <v>66.41</v>
      </c>
      <c r="V112" s="55">
        <f>_xll.EQNXTDZ($A$1,$B112,V$5)</f>
        <v>66.41</v>
      </c>
      <c r="W112" s="55">
        <f>_xll.EQNXTDZ($A$1,$B112,W$5)</f>
        <v>66.41</v>
      </c>
      <c r="X112" s="55">
        <f>_xll.EQNXTDZ($A$1,$B112,X$5)</f>
        <v>66.69</v>
      </c>
      <c r="Y112" s="55">
        <f>_xll.EQNXTDZ($A$1,$B112,Y$5)</f>
        <v>66.69</v>
      </c>
      <c r="Z112" s="55">
        <f>_xll.EQNXTDZ($A$1,$B112,Z$5)</f>
        <v>66.69</v>
      </c>
      <c r="AA112" s="55">
        <f>_xll.EQNXTDZ($A$1,$B112,AA$5)</f>
        <v>69.8</v>
      </c>
      <c r="AB112" s="55">
        <f>_xll.EQNXTDZ($A$1,$B112,AB$5)</f>
        <v>69.8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100249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36.08</v>
      </c>
      <c r="D6" cm="1">
        <f t="array" ref="D6">_xll.EQNXTDZ($A$1,$B6,D$1)</f>
        <v>37</v>
      </c>
      <c r="E6" cm="1">
        <f t="array" ref="E6">_xll.EQNXTDZ($A$1,$B6,E$1)</f>
        <v>41.99</v>
      </c>
      <c r="F6" cm="1">
        <f t="array" ref="F6">_xll.EQNXTDZ($A$1,$B6,F$1)</f>
        <v>41.2</v>
      </c>
      <c r="G6" cm="1">
        <f t="array" ref="G6">_xll.EQNXTDZ($A$1,$B6,G$1)</f>
        <v>41.23</v>
      </c>
      <c r="H6" cm="1">
        <f t="array" ref="H6">_xll.EQNXTDZ($A$1,$B6,H$1)</f>
        <v>44.2</v>
      </c>
      <c r="I6" cm="1">
        <f t="array" ref="I6">_xll.EQNXTDZ($A$1,$B6,I$1)</f>
        <v>47.12</v>
      </c>
      <c r="J6" cm="1">
        <f t="array" ref="J6">_xll.EQNXTDZ($A$1,$B6,J$1)</f>
        <v>45.12</v>
      </c>
      <c r="K6" cm="1">
        <f t="array" ref="K6">_xll.EQNXTDZ($A$1,$B6,K$1)</f>
        <v>37.979999999999997</v>
      </c>
      <c r="L6" cm="1">
        <f t="array" ref="L6">_xll.EQNXTDZ($A$1,$B6,L$1)</f>
        <v>39.4</v>
      </c>
      <c r="M6" cm="1">
        <f t="array" ref="M6">_xll.EQNXTDZ($A$1,$B6,M$1)</f>
        <v>40.049999999999997</v>
      </c>
      <c r="N6" cm="1">
        <f t="array" ref="N6">_xll.EQNXTDZ($A$1,$B6,N$1)</f>
        <v>42</v>
      </c>
      <c r="O6" cm="1">
        <f t="array" ref="O6">_xll.EQNXTDZ($A$1,$B6,O$1)</f>
        <v>40.6</v>
      </c>
      <c r="P6" cm="1">
        <f t="array" ref="P6">_xll.EQNXTDZ($A$1,$B6,P$1)</f>
        <v>41.5</v>
      </c>
      <c r="Q6" cm="1">
        <f t="array" ref="Q6">_xll.EQNXTDZ($A$1,$B6,Q$1)</f>
        <v>42.19</v>
      </c>
      <c r="R6" cm="1">
        <f t="array" ref="R6">_xll.EQNXTDZ($A$1,$B6,R$1)</f>
        <v>40.19</v>
      </c>
      <c r="S6" cm="1">
        <f t="array" ref="S6">_xll.EQNXTDZ($A$1,$B6,S$1)</f>
        <v>42.4</v>
      </c>
      <c r="T6" cm="1">
        <f t="array" ref="T6">_xll.EQNXTDZ($A$1,$B6,T$1)</f>
        <v>47.07</v>
      </c>
      <c r="U6" cm="1">
        <f t="array" ref="U6">_xll.EQNXTDZ($A$1,$B6,U$1)</f>
        <v>51.6</v>
      </c>
      <c r="V6" cm="1">
        <f t="array" ref="V6">_xll.EQNXTDZ($A$1,$B6,V$1)</f>
        <v>52.6</v>
      </c>
      <c r="W6" cm="1">
        <f t="array" ref="W6">_xll.EQNXTDZ($A$1,$B6,W$1)</f>
        <v>48.2</v>
      </c>
      <c r="X6" cm="1">
        <f t="array" ref="X6">_xll.EQNXTDZ($A$1,$B6,X$1)</f>
        <v>50.4</v>
      </c>
      <c r="Y6" cm="1">
        <f t="array" ref="Y6">_xll.EQNXTDZ($A$1,$B6,Y$1)</f>
        <v>64.510000000000005</v>
      </c>
      <c r="Z6" cm="1">
        <f t="array" ref="Z6">_xll.EQNXTDZ($A$1,$B6,Z$1)</f>
        <v>67</v>
      </c>
      <c r="AA6" cm="1">
        <f t="array" ref="AA6">_xll.EQNXTDZ($A$1,$B6,AA$1)</f>
        <v>100</v>
      </c>
      <c r="AB6" cm="1">
        <f t="array" ref="AB6">_xll.EQNXTDZ($A$1,$B6,AB$1)</f>
        <v>110.58</v>
      </c>
      <c r="AC6" cm="1">
        <f t="array" ref="AC6">_xll.EQNXTDZ($A$1,$B6,AC$1)</f>
        <v>105.01</v>
      </c>
      <c r="AD6" cm="1">
        <f t="array" ref="AD6">_xll.EQNXTDZ($A$1,$B6,AD$1)</f>
        <v>107</v>
      </c>
      <c r="AE6" cm="1">
        <f t="array" ref="AE6">_xll.EQNXTDZ($A$1,$B6,AE$1)</f>
        <v>108</v>
      </c>
      <c r="AF6" cm="1">
        <f t="array" ref="AF6">_xll.EQNXTDZ($A$1,$B6,AF$1)</f>
        <v>109.4</v>
      </c>
      <c r="AG6" cm="1">
        <f t="array" ref="AG6">_xll.EQNXTDZ($A$1,$B6,AG$1)</f>
        <v>111</v>
      </c>
      <c r="AH6" cm="1">
        <f t="array" ref="AH6">_xll.EQNXTDZ($A$1,$B6,AH$1)</f>
        <v>130</v>
      </c>
      <c r="AI6" cm="1">
        <f t="array" ref="AI6">_xll.EQNXTDZ($A$1,$B6,AI$1)</f>
        <v>139.74</v>
      </c>
      <c r="AJ6" cm="1">
        <f t="array" ref="AJ6">_xll.EQNXTDZ($A$1,$B6,AJ$1)</f>
        <v>140.80000000000001</v>
      </c>
      <c r="AK6" cm="1">
        <f t="array" ref="AK6">_xll.EQNXTDZ($A$1,$B6,AK$1)</f>
        <v>148</v>
      </c>
      <c r="AL6" cm="1">
        <f t="array" ref="AL6">_xll.EQNXTDZ($A$1,$B6,AL$1)</f>
        <v>113.72</v>
      </c>
      <c r="AM6" cm="1">
        <f t="array" ref="AM6">_xll.EQNXTDZ($A$1,$B6,AM$1)</f>
        <v>112.8</v>
      </c>
      <c r="AN6" cm="1">
        <f t="array" ref="AN6">_xll.EQNXTDZ($A$1,$B6,AN$1)</f>
        <v>125.78</v>
      </c>
      <c r="AO6" cm="1">
        <f t="array" ref="AO6">_xll.EQNXTDZ($A$1,$B6,AO$1)</f>
        <v>125.1</v>
      </c>
      <c r="AP6" cm="1">
        <f t="array" ref="AP6">_xll.EQNXTDZ($A$1,$B6,AP$1)</f>
        <v>119.44</v>
      </c>
      <c r="AQ6" cm="1">
        <f t="array" ref="AQ6">_xll.EQNXTDZ($A$1,$B6,AQ$1)</f>
        <v>121</v>
      </c>
      <c r="AR6" cm="1">
        <f t="array" ref="AR6">_xll.EQNXTDZ($A$1,$B6,AR$1)</f>
        <v>121.78</v>
      </c>
      <c r="AS6" cm="1">
        <f t="array" ref="AS6">_xll.EQNXTDZ($A$1,$B6,AS$1)</f>
        <v>115</v>
      </c>
      <c r="AT6" cm="1">
        <f t="array" ref="AT6">_xll.EQNXTDZ($A$1,$B6,AT$1)</f>
        <v>121</v>
      </c>
      <c r="AU6" cm="1">
        <f t="array" ref="AU6">_xll.EQNXTDZ($A$1,$B6,AU$1)</f>
        <v>110</v>
      </c>
      <c r="AV6" cm="1">
        <f t="array" ref="AV6">_xll.EQNXTDZ($A$1,$B6,AV$1)</f>
        <v>104.6</v>
      </c>
      <c r="AW6" cm="1">
        <f t="array" ref="AW6">_xll.EQNXTDZ($A$1,$B6,AW$1)</f>
        <v>127.97</v>
      </c>
      <c r="AX6" cm="1">
        <f t="array" ref="AX6">_xll.EQNXTDZ($A$1,$B6,AX$1)</f>
        <v>137.05000000000001</v>
      </c>
      <c r="AY6" cm="1">
        <f t="array" ref="AY6">_xll.EQNXTDZ($A$1,$B6,AY$1)</f>
        <v>137.03</v>
      </c>
      <c r="AZ6" cm="1">
        <f t="array" ref="AZ6">_xll.EQNXTDZ($A$1,$B6,AZ$1)</f>
        <v>148</v>
      </c>
      <c r="BA6" cm="1">
        <f t="array" ref="BA6">_xll.EQNXTDZ($A$1,$B6,BA$1)</f>
        <v>136</v>
      </c>
      <c r="BB6" cm="1">
        <f t="array" ref="BB6">_xll.EQNXTDZ($A$1,$B6,BB$1)</f>
        <v>131.01</v>
      </c>
      <c r="BC6" cm="1">
        <f t="array" ref="BC6">_xll.EQNXTDZ($A$1,$B6,BC$1)</f>
        <v>116.6</v>
      </c>
      <c r="BD6" cm="1">
        <f t="array" ref="BD6">_xll.EQNXTDZ($A$1,$B6,BD$1)</f>
        <v>117</v>
      </c>
      <c r="BE6" cm="1">
        <f t="array" ref="BE6">_xll.EQNXTDZ($A$1,$B6,BE$1)</f>
        <v>118</v>
      </c>
      <c r="BF6" cm="1">
        <f t="array" ref="BF6">_xll.EQNXTDZ($A$1,$B6,BF$1)</f>
        <v>123.7</v>
      </c>
      <c r="BG6" cm="1">
        <f t="array" ref="BG6">_xll.EQNXTDZ($A$1,$B6,BG$1)</f>
        <v>122.44</v>
      </c>
      <c r="BH6" cm="1">
        <f t="array" ref="BH6">_xll.EQNXTDZ($A$1,$B6,BH$1)</f>
        <v>124.71</v>
      </c>
      <c r="BI6" cm="1">
        <f t="array" ref="BI6">_xll.EQNXTDZ($A$1,$B6,BI$1)</f>
        <v>142</v>
      </c>
      <c r="BJ6" cm="1">
        <f t="array" ref="BJ6">_xll.EQNXTDZ($A$1,$B6,BJ$1)</f>
        <v>140.01</v>
      </c>
      <c r="BK6" cm="1">
        <f t="array" ref="BK6">_xll.EQNXTDZ($A$1,$B6,BK$1)</f>
        <v>134.24</v>
      </c>
      <c r="BL6" cm="1">
        <f t="array" ref="BL6">_xll.EQNXTDZ($A$1,$B6,BL$1)</f>
        <v>153.63999999999999</v>
      </c>
      <c r="BM6" cm="1">
        <f t="array" ref="BM6">_xll.EQNXTDZ($A$1,$B6,BM$1)</f>
        <v>149.97999999999999</v>
      </c>
      <c r="BN6" cm="1">
        <f t="array" ref="BN6">_xll.EQNXTDZ($A$1,$B6,BN$1)</f>
        <v>142.56</v>
      </c>
      <c r="BO6" cm="1">
        <f t="array" ref="BO6">_xll.EQNXTDZ($A$1,$B6,BO$1)</f>
        <v>150.19</v>
      </c>
      <c r="BP6" cm="1">
        <f t="array" ref="BP6">_xll.EQNXTDZ($A$1,$B6,BP$1)</f>
        <v>168.6</v>
      </c>
      <c r="BQ6" cm="1">
        <f t="array" ref="BQ6">_xll.EQNXTDZ($A$1,$B6,BQ$1)</f>
        <v>174</v>
      </c>
      <c r="BR6" cm="1">
        <f t="array" ref="BR6">_xll.EQNXTDZ($A$1,$B6,BR$1)</f>
        <v>178.37</v>
      </c>
      <c r="BS6" cm="1">
        <f t="array" ref="BS6">_xll.EQNXTDZ($A$1,$B6,BS$1)</f>
        <v>179.6</v>
      </c>
      <c r="BT6" cm="1">
        <f t="array" ref="BT6">_xll.EQNXTDZ($A$1,$B6,BT$1)</f>
        <v>160</v>
      </c>
      <c r="BU6" cm="1">
        <f t="array" ref="BU6">_xll.EQNXTDZ($A$1,$B6,BU$1)</f>
        <v>160.22999999999999</v>
      </c>
      <c r="BV6" cm="1">
        <f t="array" ref="BV6">_xll.EQNXTDZ($A$1,$B6,BV$1)</f>
        <v>166</v>
      </c>
      <c r="BW6" cm="1">
        <f t="array" ref="BW6">_xll.EQNXTDZ($A$1,$B6,BW$1)</f>
        <v>163.91</v>
      </c>
      <c r="BX6" cm="1">
        <f t="array" ref="BX6">_xll.EQNXTDZ($A$1,$B6,BX$1)</f>
        <v>154.19999999999999</v>
      </c>
      <c r="BY6" cm="1">
        <f t="array" ref="BY6">_xll.EQNXTDZ($A$1,$B6,BY$1)</f>
        <v>156.4</v>
      </c>
      <c r="BZ6" cm="1">
        <f t="array" ref="BZ6">_xll.EQNXTDZ($A$1,$B6,BZ$1)</f>
        <v>154.03</v>
      </c>
      <c r="CA6" cm="1">
        <f t="array" ref="CA6">_xll.EQNXTDZ($A$1,$B6,CA$1)</f>
        <v>148</v>
      </c>
      <c r="CB6" cm="1">
        <f t="array" ref="CB6">_xll.EQNXTDZ($A$1,$B6,CB$1)</f>
        <v>162</v>
      </c>
      <c r="CC6" cm="1">
        <f t="array" ref="CC6">_xll.EQNXTDZ($A$1,$B6,CC$1)</f>
        <v>153.41</v>
      </c>
      <c r="CD6" cm="1">
        <f t="array" ref="CD6">_xll.EQNXTDZ($A$1,$B6,CD$1)</f>
        <v>157.96</v>
      </c>
      <c r="CE6" cm="1">
        <f t="array" ref="CE6">_xll.EQNXTDZ($A$1,$B6,CE$1)</f>
        <v>140.13</v>
      </c>
      <c r="CF6" cm="1">
        <f t="array" ref="CF6">_xll.EQNXTDZ($A$1,$B6,CF$1)</f>
        <v>129.62</v>
      </c>
      <c r="CG6" cm="1">
        <f t="array" ref="CG6">_xll.EQNXTDZ($A$1,$B6,CG$1)</f>
        <v>137.5</v>
      </c>
      <c r="CH6" cm="1">
        <f t="array" ref="CH6">_xll.EQNXTDZ($A$1,$B6,CH$1)</f>
        <v>134.99</v>
      </c>
      <c r="CI6" cm="1">
        <f t="array" ref="CI6">_xll.EQNXTDZ($A$1,$B6,CI$1)</f>
        <v>136.11000000000001</v>
      </c>
      <c r="CJ6" cm="1">
        <f t="array" ref="CJ6">_xll.EQNXTDZ($A$1,$B6,CJ$1)</f>
        <v>144.51</v>
      </c>
      <c r="CK6" cm="1">
        <f t="array" ref="CK6">_xll.EQNXTDZ($A$1,$B6,CK$1)</f>
        <v>121.52</v>
      </c>
      <c r="CL6" cm="1">
        <f t="array" ref="CL6">_xll.EQNXTDZ($A$1,$B6,CL$1)</f>
        <v>122.6</v>
      </c>
      <c r="CM6" cm="1">
        <f t="array" ref="CM6">_xll.EQNXTDZ($A$1,$B6,CM$1)</f>
        <v>138.69</v>
      </c>
      <c r="CN6" cm="1">
        <f t="array" ref="CN6">_xll.EQNXTDZ($A$1,$B6,CN$1)</f>
        <v>139.16999999999999</v>
      </c>
      <c r="CO6" cm="1">
        <f t="array" ref="CO6">_xll.EQNXTDZ($A$1,$B6,CO$1)</f>
        <v>134</v>
      </c>
      <c r="CP6" cm="1">
        <f t="array" ref="CP6">_xll.EQNXTDZ($A$1,$B6,CP$1)</f>
        <v>134.66</v>
      </c>
      <c r="CQ6" cm="1">
        <f t="array" ref="CQ6">_xll.EQNXTDZ($A$1,$B6,CQ$1)</f>
        <v>147.76</v>
      </c>
      <c r="CR6" cm="1">
        <f t="array" ref="CR6">_xll.EQNXTDZ($A$1,$B6,CR$1)</f>
        <v>133.6</v>
      </c>
      <c r="CS6" cm="1">
        <f t="array" ref="CS6">_xll.EQNXTDZ($A$1,$B6,CS$1)</f>
        <v>85.99</v>
      </c>
      <c r="CT6" cm="1">
        <f t="array" ref="CT6">_xll.EQNXTDZ($A$1,$B6,CT$1)</f>
        <v>98.93</v>
      </c>
      <c r="CU6" cm="1">
        <f t="array" ref="CU6">_xll.EQNXTDZ($A$1,$B6,CU$1)</f>
        <v>94.96</v>
      </c>
      <c r="CV6" cm="1">
        <f t="array" ref="CV6">_xll.EQNXTDZ($A$1,$B6,CV$1)</f>
        <v>94</v>
      </c>
      <c r="CW6" cm="1">
        <f t="array" ref="CW6">_xll.EQNXTDZ($A$1,$B6,CW$1)</f>
        <v>103</v>
      </c>
      <c r="CX6" cm="1">
        <f t="array" ref="CX6">_xll.EQNXTDZ($A$1,$B6,CX$1)</f>
        <v>104.1</v>
      </c>
      <c r="CY6" cm="1">
        <f t="array" ref="CY6">_xll.EQNXTDZ($A$1,$B6,CY$1)</f>
        <v>96.29</v>
      </c>
      <c r="CZ6" cm="1">
        <f t="array" ref="CZ6">_xll.EQNXTDZ($A$1,$B6,CZ$1)</f>
        <v>90.97</v>
      </c>
      <c r="DA6" cm="1">
        <f t="array" ref="DA6">_xll.EQNXTDZ($A$1,$B6,DA$1)</f>
        <v>114.42</v>
      </c>
      <c r="DB6" cm="1">
        <f t="array" ref="DB6">_xll.EQNXTDZ($A$1,$B6,DB$1)</f>
        <v>129.53</v>
      </c>
      <c r="DC6" cm="1">
        <f t="array" ref="DC6">_xll.EQNXTDZ($A$1,$B6,DC$1)</f>
        <v>126.2</v>
      </c>
      <c r="DD6" cm="1">
        <f t="array" ref="DD6">_xll.EQNXTDZ($A$1,$B6,DD$1)</f>
        <v>147.81</v>
      </c>
      <c r="DE6" cm="1">
        <f t="array" ref="DE6">_xll.EQNXTDZ($A$1,$B6,DE$1)</f>
        <v>177.63</v>
      </c>
      <c r="DF6" cm="1">
        <f t="array" ref="DF6">_xll.EQNXTDZ($A$1,$B6,DF$1)</f>
        <v>175.28</v>
      </c>
      <c r="DG6" cm="1">
        <f t="array" ref="DG6">_xll.EQNXTDZ($A$1,$B6,DG$1)</f>
        <v>197</v>
      </c>
      <c r="DH6" cm="1">
        <f t="array" ref="DH6">_xll.EQNXTDZ($A$1,$B6,DH$1)</f>
        <v>203.58</v>
      </c>
      <c r="DI6" cm="1">
        <f t="array" ref="DI6">_xll.EQNXTDZ($A$1,$B6,DI$1)</f>
        <v>232.4</v>
      </c>
      <c r="DJ6" cm="1">
        <f t="array" ref="DJ6">_xll.EQNXTDZ($A$1,$B6,DJ$1)</f>
        <v>235.2</v>
      </c>
      <c r="DK6" cm="1">
        <f t="array" ref="DK6">_xll.EQNXTDZ($A$1,$B6,DK$1)</f>
        <v>245.52</v>
      </c>
      <c r="DL6" cm="1">
        <f t="array" ref="DL6">_xll.EQNXTDZ($A$1,$B6,DL$1)</f>
        <v>269</v>
      </c>
      <c r="DM6" cm="1">
        <f t="array" ref="DM6">_xll.EQNXTDZ($A$1,$B6,DM$1)</f>
        <v>246.74</v>
      </c>
      <c r="DN6" cm="1">
        <f t="array" ref="DN6">_xll.EQNXTDZ($A$1,$B6,DN$1)</f>
        <v>241.41</v>
      </c>
      <c r="DO6" cm="1">
        <f t="array" ref="DO6">_xll.EQNXTDZ($A$1,$B6,DO$1)</f>
        <v>247.26</v>
      </c>
      <c r="DP6" cm="1">
        <f t="array" ref="DP6">_xll.EQNXTDZ($A$1,$B6,DP$1)</f>
        <v>217</v>
      </c>
      <c r="DQ6" cm="1">
        <f t="array" ref="DQ6">_xll.EQNXTDZ($A$1,$B6,DQ$1)</f>
        <v>268</v>
      </c>
      <c r="DR6" cm="1">
        <f t="array" ref="DR6">_xll.EQNXTDZ($A$1,$B6,DR$1)</f>
        <v>268</v>
      </c>
      <c r="DS6" cm="1">
        <f t="array" ref="DS6">_xll.EQNXTDZ($A$1,$B6,DS$1)</f>
        <v>268.79000000000002</v>
      </c>
      <c r="DT6" cm="1">
        <f t="array" ref="DT6">_xll.EQNXTDZ($A$1,$B6,DT$1)</f>
        <v>293.99</v>
      </c>
      <c r="DU6" cm="1">
        <f t="array" ref="DU6">_xll.EQNXTDZ($A$1,$B6,DU$1)</f>
        <v>295.60000000000002</v>
      </c>
      <c r="DV6" cm="1">
        <f t="array" ref="DV6">_xll.EQNXTDZ($A$1,$B6,DV$1)</f>
        <v>381</v>
      </c>
      <c r="DW6" cm="1">
        <f t="array" ref="DW6">_xll.EQNXTDZ($A$1,$B6,DW$1)</f>
        <v>400</v>
      </c>
      <c r="DX6" cm="1">
        <f t="array" ref="DX6">_xll.EQNXTDZ($A$1,$B6,DX$1)</f>
        <v>418.36</v>
      </c>
      <c r="DY6" cm="1">
        <f t="array" ref="DY6">_xll.EQNXTDZ($A$1,$B6,DY$1)</f>
        <v>405.99</v>
      </c>
      <c r="DZ6" cm="1">
        <f t="array" ref="DZ6">_xll.EQNXTDZ($A$1,$B6,DZ$1)</f>
        <v>386.76</v>
      </c>
      <c r="EA6" cm="1">
        <f t="array" ref="EA6">_xll.EQNXTDZ($A$1,$B6,EA$1)</f>
        <v>365.18</v>
      </c>
      <c r="EB6" cm="1">
        <f t="array" ref="EB6">_xll.EQNXTDZ($A$1,$B6,EB$1)</f>
        <v>387.8</v>
      </c>
      <c r="EC6" cm="1">
        <f t="array" ref="EC6">_xll.EQNXTDZ($A$1,$B6,EC$1)</f>
        <v>426</v>
      </c>
      <c r="ED6" cm="1">
        <f t="array" ref="ED6">_xll.EQNXTDZ($A$1,$B6,ED$1)</f>
        <v>453.4</v>
      </c>
      <c r="EE6" cm="1">
        <f t="array" ref="EE6">_xll.EQNXTDZ($A$1,$B6,EE$1)</f>
        <v>421.33</v>
      </c>
      <c r="EF6" cm="1">
        <f t="array" ref="EF6">_xll.EQNXTDZ($A$1,$B6,EF$1)</f>
        <v>428</v>
      </c>
      <c r="EG6" cm="1">
        <f t="array" ref="EG6">_xll.EQNXTDZ($A$1,$B6,EG$1)</f>
        <v>457.96</v>
      </c>
      <c r="EH6" cm="1">
        <f t="array" ref="EH6">_xll.EQNXTDZ($A$1,$B6,EH$1)</f>
        <v>563.75</v>
      </c>
      <c r="EI6" cm="1">
        <f t="array" ref="EI6">_xll.EQNXTDZ($A$1,$B6,EI$1)</f>
        <v>605.99</v>
      </c>
      <c r="EJ6" cm="1">
        <f t="array" ref="EJ6">_xll.EQNXTDZ($A$1,$B6,EJ$1)</f>
        <v>609</v>
      </c>
      <c r="EK6" cm="1">
        <f t="array" ref="EK6">_xll.EQNXTDZ($A$1,$B6,EK$1)</f>
        <v>688</v>
      </c>
      <c r="EL6" cm="1">
        <f t="array" ref="EL6">_xll.EQNXTDZ($A$1,$B6,EL$1)</f>
        <v>694.6</v>
      </c>
      <c r="EM6" cm="1">
        <f t="array" ref="EM6">_xll.EQNXTDZ($A$1,$B6,EM$1)</f>
        <v>729.36</v>
      </c>
      <c r="EN6" cm="1">
        <f t="array" ref="EN6">_xll.EQNXTDZ($A$1,$B6,EN$1)</f>
        <v>731.88</v>
      </c>
      <c r="EO6" cm="1">
        <f t="array" ref="EO6">_xll.EQNXTDZ($A$1,$B6,EO$1)</f>
        <v>776.53</v>
      </c>
      <c r="EP6" cm="1">
        <f t="array" ref="EP6">_xll.EQNXTDZ($A$1,$B6,EP$1)</f>
        <v>902.8</v>
      </c>
      <c r="EQ6" cm="1">
        <f t="array" ref="EQ6">_xll.EQNXTDZ($A$1,$B6,EQ$1)</f>
        <v>965</v>
      </c>
      <c r="ER6" cm="1">
        <f t="array" ref="ER6">_xll.EQNXTDZ($A$1,$B6,ER$1)</f>
        <v>943.6</v>
      </c>
      <c r="ES6" cm="1">
        <f t="array" ref="ES6">_xll.EQNXTDZ($A$1,$B6,ES$1)</f>
        <v>966.5</v>
      </c>
      <c r="ET6" cm="1">
        <f t="array" ref="ET6">_xll.EQNXTDZ($A$1,$B6,ET$1)</f>
        <v>944</v>
      </c>
      <c r="EU6" cm="1">
        <f t="array" ref="EU6">_xll.EQNXTDZ($A$1,$B6,EU$1)</f>
        <v>894.6</v>
      </c>
      <c r="EV6" cm="1">
        <f t="array" ref="EV6">_xll.EQNXTDZ($A$1,$B6,EV$1)</f>
        <v>807.7</v>
      </c>
      <c r="EW6" cm="1">
        <f t="array" ref="EW6">_xll.EQNXTDZ($A$1,$B6,EW$1)</f>
        <v>839.25</v>
      </c>
      <c r="EX6" cm="1">
        <f t="array" ref="EX6">_xll.EQNXTDZ($A$1,$B6,EX$1)</f>
        <v>753</v>
      </c>
      <c r="EY6" cm="1">
        <f t="array" ref="EY6">_xll.EQNXTDZ($A$1,$B6,EY$1)</f>
        <v>692</v>
      </c>
      <c r="EZ6" cm="1">
        <f t="array" ref="EZ6">_xll.EQNXTDZ($A$1,$B6,EZ$1)</f>
        <v>617</v>
      </c>
      <c r="FA6" cm="1">
        <f t="array" ref="FA6">_xll.EQNXTDZ($A$1,$B6,FA$1)</f>
        <v>715</v>
      </c>
      <c r="FB6" cm="1">
        <f t="array" ref="FB6">_xll.EQNXTDZ($A$1,$B6,FB$1)</f>
        <v>721</v>
      </c>
      <c r="FC6" cm="1">
        <f t="array" ref="FC6">_xll.EQNXTDZ($A$1,$B6,FC$1)</f>
        <v>854.6</v>
      </c>
      <c r="FD6" cm="1">
        <f t="array" ref="FD6">_xll.EQNXTDZ($A$1,$B6,FD$1)</f>
        <v>845</v>
      </c>
      <c r="FE6" cm="1">
        <f t="array" ref="FE6">_xll.EQNXTDZ($A$1,$B6,FE$1)</f>
        <v>835</v>
      </c>
      <c r="FF6" cm="1">
        <f t="array" ref="FF6">_xll.EQNXTDZ($A$1,$B6,FF$1)</f>
        <v>825.9</v>
      </c>
      <c r="FG6" cm="1">
        <f t="array" ref="FG6">_xll.EQNXTDZ($A$1,$B6,FG$1)</f>
        <v>821.6</v>
      </c>
      <c r="FH6" cm="1">
        <f t="array" ref="FH6">_xll.EQNXTDZ($A$1,$B6,FH$1)</f>
        <v>792</v>
      </c>
      <c r="FI6" cm="1">
        <f t="array" ref="FI6">_xll.EQNXTDZ($A$1,$B6,FI$1)</f>
        <v>765.2</v>
      </c>
      <c r="FJ6" cm="1">
        <f t="array" ref="FJ6">_xll.EQNXTDZ($A$1,$B6,FJ$1)</f>
        <v>752.1</v>
      </c>
      <c r="FK6" cm="1">
        <f t="array" ref="FK6">_xll.EQNXTDZ($A$1,$B6,FK$1)</f>
        <v>705</v>
      </c>
      <c r="FL6" cm="1">
        <f t="array" ref="FL6">_xll.EQNXTDZ($A$1,$B6,FL$1)</f>
        <v>738</v>
      </c>
      <c r="FM6" cm="1">
        <f t="array" ref="FM6">_xll.EQNXTDZ($A$1,$B6,FM$1)</f>
        <v>797.05</v>
      </c>
      <c r="FN6" cm="1">
        <f t="array" ref="FN6">_xll.EQNXTDZ($A$1,$B6,FN$1)</f>
        <v>971</v>
      </c>
      <c r="FO6" cm="1">
        <f t="array" ref="FO6">_xll.EQNXTDZ($A$1,$B6,FO$1)</f>
        <v>789.5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39.57</v>
      </c>
      <c r="D7" s="115" cm="1">
        <f t="array" ref="D7">_xll.EQNXTDZ($A$1,$B7,D$1)</f>
        <v>45</v>
      </c>
      <c r="E7" s="115" cm="1">
        <f t="array" ref="E7">_xll.EQNXTDZ($A$1,$B7,E$1)</f>
        <v>44.73</v>
      </c>
      <c r="F7" s="115" cm="1">
        <f t="array" ref="F7">_xll.EQNXTDZ($A$1,$B7,F$1)</f>
        <v>43.17</v>
      </c>
      <c r="G7" s="115" cm="1">
        <f t="array" ref="G7">_xll.EQNXTDZ($A$1,$B7,G$1)</f>
        <v>48.29</v>
      </c>
      <c r="H7" s="115" cm="1">
        <f t="array" ref="H7">_xll.EQNXTDZ($A$1,$B7,H$1)</f>
        <v>47.6</v>
      </c>
      <c r="I7" s="115" cm="1">
        <f t="array" ref="I7">_xll.EQNXTDZ($A$1,$B7,I$1)</f>
        <v>47.96</v>
      </c>
      <c r="J7" s="115" cm="1">
        <f t="array" ref="J7">_xll.EQNXTDZ($A$1,$B7,J$1)</f>
        <v>45.79</v>
      </c>
      <c r="K7" s="115" cm="1">
        <f t="array" ref="K7">_xll.EQNXTDZ($A$1,$B7,K$1)</f>
        <v>41.68</v>
      </c>
      <c r="L7" s="115" cm="1">
        <f t="array" ref="L7">_xll.EQNXTDZ($A$1,$B7,L$1)</f>
        <v>41.78</v>
      </c>
      <c r="M7" s="115" cm="1">
        <f t="array" ref="M7">_xll.EQNXTDZ($A$1,$B7,M$1)</f>
        <v>42.8</v>
      </c>
      <c r="N7" s="115" cm="1">
        <f t="array" ref="N7">_xll.EQNXTDZ($A$1,$B7,N$1)</f>
        <v>46.8</v>
      </c>
      <c r="O7" s="115" cm="1">
        <f t="array" ref="O7">_xll.EQNXTDZ($A$1,$B7,O$1)</f>
        <v>42.92</v>
      </c>
      <c r="P7" s="115" cm="1">
        <f t="array" ref="P7">_xll.EQNXTDZ($A$1,$B7,P$1)</f>
        <v>43.89</v>
      </c>
      <c r="Q7" s="115" cm="1">
        <f t="array" ref="Q7">_xll.EQNXTDZ($A$1,$B7,Q$1)</f>
        <v>42.19</v>
      </c>
      <c r="R7" s="115" cm="1">
        <f t="array" ref="R7">_xll.EQNXTDZ($A$1,$B7,R$1)</f>
        <v>46</v>
      </c>
      <c r="S7" s="115" cm="1">
        <f t="array" ref="S7">_xll.EQNXTDZ($A$1,$B7,S$1)</f>
        <v>48.28</v>
      </c>
      <c r="T7" s="115" cm="1">
        <f t="array" ref="T7">_xll.EQNXTDZ($A$1,$B7,T$1)</f>
        <v>54.4</v>
      </c>
      <c r="U7" s="115" cm="1">
        <f t="array" ref="U7">_xll.EQNXTDZ($A$1,$B7,U$1)</f>
        <v>55.37</v>
      </c>
      <c r="V7" s="115" cm="1">
        <f t="array" ref="V7">_xll.EQNXTDZ($A$1,$B7,V$1)</f>
        <v>54.82</v>
      </c>
      <c r="W7" s="115" cm="1">
        <f t="array" ref="W7">_xll.EQNXTDZ($A$1,$B7,W$1)</f>
        <v>50.78</v>
      </c>
      <c r="X7" s="115" cm="1">
        <f t="array" ref="X7">_xll.EQNXTDZ($A$1,$B7,X$1)</f>
        <v>72.73</v>
      </c>
      <c r="Y7" s="115" cm="1">
        <f t="array" ref="Y7">_xll.EQNXTDZ($A$1,$B7,Y$1)</f>
        <v>73.58</v>
      </c>
      <c r="Z7" s="115" cm="1">
        <f t="array" ref="Z7">_xll.EQNXTDZ($A$1,$B7,Z$1)</f>
        <v>108.19</v>
      </c>
      <c r="AA7" s="115" cm="1">
        <f t="array" ref="AA7">_xll.EQNXTDZ($A$1,$B7,AA$1)</f>
        <v>114.96</v>
      </c>
      <c r="AB7" s="115" cm="1">
        <f t="array" ref="AB7">_xll.EQNXTDZ($A$1,$B7,AB$1)</f>
        <v>114.01</v>
      </c>
      <c r="AC7" s="115" cm="1">
        <f t="array" ref="AC7">_xll.EQNXTDZ($A$1,$B7,AC$1)</f>
        <v>110.8</v>
      </c>
      <c r="AD7" s="115" cm="1">
        <f t="array" ref="AD7">_xll.EQNXTDZ($A$1,$B7,AD$1)</f>
        <v>119.6</v>
      </c>
      <c r="AE7" s="115" cm="1">
        <f t="array" ref="AE7">_xll.EQNXTDZ($A$1,$B7,AE$1)</f>
        <v>110.8</v>
      </c>
      <c r="AF7" s="115" cm="1">
        <f t="array" ref="AF7">_xll.EQNXTDZ($A$1,$B7,AF$1)</f>
        <v>127.97</v>
      </c>
      <c r="AG7" s="115" cm="1">
        <f t="array" ref="AG7">_xll.EQNXTDZ($A$1,$B7,AG$1)</f>
        <v>136.4</v>
      </c>
      <c r="AH7" s="115" cm="1">
        <f t="array" ref="AH7">_xll.EQNXTDZ($A$1,$B7,AH$1)</f>
        <v>143</v>
      </c>
      <c r="AI7" s="115" cm="1">
        <f t="array" ref="AI7">_xll.EQNXTDZ($A$1,$B7,AI$1)</f>
        <v>156</v>
      </c>
      <c r="AJ7" s="115" cm="1">
        <f t="array" ref="AJ7">_xll.EQNXTDZ($A$1,$B7,AJ$1)</f>
        <v>151.94999999999999</v>
      </c>
      <c r="AK7" s="115" cm="1">
        <f t="array" ref="AK7">_xll.EQNXTDZ($A$1,$B7,AK$1)</f>
        <v>149.78</v>
      </c>
      <c r="AL7" s="115" cm="1">
        <f t="array" ref="AL7">_xll.EQNXTDZ($A$1,$B7,AL$1)</f>
        <v>133</v>
      </c>
      <c r="AM7" s="115" cm="1">
        <f t="array" ref="AM7">_xll.EQNXTDZ($A$1,$B7,AM$1)</f>
        <v>125.18</v>
      </c>
      <c r="AN7" s="115" cm="1">
        <f t="array" ref="AN7">_xll.EQNXTDZ($A$1,$B7,AN$1)</f>
        <v>127.42</v>
      </c>
      <c r="AO7" s="115" cm="1">
        <f t="array" ref="AO7">_xll.EQNXTDZ($A$1,$B7,AO$1)</f>
        <v>129.71</v>
      </c>
      <c r="AP7" s="115" cm="1">
        <f t="array" ref="AP7">_xll.EQNXTDZ($A$1,$B7,AP$1)</f>
        <v>120.8</v>
      </c>
      <c r="AQ7" s="115" cm="1">
        <f t="array" ref="AQ7">_xll.EQNXTDZ($A$1,$B7,AQ$1)</f>
        <v>121.8</v>
      </c>
      <c r="AR7" s="115" cm="1">
        <f t="array" ref="AR7">_xll.EQNXTDZ($A$1,$B7,AR$1)</f>
        <v>121.8</v>
      </c>
      <c r="AS7" s="115" cm="1">
        <f t="array" ref="AS7">_xll.EQNXTDZ($A$1,$B7,AS$1)</f>
        <v>125.31</v>
      </c>
      <c r="AT7" s="115" cm="1">
        <f t="array" ref="AT7">_xll.EQNXTDZ($A$1,$B7,AT$1)</f>
        <v>128.71</v>
      </c>
      <c r="AU7" s="115" cm="1">
        <f t="array" ref="AU7">_xll.EQNXTDZ($A$1,$B7,AU$1)</f>
        <v>115.39</v>
      </c>
      <c r="AV7" s="115" cm="1">
        <f t="array" ref="AV7">_xll.EQNXTDZ($A$1,$B7,AV$1)</f>
        <v>136</v>
      </c>
      <c r="AW7" s="115" cm="1">
        <f t="array" ref="AW7">_xll.EQNXTDZ($A$1,$B7,AW$1)</f>
        <v>143.6</v>
      </c>
      <c r="AX7" s="115" cm="1">
        <f t="array" ref="AX7">_xll.EQNXTDZ($A$1,$B7,AX$1)</f>
        <v>141</v>
      </c>
      <c r="AY7" s="115" cm="1">
        <f t="array" ref="AY7">_xll.EQNXTDZ($A$1,$B7,AY$1)</f>
        <v>149.80000000000001</v>
      </c>
      <c r="AZ7" s="115" cm="1">
        <f t="array" ref="AZ7">_xll.EQNXTDZ($A$1,$B7,AZ$1)</f>
        <v>154.80000000000001</v>
      </c>
      <c r="BA7" s="115" cm="1">
        <f t="array" ref="BA7">_xll.EQNXTDZ($A$1,$B7,BA$1)</f>
        <v>136.4</v>
      </c>
      <c r="BB7" s="115" cm="1">
        <f t="array" ref="BB7">_xll.EQNXTDZ($A$1,$B7,BB$1)</f>
        <v>133</v>
      </c>
      <c r="BC7" s="115" cm="1">
        <f t="array" ref="BC7">_xll.EQNXTDZ($A$1,$B7,BC$1)</f>
        <v>124.3</v>
      </c>
      <c r="BD7" s="115" cm="1">
        <f t="array" ref="BD7">_xll.EQNXTDZ($A$1,$B7,BD$1)</f>
        <v>122.8</v>
      </c>
      <c r="BE7" s="115" cm="1">
        <f t="array" ref="BE7">_xll.EQNXTDZ($A$1,$B7,BE$1)</f>
        <v>127.9</v>
      </c>
      <c r="BF7" s="115" cm="1">
        <f t="array" ref="BF7">_xll.EQNXTDZ($A$1,$B7,BF$1)</f>
        <v>132.49</v>
      </c>
      <c r="BG7" s="115" cm="1">
        <f t="array" ref="BG7">_xll.EQNXTDZ($A$1,$B7,BG$1)</f>
        <v>127.8</v>
      </c>
      <c r="BH7" s="115" cm="1">
        <f t="array" ref="BH7">_xll.EQNXTDZ($A$1,$B7,BH$1)</f>
        <v>147.80000000000001</v>
      </c>
      <c r="BI7" s="115" cm="1">
        <f t="array" ref="BI7">_xll.EQNXTDZ($A$1,$B7,BI$1)</f>
        <v>148.93</v>
      </c>
      <c r="BJ7" s="115" cm="1">
        <f t="array" ref="BJ7">_xll.EQNXTDZ($A$1,$B7,BJ$1)</f>
        <v>142.28</v>
      </c>
      <c r="BK7" s="115" cm="1">
        <f t="array" ref="BK7">_xll.EQNXTDZ($A$1,$B7,BK$1)</f>
        <v>160.99</v>
      </c>
      <c r="BL7" s="115" cm="1">
        <f t="array" ref="BL7">_xll.EQNXTDZ($A$1,$B7,BL$1)</f>
        <v>167.77</v>
      </c>
      <c r="BM7" s="115" cm="1">
        <f t="array" ref="BM7">_xll.EQNXTDZ($A$1,$B7,BM$1)</f>
        <v>155.4</v>
      </c>
      <c r="BN7" s="115" cm="1">
        <f t="array" ref="BN7">_xll.EQNXTDZ($A$1,$B7,BN$1)</f>
        <v>158.38</v>
      </c>
      <c r="BO7" s="115" cm="1">
        <f t="array" ref="BO7">_xll.EQNXTDZ($A$1,$B7,BO$1)</f>
        <v>177.6</v>
      </c>
      <c r="BP7" s="115" cm="1">
        <f t="array" ref="BP7">_xll.EQNXTDZ($A$1,$B7,BP$1)</f>
        <v>182.5</v>
      </c>
      <c r="BQ7" s="115" cm="1">
        <f t="array" ref="BQ7">_xll.EQNXTDZ($A$1,$B7,BQ$1)</f>
        <v>185.7</v>
      </c>
      <c r="BR7" s="115" cm="1">
        <f t="array" ref="BR7">_xll.EQNXTDZ($A$1,$B7,BR$1)</f>
        <v>187.6</v>
      </c>
      <c r="BS7" s="115" cm="1">
        <f t="array" ref="BS7">_xll.EQNXTDZ($A$1,$B7,BS$1)</f>
        <v>181.2</v>
      </c>
      <c r="BT7" s="115" cm="1">
        <f t="array" ref="BT7">_xll.EQNXTDZ($A$1,$B7,BT$1)</f>
        <v>165.94</v>
      </c>
      <c r="BU7" s="115" cm="1">
        <f t="array" ref="BU7">_xll.EQNXTDZ($A$1,$B7,BU$1)</f>
        <v>178.82</v>
      </c>
      <c r="BV7" s="115" cm="1">
        <f t="array" ref="BV7">_xll.EQNXTDZ($A$1,$B7,BV$1)</f>
        <v>175.19</v>
      </c>
      <c r="BW7" s="115" cm="1">
        <f t="array" ref="BW7">_xll.EQNXTDZ($A$1,$B7,BW$1)</f>
        <v>181.83</v>
      </c>
      <c r="BX7" s="115" cm="1">
        <f t="array" ref="BX7">_xll.EQNXTDZ($A$1,$B7,BX$1)</f>
        <v>175</v>
      </c>
      <c r="BY7" s="115" cm="1">
        <f t="array" ref="BY7">_xll.EQNXTDZ($A$1,$B7,BY$1)</f>
        <v>162.25</v>
      </c>
      <c r="BZ7" s="115" cm="1">
        <f t="array" ref="BZ7">_xll.EQNXTDZ($A$1,$B7,BZ$1)</f>
        <v>156.6</v>
      </c>
      <c r="CA7" s="115" cm="1">
        <f t="array" ref="CA7">_xll.EQNXTDZ($A$1,$B7,CA$1)</f>
        <v>164</v>
      </c>
      <c r="CB7" s="115" cm="1">
        <f t="array" ref="CB7">_xll.EQNXTDZ($A$1,$B7,CB$1)</f>
        <v>165</v>
      </c>
      <c r="CC7" s="115" cm="1">
        <f t="array" ref="CC7">_xll.EQNXTDZ($A$1,$B7,CC$1)</f>
        <v>159</v>
      </c>
      <c r="CD7" s="115" cm="1">
        <f t="array" ref="CD7">_xll.EQNXTDZ($A$1,$B7,CD$1)</f>
        <v>157.96</v>
      </c>
      <c r="CE7" s="115" cm="1">
        <f t="array" ref="CE7">_xll.EQNXTDZ($A$1,$B7,CE$1)</f>
        <v>141.72999999999999</v>
      </c>
      <c r="CF7" s="115" cm="1">
        <f t="array" ref="CF7">_xll.EQNXTDZ($A$1,$B7,CF$1)</f>
        <v>145.80000000000001</v>
      </c>
      <c r="CG7" s="115" cm="1">
        <f t="array" ref="CG7">_xll.EQNXTDZ($A$1,$B7,CG$1)</f>
        <v>142.4</v>
      </c>
      <c r="CH7" s="115" cm="1">
        <f t="array" ref="CH7">_xll.EQNXTDZ($A$1,$B7,CH$1)</f>
        <v>143.51</v>
      </c>
      <c r="CI7" s="115" cm="1">
        <f t="array" ref="CI7">_xll.EQNXTDZ($A$1,$B7,CI$1)</f>
        <v>147.80000000000001</v>
      </c>
      <c r="CJ7" s="115" cm="1">
        <f t="array" ref="CJ7">_xll.EQNXTDZ($A$1,$B7,CJ$1)</f>
        <v>147.79</v>
      </c>
      <c r="CK7" s="115" cm="1">
        <f t="array" ref="CK7">_xll.EQNXTDZ($A$1,$B7,CK$1)</f>
        <v>124</v>
      </c>
      <c r="CL7" s="115" cm="1">
        <f t="array" ref="CL7">_xll.EQNXTDZ($A$1,$B7,CL$1)</f>
        <v>142.88</v>
      </c>
      <c r="CM7" s="115" cm="1">
        <f t="array" ref="CM7">_xll.EQNXTDZ($A$1,$B7,CM$1)</f>
        <v>139.97999999999999</v>
      </c>
      <c r="CN7" s="115" cm="1">
        <f t="array" ref="CN7">_xll.EQNXTDZ($A$1,$B7,CN$1)</f>
        <v>147.6</v>
      </c>
      <c r="CO7" s="115" cm="1">
        <f t="array" ref="CO7">_xll.EQNXTDZ($A$1,$B7,CO$1)</f>
        <v>137.77000000000001</v>
      </c>
      <c r="CP7" s="115" cm="1">
        <f t="array" ref="CP7">_xll.EQNXTDZ($A$1,$B7,CP$1)</f>
        <v>152</v>
      </c>
      <c r="CQ7" s="115" cm="1">
        <f t="array" ref="CQ7">_xll.EQNXTDZ($A$1,$B7,CQ$1)</f>
        <v>152.80000000000001</v>
      </c>
      <c r="CR7" s="115" cm="1">
        <f t="array" ref="CR7">_xll.EQNXTDZ($A$1,$B7,CR$1)</f>
        <v>140</v>
      </c>
      <c r="CS7" s="115" cm="1">
        <f t="array" ref="CS7">_xll.EQNXTDZ($A$1,$B7,CS$1)</f>
        <v>111.6</v>
      </c>
      <c r="CT7" s="115" cm="1">
        <f t="array" ref="CT7">_xll.EQNXTDZ($A$1,$B7,CT$1)</f>
        <v>99.74</v>
      </c>
      <c r="CU7" s="115" cm="1">
        <f t="array" ref="CU7">_xll.EQNXTDZ($A$1,$B7,CU$1)</f>
        <v>107.6</v>
      </c>
      <c r="CV7" s="115" cm="1">
        <f t="array" ref="CV7">_xll.EQNXTDZ($A$1,$B7,CV$1)</f>
        <v>118.1</v>
      </c>
      <c r="CW7" s="115" cm="1">
        <f t="array" ref="CW7">_xll.EQNXTDZ($A$1,$B7,CW$1)</f>
        <v>112.96</v>
      </c>
      <c r="CX7" s="115" cm="1">
        <f t="array" ref="CX7">_xll.EQNXTDZ($A$1,$B7,CX$1)</f>
        <v>111.4</v>
      </c>
      <c r="CY7" s="115" cm="1">
        <f t="array" ref="CY7">_xll.EQNXTDZ($A$1,$B7,CY$1)</f>
        <v>98.98</v>
      </c>
      <c r="CZ7" s="115" cm="1">
        <f t="array" ref="CZ7">_xll.EQNXTDZ($A$1,$B7,CZ$1)</f>
        <v>115.65</v>
      </c>
      <c r="DA7" s="115" cm="1">
        <f t="array" ref="DA7">_xll.EQNXTDZ($A$1,$B7,DA$1)</f>
        <v>131</v>
      </c>
      <c r="DB7" s="115" cm="1">
        <f t="array" ref="DB7">_xll.EQNXTDZ($A$1,$B7,DB$1)</f>
        <v>141.6</v>
      </c>
      <c r="DC7" s="115" cm="1">
        <f t="array" ref="DC7">_xll.EQNXTDZ($A$1,$B7,DC$1)</f>
        <v>157.44999999999999</v>
      </c>
      <c r="DD7" s="115" cm="1">
        <f t="array" ref="DD7">_xll.EQNXTDZ($A$1,$B7,DD$1)</f>
        <v>181.58</v>
      </c>
      <c r="DE7" s="115" cm="1">
        <f t="array" ref="DE7">_xll.EQNXTDZ($A$1,$B7,DE$1)</f>
        <v>190.8</v>
      </c>
      <c r="DF7" s="115" cm="1">
        <f t="array" ref="DF7">_xll.EQNXTDZ($A$1,$B7,DF$1)</f>
        <v>207</v>
      </c>
      <c r="DG7" s="115" cm="1">
        <f t="array" ref="DG7">_xll.EQNXTDZ($A$1,$B7,DG$1)</f>
        <v>221</v>
      </c>
      <c r="DH7" s="115" cm="1">
        <f t="array" ref="DH7">_xll.EQNXTDZ($A$1,$B7,DH$1)</f>
        <v>254.04</v>
      </c>
      <c r="DI7" s="115" cm="1">
        <f t="array" ref="DI7">_xll.EQNXTDZ($A$1,$B7,DI$1)</f>
        <v>250.17</v>
      </c>
      <c r="DJ7" s="115" cm="1">
        <f t="array" ref="DJ7">_xll.EQNXTDZ($A$1,$B7,DJ$1)</f>
        <v>275</v>
      </c>
      <c r="DK7" s="115" cm="1">
        <f t="array" ref="DK7">_xll.EQNXTDZ($A$1,$B7,DK$1)</f>
        <v>269.60000000000002</v>
      </c>
      <c r="DL7" s="115" cm="1">
        <f t="array" ref="DL7">_xll.EQNXTDZ($A$1,$B7,DL$1)</f>
        <v>282.2</v>
      </c>
      <c r="DM7" s="115" cm="1">
        <f t="array" ref="DM7">_xll.EQNXTDZ($A$1,$B7,DM$1)</f>
        <v>264.79000000000002</v>
      </c>
      <c r="DN7" s="115" cm="1">
        <f t="array" ref="DN7">_xll.EQNXTDZ($A$1,$B7,DN$1)</f>
        <v>262.22000000000003</v>
      </c>
      <c r="DO7" s="115" cm="1">
        <f t="array" ref="DO7">_xll.EQNXTDZ($A$1,$B7,DO$1)</f>
        <v>248.6</v>
      </c>
      <c r="DP7" s="115" cm="1">
        <f t="array" ref="DP7">_xll.EQNXTDZ($A$1,$B7,DP$1)</f>
        <v>266.14999999999998</v>
      </c>
      <c r="DQ7" s="115" cm="1">
        <f t="array" ref="DQ7">_xll.EQNXTDZ($A$1,$B7,DQ$1)</f>
        <v>282.98</v>
      </c>
      <c r="DR7" s="115" cm="1">
        <f t="array" ref="DR7">_xll.EQNXTDZ($A$1,$B7,DR$1)</f>
        <v>304.63</v>
      </c>
      <c r="DS7" s="115" cm="1">
        <f t="array" ref="DS7">_xll.EQNXTDZ($A$1,$B7,DS$1)</f>
        <v>303.76</v>
      </c>
      <c r="DT7" s="115" cm="1">
        <f t="array" ref="DT7">_xll.EQNXTDZ($A$1,$B7,DT$1)</f>
        <v>324.77999999999997</v>
      </c>
      <c r="DU7" s="115" cm="1">
        <f t="array" ref="DU7">_xll.EQNXTDZ($A$1,$B7,DU$1)</f>
        <v>389.8</v>
      </c>
      <c r="DV7" s="115" cm="1">
        <f t="array" ref="DV7">_xll.EQNXTDZ($A$1,$B7,DV$1)</f>
        <v>421.79</v>
      </c>
      <c r="DW7" s="115" cm="1">
        <f t="array" ref="DW7">_xll.EQNXTDZ($A$1,$B7,DW$1)</f>
        <v>434.8</v>
      </c>
      <c r="DX7" s="115" cm="1">
        <f t="array" ref="DX7">_xll.EQNXTDZ($A$1,$B7,DX$1)</f>
        <v>419.97</v>
      </c>
      <c r="DY7" s="115" cm="1">
        <f t="array" ref="DY7">_xll.EQNXTDZ($A$1,$B7,DY$1)</f>
        <v>410.37</v>
      </c>
      <c r="DZ7" s="115" cm="1">
        <f t="array" ref="DZ7">_xll.EQNXTDZ($A$1,$B7,DZ$1)</f>
        <v>392.08</v>
      </c>
      <c r="EA7" s="115" cm="1">
        <f t="array" ref="EA7">_xll.EQNXTDZ($A$1,$B7,EA$1)</f>
        <v>404</v>
      </c>
      <c r="EB7" s="115" cm="1">
        <f t="array" ref="EB7">_xll.EQNXTDZ($A$1,$B7,EB$1)</f>
        <v>427.98</v>
      </c>
      <c r="EC7" s="115" cm="1">
        <f t="array" ref="EC7">_xll.EQNXTDZ($A$1,$B7,EC$1)</f>
        <v>459.97</v>
      </c>
      <c r="ED7" s="115" cm="1">
        <f t="array" ref="ED7">_xll.EQNXTDZ($A$1,$B7,ED$1)</f>
        <v>471.4</v>
      </c>
      <c r="EE7" s="115" cm="1">
        <f t="array" ref="EE7">_xll.EQNXTDZ($A$1,$B7,EE$1)</f>
        <v>453</v>
      </c>
      <c r="EF7" s="115" cm="1">
        <f t="array" ref="EF7">_xll.EQNXTDZ($A$1,$B7,EF$1)</f>
        <v>457.4</v>
      </c>
      <c r="EG7" s="115" cm="1">
        <f t="array" ref="EG7">_xll.EQNXTDZ($A$1,$B7,EG$1)</f>
        <v>578.4</v>
      </c>
      <c r="EH7" s="115" cm="1">
        <f t="array" ref="EH7">_xll.EQNXTDZ($A$1,$B7,EH$1)</f>
        <v>645.54</v>
      </c>
      <c r="EI7" s="115" cm="1">
        <f t="array" ref="EI7">_xll.EQNXTDZ($A$1,$B7,EI$1)</f>
        <v>669.59</v>
      </c>
      <c r="EJ7" s="115" cm="1">
        <f t="array" ref="EJ7">_xll.EQNXTDZ($A$1,$B7,EJ$1)</f>
        <v>699.28</v>
      </c>
      <c r="EK7" s="115" cm="1">
        <f t="array" ref="EK7">_xll.EQNXTDZ($A$1,$B7,EK$1)</f>
        <v>710</v>
      </c>
      <c r="EL7" s="115" cm="1">
        <f t="array" ref="EL7">_xll.EQNXTDZ($A$1,$B7,EL$1)</f>
        <v>739.05</v>
      </c>
      <c r="EM7" s="115" cm="1">
        <f t="array" ref="EM7">_xll.EQNXTDZ($A$1,$B7,EM$1)</f>
        <v>843.13</v>
      </c>
      <c r="EN7" s="115" cm="1">
        <f t="array" ref="EN7">_xll.EQNXTDZ($A$1,$B7,EN$1)</f>
        <v>777.99</v>
      </c>
      <c r="EO7" s="115" cm="1">
        <f t="array" ref="EO7">_xll.EQNXTDZ($A$1,$B7,EO$1)</f>
        <v>1038</v>
      </c>
      <c r="EP7" s="115" cm="1">
        <f t="array" ref="EP7">_xll.EQNXTDZ($A$1,$B7,EP$1)</f>
        <v>977.99</v>
      </c>
      <c r="EQ7" s="115" cm="1">
        <f t="array" ref="EQ7">_xll.EQNXTDZ($A$1,$B7,EQ$1)</f>
        <v>1018</v>
      </c>
      <c r="ER7" s="115" cm="1">
        <f t="array" ref="ER7">_xll.EQNXTDZ($A$1,$B7,ER$1)</f>
        <v>1060</v>
      </c>
      <c r="ES7" s="115" cm="1">
        <f t="array" ref="ES7">_xll.EQNXTDZ($A$1,$B7,ES$1)</f>
        <v>980</v>
      </c>
      <c r="ET7" s="115" cm="1">
        <f t="array" ref="ET7">_xll.EQNXTDZ($A$1,$B7,ET$1)</f>
        <v>947.8</v>
      </c>
      <c r="EU7" s="115" cm="1">
        <f t="array" ref="EU7">_xll.EQNXTDZ($A$1,$B7,EU$1)</f>
        <v>958</v>
      </c>
      <c r="EV7" s="115" cm="1">
        <f t="array" ref="EV7">_xll.EQNXTDZ($A$1,$B7,EV$1)</f>
        <v>858</v>
      </c>
      <c r="EW7" s="115" cm="1">
        <f t="array" ref="EW7">_xll.EQNXTDZ($A$1,$B7,EW$1)</f>
        <v>852</v>
      </c>
      <c r="EX7" s="115" cm="1">
        <f t="array" ref="EX7">_xll.EQNXTDZ($A$1,$B7,EX$1)</f>
        <v>779.15</v>
      </c>
      <c r="EY7" s="115" cm="1">
        <f t="array" ref="EY7">_xll.EQNXTDZ($A$1,$B7,EY$1)</f>
        <v>748.3</v>
      </c>
      <c r="EZ7" s="115" cm="1">
        <f t="array" ref="EZ7">_xll.EQNXTDZ($A$1,$B7,EZ$1)</f>
        <v>796.95</v>
      </c>
      <c r="FA7" s="115" cm="1">
        <f t="array" ref="FA7">_xll.EQNXTDZ($A$1,$B7,FA$1)</f>
        <v>773.7</v>
      </c>
      <c r="FB7" s="115" cm="1">
        <f t="array" ref="FB7">_xll.EQNXTDZ($A$1,$B7,FB$1)</f>
        <v>856.9</v>
      </c>
      <c r="FC7" s="115" cm="1">
        <f t="array" ref="FC7">_xll.EQNXTDZ($A$1,$B7,FC$1)</f>
        <v>908</v>
      </c>
      <c r="FD7" s="115" cm="1">
        <f t="array" ref="FD7">_xll.EQNXTDZ($A$1,$B7,FD$1)</f>
        <v>900</v>
      </c>
      <c r="FE7" s="115" cm="1">
        <f t="array" ref="FE7">_xll.EQNXTDZ($A$1,$B7,FE$1)</f>
        <v>912</v>
      </c>
      <c r="FF7" s="115" cm="1">
        <f t="array" ref="FF7">_xll.EQNXTDZ($A$1,$B7,FF$1)</f>
        <v>875</v>
      </c>
      <c r="FG7" s="115" cm="1">
        <f t="array" ref="FG7">_xll.EQNXTDZ($A$1,$B7,FG$1)</f>
        <v>828.45</v>
      </c>
      <c r="FH7" s="115" cm="1">
        <f t="array" ref="FH7">_xll.EQNXTDZ($A$1,$B7,FH$1)</f>
        <v>796.6</v>
      </c>
      <c r="FI7" s="115" cm="1">
        <f t="array" ref="FI7">_xll.EQNXTDZ($A$1,$B7,FI$1)</f>
        <v>810.85</v>
      </c>
      <c r="FJ7" s="115" cm="1">
        <f t="array" ref="FJ7">_xll.EQNXTDZ($A$1,$B7,FJ$1)</f>
        <v>774.4</v>
      </c>
      <c r="FK7" s="115" cm="1">
        <f t="array" ref="FK7">_xll.EQNXTDZ($A$1,$B7,FK$1)</f>
        <v>807</v>
      </c>
      <c r="FL7" s="115" cm="1">
        <f t="array" ref="FL7">_xll.EQNXTDZ($A$1,$B7,FL$1)</f>
        <v>837.05</v>
      </c>
      <c r="FM7" s="115" cm="1">
        <f t="array" ref="FM7">_xll.EQNXTDZ($A$1,$B7,FM$1)</f>
        <v>1028.3</v>
      </c>
      <c r="FN7" s="115" cm="1">
        <f t="array" ref="FN7">_xll.EQNXTDZ($A$1,$B7,FN$1)</f>
        <v>973.1</v>
      </c>
      <c r="FO7" s="115" cm="1">
        <f t="array" ref="FO7">_xll.EQNXTDZ($A$1,$B7,FO$1)</f>
        <v>870.4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45</v>
      </c>
      <c r="HQ7" s="115">
        <f>+MAX(G7:I7)</f>
        <v>48.29</v>
      </c>
      <c r="HR7" s="115">
        <f>+MAX(J7:L7)</f>
        <v>45.79</v>
      </c>
      <c r="HS7" s="115">
        <f>+MAX(M7:O7)</f>
        <v>46.8</v>
      </c>
      <c r="HT7" s="115">
        <f>+MAX(P7:R7)</f>
        <v>46</v>
      </c>
      <c r="HU7" s="115">
        <f>+MAX(S7:U7)</f>
        <v>55.37</v>
      </c>
      <c r="HV7" s="115">
        <f>+MAX(V7:X7)</f>
        <v>72.73</v>
      </c>
      <c r="HW7" s="115">
        <f>+MAX(Y7:AA7)</f>
        <v>114.96</v>
      </c>
      <c r="HX7" s="115">
        <f>+MAX(AB7:AD7)</f>
        <v>119.6</v>
      </c>
      <c r="HY7" s="115">
        <f>+MAX(AE7:AG7)</f>
        <v>136.4</v>
      </c>
      <c r="HZ7" s="115">
        <f>+MAX(AH7:AJ7)</f>
        <v>156</v>
      </c>
      <c r="IA7" s="115">
        <f>+MAX(AK7:AM7)</f>
        <v>149.78</v>
      </c>
      <c r="IB7" s="115">
        <f>+MAX(AN7:AP7)</f>
        <v>129.71</v>
      </c>
      <c r="IC7" s="115">
        <f>+MAX(AQ7:AS7)</f>
        <v>125.31</v>
      </c>
      <c r="ID7" s="115">
        <f>+MAX(AT7:AV7)</f>
        <v>136</v>
      </c>
      <c r="IE7" s="115">
        <f>+MAX(AW7:AY7)</f>
        <v>149.80000000000001</v>
      </c>
      <c r="IF7" s="115">
        <f>+MAX(AZ7:BB7)</f>
        <v>154.80000000000001</v>
      </c>
      <c r="IG7" s="115">
        <f>+MAX(BC7:BE7)</f>
        <v>127.9</v>
      </c>
      <c r="IH7" s="115">
        <f>+MAX(BF7:BH7)</f>
        <v>147.80000000000001</v>
      </c>
      <c r="II7" s="115">
        <f>+MAX(BI7:BK7)</f>
        <v>160.99</v>
      </c>
      <c r="IJ7" s="115">
        <f>+MAX(BL7:BN7)</f>
        <v>167.77</v>
      </c>
      <c r="IK7" s="115">
        <f>+MAX(BO7:BQ7)</f>
        <v>185.7</v>
      </c>
      <c r="IL7" s="115">
        <f>+MAX(BR7:BT7)</f>
        <v>187.6</v>
      </c>
      <c r="IM7" s="115">
        <f>+MAX(BU7:BW7)</f>
        <v>181.83</v>
      </c>
      <c r="IN7" s="115">
        <f>+MAX(BX7:BZ7)</f>
        <v>175</v>
      </c>
      <c r="IO7" s="115">
        <f>+MAX(CA7:CC7)</f>
        <v>165</v>
      </c>
      <c r="IP7" s="115">
        <f>+MAX(CD7:CF7)</f>
        <v>157.96</v>
      </c>
      <c r="IQ7" s="115">
        <f>+MAX(CG7:CI7)</f>
        <v>147.80000000000001</v>
      </c>
      <c r="IR7" s="115">
        <f>+MAX(CJ7:CL7)</f>
        <v>147.79</v>
      </c>
      <c r="IS7" s="115">
        <f>+MAX(CM7:CO7)</f>
        <v>147.6</v>
      </c>
      <c r="IT7" s="115">
        <f>+MAX(CP7:CR7)</f>
        <v>152.80000000000001</v>
      </c>
      <c r="IU7" s="115">
        <f>+MAX(CS7:CU7)</f>
        <v>111.6</v>
      </c>
      <c r="IV7" s="115">
        <f>+MAX(CV7:CX7)</f>
        <v>118.1</v>
      </c>
      <c r="IW7" s="115">
        <f>+MAX(CY7:DA7)</f>
        <v>131</v>
      </c>
      <c r="IX7" s="115">
        <f>+MAX(DB7:DD7)</f>
        <v>181.58</v>
      </c>
      <c r="IY7" s="115">
        <f>+MAX(DE7:DG7)</f>
        <v>221</v>
      </c>
      <c r="IZ7" s="115">
        <f>+MAX(DH7:DJ7)</f>
        <v>275</v>
      </c>
      <c r="JA7" s="115">
        <f>+MAX(DK7:DM7)</f>
        <v>282.2</v>
      </c>
      <c r="JB7" s="115">
        <f>+MAX(DN7:DP7)</f>
        <v>266.14999999999998</v>
      </c>
      <c r="JC7" s="115">
        <f>+MAX(DQ7:DS7)</f>
        <v>304.63</v>
      </c>
      <c r="JD7" s="115">
        <f>+MAX(DT7:DV7)</f>
        <v>421.79</v>
      </c>
      <c r="JE7" s="115">
        <f>+MAX(DW7:DY7)</f>
        <v>434.8</v>
      </c>
      <c r="JF7" s="115">
        <f>+MAX(DZ7:EB7)</f>
        <v>427.98</v>
      </c>
      <c r="JG7" s="115">
        <f>+MAX(EC7:EE7)</f>
        <v>471.4</v>
      </c>
      <c r="JH7" s="115">
        <f>+MAX(EF7:EH7)</f>
        <v>645.54</v>
      </c>
      <c r="JI7" s="115">
        <f>+MAX(EI7:EK7)</f>
        <v>710</v>
      </c>
      <c r="JJ7" s="115">
        <f>+MAX(EL7:EN7)</f>
        <v>843.13</v>
      </c>
      <c r="JK7" s="115">
        <f>MAX(EO7:EQ7)</f>
        <v>1038</v>
      </c>
      <c r="JL7" s="115">
        <f>MAX(ER7:ET7)</f>
        <v>1060</v>
      </c>
      <c r="JM7" s="115">
        <f>MAX(EU7:EW7)</f>
        <v>958</v>
      </c>
      <c r="JN7" s="115">
        <f>MAX(EX7:EZ7)</f>
        <v>796.95</v>
      </c>
      <c r="JO7" s="115">
        <f>MAX(FA7:FC7)</f>
        <v>908</v>
      </c>
      <c r="JP7" s="115">
        <f>MAX(FD7:FF7)</f>
        <v>912</v>
      </c>
      <c r="JQ7" s="115">
        <f>MAX(FG7:FI7)</f>
        <v>828.45</v>
      </c>
      <c r="JR7" s="115">
        <f>MAX(FJ7:FL7)</f>
        <v>837.05</v>
      </c>
      <c r="JS7" s="115">
        <f>MAX(FM7:FO7)</f>
        <v>1028.3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35.26</v>
      </c>
      <c r="D8" s="115" cm="1">
        <f t="array" ref="D8">_xll.EQNXTDZ($A$1,$B8,D$1)</f>
        <v>35.96</v>
      </c>
      <c r="E8" s="115" cm="1">
        <f t="array" ref="E8">_xll.EQNXTDZ($A$1,$B8,E$1)</f>
        <v>39.799999999999997</v>
      </c>
      <c r="F8" s="115" cm="1">
        <f t="array" ref="F8">_xll.EQNXTDZ($A$1,$B8,F$1)</f>
        <v>40.5</v>
      </c>
      <c r="G8" s="115" cm="1">
        <f t="array" ref="G8">_xll.EQNXTDZ($A$1,$B8,G$1)</f>
        <v>41.03</v>
      </c>
      <c r="H8" s="115" cm="1">
        <f t="array" ref="H8">_xll.EQNXTDZ($A$1,$B8,H$1)</f>
        <v>44.02</v>
      </c>
      <c r="I8" s="115" cm="1">
        <f t="array" ref="I8">_xll.EQNXTDZ($A$1,$B8,I$1)</f>
        <v>43.61</v>
      </c>
      <c r="J8" s="115" cm="1">
        <f t="array" ref="J8">_xll.EQNXTDZ($A$1,$B8,J$1)</f>
        <v>37.04</v>
      </c>
      <c r="K8" s="115" cm="1">
        <f t="array" ref="K8">_xll.EQNXTDZ($A$1,$B8,K$1)</f>
        <v>35.42</v>
      </c>
      <c r="L8" s="115" cm="1">
        <f t="array" ref="L8">_xll.EQNXTDZ($A$1,$B8,L$1)</f>
        <v>37.049999999999997</v>
      </c>
      <c r="M8" s="115" cm="1">
        <f t="array" ref="M8">_xll.EQNXTDZ($A$1,$B8,M$1)</f>
        <v>40</v>
      </c>
      <c r="N8" s="115" cm="1">
        <f t="array" ref="N8">_xll.EQNXTDZ($A$1,$B8,N$1)</f>
        <v>40.21</v>
      </c>
      <c r="O8" s="115" cm="1">
        <f t="array" ref="O8">_xll.EQNXTDZ($A$1,$B8,O$1)</f>
        <v>38.6</v>
      </c>
      <c r="P8" s="115" cm="1">
        <f t="array" ref="P8">_xll.EQNXTDZ($A$1,$B8,P$1)</f>
        <v>40.119999999999997</v>
      </c>
      <c r="Q8" s="115" cm="1">
        <f t="array" ref="Q8">_xll.EQNXTDZ($A$1,$B8,Q$1)</f>
        <v>38.4</v>
      </c>
      <c r="R8" s="115" cm="1">
        <f t="array" ref="R8">_xll.EQNXTDZ($A$1,$B8,R$1)</f>
        <v>38</v>
      </c>
      <c r="S8" s="115" cm="1">
        <f t="array" ref="S8">_xll.EQNXTDZ($A$1,$B8,S$1)</f>
        <v>41.22</v>
      </c>
      <c r="T8" s="115" cm="1">
        <f t="array" ref="T8">_xll.EQNXTDZ($A$1,$B8,T$1)</f>
        <v>44.81</v>
      </c>
      <c r="U8" s="115" cm="1">
        <f t="array" ref="U8">_xll.EQNXTDZ($A$1,$B8,U$1)</f>
        <v>50.61</v>
      </c>
      <c r="V8" s="115" cm="1">
        <f t="array" ref="V8">_xll.EQNXTDZ($A$1,$B8,V$1)</f>
        <v>47.2</v>
      </c>
      <c r="W8" s="115" cm="1">
        <f t="array" ref="W8">_xll.EQNXTDZ($A$1,$B8,W$1)</f>
        <v>46.84</v>
      </c>
      <c r="X8" s="115" cm="1">
        <f t="array" ref="X8">_xll.EQNXTDZ($A$1,$B8,X$1)</f>
        <v>49.03</v>
      </c>
      <c r="Y8" s="115" cm="1">
        <f t="array" ref="Y8">_xll.EQNXTDZ($A$1,$B8,Y$1)</f>
        <v>64.41</v>
      </c>
      <c r="Z8" s="115" cm="1">
        <f t="array" ref="Z8">_xll.EQNXTDZ($A$1,$B8,Z$1)</f>
        <v>63.31</v>
      </c>
      <c r="AA8" s="115" cm="1">
        <f t="array" ref="AA8">_xll.EQNXTDZ($A$1,$B8,AA$1)</f>
        <v>98</v>
      </c>
      <c r="AB8" s="115" cm="1">
        <f t="array" ref="AB8">_xll.EQNXTDZ($A$1,$B8,AB$1)</f>
        <v>101.59</v>
      </c>
      <c r="AC8" s="115" cm="1">
        <f t="array" ref="AC8">_xll.EQNXTDZ($A$1,$B8,AC$1)</f>
        <v>100.08</v>
      </c>
      <c r="AD8" s="115" cm="1">
        <f t="array" ref="AD8">_xll.EQNXTDZ($A$1,$B8,AD$1)</f>
        <v>104.6</v>
      </c>
      <c r="AE8" s="115" cm="1">
        <f t="array" ref="AE8">_xll.EQNXTDZ($A$1,$B8,AE$1)</f>
        <v>100.07</v>
      </c>
      <c r="AF8" s="115" cm="1">
        <f t="array" ref="AF8">_xll.EQNXTDZ($A$1,$B8,AF$1)</f>
        <v>106.42</v>
      </c>
      <c r="AG8" s="115" cm="1">
        <f t="array" ref="AG8">_xll.EQNXTDZ($A$1,$B8,AG$1)</f>
        <v>104</v>
      </c>
      <c r="AH8" s="115" cm="1">
        <f t="array" ref="AH8">_xll.EQNXTDZ($A$1,$B8,AH$1)</f>
        <v>118.05</v>
      </c>
      <c r="AI8" s="115" cm="1">
        <f t="array" ref="AI8">_xll.EQNXTDZ($A$1,$B8,AI$1)</f>
        <v>135</v>
      </c>
      <c r="AJ8" s="115" cm="1">
        <f t="array" ref="AJ8">_xll.EQNXTDZ($A$1,$B8,AJ$1)</f>
        <v>128.01</v>
      </c>
      <c r="AK8" s="115" cm="1">
        <f t="array" ref="AK8">_xll.EQNXTDZ($A$1,$B8,AK$1)</f>
        <v>112</v>
      </c>
      <c r="AL8" s="115" cm="1">
        <f t="array" ref="AL8">_xll.EQNXTDZ($A$1,$B8,AL$1)</f>
        <v>109.1</v>
      </c>
      <c r="AM8" s="115" cm="1">
        <f t="array" ref="AM8">_xll.EQNXTDZ($A$1,$B8,AM$1)</f>
        <v>109.2</v>
      </c>
      <c r="AN8" s="115" cm="1">
        <f t="array" ref="AN8">_xll.EQNXTDZ($A$1,$B8,AN$1)</f>
        <v>114.2</v>
      </c>
      <c r="AO8" s="115" cm="1">
        <f t="array" ref="AO8">_xll.EQNXTDZ($A$1,$B8,AO$1)</f>
        <v>110.03</v>
      </c>
      <c r="AP8" s="115" cm="1">
        <f t="array" ref="AP8">_xll.EQNXTDZ($A$1,$B8,AP$1)</f>
        <v>108</v>
      </c>
      <c r="AQ8" s="115" cm="1">
        <f t="array" ref="AQ8">_xll.EQNXTDZ($A$1,$B8,AQ$1)</f>
        <v>113.75</v>
      </c>
      <c r="AR8" s="115" cm="1">
        <f t="array" ref="AR8">_xll.EQNXTDZ($A$1,$B8,AR$1)</f>
        <v>111.4</v>
      </c>
      <c r="AS8" s="115" cm="1">
        <f t="array" ref="AS8">_xll.EQNXTDZ($A$1,$B8,AS$1)</f>
        <v>110.2</v>
      </c>
      <c r="AT8" s="115" cm="1">
        <f t="array" ref="AT8">_xll.EQNXTDZ($A$1,$B8,AT$1)</f>
        <v>103.24</v>
      </c>
      <c r="AU8" s="115" cm="1">
        <f t="array" ref="AU8">_xll.EQNXTDZ($A$1,$B8,AU$1)</f>
        <v>100.6</v>
      </c>
      <c r="AV8" s="115" cm="1">
        <f t="array" ref="AV8">_xll.EQNXTDZ($A$1,$B8,AV$1)</f>
        <v>103.2</v>
      </c>
      <c r="AW8" s="115" cm="1">
        <f t="array" ref="AW8">_xll.EQNXTDZ($A$1,$B8,AW$1)</f>
        <v>117.4</v>
      </c>
      <c r="AX8" s="115" cm="1">
        <f t="array" ref="AX8">_xll.EQNXTDZ($A$1,$B8,AX$1)</f>
        <v>133.04</v>
      </c>
      <c r="AY8" s="115" cm="1">
        <f t="array" ref="AY8">_xll.EQNXTDZ($A$1,$B8,AY$1)</f>
        <v>130.02000000000001</v>
      </c>
      <c r="AZ8" s="115" cm="1">
        <f t="array" ref="AZ8">_xll.EQNXTDZ($A$1,$B8,AZ$1)</f>
        <v>133.6</v>
      </c>
      <c r="BA8" s="115" cm="1">
        <f t="array" ref="BA8">_xll.EQNXTDZ($A$1,$B8,BA$1)</f>
        <v>119</v>
      </c>
      <c r="BB8" s="115" cm="1">
        <f t="array" ref="BB8">_xll.EQNXTDZ($A$1,$B8,BB$1)</f>
        <v>108.42</v>
      </c>
      <c r="BC8" s="115" cm="1">
        <f t="array" ref="BC8">_xll.EQNXTDZ($A$1,$B8,BC$1)</f>
        <v>108.6</v>
      </c>
      <c r="BD8" s="115" cm="1">
        <f t="array" ref="BD8">_xll.EQNXTDZ($A$1,$B8,BD$1)</f>
        <v>111.6</v>
      </c>
      <c r="BE8" s="115" cm="1">
        <f t="array" ref="BE8">_xll.EQNXTDZ($A$1,$B8,BE$1)</f>
        <v>115</v>
      </c>
      <c r="BF8" s="115" cm="1">
        <f t="array" ref="BF8">_xll.EQNXTDZ($A$1,$B8,BF$1)</f>
        <v>121</v>
      </c>
      <c r="BG8" s="115" cm="1">
        <f t="array" ref="BG8">_xll.EQNXTDZ($A$1,$B8,BG$1)</f>
        <v>119.6</v>
      </c>
      <c r="BH8" s="115" cm="1">
        <f t="array" ref="BH8">_xll.EQNXTDZ($A$1,$B8,BH$1)</f>
        <v>119.6</v>
      </c>
      <c r="BI8" s="115" cm="1">
        <f t="array" ref="BI8">_xll.EQNXTDZ($A$1,$B8,BI$1)</f>
        <v>137.66</v>
      </c>
      <c r="BJ8" s="115" cm="1">
        <f t="array" ref="BJ8">_xll.EQNXTDZ($A$1,$B8,BJ$1)</f>
        <v>131.11000000000001</v>
      </c>
      <c r="BK8" s="115" cm="1">
        <f t="array" ref="BK8">_xll.EQNXTDZ($A$1,$B8,BK$1)</f>
        <v>134.24</v>
      </c>
      <c r="BL8" s="115" cm="1">
        <f t="array" ref="BL8">_xll.EQNXTDZ($A$1,$B8,BL$1)</f>
        <v>147.4</v>
      </c>
      <c r="BM8" s="115" cm="1">
        <f t="array" ref="BM8">_xll.EQNXTDZ($A$1,$B8,BM$1)</f>
        <v>132.04</v>
      </c>
      <c r="BN8" s="115" cm="1">
        <f t="array" ref="BN8">_xll.EQNXTDZ($A$1,$B8,BN$1)</f>
        <v>136.78</v>
      </c>
      <c r="BO8" s="115" cm="1">
        <f t="array" ref="BO8">_xll.EQNXTDZ($A$1,$B8,BO$1)</f>
        <v>144.19999999999999</v>
      </c>
      <c r="BP8" s="115" cm="1">
        <f t="array" ref="BP8">_xll.EQNXTDZ($A$1,$B8,BP$1)</f>
        <v>164.8</v>
      </c>
      <c r="BQ8" s="115" cm="1">
        <f t="array" ref="BQ8">_xll.EQNXTDZ($A$1,$B8,BQ$1)</f>
        <v>167.07</v>
      </c>
      <c r="BR8" s="115" cm="1">
        <f t="array" ref="BR8">_xll.EQNXTDZ($A$1,$B8,BR$1)</f>
        <v>171</v>
      </c>
      <c r="BS8" s="115" cm="1">
        <f t="array" ref="BS8">_xll.EQNXTDZ($A$1,$B8,BS$1)</f>
        <v>154.24</v>
      </c>
      <c r="BT8" s="115" cm="1">
        <f t="array" ref="BT8">_xll.EQNXTDZ($A$1,$B8,BT$1)</f>
        <v>151</v>
      </c>
      <c r="BU8" s="115" cm="1">
        <f t="array" ref="BU8">_xll.EQNXTDZ($A$1,$B8,BU$1)</f>
        <v>155.11000000000001</v>
      </c>
      <c r="BV8" s="115" cm="1">
        <f t="array" ref="BV8">_xll.EQNXTDZ($A$1,$B8,BV$1)</f>
        <v>156.19999999999999</v>
      </c>
      <c r="BW8" s="115" cm="1">
        <f t="array" ref="BW8">_xll.EQNXTDZ($A$1,$B8,BW$1)</f>
        <v>151.22</v>
      </c>
      <c r="BX8" s="115" cm="1">
        <f t="array" ref="BX8">_xll.EQNXTDZ($A$1,$B8,BX$1)</f>
        <v>150.19999999999999</v>
      </c>
      <c r="BY8" s="115" cm="1">
        <f t="array" ref="BY8">_xll.EQNXTDZ($A$1,$B8,BY$1)</f>
        <v>150</v>
      </c>
      <c r="BZ8" s="115" cm="1">
        <f t="array" ref="BZ8">_xll.EQNXTDZ($A$1,$B8,BZ$1)</f>
        <v>135.32</v>
      </c>
      <c r="CA8" s="115" cm="1">
        <f t="array" ref="CA8">_xll.EQNXTDZ($A$1,$B8,CA$1)</f>
        <v>134.80000000000001</v>
      </c>
      <c r="CB8" s="115" cm="1">
        <f t="array" ref="CB8">_xll.EQNXTDZ($A$1,$B8,CB$1)</f>
        <v>150</v>
      </c>
      <c r="CC8" s="115" cm="1">
        <f t="array" ref="CC8">_xll.EQNXTDZ($A$1,$B8,CC$1)</f>
        <v>148.87</v>
      </c>
      <c r="CD8" s="115" cm="1">
        <f t="array" ref="CD8">_xll.EQNXTDZ($A$1,$B8,CD$1)</f>
        <v>132.85</v>
      </c>
      <c r="CE8" s="115" cm="1">
        <f t="array" ref="CE8">_xll.EQNXTDZ($A$1,$B8,CE$1)</f>
        <v>128.36000000000001</v>
      </c>
      <c r="CF8" s="115" cm="1">
        <f t="array" ref="CF8">_xll.EQNXTDZ($A$1,$B8,CF$1)</f>
        <v>127.72</v>
      </c>
      <c r="CG8" s="115" cm="1">
        <f t="array" ref="CG8">_xll.EQNXTDZ($A$1,$B8,CG$1)</f>
        <v>132.6</v>
      </c>
      <c r="CH8" s="115" cm="1">
        <f t="array" ref="CH8">_xll.EQNXTDZ($A$1,$B8,CH$1)</f>
        <v>129.72999999999999</v>
      </c>
      <c r="CI8" s="115" cm="1">
        <f t="array" ref="CI8">_xll.EQNXTDZ($A$1,$B8,CI$1)</f>
        <v>135</v>
      </c>
      <c r="CJ8" s="115" cm="1">
        <f t="array" ref="CJ8">_xll.EQNXTDZ($A$1,$B8,CJ$1)</f>
        <v>120.61</v>
      </c>
      <c r="CK8" s="115" cm="1">
        <f t="array" ref="CK8">_xll.EQNXTDZ($A$1,$B8,CK$1)</f>
        <v>109.8</v>
      </c>
      <c r="CL8" s="115" cm="1">
        <f t="array" ref="CL8">_xll.EQNXTDZ($A$1,$B8,CL$1)</f>
        <v>107.8</v>
      </c>
      <c r="CM8" s="115" cm="1">
        <f t="array" ref="CM8">_xll.EQNXTDZ($A$1,$B8,CM$1)</f>
        <v>125</v>
      </c>
      <c r="CN8" s="115" cm="1">
        <f t="array" ref="CN8">_xll.EQNXTDZ($A$1,$B8,CN$1)</f>
        <v>133</v>
      </c>
      <c r="CO8" s="115" cm="1">
        <f t="array" ref="CO8">_xll.EQNXTDZ($A$1,$B8,CO$1)</f>
        <v>126.22</v>
      </c>
      <c r="CP8" s="115" cm="1">
        <f t="array" ref="CP8">_xll.EQNXTDZ($A$1,$B8,CP$1)</f>
        <v>133.01</v>
      </c>
      <c r="CQ8" s="115" cm="1">
        <f t="array" ref="CQ8">_xll.EQNXTDZ($A$1,$B8,CQ$1)</f>
        <v>125.99</v>
      </c>
      <c r="CR8" s="115" cm="1">
        <f t="array" ref="CR8">_xll.EQNXTDZ($A$1,$B8,CR$1)</f>
        <v>77.2</v>
      </c>
      <c r="CS8" s="115" cm="1">
        <f t="array" ref="CS8">_xll.EQNXTDZ($A$1,$B8,CS$1)</f>
        <v>80.010000000000005</v>
      </c>
      <c r="CT8" s="115" cm="1">
        <f t="array" ref="CT8">_xll.EQNXTDZ($A$1,$B8,CT$1)</f>
        <v>85.38</v>
      </c>
      <c r="CU8" s="115" cm="1">
        <f t="array" ref="CU8">_xll.EQNXTDZ($A$1,$B8,CU$1)</f>
        <v>90.03</v>
      </c>
      <c r="CV8" s="115" cm="1">
        <f t="array" ref="CV8">_xll.EQNXTDZ($A$1,$B8,CV$1)</f>
        <v>92.76</v>
      </c>
      <c r="CW8" s="115" cm="1">
        <f t="array" ref="CW8">_xll.EQNXTDZ($A$1,$B8,CW$1)</f>
        <v>100.21</v>
      </c>
      <c r="CX8" s="115" cm="1">
        <f t="array" ref="CX8">_xll.EQNXTDZ($A$1,$B8,CX$1)</f>
        <v>90.39</v>
      </c>
      <c r="CY8" s="115" cm="1">
        <f t="array" ref="CY8">_xll.EQNXTDZ($A$1,$B8,CY$1)</f>
        <v>85.5</v>
      </c>
      <c r="CZ8" s="115" cm="1">
        <f t="array" ref="CZ8">_xll.EQNXTDZ($A$1,$B8,CZ$1)</f>
        <v>87.4</v>
      </c>
      <c r="DA8" s="115" cm="1">
        <f t="array" ref="DA8">_xll.EQNXTDZ($A$1,$B8,DA$1)</f>
        <v>112.63</v>
      </c>
      <c r="DB8" s="115" cm="1">
        <f t="array" ref="DB8">_xll.EQNXTDZ($A$1,$B8,DB$1)</f>
        <v>124.9</v>
      </c>
      <c r="DC8" s="115" cm="1">
        <f t="array" ref="DC8">_xll.EQNXTDZ($A$1,$B8,DC$1)</f>
        <v>125.07</v>
      </c>
      <c r="DD8" s="115" cm="1">
        <f t="array" ref="DD8">_xll.EQNXTDZ($A$1,$B8,DD$1)</f>
        <v>144.44999999999999</v>
      </c>
      <c r="DE8" s="115" cm="1">
        <f t="array" ref="DE8">_xll.EQNXTDZ($A$1,$B8,DE$1)</f>
        <v>164.24</v>
      </c>
      <c r="DF8" s="115" cm="1">
        <f t="array" ref="DF8">_xll.EQNXTDZ($A$1,$B8,DF$1)</f>
        <v>172.76</v>
      </c>
      <c r="DG8" s="115" cm="1">
        <f t="array" ref="DG8">_xll.EQNXTDZ($A$1,$B8,DG$1)</f>
        <v>182.6</v>
      </c>
      <c r="DH8" s="115" cm="1">
        <f t="array" ref="DH8">_xll.EQNXTDZ($A$1,$B8,DH$1)</f>
        <v>200.27</v>
      </c>
      <c r="DI8" s="115" cm="1">
        <f t="array" ref="DI8">_xll.EQNXTDZ($A$1,$B8,DI$1)</f>
        <v>221.31</v>
      </c>
      <c r="DJ8" s="115" cm="1">
        <f t="array" ref="DJ8">_xll.EQNXTDZ($A$1,$B8,DJ$1)</f>
        <v>230.02</v>
      </c>
      <c r="DK8" s="115" cm="1">
        <f t="array" ref="DK8">_xll.EQNXTDZ($A$1,$B8,DK$1)</f>
        <v>240.8</v>
      </c>
      <c r="DL8" s="115" cm="1">
        <f t="array" ref="DL8">_xll.EQNXTDZ($A$1,$B8,DL$1)</f>
        <v>237.91</v>
      </c>
      <c r="DM8" s="115" cm="1">
        <f t="array" ref="DM8">_xll.EQNXTDZ($A$1,$B8,DM$1)</f>
        <v>235.11</v>
      </c>
      <c r="DN8" s="115" cm="1">
        <f t="array" ref="DN8">_xll.EQNXTDZ($A$1,$B8,DN$1)</f>
        <v>240.51</v>
      </c>
      <c r="DO8" s="115" cm="1">
        <f t="array" ref="DO8">_xll.EQNXTDZ($A$1,$B8,DO$1)</f>
        <v>192</v>
      </c>
      <c r="DP8" s="115" cm="1">
        <f t="array" ref="DP8">_xll.EQNXTDZ($A$1,$B8,DP$1)</f>
        <v>206</v>
      </c>
      <c r="DQ8" s="115" cm="1">
        <f t="array" ref="DQ8">_xll.EQNXTDZ($A$1,$B8,DQ$1)</f>
        <v>257.5</v>
      </c>
      <c r="DR8" s="115" cm="1">
        <f t="array" ref="DR8">_xll.EQNXTDZ($A$1,$B8,DR$1)</f>
        <v>239.66</v>
      </c>
      <c r="DS8" s="115" cm="1">
        <f t="array" ref="DS8">_xll.EQNXTDZ($A$1,$B8,DS$1)</f>
        <v>256.25</v>
      </c>
      <c r="DT8" s="115" cm="1">
        <f t="array" ref="DT8">_xll.EQNXTDZ($A$1,$B8,DT$1)</f>
        <v>282.3</v>
      </c>
      <c r="DU8" s="115" cm="1">
        <f t="array" ref="DU8">_xll.EQNXTDZ($A$1,$B8,DU$1)</f>
        <v>294.04000000000002</v>
      </c>
      <c r="DV8" s="115" cm="1">
        <f t="array" ref="DV8">_xll.EQNXTDZ($A$1,$B8,DV$1)</f>
        <v>361.91</v>
      </c>
      <c r="DW8" s="115" cm="1">
        <f t="array" ref="DW8">_xll.EQNXTDZ($A$1,$B8,DW$1)</f>
        <v>388.45</v>
      </c>
      <c r="DX8" s="115" cm="1">
        <f t="array" ref="DX8">_xll.EQNXTDZ($A$1,$B8,DX$1)</f>
        <v>353.41</v>
      </c>
      <c r="DY8" s="115" cm="1">
        <f t="array" ref="DY8">_xll.EQNXTDZ($A$1,$B8,DY$1)</f>
        <v>350.2</v>
      </c>
      <c r="DZ8" s="115" cm="1">
        <f t="array" ref="DZ8">_xll.EQNXTDZ($A$1,$B8,DZ$1)</f>
        <v>343.4</v>
      </c>
      <c r="EA8" s="115" cm="1">
        <f t="array" ref="EA8">_xll.EQNXTDZ($A$1,$B8,EA$1)</f>
        <v>352.2</v>
      </c>
      <c r="EB8" s="115" cm="1">
        <f t="array" ref="EB8">_xll.EQNXTDZ($A$1,$B8,EB$1)</f>
        <v>382.56</v>
      </c>
      <c r="EC8" s="115" cm="1">
        <f t="array" ref="EC8">_xll.EQNXTDZ($A$1,$B8,EC$1)</f>
        <v>426</v>
      </c>
      <c r="ED8" s="115" cm="1">
        <f t="array" ref="ED8">_xll.EQNXTDZ($A$1,$B8,ED$1)</f>
        <v>415</v>
      </c>
      <c r="EE8" s="115" cm="1">
        <f t="array" ref="EE8">_xll.EQNXTDZ($A$1,$B8,EE$1)</f>
        <v>416</v>
      </c>
      <c r="EF8" s="115" cm="1">
        <f t="array" ref="EF8">_xll.EQNXTDZ($A$1,$B8,EF$1)</f>
        <v>402.67</v>
      </c>
      <c r="EG8" s="115" cm="1">
        <f t="array" ref="EG8">_xll.EQNXTDZ($A$1,$B8,EG$1)</f>
        <v>448.53</v>
      </c>
      <c r="EH8" s="115" cm="1">
        <f t="array" ref="EH8">_xll.EQNXTDZ($A$1,$B8,EH$1)</f>
        <v>525.20000000000005</v>
      </c>
      <c r="EI8" s="115" cm="1">
        <f t="array" ref="EI8">_xll.EQNXTDZ($A$1,$B8,EI$1)</f>
        <v>558.94000000000005</v>
      </c>
      <c r="EJ8" s="115" cm="1">
        <f t="array" ref="EJ8">_xll.EQNXTDZ($A$1,$B8,EJ$1)</f>
        <v>578.39</v>
      </c>
      <c r="EK8" s="115" cm="1">
        <f t="array" ref="EK8">_xll.EQNXTDZ($A$1,$B8,EK$1)</f>
        <v>646.22</v>
      </c>
      <c r="EL8" s="115" cm="1">
        <f t="array" ref="EL8">_xll.EQNXTDZ($A$1,$B8,EL$1)</f>
        <v>634.4</v>
      </c>
      <c r="EM8" s="115" cm="1">
        <f t="array" ref="EM8">_xll.EQNXTDZ($A$1,$B8,EM$1)</f>
        <v>710.3</v>
      </c>
      <c r="EN8" s="115" cm="1">
        <f t="array" ref="EN8">_xll.EQNXTDZ($A$1,$B8,EN$1)</f>
        <v>663.51</v>
      </c>
      <c r="EO8" s="115" cm="1">
        <f t="array" ref="EO8">_xll.EQNXTDZ($A$1,$B8,EO$1)</f>
        <v>767</v>
      </c>
      <c r="EP8" s="115" cm="1">
        <f t="array" ref="EP8">_xll.EQNXTDZ($A$1,$B8,EP$1)</f>
        <v>863.41</v>
      </c>
      <c r="EQ8" s="115" cm="1">
        <f t="array" ref="EQ8">_xll.EQNXTDZ($A$1,$B8,EQ$1)</f>
        <v>824.41</v>
      </c>
      <c r="ER8" s="115" cm="1">
        <f t="array" ref="ER8">_xll.EQNXTDZ($A$1,$B8,ER$1)</f>
        <v>922.4</v>
      </c>
      <c r="ES8" s="115" cm="1">
        <f t="array" ref="ES8">_xll.EQNXTDZ($A$1,$B8,ES$1)</f>
        <v>901.05</v>
      </c>
      <c r="ET8" s="115" cm="1">
        <f t="array" ref="ET8">_xll.EQNXTDZ($A$1,$B8,ET$1)</f>
        <v>856.5</v>
      </c>
      <c r="EU8" s="115" cm="1">
        <f t="array" ref="EU8">_xll.EQNXTDZ($A$1,$B8,EU$1)</f>
        <v>741.25</v>
      </c>
      <c r="EV8" s="115" cm="1">
        <f t="array" ref="EV8">_xll.EQNXTDZ($A$1,$B8,EV$1)</f>
        <v>777.05</v>
      </c>
      <c r="EW8" s="115" cm="1">
        <f t="array" ref="EW8">_xll.EQNXTDZ($A$1,$B8,EW$1)</f>
        <v>715.5</v>
      </c>
      <c r="EX8" s="115" cm="1">
        <f t="array" ref="EX8">_xll.EQNXTDZ($A$1,$B8,EX$1)</f>
        <v>618.5</v>
      </c>
      <c r="EY8" s="115" cm="1">
        <f t="array" ref="EY8">_xll.EQNXTDZ($A$1,$B8,EY$1)</f>
        <v>582.25</v>
      </c>
      <c r="EZ8" s="115" cm="1">
        <f t="array" ref="EZ8">_xll.EQNXTDZ($A$1,$B8,EZ$1)</f>
        <v>600.75</v>
      </c>
      <c r="FA8" s="115" cm="1">
        <f t="array" ref="FA8">_xll.EQNXTDZ($A$1,$B8,FA$1)</f>
        <v>647.79999999999995</v>
      </c>
      <c r="FB8" s="115" cm="1">
        <f t="array" ref="FB8">_xll.EQNXTDZ($A$1,$B8,FB$1)</f>
        <v>690</v>
      </c>
      <c r="FC8" s="115" cm="1">
        <f t="array" ref="FC8">_xll.EQNXTDZ($A$1,$B8,FC$1)</f>
        <v>795.2</v>
      </c>
      <c r="FD8" s="115" cm="1">
        <f t="array" ref="FD8">_xll.EQNXTDZ($A$1,$B8,FD$1)</f>
        <v>811.1</v>
      </c>
      <c r="FE8" s="115" cm="1">
        <f t="array" ref="FE8">_xll.EQNXTDZ($A$1,$B8,FE$1)</f>
        <v>766.8</v>
      </c>
      <c r="FF8" s="115" cm="1">
        <f t="array" ref="FF8">_xll.EQNXTDZ($A$1,$B8,FF$1)</f>
        <v>785.15</v>
      </c>
      <c r="FG8" s="115" cm="1">
        <f t="array" ref="FG8">_xll.EQNXTDZ($A$1,$B8,FG$1)</f>
        <v>780</v>
      </c>
      <c r="FH8" s="115" cm="1">
        <f t="array" ref="FH8">_xll.EQNXTDZ($A$1,$B8,FH$1)</f>
        <v>701.1</v>
      </c>
      <c r="FI8" s="115" cm="1">
        <f t="array" ref="FI8">_xll.EQNXTDZ($A$1,$B8,FI$1)</f>
        <v>714.75</v>
      </c>
      <c r="FJ8" s="115" cm="1">
        <f t="array" ref="FJ8">_xll.EQNXTDZ($A$1,$B8,FJ$1)</f>
        <v>666.65</v>
      </c>
      <c r="FK8" s="115" cm="1">
        <f t="array" ref="FK8">_xll.EQNXTDZ($A$1,$B8,FK$1)</f>
        <v>681.4</v>
      </c>
      <c r="FL8" s="115" cm="1">
        <f t="array" ref="FL8">_xll.EQNXTDZ($A$1,$B8,FL$1)</f>
        <v>717.45</v>
      </c>
      <c r="FM8" s="115" cm="1">
        <f t="array" ref="FM8">_xll.EQNXTDZ($A$1,$B8,FM$1)</f>
        <v>797.05</v>
      </c>
      <c r="FN8" s="115" cm="1">
        <f t="array" ref="FN8">_xll.EQNXTDZ($A$1,$B8,FN$1)</f>
        <v>784</v>
      </c>
      <c r="FO8" s="115" cm="1">
        <f t="array" ref="FO8">_xll.EQNXTDZ($A$1,$B8,FO$1)</f>
        <v>750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35.96</v>
      </c>
      <c r="HQ8" s="115">
        <f>+MIN(G8:I8)</f>
        <v>41.03</v>
      </c>
      <c r="HR8" s="115">
        <f>+MIN(J8:L8)</f>
        <v>35.42</v>
      </c>
      <c r="HS8" s="115">
        <f>+MIN(M8:O8)</f>
        <v>38.6</v>
      </c>
      <c r="HT8" s="115">
        <f>+MIN(P8:R8)</f>
        <v>38</v>
      </c>
      <c r="HU8" s="115">
        <f>+MIN(S8:U8)</f>
        <v>41.22</v>
      </c>
      <c r="HV8" s="115">
        <f>+MIN(V8:X8)</f>
        <v>46.84</v>
      </c>
      <c r="HW8" s="115">
        <f>+MIN(Y8:AA8)</f>
        <v>63.31</v>
      </c>
      <c r="HX8" s="115">
        <f>+MIN(AB8:AD8)</f>
        <v>100.08</v>
      </c>
      <c r="HY8" s="115">
        <f>+MIN(AE8:AG8)</f>
        <v>100.07</v>
      </c>
      <c r="HZ8" s="115">
        <f>+MIN(AH8:AJ8)</f>
        <v>118.05</v>
      </c>
      <c r="IA8" s="115">
        <f>+MIN(AK8:AM8)</f>
        <v>109.1</v>
      </c>
      <c r="IB8" s="115">
        <f>+MIN(AN8:AP8)</f>
        <v>108</v>
      </c>
      <c r="IC8" s="115">
        <f>+MIN(AQ8:AS8)</f>
        <v>110.2</v>
      </c>
      <c r="ID8" s="115">
        <f>+MIN(AT8:AV8)</f>
        <v>100.6</v>
      </c>
      <c r="IE8" s="115">
        <f>+MIN(AW8:AY8)</f>
        <v>117.4</v>
      </c>
      <c r="IF8" s="115">
        <f>+MIN(AZ8:BB8)</f>
        <v>108.42</v>
      </c>
      <c r="IG8" s="115">
        <f>+MIN(BC8:BE8)</f>
        <v>108.6</v>
      </c>
      <c r="IH8" s="115">
        <f>+MIN(BF8:BH8)</f>
        <v>119.6</v>
      </c>
      <c r="II8" s="115">
        <f>+MIN(BI8:BK8)</f>
        <v>131.11000000000001</v>
      </c>
      <c r="IJ8" s="115">
        <f>+MIN(BL8:BN8)</f>
        <v>132.04</v>
      </c>
      <c r="IK8" s="115">
        <f>+MIN(BO8:BQ8)</f>
        <v>144.19999999999999</v>
      </c>
      <c r="IL8" s="115">
        <f>+MIN(BR8:BT8)</f>
        <v>151</v>
      </c>
      <c r="IM8" s="115">
        <f>+MIN(BU8:BW8)</f>
        <v>151.22</v>
      </c>
      <c r="IN8" s="115">
        <f>+MIN(BX8:BZ8)</f>
        <v>135.32</v>
      </c>
      <c r="IO8" s="115">
        <f>+MIN(CA8:CC8)</f>
        <v>134.80000000000001</v>
      </c>
      <c r="IP8" s="115">
        <f>+MIN(CD8:CF8)</f>
        <v>127.72</v>
      </c>
      <c r="IQ8" s="115">
        <f>+MIN(CG8:CI8)</f>
        <v>129.72999999999999</v>
      </c>
      <c r="IR8" s="115">
        <f>+MIN(CJ8:CL8)</f>
        <v>107.8</v>
      </c>
      <c r="IS8" s="115">
        <f>+MIN(CM8:CO8)</f>
        <v>125</v>
      </c>
      <c r="IT8" s="115">
        <f>+MIN(CP8:CR8)</f>
        <v>77.2</v>
      </c>
      <c r="IU8" s="115">
        <f>+MIN(CS8:CU8)</f>
        <v>80.010000000000005</v>
      </c>
      <c r="IV8" s="115">
        <f>+MIN(CV8:CX8)</f>
        <v>90.39</v>
      </c>
      <c r="IW8" s="115">
        <f>+MIN(CY8:DA8)</f>
        <v>85.5</v>
      </c>
      <c r="IX8" s="115">
        <f>+MIN(DB8:DD8)</f>
        <v>124.9</v>
      </c>
      <c r="IY8" s="115">
        <f>+MIN(DE8:DG8)</f>
        <v>164.24</v>
      </c>
      <c r="IZ8" s="115">
        <f>+MIN(DH8:DJ8)</f>
        <v>200.27</v>
      </c>
      <c r="JA8" s="115">
        <f>+MIN(DK8:DM8)</f>
        <v>235.11</v>
      </c>
      <c r="JB8" s="115">
        <f>+MIN(DN8:DP8)</f>
        <v>192</v>
      </c>
      <c r="JC8" s="115">
        <f>+MIN(DQ8:DS8)</f>
        <v>239.66</v>
      </c>
      <c r="JD8" s="115">
        <f>+MIN(DT8:DV8)</f>
        <v>282.3</v>
      </c>
      <c r="JE8" s="115">
        <f>+MIN(DW8:DY8)</f>
        <v>350.2</v>
      </c>
      <c r="JF8" s="115">
        <f>+MIN(DZ8:EB8)</f>
        <v>343.4</v>
      </c>
      <c r="JG8" s="115">
        <f>+MIN(EC8:EE8)</f>
        <v>415</v>
      </c>
      <c r="JH8" s="115">
        <f>+MIN(EF8:EH8)</f>
        <v>402.67</v>
      </c>
      <c r="JI8" s="115">
        <f>+MIN(EI8:EK8)</f>
        <v>558.94000000000005</v>
      </c>
      <c r="JJ8" s="115">
        <f>+MIN(EL8:EN8)</f>
        <v>634.4</v>
      </c>
      <c r="JK8" s="115">
        <f>MIN(EO8:EQ8)</f>
        <v>767</v>
      </c>
      <c r="JL8" s="115">
        <f>MIN(ER8:ET8)</f>
        <v>856.5</v>
      </c>
      <c r="JM8" s="115">
        <f>MIN(EU8:EW8)</f>
        <v>715.5</v>
      </c>
      <c r="JN8" s="115">
        <f>MIN(EX8:EZ8)</f>
        <v>582.25</v>
      </c>
      <c r="JO8" s="115">
        <f>MIN(FA8:FC8)</f>
        <v>647.79999999999995</v>
      </c>
      <c r="JP8" s="115">
        <f>MIN(FD8:FF8)</f>
        <v>766.8</v>
      </c>
      <c r="JQ8" s="115">
        <f>MIN(FG8:FI8)</f>
        <v>701.1</v>
      </c>
      <c r="JR8" s="115">
        <f>MIN(FJ8:FL8)</f>
        <v>666.65</v>
      </c>
      <c r="JS8" s="115">
        <f>MIN(FM8:FO8)</f>
        <v>750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37.07</v>
      </c>
      <c r="D9" s="115" cm="1">
        <f t="array" ref="D9">_xll.EQNXTDZ($A$1,$B9,D$1)</f>
        <v>41.23</v>
      </c>
      <c r="E9" s="115" cm="1">
        <f t="array" ref="E9">_xll.EQNXTDZ($A$1,$B9,E$1)</f>
        <v>40.9</v>
      </c>
      <c r="F9" s="115" cm="1">
        <f t="array" ref="F9">_xll.EQNXTDZ($A$1,$B9,F$1)</f>
        <v>41.18</v>
      </c>
      <c r="G9" s="115" cm="1">
        <f t="array" ref="G9">_xll.EQNXTDZ($A$1,$B9,G$1)</f>
        <v>45.81</v>
      </c>
      <c r="H9" s="115" cm="1">
        <f t="array" ref="H9">_xll.EQNXTDZ($A$1,$B9,H$1)</f>
        <v>45.6</v>
      </c>
      <c r="I9" s="115" cm="1">
        <f t="array" ref="I9">_xll.EQNXTDZ($A$1,$B9,I$1)</f>
        <v>44.62</v>
      </c>
      <c r="J9" s="115" cm="1">
        <f t="array" ref="J9">_xll.EQNXTDZ($A$1,$B9,J$1)</f>
        <v>37.549999999999997</v>
      </c>
      <c r="K9" s="115" cm="1">
        <f t="array" ref="K9">_xll.EQNXTDZ($A$1,$B9,K$1)</f>
        <v>38.78</v>
      </c>
      <c r="L9" s="115" cm="1">
        <f t="array" ref="L9">_xll.EQNXTDZ($A$1,$B9,L$1)</f>
        <v>40.799999999999997</v>
      </c>
      <c r="M9" s="115" cm="1">
        <f t="array" ref="M9">_xll.EQNXTDZ($A$1,$B9,M$1)</f>
        <v>41.8</v>
      </c>
      <c r="N9" s="115" cm="1">
        <f t="array" ref="N9">_xll.EQNXTDZ($A$1,$B9,N$1)</f>
        <v>40.950000000000003</v>
      </c>
      <c r="O9" s="115" cm="1">
        <f t="array" ref="O9">_xll.EQNXTDZ($A$1,$B9,O$1)</f>
        <v>41.63</v>
      </c>
      <c r="P9" s="115" cm="1">
        <f t="array" ref="P9">_xll.EQNXTDZ($A$1,$B9,P$1)</f>
        <v>41.56</v>
      </c>
      <c r="Q9" s="115" cm="1">
        <f t="array" ref="Q9">_xll.EQNXTDZ($A$1,$B9,Q$1)</f>
        <v>39.32</v>
      </c>
      <c r="R9" s="115" cm="1">
        <f t="array" ref="R9">_xll.EQNXTDZ($A$1,$B9,R$1)</f>
        <v>43.2</v>
      </c>
      <c r="S9" s="115" cm="1">
        <f t="array" ref="S9">_xll.EQNXTDZ($A$1,$B9,S$1)</f>
        <v>47.69</v>
      </c>
      <c r="T9" s="115" cm="1">
        <f t="array" ref="T9">_xll.EQNXTDZ($A$1,$B9,T$1)</f>
        <v>52.56</v>
      </c>
      <c r="U9" s="115" cm="1">
        <f t="array" ref="U9">_xll.EQNXTDZ($A$1,$B9,U$1)</f>
        <v>53.85</v>
      </c>
      <c r="V9" s="115" cm="1">
        <f t="array" ref="V9">_xll.EQNXTDZ($A$1,$B9,V$1)</f>
        <v>48.4</v>
      </c>
      <c r="W9" s="115" cm="1">
        <f t="array" ref="W9">_xll.EQNXTDZ($A$1,$B9,W$1)</f>
        <v>50.36</v>
      </c>
      <c r="X9" s="115" cm="1">
        <f t="array" ref="X9">_xll.EQNXTDZ($A$1,$B9,X$1)</f>
        <v>65.16</v>
      </c>
      <c r="Y9" s="115" cm="1">
        <f t="array" ref="Y9">_xll.EQNXTDZ($A$1,$B9,Y$1)</f>
        <v>66.400000000000006</v>
      </c>
      <c r="Z9" s="115" cm="1">
        <f t="array" ref="Z9">_xll.EQNXTDZ($A$1,$B9,Z$1)</f>
        <v>99.51</v>
      </c>
      <c r="AA9" s="115" cm="1">
        <f t="array" ref="AA9">_xll.EQNXTDZ($A$1,$B9,AA$1)</f>
        <v>109.02</v>
      </c>
      <c r="AB9" s="115" cm="1">
        <f t="array" ref="AB9">_xll.EQNXTDZ($A$1,$B9,AB$1)</f>
        <v>106.4</v>
      </c>
      <c r="AC9" s="115" cm="1">
        <f t="array" ref="AC9">_xll.EQNXTDZ($A$1,$B9,AC$1)</f>
        <v>106.54</v>
      </c>
      <c r="AD9" s="115" cm="1">
        <f t="array" ref="AD9">_xll.EQNXTDZ($A$1,$B9,AD$1)</f>
        <v>107.88</v>
      </c>
      <c r="AE9" s="115" cm="1">
        <f t="array" ref="AE9">_xll.EQNXTDZ($A$1,$B9,AE$1)</f>
        <v>106.84</v>
      </c>
      <c r="AF9" s="115" cm="1">
        <f t="array" ref="AF9">_xll.EQNXTDZ($A$1,$B9,AF$1)</f>
        <v>111.12</v>
      </c>
      <c r="AG9" s="115" cm="1">
        <f t="array" ref="AG9">_xll.EQNXTDZ($A$1,$B9,AG$1)</f>
        <v>132.18</v>
      </c>
      <c r="AH9" s="115" cm="1">
        <f t="array" ref="AH9">_xll.EQNXTDZ($A$1,$B9,AH$1)</f>
        <v>138.03</v>
      </c>
      <c r="AI9" s="115" cm="1">
        <f t="array" ref="AI9">_xll.EQNXTDZ($A$1,$B9,AI$1)</f>
        <v>137.41999999999999</v>
      </c>
      <c r="AJ9" s="115" cm="1">
        <f t="array" ref="AJ9">_xll.EQNXTDZ($A$1,$B9,AJ$1)</f>
        <v>149.58000000000001</v>
      </c>
      <c r="AK9" s="115" cm="1">
        <f t="array" ref="AK9">_xll.EQNXTDZ($A$1,$B9,AK$1)</f>
        <v>113.71</v>
      </c>
      <c r="AL9" s="115" cm="1">
        <f t="array" ref="AL9">_xll.EQNXTDZ($A$1,$B9,AL$1)</f>
        <v>114.95</v>
      </c>
      <c r="AM9" s="115" cm="1">
        <f t="array" ref="AM9">_xll.EQNXTDZ($A$1,$B9,AM$1)</f>
        <v>123.93</v>
      </c>
      <c r="AN9" s="115" cm="1">
        <f t="array" ref="AN9">_xll.EQNXTDZ($A$1,$B9,AN$1)</f>
        <v>124.61</v>
      </c>
      <c r="AO9" s="115" cm="1">
        <f t="array" ref="AO9">_xll.EQNXTDZ($A$1,$B9,AO$1)</f>
        <v>119.37</v>
      </c>
      <c r="AP9" s="115" cm="1">
        <f t="array" ref="AP9">_xll.EQNXTDZ($A$1,$B9,AP$1)</f>
        <v>118.32</v>
      </c>
      <c r="AQ9" s="115" cm="1">
        <f t="array" ref="AQ9">_xll.EQNXTDZ($A$1,$B9,AQ$1)</f>
        <v>121.44</v>
      </c>
      <c r="AR9" s="115" cm="1">
        <f t="array" ref="AR9">_xll.EQNXTDZ($A$1,$B9,AR$1)</f>
        <v>114.99</v>
      </c>
      <c r="AS9" s="115" cm="1">
        <f t="array" ref="AS9">_xll.EQNXTDZ($A$1,$B9,AS$1)</f>
        <v>124.45</v>
      </c>
      <c r="AT9" s="115" cm="1">
        <f t="array" ref="AT9">_xll.EQNXTDZ($A$1,$B9,AT$1)</f>
        <v>110.68</v>
      </c>
      <c r="AU9" s="115" cm="1">
        <f t="array" ref="AU9">_xll.EQNXTDZ($A$1,$B9,AU$1)</f>
        <v>104.27</v>
      </c>
      <c r="AV9" s="115" cm="1">
        <f t="array" ref="AV9">_xll.EQNXTDZ($A$1,$B9,AV$1)</f>
        <v>126.69</v>
      </c>
      <c r="AW9" s="115" cm="1">
        <f t="array" ref="AW9">_xll.EQNXTDZ($A$1,$B9,AW$1)</f>
        <v>136.88999999999999</v>
      </c>
      <c r="AX9" s="115" cm="1">
        <f t="array" ref="AX9">_xll.EQNXTDZ($A$1,$B9,AX$1)</f>
        <v>137.03</v>
      </c>
      <c r="AY9" s="115" cm="1">
        <f t="array" ref="AY9">_xll.EQNXTDZ($A$1,$B9,AY$1)</f>
        <v>149.04</v>
      </c>
      <c r="AZ9" s="115" cm="1">
        <f t="array" ref="AZ9">_xll.EQNXTDZ($A$1,$B9,AZ$1)</f>
        <v>135.24</v>
      </c>
      <c r="BA9" s="115" cm="1">
        <f t="array" ref="BA9">_xll.EQNXTDZ($A$1,$B9,BA$1)</f>
        <v>133.06</v>
      </c>
      <c r="BB9" s="115" cm="1">
        <f t="array" ref="BB9">_xll.EQNXTDZ($A$1,$B9,BB$1)</f>
        <v>118.57</v>
      </c>
      <c r="BC9" s="115" cm="1">
        <f t="array" ref="BC9">_xll.EQNXTDZ($A$1,$B9,BC$1)</f>
        <v>118.15</v>
      </c>
      <c r="BD9" s="115" cm="1">
        <f t="array" ref="BD9">_xll.EQNXTDZ($A$1,$B9,BD$1)</f>
        <v>120.58</v>
      </c>
      <c r="BE9" s="115" cm="1">
        <f t="array" ref="BE9">_xll.EQNXTDZ($A$1,$B9,BE$1)</f>
        <v>126.23</v>
      </c>
      <c r="BF9" s="115" cm="1">
        <f t="array" ref="BF9">_xll.EQNXTDZ($A$1,$B9,BF$1)</f>
        <v>122.55</v>
      </c>
      <c r="BG9" s="115" cm="1">
        <f t="array" ref="BG9">_xll.EQNXTDZ($A$1,$B9,BG$1)</f>
        <v>124.46</v>
      </c>
      <c r="BH9" s="115" cm="1">
        <f t="array" ref="BH9">_xll.EQNXTDZ($A$1,$B9,BH$1)</f>
        <v>145.29</v>
      </c>
      <c r="BI9" s="115" cm="1">
        <f t="array" ref="BI9">_xll.EQNXTDZ($A$1,$B9,BI$1)</f>
        <v>140.05000000000001</v>
      </c>
      <c r="BJ9" s="115" cm="1">
        <f t="array" ref="BJ9">_xll.EQNXTDZ($A$1,$B9,BJ$1)</f>
        <v>134.74</v>
      </c>
      <c r="BK9" s="115" cm="1">
        <f t="array" ref="BK9">_xll.EQNXTDZ($A$1,$B9,BK$1)</f>
        <v>153.22</v>
      </c>
      <c r="BL9" s="115" cm="1">
        <f t="array" ref="BL9">_xll.EQNXTDZ($A$1,$B9,BL$1)</f>
        <v>148.24</v>
      </c>
      <c r="BM9" s="115" cm="1">
        <f t="array" ref="BM9">_xll.EQNXTDZ($A$1,$B9,BM$1)</f>
        <v>141.96</v>
      </c>
      <c r="BN9" s="115" cm="1">
        <f t="array" ref="BN9">_xll.EQNXTDZ($A$1,$B9,BN$1)</f>
        <v>147.12</v>
      </c>
      <c r="BO9" s="115" cm="1">
        <f t="array" ref="BO9">_xll.EQNXTDZ($A$1,$B9,BO$1)</f>
        <v>168</v>
      </c>
      <c r="BP9" s="115" cm="1">
        <f t="array" ref="BP9">_xll.EQNXTDZ($A$1,$B9,BP$1)</f>
        <v>174.09</v>
      </c>
      <c r="BQ9" s="115" cm="1">
        <f t="array" ref="BQ9">_xll.EQNXTDZ($A$1,$B9,BQ$1)</f>
        <v>181.07</v>
      </c>
      <c r="BR9" s="115" cm="1">
        <f t="array" ref="BR9">_xll.EQNXTDZ($A$1,$B9,BR$1)</f>
        <v>179.52</v>
      </c>
      <c r="BS9" s="115" cm="1">
        <f t="array" ref="BS9">_xll.EQNXTDZ($A$1,$B9,BS$1)</f>
        <v>159.99</v>
      </c>
      <c r="BT9" s="115" cm="1">
        <f t="array" ref="BT9">_xll.EQNXTDZ($A$1,$B9,BT$1)</f>
        <v>159.53</v>
      </c>
      <c r="BU9" s="115" cm="1">
        <f t="array" ref="BU9">_xll.EQNXTDZ($A$1,$B9,BU$1)</f>
        <v>165.38</v>
      </c>
      <c r="BV9" s="115" cm="1">
        <f t="array" ref="BV9">_xll.EQNXTDZ($A$1,$B9,BV$1)</f>
        <v>163.06</v>
      </c>
      <c r="BW9" s="115" cm="1">
        <f t="array" ref="BW9">_xll.EQNXTDZ($A$1,$B9,BW$1)</f>
        <v>156.31</v>
      </c>
      <c r="BX9" s="115" cm="1">
        <f t="array" ref="BX9">_xll.EQNXTDZ($A$1,$B9,BX$1)</f>
        <v>156.6</v>
      </c>
      <c r="BY9" s="115" cm="1">
        <f t="array" ref="BY9">_xll.EQNXTDZ($A$1,$B9,BY$1)</f>
        <v>154.94</v>
      </c>
      <c r="BZ9" s="115" cm="1">
        <f t="array" ref="BZ9">_xll.EQNXTDZ($A$1,$B9,BZ$1)</f>
        <v>146.63</v>
      </c>
      <c r="CA9" s="115" cm="1">
        <f t="array" ref="CA9">_xll.EQNXTDZ($A$1,$B9,CA$1)</f>
        <v>160.05000000000001</v>
      </c>
      <c r="CB9" s="115" cm="1">
        <f t="array" ref="CB9">_xll.EQNXTDZ($A$1,$B9,CB$1)</f>
        <v>156.12</v>
      </c>
      <c r="CC9" s="115" cm="1">
        <f t="array" ref="CC9">_xll.EQNXTDZ($A$1,$B9,CC$1)</f>
        <v>154.94</v>
      </c>
      <c r="CD9" s="115" cm="1">
        <f t="array" ref="CD9">_xll.EQNXTDZ($A$1,$B9,CD$1)</f>
        <v>140.13</v>
      </c>
      <c r="CE9" s="115" cm="1">
        <f t="array" ref="CE9">_xll.EQNXTDZ($A$1,$B9,CE$1)</f>
        <v>129.9</v>
      </c>
      <c r="CF9" s="115" cm="1">
        <f t="array" ref="CF9">_xll.EQNXTDZ($A$1,$B9,CF$1)</f>
        <v>137.44999999999999</v>
      </c>
      <c r="CG9" s="115" cm="1">
        <f t="array" ref="CG9">_xll.EQNXTDZ($A$1,$B9,CG$1)</f>
        <v>133.58000000000001</v>
      </c>
      <c r="CH9" s="115" cm="1">
        <f t="array" ref="CH9">_xll.EQNXTDZ($A$1,$B9,CH$1)</f>
        <v>136.1</v>
      </c>
      <c r="CI9" s="115" cm="1">
        <f t="array" ref="CI9">_xll.EQNXTDZ($A$1,$B9,CI$1)</f>
        <v>143.38999999999999</v>
      </c>
      <c r="CJ9" s="115" cm="1">
        <f t="array" ref="CJ9">_xll.EQNXTDZ($A$1,$B9,CJ$1)</f>
        <v>122.38</v>
      </c>
      <c r="CK9" s="115" cm="1">
        <f t="array" ref="CK9">_xll.EQNXTDZ($A$1,$B9,CK$1)</f>
        <v>122.51</v>
      </c>
      <c r="CL9" s="115" cm="1">
        <f t="array" ref="CL9">_xll.EQNXTDZ($A$1,$B9,CL$1)</f>
        <v>138.69</v>
      </c>
      <c r="CM9" s="115" cm="1">
        <f t="array" ref="CM9">_xll.EQNXTDZ($A$1,$B9,CM$1)</f>
        <v>139.24</v>
      </c>
      <c r="CN9" s="115" cm="1">
        <f t="array" ref="CN9">_xll.EQNXTDZ($A$1,$B9,CN$1)</f>
        <v>134.88999999999999</v>
      </c>
      <c r="CO9" s="115" cm="1">
        <f t="array" ref="CO9">_xll.EQNXTDZ($A$1,$B9,CO$1)</f>
        <v>134.96</v>
      </c>
      <c r="CP9" s="115" cm="1">
        <f t="array" ref="CP9">_xll.EQNXTDZ($A$1,$B9,CP$1)</f>
        <v>148.05000000000001</v>
      </c>
      <c r="CQ9" s="115" cm="1">
        <f t="array" ref="CQ9">_xll.EQNXTDZ($A$1,$B9,CQ$1)</f>
        <v>133.25</v>
      </c>
      <c r="CR9" s="115" cm="1">
        <f t="array" ref="CR9">_xll.EQNXTDZ($A$1,$B9,CR$1)</f>
        <v>85.01</v>
      </c>
      <c r="CS9" s="115" cm="1">
        <f t="array" ref="CS9">_xll.EQNXTDZ($A$1,$B9,CS$1)</f>
        <v>98.36</v>
      </c>
      <c r="CT9" s="115" cm="1">
        <f t="array" ref="CT9">_xll.EQNXTDZ($A$1,$B9,CT$1)</f>
        <v>92.53</v>
      </c>
      <c r="CU9" s="115" cm="1">
        <f t="array" ref="CU9">_xll.EQNXTDZ($A$1,$B9,CU$1)</f>
        <v>93.43</v>
      </c>
      <c r="CV9" s="115" cm="1">
        <f t="array" ref="CV9">_xll.EQNXTDZ($A$1,$B9,CV$1)</f>
        <v>101.41</v>
      </c>
      <c r="CW9" s="115" cm="1">
        <f t="array" ref="CW9">_xll.EQNXTDZ($A$1,$B9,CW$1)</f>
        <v>104.74</v>
      </c>
      <c r="CX9" s="115" cm="1">
        <f t="array" ref="CX9">_xll.EQNXTDZ($A$1,$B9,CX$1)</f>
        <v>95.81</v>
      </c>
      <c r="CY9" s="115" cm="1">
        <f t="array" ref="CY9">_xll.EQNXTDZ($A$1,$B9,CY$1)</f>
        <v>90.57</v>
      </c>
      <c r="CZ9" s="115" cm="1">
        <f t="array" ref="CZ9">_xll.EQNXTDZ($A$1,$B9,CZ$1)</f>
        <v>113.85</v>
      </c>
      <c r="DA9" s="115" cm="1">
        <f t="array" ref="DA9">_xll.EQNXTDZ($A$1,$B9,DA$1)</f>
        <v>128.88</v>
      </c>
      <c r="DB9" s="115" cm="1">
        <f t="array" ref="DB9">_xll.EQNXTDZ($A$1,$B9,DB$1)</f>
        <v>126.15</v>
      </c>
      <c r="DC9" s="115" cm="1">
        <f t="array" ref="DC9">_xll.EQNXTDZ($A$1,$B9,DC$1)</f>
        <v>145.05000000000001</v>
      </c>
      <c r="DD9" s="115" cm="1">
        <f t="array" ref="DD9">_xll.EQNXTDZ($A$1,$B9,DD$1)</f>
        <v>179.25</v>
      </c>
      <c r="DE9" s="115" cm="1">
        <f t="array" ref="DE9">_xll.EQNXTDZ($A$1,$B9,DE$1)</f>
        <v>176.89</v>
      </c>
      <c r="DF9" s="115" cm="1">
        <f t="array" ref="DF9">_xll.EQNXTDZ($A$1,$B9,DF$1)</f>
        <v>195.33</v>
      </c>
      <c r="DG9" s="115" cm="1">
        <f t="array" ref="DG9">_xll.EQNXTDZ($A$1,$B9,DG$1)</f>
        <v>202.35</v>
      </c>
      <c r="DH9" s="115" cm="1">
        <f t="array" ref="DH9">_xll.EQNXTDZ($A$1,$B9,DH$1)</f>
        <v>231.82</v>
      </c>
      <c r="DI9" s="115" cm="1">
        <f t="array" ref="DI9">_xll.EQNXTDZ($A$1,$B9,DI$1)</f>
        <v>238.19</v>
      </c>
      <c r="DJ9" s="115" cm="1">
        <f t="array" ref="DJ9">_xll.EQNXTDZ($A$1,$B9,DJ$1)</f>
        <v>244.24</v>
      </c>
      <c r="DK9" s="115" cm="1">
        <f t="array" ref="DK9">_xll.EQNXTDZ($A$1,$B9,DK$1)</f>
        <v>265.08999999999997</v>
      </c>
      <c r="DL9" s="115" cm="1">
        <f t="array" ref="DL9">_xll.EQNXTDZ($A$1,$B9,DL$1)</f>
        <v>248.39</v>
      </c>
      <c r="DM9" s="115" cm="1">
        <f t="array" ref="DM9">_xll.EQNXTDZ($A$1,$B9,DM$1)</f>
        <v>244.05</v>
      </c>
      <c r="DN9" s="115" cm="1">
        <f t="array" ref="DN9">_xll.EQNXTDZ($A$1,$B9,DN$1)</f>
        <v>246.03</v>
      </c>
      <c r="DO9" s="115" cm="1">
        <f t="array" ref="DO9">_xll.EQNXTDZ($A$1,$B9,DO$1)</f>
        <v>219.42</v>
      </c>
      <c r="DP9" s="115" cm="1">
        <f t="array" ref="DP9">_xll.EQNXTDZ($A$1,$B9,DP$1)</f>
        <v>263.89</v>
      </c>
      <c r="DQ9" s="115" cm="1">
        <f t="array" ref="DQ9">_xll.EQNXTDZ($A$1,$B9,DQ$1)</f>
        <v>266.98</v>
      </c>
      <c r="DR9" s="115" cm="1">
        <f t="array" ref="DR9">_xll.EQNXTDZ($A$1,$B9,DR$1)</f>
        <v>271.02</v>
      </c>
      <c r="DS9" s="115" cm="1">
        <f t="array" ref="DS9">_xll.EQNXTDZ($A$1,$B9,DS$1)</f>
        <v>296.75</v>
      </c>
      <c r="DT9" s="115" cm="1">
        <f t="array" ref="DT9">_xll.EQNXTDZ($A$1,$B9,DT$1)</f>
        <v>295.75</v>
      </c>
      <c r="DU9" s="115" cm="1">
        <f t="array" ref="DU9">_xll.EQNXTDZ($A$1,$B9,DU$1)</f>
        <v>382.69</v>
      </c>
      <c r="DV9" s="115" cm="1">
        <f t="array" ref="DV9">_xll.EQNXTDZ($A$1,$B9,DV$1)</f>
        <v>399.61</v>
      </c>
      <c r="DW9" s="115" cm="1">
        <f t="array" ref="DW9">_xll.EQNXTDZ($A$1,$B9,DW$1)</f>
        <v>416.27</v>
      </c>
      <c r="DX9" s="115" cm="1">
        <f t="array" ref="DX9">_xll.EQNXTDZ($A$1,$B9,DX$1)</f>
        <v>404.86</v>
      </c>
      <c r="DY9" s="115" cm="1">
        <f t="array" ref="DY9">_xll.EQNXTDZ($A$1,$B9,DY$1)</f>
        <v>386.76</v>
      </c>
      <c r="DZ9" s="115" cm="1">
        <f t="array" ref="DZ9">_xll.EQNXTDZ($A$1,$B9,DZ$1)</f>
        <v>363.53</v>
      </c>
      <c r="EA9" s="115" cm="1">
        <f t="array" ref="EA9">_xll.EQNXTDZ($A$1,$B9,EA$1)</f>
        <v>383.13</v>
      </c>
      <c r="EB9" s="115" cm="1">
        <f t="array" ref="EB9">_xll.EQNXTDZ($A$1,$B9,EB$1)</f>
        <v>418.96</v>
      </c>
      <c r="EC9" s="115" cm="1">
        <f t="array" ref="EC9">_xll.EQNXTDZ($A$1,$B9,EC$1)</f>
        <v>450.11</v>
      </c>
      <c r="ED9" s="115" cm="1">
        <f t="array" ref="ED9">_xll.EQNXTDZ($A$1,$B9,ED$1)</f>
        <v>421.33</v>
      </c>
      <c r="EE9" s="115" cm="1">
        <f t="array" ref="EE9">_xll.EQNXTDZ($A$1,$B9,EE$1)</f>
        <v>431.56</v>
      </c>
      <c r="EF9" s="115" cm="1">
        <f t="array" ref="EF9">_xll.EQNXTDZ($A$1,$B9,EF$1)</f>
        <v>454.28</v>
      </c>
      <c r="EG9" s="115" cm="1">
        <f t="array" ref="EG9">_xll.EQNXTDZ($A$1,$B9,EG$1)</f>
        <v>558.38</v>
      </c>
      <c r="EH9" s="115" cm="1">
        <f t="array" ref="EH9">_xll.EQNXTDZ($A$1,$B9,EH$1)</f>
        <v>597.92999999999995</v>
      </c>
      <c r="EI9" s="115" cm="1">
        <f t="array" ref="EI9">_xll.EQNXTDZ($A$1,$B9,EI$1)</f>
        <v>612.32000000000005</v>
      </c>
      <c r="EJ9" s="115" cm="1">
        <f t="array" ref="EJ9">_xll.EQNXTDZ($A$1,$B9,EJ$1)</f>
        <v>684.56</v>
      </c>
      <c r="EK9" s="115" cm="1">
        <f t="array" ref="EK9">_xll.EQNXTDZ($A$1,$B9,EK$1)</f>
        <v>693.35</v>
      </c>
      <c r="EL9" s="115" cm="1">
        <f t="array" ref="EL9">_xll.EQNXTDZ($A$1,$B9,EL$1)</f>
        <v>729.65</v>
      </c>
      <c r="EM9" s="115" cm="1">
        <f t="array" ref="EM9">_xll.EQNXTDZ($A$1,$B9,EM$1)</f>
        <v>731.92</v>
      </c>
      <c r="EN9" s="115" cm="1">
        <f t="array" ref="EN9">_xll.EQNXTDZ($A$1,$B9,EN$1)</f>
        <v>771.18</v>
      </c>
      <c r="EO9" s="115" cm="1">
        <f t="array" ref="EO9">_xll.EQNXTDZ($A$1,$B9,EO$1)</f>
        <v>902.4</v>
      </c>
      <c r="EP9" s="115" cm="1">
        <f t="array" ref="EP9">_xll.EQNXTDZ($A$1,$B9,EP$1)</f>
        <v>949.67</v>
      </c>
      <c r="EQ9" s="115" cm="1">
        <f t="array" ref="EQ9">_xll.EQNXTDZ($A$1,$B9,EQ$1)</f>
        <v>939.34</v>
      </c>
      <c r="ER9" s="115" cm="1">
        <f t="array" ref="ER9">_xll.EQNXTDZ($A$1,$B9,ER$1)</f>
        <v>961.65</v>
      </c>
      <c r="ES9" s="115" cm="1">
        <f t="array" ref="ES9">_xll.EQNXTDZ($A$1,$B9,ES$1)</f>
        <v>928.5</v>
      </c>
      <c r="ET9" s="115" cm="1">
        <f t="array" ref="ET9">_xll.EQNXTDZ($A$1,$B9,ET$1)</f>
        <v>899.3</v>
      </c>
      <c r="EU9" s="115" cm="1">
        <f t="array" ref="EU9">_xll.EQNXTDZ($A$1,$B9,EU$1)</f>
        <v>800.65</v>
      </c>
      <c r="EV9" s="115" cm="1">
        <f t="array" ref="EV9">_xll.EQNXTDZ($A$1,$B9,EV$1)</f>
        <v>832.05</v>
      </c>
      <c r="EW9" s="115" cm="1">
        <f t="array" ref="EW9">_xll.EQNXTDZ($A$1,$B9,EW$1)</f>
        <v>768.3</v>
      </c>
      <c r="EX9" s="115" cm="1">
        <f t="array" ref="EX9">_xll.EQNXTDZ($A$1,$B9,EX$1)</f>
        <v>702.55</v>
      </c>
      <c r="EY9" s="115" cm="1">
        <f t="array" ref="EY9">_xll.EQNXTDZ($A$1,$B9,EY$1)</f>
        <v>617</v>
      </c>
      <c r="EZ9" s="115" cm="1">
        <f t="array" ref="EZ9">_xll.EQNXTDZ($A$1,$B9,EZ$1)</f>
        <v>713.8</v>
      </c>
      <c r="FA9" s="115" cm="1">
        <f t="array" ref="FA9">_xll.EQNXTDZ($A$1,$B9,FA$1)</f>
        <v>732.65</v>
      </c>
      <c r="FB9" s="115" cm="1">
        <f t="array" ref="FB9">_xll.EQNXTDZ($A$1,$B9,FB$1)</f>
        <v>846.2</v>
      </c>
      <c r="FC9" s="115" cm="1">
        <f t="array" ref="FC9">_xll.EQNXTDZ($A$1,$B9,FC$1)</f>
        <v>818.05</v>
      </c>
      <c r="FD9" s="115" cm="1">
        <f t="array" ref="FD9">_xll.EQNXTDZ($A$1,$B9,FD$1)</f>
        <v>838.6</v>
      </c>
      <c r="FE9" s="115" cm="1">
        <f t="array" ref="FE9">_xll.EQNXTDZ($A$1,$B9,FE$1)</f>
        <v>825.9</v>
      </c>
      <c r="FF9" s="115" cm="1">
        <f t="array" ref="FF9">_xll.EQNXTDZ($A$1,$B9,FF$1)</f>
        <v>821.6</v>
      </c>
      <c r="FG9" s="115" cm="1">
        <f t="array" ref="FG9">_xll.EQNXTDZ($A$1,$B9,FG$1)</f>
        <v>790.65</v>
      </c>
      <c r="FH9" s="115" cm="1">
        <f t="array" ref="FH9">_xll.EQNXTDZ($A$1,$B9,FH$1)</f>
        <v>767.85</v>
      </c>
      <c r="FI9" s="115" cm="1">
        <f t="array" ref="FI9">_xll.EQNXTDZ($A$1,$B9,FI$1)</f>
        <v>754.75</v>
      </c>
      <c r="FJ9" s="115" cm="1">
        <f t="array" ref="FJ9">_xll.EQNXTDZ($A$1,$B9,FJ$1)</f>
        <v>708.2</v>
      </c>
      <c r="FK9" s="115" cm="1">
        <f t="array" ref="FK9">_xll.EQNXTDZ($A$1,$B9,FK$1)</f>
        <v>770.25</v>
      </c>
      <c r="FL9" s="115" cm="1">
        <f t="array" ref="FL9">_xll.EQNXTDZ($A$1,$B9,FL$1)</f>
        <v>796.85</v>
      </c>
      <c r="FM9" s="115" cm="1">
        <f t="array" ref="FM9">_xll.EQNXTDZ($A$1,$B9,FM$1)</f>
        <v>978.6</v>
      </c>
      <c r="FN9" s="115" cm="1">
        <f t="array" ref="FN9">_xll.EQNXTDZ($A$1,$B9,FN$1)</f>
        <v>789.9</v>
      </c>
      <c r="FO9" s="115" cm="1">
        <f t="array" ref="FO9">_xll.EQNXTDZ($A$1,$B9,FO$1)</f>
        <v>865.45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41.18</v>
      </c>
      <c r="HQ9" s="115">
        <f>+I9</f>
        <v>44.62</v>
      </c>
      <c r="HR9" s="115">
        <f>+L9</f>
        <v>40.799999999999997</v>
      </c>
      <c r="HS9" s="115">
        <f>+O9</f>
        <v>41.63</v>
      </c>
      <c r="HT9" s="115">
        <f>+R9</f>
        <v>43.2</v>
      </c>
      <c r="HU9" s="115">
        <f>+U9</f>
        <v>53.85</v>
      </c>
      <c r="HV9" s="115">
        <f>+X9</f>
        <v>65.16</v>
      </c>
      <c r="HW9" s="115">
        <f>+AA9</f>
        <v>109.02</v>
      </c>
      <c r="HX9" s="115">
        <f>+AD9</f>
        <v>107.88</v>
      </c>
      <c r="HY9" s="115">
        <f>+AG9</f>
        <v>132.18</v>
      </c>
      <c r="HZ9" s="115">
        <f>+AJ9</f>
        <v>149.58000000000001</v>
      </c>
      <c r="IA9" s="115">
        <f>+AM9</f>
        <v>123.93</v>
      </c>
      <c r="IB9" s="115">
        <f>+AP9</f>
        <v>118.32</v>
      </c>
      <c r="IC9" s="115">
        <f>+AS9</f>
        <v>124.45</v>
      </c>
      <c r="ID9" s="115">
        <f>+AV9</f>
        <v>126.69</v>
      </c>
      <c r="IE9" s="115">
        <f>+AY9</f>
        <v>149.04</v>
      </c>
      <c r="IF9" s="115">
        <f>+BB9</f>
        <v>118.57</v>
      </c>
      <c r="IG9" s="115">
        <f>+BE9</f>
        <v>126.23</v>
      </c>
      <c r="IH9" s="115">
        <f>+BH9</f>
        <v>145.29</v>
      </c>
      <c r="II9" s="115">
        <f>+BK9</f>
        <v>153.22</v>
      </c>
      <c r="IJ9" s="115">
        <f>+BN9</f>
        <v>147.12</v>
      </c>
      <c r="IK9" s="115">
        <f>+BQ9</f>
        <v>181.07</v>
      </c>
      <c r="IL9" s="115">
        <f>+BT9</f>
        <v>159.53</v>
      </c>
      <c r="IM9" s="115">
        <f>+BW9</f>
        <v>156.31</v>
      </c>
      <c r="IN9" s="115">
        <f>+BZ9</f>
        <v>146.63</v>
      </c>
      <c r="IO9" s="115">
        <f>+CC9</f>
        <v>154.94</v>
      </c>
      <c r="IP9" s="115">
        <f>+CF9</f>
        <v>137.44999999999999</v>
      </c>
      <c r="IQ9" s="115">
        <f>+CI9</f>
        <v>143.38999999999999</v>
      </c>
      <c r="IR9" s="115">
        <f>+CL9</f>
        <v>138.69</v>
      </c>
      <c r="IS9" s="115">
        <f>+CO9</f>
        <v>134.96</v>
      </c>
      <c r="IT9" s="115">
        <f>+CR9</f>
        <v>85.01</v>
      </c>
      <c r="IU9" s="115">
        <f>+CU9</f>
        <v>93.43</v>
      </c>
      <c r="IV9" s="115">
        <f>+CX9</f>
        <v>95.81</v>
      </c>
      <c r="IW9" s="115">
        <f>+DA9</f>
        <v>128.88</v>
      </c>
      <c r="IX9" s="115">
        <f>+DD9</f>
        <v>179.25</v>
      </c>
      <c r="IY9" s="115">
        <f>+DG9</f>
        <v>202.35</v>
      </c>
      <c r="IZ9" s="115">
        <f>+DJ9</f>
        <v>244.24</v>
      </c>
      <c r="JA9" s="115">
        <f>+DM9</f>
        <v>244.05</v>
      </c>
      <c r="JB9" s="115">
        <f>+DP9</f>
        <v>263.89</v>
      </c>
      <c r="JC9" s="115">
        <f>+DS9</f>
        <v>296.75</v>
      </c>
      <c r="JD9" s="115">
        <f>+DV9</f>
        <v>399.61</v>
      </c>
      <c r="JE9" s="115">
        <f>+DY9</f>
        <v>386.76</v>
      </c>
      <c r="JF9" s="115">
        <f>+EB9</f>
        <v>418.96</v>
      </c>
      <c r="JG9" s="115">
        <f>+EE9</f>
        <v>431.56</v>
      </c>
      <c r="JH9" s="115">
        <f>+EH9</f>
        <v>597.92999999999995</v>
      </c>
      <c r="JI9" s="115">
        <f>+EK9</f>
        <v>693.35</v>
      </c>
      <c r="JJ9" s="115">
        <f>+EN9</f>
        <v>771.18</v>
      </c>
      <c r="JK9" s="115">
        <f>EQ9</f>
        <v>939.34</v>
      </c>
      <c r="JL9" s="115">
        <f>ET9</f>
        <v>899.3</v>
      </c>
      <c r="JM9" s="115">
        <f>EW9</f>
        <v>768.3</v>
      </c>
      <c r="JN9" s="115">
        <f>EZ9</f>
        <v>713.8</v>
      </c>
      <c r="JO9" s="115">
        <f>FC9</f>
        <v>818.05</v>
      </c>
      <c r="JP9" s="115">
        <f>FF9</f>
        <v>821.6</v>
      </c>
      <c r="JQ9" s="115">
        <f>FI9</f>
        <v>754.75</v>
      </c>
      <c r="JR9" s="115">
        <f>FL9</f>
        <v>796.85</v>
      </c>
      <c r="JS9" s="115">
        <f>FO9</f>
        <v>865.45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36.49</v>
      </c>
      <c r="D13" cm="1">
        <f t="array" ref="D13">_xll.EQNXTDZ($A$1,$B13,D$1)</f>
        <v>37.1</v>
      </c>
      <c r="E13" cm="1">
        <f t="array" ref="E13">_xll.EQNXTDZ($A$1,$B13,E$1)</f>
        <v>42.25</v>
      </c>
      <c r="F13" cm="1">
        <f t="array" ref="F13">_xll.EQNXTDZ($A$1,$B13,F$1)</f>
        <v>41.58</v>
      </c>
      <c r="G13" cm="1">
        <f t="array" ref="G13">_xll.EQNXTDZ($A$1,$B13,G$1)</f>
        <v>41.4</v>
      </c>
      <c r="H13" cm="1">
        <f t="array" ref="H13">_xll.EQNXTDZ($A$1,$B13,H$1)</f>
        <v>45.5</v>
      </c>
      <c r="I13" cm="1">
        <f t="array" ref="I13">_xll.EQNXTDZ($A$1,$B13,I$1)</f>
        <v>45.6</v>
      </c>
      <c r="J13" cm="1">
        <f t="array" ref="J13">_xll.EQNXTDZ($A$1,$B13,J$1)</f>
        <v>45.59</v>
      </c>
      <c r="K13" cm="1">
        <f t="array" ref="K13">_xll.EQNXTDZ($A$1,$B13,K$1)</f>
        <v>37.6</v>
      </c>
      <c r="L13" cm="1">
        <f t="array" ref="L13">_xll.EQNXTDZ($A$1,$B13,L$1)</f>
        <v>39.93</v>
      </c>
      <c r="M13" cm="1">
        <f t="array" ref="M13">_xll.EQNXTDZ($A$1,$B13,M$1)</f>
        <v>41.19</v>
      </c>
      <c r="N13" cm="1">
        <f t="array" ref="N13">_xll.EQNXTDZ($A$1,$B13,N$1)</f>
        <v>42.18</v>
      </c>
      <c r="O13" cm="1">
        <f t="array" ref="O13">_xll.EQNXTDZ($A$1,$B13,O$1)</f>
        <v>40.04</v>
      </c>
      <c r="P13" cm="1">
        <f t="array" ref="P13">_xll.EQNXTDZ($A$1,$B13,P$1)</f>
        <v>41.4</v>
      </c>
      <c r="Q13" cm="1">
        <f t="array" ref="Q13">_xll.EQNXTDZ($A$1,$B13,Q$1)</f>
        <v>43.26</v>
      </c>
      <c r="R13" cm="1">
        <f t="array" ref="R13">_xll.EQNXTDZ($A$1,$B13,R$1)</f>
        <v>40.369999999999997</v>
      </c>
      <c r="S13" cm="1">
        <f t="array" ref="S13">_xll.EQNXTDZ($A$1,$B13,S$1)</f>
        <v>42.8</v>
      </c>
      <c r="T13" cm="1">
        <f t="array" ref="T13">_xll.EQNXTDZ($A$1,$B13,T$1)</f>
        <v>47</v>
      </c>
      <c r="U13" cm="1">
        <f t="array" ref="U13">_xll.EQNXTDZ($A$1,$B13,U$1)</f>
        <v>52.78</v>
      </c>
      <c r="V13" cm="1">
        <f t="array" ref="V13">_xll.EQNXTDZ($A$1,$B13,V$1)</f>
        <v>52</v>
      </c>
      <c r="W13" cm="1">
        <f t="array" ref="W13">_xll.EQNXTDZ($A$1,$B13,W$1)</f>
        <v>49.6</v>
      </c>
      <c r="X13" cm="1">
        <f t="array" ref="X13">_xll.EQNXTDZ($A$1,$B13,X$1)</f>
        <v>50</v>
      </c>
      <c r="Y13" cm="1">
        <f t="array" ref="Y13">_xll.EQNXTDZ($A$1,$B13,Y$1)</f>
        <v>65.89</v>
      </c>
      <c r="Z13" cm="1">
        <f t="array" ref="Z13">_xll.EQNXTDZ($A$1,$B13,Z$1)</f>
        <v>66.040000000000006</v>
      </c>
      <c r="AA13" cm="1">
        <f t="array" ref="AA13">_xll.EQNXTDZ($A$1,$B13,AA$1)</f>
        <v>99.36</v>
      </c>
      <c r="AB13" cm="1">
        <f t="array" ref="AB13">_xll.EQNXTDZ($A$1,$B13,AB$1)</f>
        <v>110.2</v>
      </c>
      <c r="AC13" cm="1">
        <f t="array" ref="AC13">_xll.EQNXTDZ($A$1,$B13,AC$1)</f>
        <v>104.8</v>
      </c>
      <c r="AD13" cm="1">
        <f t="array" ref="AD13">_xll.EQNXTDZ($A$1,$B13,AD$1)</f>
        <v>107</v>
      </c>
      <c r="AE13" cm="1">
        <f t="array" ref="AE13">_xll.EQNXTDZ($A$1,$B13,AE$1)</f>
        <v>107.28</v>
      </c>
      <c r="AF13" cm="1">
        <f t="array" ref="AF13">_xll.EQNXTDZ($A$1,$B13,AF$1)</f>
        <v>106.8</v>
      </c>
      <c r="AG13" cm="1">
        <f t="array" ref="AG13">_xll.EQNXTDZ($A$1,$B13,AG$1)</f>
        <v>111</v>
      </c>
      <c r="AH13" cm="1">
        <f t="array" ref="AH13">_xll.EQNXTDZ($A$1,$B13,AH$1)</f>
        <v>129.6</v>
      </c>
      <c r="AI13" cm="1">
        <f t="array" ref="AI13">_xll.EQNXTDZ($A$1,$B13,AI$1)</f>
        <v>137.80000000000001</v>
      </c>
      <c r="AJ13" cm="1">
        <f t="array" ref="AJ13">_xll.EQNXTDZ($A$1,$B13,AJ$1)</f>
        <v>141</v>
      </c>
      <c r="AK13" cm="1">
        <f t="array" ref="AK13">_xll.EQNXTDZ($A$1,$B13,AK$1)</f>
        <v>148.6</v>
      </c>
      <c r="AL13" cm="1">
        <f t="array" ref="AL13">_xll.EQNXTDZ($A$1,$B13,AL$1)</f>
        <v>115.95</v>
      </c>
      <c r="AM13" cm="1">
        <f t="array" ref="AM13">_xll.EQNXTDZ($A$1,$B13,AM$1)</f>
        <v>114.95</v>
      </c>
      <c r="AN13" cm="1">
        <f t="array" ref="AN13">_xll.EQNXTDZ($A$1,$B13,AN$1)</f>
        <v>122.55</v>
      </c>
      <c r="AO13" cm="1">
        <f t="array" ref="AO13">_xll.EQNXTDZ($A$1,$B13,AO$1)</f>
        <v>124.8</v>
      </c>
      <c r="AP13" cm="1">
        <f t="array" ref="AP13">_xll.EQNXTDZ($A$1,$B13,AP$1)</f>
        <v>119.9</v>
      </c>
      <c r="AQ13" cm="1">
        <f t="array" ref="AQ13">_xll.EQNXTDZ($A$1,$B13,AQ$1)</f>
        <v>120</v>
      </c>
      <c r="AR13" cm="1">
        <f t="array" ref="AR13">_xll.EQNXTDZ($A$1,$B13,AR$1)</f>
        <v>121.4</v>
      </c>
      <c r="AS13" cm="1">
        <f t="array" ref="AS13">_xll.EQNXTDZ($A$1,$B13,AS$1)</f>
        <v>116</v>
      </c>
      <c r="AT13" cm="1">
        <f t="array" ref="AT13">_xll.EQNXTDZ($A$1,$B13,AT$1)</f>
        <v>122</v>
      </c>
      <c r="AU13" cm="1">
        <f t="array" ref="AU13">_xll.EQNXTDZ($A$1,$B13,AU$1)</f>
        <v>112</v>
      </c>
      <c r="AV13" cm="1">
        <f t="array" ref="AV13">_xll.EQNXTDZ($A$1,$B13,AV$1)</f>
        <v>104.9</v>
      </c>
      <c r="AW13" cm="1">
        <f t="array" ref="AW13">_xll.EQNXTDZ($A$1,$B13,AW$1)</f>
        <v>126.4</v>
      </c>
      <c r="AX13" cm="1">
        <f t="array" ref="AX13">_xll.EQNXTDZ($A$1,$B13,AX$1)</f>
        <v>137.94999999999999</v>
      </c>
      <c r="AY13" cm="1">
        <f t="array" ref="AY13">_xll.EQNXTDZ($A$1,$B13,AY$1)</f>
        <v>135.6</v>
      </c>
      <c r="AZ13" cm="1">
        <f t="array" ref="AZ13">_xll.EQNXTDZ($A$1,$B13,AZ$1)</f>
        <v>146</v>
      </c>
      <c r="BA13" cm="1">
        <f t="array" ref="BA13">_xll.EQNXTDZ($A$1,$B13,BA$1)</f>
        <v>135.4</v>
      </c>
      <c r="BB13" cm="1">
        <f t="array" ref="BB13">_xll.EQNXTDZ($A$1,$B13,BB$1)</f>
        <v>133.4</v>
      </c>
      <c r="BC13" cm="1">
        <f t="array" ref="BC13">_xll.EQNXTDZ($A$1,$B13,BC$1)</f>
        <v>120.04</v>
      </c>
      <c r="BD13" cm="1">
        <f t="array" ref="BD13">_xll.EQNXTDZ($A$1,$B13,BD$1)</f>
        <v>118</v>
      </c>
      <c r="BE13" cm="1">
        <f t="array" ref="BE13">_xll.EQNXTDZ($A$1,$B13,BE$1)</f>
        <v>120.2</v>
      </c>
      <c r="BF13" cm="1">
        <f t="array" ref="BF13">_xll.EQNXTDZ($A$1,$B13,BF$1)</f>
        <v>125.19</v>
      </c>
      <c r="BG13" cm="1">
        <f t="array" ref="BG13">_xll.EQNXTDZ($A$1,$B13,BG$1)</f>
        <v>123</v>
      </c>
      <c r="BH13" cm="1">
        <f t="array" ref="BH13">_xll.EQNXTDZ($A$1,$B13,BH$1)</f>
        <v>125</v>
      </c>
      <c r="BI13" cm="1">
        <f t="array" ref="BI13">_xll.EQNXTDZ($A$1,$B13,BI$1)</f>
        <v>143</v>
      </c>
      <c r="BJ13" cm="1">
        <f t="array" ref="BJ13">_xll.EQNXTDZ($A$1,$B13,BJ$1)</f>
        <v>140.01</v>
      </c>
      <c r="BK13" cm="1">
        <f t="array" ref="BK13">_xll.EQNXTDZ($A$1,$B13,BK$1)</f>
        <v>136.34</v>
      </c>
      <c r="BL13" cm="1">
        <f t="array" ref="BL13">_xll.EQNXTDZ($A$1,$B13,BL$1)</f>
        <v>152.4</v>
      </c>
      <c r="BM13" cm="1">
        <f t="array" ref="BM13">_xll.EQNXTDZ($A$1,$B13,BM$1)</f>
        <v>150.80000000000001</v>
      </c>
      <c r="BN13" cm="1">
        <f t="array" ref="BN13">_xll.EQNXTDZ($A$1,$B13,BN$1)</f>
        <v>142.94999999999999</v>
      </c>
      <c r="BO13" cm="1">
        <f t="array" ref="BO13">_xll.EQNXTDZ($A$1,$B13,BO$1)</f>
        <v>147.19999999999999</v>
      </c>
      <c r="BP13" cm="1">
        <f t="array" ref="BP13">_xll.EQNXTDZ($A$1,$B13,BP$1)</f>
        <v>168.99</v>
      </c>
      <c r="BQ13" cm="1">
        <f t="array" ref="BQ13">_xll.EQNXTDZ($A$1,$B13,BQ$1)</f>
        <v>173.39</v>
      </c>
      <c r="BR13" cm="1">
        <f t="array" ref="BR13">_xll.EQNXTDZ($A$1,$B13,BR$1)</f>
        <v>178.4</v>
      </c>
      <c r="BS13" cm="1">
        <f t="array" ref="BS13">_xll.EQNXTDZ($A$1,$B13,BS$1)</f>
        <v>181.59</v>
      </c>
      <c r="BT13" cm="1">
        <f t="array" ref="BT13">_xll.EQNXTDZ($A$1,$B13,BT$1)</f>
        <v>160</v>
      </c>
      <c r="BU13" cm="1">
        <f t="array" ref="BU13">_xll.EQNXTDZ($A$1,$B13,BU$1)</f>
        <v>165</v>
      </c>
      <c r="BV13" cm="1">
        <f t="array" ref="BV13">_xll.EQNXTDZ($A$1,$B13,BV$1)</f>
        <v>167.6</v>
      </c>
      <c r="BW13" cm="1">
        <f t="array" ref="BW13">_xll.EQNXTDZ($A$1,$B13,BW$1)</f>
        <v>164</v>
      </c>
      <c r="BX13" cm="1">
        <f t="array" ref="BX13">_xll.EQNXTDZ($A$1,$B13,BX$1)</f>
        <v>150.41</v>
      </c>
      <c r="BY13" cm="1">
        <f t="array" ref="BY13">_xll.EQNXTDZ($A$1,$B13,BY$1)</f>
        <v>157.88999999999999</v>
      </c>
      <c r="BZ13" cm="1">
        <f t="array" ref="BZ13">_xll.EQNXTDZ($A$1,$B13,BZ$1)</f>
        <v>155.6</v>
      </c>
      <c r="CA13" cm="1">
        <f t="array" ref="CA13">_xll.EQNXTDZ($A$1,$B13,CA$1)</f>
        <v>141.6</v>
      </c>
      <c r="CB13" cm="1">
        <f t="array" ref="CB13">_xll.EQNXTDZ($A$1,$B13,CB$1)</f>
        <v>162</v>
      </c>
      <c r="CC13" cm="1">
        <f t="array" ref="CC13">_xll.EQNXTDZ($A$1,$B13,CC$1)</f>
        <v>152.1</v>
      </c>
      <c r="CD13" cm="1">
        <f t="array" ref="CD13">_xll.EQNXTDZ($A$1,$B13,CD$1)</f>
        <v>156</v>
      </c>
      <c r="CE13" cm="1">
        <f t="array" ref="CE13">_xll.EQNXTDZ($A$1,$B13,CE$1)</f>
        <v>141</v>
      </c>
      <c r="CF13" cm="1">
        <f t="array" ref="CF13">_xll.EQNXTDZ($A$1,$B13,CF$1)</f>
        <v>128.94</v>
      </c>
      <c r="CG13" cm="1">
        <f t="array" ref="CG13">_xll.EQNXTDZ($A$1,$B13,CG$1)</f>
        <v>138.6</v>
      </c>
      <c r="CH13" cm="1">
        <f t="array" ref="CH13">_xll.EQNXTDZ($A$1,$B13,CH$1)</f>
        <v>133.05000000000001</v>
      </c>
      <c r="CI13" cm="1">
        <f t="array" ref="CI13">_xll.EQNXTDZ($A$1,$B13,CI$1)</f>
        <v>138</v>
      </c>
      <c r="CJ13" cm="1">
        <f t="array" ref="CJ13">_xll.EQNXTDZ($A$1,$B13,CJ$1)</f>
        <v>142.41999999999999</v>
      </c>
      <c r="CK13" cm="1">
        <f t="array" ref="CK13">_xll.EQNXTDZ($A$1,$B13,CK$1)</f>
        <v>120.95</v>
      </c>
      <c r="CL13" cm="1">
        <f t="array" ref="CL13">_xll.EQNXTDZ($A$1,$B13,CL$1)</f>
        <v>123.13</v>
      </c>
      <c r="CM13" cm="1">
        <f t="array" ref="CM13">_xll.EQNXTDZ($A$1,$B13,CM$1)</f>
        <v>139.4</v>
      </c>
      <c r="CN13" cm="1">
        <f t="array" ref="CN13">_xll.EQNXTDZ($A$1,$B13,CN$1)</f>
        <v>136.97999999999999</v>
      </c>
      <c r="CO13" cm="1">
        <f t="array" ref="CO13">_xll.EQNXTDZ($A$1,$B13,CO$1)</f>
        <v>134.30000000000001</v>
      </c>
      <c r="CP13" cm="1">
        <f t="array" ref="CP13">_xll.EQNXTDZ($A$1,$B13,CP$1)</f>
        <v>136</v>
      </c>
      <c r="CQ13" cm="1">
        <f t="array" ref="CQ13">_xll.EQNXTDZ($A$1,$B13,CQ$1)</f>
        <v>147.25</v>
      </c>
      <c r="CR13" cm="1">
        <f t="array" ref="CR13">_xll.EQNXTDZ($A$1,$B13,CR$1)</f>
        <v>136</v>
      </c>
      <c r="CS13" cm="1">
        <f t="array" ref="CS13">_xll.EQNXTDZ($A$1,$B13,CS$1)</f>
        <v>83.18</v>
      </c>
      <c r="CT13" cm="1">
        <f t="array" ref="CT13">_xll.EQNXTDZ($A$1,$B13,CT$1)</f>
        <v>98.34</v>
      </c>
      <c r="CU13" cm="1">
        <f t="array" ref="CU13">_xll.EQNXTDZ($A$1,$B13,CU$1)</f>
        <v>94.4</v>
      </c>
      <c r="CV13" cm="1">
        <f t="array" ref="CV13">_xll.EQNXTDZ($A$1,$B13,CV$1)</f>
        <v>93.2</v>
      </c>
      <c r="CW13" cm="1">
        <f t="array" ref="CW13">_xll.EQNXTDZ($A$1,$B13,CW$1)</f>
        <v>99.3</v>
      </c>
      <c r="CX13" cm="1">
        <f t="array" ref="CX13">_xll.EQNXTDZ($A$1,$B13,CX$1)</f>
        <v>106.01</v>
      </c>
      <c r="CY13" cm="1">
        <f t="array" ref="CY13">_xll.EQNXTDZ($A$1,$B13,CY$1)</f>
        <v>96.9</v>
      </c>
      <c r="CZ13" cm="1">
        <f t="array" ref="CZ13">_xll.EQNXTDZ($A$1,$B13,CZ$1)</f>
        <v>90.05</v>
      </c>
      <c r="DA13" cm="1">
        <f t="array" ref="DA13">_xll.EQNXTDZ($A$1,$B13,DA$1)</f>
        <v>116.6</v>
      </c>
      <c r="DB13" cm="1">
        <f t="array" ref="DB13">_xll.EQNXTDZ($A$1,$B13,DB$1)</f>
        <v>128.69999999999999</v>
      </c>
      <c r="DC13" cm="1">
        <f t="array" ref="DC13">_xll.EQNXTDZ($A$1,$B13,DC$1)</f>
        <v>126.88</v>
      </c>
      <c r="DD13" cm="1">
        <f t="array" ref="DD13">_xll.EQNXTDZ($A$1,$B13,DD$1)</f>
        <v>149.59</v>
      </c>
      <c r="DE13" cm="1">
        <f t="array" ref="DE13">_xll.EQNXTDZ($A$1,$B13,DE$1)</f>
        <v>182</v>
      </c>
      <c r="DF13" cm="1">
        <f t="array" ref="DF13">_xll.EQNXTDZ($A$1,$B13,DF$1)</f>
        <v>174.2</v>
      </c>
      <c r="DG13" cm="1">
        <f t="array" ref="DG13">_xll.EQNXTDZ($A$1,$B13,DG$1)</f>
        <v>196</v>
      </c>
      <c r="DH13" cm="1">
        <f t="array" ref="DH13">_xll.EQNXTDZ($A$1,$B13,DH$1)</f>
        <v>203.12</v>
      </c>
      <c r="DI13" cm="1">
        <f t="array" ref="DI13">_xll.EQNXTDZ($A$1,$B13,DI$1)</f>
        <v>233.6</v>
      </c>
      <c r="DJ13" cm="1">
        <f t="array" ref="DJ13">_xll.EQNXTDZ($A$1,$B13,DJ$1)</f>
        <v>238.2</v>
      </c>
      <c r="DK13" cm="1">
        <f t="array" ref="DK13">_xll.EQNXTDZ($A$1,$B13,DK$1)</f>
        <v>244.44</v>
      </c>
      <c r="DL13" cm="1">
        <f t="array" ref="DL13">_xll.EQNXTDZ($A$1,$B13,DL$1)</f>
        <v>268</v>
      </c>
      <c r="DM13" cm="1">
        <f t="array" ref="DM13">_xll.EQNXTDZ($A$1,$B13,DM$1)</f>
        <v>248.99</v>
      </c>
      <c r="DN13" cm="1">
        <f t="array" ref="DN13">_xll.EQNXTDZ($A$1,$B13,DN$1)</f>
        <v>242.26</v>
      </c>
      <c r="DO13" cm="1">
        <f t="array" ref="DO13">_xll.EQNXTDZ($A$1,$B13,DO$1)</f>
        <v>247.6</v>
      </c>
      <c r="DP13" cm="1">
        <f t="array" ref="DP13">_xll.EQNXTDZ($A$1,$B13,DP$1)</f>
        <v>219.71</v>
      </c>
      <c r="DQ13" cm="1">
        <f t="array" ref="DQ13">_xll.EQNXTDZ($A$1,$B13,DQ$1)</f>
        <v>267.2</v>
      </c>
      <c r="DR13" cm="1">
        <f t="array" ref="DR13">_xll.EQNXTDZ($A$1,$B13,DR$1)</f>
        <v>266.64</v>
      </c>
      <c r="DS13" cm="1">
        <f t="array" ref="DS13">_xll.EQNXTDZ($A$1,$B13,DS$1)</f>
        <v>267.23</v>
      </c>
      <c r="DT13" cm="1">
        <f t="array" ref="DT13">_xll.EQNXTDZ($A$1,$B13,DT$1)</f>
        <v>295.2</v>
      </c>
      <c r="DU13" cm="1">
        <f t="array" ref="DU13">_xll.EQNXTDZ($A$1,$B13,DU$1)</f>
        <v>295.52</v>
      </c>
      <c r="DV13" cm="1">
        <f t="array" ref="DV13">_xll.EQNXTDZ($A$1,$B13,DV$1)</f>
        <v>375.2</v>
      </c>
      <c r="DW13" cm="1">
        <f t="array" ref="DW13">_xll.EQNXTDZ($A$1,$B13,DW$1)</f>
        <v>394.01</v>
      </c>
      <c r="DX13" cm="1">
        <f t="array" ref="DX13">_xll.EQNXTDZ($A$1,$B13,DX$1)</f>
        <v>419.9</v>
      </c>
      <c r="DY13" cm="1">
        <f t="array" ref="DY13">_xll.EQNXTDZ($A$1,$B13,DY$1)</f>
        <v>399.64</v>
      </c>
      <c r="DZ13" cm="1">
        <f t="array" ref="DZ13">_xll.EQNXTDZ($A$1,$B13,DZ$1)</f>
        <v>388.16</v>
      </c>
      <c r="EA13" cm="1">
        <f t="array" ref="EA13">_xll.EQNXTDZ($A$1,$B13,EA$1)</f>
        <v>365.06</v>
      </c>
      <c r="EB13" cm="1">
        <f t="array" ref="EB13">_xll.EQNXTDZ($A$1,$B13,EB$1)</f>
        <v>386.95</v>
      </c>
      <c r="EC13" cm="1">
        <f t="array" ref="EC13">_xll.EQNXTDZ($A$1,$B13,EC$1)</f>
        <v>429.44</v>
      </c>
      <c r="ED13" cm="1">
        <f t="array" ref="ED13">_xll.EQNXTDZ($A$1,$B13,ED$1)</f>
        <v>450.07</v>
      </c>
      <c r="EE13" cm="1">
        <f t="array" ref="EE13">_xll.EQNXTDZ($A$1,$B13,EE$1)</f>
        <v>420.54</v>
      </c>
      <c r="EF13" cm="1">
        <f t="array" ref="EF13">_xll.EQNXTDZ($A$1,$B13,EF$1)</f>
        <v>430.08</v>
      </c>
      <c r="EG13" cm="1">
        <f t="array" ref="EG13">_xll.EQNXTDZ($A$1,$B13,EG$1)</f>
        <v>453.01</v>
      </c>
      <c r="EH13" cm="1">
        <f t="array" ref="EH13">_xll.EQNXTDZ($A$1,$B13,EH$1)</f>
        <v>555.94000000000005</v>
      </c>
      <c r="EI13" cm="1">
        <f t="array" ref="EI13">_xll.EQNXTDZ($A$1,$B13,EI$1)</f>
        <v>601.63</v>
      </c>
      <c r="EJ13" cm="1">
        <f t="array" ref="EJ13">_xll.EQNXTDZ($A$1,$B13,EJ$1)</f>
        <v>607.19000000000005</v>
      </c>
      <c r="EK13" cm="1">
        <f t="array" ref="EK13">_xll.EQNXTDZ($A$1,$B13,EK$1)</f>
        <v>693.99</v>
      </c>
      <c r="EL13" cm="1">
        <f t="array" ref="EL13">_xll.EQNXTDZ($A$1,$B13,EL$1)</f>
        <v>689.66</v>
      </c>
      <c r="EM13" cm="1">
        <f t="array" ref="EM13">_xll.EQNXTDZ($A$1,$B13,EM$1)</f>
        <v>743.63</v>
      </c>
      <c r="EN13" cm="1">
        <f t="array" ref="EN13">_xll.EQNXTDZ($A$1,$B13,EN$1)</f>
        <v>731.75</v>
      </c>
      <c r="EO13" cm="1">
        <f t="array" ref="EO13">_xll.EQNXTDZ($A$1,$B13,EO$1)</f>
        <v>771.49</v>
      </c>
      <c r="EP13" cm="1">
        <f t="array" ref="EP13">_xll.EQNXTDZ($A$1,$B13,EP$1)</f>
        <v>904</v>
      </c>
      <c r="EQ13" cm="1">
        <f t="array" ref="EQ13">_xll.EQNXTDZ($A$1,$B13,EQ$1)</f>
        <v>950.01</v>
      </c>
      <c r="ER13" cm="1">
        <f t="array" ref="ER13">_xll.EQNXTDZ($A$1,$B13,ER$1)</f>
        <v>953.6</v>
      </c>
      <c r="ES13" cm="1">
        <f t="array" ref="ES13">_xll.EQNXTDZ($A$1,$B13,ES$1)</f>
        <v>969.95</v>
      </c>
      <c r="ET13" cm="1">
        <f t="array" ref="ET13">_xll.EQNXTDZ($A$1,$B13,ET$1)</f>
        <v>941.6</v>
      </c>
      <c r="EU13" cm="1">
        <f t="array" ref="EU13">_xll.EQNXTDZ($A$1,$B13,EU$1)</f>
        <v>899</v>
      </c>
      <c r="EV13" cm="1">
        <f t="array" ref="EV13">_xll.EQNXTDZ($A$1,$B13,EV$1)</f>
        <v>809.3</v>
      </c>
      <c r="EW13" cm="1">
        <f t="array" ref="EW13">_xll.EQNXTDZ($A$1,$B13,EW$1)</f>
        <v>848.7</v>
      </c>
      <c r="EX13" cm="1">
        <f t="array" ref="EX13">_xll.EQNXTDZ($A$1,$B13,EX$1)</f>
        <v>762</v>
      </c>
      <c r="EY13" cm="1">
        <f t="array" ref="EY13">_xll.EQNXTDZ($A$1,$B13,EY$1)</f>
        <v>698.8</v>
      </c>
      <c r="EZ13" cm="1">
        <f t="array" ref="EZ13">_xll.EQNXTDZ($A$1,$B13,EZ$1)</f>
        <v>610.9</v>
      </c>
      <c r="FA13" cm="1">
        <f t="array" ref="FA13">_xll.EQNXTDZ($A$1,$B13,FA$1)</f>
        <v>708.25</v>
      </c>
      <c r="FB13" cm="1">
        <f t="array" ref="FB13">_xll.EQNXTDZ($A$1,$B13,FB$1)</f>
        <v>720.2</v>
      </c>
      <c r="FC13" cm="1">
        <f t="array" ref="FC13">_xll.EQNXTDZ($A$1,$B13,FC$1)</f>
        <v>855</v>
      </c>
      <c r="FD13" cm="1">
        <f t="array" ref="FD13">_xll.EQNXTDZ($A$1,$B13,FD$1)</f>
        <v>847.75</v>
      </c>
      <c r="FE13" cm="1">
        <f t="array" ref="FE13">_xll.EQNXTDZ($A$1,$B13,FE$1)</f>
        <v>849.95</v>
      </c>
      <c r="FF13" cm="1">
        <f t="array" ref="FF13">_xll.EQNXTDZ($A$1,$B13,FF$1)</f>
        <v>825.4</v>
      </c>
      <c r="FG13" cm="1">
        <f t="array" ref="FG13">_xll.EQNXTDZ($A$1,$B13,FG$1)</f>
        <v>815.2</v>
      </c>
      <c r="FH13" cm="1">
        <f t="array" ref="FH13">_xll.EQNXTDZ($A$1,$B13,FH$1)</f>
        <v>786.95</v>
      </c>
      <c r="FI13" cm="1">
        <f t="array" ref="FI13">_xll.EQNXTDZ($A$1,$B13,FI$1)</f>
        <v>764.15</v>
      </c>
      <c r="FJ13" cm="1">
        <f t="array" ref="FJ13">_xll.EQNXTDZ($A$1,$B13,FJ$1)</f>
        <v>754.2</v>
      </c>
      <c r="FK13" cm="1">
        <f t="array" ref="FK13">_xll.EQNXTDZ($A$1,$B13,FK$1)</f>
        <v>705</v>
      </c>
      <c r="FL13" cm="1">
        <f t="array" ref="FL13">_xll.EQNXTDZ($A$1,$B13,FL$1)</f>
        <v>744.3</v>
      </c>
      <c r="FM13" cm="1">
        <f t="array" ref="FM13">_xll.EQNXTDZ($A$1,$B13,FM$1)</f>
        <v>807.95</v>
      </c>
      <c r="FN13" cm="1">
        <f t="array" ref="FN13">_xll.EQNXTDZ($A$1,$B13,FN$1)</f>
        <v>976.15</v>
      </c>
      <c r="FO13" cm="1">
        <f t="array" ref="FO13">_xll.EQNXTDZ($A$1,$B13,FO$1)</f>
        <v>787.1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39.18</v>
      </c>
      <c r="D14" s="115" cm="1">
        <f t="array" ref="D14">_xll.EQNXTDZ($A$1,$B14,D$1)</f>
        <v>44.4</v>
      </c>
      <c r="E14" s="115" cm="1">
        <f t="array" ref="E14">_xll.EQNXTDZ($A$1,$B14,E$1)</f>
        <v>44.4</v>
      </c>
      <c r="F14" s="115" cm="1">
        <f t="array" ref="F14">_xll.EQNXTDZ($A$1,$B14,F$1)</f>
        <v>42.58</v>
      </c>
      <c r="G14" s="115" cm="1">
        <f t="array" ref="G14">_xll.EQNXTDZ($A$1,$B14,G$1)</f>
        <v>48.19</v>
      </c>
      <c r="H14" s="115" cm="1">
        <f t="array" ref="H14">_xll.EQNXTDZ($A$1,$B14,H$1)</f>
        <v>47.29</v>
      </c>
      <c r="I14" s="115" cm="1">
        <f t="array" ref="I14">_xll.EQNXTDZ($A$1,$B14,I$1)</f>
        <v>47.3</v>
      </c>
      <c r="J14" s="115" cm="1">
        <f t="array" ref="J14">_xll.EQNXTDZ($A$1,$B14,J$1)</f>
        <v>46.72</v>
      </c>
      <c r="K14" s="115" cm="1">
        <f t="array" ref="K14">_xll.EQNXTDZ($A$1,$B14,K$1)</f>
        <v>41.5</v>
      </c>
      <c r="L14" s="115" cm="1">
        <f t="array" ref="L14">_xll.EQNXTDZ($A$1,$B14,L$1)</f>
        <v>41.4</v>
      </c>
      <c r="M14" s="115" cm="1">
        <f t="array" ref="M14">_xll.EQNXTDZ($A$1,$B14,M$1)</f>
        <v>42.8</v>
      </c>
      <c r="N14" s="115" cm="1">
        <f t="array" ref="N14">_xll.EQNXTDZ($A$1,$B14,N$1)</f>
        <v>46.4</v>
      </c>
      <c r="O14" s="115" cm="1">
        <f t="array" ref="O14">_xll.EQNXTDZ($A$1,$B14,O$1)</f>
        <v>43</v>
      </c>
      <c r="P14" s="115" cm="1">
        <f t="array" ref="P14">_xll.EQNXTDZ($A$1,$B14,P$1)</f>
        <v>43.4</v>
      </c>
      <c r="Q14" s="115" cm="1">
        <f t="array" ref="Q14">_xll.EQNXTDZ($A$1,$B14,Q$1)</f>
        <v>43.26</v>
      </c>
      <c r="R14" s="115" cm="1">
        <f t="array" ref="R14">_xll.EQNXTDZ($A$1,$B14,R$1)</f>
        <v>44.2</v>
      </c>
      <c r="S14" s="115" cm="1">
        <f t="array" ref="S14">_xll.EQNXTDZ($A$1,$B14,S$1)</f>
        <v>48.18</v>
      </c>
      <c r="T14" s="115" cm="1">
        <f t="array" ref="T14">_xll.EQNXTDZ($A$1,$B14,T$1)</f>
        <v>54.46</v>
      </c>
      <c r="U14" s="115" cm="1">
        <f t="array" ref="U14">_xll.EQNXTDZ($A$1,$B14,U$1)</f>
        <v>54.8</v>
      </c>
      <c r="V14" s="115" cm="1">
        <f t="array" ref="V14">_xll.EQNXTDZ($A$1,$B14,V$1)</f>
        <v>54.8</v>
      </c>
      <c r="W14" s="115" cm="1">
        <f t="array" ref="W14">_xll.EQNXTDZ($A$1,$B14,W$1)</f>
        <v>55</v>
      </c>
      <c r="X14" s="115" cm="1">
        <f t="array" ref="X14">_xll.EQNXTDZ($A$1,$B14,X$1)</f>
        <v>72.8</v>
      </c>
      <c r="Y14" s="115" cm="1">
        <f t="array" ref="Y14">_xll.EQNXTDZ($A$1,$B14,Y$1)</f>
        <v>73.400000000000006</v>
      </c>
      <c r="Z14" s="115" cm="1">
        <f t="array" ref="Z14">_xll.EQNXTDZ($A$1,$B14,Z$1)</f>
        <v>108.4</v>
      </c>
      <c r="AA14" s="115" cm="1">
        <f t="array" ref="AA14">_xll.EQNXTDZ($A$1,$B14,AA$1)</f>
        <v>114.7</v>
      </c>
      <c r="AB14" s="115" cm="1">
        <f t="array" ref="AB14">_xll.EQNXTDZ($A$1,$B14,AB$1)</f>
        <v>113.2</v>
      </c>
      <c r="AC14" s="115" cm="1">
        <f t="array" ref="AC14">_xll.EQNXTDZ($A$1,$B14,AC$1)</f>
        <v>110.5</v>
      </c>
      <c r="AD14" s="115" cm="1">
        <f t="array" ref="AD14">_xll.EQNXTDZ($A$1,$B14,AD$1)</f>
        <v>118.36</v>
      </c>
      <c r="AE14" s="115" cm="1">
        <f t="array" ref="AE14">_xll.EQNXTDZ($A$1,$B14,AE$1)</f>
        <v>110.6</v>
      </c>
      <c r="AF14" s="115" cm="1">
        <f t="array" ref="AF14">_xll.EQNXTDZ($A$1,$B14,AF$1)</f>
        <v>128</v>
      </c>
      <c r="AG14" s="115" cm="1">
        <f t="array" ref="AG14">_xll.EQNXTDZ($A$1,$B14,AG$1)</f>
        <v>136</v>
      </c>
      <c r="AH14" s="115" cm="1">
        <f t="array" ref="AH14">_xll.EQNXTDZ($A$1,$B14,AH$1)</f>
        <v>142</v>
      </c>
      <c r="AI14" s="115" cm="1">
        <f t="array" ref="AI14">_xll.EQNXTDZ($A$1,$B14,AI$1)</f>
        <v>165</v>
      </c>
      <c r="AJ14" s="115" cm="1">
        <f t="array" ref="AJ14">_xll.EQNXTDZ($A$1,$B14,AJ$1)</f>
        <v>150.94999999999999</v>
      </c>
      <c r="AK14" s="115" cm="1">
        <f t="array" ref="AK14">_xll.EQNXTDZ($A$1,$B14,AK$1)</f>
        <v>148.80000000000001</v>
      </c>
      <c r="AL14" s="115" cm="1">
        <f t="array" ref="AL14">_xll.EQNXTDZ($A$1,$B14,AL$1)</f>
        <v>125.4</v>
      </c>
      <c r="AM14" s="115" cm="1">
        <f t="array" ref="AM14">_xll.EQNXTDZ($A$1,$B14,AM$1)</f>
        <v>130</v>
      </c>
      <c r="AN14" s="115" cm="1">
        <f t="array" ref="AN14">_xll.EQNXTDZ($A$1,$B14,AN$1)</f>
        <v>139</v>
      </c>
      <c r="AO14" s="115" cm="1">
        <f t="array" ref="AO14">_xll.EQNXTDZ($A$1,$B14,AO$1)</f>
        <v>129.75</v>
      </c>
      <c r="AP14" s="115" cm="1">
        <f t="array" ref="AP14">_xll.EQNXTDZ($A$1,$B14,AP$1)</f>
        <v>120</v>
      </c>
      <c r="AQ14" s="115" cm="1">
        <f t="array" ref="AQ14">_xll.EQNXTDZ($A$1,$B14,AQ$1)</f>
        <v>123.45</v>
      </c>
      <c r="AR14" s="115" cm="1">
        <f t="array" ref="AR14">_xll.EQNXTDZ($A$1,$B14,AR$1)</f>
        <v>121.4</v>
      </c>
      <c r="AS14" s="115" cm="1">
        <f t="array" ref="AS14">_xll.EQNXTDZ($A$1,$B14,AS$1)</f>
        <v>124.95</v>
      </c>
      <c r="AT14" s="115" cm="1">
        <f t="array" ref="AT14">_xll.EQNXTDZ($A$1,$B14,AT$1)</f>
        <v>128.94999999999999</v>
      </c>
      <c r="AU14" s="115" cm="1">
        <f t="array" ref="AU14">_xll.EQNXTDZ($A$1,$B14,AU$1)</f>
        <v>115.45</v>
      </c>
      <c r="AV14" s="115" cm="1">
        <f t="array" ref="AV14">_xll.EQNXTDZ($A$1,$B14,AV$1)</f>
        <v>135.4</v>
      </c>
      <c r="AW14" s="115" cm="1">
        <f t="array" ref="AW14">_xll.EQNXTDZ($A$1,$B14,AW$1)</f>
        <v>143.85</v>
      </c>
      <c r="AX14" s="115" cm="1">
        <f t="array" ref="AX14">_xll.EQNXTDZ($A$1,$B14,AX$1)</f>
        <v>140.94999999999999</v>
      </c>
      <c r="AY14" s="115" cm="1">
        <f t="array" ref="AY14">_xll.EQNXTDZ($A$1,$B14,AY$1)</f>
        <v>148.88999999999999</v>
      </c>
      <c r="AZ14" s="115" cm="1">
        <f t="array" ref="AZ14">_xll.EQNXTDZ($A$1,$B14,AZ$1)</f>
        <v>153.59</v>
      </c>
      <c r="BA14" s="115" cm="1">
        <f t="array" ref="BA14">_xll.EQNXTDZ($A$1,$B14,BA$1)</f>
        <v>135.6</v>
      </c>
      <c r="BB14" s="115" cm="1">
        <f t="array" ref="BB14">_xll.EQNXTDZ($A$1,$B14,BB$1)</f>
        <v>133.4</v>
      </c>
      <c r="BC14" s="115" cm="1">
        <f t="array" ref="BC14">_xll.EQNXTDZ($A$1,$B14,BC$1)</f>
        <v>123.39</v>
      </c>
      <c r="BD14" s="115" cm="1">
        <f t="array" ref="BD14">_xll.EQNXTDZ($A$1,$B14,BD$1)</f>
        <v>123.48</v>
      </c>
      <c r="BE14" s="115" cm="1">
        <f t="array" ref="BE14">_xll.EQNXTDZ($A$1,$B14,BE$1)</f>
        <v>127</v>
      </c>
      <c r="BF14" s="115" cm="1">
        <f t="array" ref="BF14">_xll.EQNXTDZ($A$1,$B14,BF$1)</f>
        <v>132.4</v>
      </c>
      <c r="BG14" s="115" cm="1">
        <f t="array" ref="BG14">_xll.EQNXTDZ($A$1,$B14,BG$1)</f>
        <v>127.4</v>
      </c>
      <c r="BH14" s="115" cm="1">
        <f t="array" ref="BH14">_xll.EQNXTDZ($A$1,$B14,BH$1)</f>
        <v>146.6</v>
      </c>
      <c r="BI14" s="115" cm="1">
        <f t="array" ref="BI14">_xll.EQNXTDZ($A$1,$B14,BI$1)</f>
        <v>148.4</v>
      </c>
      <c r="BJ14" s="115" cm="1">
        <f t="array" ref="BJ14">_xll.EQNXTDZ($A$1,$B14,BJ$1)</f>
        <v>143.93</v>
      </c>
      <c r="BK14" s="115" cm="1">
        <f t="array" ref="BK14">_xll.EQNXTDZ($A$1,$B14,BK$1)</f>
        <v>160.6</v>
      </c>
      <c r="BL14" s="115" cm="1">
        <f t="array" ref="BL14">_xll.EQNXTDZ($A$1,$B14,BL$1)</f>
        <v>167.9</v>
      </c>
      <c r="BM14" s="115" cm="1">
        <f t="array" ref="BM14">_xll.EQNXTDZ($A$1,$B14,BM$1)</f>
        <v>155.52000000000001</v>
      </c>
      <c r="BN14" s="115" cm="1">
        <f t="array" ref="BN14">_xll.EQNXTDZ($A$1,$B14,BN$1)</f>
        <v>160</v>
      </c>
      <c r="BO14" s="115" cm="1">
        <f t="array" ref="BO14">_xll.EQNXTDZ($A$1,$B14,BO$1)</f>
        <v>186.2</v>
      </c>
      <c r="BP14" s="115" cm="1">
        <f t="array" ref="BP14">_xll.EQNXTDZ($A$1,$B14,BP$1)</f>
        <v>184.4</v>
      </c>
      <c r="BQ14" s="115" cm="1">
        <f t="array" ref="BQ14">_xll.EQNXTDZ($A$1,$B14,BQ$1)</f>
        <v>185</v>
      </c>
      <c r="BR14" s="115" cm="1">
        <f t="array" ref="BR14">_xll.EQNXTDZ($A$1,$B14,BR$1)</f>
        <v>187.2</v>
      </c>
      <c r="BS14" s="115" cm="1">
        <f t="array" ref="BS14">_xll.EQNXTDZ($A$1,$B14,BS$1)</f>
        <v>181.63</v>
      </c>
      <c r="BT14" s="115" cm="1">
        <f t="array" ref="BT14">_xll.EQNXTDZ($A$1,$B14,BT$1)</f>
        <v>160.1</v>
      </c>
      <c r="BU14" s="115" cm="1">
        <f t="array" ref="BU14">_xll.EQNXTDZ($A$1,$B14,BU$1)</f>
        <v>178.14</v>
      </c>
      <c r="BV14" s="115" cm="1">
        <f t="array" ref="BV14">_xll.EQNXTDZ($A$1,$B14,BV$1)</f>
        <v>175.4</v>
      </c>
      <c r="BW14" s="115" cm="1">
        <f t="array" ref="BW14">_xll.EQNXTDZ($A$1,$B14,BW$1)</f>
        <v>181.59</v>
      </c>
      <c r="BX14" s="115" cm="1">
        <f t="array" ref="BX14">_xll.EQNXTDZ($A$1,$B14,BX$1)</f>
        <v>171.49</v>
      </c>
      <c r="BY14" s="115" cm="1">
        <f t="array" ref="BY14">_xll.EQNXTDZ($A$1,$B14,BY$1)</f>
        <v>177</v>
      </c>
      <c r="BZ14" s="115" cm="1">
        <f t="array" ref="BZ14">_xll.EQNXTDZ($A$1,$B14,BZ$1)</f>
        <v>157.4</v>
      </c>
      <c r="CA14" s="115" cm="1">
        <f t="array" ref="CA14">_xll.EQNXTDZ($A$1,$B14,CA$1)</f>
        <v>162.4</v>
      </c>
      <c r="CB14" s="115" cm="1">
        <f t="array" ref="CB14">_xll.EQNXTDZ($A$1,$B14,CB$1)</f>
        <v>162</v>
      </c>
      <c r="CC14" s="115" cm="1">
        <f t="array" ref="CC14">_xll.EQNXTDZ($A$1,$B14,CC$1)</f>
        <v>163.80000000000001</v>
      </c>
      <c r="CD14" s="115" cm="1">
        <f t="array" ref="CD14">_xll.EQNXTDZ($A$1,$B14,CD$1)</f>
        <v>156</v>
      </c>
      <c r="CE14" s="115" cm="1">
        <f t="array" ref="CE14">_xll.EQNXTDZ($A$1,$B14,CE$1)</f>
        <v>141</v>
      </c>
      <c r="CF14" s="115" cm="1">
        <f t="array" ref="CF14">_xll.EQNXTDZ($A$1,$B14,CF$1)</f>
        <v>150.4</v>
      </c>
      <c r="CG14" s="115" cm="1">
        <f t="array" ref="CG14">_xll.EQNXTDZ($A$1,$B14,CG$1)</f>
        <v>141.97999999999999</v>
      </c>
      <c r="CH14" s="115" cm="1">
        <f t="array" ref="CH14">_xll.EQNXTDZ($A$1,$B14,CH$1)</f>
        <v>144.19</v>
      </c>
      <c r="CI14" s="115" cm="1">
        <f t="array" ref="CI14">_xll.EQNXTDZ($A$1,$B14,CI$1)</f>
        <v>147.97999999999999</v>
      </c>
      <c r="CJ14" s="115" cm="1">
        <f t="array" ref="CJ14">_xll.EQNXTDZ($A$1,$B14,CJ$1)</f>
        <v>148</v>
      </c>
      <c r="CK14" s="115" cm="1">
        <f t="array" ref="CK14">_xll.EQNXTDZ($A$1,$B14,CK$1)</f>
        <v>124.2</v>
      </c>
      <c r="CL14" s="115" cm="1">
        <f t="array" ref="CL14">_xll.EQNXTDZ($A$1,$B14,CL$1)</f>
        <v>142.96</v>
      </c>
      <c r="CM14" s="115" cm="1">
        <f t="array" ref="CM14">_xll.EQNXTDZ($A$1,$B14,CM$1)</f>
        <v>140.19999999999999</v>
      </c>
      <c r="CN14" s="115" cm="1">
        <f t="array" ref="CN14">_xll.EQNXTDZ($A$1,$B14,CN$1)</f>
        <v>148</v>
      </c>
      <c r="CO14" s="115" cm="1">
        <f t="array" ref="CO14">_xll.EQNXTDZ($A$1,$B14,CO$1)</f>
        <v>138</v>
      </c>
      <c r="CP14" s="115" cm="1">
        <f t="array" ref="CP14">_xll.EQNXTDZ($A$1,$B14,CP$1)</f>
        <v>152</v>
      </c>
      <c r="CQ14" s="115" cm="1">
        <f t="array" ref="CQ14">_xll.EQNXTDZ($A$1,$B14,CQ$1)</f>
        <v>152.88999999999999</v>
      </c>
      <c r="CR14" s="115" cm="1">
        <f t="array" ref="CR14">_xll.EQNXTDZ($A$1,$B14,CR$1)</f>
        <v>140.05000000000001</v>
      </c>
      <c r="CS14" s="115" cm="1">
        <f t="array" ref="CS14">_xll.EQNXTDZ($A$1,$B14,CS$1)</f>
        <v>110.69</v>
      </c>
      <c r="CT14" s="115" cm="1">
        <f t="array" ref="CT14">_xll.EQNXTDZ($A$1,$B14,CT$1)</f>
        <v>98.34</v>
      </c>
      <c r="CU14" s="115" cm="1">
        <f t="array" ref="CU14">_xll.EQNXTDZ($A$1,$B14,CU$1)</f>
        <v>107.9</v>
      </c>
      <c r="CV14" s="115" cm="1">
        <f t="array" ref="CV14">_xll.EQNXTDZ($A$1,$B14,CV$1)</f>
        <v>115.08</v>
      </c>
      <c r="CW14" s="115" cm="1">
        <f t="array" ref="CW14">_xll.EQNXTDZ($A$1,$B14,CW$1)</f>
        <v>112.69</v>
      </c>
      <c r="CX14" s="115" cm="1">
        <f t="array" ref="CX14">_xll.EQNXTDZ($A$1,$B14,CX$1)</f>
        <v>111.14</v>
      </c>
      <c r="CY14" s="115" cm="1">
        <f t="array" ref="CY14">_xll.EQNXTDZ($A$1,$B14,CY$1)</f>
        <v>98.23</v>
      </c>
      <c r="CZ14" s="115" cm="1">
        <f t="array" ref="CZ14">_xll.EQNXTDZ($A$1,$B14,CZ$1)</f>
        <v>115.48</v>
      </c>
      <c r="DA14" s="115" cm="1">
        <f t="array" ref="DA14">_xll.EQNXTDZ($A$1,$B14,DA$1)</f>
        <v>130.80000000000001</v>
      </c>
      <c r="DB14" s="115" cm="1">
        <f t="array" ref="DB14">_xll.EQNXTDZ($A$1,$B14,DB$1)</f>
        <v>141.30000000000001</v>
      </c>
      <c r="DC14" s="115" cm="1">
        <f t="array" ref="DC14">_xll.EQNXTDZ($A$1,$B14,DC$1)</f>
        <v>157.4</v>
      </c>
      <c r="DD14" s="115" cm="1">
        <f t="array" ref="DD14">_xll.EQNXTDZ($A$1,$B14,DD$1)</f>
        <v>181.87</v>
      </c>
      <c r="DE14" s="115" cm="1">
        <f t="array" ref="DE14">_xll.EQNXTDZ($A$1,$B14,DE$1)</f>
        <v>190.68</v>
      </c>
      <c r="DF14" s="115" cm="1">
        <f t="array" ref="DF14">_xll.EQNXTDZ($A$1,$B14,DF$1)</f>
        <v>210</v>
      </c>
      <c r="DG14" s="115" cm="1">
        <f t="array" ref="DG14">_xll.EQNXTDZ($A$1,$B14,DG$1)</f>
        <v>222</v>
      </c>
      <c r="DH14" s="115" cm="1">
        <f t="array" ref="DH14">_xll.EQNXTDZ($A$1,$B14,DH$1)</f>
        <v>253</v>
      </c>
      <c r="DI14" s="115" cm="1">
        <f t="array" ref="DI14">_xll.EQNXTDZ($A$1,$B14,DI$1)</f>
        <v>250</v>
      </c>
      <c r="DJ14" s="115" cm="1">
        <f t="array" ref="DJ14">_xll.EQNXTDZ($A$1,$B14,DJ$1)</f>
        <v>275</v>
      </c>
      <c r="DK14" s="115" cm="1">
        <f t="array" ref="DK14">_xll.EQNXTDZ($A$1,$B14,DK$1)</f>
        <v>269.58</v>
      </c>
      <c r="DL14" s="115" cm="1">
        <f t="array" ref="DL14">_xll.EQNXTDZ($A$1,$B14,DL$1)</f>
        <v>281.82</v>
      </c>
      <c r="DM14" s="115" cm="1">
        <f t="array" ref="DM14">_xll.EQNXTDZ($A$1,$B14,DM$1)</f>
        <v>268.2</v>
      </c>
      <c r="DN14" s="115" cm="1">
        <f t="array" ref="DN14">_xll.EQNXTDZ($A$1,$B14,DN$1)</f>
        <v>259.95999999999998</v>
      </c>
      <c r="DO14" s="115" cm="1">
        <f t="array" ref="DO14">_xll.EQNXTDZ($A$1,$B14,DO$1)</f>
        <v>249.04</v>
      </c>
      <c r="DP14" s="115" cm="1">
        <f t="array" ref="DP14">_xll.EQNXTDZ($A$1,$B14,DP$1)</f>
        <v>265.01</v>
      </c>
      <c r="DQ14" s="115" cm="1">
        <f t="array" ref="DQ14">_xll.EQNXTDZ($A$1,$B14,DQ$1)</f>
        <v>283.02</v>
      </c>
      <c r="DR14" s="115" cm="1">
        <f t="array" ref="DR14">_xll.EQNXTDZ($A$1,$B14,DR$1)</f>
        <v>304.31</v>
      </c>
      <c r="DS14" s="115" cm="1">
        <f t="array" ref="DS14">_xll.EQNXTDZ($A$1,$B14,DS$1)</f>
        <v>304</v>
      </c>
      <c r="DT14" s="115" cm="1">
        <f t="array" ref="DT14">_xll.EQNXTDZ($A$1,$B14,DT$1)</f>
        <v>324.89999999999998</v>
      </c>
      <c r="DU14" s="115" cm="1">
        <f t="array" ref="DU14">_xll.EQNXTDZ($A$1,$B14,DU$1)</f>
        <v>389.74</v>
      </c>
      <c r="DV14" s="115" cm="1">
        <f t="array" ref="DV14">_xll.EQNXTDZ($A$1,$B14,DV$1)</f>
        <v>419.57</v>
      </c>
      <c r="DW14" s="115" cm="1">
        <f t="array" ref="DW14">_xll.EQNXTDZ($A$1,$B14,DW$1)</f>
        <v>434.2</v>
      </c>
      <c r="DX14" s="115" cm="1">
        <f t="array" ref="DX14">_xll.EQNXTDZ($A$1,$B14,DX$1)</f>
        <v>419.9</v>
      </c>
      <c r="DY14" s="115" cm="1">
        <f t="array" ref="DY14">_xll.EQNXTDZ($A$1,$B14,DY$1)</f>
        <v>408.47</v>
      </c>
      <c r="DZ14" s="115" cm="1">
        <f t="array" ref="DZ14">_xll.EQNXTDZ($A$1,$B14,DZ$1)</f>
        <v>389.87</v>
      </c>
      <c r="EA14" s="115" cm="1">
        <f t="array" ref="EA14">_xll.EQNXTDZ($A$1,$B14,EA$1)</f>
        <v>403.34</v>
      </c>
      <c r="EB14" s="115" cm="1">
        <f t="array" ref="EB14">_xll.EQNXTDZ($A$1,$B14,EB$1)</f>
        <v>427.12</v>
      </c>
      <c r="EC14" s="115" cm="1">
        <f t="array" ref="EC14">_xll.EQNXTDZ($A$1,$B14,EC$1)</f>
        <v>458.59</v>
      </c>
      <c r="ED14" s="115" cm="1">
        <f t="array" ref="ED14">_xll.EQNXTDZ($A$1,$B14,ED$1)</f>
        <v>471.37</v>
      </c>
      <c r="EE14" s="115" cm="1">
        <f t="array" ref="EE14">_xll.EQNXTDZ($A$1,$B14,EE$1)</f>
        <v>452.39</v>
      </c>
      <c r="EF14" s="115" cm="1">
        <f t="array" ref="EF14">_xll.EQNXTDZ($A$1,$B14,EF$1)</f>
        <v>456.88</v>
      </c>
      <c r="EG14" s="115" cm="1">
        <f t="array" ref="EG14">_xll.EQNXTDZ($A$1,$B14,EG$1)</f>
        <v>577.28</v>
      </c>
      <c r="EH14" s="115" cm="1">
        <f t="array" ref="EH14">_xll.EQNXTDZ($A$1,$B14,EH$1)</f>
        <v>644</v>
      </c>
      <c r="EI14" s="115" cm="1">
        <f t="array" ref="EI14">_xll.EQNXTDZ($A$1,$B14,EI$1)</f>
        <v>668.07</v>
      </c>
      <c r="EJ14" s="115" cm="1">
        <f t="array" ref="EJ14">_xll.EQNXTDZ($A$1,$B14,EJ$1)</f>
        <v>699.4</v>
      </c>
      <c r="EK14" s="115" cm="1">
        <f t="array" ref="EK14">_xll.EQNXTDZ($A$1,$B14,EK$1)</f>
        <v>709.8</v>
      </c>
      <c r="EL14" s="115" cm="1">
        <f t="array" ref="EL14">_xll.EQNXTDZ($A$1,$B14,EL$1)</f>
        <v>739.19</v>
      </c>
      <c r="EM14" s="115" cm="1">
        <f t="array" ref="EM14">_xll.EQNXTDZ($A$1,$B14,EM$1)</f>
        <v>842.24</v>
      </c>
      <c r="EN14" s="115" cm="1">
        <f t="array" ref="EN14">_xll.EQNXTDZ($A$1,$B14,EN$1)</f>
        <v>775.79</v>
      </c>
      <c r="EO14" s="115" cm="1">
        <f t="array" ref="EO14">_xll.EQNXTDZ($A$1,$B14,EO$1)</f>
        <v>1037</v>
      </c>
      <c r="EP14" s="115" cm="1">
        <f t="array" ref="EP14">_xll.EQNXTDZ($A$1,$B14,EP$1)</f>
        <v>977.43</v>
      </c>
      <c r="EQ14" s="115" cm="1">
        <f t="array" ref="EQ14">_xll.EQNXTDZ($A$1,$B14,EQ$1)</f>
        <v>1017.94</v>
      </c>
      <c r="ER14" s="115" cm="1">
        <f t="array" ref="ER14">_xll.EQNXTDZ($A$1,$B14,ER$1)</f>
        <v>1057.54</v>
      </c>
      <c r="ES14" s="115" cm="1">
        <f t="array" ref="ES14">_xll.EQNXTDZ($A$1,$B14,ES$1)</f>
        <v>988.85</v>
      </c>
      <c r="ET14" s="115" cm="1">
        <f t="array" ref="ET14">_xll.EQNXTDZ($A$1,$B14,ET$1)</f>
        <v>950</v>
      </c>
      <c r="EU14" s="115" cm="1">
        <f t="array" ref="EU14">_xll.EQNXTDZ($A$1,$B14,EU$1)</f>
        <v>960</v>
      </c>
      <c r="EV14" s="115" cm="1">
        <f t="array" ref="EV14">_xll.EQNXTDZ($A$1,$B14,EV$1)</f>
        <v>855</v>
      </c>
      <c r="EW14" s="115" cm="1">
        <f t="array" ref="EW14">_xll.EQNXTDZ($A$1,$B14,EW$1)</f>
        <v>879.9</v>
      </c>
      <c r="EX14" s="115" cm="1">
        <f t="array" ref="EX14">_xll.EQNXTDZ($A$1,$B14,EX$1)</f>
        <v>783.5</v>
      </c>
      <c r="EY14" s="115" cm="1">
        <f t="array" ref="EY14">_xll.EQNXTDZ($A$1,$B14,EY$1)</f>
        <v>750.05</v>
      </c>
      <c r="EZ14" s="115" cm="1">
        <f t="array" ref="EZ14">_xll.EQNXTDZ($A$1,$B14,EZ$1)</f>
        <v>799.55</v>
      </c>
      <c r="FA14" s="115" cm="1">
        <f t="array" ref="FA14">_xll.EQNXTDZ($A$1,$B14,FA$1)</f>
        <v>774.75</v>
      </c>
      <c r="FB14" s="115" cm="1">
        <f t="array" ref="FB14">_xll.EQNXTDZ($A$1,$B14,FB$1)</f>
        <v>856</v>
      </c>
      <c r="FC14" s="115" cm="1">
        <f t="array" ref="FC14">_xll.EQNXTDZ($A$1,$B14,FC$1)</f>
        <v>907.3</v>
      </c>
      <c r="FD14" s="115" cm="1">
        <f t="array" ref="FD14">_xll.EQNXTDZ($A$1,$B14,FD$1)</f>
        <v>899.95</v>
      </c>
      <c r="FE14" s="115" cm="1">
        <f t="array" ref="FE14">_xll.EQNXTDZ($A$1,$B14,FE$1)</f>
        <v>917.9</v>
      </c>
      <c r="FF14" s="115" cm="1">
        <f t="array" ref="FF14">_xll.EQNXTDZ($A$1,$B14,FF$1)</f>
        <v>876.75</v>
      </c>
      <c r="FG14" s="115" cm="1">
        <f t="array" ref="FG14">_xll.EQNXTDZ($A$1,$B14,FG$1)</f>
        <v>826.3</v>
      </c>
      <c r="FH14" s="115" cm="1">
        <f t="array" ref="FH14">_xll.EQNXTDZ($A$1,$B14,FH$1)</f>
        <v>796.15</v>
      </c>
      <c r="FI14" s="115" cm="1">
        <f t="array" ref="FI14">_xll.EQNXTDZ($A$1,$B14,FI$1)</f>
        <v>810.9</v>
      </c>
      <c r="FJ14" s="115" cm="1">
        <f t="array" ref="FJ14">_xll.EQNXTDZ($A$1,$B14,FJ$1)</f>
        <v>816.75</v>
      </c>
      <c r="FK14" s="115" cm="1">
        <f t="array" ref="FK14">_xll.EQNXTDZ($A$1,$B14,FK$1)</f>
        <v>807.45</v>
      </c>
      <c r="FL14" s="115" cm="1">
        <f t="array" ref="FL14">_xll.EQNXTDZ($A$1,$B14,FL$1)</f>
        <v>835.15</v>
      </c>
      <c r="FM14" s="115" cm="1">
        <f t="array" ref="FM14">_xll.EQNXTDZ($A$1,$B14,FM$1)</f>
        <v>1028</v>
      </c>
      <c r="FN14" s="115" cm="1">
        <f t="array" ref="FN14">_xll.EQNXTDZ($A$1,$B14,FN$1)</f>
        <v>976.15</v>
      </c>
      <c r="FO14" s="115" cm="1">
        <f t="array" ref="FO14">_xll.EQNXTDZ($A$1,$B14,FO$1)</f>
        <v>871.45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44.4</v>
      </c>
      <c r="HQ14" s="115">
        <f>+MAX(G14:I14)</f>
        <v>48.19</v>
      </c>
      <c r="HR14" s="115">
        <f>+MAX(J14:L14)</f>
        <v>46.72</v>
      </c>
      <c r="HS14" s="115">
        <f>+MAX(M14:O14)</f>
        <v>46.4</v>
      </c>
      <c r="HT14" s="115">
        <f>+MAX(P14:R14)</f>
        <v>44.2</v>
      </c>
      <c r="HU14" s="115">
        <f>+MAX(S14:U14)</f>
        <v>54.8</v>
      </c>
      <c r="HV14" s="115">
        <f>+MAX(V14:X14)</f>
        <v>72.8</v>
      </c>
      <c r="HW14" s="115">
        <f>+MAX(Y14:AA14)</f>
        <v>114.7</v>
      </c>
      <c r="HX14" s="115">
        <f>+MAX(AB14:AD14)</f>
        <v>118.36</v>
      </c>
      <c r="HY14" s="115">
        <f>+MAX(AE14:AG14)</f>
        <v>136</v>
      </c>
      <c r="HZ14" s="115">
        <f>+MAX(AH14:AJ14)</f>
        <v>165</v>
      </c>
      <c r="IA14" s="115">
        <f>+MAX(AK14:AM14)</f>
        <v>148.80000000000001</v>
      </c>
      <c r="IB14" s="115">
        <f>+MAX(AN14:AP14)</f>
        <v>139</v>
      </c>
      <c r="IC14" s="115">
        <f>+MAX(AQ14:AS14)</f>
        <v>124.95</v>
      </c>
      <c r="ID14" s="115">
        <f>+MAX(AT14:AV14)</f>
        <v>135.4</v>
      </c>
      <c r="IE14" s="115">
        <f>+MAX(AW14:AY14)</f>
        <v>148.88999999999999</v>
      </c>
      <c r="IF14" s="115">
        <f>+MAX(AZ14:BB14)</f>
        <v>153.59</v>
      </c>
      <c r="IG14" s="115">
        <f>+MAX(BC14:BE14)</f>
        <v>127</v>
      </c>
      <c r="IH14" s="115">
        <f>+MAX(BF14:BH14)</f>
        <v>146.6</v>
      </c>
      <c r="II14" s="115">
        <f>+MAX(BI14:BK14)</f>
        <v>160.6</v>
      </c>
      <c r="IJ14" s="115">
        <f>+MAX(BL14:BN14)</f>
        <v>167.9</v>
      </c>
      <c r="IK14" s="115">
        <f>+MAX(BO14:BQ14)</f>
        <v>186.2</v>
      </c>
      <c r="IL14" s="115">
        <f>+MAX(BR14:BT14)</f>
        <v>187.2</v>
      </c>
      <c r="IM14" s="115">
        <f>+MAX(BU14:BW14)</f>
        <v>181.59</v>
      </c>
      <c r="IN14" s="115">
        <f>+MAX(BX14:BZ14)</f>
        <v>177</v>
      </c>
      <c r="IO14" s="115">
        <f>+MAX(CA14:CC14)</f>
        <v>163.80000000000001</v>
      </c>
      <c r="IP14" s="115">
        <f>+MAX(CD14:CF14)</f>
        <v>156</v>
      </c>
      <c r="IQ14" s="115">
        <f>+MAX(CG14:CI14)</f>
        <v>147.97999999999999</v>
      </c>
      <c r="IR14" s="115">
        <f>+MAX(CJ14:CL14)</f>
        <v>148</v>
      </c>
      <c r="IS14" s="115">
        <f>+MAX(CM14:CO14)</f>
        <v>148</v>
      </c>
      <c r="IT14" s="115">
        <f>+MAX(CP14:CR14)</f>
        <v>152.88999999999999</v>
      </c>
      <c r="IU14" s="115">
        <f>+MAX(CS14:CU14)</f>
        <v>110.69</v>
      </c>
      <c r="IV14" s="115">
        <f>+MAX(CV14:CX14)</f>
        <v>115.08</v>
      </c>
      <c r="IW14" s="115">
        <f>+MAX(CY14:DA14)</f>
        <v>130.80000000000001</v>
      </c>
      <c r="IX14" s="115">
        <f>+MAX(DB14:DD14)</f>
        <v>181.87</v>
      </c>
      <c r="IY14" s="115">
        <f>+MAX(DE14:DG14)</f>
        <v>222</v>
      </c>
      <c r="IZ14" s="115">
        <f>+MAX(DH14:DJ14)</f>
        <v>275</v>
      </c>
      <c r="JA14" s="115">
        <f>+MAX(DK14:DM14)</f>
        <v>281.82</v>
      </c>
      <c r="JB14" s="115">
        <f>+MAX(DN14:DP14)</f>
        <v>265.01</v>
      </c>
      <c r="JC14" s="115">
        <f>+MAX(DQ14:DS14)</f>
        <v>304.31</v>
      </c>
      <c r="JD14" s="115">
        <f>+MAX(DT14:DV14)</f>
        <v>419.57</v>
      </c>
      <c r="JE14" s="115">
        <f>+MAX(DW14:DY14)</f>
        <v>434.2</v>
      </c>
      <c r="JF14" s="115">
        <f>+MAX(DZ14:EB14)</f>
        <v>427.12</v>
      </c>
      <c r="JG14" s="115">
        <f>+MAX(EC14:EE14)</f>
        <v>471.37</v>
      </c>
      <c r="JH14" s="115">
        <f>+MAX(EF14:EH14)</f>
        <v>644</v>
      </c>
      <c r="JI14" s="115">
        <f>+MAX(EI14:EK14)</f>
        <v>709.8</v>
      </c>
      <c r="JJ14" s="115">
        <f>+MAX(EL14:EN14)</f>
        <v>842.24</v>
      </c>
      <c r="JK14" s="115">
        <f>MAX(EO14:EQ14)</f>
        <v>1037</v>
      </c>
      <c r="JL14" s="115">
        <f>MAX(ER14:ET14)</f>
        <v>1057.54</v>
      </c>
      <c r="JM14" s="115">
        <f>MAX(EU14:EW14)</f>
        <v>960</v>
      </c>
      <c r="JN14" s="115">
        <f>MAX(EX14:EZ14)</f>
        <v>799.55</v>
      </c>
      <c r="JO14" s="115">
        <f>MAX(FA14:FC14)</f>
        <v>907.3</v>
      </c>
      <c r="JP14" s="115">
        <f>MAX(FD14:FF14)</f>
        <v>917.9</v>
      </c>
      <c r="JQ14" s="115">
        <f>MAX(FG14:FI14)</f>
        <v>826.3</v>
      </c>
      <c r="JR14" s="115">
        <f>MAX(FJ14:FL14)</f>
        <v>835.15</v>
      </c>
      <c r="JS14" s="115">
        <f>MAX(FM14:FO14)</f>
        <v>1028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35.450000000000003</v>
      </c>
      <c r="D15" s="115" cm="1">
        <f t="array" ref="D15">_xll.EQNXTDZ($A$1,$B15,D$1)</f>
        <v>36</v>
      </c>
      <c r="E15" s="115" cm="1">
        <f t="array" ref="E15">_xll.EQNXTDZ($A$1,$B15,E$1)</f>
        <v>39.799999999999997</v>
      </c>
      <c r="F15" s="115" cm="1">
        <f t="array" ref="F15">_xll.EQNXTDZ($A$1,$B15,F$1)</f>
        <v>40.6</v>
      </c>
      <c r="G15" s="115" cm="1">
        <f t="array" ref="G15">_xll.EQNXTDZ($A$1,$B15,G$1)</f>
        <v>40.869999999999997</v>
      </c>
      <c r="H15" s="115" cm="1">
        <f t="array" ref="H15">_xll.EQNXTDZ($A$1,$B15,H$1)</f>
        <v>44.4</v>
      </c>
      <c r="I15" s="115" cm="1">
        <f t="array" ref="I15">_xll.EQNXTDZ($A$1,$B15,I$1)</f>
        <v>43.26</v>
      </c>
      <c r="J15" s="115" cm="1">
        <f t="array" ref="J15">_xll.EQNXTDZ($A$1,$B15,J$1)</f>
        <v>37.21</v>
      </c>
      <c r="K15" s="115" cm="1">
        <f t="array" ref="K15">_xll.EQNXTDZ($A$1,$B15,K$1)</f>
        <v>35.47</v>
      </c>
      <c r="L15" s="115" cm="1">
        <f t="array" ref="L15">_xll.EQNXTDZ($A$1,$B15,L$1)</f>
        <v>37.5</v>
      </c>
      <c r="M15" s="115" cm="1">
        <f t="array" ref="M15">_xll.EQNXTDZ($A$1,$B15,M$1)</f>
        <v>39.85</v>
      </c>
      <c r="N15" s="115" cm="1">
        <f t="array" ref="N15">_xll.EQNXTDZ($A$1,$B15,N$1)</f>
        <v>40.1</v>
      </c>
      <c r="O15" s="115" cm="1">
        <f t="array" ref="O15">_xll.EQNXTDZ($A$1,$B15,O$1)</f>
        <v>38.979999999999997</v>
      </c>
      <c r="P15" s="115" cm="1">
        <f t="array" ref="P15">_xll.EQNXTDZ($A$1,$B15,P$1)</f>
        <v>40.200000000000003</v>
      </c>
      <c r="Q15" s="115" cm="1">
        <f t="array" ref="Q15">_xll.EQNXTDZ($A$1,$B15,Q$1)</f>
        <v>38.619999999999997</v>
      </c>
      <c r="R15" s="115" cm="1">
        <f t="array" ref="R15">_xll.EQNXTDZ($A$1,$B15,R$1)</f>
        <v>38.31</v>
      </c>
      <c r="S15" s="115" cm="1">
        <f t="array" ref="S15">_xll.EQNXTDZ($A$1,$B15,S$1)</f>
        <v>41.6</v>
      </c>
      <c r="T15" s="115" cm="1">
        <f t="array" ref="T15">_xll.EQNXTDZ($A$1,$B15,T$1)</f>
        <v>45.2</v>
      </c>
      <c r="U15" s="115" cm="1">
        <f t="array" ref="U15">_xll.EQNXTDZ($A$1,$B15,U$1)</f>
        <v>49.2</v>
      </c>
      <c r="V15" s="115" cm="1">
        <f t="array" ref="V15">_xll.EQNXTDZ($A$1,$B15,V$1)</f>
        <v>47.02</v>
      </c>
      <c r="W15" s="115" cm="1">
        <f t="array" ref="W15">_xll.EQNXTDZ($A$1,$B15,W$1)</f>
        <v>45.2</v>
      </c>
      <c r="X15" s="115" cm="1">
        <f t="array" ref="X15">_xll.EQNXTDZ($A$1,$B15,X$1)</f>
        <v>49.6</v>
      </c>
      <c r="Y15" s="115" cm="1">
        <f t="array" ref="Y15">_xll.EQNXTDZ($A$1,$B15,Y$1)</f>
        <v>64.400000000000006</v>
      </c>
      <c r="Z15" s="115" cm="1">
        <f t="array" ref="Z15">_xll.EQNXTDZ($A$1,$B15,Z$1)</f>
        <v>63</v>
      </c>
      <c r="AA15" s="115" cm="1">
        <f t="array" ref="AA15">_xll.EQNXTDZ($A$1,$B15,AA$1)</f>
        <v>99.36</v>
      </c>
      <c r="AB15" s="115" cm="1">
        <f t="array" ref="AB15">_xll.EQNXTDZ($A$1,$B15,AB$1)</f>
        <v>100</v>
      </c>
      <c r="AC15" s="115" cm="1">
        <f t="array" ref="AC15">_xll.EQNXTDZ($A$1,$B15,AC$1)</f>
        <v>101.5</v>
      </c>
      <c r="AD15" s="115" cm="1">
        <f t="array" ref="AD15">_xll.EQNXTDZ($A$1,$B15,AD$1)</f>
        <v>104.6</v>
      </c>
      <c r="AE15" s="115" cm="1">
        <f t="array" ref="AE15">_xll.EQNXTDZ($A$1,$B15,AE$1)</f>
        <v>100</v>
      </c>
      <c r="AF15" s="115" cm="1">
        <f t="array" ref="AF15">_xll.EQNXTDZ($A$1,$B15,AF$1)</f>
        <v>106.12</v>
      </c>
      <c r="AG15" s="115" cm="1">
        <f t="array" ref="AG15">_xll.EQNXTDZ($A$1,$B15,AG$1)</f>
        <v>107.1</v>
      </c>
      <c r="AH15" s="115" cm="1">
        <f t="array" ref="AH15">_xll.EQNXTDZ($A$1,$B15,AH$1)</f>
        <v>117.29</v>
      </c>
      <c r="AI15" s="115" cm="1">
        <f t="array" ref="AI15">_xll.EQNXTDZ($A$1,$B15,AI$1)</f>
        <v>135.35</v>
      </c>
      <c r="AJ15" s="115" cm="1">
        <f t="array" ref="AJ15">_xll.EQNXTDZ($A$1,$B15,AJ$1)</f>
        <v>128.6</v>
      </c>
      <c r="AK15" s="115" cm="1">
        <f t="array" ref="AK15">_xll.EQNXTDZ($A$1,$B15,AK$1)</f>
        <v>112</v>
      </c>
      <c r="AL15" s="115" cm="1">
        <f t="array" ref="AL15">_xll.EQNXTDZ($A$1,$B15,AL$1)</f>
        <v>109.65</v>
      </c>
      <c r="AM15" s="115" cm="1">
        <f t="array" ref="AM15">_xll.EQNXTDZ($A$1,$B15,AM$1)</f>
        <v>109.8</v>
      </c>
      <c r="AN15" s="115" cm="1">
        <f t="array" ref="AN15">_xll.EQNXTDZ($A$1,$B15,AN$1)</f>
        <v>116.3</v>
      </c>
      <c r="AO15" s="115" cm="1">
        <f t="array" ref="AO15">_xll.EQNXTDZ($A$1,$B15,AO$1)</f>
        <v>109.6</v>
      </c>
      <c r="AP15" s="115" cm="1">
        <f t="array" ref="AP15">_xll.EQNXTDZ($A$1,$B15,AP$1)</f>
        <v>108.5</v>
      </c>
      <c r="AQ15" s="115" cm="1">
        <f t="array" ref="AQ15">_xll.EQNXTDZ($A$1,$B15,AQ$1)</f>
        <v>114.2</v>
      </c>
      <c r="AR15" s="115" cm="1">
        <f t="array" ref="AR15">_xll.EQNXTDZ($A$1,$B15,AR$1)</f>
        <v>111.65</v>
      </c>
      <c r="AS15" s="115" cm="1">
        <f t="array" ref="AS15">_xll.EQNXTDZ($A$1,$B15,AS$1)</f>
        <v>111.3</v>
      </c>
      <c r="AT15" s="115" cm="1">
        <f t="array" ref="AT15">_xll.EQNXTDZ($A$1,$B15,AT$1)</f>
        <v>99.8</v>
      </c>
      <c r="AU15" s="115" cm="1">
        <f t="array" ref="AU15">_xll.EQNXTDZ($A$1,$B15,AU$1)</f>
        <v>100.05</v>
      </c>
      <c r="AV15" s="115" cm="1">
        <f t="array" ref="AV15">_xll.EQNXTDZ($A$1,$B15,AV$1)</f>
        <v>100.8</v>
      </c>
      <c r="AW15" s="115" cm="1">
        <f t="array" ref="AW15">_xll.EQNXTDZ($A$1,$B15,AW$1)</f>
        <v>117.3</v>
      </c>
      <c r="AX15" s="115" cm="1">
        <f t="array" ref="AX15">_xll.EQNXTDZ($A$1,$B15,AX$1)</f>
        <v>133.21</v>
      </c>
      <c r="AY15" s="115" cm="1">
        <f t="array" ref="AY15">_xll.EQNXTDZ($A$1,$B15,AY$1)</f>
        <v>130</v>
      </c>
      <c r="AZ15" s="115" cm="1">
        <f t="array" ref="AZ15">_xll.EQNXTDZ($A$1,$B15,AZ$1)</f>
        <v>134</v>
      </c>
      <c r="BA15" s="115" cm="1">
        <f t="array" ref="BA15">_xll.EQNXTDZ($A$1,$B15,BA$1)</f>
        <v>118.6</v>
      </c>
      <c r="BB15" s="115" cm="1">
        <f t="array" ref="BB15">_xll.EQNXTDZ($A$1,$B15,BB$1)</f>
        <v>118.14</v>
      </c>
      <c r="BC15" s="115" cm="1">
        <f t="array" ref="BC15">_xll.EQNXTDZ($A$1,$B15,BC$1)</f>
        <v>109.98</v>
      </c>
      <c r="BD15" s="115" cm="1">
        <f t="array" ref="BD15">_xll.EQNXTDZ($A$1,$B15,BD$1)</f>
        <v>112</v>
      </c>
      <c r="BE15" s="115" cm="1">
        <f t="array" ref="BE15">_xll.EQNXTDZ($A$1,$B15,BE$1)</f>
        <v>115</v>
      </c>
      <c r="BF15" s="115" cm="1">
        <f t="array" ref="BF15">_xll.EQNXTDZ($A$1,$B15,BF$1)</f>
        <v>121.02</v>
      </c>
      <c r="BG15" s="115" cm="1">
        <f t="array" ref="BG15">_xll.EQNXTDZ($A$1,$B15,BG$1)</f>
        <v>120.2</v>
      </c>
      <c r="BH15" s="115" cm="1">
        <f t="array" ref="BH15">_xll.EQNXTDZ($A$1,$B15,BH$1)</f>
        <v>120</v>
      </c>
      <c r="BI15" s="115" cm="1">
        <f t="array" ref="BI15">_xll.EQNXTDZ($A$1,$B15,BI$1)</f>
        <v>137.36000000000001</v>
      </c>
      <c r="BJ15" s="115" cm="1">
        <f t="array" ref="BJ15">_xll.EQNXTDZ($A$1,$B15,BJ$1)</f>
        <v>131.12</v>
      </c>
      <c r="BK15" s="115" cm="1">
        <f t="array" ref="BK15">_xll.EQNXTDZ($A$1,$B15,BK$1)</f>
        <v>135.29</v>
      </c>
      <c r="BL15" s="115" cm="1">
        <f t="array" ref="BL15">_xll.EQNXTDZ($A$1,$B15,BL$1)</f>
        <v>137.19999999999999</v>
      </c>
      <c r="BM15" s="115" cm="1">
        <f t="array" ref="BM15">_xll.EQNXTDZ($A$1,$B15,BM$1)</f>
        <v>131.81</v>
      </c>
      <c r="BN15" s="115" cm="1">
        <f t="array" ref="BN15">_xll.EQNXTDZ($A$1,$B15,BN$1)</f>
        <v>136.31</v>
      </c>
      <c r="BO15" s="115" cm="1">
        <f t="array" ref="BO15">_xll.EQNXTDZ($A$1,$B15,BO$1)</f>
        <v>143.19999999999999</v>
      </c>
      <c r="BP15" s="115" cm="1">
        <f t="array" ref="BP15">_xll.EQNXTDZ($A$1,$B15,BP$1)</f>
        <v>162.04</v>
      </c>
      <c r="BQ15" s="115" cm="1">
        <f t="array" ref="BQ15">_xll.EQNXTDZ($A$1,$B15,BQ$1)</f>
        <v>165.68</v>
      </c>
      <c r="BR15" s="115" cm="1">
        <f t="array" ref="BR15">_xll.EQNXTDZ($A$1,$B15,BR$1)</f>
        <v>171.12</v>
      </c>
      <c r="BS15" s="115" cm="1">
        <f t="array" ref="BS15">_xll.EQNXTDZ($A$1,$B15,BS$1)</f>
        <v>154.80000000000001</v>
      </c>
      <c r="BT15" s="115" cm="1">
        <f t="array" ref="BT15">_xll.EQNXTDZ($A$1,$B15,BT$1)</f>
        <v>150.03</v>
      </c>
      <c r="BU15" s="115" cm="1">
        <f t="array" ref="BU15">_xll.EQNXTDZ($A$1,$B15,BU$1)</f>
        <v>155.13999999999999</v>
      </c>
      <c r="BV15" s="115" cm="1">
        <f t="array" ref="BV15">_xll.EQNXTDZ($A$1,$B15,BV$1)</f>
        <v>156</v>
      </c>
      <c r="BW15" s="115" cm="1">
        <f t="array" ref="BW15">_xll.EQNXTDZ($A$1,$B15,BW$1)</f>
        <v>151.81</v>
      </c>
      <c r="BX15" s="115" cm="1">
        <f t="array" ref="BX15">_xll.EQNXTDZ($A$1,$B15,BX$1)</f>
        <v>150.41</v>
      </c>
      <c r="BY15" s="115" cm="1">
        <f t="array" ref="BY15">_xll.EQNXTDZ($A$1,$B15,BY$1)</f>
        <v>149.24</v>
      </c>
      <c r="BZ15" s="115" cm="1">
        <f t="array" ref="BZ15">_xll.EQNXTDZ($A$1,$B15,BZ$1)</f>
        <v>135</v>
      </c>
      <c r="CA15" s="115" cm="1">
        <f t="array" ref="CA15">_xll.EQNXTDZ($A$1,$B15,CA$1)</f>
        <v>131.19999999999999</v>
      </c>
      <c r="CB15" s="115" cm="1">
        <f t="array" ref="CB15">_xll.EQNXTDZ($A$1,$B15,CB$1)</f>
        <v>150.11000000000001</v>
      </c>
      <c r="CC15" s="115" cm="1">
        <f t="array" ref="CC15">_xll.EQNXTDZ($A$1,$B15,CC$1)</f>
        <v>148.25</v>
      </c>
      <c r="CD15" s="115" cm="1">
        <f t="array" ref="CD15">_xll.EQNXTDZ($A$1,$B15,CD$1)</f>
        <v>132.41999999999999</v>
      </c>
      <c r="CE15" s="115" cm="1">
        <f t="array" ref="CE15">_xll.EQNXTDZ($A$1,$B15,CE$1)</f>
        <v>120.26</v>
      </c>
      <c r="CF15" s="115" cm="1">
        <f t="array" ref="CF15">_xll.EQNXTDZ($A$1,$B15,CF$1)</f>
        <v>128.19999999999999</v>
      </c>
      <c r="CG15" s="115" cm="1">
        <f t="array" ref="CG15">_xll.EQNXTDZ($A$1,$B15,CG$1)</f>
        <v>133.19999999999999</v>
      </c>
      <c r="CH15" s="115" cm="1">
        <f t="array" ref="CH15">_xll.EQNXTDZ($A$1,$B15,CH$1)</f>
        <v>128</v>
      </c>
      <c r="CI15" s="115" cm="1">
        <f t="array" ref="CI15">_xll.EQNXTDZ($A$1,$B15,CI$1)</f>
        <v>137.55000000000001</v>
      </c>
      <c r="CJ15" s="115" cm="1">
        <f t="array" ref="CJ15">_xll.EQNXTDZ($A$1,$B15,CJ$1)</f>
        <v>121.6</v>
      </c>
      <c r="CK15" s="115" cm="1">
        <f t="array" ref="CK15">_xll.EQNXTDZ($A$1,$B15,CK$1)</f>
        <v>110</v>
      </c>
      <c r="CL15" s="115" cm="1">
        <f t="array" ref="CL15">_xll.EQNXTDZ($A$1,$B15,CL$1)</f>
        <v>107.13</v>
      </c>
      <c r="CM15" s="115" cm="1">
        <f t="array" ref="CM15">_xll.EQNXTDZ($A$1,$B15,CM$1)</f>
        <v>125.57</v>
      </c>
      <c r="CN15" s="115" cm="1">
        <f t="array" ref="CN15">_xll.EQNXTDZ($A$1,$B15,CN$1)</f>
        <v>129</v>
      </c>
      <c r="CO15" s="115" cm="1">
        <f t="array" ref="CO15">_xll.EQNXTDZ($A$1,$B15,CO$1)</f>
        <v>126.42</v>
      </c>
      <c r="CP15" s="115" cm="1">
        <f t="array" ref="CP15">_xll.EQNXTDZ($A$1,$B15,CP$1)</f>
        <v>131.82</v>
      </c>
      <c r="CQ15" s="115" cm="1">
        <f t="array" ref="CQ15">_xll.EQNXTDZ($A$1,$B15,CQ$1)</f>
        <v>126.5</v>
      </c>
      <c r="CR15" s="115" cm="1">
        <f t="array" ref="CR15">_xll.EQNXTDZ($A$1,$B15,CR$1)</f>
        <v>77.28</v>
      </c>
      <c r="CS15" s="115" cm="1">
        <f t="array" ref="CS15">_xll.EQNXTDZ($A$1,$B15,CS$1)</f>
        <v>80</v>
      </c>
      <c r="CT15" s="115" cm="1">
        <f t="array" ref="CT15">_xll.EQNXTDZ($A$1,$B15,CT$1)</f>
        <v>85.33</v>
      </c>
      <c r="CU15" s="115" cm="1">
        <f t="array" ref="CU15">_xll.EQNXTDZ($A$1,$B15,CU$1)</f>
        <v>90.2</v>
      </c>
      <c r="CV15" s="115" cm="1">
        <f t="array" ref="CV15">_xll.EQNXTDZ($A$1,$B15,CV$1)</f>
        <v>92</v>
      </c>
      <c r="CW15" s="115" cm="1">
        <f t="array" ref="CW15">_xll.EQNXTDZ($A$1,$B15,CW$1)</f>
        <v>98.66</v>
      </c>
      <c r="CX15" s="115" cm="1">
        <f t="array" ref="CX15">_xll.EQNXTDZ($A$1,$B15,CX$1)</f>
        <v>90.46</v>
      </c>
      <c r="CY15" s="115" cm="1">
        <f t="array" ref="CY15">_xll.EQNXTDZ($A$1,$B15,CY$1)</f>
        <v>85.09</v>
      </c>
      <c r="CZ15" s="115" cm="1">
        <f t="array" ref="CZ15">_xll.EQNXTDZ($A$1,$B15,CZ$1)</f>
        <v>87.11</v>
      </c>
      <c r="DA15" s="115" cm="1">
        <f t="array" ref="DA15">_xll.EQNXTDZ($A$1,$B15,DA$1)</f>
        <v>112.7</v>
      </c>
      <c r="DB15" s="115" cm="1">
        <f t="array" ref="DB15">_xll.EQNXTDZ($A$1,$B15,DB$1)</f>
        <v>124.6</v>
      </c>
      <c r="DC15" s="115" cm="1">
        <f t="array" ref="DC15">_xll.EQNXTDZ($A$1,$B15,DC$1)</f>
        <v>125.34</v>
      </c>
      <c r="DD15" s="115" cm="1">
        <f t="array" ref="DD15">_xll.EQNXTDZ($A$1,$B15,DD$1)</f>
        <v>144.77000000000001</v>
      </c>
      <c r="DE15" s="115" cm="1">
        <f t="array" ref="DE15">_xll.EQNXTDZ($A$1,$B15,DE$1)</f>
        <v>163.12</v>
      </c>
      <c r="DF15" s="115" cm="1">
        <f t="array" ref="DF15">_xll.EQNXTDZ($A$1,$B15,DF$1)</f>
        <v>172.52</v>
      </c>
      <c r="DG15" s="115" cm="1">
        <f t="array" ref="DG15">_xll.EQNXTDZ($A$1,$B15,DG$1)</f>
        <v>182.24</v>
      </c>
      <c r="DH15" s="115" cm="1">
        <f t="array" ref="DH15">_xll.EQNXTDZ($A$1,$B15,DH$1)</f>
        <v>200.66</v>
      </c>
      <c r="DI15" s="115" cm="1">
        <f t="array" ref="DI15">_xll.EQNXTDZ($A$1,$B15,DI$1)</f>
        <v>222.12</v>
      </c>
      <c r="DJ15" s="115" cm="1">
        <f t="array" ref="DJ15">_xll.EQNXTDZ($A$1,$B15,DJ$1)</f>
        <v>230.15</v>
      </c>
      <c r="DK15" s="115" cm="1">
        <f t="array" ref="DK15">_xll.EQNXTDZ($A$1,$B15,DK$1)</f>
        <v>240.8</v>
      </c>
      <c r="DL15" s="115" cm="1">
        <f t="array" ref="DL15">_xll.EQNXTDZ($A$1,$B15,DL$1)</f>
        <v>238.3</v>
      </c>
      <c r="DM15" s="115" cm="1">
        <f t="array" ref="DM15">_xll.EQNXTDZ($A$1,$B15,DM$1)</f>
        <v>236</v>
      </c>
      <c r="DN15" s="115" cm="1">
        <f t="array" ref="DN15">_xll.EQNXTDZ($A$1,$B15,DN$1)</f>
        <v>240.72</v>
      </c>
      <c r="DO15" s="115" cm="1">
        <f t="array" ref="DO15">_xll.EQNXTDZ($A$1,$B15,DO$1)</f>
        <v>191.93</v>
      </c>
      <c r="DP15" s="115" cm="1">
        <f t="array" ref="DP15">_xll.EQNXTDZ($A$1,$B15,DP$1)</f>
        <v>204.57</v>
      </c>
      <c r="DQ15" s="115" cm="1">
        <f t="array" ref="DQ15">_xll.EQNXTDZ($A$1,$B15,DQ$1)</f>
        <v>259.08</v>
      </c>
      <c r="DR15" s="115" cm="1">
        <f t="array" ref="DR15">_xll.EQNXTDZ($A$1,$B15,DR$1)</f>
        <v>236.73</v>
      </c>
      <c r="DS15" s="115" cm="1">
        <f t="array" ref="DS15">_xll.EQNXTDZ($A$1,$B15,DS$1)</f>
        <v>256.64</v>
      </c>
      <c r="DT15" s="115" cm="1">
        <f t="array" ref="DT15">_xll.EQNXTDZ($A$1,$B15,DT$1)</f>
        <v>282.74</v>
      </c>
      <c r="DU15" s="115" cm="1">
        <f t="array" ref="DU15">_xll.EQNXTDZ($A$1,$B15,DU$1)</f>
        <v>294.81</v>
      </c>
      <c r="DV15" s="115" cm="1">
        <f t="array" ref="DV15">_xll.EQNXTDZ($A$1,$B15,DV$1)</f>
        <v>362</v>
      </c>
      <c r="DW15" s="115" cm="1">
        <f t="array" ref="DW15">_xll.EQNXTDZ($A$1,$B15,DW$1)</f>
        <v>388.8</v>
      </c>
      <c r="DX15" s="115" cm="1">
        <f t="array" ref="DX15">_xll.EQNXTDZ($A$1,$B15,DX$1)</f>
        <v>353.8</v>
      </c>
      <c r="DY15" s="115" cm="1">
        <f t="array" ref="DY15">_xll.EQNXTDZ($A$1,$B15,DY$1)</f>
        <v>350.29</v>
      </c>
      <c r="DZ15" s="115" cm="1">
        <f t="array" ref="DZ15">_xll.EQNXTDZ($A$1,$B15,DZ$1)</f>
        <v>341.24</v>
      </c>
      <c r="EA15" s="115" cm="1">
        <f t="array" ref="EA15">_xll.EQNXTDZ($A$1,$B15,EA$1)</f>
        <v>353.02</v>
      </c>
      <c r="EB15" s="115" cm="1">
        <f t="array" ref="EB15">_xll.EQNXTDZ($A$1,$B15,EB$1)</f>
        <v>382.94</v>
      </c>
      <c r="EC15" s="115" cm="1">
        <f t="array" ref="EC15">_xll.EQNXTDZ($A$1,$B15,EC$1)</f>
        <v>427.34</v>
      </c>
      <c r="ED15" s="115" cm="1">
        <f t="array" ref="ED15">_xll.EQNXTDZ($A$1,$B15,ED$1)</f>
        <v>413.34</v>
      </c>
      <c r="EE15" s="115" cm="1">
        <f t="array" ref="EE15">_xll.EQNXTDZ($A$1,$B15,EE$1)</f>
        <v>411.46</v>
      </c>
      <c r="EF15" s="115" cm="1">
        <f t="array" ref="EF15">_xll.EQNXTDZ($A$1,$B15,EF$1)</f>
        <v>402.93</v>
      </c>
      <c r="EG15" s="115" cm="1">
        <f t="array" ref="EG15">_xll.EQNXTDZ($A$1,$B15,EG$1)</f>
        <v>451.16</v>
      </c>
      <c r="EH15" s="115" cm="1">
        <f t="array" ref="EH15">_xll.EQNXTDZ($A$1,$B15,EH$1)</f>
        <v>524.72</v>
      </c>
      <c r="EI15" s="115" cm="1">
        <f t="array" ref="EI15">_xll.EQNXTDZ($A$1,$B15,EI$1)</f>
        <v>560</v>
      </c>
      <c r="EJ15" s="115" cm="1">
        <f t="array" ref="EJ15">_xll.EQNXTDZ($A$1,$B15,EJ$1)</f>
        <v>581.42999999999995</v>
      </c>
      <c r="EK15" s="115" cm="1">
        <f t="array" ref="EK15">_xll.EQNXTDZ($A$1,$B15,EK$1)</f>
        <v>649.80999999999995</v>
      </c>
      <c r="EL15" s="115" cm="1">
        <f t="array" ref="EL15">_xll.EQNXTDZ($A$1,$B15,EL$1)</f>
        <v>635</v>
      </c>
      <c r="EM15" s="115" cm="1">
        <f t="array" ref="EM15">_xll.EQNXTDZ($A$1,$B15,EM$1)</f>
        <v>709.08</v>
      </c>
      <c r="EN15" s="115" cm="1">
        <f t="array" ref="EN15">_xll.EQNXTDZ($A$1,$B15,EN$1)</f>
        <v>663.49</v>
      </c>
      <c r="EO15" s="115" cm="1">
        <f t="array" ref="EO15">_xll.EQNXTDZ($A$1,$B15,EO$1)</f>
        <v>768.62</v>
      </c>
      <c r="EP15" s="115" cm="1">
        <f t="array" ref="EP15">_xll.EQNXTDZ($A$1,$B15,EP$1)</f>
        <v>864</v>
      </c>
      <c r="EQ15" s="115" cm="1">
        <f t="array" ref="EQ15">_xll.EQNXTDZ($A$1,$B15,EQ$1)</f>
        <v>824.92</v>
      </c>
      <c r="ER15" s="115" cm="1">
        <f t="array" ref="ER15">_xll.EQNXTDZ($A$1,$B15,ER$1)</f>
        <v>922.8</v>
      </c>
      <c r="ES15" s="115" cm="1">
        <f t="array" ref="ES15">_xll.EQNXTDZ($A$1,$B15,ES$1)</f>
        <v>901.05</v>
      </c>
      <c r="ET15" s="115" cm="1">
        <f t="array" ref="ET15">_xll.EQNXTDZ($A$1,$B15,ET$1)</f>
        <v>856.15</v>
      </c>
      <c r="EU15" s="115" cm="1">
        <f t="array" ref="EU15">_xll.EQNXTDZ($A$1,$B15,EU$1)</f>
        <v>741.7</v>
      </c>
      <c r="EV15" s="115" cm="1">
        <f t="array" ref="EV15">_xll.EQNXTDZ($A$1,$B15,EV$1)</f>
        <v>777</v>
      </c>
      <c r="EW15" s="115" cm="1">
        <f t="array" ref="EW15">_xll.EQNXTDZ($A$1,$B15,EW$1)</f>
        <v>716.5</v>
      </c>
      <c r="EX15" s="115" cm="1">
        <f t="array" ref="EX15">_xll.EQNXTDZ($A$1,$B15,EX$1)</f>
        <v>618.9</v>
      </c>
      <c r="EY15" s="115" cm="1">
        <f t="array" ref="EY15">_xll.EQNXTDZ($A$1,$B15,EY$1)</f>
        <v>585</v>
      </c>
      <c r="EZ15" s="115" cm="1">
        <f t="array" ref="EZ15">_xll.EQNXTDZ($A$1,$B15,EZ$1)</f>
        <v>601</v>
      </c>
      <c r="FA15" s="115" cm="1">
        <f t="array" ref="FA15">_xll.EQNXTDZ($A$1,$B15,FA$1)</f>
        <v>648</v>
      </c>
      <c r="FB15" s="115" cm="1">
        <f t="array" ref="FB15">_xll.EQNXTDZ($A$1,$B15,FB$1)</f>
        <v>695.4</v>
      </c>
      <c r="FC15" s="115" cm="1">
        <f t="array" ref="FC15">_xll.EQNXTDZ($A$1,$B15,FC$1)</f>
        <v>795.05</v>
      </c>
      <c r="FD15" s="115" cm="1">
        <f t="array" ref="FD15">_xll.EQNXTDZ($A$1,$B15,FD$1)</f>
        <v>811.25</v>
      </c>
      <c r="FE15" s="115" cm="1">
        <f t="array" ref="FE15">_xll.EQNXTDZ($A$1,$B15,FE$1)</f>
        <v>770</v>
      </c>
      <c r="FF15" s="115" cm="1">
        <f t="array" ref="FF15">_xll.EQNXTDZ($A$1,$B15,FF$1)</f>
        <v>787</v>
      </c>
      <c r="FG15" s="115" cm="1">
        <f t="array" ref="FG15">_xll.EQNXTDZ($A$1,$B15,FG$1)</f>
        <v>780.65</v>
      </c>
      <c r="FH15" s="115" cm="1">
        <f t="array" ref="FH15">_xll.EQNXTDZ($A$1,$B15,FH$1)</f>
        <v>702</v>
      </c>
      <c r="FI15" s="115" cm="1">
        <f t="array" ref="FI15">_xll.EQNXTDZ($A$1,$B15,FI$1)</f>
        <v>715.9</v>
      </c>
      <c r="FJ15" s="115" cm="1">
        <f t="array" ref="FJ15">_xll.EQNXTDZ($A$1,$B15,FJ$1)</f>
        <v>668.65</v>
      </c>
      <c r="FK15" s="115" cm="1">
        <f t="array" ref="FK15">_xll.EQNXTDZ($A$1,$B15,FK$1)</f>
        <v>681</v>
      </c>
      <c r="FL15" s="115" cm="1">
        <f t="array" ref="FL15">_xll.EQNXTDZ($A$1,$B15,FL$1)</f>
        <v>720</v>
      </c>
      <c r="FM15" s="115" cm="1">
        <f t="array" ref="FM15">_xll.EQNXTDZ($A$1,$B15,FM$1)</f>
        <v>799.9</v>
      </c>
      <c r="FN15" s="115" cm="1">
        <f t="array" ref="FN15">_xll.EQNXTDZ($A$1,$B15,FN$1)</f>
        <v>785</v>
      </c>
      <c r="FO15" s="115" cm="1">
        <f t="array" ref="FO15">_xll.EQNXTDZ($A$1,$B15,FO$1)</f>
        <v>749.6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36</v>
      </c>
      <c r="HQ15" s="115">
        <f>+MIN(G15:I15)</f>
        <v>40.869999999999997</v>
      </c>
      <c r="HR15" s="115">
        <f>+MIN(J15:L15)</f>
        <v>35.47</v>
      </c>
      <c r="HS15" s="115">
        <f>+MIN(M15:O15)</f>
        <v>38.979999999999997</v>
      </c>
      <c r="HT15" s="115">
        <f>+MIN(P15:R15)</f>
        <v>38.31</v>
      </c>
      <c r="HU15" s="115">
        <f>+MIN(S15:U15)</f>
        <v>41.6</v>
      </c>
      <c r="HV15" s="115">
        <f>+MIN(V15:X15)</f>
        <v>45.2</v>
      </c>
      <c r="HW15" s="115">
        <f>+MIN(Y15:AA15)</f>
        <v>63</v>
      </c>
      <c r="HX15" s="115">
        <f>+MIN(AB15:AD15)</f>
        <v>100</v>
      </c>
      <c r="HY15" s="115">
        <f>+MIN(AE15:AG15)</f>
        <v>100</v>
      </c>
      <c r="HZ15" s="115">
        <f>+MIN(AH15:AJ15)</f>
        <v>117.29</v>
      </c>
      <c r="IA15" s="115">
        <f>+MIN(AK15:AM15)</f>
        <v>109.65</v>
      </c>
      <c r="IB15" s="115">
        <f>+MIN(AN15:AP15)</f>
        <v>108.5</v>
      </c>
      <c r="IC15" s="115">
        <f>+MIN(AQ15:AS15)</f>
        <v>111.3</v>
      </c>
      <c r="ID15" s="115">
        <f>+MIN(AT15:AV15)</f>
        <v>99.8</v>
      </c>
      <c r="IE15" s="115">
        <f>+MIN(AW15:AY15)</f>
        <v>117.3</v>
      </c>
      <c r="IF15" s="115">
        <f>+MIN(AZ15:BB15)</f>
        <v>118.14</v>
      </c>
      <c r="IG15" s="115">
        <f>+MIN(BC15:BE15)</f>
        <v>109.98</v>
      </c>
      <c r="IH15" s="115">
        <f>+MIN(BF15:BH15)</f>
        <v>120</v>
      </c>
      <c r="II15" s="115">
        <f>+MIN(BI15:BK15)</f>
        <v>131.12</v>
      </c>
      <c r="IJ15" s="115">
        <f>+MIN(BL15:BN15)</f>
        <v>131.81</v>
      </c>
      <c r="IK15" s="115">
        <f>+MIN(BO15:BQ15)</f>
        <v>143.19999999999999</v>
      </c>
      <c r="IL15" s="115">
        <f>+MIN(BR15:BT15)</f>
        <v>150.03</v>
      </c>
      <c r="IM15" s="115">
        <f>+MIN(BU15:BW15)</f>
        <v>151.81</v>
      </c>
      <c r="IN15" s="115">
        <f>+MIN(BX15:BZ15)</f>
        <v>135</v>
      </c>
      <c r="IO15" s="115">
        <f>+MIN(CA15:CC15)</f>
        <v>131.19999999999999</v>
      </c>
      <c r="IP15" s="115">
        <f>+MIN(CD15:CF15)</f>
        <v>120.26</v>
      </c>
      <c r="IQ15" s="115">
        <f>+MIN(CG15:CI15)</f>
        <v>128</v>
      </c>
      <c r="IR15" s="115">
        <f>+MIN(CJ15:CL15)</f>
        <v>107.13</v>
      </c>
      <c r="IS15" s="115">
        <f>+MIN(CM15:CO15)</f>
        <v>125.57</v>
      </c>
      <c r="IT15" s="115">
        <f>+MIN(CP15:CR15)</f>
        <v>77.28</v>
      </c>
      <c r="IU15" s="115">
        <f>+MIN(CS15:CU15)</f>
        <v>80</v>
      </c>
      <c r="IV15" s="115">
        <f>+MIN(CV15:CX15)</f>
        <v>90.46</v>
      </c>
      <c r="IW15" s="115">
        <f>+MIN(CY15:DA15)</f>
        <v>85.09</v>
      </c>
      <c r="IX15" s="115">
        <f>+MIN(DB15:DD15)</f>
        <v>124.6</v>
      </c>
      <c r="IY15" s="115">
        <f>+MIN(DE15:DG15)</f>
        <v>163.12</v>
      </c>
      <c r="IZ15" s="115">
        <f>+MIN(DH15:DJ15)</f>
        <v>200.66</v>
      </c>
      <c r="JA15" s="115">
        <f>+MIN(DK15:DM15)</f>
        <v>236</v>
      </c>
      <c r="JB15" s="115">
        <f>+MIN(DN15:DP15)</f>
        <v>191.93</v>
      </c>
      <c r="JC15" s="115">
        <f>+MIN(DQ15:DS15)</f>
        <v>236.73</v>
      </c>
      <c r="JD15" s="115">
        <f>+MIN(DT15:DV15)</f>
        <v>282.74</v>
      </c>
      <c r="JE15" s="115">
        <f>+MIN(DW15:DY15)</f>
        <v>350.29</v>
      </c>
      <c r="JF15" s="115">
        <f>+MIN(DZ15:EB15)</f>
        <v>341.24</v>
      </c>
      <c r="JG15" s="115">
        <f>+MIN(EC15:EE15)</f>
        <v>411.46</v>
      </c>
      <c r="JH15" s="115">
        <f>+MIN(EF15:EH15)</f>
        <v>402.93</v>
      </c>
      <c r="JI15" s="115">
        <f>+MIN(EI15:EK15)</f>
        <v>560</v>
      </c>
      <c r="JJ15" s="115">
        <f>+MIN(EL15:EN15)</f>
        <v>635</v>
      </c>
      <c r="JK15" s="115">
        <f>MIN(EO15:EQ15)</f>
        <v>768.62</v>
      </c>
      <c r="JL15" s="115">
        <f>MIN(ER15:ET15)</f>
        <v>856.15</v>
      </c>
      <c r="JM15" s="115">
        <f>MIN(EU15:EW15)</f>
        <v>716.5</v>
      </c>
      <c r="JN15" s="115">
        <f>MIN(EX15:EZ15)</f>
        <v>585</v>
      </c>
      <c r="JO15" s="115">
        <f>MIN(FA15:FC15)</f>
        <v>648</v>
      </c>
      <c r="JP15" s="115">
        <f>MIN(FD15:FF15)</f>
        <v>770</v>
      </c>
      <c r="JQ15" s="115">
        <f>MIN(FG15:FI15)</f>
        <v>702</v>
      </c>
      <c r="JR15" s="115">
        <f>MIN(FJ15:FL15)</f>
        <v>668.65</v>
      </c>
      <c r="JS15" s="115">
        <f>MIN(FM15:FO15)</f>
        <v>749.6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36.880000000000003</v>
      </c>
      <c r="D16" s="115" cm="1">
        <f t="array" ref="D16">_xll.EQNXTDZ($A$1,$B16,D$1)</f>
        <v>41.19</v>
      </c>
      <c r="E16" s="115" cm="1">
        <f t="array" ref="E16">_xll.EQNXTDZ($A$1,$B16,E$1)</f>
        <v>41.17</v>
      </c>
      <c r="F16" s="115" cm="1">
        <f t="array" ref="F16">_xll.EQNXTDZ($A$1,$B16,F$1)</f>
        <v>41.19</v>
      </c>
      <c r="G16" s="115" cm="1">
        <f t="array" ref="G16">_xll.EQNXTDZ($A$1,$B16,G$1)</f>
        <v>45.57</v>
      </c>
      <c r="H16" s="115" cm="1">
        <f t="array" ref="H16">_xll.EQNXTDZ($A$1,$B16,H$1)</f>
        <v>45.75</v>
      </c>
      <c r="I16" s="115" cm="1">
        <f t="array" ref="I16">_xll.EQNXTDZ($A$1,$B16,I$1)</f>
        <v>44.32</v>
      </c>
      <c r="J16" s="115" cm="1">
        <f t="array" ref="J16">_xll.EQNXTDZ($A$1,$B16,J$1)</f>
        <v>37.35</v>
      </c>
      <c r="K16" s="115" cm="1">
        <f t="array" ref="K16">_xll.EQNXTDZ($A$1,$B16,K$1)</f>
        <v>39.229999999999997</v>
      </c>
      <c r="L16" s="115" cm="1">
        <f t="array" ref="L16">_xll.EQNXTDZ($A$1,$B16,L$1)</f>
        <v>40.659999999999997</v>
      </c>
      <c r="M16" s="115" cm="1">
        <f t="array" ref="M16">_xll.EQNXTDZ($A$1,$B16,M$1)</f>
        <v>42.02</v>
      </c>
      <c r="N16" s="115" cm="1">
        <f t="array" ref="N16">_xll.EQNXTDZ($A$1,$B16,N$1)</f>
        <v>40.69</v>
      </c>
      <c r="O16" s="115" cm="1">
        <f t="array" ref="O16">_xll.EQNXTDZ($A$1,$B16,O$1)</f>
        <v>41.64</v>
      </c>
      <c r="P16" s="115" cm="1">
        <f t="array" ref="P16">_xll.EQNXTDZ($A$1,$B16,P$1)</f>
        <v>41.6</v>
      </c>
      <c r="Q16" s="115" cm="1">
        <f t="array" ref="Q16">_xll.EQNXTDZ($A$1,$B16,Q$1)</f>
        <v>39.090000000000003</v>
      </c>
      <c r="R16" s="115" cm="1">
        <f t="array" ref="R16">_xll.EQNXTDZ($A$1,$B16,R$1)</f>
        <v>42.91</v>
      </c>
      <c r="S16" s="115" cm="1">
        <f t="array" ref="S16">_xll.EQNXTDZ($A$1,$B16,S$1)</f>
        <v>47.46</v>
      </c>
      <c r="T16" s="115" cm="1">
        <f t="array" ref="T16">_xll.EQNXTDZ($A$1,$B16,T$1)</f>
        <v>52.96</v>
      </c>
      <c r="U16" s="115" cm="1">
        <f t="array" ref="U16">_xll.EQNXTDZ($A$1,$B16,U$1)</f>
        <v>53.6</v>
      </c>
      <c r="V16" s="115" cm="1">
        <f t="array" ref="V16">_xll.EQNXTDZ($A$1,$B16,V$1)</f>
        <v>48.46</v>
      </c>
      <c r="W16" s="115" cm="1">
        <f t="array" ref="W16">_xll.EQNXTDZ($A$1,$B16,W$1)</f>
        <v>50.48</v>
      </c>
      <c r="X16" s="115" cm="1">
        <f t="array" ref="X16">_xll.EQNXTDZ($A$1,$B16,X$1)</f>
        <v>64.959999999999994</v>
      </c>
      <c r="Y16" s="115" cm="1">
        <f t="array" ref="Y16">_xll.EQNXTDZ($A$1,$B16,Y$1)</f>
        <v>66.489999999999995</v>
      </c>
      <c r="Z16" s="115" cm="1">
        <f t="array" ref="Z16">_xll.EQNXTDZ($A$1,$B16,Z$1)</f>
        <v>99.58</v>
      </c>
      <c r="AA16" s="115" cm="1">
        <f t="array" ref="AA16">_xll.EQNXTDZ($A$1,$B16,AA$1)</f>
        <v>109.35</v>
      </c>
      <c r="AB16" s="115" cm="1">
        <f t="array" ref="AB16">_xll.EQNXTDZ($A$1,$B16,AB$1)</f>
        <v>106.01</v>
      </c>
      <c r="AC16" s="115" cm="1">
        <f t="array" ref="AC16">_xll.EQNXTDZ($A$1,$B16,AC$1)</f>
        <v>106.89</v>
      </c>
      <c r="AD16" s="115" cm="1">
        <f t="array" ref="AD16">_xll.EQNXTDZ($A$1,$B16,AD$1)</f>
        <v>108.84</v>
      </c>
      <c r="AE16" s="115" cm="1">
        <f t="array" ref="AE16">_xll.EQNXTDZ($A$1,$B16,AE$1)</f>
        <v>106.91</v>
      </c>
      <c r="AF16" s="115" cm="1">
        <f t="array" ref="AF16">_xll.EQNXTDZ($A$1,$B16,AF$1)</f>
        <v>110.72</v>
      </c>
      <c r="AG16" s="115" cm="1">
        <f t="array" ref="AG16">_xll.EQNXTDZ($A$1,$B16,AG$1)</f>
        <v>132.69</v>
      </c>
      <c r="AH16" s="115" cm="1">
        <f t="array" ref="AH16">_xll.EQNXTDZ($A$1,$B16,AH$1)</f>
        <v>137.83000000000001</v>
      </c>
      <c r="AI16" s="115" cm="1">
        <f t="array" ref="AI16">_xll.EQNXTDZ($A$1,$B16,AI$1)</f>
        <v>137.5</v>
      </c>
      <c r="AJ16" s="115" cm="1">
        <f t="array" ref="AJ16">_xll.EQNXTDZ($A$1,$B16,AJ$1)</f>
        <v>147.94999999999999</v>
      </c>
      <c r="AK16" s="115" cm="1">
        <f t="array" ref="AK16">_xll.EQNXTDZ($A$1,$B16,AK$1)</f>
        <v>113.9</v>
      </c>
      <c r="AL16" s="115" cm="1">
        <f t="array" ref="AL16">_xll.EQNXTDZ($A$1,$B16,AL$1)</f>
        <v>113.9</v>
      </c>
      <c r="AM16" s="115" cm="1">
        <f t="array" ref="AM16">_xll.EQNXTDZ($A$1,$B16,AM$1)</f>
        <v>123.3</v>
      </c>
      <c r="AN16" s="115" cm="1">
        <f t="array" ref="AN16">_xll.EQNXTDZ($A$1,$B16,AN$1)</f>
        <v>124.35</v>
      </c>
      <c r="AO16" s="115" cm="1">
        <f t="array" ref="AO16">_xll.EQNXTDZ($A$1,$B16,AO$1)</f>
        <v>119.65</v>
      </c>
      <c r="AP16" s="115" cm="1">
        <f t="array" ref="AP16">_xll.EQNXTDZ($A$1,$B16,AP$1)</f>
        <v>117.85</v>
      </c>
      <c r="AQ16" s="115" cm="1">
        <f t="array" ref="AQ16">_xll.EQNXTDZ($A$1,$B16,AQ$1)</f>
        <v>120.45</v>
      </c>
      <c r="AR16" s="115" cm="1">
        <f t="array" ref="AR16">_xll.EQNXTDZ($A$1,$B16,AR$1)</f>
        <v>115.05</v>
      </c>
      <c r="AS16" s="115" cm="1">
        <f t="array" ref="AS16">_xll.EQNXTDZ($A$1,$B16,AS$1)</f>
        <v>123.55</v>
      </c>
      <c r="AT16" s="115" cm="1">
        <f t="array" ref="AT16">_xll.EQNXTDZ($A$1,$B16,AT$1)</f>
        <v>111.35</v>
      </c>
      <c r="AU16" s="115" cm="1">
        <f t="array" ref="AU16">_xll.EQNXTDZ($A$1,$B16,AU$1)</f>
        <v>104.7</v>
      </c>
      <c r="AV16" s="115" cm="1">
        <f t="array" ref="AV16">_xll.EQNXTDZ($A$1,$B16,AV$1)</f>
        <v>126.3</v>
      </c>
      <c r="AW16" s="115" cm="1">
        <f t="array" ref="AW16">_xll.EQNXTDZ($A$1,$B16,AW$1)</f>
        <v>136.15</v>
      </c>
      <c r="AX16" s="115" cm="1">
        <f t="array" ref="AX16">_xll.EQNXTDZ($A$1,$B16,AX$1)</f>
        <v>136.99</v>
      </c>
      <c r="AY16" s="115" cm="1">
        <f t="array" ref="AY16">_xll.EQNXTDZ($A$1,$B16,AY$1)</f>
        <v>147.47</v>
      </c>
      <c r="AZ16" s="115" cm="1">
        <f t="array" ref="AZ16">_xll.EQNXTDZ($A$1,$B16,AZ$1)</f>
        <v>135.93</v>
      </c>
      <c r="BA16" s="115" cm="1">
        <f t="array" ref="BA16">_xll.EQNXTDZ($A$1,$B16,BA$1)</f>
        <v>131.82</v>
      </c>
      <c r="BB16" s="115" cm="1">
        <f t="array" ref="BB16">_xll.EQNXTDZ($A$1,$B16,BB$1)</f>
        <v>118.96</v>
      </c>
      <c r="BC16" s="115" cm="1">
        <f t="array" ref="BC16">_xll.EQNXTDZ($A$1,$B16,BC$1)</f>
        <v>117.51</v>
      </c>
      <c r="BD16" s="115" cm="1">
        <f t="array" ref="BD16">_xll.EQNXTDZ($A$1,$B16,BD$1)</f>
        <v>121.29</v>
      </c>
      <c r="BE16" s="115" cm="1">
        <f t="array" ref="BE16">_xll.EQNXTDZ($A$1,$B16,BE$1)</f>
        <v>125.79</v>
      </c>
      <c r="BF16" s="115" cm="1">
        <f t="array" ref="BF16">_xll.EQNXTDZ($A$1,$B16,BF$1)</f>
        <v>123.61</v>
      </c>
      <c r="BG16" s="115" cm="1">
        <f t="array" ref="BG16">_xll.EQNXTDZ($A$1,$B16,BG$1)</f>
        <v>124</v>
      </c>
      <c r="BH16" s="115" cm="1">
        <f t="array" ref="BH16">_xll.EQNXTDZ($A$1,$B16,BH$1)</f>
        <v>144.78</v>
      </c>
      <c r="BI16" s="115" cm="1">
        <f t="array" ref="BI16">_xll.EQNXTDZ($A$1,$B16,BI$1)</f>
        <v>140.29</v>
      </c>
      <c r="BJ16" s="115" cm="1">
        <f t="array" ref="BJ16">_xll.EQNXTDZ($A$1,$B16,BJ$1)</f>
        <v>134.55000000000001</v>
      </c>
      <c r="BK16" s="115" cm="1">
        <f t="array" ref="BK16">_xll.EQNXTDZ($A$1,$B16,BK$1)</f>
        <v>151.91</v>
      </c>
      <c r="BL16" s="115" cm="1">
        <f t="array" ref="BL16">_xll.EQNXTDZ($A$1,$B16,BL$1)</f>
        <v>148.31</v>
      </c>
      <c r="BM16" s="115" cm="1">
        <f t="array" ref="BM16">_xll.EQNXTDZ($A$1,$B16,BM$1)</f>
        <v>141.99</v>
      </c>
      <c r="BN16" s="115" cm="1">
        <f t="array" ref="BN16">_xll.EQNXTDZ($A$1,$B16,BN$1)</f>
        <v>146.47</v>
      </c>
      <c r="BO16" s="115" cm="1">
        <f t="array" ref="BO16">_xll.EQNXTDZ($A$1,$B16,BO$1)</f>
        <v>167.27</v>
      </c>
      <c r="BP16" s="115" cm="1">
        <f t="array" ref="BP16">_xll.EQNXTDZ($A$1,$B16,BP$1)</f>
        <v>173.46</v>
      </c>
      <c r="BQ16" s="115" cm="1">
        <f t="array" ref="BQ16">_xll.EQNXTDZ($A$1,$B16,BQ$1)</f>
        <v>177.3</v>
      </c>
      <c r="BR16" s="115" cm="1">
        <f t="array" ref="BR16">_xll.EQNXTDZ($A$1,$B16,BR$1)</f>
        <v>178.16</v>
      </c>
      <c r="BS16" s="115" cm="1">
        <f t="array" ref="BS16">_xll.EQNXTDZ($A$1,$B16,BS$1)</f>
        <v>160.11000000000001</v>
      </c>
      <c r="BT16" s="115" cm="1">
        <f t="array" ref="BT16">_xll.EQNXTDZ($A$1,$B16,BT$1)</f>
        <v>158.09</v>
      </c>
      <c r="BU16" s="115" cm="1">
        <f t="array" ref="BU16">_xll.EQNXTDZ($A$1,$B16,BU$1)</f>
        <v>165.31</v>
      </c>
      <c r="BV16" s="115" cm="1">
        <f t="array" ref="BV16">_xll.EQNXTDZ($A$1,$B16,BV$1)</f>
        <v>163.68</v>
      </c>
      <c r="BW16" s="115" cm="1">
        <f t="array" ref="BW16">_xll.EQNXTDZ($A$1,$B16,BW$1)</f>
        <v>155.43</v>
      </c>
      <c r="BX16" s="115" cm="1">
        <f t="array" ref="BX16">_xll.EQNXTDZ($A$1,$B16,BX$1)</f>
        <v>157.68</v>
      </c>
      <c r="BY16" s="115" cm="1">
        <f t="array" ref="BY16">_xll.EQNXTDZ($A$1,$B16,BY$1)</f>
        <v>155.25</v>
      </c>
      <c r="BZ16" s="115" cm="1">
        <f t="array" ref="BZ16">_xll.EQNXTDZ($A$1,$B16,BZ$1)</f>
        <v>144.58000000000001</v>
      </c>
      <c r="CA16" s="115" cm="1">
        <f t="array" ref="CA16">_xll.EQNXTDZ($A$1,$B16,CA$1)</f>
        <v>158</v>
      </c>
      <c r="CB16" s="115" cm="1">
        <f t="array" ref="CB16">_xll.EQNXTDZ($A$1,$B16,CB$1)</f>
        <v>158.78</v>
      </c>
      <c r="CC16" s="115" cm="1">
        <f t="array" ref="CC16">_xll.EQNXTDZ($A$1,$B16,CC$1)</f>
        <v>155.85</v>
      </c>
      <c r="CD16" s="115" cm="1">
        <f t="array" ref="CD16">_xll.EQNXTDZ($A$1,$B16,CD$1)</f>
        <v>140.12</v>
      </c>
      <c r="CE16" s="115" cm="1">
        <f t="array" ref="CE16">_xll.EQNXTDZ($A$1,$B16,CE$1)</f>
        <v>130.49</v>
      </c>
      <c r="CF16" s="115" cm="1">
        <f t="array" ref="CF16">_xll.EQNXTDZ($A$1,$B16,CF$1)</f>
        <v>137.56</v>
      </c>
      <c r="CG16" s="115" cm="1">
        <f t="array" ref="CG16">_xll.EQNXTDZ($A$1,$B16,CG$1)</f>
        <v>133.66999999999999</v>
      </c>
      <c r="CH16" s="115" cm="1">
        <f t="array" ref="CH16">_xll.EQNXTDZ($A$1,$B16,CH$1)</f>
        <v>138.99</v>
      </c>
      <c r="CI16" s="115" cm="1">
        <f t="array" ref="CI16">_xll.EQNXTDZ($A$1,$B16,CI$1)</f>
        <v>143.32</v>
      </c>
      <c r="CJ16" s="115" cm="1">
        <f t="array" ref="CJ16">_xll.EQNXTDZ($A$1,$B16,CJ$1)</f>
        <v>122.39</v>
      </c>
      <c r="CK16" s="115" cm="1">
        <f t="array" ref="CK16">_xll.EQNXTDZ($A$1,$B16,CK$1)</f>
        <v>121.99</v>
      </c>
      <c r="CL16" s="115" cm="1">
        <f t="array" ref="CL16">_xll.EQNXTDZ($A$1,$B16,CL$1)</f>
        <v>139.08000000000001</v>
      </c>
      <c r="CM16" s="115" cm="1">
        <f t="array" ref="CM16">_xll.EQNXTDZ($A$1,$B16,CM$1)</f>
        <v>138.94</v>
      </c>
      <c r="CN16" s="115" cm="1">
        <f t="array" ref="CN16">_xll.EQNXTDZ($A$1,$B16,CN$1)</f>
        <v>134.61000000000001</v>
      </c>
      <c r="CO16" s="115" cm="1">
        <f t="array" ref="CO16">_xll.EQNXTDZ($A$1,$B16,CO$1)</f>
        <v>135</v>
      </c>
      <c r="CP16" s="115" cm="1">
        <f t="array" ref="CP16">_xll.EQNXTDZ($A$1,$B16,CP$1)</f>
        <v>147.83000000000001</v>
      </c>
      <c r="CQ16" s="115" cm="1">
        <f t="array" ref="CQ16">_xll.EQNXTDZ($A$1,$B16,CQ$1)</f>
        <v>133.61000000000001</v>
      </c>
      <c r="CR16" s="115" cm="1">
        <f t="array" ref="CR16">_xll.EQNXTDZ($A$1,$B16,CR$1)</f>
        <v>84.84</v>
      </c>
      <c r="CS16" s="115" cm="1">
        <f t="array" ref="CS16">_xll.EQNXTDZ($A$1,$B16,CS$1)</f>
        <v>98.32</v>
      </c>
      <c r="CT16" s="115" cm="1">
        <f t="array" ref="CT16">_xll.EQNXTDZ($A$1,$B16,CT$1)</f>
        <v>92.58</v>
      </c>
      <c r="CU16" s="115" cm="1">
        <f t="array" ref="CU16">_xll.EQNXTDZ($A$1,$B16,CU$1)</f>
        <v>93.35</v>
      </c>
      <c r="CV16" s="115" cm="1">
        <f t="array" ref="CV16">_xll.EQNXTDZ($A$1,$B16,CV$1)</f>
        <v>101.68</v>
      </c>
      <c r="CW16" s="115" cm="1">
        <f t="array" ref="CW16">_xll.EQNXTDZ($A$1,$B16,CW$1)</f>
        <v>104.54</v>
      </c>
      <c r="CX16" s="115" cm="1">
        <f t="array" ref="CX16">_xll.EQNXTDZ($A$1,$B16,CX$1)</f>
        <v>95.57</v>
      </c>
      <c r="CY16" s="115" cm="1">
        <f t="array" ref="CY16">_xll.EQNXTDZ($A$1,$B16,CY$1)</f>
        <v>90.88</v>
      </c>
      <c r="CZ16" s="115" cm="1">
        <f t="array" ref="CZ16">_xll.EQNXTDZ($A$1,$B16,CZ$1)</f>
        <v>113.66</v>
      </c>
      <c r="DA16" s="115" cm="1">
        <f t="array" ref="DA16">_xll.EQNXTDZ($A$1,$B16,DA$1)</f>
        <v>129.36000000000001</v>
      </c>
      <c r="DB16" s="115" cm="1">
        <f t="array" ref="DB16">_xll.EQNXTDZ($A$1,$B16,DB$1)</f>
        <v>125.71</v>
      </c>
      <c r="DC16" s="115" cm="1">
        <f t="array" ref="DC16">_xll.EQNXTDZ($A$1,$B16,DC$1)</f>
        <v>144.94</v>
      </c>
      <c r="DD16" s="115" cm="1">
        <f t="array" ref="DD16">_xll.EQNXTDZ($A$1,$B16,DD$1)</f>
        <v>179.07</v>
      </c>
      <c r="DE16" s="115" cm="1">
        <f t="array" ref="DE16">_xll.EQNXTDZ($A$1,$B16,DE$1)</f>
        <v>177.85</v>
      </c>
      <c r="DF16" s="115" cm="1">
        <f t="array" ref="DF16">_xll.EQNXTDZ($A$1,$B16,DF$1)</f>
        <v>194.98</v>
      </c>
      <c r="DG16" s="115" cm="1">
        <f t="array" ref="DG16">_xll.EQNXTDZ($A$1,$B16,DG$1)</f>
        <v>202.22</v>
      </c>
      <c r="DH16" s="115" cm="1">
        <f t="array" ref="DH16">_xll.EQNXTDZ($A$1,$B16,DH$1)</f>
        <v>231.94</v>
      </c>
      <c r="DI16" s="115" cm="1">
        <f t="array" ref="DI16">_xll.EQNXTDZ($A$1,$B16,DI$1)</f>
        <v>238.34</v>
      </c>
      <c r="DJ16" s="115" cm="1">
        <f t="array" ref="DJ16">_xll.EQNXTDZ($A$1,$B16,DJ$1)</f>
        <v>244.3</v>
      </c>
      <c r="DK16" s="115" cm="1">
        <f t="array" ref="DK16">_xll.EQNXTDZ($A$1,$B16,DK$1)</f>
        <v>265</v>
      </c>
      <c r="DL16" s="115" cm="1">
        <f t="array" ref="DL16">_xll.EQNXTDZ($A$1,$B16,DL$1)</f>
        <v>247.7</v>
      </c>
      <c r="DM16" s="115" cm="1">
        <f t="array" ref="DM16">_xll.EQNXTDZ($A$1,$B16,DM$1)</f>
        <v>243.08</v>
      </c>
      <c r="DN16" s="115" cm="1">
        <f t="array" ref="DN16">_xll.EQNXTDZ($A$1,$B16,DN$1)</f>
        <v>246.31</v>
      </c>
      <c r="DO16" s="115" cm="1">
        <f t="array" ref="DO16">_xll.EQNXTDZ($A$1,$B16,DO$1)</f>
        <v>218.89</v>
      </c>
      <c r="DP16" s="115" cm="1">
        <f t="array" ref="DP16">_xll.EQNXTDZ($A$1,$B16,DP$1)</f>
        <v>262.92</v>
      </c>
      <c r="DQ16" s="115" cm="1">
        <f t="array" ref="DQ16">_xll.EQNXTDZ($A$1,$B16,DQ$1)</f>
        <v>264.79000000000002</v>
      </c>
      <c r="DR16" s="115" cm="1">
        <f t="array" ref="DR16">_xll.EQNXTDZ($A$1,$B16,DR$1)</f>
        <v>269.60000000000002</v>
      </c>
      <c r="DS16" s="115" cm="1">
        <f t="array" ref="DS16">_xll.EQNXTDZ($A$1,$B16,DS$1)</f>
        <v>296.70999999999998</v>
      </c>
      <c r="DT16" s="115" cm="1">
        <f t="array" ref="DT16">_xll.EQNXTDZ($A$1,$B16,DT$1)</f>
        <v>295.67</v>
      </c>
      <c r="DU16" s="115" cm="1">
        <f t="array" ref="DU16">_xll.EQNXTDZ($A$1,$B16,DU$1)</f>
        <v>382.71</v>
      </c>
      <c r="DV16" s="115" cm="1">
        <f t="array" ref="DV16">_xll.EQNXTDZ($A$1,$B16,DV$1)</f>
        <v>401.25</v>
      </c>
      <c r="DW16" s="115" cm="1">
        <f t="array" ref="DW16">_xll.EQNXTDZ($A$1,$B16,DW$1)</f>
        <v>419.07</v>
      </c>
      <c r="DX16" s="115" cm="1">
        <f t="array" ref="DX16">_xll.EQNXTDZ($A$1,$B16,DX$1)</f>
        <v>404.11</v>
      </c>
      <c r="DY16" s="115" cm="1">
        <f t="array" ref="DY16">_xll.EQNXTDZ($A$1,$B16,DY$1)</f>
        <v>387.38</v>
      </c>
      <c r="DZ16" s="115" cm="1">
        <f t="array" ref="DZ16">_xll.EQNXTDZ($A$1,$B16,DZ$1)</f>
        <v>361.54</v>
      </c>
      <c r="EA16" s="115" cm="1">
        <f t="array" ref="EA16">_xll.EQNXTDZ($A$1,$B16,EA$1)</f>
        <v>383.42</v>
      </c>
      <c r="EB16" s="115" cm="1">
        <f t="array" ref="EB16">_xll.EQNXTDZ($A$1,$B16,EB$1)</f>
        <v>418.32</v>
      </c>
      <c r="EC16" s="115" cm="1">
        <f t="array" ref="EC16">_xll.EQNXTDZ($A$1,$B16,EC$1)</f>
        <v>449.37</v>
      </c>
      <c r="ED16" s="115" cm="1">
        <f t="array" ref="ED16">_xll.EQNXTDZ($A$1,$B16,ED$1)</f>
        <v>421.29</v>
      </c>
      <c r="EE16" s="115" cm="1">
        <f t="array" ref="EE16">_xll.EQNXTDZ($A$1,$B16,EE$1)</f>
        <v>431.17</v>
      </c>
      <c r="EF16" s="115" cm="1">
        <f t="array" ref="EF16">_xll.EQNXTDZ($A$1,$B16,EF$1)</f>
        <v>452.06</v>
      </c>
      <c r="EG16" s="115" cm="1">
        <f t="array" ref="EG16">_xll.EQNXTDZ($A$1,$B16,EG$1)</f>
        <v>559.27</v>
      </c>
      <c r="EH16" s="115" cm="1">
        <f t="array" ref="EH16">_xll.EQNXTDZ($A$1,$B16,EH$1)</f>
        <v>599.16</v>
      </c>
      <c r="EI16" s="115" cm="1">
        <f t="array" ref="EI16">_xll.EQNXTDZ($A$1,$B16,EI$1)</f>
        <v>611.25</v>
      </c>
      <c r="EJ16" s="115" cm="1">
        <f t="array" ref="EJ16">_xll.EQNXTDZ($A$1,$B16,EJ$1)</f>
        <v>681.74</v>
      </c>
      <c r="EK16" s="115" cm="1">
        <f t="array" ref="EK16">_xll.EQNXTDZ($A$1,$B16,EK$1)</f>
        <v>692.83</v>
      </c>
      <c r="EL16" s="115" cm="1">
        <f t="array" ref="EL16">_xll.EQNXTDZ($A$1,$B16,EL$1)</f>
        <v>729.06</v>
      </c>
      <c r="EM16" s="115" cm="1">
        <f t="array" ref="EM16">_xll.EQNXTDZ($A$1,$B16,EM$1)</f>
        <v>731.75</v>
      </c>
      <c r="EN16" s="115" cm="1">
        <f t="array" ref="EN16">_xll.EQNXTDZ($A$1,$B16,EN$1)</f>
        <v>770.92</v>
      </c>
      <c r="EO16" s="115" cm="1">
        <f t="array" ref="EO16">_xll.EQNXTDZ($A$1,$B16,EO$1)</f>
        <v>902.06</v>
      </c>
      <c r="EP16" s="115" cm="1">
        <f t="array" ref="EP16">_xll.EQNXTDZ($A$1,$B16,EP$1)</f>
        <v>943.16</v>
      </c>
      <c r="EQ16" s="115" cm="1">
        <f t="array" ref="EQ16">_xll.EQNXTDZ($A$1,$B16,EQ$1)</f>
        <v>934.99</v>
      </c>
      <c r="ER16" s="115" cm="1">
        <f t="array" ref="ER16">_xll.EQNXTDZ($A$1,$B16,ER$1)</f>
        <v>963.5</v>
      </c>
      <c r="ES16" s="115" cm="1">
        <f t="array" ref="ES16">_xll.EQNXTDZ($A$1,$B16,ES$1)</f>
        <v>923.1</v>
      </c>
      <c r="ET16" s="115" cm="1">
        <f t="array" ref="ET16">_xll.EQNXTDZ($A$1,$B16,ET$1)</f>
        <v>898.9</v>
      </c>
      <c r="EU16" s="115" cm="1">
        <f t="array" ref="EU16">_xll.EQNXTDZ($A$1,$B16,EU$1)</f>
        <v>800.2</v>
      </c>
      <c r="EV16" s="115" cm="1">
        <f t="array" ref="EV16">_xll.EQNXTDZ($A$1,$B16,EV$1)</f>
        <v>832.85</v>
      </c>
      <c r="EW16" s="115" cm="1">
        <f t="array" ref="EW16">_xll.EQNXTDZ($A$1,$B16,EW$1)</f>
        <v>767.4</v>
      </c>
      <c r="EX16" s="115" cm="1">
        <f t="array" ref="EX16">_xll.EQNXTDZ($A$1,$B16,EX$1)</f>
        <v>703.05</v>
      </c>
      <c r="EY16" s="115" cm="1">
        <f t="array" ref="EY16">_xll.EQNXTDZ($A$1,$B16,EY$1)</f>
        <v>617.20000000000005</v>
      </c>
      <c r="EZ16" s="115" cm="1">
        <f t="array" ref="EZ16">_xll.EQNXTDZ($A$1,$B16,EZ$1)</f>
        <v>712.7</v>
      </c>
      <c r="FA16" s="115" cm="1">
        <f t="array" ref="FA16">_xll.EQNXTDZ($A$1,$B16,FA$1)</f>
        <v>732.35</v>
      </c>
      <c r="FB16" s="115" cm="1">
        <f t="array" ref="FB16">_xll.EQNXTDZ($A$1,$B16,FB$1)</f>
        <v>850.7</v>
      </c>
      <c r="FC16" s="115" cm="1">
        <f t="array" ref="FC16">_xll.EQNXTDZ($A$1,$B16,FC$1)</f>
        <v>817.9</v>
      </c>
      <c r="FD16" s="115" cm="1">
        <f t="array" ref="FD16">_xll.EQNXTDZ($A$1,$B16,FD$1)</f>
        <v>840.2</v>
      </c>
      <c r="FE16" s="115" cm="1">
        <f t="array" ref="FE16">_xll.EQNXTDZ($A$1,$B16,FE$1)</f>
        <v>825.4</v>
      </c>
      <c r="FF16" s="115" cm="1">
        <f t="array" ref="FF16">_xll.EQNXTDZ($A$1,$B16,FF$1)</f>
        <v>821.45</v>
      </c>
      <c r="FG16" s="115" cm="1">
        <f t="array" ref="FG16">_xll.EQNXTDZ($A$1,$B16,FG$1)</f>
        <v>791.2</v>
      </c>
      <c r="FH16" s="115" cm="1">
        <f t="array" ref="FH16">_xll.EQNXTDZ($A$1,$B16,FH$1)</f>
        <v>768.4</v>
      </c>
      <c r="FI16" s="115" cm="1">
        <f t="array" ref="FI16">_xll.EQNXTDZ($A$1,$B16,FI$1)</f>
        <v>754.25</v>
      </c>
      <c r="FJ16" s="115" cm="1">
        <f t="array" ref="FJ16">_xll.EQNXTDZ($A$1,$B16,FJ$1)</f>
        <v>708.55</v>
      </c>
      <c r="FK16" s="115" cm="1">
        <f t="array" ref="FK16">_xll.EQNXTDZ($A$1,$B16,FK$1)</f>
        <v>771.1</v>
      </c>
      <c r="FL16" s="115" cm="1">
        <f t="array" ref="FL16">_xll.EQNXTDZ($A$1,$B16,FL$1)</f>
        <v>792.25</v>
      </c>
      <c r="FM16" s="115" cm="1">
        <f t="array" ref="FM16">_xll.EQNXTDZ($A$1,$B16,FM$1)</f>
        <v>976.95</v>
      </c>
      <c r="FN16" s="115" cm="1">
        <f t="array" ref="FN16">_xll.EQNXTDZ($A$1,$B16,FN$1)</f>
        <v>791.15</v>
      </c>
      <c r="FO16" s="115" cm="1">
        <f t="array" ref="FO16">_xll.EQNXTDZ($A$1,$B16,FO$1)</f>
        <v>864.15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41.19</v>
      </c>
      <c r="HQ16" s="115">
        <f>+I16</f>
        <v>44.32</v>
      </c>
      <c r="HR16" s="115">
        <f>+L16</f>
        <v>40.659999999999997</v>
      </c>
      <c r="HS16" s="115">
        <f>+O16</f>
        <v>41.64</v>
      </c>
      <c r="HT16" s="115">
        <f>+R16</f>
        <v>42.91</v>
      </c>
      <c r="HU16" s="115">
        <f>+U16</f>
        <v>53.6</v>
      </c>
      <c r="HV16" s="115">
        <f>+X16</f>
        <v>64.959999999999994</v>
      </c>
      <c r="HW16" s="115">
        <f>+AA16</f>
        <v>109.35</v>
      </c>
      <c r="HX16" s="115">
        <f>+AD16</f>
        <v>108.84</v>
      </c>
      <c r="HY16" s="115">
        <f>+AG16</f>
        <v>132.69</v>
      </c>
      <c r="HZ16" s="115">
        <f>+AJ16</f>
        <v>147.94999999999999</v>
      </c>
      <c r="IA16" s="115">
        <f>+AM16</f>
        <v>123.3</v>
      </c>
      <c r="IB16" s="115">
        <f>+AP16</f>
        <v>117.85</v>
      </c>
      <c r="IC16" s="115">
        <f>+AS16</f>
        <v>123.55</v>
      </c>
      <c r="ID16" s="115">
        <f>+AV16</f>
        <v>126.3</v>
      </c>
      <c r="IE16" s="115">
        <f>+AY16</f>
        <v>147.47</v>
      </c>
      <c r="IF16" s="115">
        <f>+BB16</f>
        <v>118.96</v>
      </c>
      <c r="IG16" s="115">
        <f>+BE16</f>
        <v>125.79</v>
      </c>
      <c r="IH16" s="115">
        <f>+BH16</f>
        <v>144.78</v>
      </c>
      <c r="II16" s="115">
        <f>+BK16</f>
        <v>151.91</v>
      </c>
      <c r="IJ16" s="115">
        <f>+BN16</f>
        <v>146.47</v>
      </c>
      <c r="IK16" s="115">
        <f>+BQ16</f>
        <v>177.3</v>
      </c>
      <c r="IL16" s="115">
        <f>+BT16</f>
        <v>158.09</v>
      </c>
      <c r="IM16" s="115">
        <f>+BW16</f>
        <v>155.43</v>
      </c>
      <c r="IN16" s="115">
        <f>+BZ16</f>
        <v>144.58000000000001</v>
      </c>
      <c r="IO16" s="115">
        <f>+CC16</f>
        <v>155.85</v>
      </c>
      <c r="IP16" s="115">
        <f>+CF16</f>
        <v>137.56</v>
      </c>
      <c r="IQ16" s="115">
        <f>+CI16</f>
        <v>143.32</v>
      </c>
      <c r="IR16" s="115">
        <f>+CL16</f>
        <v>139.08000000000001</v>
      </c>
      <c r="IS16" s="115">
        <f>+CO16</f>
        <v>135</v>
      </c>
      <c r="IT16" s="115">
        <f>+CR16</f>
        <v>84.84</v>
      </c>
      <c r="IU16" s="115">
        <f>+CU16</f>
        <v>93.35</v>
      </c>
      <c r="IV16" s="115">
        <f>+CX16</f>
        <v>95.57</v>
      </c>
      <c r="IW16" s="115">
        <f>+DA16</f>
        <v>129.36000000000001</v>
      </c>
      <c r="IX16" s="115">
        <f>+DD16</f>
        <v>179.07</v>
      </c>
      <c r="IY16" s="115">
        <f>+DG16</f>
        <v>202.22</v>
      </c>
      <c r="IZ16" s="115">
        <f>+DJ16</f>
        <v>244.3</v>
      </c>
      <c r="JA16" s="115">
        <f>+DM16</f>
        <v>243.08</v>
      </c>
      <c r="JB16" s="115">
        <f>+DP16</f>
        <v>262.92</v>
      </c>
      <c r="JC16" s="115">
        <f>+DS16</f>
        <v>296.70999999999998</v>
      </c>
      <c r="JD16" s="115">
        <f>+DV16</f>
        <v>401.25</v>
      </c>
      <c r="JE16" s="115">
        <f>+DY16</f>
        <v>387.38</v>
      </c>
      <c r="JF16" s="115">
        <f>+EB16</f>
        <v>418.32</v>
      </c>
      <c r="JG16" s="115">
        <f>+EE16</f>
        <v>431.17</v>
      </c>
      <c r="JH16" s="115">
        <f>+EH16</f>
        <v>599.16</v>
      </c>
      <c r="JI16" s="115">
        <f>+EK16</f>
        <v>692.83</v>
      </c>
      <c r="JJ16" s="115">
        <f>+EN16</f>
        <v>770.92</v>
      </c>
      <c r="JK16" s="115">
        <f>EQ16</f>
        <v>934.99</v>
      </c>
      <c r="JL16" s="115">
        <f>ET16</f>
        <v>898.9</v>
      </c>
      <c r="JM16" s="115">
        <f>EW16</f>
        <v>767.4</v>
      </c>
      <c r="JN16" s="115">
        <f>EZ16</f>
        <v>712.7</v>
      </c>
      <c r="JO16" s="115">
        <f>FC16</f>
        <v>817.9</v>
      </c>
      <c r="JP16" s="115">
        <f>FF16</f>
        <v>821.45</v>
      </c>
      <c r="JQ16" s="115">
        <f>FI16</f>
        <v>754.25</v>
      </c>
      <c r="JR16" s="115">
        <f>FL16</f>
        <v>792.25</v>
      </c>
      <c r="JS16" s="115">
        <f>FO16</f>
        <v>864.15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44.4</v>
      </c>
      <c r="HQ19" s="115">
        <f t="shared" ref="HQ19:JI21" si="0">+IF(HQ14=0,HQ7,HQ14)</f>
        <v>48.19</v>
      </c>
      <c r="HR19" s="115">
        <f t="shared" si="0"/>
        <v>46.72</v>
      </c>
      <c r="HS19" s="115">
        <f t="shared" si="0"/>
        <v>46.4</v>
      </c>
      <c r="HT19" s="115">
        <f t="shared" si="0"/>
        <v>44.2</v>
      </c>
      <c r="HU19" s="115">
        <f t="shared" si="0"/>
        <v>54.8</v>
      </c>
      <c r="HV19" s="115">
        <f t="shared" si="0"/>
        <v>72.8</v>
      </c>
      <c r="HW19" s="115">
        <f t="shared" si="0"/>
        <v>114.7</v>
      </c>
      <c r="HX19" s="115">
        <f t="shared" si="0"/>
        <v>118.36</v>
      </c>
      <c r="HY19" s="115">
        <f t="shared" si="0"/>
        <v>136</v>
      </c>
      <c r="HZ19" s="115">
        <f t="shared" si="0"/>
        <v>165</v>
      </c>
      <c r="IA19" s="115">
        <f t="shared" si="0"/>
        <v>148.80000000000001</v>
      </c>
      <c r="IB19" s="115">
        <f t="shared" si="0"/>
        <v>139</v>
      </c>
      <c r="IC19" s="115">
        <f t="shared" si="0"/>
        <v>124.95</v>
      </c>
      <c r="ID19" s="115">
        <f t="shared" si="0"/>
        <v>135.4</v>
      </c>
      <c r="IE19" s="115">
        <f t="shared" si="0"/>
        <v>148.88999999999999</v>
      </c>
      <c r="IF19" s="115">
        <f t="shared" si="0"/>
        <v>153.59</v>
      </c>
      <c r="IG19" s="115">
        <f t="shared" si="0"/>
        <v>127</v>
      </c>
      <c r="IH19" s="115">
        <f t="shared" si="0"/>
        <v>146.6</v>
      </c>
      <c r="II19" s="115">
        <f t="shared" si="0"/>
        <v>160.6</v>
      </c>
      <c r="IJ19" s="115">
        <f t="shared" si="0"/>
        <v>167.9</v>
      </c>
      <c r="IK19" s="115">
        <f t="shared" si="0"/>
        <v>186.2</v>
      </c>
      <c r="IL19" s="115">
        <f t="shared" si="0"/>
        <v>187.2</v>
      </c>
      <c r="IM19" s="115">
        <f t="shared" si="0"/>
        <v>181.59</v>
      </c>
      <c r="IN19" s="115">
        <f t="shared" si="0"/>
        <v>177</v>
      </c>
      <c r="IO19" s="115">
        <f t="shared" si="0"/>
        <v>163.80000000000001</v>
      </c>
      <c r="IP19" s="115">
        <f t="shared" si="0"/>
        <v>156</v>
      </c>
      <c r="IQ19" s="115">
        <f t="shared" si="0"/>
        <v>147.97999999999999</v>
      </c>
      <c r="IR19" s="115">
        <f t="shared" si="0"/>
        <v>148</v>
      </c>
      <c r="IS19" s="115">
        <f t="shared" si="0"/>
        <v>148</v>
      </c>
      <c r="IT19" s="115">
        <f t="shared" si="0"/>
        <v>152.88999999999999</v>
      </c>
      <c r="IU19" s="115">
        <f t="shared" si="0"/>
        <v>110.69</v>
      </c>
      <c r="IV19" s="115">
        <f t="shared" si="0"/>
        <v>115.08</v>
      </c>
      <c r="IW19" s="115">
        <f t="shared" si="0"/>
        <v>130.80000000000001</v>
      </c>
      <c r="IX19" s="115">
        <f t="shared" si="0"/>
        <v>181.87</v>
      </c>
      <c r="IY19" s="115">
        <f t="shared" si="0"/>
        <v>222</v>
      </c>
      <c r="IZ19" s="115">
        <f t="shared" si="0"/>
        <v>275</v>
      </c>
      <c r="JA19" s="115">
        <f t="shared" si="0"/>
        <v>281.82</v>
      </c>
      <c r="JB19" s="115">
        <f t="shared" si="0"/>
        <v>265.01</v>
      </c>
      <c r="JC19" s="115">
        <f t="shared" si="0"/>
        <v>304.31</v>
      </c>
      <c r="JD19" s="115">
        <f t="shared" si="0"/>
        <v>419.57</v>
      </c>
      <c r="JE19" s="115">
        <f t="shared" si="0"/>
        <v>434.2</v>
      </c>
      <c r="JF19" s="115">
        <f t="shared" si="0"/>
        <v>427.12</v>
      </c>
      <c r="JG19" s="115">
        <f t="shared" si="0"/>
        <v>471.37</v>
      </c>
      <c r="JH19" s="115">
        <f t="shared" si="0"/>
        <v>644</v>
      </c>
      <c r="JI19" s="115">
        <f t="shared" si="0"/>
        <v>709.8</v>
      </c>
      <c r="JJ19" s="115">
        <f t="shared" ref="JJ19:JJ21" si="1">+IF(JJ14=0,JJ7,JJ14)</f>
        <v>842.24</v>
      </c>
      <c r="JK19" s="115">
        <f t="shared" ref="JK19" si="2">+IF(JK14=0,JK7,JK14)</f>
        <v>1037</v>
      </c>
      <c r="JL19" s="115">
        <f t="shared" ref="JL19:JM19" si="3">+IF(JL14=0,JL7,JL14)</f>
        <v>1057.54</v>
      </c>
      <c r="JM19" s="115">
        <f t="shared" si="3"/>
        <v>960</v>
      </c>
      <c r="JN19" s="115">
        <f t="shared" ref="JN19:JO19" si="4">+IF(JN14=0,JN7,JN14)</f>
        <v>799.55</v>
      </c>
      <c r="JO19" s="115">
        <f t="shared" si="4"/>
        <v>907.3</v>
      </c>
      <c r="JP19" s="115">
        <f t="shared" ref="JP19:KH21" si="5">+IF(JP14=0,JP7,JP14)</f>
        <v>917.9</v>
      </c>
      <c r="JQ19" s="115">
        <f t="shared" si="5"/>
        <v>826.3</v>
      </c>
      <c r="JR19" s="115">
        <f t="shared" si="5"/>
        <v>835.15</v>
      </c>
      <c r="JS19" s="115">
        <f t="shared" si="5"/>
        <v>1028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36</v>
      </c>
      <c r="HQ20" s="115">
        <f t="shared" si="6"/>
        <v>40.869999999999997</v>
      </c>
      <c r="HR20" s="115">
        <f t="shared" si="6"/>
        <v>35.47</v>
      </c>
      <c r="HS20" s="115">
        <f t="shared" si="6"/>
        <v>38.979999999999997</v>
      </c>
      <c r="HT20" s="115">
        <f t="shared" si="6"/>
        <v>38.31</v>
      </c>
      <c r="HU20" s="115">
        <f t="shared" si="6"/>
        <v>41.6</v>
      </c>
      <c r="HV20" s="115">
        <f t="shared" si="6"/>
        <v>45.2</v>
      </c>
      <c r="HW20" s="115">
        <f t="shared" si="6"/>
        <v>63</v>
      </c>
      <c r="HX20" s="115">
        <f t="shared" si="6"/>
        <v>100</v>
      </c>
      <c r="HY20" s="115">
        <f t="shared" si="6"/>
        <v>100</v>
      </c>
      <c r="HZ20" s="115">
        <f t="shared" si="6"/>
        <v>117.29</v>
      </c>
      <c r="IA20" s="115">
        <f t="shared" si="6"/>
        <v>109.65</v>
      </c>
      <c r="IB20" s="115">
        <f t="shared" si="6"/>
        <v>108.5</v>
      </c>
      <c r="IC20" s="115">
        <f t="shared" si="6"/>
        <v>111.3</v>
      </c>
      <c r="ID20" s="115">
        <f t="shared" si="6"/>
        <v>99.8</v>
      </c>
      <c r="IE20" s="115">
        <f t="shared" si="6"/>
        <v>117.3</v>
      </c>
      <c r="IF20" s="115">
        <f t="shared" si="0"/>
        <v>118.14</v>
      </c>
      <c r="IG20" s="115">
        <f t="shared" si="0"/>
        <v>109.98</v>
      </c>
      <c r="IH20" s="115">
        <f t="shared" si="0"/>
        <v>120</v>
      </c>
      <c r="II20" s="115">
        <f t="shared" si="0"/>
        <v>131.12</v>
      </c>
      <c r="IJ20" s="115">
        <f t="shared" si="0"/>
        <v>131.81</v>
      </c>
      <c r="IK20" s="115">
        <f t="shared" si="0"/>
        <v>143.19999999999999</v>
      </c>
      <c r="IL20" s="115">
        <f t="shared" si="0"/>
        <v>150.03</v>
      </c>
      <c r="IM20" s="115">
        <f t="shared" si="0"/>
        <v>151.81</v>
      </c>
      <c r="IN20" s="115">
        <f t="shared" si="0"/>
        <v>135</v>
      </c>
      <c r="IO20" s="115">
        <f t="shared" si="0"/>
        <v>131.19999999999999</v>
      </c>
      <c r="IP20" s="115">
        <f t="shared" si="0"/>
        <v>120.26</v>
      </c>
      <c r="IQ20" s="115">
        <f t="shared" si="0"/>
        <v>128</v>
      </c>
      <c r="IR20" s="115">
        <f t="shared" si="0"/>
        <v>107.13</v>
      </c>
      <c r="IS20" s="115">
        <f t="shared" si="0"/>
        <v>125.57</v>
      </c>
      <c r="IT20" s="115">
        <f t="shared" si="0"/>
        <v>77.28</v>
      </c>
      <c r="IU20" s="115">
        <f t="shared" si="0"/>
        <v>80</v>
      </c>
      <c r="IV20" s="115">
        <f t="shared" si="0"/>
        <v>90.46</v>
      </c>
      <c r="IW20" s="115">
        <f t="shared" si="0"/>
        <v>85.09</v>
      </c>
      <c r="IX20" s="115">
        <f t="shared" si="0"/>
        <v>124.6</v>
      </c>
      <c r="IY20" s="115">
        <f t="shared" si="0"/>
        <v>163.12</v>
      </c>
      <c r="IZ20" s="115">
        <f t="shared" si="0"/>
        <v>200.66</v>
      </c>
      <c r="JA20" s="115">
        <f t="shared" si="0"/>
        <v>236</v>
      </c>
      <c r="JB20" s="115">
        <f t="shared" si="0"/>
        <v>191.93</v>
      </c>
      <c r="JC20" s="115">
        <f t="shared" si="0"/>
        <v>236.73</v>
      </c>
      <c r="JD20" s="115">
        <f t="shared" si="0"/>
        <v>282.74</v>
      </c>
      <c r="JE20" s="115">
        <f t="shared" si="0"/>
        <v>350.29</v>
      </c>
      <c r="JF20" s="115">
        <f t="shared" si="0"/>
        <v>341.24</v>
      </c>
      <c r="JG20" s="115">
        <f t="shared" si="0"/>
        <v>411.46</v>
      </c>
      <c r="JH20" s="115">
        <f t="shared" si="0"/>
        <v>402.93</v>
      </c>
      <c r="JI20" s="115">
        <f t="shared" si="0"/>
        <v>560</v>
      </c>
      <c r="JJ20" s="115">
        <f t="shared" si="1"/>
        <v>635</v>
      </c>
      <c r="JK20" s="115">
        <f t="shared" ref="JK20" si="7">+IF(JK15=0,JK8,JK15)</f>
        <v>768.62</v>
      </c>
      <c r="JL20" s="115">
        <f t="shared" ref="JL20:JM20" si="8">+IF(JL15=0,JL8,JL15)</f>
        <v>856.15</v>
      </c>
      <c r="JM20" s="115">
        <f t="shared" si="8"/>
        <v>716.5</v>
      </c>
      <c r="JN20" s="115">
        <f t="shared" ref="JN20:JO20" si="9">+IF(JN15=0,JN8,JN15)</f>
        <v>585</v>
      </c>
      <c r="JO20" s="115">
        <f t="shared" si="9"/>
        <v>648</v>
      </c>
      <c r="JP20" s="115">
        <f t="shared" ref="JP20" si="10">+IF(JP15=0,JP8,JP15)</f>
        <v>770</v>
      </c>
      <c r="JQ20" s="115">
        <f t="shared" si="5"/>
        <v>702</v>
      </c>
      <c r="JR20" s="115">
        <f t="shared" si="5"/>
        <v>668.65</v>
      </c>
      <c r="JS20" s="115">
        <f t="shared" si="5"/>
        <v>749.6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41.19</v>
      </c>
      <c r="HQ21" s="115">
        <f t="shared" si="0"/>
        <v>44.32</v>
      </c>
      <c r="HR21" s="115">
        <f t="shared" si="0"/>
        <v>40.659999999999997</v>
      </c>
      <c r="HS21" s="115">
        <f t="shared" si="0"/>
        <v>41.64</v>
      </c>
      <c r="HT21" s="115">
        <f t="shared" si="0"/>
        <v>42.91</v>
      </c>
      <c r="HU21" s="115">
        <f t="shared" si="0"/>
        <v>53.6</v>
      </c>
      <c r="HV21" s="115">
        <f t="shared" si="0"/>
        <v>64.959999999999994</v>
      </c>
      <c r="HW21" s="115">
        <f t="shared" si="0"/>
        <v>109.35</v>
      </c>
      <c r="HX21" s="115">
        <f t="shared" si="0"/>
        <v>108.84</v>
      </c>
      <c r="HY21" s="115">
        <f t="shared" si="0"/>
        <v>132.69</v>
      </c>
      <c r="HZ21" s="115">
        <f t="shared" si="0"/>
        <v>147.94999999999999</v>
      </c>
      <c r="IA21" s="115">
        <f t="shared" si="0"/>
        <v>123.3</v>
      </c>
      <c r="IB21" s="115">
        <f t="shared" si="0"/>
        <v>117.85</v>
      </c>
      <c r="IC21" s="115">
        <f t="shared" si="0"/>
        <v>123.55</v>
      </c>
      <c r="ID21" s="115">
        <f t="shared" si="0"/>
        <v>126.3</v>
      </c>
      <c r="IE21" s="115">
        <f t="shared" si="0"/>
        <v>147.47</v>
      </c>
      <c r="IF21" s="115">
        <f t="shared" si="0"/>
        <v>118.96</v>
      </c>
      <c r="IG21" s="115">
        <f t="shared" si="0"/>
        <v>125.79</v>
      </c>
      <c r="IH21" s="115">
        <f t="shared" si="0"/>
        <v>144.78</v>
      </c>
      <c r="II21" s="115">
        <f t="shared" si="0"/>
        <v>151.91</v>
      </c>
      <c r="IJ21" s="115">
        <f t="shared" si="0"/>
        <v>146.47</v>
      </c>
      <c r="IK21" s="115">
        <f t="shared" si="0"/>
        <v>177.3</v>
      </c>
      <c r="IL21" s="115">
        <f t="shared" si="0"/>
        <v>158.09</v>
      </c>
      <c r="IM21" s="115">
        <f t="shared" si="0"/>
        <v>155.43</v>
      </c>
      <c r="IN21" s="115">
        <f t="shared" si="0"/>
        <v>144.58000000000001</v>
      </c>
      <c r="IO21" s="115">
        <f t="shared" si="0"/>
        <v>155.85</v>
      </c>
      <c r="IP21" s="115">
        <f t="shared" si="0"/>
        <v>137.56</v>
      </c>
      <c r="IQ21" s="115">
        <f t="shared" si="0"/>
        <v>143.32</v>
      </c>
      <c r="IR21" s="115">
        <f t="shared" si="0"/>
        <v>139.08000000000001</v>
      </c>
      <c r="IS21" s="115">
        <f t="shared" si="0"/>
        <v>135</v>
      </c>
      <c r="IT21" s="115">
        <f t="shared" si="0"/>
        <v>84.84</v>
      </c>
      <c r="IU21" s="115">
        <f t="shared" si="0"/>
        <v>93.35</v>
      </c>
      <c r="IV21" s="115">
        <f t="shared" si="0"/>
        <v>95.57</v>
      </c>
      <c r="IW21" s="115">
        <f t="shared" si="0"/>
        <v>129.36000000000001</v>
      </c>
      <c r="IX21" s="115">
        <f t="shared" si="0"/>
        <v>179.07</v>
      </c>
      <c r="IY21" s="115">
        <f t="shared" si="0"/>
        <v>202.22</v>
      </c>
      <c r="IZ21" s="115">
        <f t="shared" si="0"/>
        <v>244.3</v>
      </c>
      <c r="JA21" s="115">
        <f t="shared" si="0"/>
        <v>243.08</v>
      </c>
      <c r="JB21" s="115">
        <f t="shared" si="0"/>
        <v>262.92</v>
      </c>
      <c r="JC21" s="115">
        <f t="shared" si="0"/>
        <v>296.70999999999998</v>
      </c>
      <c r="JD21" s="115">
        <f t="shared" si="0"/>
        <v>401.25</v>
      </c>
      <c r="JE21" s="115">
        <f t="shared" si="0"/>
        <v>387.38</v>
      </c>
      <c r="JF21" s="115">
        <f t="shared" si="0"/>
        <v>418.32</v>
      </c>
      <c r="JG21" s="115">
        <f t="shared" si="0"/>
        <v>431.17</v>
      </c>
      <c r="JH21" s="115">
        <f t="shared" si="0"/>
        <v>599.16</v>
      </c>
      <c r="JI21" s="115">
        <f t="shared" si="0"/>
        <v>692.83</v>
      </c>
      <c r="JJ21" s="115">
        <f t="shared" si="1"/>
        <v>770.92</v>
      </c>
      <c r="JK21" s="115">
        <f t="shared" ref="JK21" si="11">+IF(JK16=0,JK9,JK16)</f>
        <v>934.99</v>
      </c>
      <c r="JL21" s="115">
        <f t="shared" ref="JL21:JM21" si="12">+IF(JL16=0,JL9,JL16)</f>
        <v>898.9</v>
      </c>
      <c r="JM21" s="115">
        <f t="shared" si="12"/>
        <v>767.4</v>
      </c>
      <c r="JN21" s="115">
        <f t="shared" ref="JN21:JO21" si="13">+IF(JN16=0,JN9,JN16)</f>
        <v>712.7</v>
      </c>
      <c r="JO21" s="115">
        <f t="shared" si="13"/>
        <v>817.9</v>
      </c>
      <c r="JP21" s="115">
        <f t="shared" ref="JP21" si="14">+IF(JP16=0,JP9,JP16)</f>
        <v>821.45</v>
      </c>
      <c r="JQ21" s="115">
        <f t="shared" si="5"/>
        <v>754.25</v>
      </c>
      <c r="JR21" s="115">
        <f t="shared" si="5"/>
        <v>792.25</v>
      </c>
      <c r="JS21" s="115">
        <f t="shared" si="5"/>
        <v>864.15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100249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34807844</v>
      </c>
      <c r="D6" cm="1">
        <f t="array" ref="D6">_xll.EQNXTDZ($A$1,$B6,D$1)</f>
        <v>34807844</v>
      </c>
      <c r="E6" cm="1">
        <f t="array" ref="E6">_xll.EQNXTDZ($A$1,$B6,E$1)</f>
        <v>34807844</v>
      </c>
      <c r="F6" cm="1">
        <f t="array" ref="F6">_xll.EQNXTDZ($A$1,$B6,F$1)</f>
        <v>34807844</v>
      </c>
      <c r="G6" cm="1">
        <f t="array" ref="G6">_xll.EQNXTDZ($A$1,$B6,G$1)</f>
        <v>34807844</v>
      </c>
      <c r="H6" cm="1">
        <f t="array" ref="H6">_xll.EQNXTDZ($A$1,$B6,H$1)</f>
        <v>34807844</v>
      </c>
      <c r="I6" cm="1">
        <f t="array" ref="I6">_xll.EQNXTDZ($A$1,$B6,I$1)</f>
        <v>34807844</v>
      </c>
      <c r="J6" cm="1">
        <f t="array" ref="J6">_xll.EQNXTDZ($A$1,$B6,J$1)</f>
        <v>34807844</v>
      </c>
      <c r="K6" cm="1">
        <f t="array" ref="K6">_xll.EQNXTDZ($A$1,$B6,K$1)</f>
        <v>34807844</v>
      </c>
      <c r="L6" cm="1">
        <f t="array" ref="L6">_xll.EQNXTDZ($A$1,$B6,L$1)</f>
        <v>34807844</v>
      </c>
      <c r="M6" cm="1">
        <f t="array" ref="M6">_xll.EQNXTDZ($A$1,$B6,M$1)</f>
        <v>34807844</v>
      </c>
      <c r="N6" cm="1">
        <f t="array" ref="N6">_xll.EQNXTDZ($A$1,$B6,N$1)</f>
        <v>34807844</v>
      </c>
      <c r="O6" cm="1">
        <f t="array" ref="O6">_xll.EQNXTDZ($A$1,$B6,O$1)</f>
        <v>34807844</v>
      </c>
      <c r="P6" cm="1">
        <f t="array" ref="P6">_xll.EQNXTDZ($A$1,$B6,P$1)</f>
        <v>34807844</v>
      </c>
      <c r="Q6" cm="1">
        <f t="array" ref="Q6">_xll.EQNXTDZ($A$1,$B6,Q$1)</f>
        <v>34807844</v>
      </c>
      <c r="R6" cm="1">
        <f t="array" ref="R6">_xll.EQNXTDZ($A$1,$B6,R$1)</f>
        <v>34807844</v>
      </c>
      <c r="S6" cm="1">
        <f t="array" ref="S6">_xll.EQNXTDZ($A$1,$B6,S$1)</f>
        <v>34807844</v>
      </c>
      <c r="T6" cm="1">
        <f t="array" ref="T6">_xll.EQNXTDZ($A$1,$B6,T$1)</f>
        <v>34807844</v>
      </c>
      <c r="U6" cm="1">
        <f t="array" ref="U6">_xll.EQNXTDZ($A$1,$B6,U$1)</f>
        <v>34807844</v>
      </c>
      <c r="V6" cm="1">
        <f t="array" ref="V6">_xll.EQNXTDZ($A$1,$B6,V$1)</f>
        <v>34807904</v>
      </c>
      <c r="W6" cm="1">
        <f t="array" ref="W6">_xll.EQNXTDZ($A$1,$B6,W$1)</f>
        <v>34807844</v>
      </c>
      <c r="X6" cm="1">
        <f t="array" ref="X6">_xll.EQNXTDZ($A$1,$B6,X$1)</f>
        <v>34807844</v>
      </c>
      <c r="Y6" cm="1">
        <f t="array" ref="Y6">_xll.EQNXTDZ($A$1,$B6,Y$1)</f>
        <v>34807844</v>
      </c>
      <c r="Z6" cm="1">
        <f t="array" ref="Z6">_xll.EQNXTDZ($A$1,$B6,Z$1)</f>
        <v>34807844</v>
      </c>
      <c r="AA6" cm="1">
        <f t="array" ref="AA6">_xll.EQNXTDZ($A$1,$B6,AA$1)</f>
        <v>34805134</v>
      </c>
      <c r="AB6" cm="1">
        <f t="array" ref="AB6">_xll.EQNXTDZ($A$1,$B6,AB$1)</f>
        <v>34807844</v>
      </c>
      <c r="AC6" cm="1">
        <f t="array" ref="AC6">_xll.EQNXTDZ($A$1,$B6,AC$1)</f>
        <v>34807844</v>
      </c>
      <c r="AD6" cm="1">
        <f t="array" ref="AD6">_xll.EQNXTDZ($A$1,$B6,AD$1)</f>
        <v>34807844</v>
      </c>
      <c r="AE6" cm="1">
        <f t="array" ref="AE6">_xll.EQNXTDZ($A$1,$B6,AE$1)</f>
        <v>34807844</v>
      </c>
      <c r="AF6" cm="1">
        <f t="array" ref="AF6">_xll.EQNXTDZ($A$1,$B6,AF$1)</f>
        <v>34807844</v>
      </c>
      <c r="AG6" cm="1">
        <f t="array" ref="AG6">_xll.EQNXTDZ($A$1,$B6,AG$1)</f>
        <v>34807844</v>
      </c>
      <c r="AH6" cm="1">
        <f t="array" ref="AH6">_xll.EQNXTDZ($A$1,$B6,AH$1)</f>
        <v>34807844</v>
      </c>
      <c r="AI6" cm="1">
        <f t="array" ref="AI6">_xll.EQNXTDZ($A$1,$B6,AI$1)</f>
        <v>34807844</v>
      </c>
      <c r="AJ6" cm="1">
        <f t="array" ref="AJ6">_xll.EQNXTDZ($A$1,$B6,AJ$1)</f>
        <v>34807844</v>
      </c>
      <c r="AK6" cm="1">
        <f t="array" ref="AK6">_xll.EQNXTDZ($A$1,$B6,AK$1)</f>
        <v>34807844</v>
      </c>
      <c r="AL6" cm="1">
        <f t="array" ref="AL6">_xll.EQNXTDZ($A$1,$B6,AL$1)</f>
        <v>34807844</v>
      </c>
      <c r="AM6" cm="1">
        <f t="array" ref="AM6">_xll.EQNXTDZ($A$1,$B6,AM$1)</f>
        <v>34807844</v>
      </c>
      <c r="AN6" cm="1">
        <f t="array" ref="AN6">_xll.EQNXTDZ($A$1,$B6,AN$1)</f>
        <v>34807844</v>
      </c>
      <c r="AO6" cm="1">
        <f t="array" ref="AO6">_xll.EQNXTDZ($A$1,$B6,AO$1)</f>
        <v>34807844</v>
      </c>
      <c r="AP6" cm="1">
        <f t="array" ref="AP6">_xll.EQNXTDZ($A$1,$B6,AP$1)</f>
        <v>34807844</v>
      </c>
      <c r="AQ6" cm="1">
        <f t="array" ref="AQ6">_xll.EQNXTDZ($A$1,$B6,AQ$1)</f>
        <v>34807844</v>
      </c>
      <c r="AR6" cm="1">
        <f t="array" ref="AR6">_xll.EQNXTDZ($A$1,$B6,AR$1)</f>
        <v>34807844</v>
      </c>
      <c r="AS6" cm="1">
        <f t="array" ref="AS6">_xll.EQNXTDZ($A$1,$B6,AS$1)</f>
        <v>34807844</v>
      </c>
      <c r="AT6" cm="1">
        <f t="array" ref="AT6">_xll.EQNXTDZ($A$1,$B6,AT$1)</f>
        <v>34807844</v>
      </c>
      <c r="AU6" cm="1">
        <f t="array" ref="AU6">_xll.EQNXTDZ($A$1,$B6,AU$1)</f>
        <v>34807844</v>
      </c>
      <c r="AV6" cm="1">
        <f t="array" ref="AV6">_xll.EQNXTDZ($A$1,$B6,AV$1)</f>
        <v>34807844</v>
      </c>
      <c r="AW6" cm="1">
        <f t="array" ref="AW6">_xll.EQNXTDZ($A$1,$B6,AW$1)</f>
        <v>34807844</v>
      </c>
      <c r="AX6" cm="1">
        <f t="array" ref="AX6">_xll.EQNXTDZ($A$1,$B6,AX$1)</f>
        <v>34807844</v>
      </c>
      <c r="AY6" cm="1">
        <f t="array" ref="AY6">_xll.EQNXTDZ($A$1,$B6,AY$1)</f>
        <v>34807844</v>
      </c>
    </row>
    <row r="7" spans="1:51" x14ac:dyDescent="0.25">
      <c r="B7" t="s">
        <v>429</v>
      </c>
      <c r="C7" s="99">
        <f>+C6/10^7</f>
        <v>3.4807844000000001</v>
      </c>
      <c r="D7" s="99">
        <f t="shared" ref="D7:X7" si="0">+D6/10^7</f>
        <v>3.4807844000000001</v>
      </c>
      <c r="E7" s="99">
        <f t="shared" si="0"/>
        <v>3.4807844000000001</v>
      </c>
      <c r="F7" s="99">
        <f t="shared" si="0"/>
        <v>3.4807844000000001</v>
      </c>
      <c r="G7" s="99">
        <f t="shared" si="0"/>
        <v>3.4807844000000001</v>
      </c>
      <c r="H7" s="99">
        <f t="shared" si="0"/>
        <v>3.4807844000000001</v>
      </c>
      <c r="I7" s="99">
        <f t="shared" si="0"/>
        <v>3.4807844000000001</v>
      </c>
      <c r="J7" s="99">
        <f t="shared" si="0"/>
        <v>3.4807844000000001</v>
      </c>
      <c r="K7" s="99">
        <f t="shared" si="0"/>
        <v>3.4807844000000001</v>
      </c>
      <c r="L7" s="99">
        <f t="shared" si="0"/>
        <v>3.4807844000000001</v>
      </c>
      <c r="M7" s="99">
        <f t="shared" si="0"/>
        <v>3.4807844000000001</v>
      </c>
      <c r="N7" s="99">
        <f t="shared" si="0"/>
        <v>3.4807844000000001</v>
      </c>
      <c r="O7" s="99">
        <f t="shared" si="0"/>
        <v>3.4807844000000001</v>
      </c>
      <c r="P7" s="99">
        <f t="shared" si="0"/>
        <v>3.4807844000000001</v>
      </c>
      <c r="Q7" s="99">
        <f t="shared" si="0"/>
        <v>3.4807844000000001</v>
      </c>
      <c r="R7" s="99">
        <f t="shared" si="0"/>
        <v>3.4807844000000001</v>
      </c>
      <c r="S7" s="99">
        <f t="shared" si="0"/>
        <v>3.4807844000000001</v>
      </c>
      <c r="T7" s="99">
        <f t="shared" si="0"/>
        <v>3.4807844000000001</v>
      </c>
      <c r="U7" s="99">
        <f t="shared" si="0"/>
        <v>3.4807844000000001</v>
      </c>
      <c r="V7" s="99">
        <f t="shared" si="0"/>
        <v>3.4807904000000001</v>
      </c>
      <c r="W7" s="99">
        <f t="shared" si="0"/>
        <v>3.4807844000000001</v>
      </c>
      <c r="X7" s="99">
        <f t="shared" si="0"/>
        <v>3.4807844000000001</v>
      </c>
      <c r="Y7" s="99">
        <f t="shared" ref="Y7:AS7" si="1">+Y6/10^7</f>
        <v>3.4807844000000001</v>
      </c>
      <c r="Z7" s="99">
        <f t="shared" si="1"/>
        <v>3.4807844000000001</v>
      </c>
      <c r="AA7" s="99">
        <f t="shared" si="1"/>
        <v>3.4805134</v>
      </c>
      <c r="AB7" s="99">
        <f t="shared" si="1"/>
        <v>3.4807844000000001</v>
      </c>
      <c r="AC7" s="99">
        <f t="shared" si="1"/>
        <v>3.4807844000000001</v>
      </c>
      <c r="AD7" s="99">
        <f t="shared" si="1"/>
        <v>3.4807844000000001</v>
      </c>
      <c r="AE7" s="99">
        <f t="shared" si="1"/>
        <v>3.4807844000000001</v>
      </c>
      <c r="AF7" s="99">
        <f t="shared" si="1"/>
        <v>3.4807844000000001</v>
      </c>
      <c r="AG7" s="99">
        <f t="shared" si="1"/>
        <v>3.4807844000000001</v>
      </c>
      <c r="AH7" s="99">
        <f t="shared" si="1"/>
        <v>3.4807844000000001</v>
      </c>
      <c r="AI7" s="99">
        <f t="shared" si="1"/>
        <v>3.4807844000000001</v>
      </c>
      <c r="AJ7" s="99">
        <f t="shared" si="1"/>
        <v>3.4807844000000001</v>
      </c>
      <c r="AK7" s="99">
        <f t="shared" si="1"/>
        <v>3.4807844000000001</v>
      </c>
      <c r="AL7" s="99">
        <f t="shared" si="1"/>
        <v>3.4807844000000001</v>
      </c>
      <c r="AM7" s="99">
        <f t="shared" si="1"/>
        <v>3.4807844000000001</v>
      </c>
      <c r="AN7" s="99">
        <f t="shared" si="1"/>
        <v>3.4807844000000001</v>
      </c>
      <c r="AO7" s="99">
        <f t="shared" si="1"/>
        <v>3.4807844000000001</v>
      </c>
      <c r="AP7" s="99">
        <f t="shared" si="1"/>
        <v>3.4807844000000001</v>
      </c>
      <c r="AQ7" s="99">
        <f t="shared" si="1"/>
        <v>3.4807844000000001</v>
      </c>
      <c r="AR7" s="99">
        <f t="shared" si="1"/>
        <v>3.4807844000000001</v>
      </c>
      <c r="AS7" s="99">
        <f t="shared" si="1"/>
        <v>3.4807844000000001</v>
      </c>
      <c r="AT7" s="99">
        <f t="shared" ref="AT7:AX7" si="2">+AT6/10^7</f>
        <v>3.4807844000000001</v>
      </c>
      <c r="AU7" s="99">
        <f t="shared" si="2"/>
        <v>3.4807844000000001</v>
      </c>
      <c r="AV7" s="99">
        <f t="shared" si="2"/>
        <v>3.4807844000000001</v>
      </c>
      <c r="AW7" s="99">
        <f t="shared" si="2"/>
        <v>3.4807844000000001</v>
      </c>
      <c r="AX7" s="99">
        <f t="shared" si="2"/>
        <v>3.4807844000000001</v>
      </c>
      <c r="AY7" s="99">
        <f t="shared" ref="AY7" si="3">+AY6/10^7</f>
        <v>3.4807844000000001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100249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132</v>
      </c>
      <c r="C4" s="115">
        <v>128.84</v>
      </c>
      <c r="D4" s="115">
        <v>127.93</v>
      </c>
      <c r="E4" s="115">
        <v>129.6</v>
      </c>
      <c r="F4" s="115">
        <v>644.20000000000005</v>
      </c>
      <c r="G4">
        <v>3577</v>
      </c>
      <c r="H4" s="115"/>
      <c r="I4" s="115"/>
      <c r="L4" s="169">
        <v>42005</v>
      </c>
      <c r="M4" s="115">
        <v>128.86000000000001</v>
      </c>
      <c r="N4" s="115">
        <v>131.9</v>
      </c>
      <c r="O4" s="115">
        <v>127.6</v>
      </c>
      <c r="P4" s="115">
        <v>130</v>
      </c>
      <c r="Q4" s="115">
        <v>644.29999999999995</v>
      </c>
      <c r="R4">
        <v>101562</v>
      </c>
    </row>
    <row r="5" spans="1:18" x14ac:dyDescent="0.25">
      <c r="A5" s="169">
        <v>42006</v>
      </c>
      <c r="B5" s="115">
        <v>131.36000000000001</v>
      </c>
      <c r="C5" s="115">
        <v>128.94</v>
      </c>
      <c r="D5" s="115">
        <v>128.27000000000001</v>
      </c>
      <c r="E5" s="115">
        <v>130.22</v>
      </c>
      <c r="F5" s="115">
        <v>644.70000000000005</v>
      </c>
      <c r="G5">
        <v>4701</v>
      </c>
      <c r="H5" s="115"/>
      <c r="I5" s="115"/>
      <c r="L5" s="169">
        <v>42006</v>
      </c>
      <c r="M5" s="115">
        <v>128.38999999999999</v>
      </c>
      <c r="N5" s="115">
        <v>131.4</v>
      </c>
      <c r="O5" s="115">
        <v>127.66</v>
      </c>
      <c r="P5" s="115">
        <v>129.69</v>
      </c>
      <c r="Q5" s="115">
        <v>641.95000000000005</v>
      </c>
      <c r="R5">
        <v>14041</v>
      </c>
    </row>
    <row r="6" spans="1:18" x14ac:dyDescent="0.25">
      <c r="A6" s="169">
        <v>42009</v>
      </c>
      <c r="B6" s="115">
        <v>130.18</v>
      </c>
      <c r="C6" s="115">
        <v>126.83</v>
      </c>
      <c r="D6" s="115">
        <v>125.6</v>
      </c>
      <c r="E6" s="115">
        <v>129.5</v>
      </c>
      <c r="F6" s="115">
        <v>634.15</v>
      </c>
      <c r="G6">
        <v>3158</v>
      </c>
      <c r="H6" s="115"/>
      <c r="I6" s="115"/>
      <c r="L6" s="169">
        <v>42009</v>
      </c>
      <c r="M6" s="115">
        <v>125.8</v>
      </c>
      <c r="N6" s="115">
        <v>129.96</v>
      </c>
      <c r="O6" s="115">
        <v>124.76</v>
      </c>
      <c r="P6" s="115">
        <v>128.79</v>
      </c>
      <c r="Q6" s="115">
        <v>629</v>
      </c>
      <c r="R6">
        <v>6438</v>
      </c>
    </row>
    <row r="7" spans="1:18" x14ac:dyDescent="0.25">
      <c r="A7" s="169">
        <v>42010</v>
      </c>
      <c r="B7" s="115">
        <v>124.99</v>
      </c>
      <c r="C7" s="115">
        <v>121.86</v>
      </c>
      <c r="D7" s="115">
        <v>121.6</v>
      </c>
      <c r="E7" s="115">
        <v>123.81</v>
      </c>
      <c r="F7" s="115">
        <v>609.29999999999995</v>
      </c>
      <c r="G7">
        <v>1907</v>
      </c>
      <c r="H7" s="115"/>
      <c r="I7" s="115"/>
      <c r="L7" s="169">
        <v>42010</v>
      </c>
      <c r="M7" s="115">
        <v>121.78</v>
      </c>
      <c r="N7" s="115">
        <v>126.3</v>
      </c>
      <c r="O7" s="115">
        <v>121.1</v>
      </c>
      <c r="P7" s="115">
        <v>125.03</v>
      </c>
      <c r="Q7" s="115">
        <v>608.9</v>
      </c>
      <c r="R7">
        <v>5631</v>
      </c>
    </row>
    <row r="8" spans="1:18" x14ac:dyDescent="0.25">
      <c r="A8" s="169">
        <v>42011</v>
      </c>
      <c r="B8" s="115">
        <v>122.34</v>
      </c>
      <c r="C8" s="115">
        <v>120.43</v>
      </c>
      <c r="D8" s="115">
        <v>117.29</v>
      </c>
      <c r="E8" s="115">
        <v>120.4</v>
      </c>
      <c r="F8" s="115">
        <v>602.15</v>
      </c>
      <c r="G8">
        <v>2592</v>
      </c>
      <c r="H8" s="115"/>
      <c r="I8" s="115"/>
      <c r="L8" s="169">
        <v>42011</v>
      </c>
      <c r="M8" s="115">
        <v>120.58</v>
      </c>
      <c r="N8" s="115">
        <v>122.51</v>
      </c>
      <c r="O8" s="115">
        <v>118.3</v>
      </c>
      <c r="P8" s="115">
        <v>121.79</v>
      </c>
      <c r="Q8" s="115">
        <v>602.9</v>
      </c>
      <c r="R8">
        <v>5215</v>
      </c>
    </row>
    <row r="9" spans="1:18" x14ac:dyDescent="0.25">
      <c r="A9" s="169">
        <v>42012</v>
      </c>
      <c r="B9" s="115">
        <v>130</v>
      </c>
      <c r="C9" s="115">
        <v>125.05</v>
      </c>
      <c r="D9" s="115">
        <v>121.2</v>
      </c>
      <c r="E9" s="115">
        <v>122.22</v>
      </c>
      <c r="F9" s="115">
        <v>625.25</v>
      </c>
      <c r="G9">
        <v>6313</v>
      </c>
      <c r="H9" s="115"/>
      <c r="I9" s="115"/>
      <c r="L9" s="169">
        <v>42012</v>
      </c>
      <c r="M9" s="115">
        <v>125.06</v>
      </c>
      <c r="N9" s="115">
        <v>130.62</v>
      </c>
      <c r="O9" s="115">
        <v>120.58</v>
      </c>
      <c r="P9" s="115">
        <v>121.58</v>
      </c>
      <c r="Q9" s="115">
        <v>625.29999999999995</v>
      </c>
      <c r="R9">
        <v>20181</v>
      </c>
    </row>
    <row r="10" spans="1:18" x14ac:dyDescent="0.25">
      <c r="A10" s="169">
        <v>42013</v>
      </c>
      <c r="B10" s="115">
        <v>127.4</v>
      </c>
      <c r="C10" s="115">
        <v>125.56</v>
      </c>
      <c r="D10" s="115">
        <v>125</v>
      </c>
      <c r="E10" s="115">
        <v>127</v>
      </c>
      <c r="F10" s="115">
        <v>627.79999999999995</v>
      </c>
      <c r="G10">
        <v>1906</v>
      </c>
      <c r="H10" s="115"/>
      <c r="I10" s="115"/>
      <c r="L10" s="169">
        <v>42013</v>
      </c>
      <c r="M10" s="115">
        <v>125.23</v>
      </c>
      <c r="N10" s="115">
        <v>127.6</v>
      </c>
      <c r="O10" s="115">
        <v>124.25</v>
      </c>
      <c r="P10" s="115">
        <v>125.6</v>
      </c>
      <c r="Q10" s="115">
        <v>626.15</v>
      </c>
      <c r="R10">
        <v>5387</v>
      </c>
    </row>
    <row r="11" spans="1:18" x14ac:dyDescent="0.25">
      <c r="A11" s="169">
        <v>42016</v>
      </c>
      <c r="B11" s="115">
        <v>127.3</v>
      </c>
      <c r="C11" s="115">
        <v>125.1</v>
      </c>
      <c r="D11" s="115">
        <v>124.2</v>
      </c>
      <c r="E11" s="115">
        <v>126.67</v>
      </c>
      <c r="F11" s="115">
        <v>625.5</v>
      </c>
      <c r="G11">
        <v>1531</v>
      </c>
      <c r="H11" s="115"/>
      <c r="I11" s="115"/>
      <c r="L11" s="169">
        <v>42016</v>
      </c>
      <c r="M11" s="115">
        <v>124.96</v>
      </c>
      <c r="N11" s="115">
        <v>127.41</v>
      </c>
      <c r="O11" s="115">
        <v>124</v>
      </c>
      <c r="P11" s="115">
        <v>126</v>
      </c>
      <c r="Q11" s="115">
        <v>624.79999999999995</v>
      </c>
      <c r="R11">
        <v>4255</v>
      </c>
    </row>
    <row r="12" spans="1:18" x14ac:dyDescent="0.25">
      <c r="A12" s="169">
        <v>42017</v>
      </c>
      <c r="B12" s="115">
        <v>124.47</v>
      </c>
      <c r="C12" s="115">
        <v>122.87</v>
      </c>
      <c r="D12" s="115">
        <v>122.2</v>
      </c>
      <c r="E12" s="115">
        <v>124.47</v>
      </c>
      <c r="F12" s="115">
        <v>614.35</v>
      </c>
      <c r="G12">
        <v>2327</v>
      </c>
      <c r="H12" s="115"/>
      <c r="I12" s="115"/>
      <c r="L12" s="169">
        <v>42017</v>
      </c>
      <c r="M12" s="115">
        <v>122.33</v>
      </c>
      <c r="N12" s="115">
        <v>125</v>
      </c>
      <c r="O12" s="115">
        <v>121.21</v>
      </c>
      <c r="P12" s="115">
        <v>124.96</v>
      </c>
      <c r="Q12" s="115">
        <v>611.65</v>
      </c>
      <c r="R12">
        <v>9267</v>
      </c>
    </row>
    <row r="13" spans="1:18" x14ac:dyDescent="0.25">
      <c r="A13" s="169">
        <v>42018</v>
      </c>
      <c r="B13" s="115">
        <v>125.67</v>
      </c>
      <c r="C13" s="115">
        <v>121.56</v>
      </c>
      <c r="D13" s="115">
        <v>118.73</v>
      </c>
      <c r="E13" s="115">
        <v>125.24</v>
      </c>
      <c r="F13" s="115">
        <v>607.79999999999995</v>
      </c>
      <c r="G13">
        <v>3795</v>
      </c>
      <c r="H13" s="115"/>
      <c r="I13" s="115"/>
      <c r="L13" s="169">
        <v>42018</v>
      </c>
      <c r="M13" s="115">
        <v>121.15</v>
      </c>
      <c r="N13" s="115">
        <v>125</v>
      </c>
      <c r="O13" s="115">
        <v>118.05</v>
      </c>
      <c r="P13" s="115">
        <v>125</v>
      </c>
      <c r="Q13" s="115">
        <v>605.75</v>
      </c>
      <c r="R13">
        <v>15866</v>
      </c>
    </row>
    <row r="14" spans="1:18" x14ac:dyDescent="0.25">
      <c r="A14" s="169">
        <v>42019</v>
      </c>
      <c r="B14" s="115">
        <v>125.14</v>
      </c>
      <c r="C14" s="115">
        <v>123.02</v>
      </c>
      <c r="D14" s="115">
        <v>120.91</v>
      </c>
      <c r="E14" s="115">
        <v>121.98</v>
      </c>
      <c r="F14" s="115">
        <v>615.1</v>
      </c>
      <c r="G14">
        <v>4290</v>
      </c>
      <c r="H14" s="115"/>
      <c r="I14" s="115"/>
      <c r="L14" s="169">
        <v>42019</v>
      </c>
      <c r="M14" s="115">
        <v>123.11</v>
      </c>
      <c r="N14" s="115">
        <v>125.2</v>
      </c>
      <c r="O14" s="115">
        <v>121</v>
      </c>
      <c r="P14" s="115">
        <v>122</v>
      </c>
      <c r="Q14" s="115">
        <v>615.54999999999995</v>
      </c>
      <c r="R14">
        <v>16923</v>
      </c>
    </row>
    <row r="15" spans="1:18" x14ac:dyDescent="0.25">
      <c r="A15" s="169">
        <v>42020</v>
      </c>
      <c r="B15" s="115">
        <v>124.72</v>
      </c>
      <c r="C15" s="115">
        <v>123.94</v>
      </c>
      <c r="D15" s="115">
        <v>122.01</v>
      </c>
      <c r="E15" s="115">
        <v>123.41</v>
      </c>
      <c r="F15" s="115">
        <v>619.70000000000005</v>
      </c>
      <c r="G15">
        <v>1053</v>
      </c>
      <c r="H15" s="115"/>
      <c r="I15" s="115"/>
      <c r="L15" s="169">
        <v>42020</v>
      </c>
      <c r="M15" s="115">
        <v>123.91</v>
      </c>
      <c r="N15" s="115">
        <v>124.88</v>
      </c>
      <c r="O15" s="115">
        <v>121.73</v>
      </c>
      <c r="P15" s="115">
        <v>121.73</v>
      </c>
      <c r="Q15" s="115">
        <v>619.54999999999995</v>
      </c>
      <c r="R15">
        <v>3014</v>
      </c>
    </row>
    <row r="16" spans="1:18" x14ac:dyDescent="0.25">
      <c r="A16" s="169">
        <v>42023</v>
      </c>
      <c r="B16" s="115">
        <v>126.02</v>
      </c>
      <c r="C16" s="115">
        <v>125.24</v>
      </c>
      <c r="D16" s="115">
        <v>123.21</v>
      </c>
      <c r="E16" s="115">
        <v>126</v>
      </c>
      <c r="F16" s="115">
        <v>626.20000000000005</v>
      </c>
      <c r="G16">
        <v>2133</v>
      </c>
      <c r="H16" s="115"/>
      <c r="I16" s="115"/>
      <c r="L16" s="169">
        <v>42023</v>
      </c>
      <c r="M16" s="115">
        <v>124.94</v>
      </c>
      <c r="N16" s="115">
        <v>127.66</v>
      </c>
      <c r="O16" s="115">
        <v>123.61</v>
      </c>
      <c r="P16" s="115">
        <v>123.91</v>
      </c>
      <c r="Q16" s="115">
        <v>624.70000000000005</v>
      </c>
      <c r="R16">
        <v>4279</v>
      </c>
    </row>
    <row r="17" spans="1:18" x14ac:dyDescent="0.25">
      <c r="A17" s="169">
        <v>42024</v>
      </c>
      <c r="B17" s="115">
        <v>129.19</v>
      </c>
      <c r="C17" s="115">
        <v>128.28</v>
      </c>
      <c r="D17" s="115">
        <v>125.87</v>
      </c>
      <c r="E17" s="115">
        <v>128.19999999999999</v>
      </c>
      <c r="F17" s="115">
        <v>641.4</v>
      </c>
      <c r="G17">
        <v>3511</v>
      </c>
      <c r="H17" s="115"/>
      <c r="I17" s="115"/>
      <c r="L17" s="169">
        <v>42024</v>
      </c>
      <c r="M17" s="115">
        <v>128.29</v>
      </c>
      <c r="N17" s="115">
        <v>129.1</v>
      </c>
      <c r="O17" s="115">
        <v>124.93</v>
      </c>
      <c r="P17" s="115">
        <v>124.93</v>
      </c>
      <c r="Q17" s="115">
        <v>641.45000000000005</v>
      </c>
      <c r="R17">
        <v>15561</v>
      </c>
    </row>
    <row r="18" spans="1:18" x14ac:dyDescent="0.25">
      <c r="A18" s="169">
        <v>42025</v>
      </c>
      <c r="B18" s="115">
        <v>128.94999999999999</v>
      </c>
      <c r="C18" s="115">
        <v>128.06</v>
      </c>
      <c r="D18" s="115">
        <v>126.8</v>
      </c>
      <c r="E18" s="115">
        <v>128.80000000000001</v>
      </c>
      <c r="F18" s="115">
        <v>640.29999999999995</v>
      </c>
      <c r="G18">
        <v>2284</v>
      </c>
      <c r="H18" s="115"/>
      <c r="I18" s="115"/>
      <c r="L18" s="169">
        <v>42025</v>
      </c>
      <c r="M18" s="115">
        <v>128.5</v>
      </c>
      <c r="N18" s="115">
        <v>130.97999999999999</v>
      </c>
      <c r="O18" s="115">
        <v>126.41</v>
      </c>
      <c r="P18" s="115">
        <v>130.97999999999999</v>
      </c>
      <c r="Q18" s="115">
        <v>642.5</v>
      </c>
      <c r="R18">
        <v>5310</v>
      </c>
    </row>
    <row r="19" spans="1:18" x14ac:dyDescent="0.25">
      <c r="A19" s="169">
        <v>42026</v>
      </c>
      <c r="B19" s="115">
        <v>128.5</v>
      </c>
      <c r="C19" s="115">
        <v>127.42</v>
      </c>
      <c r="D19" s="115">
        <v>126.38</v>
      </c>
      <c r="E19" s="115">
        <v>127.37</v>
      </c>
      <c r="F19" s="115">
        <v>637.1</v>
      </c>
      <c r="G19">
        <v>1438</v>
      </c>
      <c r="H19" s="115"/>
      <c r="I19" s="115"/>
      <c r="L19" s="169">
        <v>42026</v>
      </c>
      <c r="M19" s="115">
        <v>127.8</v>
      </c>
      <c r="N19" s="115">
        <v>128.97</v>
      </c>
      <c r="O19" s="115">
        <v>126.83</v>
      </c>
      <c r="P19" s="115">
        <v>128.97</v>
      </c>
      <c r="Q19" s="115">
        <v>639</v>
      </c>
      <c r="R19">
        <v>4153</v>
      </c>
    </row>
    <row r="20" spans="1:18" x14ac:dyDescent="0.25">
      <c r="A20" s="169">
        <v>42027</v>
      </c>
      <c r="B20" s="115">
        <v>128.6</v>
      </c>
      <c r="C20" s="115">
        <v>127.13</v>
      </c>
      <c r="D20" s="115">
        <v>126.6</v>
      </c>
      <c r="E20" s="115">
        <v>127.65</v>
      </c>
      <c r="F20" s="115">
        <v>635.65</v>
      </c>
      <c r="G20">
        <v>3019</v>
      </c>
      <c r="H20" s="115"/>
      <c r="I20" s="115"/>
      <c r="L20" s="169">
        <v>42027</v>
      </c>
      <c r="M20" s="115">
        <v>127.79</v>
      </c>
      <c r="N20" s="115">
        <v>128.54</v>
      </c>
      <c r="O20" s="115">
        <v>126.75</v>
      </c>
      <c r="P20" s="115">
        <v>128.54</v>
      </c>
      <c r="Q20" s="115">
        <v>638.95000000000005</v>
      </c>
      <c r="R20">
        <v>5707</v>
      </c>
    </row>
    <row r="21" spans="1:18" x14ac:dyDescent="0.25">
      <c r="A21" s="169">
        <v>42031</v>
      </c>
      <c r="B21" s="115">
        <v>137</v>
      </c>
      <c r="C21" s="115">
        <v>135.94999999999999</v>
      </c>
      <c r="D21" s="115">
        <v>129</v>
      </c>
      <c r="E21" s="115">
        <v>130</v>
      </c>
      <c r="F21" s="115">
        <v>679.75</v>
      </c>
      <c r="G21">
        <v>13155</v>
      </c>
      <c r="H21" s="115"/>
      <c r="I21" s="115"/>
      <c r="L21" s="169">
        <v>42031</v>
      </c>
      <c r="M21" s="115">
        <v>135.9</v>
      </c>
      <c r="N21" s="115">
        <v>136.80000000000001</v>
      </c>
      <c r="O21" s="115">
        <v>129.4</v>
      </c>
      <c r="P21" s="115">
        <v>129.99</v>
      </c>
      <c r="Q21" s="115">
        <v>679.5</v>
      </c>
      <c r="R21">
        <v>57559</v>
      </c>
    </row>
    <row r="22" spans="1:18" x14ac:dyDescent="0.25">
      <c r="A22" s="169">
        <v>42032</v>
      </c>
      <c r="B22" s="115">
        <v>142</v>
      </c>
      <c r="C22" s="115">
        <v>138.30000000000001</v>
      </c>
      <c r="D22" s="115">
        <v>135.33000000000001</v>
      </c>
      <c r="E22" s="115">
        <v>136.87</v>
      </c>
      <c r="F22" s="115">
        <v>691.5</v>
      </c>
      <c r="G22">
        <v>7147</v>
      </c>
      <c r="H22" s="115"/>
      <c r="I22" s="115"/>
      <c r="L22" s="169">
        <v>42032</v>
      </c>
      <c r="M22" s="115">
        <v>138.49</v>
      </c>
      <c r="N22" s="115">
        <v>143</v>
      </c>
      <c r="O22" s="115">
        <v>130.71</v>
      </c>
      <c r="P22" s="115">
        <v>136.19999999999999</v>
      </c>
      <c r="Q22" s="115">
        <v>692.45</v>
      </c>
      <c r="R22">
        <v>43145</v>
      </c>
    </row>
    <row r="23" spans="1:18" x14ac:dyDescent="0.25">
      <c r="A23" s="169">
        <v>42033</v>
      </c>
      <c r="B23" s="115">
        <v>141.06</v>
      </c>
      <c r="C23" s="115">
        <v>139.63</v>
      </c>
      <c r="D23" s="115">
        <v>136</v>
      </c>
      <c r="E23" s="115">
        <v>138.13</v>
      </c>
      <c r="F23" s="115">
        <v>698.15</v>
      </c>
      <c r="G23">
        <v>2632</v>
      </c>
      <c r="H23" s="115"/>
      <c r="I23" s="115"/>
      <c r="L23" s="169">
        <v>42033</v>
      </c>
      <c r="M23" s="115">
        <v>139.22</v>
      </c>
      <c r="N23" s="115">
        <v>140.80000000000001</v>
      </c>
      <c r="O23" s="115">
        <v>136.08000000000001</v>
      </c>
      <c r="P23" s="115">
        <v>138.49</v>
      </c>
      <c r="Q23" s="115">
        <v>696.1</v>
      </c>
      <c r="R23">
        <v>11162</v>
      </c>
    </row>
    <row r="24" spans="1:18" x14ac:dyDescent="0.25">
      <c r="A24" s="169">
        <v>42034</v>
      </c>
      <c r="B24" s="115">
        <v>139.05000000000001</v>
      </c>
      <c r="C24" s="115">
        <v>137.83000000000001</v>
      </c>
      <c r="D24" s="115">
        <v>134.36000000000001</v>
      </c>
      <c r="E24" s="115">
        <v>139.05000000000001</v>
      </c>
      <c r="F24" s="115">
        <v>689.15</v>
      </c>
      <c r="G24">
        <v>3495</v>
      </c>
      <c r="H24" s="115"/>
      <c r="I24" s="115"/>
      <c r="L24" s="169">
        <v>42034</v>
      </c>
      <c r="M24" s="115">
        <v>138.03</v>
      </c>
      <c r="N24" s="115">
        <v>138.88999999999999</v>
      </c>
      <c r="O24" s="115">
        <v>134.30000000000001</v>
      </c>
      <c r="P24" s="115">
        <v>138.13999999999999</v>
      </c>
      <c r="Q24" s="115">
        <v>690.15</v>
      </c>
      <c r="R24">
        <v>8690</v>
      </c>
    </row>
    <row r="25" spans="1:18" x14ac:dyDescent="0.25">
      <c r="A25" s="169">
        <v>42037</v>
      </c>
      <c r="B25" s="115">
        <v>140.62</v>
      </c>
      <c r="C25" s="115">
        <v>138.38</v>
      </c>
      <c r="D25" s="115">
        <v>136.54</v>
      </c>
      <c r="E25" s="115">
        <v>137.80000000000001</v>
      </c>
      <c r="F25" s="115">
        <v>691.9</v>
      </c>
      <c r="G25">
        <v>1649</v>
      </c>
      <c r="H25" s="115"/>
      <c r="I25" s="115"/>
      <c r="L25" s="169">
        <v>42037</v>
      </c>
      <c r="M25" s="115">
        <v>138.63999999999999</v>
      </c>
      <c r="N25" s="115">
        <v>140.69999999999999</v>
      </c>
      <c r="O25" s="115">
        <v>136.30000000000001</v>
      </c>
      <c r="P25" s="115">
        <v>139.74</v>
      </c>
      <c r="Q25" s="115">
        <v>693.2</v>
      </c>
      <c r="R25">
        <v>11712</v>
      </c>
    </row>
    <row r="26" spans="1:18" x14ac:dyDescent="0.25">
      <c r="A26" s="169">
        <v>42038</v>
      </c>
      <c r="B26" s="115">
        <v>146.84</v>
      </c>
      <c r="C26" s="115">
        <v>144.79</v>
      </c>
      <c r="D26" s="115">
        <v>138.52000000000001</v>
      </c>
      <c r="E26" s="115">
        <v>138.68</v>
      </c>
      <c r="F26" s="115">
        <v>723.95</v>
      </c>
      <c r="G26">
        <v>5916</v>
      </c>
      <c r="H26" s="115"/>
      <c r="I26" s="115"/>
      <c r="L26" s="169">
        <v>42038</v>
      </c>
      <c r="M26" s="115">
        <v>144.9</v>
      </c>
      <c r="N26" s="115">
        <v>147.4</v>
      </c>
      <c r="O26" s="115">
        <v>138.63999999999999</v>
      </c>
      <c r="P26" s="115">
        <v>138.63999999999999</v>
      </c>
      <c r="Q26" s="115">
        <v>724.5</v>
      </c>
      <c r="R26">
        <v>20224</v>
      </c>
    </row>
    <row r="27" spans="1:18" x14ac:dyDescent="0.25">
      <c r="A27" s="169">
        <v>42039</v>
      </c>
      <c r="B27" s="115">
        <v>156.35</v>
      </c>
      <c r="C27" s="115">
        <v>147.72</v>
      </c>
      <c r="D27" s="115">
        <v>146.19999999999999</v>
      </c>
      <c r="E27" s="115">
        <v>148</v>
      </c>
      <c r="F27" s="115">
        <v>738.6</v>
      </c>
      <c r="G27">
        <v>14574</v>
      </c>
      <c r="H27" s="115"/>
      <c r="I27" s="115"/>
      <c r="L27" s="169">
        <v>42039</v>
      </c>
      <c r="M27" s="115">
        <v>147.35</v>
      </c>
      <c r="N27" s="115">
        <v>156</v>
      </c>
      <c r="O27" s="115">
        <v>145.4</v>
      </c>
      <c r="P27" s="115">
        <v>145.4</v>
      </c>
      <c r="Q27" s="115">
        <v>736.75</v>
      </c>
      <c r="R27">
        <v>62387</v>
      </c>
    </row>
    <row r="28" spans="1:18" x14ac:dyDescent="0.25">
      <c r="A28" s="169">
        <v>42040</v>
      </c>
      <c r="B28" s="115">
        <v>153.19999999999999</v>
      </c>
      <c r="C28" s="115">
        <v>143.91</v>
      </c>
      <c r="D28" s="115">
        <v>142.80000000000001</v>
      </c>
      <c r="E28" s="115">
        <v>153.19999999999999</v>
      </c>
      <c r="F28" s="115">
        <v>719.55</v>
      </c>
      <c r="G28">
        <v>4076</v>
      </c>
      <c r="H28" s="115"/>
      <c r="I28" s="115"/>
      <c r="L28" s="169">
        <v>42040</v>
      </c>
      <c r="M28" s="115">
        <v>144.35</v>
      </c>
      <c r="N28" s="115">
        <v>148.55000000000001</v>
      </c>
      <c r="O28" s="115">
        <v>142.99</v>
      </c>
      <c r="P28" s="115">
        <v>147.35</v>
      </c>
      <c r="Q28" s="115">
        <v>721.75</v>
      </c>
      <c r="R28">
        <v>7170</v>
      </c>
    </row>
    <row r="29" spans="1:18" x14ac:dyDescent="0.25">
      <c r="A29" s="169">
        <v>42041</v>
      </c>
      <c r="B29" s="115">
        <v>147.86000000000001</v>
      </c>
      <c r="C29" s="115">
        <v>142.29</v>
      </c>
      <c r="D29" s="115">
        <v>141.68</v>
      </c>
      <c r="E29" s="115">
        <v>147.86000000000001</v>
      </c>
      <c r="F29" s="115">
        <v>711.45</v>
      </c>
      <c r="G29">
        <v>1533</v>
      </c>
      <c r="H29" s="115"/>
      <c r="I29" s="115"/>
      <c r="L29" s="169">
        <v>42041</v>
      </c>
      <c r="M29" s="115">
        <v>142.32</v>
      </c>
      <c r="N29" s="115">
        <v>147.18</v>
      </c>
      <c r="O29" s="115">
        <v>141.33000000000001</v>
      </c>
      <c r="P29" s="115">
        <v>146.1</v>
      </c>
      <c r="Q29" s="115">
        <v>711.6</v>
      </c>
      <c r="R29">
        <v>3872</v>
      </c>
    </row>
    <row r="30" spans="1:18" x14ac:dyDescent="0.25">
      <c r="A30" s="169">
        <v>42044</v>
      </c>
      <c r="B30" s="115">
        <v>142.9</v>
      </c>
      <c r="C30" s="115">
        <v>137.94999999999999</v>
      </c>
      <c r="D30" s="115">
        <v>136</v>
      </c>
      <c r="E30" s="115">
        <v>142.9</v>
      </c>
      <c r="F30" s="115">
        <v>689.75</v>
      </c>
      <c r="G30">
        <v>4854</v>
      </c>
      <c r="H30" s="115"/>
      <c r="I30" s="115"/>
      <c r="L30" s="169">
        <v>42044</v>
      </c>
      <c r="M30" s="115">
        <v>138.78</v>
      </c>
      <c r="N30" s="115">
        <v>143.59</v>
      </c>
      <c r="O30" s="115">
        <v>135</v>
      </c>
      <c r="P30" s="115">
        <v>143.59</v>
      </c>
      <c r="Q30" s="115">
        <v>693.9</v>
      </c>
      <c r="R30">
        <v>9883</v>
      </c>
    </row>
    <row r="31" spans="1:18" x14ac:dyDescent="0.25">
      <c r="A31" s="169">
        <v>42045</v>
      </c>
      <c r="B31" s="115">
        <v>142.80000000000001</v>
      </c>
      <c r="C31" s="115">
        <v>139.13999999999999</v>
      </c>
      <c r="D31" s="115">
        <v>136.56</v>
      </c>
      <c r="E31" s="115">
        <v>138</v>
      </c>
      <c r="F31" s="115">
        <v>695.7</v>
      </c>
      <c r="G31">
        <v>4018</v>
      </c>
      <c r="H31" s="115"/>
      <c r="I31" s="115"/>
      <c r="L31" s="169">
        <v>42045</v>
      </c>
      <c r="M31" s="115">
        <v>138.25</v>
      </c>
      <c r="N31" s="115">
        <v>143.01</v>
      </c>
      <c r="O31" s="115">
        <v>137</v>
      </c>
      <c r="P31" s="115">
        <v>137.4</v>
      </c>
      <c r="Q31" s="115">
        <v>691.25</v>
      </c>
      <c r="R31">
        <v>4962</v>
      </c>
    </row>
    <row r="32" spans="1:18" x14ac:dyDescent="0.25">
      <c r="A32" s="169">
        <v>42046</v>
      </c>
      <c r="B32" s="115">
        <v>143.80000000000001</v>
      </c>
      <c r="C32" s="115">
        <v>140.68</v>
      </c>
      <c r="D32" s="115">
        <v>139.4</v>
      </c>
      <c r="E32" s="115">
        <v>139.43</v>
      </c>
      <c r="F32" s="115">
        <v>703.4</v>
      </c>
      <c r="G32">
        <v>3774</v>
      </c>
      <c r="H32" s="115"/>
      <c r="I32" s="115"/>
      <c r="L32" s="169">
        <v>42046</v>
      </c>
      <c r="M32" s="115">
        <v>141.46</v>
      </c>
      <c r="N32" s="115">
        <v>144.19999999999999</v>
      </c>
      <c r="O32" s="115">
        <v>138.4</v>
      </c>
      <c r="P32" s="115">
        <v>138.63</v>
      </c>
      <c r="Q32" s="115">
        <v>707.3</v>
      </c>
      <c r="R32">
        <v>6220</v>
      </c>
    </row>
    <row r="33" spans="1:18" x14ac:dyDescent="0.25">
      <c r="A33" s="169">
        <v>42047</v>
      </c>
      <c r="B33" s="115">
        <v>149.52000000000001</v>
      </c>
      <c r="C33" s="115">
        <v>145.44999999999999</v>
      </c>
      <c r="D33" s="115">
        <v>143.4</v>
      </c>
      <c r="E33" s="115">
        <v>143.99</v>
      </c>
      <c r="F33" s="115">
        <v>727.25</v>
      </c>
      <c r="G33">
        <v>5256</v>
      </c>
      <c r="H33" s="115"/>
      <c r="I33" s="115"/>
      <c r="L33" s="169">
        <v>42047</v>
      </c>
      <c r="M33" s="115">
        <v>146.49</v>
      </c>
      <c r="N33" s="115">
        <v>149.6</v>
      </c>
      <c r="O33" s="115">
        <v>143.51</v>
      </c>
      <c r="P33" s="115">
        <v>143.51</v>
      </c>
      <c r="Q33" s="115">
        <v>732.45</v>
      </c>
      <c r="R33">
        <v>8391</v>
      </c>
    </row>
    <row r="34" spans="1:18" x14ac:dyDescent="0.25">
      <c r="A34" s="169">
        <v>42048</v>
      </c>
      <c r="B34" s="115">
        <v>148.97999999999999</v>
      </c>
      <c r="C34" s="115">
        <v>141.97999999999999</v>
      </c>
      <c r="D34" s="115">
        <v>141.38</v>
      </c>
      <c r="E34" s="115">
        <v>148.97999999999999</v>
      </c>
      <c r="F34" s="115">
        <v>709.9</v>
      </c>
      <c r="G34">
        <v>3603</v>
      </c>
      <c r="H34" s="115"/>
      <c r="I34" s="115"/>
      <c r="L34" s="169">
        <v>42048</v>
      </c>
      <c r="M34" s="115">
        <v>142.26</v>
      </c>
      <c r="N34" s="115">
        <v>149.99</v>
      </c>
      <c r="O34" s="115">
        <v>141.41</v>
      </c>
      <c r="P34" s="115">
        <v>149.99</v>
      </c>
      <c r="Q34" s="115">
        <v>711.3</v>
      </c>
      <c r="R34">
        <v>5114</v>
      </c>
    </row>
    <row r="35" spans="1:18" x14ac:dyDescent="0.25">
      <c r="A35" s="169">
        <v>42051</v>
      </c>
      <c r="B35" s="115">
        <v>165</v>
      </c>
      <c r="C35" s="115">
        <v>150.9</v>
      </c>
      <c r="D35" s="115">
        <v>140.44999999999999</v>
      </c>
      <c r="E35" s="115">
        <v>142.80000000000001</v>
      </c>
      <c r="F35" s="115">
        <v>754.5</v>
      </c>
      <c r="G35">
        <v>7896</v>
      </c>
      <c r="H35" s="115"/>
      <c r="I35" s="115"/>
      <c r="L35" s="169">
        <v>42051</v>
      </c>
      <c r="M35" s="115">
        <v>143.38</v>
      </c>
      <c r="N35" s="115">
        <v>144</v>
      </c>
      <c r="O35" s="115">
        <v>141.18</v>
      </c>
      <c r="P35" s="115">
        <v>143</v>
      </c>
      <c r="Q35" s="115">
        <v>716.9</v>
      </c>
      <c r="R35">
        <v>11665</v>
      </c>
    </row>
    <row r="36" spans="1:18" x14ac:dyDescent="0.25">
      <c r="A36" s="169">
        <v>42053</v>
      </c>
      <c r="B36" s="115">
        <v>148.1</v>
      </c>
      <c r="C36" s="115">
        <v>145.4</v>
      </c>
      <c r="D36" s="115">
        <v>144.4</v>
      </c>
      <c r="E36" s="115">
        <v>145</v>
      </c>
      <c r="F36" s="115">
        <v>727</v>
      </c>
      <c r="G36">
        <v>5264</v>
      </c>
      <c r="H36" s="115"/>
      <c r="I36" s="115"/>
      <c r="L36" s="169">
        <v>42053</v>
      </c>
      <c r="M36" s="115">
        <v>145.43</v>
      </c>
      <c r="N36" s="115">
        <v>147.96</v>
      </c>
      <c r="O36" s="115">
        <v>143.69999999999999</v>
      </c>
      <c r="P36" s="115">
        <v>145.6</v>
      </c>
      <c r="Q36" s="115">
        <v>727.15</v>
      </c>
      <c r="R36">
        <v>6506</v>
      </c>
    </row>
    <row r="37" spans="1:18" x14ac:dyDescent="0.25">
      <c r="A37" s="169">
        <v>42054</v>
      </c>
      <c r="B37" s="115">
        <v>151.15</v>
      </c>
      <c r="C37" s="115">
        <v>143.94999999999999</v>
      </c>
      <c r="D37" s="115">
        <v>143</v>
      </c>
      <c r="E37" s="115">
        <v>147.1</v>
      </c>
      <c r="F37" s="115">
        <v>719.75</v>
      </c>
      <c r="G37">
        <v>5073</v>
      </c>
      <c r="H37" s="115"/>
      <c r="I37" s="115"/>
      <c r="L37" s="169">
        <v>42054</v>
      </c>
      <c r="M37" s="115">
        <v>144.34</v>
      </c>
      <c r="N37" s="115">
        <v>151.6</v>
      </c>
      <c r="O37" s="115">
        <v>142.26</v>
      </c>
      <c r="P37" s="115">
        <v>144.05000000000001</v>
      </c>
      <c r="Q37" s="115">
        <v>721.7</v>
      </c>
      <c r="R37">
        <v>14860</v>
      </c>
    </row>
    <row r="38" spans="1:18" x14ac:dyDescent="0.25">
      <c r="A38" s="169">
        <v>42055</v>
      </c>
      <c r="B38" s="115">
        <v>147.4</v>
      </c>
      <c r="C38" s="115">
        <v>144</v>
      </c>
      <c r="D38" s="115">
        <v>142.19999999999999</v>
      </c>
      <c r="E38" s="115">
        <v>145.80000000000001</v>
      </c>
      <c r="F38" s="115">
        <v>720</v>
      </c>
      <c r="G38">
        <v>7117</v>
      </c>
      <c r="H38" s="115"/>
      <c r="I38" s="115"/>
      <c r="L38" s="169">
        <v>42055</v>
      </c>
      <c r="M38" s="115">
        <v>144.43</v>
      </c>
      <c r="N38" s="115">
        <v>147.99</v>
      </c>
      <c r="O38" s="115">
        <v>141.6</v>
      </c>
      <c r="P38" s="115">
        <v>141.6</v>
      </c>
      <c r="Q38" s="115">
        <v>722.15</v>
      </c>
      <c r="R38">
        <v>17681</v>
      </c>
    </row>
    <row r="39" spans="1:18" x14ac:dyDescent="0.25">
      <c r="A39" s="169">
        <v>42058</v>
      </c>
      <c r="B39" s="115">
        <v>145.4</v>
      </c>
      <c r="C39" s="115">
        <v>140.69999999999999</v>
      </c>
      <c r="D39" s="115">
        <v>140.19999999999999</v>
      </c>
      <c r="E39" s="115">
        <v>144.80000000000001</v>
      </c>
      <c r="F39" s="115">
        <v>703.5</v>
      </c>
      <c r="G39">
        <v>4125</v>
      </c>
      <c r="H39" s="115"/>
      <c r="I39" s="115"/>
      <c r="L39" s="169">
        <v>42058</v>
      </c>
      <c r="M39" s="115">
        <v>140.4</v>
      </c>
      <c r="N39" s="115">
        <v>145.6</v>
      </c>
      <c r="O39" s="115">
        <v>140</v>
      </c>
      <c r="P39" s="115">
        <v>144</v>
      </c>
      <c r="Q39" s="115">
        <v>702</v>
      </c>
      <c r="R39">
        <v>19684</v>
      </c>
    </row>
    <row r="40" spans="1:18" x14ac:dyDescent="0.25">
      <c r="A40" s="169">
        <v>42059</v>
      </c>
      <c r="B40" s="115">
        <v>144</v>
      </c>
      <c r="C40" s="115">
        <v>139.80000000000001</v>
      </c>
      <c r="D40" s="115">
        <v>135.80000000000001</v>
      </c>
      <c r="E40" s="115">
        <v>141.55000000000001</v>
      </c>
      <c r="F40" s="115">
        <v>699</v>
      </c>
      <c r="G40">
        <v>4835</v>
      </c>
      <c r="H40" s="115"/>
      <c r="I40" s="115"/>
      <c r="L40" s="169">
        <v>42059</v>
      </c>
      <c r="M40" s="115">
        <v>140.26</v>
      </c>
      <c r="N40" s="115">
        <v>144.6</v>
      </c>
      <c r="O40" s="115">
        <v>137.04</v>
      </c>
      <c r="P40" s="115">
        <v>140.03</v>
      </c>
      <c r="Q40" s="115">
        <v>701.3</v>
      </c>
      <c r="R40">
        <v>9303</v>
      </c>
    </row>
    <row r="41" spans="1:18" x14ac:dyDescent="0.25">
      <c r="A41" s="169">
        <v>42060</v>
      </c>
      <c r="B41" s="115">
        <v>142.55000000000001</v>
      </c>
      <c r="C41" s="115">
        <v>138.1</v>
      </c>
      <c r="D41" s="115">
        <v>136.55000000000001</v>
      </c>
      <c r="E41" s="115">
        <v>139.69999999999999</v>
      </c>
      <c r="F41" s="115">
        <v>690.5</v>
      </c>
      <c r="G41">
        <v>3018</v>
      </c>
      <c r="H41" s="115"/>
      <c r="I41" s="115"/>
      <c r="L41" s="169">
        <v>42060</v>
      </c>
      <c r="M41" s="115">
        <v>137.86000000000001</v>
      </c>
      <c r="N41" s="115">
        <v>146.80000000000001</v>
      </c>
      <c r="O41" s="115">
        <v>137.02000000000001</v>
      </c>
      <c r="P41" s="115">
        <v>146.80000000000001</v>
      </c>
      <c r="Q41" s="115">
        <v>689.3</v>
      </c>
      <c r="R41">
        <v>5007</v>
      </c>
    </row>
    <row r="42" spans="1:18" x14ac:dyDescent="0.25">
      <c r="A42" s="169">
        <v>42061</v>
      </c>
      <c r="B42" s="115">
        <v>139.15</v>
      </c>
      <c r="C42" s="115">
        <v>135.94999999999999</v>
      </c>
      <c r="D42" s="115">
        <v>135.35</v>
      </c>
      <c r="E42" s="115">
        <v>138.25</v>
      </c>
      <c r="F42" s="115">
        <v>679.75</v>
      </c>
      <c r="G42">
        <v>694</v>
      </c>
      <c r="H42" s="115"/>
      <c r="I42" s="115"/>
      <c r="L42" s="169">
        <v>42061</v>
      </c>
      <c r="M42" s="115">
        <v>135.88</v>
      </c>
      <c r="N42" s="115">
        <v>140.38999999999999</v>
      </c>
      <c r="O42" s="115">
        <v>135.41</v>
      </c>
      <c r="P42" s="115">
        <v>140.38999999999999</v>
      </c>
      <c r="Q42" s="115">
        <v>679.4</v>
      </c>
      <c r="R42">
        <v>3367</v>
      </c>
    </row>
    <row r="43" spans="1:18" x14ac:dyDescent="0.25">
      <c r="A43" s="169">
        <v>42062</v>
      </c>
      <c r="B43" s="115">
        <v>140</v>
      </c>
      <c r="C43" s="115">
        <v>138.6</v>
      </c>
      <c r="D43" s="115">
        <v>136.55000000000001</v>
      </c>
      <c r="E43" s="115">
        <v>138.4</v>
      </c>
      <c r="F43" s="115">
        <v>693</v>
      </c>
      <c r="G43">
        <v>577</v>
      </c>
      <c r="H43" s="115"/>
      <c r="I43" s="115"/>
      <c r="L43" s="169">
        <v>42062</v>
      </c>
      <c r="M43" s="115">
        <v>137.91999999999999</v>
      </c>
      <c r="N43" s="115">
        <v>140.4</v>
      </c>
      <c r="O43" s="115">
        <v>136.16999999999999</v>
      </c>
      <c r="P43" s="115">
        <v>137.4</v>
      </c>
      <c r="Q43" s="115">
        <v>689.6</v>
      </c>
      <c r="R43">
        <v>5345</v>
      </c>
    </row>
    <row r="44" spans="1:18" x14ac:dyDescent="0.25">
      <c r="A44" s="169">
        <v>42063</v>
      </c>
      <c r="B44" s="115">
        <v>143.55000000000001</v>
      </c>
      <c r="C44" s="115">
        <v>137.5</v>
      </c>
      <c r="D44" s="115">
        <v>136.25</v>
      </c>
      <c r="E44" s="115">
        <v>140</v>
      </c>
      <c r="F44" s="115">
        <v>687.5</v>
      </c>
      <c r="G44">
        <v>4307</v>
      </c>
      <c r="H44" s="115"/>
      <c r="I44" s="115"/>
      <c r="L44" s="169">
        <v>42063</v>
      </c>
      <c r="M44" s="115">
        <v>137.41999999999999</v>
      </c>
      <c r="N44" s="115">
        <v>143.80000000000001</v>
      </c>
      <c r="O44" s="115">
        <v>137</v>
      </c>
      <c r="P44" s="115">
        <v>143.80000000000001</v>
      </c>
      <c r="Q44" s="115">
        <v>687.1</v>
      </c>
      <c r="R44">
        <v>19123</v>
      </c>
    </row>
    <row r="45" spans="1:18" x14ac:dyDescent="0.25">
      <c r="A45" s="169">
        <v>42065</v>
      </c>
      <c r="B45" s="115">
        <v>142</v>
      </c>
      <c r="C45" s="115">
        <v>137.69999999999999</v>
      </c>
      <c r="D45" s="115">
        <v>137.25</v>
      </c>
      <c r="E45" s="115">
        <v>141</v>
      </c>
      <c r="F45" s="115">
        <v>688.5</v>
      </c>
      <c r="G45">
        <v>9079</v>
      </c>
      <c r="H45" s="115"/>
      <c r="I45" s="115"/>
      <c r="L45" s="169">
        <v>42065</v>
      </c>
      <c r="M45" s="115">
        <v>139.03</v>
      </c>
      <c r="N45" s="115">
        <v>142.91999999999999</v>
      </c>
      <c r="O45" s="115">
        <v>138.41</v>
      </c>
      <c r="P45" s="115">
        <v>140.80000000000001</v>
      </c>
      <c r="Q45" s="115">
        <v>695.15</v>
      </c>
      <c r="R45">
        <v>6167</v>
      </c>
    </row>
    <row r="46" spans="1:18" x14ac:dyDescent="0.25">
      <c r="A46" s="169">
        <v>42066</v>
      </c>
      <c r="B46" s="115">
        <v>141.9</v>
      </c>
      <c r="C46" s="115">
        <v>135.9</v>
      </c>
      <c r="D46" s="115">
        <v>134.9</v>
      </c>
      <c r="E46" s="115">
        <v>139.55000000000001</v>
      </c>
      <c r="F46" s="115">
        <v>679.5</v>
      </c>
      <c r="G46">
        <v>4227</v>
      </c>
      <c r="H46" s="115"/>
      <c r="I46" s="115"/>
      <c r="L46" s="169">
        <v>42066</v>
      </c>
      <c r="M46" s="115">
        <v>135.93</v>
      </c>
      <c r="N46" s="115">
        <v>141.59</v>
      </c>
      <c r="O46" s="115">
        <v>135</v>
      </c>
      <c r="P46" s="115">
        <v>139.30000000000001</v>
      </c>
      <c r="Q46" s="115">
        <v>679.65</v>
      </c>
      <c r="R46">
        <v>11434</v>
      </c>
    </row>
    <row r="47" spans="1:18" x14ac:dyDescent="0.25">
      <c r="A47" s="169">
        <v>42067</v>
      </c>
      <c r="B47" s="115">
        <v>139.44999999999999</v>
      </c>
      <c r="C47" s="115">
        <v>135.85</v>
      </c>
      <c r="D47" s="115">
        <v>135</v>
      </c>
      <c r="E47" s="115">
        <v>136.1</v>
      </c>
      <c r="F47" s="115">
        <v>679.25</v>
      </c>
      <c r="G47">
        <v>3491</v>
      </c>
      <c r="H47" s="115"/>
      <c r="I47" s="115"/>
      <c r="L47" s="169">
        <v>42067</v>
      </c>
      <c r="M47" s="115">
        <v>135.72</v>
      </c>
      <c r="N47" s="115">
        <v>139.59</v>
      </c>
      <c r="O47" s="115">
        <v>135.1</v>
      </c>
      <c r="P47" s="115">
        <v>136.1</v>
      </c>
      <c r="Q47" s="115">
        <v>678.6</v>
      </c>
      <c r="R47">
        <v>14331</v>
      </c>
    </row>
    <row r="48" spans="1:18" x14ac:dyDescent="0.25">
      <c r="A48" s="169">
        <v>42068</v>
      </c>
      <c r="B48" s="115">
        <v>139.55000000000001</v>
      </c>
      <c r="C48" s="115">
        <v>139</v>
      </c>
      <c r="D48" s="115">
        <v>135.35</v>
      </c>
      <c r="E48" s="115">
        <v>135.85</v>
      </c>
      <c r="F48" s="115">
        <v>695</v>
      </c>
      <c r="G48">
        <v>1834</v>
      </c>
      <c r="H48" s="115"/>
      <c r="I48" s="115"/>
      <c r="L48" s="169">
        <v>42068</v>
      </c>
      <c r="M48" s="115">
        <v>138.93</v>
      </c>
      <c r="N48" s="115">
        <v>139.96</v>
      </c>
      <c r="O48" s="115">
        <v>135.09</v>
      </c>
      <c r="P48" s="115">
        <v>137.1</v>
      </c>
      <c r="Q48" s="115">
        <v>694.65</v>
      </c>
      <c r="R48">
        <v>44161</v>
      </c>
    </row>
    <row r="49" spans="1:18" x14ac:dyDescent="0.25">
      <c r="A49" s="169">
        <v>42072</v>
      </c>
      <c r="B49" s="115">
        <v>144.6</v>
      </c>
      <c r="C49" s="115">
        <v>140.94999999999999</v>
      </c>
      <c r="D49" s="115">
        <v>136</v>
      </c>
      <c r="E49" s="115">
        <v>139.9</v>
      </c>
      <c r="F49" s="115">
        <v>704.75</v>
      </c>
      <c r="G49">
        <v>13345</v>
      </c>
      <c r="H49" s="115"/>
      <c r="I49" s="115"/>
      <c r="L49" s="169">
        <v>42072</v>
      </c>
      <c r="M49" s="115">
        <v>141.28</v>
      </c>
      <c r="N49" s="115">
        <v>144.4</v>
      </c>
      <c r="O49" s="115">
        <v>133.41</v>
      </c>
      <c r="P49" s="115">
        <v>139.99</v>
      </c>
      <c r="Q49" s="115">
        <v>706.4</v>
      </c>
      <c r="R49">
        <v>24421</v>
      </c>
    </row>
    <row r="50" spans="1:18" x14ac:dyDescent="0.25">
      <c r="A50" s="169">
        <v>42073</v>
      </c>
      <c r="B50" s="115">
        <v>143.85</v>
      </c>
      <c r="C50" s="115">
        <v>140.4</v>
      </c>
      <c r="D50" s="115">
        <v>138.85</v>
      </c>
      <c r="E50" s="115">
        <v>141</v>
      </c>
      <c r="F50" s="115">
        <v>702</v>
      </c>
      <c r="G50">
        <v>4051</v>
      </c>
      <c r="H50" s="115"/>
      <c r="I50" s="115"/>
      <c r="L50" s="169">
        <v>42073</v>
      </c>
      <c r="M50" s="115">
        <v>141.6</v>
      </c>
      <c r="N50" s="115">
        <v>144.4</v>
      </c>
      <c r="O50" s="115">
        <v>139.4</v>
      </c>
      <c r="P50" s="115">
        <v>140.19999999999999</v>
      </c>
      <c r="Q50" s="115">
        <v>708</v>
      </c>
      <c r="R50">
        <v>10533</v>
      </c>
    </row>
    <row r="51" spans="1:18" x14ac:dyDescent="0.25">
      <c r="A51" s="169">
        <v>42074</v>
      </c>
      <c r="B51" s="115">
        <v>142.69999999999999</v>
      </c>
      <c r="C51" s="115">
        <v>137.25</v>
      </c>
      <c r="D51" s="115">
        <v>135.85</v>
      </c>
      <c r="E51" s="115">
        <v>137.80000000000001</v>
      </c>
      <c r="F51" s="115">
        <v>686.25</v>
      </c>
      <c r="G51">
        <v>1822</v>
      </c>
      <c r="H51" s="115"/>
      <c r="I51" s="115"/>
      <c r="L51" s="169">
        <v>42074</v>
      </c>
      <c r="M51" s="115">
        <v>137.93</v>
      </c>
      <c r="N51" s="115">
        <v>142.4</v>
      </c>
      <c r="O51" s="115">
        <v>136.41</v>
      </c>
      <c r="P51" s="115">
        <v>142.4</v>
      </c>
      <c r="Q51" s="115">
        <v>689.65</v>
      </c>
      <c r="R51">
        <v>6673</v>
      </c>
    </row>
    <row r="52" spans="1:18" x14ac:dyDescent="0.25">
      <c r="A52" s="169">
        <v>42075</v>
      </c>
      <c r="B52" s="115">
        <v>140</v>
      </c>
      <c r="C52" s="115">
        <v>137.6</v>
      </c>
      <c r="D52" s="115">
        <v>137</v>
      </c>
      <c r="E52" s="115">
        <v>139.6</v>
      </c>
      <c r="F52" s="115">
        <v>688</v>
      </c>
      <c r="G52">
        <v>1289</v>
      </c>
      <c r="H52" s="115"/>
      <c r="I52" s="115"/>
      <c r="L52" s="169">
        <v>42075</v>
      </c>
      <c r="M52" s="115">
        <v>137.97999999999999</v>
      </c>
      <c r="N52" s="115">
        <v>140.6</v>
      </c>
      <c r="O52" s="115">
        <v>137.4</v>
      </c>
      <c r="P52" s="115">
        <v>138</v>
      </c>
      <c r="Q52" s="115">
        <v>689.9</v>
      </c>
      <c r="R52">
        <v>1657</v>
      </c>
    </row>
    <row r="53" spans="1:18" x14ac:dyDescent="0.25">
      <c r="A53" s="169">
        <v>42076</v>
      </c>
      <c r="B53" s="115">
        <v>139.55000000000001</v>
      </c>
      <c r="C53" s="115">
        <v>138.15</v>
      </c>
      <c r="D53" s="115">
        <v>136.85</v>
      </c>
      <c r="E53" s="115">
        <v>138.44999999999999</v>
      </c>
      <c r="F53" s="115">
        <v>690.75</v>
      </c>
      <c r="G53">
        <v>2171</v>
      </c>
      <c r="H53" s="115"/>
      <c r="I53" s="115"/>
      <c r="L53" s="169">
        <v>42076</v>
      </c>
      <c r="M53" s="115">
        <v>138.21</v>
      </c>
      <c r="N53" s="115">
        <v>139.19999999999999</v>
      </c>
      <c r="O53" s="115">
        <v>137.13</v>
      </c>
      <c r="P53" s="115">
        <v>138</v>
      </c>
      <c r="Q53" s="115">
        <v>691.05</v>
      </c>
      <c r="R53">
        <v>2556</v>
      </c>
    </row>
    <row r="54" spans="1:18" x14ac:dyDescent="0.25">
      <c r="A54" s="169">
        <v>42079</v>
      </c>
      <c r="B54" s="115">
        <v>138.4</v>
      </c>
      <c r="C54" s="115">
        <v>136.55000000000001</v>
      </c>
      <c r="D54" s="115">
        <v>135.65</v>
      </c>
      <c r="E54" s="115">
        <v>138</v>
      </c>
      <c r="F54" s="115">
        <v>682.75</v>
      </c>
      <c r="G54">
        <v>1580</v>
      </c>
      <c r="H54" s="115"/>
      <c r="I54" s="115"/>
      <c r="L54" s="169">
        <v>42079</v>
      </c>
      <c r="M54" s="115">
        <v>136.54</v>
      </c>
      <c r="N54" s="115">
        <v>138.6</v>
      </c>
      <c r="O54" s="115">
        <v>136.01</v>
      </c>
      <c r="P54" s="115">
        <v>138</v>
      </c>
      <c r="Q54" s="115">
        <v>682.7</v>
      </c>
      <c r="R54">
        <v>1349</v>
      </c>
    </row>
    <row r="55" spans="1:18" x14ac:dyDescent="0.25">
      <c r="A55" s="169">
        <v>42080</v>
      </c>
      <c r="B55" s="115">
        <v>137.4</v>
      </c>
      <c r="C55" s="115">
        <v>136.1</v>
      </c>
      <c r="D55" s="115">
        <v>135.4</v>
      </c>
      <c r="E55" s="115">
        <v>137.30000000000001</v>
      </c>
      <c r="F55" s="115">
        <v>680.5</v>
      </c>
      <c r="G55">
        <v>1274</v>
      </c>
      <c r="H55" s="115"/>
      <c r="I55" s="115"/>
      <c r="L55" s="169">
        <v>42080</v>
      </c>
      <c r="M55" s="115">
        <v>136</v>
      </c>
      <c r="N55" s="115">
        <v>137.80000000000001</v>
      </c>
      <c r="O55" s="115">
        <v>133.37</v>
      </c>
      <c r="P55" s="115">
        <v>136.82</v>
      </c>
      <c r="Q55" s="115">
        <v>680</v>
      </c>
      <c r="R55">
        <v>2062</v>
      </c>
    </row>
    <row r="56" spans="1:18" x14ac:dyDescent="0.25">
      <c r="A56" s="169">
        <v>42081</v>
      </c>
      <c r="B56" s="115">
        <v>143.4</v>
      </c>
      <c r="C56" s="115">
        <v>139.55000000000001</v>
      </c>
      <c r="D56" s="115">
        <v>135.19999999999999</v>
      </c>
      <c r="E56" s="115">
        <v>136.94999999999999</v>
      </c>
      <c r="F56" s="115">
        <v>697.75</v>
      </c>
      <c r="G56">
        <v>5835</v>
      </c>
      <c r="H56" s="115"/>
      <c r="I56" s="115"/>
      <c r="L56" s="169">
        <v>42081</v>
      </c>
      <c r="M56" s="115">
        <v>140.07</v>
      </c>
      <c r="N56" s="115">
        <v>144</v>
      </c>
      <c r="O56" s="115">
        <v>135.01</v>
      </c>
      <c r="P56" s="115">
        <v>137.6</v>
      </c>
      <c r="Q56" s="115">
        <v>700.35</v>
      </c>
      <c r="R56">
        <v>17092</v>
      </c>
    </row>
    <row r="57" spans="1:18" x14ac:dyDescent="0.25">
      <c r="A57" s="169">
        <v>42082</v>
      </c>
      <c r="B57" s="115">
        <v>143.80000000000001</v>
      </c>
      <c r="C57" s="115">
        <v>139.6</v>
      </c>
      <c r="D57" s="115">
        <v>137.4</v>
      </c>
      <c r="E57" s="115">
        <v>138.69999999999999</v>
      </c>
      <c r="F57" s="115">
        <v>698</v>
      </c>
      <c r="G57">
        <v>5173</v>
      </c>
      <c r="H57" s="115"/>
      <c r="I57" s="115"/>
      <c r="L57" s="169">
        <v>42082</v>
      </c>
      <c r="M57" s="115">
        <v>137.91999999999999</v>
      </c>
      <c r="N57" s="115">
        <v>143.59</v>
      </c>
      <c r="O57" s="115">
        <v>136.19999999999999</v>
      </c>
      <c r="P57" s="115">
        <v>141.19999999999999</v>
      </c>
      <c r="Q57" s="115">
        <v>689.6</v>
      </c>
      <c r="R57">
        <v>3833</v>
      </c>
    </row>
    <row r="58" spans="1:18" x14ac:dyDescent="0.25">
      <c r="A58" s="169">
        <v>42083</v>
      </c>
      <c r="B58" s="115">
        <v>140</v>
      </c>
      <c r="C58" s="115">
        <v>136.35</v>
      </c>
      <c r="D58" s="115">
        <v>135.30000000000001</v>
      </c>
      <c r="E58" s="115">
        <v>139.94999999999999</v>
      </c>
      <c r="F58" s="115">
        <v>681.75</v>
      </c>
      <c r="G58">
        <v>3997</v>
      </c>
      <c r="H58" s="115"/>
      <c r="I58" s="115"/>
      <c r="L58" s="169">
        <v>42083</v>
      </c>
      <c r="M58" s="115">
        <v>135.88</v>
      </c>
      <c r="N58" s="115">
        <v>140.59</v>
      </c>
      <c r="O58" s="115">
        <v>134.41</v>
      </c>
      <c r="P58" s="115">
        <v>139</v>
      </c>
      <c r="Q58" s="115">
        <v>679.4</v>
      </c>
      <c r="R58">
        <v>3542</v>
      </c>
    </row>
    <row r="59" spans="1:18" x14ac:dyDescent="0.25">
      <c r="A59" s="169">
        <v>42086</v>
      </c>
      <c r="B59" s="115">
        <v>138.4</v>
      </c>
      <c r="C59" s="115">
        <v>136.25</v>
      </c>
      <c r="D59" s="115">
        <v>134.5</v>
      </c>
      <c r="E59" s="115">
        <v>138.4</v>
      </c>
      <c r="F59" s="115">
        <v>681.25</v>
      </c>
      <c r="G59">
        <v>1840</v>
      </c>
      <c r="H59" s="115"/>
      <c r="I59" s="115"/>
      <c r="L59" s="169">
        <v>42086</v>
      </c>
      <c r="M59" s="115">
        <v>136.41</v>
      </c>
      <c r="N59" s="115">
        <v>139.36000000000001</v>
      </c>
      <c r="O59" s="115">
        <v>134</v>
      </c>
      <c r="P59" s="115">
        <v>138.4</v>
      </c>
      <c r="Q59" s="115">
        <v>682.05</v>
      </c>
      <c r="R59">
        <v>4417</v>
      </c>
    </row>
    <row r="60" spans="1:18" x14ac:dyDescent="0.25">
      <c r="A60" s="169">
        <v>42087</v>
      </c>
      <c r="B60" s="115">
        <v>137.4</v>
      </c>
      <c r="C60" s="115">
        <v>132.80000000000001</v>
      </c>
      <c r="D60" s="115">
        <v>132</v>
      </c>
      <c r="E60" s="115">
        <v>135.6</v>
      </c>
      <c r="F60" s="115">
        <v>664</v>
      </c>
      <c r="G60">
        <v>1806</v>
      </c>
      <c r="H60" s="115"/>
      <c r="I60" s="115"/>
      <c r="L60" s="169">
        <v>42087</v>
      </c>
      <c r="M60" s="115">
        <v>132.37</v>
      </c>
      <c r="N60" s="115">
        <v>138</v>
      </c>
      <c r="O60" s="115">
        <v>132</v>
      </c>
      <c r="P60" s="115">
        <v>137.6</v>
      </c>
      <c r="Q60" s="115">
        <v>661.85</v>
      </c>
      <c r="R60">
        <v>2982</v>
      </c>
    </row>
    <row r="61" spans="1:18" x14ac:dyDescent="0.25">
      <c r="A61" s="169">
        <v>42088</v>
      </c>
      <c r="B61" s="115">
        <v>133.9</v>
      </c>
      <c r="C61" s="115">
        <v>132.65</v>
      </c>
      <c r="D61" s="115">
        <v>132.1</v>
      </c>
      <c r="E61" s="115">
        <v>132.69999999999999</v>
      </c>
      <c r="F61" s="115">
        <v>663.25</v>
      </c>
      <c r="G61">
        <v>413</v>
      </c>
      <c r="H61" s="115"/>
      <c r="I61" s="115"/>
      <c r="L61" s="169">
        <v>42088</v>
      </c>
      <c r="M61" s="115">
        <v>132.78</v>
      </c>
      <c r="N61" s="115">
        <v>135</v>
      </c>
      <c r="O61" s="115">
        <v>132.05000000000001</v>
      </c>
      <c r="P61" s="115">
        <v>132.88</v>
      </c>
      <c r="Q61" s="115">
        <v>663.9</v>
      </c>
      <c r="R61">
        <v>1003</v>
      </c>
    </row>
    <row r="62" spans="1:18" x14ac:dyDescent="0.25">
      <c r="A62" s="169">
        <v>42089</v>
      </c>
      <c r="B62" s="115">
        <v>132.69999999999999</v>
      </c>
      <c r="C62" s="115">
        <v>130.15</v>
      </c>
      <c r="D62" s="115">
        <v>128.6</v>
      </c>
      <c r="E62" s="115">
        <v>132.69999999999999</v>
      </c>
      <c r="F62" s="115">
        <v>650.75</v>
      </c>
      <c r="G62">
        <v>2341</v>
      </c>
      <c r="H62" s="115"/>
      <c r="I62" s="115"/>
      <c r="L62" s="169">
        <v>42089</v>
      </c>
      <c r="M62" s="115">
        <v>129.84</v>
      </c>
      <c r="N62" s="115">
        <v>133.6</v>
      </c>
      <c r="O62" s="115">
        <v>128.01</v>
      </c>
      <c r="P62" s="115">
        <v>132.19999999999999</v>
      </c>
      <c r="Q62" s="115">
        <v>649.20000000000005</v>
      </c>
      <c r="R62">
        <v>4945</v>
      </c>
    </row>
    <row r="63" spans="1:18" x14ac:dyDescent="0.25">
      <c r="A63" s="169">
        <v>42090</v>
      </c>
      <c r="B63" s="115">
        <v>140</v>
      </c>
      <c r="C63" s="115">
        <v>138.5</v>
      </c>
      <c r="D63" s="115">
        <v>129.44999999999999</v>
      </c>
      <c r="E63" s="115">
        <v>132</v>
      </c>
      <c r="F63" s="115">
        <v>692.5</v>
      </c>
      <c r="G63">
        <v>7846</v>
      </c>
      <c r="H63" s="115"/>
      <c r="I63" s="115"/>
      <c r="L63" s="169">
        <v>42090</v>
      </c>
      <c r="M63" s="115">
        <v>139.09</v>
      </c>
      <c r="N63" s="115">
        <v>141</v>
      </c>
      <c r="O63" s="115">
        <v>130.02000000000001</v>
      </c>
      <c r="P63" s="115">
        <v>130.02000000000001</v>
      </c>
      <c r="Q63" s="115">
        <v>695.45</v>
      </c>
      <c r="R63">
        <v>10506</v>
      </c>
    </row>
    <row r="64" spans="1:18" x14ac:dyDescent="0.25">
      <c r="A64" s="169">
        <v>42093</v>
      </c>
      <c r="B64" s="115">
        <v>144.80000000000001</v>
      </c>
      <c r="C64" s="115">
        <v>143.1</v>
      </c>
      <c r="D64" s="115">
        <v>137.65</v>
      </c>
      <c r="E64" s="115">
        <v>140</v>
      </c>
      <c r="F64" s="115">
        <v>715.5</v>
      </c>
      <c r="G64">
        <v>2034</v>
      </c>
      <c r="H64" s="115"/>
      <c r="I64" s="115"/>
      <c r="L64" s="169">
        <v>42093</v>
      </c>
      <c r="M64" s="115">
        <v>144.15</v>
      </c>
      <c r="N64" s="115">
        <v>146</v>
      </c>
      <c r="O64" s="115">
        <v>138.01</v>
      </c>
      <c r="P64" s="115">
        <v>140</v>
      </c>
      <c r="Q64" s="115">
        <v>720.75</v>
      </c>
      <c r="R64">
        <v>8164</v>
      </c>
    </row>
    <row r="65" spans="1:18" x14ac:dyDescent="0.25">
      <c r="A65" s="169">
        <v>42094</v>
      </c>
      <c r="B65" s="115">
        <v>150.94999999999999</v>
      </c>
      <c r="C65" s="115">
        <v>147.94999999999999</v>
      </c>
      <c r="D65" s="115">
        <v>141.75</v>
      </c>
      <c r="E65" s="115">
        <v>141.75</v>
      </c>
      <c r="F65" s="115">
        <v>739.75</v>
      </c>
      <c r="G65">
        <v>7036</v>
      </c>
      <c r="H65" s="115"/>
      <c r="I65" s="115"/>
      <c r="L65" s="169">
        <v>42094</v>
      </c>
      <c r="M65" s="115">
        <v>149.58000000000001</v>
      </c>
      <c r="N65" s="115">
        <v>151.94999999999999</v>
      </c>
      <c r="O65" s="115">
        <v>140.24</v>
      </c>
      <c r="P65" s="115">
        <v>145.66999999999999</v>
      </c>
      <c r="Q65" s="115">
        <v>747.9</v>
      </c>
      <c r="R65">
        <v>51079</v>
      </c>
    </row>
    <row r="66" spans="1:18" x14ac:dyDescent="0.25">
      <c r="A66" s="169">
        <v>42095</v>
      </c>
      <c r="B66" s="115">
        <v>148.80000000000001</v>
      </c>
      <c r="C66" s="115">
        <v>145.6</v>
      </c>
      <c r="D66" s="115">
        <v>143.19999999999999</v>
      </c>
      <c r="E66" s="115">
        <v>148.6</v>
      </c>
      <c r="F66" s="115">
        <v>728</v>
      </c>
      <c r="G66">
        <v>3007</v>
      </c>
      <c r="H66" s="115"/>
      <c r="I66" s="115"/>
      <c r="L66" s="169">
        <v>42095</v>
      </c>
      <c r="M66" s="115">
        <v>146.66</v>
      </c>
      <c r="N66" s="115">
        <v>149.78</v>
      </c>
      <c r="O66" s="115">
        <v>145.4</v>
      </c>
      <c r="P66" s="115">
        <v>148</v>
      </c>
      <c r="Q66" s="115">
        <v>733.3</v>
      </c>
      <c r="R66">
        <v>14932</v>
      </c>
    </row>
    <row r="67" spans="1:18" x14ac:dyDescent="0.25">
      <c r="A67" s="169">
        <v>42100</v>
      </c>
      <c r="B67" s="115">
        <v>146</v>
      </c>
      <c r="C67" s="115">
        <v>139.80000000000001</v>
      </c>
      <c r="D67" s="115">
        <v>139</v>
      </c>
      <c r="E67" s="115">
        <v>146</v>
      </c>
      <c r="F67" s="115">
        <v>699</v>
      </c>
      <c r="G67">
        <v>5306</v>
      </c>
      <c r="H67" s="115"/>
      <c r="I67" s="115"/>
      <c r="L67" s="169">
        <v>42100</v>
      </c>
      <c r="M67" s="115">
        <v>139.44999999999999</v>
      </c>
      <c r="N67" s="115">
        <v>147</v>
      </c>
      <c r="O67" s="115">
        <v>138.30000000000001</v>
      </c>
      <c r="P67" s="115">
        <v>147</v>
      </c>
      <c r="Q67" s="115">
        <v>697.25</v>
      </c>
      <c r="R67">
        <v>14285</v>
      </c>
    </row>
    <row r="68" spans="1:18" x14ac:dyDescent="0.25">
      <c r="A68" s="169">
        <v>42101</v>
      </c>
      <c r="B68" s="115">
        <v>140.4</v>
      </c>
      <c r="C68" s="115">
        <v>137.55000000000001</v>
      </c>
      <c r="D68" s="115">
        <v>136.19999999999999</v>
      </c>
      <c r="E68" s="115">
        <v>139.6</v>
      </c>
      <c r="F68" s="115">
        <v>687.75</v>
      </c>
      <c r="G68">
        <v>2782</v>
      </c>
      <c r="H68" s="115"/>
      <c r="I68" s="115"/>
      <c r="L68" s="169">
        <v>42101</v>
      </c>
      <c r="M68" s="115">
        <v>137.4</v>
      </c>
      <c r="N68" s="115">
        <v>140.02000000000001</v>
      </c>
      <c r="O68" s="115">
        <v>135.9</v>
      </c>
      <c r="P68" s="115">
        <v>140.02000000000001</v>
      </c>
      <c r="Q68" s="115">
        <v>687</v>
      </c>
      <c r="R68">
        <v>4444</v>
      </c>
    </row>
    <row r="69" spans="1:18" x14ac:dyDescent="0.25">
      <c r="A69" s="169">
        <v>42102</v>
      </c>
      <c r="B69" s="115">
        <v>141.6</v>
      </c>
      <c r="C69" s="115">
        <v>137.5</v>
      </c>
      <c r="D69" s="115">
        <v>136.44999999999999</v>
      </c>
      <c r="E69" s="115">
        <v>137.80000000000001</v>
      </c>
      <c r="F69" s="115">
        <v>687.5</v>
      </c>
      <c r="G69">
        <v>3619</v>
      </c>
      <c r="H69" s="115"/>
      <c r="I69" s="115"/>
      <c r="L69" s="169">
        <v>42102</v>
      </c>
      <c r="M69" s="115">
        <v>138.41999999999999</v>
      </c>
      <c r="N69" s="115">
        <v>142.16</v>
      </c>
      <c r="O69" s="115">
        <v>135.81</v>
      </c>
      <c r="P69" s="115">
        <v>135.81</v>
      </c>
      <c r="Q69" s="115">
        <v>692.1</v>
      </c>
      <c r="R69">
        <v>8080</v>
      </c>
    </row>
    <row r="70" spans="1:18" x14ac:dyDescent="0.25">
      <c r="A70" s="169">
        <v>42103</v>
      </c>
      <c r="B70" s="115">
        <v>139.65</v>
      </c>
      <c r="C70" s="115">
        <v>138.30000000000001</v>
      </c>
      <c r="D70" s="115">
        <v>137.5</v>
      </c>
      <c r="E70" s="115">
        <v>138.75</v>
      </c>
      <c r="F70" s="115">
        <v>691.5</v>
      </c>
      <c r="G70">
        <v>710</v>
      </c>
      <c r="H70" s="115"/>
      <c r="I70" s="115"/>
      <c r="L70" s="169">
        <v>42103</v>
      </c>
      <c r="M70" s="115">
        <v>137.88</v>
      </c>
      <c r="N70" s="115">
        <v>140.4</v>
      </c>
      <c r="O70" s="115">
        <v>137.4</v>
      </c>
      <c r="P70" s="115">
        <v>137.41</v>
      </c>
      <c r="Q70" s="115">
        <v>689.4</v>
      </c>
      <c r="R70">
        <v>2176</v>
      </c>
    </row>
    <row r="71" spans="1:18" x14ac:dyDescent="0.25">
      <c r="A71" s="169">
        <v>42104</v>
      </c>
      <c r="B71" s="115">
        <v>139.55000000000001</v>
      </c>
      <c r="C71" s="115">
        <v>138.80000000000001</v>
      </c>
      <c r="D71" s="115">
        <v>137</v>
      </c>
      <c r="E71" s="115">
        <v>138</v>
      </c>
      <c r="F71" s="115">
        <v>694</v>
      </c>
      <c r="G71">
        <v>3577</v>
      </c>
      <c r="H71" s="115"/>
      <c r="I71" s="115"/>
      <c r="L71" s="169">
        <v>42104</v>
      </c>
      <c r="M71" s="115">
        <v>138.43</v>
      </c>
      <c r="N71" s="115">
        <v>139.6</v>
      </c>
      <c r="O71" s="115">
        <v>137</v>
      </c>
      <c r="P71" s="115">
        <v>137.24</v>
      </c>
      <c r="Q71" s="115">
        <v>692.15</v>
      </c>
      <c r="R71">
        <v>3091</v>
      </c>
    </row>
    <row r="72" spans="1:18" x14ac:dyDescent="0.25">
      <c r="A72" s="169">
        <v>42107</v>
      </c>
      <c r="B72" s="115">
        <v>142.55000000000001</v>
      </c>
      <c r="C72" s="115">
        <v>139.19999999999999</v>
      </c>
      <c r="D72" s="115">
        <v>138.05000000000001</v>
      </c>
      <c r="E72" s="115">
        <v>142.4</v>
      </c>
      <c r="F72" s="115">
        <v>696</v>
      </c>
      <c r="G72">
        <v>2258</v>
      </c>
      <c r="H72" s="115"/>
      <c r="I72" s="115"/>
      <c r="L72" s="169">
        <v>42107</v>
      </c>
      <c r="M72" s="115">
        <v>139.01</v>
      </c>
      <c r="N72" s="115">
        <v>142.19999999999999</v>
      </c>
      <c r="O72" s="115">
        <v>137.19999999999999</v>
      </c>
      <c r="P72" s="115">
        <v>137.19999999999999</v>
      </c>
      <c r="Q72" s="115">
        <v>695.05</v>
      </c>
      <c r="R72">
        <v>31007</v>
      </c>
    </row>
    <row r="73" spans="1:18" x14ac:dyDescent="0.25">
      <c r="A73" s="169">
        <v>42109</v>
      </c>
      <c r="B73" s="115">
        <v>142</v>
      </c>
      <c r="C73" s="115">
        <v>138.15</v>
      </c>
      <c r="D73" s="115">
        <v>136.65</v>
      </c>
      <c r="E73" s="115">
        <v>141.15</v>
      </c>
      <c r="F73" s="115">
        <v>690.75</v>
      </c>
      <c r="G73">
        <v>714</v>
      </c>
      <c r="H73" s="115"/>
      <c r="I73" s="115"/>
      <c r="L73" s="169">
        <v>42109</v>
      </c>
      <c r="M73" s="115">
        <v>137.6</v>
      </c>
      <c r="N73" s="115">
        <v>142.6</v>
      </c>
      <c r="O73" s="115">
        <v>137.4</v>
      </c>
      <c r="P73" s="115">
        <v>140.80000000000001</v>
      </c>
      <c r="Q73" s="115">
        <v>688</v>
      </c>
      <c r="R73">
        <v>6876</v>
      </c>
    </row>
    <row r="74" spans="1:18" x14ac:dyDescent="0.25">
      <c r="A74" s="169">
        <v>42110</v>
      </c>
      <c r="B74" s="115">
        <v>138.6</v>
      </c>
      <c r="C74" s="115">
        <v>136.75</v>
      </c>
      <c r="D74" s="115">
        <v>136.35</v>
      </c>
      <c r="E74" s="115">
        <v>138.6</v>
      </c>
      <c r="F74" s="115">
        <v>683.75</v>
      </c>
      <c r="G74">
        <v>596</v>
      </c>
      <c r="H74" s="115"/>
      <c r="I74" s="115"/>
      <c r="L74" s="169">
        <v>42110</v>
      </c>
      <c r="M74" s="115">
        <v>137.37</v>
      </c>
      <c r="N74" s="115">
        <v>139.38999999999999</v>
      </c>
      <c r="O74" s="115">
        <v>136.41</v>
      </c>
      <c r="P74" s="115">
        <v>138</v>
      </c>
      <c r="Q74" s="115">
        <v>686.85</v>
      </c>
      <c r="R74">
        <v>2197</v>
      </c>
    </row>
    <row r="75" spans="1:18" x14ac:dyDescent="0.25">
      <c r="A75" s="169">
        <v>42111</v>
      </c>
      <c r="B75" s="115">
        <v>139</v>
      </c>
      <c r="C75" s="115">
        <v>135.30000000000001</v>
      </c>
      <c r="D75" s="115">
        <v>135.19999999999999</v>
      </c>
      <c r="E75" s="115">
        <v>139</v>
      </c>
      <c r="F75" s="115">
        <v>676.5</v>
      </c>
      <c r="G75">
        <v>803</v>
      </c>
      <c r="H75" s="115"/>
      <c r="I75" s="115"/>
      <c r="L75" s="169">
        <v>42111</v>
      </c>
      <c r="M75" s="115">
        <v>135.38</v>
      </c>
      <c r="N75" s="115">
        <v>138</v>
      </c>
      <c r="O75" s="115">
        <v>134.79</v>
      </c>
      <c r="P75" s="115">
        <v>138</v>
      </c>
      <c r="Q75" s="115">
        <v>676.9</v>
      </c>
      <c r="R75">
        <v>1816</v>
      </c>
    </row>
    <row r="76" spans="1:18" x14ac:dyDescent="0.25">
      <c r="A76" s="169">
        <v>42114</v>
      </c>
      <c r="B76" s="115">
        <v>136.30000000000001</v>
      </c>
      <c r="C76" s="115">
        <v>130.05000000000001</v>
      </c>
      <c r="D76" s="115">
        <v>129.69999999999999</v>
      </c>
      <c r="E76" s="115">
        <v>135.65</v>
      </c>
      <c r="F76" s="115">
        <v>650.25</v>
      </c>
      <c r="G76">
        <v>4483</v>
      </c>
      <c r="H76" s="115"/>
      <c r="I76" s="115"/>
      <c r="L76" s="169">
        <v>42114</v>
      </c>
      <c r="M76" s="115">
        <v>130.96</v>
      </c>
      <c r="N76" s="115">
        <v>137.58000000000001</v>
      </c>
      <c r="O76" s="115">
        <v>130</v>
      </c>
      <c r="P76" s="115">
        <v>136</v>
      </c>
      <c r="Q76" s="115">
        <v>654.79999999999995</v>
      </c>
      <c r="R76">
        <v>2885</v>
      </c>
    </row>
    <row r="77" spans="1:18" x14ac:dyDescent="0.25">
      <c r="A77" s="169">
        <v>42115</v>
      </c>
      <c r="B77" s="115">
        <v>135.30000000000001</v>
      </c>
      <c r="C77" s="115">
        <v>131.44999999999999</v>
      </c>
      <c r="D77" s="115">
        <v>130</v>
      </c>
      <c r="E77" s="115">
        <v>130</v>
      </c>
      <c r="F77" s="115">
        <v>657.25</v>
      </c>
      <c r="G77">
        <v>4267</v>
      </c>
      <c r="H77" s="115"/>
      <c r="I77" s="115"/>
      <c r="L77" s="169">
        <v>42115</v>
      </c>
      <c r="M77" s="115">
        <v>131.25</v>
      </c>
      <c r="N77" s="115">
        <v>134.97999999999999</v>
      </c>
      <c r="O77" s="115">
        <v>130</v>
      </c>
      <c r="P77" s="115">
        <v>131.80000000000001</v>
      </c>
      <c r="Q77" s="115">
        <v>656.25</v>
      </c>
      <c r="R77">
        <v>4735</v>
      </c>
    </row>
    <row r="78" spans="1:18" x14ac:dyDescent="0.25">
      <c r="A78" s="169">
        <v>42116</v>
      </c>
      <c r="B78" s="115">
        <v>139.55000000000001</v>
      </c>
      <c r="C78" s="115">
        <v>130.55000000000001</v>
      </c>
      <c r="D78" s="115">
        <v>126.2</v>
      </c>
      <c r="E78" s="115">
        <v>133.6</v>
      </c>
      <c r="F78" s="115">
        <v>652.75</v>
      </c>
      <c r="G78">
        <v>12491</v>
      </c>
      <c r="H78" s="115"/>
      <c r="I78" s="115"/>
      <c r="L78" s="169">
        <v>42116</v>
      </c>
      <c r="M78" s="115">
        <v>129.38</v>
      </c>
      <c r="N78" s="115">
        <v>139.19999999999999</v>
      </c>
      <c r="O78" s="115">
        <v>126.4</v>
      </c>
      <c r="P78" s="115">
        <v>130.21</v>
      </c>
      <c r="Q78" s="115">
        <v>646.9</v>
      </c>
      <c r="R78">
        <v>41416</v>
      </c>
    </row>
    <row r="79" spans="1:18" x14ac:dyDescent="0.25">
      <c r="A79" s="169">
        <v>42117</v>
      </c>
      <c r="B79" s="115">
        <v>128</v>
      </c>
      <c r="C79" s="115">
        <v>123.4</v>
      </c>
      <c r="D79" s="115">
        <v>120.2</v>
      </c>
      <c r="E79" s="115">
        <v>127</v>
      </c>
      <c r="F79" s="115">
        <v>617</v>
      </c>
      <c r="G79">
        <v>10619</v>
      </c>
      <c r="H79" s="115"/>
      <c r="I79" s="115"/>
      <c r="L79" s="169">
        <v>42117</v>
      </c>
      <c r="M79" s="115">
        <v>123.43</v>
      </c>
      <c r="N79" s="115">
        <v>128</v>
      </c>
      <c r="O79" s="115">
        <v>120.05</v>
      </c>
      <c r="P79" s="115">
        <v>128</v>
      </c>
      <c r="Q79" s="115">
        <v>617.15</v>
      </c>
      <c r="R79">
        <v>36444</v>
      </c>
    </row>
    <row r="80" spans="1:18" x14ac:dyDescent="0.25">
      <c r="A80" s="169">
        <v>42118</v>
      </c>
      <c r="B80" s="115">
        <v>123.8</v>
      </c>
      <c r="C80" s="115">
        <v>120.15</v>
      </c>
      <c r="D80" s="115">
        <v>120</v>
      </c>
      <c r="E80" s="115">
        <v>123.8</v>
      </c>
      <c r="F80" s="115">
        <v>600.75</v>
      </c>
      <c r="G80">
        <v>1410</v>
      </c>
      <c r="H80" s="115"/>
      <c r="I80" s="115"/>
      <c r="L80" s="169">
        <v>42118</v>
      </c>
      <c r="M80" s="115">
        <v>120.32</v>
      </c>
      <c r="N80" s="115">
        <v>124.79</v>
      </c>
      <c r="O80" s="115">
        <v>120</v>
      </c>
      <c r="P80" s="115">
        <v>124</v>
      </c>
      <c r="Q80" s="115">
        <v>601.6</v>
      </c>
      <c r="R80">
        <v>5803</v>
      </c>
    </row>
    <row r="81" spans="1:18" x14ac:dyDescent="0.25">
      <c r="A81" s="169">
        <v>42121</v>
      </c>
      <c r="B81" s="115">
        <v>120.6</v>
      </c>
      <c r="C81" s="115">
        <v>115.75</v>
      </c>
      <c r="D81" s="115">
        <v>114</v>
      </c>
      <c r="E81" s="115">
        <v>120.6</v>
      </c>
      <c r="F81" s="115">
        <v>578.75</v>
      </c>
      <c r="G81">
        <v>2839</v>
      </c>
      <c r="H81" s="115"/>
      <c r="I81" s="115"/>
      <c r="L81" s="169">
        <v>42121</v>
      </c>
      <c r="M81" s="115">
        <v>115.44</v>
      </c>
      <c r="N81" s="115">
        <v>122.99</v>
      </c>
      <c r="O81" s="115">
        <v>113</v>
      </c>
      <c r="P81" s="115">
        <v>122.98</v>
      </c>
      <c r="Q81" s="115">
        <v>577.20000000000005</v>
      </c>
      <c r="R81">
        <v>5570</v>
      </c>
    </row>
    <row r="82" spans="1:18" x14ac:dyDescent="0.25">
      <c r="A82" s="169">
        <v>42122</v>
      </c>
      <c r="B82" s="115">
        <v>119.5</v>
      </c>
      <c r="C82" s="115">
        <v>117.35</v>
      </c>
      <c r="D82" s="115">
        <v>112</v>
      </c>
      <c r="E82" s="115">
        <v>114.6</v>
      </c>
      <c r="F82" s="115">
        <v>586.75</v>
      </c>
      <c r="G82">
        <v>3132</v>
      </c>
      <c r="H82" s="115"/>
      <c r="I82" s="115"/>
      <c r="L82" s="169">
        <v>42122</v>
      </c>
      <c r="M82" s="115">
        <v>116.82</v>
      </c>
      <c r="N82" s="115">
        <v>119.4</v>
      </c>
      <c r="O82" s="115">
        <v>112</v>
      </c>
      <c r="P82" s="115">
        <v>114.99</v>
      </c>
      <c r="Q82" s="115">
        <v>584.1</v>
      </c>
      <c r="R82">
        <v>6717</v>
      </c>
    </row>
    <row r="83" spans="1:18" x14ac:dyDescent="0.25">
      <c r="A83" s="169">
        <v>42123</v>
      </c>
      <c r="B83" s="115">
        <v>120.4</v>
      </c>
      <c r="C83" s="115">
        <v>117.3</v>
      </c>
      <c r="D83" s="115">
        <v>114</v>
      </c>
      <c r="E83" s="115">
        <v>117.95</v>
      </c>
      <c r="F83" s="115">
        <v>586.5</v>
      </c>
      <c r="G83">
        <v>4025</v>
      </c>
      <c r="H83" s="115"/>
      <c r="I83" s="115"/>
      <c r="L83" s="169">
        <v>42123</v>
      </c>
      <c r="M83" s="115">
        <v>117.1</v>
      </c>
      <c r="N83" s="115">
        <v>120.78</v>
      </c>
      <c r="O83" s="115">
        <v>112.25</v>
      </c>
      <c r="P83" s="115">
        <v>115</v>
      </c>
      <c r="Q83" s="115">
        <v>585.5</v>
      </c>
      <c r="R83">
        <v>6938</v>
      </c>
    </row>
    <row r="84" spans="1:18" x14ac:dyDescent="0.25">
      <c r="A84" s="169">
        <v>42124</v>
      </c>
      <c r="B84" s="115">
        <v>116.6</v>
      </c>
      <c r="C84" s="115">
        <v>113.9</v>
      </c>
      <c r="D84" s="115">
        <v>113.6</v>
      </c>
      <c r="E84" s="115">
        <v>115</v>
      </c>
      <c r="F84" s="115">
        <v>569.5</v>
      </c>
      <c r="G84">
        <v>4036</v>
      </c>
      <c r="H84" s="115"/>
      <c r="I84" s="115"/>
      <c r="L84" s="169">
        <v>42124</v>
      </c>
      <c r="M84" s="115">
        <v>113.71</v>
      </c>
      <c r="N84" s="115">
        <v>116.98</v>
      </c>
      <c r="O84" s="115">
        <v>113.2</v>
      </c>
      <c r="P84" s="115">
        <v>114.6</v>
      </c>
      <c r="Q84" s="115">
        <v>568.54999999999995</v>
      </c>
      <c r="R84">
        <v>3449</v>
      </c>
    </row>
    <row r="85" spans="1:18" x14ac:dyDescent="0.25">
      <c r="A85" s="169">
        <v>42128</v>
      </c>
      <c r="B85" s="115">
        <v>116.4</v>
      </c>
      <c r="C85" s="115">
        <v>114.75</v>
      </c>
      <c r="D85" s="115">
        <v>114.1</v>
      </c>
      <c r="E85" s="115">
        <v>115.95</v>
      </c>
      <c r="F85" s="115">
        <v>573.75</v>
      </c>
      <c r="G85">
        <v>2378</v>
      </c>
      <c r="H85" s="115"/>
      <c r="I85" s="115"/>
      <c r="L85" s="169">
        <v>42128</v>
      </c>
      <c r="M85" s="115">
        <v>114.95</v>
      </c>
      <c r="N85" s="115">
        <v>117.6</v>
      </c>
      <c r="O85" s="115">
        <v>113.72</v>
      </c>
      <c r="P85" s="115">
        <v>113.72</v>
      </c>
      <c r="Q85" s="115">
        <v>574.75</v>
      </c>
      <c r="R85">
        <v>2077</v>
      </c>
    </row>
    <row r="86" spans="1:18" x14ac:dyDescent="0.25">
      <c r="A86" s="169">
        <v>42129</v>
      </c>
      <c r="B86" s="115">
        <v>116.85</v>
      </c>
      <c r="C86" s="115">
        <v>114.3</v>
      </c>
      <c r="D86" s="115">
        <v>114.05</v>
      </c>
      <c r="E86" s="115">
        <v>115</v>
      </c>
      <c r="F86" s="115">
        <v>571.5</v>
      </c>
      <c r="G86">
        <v>1428</v>
      </c>
      <c r="H86" s="115"/>
      <c r="I86" s="115"/>
      <c r="L86" s="169">
        <v>42129</v>
      </c>
      <c r="M86" s="115">
        <v>114.66</v>
      </c>
      <c r="N86" s="115">
        <v>117.33</v>
      </c>
      <c r="O86" s="115">
        <v>114.2</v>
      </c>
      <c r="P86" s="115">
        <v>114.49</v>
      </c>
      <c r="Q86" s="115">
        <v>573.29999999999995</v>
      </c>
      <c r="R86">
        <v>1813</v>
      </c>
    </row>
    <row r="87" spans="1:18" x14ac:dyDescent="0.25">
      <c r="A87" s="169">
        <v>42130</v>
      </c>
      <c r="B87" s="115">
        <v>125.4</v>
      </c>
      <c r="C87" s="115">
        <v>113.8</v>
      </c>
      <c r="D87" s="115">
        <v>113</v>
      </c>
      <c r="E87" s="115">
        <v>114.75</v>
      </c>
      <c r="F87" s="115">
        <v>569</v>
      </c>
      <c r="G87">
        <v>2046</v>
      </c>
      <c r="H87" s="115"/>
      <c r="I87" s="115"/>
      <c r="L87" s="169">
        <v>42130</v>
      </c>
      <c r="M87" s="115">
        <v>113.34</v>
      </c>
      <c r="N87" s="115">
        <v>133</v>
      </c>
      <c r="O87" s="115">
        <v>112.6</v>
      </c>
      <c r="P87" s="115">
        <v>114.3</v>
      </c>
      <c r="Q87" s="115">
        <v>566.70000000000005</v>
      </c>
      <c r="R87">
        <v>5319</v>
      </c>
    </row>
    <row r="88" spans="1:18" x14ac:dyDescent="0.25">
      <c r="A88" s="169">
        <v>42131</v>
      </c>
      <c r="B88" s="115">
        <v>116.35</v>
      </c>
      <c r="C88" s="115">
        <v>111</v>
      </c>
      <c r="D88" s="115">
        <v>109.65</v>
      </c>
      <c r="E88" s="115">
        <v>114.8</v>
      </c>
      <c r="F88" s="115">
        <v>555</v>
      </c>
      <c r="G88">
        <v>2386</v>
      </c>
      <c r="H88" s="115"/>
      <c r="I88" s="115"/>
      <c r="L88" s="169">
        <v>42131</v>
      </c>
      <c r="M88" s="115">
        <v>111.47</v>
      </c>
      <c r="N88" s="115">
        <v>117.59</v>
      </c>
      <c r="O88" s="115">
        <v>109.41</v>
      </c>
      <c r="P88" s="115">
        <v>113.3</v>
      </c>
      <c r="Q88" s="115">
        <v>557.35</v>
      </c>
      <c r="R88">
        <v>14399</v>
      </c>
    </row>
    <row r="89" spans="1:18" x14ac:dyDescent="0.25">
      <c r="A89" s="169">
        <v>42132</v>
      </c>
      <c r="B89" s="115">
        <v>115</v>
      </c>
      <c r="C89" s="115">
        <v>114.25</v>
      </c>
      <c r="D89" s="115">
        <v>111.9</v>
      </c>
      <c r="E89" s="115">
        <v>112.25</v>
      </c>
      <c r="F89" s="115">
        <v>571.25</v>
      </c>
      <c r="G89">
        <v>2080</v>
      </c>
      <c r="H89" s="115"/>
      <c r="I89" s="115"/>
      <c r="L89" s="169">
        <v>42132</v>
      </c>
      <c r="M89" s="115">
        <v>113.68</v>
      </c>
      <c r="N89" s="115">
        <v>114.69</v>
      </c>
      <c r="O89" s="115">
        <v>109.6</v>
      </c>
      <c r="P89" s="115">
        <v>109.6</v>
      </c>
      <c r="Q89" s="115">
        <v>568.4</v>
      </c>
      <c r="R89">
        <v>2039</v>
      </c>
    </row>
    <row r="90" spans="1:18" x14ac:dyDescent="0.25">
      <c r="A90" s="169">
        <v>42135</v>
      </c>
      <c r="B90" s="115">
        <v>115.2</v>
      </c>
      <c r="C90" s="115">
        <v>113.55</v>
      </c>
      <c r="D90" s="115">
        <v>113.3</v>
      </c>
      <c r="E90" s="115">
        <v>114.35</v>
      </c>
      <c r="F90" s="115">
        <v>567.75</v>
      </c>
      <c r="G90">
        <v>797</v>
      </c>
      <c r="H90" s="115"/>
      <c r="I90" s="115"/>
      <c r="L90" s="169">
        <v>42135</v>
      </c>
      <c r="M90" s="115">
        <v>114.03</v>
      </c>
      <c r="N90" s="115">
        <v>116.8</v>
      </c>
      <c r="O90" s="115">
        <v>109.1</v>
      </c>
      <c r="P90" s="115">
        <v>109.1</v>
      </c>
      <c r="Q90" s="115">
        <v>570.15</v>
      </c>
      <c r="R90">
        <v>2343</v>
      </c>
    </row>
    <row r="91" spans="1:18" x14ac:dyDescent="0.25">
      <c r="A91" s="169">
        <v>42136</v>
      </c>
      <c r="B91" s="115">
        <v>115</v>
      </c>
      <c r="C91" s="115">
        <v>114.1</v>
      </c>
      <c r="D91" s="115">
        <v>112</v>
      </c>
      <c r="E91" s="115">
        <v>113</v>
      </c>
      <c r="F91" s="115">
        <v>570.5</v>
      </c>
      <c r="G91">
        <v>709</v>
      </c>
      <c r="H91" s="115"/>
      <c r="I91" s="115"/>
      <c r="L91" s="169">
        <v>42136</v>
      </c>
      <c r="M91" s="115">
        <v>113.05</v>
      </c>
      <c r="N91" s="115">
        <v>114</v>
      </c>
      <c r="O91" s="115">
        <v>112.01</v>
      </c>
      <c r="P91" s="115">
        <v>112.5</v>
      </c>
      <c r="Q91" s="115">
        <v>565.25</v>
      </c>
      <c r="R91">
        <v>9394</v>
      </c>
    </row>
    <row r="92" spans="1:18" x14ac:dyDescent="0.25">
      <c r="A92" s="169">
        <v>42137</v>
      </c>
      <c r="B92" s="115">
        <v>116</v>
      </c>
      <c r="C92" s="115">
        <v>115.5</v>
      </c>
      <c r="D92" s="115">
        <v>114</v>
      </c>
      <c r="E92" s="115">
        <v>114.9</v>
      </c>
      <c r="F92" s="115">
        <v>577.5</v>
      </c>
      <c r="G92">
        <v>593</v>
      </c>
      <c r="H92" s="115"/>
      <c r="I92" s="115"/>
      <c r="L92" s="169">
        <v>42137</v>
      </c>
      <c r="M92" s="115">
        <v>115.29</v>
      </c>
      <c r="N92" s="115">
        <v>115.8</v>
      </c>
      <c r="O92" s="115">
        <v>114.99</v>
      </c>
      <c r="P92" s="115">
        <v>115.8</v>
      </c>
      <c r="Q92" s="115">
        <v>576.45000000000005</v>
      </c>
      <c r="R92">
        <v>12805</v>
      </c>
    </row>
    <row r="93" spans="1:18" x14ac:dyDescent="0.25">
      <c r="A93" s="169">
        <v>42138</v>
      </c>
      <c r="B93" s="115">
        <v>117</v>
      </c>
      <c r="C93" s="115">
        <v>115.85</v>
      </c>
      <c r="D93" s="115">
        <v>112.6</v>
      </c>
      <c r="E93" s="115">
        <v>113</v>
      </c>
      <c r="F93" s="115">
        <v>579.25</v>
      </c>
      <c r="G93">
        <v>255</v>
      </c>
      <c r="H93" s="115"/>
      <c r="I93" s="115"/>
      <c r="L93" s="169">
        <v>42138</v>
      </c>
      <c r="M93" s="115">
        <v>116.23</v>
      </c>
      <c r="N93" s="115">
        <v>117.6</v>
      </c>
      <c r="O93" s="115">
        <v>112.6</v>
      </c>
      <c r="P93" s="115">
        <v>112.8</v>
      </c>
      <c r="Q93" s="115">
        <v>581.15</v>
      </c>
      <c r="R93">
        <v>1479</v>
      </c>
    </row>
    <row r="94" spans="1:18" x14ac:dyDescent="0.25">
      <c r="A94" s="169">
        <v>42139</v>
      </c>
      <c r="B94" s="115">
        <v>116.8</v>
      </c>
      <c r="C94" s="115">
        <v>116.1</v>
      </c>
      <c r="D94" s="115">
        <v>114.15</v>
      </c>
      <c r="E94" s="115">
        <v>115.85</v>
      </c>
      <c r="F94" s="115">
        <v>580.5</v>
      </c>
      <c r="G94">
        <v>298</v>
      </c>
      <c r="H94" s="115"/>
      <c r="I94" s="115"/>
      <c r="L94" s="169">
        <v>42139</v>
      </c>
      <c r="M94" s="115">
        <v>115.8</v>
      </c>
      <c r="N94" s="115">
        <v>117.98</v>
      </c>
      <c r="O94" s="115">
        <v>113.4</v>
      </c>
      <c r="P94" s="115">
        <v>113.4</v>
      </c>
      <c r="Q94" s="115">
        <v>579</v>
      </c>
      <c r="R94">
        <v>1206</v>
      </c>
    </row>
    <row r="95" spans="1:18" x14ac:dyDescent="0.25">
      <c r="A95" s="169">
        <v>42142</v>
      </c>
      <c r="B95" s="115">
        <v>115</v>
      </c>
      <c r="C95" s="115">
        <v>112.8</v>
      </c>
      <c r="D95" s="115">
        <v>111.5</v>
      </c>
      <c r="E95" s="115">
        <v>115</v>
      </c>
      <c r="F95" s="115">
        <v>564</v>
      </c>
      <c r="G95">
        <v>1140</v>
      </c>
      <c r="H95" s="115"/>
      <c r="I95" s="115"/>
      <c r="L95" s="169">
        <v>42142</v>
      </c>
      <c r="M95" s="115">
        <v>112.04</v>
      </c>
      <c r="N95" s="115">
        <v>116</v>
      </c>
      <c r="O95" s="115">
        <v>110.94</v>
      </c>
      <c r="P95" s="115">
        <v>116</v>
      </c>
      <c r="Q95" s="115">
        <v>560.20000000000005</v>
      </c>
      <c r="R95">
        <v>13332</v>
      </c>
    </row>
    <row r="96" spans="1:18" x14ac:dyDescent="0.25">
      <c r="A96" s="169">
        <v>42143</v>
      </c>
      <c r="B96" s="115">
        <v>115.45</v>
      </c>
      <c r="C96" s="115">
        <v>112.85</v>
      </c>
      <c r="D96" s="115">
        <v>112.6</v>
      </c>
      <c r="E96" s="115">
        <v>113</v>
      </c>
      <c r="F96" s="115">
        <v>564.25</v>
      </c>
      <c r="G96">
        <v>1084</v>
      </c>
      <c r="H96" s="115"/>
      <c r="I96" s="115"/>
      <c r="L96" s="169">
        <v>42143</v>
      </c>
      <c r="M96" s="115">
        <v>113</v>
      </c>
      <c r="N96" s="115">
        <v>114.99</v>
      </c>
      <c r="O96" s="115">
        <v>112.6</v>
      </c>
      <c r="P96" s="115">
        <v>113.01</v>
      </c>
      <c r="Q96" s="115">
        <v>565</v>
      </c>
      <c r="R96">
        <v>5133</v>
      </c>
    </row>
    <row r="97" spans="1:18" x14ac:dyDescent="0.25">
      <c r="A97" s="169">
        <v>42144</v>
      </c>
      <c r="B97" s="115">
        <v>116.6</v>
      </c>
      <c r="C97" s="115">
        <v>114.25</v>
      </c>
      <c r="D97" s="115">
        <v>113.3</v>
      </c>
      <c r="E97" s="115">
        <v>114.05</v>
      </c>
      <c r="F97" s="115">
        <v>571.25</v>
      </c>
      <c r="G97">
        <v>900</v>
      </c>
      <c r="H97" s="115"/>
      <c r="I97" s="115"/>
      <c r="L97" s="169">
        <v>42144</v>
      </c>
      <c r="M97" s="115">
        <v>114.15</v>
      </c>
      <c r="N97" s="115">
        <v>116.77</v>
      </c>
      <c r="O97" s="115">
        <v>113.22</v>
      </c>
      <c r="P97" s="115">
        <v>113.22</v>
      </c>
      <c r="Q97" s="115">
        <v>570.75</v>
      </c>
      <c r="R97">
        <v>14183</v>
      </c>
    </row>
    <row r="98" spans="1:18" x14ac:dyDescent="0.25">
      <c r="A98" s="169">
        <v>42145</v>
      </c>
      <c r="B98" s="115">
        <v>115.45</v>
      </c>
      <c r="C98" s="115">
        <v>114</v>
      </c>
      <c r="D98" s="115">
        <v>114</v>
      </c>
      <c r="E98" s="115">
        <v>115</v>
      </c>
      <c r="F98" s="115">
        <v>570</v>
      </c>
      <c r="G98">
        <v>121</v>
      </c>
      <c r="H98" s="115"/>
      <c r="I98" s="115"/>
      <c r="L98" s="169">
        <v>42145</v>
      </c>
      <c r="M98" s="115">
        <v>114.01</v>
      </c>
      <c r="N98" s="115">
        <v>115.2</v>
      </c>
      <c r="O98" s="115">
        <v>113.99</v>
      </c>
      <c r="P98" s="115">
        <v>114.41</v>
      </c>
      <c r="Q98" s="115">
        <v>570.04999999999995</v>
      </c>
      <c r="R98">
        <v>1117</v>
      </c>
    </row>
    <row r="99" spans="1:18" x14ac:dyDescent="0.25">
      <c r="A99" s="169">
        <v>42146</v>
      </c>
      <c r="B99" s="115">
        <v>118</v>
      </c>
      <c r="C99" s="115">
        <v>116.65</v>
      </c>
      <c r="D99" s="115">
        <v>113.6</v>
      </c>
      <c r="E99" s="115">
        <v>113.6</v>
      </c>
      <c r="F99" s="115">
        <v>583.25</v>
      </c>
      <c r="G99">
        <v>934</v>
      </c>
      <c r="H99" s="115"/>
      <c r="I99" s="115"/>
      <c r="L99" s="169">
        <v>42146</v>
      </c>
      <c r="M99" s="115">
        <v>117.21</v>
      </c>
      <c r="N99" s="115">
        <v>118.6</v>
      </c>
      <c r="O99" s="115">
        <v>112.89</v>
      </c>
      <c r="P99" s="115">
        <v>114.01</v>
      </c>
      <c r="Q99" s="115">
        <v>586.04999999999995</v>
      </c>
      <c r="R99">
        <v>7001</v>
      </c>
    </row>
    <row r="100" spans="1:18" x14ac:dyDescent="0.25">
      <c r="A100" s="169">
        <v>42149</v>
      </c>
      <c r="B100" s="115">
        <v>121.1</v>
      </c>
      <c r="C100" s="115">
        <v>119.2</v>
      </c>
      <c r="D100" s="115">
        <v>114.2</v>
      </c>
      <c r="E100" s="115">
        <v>116.8</v>
      </c>
      <c r="F100" s="115">
        <v>596</v>
      </c>
      <c r="G100">
        <v>806</v>
      </c>
      <c r="H100" s="115"/>
      <c r="I100" s="115"/>
      <c r="L100" s="169">
        <v>42149</v>
      </c>
      <c r="M100" s="115">
        <v>119.32</v>
      </c>
      <c r="N100" s="115">
        <v>121.77</v>
      </c>
      <c r="O100" s="115">
        <v>114.61</v>
      </c>
      <c r="P100" s="115">
        <v>115.41</v>
      </c>
      <c r="Q100" s="115">
        <v>596.6</v>
      </c>
      <c r="R100">
        <v>4560</v>
      </c>
    </row>
    <row r="101" spans="1:18" x14ac:dyDescent="0.25">
      <c r="A101" s="169">
        <v>42150</v>
      </c>
      <c r="B101" s="115">
        <v>120.6</v>
      </c>
      <c r="C101" s="115">
        <v>118.6</v>
      </c>
      <c r="D101" s="115">
        <v>117.4</v>
      </c>
      <c r="E101" s="115">
        <v>117.9</v>
      </c>
      <c r="F101" s="115">
        <v>593</v>
      </c>
      <c r="G101">
        <v>603</v>
      </c>
      <c r="H101" s="115"/>
      <c r="I101" s="115"/>
      <c r="L101" s="169">
        <v>42150</v>
      </c>
      <c r="M101" s="115">
        <v>118.46</v>
      </c>
      <c r="N101" s="115">
        <v>120.39</v>
      </c>
      <c r="O101" s="115">
        <v>114</v>
      </c>
      <c r="P101" s="115">
        <v>120</v>
      </c>
      <c r="Q101" s="115">
        <v>592.29999999999995</v>
      </c>
      <c r="R101">
        <v>3371</v>
      </c>
    </row>
    <row r="102" spans="1:18" x14ac:dyDescent="0.25">
      <c r="A102" s="169">
        <v>42151</v>
      </c>
      <c r="B102" s="115">
        <v>121.4</v>
      </c>
      <c r="C102" s="115">
        <v>115.25</v>
      </c>
      <c r="D102" s="115">
        <v>112.9</v>
      </c>
      <c r="E102" s="115">
        <v>118.1</v>
      </c>
      <c r="F102" s="115">
        <v>576.25</v>
      </c>
      <c r="G102">
        <v>644</v>
      </c>
      <c r="H102" s="115"/>
      <c r="I102" s="115"/>
      <c r="L102" s="169">
        <v>42151</v>
      </c>
      <c r="M102" s="115">
        <v>115.53</v>
      </c>
      <c r="N102" s="115">
        <v>120.7</v>
      </c>
      <c r="O102" s="115">
        <v>114.43</v>
      </c>
      <c r="P102" s="115">
        <v>120</v>
      </c>
      <c r="Q102" s="115">
        <v>577.65</v>
      </c>
      <c r="R102">
        <v>2303</v>
      </c>
    </row>
    <row r="103" spans="1:18" x14ac:dyDescent="0.25">
      <c r="A103" s="169">
        <v>42152</v>
      </c>
      <c r="B103" s="115">
        <v>118</v>
      </c>
      <c r="C103" s="115">
        <v>114.35</v>
      </c>
      <c r="D103" s="115">
        <v>114</v>
      </c>
      <c r="E103" s="115">
        <v>117</v>
      </c>
      <c r="F103" s="115">
        <v>571.75</v>
      </c>
      <c r="G103">
        <v>637</v>
      </c>
      <c r="H103" s="115"/>
      <c r="I103" s="115"/>
      <c r="L103" s="169">
        <v>42152</v>
      </c>
      <c r="M103" s="115">
        <v>114.62</v>
      </c>
      <c r="N103" s="115">
        <v>119.29</v>
      </c>
      <c r="O103" s="115">
        <v>114.43</v>
      </c>
      <c r="P103" s="115">
        <v>117.6</v>
      </c>
      <c r="Q103" s="115">
        <v>573.1</v>
      </c>
      <c r="R103">
        <v>2640</v>
      </c>
    </row>
    <row r="104" spans="1:18" x14ac:dyDescent="0.25">
      <c r="A104" s="169">
        <v>42153</v>
      </c>
      <c r="B104" s="115">
        <v>117</v>
      </c>
      <c r="C104" s="115">
        <v>113.9</v>
      </c>
      <c r="D104" s="115">
        <v>113.65</v>
      </c>
      <c r="E104" s="115">
        <v>116.9</v>
      </c>
      <c r="F104" s="115">
        <v>569.5</v>
      </c>
      <c r="G104">
        <v>1504</v>
      </c>
      <c r="H104" s="115"/>
      <c r="I104" s="115"/>
      <c r="L104" s="169">
        <v>42153</v>
      </c>
      <c r="M104" s="115">
        <v>114.95</v>
      </c>
      <c r="N104" s="115">
        <v>116.97</v>
      </c>
      <c r="O104" s="115">
        <v>114.1</v>
      </c>
      <c r="P104" s="115">
        <v>116.01</v>
      </c>
      <c r="Q104" s="115">
        <v>574.75</v>
      </c>
      <c r="R104">
        <v>1606</v>
      </c>
    </row>
    <row r="105" spans="1:18" x14ac:dyDescent="0.25">
      <c r="A105" s="169">
        <v>42156</v>
      </c>
      <c r="B105" s="115">
        <v>116.4</v>
      </c>
      <c r="C105" s="115">
        <v>114.85</v>
      </c>
      <c r="D105" s="115">
        <v>114</v>
      </c>
      <c r="E105" s="115">
        <v>114.95</v>
      </c>
      <c r="F105" s="115">
        <v>574.25</v>
      </c>
      <c r="G105">
        <v>2469</v>
      </c>
      <c r="H105" s="115"/>
      <c r="I105" s="115"/>
      <c r="L105" s="169">
        <v>42156</v>
      </c>
      <c r="M105" s="115">
        <v>114.7</v>
      </c>
      <c r="N105" s="115">
        <v>117.6</v>
      </c>
      <c r="O105" s="115">
        <v>112.8</v>
      </c>
      <c r="P105" s="115">
        <v>112.8</v>
      </c>
      <c r="Q105" s="115">
        <v>573.5</v>
      </c>
      <c r="R105">
        <v>1988</v>
      </c>
    </row>
    <row r="106" spans="1:18" x14ac:dyDescent="0.25">
      <c r="A106" s="169">
        <v>42157</v>
      </c>
      <c r="B106" s="115">
        <v>115.6</v>
      </c>
      <c r="C106" s="115">
        <v>115.35</v>
      </c>
      <c r="D106" s="115">
        <v>113.4</v>
      </c>
      <c r="E106" s="115">
        <v>115.55</v>
      </c>
      <c r="F106" s="115">
        <v>576.75</v>
      </c>
      <c r="G106">
        <v>778</v>
      </c>
      <c r="H106" s="115"/>
      <c r="I106" s="115"/>
      <c r="L106" s="169">
        <v>42157</v>
      </c>
      <c r="M106" s="115">
        <v>114.14</v>
      </c>
      <c r="N106" s="115">
        <v>115.4</v>
      </c>
      <c r="O106" s="115">
        <v>113.5</v>
      </c>
      <c r="P106" s="115">
        <v>114.3</v>
      </c>
      <c r="Q106" s="115">
        <v>570.70000000000005</v>
      </c>
      <c r="R106">
        <v>1721</v>
      </c>
    </row>
    <row r="107" spans="1:18" x14ac:dyDescent="0.25">
      <c r="A107" s="169">
        <v>42158</v>
      </c>
      <c r="B107" s="115">
        <v>113</v>
      </c>
      <c r="C107" s="115">
        <v>113</v>
      </c>
      <c r="D107" s="115">
        <v>111.4</v>
      </c>
      <c r="E107" s="115">
        <v>113</v>
      </c>
      <c r="F107" s="115">
        <v>565</v>
      </c>
      <c r="G107">
        <v>314</v>
      </c>
      <c r="H107" s="115"/>
      <c r="I107" s="115"/>
      <c r="L107" s="169">
        <v>42158</v>
      </c>
      <c r="M107" s="115">
        <v>113.1</v>
      </c>
      <c r="N107" s="115">
        <v>113.7</v>
      </c>
      <c r="O107" s="115">
        <v>110.41</v>
      </c>
      <c r="P107" s="115">
        <v>113</v>
      </c>
      <c r="Q107" s="115">
        <v>565.5</v>
      </c>
      <c r="R107">
        <v>3381</v>
      </c>
    </row>
    <row r="108" spans="1:18" x14ac:dyDescent="0.25">
      <c r="A108" s="169">
        <v>42159</v>
      </c>
      <c r="B108" s="115">
        <v>114.85</v>
      </c>
      <c r="C108" s="115">
        <v>110.15</v>
      </c>
      <c r="D108" s="115">
        <v>110</v>
      </c>
      <c r="E108" s="115">
        <v>114</v>
      </c>
      <c r="F108" s="115">
        <v>550.75</v>
      </c>
      <c r="G108">
        <v>491</v>
      </c>
      <c r="H108" s="115"/>
      <c r="I108" s="115"/>
      <c r="L108" s="169">
        <v>42159</v>
      </c>
      <c r="M108" s="115">
        <v>110.26</v>
      </c>
      <c r="N108" s="115">
        <v>118</v>
      </c>
      <c r="O108" s="115">
        <v>109.2</v>
      </c>
      <c r="P108" s="115">
        <v>114.2</v>
      </c>
      <c r="Q108" s="115">
        <v>551.29999999999995</v>
      </c>
      <c r="R108">
        <v>3509</v>
      </c>
    </row>
    <row r="109" spans="1:18" x14ac:dyDescent="0.25">
      <c r="A109" s="169">
        <v>42160</v>
      </c>
      <c r="B109" s="115">
        <v>118</v>
      </c>
      <c r="C109" s="115">
        <v>116.1</v>
      </c>
      <c r="D109" s="115">
        <v>110.2</v>
      </c>
      <c r="E109" s="115">
        <v>111</v>
      </c>
      <c r="F109" s="115">
        <v>580.5</v>
      </c>
      <c r="G109">
        <v>2083</v>
      </c>
      <c r="H109" s="115"/>
      <c r="I109" s="115"/>
      <c r="L109" s="169">
        <v>42160</v>
      </c>
      <c r="M109" s="115">
        <v>116.36</v>
      </c>
      <c r="N109" s="115">
        <v>118.4</v>
      </c>
      <c r="O109" s="115">
        <v>109.72</v>
      </c>
      <c r="P109" s="115">
        <v>112.08</v>
      </c>
      <c r="Q109" s="115">
        <v>581.79999999999995</v>
      </c>
      <c r="R109">
        <v>10257</v>
      </c>
    </row>
    <row r="110" spans="1:18" x14ac:dyDescent="0.25">
      <c r="A110" s="169">
        <v>42163</v>
      </c>
      <c r="B110" s="115">
        <v>117.8</v>
      </c>
      <c r="C110" s="115">
        <v>114.4</v>
      </c>
      <c r="D110" s="115">
        <v>114.25</v>
      </c>
      <c r="E110" s="115">
        <v>117.8</v>
      </c>
      <c r="F110" s="115">
        <v>572</v>
      </c>
      <c r="G110">
        <v>353</v>
      </c>
      <c r="H110" s="115"/>
      <c r="I110" s="115"/>
      <c r="L110" s="169">
        <v>42163</v>
      </c>
      <c r="M110" s="115">
        <v>114.98</v>
      </c>
      <c r="N110" s="115">
        <v>118.99</v>
      </c>
      <c r="O110" s="115">
        <v>114.01</v>
      </c>
      <c r="P110" s="115">
        <v>118.46</v>
      </c>
      <c r="Q110" s="115">
        <v>574.9</v>
      </c>
      <c r="R110">
        <v>3426</v>
      </c>
    </row>
    <row r="111" spans="1:18" x14ac:dyDescent="0.25">
      <c r="A111" s="169">
        <v>42164</v>
      </c>
      <c r="B111" s="115">
        <v>114.9</v>
      </c>
      <c r="C111" s="115">
        <v>114.05</v>
      </c>
      <c r="D111" s="115">
        <v>112.6</v>
      </c>
      <c r="E111" s="115">
        <v>114</v>
      </c>
      <c r="F111" s="115">
        <v>570.25</v>
      </c>
      <c r="G111">
        <v>1252</v>
      </c>
      <c r="H111" s="115"/>
      <c r="I111" s="115"/>
      <c r="L111" s="169">
        <v>42164</v>
      </c>
      <c r="M111" s="115">
        <v>112.78</v>
      </c>
      <c r="N111" s="115">
        <v>115.8</v>
      </c>
      <c r="O111" s="115">
        <v>111.64</v>
      </c>
      <c r="P111" s="115">
        <v>114</v>
      </c>
      <c r="Q111" s="115">
        <v>563.9</v>
      </c>
      <c r="R111">
        <v>773</v>
      </c>
    </row>
    <row r="112" spans="1:18" x14ac:dyDescent="0.25">
      <c r="A112" s="169">
        <v>42165</v>
      </c>
      <c r="B112" s="115">
        <v>115</v>
      </c>
      <c r="C112" s="115">
        <v>113.45</v>
      </c>
      <c r="D112" s="115">
        <v>112.15</v>
      </c>
      <c r="E112" s="115">
        <v>113</v>
      </c>
      <c r="F112" s="115">
        <v>567.25</v>
      </c>
      <c r="G112">
        <v>658</v>
      </c>
      <c r="H112" s="115"/>
      <c r="I112" s="115"/>
      <c r="L112" s="169">
        <v>42165</v>
      </c>
      <c r="M112" s="115">
        <v>113.33</v>
      </c>
      <c r="N112" s="115">
        <v>114.5</v>
      </c>
      <c r="O112" s="115">
        <v>112</v>
      </c>
      <c r="P112" s="115">
        <v>112.2</v>
      </c>
      <c r="Q112" s="115">
        <v>566.65</v>
      </c>
      <c r="R112">
        <v>1631</v>
      </c>
    </row>
    <row r="113" spans="1:18" x14ac:dyDescent="0.25">
      <c r="A113" s="169">
        <v>42166</v>
      </c>
      <c r="B113" s="115">
        <v>114.95</v>
      </c>
      <c r="C113" s="115">
        <v>110.85</v>
      </c>
      <c r="D113" s="115">
        <v>110.8</v>
      </c>
      <c r="E113" s="115">
        <v>112</v>
      </c>
      <c r="F113" s="115">
        <v>554.25</v>
      </c>
      <c r="G113">
        <v>979</v>
      </c>
      <c r="H113" s="115"/>
      <c r="I113" s="115"/>
      <c r="L113" s="169">
        <v>42166</v>
      </c>
      <c r="M113" s="115">
        <v>111.48</v>
      </c>
      <c r="N113" s="115">
        <v>114.5</v>
      </c>
      <c r="O113" s="115">
        <v>111</v>
      </c>
      <c r="P113" s="115">
        <v>111.36</v>
      </c>
      <c r="Q113" s="115">
        <v>557.4</v>
      </c>
      <c r="R113">
        <v>2049</v>
      </c>
    </row>
    <row r="114" spans="1:18" x14ac:dyDescent="0.25">
      <c r="A114" s="169">
        <v>42167</v>
      </c>
      <c r="B114" s="115">
        <v>113.05</v>
      </c>
      <c r="C114" s="115">
        <v>111.45</v>
      </c>
      <c r="D114" s="115">
        <v>109.8</v>
      </c>
      <c r="E114" s="115">
        <v>111</v>
      </c>
      <c r="F114" s="115">
        <v>557.25</v>
      </c>
      <c r="G114">
        <v>995</v>
      </c>
      <c r="H114" s="115"/>
      <c r="I114" s="115"/>
      <c r="L114" s="169">
        <v>42167</v>
      </c>
      <c r="M114" s="115">
        <v>110.35</v>
      </c>
      <c r="N114" s="115">
        <v>113.3</v>
      </c>
      <c r="O114" s="115">
        <v>109.58</v>
      </c>
      <c r="P114" s="115">
        <v>110.39</v>
      </c>
      <c r="Q114" s="115">
        <v>551.75</v>
      </c>
      <c r="R114">
        <v>2204</v>
      </c>
    </row>
    <row r="115" spans="1:18" x14ac:dyDescent="0.25">
      <c r="A115" s="169">
        <v>42170</v>
      </c>
      <c r="B115" s="115">
        <v>130</v>
      </c>
      <c r="C115" s="115">
        <v>111.25</v>
      </c>
      <c r="D115" s="115">
        <v>110</v>
      </c>
      <c r="E115" s="115">
        <v>130</v>
      </c>
      <c r="F115" s="115">
        <v>556.25</v>
      </c>
      <c r="G115">
        <v>629</v>
      </c>
      <c r="H115" s="115"/>
      <c r="I115" s="115"/>
      <c r="L115" s="169">
        <v>42170</v>
      </c>
      <c r="M115" s="115">
        <v>110.98</v>
      </c>
      <c r="N115" s="115">
        <v>113.59</v>
      </c>
      <c r="O115" s="115">
        <v>110</v>
      </c>
      <c r="P115" s="115">
        <v>110.35</v>
      </c>
      <c r="Q115" s="115">
        <v>554.9</v>
      </c>
      <c r="R115">
        <v>1121</v>
      </c>
    </row>
    <row r="116" spans="1:18" x14ac:dyDescent="0.25">
      <c r="A116" s="169">
        <v>42171</v>
      </c>
      <c r="B116" s="115">
        <v>112.7</v>
      </c>
      <c r="C116" s="115">
        <v>111.55</v>
      </c>
      <c r="D116" s="115">
        <v>110.45</v>
      </c>
      <c r="E116" s="115">
        <v>111.15</v>
      </c>
      <c r="F116" s="115">
        <v>557.75</v>
      </c>
      <c r="G116">
        <v>646</v>
      </c>
      <c r="H116" s="115"/>
      <c r="I116" s="115"/>
      <c r="L116" s="169">
        <v>42171</v>
      </c>
      <c r="M116" s="115">
        <v>111.12</v>
      </c>
      <c r="N116" s="115">
        <v>112.79</v>
      </c>
      <c r="O116" s="115">
        <v>110.4</v>
      </c>
      <c r="P116" s="115">
        <v>112.79</v>
      </c>
      <c r="Q116" s="115">
        <v>555.6</v>
      </c>
      <c r="R116">
        <v>871</v>
      </c>
    </row>
    <row r="117" spans="1:18" x14ac:dyDescent="0.25">
      <c r="A117" s="169">
        <v>42172</v>
      </c>
      <c r="B117" s="115">
        <v>115</v>
      </c>
      <c r="C117" s="115">
        <v>112.3</v>
      </c>
      <c r="D117" s="115">
        <v>111</v>
      </c>
      <c r="E117" s="115">
        <v>111</v>
      </c>
      <c r="F117" s="115">
        <v>561.5</v>
      </c>
      <c r="G117">
        <v>2882</v>
      </c>
      <c r="H117" s="115"/>
      <c r="I117" s="115"/>
      <c r="L117" s="169">
        <v>42172</v>
      </c>
      <c r="M117" s="115">
        <v>111.42</v>
      </c>
      <c r="N117" s="115">
        <v>114.39</v>
      </c>
      <c r="O117" s="115">
        <v>110.7</v>
      </c>
      <c r="P117" s="115">
        <v>110.71</v>
      </c>
      <c r="Q117" s="115">
        <v>557.1</v>
      </c>
      <c r="R117">
        <v>2136</v>
      </c>
    </row>
    <row r="118" spans="1:18" x14ac:dyDescent="0.25">
      <c r="A118" s="169">
        <v>42173</v>
      </c>
      <c r="B118" s="115">
        <v>113.35</v>
      </c>
      <c r="C118" s="115">
        <v>112.05</v>
      </c>
      <c r="D118" s="115">
        <v>111</v>
      </c>
      <c r="E118" s="115">
        <v>111</v>
      </c>
      <c r="F118" s="115">
        <v>560.25</v>
      </c>
      <c r="G118">
        <v>1506</v>
      </c>
      <c r="H118" s="115"/>
      <c r="I118" s="115"/>
      <c r="L118" s="169">
        <v>42173</v>
      </c>
      <c r="M118" s="115">
        <v>111.96</v>
      </c>
      <c r="N118" s="115">
        <v>113.29</v>
      </c>
      <c r="O118" s="115">
        <v>111.2</v>
      </c>
      <c r="P118" s="115">
        <v>111.2</v>
      </c>
      <c r="Q118" s="115">
        <v>559.79999999999995</v>
      </c>
      <c r="R118">
        <v>1344</v>
      </c>
    </row>
    <row r="119" spans="1:18" x14ac:dyDescent="0.25">
      <c r="A119" s="169">
        <v>42174</v>
      </c>
      <c r="B119" s="115">
        <v>114.9</v>
      </c>
      <c r="C119" s="115">
        <v>113.75</v>
      </c>
      <c r="D119" s="115">
        <v>110</v>
      </c>
      <c r="E119" s="115">
        <v>112</v>
      </c>
      <c r="F119" s="115">
        <v>568.75</v>
      </c>
      <c r="G119">
        <v>993</v>
      </c>
      <c r="H119" s="115"/>
      <c r="I119" s="115"/>
      <c r="L119" s="169">
        <v>42174</v>
      </c>
      <c r="M119" s="115">
        <v>113.6</v>
      </c>
      <c r="N119" s="115">
        <v>116</v>
      </c>
      <c r="O119" s="115">
        <v>109.6</v>
      </c>
      <c r="P119" s="115">
        <v>112.01</v>
      </c>
      <c r="Q119" s="115">
        <v>568</v>
      </c>
      <c r="R119">
        <v>8443</v>
      </c>
    </row>
    <row r="120" spans="1:18" x14ac:dyDescent="0.25">
      <c r="A120" s="169">
        <v>42177</v>
      </c>
      <c r="B120" s="115">
        <v>114.5</v>
      </c>
      <c r="C120" s="115">
        <v>114.3</v>
      </c>
      <c r="D120" s="115">
        <v>111.05</v>
      </c>
      <c r="E120" s="115">
        <v>111.05</v>
      </c>
      <c r="F120" s="115">
        <v>571.5</v>
      </c>
      <c r="G120">
        <v>258</v>
      </c>
      <c r="H120" s="115"/>
      <c r="I120" s="115"/>
      <c r="L120" s="169">
        <v>42177</v>
      </c>
      <c r="M120" s="115">
        <v>114.01</v>
      </c>
      <c r="N120" s="115">
        <v>114.19</v>
      </c>
      <c r="O120" s="115">
        <v>111.66</v>
      </c>
      <c r="P120" s="115">
        <v>111.67</v>
      </c>
      <c r="Q120" s="115">
        <v>570.04999999999995</v>
      </c>
      <c r="R120">
        <v>415</v>
      </c>
    </row>
    <row r="121" spans="1:18" x14ac:dyDescent="0.25">
      <c r="A121" s="169">
        <v>42178</v>
      </c>
      <c r="B121" s="115">
        <v>117.95</v>
      </c>
      <c r="C121" s="115">
        <v>116.2</v>
      </c>
      <c r="D121" s="115">
        <v>112.8</v>
      </c>
      <c r="E121" s="115">
        <v>114.4</v>
      </c>
      <c r="F121" s="115">
        <v>581</v>
      </c>
      <c r="G121">
        <v>1076</v>
      </c>
      <c r="H121" s="115"/>
      <c r="I121" s="115"/>
      <c r="L121" s="169">
        <v>42178</v>
      </c>
      <c r="M121" s="115">
        <v>116.56</v>
      </c>
      <c r="N121" s="115">
        <v>117.8</v>
      </c>
      <c r="O121" s="115">
        <v>112.43</v>
      </c>
      <c r="P121" s="115">
        <v>112.43</v>
      </c>
      <c r="Q121" s="115">
        <v>582.79999999999995</v>
      </c>
      <c r="R121">
        <v>7353</v>
      </c>
    </row>
    <row r="122" spans="1:18" x14ac:dyDescent="0.25">
      <c r="A122" s="169">
        <v>42179</v>
      </c>
      <c r="B122" s="115">
        <v>117.95</v>
      </c>
      <c r="C122" s="115">
        <v>117.15</v>
      </c>
      <c r="D122" s="115">
        <v>115.6</v>
      </c>
      <c r="E122" s="115">
        <v>115.6</v>
      </c>
      <c r="F122" s="115">
        <v>585.75</v>
      </c>
      <c r="G122">
        <v>568</v>
      </c>
      <c r="H122" s="115"/>
      <c r="I122" s="115"/>
      <c r="L122" s="169">
        <v>42179</v>
      </c>
      <c r="M122" s="115">
        <v>116.57</v>
      </c>
      <c r="N122" s="115">
        <v>117.5</v>
      </c>
      <c r="O122" s="115">
        <v>116</v>
      </c>
      <c r="P122" s="115">
        <v>116.4</v>
      </c>
      <c r="Q122" s="115">
        <v>582.85</v>
      </c>
      <c r="R122">
        <v>515</v>
      </c>
    </row>
    <row r="123" spans="1:18" x14ac:dyDescent="0.25">
      <c r="A123" s="169">
        <v>42180</v>
      </c>
      <c r="B123" s="115">
        <v>118.4</v>
      </c>
      <c r="C123" s="115">
        <v>116.45</v>
      </c>
      <c r="D123" s="115">
        <v>115.6</v>
      </c>
      <c r="E123" s="115">
        <v>116.3</v>
      </c>
      <c r="F123" s="115">
        <v>582.25</v>
      </c>
      <c r="G123">
        <v>529</v>
      </c>
      <c r="H123" s="115"/>
      <c r="I123" s="115"/>
      <c r="L123" s="169">
        <v>42180</v>
      </c>
      <c r="M123" s="115">
        <v>116.12</v>
      </c>
      <c r="N123" s="115">
        <v>118</v>
      </c>
      <c r="O123" s="115">
        <v>115.25</v>
      </c>
      <c r="P123" s="115">
        <v>117.5</v>
      </c>
      <c r="Q123" s="115">
        <v>580.6</v>
      </c>
      <c r="R123">
        <v>667</v>
      </c>
    </row>
    <row r="124" spans="1:18" x14ac:dyDescent="0.25">
      <c r="A124" s="169">
        <v>42181</v>
      </c>
      <c r="B124" s="115">
        <v>118.3</v>
      </c>
      <c r="C124" s="115">
        <v>116</v>
      </c>
      <c r="D124" s="115">
        <v>115</v>
      </c>
      <c r="E124" s="115">
        <v>116</v>
      </c>
      <c r="F124" s="115">
        <v>580</v>
      </c>
      <c r="G124">
        <v>387</v>
      </c>
      <c r="H124" s="115"/>
      <c r="I124" s="115"/>
      <c r="L124" s="169">
        <v>42181</v>
      </c>
      <c r="M124" s="115">
        <v>116.04</v>
      </c>
      <c r="N124" s="115">
        <v>117.8</v>
      </c>
      <c r="O124" s="115">
        <v>114.99</v>
      </c>
      <c r="P124" s="115">
        <v>114.99</v>
      </c>
      <c r="Q124" s="115">
        <v>580.20000000000005</v>
      </c>
      <c r="R124">
        <v>946</v>
      </c>
    </row>
    <row r="125" spans="1:18" x14ac:dyDescent="0.25">
      <c r="A125" s="169">
        <v>42184</v>
      </c>
      <c r="B125" s="115">
        <v>118</v>
      </c>
      <c r="C125" s="115">
        <v>117.1</v>
      </c>
      <c r="D125" s="115">
        <v>112.6</v>
      </c>
      <c r="E125" s="115">
        <v>116.6</v>
      </c>
      <c r="F125" s="115">
        <v>585.5</v>
      </c>
      <c r="G125">
        <v>1154</v>
      </c>
      <c r="H125" s="115"/>
      <c r="I125" s="115"/>
      <c r="L125" s="169">
        <v>42184</v>
      </c>
      <c r="M125" s="115">
        <v>117.63</v>
      </c>
      <c r="N125" s="115">
        <v>118.39</v>
      </c>
      <c r="O125" s="115">
        <v>112.2</v>
      </c>
      <c r="P125" s="115">
        <v>116.2</v>
      </c>
      <c r="Q125" s="115">
        <v>588.15</v>
      </c>
      <c r="R125">
        <v>9611</v>
      </c>
    </row>
    <row r="126" spans="1:18" x14ac:dyDescent="0.25">
      <c r="A126" s="169">
        <v>42185</v>
      </c>
      <c r="B126" s="115">
        <v>124.8</v>
      </c>
      <c r="C126" s="115">
        <v>123.3</v>
      </c>
      <c r="D126" s="115">
        <v>114.75</v>
      </c>
      <c r="E126" s="115">
        <v>116</v>
      </c>
      <c r="F126" s="115">
        <v>616.5</v>
      </c>
      <c r="G126">
        <v>2779</v>
      </c>
      <c r="H126" s="115"/>
      <c r="I126" s="115"/>
      <c r="L126" s="169">
        <v>42185</v>
      </c>
      <c r="M126" s="115">
        <v>123.93</v>
      </c>
      <c r="N126" s="115">
        <v>125.18</v>
      </c>
      <c r="O126" s="115">
        <v>112.22</v>
      </c>
      <c r="P126" s="115">
        <v>116</v>
      </c>
      <c r="Q126" s="115">
        <v>619.65</v>
      </c>
      <c r="R126">
        <v>36631</v>
      </c>
    </row>
    <row r="127" spans="1:18" x14ac:dyDescent="0.25">
      <c r="A127" s="169">
        <v>42186</v>
      </c>
      <c r="B127" s="115">
        <v>124.4</v>
      </c>
      <c r="C127" s="115">
        <v>123.85</v>
      </c>
      <c r="D127" s="115">
        <v>121.4</v>
      </c>
      <c r="E127" s="115">
        <v>122.55</v>
      </c>
      <c r="F127" s="115">
        <v>619.25</v>
      </c>
      <c r="G127">
        <v>3561</v>
      </c>
      <c r="H127" s="115"/>
      <c r="I127" s="115"/>
      <c r="L127" s="169">
        <v>42186</v>
      </c>
      <c r="M127" s="115">
        <v>124.67</v>
      </c>
      <c r="N127" s="115">
        <v>125.78</v>
      </c>
      <c r="O127" s="115">
        <v>121.3</v>
      </c>
      <c r="P127" s="115">
        <v>125.78</v>
      </c>
      <c r="Q127" s="115">
        <v>623.35</v>
      </c>
      <c r="R127">
        <v>15223</v>
      </c>
    </row>
    <row r="128" spans="1:18" x14ac:dyDescent="0.25">
      <c r="A128" s="169">
        <v>42187</v>
      </c>
      <c r="B128" s="115">
        <v>124.6</v>
      </c>
      <c r="C128" s="115">
        <v>121.8</v>
      </c>
      <c r="D128" s="115">
        <v>121</v>
      </c>
      <c r="E128" s="115">
        <v>123.8</v>
      </c>
      <c r="F128" s="115">
        <v>609</v>
      </c>
      <c r="G128">
        <v>1797</v>
      </c>
      <c r="H128" s="115"/>
      <c r="I128" s="115"/>
      <c r="L128" s="169">
        <v>42187</v>
      </c>
      <c r="M128" s="115">
        <v>122.2</v>
      </c>
      <c r="N128" s="115">
        <v>124.92</v>
      </c>
      <c r="O128" s="115">
        <v>121.45</v>
      </c>
      <c r="P128" s="115">
        <v>122.24</v>
      </c>
      <c r="Q128" s="115">
        <v>611</v>
      </c>
      <c r="R128">
        <v>5111</v>
      </c>
    </row>
    <row r="129" spans="1:18" x14ac:dyDescent="0.25">
      <c r="A129" s="169">
        <v>42188</v>
      </c>
      <c r="B129" s="115">
        <v>124</v>
      </c>
      <c r="C129" s="115">
        <v>120.55</v>
      </c>
      <c r="D129" s="115">
        <v>120.35</v>
      </c>
      <c r="E129" s="115">
        <v>122</v>
      </c>
      <c r="F129" s="115">
        <v>602.75</v>
      </c>
      <c r="G129">
        <v>1665</v>
      </c>
      <c r="H129" s="115"/>
      <c r="I129" s="115"/>
      <c r="L129" s="169">
        <v>42188</v>
      </c>
      <c r="M129" s="115">
        <v>121.29</v>
      </c>
      <c r="N129" s="115">
        <v>124.08</v>
      </c>
      <c r="O129" s="115">
        <v>121</v>
      </c>
      <c r="P129" s="115">
        <v>122.4</v>
      </c>
      <c r="Q129" s="115">
        <v>606.45000000000005</v>
      </c>
      <c r="R129">
        <v>5472</v>
      </c>
    </row>
    <row r="130" spans="1:18" x14ac:dyDescent="0.25">
      <c r="A130" s="169">
        <v>42191</v>
      </c>
      <c r="B130" s="115">
        <v>127.35</v>
      </c>
      <c r="C130" s="115">
        <v>119.65</v>
      </c>
      <c r="D130" s="115">
        <v>119</v>
      </c>
      <c r="E130" s="115">
        <v>127.35</v>
      </c>
      <c r="F130" s="115">
        <v>598.25</v>
      </c>
      <c r="G130">
        <v>477</v>
      </c>
      <c r="H130" s="115"/>
      <c r="I130" s="115"/>
      <c r="L130" s="169">
        <v>42191</v>
      </c>
      <c r="M130" s="115">
        <v>120.22</v>
      </c>
      <c r="N130" s="115">
        <v>122.59</v>
      </c>
      <c r="O130" s="115">
        <v>118</v>
      </c>
      <c r="P130" s="115">
        <v>120.64</v>
      </c>
      <c r="Q130" s="115">
        <v>601.1</v>
      </c>
      <c r="R130">
        <v>1384</v>
      </c>
    </row>
    <row r="131" spans="1:18" x14ac:dyDescent="0.25">
      <c r="A131" s="169">
        <v>42192</v>
      </c>
      <c r="B131" s="115">
        <v>123.55</v>
      </c>
      <c r="C131" s="115">
        <v>120.5</v>
      </c>
      <c r="D131" s="115">
        <v>119.45</v>
      </c>
      <c r="E131" s="115">
        <v>119.45</v>
      </c>
      <c r="F131" s="115">
        <v>602.5</v>
      </c>
      <c r="G131">
        <v>1337</v>
      </c>
      <c r="H131" s="115"/>
      <c r="I131" s="115"/>
      <c r="L131" s="169">
        <v>42192</v>
      </c>
      <c r="M131" s="115">
        <v>121.99</v>
      </c>
      <c r="N131" s="115">
        <v>123.62</v>
      </c>
      <c r="O131" s="115">
        <v>114.2</v>
      </c>
      <c r="P131" s="115">
        <v>119</v>
      </c>
      <c r="Q131" s="115">
        <v>609.95000000000005</v>
      </c>
      <c r="R131">
        <v>2954</v>
      </c>
    </row>
    <row r="132" spans="1:18" x14ac:dyDescent="0.25">
      <c r="A132" s="169">
        <v>42193</v>
      </c>
      <c r="B132" s="115">
        <v>121.85</v>
      </c>
      <c r="C132" s="115">
        <v>119.65</v>
      </c>
      <c r="D132" s="115">
        <v>118.1</v>
      </c>
      <c r="E132" s="115">
        <v>120</v>
      </c>
      <c r="F132" s="115">
        <v>598.25</v>
      </c>
      <c r="G132">
        <v>551</v>
      </c>
      <c r="H132" s="115"/>
      <c r="I132" s="115"/>
      <c r="L132" s="169">
        <v>42193</v>
      </c>
      <c r="M132" s="115">
        <v>120.05</v>
      </c>
      <c r="N132" s="115">
        <v>121.6</v>
      </c>
      <c r="O132" s="115">
        <v>118.02</v>
      </c>
      <c r="P132" s="115">
        <v>119</v>
      </c>
      <c r="Q132" s="115">
        <v>600.25</v>
      </c>
      <c r="R132">
        <v>1704</v>
      </c>
    </row>
    <row r="133" spans="1:18" x14ac:dyDescent="0.25">
      <c r="A133" s="169">
        <v>42194</v>
      </c>
      <c r="B133" s="115">
        <v>121.2</v>
      </c>
      <c r="C133" s="115">
        <v>119.5</v>
      </c>
      <c r="D133" s="115">
        <v>116.3</v>
      </c>
      <c r="E133" s="115">
        <v>121.2</v>
      </c>
      <c r="F133" s="115">
        <v>597.5</v>
      </c>
      <c r="G133">
        <v>1730</v>
      </c>
      <c r="H133" s="115"/>
      <c r="I133" s="115"/>
      <c r="L133" s="169">
        <v>42194</v>
      </c>
      <c r="M133" s="115">
        <v>120.65</v>
      </c>
      <c r="N133" s="115">
        <v>121.9</v>
      </c>
      <c r="O133" s="115">
        <v>118.03</v>
      </c>
      <c r="P133" s="115">
        <v>121.9</v>
      </c>
      <c r="Q133" s="115">
        <v>603.25</v>
      </c>
      <c r="R133">
        <v>2444</v>
      </c>
    </row>
    <row r="134" spans="1:18" x14ac:dyDescent="0.25">
      <c r="A134" s="169">
        <v>42195</v>
      </c>
      <c r="B134" s="115">
        <v>121</v>
      </c>
      <c r="C134" s="115">
        <v>118.85</v>
      </c>
      <c r="D134" s="115">
        <v>118.5</v>
      </c>
      <c r="E134" s="115">
        <v>121</v>
      </c>
      <c r="F134" s="115">
        <v>594.25</v>
      </c>
      <c r="G134">
        <v>828</v>
      </c>
      <c r="H134" s="115"/>
      <c r="I134" s="115"/>
      <c r="L134" s="169">
        <v>42195</v>
      </c>
      <c r="M134" s="115">
        <v>120.01</v>
      </c>
      <c r="N134" s="115">
        <v>121</v>
      </c>
      <c r="O134" s="115">
        <v>118.79</v>
      </c>
      <c r="P134" s="115">
        <v>120.97</v>
      </c>
      <c r="Q134" s="115">
        <v>600.04999999999995</v>
      </c>
      <c r="R134">
        <v>2601</v>
      </c>
    </row>
    <row r="135" spans="1:18" x14ac:dyDescent="0.25">
      <c r="A135" s="169">
        <v>42198</v>
      </c>
      <c r="B135" s="115">
        <v>139</v>
      </c>
      <c r="C135" s="115">
        <v>121.55</v>
      </c>
      <c r="D135" s="115">
        <v>119</v>
      </c>
      <c r="E135" s="115">
        <v>139</v>
      </c>
      <c r="F135" s="115">
        <v>607.75</v>
      </c>
      <c r="G135">
        <v>1493</v>
      </c>
      <c r="H135" s="115"/>
      <c r="I135" s="115"/>
      <c r="L135" s="169">
        <v>42198</v>
      </c>
      <c r="M135" s="115">
        <v>120.97</v>
      </c>
      <c r="N135" s="115">
        <v>123</v>
      </c>
      <c r="O135" s="115">
        <v>118.98</v>
      </c>
      <c r="P135" s="115">
        <v>121.2</v>
      </c>
      <c r="Q135" s="115">
        <v>604.85</v>
      </c>
      <c r="R135">
        <v>2246</v>
      </c>
    </row>
    <row r="136" spans="1:18" x14ac:dyDescent="0.25">
      <c r="A136" s="169">
        <v>42199</v>
      </c>
      <c r="B136" s="115">
        <v>122.4</v>
      </c>
      <c r="C136" s="115">
        <v>120.15</v>
      </c>
      <c r="D136" s="115">
        <v>119.75</v>
      </c>
      <c r="E136" s="115">
        <v>121.3</v>
      </c>
      <c r="F136" s="115">
        <v>600.75</v>
      </c>
      <c r="G136">
        <v>624</v>
      </c>
      <c r="H136" s="115"/>
      <c r="I136" s="115"/>
      <c r="L136" s="169">
        <v>42199</v>
      </c>
      <c r="M136" s="115">
        <v>121.03</v>
      </c>
      <c r="N136" s="115">
        <v>123.6</v>
      </c>
      <c r="O136" s="115">
        <v>120.6</v>
      </c>
      <c r="P136" s="115">
        <v>122.76</v>
      </c>
      <c r="Q136" s="115">
        <v>605.15</v>
      </c>
      <c r="R136">
        <v>1511</v>
      </c>
    </row>
    <row r="137" spans="1:18" x14ac:dyDescent="0.25">
      <c r="A137" s="169">
        <v>42200</v>
      </c>
      <c r="B137" s="115">
        <v>121.9</v>
      </c>
      <c r="C137" s="115">
        <v>119.35</v>
      </c>
      <c r="D137" s="115">
        <v>119.05</v>
      </c>
      <c r="E137" s="115">
        <v>121</v>
      </c>
      <c r="F137" s="115">
        <v>596.75</v>
      </c>
      <c r="G137">
        <v>1805</v>
      </c>
      <c r="H137" s="115"/>
      <c r="I137" s="115"/>
      <c r="L137" s="169">
        <v>42200</v>
      </c>
      <c r="M137" s="115">
        <v>119.65</v>
      </c>
      <c r="N137" s="115">
        <v>121.59</v>
      </c>
      <c r="O137" s="115">
        <v>118.52</v>
      </c>
      <c r="P137" s="115">
        <v>120.81</v>
      </c>
      <c r="Q137" s="115">
        <v>598.25</v>
      </c>
      <c r="R137">
        <v>5506</v>
      </c>
    </row>
    <row r="138" spans="1:18" x14ac:dyDescent="0.25">
      <c r="A138" s="169">
        <v>42201</v>
      </c>
      <c r="B138" s="115">
        <v>123.5</v>
      </c>
      <c r="C138" s="115">
        <v>121.6</v>
      </c>
      <c r="D138" s="115">
        <v>120.6</v>
      </c>
      <c r="E138" s="115">
        <v>121</v>
      </c>
      <c r="F138" s="115">
        <v>608</v>
      </c>
      <c r="G138">
        <v>1020</v>
      </c>
      <c r="H138" s="115"/>
      <c r="I138" s="115"/>
      <c r="L138" s="169">
        <v>42201</v>
      </c>
      <c r="M138" s="115">
        <v>120.9</v>
      </c>
      <c r="N138" s="115">
        <v>122.7</v>
      </c>
      <c r="O138" s="115">
        <v>120.11</v>
      </c>
      <c r="P138" s="115">
        <v>120.11</v>
      </c>
      <c r="Q138" s="115">
        <v>604.5</v>
      </c>
      <c r="R138">
        <v>4765</v>
      </c>
    </row>
    <row r="139" spans="1:18" x14ac:dyDescent="0.25">
      <c r="A139" s="169">
        <v>42202</v>
      </c>
      <c r="B139" s="115">
        <v>122.95</v>
      </c>
      <c r="C139" s="115">
        <v>120.5</v>
      </c>
      <c r="D139" s="115">
        <v>119.65</v>
      </c>
      <c r="E139" s="115">
        <v>121.75</v>
      </c>
      <c r="F139" s="115">
        <v>602.5</v>
      </c>
      <c r="G139">
        <v>1165</v>
      </c>
      <c r="H139" s="115"/>
      <c r="I139" s="115"/>
      <c r="L139" s="169">
        <v>42202</v>
      </c>
      <c r="M139" s="115">
        <v>120.86</v>
      </c>
      <c r="N139" s="115">
        <v>122.46</v>
      </c>
      <c r="O139" s="115">
        <v>119</v>
      </c>
      <c r="P139" s="115">
        <v>121</v>
      </c>
      <c r="Q139" s="115">
        <v>604.29999999999995</v>
      </c>
      <c r="R139">
        <v>4403</v>
      </c>
    </row>
    <row r="140" spans="1:18" x14ac:dyDescent="0.25">
      <c r="A140" s="169">
        <v>42205</v>
      </c>
      <c r="B140" s="115">
        <v>121.7</v>
      </c>
      <c r="C140" s="115">
        <v>120.1</v>
      </c>
      <c r="D140" s="115">
        <v>119.3</v>
      </c>
      <c r="E140" s="115">
        <v>120.65</v>
      </c>
      <c r="F140" s="115">
        <v>600.5</v>
      </c>
      <c r="G140">
        <v>1037</v>
      </c>
      <c r="H140" s="115"/>
      <c r="I140" s="115"/>
      <c r="L140" s="169">
        <v>42205</v>
      </c>
      <c r="M140" s="115">
        <v>120.16</v>
      </c>
      <c r="N140" s="115">
        <v>121.89</v>
      </c>
      <c r="O140" s="115">
        <v>119.8</v>
      </c>
      <c r="P140" s="115">
        <v>121.19</v>
      </c>
      <c r="Q140" s="115">
        <v>600.79999999999995</v>
      </c>
      <c r="R140">
        <v>1867</v>
      </c>
    </row>
    <row r="141" spans="1:18" x14ac:dyDescent="0.25">
      <c r="A141" s="169">
        <v>42206</v>
      </c>
      <c r="B141" s="115">
        <v>120.5</v>
      </c>
      <c r="C141" s="115">
        <v>118.05</v>
      </c>
      <c r="D141" s="115">
        <v>117.45</v>
      </c>
      <c r="E141" s="115">
        <v>120.5</v>
      </c>
      <c r="F141" s="115">
        <v>590.25</v>
      </c>
      <c r="G141">
        <v>282</v>
      </c>
      <c r="H141" s="115"/>
      <c r="I141" s="115"/>
      <c r="L141" s="169">
        <v>42206</v>
      </c>
      <c r="M141" s="115">
        <v>118.19</v>
      </c>
      <c r="N141" s="115">
        <v>121.59</v>
      </c>
      <c r="O141" s="115">
        <v>117.2</v>
      </c>
      <c r="P141" s="115">
        <v>121.59</v>
      </c>
      <c r="Q141" s="115">
        <v>590.95000000000005</v>
      </c>
      <c r="R141">
        <v>1624</v>
      </c>
    </row>
    <row r="142" spans="1:18" x14ac:dyDescent="0.25">
      <c r="A142" s="169">
        <v>42207</v>
      </c>
      <c r="B142" s="115">
        <v>120</v>
      </c>
      <c r="C142" s="115">
        <v>119.5</v>
      </c>
      <c r="D142" s="115">
        <v>118.1</v>
      </c>
      <c r="E142" s="115">
        <v>119</v>
      </c>
      <c r="F142" s="115">
        <v>597.5</v>
      </c>
      <c r="G142">
        <v>739</v>
      </c>
      <c r="H142" s="115"/>
      <c r="I142" s="115"/>
      <c r="L142" s="169">
        <v>42207</v>
      </c>
      <c r="M142" s="115">
        <v>119.82</v>
      </c>
      <c r="N142" s="115">
        <v>120</v>
      </c>
      <c r="O142" s="115">
        <v>118.04</v>
      </c>
      <c r="P142" s="115">
        <v>118.04</v>
      </c>
      <c r="Q142" s="115">
        <v>599.1</v>
      </c>
      <c r="R142">
        <v>1900</v>
      </c>
    </row>
    <row r="143" spans="1:18" x14ac:dyDescent="0.25">
      <c r="A143" s="169">
        <v>42208</v>
      </c>
      <c r="B143" s="115">
        <v>124</v>
      </c>
      <c r="C143" s="115">
        <v>122.2</v>
      </c>
      <c r="D143" s="115">
        <v>119.5</v>
      </c>
      <c r="E143" s="115">
        <v>119.55</v>
      </c>
      <c r="F143" s="115">
        <v>611</v>
      </c>
      <c r="G143">
        <v>3124</v>
      </c>
      <c r="H143" s="115"/>
      <c r="I143" s="115"/>
      <c r="L143" s="169">
        <v>42208</v>
      </c>
      <c r="M143" s="115">
        <v>121.71</v>
      </c>
      <c r="N143" s="115">
        <v>123.6</v>
      </c>
      <c r="O143" s="115">
        <v>118.25</v>
      </c>
      <c r="P143" s="115">
        <v>119</v>
      </c>
      <c r="Q143" s="115">
        <v>608.54999999999995</v>
      </c>
      <c r="R143">
        <v>6561</v>
      </c>
    </row>
    <row r="144" spans="1:18" x14ac:dyDescent="0.25">
      <c r="A144" s="169">
        <v>42209</v>
      </c>
      <c r="B144" s="115">
        <v>124.4</v>
      </c>
      <c r="C144" s="115">
        <v>121.25</v>
      </c>
      <c r="D144" s="115">
        <v>119.65</v>
      </c>
      <c r="E144" s="115">
        <v>122.6</v>
      </c>
      <c r="F144" s="115">
        <v>606.25</v>
      </c>
      <c r="G144">
        <v>1303</v>
      </c>
      <c r="H144" s="115"/>
      <c r="I144" s="115"/>
      <c r="L144" s="169">
        <v>42209</v>
      </c>
      <c r="M144" s="115">
        <v>121.48</v>
      </c>
      <c r="N144" s="115">
        <v>124.4</v>
      </c>
      <c r="O144" s="115">
        <v>120.2</v>
      </c>
      <c r="P144" s="115">
        <v>122.4</v>
      </c>
      <c r="Q144" s="115">
        <v>607.4</v>
      </c>
      <c r="R144">
        <v>3073</v>
      </c>
    </row>
    <row r="145" spans="1:18" x14ac:dyDescent="0.25">
      <c r="A145" s="169">
        <v>42212</v>
      </c>
      <c r="B145" s="115">
        <v>124.2</v>
      </c>
      <c r="C145" s="115">
        <v>121.9</v>
      </c>
      <c r="D145" s="115">
        <v>120</v>
      </c>
      <c r="E145" s="115">
        <v>121.6</v>
      </c>
      <c r="F145" s="115">
        <v>609.5</v>
      </c>
      <c r="G145">
        <v>47096</v>
      </c>
      <c r="H145" s="115"/>
      <c r="I145" s="115"/>
      <c r="L145" s="169">
        <v>42212</v>
      </c>
      <c r="M145" s="115">
        <v>121.57</v>
      </c>
      <c r="N145" s="115">
        <v>124.8</v>
      </c>
      <c r="O145" s="115">
        <v>120.62</v>
      </c>
      <c r="P145" s="115">
        <v>121.8</v>
      </c>
      <c r="Q145" s="115">
        <v>607.85</v>
      </c>
      <c r="R145">
        <v>6598</v>
      </c>
    </row>
    <row r="146" spans="1:18" x14ac:dyDescent="0.25">
      <c r="A146" s="169">
        <v>42213</v>
      </c>
      <c r="B146" s="115">
        <v>124</v>
      </c>
      <c r="C146" s="115">
        <v>121.6</v>
      </c>
      <c r="D146" s="115">
        <v>120.05</v>
      </c>
      <c r="E146" s="115">
        <v>122.2</v>
      </c>
      <c r="F146" s="115">
        <v>608</v>
      </c>
      <c r="G146">
        <v>2632</v>
      </c>
      <c r="H146" s="115"/>
      <c r="I146" s="115"/>
      <c r="L146" s="169">
        <v>42213</v>
      </c>
      <c r="M146" s="115">
        <v>120.62</v>
      </c>
      <c r="N146" s="115">
        <v>123.6</v>
      </c>
      <c r="O146" s="115">
        <v>119.39</v>
      </c>
      <c r="P146" s="115">
        <v>121.42</v>
      </c>
      <c r="Q146" s="115">
        <v>603.1</v>
      </c>
      <c r="R146">
        <v>8569</v>
      </c>
    </row>
    <row r="147" spans="1:18" x14ac:dyDescent="0.25">
      <c r="A147" s="169">
        <v>42214</v>
      </c>
      <c r="B147" s="115">
        <v>123.4</v>
      </c>
      <c r="C147" s="115">
        <v>120.6</v>
      </c>
      <c r="D147" s="115">
        <v>119.45</v>
      </c>
      <c r="E147" s="115">
        <v>123</v>
      </c>
      <c r="F147" s="115">
        <v>603</v>
      </c>
      <c r="G147">
        <v>1546</v>
      </c>
      <c r="H147" s="115"/>
      <c r="I147" s="115"/>
      <c r="L147" s="169">
        <v>42214</v>
      </c>
      <c r="M147" s="115">
        <v>121.55</v>
      </c>
      <c r="N147" s="115">
        <v>123.2</v>
      </c>
      <c r="O147" s="115">
        <v>119.41</v>
      </c>
      <c r="P147" s="115">
        <v>122.79</v>
      </c>
      <c r="Q147" s="115">
        <v>607.75</v>
      </c>
      <c r="R147">
        <v>4322</v>
      </c>
    </row>
    <row r="148" spans="1:18" x14ac:dyDescent="0.25">
      <c r="A148" s="169">
        <v>42215</v>
      </c>
      <c r="B148" s="115">
        <v>127.6</v>
      </c>
      <c r="C148" s="115">
        <v>124.7</v>
      </c>
      <c r="D148" s="115">
        <v>120</v>
      </c>
      <c r="E148" s="115">
        <v>121</v>
      </c>
      <c r="F148" s="115">
        <v>623.5</v>
      </c>
      <c r="G148">
        <v>2470</v>
      </c>
      <c r="H148" s="115"/>
      <c r="I148" s="115"/>
      <c r="L148" s="169">
        <v>42215</v>
      </c>
      <c r="M148" s="115">
        <v>124.92</v>
      </c>
      <c r="N148" s="115">
        <v>127.42</v>
      </c>
      <c r="O148" s="115">
        <v>119.8</v>
      </c>
      <c r="P148" s="115">
        <v>121.48</v>
      </c>
      <c r="Q148" s="115">
        <v>624.6</v>
      </c>
      <c r="R148">
        <v>15435</v>
      </c>
    </row>
    <row r="149" spans="1:18" x14ac:dyDescent="0.25">
      <c r="A149" s="169">
        <v>42216</v>
      </c>
      <c r="B149" s="115">
        <v>127</v>
      </c>
      <c r="C149" s="115">
        <v>124.35</v>
      </c>
      <c r="D149" s="115">
        <v>124</v>
      </c>
      <c r="E149" s="115">
        <v>126</v>
      </c>
      <c r="F149" s="115">
        <v>621.75</v>
      </c>
      <c r="G149">
        <v>3202</v>
      </c>
      <c r="H149" s="115"/>
      <c r="I149" s="115"/>
      <c r="L149" s="169">
        <v>42216</v>
      </c>
      <c r="M149" s="115">
        <v>124.61</v>
      </c>
      <c r="N149" s="115">
        <v>127.4</v>
      </c>
      <c r="O149" s="115">
        <v>124</v>
      </c>
      <c r="P149" s="115">
        <v>125.91</v>
      </c>
      <c r="Q149" s="115">
        <v>623.04999999999995</v>
      </c>
      <c r="R149">
        <v>4638</v>
      </c>
    </row>
    <row r="150" spans="1:18" x14ac:dyDescent="0.25">
      <c r="A150" s="169">
        <v>42219</v>
      </c>
      <c r="B150" s="115">
        <v>125</v>
      </c>
      <c r="C150" s="115">
        <v>121.5</v>
      </c>
      <c r="D150" s="115">
        <v>120.6</v>
      </c>
      <c r="E150" s="115">
        <v>124.8</v>
      </c>
      <c r="F150" s="115">
        <v>607.5</v>
      </c>
      <c r="G150">
        <v>1616</v>
      </c>
      <c r="H150" s="115"/>
      <c r="I150" s="115"/>
      <c r="L150" s="169">
        <v>42219</v>
      </c>
      <c r="M150" s="115">
        <v>121.99</v>
      </c>
      <c r="N150" s="115">
        <v>125.51</v>
      </c>
      <c r="O150" s="115">
        <v>120.8</v>
      </c>
      <c r="P150" s="115">
        <v>125.1</v>
      </c>
      <c r="Q150" s="115">
        <v>609.95000000000005</v>
      </c>
      <c r="R150">
        <v>27247</v>
      </c>
    </row>
    <row r="151" spans="1:18" x14ac:dyDescent="0.25">
      <c r="A151" s="169">
        <v>42220</v>
      </c>
      <c r="B151" s="115">
        <v>126.95</v>
      </c>
      <c r="C151" s="115">
        <v>126.25</v>
      </c>
      <c r="D151" s="115">
        <v>122.8</v>
      </c>
      <c r="E151" s="115">
        <v>123.2</v>
      </c>
      <c r="F151" s="115">
        <v>631.25</v>
      </c>
      <c r="G151">
        <v>2433</v>
      </c>
      <c r="H151" s="115"/>
      <c r="I151" s="115"/>
      <c r="L151" s="169">
        <v>42220</v>
      </c>
      <c r="M151" s="115">
        <v>126.44</v>
      </c>
      <c r="N151" s="115">
        <v>127.01</v>
      </c>
      <c r="O151" s="115">
        <v>122.8</v>
      </c>
      <c r="P151" s="115">
        <v>123.96</v>
      </c>
      <c r="Q151" s="115">
        <v>632.20000000000005</v>
      </c>
      <c r="R151">
        <v>12092</v>
      </c>
    </row>
    <row r="152" spans="1:18" x14ac:dyDescent="0.25">
      <c r="A152" s="169">
        <v>42221</v>
      </c>
      <c r="B152" s="115">
        <v>129.75</v>
      </c>
      <c r="C152" s="115">
        <v>128.35</v>
      </c>
      <c r="D152" s="115">
        <v>127</v>
      </c>
      <c r="E152" s="115">
        <v>127</v>
      </c>
      <c r="F152" s="115">
        <v>641.75</v>
      </c>
      <c r="G152">
        <v>2143</v>
      </c>
      <c r="H152" s="115"/>
      <c r="I152" s="115"/>
      <c r="L152" s="169">
        <v>42221</v>
      </c>
      <c r="M152" s="115">
        <v>128.53</v>
      </c>
      <c r="N152" s="115">
        <v>129.71</v>
      </c>
      <c r="O152" s="115">
        <v>126.99</v>
      </c>
      <c r="P152" s="115">
        <v>127</v>
      </c>
      <c r="Q152" s="115">
        <v>642.65</v>
      </c>
      <c r="R152">
        <v>12187</v>
      </c>
    </row>
    <row r="153" spans="1:18" x14ac:dyDescent="0.25">
      <c r="A153" s="169">
        <v>42222</v>
      </c>
      <c r="B153" s="115">
        <v>128</v>
      </c>
      <c r="C153" s="115">
        <v>124.9</v>
      </c>
      <c r="D153" s="115">
        <v>124.4</v>
      </c>
      <c r="E153" s="115">
        <v>128</v>
      </c>
      <c r="F153" s="115">
        <v>624.5</v>
      </c>
      <c r="G153">
        <v>1832</v>
      </c>
      <c r="H153" s="115"/>
      <c r="I153" s="115"/>
      <c r="L153" s="169">
        <v>42222</v>
      </c>
      <c r="M153" s="115">
        <v>125.58</v>
      </c>
      <c r="N153" s="115">
        <v>127.98</v>
      </c>
      <c r="O153" s="115">
        <v>125.2</v>
      </c>
      <c r="P153" s="115">
        <v>127.23</v>
      </c>
      <c r="Q153" s="115">
        <v>627.9</v>
      </c>
      <c r="R153">
        <v>7494</v>
      </c>
    </row>
    <row r="154" spans="1:18" x14ac:dyDescent="0.25">
      <c r="A154" s="169">
        <v>42223</v>
      </c>
      <c r="B154" s="115">
        <v>128.85</v>
      </c>
      <c r="C154" s="115">
        <v>124.2</v>
      </c>
      <c r="D154" s="115">
        <v>123.4</v>
      </c>
      <c r="E154" s="115">
        <v>125.9</v>
      </c>
      <c r="F154" s="115">
        <v>621</v>
      </c>
      <c r="G154">
        <v>3203</v>
      </c>
      <c r="H154" s="115"/>
      <c r="I154" s="115"/>
      <c r="L154" s="169">
        <v>42223</v>
      </c>
      <c r="M154" s="115">
        <v>124.37</v>
      </c>
      <c r="N154" s="115">
        <v>128.69999999999999</v>
      </c>
      <c r="O154" s="115">
        <v>123.84</v>
      </c>
      <c r="P154" s="115">
        <v>125.9</v>
      </c>
      <c r="Q154" s="115">
        <v>621.85</v>
      </c>
      <c r="R154">
        <v>6334</v>
      </c>
    </row>
    <row r="155" spans="1:18" x14ac:dyDescent="0.25">
      <c r="A155" s="169">
        <v>42226</v>
      </c>
      <c r="B155" s="115">
        <v>127.55</v>
      </c>
      <c r="C155" s="115">
        <v>126.8</v>
      </c>
      <c r="D155" s="115">
        <v>124.6</v>
      </c>
      <c r="E155" s="115">
        <v>124.95</v>
      </c>
      <c r="F155" s="115">
        <v>634</v>
      </c>
      <c r="G155">
        <v>4806</v>
      </c>
      <c r="H155" s="115"/>
      <c r="I155" s="115"/>
      <c r="L155" s="169">
        <v>42226</v>
      </c>
      <c r="M155" s="115">
        <v>125.67</v>
      </c>
      <c r="N155" s="115">
        <v>127.69</v>
      </c>
      <c r="O155" s="115">
        <v>123.86</v>
      </c>
      <c r="P155" s="115">
        <v>126.8</v>
      </c>
      <c r="Q155" s="115">
        <v>628.35</v>
      </c>
      <c r="R155">
        <v>4443</v>
      </c>
    </row>
    <row r="156" spans="1:18" x14ac:dyDescent="0.25">
      <c r="A156" s="169">
        <v>42227</v>
      </c>
      <c r="B156" s="115">
        <v>127</v>
      </c>
      <c r="C156" s="115">
        <v>121.7</v>
      </c>
      <c r="D156" s="115">
        <v>120.6</v>
      </c>
      <c r="E156" s="115">
        <v>125</v>
      </c>
      <c r="F156" s="115">
        <v>608.5</v>
      </c>
      <c r="G156">
        <v>1203</v>
      </c>
      <c r="H156" s="115"/>
      <c r="I156" s="115"/>
      <c r="L156" s="169">
        <v>42227</v>
      </c>
      <c r="M156" s="115">
        <v>122.21</v>
      </c>
      <c r="N156" s="115">
        <v>127.5</v>
      </c>
      <c r="O156" s="115">
        <v>121.22</v>
      </c>
      <c r="P156" s="115">
        <v>125.45</v>
      </c>
      <c r="Q156" s="115">
        <v>611.04999999999995</v>
      </c>
      <c r="R156">
        <v>6439</v>
      </c>
    </row>
    <row r="157" spans="1:18" x14ac:dyDescent="0.25">
      <c r="A157" s="169">
        <v>42228</v>
      </c>
      <c r="B157" s="115">
        <v>122.5</v>
      </c>
      <c r="C157" s="115">
        <v>119</v>
      </c>
      <c r="D157" s="115">
        <v>118.5</v>
      </c>
      <c r="E157" s="115">
        <v>122</v>
      </c>
      <c r="F157" s="115">
        <v>595</v>
      </c>
      <c r="G157">
        <v>730</v>
      </c>
      <c r="H157" s="115"/>
      <c r="I157" s="115"/>
      <c r="L157" s="169">
        <v>42228</v>
      </c>
      <c r="M157" s="115">
        <v>119.2</v>
      </c>
      <c r="N157" s="115">
        <v>123.21</v>
      </c>
      <c r="O157" s="115">
        <v>118.8</v>
      </c>
      <c r="P157" s="115">
        <v>123.21</v>
      </c>
      <c r="Q157" s="115">
        <v>596</v>
      </c>
      <c r="R157">
        <v>3027</v>
      </c>
    </row>
    <row r="158" spans="1:18" x14ac:dyDescent="0.25">
      <c r="A158" s="169">
        <v>42229</v>
      </c>
      <c r="B158" s="115">
        <v>121.8</v>
      </c>
      <c r="C158" s="115">
        <v>121.6</v>
      </c>
      <c r="D158" s="115">
        <v>120.4</v>
      </c>
      <c r="E158" s="115">
        <v>121.3</v>
      </c>
      <c r="F158" s="115">
        <v>608</v>
      </c>
      <c r="G158">
        <v>1583</v>
      </c>
      <c r="H158" s="115"/>
      <c r="I158" s="115"/>
      <c r="L158" s="169">
        <v>42229</v>
      </c>
      <c r="M158" s="115">
        <v>121.23</v>
      </c>
      <c r="N158" s="115">
        <v>122.77</v>
      </c>
      <c r="O158" s="115">
        <v>120.01</v>
      </c>
      <c r="P158" s="115">
        <v>120.59</v>
      </c>
      <c r="Q158" s="115">
        <v>606.15</v>
      </c>
      <c r="R158">
        <v>11542</v>
      </c>
    </row>
    <row r="159" spans="1:18" x14ac:dyDescent="0.25">
      <c r="A159" s="169">
        <v>42230</v>
      </c>
      <c r="B159" s="115">
        <v>127.6</v>
      </c>
      <c r="C159" s="115">
        <v>123.45</v>
      </c>
      <c r="D159" s="115">
        <v>119.25</v>
      </c>
      <c r="E159" s="115">
        <v>122</v>
      </c>
      <c r="F159" s="115">
        <v>617.25</v>
      </c>
      <c r="G159">
        <v>807</v>
      </c>
      <c r="H159" s="115"/>
      <c r="I159" s="115"/>
      <c r="L159" s="169">
        <v>42230</v>
      </c>
      <c r="M159" s="115">
        <v>123.37</v>
      </c>
      <c r="N159" s="115">
        <v>125.6</v>
      </c>
      <c r="O159" s="115">
        <v>120.22</v>
      </c>
      <c r="P159" s="115">
        <v>123.65</v>
      </c>
      <c r="Q159" s="115">
        <v>616.85</v>
      </c>
      <c r="R159">
        <v>3068</v>
      </c>
    </row>
    <row r="160" spans="1:18" x14ac:dyDescent="0.25">
      <c r="A160" s="169">
        <v>42233</v>
      </c>
      <c r="B160" s="115">
        <v>123.95</v>
      </c>
      <c r="C160" s="115">
        <v>121.85</v>
      </c>
      <c r="D160" s="115">
        <v>120.6</v>
      </c>
      <c r="E160" s="115">
        <v>122.25</v>
      </c>
      <c r="F160" s="115">
        <v>609.25</v>
      </c>
      <c r="G160">
        <v>1145</v>
      </c>
      <c r="H160" s="115"/>
      <c r="I160" s="115"/>
      <c r="L160" s="169">
        <v>42233</v>
      </c>
      <c r="M160" s="115">
        <v>121.8</v>
      </c>
      <c r="N160" s="115">
        <v>123.71</v>
      </c>
      <c r="O160" s="115">
        <v>121</v>
      </c>
      <c r="P160" s="115">
        <v>121.32</v>
      </c>
      <c r="Q160" s="115">
        <v>609</v>
      </c>
      <c r="R160">
        <v>37224</v>
      </c>
    </row>
    <row r="161" spans="1:18" x14ac:dyDescent="0.25">
      <c r="A161" s="169">
        <v>42234</v>
      </c>
      <c r="B161" s="115">
        <v>124.6</v>
      </c>
      <c r="C161" s="115">
        <v>120.3</v>
      </c>
      <c r="D161" s="115">
        <v>120</v>
      </c>
      <c r="E161" s="115">
        <v>124</v>
      </c>
      <c r="F161" s="115">
        <v>601.5</v>
      </c>
      <c r="G161">
        <v>1428</v>
      </c>
      <c r="H161" s="115"/>
      <c r="I161" s="115"/>
      <c r="L161" s="169">
        <v>42234</v>
      </c>
      <c r="M161" s="115">
        <v>120.73</v>
      </c>
      <c r="N161" s="115">
        <v>125.6</v>
      </c>
      <c r="O161" s="115">
        <v>120.04</v>
      </c>
      <c r="P161" s="115">
        <v>125.6</v>
      </c>
      <c r="Q161" s="115">
        <v>603.65</v>
      </c>
      <c r="R161">
        <v>1508</v>
      </c>
    </row>
    <row r="162" spans="1:18" x14ac:dyDescent="0.25">
      <c r="A162" s="169">
        <v>42235</v>
      </c>
      <c r="B162" s="115">
        <v>126.55</v>
      </c>
      <c r="C162" s="115">
        <v>124.2</v>
      </c>
      <c r="D162" s="115">
        <v>121.45</v>
      </c>
      <c r="E162" s="115">
        <v>121.6</v>
      </c>
      <c r="F162" s="115">
        <v>621</v>
      </c>
      <c r="G162">
        <v>5370</v>
      </c>
      <c r="H162" s="115"/>
      <c r="I162" s="115"/>
      <c r="L162" s="169">
        <v>42235</v>
      </c>
      <c r="M162" s="115">
        <v>124.07</v>
      </c>
      <c r="N162" s="115">
        <v>126.01</v>
      </c>
      <c r="O162" s="115">
        <v>121.04</v>
      </c>
      <c r="P162" s="115">
        <v>122.24</v>
      </c>
      <c r="Q162" s="115">
        <v>620.35</v>
      </c>
      <c r="R162">
        <v>29357</v>
      </c>
    </row>
    <row r="163" spans="1:18" x14ac:dyDescent="0.25">
      <c r="A163" s="169">
        <v>42236</v>
      </c>
      <c r="B163" s="115">
        <v>125.2</v>
      </c>
      <c r="C163" s="115">
        <v>121.8</v>
      </c>
      <c r="D163" s="115">
        <v>120.65</v>
      </c>
      <c r="E163" s="115">
        <v>124</v>
      </c>
      <c r="F163" s="115">
        <v>609</v>
      </c>
      <c r="G163">
        <v>796</v>
      </c>
      <c r="H163" s="115"/>
      <c r="I163" s="115"/>
      <c r="L163" s="169">
        <v>42236</v>
      </c>
      <c r="M163" s="115">
        <v>121.97</v>
      </c>
      <c r="N163" s="115">
        <v>125.01</v>
      </c>
      <c r="O163" s="115">
        <v>120.6</v>
      </c>
      <c r="P163" s="115">
        <v>123.82</v>
      </c>
      <c r="Q163" s="115">
        <v>609.85</v>
      </c>
      <c r="R163">
        <v>3417</v>
      </c>
    </row>
    <row r="164" spans="1:18" x14ac:dyDescent="0.25">
      <c r="A164" s="169">
        <v>42237</v>
      </c>
      <c r="B164" s="115">
        <v>124.6</v>
      </c>
      <c r="C164" s="115">
        <v>123.55</v>
      </c>
      <c r="D164" s="115">
        <v>119</v>
      </c>
      <c r="E164" s="115">
        <v>120</v>
      </c>
      <c r="F164" s="115">
        <v>617.75</v>
      </c>
      <c r="G164">
        <v>948</v>
      </c>
      <c r="H164" s="115"/>
      <c r="I164" s="115"/>
      <c r="L164" s="169">
        <v>42237</v>
      </c>
      <c r="M164" s="115">
        <v>123.7</v>
      </c>
      <c r="N164" s="115">
        <v>124.33</v>
      </c>
      <c r="O164" s="115">
        <v>118</v>
      </c>
      <c r="P164" s="115">
        <v>120.01</v>
      </c>
      <c r="Q164" s="115">
        <v>618.5</v>
      </c>
      <c r="R164">
        <v>7307</v>
      </c>
    </row>
    <row r="165" spans="1:18" x14ac:dyDescent="0.25">
      <c r="A165" s="169">
        <v>42240</v>
      </c>
      <c r="B165" s="115">
        <v>125</v>
      </c>
      <c r="C165" s="115">
        <v>116.85</v>
      </c>
      <c r="D165" s="115">
        <v>116.2</v>
      </c>
      <c r="E165" s="115">
        <v>120</v>
      </c>
      <c r="F165" s="115">
        <v>584.25</v>
      </c>
      <c r="G165">
        <v>2416</v>
      </c>
      <c r="H165" s="115"/>
      <c r="I165" s="115"/>
      <c r="L165" s="169">
        <v>42240</v>
      </c>
      <c r="M165" s="115">
        <v>117.7</v>
      </c>
      <c r="N165" s="115">
        <v>124.8</v>
      </c>
      <c r="O165" s="115">
        <v>115</v>
      </c>
      <c r="P165" s="115">
        <v>120.01</v>
      </c>
      <c r="Q165" s="115">
        <v>588.5</v>
      </c>
      <c r="R165">
        <v>25798</v>
      </c>
    </row>
    <row r="166" spans="1:18" x14ac:dyDescent="0.25">
      <c r="A166" s="169">
        <v>42241</v>
      </c>
      <c r="B166" s="115">
        <v>120.65</v>
      </c>
      <c r="C166" s="115">
        <v>115.85</v>
      </c>
      <c r="D166" s="115">
        <v>109.6</v>
      </c>
      <c r="E166" s="115">
        <v>117.75</v>
      </c>
      <c r="F166" s="115">
        <v>579.25</v>
      </c>
      <c r="G166">
        <v>3495</v>
      </c>
      <c r="H166" s="115"/>
      <c r="I166" s="115"/>
      <c r="L166" s="169">
        <v>42241</v>
      </c>
      <c r="M166" s="115">
        <v>116.18</v>
      </c>
      <c r="N166" s="115">
        <v>121.2</v>
      </c>
      <c r="O166" s="115">
        <v>110.03</v>
      </c>
      <c r="P166" s="115">
        <v>118.2</v>
      </c>
      <c r="Q166" s="115">
        <v>580.9</v>
      </c>
      <c r="R166">
        <v>4021</v>
      </c>
    </row>
    <row r="167" spans="1:18" x14ac:dyDescent="0.25">
      <c r="A167" s="169">
        <v>42242</v>
      </c>
      <c r="B167" s="115">
        <v>118</v>
      </c>
      <c r="C167" s="115">
        <v>114.8</v>
      </c>
      <c r="D167" s="115">
        <v>110</v>
      </c>
      <c r="E167" s="115">
        <v>112.1</v>
      </c>
      <c r="F167" s="115">
        <v>574</v>
      </c>
      <c r="G167">
        <v>248</v>
      </c>
      <c r="H167" s="115"/>
      <c r="I167" s="115"/>
      <c r="L167" s="169">
        <v>42242</v>
      </c>
      <c r="M167" s="115">
        <v>115.23</v>
      </c>
      <c r="N167" s="115">
        <v>118.99</v>
      </c>
      <c r="O167" s="115">
        <v>112.4</v>
      </c>
      <c r="P167" s="115">
        <v>112.41</v>
      </c>
      <c r="Q167" s="115">
        <v>576.15</v>
      </c>
      <c r="R167">
        <v>640</v>
      </c>
    </row>
    <row r="168" spans="1:18" x14ac:dyDescent="0.25">
      <c r="A168" s="169">
        <v>42243</v>
      </c>
      <c r="B168" s="115">
        <v>121.75</v>
      </c>
      <c r="C168" s="115">
        <v>121.05</v>
      </c>
      <c r="D168" s="115">
        <v>116.4</v>
      </c>
      <c r="E168" s="115">
        <v>118</v>
      </c>
      <c r="F168" s="115">
        <v>605.25</v>
      </c>
      <c r="G168">
        <v>725</v>
      </c>
      <c r="H168" s="115"/>
      <c r="I168" s="115"/>
      <c r="L168" s="169">
        <v>42243</v>
      </c>
      <c r="M168" s="115">
        <v>120.56</v>
      </c>
      <c r="N168" s="115">
        <v>122</v>
      </c>
      <c r="O168" s="115">
        <v>116.01</v>
      </c>
      <c r="P168" s="115">
        <v>119.8</v>
      </c>
      <c r="Q168" s="115">
        <v>602.79999999999995</v>
      </c>
      <c r="R168">
        <v>2966</v>
      </c>
    </row>
    <row r="169" spans="1:18" x14ac:dyDescent="0.25">
      <c r="A169" s="169">
        <v>42244</v>
      </c>
      <c r="B169" s="115">
        <v>125</v>
      </c>
      <c r="C169" s="115">
        <v>120.15</v>
      </c>
      <c r="D169" s="115">
        <v>119.8</v>
      </c>
      <c r="E169" s="115">
        <v>125</v>
      </c>
      <c r="F169" s="115">
        <v>600.75</v>
      </c>
      <c r="G169">
        <v>697</v>
      </c>
      <c r="H169" s="115"/>
      <c r="I169" s="115"/>
      <c r="L169" s="169">
        <v>42244</v>
      </c>
      <c r="M169" s="115">
        <v>120.8</v>
      </c>
      <c r="N169" s="115">
        <v>122.97</v>
      </c>
      <c r="O169" s="115">
        <v>119.8</v>
      </c>
      <c r="P169" s="115">
        <v>121.05</v>
      </c>
      <c r="Q169" s="115">
        <v>604</v>
      </c>
      <c r="R169">
        <v>2509</v>
      </c>
    </row>
    <row r="170" spans="1:18" x14ac:dyDescent="0.25">
      <c r="A170" s="169">
        <v>42247</v>
      </c>
      <c r="B170" s="115">
        <v>122</v>
      </c>
      <c r="C170" s="115">
        <v>119.65</v>
      </c>
      <c r="D170" s="115">
        <v>118.75</v>
      </c>
      <c r="E170" s="115">
        <v>121.2</v>
      </c>
      <c r="F170" s="115">
        <v>598.25</v>
      </c>
      <c r="G170">
        <v>2169</v>
      </c>
      <c r="H170" s="115"/>
      <c r="I170" s="115"/>
      <c r="L170" s="169">
        <v>42247</v>
      </c>
      <c r="M170" s="115">
        <v>119.37</v>
      </c>
      <c r="N170" s="115">
        <v>123.02</v>
      </c>
      <c r="O170" s="115">
        <v>118.63</v>
      </c>
      <c r="P170" s="115">
        <v>122.24</v>
      </c>
      <c r="Q170" s="115">
        <v>596.85</v>
      </c>
      <c r="R170">
        <v>3686</v>
      </c>
    </row>
    <row r="171" spans="1:18" x14ac:dyDescent="0.25">
      <c r="A171" s="169">
        <v>42248</v>
      </c>
      <c r="B171" s="115">
        <v>120</v>
      </c>
      <c r="C171" s="115">
        <v>115.35</v>
      </c>
      <c r="D171" s="115">
        <v>112.85</v>
      </c>
      <c r="E171" s="115">
        <v>119.9</v>
      </c>
      <c r="F171" s="115">
        <v>576.75</v>
      </c>
      <c r="G171">
        <v>26745</v>
      </c>
      <c r="H171" s="115"/>
      <c r="I171" s="115"/>
      <c r="L171" s="169">
        <v>42248</v>
      </c>
      <c r="M171" s="115">
        <v>115.16</v>
      </c>
      <c r="N171" s="115">
        <v>120.8</v>
      </c>
      <c r="O171" s="115">
        <v>113.2</v>
      </c>
      <c r="P171" s="115">
        <v>119.44</v>
      </c>
      <c r="Q171" s="115">
        <v>575.79999999999995</v>
      </c>
      <c r="R171">
        <v>2489</v>
      </c>
    </row>
    <row r="172" spans="1:18" x14ac:dyDescent="0.25">
      <c r="A172" s="169">
        <v>42249</v>
      </c>
      <c r="B172" s="115">
        <v>118.3</v>
      </c>
      <c r="C172" s="115">
        <v>112.7</v>
      </c>
      <c r="D172" s="115">
        <v>112</v>
      </c>
      <c r="E172" s="115">
        <v>114.2</v>
      </c>
      <c r="F172" s="115">
        <v>563.5</v>
      </c>
      <c r="G172">
        <v>1967</v>
      </c>
      <c r="H172" s="115"/>
      <c r="I172" s="115"/>
      <c r="L172" s="169">
        <v>42249</v>
      </c>
      <c r="M172" s="115">
        <v>112.36</v>
      </c>
      <c r="N172" s="115">
        <v>118.7</v>
      </c>
      <c r="O172" s="115">
        <v>112.2</v>
      </c>
      <c r="P172" s="115">
        <v>117.01</v>
      </c>
      <c r="Q172" s="115">
        <v>561.79999999999995</v>
      </c>
      <c r="R172">
        <v>2448</v>
      </c>
    </row>
    <row r="173" spans="1:18" x14ac:dyDescent="0.25">
      <c r="A173" s="169">
        <v>42250</v>
      </c>
      <c r="B173" s="115">
        <v>114.85</v>
      </c>
      <c r="C173" s="115">
        <v>112.85</v>
      </c>
      <c r="D173" s="115">
        <v>111.05</v>
      </c>
      <c r="E173" s="115">
        <v>114.4</v>
      </c>
      <c r="F173" s="115">
        <v>564.25</v>
      </c>
      <c r="G173">
        <v>1820</v>
      </c>
      <c r="H173" s="115"/>
      <c r="I173" s="115"/>
      <c r="L173" s="169">
        <v>42250</v>
      </c>
      <c r="M173" s="115">
        <v>112.84</v>
      </c>
      <c r="N173" s="115">
        <v>115.28</v>
      </c>
      <c r="O173" s="115">
        <v>111.2</v>
      </c>
      <c r="P173" s="115">
        <v>113.59</v>
      </c>
      <c r="Q173" s="115">
        <v>564.20000000000005</v>
      </c>
      <c r="R173">
        <v>4398</v>
      </c>
    </row>
    <row r="174" spans="1:18" x14ac:dyDescent="0.25">
      <c r="A174" s="169">
        <v>42251</v>
      </c>
      <c r="B174" s="115">
        <v>112.75</v>
      </c>
      <c r="C174" s="115">
        <v>111.25</v>
      </c>
      <c r="D174" s="115">
        <v>110.4</v>
      </c>
      <c r="E174" s="115">
        <v>112.45</v>
      </c>
      <c r="F174" s="115">
        <v>556.25</v>
      </c>
      <c r="G174">
        <v>701</v>
      </c>
      <c r="H174" s="115"/>
      <c r="I174" s="115"/>
      <c r="L174" s="169">
        <v>42251</v>
      </c>
      <c r="M174" s="115">
        <v>111.87</v>
      </c>
      <c r="N174" s="115">
        <v>114.8</v>
      </c>
      <c r="O174" s="115">
        <v>110</v>
      </c>
      <c r="P174" s="115">
        <v>113.41</v>
      </c>
      <c r="Q174" s="115">
        <v>559.35</v>
      </c>
      <c r="R174">
        <v>1589</v>
      </c>
    </row>
    <row r="175" spans="1:18" x14ac:dyDescent="0.25">
      <c r="A175" s="169">
        <v>42254</v>
      </c>
      <c r="B175" s="115">
        <v>114</v>
      </c>
      <c r="C175" s="115">
        <v>111.4</v>
      </c>
      <c r="D175" s="115">
        <v>110.5</v>
      </c>
      <c r="E175" s="115">
        <v>113</v>
      </c>
      <c r="F175" s="115">
        <v>557</v>
      </c>
      <c r="G175">
        <v>903</v>
      </c>
      <c r="H175" s="115"/>
      <c r="I175" s="115"/>
      <c r="L175" s="169">
        <v>42254</v>
      </c>
      <c r="M175" s="115">
        <v>111.05</v>
      </c>
      <c r="N175" s="115">
        <v>113</v>
      </c>
      <c r="O175" s="115">
        <v>109.63</v>
      </c>
      <c r="P175" s="115">
        <v>110.01</v>
      </c>
      <c r="Q175" s="115">
        <v>555.25</v>
      </c>
      <c r="R175">
        <v>2979</v>
      </c>
    </row>
    <row r="176" spans="1:18" x14ac:dyDescent="0.25">
      <c r="A176" s="169">
        <v>42255</v>
      </c>
      <c r="B176" s="115">
        <v>110.85</v>
      </c>
      <c r="C176" s="115">
        <v>108.85</v>
      </c>
      <c r="D176" s="115">
        <v>108.5</v>
      </c>
      <c r="E176" s="115">
        <v>110</v>
      </c>
      <c r="F176" s="115">
        <v>544.25</v>
      </c>
      <c r="G176">
        <v>1070</v>
      </c>
      <c r="H176" s="115"/>
      <c r="I176" s="115"/>
      <c r="L176" s="169">
        <v>42255</v>
      </c>
      <c r="M176" s="115">
        <v>109.45</v>
      </c>
      <c r="N176" s="115">
        <v>110.97</v>
      </c>
      <c r="O176" s="115">
        <v>108</v>
      </c>
      <c r="P176" s="115">
        <v>109.39</v>
      </c>
      <c r="Q176" s="115">
        <v>547.25</v>
      </c>
      <c r="R176">
        <v>2459</v>
      </c>
    </row>
    <row r="177" spans="1:18" x14ac:dyDescent="0.25">
      <c r="A177" s="169">
        <v>42256</v>
      </c>
      <c r="B177" s="115">
        <v>113.2</v>
      </c>
      <c r="C177" s="115">
        <v>112.6</v>
      </c>
      <c r="D177" s="115">
        <v>110</v>
      </c>
      <c r="E177" s="115">
        <v>111</v>
      </c>
      <c r="F177" s="115">
        <v>563</v>
      </c>
      <c r="G177">
        <v>2393</v>
      </c>
      <c r="H177" s="115"/>
      <c r="I177" s="115"/>
      <c r="L177" s="169">
        <v>42256</v>
      </c>
      <c r="M177" s="115">
        <v>112.1</v>
      </c>
      <c r="N177" s="115">
        <v>115.45</v>
      </c>
      <c r="O177" s="115">
        <v>109.8</v>
      </c>
      <c r="P177" s="115">
        <v>115.45</v>
      </c>
      <c r="Q177" s="115">
        <v>560.5</v>
      </c>
      <c r="R177">
        <v>977</v>
      </c>
    </row>
    <row r="178" spans="1:18" x14ac:dyDescent="0.25">
      <c r="A178" s="169">
        <v>42257</v>
      </c>
      <c r="B178" s="115">
        <v>114</v>
      </c>
      <c r="C178" s="115">
        <v>111.45</v>
      </c>
      <c r="D178" s="115">
        <v>110.45</v>
      </c>
      <c r="E178" s="115">
        <v>114</v>
      </c>
      <c r="F178" s="115">
        <v>557.25</v>
      </c>
      <c r="G178">
        <v>1236</v>
      </c>
      <c r="H178" s="115"/>
      <c r="I178" s="115"/>
      <c r="L178" s="169">
        <v>42257</v>
      </c>
      <c r="M178" s="115">
        <v>110.47</v>
      </c>
      <c r="N178" s="115">
        <v>113.78</v>
      </c>
      <c r="O178" s="115">
        <v>108.4</v>
      </c>
      <c r="P178" s="115">
        <v>108.4</v>
      </c>
      <c r="Q178" s="115">
        <v>552.35</v>
      </c>
      <c r="R178">
        <v>976</v>
      </c>
    </row>
    <row r="179" spans="1:18" x14ac:dyDescent="0.25">
      <c r="A179" s="169">
        <v>42258</v>
      </c>
      <c r="B179" s="115">
        <v>119.4</v>
      </c>
      <c r="C179" s="115">
        <v>117.45</v>
      </c>
      <c r="D179" s="115">
        <v>111.1</v>
      </c>
      <c r="E179" s="115">
        <v>111.4</v>
      </c>
      <c r="F179" s="115">
        <v>587.25</v>
      </c>
      <c r="G179">
        <v>2785</v>
      </c>
      <c r="H179" s="115"/>
      <c r="I179" s="115"/>
      <c r="L179" s="169">
        <v>42258</v>
      </c>
      <c r="M179" s="115">
        <v>118.05</v>
      </c>
      <c r="N179" s="115">
        <v>119.99</v>
      </c>
      <c r="O179" s="115">
        <v>111</v>
      </c>
      <c r="P179" s="115">
        <v>111</v>
      </c>
      <c r="Q179" s="115">
        <v>590.25</v>
      </c>
      <c r="R179">
        <v>7094</v>
      </c>
    </row>
    <row r="180" spans="1:18" x14ac:dyDescent="0.25">
      <c r="A180" s="169">
        <v>42261</v>
      </c>
      <c r="B180" s="115">
        <v>118</v>
      </c>
      <c r="C180" s="115">
        <v>117.5</v>
      </c>
      <c r="D180" s="115">
        <v>116.3</v>
      </c>
      <c r="E180" s="115">
        <v>116.3</v>
      </c>
      <c r="F180" s="115">
        <v>587.5</v>
      </c>
      <c r="G180">
        <v>916</v>
      </c>
      <c r="H180" s="115"/>
      <c r="I180" s="115"/>
      <c r="L180" s="169">
        <v>42261</v>
      </c>
      <c r="M180" s="115">
        <v>118.16</v>
      </c>
      <c r="N180" s="115">
        <v>118.8</v>
      </c>
      <c r="O180" s="115">
        <v>115</v>
      </c>
      <c r="P180" s="115">
        <v>115</v>
      </c>
      <c r="Q180" s="115">
        <v>590.79999999999995</v>
      </c>
      <c r="R180">
        <v>1683</v>
      </c>
    </row>
    <row r="181" spans="1:18" x14ac:dyDescent="0.25">
      <c r="A181" s="169">
        <v>42262</v>
      </c>
      <c r="B181" s="115">
        <v>118.45</v>
      </c>
      <c r="C181" s="115">
        <v>114.6</v>
      </c>
      <c r="D181" s="115">
        <v>113.2</v>
      </c>
      <c r="E181" s="115">
        <v>113.2</v>
      </c>
      <c r="F181" s="115">
        <v>573</v>
      </c>
      <c r="G181">
        <v>15534</v>
      </c>
      <c r="H181" s="115"/>
      <c r="I181" s="115"/>
      <c r="L181" s="169">
        <v>42262</v>
      </c>
      <c r="M181" s="115">
        <v>114.92</v>
      </c>
      <c r="N181" s="115">
        <v>117.71</v>
      </c>
      <c r="O181" s="115">
        <v>114.15</v>
      </c>
      <c r="P181" s="115">
        <v>116.79</v>
      </c>
      <c r="Q181" s="115">
        <v>574.6</v>
      </c>
      <c r="R181">
        <v>451</v>
      </c>
    </row>
    <row r="182" spans="1:18" x14ac:dyDescent="0.25">
      <c r="A182" s="169">
        <v>42263</v>
      </c>
      <c r="B182" s="115">
        <v>119.1</v>
      </c>
      <c r="C182" s="115">
        <v>118</v>
      </c>
      <c r="D182" s="115">
        <v>114</v>
      </c>
      <c r="E182" s="115">
        <v>115.9</v>
      </c>
      <c r="F182" s="115">
        <v>590</v>
      </c>
      <c r="G182">
        <v>4692</v>
      </c>
      <c r="H182" s="115"/>
      <c r="I182" s="115"/>
      <c r="L182" s="169">
        <v>42263</v>
      </c>
      <c r="M182" s="115">
        <v>118.2</v>
      </c>
      <c r="N182" s="115">
        <v>119.94</v>
      </c>
      <c r="O182" s="115">
        <v>113.02</v>
      </c>
      <c r="P182" s="115">
        <v>113.02</v>
      </c>
      <c r="Q182" s="115">
        <v>591</v>
      </c>
      <c r="R182">
        <v>1381</v>
      </c>
    </row>
    <row r="183" spans="1:18" x14ac:dyDescent="0.25">
      <c r="A183" s="169">
        <v>42265</v>
      </c>
      <c r="B183" s="115">
        <v>117.5</v>
      </c>
      <c r="C183" s="115">
        <v>116.5</v>
      </c>
      <c r="D183" s="115">
        <v>115.7</v>
      </c>
      <c r="E183" s="115">
        <v>117</v>
      </c>
      <c r="F183" s="115">
        <v>582.5</v>
      </c>
      <c r="G183">
        <v>449</v>
      </c>
      <c r="H183" s="115"/>
      <c r="I183" s="115"/>
      <c r="L183" s="169">
        <v>42265</v>
      </c>
      <c r="M183" s="115">
        <v>116.58</v>
      </c>
      <c r="N183" s="115">
        <v>118</v>
      </c>
      <c r="O183" s="115">
        <v>116</v>
      </c>
      <c r="P183" s="115">
        <v>117.99</v>
      </c>
      <c r="Q183" s="115">
        <v>582.9</v>
      </c>
      <c r="R183">
        <v>531</v>
      </c>
    </row>
    <row r="184" spans="1:18" x14ac:dyDescent="0.25">
      <c r="A184" s="169">
        <v>42268</v>
      </c>
      <c r="B184" s="115">
        <v>117.3</v>
      </c>
      <c r="C184" s="115">
        <v>114.85</v>
      </c>
      <c r="D184" s="115">
        <v>114.2</v>
      </c>
      <c r="E184" s="115">
        <v>116</v>
      </c>
      <c r="F184" s="115">
        <v>574.25</v>
      </c>
      <c r="G184">
        <v>511</v>
      </c>
      <c r="H184" s="115"/>
      <c r="I184" s="115"/>
      <c r="L184" s="169">
        <v>42268</v>
      </c>
      <c r="M184" s="115">
        <v>114.53</v>
      </c>
      <c r="N184" s="115">
        <v>117.38</v>
      </c>
      <c r="O184" s="115">
        <v>113.69</v>
      </c>
      <c r="P184" s="115">
        <v>115.01</v>
      </c>
      <c r="Q184" s="115">
        <v>572.65</v>
      </c>
      <c r="R184">
        <v>702</v>
      </c>
    </row>
    <row r="185" spans="1:18" x14ac:dyDescent="0.25">
      <c r="A185" s="169">
        <v>42269</v>
      </c>
      <c r="B185" s="115">
        <v>116.5</v>
      </c>
      <c r="C185" s="115">
        <v>114.25</v>
      </c>
      <c r="D185" s="115">
        <v>113.3</v>
      </c>
      <c r="E185" s="115">
        <v>115</v>
      </c>
      <c r="F185" s="115">
        <v>571.25</v>
      </c>
      <c r="G185">
        <v>167</v>
      </c>
      <c r="H185" s="115"/>
      <c r="I185" s="115"/>
      <c r="L185" s="169">
        <v>42269</v>
      </c>
      <c r="M185" s="115">
        <v>114.53</v>
      </c>
      <c r="N185" s="115">
        <v>117.1</v>
      </c>
      <c r="O185" s="115">
        <v>113.41</v>
      </c>
      <c r="P185" s="115">
        <v>114.84</v>
      </c>
      <c r="Q185" s="115">
        <v>572.65</v>
      </c>
      <c r="R185">
        <v>570</v>
      </c>
    </row>
    <row r="186" spans="1:18" x14ac:dyDescent="0.25">
      <c r="A186" s="169">
        <v>42270</v>
      </c>
      <c r="B186" s="115">
        <v>115.35</v>
      </c>
      <c r="C186" s="115">
        <v>112.85</v>
      </c>
      <c r="D186" s="115">
        <v>111.9</v>
      </c>
      <c r="E186" s="115">
        <v>113.95</v>
      </c>
      <c r="F186" s="115">
        <v>564.25</v>
      </c>
      <c r="G186">
        <v>1324</v>
      </c>
      <c r="H186" s="115"/>
      <c r="I186" s="115"/>
      <c r="L186" s="169">
        <v>42270</v>
      </c>
      <c r="M186" s="115">
        <v>113.51</v>
      </c>
      <c r="N186" s="115">
        <v>116</v>
      </c>
      <c r="O186" s="115">
        <v>112.2</v>
      </c>
      <c r="P186" s="115">
        <v>113.19</v>
      </c>
      <c r="Q186" s="115">
        <v>567.54999999999995</v>
      </c>
      <c r="R186">
        <v>1007</v>
      </c>
    </row>
    <row r="187" spans="1:18" x14ac:dyDescent="0.25">
      <c r="A187" s="169">
        <v>42271</v>
      </c>
      <c r="B187" s="115">
        <v>116.55</v>
      </c>
      <c r="C187" s="115">
        <v>113.95</v>
      </c>
      <c r="D187" s="115">
        <v>112.65</v>
      </c>
      <c r="E187" s="115">
        <v>114</v>
      </c>
      <c r="F187" s="115">
        <v>569.75</v>
      </c>
      <c r="G187">
        <v>1178</v>
      </c>
      <c r="H187" s="115"/>
      <c r="I187" s="115"/>
      <c r="L187" s="169">
        <v>42271</v>
      </c>
      <c r="M187" s="115">
        <v>113.99</v>
      </c>
      <c r="N187" s="115">
        <v>117.98</v>
      </c>
      <c r="O187" s="115">
        <v>112.83</v>
      </c>
      <c r="P187" s="115">
        <v>117.98</v>
      </c>
      <c r="Q187" s="115">
        <v>569.95000000000005</v>
      </c>
      <c r="R187">
        <v>1008</v>
      </c>
    </row>
    <row r="188" spans="1:18" x14ac:dyDescent="0.25">
      <c r="A188" s="169">
        <v>42275</v>
      </c>
      <c r="B188" s="115">
        <v>117.05</v>
      </c>
      <c r="C188" s="115">
        <v>116.25</v>
      </c>
      <c r="D188" s="115">
        <v>113.75</v>
      </c>
      <c r="E188" s="115">
        <v>115.8</v>
      </c>
      <c r="F188" s="115">
        <v>581.25</v>
      </c>
      <c r="G188">
        <v>1001</v>
      </c>
      <c r="H188" s="115"/>
      <c r="I188" s="115"/>
      <c r="L188" s="169">
        <v>42275</v>
      </c>
      <c r="M188" s="115">
        <v>116.16</v>
      </c>
      <c r="N188" s="115">
        <v>117.4</v>
      </c>
      <c r="O188" s="115">
        <v>113.99</v>
      </c>
      <c r="P188" s="115">
        <v>116.17</v>
      </c>
      <c r="Q188" s="115">
        <v>580.79999999999995</v>
      </c>
      <c r="R188">
        <v>512</v>
      </c>
    </row>
    <row r="189" spans="1:18" x14ac:dyDescent="0.25">
      <c r="A189" s="169">
        <v>42276</v>
      </c>
      <c r="B189" s="115">
        <v>117.75</v>
      </c>
      <c r="C189" s="115">
        <v>116.2</v>
      </c>
      <c r="D189" s="115">
        <v>113</v>
      </c>
      <c r="E189" s="115">
        <v>114</v>
      </c>
      <c r="F189" s="115">
        <v>581</v>
      </c>
      <c r="G189">
        <v>101</v>
      </c>
      <c r="H189" s="115"/>
      <c r="I189" s="115"/>
      <c r="L189" s="169">
        <v>42276</v>
      </c>
      <c r="M189" s="115">
        <v>116.5</v>
      </c>
      <c r="N189" s="115">
        <v>117.2</v>
      </c>
      <c r="O189" s="115">
        <v>112.19</v>
      </c>
      <c r="P189" s="115">
        <v>113</v>
      </c>
      <c r="Q189" s="115">
        <v>582.5</v>
      </c>
      <c r="R189">
        <v>5013</v>
      </c>
    </row>
    <row r="190" spans="1:18" x14ac:dyDescent="0.25">
      <c r="A190" s="169">
        <v>42277</v>
      </c>
      <c r="B190" s="115">
        <v>119.65</v>
      </c>
      <c r="C190" s="115">
        <v>117.85</v>
      </c>
      <c r="D190" s="115">
        <v>115.25</v>
      </c>
      <c r="E190" s="115">
        <v>117</v>
      </c>
      <c r="F190" s="115">
        <v>589.25</v>
      </c>
      <c r="G190">
        <v>27647</v>
      </c>
      <c r="H190" s="115"/>
      <c r="I190" s="115"/>
      <c r="L190" s="169">
        <v>42277</v>
      </c>
      <c r="M190" s="115">
        <v>118.32</v>
      </c>
      <c r="N190" s="115">
        <v>119.8</v>
      </c>
      <c r="O190" s="115">
        <v>115.06</v>
      </c>
      <c r="P190" s="115">
        <v>115.06</v>
      </c>
      <c r="Q190" s="115">
        <v>591.6</v>
      </c>
      <c r="R190">
        <v>1734</v>
      </c>
    </row>
    <row r="191" spans="1:18" x14ac:dyDescent="0.25">
      <c r="A191" s="169">
        <v>42278</v>
      </c>
      <c r="B191" s="115">
        <v>120</v>
      </c>
      <c r="C191" s="115">
        <v>117.8</v>
      </c>
      <c r="D191" s="115">
        <v>117.25</v>
      </c>
      <c r="E191" s="115">
        <v>120</v>
      </c>
      <c r="F191" s="115">
        <v>589</v>
      </c>
      <c r="G191">
        <v>146</v>
      </c>
      <c r="H191" s="115"/>
      <c r="I191" s="115"/>
      <c r="L191" s="169">
        <v>42278</v>
      </c>
      <c r="M191" s="115">
        <v>118.2</v>
      </c>
      <c r="N191" s="115">
        <v>121</v>
      </c>
      <c r="O191" s="115">
        <v>116.25</v>
      </c>
      <c r="P191" s="115">
        <v>121</v>
      </c>
      <c r="Q191" s="115">
        <v>591</v>
      </c>
      <c r="R191">
        <v>51519</v>
      </c>
    </row>
    <row r="192" spans="1:18" x14ac:dyDescent="0.25">
      <c r="A192" s="169">
        <v>42282</v>
      </c>
      <c r="B192" s="115">
        <v>121</v>
      </c>
      <c r="C192" s="115">
        <v>118.95</v>
      </c>
      <c r="D192" s="115">
        <v>118.6</v>
      </c>
      <c r="E192" s="115">
        <v>120</v>
      </c>
      <c r="F192" s="115">
        <v>594.75</v>
      </c>
      <c r="G192">
        <v>489</v>
      </c>
      <c r="H192" s="115"/>
      <c r="I192" s="115"/>
      <c r="L192" s="169">
        <v>42282</v>
      </c>
      <c r="M192" s="115">
        <v>119.61</v>
      </c>
      <c r="N192" s="115">
        <v>121.69</v>
      </c>
      <c r="O192" s="115">
        <v>118.6</v>
      </c>
      <c r="P192" s="115">
        <v>119.79</v>
      </c>
      <c r="Q192" s="115">
        <v>598.04999999999995</v>
      </c>
      <c r="R192">
        <v>2833</v>
      </c>
    </row>
    <row r="193" spans="1:18" x14ac:dyDescent="0.25">
      <c r="A193" s="169">
        <v>42283</v>
      </c>
      <c r="B193" s="115">
        <v>119.7</v>
      </c>
      <c r="C193" s="115">
        <v>116.55</v>
      </c>
      <c r="D193" s="115">
        <v>116</v>
      </c>
      <c r="E193" s="115">
        <v>118</v>
      </c>
      <c r="F193" s="115">
        <v>582.75</v>
      </c>
      <c r="G193">
        <v>2511</v>
      </c>
      <c r="H193" s="115"/>
      <c r="I193" s="115"/>
      <c r="L193" s="169">
        <v>42283</v>
      </c>
      <c r="M193" s="115">
        <v>117.12</v>
      </c>
      <c r="N193" s="115">
        <v>119.84</v>
      </c>
      <c r="O193" s="115">
        <v>116.6</v>
      </c>
      <c r="P193" s="115">
        <v>116.65</v>
      </c>
      <c r="Q193" s="115">
        <v>585.6</v>
      </c>
      <c r="R193">
        <v>1633</v>
      </c>
    </row>
    <row r="194" spans="1:18" x14ac:dyDescent="0.25">
      <c r="A194" s="169">
        <v>42284</v>
      </c>
      <c r="B194" s="115">
        <v>119.85</v>
      </c>
      <c r="C194" s="115">
        <v>115.9</v>
      </c>
      <c r="D194" s="115">
        <v>115.25</v>
      </c>
      <c r="E194" s="115">
        <v>118.7</v>
      </c>
      <c r="F194" s="115">
        <v>579.5</v>
      </c>
      <c r="G194">
        <v>3051</v>
      </c>
      <c r="H194" s="115"/>
      <c r="I194" s="115"/>
      <c r="L194" s="169">
        <v>42284</v>
      </c>
      <c r="M194" s="115">
        <v>116.48</v>
      </c>
      <c r="N194" s="115">
        <v>119.59</v>
      </c>
      <c r="O194" s="115">
        <v>116</v>
      </c>
      <c r="P194" s="115">
        <v>117.6</v>
      </c>
      <c r="Q194" s="115">
        <v>582.4</v>
      </c>
      <c r="R194">
        <v>2293</v>
      </c>
    </row>
    <row r="195" spans="1:18" x14ac:dyDescent="0.25">
      <c r="A195" s="169">
        <v>42285</v>
      </c>
      <c r="B195" s="115">
        <v>119.6</v>
      </c>
      <c r="C195" s="115">
        <v>116.85</v>
      </c>
      <c r="D195" s="115">
        <v>114.2</v>
      </c>
      <c r="E195" s="115">
        <v>115</v>
      </c>
      <c r="F195" s="115">
        <v>584.25</v>
      </c>
      <c r="G195">
        <v>2346</v>
      </c>
      <c r="H195" s="115"/>
      <c r="I195" s="115"/>
      <c r="L195" s="169">
        <v>42285</v>
      </c>
      <c r="M195" s="115">
        <v>117.08</v>
      </c>
      <c r="N195" s="115">
        <v>118.8</v>
      </c>
      <c r="O195" s="115">
        <v>113.75</v>
      </c>
      <c r="P195" s="115">
        <v>115</v>
      </c>
      <c r="Q195" s="115">
        <v>585.4</v>
      </c>
      <c r="R195">
        <v>2145</v>
      </c>
    </row>
    <row r="196" spans="1:18" x14ac:dyDescent="0.25">
      <c r="A196" s="169">
        <v>42286</v>
      </c>
      <c r="B196" s="115">
        <v>118.8</v>
      </c>
      <c r="C196" s="115">
        <v>114.8</v>
      </c>
      <c r="D196" s="115">
        <v>114.2</v>
      </c>
      <c r="E196" s="115">
        <v>115.2</v>
      </c>
      <c r="F196" s="115">
        <v>574</v>
      </c>
      <c r="G196">
        <v>781</v>
      </c>
      <c r="H196" s="115"/>
      <c r="I196" s="115"/>
      <c r="L196" s="169">
        <v>42286</v>
      </c>
      <c r="M196" s="115">
        <v>115.02</v>
      </c>
      <c r="N196" s="115">
        <v>118.68</v>
      </c>
      <c r="O196" s="115">
        <v>114.4</v>
      </c>
      <c r="P196" s="115">
        <v>115.29</v>
      </c>
      <c r="Q196" s="115">
        <v>575.1</v>
      </c>
      <c r="R196">
        <v>1525</v>
      </c>
    </row>
    <row r="197" spans="1:18" x14ac:dyDescent="0.25">
      <c r="A197" s="169">
        <v>42289</v>
      </c>
      <c r="B197" s="115">
        <v>118.45</v>
      </c>
      <c r="C197" s="115">
        <v>116.1</v>
      </c>
      <c r="D197" s="115">
        <v>115.05</v>
      </c>
      <c r="E197" s="115">
        <v>118.4</v>
      </c>
      <c r="F197" s="115">
        <v>580.5</v>
      </c>
      <c r="G197">
        <v>174</v>
      </c>
      <c r="H197" s="115"/>
      <c r="I197" s="115"/>
      <c r="L197" s="169">
        <v>42289</v>
      </c>
      <c r="M197" s="115">
        <v>116.63</v>
      </c>
      <c r="N197" s="115">
        <v>118.4</v>
      </c>
      <c r="O197" s="115">
        <v>115.02</v>
      </c>
      <c r="P197" s="115">
        <v>115.02</v>
      </c>
      <c r="Q197" s="115">
        <v>583.15</v>
      </c>
      <c r="R197">
        <v>1847</v>
      </c>
    </row>
    <row r="198" spans="1:18" x14ac:dyDescent="0.25">
      <c r="A198" s="169">
        <v>42290</v>
      </c>
      <c r="B198" s="115">
        <v>118.3</v>
      </c>
      <c r="C198" s="115">
        <v>116.2</v>
      </c>
      <c r="D198" s="115">
        <v>114.65</v>
      </c>
      <c r="E198" s="115">
        <v>115</v>
      </c>
      <c r="F198" s="115">
        <v>581</v>
      </c>
      <c r="G198">
        <v>1328</v>
      </c>
      <c r="H198" s="115"/>
      <c r="I198" s="115"/>
      <c r="L198" s="169">
        <v>42290</v>
      </c>
      <c r="M198" s="115">
        <v>117.91</v>
      </c>
      <c r="N198" s="115">
        <v>118.29</v>
      </c>
      <c r="O198" s="115">
        <v>115.23</v>
      </c>
      <c r="P198" s="115">
        <v>115.23</v>
      </c>
      <c r="Q198" s="115">
        <v>589.54999999999995</v>
      </c>
      <c r="R198">
        <v>1055</v>
      </c>
    </row>
    <row r="199" spans="1:18" x14ac:dyDescent="0.25">
      <c r="A199" s="169">
        <v>42291</v>
      </c>
      <c r="B199" s="115">
        <v>118.95</v>
      </c>
      <c r="C199" s="115">
        <v>117.6</v>
      </c>
      <c r="D199" s="115">
        <v>116.45</v>
      </c>
      <c r="E199" s="115">
        <v>116.45</v>
      </c>
      <c r="F199" s="115">
        <v>588</v>
      </c>
      <c r="G199">
        <v>441</v>
      </c>
      <c r="H199" s="115"/>
      <c r="I199" s="115"/>
      <c r="L199" s="169">
        <v>42291</v>
      </c>
      <c r="M199" s="115">
        <v>118.21</v>
      </c>
      <c r="N199" s="115">
        <v>118.8</v>
      </c>
      <c r="O199" s="115">
        <v>115.79</v>
      </c>
      <c r="P199" s="115">
        <v>115.79</v>
      </c>
      <c r="Q199" s="115">
        <v>591.04999999999995</v>
      </c>
      <c r="R199">
        <v>1147</v>
      </c>
    </row>
    <row r="200" spans="1:18" x14ac:dyDescent="0.25">
      <c r="A200" s="169">
        <v>42292</v>
      </c>
      <c r="B200" s="115">
        <v>123.45</v>
      </c>
      <c r="C200" s="115">
        <v>118.5</v>
      </c>
      <c r="D200" s="115">
        <v>117.6</v>
      </c>
      <c r="E200" s="115">
        <v>119</v>
      </c>
      <c r="F200" s="115">
        <v>592.5</v>
      </c>
      <c r="G200">
        <v>1287</v>
      </c>
      <c r="H200" s="115"/>
      <c r="I200" s="115"/>
      <c r="L200" s="169">
        <v>42292</v>
      </c>
      <c r="M200" s="115">
        <v>118.9</v>
      </c>
      <c r="N200" s="115">
        <v>120.95</v>
      </c>
      <c r="O200" s="115">
        <v>117.1</v>
      </c>
      <c r="P200" s="115">
        <v>119.19</v>
      </c>
      <c r="Q200" s="115">
        <v>594.5</v>
      </c>
      <c r="R200">
        <v>5209</v>
      </c>
    </row>
    <row r="201" spans="1:18" x14ac:dyDescent="0.25">
      <c r="A201" s="169">
        <v>42293</v>
      </c>
      <c r="B201" s="115">
        <v>119.8</v>
      </c>
      <c r="C201" s="115">
        <v>118.05</v>
      </c>
      <c r="D201" s="115">
        <v>117</v>
      </c>
      <c r="E201" s="115">
        <v>117</v>
      </c>
      <c r="F201" s="115">
        <v>590.25</v>
      </c>
      <c r="G201">
        <v>20</v>
      </c>
      <c r="H201" s="115"/>
      <c r="I201" s="115"/>
      <c r="L201" s="169">
        <v>42293</v>
      </c>
      <c r="M201" s="115">
        <v>118.91</v>
      </c>
      <c r="N201" s="115">
        <v>119.79</v>
      </c>
      <c r="O201" s="115">
        <v>116.39</v>
      </c>
      <c r="P201" s="115">
        <v>119.51</v>
      </c>
      <c r="Q201" s="115">
        <v>594.54999999999995</v>
      </c>
      <c r="R201">
        <v>1406</v>
      </c>
    </row>
    <row r="202" spans="1:18" x14ac:dyDescent="0.25">
      <c r="A202" s="169">
        <v>42296</v>
      </c>
      <c r="B202" s="115">
        <v>121</v>
      </c>
      <c r="C202" s="115">
        <v>119.95</v>
      </c>
      <c r="D202" s="115">
        <v>117.25</v>
      </c>
      <c r="E202" s="115">
        <v>119</v>
      </c>
      <c r="F202" s="115">
        <v>599.75</v>
      </c>
      <c r="G202">
        <v>371</v>
      </c>
      <c r="H202" s="115"/>
      <c r="I202" s="115"/>
      <c r="L202" s="169">
        <v>42296</v>
      </c>
      <c r="M202" s="115">
        <v>119.86</v>
      </c>
      <c r="N202" s="115">
        <v>120.98</v>
      </c>
      <c r="O202" s="115">
        <v>118.91</v>
      </c>
      <c r="P202" s="115">
        <v>120.56</v>
      </c>
      <c r="Q202" s="115">
        <v>599.29999999999995</v>
      </c>
      <c r="R202">
        <v>1460</v>
      </c>
    </row>
    <row r="203" spans="1:18" x14ac:dyDescent="0.25">
      <c r="A203" s="169">
        <v>42297</v>
      </c>
      <c r="B203" s="115">
        <v>120.05</v>
      </c>
      <c r="C203" s="115">
        <v>119.55</v>
      </c>
      <c r="D203" s="115">
        <v>119.25</v>
      </c>
      <c r="E203" s="115">
        <v>119.45</v>
      </c>
      <c r="F203" s="115">
        <v>597.75</v>
      </c>
      <c r="G203">
        <v>230</v>
      </c>
      <c r="H203" s="115"/>
      <c r="I203" s="115"/>
      <c r="L203" s="169">
        <v>42297</v>
      </c>
      <c r="M203" s="115">
        <v>119.88</v>
      </c>
      <c r="N203" s="115">
        <v>120.77</v>
      </c>
      <c r="O203" s="115">
        <v>118.22</v>
      </c>
      <c r="P203" s="115">
        <v>118.48</v>
      </c>
      <c r="Q203" s="115">
        <v>599.4</v>
      </c>
      <c r="R203">
        <v>2598</v>
      </c>
    </row>
    <row r="204" spans="1:18" x14ac:dyDescent="0.25">
      <c r="A204" s="169">
        <v>42298</v>
      </c>
      <c r="B204" s="115">
        <v>120.25</v>
      </c>
      <c r="C204" s="115">
        <v>119.9</v>
      </c>
      <c r="D204" s="115">
        <v>119</v>
      </c>
      <c r="E204" s="115">
        <v>119.55</v>
      </c>
      <c r="F204" s="115">
        <v>599.5</v>
      </c>
      <c r="G204">
        <v>146</v>
      </c>
      <c r="H204" s="115"/>
      <c r="I204" s="115"/>
      <c r="L204" s="169">
        <v>42298</v>
      </c>
      <c r="M204" s="115">
        <v>120.02</v>
      </c>
      <c r="N204" s="115">
        <v>121.01</v>
      </c>
      <c r="O204" s="115">
        <v>117.49</v>
      </c>
      <c r="P204" s="115">
        <v>121.01</v>
      </c>
      <c r="Q204" s="115">
        <v>600.1</v>
      </c>
      <c r="R204">
        <v>1506</v>
      </c>
    </row>
    <row r="205" spans="1:18" x14ac:dyDescent="0.25">
      <c r="A205" s="169">
        <v>42300</v>
      </c>
      <c r="B205" s="115">
        <v>122</v>
      </c>
      <c r="C205" s="115">
        <v>120.45</v>
      </c>
      <c r="D205" s="115">
        <v>118.55</v>
      </c>
      <c r="E205" s="115">
        <v>118.55</v>
      </c>
      <c r="F205" s="115">
        <v>602.25</v>
      </c>
      <c r="G205">
        <v>162</v>
      </c>
      <c r="H205" s="115"/>
      <c r="I205" s="115"/>
      <c r="L205" s="169">
        <v>42300</v>
      </c>
      <c r="M205" s="115">
        <v>119.35</v>
      </c>
      <c r="N205" s="115">
        <v>121</v>
      </c>
      <c r="O205" s="115">
        <v>118.02</v>
      </c>
      <c r="P205" s="115">
        <v>118.2</v>
      </c>
      <c r="Q205" s="115">
        <v>596.75</v>
      </c>
      <c r="R205">
        <v>824</v>
      </c>
    </row>
    <row r="206" spans="1:18" x14ac:dyDescent="0.25">
      <c r="A206" s="169">
        <v>42303</v>
      </c>
      <c r="B206" s="115">
        <v>121.85</v>
      </c>
      <c r="C206" s="115">
        <v>121.6</v>
      </c>
      <c r="D206" s="115">
        <v>117.95</v>
      </c>
      <c r="E206" s="115">
        <v>119.8</v>
      </c>
      <c r="F206" s="115">
        <v>608</v>
      </c>
      <c r="G206">
        <v>5857</v>
      </c>
      <c r="H206" s="115"/>
      <c r="I206" s="115"/>
      <c r="L206" s="169">
        <v>42303</v>
      </c>
      <c r="M206" s="115">
        <v>120.06</v>
      </c>
      <c r="N206" s="115">
        <v>121.52</v>
      </c>
      <c r="O206" s="115">
        <v>117.48</v>
      </c>
      <c r="P206" s="115">
        <v>119</v>
      </c>
      <c r="Q206" s="115">
        <v>600.29999999999995</v>
      </c>
      <c r="R206">
        <v>4599</v>
      </c>
    </row>
    <row r="207" spans="1:18" x14ac:dyDescent="0.25">
      <c r="A207" s="169">
        <v>42304</v>
      </c>
      <c r="B207" s="115">
        <v>120</v>
      </c>
      <c r="C207" s="115">
        <v>119.7</v>
      </c>
      <c r="D207" s="115">
        <v>119.45</v>
      </c>
      <c r="E207" s="115">
        <v>120</v>
      </c>
      <c r="F207" s="115">
        <v>598.5</v>
      </c>
      <c r="G207">
        <v>41</v>
      </c>
      <c r="H207" s="115"/>
      <c r="I207" s="115"/>
      <c r="L207" s="169">
        <v>42304</v>
      </c>
      <c r="M207" s="115">
        <v>120.14</v>
      </c>
      <c r="N207" s="115">
        <v>121.15</v>
      </c>
      <c r="O207" s="115">
        <v>119</v>
      </c>
      <c r="P207" s="115">
        <v>119.82</v>
      </c>
      <c r="Q207" s="115">
        <v>600.70000000000005</v>
      </c>
      <c r="R207">
        <v>1117</v>
      </c>
    </row>
    <row r="208" spans="1:18" x14ac:dyDescent="0.25">
      <c r="A208" s="169">
        <v>42305</v>
      </c>
      <c r="B208" s="115">
        <v>120.95</v>
      </c>
      <c r="C208" s="115">
        <v>119.95</v>
      </c>
      <c r="D208" s="115">
        <v>119.95</v>
      </c>
      <c r="E208" s="115">
        <v>120</v>
      </c>
      <c r="F208" s="115">
        <v>599.75</v>
      </c>
      <c r="G208">
        <v>410</v>
      </c>
      <c r="H208" s="115"/>
      <c r="I208" s="115"/>
      <c r="L208" s="169">
        <v>42305</v>
      </c>
      <c r="M208" s="115">
        <v>120.03</v>
      </c>
      <c r="N208" s="115">
        <v>121.19</v>
      </c>
      <c r="O208" s="115">
        <v>119.99</v>
      </c>
      <c r="P208" s="115">
        <v>120</v>
      </c>
      <c r="Q208" s="115">
        <v>600.15</v>
      </c>
      <c r="R208">
        <v>1705</v>
      </c>
    </row>
    <row r="209" spans="1:18" x14ac:dyDescent="0.25">
      <c r="A209" s="169">
        <v>42306</v>
      </c>
      <c r="B209" s="115">
        <v>120.45</v>
      </c>
      <c r="C209" s="115">
        <v>120.05</v>
      </c>
      <c r="D209" s="115">
        <v>119.95</v>
      </c>
      <c r="E209" s="115">
        <v>120.05</v>
      </c>
      <c r="F209" s="115">
        <v>600.25</v>
      </c>
      <c r="G209">
        <v>94</v>
      </c>
      <c r="H209" s="115"/>
      <c r="I209" s="115"/>
      <c r="L209" s="169">
        <v>42306</v>
      </c>
      <c r="M209" s="115">
        <v>120</v>
      </c>
      <c r="N209" s="115">
        <v>120.4</v>
      </c>
      <c r="O209" s="115">
        <v>116.61</v>
      </c>
      <c r="P209" s="115">
        <v>116.61</v>
      </c>
      <c r="Q209" s="115">
        <v>600</v>
      </c>
      <c r="R209">
        <v>2063</v>
      </c>
    </row>
    <row r="210" spans="1:18" x14ac:dyDescent="0.25">
      <c r="A210" s="169">
        <v>42307</v>
      </c>
      <c r="B210" s="115">
        <v>121.4</v>
      </c>
      <c r="C210" s="115">
        <v>120.45</v>
      </c>
      <c r="D210" s="115">
        <v>119</v>
      </c>
      <c r="E210" s="115">
        <v>120</v>
      </c>
      <c r="F210" s="115">
        <v>602.25</v>
      </c>
      <c r="G210">
        <v>54</v>
      </c>
      <c r="H210" s="115"/>
      <c r="I210" s="115"/>
      <c r="L210" s="169">
        <v>42307</v>
      </c>
      <c r="M210" s="115">
        <v>121.44</v>
      </c>
      <c r="N210" s="115">
        <v>121.8</v>
      </c>
      <c r="O210" s="115">
        <v>119.04</v>
      </c>
      <c r="P210" s="115">
        <v>119.28</v>
      </c>
      <c r="Q210" s="115">
        <v>607.20000000000005</v>
      </c>
      <c r="R210">
        <v>36985</v>
      </c>
    </row>
    <row r="211" spans="1:18" x14ac:dyDescent="0.25">
      <c r="A211" s="169">
        <v>42310</v>
      </c>
      <c r="B211" s="115">
        <v>121.4</v>
      </c>
      <c r="C211" s="115">
        <v>120.55</v>
      </c>
      <c r="D211" s="115">
        <v>120</v>
      </c>
      <c r="E211" s="115">
        <v>121.4</v>
      </c>
      <c r="F211" s="115">
        <v>602.75</v>
      </c>
      <c r="G211">
        <v>290</v>
      </c>
      <c r="H211" s="115"/>
      <c r="I211" s="115"/>
      <c r="L211" s="169">
        <v>42310</v>
      </c>
      <c r="M211" s="115">
        <v>120.07</v>
      </c>
      <c r="N211" s="115">
        <v>121.8</v>
      </c>
      <c r="O211" s="115">
        <v>119.99</v>
      </c>
      <c r="P211" s="115">
        <v>121.78</v>
      </c>
      <c r="Q211" s="115">
        <v>600.35</v>
      </c>
      <c r="R211">
        <v>2799</v>
      </c>
    </row>
    <row r="212" spans="1:18" x14ac:dyDescent="0.25">
      <c r="A212" s="169">
        <v>42311</v>
      </c>
      <c r="B212" s="115">
        <v>120.6</v>
      </c>
      <c r="C212" s="115">
        <v>120.2</v>
      </c>
      <c r="D212" s="115">
        <v>118</v>
      </c>
      <c r="E212" s="115">
        <v>119</v>
      </c>
      <c r="F212" s="115">
        <v>601</v>
      </c>
      <c r="G212">
        <v>495</v>
      </c>
      <c r="H212" s="115"/>
      <c r="I212" s="115"/>
      <c r="L212" s="169">
        <v>42311</v>
      </c>
      <c r="M212" s="115">
        <v>120.45</v>
      </c>
      <c r="N212" s="115">
        <v>121.19</v>
      </c>
      <c r="O212" s="115">
        <v>119.01</v>
      </c>
      <c r="P212" s="115">
        <v>119.01</v>
      </c>
      <c r="Q212" s="115">
        <v>602.25</v>
      </c>
      <c r="R212">
        <v>1228</v>
      </c>
    </row>
    <row r="213" spans="1:18" x14ac:dyDescent="0.25">
      <c r="A213" s="169">
        <v>42312</v>
      </c>
      <c r="B213" s="115">
        <v>121.3</v>
      </c>
      <c r="C213" s="115">
        <v>121.1</v>
      </c>
      <c r="D213" s="115">
        <v>120.05</v>
      </c>
      <c r="E213" s="115">
        <v>120.95</v>
      </c>
      <c r="F213" s="115">
        <v>605.5</v>
      </c>
      <c r="G213">
        <v>535</v>
      </c>
      <c r="H213" s="115"/>
      <c r="I213" s="115"/>
      <c r="L213" s="169">
        <v>42312</v>
      </c>
      <c r="M213" s="115">
        <v>120.46</v>
      </c>
      <c r="N213" s="115">
        <v>121.39</v>
      </c>
      <c r="O213" s="115">
        <v>120</v>
      </c>
      <c r="P213" s="115">
        <v>120.24</v>
      </c>
      <c r="Q213" s="115">
        <v>602.29999999999995</v>
      </c>
      <c r="R213">
        <v>48716</v>
      </c>
    </row>
    <row r="214" spans="1:18" x14ac:dyDescent="0.25">
      <c r="A214" s="169">
        <v>42313</v>
      </c>
      <c r="B214" s="115">
        <v>120.7</v>
      </c>
      <c r="C214" s="115">
        <v>117.5</v>
      </c>
      <c r="D214" s="115">
        <v>116.5</v>
      </c>
      <c r="E214" s="115">
        <v>120</v>
      </c>
      <c r="F214" s="115">
        <v>587.5</v>
      </c>
      <c r="G214">
        <v>428</v>
      </c>
      <c r="H214" s="115"/>
      <c r="I214" s="115"/>
      <c r="L214" s="169">
        <v>42313</v>
      </c>
      <c r="M214" s="115">
        <v>117.71</v>
      </c>
      <c r="N214" s="115">
        <v>121</v>
      </c>
      <c r="O214" s="115">
        <v>116.79</v>
      </c>
      <c r="P214" s="115">
        <v>120.4</v>
      </c>
      <c r="Q214" s="115">
        <v>588.54999999999995</v>
      </c>
      <c r="R214">
        <v>29069</v>
      </c>
    </row>
    <row r="215" spans="1:18" x14ac:dyDescent="0.25">
      <c r="A215" s="169">
        <v>42314</v>
      </c>
      <c r="B215" s="115">
        <v>119.2</v>
      </c>
      <c r="C215" s="115">
        <v>116.1</v>
      </c>
      <c r="D215" s="115">
        <v>113.4</v>
      </c>
      <c r="E215" s="115">
        <v>119</v>
      </c>
      <c r="F215" s="115">
        <v>580.5</v>
      </c>
      <c r="G215">
        <v>315</v>
      </c>
      <c r="H215" s="115"/>
      <c r="I215" s="115"/>
      <c r="L215" s="169">
        <v>42314</v>
      </c>
      <c r="M215" s="115">
        <v>117.55</v>
      </c>
      <c r="N215" s="115">
        <v>120.79</v>
      </c>
      <c r="O215" s="115">
        <v>115</v>
      </c>
      <c r="P215" s="115">
        <v>117.8</v>
      </c>
      <c r="Q215" s="115">
        <v>587.75</v>
      </c>
      <c r="R215">
        <v>692</v>
      </c>
    </row>
    <row r="216" spans="1:18" x14ac:dyDescent="0.25">
      <c r="A216" s="169">
        <v>42317</v>
      </c>
      <c r="B216" s="115">
        <v>120.75</v>
      </c>
      <c r="C216" s="115">
        <v>118.85</v>
      </c>
      <c r="D216" s="115">
        <v>114.6</v>
      </c>
      <c r="E216" s="115">
        <v>116.4</v>
      </c>
      <c r="F216" s="115">
        <v>594.25</v>
      </c>
      <c r="G216">
        <v>476</v>
      </c>
      <c r="H216" s="115"/>
      <c r="I216" s="115"/>
      <c r="L216" s="169">
        <v>42317</v>
      </c>
      <c r="M216" s="115">
        <v>120.04</v>
      </c>
      <c r="N216" s="115">
        <v>120.8</v>
      </c>
      <c r="O216" s="115">
        <v>115.21</v>
      </c>
      <c r="P216" s="115">
        <v>115.5</v>
      </c>
      <c r="Q216" s="115">
        <v>600.20000000000005</v>
      </c>
      <c r="R216">
        <v>1650</v>
      </c>
    </row>
    <row r="217" spans="1:18" x14ac:dyDescent="0.25">
      <c r="A217" s="169">
        <v>42318</v>
      </c>
      <c r="B217" s="115">
        <v>119</v>
      </c>
      <c r="C217" s="115">
        <v>117.7</v>
      </c>
      <c r="D217" s="115">
        <v>117.1</v>
      </c>
      <c r="E217" s="115">
        <v>119</v>
      </c>
      <c r="F217" s="115">
        <v>588.5</v>
      </c>
      <c r="G217">
        <v>84</v>
      </c>
      <c r="H217" s="115"/>
      <c r="I217" s="115"/>
      <c r="L217" s="169">
        <v>42318</v>
      </c>
      <c r="M217" s="115">
        <v>117.14</v>
      </c>
      <c r="N217" s="115">
        <v>120</v>
      </c>
      <c r="O217" s="115">
        <v>116.44</v>
      </c>
      <c r="P217" s="115">
        <v>116.44</v>
      </c>
      <c r="Q217" s="115">
        <v>585.70000000000005</v>
      </c>
      <c r="R217">
        <v>1134</v>
      </c>
    </row>
    <row r="218" spans="1:18" x14ac:dyDescent="0.25">
      <c r="A218" s="169">
        <v>42319</v>
      </c>
      <c r="B218" s="115">
        <v>117.4</v>
      </c>
      <c r="C218" s="115">
        <v>117.15</v>
      </c>
      <c r="D218" s="115">
        <v>116.25</v>
      </c>
      <c r="E218" s="115">
        <v>117.4</v>
      </c>
      <c r="F218" s="115">
        <v>585.75</v>
      </c>
      <c r="G218">
        <v>23</v>
      </c>
      <c r="H218" s="115"/>
      <c r="I218" s="115"/>
      <c r="L218" s="169">
        <v>42319</v>
      </c>
      <c r="M218" s="115">
        <v>118.57</v>
      </c>
      <c r="N218" s="115">
        <v>120.77</v>
      </c>
      <c r="O218" s="115">
        <v>117.8</v>
      </c>
      <c r="P218" s="115">
        <v>120.77</v>
      </c>
      <c r="Q218" s="115">
        <v>592.85</v>
      </c>
      <c r="R218">
        <v>560</v>
      </c>
    </row>
    <row r="219" spans="1:18" x14ac:dyDescent="0.25">
      <c r="A219" s="169">
        <v>42321</v>
      </c>
      <c r="B219" s="115">
        <v>118.6</v>
      </c>
      <c r="C219" s="115">
        <v>116.55</v>
      </c>
      <c r="D219" s="115">
        <v>116.05</v>
      </c>
      <c r="E219" s="115">
        <v>116.05</v>
      </c>
      <c r="F219" s="115">
        <v>582.75</v>
      </c>
      <c r="G219">
        <v>685</v>
      </c>
      <c r="H219" s="115"/>
      <c r="I219" s="115"/>
      <c r="L219" s="169">
        <v>42321</v>
      </c>
      <c r="M219" s="115">
        <v>115.87</v>
      </c>
      <c r="N219" s="115">
        <v>118.7</v>
      </c>
      <c r="O219" s="115">
        <v>115.1</v>
      </c>
      <c r="P219" s="115">
        <v>115.8</v>
      </c>
      <c r="Q219" s="115">
        <v>579.35</v>
      </c>
      <c r="R219">
        <v>791</v>
      </c>
    </row>
    <row r="220" spans="1:18" x14ac:dyDescent="0.25">
      <c r="A220" s="169">
        <v>42324</v>
      </c>
      <c r="B220" s="115">
        <v>116</v>
      </c>
      <c r="C220" s="115">
        <v>113.15</v>
      </c>
      <c r="D220" s="115">
        <v>112.65</v>
      </c>
      <c r="E220" s="115">
        <v>116</v>
      </c>
      <c r="F220" s="115">
        <v>565.75</v>
      </c>
      <c r="G220">
        <v>432</v>
      </c>
      <c r="H220" s="115"/>
      <c r="I220" s="115"/>
      <c r="L220" s="169">
        <v>42324</v>
      </c>
      <c r="M220" s="115">
        <v>113.57</v>
      </c>
      <c r="N220" s="115">
        <v>115.95</v>
      </c>
      <c r="O220" s="115">
        <v>113</v>
      </c>
      <c r="P220" s="115">
        <v>114.8</v>
      </c>
      <c r="Q220" s="115">
        <v>567.85</v>
      </c>
      <c r="R220">
        <v>852</v>
      </c>
    </row>
    <row r="221" spans="1:18" x14ac:dyDescent="0.25">
      <c r="A221" s="169">
        <v>42325</v>
      </c>
      <c r="B221" s="115">
        <v>114</v>
      </c>
      <c r="C221" s="115">
        <v>112.75</v>
      </c>
      <c r="D221" s="115">
        <v>112.55</v>
      </c>
      <c r="E221" s="115">
        <v>114</v>
      </c>
      <c r="F221" s="115">
        <v>563.75</v>
      </c>
      <c r="G221">
        <v>460</v>
      </c>
      <c r="H221" s="115"/>
      <c r="I221" s="115"/>
      <c r="L221" s="169">
        <v>42325</v>
      </c>
      <c r="M221" s="115">
        <v>113.42</v>
      </c>
      <c r="N221" s="115">
        <v>114.8</v>
      </c>
      <c r="O221" s="115">
        <v>112.4</v>
      </c>
      <c r="P221" s="115">
        <v>112.4</v>
      </c>
      <c r="Q221" s="115">
        <v>567.1</v>
      </c>
      <c r="R221">
        <v>649</v>
      </c>
    </row>
    <row r="222" spans="1:18" x14ac:dyDescent="0.25">
      <c r="A222" s="169">
        <v>42326</v>
      </c>
      <c r="B222" s="115">
        <v>114.95</v>
      </c>
      <c r="C222" s="115">
        <v>111.75</v>
      </c>
      <c r="D222" s="115">
        <v>111.65</v>
      </c>
      <c r="E222" s="115">
        <v>114</v>
      </c>
      <c r="F222" s="115">
        <v>558.75</v>
      </c>
      <c r="G222">
        <v>504</v>
      </c>
      <c r="H222" s="115"/>
      <c r="I222" s="115"/>
      <c r="L222" s="169">
        <v>42326</v>
      </c>
      <c r="M222" s="115">
        <v>111.66</v>
      </c>
      <c r="N222" s="115">
        <v>113.3</v>
      </c>
      <c r="O222" s="115">
        <v>111.4</v>
      </c>
      <c r="P222" s="115">
        <v>112.26</v>
      </c>
      <c r="Q222" s="115">
        <v>558.29999999999995</v>
      </c>
      <c r="R222">
        <v>1807</v>
      </c>
    </row>
    <row r="223" spans="1:18" x14ac:dyDescent="0.25">
      <c r="A223" s="169">
        <v>42327</v>
      </c>
      <c r="B223" s="115">
        <v>116.9</v>
      </c>
      <c r="C223" s="115">
        <v>116.1</v>
      </c>
      <c r="D223" s="115">
        <v>113</v>
      </c>
      <c r="E223" s="115">
        <v>113</v>
      </c>
      <c r="F223" s="115">
        <v>580.5</v>
      </c>
      <c r="G223">
        <v>691</v>
      </c>
      <c r="H223" s="115"/>
      <c r="I223" s="115"/>
      <c r="L223" s="169">
        <v>42327</v>
      </c>
      <c r="M223" s="115">
        <v>116.71</v>
      </c>
      <c r="N223" s="115">
        <v>117.34</v>
      </c>
      <c r="O223" s="115">
        <v>112</v>
      </c>
      <c r="P223" s="115">
        <v>112</v>
      </c>
      <c r="Q223" s="115">
        <v>583.54999999999995</v>
      </c>
      <c r="R223">
        <v>3236</v>
      </c>
    </row>
    <row r="224" spans="1:18" x14ac:dyDescent="0.25">
      <c r="A224" s="169">
        <v>42328</v>
      </c>
      <c r="B224" s="115">
        <v>119</v>
      </c>
      <c r="C224" s="115">
        <v>116.4</v>
      </c>
      <c r="D224" s="115">
        <v>113.8</v>
      </c>
      <c r="E224" s="115">
        <v>115</v>
      </c>
      <c r="F224" s="115">
        <v>582</v>
      </c>
      <c r="G224">
        <v>1130</v>
      </c>
      <c r="H224" s="115"/>
      <c r="I224" s="115"/>
      <c r="L224" s="169">
        <v>42328</v>
      </c>
      <c r="M224" s="115">
        <v>116.48</v>
      </c>
      <c r="N224" s="115">
        <v>118.97</v>
      </c>
      <c r="O224" s="115">
        <v>113.01</v>
      </c>
      <c r="P224" s="115">
        <v>113.08</v>
      </c>
      <c r="Q224" s="115">
        <v>582.4</v>
      </c>
      <c r="R224">
        <v>2623</v>
      </c>
    </row>
    <row r="225" spans="1:18" x14ac:dyDescent="0.25">
      <c r="A225" s="169">
        <v>42331</v>
      </c>
      <c r="B225" s="115">
        <v>115.6</v>
      </c>
      <c r="C225" s="115">
        <v>115.3</v>
      </c>
      <c r="D225" s="115">
        <v>113.9</v>
      </c>
      <c r="E225" s="115">
        <v>114</v>
      </c>
      <c r="F225" s="115">
        <v>576.5</v>
      </c>
      <c r="G225">
        <v>273</v>
      </c>
      <c r="H225" s="115"/>
      <c r="I225" s="115"/>
      <c r="L225" s="169">
        <v>42331</v>
      </c>
      <c r="M225" s="115">
        <v>114.8</v>
      </c>
      <c r="N225" s="115">
        <v>116</v>
      </c>
      <c r="O225" s="115">
        <v>112.14</v>
      </c>
      <c r="P225" s="115">
        <v>115.93</v>
      </c>
      <c r="Q225" s="115">
        <v>574</v>
      </c>
      <c r="R225">
        <v>2937</v>
      </c>
    </row>
    <row r="226" spans="1:18" x14ac:dyDescent="0.25">
      <c r="A226" s="169">
        <v>42332</v>
      </c>
      <c r="B226" s="115">
        <v>117.95</v>
      </c>
      <c r="C226" s="115">
        <v>116.7</v>
      </c>
      <c r="D226" s="115">
        <v>113.6</v>
      </c>
      <c r="E226" s="115">
        <v>114</v>
      </c>
      <c r="F226" s="115">
        <v>583.5</v>
      </c>
      <c r="G226">
        <v>993</v>
      </c>
      <c r="H226" s="115"/>
      <c r="I226" s="115"/>
      <c r="L226" s="169">
        <v>42332</v>
      </c>
      <c r="M226" s="115">
        <v>117.3</v>
      </c>
      <c r="N226" s="115">
        <v>118.8</v>
      </c>
      <c r="O226" s="115">
        <v>113.6</v>
      </c>
      <c r="P226" s="115">
        <v>114</v>
      </c>
      <c r="Q226" s="115">
        <v>586.5</v>
      </c>
      <c r="R226">
        <v>1175</v>
      </c>
    </row>
    <row r="227" spans="1:18" x14ac:dyDescent="0.25">
      <c r="A227" s="169">
        <v>42334</v>
      </c>
      <c r="B227" s="115">
        <v>118.65</v>
      </c>
      <c r="C227" s="115">
        <v>117.3</v>
      </c>
      <c r="D227" s="115">
        <v>115.05</v>
      </c>
      <c r="E227" s="115">
        <v>116.6</v>
      </c>
      <c r="F227" s="115">
        <v>586.5</v>
      </c>
      <c r="G227">
        <v>1041</v>
      </c>
      <c r="H227" s="115"/>
      <c r="I227" s="115"/>
      <c r="L227" s="169">
        <v>42334</v>
      </c>
      <c r="M227" s="115">
        <v>117.65</v>
      </c>
      <c r="N227" s="115">
        <v>119.2</v>
      </c>
      <c r="O227" s="115">
        <v>114.52</v>
      </c>
      <c r="P227" s="115">
        <v>114.52</v>
      </c>
      <c r="Q227" s="115">
        <v>588.25</v>
      </c>
      <c r="R227">
        <v>1308</v>
      </c>
    </row>
    <row r="228" spans="1:18" x14ac:dyDescent="0.25">
      <c r="A228" s="169">
        <v>42335</v>
      </c>
      <c r="B228" s="115">
        <v>118.55</v>
      </c>
      <c r="C228" s="115">
        <v>116</v>
      </c>
      <c r="D228" s="115">
        <v>115</v>
      </c>
      <c r="E228" s="115">
        <v>118</v>
      </c>
      <c r="F228" s="115">
        <v>580</v>
      </c>
      <c r="G228">
        <v>218</v>
      </c>
      <c r="H228" s="115"/>
      <c r="I228" s="115"/>
      <c r="L228" s="169">
        <v>42335</v>
      </c>
      <c r="M228" s="115">
        <v>115.23</v>
      </c>
      <c r="N228" s="115">
        <v>117.79</v>
      </c>
      <c r="O228" s="115">
        <v>114.6</v>
      </c>
      <c r="P228" s="115">
        <v>115.5</v>
      </c>
      <c r="Q228" s="115">
        <v>576.15</v>
      </c>
      <c r="R228">
        <v>882</v>
      </c>
    </row>
    <row r="229" spans="1:18" x14ac:dyDescent="0.25">
      <c r="A229" s="169">
        <v>42338</v>
      </c>
      <c r="B229" s="115">
        <v>116</v>
      </c>
      <c r="C229" s="115">
        <v>115.05</v>
      </c>
      <c r="D229" s="115">
        <v>114</v>
      </c>
      <c r="E229" s="115">
        <v>116</v>
      </c>
      <c r="F229" s="115">
        <v>575.25</v>
      </c>
      <c r="G229">
        <v>524</v>
      </c>
      <c r="H229" s="115"/>
      <c r="I229" s="115"/>
      <c r="L229" s="169">
        <v>42338</v>
      </c>
      <c r="M229" s="115">
        <v>114.99</v>
      </c>
      <c r="N229" s="115">
        <v>116.82</v>
      </c>
      <c r="O229" s="115">
        <v>114.4</v>
      </c>
      <c r="P229" s="115">
        <v>116.4</v>
      </c>
      <c r="Q229" s="115">
        <v>574.95000000000005</v>
      </c>
      <c r="R229">
        <v>2860</v>
      </c>
    </row>
    <row r="230" spans="1:18" x14ac:dyDescent="0.25">
      <c r="A230" s="169">
        <v>42339</v>
      </c>
      <c r="B230" s="115">
        <v>116</v>
      </c>
      <c r="C230" s="115">
        <v>113.55</v>
      </c>
      <c r="D230" s="115">
        <v>111.3</v>
      </c>
      <c r="E230" s="115">
        <v>116</v>
      </c>
      <c r="F230" s="115">
        <v>567.75</v>
      </c>
      <c r="G230">
        <v>4639</v>
      </c>
      <c r="H230" s="115"/>
      <c r="I230" s="115"/>
      <c r="L230" s="169">
        <v>42339</v>
      </c>
      <c r="M230" s="115">
        <v>113.8</v>
      </c>
      <c r="N230" s="115">
        <v>117.96</v>
      </c>
      <c r="O230" s="115">
        <v>112.51</v>
      </c>
      <c r="P230" s="115">
        <v>115</v>
      </c>
      <c r="Q230" s="115">
        <v>569</v>
      </c>
      <c r="R230">
        <v>2457</v>
      </c>
    </row>
    <row r="231" spans="1:18" x14ac:dyDescent="0.25">
      <c r="A231" s="169">
        <v>42340</v>
      </c>
      <c r="B231" s="115">
        <v>114.6</v>
      </c>
      <c r="C231" s="115">
        <v>112.45</v>
      </c>
      <c r="D231" s="115">
        <v>112.4</v>
      </c>
      <c r="E231" s="115">
        <v>114.6</v>
      </c>
      <c r="F231" s="115">
        <v>562.25</v>
      </c>
      <c r="G231">
        <v>242</v>
      </c>
      <c r="H231" s="115"/>
      <c r="I231" s="115"/>
      <c r="L231" s="169">
        <v>42340</v>
      </c>
      <c r="M231" s="115">
        <v>113.43</v>
      </c>
      <c r="N231" s="115">
        <v>117.67</v>
      </c>
      <c r="O231" s="115">
        <v>112.78</v>
      </c>
      <c r="P231" s="115">
        <v>113.26</v>
      </c>
      <c r="Q231" s="115">
        <v>567.15</v>
      </c>
      <c r="R231">
        <v>787</v>
      </c>
    </row>
    <row r="232" spans="1:18" x14ac:dyDescent="0.25">
      <c r="A232" s="169">
        <v>42341</v>
      </c>
      <c r="B232" s="115">
        <v>114.6</v>
      </c>
      <c r="C232" s="115">
        <v>113.65</v>
      </c>
      <c r="D232" s="115">
        <v>113.2</v>
      </c>
      <c r="E232" s="115">
        <v>114</v>
      </c>
      <c r="F232" s="115">
        <v>568.25</v>
      </c>
      <c r="G232">
        <v>166</v>
      </c>
      <c r="H232" s="115"/>
      <c r="I232" s="115"/>
      <c r="L232" s="169">
        <v>42341</v>
      </c>
      <c r="M232" s="115">
        <v>113.08</v>
      </c>
      <c r="N232" s="115">
        <v>115.78</v>
      </c>
      <c r="O232" s="115">
        <v>112.2</v>
      </c>
      <c r="P232" s="115">
        <v>113.4</v>
      </c>
      <c r="Q232" s="115">
        <v>565.4</v>
      </c>
      <c r="R232">
        <v>1251</v>
      </c>
    </row>
    <row r="233" spans="1:18" x14ac:dyDescent="0.25">
      <c r="A233" s="169">
        <v>42342</v>
      </c>
      <c r="B233" s="115">
        <v>121.5</v>
      </c>
      <c r="C233" s="115">
        <v>118.1</v>
      </c>
      <c r="D233" s="115">
        <v>112.95</v>
      </c>
      <c r="E233" s="115">
        <v>113</v>
      </c>
      <c r="F233" s="115">
        <v>590.5</v>
      </c>
      <c r="G233">
        <v>1157</v>
      </c>
      <c r="H233" s="115"/>
      <c r="I233" s="115"/>
      <c r="L233" s="169">
        <v>42342</v>
      </c>
      <c r="M233" s="115">
        <v>118.83</v>
      </c>
      <c r="N233" s="115">
        <v>120.6</v>
      </c>
      <c r="O233" s="115">
        <v>112</v>
      </c>
      <c r="P233" s="115">
        <v>112</v>
      </c>
      <c r="Q233" s="115">
        <v>594.15</v>
      </c>
      <c r="R233">
        <v>6644</v>
      </c>
    </row>
    <row r="234" spans="1:18" x14ac:dyDescent="0.25">
      <c r="A234" s="169">
        <v>42345</v>
      </c>
      <c r="B234" s="115">
        <v>118.4</v>
      </c>
      <c r="C234" s="115">
        <v>116</v>
      </c>
      <c r="D234" s="115">
        <v>115</v>
      </c>
      <c r="E234" s="115">
        <v>118.4</v>
      </c>
      <c r="F234" s="115">
        <v>580</v>
      </c>
      <c r="G234">
        <v>351</v>
      </c>
      <c r="H234" s="115"/>
      <c r="I234" s="115"/>
      <c r="L234" s="169">
        <v>42345</v>
      </c>
      <c r="M234" s="115">
        <v>116.63</v>
      </c>
      <c r="N234" s="115">
        <v>118.02</v>
      </c>
      <c r="O234" s="115">
        <v>115.01</v>
      </c>
      <c r="P234" s="115">
        <v>115.61</v>
      </c>
      <c r="Q234" s="115">
        <v>583.15</v>
      </c>
      <c r="R234">
        <v>779</v>
      </c>
    </row>
    <row r="235" spans="1:18" x14ac:dyDescent="0.25">
      <c r="A235" s="169">
        <v>42346</v>
      </c>
      <c r="B235" s="115">
        <v>119</v>
      </c>
      <c r="C235" s="115">
        <v>118.4</v>
      </c>
      <c r="D235" s="115">
        <v>116</v>
      </c>
      <c r="E235" s="115">
        <v>116.05</v>
      </c>
      <c r="F235" s="115">
        <v>592</v>
      </c>
      <c r="G235">
        <v>3042</v>
      </c>
      <c r="H235" s="115"/>
      <c r="I235" s="115"/>
      <c r="L235" s="169">
        <v>42346</v>
      </c>
      <c r="M235" s="115">
        <v>117.57</v>
      </c>
      <c r="N235" s="115">
        <v>118.59</v>
      </c>
      <c r="O235" s="115">
        <v>113.6</v>
      </c>
      <c r="P235" s="115">
        <v>113.6</v>
      </c>
      <c r="Q235" s="115">
        <v>587.85</v>
      </c>
      <c r="R235">
        <v>2156</v>
      </c>
    </row>
    <row r="236" spans="1:18" x14ac:dyDescent="0.25">
      <c r="A236" s="169">
        <v>42347</v>
      </c>
      <c r="B236" s="115">
        <v>117</v>
      </c>
      <c r="C236" s="115">
        <v>113.15</v>
      </c>
      <c r="D236" s="115">
        <v>113.15</v>
      </c>
      <c r="E236" s="115">
        <v>117</v>
      </c>
      <c r="F236" s="115">
        <v>565.75</v>
      </c>
      <c r="G236">
        <v>218</v>
      </c>
      <c r="H236" s="115"/>
      <c r="I236" s="115"/>
      <c r="L236" s="169">
        <v>42347</v>
      </c>
      <c r="M236" s="115">
        <v>113.01</v>
      </c>
      <c r="N236" s="115">
        <v>117.2</v>
      </c>
      <c r="O236" s="115">
        <v>112.6</v>
      </c>
      <c r="P236" s="115">
        <v>114.41</v>
      </c>
      <c r="Q236" s="115">
        <v>565.04999999999995</v>
      </c>
      <c r="R236">
        <v>1268</v>
      </c>
    </row>
    <row r="237" spans="1:18" x14ac:dyDescent="0.25">
      <c r="A237" s="169">
        <v>42348</v>
      </c>
      <c r="B237" s="115">
        <v>115.6</v>
      </c>
      <c r="C237" s="115">
        <v>114.9</v>
      </c>
      <c r="D237" s="115">
        <v>113</v>
      </c>
      <c r="E237" s="115">
        <v>114.4</v>
      </c>
      <c r="F237" s="115">
        <v>574.5</v>
      </c>
      <c r="G237">
        <v>1125</v>
      </c>
      <c r="H237" s="115"/>
      <c r="I237" s="115"/>
      <c r="L237" s="169">
        <v>42348</v>
      </c>
      <c r="M237" s="115">
        <v>114.43</v>
      </c>
      <c r="N237" s="115">
        <v>115.58</v>
      </c>
      <c r="O237" s="115">
        <v>112.39</v>
      </c>
      <c r="P237" s="115">
        <v>113.4</v>
      </c>
      <c r="Q237" s="115">
        <v>572.15</v>
      </c>
      <c r="R237">
        <v>2178</v>
      </c>
    </row>
    <row r="238" spans="1:18" x14ac:dyDescent="0.25">
      <c r="A238" s="169">
        <v>42349</v>
      </c>
      <c r="B238" s="115">
        <v>116.8</v>
      </c>
      <c r="C238" s="115">
        <v>114.35</v>
      </c>
      <c r="D238" s="115">
        <v>113</v>
      </c>
      <c r="E238" s="115">
        <v>113</v>
      </c>
      <c r="F238" s="115">
        <v>571.75</v>
      </c>
      <c r="G238">
        <v>1116</v>
      </c>
      <c r="H238" s="115"/>
      <c r="I238" s="115"/>
      <c r="L238" s="169">
        <v>42349</v>
      </c>
      <c r="M238" s="115">
        <v>114.9</v>
      </c>
      <c r="N238" s="115">
        <v>115.2</v>
      </c>
      <c r="O238" s="115">
        <v>110.2</v>
      </c>
      <c r="P238" s="115">
        <v>113</v>
      </c>
      <c r="Q238" s="115">
        <v>574.5</v>
      </c>
      <c r="R238">
        <v>1530</v>
      </c>
    </row>
    <row r="239" spans="1:18" x14ac:dyDescent="0.25">
      <c r="A239" s="169">
        <v>42352</v>
      </c>
      <c r="B239" s="115">
        <v>115</v>
      </c>
      <c r="C239" s="115">
        <v>114.4</v>
      </c>
      <c r="D239" s="115">
        <v>113</v>
      </c>
      <c r="E239" s="115">
        <v>114</v>
      </c>
      <c r="F239" s="115">
        <v>572</v>
      </c>
      <c r="G239">
        <v>1540</v>
      </c>
      <c r="H239" s="115"/>
      <c r="I239" s="115"/>
      <c r="L239" s="169">
        <v>42352</v>
      </c>
      <c r="M239" s="115">
        <v>115.1</v>
      </c>
      <c r="N239" s="115">
        <v>115.1</v>
      </c>
      <c r="O239" s="115">
        <v>113</v>
      </c>
      <c r="P239" s="115">
        <v>113</v>
      </c>
      <c r="Q239" s="115">
        <v>575.5</v>
      </c>
      <c r="R239">
        <v>1586</v>
      </c>
    </row>
    <row r="240" spans="1:18" x14ac:dyDescent="0.25">
      <c r="A240" s="169">
        <v>42353</v>
      </c>
      <c r="B240" s="115">
        <v>117</v>
      </c>
      <c r="C240" s="115">
        <v>115</v>
      </c>
      <c r="D240" s="115">
        <v>115</v>
      </c>
      <c r="E240" s="115">
        <v>115</v>
      </c>
      <c r="F240" s="115">
        <v>575</v>
      </c>
      <c r="G240">
        <v>602</v>
      </c>
      <c r="H240" s="115"/>
      <c r="I240" s="115"/>
      <c r="L240" s="169">
        <v>42353</v>
      </c>
      <c r="M240" s="115">
        <v>115.57</v>
      </c>
      <c r="N240" s="115">
        <v>118.5</v>
      </c>
      <c r="O240" s="115">
        <v>115</v>
      </c>
      <c r="P240" s="115">
        <v>117.82</v>
      </c>
      <c r="Q240" s="115">
        <v>577.85</v>
      </c>
      <c r="R240">
        <v>898</v>
      </c>
    </row>
    <row r="241" spans="1:18" x14ac:dyDescent="0.25">
      <c r="A241" s="169">
        <v>42354</v>
      </c>
      <c r="B241" s="115">
        <v>116.75</v>
      </c>
      <c r="C241" s="115">
        <v>115.55</v>
      </c>
      <c r="D241" s="115">
        <v>115.2</v>
      </c>
      <c r="E241" s="115">
        <v>115.2</v>
      </c>
      <c r="F241" s="115">
        <v>577.75</v>
      </c>
      <c r="G241">
        <v>167</v>
      </c>
      <c r="H241" s="115"/>
      <c r="I241" s="115"/>
      <c r="L241" s="169">
        <v>42354</v>
      </c>
      <c r="M241" s="115">
        <v>116.41</v>
      </c>
      <c r="N241" s="115">
        <v>117</v>
      </c>
      <c r="O241" s="115">
        <v>115</v>
      </c>
      <c r="P241" s="115">
        <v>115.43</v>
      </c>
      <c r="Q241" s="115">
        <v>582.04999999999995</v>
      </c>
      <c r="R241">
        <v>655</v>
      </c>
    </row>
    <row r="242" spans="1:18" x14ac:dyDescent="0.25">
      <c r="A242" s="169">
        <v>42355</v>
      </c>
      <c r="B242" s="115">
        <v>118</v>
      </c>
      <c r="C242" s="115">
        <v>115.8</v>
      </c>
      <c r="D242" s="115">
        <v>115.8</v>
      </c>
      <c r="E242" s="115">
        <v>117</v>
      </c>
      <c r="F242" s="115">
        <v>579</v>
      </c>
      <c r="G242">
        <v>219</v>
      </c>
      <c r="H242" s="115"/>
      <c r="I242" s="115"/>
      <c r="L242" s="169">
        <v>42355</v>
      </c>
      <c r="M242" s="115">
        <v>115.91</v>
      </c>
      <c r="N242" s="115">
        <v>119.39</v>
      </c>
      <c r="O242" s="115">
        <v>115.8</v>
      </c>
      <c r="P242" s="115">
        <v>116.8</v>
      </c>
      <c r="Q242" s="115">
        <v>579.54999999999995</v>
      </c>
      <c r="R242">
        <v>821</v>
      </c>
    </row>
    <row r="243" spans="1:18" x14ac:dyDescent="0.25">
      <c r="A243" s="169">
        <v>42356</v>
      </c>
      <c r="B243" s="115">
        <v>116.1</v>
      </c>
      <c r="C243" s="115">
        <v>115.3</v>
      </c>
      <c r="D243" s="115">
        <v>115</v>
      </c>
      <c r="E243" s="115">
        <v>115.85</v>
      </c>
      <c r="F243" s="115">
        <v>576.5</v>
      </c>
      <c r="G243">
        <v>99</v>
      </c>
      <c r="H243" s="115"/>
      <c r="I243" s="115"/>
      <c r="L243" s="169">
        <v>42356</v>
      </c>
      <c r="M243" s="115">
        <v>115.23</v>
      </c>
      <c r="N243" s="115">
        <v>117</v>
      </c>
      <c r="O243" s="115">
        <v>115</v>
      </c>
      <c r="P243" s="115">
        <v>115.59</v>
      </c>
      <c r="Q243" s="115">
        <v>576.15</v>
      </c>
      <c r="R243">
        <v>15619</v>
      </c>
    </row>
    <row r="244" spans="1:18" x14ac:dyDescent="0.25">
      <c r="A244" s="169">
        <v>42359</v>
      </c>
      <c r="B244" s="115">
        <v>118.45</v>
      </c>
      <c r="C244" s="115">
        <v>116.35</v>
      </c>
      <c r="D244" s="115">
        <v>115.05</v>
      </c>
      <c r="E244" s="115">
        <v>117</v>
      </c>
      <c r="F244" s="115">
        <v>581.75</v>
      </c>
      <c r="G244">
        <v>1391</v>
      </c>
      <c r="H244" s="115"/>
      <c r="I244" s="115"/>
      <c r="L244" s="169">
        <v>42359</v>
      </c>
      <c r="M244" s="115">
        <v>116.48</v>
      </c>
      <c r="N244" s="115">
        <v>121.68</v>
      </c>
      <c r="O244" s="115">
        <v>115.33</v>
      </c>
      <c r="P244" s="115">
        <v>117</v>
      </c>
      <c r="Q244" s="115">
        <v>582.4</v>
      </c>
      <c r="R244">
        <v>2644</v>
      </c>
    </row>
    <row r="245" spans="1:18" x14ac:dyDescent="0.25">
      <c r="A245" s="169">
        <v>42360</v>
      </c>
      <c r="B245" s="115">
        <v>117.6</v>
      </c>
      <c r="C245" s="115">
        <v>115</v>
      </c>
      <c r="D245" s="115">
        <v>115</v>
      </c>
      <c r="E245" s="115">
        <v>117.6</v>
      </c>
      <c r="F245" s="115">
        <v>575</v>
      </c>
      <c r="G245">
        <v>751</v>
      </c>
      <c r="H245" s="115"/>
      <c r="I245" s="115"/>
      <c r="L245" s="169">
        <v>42360</v>
      </c>
      <c r="M245" s="115">
        <v>115.2</v>
      </c>
      <c r="N245" s="115">
        <v>117.2</v>
      </c>
      <c r="O245" s="115">
        <v>115</v>
      </c>
      <c r="P245" s="115">
        <v>117.2</v>
      </c>
      <c r="Q245" s="115">
        <v>576</v>
      </c>
      <c r="R245">
        <v>838</v>
      </c>
    </row>
    <row r="246" spans="1:18" x14ac:dyDescent="0.25">
      <c r="A246" s="169">
        <v>42361</v>
      </c>
      <c r="B246" s="115">
        <v>117</v>
      </c>
      <c r="C246" s="115">
        <v>115.05</v>
      </c>
      <c r="D246" s="115">
        <v>114.45</v>
      </c>
      <c r="E246" s="115">
        <v>117</v>
      </c>
      <c r="F246" s="115">
        <v>575.25</v>
      </c>
      <c r="G246">
        <v>510</v>
      </c>
      <c r="H246" s="115"/>
      <c r="I246" s="115"/>
      <c r="L246" s="169">
        <v>42361</v>
      </c>
      <c r="M246" s="115">
        <v>115.17</v>
      </c>
      <c r="N246" s="115">
        <v>116.78</v>
      </c>
      <c r="O246" s="115">
        <v>115</v>
      </c>
      <c r="P246" s="115">
        <v>116.37</v>
      </c>
      <c r="Q246" s="115">
        <v>575.85</v>
      </c>
      <c r="R246">
        <v>1634</v>
      </c>
    </row>
    <row r="247" spans="1:18" x14ac:dyDescent="0.25">
      <c r="A247" s="169">
        <v>42362</v>
      </c>
      <c r="B247" s="115">
        <v>117.4</v>
      </c>
      <c r="C247" s="115">
        <v>115.05</v>
      </c>
      <c r="D247" s="115">
        <v>115</v>
      </c>
      <c r="E247" s="115">
        <v>117</v>
      </c>
      <c r="F247" s="115">
        <v>575.25</v>
      </c>
      <c r="G247">
        <v>2608</v>
      </c>
      <c r="H247" s="115"/>
      <c r="I247" s="115"/>
      <c r="L247" s="169">
        <v>42362</v>
      </c>
      <c r="M247" s="115">
        <v>115.47</v>
      </c>
      <c r="N247" s="115">
        <v>116.96</v>
      </c>
      <c r="O247" s="115">
        <v>115.01</v>
      </c>
      <c r="P247" s="115">
        <v>115.01</v>
      </c>
      <c r="Q247" s="115">
        <v>577.35</v>
      </c>
      <c r="R247">
        <v>760</v>
      </c>
    </row>
    <row r="248" spans="1:18" x14ac:dyDescent="0.25">
      <c r="A248" s="169">
        <v>42366</v>
      </c>
      <c r="B248" s="115">
        <v>117</v>
      </c>
      <c r="C248" s="115">
        <v>115.65</v>
      </c>
      <c r="D248" s="115">
        <v>114.9</v>
      </c>
      <c r="E248" s="115">
        <v>117</v>
      </c>
      <c r="F248" s="115">
        <v>578.25</v>
      </c>
      <c r="G248">
        <v>337</v>
      </c>
      <c r="H248" s="115"/>
      <c r="I248" s="115"/>
      <c r="L248" s="169">
        <v>42366</v>
      </c>
      <c r="M248" s="115">
        <v>115.27</v>
      </c>
      <c r="N248" s="115">
        <v>117.52</v>
      </c>
      <c r="O248" s="115">
        <v>115</v>
      </c>
      <c r="P248" s="115">
        <v>117.52</v>
      </c>
      <c r="Q248" s="115">
        <v>576.35</v>
      </c>
      <c r="R248">
        <v>1415</v>
      </c>
    </row>
    <row r="249" spans="1:18" x14ac:dyDescent="0.25">
      <c r="A249" s="169">
        <v>42367</v>
      </c>
      <c r="B249" s="115">
        <v>116.05</v>
      </c>
      <c r="C249" s="115">
        <v>115.5</v>
      </c>
      <c r="D249" s="115">
        <v>114.95</v>
      </c>
      <c r="E249" s="115">
        <v>116.05</v>
      </c>
      <c r="F249" s="115">
        <v>577.5</v>
      </c>
      <c r="G249">
        <v>1133</v>
      </c>
      <c r="H249" s="115"/>
      <c r="I249" s="115"/>
      <c r="L249" s="169">
        <v>42367</v>
      </c>
      <c r="M249" s="115">
        <v>115.3</v>
      </c>
      <c r="N249" s="115">
        <v>116.74</v>
      </c>
      <c r="O249" s="115">
        <v>114.83</v>
      </c>
      <c r="P249" s="115">
        <v>116.74</v>
      </c>
      <c r="Q249" s="115">
        <v>576.5</v>
      </c>
      <c r="R249">
        <v>819</v>
      </c>
    </row>
    <row r="250" spans="1:18" x14ac:dyDescent="0.25">
      <c r="A250" s="169">
        <v>42368</v>
      </c>
      <c r="B250" s="115">
        <v>120.35</v>
      </c>
      <c r="C250" s="115">
        <v>119.2</v>
      </c>
      <c r="D250" s="115">
        <v>115.05</v>
      </c>
      <c r="E250" s="115">
        <v>115.05</v>
      </c>
      <c r="F250" s="115">
        <v>596</v>
      </c>
      <c r="G250">
        <v>1052</v>
      </c>
      <c r="H250" s="115"/>
      <c r="I250" s="115"/>
      <c r="L250" s="169">
        <v>42368</v>
      </c>
      <c r="M250" s="115">
        <v>119.31</v>
      </c>
      <c r="N250" s="115">
        <v>121.79</v>
      </c>
      <c r="O250" s="115">
        <v>115.39</v>
      </c>
      <c r="P250" s="115">
        <v>116.59</v>
      </c>
      <c r="Q250" s="115">
        <v>596.54999999999995</v>
      </c>
      <c r="R250">
        <v>10126</v>
      </c>
    </row>
    <row r="251" spans="1:18" x14ac:dyDescent="0.25">
      <c r="A251" s="169">
        <v>42369</v>
      </c>
      <c r="B251" s="115">
        <v>124.95</v>
      </c>
      <c r="C251" s="115">
        <v>123.55</v>
      </c>
      <c r="D251" s="115">
        <v>116.25</v>
      </c>
      <c r="E251" s="115">
        <v>118</v>
      </c>
      <c r="F251" s="115">
        <v>617.75</v>
      </c>
      <c r="G251">
        <v>1721</v>
      </c>
      <c r="H251" s="115"/>
      <c r="I251" s="115"/>
      <c r="L251" s="169">
        <v>42369</v>
      </c>
      <c r="M251" s="115">
        <v>124.45</v>
      </c>
      <c r="N251" s="115">
        <v>125.31</v>
      </c>
      <c r="O251" s="115">
        <v>115.8</v>
      </c>
      <c r="P251" s="115">
        <v>119</v>
      </c>
      <c r="Q251" s="115">
        <v>622.25</v>
      </c>
      <c r="R251">
        <v>18324</v>
      </c>
    </row>
    <row r="252" spans="1:18" x14ac:dyDescent="0.25">
      <c r="A252" s="169">
        <v>42370</v>
      </c>
      <c r="B252" s="115">
        <v>128.94999999999999</v>
      </c>
      <c r="C252" s="115">
        <v>125.75</v>
      </c>
      <c r="D252" s="115">
        <v>120</v>
      </c>
      <c r="E252" s="115">
        <v>122</v>
      </c>
      <c r="F252" s="115">
        <v>628.75</v>
      </c>
      <c r="G252">
        <v>3003</v>
      </c>
      <c r="H252" s="115"/>
      <c r="I252" s="115"/>
      <c r="L252" s="169">
        <v>42370</v>
      </c>
      <c r="M252" s="115">
        <v>125.62</v>
      </c>
      <c r="N252" s="115">
        <v>128.71</v>
      </c>
      <c r="O252" s="115">
        <v>120.05</v>
      </c>
      <c r="P252" s="115">
        <v>121</v>
      </c>
      <c r="Q252" s="115">
        <v>628.1</v>
      </c>
      <c r="R252">
        <v>24462</v>
      </c>
    </row>
    <row r="253" spans="1:18" x14ac:dyDescent="0.25">
      <c r="A253" s="169">
        <v>42373</v>
      </c>
      <c r="B253" s="115">
        <v>126.8</v>
      </c>
      <c r="C253" s="115">
        <v>123.5</v>
      </c>
      <c r="D253" s="115">
        <v>120.8</v>
      </c>
      <c r="E253" s="115">
        <v>125.75</v>
      </c>
      <c r="F253" s="115">
        <v>617.5</v>
      </c>
      <c r="G253">
        <v>2702</v>
      </c>
      <c r="H253" s="115"/>
      <c r="I253" s="115"/>
      <c r="L253" s="169">
        <v>42373</v>
      </c>
      <c r="M253" s="115">
        <v>123.8</v>
      </c>
      <c r="N253" s="115">
        <v>126</v>
      </c>
      <c r="O253" s="115">
        <v>121.22</v>
      </c>
      <c r="P253" s="115">
        <v>124.68</v>
      </c>
      <c r="Q253" s="115">
        <v>619</v>
      </c>
      <c r="R253">
        <v>4826</v>
      </c>
    </row>
    <row r="254" spans="1:18" x14ac:dyDescent="0.25">
      <c r="A254" s="169">
        <v>42374</v>
      </c>
      <c r="B254" s="115">
        <v>126</v>
      </c>
      <c r="C254" s="115">
        <v>123.6</v>
      </c>
      <c r="D254" s="115">
        <v>122</v>
      </c>
      <c r="E254" s="115">
        <v>124.9</v>
      </c>
      <c r="F254" s="115">
        <v>618</v>
      </c>
      <c r="G254">
        <v>2600</v>
      </c>
      <c r="H254" s="115"/>
      <c r="I254" s="115"/>
      <c r="L254" s="169">
        <v>42374</v>
      </c>
      <c r="M254" s="115">
        <v>122.21</v>
      </c>
      <c r="N254" s="115">
        <v>125.4</v>
      </c>
      <c r="O254" s="115">
        <v>121.2</v>
      </c>
      <c r="P254" s="115">
        <v>121.6</v>
      </c>
      <c r="Q254" s="115">
        <v>611.04999999999995</v>
      </c>
      <c r="R254">
        <v>2395</v>
      </c>
    </row>
    <row r="255" spans="1:18" x14ac:dyDescent="0.25">
      <c r="A255" s="169">
        <v>42375</v>
      </c>
      <c r="B255" s="115">
        <v>125.25</v>
      </c>
      <c r="C255" s="115">
        <v>122.85</v>
      </c>
      <c r="D255" s="115">
        <v>121.4</v>
      </c>
      <c r="E255" s="115">
        <v>123</v>
      </c>
      <c r="F255" s="115">
        <v>614.25</v>
      </c>
      <c r="G255">
        <v>1168</v>
      </c>
      <c r="H255" s="115"/>
      <c r="I255" s="115"/>
      <c r="L255" s="169">
        <v>42375</v>
      </c>
      <c r="M255" s="115">
        <v>121.97</v>
      </c>
      <c r="N255" s="115">
        <v>125.35</v>
      </c>
      <c r="O255" s="115">
        <v>121</v>
      </c>
      <c r="P255" s="115">
        <v>122.6</v>
      </c>
      <c r="Q255" s="115">
        <v>609.85</v>
      </c>
      <c r="R255">
        <v>2774</v>
      </c>
    </row>
    <row r="256" spans="1:18" x14ac:dyDescent="0.25">
      <c r="A256" s="169">
        <v>42376</v>
      </c>
      <c r="B256" s="115">
        <v>123.4</v>
      </c>
      <c r="C256" s="115">
        <v>117.2</v>
      </c>
      <c r="D256" s="115">
        <v>115.3</v>
      </c>
      <c r="E256" s="115">
        <v>122.45</v>
      </c>
      <c r="F256" s="115">
        <v>586</v>
      </c>
      <c r="G256">
        <v>769</v>
      </c>
      <c r="H256" s="115"/>
      <c r="I256" s="115"/>
      <c r="L256" s="169">
        <v>42376</v>
      </c>
      <c r="M256" s="115">
        <v>117.04</v>
      </c>
      <c r="N256" s="115">
        <v>123.64</v>
      </c>
      <c r="O256" s="115">
        <v>116</v>
      </c>
      <c r="P256" s="115">
        <v>122.8</v>
      </c>
      <c r="Q256" s="115">
        <v>585.20000000000005</v>
      </c>
      <c r="R256">
        <v>2218</v>
      </c>
    </row>
    <row r="257" spans="1:18" x14ac:dyDescent="0.25">
      <c r="A257" s="169">
        <v>42377</v>
      </c>
      <c r="B257" s="115">
        <v>123</v>
      </c>
      <c r="C257" s="115">
        <v>119.85</v>
      </c>
      <c r="D257" s="115">
        <v>115</v>
      </c>
      <c r="E257" s="115">
        <v>123</v>
      </c>
      <c r="F257" s="115">
        <v>599.25</v>
      </c>
      <c r="G257">
        <v>3523</v>
      </c>
      <c r="H257" s="115"/>
      <c r="I257" s="115"/>
      <c r="L257" s="169">
        <v>42377</v>
      </c>
      <c r="M257" s="115">
        <v>120.55</v>
      </c>
      <c r="N257" s="115">
        <v>121.38</v>
      </c>
      <c r="O257" s="115">
        <v>114.89</v>
      </c>
      <c r="P257" s="115">
        <v>119</v>
      </c>
      <c r="Q257" s="115">
        <v>602.75</v>
      </c>
      <c r="R257">
        <v>7519</v>
      </c>
    </row>
    <row r="258" spans="1:18" x14ac:dyDescent="0.25">
      <c r="A258" s="169">
        <v>42380</v>
      </c>
      <c r="B258" s="115">
        <v>120</v>
      </c>
      <c r="C258" s="115">
        <v>116.1</v>
      </c>
      <c r="D258" s="115">
        <v>115.6</v>
      </c>
      <c r="E258" s="115">
        <v>120</v>
      </c>
      <c r="F258" s="115">
        <v>580.5</v>
      </c>
      <c r="G258">
        <v>1494</v>
      </c>
      <c r="H258" s="115"/>
      <c r="I258" s="115"/>
      <c r="L258" s="169">
        <v>42380</v>
      </c>
      <c r="M258" s="115">
        <v>116.46</v>
      </c>
      <c r="N258" s="115">
        <v>119.6</v>
      </c>
      <c r="O258" s="115">
        <v>115.6</v>
      </c>
      <c r="P258" s="115">
        <v>115.6</v>
      </c>
      <c r="Q258" s="115">
        <v>582.29999999999995</v>
      </c>
      <c r="R258">
        <v>4874</v>
      </c>
    </row>
    <row r="259" spans="1:18" x14ac:dyDescent="0.25">
      <c r="A259" s="169">
        <v>42381</v>
      </c>
      <c r="B259" s="115">
        <v>118.1</v>
      </c>
      <c r="C259" s="115">
        <v>116.2</v>
      </c>
      <c r="D259" s="115">
        <v>115</v>
      </c>
      <c r="E259" s="115">
        <v>118.1</v>
      </c>
      <c r="F259" s="115">
        <v>581</v>
      </c>
      <c r="G259">
        <v>147</v>
      </c>
      <c r="H259" s="115"/>
      <c r="I259" s="115"/>
      <c r="L259" s="169">
        <v>42381</v>
      </c>
      <c r="M259" s="115">
        <v>115.58</v>
      </c>
      <c r="N259" s="115">
        <v>118.31</v>
      </c>
      <c r="O259" s="115">
        <v>115</v>
      </c>
      <c r="P259" s="115">
        <v>118.1</v>
      </c>
      <c r="Q259" s="115">
        <v>577.9</v>
      </c>
      <c r="R259">
        <v>2063</v>
      </c>
    </row>
    <row r="260" spans="1:18" x14ac:dyDescent="0.25">
      <c r="A260" s="169">
        <v>42382</v>
      </c>
      <c r="B260" s="115">
        <v>117.8</v>
      </c>
      <c r="C260" s="115">
        <v>114.5</v>
      </c>
      <c r="D260" s="115">
        <v>111</v>
      </c>
      <c r="E260" s="115">
        <v>117.8</v>
      </c>
      <c r="F260" s="115">
        <v>572.5</v>
      </c>
      <c r="G260">
        <v>1221</v>
      </c>
      <c r="H260" s="115"/>
      <c r="I260" s="115"/>
      <c r="L260" s="169">
        <v>42382</v>
      </c>
      <c r="M260" s="115">
        <v>114.32</v>
      </c>
      <c r="N260" s="115">
        <v>118</v>
      </c>
      <c r="O260" s="115">
        <v>111</v>
      </c>
      <c r="P260" s="115">
        <v>118</v>
      </c>
      <c r="Q260" s="115">
        <v>571.6</v>
      </c>
      <c r="R260">
        <v>7008</v>
      </c>
    </row>
    <row r="261" spans="1:18" x14ac:dyDescent="0.25">
      <c r="A261" s="169">
        <v>42383</v>
      </c>
      <c r="B261" s="115">
        <v>117.55</v>
      </c>
      <c r="C261" s="115">
        <v>115</v>
      </c>
      <c r="D261" s="115">
        <v>114</v>
      </c>
      <c r="E261" s="115">
        <v>114</v>
      </c>
      <c r="F261" s="115">
        <v>575</v>
      </c>
      <c r="G261">
        <v>328</v>
      </c>
      <c r="H261" s="115"/>
      <c r="I261" s="115"/>
      <c r="L261" s="169">
        <v>42383</v>
      </c>
      <c r="M261" s="115">
        <v>114.29</v>
      </c>
      <c r="N261" s="115">
        <v>116.99</v>
      </c>
      <c r="O261" s="115">
        <v>111.4</v>
      </c>
      <c r="P261" s="115">
        <v>114.14</v>
      </c>
      <c r="Q261" s="115">
        <v>571.45000000000005</v>
      </c>
      <c r="R261">
        <v>2087</v>
      </c>
    </row>
    <row r="262" spans="1:18" x14ac:dyDescent="0.25">
      <c r="A262" s="169">
        <v>42384</v>
      </c>
      <c r="B262" s="115">
        <v>115.6</v>
      </c>
      <c r="C262" s="115">
        <v>111.85</v>
      </c>
      <c r="D262" s="115">
        <v>110.4</v>
      </c>
      <c r="E262" s="115">
        <v>115.3</v>
      </c>
      <c r="F262" s="115">
        <v>559.25</v>
      </c>
      <c r="G262">
        <v>1068</v>
      </c>
      <c r="H262" s="115"/>
      <c r="I262" s="115"/>
      <c r="L262" s="169">
        <v>42384</v>
      </c>
      <c r="M262" s="115">
        <v>111.11</v>
      </c>
      <c r="N262" s="115">
        <v>115.91</v>
      </c>
      <c r="O262" s="115">
        <v>110</v>
      </c>
      <c r="P262" s="115">
        <v>113.2</v>
      </c>
      <c r="Q262" s="115">
        <v>555.54999999999995</v>
      </c>
      <c r="R262">
        <v>2367</v>
      </c>
    </row>
    <row r="263" spans="1:18" x14ac:dyDescent="0.25">
      <c r="A263" s="169">
        <v>42387</v>
      </c>
      <c r="B263" s="115">
        <v>116</v>
      </c>
      <c r="C263" s="115">
        <v>107.15</v>
      </c>
      <c r="D263" s="115">
        <v>105.25</v>
      </c>
      <c r="E263" s="115">
        <v>116</v>
      </c>
      <c r="F263" s="115">
        <v>535.75</v>
      </c>
      <c r="G263">
        <v>675</v>
      </c>
      <c r="H263" s="115"/>
      <c r="I263" s="115"/>
      <c r="L263" s="169">
        <v>42387</v>
      </c>
      <c r="M263" s="115">
        <v>107.94</v>
      </c>
      <c r="N263" s="115">
        <v>114</v>
      </c>
      <c r="O263" s="115">
        <v>104.7</v>
      </c>
      <c r="P263" s="115">
        <v>113.6</v>
      </c>
      <c r="Q263" s="115">
        <v>539.70000000000005</v>
      </c>
      <c r="R263">
        <v>5326</v>
      </c>
    </row>
    <row r="264" spans="1:18" x14ac:dyDescent="0.25">
      <c r="A264" s="169">
        <v>42388</v>
      </c>
      <c r="B264" s="115">
        <v>113</v>
      </c>
      <c r="C264" s="115">
        <v>111.35</v>
      </c>
      <c r="D264" s="115">
        <v>108.4</v>
      </c>
      <c r="E264" s="115">
        <v>109.2</v>
      </c>
      <c r="F264" s="115">
        <v>556.75</v>
      </c>
      <c r="G264">
        <v>644</v>
      </c>
      <c r="H264" s="115"/>
      <c r="I264" s="115"/>
      <c r="L264" s="169">
        <v>42388</v>
      </c>
      <c r="M264" s="115">
        <v>111.97</v>
      </c>
      <c r="N264" s="115">
        <v>116.4</v>
      </c>
      <c r="O264" s="115">
        <v>108.11</v>
      </c>
      <c r="P264" s="115">
        <v>110.4</v>
      </c>
      <c r="Q264" s="115">
        <v>559.85</v>
      </c>
      <c r="R264">
        <v>1855</v>
      </c>
    </row>
    <row r="265" spans="1:18" x14ac:dyDescent="0.25">
      <c r="A265" s="169">
        <v>42389</v>
      </c>
      <c r="B265" s="115">
        <v>111</v>
      </c>
      <c r="C265" s="115">
        <v>109.5</v>
      </c>
      <c r="D265" s="115">
        <v>99.8</v>
      </c>
      <c r="E265" s="115">
        <v>108</v>
      </c>
      <c r="F265" s="115">
        <v>547.5</v>
      </c>
      <c r="G265">
        <v>9668</v>
      </c>
      <c r="H265" s="115"/>
      <c r="I265" s="115"/>
      <c r="L265" s="169">
        <v>42389</v>
      </c>
      <c r="M265" s="115">
        <v>108.9</v>
      </c>
      <c r="N265" s="115">
        <v>111</v>
      </c>
      <c r="O265" s="115">
        <v>103.24</v>
      </c>
      <c r="P265" s="115">
        <v>110</v>
      </c>
      <c r="Q265" s="115">
        <v>544.5</v>
      </c>
      <c r="R265">
        <v>7030</v>
      </c>
    </row>
    <row r="266" spans="1:18" x14ac:dyDescent="0.25">
      <c r="A266" s="169">
        <v>42390</v>
      </c>
      <c r="B266" s="115">
        <v>111.45</v>
      </c>
      <c r="C266" s="115">
        <v>110.55</v>
      </c>
      <c r="D266" s="115">
        <v>109.45</v>
      </c>
      <c r="E266" s="115">
        <v>111</v>
      </c>
      <c r="F266" s="115">
        <v>552.75</v>
      </c>
      <c r="G266">
        <v>100</v>
      </c>
      <c r="H266" s="115"/>
      <c r="I266" s="115"/>
      <c r="L266" s="169">
        <v>42390</v>
      </c>
      <c r="M266" s="115">
        <v>109.1</v>
      </c>
      <c r="N266" s="115">
        <v>111</v>
      </c>
      <c r="O266" s="115">
        <v>109</v>
      </c>
      <c r="P266" s="115">
        <v>111</v>
      </c>
      <c r="Q266" s="115">
        <v>545.5</v>
      </c>
      <c r="R266">
        <v>392</v>
      </c>
    </row>
    <row r="267" spans="1:18" x14ac:dyDescent="0.25">
      <c r="A267" s="169">
        <v>42391</v>
      </c>
      <c r="B267" s="115">
        <v>111.6</v>
      </c>
      <c r="C267" s="115">
        <v>106.75</v>
      </c>
      <c r="D267" s="115">
        <v>106</v>
      </c>
      <c r="E267" s="115">
        <v>110.6</v>
      </c>
      <c r="F267" s="115">
        <v>533.75</v>
      </c>
      <c r="G267">
        <v>2836</v>
      </c>
      <c r="H267" s="115"/>
      <c r="I267" s="115"/>
      <c r="L267" s="169">
        <v>42391</v>
      </c>
      <c r="M267" s="115">
        <v>108.35</v>
      </c>
      <c r="N267" s="115">
        <v>112.6</v>
      </c>
      <c r="O267" s="115">
        <v>106.3</v>
      </c>
      <c r="P267" s="115">
        <v>112.6</v>
      </c>
      <c r="Q267" s="115">
        <v>541.75</v>
      </c>
      <c r="R267">
        <v>1648</v>
      </c>
    </row>
    <row r="268" spans="1:18" x14ac:dyDescent="0.25">
      <c r="A268" s="169">
        <v>42394</v>
      </c>
      <c r="B268" s="115">
        <v>110.2</v>
      </c>
      <c r="C268" s="115">
        <v>109.1</v>
      </c>
      <c r="D268" s="115">
        <v>107.75</v>
      </c>
      <c r="E268" s="115">
        <v>107.75</v>
      </c>
      <c r="F268" s="115">
        <v>545.5</v>
      </c>
      <c r="G268">
        <v>359</v>
      </c>
      <c r="H268" s="115"/>
      <c r="I268" s="115"/>
      <c r="L268" s="169">
        <v>42394</v>
      </c>
      <c r="M268" s="115">
        <v>109.17</v>
      </c>
      <c r="N268" s="115">
        <v>110</v>
      </c>
      <c r="O268" s="115">
        <v>106.4</v>
      </c>
      <c r="P268" s="115">
        <v>106.4</v>
      </c>
      <c r="Q268" s="115">
        <v>545.85</v>
      </c>
      <c r="R268">
        <v>2407</v>
      </c>
    </row>
    <row r="269" spans="1:18" x14ac:dyDescent="0.25">
      <c r="A269" s="169">
        <v>42396</v>
      </c>
      <c r="B269" s="115">
        <v>112</v>
      </c>
      <c r="C269" s="115">
        <v>111.45</v>
      </c>
      <c r="D269" s="115">
        <v>109.65</v>
      </c>
      <c r="E269" s="115">
        <v>111</v>
      </c>
      <c r="F269" s="115">
        <v>557.25</v>
      </c>
      <c r="G269">
        <v>99</v>
      </c>
      <c r="H269" s="115"/>
      <c r="I269" s="115"/>
      <c r="L269" s="169">
        <v>42396</v>
      </c>
      <c r="M269" s="115">
        <v>112.14</v>
      </c>
      <c r="N269" s="115">
        <v>112.8</v>
      </c>
      <c r="O269" s="115">
        <v>108.41</v>
      </c>
      <c r="P269" s="115">
        <v>110</v>
      </c>
      <c r="Q269" s="115">
        <v>560.70000000000005</v>
      </c>
      <c r="R269">
        <v>783</v>
      </c>
    </row>
    <row r="270" spans="1:18" x14ac:dyDescent="0.25">
      <c r="A270" s="169">
        <v>42397</v>
      </c>
      <c r="B270" s="115">
        <v>111.05</v>
      </c>
      <c r="C270" s="115">
        <v>110.1</v>
      </c>
      <c r="D270" s="115">
        <v>110.05</v>
      </c>
      <c r="E270" s="115">
        <v>111</v>
      </c>
      <c r="F270" s="115">
        <v>550.5</v>
      </c>
      <c r="G270">
        <v>44</v>
      </c>
      <c r="H270" s="115"/>
      <c r="I270" s="115"/>
      <c r="L270" s="169">
        <v>42397</v>
      </c>
      <c r="M270" s="115">
        <v>110.38</v>
      </c>
      <c r="N270" s="115">
        <v>113</v>
      </c>
      <c r="O270" s="115">
        <v>110</v>
      </c>
      <c r="P270" s="115">
        <v>111</v>
      </c>
      <c r="Q270" s="115">
        <v>551.9</v>
      </c>
      <c r="R270">
        <v>478</v>
      </c>
    </row>
    <row r="271" spans="1:18" x14ac:dyDescent="0.25">
      <c r="A271" s="169">
        <v>42398</v>
      </c>
      <c r="B271" s="115">
        <v>111.45</v>
      </c>
      <c r="C271" s="115">
        <v>111.35</v>
      </c>
      <c r="D271" s="115">
        <v>109.5</v>
      </c>
      <c r="E271" s="115">
        <v>110.1</v>
      </c>
      <c r="F271" s="115">
        <v>556.75</v>
      </c>
      <c r="G271">
        <v>452</v>
      </c>
      <c r="H271" s="115"/>
      <c r="I271" s="115"/>
      <c r="L271" s="169">
        <v>42398</v>
      </c>
      <c r="M271" s="115">
        <v>110.68</v>
      </c>
      <c r="N271" s="115">
        <v>111.57</v>
      </c>
      <c r="O271" s="115">
        <v>108.42</v>
      </c>
      <c r="P271" s="115">
        <v>110</v>
      </c>
      <c r="Q271" s="115">
        <v>553.4</v>
      </c>
      <c r="R271">
        <v>1108</v>
      </c>
    </row>
    <row r="272" spans="1:18" x14ac:dyDescent="0.25">
      <c r="A272" s="169">
        <v>42401</v>
      </c>
      <c r="B272" s="115">
        <v>112.65</v>
      </c>
      <c r="C272" s="115">
        <v>111.15</v>
      </c>
      <c r="D272" s="115">
        <v>110.2</v>
      </c>
      <c r="E272" s="115">
        <v>112</v>
      </c>
      <c r="F272" s="115">
        <v>555.75</v>
      </c>
      <c r="G272">
        <v>432</v>
      </c>
      <c r="H272" s="115"/>
      <c r="I272" s="115"/>
      <c r="L272" s="169">
        <v>42401</v>
      </c>
      <c r="M272" s="115">
        <v>110.05</v>
      </c>
      <c r="N272" s="115">
        <v>113</v>
      </c>
      <c r="O272" s="115">
        <v>109.15</v>
      </c>
      <c r="P272" s="115">
        <v>110</v>
      </c>
      <c r="Q272" s="115">
        <v>550.25</v>
      </c>
      <c r="R272">
        <v>1755</v>
      </c>
    </row>
    <row r="273" spans="1:18" x14ac:dyDescent="0.25">
      <c r="A273" s="169">
        <v>42402</v>
      </c>
      <c r="B273" s="115">
        <v>112.2</v>
      </c>
      <c r="C273" s="115">
        <v>109.85</v>
      </c>
      <c r="D273" s="115">
        <v>109</v>
      </c>
      <c r="E273" s="115">
        <v>111.9</v>
      </c>
      <c r="F273" s="115">
        <v>549.25</v>
      </c>
      <c r="G273">
        <v>266</v>
      </c>
      <c r="H273" s="115"/>
      <c r="I273" s="115"/>
      <c r="L273" s="169">
        <v>42402</v>
      </c>
      <c r="M273" s="115">
        <v>110.04</v>
      </c>
      <c r="N273" s="115">
        <v>112.2</v>
      </c>
      <c r="O273" s="115">
        <v>109</v>
      </c>
      <c r="P273" s="115">
        <v>111.93</v>
      </c>
      <c r="Q273" s="115">
        <v>550.20000000000005</v>
      </c>
      <c r="R273">
        <v>958</v>
      </c>
    </row>
    <row r="274" spans="1:18" x14ac:dyDescent="0.25">
      <c r="A274" s="169">
        <v>42403</v>
      </c>
      <c r="B274" s="115">
        <v>110.4</v>
      </c>
      <c r="C274" s="115">
        <v>107.7</v>
      </c>
      <c r="D274" s="115">
        <v>106.3</v>
      </c>
      <c r="E274" s="115">
        <v>110.3</v>
      </c>
      <c r="F274" s="115">
        <v>538.5</v>
      </c>
      <c r="G274">
        <v>1191</v>
      </c>
      <c r="H274" s="115"/>
      <c r="I274" s="115"/>
      <c r="L274" s="169">
        <v>42403</v>
      </c>
      <c r="M274" s="115">
        <v>107.34</v>
      </c>
      <c r="N274" s="115">
        <v>110</v>
      </c>
      <c r="O274" s="115">
        <v>106.38</v>
      </c>
      <c r="P274" s="115">
        <v>110</v>
      </c>
      <c r="Q274" s="115">
        <v>536.70000000000005</v>
      </c>
      <c r="R274">
        <v>3950</v>
      </c>
    </row>
    <row r="275" spans="1:18" x14ac:dyDescent="0.25">
      <c r="A275" s="169">
        <v>42404</v>
      </c>
      <c r="B275" s="115">
        <v>110</v>
      </c>
      <c r="C275" s="115">
        <v>107.85</v>
      </c>
      <c r="D275" s="115">
        <v>107.65</v>
      </c>
      <c r="E275" s="115">
        <v>108</v>
      </c>
      <c r="F275" s="115">
        <v>539.25</v>
      </c>
      <c r="G275">
        <v>536</v>
      </c>
      <c r="H275" s="115"/>
      <c r="I275" s="115"/>
      <c r="L275" s="169">
        <v>42404</v>
      </c>
      <c r="M275" s="115">
        <v>107.64</v>
      </c>
      <c r="N275" s="115">
        <v>110.93</v>
      </c>
      <c r="O275" s="115">
        <v>106.66</v>
      </c>
      <c r="P275" s="115">
        <v>108</v>
      </c>
      <c r="Q275" s="115">
        <v>538.20000000000005</v>
      </c>
      <c r="R275">
        <v>6248</v>
      </c>
    </row>
    <row r="276" spans="1:18" x14ac:dyDescent="0.25">
      <c r="A276" s="169">
        <v>42405</v>
      </c>
      <c r="B276" s="115">
        <v>108.8</v>
      </c>
      <c r="C276" s="115">
        <v>107.45</v>
      </c>
      <c r="D276" s="115">
        <v>105.05</v>
      </c>
      <c r="E276" s="115">
        <v>108.8</v>
      </c>
      <c r="F276" s="115">
        <v>537.25</v>
      </c>
      <c r="G276">
        <v>127</v>
      </c>
      <c r="H276" s="115"/>
      <c r="I276" s="115"/>
      <c r="L276" s="169">
        <v>42405</v>
      </c>
      <c r="M276" s="115">
        <v>107.79</v>
      </c>
      <c r="N276" s="115">
        <v>109.58</v>
      </c>
      <c r="O276" s="115">
        <v>106.8</v>
      </c>
      <c r="P276" s="115">
        <v>106.8</v>
      </c>
      <c r="Q276" s="115">
        <v>538.95000000000005</v>
      </c>
      <c r="R276">
        <v>5778</v>
      </c>
    </row>
    <row r="277" spans="1:18" x14ac:dyDescent="0.25">
      <c r="A277" s="169">
        <v>42408</v>
      </c>
      <c r="B277" s="115">
        <v>110</v>
      </c>
      <c r="C277" s="115">
        <v>108</v>
      </c>
      <c r="D277" s="115">
        <v>108</v>
      </c>
      <c r="E277" s="115">
        <v>108.8</v>
      </c>
      <c r="F277" s="115">
        <v>540</v>
      </c>
      <c r="G277">
        <v>211</v>
      </c>
      <c r="H277" s="115"/>
      <c r="I277" s="115"/>
      <c r="L277" s="169">
        <v>42408</v>
      </c>
      <c r="M277" s="115">
        <v>107.83</v>
      </c>
      <c r="N277" s="115">
        <v>110</v>
      </c>
      <c r="O277" s="115">
        <v>107.2</v>
      </c>
      <c r="P277" s="115">
        <v>107.2</v>
      </c>
      <c r="Q277" s="115">
        <v>539.15</v>
      </c>
      <c r="R277">
        <v>1687</v>
      </c>
    </row>
    <row r="278" spans="1:18" x14ac:dyDescent="0.25">
      <c r="A278" s="169">
        <v>42409</v>
      </c>
      <c r="B278" s="115">
        <v>108.8</v>
      </c>
      <c r="C278" s="115">
        <v>107.65</v>
      </c>
      <c r="D278" s="115">
        <v>106.4</v>
      </c>
      <c r="E278" s="115">
        <v>108.8</v>
      </c>
      <c r="F278" s="115">
        <v>538.25</v>
      </c>
      <c r="G278">
        <v>472</v>
      </c>
      <c r="H278" s="115"/>
      <c r="I278" s="115"/>
      <c r="L278" s="169">
        <v>42409</v>
      </c>
      <c r="M278" s="115">
        <v>106.99</v>
      </c>
      <c r="N278" s="115">
        <v>108</v>
      </c>
      <c r="O278" s="115">
        <v>106.01</v>
      </c>
      <c r="P278" s="115">
        <v>106.2</v>
      </c>
      <c r="Q278" s="115">
        <v>534.95000000000005</v>
      </c>
      <c r="R278">
        <v>1189</v>
      </c>
    </row>
    <row r="279" spans="1:18" x14ac:dyDescent="0.25">
      <c r="A279" s="169">
        <v>42410</v>
      </c>
      <c r="B279" s="115">
        <v>110.3</v>
      </c>
      <c r="C279" s="115">
        <v>108.1</v>
      </c>
      <c r="D279" s="115">
        <v>105.5</v>
      </c>
      <c r="E279" s="115">
        <v>108.3</v>
      </c>
      <c r="F279" s="115">
        <v>540.5</v>
      </c>
      <c r="G279">
        <v>472</v>
      </c>
      <c r="H279" s="115"/>
      <c r="I279" s="115"/>
      <c r="L279" s="169">
        <v>42410</v>
      </c>
      <c r="M279" s="115">
        <v>107.01</v>
      </c>
      <c r="N279" s="115">
        <v>110.76</v>
      </c>
      <c r="O279" s="115">
        <v>106</v>
      </c>
      <c r="P279" s="115">
        <v>108.7</v>
      </c>
      <c r="Q279" s="115">
        <v>535.04999999999995</v>
      </c>
      <c r="R279">
        <v>4301</v>
      </c>
    </row>
    <row r="280" spans="1:18" x14ac:dyDescent="0.25">
      <c r="A280" s="169">
        <v>42411</v>
      </c>
      <c r="B280" s="115">
        <v>107.55</v>
      </c>
      <c r="C280" s="115">
        <v>105.45</v>
      </c>
      <c r="D280" s="115">
        <v>105</v>
      </c>
      <c r="E280" s="115">
        <v>105.3</v>
      </c>
      <c r="F280" s="115">
        <v>527.25</v>
      </c>
      <c r="G280">
        <v>411</v>
      </c>
      <c r="H280" s="115"/>
      <c r="I280" s="115"/>
      <c r="L280" s="169">
        <v>42411</v>
      </c>
      <c r="M280" s="115">
        <v>106.29</v>
      </c>
      <c r="N280" s="115">
        <v>107.98</v>
      </c>
      <c r="O280" s="115">
        <v>104.66</v>
      </c>
      <c r="P280" s="115">
        <v>105</v>
      </c>
      <c r="Q280" s="115">
        <v>531.45000000000005</v>
      </c>
      <c r="R280">
        <v>23700</v>
      </c>
    </row>
    <row r="281" spans="1:18" x14ac:dyDescent="0.25">
      <c r="A281" s="169">
        <v>42412</v>
      </c>
      <c r="B281" s="115">
        <v>105</v>
      </c>
      <c r="C281" s="115">
        <v>101.95</v>
      </c>
      <c r="D281" s="115">
        <v>100.05</v>
      </c>
      <c r="E281" s="115">
        <v>105</v>
      </c>
      <c r="F281" s="115">
        <v>509.75</v>
      </c>
      <c r="G281">
        <v>2383</v>
      </c>
      <c r="H281" s="115"/>
      <c r="I281" s="115"/>
      <c r="L281" s="169">
        <v>42412</v>
      </c>
      <c r="M281" s="115">
        <v>103.15</v>
      </c>
      <c r="N281" s="115">
        <v>106.97</v>
      </c>
      <c r="O281" s="115">
        <v>101</v>
      </c>
      <c r="P281" s="115">
        <v>105.74</v>
      </c>
      <c r="Q281" s="115">
        <v>515.75</v>
      </c>
      <c r="R281">
        <v>1952</v>
      </c>
    </row>
    <row r="282" spans="1:18" x14ac:dyDescent="0.25">
      <c r="A282" s="169">
        <v>42415</v>
      </c>
      <c r="B282" s="115">
        <v>108.95</v>
      </c>
      <c r="C282" s="115">
        <v>105.2</v>
      </c>
      <c r="D282" s="115">
        <v>104</v>
      </c>
      <c r="E282" s="115">
        <v>105</v>
      </c>
      <c r="F282" s="115">
        <v>526</v>
      </c>
      <c r="G282">
        <v>232</v>
      </c>
      <c r="H282" s="115"/>
      <c r="I282" s="115"/>
      <c r="L282" s="169">
        <v>42415</v>
      </c>
      <c r="M282" s="115">
        <v>106.2</v>
      </c>
      <c r="N282" s="115">
        <v>109.79</v>
      </c>
      <c r="O282" s="115">
        <v>103.2</v>
      </c>
      <c r="P282" s="115">
        <v>103.2</v>
      </c>
      <c r="Q282" s="115">
        <v>531</v>
      </c>
      <c r="R282">
        <v>748</v>
      </c>
    </row>
    <row r="283" spans="1:18" x14ac:dyDescent="0.25">
      <c r="A283" s="169">
        <v>42416</v>
      </c>
      <c r="B283" s="115">
        <v>105.05</v>
      </c>
      <c r="C283" s="115">
        <v>103.1</v>
      </c>
      <c r="D283" s="115">
        <v>102.3</v>
      </c>
      <c r="E283" s="115">
        <v>105.05</v>
      </c>
      <c r="F283" s="115">
        <v>515.5</v>
      </c>
      <c r="G283">
        <v>114</v>
      </c>
      <c r="H283" s="115"/>
      <c r="I283" s="115"/>
      <c r="L283" s="169">
        <v>42416</v>
      </c>
      <c r="M283" s="115">
        <v>103.98</v>
      </c>
      <c r="N283" s="115">
        <v>106</v>
      </c>
      <c r="O283" s="115">
        <v>103.11</v>
      </c>
      <c r="P283" s="115">
        <v>106</v>
      </c>
      <c r="Q283" s="115">
        <v>519.9</v>
      </c>
      <c r="R283">
        <v>459</v>
      </c>
    </row>
    <row r="284" spans="1:18" x14ac:dyDescent="0.25">
      <c r="A284" s="169">
        <v>42417</v>
      </c>
      <c r="B284" s="115">
        <v>103.8</v>
      </c>
      <c r="C284" s="115">
        <v>101.75</v>
      </c>
      <c r="D284" s="115">
        <v>100.7</v>
      </c>
      <c r="E284" s="115">
        <v>103.8</v>
      </c>
      <c r="F284" s="115">
        <v>508.75</v>
      </c>
      <c r="G284">
        <v>1275</v>
      </c>
      <c r="H284" s="115"/>
      <c r="I284" s="115"/>
      <c r="L284" s="169">
        <v>42417</v>
      </c>
      <c r="M284" s="115">
        <v>101.89</v>
      </c>
      <c r="N284" s="115">
        <v>105.6</v>
      </c>
      <c r="O284" s="115">
        <v>100.6</v>
      </c>
      <c r="P284" s="115">
        <v>103</v>
      </c>
      <c r="Q284" s="115">
        <v>509.45</v>
      </c>
      <c r="R284">
        <v>711</v>
      </c>
    </row>
    <row r="285" spans="1:18" x14ac:dyDescent="0.25">
      <c r="A285" s="169">
        <v>42418</v>
      </c>
      <c r="B285" s="115">
        <v>106.55</v>
      </c>
      <c r="C285" s="115">
        <v>103.7</v>
      </c>
      <c r="D285" s="115">
        <v>102.6</v>
      </c>
      <c r="E285" s="115">
        <v>103</v>
      </c>
      <c r="F285" s="115">
        <v>518.5</v>
      </c>
      <c r="G285">
        <v>403</v>
      </c>
      <c r="H285" s="115"/>
      <c r="I285" s="115"/>
      <c r="L285" s="169">
        <v>42418</v>
      </c>
      <c r="M285" s="115">
        <v>103.67</v>
      </c>
      <c r="N285" s="115">
        <v>107.76</v>
      </c>
      <c r="O285" s="115">
        <v>102.81</v>
      </c>
      <c r="P285" s="115">
        <v>107.76</v>
      </c>
      <c r="Q285" s="115">
        <v>518.35</v>
      </c>
      <c r="R285">
        <v>1726</v>
      </c>
    </row>
    <row r="286" spans="1:18" x14ac:dyDescent="0.25">
      <c r="A286" s="169">
        <v>42419</v>
      </c>
      <c r="B286" s="115">
        <v>115.45</v>
      </c>
      <c r="C286" s="115">
        <v>112.6</v>
      </c>
      <c r="D286" s="115">
        <v>106.3</v>
      </c>
      <c r="E286" s="115">
        <v>107</v>
      </c>
      <c r="F286" s="115">
        <v>563</v>
      </c>
      <c r="G286">
        <v>746</v>
      </c>
      <c r="H286" s="115"/>
      <c r="I286" s="115"/>
      <c r="L286" s="169">
        <v>42419</v>
      </c>
      <c r="M286" s="115">
        <v>112.24</v>
      </c>
      <c r="N286" s="115">
        <v>115.39</v>
      </c>
      <c r="O286" s="115">
        <v>105.6</v>
      </c>
      <c r="P286" s="115">
        <v>108</v>
      </c>
      <c r="Q286" s="115">
        <v>561.20000000000005</v>
      </c>
      <c r="R286">
        <v>11250</v>
      </c>
    </row>
    <row r="287" spans="1:18" x14ac:dyDescent="0.25">
      <c r="A287" s="169">
        <v>42422</v>
      </c>
      <c r="B287" s="115">
        <v>113.45</v>
      </c>
      <c r="C287" s="115">
        <v>110.15</v>
      </c>
      <c r="D287" s="115">
        <v>109</v>
      </c>
      <c r="E287" s="115">
        <v>112</v>
      </c>
      <c r="F287" s="115">
        <v>550.75</v>
      </c>
      <c r="G287">
        <v>540</v>
      </c>
      <c r="H287" s="115"/>
      <c r="I287" s="115"/>
      <c r="L287" s="169">
        <v>42422</v>
      </c>
      <c r="M287" s="115">
        <v>109.9</v>
      </c>
      <c r="N287" s="115">
        <v>113.47</v>
      </c>
      <c r="O287" s="115">
        <v>108.52</v>
      </c>
      <c r="P287" s="115">
        <v>113</v>
      </c>
      <c r="Q287" s="115">
        <v>549.5</v>
      </c>
      <c r="R287">
        <v>6414</v>
      </c>
    </row>
    <row r="288" spans="1:18" x14ac:dyDescent="0.25">
      <c r="A288" s="169">
        <v>42423</v>
      </c>
      <c r="B288" s="115">
        <v>109.2</v>
      </c>
      <c r="C288" s="115">
        <v>104.9</v>
      </c>
      <c r="D288" s="115">
        <v>104.2</v>
      </c>
      <c r="E288" s="115">
        <v>109.1</v>
      </c>
      <c r="F288" s="115">
        <v>524.5</v>
      </c>
      <c r="G288">
        <v>716</v>
      </c>
      <c r="H288" s="115"/>
      <c r="I288" s="115"/>
      <c r="L288" s="169">
        <v>42423</v>
      </c>
      <c r="M288" s="115">
        <v>106.33</v>
      </c>
      <c r="N288" s="115">
        <v>110.56</v>
      </c>
      <c r="O288" s="115">
        <v>105.4</v>
      </c>
      <c r="P288" s="115">
        <v>109.6</v>
      </c>
      <c r="Q288" s="115">
        <v>531.65</v>
      </c>
      <c r="R288">
        <v>1918</v>
      </c>
    </row>
    <row r="289" spans="1:18" x14ac:dyDescent="0.25">
      <c r="A289" s="169">
        <v>42424</v>
      </c>
      <c r="B289" s="115">
        <v>108.1</v>
      </c>
      <c r="C289" s="115">
        <v>105.6</v>
      </c>
      <c r="D289" s="115">
        <v>102.95</v>
      </c>
      <c r="E289" s="115">
        <v>105</v>
      </c>
      <c r="F289" s="115">
        <v>528</v>
      </c>
      <c r="G289">
        <v>331</v>
      </c>
      <c r="H289" s="115"/>
      <c r="I289" s="115"/>
      <c r="L289" s="169">
        <v>42424</v>
      </c>
      <c r="M289" s="115">
        <v>105.82</v>
      </c>
      <c r="N289" s="115">
        <v>107.98</v>
      </c>
      <c r="O289" s="115">
        <v>103.35</v>
      </c>
      <c r="P289" s="115">
        <v>106.33</v>
      </c>
      <c r="Q289" s="115">
        <v>529.1</v>
      </c>
      <c r="R289">
        <v>3046</v>
      </c>
    </row>
    <row r="290" spans="1:18" x14ac:dyDescent="0.25">
      <c r="A290" s="169">
        <v>42425</v>
      </c>
      <c r="B290" s="115">
        <v>107.1</v>
      </c>
      <c r="C290" s="115">
        <v>103.2</v>
      </c>
      <c r="D290" s="115">
        <v>102.2</v>
      </c>
      <c r="E290" s="115">
        <v>107.1</v>
      </c>
      <c r="F290" s="115">
        <v>516</v>
      </c>
      <c r="G290">
        <v>95</v>
      </c>
      <c r="H290" s="115"/>
      <c r="I290" s="115"/>
      <c r="L290" s="169">
        <v>42425</v>
      </c>
      <c r="M290" s="115">
        <v>102.75</v>
      </c>
      <c r="N290" s="115">
        <v>105.87</v>
      </c>
      <c r="O290" s="115">
        <v>102.22</v>
      </c>
      <c r="P290" s="115">
        <v>104.82</v>
      </c>
      <c r="Q290" s="115">
        <v>513.75</v>
      </c>
      <c r="R290">
        <v>1418</v>
      </c>
    </row>
    <row r="291" spans="1:18" x14ac:dyDescent="0.25">
      <c r="A291" s="169">
        <v>42426</v>
      </c>
      <c r="B291" s="115">
        <v>105.65</v>
      </c>
      <c r="C291" s="115">
        <v>104.2</v>
      </c>
      <c r="D291" s="115">
        <v>103.6</v>
      </c>
      <c r="E291" s="115">
        <v>104.85</v>
      </c>
      <c r="F291" s="115">
        <v>521</v>
      </c>
      <c r="G291">
        <v>194</v>
      </c>
      <c r="H291" s="115"/>
      <c r="I291" s="115"/>
      <c r="L291" s="169">
        <v>42426</v>
      </c>
      <c r="M291" s="115">
        <v>105.05</v>
      </c>
      <c r="N291" s="115">
        <v>106</v>
      </c>
      <c r="O291" s="115">
        <v>103.2</v>
      </c>
      <c r="P291" s="115">
        <v>104</v>
      </c>
      <c r="Q291" s="115">
        <v>525.25</v>
      </c>
      <c r="R291">
        <v>1848</v>
      </c>
    </row>
    <row r="292" spans="1:18" x14ac:dyDescent="0.25">
      <c r="A292" s="169">
        <v>42429</v>
      </c>
      <c r="B292" s="115">
        <v>105.7</v>
      </c>
      <c r="C292" s="115">
        <v>104.7</v>
      </c>
      <c r="D292" s="115">
        <v>102</v>
      </c>
      <c r="E292" s="115">
        <v>105.7</v>
      </c>
      <c r="F292" s="115">
        <v>523.5</v>
      </c>
      <c r="G292">
        <v>103864</v>
      </c>
      <c r="H292" s="115"/>
      <c r="I292" s="115"/>
      <c r="L292" s="169">
        <v>42429</v>
      </c>
      <c r="M292" s="115">
        <v>104.27</v>
      </c>
      <c r="N292" s="115">
        <v>107</v>
      </c>
      <c r="O292" s="115">
        <v>102.8</v>
      </c>
      <c r="P292" s="115">
        <v>107</v>
      </c>
      <c r="Q292" s="115">
        <v>521.35</v>
      </c>
      <c r="R292">
        <v>17339</v>
      </c>
    </row>
    <row r="293" spans="1:18" x14ac:dyDescent="0.25">
      <c r="A293" s="169">
        <v>42430</v>
      </c>
      <c r="B293" s="115">
        <v>106</v>
      </c>
      <c r="C293" s="115">
        <v>104.65</v>
      </c>
      <c r="D293" s="115">
        <v>104</v>
      </c>
      <c r="E293" s="115">
        <v>104.9</v>
      </c>
      <c r="F293" s="115">
        <v>523.25</v>
      </c>
      <c r="G293">
        <v>1140</v>
      </c>
      <c r="H293" s="115"/>
      <c r="I293" s="115"/>
      <c r="L293" s="169">
        <v>42430</v>
      </c>
      <c r="M293" s="115">
        <v>104.94</v>
      </c>
      <c r="N293" s="115">
        <v>106</v>
      </c>
      <c r="O293" s="115">
        <v>103.9</v>
      </c>
      <c r="P293" s="115">
        <v>104.6</v>
      </c>
      <c r="Q293" s="115">
        <v>524.70000000000005</v>
      </c>
      <c r="R293">
        <v>8181</v>
      </c>
    </row>
    <row r="294" spans="1:18" x14ac:dyDescent="0.25">
      <c r="A294" s="169">
        <v>42431</v>
      </c>
      <c r="B294" s="115">
        <v>109.85</v>
      </c>
      <c r="C294" s="115">
        <v>109.1</v>
      </c>
      <c r="D294" s="115">
        <v>106.8</v>
      </c>
      <c r="E294" s="115">
        <v>107</v>
      </c>
      <c r="F294" s="115">
        <v>545.5</v>
      </c>
      <c r="G294">
        <v>1959</v>
      </c>
      <c r="H294" s="115"/>
      <c r="I294" s="115"/>
      <c r="L294" s="169">
        <v>42431</v>
      </c>
      <c r="M294" s="115">
        <v>108.52</v>
      </c>
      <c r="N294" s="115">
        <v>109.6</v>
      </c>
      <c r="O294" s="115">
        <v>105</v>
      </c>
      <c r="P294" s="115">
        <v>105.84</v>
      </c>
      <c r="Q294" s="115">
        <v>542.6</v>
      </c>
      <c r="R294">
        <v>5117</v>
      </c>
    </row>
    <row r="295" spans="1:18" x14ac:dyDescent="0.25">
      <c r="A295" s="169">
        <v>42432</v>
      </c>
      <c r="B295" s="115">
        <v>109.4</v>
      </c>
      <c r="C295" s="115">
        <v>106.7</v>
      </c>
      <c r="D295" s="115">
        <v>105.45</v>
      </c>
      <c r="E295" s="115">
        <v>107</v>
      </c>
      <c r="F295" s="115">
        <v>533.5</v>
      </c>
      <c r="G295">
        <v>1117</v>
      </c>
      <c r="H295" s="115"/>
      <c r="I295" s="115"/>
      <c r="L295" s="169">
        <v>42432</v>
      </c>
      <c r="M295" s="115">
        <v>105.99</v>
      </c>
      <c r="N295" s="115">
        <v>109.28</v>
      </c>
      <c r="O295" s="115">
        <v>105.2</v>
      </c>
      <c r="P295" s="115">
        <v>106.23</v>
      </c>
      <c r="Q295" s="115">
        <v>529.95000000000005</v>
      </c>
      <c r="R295">
        <v>10973</v>
      </c>
    </row>
    <row r="296" spans="1:18" x14ac:dyDescent="0.25">
      <c r="A296" s="169">
        <v>42433</v>
      </c>
      <c r="B296" s="115">
        <v>108</v>
      </c>
      <c r="C296" s="115">
        <v>105.4</v>
      </c>
      <c r="D296" s="115">
        <v>100.8</v>
      </c>
      <c r="E296" s="115">
        <v>107.4</v>
      </c>
      <c r="F296" s="115">
        <v>527</v>
      </c>
      <c r="G296">
        <v>4412</v>
      </c>
      <c r="H296" s="115"/>
      <c r="I296" s="115"/>
      <c r="L296" s="169">
        <v>42433</v>
      </c>
      <c r="M296" s="115">
        <v>107.03</v>
      </c>
      <c r="N296" s="115">
        <v>108.76</v>
      </c>
      <c r="O296" s="115">
        <v>103.2</v>
      </c>
      <c r="P296" s="115">
        <v>108.76</v>
      </c>
      <c r="Q296" s="115">
        <v>535.15</v>
      </c>
      <c r="R296">
        <v>7133</v>
      </c>
    </row>
    <row r="297" spans="1:18" x14ac:dyDescent="0.25">
      <c r="A297" s="169">
        <v>42437</v>
      </c>
      <c r="B297" s="115">
        <v>112.65</v>
      </c>
      <c r="C297" s="115">
        <v>111.3</v>
      </c>
      <c r="D297" s="115">
        <v>106.2</v>
      </c>
      <c r="E297" s="115">
        <v>107.8</v>
      </c>
      <c r="F297" s="115">
        <v>556.5</v>
      </c>
      <c r="G297">
        <v>247</v>
      </c>
      <c r="H297" s="115"/>
      <c r="I297" s="115"/>
      <c r="L297" s="169">
        <v>42437</v>
      </c>
      <c r="M297" s="115">
        <v>111.16</v>
      </c>
      <c r="N297" s="115">
        <v>113.17</v>
      </c>
      <c r="O297" s="115">
        <v>105.6</v>
      </c>
      <c r="P297" s="115">
        <v>107.59</v>
      </c>
      <c r="Q297" s="115">
        <v>555.79999999999995</v>
      </c>
      <c r="R297">
        <v>6176</v>
      </c>
    </row>
    <row r="298" spans="1:18" x14ac:dyDescent="0.25">
      <c r="A298" s="169">
        <v>42438</v>
      </c>
      <c r="B298" s="115">
        <v>119.7</v>
      </c>
      <c r="C298" s="115">
        <v>117.8</v>
      </c>
      <c r="D298" s="115">
        <v>108.6</v>
      </c>
      <c r="E298" s="115">
        <v>110.15</v>
      </c>
      <c r="F298" s="115">
        <v>589</v>
      </c>
      <c r="G298">
        <v>2550</v>
      </c>
      <c r="H298" s="115"/>
      <c r="I298" s="115"/>
      <c r="L298" s="169">
        <v>42438</v>
      </c>
      <c r="M298" s="115">
        <v>117.52</v>
      </c>
      <c r="N298" s="115">
        <v>119.87</v>
      </c>
      <c r="O298" s="115">
        <v>108.41</v>
      </c>
      <c r="P298" s="115">
        <v>109.8</v>
      </c>
      <c r="Q298" s="115">
        <v>587.6</v>
      </c>
      <c r="R298">
        <v>13477</v>
      </c>
    </row>
    <row r="299" spans="1:18" x14ac:dyDescent="0.25">
      <c r="A299" s="169">
        <v>42439</v>
      </c>
      <c r="B299" s="115">
        <v>119.4</v>
      </c>
      <c r="C299" s="115">
        <v>117.15</v>
      </c>
      <c r="D299" s="115">
        <v>116.75</v>
      </c>
      <c r="E299" s="115">
        <v>116.9</v>
      </c>
      <c r="F299" s="115">
        <v>585.75</v>
      </c>
      <c r="G299">
        <v>891</v>
      </c>
      <c r="H299" s="115"/>
      <c r="I299" s="115"/>
      <c r="L299" s="169">
        <v>42439</v>
      </c>
      <c r="M299" s="115">
        <v>116.67</v>
      </c>
      <c r="N299" s="115">
        <v>120</v>
      </c>
      <c r="O299" s="115">
        <v>116</v>
      </c>
      <c r="P299" s="115">
        <v>120</v>
      </c>
      <c r="Q299" s="115">
        <v>583.35</v>
      </c>
      <c r="R299">
        <v>4116</v>
      </c>
    </row>
    <row r="300" spans="1:18" x14ac:dyDescent="0.25">
      <c r="A300" s="169">
        <v>42440</v>
      </c>
      <c r="B300" s="115">
        <v>119.8</v>
      </c>
      <c r="C300" s="115">
        <v>118.95</v>
      </c>
      <c r="D300" s="115">
        <v>117.8</v>
      </c>
      <c r="E300" s="115">
        <v>119</v>
      </c>
      <c r="F300" s="115">
        <v>594.75</v>
      </c>
      <c r="G300">
        <v>793</v>
      </c>
      <c r="H300" s="115"/>
      <c r="I300" s="115"/>
      <c r="L300" s="169">
        <v>42440</v>
      </c>
      <c r="M300" s="115">
        <v>118.9</v>
      </c>
      <c r="N300" s="115">
        <v>120</v>
      </c>
      <c r="O300" s="115">
        <v>117.41</v>
      </c>
      <c r="P300" s="115">
        <v>119.73</v>
      </c>
      <c r="Q300" s="115">
        <v>594.5</v>
      </c>
      <c r="R300">
        <v>3126</v>
      </c>
    </row>
    <row r="301" spans="1:18" x14ac:dyDescent="0.25">
      <c r="A301" s="169">
        <v>42443</v>
      </c>
      <c r="B301" s="115">
        <v>123</v>
      </c>
      <c r="C301" s="115">
        <v>120.55</v>
      </c>
      <c r="D301" s="115">
        <v>116.5</v>
      </c>
      <c r="E301" s="115">
        <v>119</v>
      </c>
      <c r="F301" s="115">
        <v>602.75</v>
      </c>
      <c r="G301">
        <v>1412</v>
      </c>
      <c r="H301" s="115"/>
      <c r="I301" s="115"/>
      <c r="L301" s="169">
        <v>42443</v>
      </c>
      <c r="M301" s="115">
        <v>121.01</v>
      </c>
      <c r="N301" s="115">
        <v>123.4</v>
      </c>
      <c r="O301" s="115">
        <v>117.05</v>
      </c>
      <c r="P301" s="115">
        <v>121.59</v>
      </c>
      <c r="Q301" s="115">
        <v>605.04999999999995</v>
      </c>
      <c r="R301">
        <v>5730</v>
      </c>
    </row>
    <row r="302" spans="1:18" x14ac:dyDescent="0.25">
      <c r="A302" s="169">
        <v>42444</v>
      </c>
      <c r="B302" s="115">
        <v>124.9</v>
      </c>
      <c r="C302" s="115">
        <v>120.15</v>
      </c>
      <c r="D302" s="115">
        <v>118.15</v>
      </c>
      <c r="E302" s="115">
        <v>120.6</v>
      </c>
      <c r="F302" s="115">
        <v>600.75</v>
      </c>
      <c r="G302">
        <v>681</v>
      </c>
      <c r="H302" s="115"/>
      <c r="I302" s="115"/>
      <c r="L302" s="169">
        <v>42444</v>
      </c>
      <c r="M302" s="115">
        <v>118.62</v>
      </c>
      <c r="N302" s="115">
        <v>124.8</v>
      </c>
      <c r="O302" s="115">
        <v>117.68</v>
      </c>
      <c r="P302" s="115">
        <v>121.01</v>
      </c>
      <c r="Q302" s="115">
        <v>593.1</v>
      </c>
      <c r="R302">
        <v>22675</v>
      </c>
    </row>
    <row r="303" spans="1:18" x14ac:dyDescent="0.25">
      <c r="A303" s="169">
        <v>42445</v>
      </c>
      <c r="B303" s="115">
        <v>121.95</v>
      </c>
      <c r="C303" s="115">
        <v>120.45</v>
      </c>
      <c r="D303" s="115">
        <v>116.2</v>
      </c>
      <c r="E303" s="115">
        <v>118.65</v>
      </c>
      <c r="F303" s="115">
        <v>602.25</v>
      </c>
      <c r="G303">
        <v>1165</v>
      </c>
      <c r="H303" s="115"/>
      <c r="I303" s="115"/>
      <c r="L303" s="169">
        <v>42445</v>
      </c>
      <c r="M303" s="115">
        <v>120.54</v>
      </c>
      <c r="N303" s="115">
        <v>122</v>
      </c>
      <c r="O303" s="115">
        <v>116.21</v>
      </c>
      <c r="P303" s="115">
        <v>119.8</v>
      </c>
      <c r="Q303" s="115">
        <v>602.70000000000005</v>
      </c>
      <c r="R303">
        <v>12120</v>
      </c>
    </row>
    <row r="304" spans="1:18" x14ac:dyDescent="0.25">
      <c r="A304" s="169">
        <v>42446</v>
      </c>
      <c r="B304" s="115">
        <v>124.8</v>
      </c>
      <c r="C304" s="115">
        <v>123.85</v>
      </c>
      <c r="D304" s="115">
        <v>118.7</v>
      </c>
      <c r="E304" s="115">
        <v>120</v>
      </c>
      <c r="F304" s="115">
        <v>619.25</v>
      </c>
      <c r="G304">
        <v>1634</v>
      </c>
      <c r="H304" s="115"/>
      <c r="I304" s="115"/>
      <c r="L304" s="169">
        <v>42446</v>
      </c>
      <c r="M304" s="115">
        <v>124.48</v>
      </c>
      <c r="N304" s="115">
        <v>125.46</v>
      </c>
      <c r="O304" s="115">
        <v>118.05</v>
      </c>
      <c r="P304" s="115">
        <v>118.05</v>
      </c>
      <c r="Q304" s="115">
        <v>622.4</v>
      </c>
      <c r="R304">
        <v>14676</v>
      </c>
    </row>
    <row r="305" spans="1:18" x14ac:dyDescent="0.25">
      <c r="A305" s="169">
        <v>42447</v>
      </c>
      <c r="B305" s="115">
        <v>128.80000000000001</v>
      </c>
      <c r="C305" s="115">
        <v>127.2</v>
      </c>
      <c r="D305" s="115">
        <v>122.2</v>
      </c>
      <c r="E305" s="115">
        <v>124.05</v>
      </c>
      <c r="F305" s="115">
        <v>636</v>
      </c>
      <c r="G305">
        <v>1288</v>
      </c>
      <c r="H305" s="115"/>
      <c r="I305" s="115"/>
      <c r="L305" s="169">
        <v>42447</v>
      </c>
      <c r="M305" s="115">
        <v>127.05</v>
      </c>
      <c r="N305" s="115">
        <v>128.80000000000001</v>
      </c>
      <c r="O305" s="115">
        <v>121.4</v>
      </c>
      <c r="P305" s="115">
        <v>124.4</v>
      </c>
      <c r="Q305" s="115">
        <v>635.25</v>
      </c>
      <c r="R305">
        <v>16911</v>
      </c>
    </row>
    <row r="306" spans="1:18" x14ac:dyDescent="0.25">
      <c r="A306" s="169">
        <v>42450</v>
      </c>
      <c r="B306" s="115">
        <v>129</v>
      </c>
      <c r="C306" s="115">
        <v>127.4</v>
      </c>
      <c r="D306" s="115">
        <v>122.1</v>
      </c>
      <c r="E306" s="115">
        <v>124.1</v>
      </c>
      <c r="F306" s="115">
        <v>637</v>
      </c>
      <c r="G306">
        <v>1489</v>
      </c>
      <c r="H306" s="115"/>
      <c r="I306" s="115"/>
      <c r="L306" s="169">
        <v>42450</v>
      </c>
      <c r="M306" s="115">
        <v>128.69999999999999</v>
      </c>
      <c r="N306" s="115">
        <v>130</v>
      </c>
      <c r="O306" s="115">
        <v>123.03</v>
      </c>
      <c r="P306" s="115">
        <v>123.24</v>
      </c>
      <c r="Q306" s="115">
        <v>643.5</v>
      </c>
      <c r="R306">
        <v>10882</v>
      </c>
    </row>
    <row r="307" spans="1:18" x14ac:dyDescent="0.25">
      <c r="A307" s="169">
        <v>42451</v>
      </c>
      <c r="B307" s="115">
        <v>128.4</v>
      </c>
      <c r="C307" s="115">
        <v>127.4</v>
      </c>
      <c r="D307" s="115">
        <v>126</v>
      </c>
      <c r="E307" s="115">
        <v>127.6</v>
      </c>
      <c r="F307" s="115">
        <v>637</v>
      </c>
      <c r="G307">
        <v>625</v>
      </c>
      <c r="H307" s="115"/>
      <c r="I307" s="115"/>
      <c r="L307" s="169">
        <v>42451</v>
      </c>
      <c r="M307" s="115">
        <v>127.5</v>
      </c>
      <c r="N307" s="115">
        <v>128.69999999999999</v>
      </c>
      <c r="O307" s="115">
        <v>125.01</v>
      </c>
      <c r="P307" s="115">
        <v>126.22</v>
      </c>
      <c r="Q307" s="115">
        <v>637.5</v>
      </c>
      <c r="R307">
        <v>15225</v>
      </c>
    </row>
    <row r="308" spans="1:18" x14ac:dyDescent="0.25">
      <c r="A308" s="169">
        <v>42452</v>
      </c>
      <c r="B308" s="115">
        <v>135.4</v>
      </c>
      <c r="C308" s="115">
        <v>132.4</v>
      </c>
      <c r="D308" s="115">
        <v>126.05</v>
      </c>
      <c r="E308" s="115">
        <v>126.25</v>
      </c>
      <c r="F308" s="115">
        <v>662</v>
      </c>
      <c r="G308">
        <v>7007</v>
      </c>
      <c r="H308" s="115"/>
      <c r="I308" s="115"/>
      <c r="L308" s="169">
        <v>42452</v>
      </c>
      <c r="M308" s="115">
        <v>132.69</v>
      </c>
      <c r="N308" s="115">
        <v>136</v>
      </c>
      <c r="O308" s="115">
        <v>125.4</v>
      </c>
      <c r="P308" s="115">
        <v>126.23</v>
      </c>
      <c r="Q308" s="115">
        <v>663.45</v>
      </c>
      <c r="R308">
        <v>28405</v>
      </c>
    </row>
    <row r="309" spans="1:18" x14ac:dyDescent="0.25">
      <c r="A309" s="169">
        <v>42457</v>
      </c>
      <c r="B309" s="115">
        <v>134.4</v>
      </c>
      <c r="C309" s="115">
        <v>130.15</v>
      </c>
      <c r="D309" s="115">
        <v>126</v>
      </c>
      <c r="E309" s="115">
        <v>129.44999999999999</v>
      </c>
      <c r="F309" s="115">
        <v>650.75</v>
      </c>
      <c r="G309">
        <v>872</v>
      </c>
      <c r="H309" s="115"/>
      <c r="I309" s="115"/>
      <c r="L309" s="169">
        <v>42457</v>
      </c>
      <c r="M309" s="115">
        <v>131.75</v>
      </c>
      <c r="N309" s="115">
        <v>134.80000000000001</v>
      </c>
      <c r="O309" s="115">
        <v>127.06</v>
      </c>
      <c r="P309" s="115">
        <v>129.62</v>
      </c>
      <c r="Q309" s="115">
        <v>658.75</v>
      </c>
      <c r="R309">
        <v>18574</v>
      </c>
    </row>
    <row r="310" spans="1:18" x14ac:dyDescent="0.25">
      <c r="A310" s="169">
        <v>42458</v>
      </c>
      <c r="B310" s="115">
        <v>133.35</v>
      </c>
      <c r="C310" s="115">
        <v>130.19999999999999</v>
      </c>
      <c r="D310" s="115">
        <v>129.19999999999999</v>
      </c>
      <c r="E310" s="115">
        <v>131.80000000000001</v>
      </c>
      <c r="F310" s="115">
        <v>651</v>
      </c>
      <c r="G310">
        <v>839</v>
      </c>
      <c r="H310" s="115"/>
      <c r="I310" s="115"/>
      <c r="L310" s="169">
        <v>42458</v>
      </c>
      <c r="M310" s="115">
        <v>129.83000000000001</v>
      </c>
      <c r="N310" s="115">
        <v>133</v>
      </c>
      <c r="O310" s="115">
        <v>129</v>
      </c>
      <c r="P310" s="115">
        <v>129.25</v>
      </c>
      <c r="Q310" s="115">
        <v>649.15</v>
      </c>
      <c r="R310">
        <v>3141</v>
      </c>
    </row>
    <row r="311" spans="1:18" x14ac:dyDescent="0.25">
      <c r="A311" s="169">
        <v>42459</v>
      </c>
      <c r="B311" s="115">
        <v>131</v>
      </c>
      <c r="C311" s="115">
        <v>129</v>
      </c>
      <c r="D311" s="115">
        <v>125</v>
      </c>
      <c r="E311" s="115">
        <v>130.9</v>
      </c>
      <c r="F311" s="115">
        <v>645</v>
      </c>
      <c r="G311">
        <v>419</v>
      </c>
      <c r="H311" s="115"/>
      <c r="I311" s="115"/>
      <c r="L311" s="169">
        <v>42459</v>
      </c>
      <c r="M311" s="115">
        <v>129.12</v>
      </c>
      <c r="N311" s="115">
        <v>131.69999999999999</v>
      </c>
      <c r="O311" s="115">
        <v>128</v>
      </c>
      <c r="P311" s="115">
        <v>131.6</v>
      </c>
      <c r="Q311" s="115">
        <v>645.6</v>
      </c>
      <c r="R311">
        <v>6576</v>
      </c>
    </row>
    <row r="312" spans="1:18" x14ac:dyDescent="0.25">
      <c r="A312" s="169">
        <v>42460</v>
      </c>
      <c r="B312" s="115">
        <v>129.80000000000001</v>
      </c>
      <c r="C312" s="115">
        <v>126.3</v>
      </c>
      <c r="D312" s="115">
        <v>125.65</v>
      </c>
      <c r="E312" s="115">
        <v>128</v>
      </c>
      <c r="F312" s="115">
        <v>631.5</v>
      </c>
      <c r="G312">
        <v>267</v>
      </c>
      <c r="H312" s="115"/>
      <c r="I312" s="115"/>
      <c r="L312" s="169">
        <v>42460</v>
      </c>
      <c r="M312" s="115">
        <v>126.69</v>
      </c>
      <c r="N312" s="115">
        <v>130.58000000000001</v>
      </c>
      <c r="O312" s="115">
        <v>125.8</v>
      </c>
      <c r="P312" s="115">
        <v>128.12</v>
      </c>
      <c r="Q312" s="115">
        <v>633.45000000000005</v>
      </c>
      <c r="R312">
        <v>5617</v>
      </c>
    </row>
    <row r="313" spans="1:18" x14ac:dyDescent="0.25">
      <c r="A313" s="169">
        <v>42461</v>
      </c>
      <c r="B313" s="115">
        <v>126.8</v>
      </c>
      <c r="C313" s="115">
        <v>122.7</v>
      </c>
      <c r="D313" s="115">
        <v>122</v>
      </c>
      <c r="E313" s="115">
        <v>126.4</v>
      </c>
      <c r="F313" s="115">
        <v>613.5</v>
      </c>
      <c r="G313">
        <v>831</v>
      </c>
      <c r="H313" s="115"/>
      <c r="I313" s="115"/>
      <c r="L313" s="169">
        <v>42461</v>
      </c>
      <c r="M313" s="115">
        <v>123.37</v>
      </c>
      <c r="N313" s="115">
        <v>127.97</v>
      </c>
      <c r="O313" s="115">
        <v>123.22</v>
      </c>
      <c r="P313" s="115">
        <v>127.97</v>
      </c>
      <c r="Q313" s="115">
        <v>616.85</v>
      </c>
      <c r="R313">
        <v>3890</v>
      </c>
    </row>
    <row r="314" spans="1:18" x14ac:dyDescent="0.25">
      <c r="A314" s="169">
        <v>42464</v>
      </c>
      <c r="B314" s="115">
        <v>122</v>
      </c>
      <c r="C314" s="115">
        <v>120.05</v>
      </c>
      <c r="D314" s="115">
        <v>119.2</v>
      </c>
      <c r="E314" s="115">
        <v>122</v>
      </c>
      <c r="F314" s="115">
        <v>600.25</v>
      </c>
      <c r="G314">
        <v>597</v>
      </c>
      <c r="H314" s="115"/>
      <c r="I314" s="115"/>
      <c r="L314" s="169">
        <v>42464</v>
      </c>
      <c r="M314" s="115">
        <v>119.91</v>
      </c>
      <c r="N314" s="115">
        <v>124.44</v>
      </c>
      <c r="O314" s="115">
        <v>119.32</v>
      </c>
      <c r="P314" s="115">
        <v>123.2</v>
      </c>
      <c r="Q314" s="115">
        <v>599.54999999999995</v>
      </c>
      <c r="R314">
        <v>5189</v>
      </c>
    </row>
    <row r="315" spans="1:18" x14ac:dyDescent="0.25">
      <c r="A315" s="169">
        <v>42465</v>
      </c>
      <c r="B315" s="115">
        <v>123</v>
      </c>
      <c r="C315" s="115">
        <v>118.3</v>
      </c>
      <c r="D315" s="115">
        <v>117.4</v>
      </c>
      <c r="E315" s="115">
        <v>119</v>
      </c>
      <c r="F315" s="115">
        <v>591.5</v>
      </c>
      <c r="G315">
        <v>437</v>
      </c>
      <c r="H315" s="115"/>
      <c r="I315" s="115"/>
      <c r="L315" s="169">
        <v>42465</v>
      </c>
      <c r="M315" s="115">
        <v>118.77</v>
      </c>
      <c r="N315" s="115">
        <v>121.6</v>
      </c>
      <c r="O315" s="115">
        <v>118</v>
      </c>
      <c r="P315" s="115">
        <v>121.6</v>
      </c>
      <c r="Q315" s="115">
        <v>593.85</v>
      </c>
      <c r="R315">
        <v>1814</v>
      </c>
    </row>
    <row r="316" spans="1:18" x14ac:dyDescent="0.25">
      <c r="A316" s="169">
        <v>42466</v>
      </c>
      <c r="B316" s="115">
        <v>133.80000000000001</v>
      </c>
      <c r="C316" s="115">
        <v>126.3</v>
      </c>
      <c r="D316" s="115">
        <v>117.3</v>
      </c>
      <c r="E316" s="115">
        <v>117.3</v>
      </c>
      <c r="F316" s="115">
        <v>631.5</v>
      </c>
      <c r="G316">
        <v>6583</v>
      </c>
      <c r="H316" s="115"/>
      <c r="I316" s="115"/>
      <c r="L316" s="169">
        <v>42466</v>
      </c>
      <c r="M316" s="115">
        <v>126.62</v>
      </c>
      <c r="N316" s="115">
        <v>133.80000000000001</v>
      </c>
      <c r="O316" s="115">
        <v>117.4</v>
      </c>
      <c r="P316" s="115">
        <v>119</v>
      </c>
      <c r="Q316" s="115">
        <v>633.1</v>
      </c>
      <c r="R316">
        <v>50798</v>
      </c>
    </row>
    <row r="317" spans="1:18" x14ac:dyDescent="0.25">
      <c r="A317" s="169">
        <v>42467</v>
      </c>
      <c r="B317" s="115">
        <v>129</v>
      </c>
      <c r="C317" s="115">
        <v>124.9</v>
      </c>
      <c r="D317" s="115">
        <v>123.4</v>
      </c>
      <c r="E317" s="115">
        <v>128</v>
      </c>
      <c r="F317" s="115">
        <v>624.5</v>
      </c>
      <c r="G317">
        <v>997</v>
      </c>
      <c r="H317" s="115"/>
      <c r="I317" s="115"/>
      <c r="L317" s="169">
        <v>42467</v>
      </c>
      <c r="M317" s="115">
        <v>123.64</v>
      </c>
      <c r="N317" s="115">
        <v>129.41999999999999</v>
      </c>
      <c r="O317" s="115">
        <v>122.48</v>
      </c>
      <c r="P317" s="115">
        <v>126.62</v>
      </c>
      <c r="Q317" s="115">
        <v>618.20000000000005</v>
      </c>
      <c r="R317">
        <v>7917</v>
      </c>
    </row>
    <row r="318" spans="1:18" x14ac:dyDescent="0.25">
      <c r="A318" s="169">
        <v>42468</v>
      </c>
      <c r="B318" s="115">
        <v>126.75</v>
      </c>
      <c r="C318" s="115">
        <v>125.25</v>
      </c>
      <c r="D318" s="115">
        <v>123.8</v>
      </c>
      <c r="E318" s="115">
        <v>125</v>
      </c>
      <c r="F318" s="115">
        <v>626.25</v>
      </c>
      <c r="G318">
        <v>286</v>
      </c>
      <c r="H318" s="115"/>
      <c r="I318" s="115"/>
      <c r="L318" s="169">
        <v>42468</v>
      </c>
      <c r="M318" s="115">
        <v>125.48</v>
      </c>
      <c r="N318" s="115">
        <v>127</v>
      </c>
      <c r="O318" s="115">
        <v>123.09</v>
      </c>
      <c r="P318" s="115">
        <v>125.59</v>
      </c>
      <c r="Q318" s="115">
        <v>627.4</v>
      </c>
      <c r="R318">
        <v>4172</v>
      </c>
    </row>
    <row r="319" spans="1:18" x14ac:dyDescent="0.25">
      <c r="A319" s="169">
        <v>42471</v>
      </c>
      <c r="B319" s="115">
        <v>133.80000000000001</v>
      </c>
      <c r="C319" s="115">
        <v>123.8</v>
      </c>
      <c r="D319" s="115">
        <v>123.4</v>
      </c>
      <c r="E319" s="115">
        <v>133.80000000000001</v>
      </c>
      <c r="F319" s="115">
        <v>619</v>
      </c>
      <c r="G319">
        <v>2151</v>
      </c>
      <c r="H319" s="115"/>
      <c r="I319" s="115"/>
      <c r="L319" s="169">
        <v>42471</v>
      </c>
      <c r="M319" s="115">
        <v>124.23</v>
      </c>
      <c r="N319" s="115">
        <v>127</v>
      </c>
      <c r="O319" s="115">
        <v>123.25</v>
      </c>
      <c r="P319" s="115">
        <v>127</v>
      </c>
      <c r="Q319" s="115">
        <v>621.15</v>
      </c>
      <c r="R319">
        <v>3905</v>
      </c>
    </row>
    <row r="320" spans="1:18" x14ac:dyDescent="0.25">
      <c r="A320" s="169">
        <v>42472</v>
      </c>
      <c r="B320" s="115">
        <v>127</v>
      </c>
      <c r="C320" s="115">
        <v>126.15</v>
      </c>
      <c r="D320" s="115">
        <v>125.2</v>
      </c>
      <c r="E320" s="115">
        <v>125.35</v>
      </c>
      <c r="F320" s="115">
        <v>630.75</v>
      </c>
      <c r="G320">
        <v>6664</v>
      </c>
      <c r="H320" s="115"/>
      <c r="I320" s="115"/>
      <c r="L320" s="169">
        <v>42472</v>
      </c>
      <c r="M320" s="115">
        <v>125.59</v>
      </c>
      <c r="N320" s="115">
        <v>127.4</v>
      </c>
      <c r="O320" s="115">
        <v>123.99</v>
      </c>
      <c r="P320" s="115">
        <v>125.58</v>
      </c>
      <c r="Q320" s="115">
        <v>627.95000000000005</v>
      </c>
      <c r="R320">
        <v>13554</v>
      </c>
    </row>
    <row r="321" spans="1:18" x14ac:dyDescent="0.25">
      <c r="A321" s="169">
        <v>42473</v>
      </c>
      <c r="B321" s="115">
        <v>127</v>
      </c>
      <c r="C321" s="115">
        <v>124.6</v>
      </c>
      <c r="D321" s="115">
        <v>124.2</v>
      </c>
      <c r="E321" s="115">
        <v>125</v>
      </c>
      <c r="F321" s="115">
        <v>623</v>
      </c>
      <c r="G321">
        <v>554</v>
      </c>
      <c r="H321" s="115"/>
      <c r="I321" s="115"/>
      <c r="L321" s="169">
        <v>42473</v>
      </c>
      <c r="M321" s="115">
        <v>124.08</v>
      </c>
      <c r="N321" s="115">
        <v>127</v>
      </c>
      <c r="O321" s="115">
        <v>123.2</v>
      </c>
      <c r="P321" s="115">
        <v>126</v>
      </c>
      <c r="Q321" s="115">
        <v>620.4</v>
      </c>
      <c r="R321">
        <v>4689</v>
      </c>
    </row>
    <row r="322" spans="1:18" x14ac:dyDescent="0.25">
      <c r="A322" s="169">
        <v>42478</v>
      </c>
      <c r="B322" s="115">
        <v>125</v>
      </c>
      <c r="C322" s="115">
        <v>123.95</v>
      </c>
      <c r="D322" s="115">
        <v>122.55</v>
      </c>
      <c r="E322" s="115">
        <v>124</v>
      </c>
      <c r="F322" s="115">
        <v>619.75</v>
      </c>
      <c r="G322">
        <v>204</v>
      </c>
      <c r="H322" s="115"/>
      <c r="I322" s="115"/>
      <c r="L322" s="169">
        <v>42478</v>
      </c>
      <c r="M322" s="115">
        <v>123.87</v>
      </c>
      <c r="N322" s="115">
        <v>126.18</v>
      </c>
      <c r="O322" s="115">
        <v>123</v>
      </c>
      <c r="P322" s="115">
        <v>123.02</v>
      </c>
      <c r="Q322" s="115">
        <v>619.35</v>
      </c>
      <c r="R322">
        <v>1004</v>
      </c>
    </row>
    <row r="323" spans="1:18" x14ac:dyDescent="0.25">
      <c r="A323" s="169">
        <v>42480</v>
      </c>
      <c r="B323" s="115">
        <v>126</v>
      </c>
      <c r="C323" s="115">
        <v>125</v>
      </c>
      <c r="D323" s="115">
        <v>122.5</v>
      </c>
      <c r="E323" s="115">
        <v>124.05</v>
      </c>
      <c r="F323" s="115">
        <v>625</v>
      </c>
      <c r="G323">
        <v>609</v>
      </c>
      <c r="H323" s="115"/>
      <c r="I323" s="115"/>
      <c r="L323" s="169">
        <v>42480</v>
      </c>
      <c r="M323" s="115">
        <v>125.65</v>
      </c>
      <c r="N323" s="115">
        <v>126</v>
      </c>
      <c r="O323" s="115">
        <v>124.02</v>
      </c>
      <c r="P323" s="115">
        <v>124.74</v>
      </c>
      <c r="Q323" s="115">
        <v>628.25</v>
      </c>
      <c r="R323">
        <v>2522</v>
      </c>
    </row>
    <row r="324" spans="1:18" x14ac:dyDescent="0.25">
      <c r="A324" s="169">
        <v>42481</v>
      </c>
      <c r="B324" s="115">
        <v>124.05</v>
      </c>
      <c r="C324" s="115">
        <v>123.1</v>
      </c>
      <c r="D324" s="115">
        <v>123.05</v>
      </c>
      <c r="E324" s="115">
        <v>124.05</v>
      </c>
      <c r="F324" s="115">
        <v>615.5</v>
      </c>
      <c r="G324">
        <v>39</v>
      </c>
      <c r="H324" s="115"/>
      <c r="I324" s="115"/>
      <c r="L324" s="169">
        <v>42481</v>
      </c>
      <c r="M324" s="115">
        <v>123.66</v>
      </c>
      <c r="N324" s="115">
        <v>125.81</v>
      </c>
      <c r="O324" s="115">
        <v>122.86</v>
      </c>
      <c r="P324" s="115">
        <v>125.8</v>
      </c>
      <c r="Q324" s="115">
        <v>618.29999999999995</v>
      </c>
      <c r="R324">
        <v>2353</v>
      </c>
    </row>
    <row r="325" spans="1:18" x14ac:dyDescent="0.25">
      <c r="A325" s="169">
        <v>42482</v>
      </c>
      <c r="B325" s="115">
        <v>124.6</v>
      </c>
      <c r="C325" s="115">
        <v>124.2</v>
      </c>
      <c r="D325" s="115">
        <v>122.5</v>
      </c>
      <c r="E325" s="115">
        <v>124</v>
      </c>
      <c r="F325" s="115">
        <v>621</v>
      </c>
      <c r="G325">
        <v>501</v>
      </c>
      <c r="H325" s="115"/>
      <c r="I325" s="115"/>
      <c r="L325" s="169">
        <v>42482</v>
      </c>
      <c r="M325" s="115">
        <v>123.76</v>
      </c>
      <c r="N325" s="115">
        <v>125.39</v>
      </c>
      <c r="O325" s="115">
        <v>122.48</v>
      </c>
      <c r="P325" s="115">
        <v>125.39</v>
      </c>
      <c r="Q325" s="115">
        <v>618.79999999999995</v>
      </c>
      <c r="R325">
        <v>1812</v>
      </c>
    </row>
    <row r="326" spans="1:18" x14ac:dyDescent="0.25">
      <c r="A326" s="169">
        <v>42485</v>
      </c>
      <c r="B326" s="115">
        <v>125</v>
      </c>
      <c r="C326" s="115">
        <v>122.75</v>
      </c>
      <c r="D326" s="115">
        <v>122</v>
      </c>
      <c r="E326" s="115">
        <v>125</v>
      </c>
      <c r="F326" s="115">
        <v>613.75</v>
      </c>
      <c r="G326">
        <v>512</v>
      </c>
      <c r="H326" s="115"/>
      <c r="I326" s="115"/>
      <c r="L326" s="169">
        <v>42485</v>
      </c>
      <c r="M326" s="115">
        <v>123.75</v>
      </c>
      <c r="N326" s="115">
        <v>124.96</v>
      </c>
      <c r="O326" s="115">
        <v>121.82</v>
      </c>
      <c r="P326" s="115">
        <v>123.81</v>
      </c>
      <c r="Q326" s="115">
        <v>618.75</v>
      </c>
      <c r="R326">
        <v>1290</v>
      </c>
    </row>
    <row r="327" spans="1:18" x14ac:dyDescent="0.25">
      <c r="A327" s="169">
        <v>42486</v>
      </c>
      <c r="B327" s="115">
        <v>143.85</v>
      </c>
      <c r="C327" s="115">
        <v>134.15</v>
      </c>
      <c r="D327" s="115">
        <v>121</v>
      </c>
      <c r="E327" s="115">
        <v>125</v>
      </c>
      <c r="F327" s="115">
        <v>670.75</v>
      </c>
      <c r="G327">
        <v>80035</v>
      </c>
      <c r="H327" s="115"/>
      <c r="I327" s="115"/>
      <c r="L327" s="169">
        <v>42486</v>
      </c>
      <c r="M327" s="115">
        <v>134.07</v>
      </c>
      <c r="N327" s="115">
        <v>143.6</v>
      </c>
      <c r="O327" s="115">
        <v>120.3</v>
      </c>
      <c r="P327" s="115">
        <v>125.6</v>
      </c>
      <c r="Q327" s="115">
        <v>670.35</v>
      </c>
      <c r="R327">
        <v>382780</v>
      </c>
    </row>
    <row r="328" spans="1:18" x14ac:dyDescent="0.25">
      <c r="A328" s="169">
        <v>42487</v>
      </c>
      <c r="B328" s="115">
        <v>135.6</v>
      </c>
      <c r="C328" s="115">
        <v>132.6</v>
      </c>
      <c r="D328" s="115">
        <v>131.19999999999999</v>
      </c>
      <c r="E328" s="115">
        <v>134.80000000000001</v>
      </c>
      <c r="F328" s="115">
        <v>663</v>
      </c>
      <c r="G328">
        <v>8146</v>
      </c>
      <c r="H328" s="115"/>
      <c r="I328" s="115"/>
      <c r="L328" s="169">
        <v>42487</v>
      </c>
      <c r="M328" s="115">
        <v>132.80000000000001</v>
      </c>
      <c r="N328" s="115">
        <v>135</v>
      </c>
      <c r="O328" s="115">
        <v>131</v>
      </c>
      <c r="P328" s="115">
        <v>134.6</v>
      </c>
      <c r="Q328" s="115">
        <v>664</v>
      </c>
      <c r="R328">
        <v>43076</v>
      </c>
    </row>
    <row r="329" spans="1:18" x14ac:dyDescent="0.25">
      <c r="A329" s="169">
        <v>42488</v>
      </c>
      <c r="B329" s="115">
        <v>139.80000000000001</v>
      </c>
      <c r="C329" s="115">
        <v>136.15</v>
      </c>
      <c r="D329" s="115">
        <v>133.19999999999999</v>
      </c>
      <c r="E329" s="115">
        <v>133.4</v>
      </c>
      <c r="F329" s="115">
        <v>680.75</v>
      </c>
      <c r="G329">
        <v>14471</v>
      </c>
      <c r="H329" s="115"/>
      <c r="I329" s="115"/>
      <c r="L329" s="169">
        <v>42488</v>
      </c>
      <c r="M329" s="115">
        <v>136.49</v>
      </c>
      <c r="N329" s="115">
        <v>140</v>
      </c>
      <c r="O329" s="115">
        <v>133.4</v>
      </c>
      <c r="P329" s="115">
        <v>134</v>
      </c>
      <c r="Q329" s="115">
        <v>682.45</v>
      </c>
      <c r="R329">
        <v>90567</v>
      </c>
    </row>
    <row r="330" spans="1:18" x14ac:dyDescent="0.25">
      <c r="A330" s="169">
        <v>42489</v>
      </c>
      <c r="B330" s="115">
        <v>139.94999999999999</v>
      </c>
      <c r="C330" s="115">
        <v>136.15</v>
      </c>
      <c r="D330" s="115">
        <v>133</v>
      </c>
      <c r="E330" s="115">
        <v>137.19999999999999</v>
      </c>
      <c r="F330" s="115">
        <v>680.75</v>
      </c>
      <c r="G330">
        <v>4659</v>
      </c>
      <c r="H330" s="115"/>
      <c r="I330" s="115"/>
      <c r="L330" s="169">
        <v>42489</v>
      </c>
      <c r="M330" s="115">
        <v>136.88999999999999</v>
      </c>
      <c r="N330" s="115">
        <v>140</v>
      </c>
      <c r="O330" s="115">
        <v>135</v>
      </c>
      <c r="P330" s="115">
        <v>137.30000000000001</v>
      </c>
      <c r="Q330" s="115">
        <v>684.45</v>
      </c>
      <c r="R330">
        <v>36433</v>
      </c>
    </row>
    <row r="331" spans="1:18" x14ac:dyDescent="0.25">
      <c r="A331" s="169">
        <v>42492</v>
      </c>
      <c r="B331" s="115">
        <v>138.9</v>
      </c>
      <c r="C331" s="115">
        <v>137.44999999999999</v>
      </c>
      <c r="D331" s="115">
        <v>136.69999999999999</v>
      </c>
      <c r="E331" s="115">
        <v>137.94999999999999</v>
      </c>
      <c r="F331" s="115">
        <v>687.25</v>
      </c>
      <c r="G331">
        <v>2176</v>
      </c>
      <c r="H331" s="115"/>
      <c r="I331" s="115"/>
      <c r="L331" s="169">
        <v>42492</v>
      </c>
      <c r="M331" s="115">
        <v>137.86000000000001</v>
      </c>
      <c r="N331" s="115">
        <v>139.19999999999999</v>
      </c>
      <c r="O331" s="115">
        <v>137.05000000000001</v>
      </c>
      <c r="P331" s="115">
        <v>137.05000000000001</v>
      </c>
      <c r="Q331" s="115">
        <v>689.3</v>
      </c>
      <c r="R331">
        <v>21827</v>
      </c>
    </row>
    <row r="332" spans="1:18" x14ac:dyDescent="0.25">
      <c r="A332" s="169">
        <v>42493</v>
      </c>
      <c r="B332" s="115">
        <v>140.94999999999999</v>
      </c>
      <c r="C332" s="115">
        <v>137.55000000000001</v>
      </c>
      <c r="D332" s="115">
        <v>137.19999999999999</v>
      </c>
      <c r="E332" s="115">
        <v>138.55000000000001</v>
      </c>
      <c r="F332" s="115">
        <v>687.75</v>
      </c>
      <c r="G332">
        <v>7384</v>
      </c>
      <c r="H332" s="115"/>
      <c r="I332" s="115"/>
      <c r="L332" s="169">
        <v>42493</v>
      </c>
      <c r="M332" s="115">
        <v>137.74</v>
      </c>
      <c r="N332" s="115">
        <v>141</v>
      </c>
      <c r="O332" s="115">
        <v>137.08000000000001</v>
      </c>
      <c r="P332" s="115">
        <v>138.97</v>
      </c>
      <c r="Q332" s="115">
        <v>688.7</v>
      </c>
      <c r="R332">
        <v>46839</v>
      </c>
    </row>
    <row r="333" spans="1:18" x14ac:dyDescent="0.25">
      <c r="A333" s="169">
        <v>42494</v>
      </c>
      <c r="B333" s="115">
        <v>139.1</v>
      </c>
      <c r="C333" s="115">
        <v>137.4</v>
      </c>
      <c r="D333" s="115">
        <v>136.30000000000001</v>
      </c>
      <c r="E333" s="115">
        <v>137.6</v>
      </c>
      <c r="F333" s="115">
        <v>687</v>
      </c>
      <c r="G333">
        <v>2892</v>
      </c>
      <c r="H333" s="115"/>
      <c r="I333" s="115"/>
      <c r="L333" s="169">
        <v>42494</v>
      </c>
      <c r="M333" s="115">
        <v>136.13999999999999</v>
      </c>
      <c r="N333" s="115">
        <v>139.6</v>
      </c>
      <c r="O333" s="115">
        <v>135.21</v>
      </c>
      <c r="P333" s="115">
        <v>137.9</v>
      </c>
      <c r="Q333" s="115">
        <v>680.7</v>
      </c>
      <c r="R333">
        <v>11459</v>
      </c>
    </row>
    <row r="334" spans="1:18" x14ac:dyDescent="0.25">
      <c r="A334" s="169">
        <v>42495</v>
      </c>
      <c r="B334" s="115">
        <v>137.4</v>
      </c>
      <c r="C334" s="115">
        <v>135.80000000000001</v>
      </c>
      <c r="D334" s="115">
        <v>135.4</v>
      </c>
      <c r="E334" s="115">
        <v>136.75</v>
      </c>
      <c r="F334" s="115">
        <v>679</v>
      </c>
      <c r="G334">
        <v>1531</v>
      </c>
      <c r="H334" s="115"/>
      <c r="I334" s="115"/>
      <c r="L334" s="169">
        <v>42495</v>
      </c>
      <c r="M334" s="115">
        <v>134.88999999999999</v>
      </c>
      <c r="N334" s="115">
        <v>137.4</v>
      </c>
      <c r="O334" s="115">
        <v>134.03</v>
      </c>
      <c r="P334" s="115">
        <v>136.13999999999999</v>
      </c>
      <c r="Q334" s="115">
        <v>674.45</v>
      </c>
      <c r="R334">
        <v>7092</v>
      </c>
    </row>
    <row r="335" spans="1:18" x14ac:dyDescent="0.25">
      <c r="A335" s="169">
        <v>42496</v>
      </c>
      <c r="B335" s="115">
        <v>136.69999999999999</v>
      </c>
      <c r="C335" s="115">
        <v>135.25</v>
      </c>
      <c r="D335" s="115">
        <v>134.4</v>
      </c>
      <c r="E335" s="115">
        <v>135</v>
      </c>
      <c r="F335" s="115">
        <v>676.25</v>
      </c>
      <c r="G335">
        <v>1184</v>
      </c>
      <c r="H335" s="115"/>
      <c r="I335" s="115"/>
      <c r="L335" s="169">
        <v>42496</v>
      </c>
      <c r="M335" s="115">
        <v>135.9</v>
      </c>
      <c r="N335" s="115">
        <v>136.6</v>
      </c>
      <c r="O335" s="115">
        <v>134.03</v>
      </c>
      <c r="P335" s="115">
        <v>136.53</v>
      </c>
      <c r="Q335" s="115">
        <v>679.5</v>
      </c>
      <c r="R335">
        <v>5426</v>
      </c>
    </row>
    <row r="336" spans="1:18" x14ac:dyDescent="0.25">
      <c r="A336" s="169">
        <v>42499</v>
      </c>
      <c r="B336" s="115">
        <v>139.15</v>
      </c>
      <c r="C336" s="115">
        <v>135.80000000000001</v>
      </c>
      <c r="D336" s="115">
        <v>134.69999999999999</v>
      </c>
      <c r="E336" s="115">
        <v>136.4</v>
      </c>
      <c r="F336" s="115">
        <v>679</v>
      </c>
      <c r="G336">
        <v>1805</v>
      </c>
      <c r="H336" s="115"/>
      <c r="I336" s="115"/>
      <c r="L336" s="169">
        <v>42499</v>
      </c>
      <c r="M336" s="115">
        <v>135.97</v>
      </c>
      <c r="N336" s="115">
        <v>139.99</v>
      </c>
      <c r="O336" s="115">
        <v>135</v>
      </c>
      <c r="P336" s="115">
        <v>138.79</v>
      </c>
      <c r="Q336" s="115">
        <v>679.85</v>
      </c>
      <c r="R336">
        <v>7331</v>
      </c>
    </row>
    <row r="337" spans="1:18" x14ac:dyDescent="0.25">
      <c r="A337" s="169">
        <v>42500</v>
      </c>
      <c r="B337" s="115">
        <v>138</v>
      </c>
      <c r="C337" s="115">
        <v>135.94999999999999</v>
      </c>
      <c r="D337" s="115">
        <v>134</v>
      </c>
      <c r="E337" s="115">
        <v>138</v>
      </c>
      <c r="F337" s="115">
        <v>679.75</v>
      </c>
      <c r="G337">
        <v>1437</v>
      </c>
      <c r="H337" s="115"/>
      <c r="I337" s="115"/>
      <c r="L337" s="169">
        <v>42500</v>
      </c>
      <c r="M337" s="115">
        <v>136</v>
      </c>
      <c r="N337" s="115">
        <v>137.78</v>
      </c>
      <c r="O337" s="115">
        <v>133.30000000000001</v>
      </c>
      <c r="P337" s="115">
        <v>137</v>
      </c>
      <c r="Q337" s="115">
        <v>680</v>
      </c>
      <c r="R337">
        <v>11653</v>
      </c>
    </row>
    <row r="338" spans="1:18" x14ac:dyDescent="0.25">
      <c r="A338" s="169">
        <v>42501</v>
      </c>
      <c r="B338" s="115">
        <v>136.80000000000001</v>
      </c>
      <c r="C338" s="115">
        <v>136.35</v>
      </c>
      <c r="D338" s="115">
        <v>135.05000000000001</v>
      </c>
      <c r="E338" s="115">
        <v>136.5</v>
      </c>
      <c r="F338" s="115">
        <v>681.75</v>
      </c>
      <c r="G338">
        <v>1437</v>
      </c>
      <c r="H338" s="115"/>
      <c r="I338" s="115"/>
      <c r="L338" s="169">
        <v>42501</v>
      </c>
      <c r="M338" s="115">
        <v>136.06</v>
      </c>
      <c r="N338" s="115">
        <v>136.80000000000001</v>
      </c>
      <c r="O338" s="115">
        <v>133.19999999999999</v>
      </c>
      <c r="P338" s="115">
        <v>134</v>
      </c>
      <c r="Q338" s="115">
        <v>680.3</v>
      </c>
      <c r="R338">
        <v>3083</v>
      </c>
    </row>
    <row r="339" spans="1:18" x14ac:dyDescent="0.25">
      <c r="A339" s="169">
        <v>42502</v>
      </c>
      <c r="B339" s="115">
        <v>136.4</v>
      </c>
      <c r="C339" s="115">
        <v>136</v>
      </c>
      <c r="D339" s="115">
        <v>135.80000000000001</v>
      </c>
      <c r="E339" s="115">
        <v>136.19999999999999</v>
      </c>
      <c r="F339" s="115">
        <v>680</v>
      </c>
      <c r="G339">
        <v>328</v>
      </c>
      <c r="H339" s="115"/>
      <c r="I339" s="115"/>
      <c r="L339" s="169">
        <v>42502</v>
      </c>
      <c r="M339" s="115">
        <v>136.22</v>
      </c>
      <c r="N339" s="115">
        <v>136.97999999999999</v>
      </c>
      <c r="O339" s="115">
        <v>135.25</v>
      </c>
      <c r="P339" s="115">
        <v>136.97999999999999</v>
      </c>
      <c r="Q339" s="115">
        <v>681.1</v>
      </c>
      <c r="R339">
        <v>2894</v>
      </c>
    </row>
    <row r="340" spans="1:18" x14ac:dyDescent="0.25">
      <c r="A340" s="169">
        <v>42503</v>
      </c>
      <c r="B340" s="115">
        <v>136</v>
      </c>
      <c r="C340" s="115">
        <v>136</v>
      </c>
      <c r="D340" s="115">
        <v>134.80000000000001</v>
      </c>
      <c r="E340" s="115">
        <v>136</v>
      </c>
      <c r="F340" s="115">
        <v>680</v>
      </c>
      <c r="G340">
        <v>650</v>
      </c>
      <c r="H340" s="115"/>
      <c r="I340" s="115"/>
      <c r="L340" s="169">
        <v>42503</v>
      </c>
      <c r="M340" s="115">
        <v>135.63999999999999</v>
      </c>
      <c r="N340" s="115">
        <v>136.6</v>
      </c>
      <c r="O340" s="115">
        <v>135.01</v>
      </c>
      <c r="P340" s="115">
        <v>136</v>
      </c>
      <c r="Q340" s="115">
        <v>678.2</v>
      </c>
      <c r="R340">
        <v>3919</v>
      </c>
    </row>
    <row r="341" spans="1:18" x14ac:dyDescent="0.25">
      <c r="A341" s="169">
        <v>42506</v>
      </c>
      <c r="B341" s="115">
        <v>139.80000000000001</v>
      </c>
      <c r="C341" s="115">
        <v>137.05000000000001</v>
      </c>
      <c r="D341" s="115">
        <v>136</v>
      </c>
      <c r="E341" s="115">
        <v>136.75</v>
      </c>
      <c r="F341" s="115">
        <v>685.25</v>
      </c>
      <c r="G341">
        <v>385</v>
      </c>
      <c r="H341" s="115"/>
      <c r="I341" s="115"/>
      <c r="L341" s="169">
        <v>42506</v>
      </c>
      <c r="M341" s="115">
        <v>137.16</v>
      </c>
      <c r="N341" s="115">
        <v>139.69999999999999</v>
      </c>
      <c r="O341" s="115">
        <v>135.6</v>
      </c>
      <c r="P341" s="115">
        <v>136</v>
      </c>
      <c r="Q341" s="115">
        <v>685.8</v>
      </c>
      <c r="R341">
        <v>4877</v>
      </c>
    </row>
    <row r="342" spans="1:18" x14ac:dyDescent="0.25">
      <c r="A342" s="169">
        <v>42507</v>
      </c>
      <c r="B342" s="115">
        <v>137.6</v>
      </c>
      <c r="C342" s="115">
        <v>135.75</v>
      </c>
      <c r="D342" s="115">
        <v>134.1</v>
      </c>
      <c r="E342" s="115">
        <v>137.6</v>
      </c>
      <c r="F342" s="115">
        <v>678.75</v>
      </c>
      <c r="G342">
        <v>1089</v>
      </c>
      <c r="H342" s="115"/>
      <c r="I342" s="115"/>
      <c r="L342" s="169">
        <v>42507</v>
      </c>
      <c r="M342" s="115">
        <v>136.41999999999999</v>
      </c>
      <c r="N342" s="115">
        <v>138.4</v>
      </c>
      <c r="O342" s="115">
        <v>136</v>
      </c>
      <c r="P342" s="115">
        <v>137.19999999999999</v>
      </c>
      <c r="Q342" s="115">
        <v>682.1</v>
      </c>
      <c r="R342">
        <v>4032</v>
      </c>
    </row>
    <row r="343" spans="1:18" x14ac:dyDescent="0.25">
      <c r="A343" s="169">
        <v>42508</v>
      </c>
      <c r="B343" s="115">
        <v>137.4</v>
      </c>
      <c r="C343" s="115">
        <v>136.85</v>
      </c>
      <c r="D343" s="115">
        <v>135.1</v>
      </c>
      <c r="E343" s="115">
        <v>135.1</v>
      </c>
      <c r="F343" s="115">
        <v>684.25</v>
      </c>
      <c r="G343">
        <v>654</v>
      </c>
      <c r="H343" s="115"/>
      <c r="I343" s="115"/>
      <c r="L343" s="169">
        <v>42508</v>
      </c>
      <c r="M343" s="115">
        <v>136.19</v>
      </c>
      <c r="N343" s="115">
        <v>137.79</v>
      </c>
      <c r="O343" s="115">
        <v>135.6</v>
      </c>
      <c r="P343" s="115">
        <v>137.79</v>
      </c>
      <c r="Q343" s="115">
        <v>680.95</v>
      </c>
      <c r="R343">
        <v>1622</v>
      </c>
    </row>
    <row r="344" spans="1:18" x14ac:dyDescent="0.25">
      <c r="A344" s="169">
        <v>42509</v>
      </c>
      <c r="B344" s="115">
        <v>138</v>
      </c>
      <c r="C344" s="115">
        <v>135.15</v>
      </c>
      <c r="D344" s="115">
        <v>134</v>
      </c>
      <c r="E344" s="115">
        <v>135.85</v>
      </c>
      <c r="F344" s="115">
        <v>675.75</v>
      </c>
      <c r="G344">
        <v>727</v>
      </c>
      <c r="H344" s="115"/>
      <c r="I344" s="115"/>
      <c r="L344" s="169">
        <v>42509</v>
      </c>
      <c r="M344" s="115">
        <v>135.19999999999999</v>
      </c>
      <c r="N344" s="115">
        <v>136.80000000000001</v>
      </c>
      <c r="O344" s="115">
        <v>135.19999999999999</v>
      </c>
      <c r="P344" s="115">
        <v>136.80000000000001</v>
      </c>
      <c r="Q344" s="115">
        <v>676</v>
      </c>
      <c r="R344">
        <v>5995</v>
      </c>
    </row>
    <row r="345" spans="1:18" x14ac:dyDescent="0.25">
      <c r="A345" s="169">
        <v>42510</v>
      </c>
      <c r="B345" s="115">
        <v>135.80000000000001</v>
      </c>
      <c r="C345" s="115">
        <v>135.15</v>
      </c>
      <c r="D345" s="115">
        <v>134.80000000000001</v>
      </c>
      <c r="E345" s="115">
        <v>135.19999999999999</v>
      </c>
      <c r="F345" s="115">
        <v>675.75</v>
      </c>
      <c r="G345">
        <v>286</v>
      </c>
      <c r="H345" s="115"/>
      <c r="I345" s="115"/>
      <c r="L345" s="169">
        <v>42510</v>
      </c>
      <c r="M345" s="115">
        <v>135.51</v>
      </c>
      <c r="N345" s="115">
        <v>136.80000000000001</v>
      </c>
      <c r="O345" s="115">
        <v>135</v>
      </c>
      <c r="P345" s="115">
        <v>135</v>
      </c>
      <c r="Q345" s="115">
        <v>677.55</v>
      </c>
      <c r="R345">
        <v>2084</v>
      </c>
    </row>
    <row r="346" spans="1:18" x14ac:dyDescent="0.25">
      <c r="A346" s="169">
        <v>42513</v>
      </c>
      <c r="B346" s="115">
        <v>135.4</v>
      </c>
      <c r="C346" s="115">
        <v>134.81</v>
      </c>
      <c r="D346" s="115">
        <v>134.80000000000001</v>
      </c>
      <c r="E346" s="115">
        <v>135.19999999999999</v>
      </c>
      <c r="F346" s="115">
        <v>674.05</v>
      </c>
      <c r="G346">
        <v>80</v>
      </c>
      <c r="H346" s="115"/>
      <c r="I346" s="115"/>
      <c r="L346" s="169">
        <v>42513</v>
      </c>
      <c r="M346" s="115">
        <v>134.71</v>
      </c>
      <c r="N346" s="115">
        <v>136</v>
      </c>
      <c r="O346" s="115">
        <v>134</v>
      </c>
      <c r="P346" s="115">
        <v>135.1</v>
      </c>
      <c r="Q346" s="115">
        <v>673.55</v>
      </c>
      <c r="R346">
        <v>1704</v>
      </c>
    </row>
    <row r="347" spans="1:18" x14ac:dyDescent="0.25">
      <c r="A347" s="169">
        <v>42514</v>
      </c>
      <c r="B347" s="115">
        <v>138.65</v>
      </c>
      <c r="C347" s="115">
        <v>136.41</v>
      </c>
      <c r="D347" s="115">
        <v>134</v>
      </c>
      <c r="E347" s="115">
        <v>134.80000000000001</v>
      </c>
      <c r="F347" s="115">
        <v>682.05</v>
      </c>
      <c r="G347">
        <v>637</v>
      </c>
      <c r="H347" s="115"/>
      <c r="I347" s="115"/>
      <c r="L347" s="169">
        <v>42514</v>
      </c>
      <c r="M347" s="115">
        <v>136.72</v>
      </c>
      <c r="N347" s="115">
        <v>138.51</v>
      </c>
      <c r="O347" s="115">
        <v>134.19999999999999</v>
      </c>
      <c r="P347" s="115">
        <v>134.19999999999999</v>
      </c>
      <c r="Q347" s="115">
        <v>683.6</v>
      </c>
      <c r="R347">
        <v>5214</v>
      </c>
    </row>
    <row r="348" spans="1:18" x14ac:dyDescent="0.25">
      <c r="A348" s="169">
        <v>42515</v>
      </c>
      <c r="B348" s="115">
        <v>138</v>
      </c>
      <c r="C348" s="115">
        <v>135.82</v>
      </c>
      <c r="D348" s="115">
        <v>135.19999999999999</v>
      </c>
      <c r="E348" s="115">
        <v>136.22999999999999</v>
      </c>
      <c r="F348" s="115">
        <v>679.1</v>
      </c>
      <c r="G348">
        <v>517</v>
      </c>
      <c r="H348" s="115"/>
      <c r="I348" s="115"/>
      <c r="L348" s="169">
        <v>42515</v>
      </c>
      <c r="M348" s="115">
        <v>135.71</v>
      </c>
      <c r="N348" s="115">
        <v>137.99</v>
      </c>
      <c r="O348" s="115">
        <v>135.19999999999999</v>
      </c>
      <c r="P348" s="115">
        <v>136.72</v>
      </c>
      <c r="Q348" s="115">
        <v>678.55</v>
      </c>
      <c r="R348">
        <v>2282</v>
      </c>
    </row>
    <row r="349" spans="1:18" x14ac:dyDescent="0.25">
      <c r="A349" s="169">
        <v>42516</v>
      </c>
      <c r="B349" s="115">
        <v>137</v>
      </c>
      <c r="C349" s="115">
        <v>134.41999999999999</v>
      </c>
      <c r="D349" s="115">
        <v>134</v>
      </c>
      <c r="E349" s="115">
        <v>134.69999999999999</v>
      </c>
      <c r="F349" s="115">
        <v>672.1</v>
      </c>
      <c r="G349">
        <v>354</v>
      </c>
      <c r="H349" s="115"/>
      <c r="I349" s="115"/>
      <c r="L349" s="169">
        <v>42516</v>
      </c>
      <c r="M349" s="115">
        <v>134.4</v>
      </c>
      <c r="N349" s="115">
        <v>137.38999999999999</v>
      </c>
      <c r="O349" s="115">
        <v>133.4</v>
      </c>
      <c r="P349" s="115">
        <v>137.38999999999999</v>
      </c>
      <c r="Q349" s="115">
        <v>672</v>
      </c>
      <c r="R349">
        <v>3912</v>
      </c>
    </row>
    <row r="350" spans="1:18" x14ac:dyDescent="0.25">
      <c r="A350" s="169">
        <v>42517</v>
      </c>
      <c r="B350" s="115">
        <v>136.97</v>
      </c>
      <c r="C350" s="115">
        <v>135.56</v>
      </c>
      <c r="D350" s="115">
        <v>135.12</v>
      </c>
      <c r="E350" s="115">
        <v>135.19999999999999</v>
      </c>
      <c r="F350" s="115">
        <v>677.8</v>
      </c>
      <c r="G350">
        <v>233</v>
      </c>
      <c r="H350" s="115"/>
      <c r="I350" s="115"/>
      <c r="L350" s="169">
        <v>42517</v>
      </c>
      <c r="M350" s="115">
        <v>136.08000000000001</v>
      </c>
      <c r="N350" s="115">
        <v>136.4</v>
      </c>
      <c r="O350" s="115">
        <v>134.01</v>
      </c>
      <c r="P350" s="115">
        <v>136.38999999999999</v>
      </c>
      <c r="Q350" s="115">
        <v>680.4</v>
      </c>
      <c r="R350">
        <v>2373</v>
      </c>
    </row>
    <row r="351" spans="1:18" x14ac:dyDescent="0.25">
      <c r="A351" s="169">
        <v>42520</v>
      </c>
      <c r="B351" s="115">
        <v>138</v>
      </c>
      <c r="C351" s="115">
        <v>134.01</v>
      </c>
      <c r="D351" s="115">
        <v>133.6</v>
      </c>
      <c r="E351" s="115">
        <v>134.19</v>
      </c>
      <c r="F351" s="115">
        <v>670.05</v>
      </c>
      <c r="G351">
        <v>977</v>
      </c>
      <c r="H351" s="115"/>
      <c r="I351" s="115"/>
      <c r="L351" s="169">
        <v>42520</v>
      </c>
      <c r="M351" s="115">
        <v>133.94999999999999</v>
      </c>
      <c r="N351" s="115">
        <v>137</v>
      </c>
      <c r="O351" s="115">
        <v>133.6</v>
      </c>
      <c r="P351" s="115">
        <v>136.78</v>
      </c>
      <c r="Q351" s="115">
        <v>669.75</v>
      </c>
      <c r="R351">
        <v>5055</v>
      </c>
    </row>
    <row r="352" spans="1:18" x14ac:dyDescent="0.25">
      <c r="A352" s="169">
        <v>42521</v>
      </c>
      <c r="B352" s="115">
        <v>137.18</v>
      </c>
      <c r="C352" s="115">
        <v>136.99</v>
      </c>
      <c r="D352" s="115">
        <v>133.21</v>
      </c>
      <c r="E352" s="115">
        <v>134</v>
      </c>
      <c r="F352" s="115">
        <v>684.95</v>
      </c>
      <c r="G352">
        <v>1154</v>
      </c>
      <c r="H352" s="115"/>
      <c r="I352" s="115"/>
      <c r="L352" s="169">
        <v>42521</v>
      </c>
      <c r="M352" s="115">
        <v>137.03</v>
      </c>
      <c r="N352" s="115">
        <v>137.58000000000001</v>
      </c>
      <c r="O352" s="115">
        <v>133.04</v>
      </c>
      <c r="P352" s="115">
        <v>134</v>
      </c>
      <c r="Q352" s="115">
        <v>685.15</v>
      </c>
      <c r="R352">
        <v>5568</v>
      </c>
    </row>
    <row r="353" spans="1:18" x14ac:dyDescent="0.25">
      <c r="A353" s="169">
        <v>42522</v>
      </c>
      <c r="B353" s="115">
        <v>137.38999999999999</v>
      </c>
      <c r="C353" s="115">
        <v>134.77000000000001</v>
      </c>
      <c r="D353" s="115">
        <v>133.69999999999999</v>
      </c>
      <c r="E353" s="115">
        <v>135.6</v>
      </c>
      <c r="F353" s="115">
        <v>673.85</v>
      </c>
      <c r="G353">
        <v>775</v>
      </c>
      <c r="H353" s="115"/>
      <c r="I353" s="115"/>
      <c r="L353" s="169">
        <v>42522</v>
      </c>
      <c r="M353" s="115">
        <v>135.36000000000001</v>
      </c>
      <c r="N353" s="115">
        <v>137.99</v>
      </c>
      <c r="O353" s="115">
        <v>134.80000000000001</v>
      </c>
      <c r="P353" s="115">
        <v>137.03</v>
      </c>
      <c r="Q353" s="115">
        <v>676.8</v>
      </c>
      <c r="R353">
        <v>2316</v>
      </c>
    </row>
    <row r="354" spans="1:18" x14ac:dyDescent="0.25">
      <c r="A354" s="169">
        <v>42523</v>
      </c>
      <c r="B354" s="115">
        <v>136.54</v>
      </c>
      <c r="C354" s="115">
        <v>135</v>
      </c>
      <c r="D354" s="115">
        <v>134.80000000000001</v>
      </c>
      <c r="E354" s="115">
        <v>136.35</v>
      </c>
      <c r="F354" s="115">
        <v>675</v>
      </c>
      <c r="G354">
        <v>99</v>
      </c>
      <c r="H354" s="115"/>
      <c r="I354" s="115"/>
      <c r="L354" s="169">
        <v>42523</v>
      </c>
      <c r="M354" s="115">
        <v>134.57</v>
      </c>
      <c r="N354" s="115">
        <v>136.19999999999999</v>
      </c>
      <c r="O354" s="115">
        <v>134</v>
      </c>
      <c r="P354" s="115">
        <v>136</v>
      </c>
      <c r="Q354" s="115">
        <v>672.85</v>
      </c>
      <c r="R354">
        <v>1719</v>
      </c>
    </row>
    <row r="355" spans="1:18" x14ac:dyDescent="0.25">
      <c r="A355" s="169">
        <v>42524</v>
      </c>
      <c r="B355" s="115">
        <v>135.91</v>
      </c>
      <c r="C355" s="115">
        <v>133.75</v>
      </c>
      <c r="D355" s="115">
        <v>132.41</v>
      </c>
      <c r="E355" s="115">
        <v>135.4</v>
      </c>
      <c r="F355" s="115">
        <v>668.75</v>
      </c>
      <c r="G355">
        <v>1981</v>
      </c>
      <c r="H355" s="115"/>
      <c r="I355" s="115"/>
      <c r="L355" s="169">
        <v>42524</v>
      </c>
      <c r="M355" s="115">
        <v>133.63999999999999</v>
      </c>
      <c r="N355" s="115">
        <v>136.35</v>
      </c>
      <c r="O355" s="115">
        <v>133.01</v>
      </c>
      <c r="P355" s="115">
        <v>135.75</v>
      </c>
      <c r="Q355" s="115">
        <v>668.2</v>
      </c>
      <c r="R355">
        <v>2744</v>
      </c>
    </row>
    <row r="356" spans="1:18" x14ac:dyDescent="0.25">
      <c r="A356" s="169">
        <v>42527</v>
      </c>
      <c r="B356" s="115">
        <v>135.80000000000001</v>
      </c>
      <c r="C356" s="115">
        <v>135.08000000000001</v>
      </c>
      <c r="D356" s="115">
        <v>133.6</v>
      </c>
      <c r="E356" s="115">
        <v>134</v>
      </c>
      <c r="F356" s="115">
        <v>675.4</v>
      </c>
      <c r="G356">
        <v>173</v>
      </c>
      <c r="H356" s="115"/>
      <c r="I356" s="115"/>
      <c r="L356" s="169">
        <v>42527</v>
      </c>
      <c r="M356" s="115">
        <v>134.4</v>
      </c>
      <c r="N356" s="115">
        <v>136</v>
      </c>
      <c r="O356" s="115">
        <v>133.02000000000001</v>
      </c>
      <c r="P356" s="115">
        <v>136</v>
      </c>
      <c r="Q356" s="115">
        <v>672</v>
      </c>
      <c r="R356">
        <v>2878</v>
      </c>
    </row>
    <row r="357" spans="1:18" x14ac:dyDescent="0.25">
      <c r="A357" s="169">
        <v>42528</v>
      </c>
      <c r="B357" s="115">
        <v>137</v>
      </c>
      <c r="C357" s="115">
        <v>135.88</v>
      </c>
      <c r="D357" s="115">
        <v>133.4</v>
      </c>
      <c r="E357" s="115">
        <v>135.35</v>
      </c>
      <c r="F357" s="115">
        <v>679.4</v>
      </c>
      <c r="G357">
        <v>1643</v>
      </c>
      <c r="H357" s="115"/>
      <c r="I357" s="115"/>
      <c r="L357" s="169">
        <v>42528</v>
      </c>
      <c r="M357" s="115">
        <v>136.11000000000001</v>
      </c>
      <c r="N357" s="115">
        <v>137</v>
      </c>
      <c r="O357" s="115">
        <v>134.03</v>
      </c>
      <c r="P357" s="115">
        <v>135</v>
      </c>
      <c r="Q357" s="115">
        <v>680.55</v>
      </c>
      <c r="R357">
        <v>3642</v>
      </c>
    </row>
    <row r="358" spans="1:18" x14ac:dyDescent="0.25">
      <c r="A358" s="169">
        <v>42529</v>
      </c>
      <c r="B358" s="115">
        <v>137.81</v>
      </c>
      <c r="C358" s="115">
        <v>135.94999999999999</v>
      </c>
      <c r="D358" s="115">
        <v>133.27000000000001</v>
      </c>
      <c r="E358" s="115">
        <v>136</v>
      </c>
      <c r="F358" s="115">
        <v>679.75</v>
      </c>
      <c r="G358">
        <v>362</v>
      </c>
      <c r="H358" s="115"/>
      <c r="I358" s="115"/>
      <c r="L358" s="169">
        <v>42529</v>
      </c>
      <c r="M358" s="115">
        <v>136.1</v>
      </c>
      <c r="N358" s="115">
        <v>137.4</v>
      </c>
      <c r="O358" s="115">
        <v>135</v>
      </c>
      <c r="P358" s="115">
        <v>136</v>
      </c>
      <c r="Q358" s="115">
        <v>680.5</v>
      </c>
      <c r="R358">
        <v>2642</v>
      </c>
    </row>
    <row r="359" spans="1:18" x14ac:dyDescent="0.25">
      <c r="A359" s="169">
        <v>42530</v>
      </c>
      <c r="B359" s="115">
        <v>138</v>
      </c>
      <c r="C359" s="115">
        <v>136.01</v>
      </c>
      <c r="D359" s="115">
        <v>135.25</v>
      </c>
      <c r="E359" s="115">
        <v>137</v>
      </c>
      <c r="F359" s="115">
        <v>680.05</v>
      </c>
      <c r="G359">
        <v>980</v>
      </c>
      <c r="H359" s="115"/>
      <c r="I359" s="115"/>
      <c r="L359" s="169">
        <v>42530</v>
      </c>
      <c r="M359" s="115">
        <v>136.01</v>
      </c>
      <c r="N359" s="115">
        <v>137.78</v>
      </c>
      <c r="O359" s="115">
        <v>136</v>
      </c>
      <c r="P359" s="115">
        <v>137</v>
      </c>
      <c r="Q359" s="115">
        <v>680.05</v>
      </c>
      <c r="R359">
        <v>2407</v>
      </c>
    </row>
    <row r="360" spans="1:18" x14ac:dyDescent="0.25">
      <c r="A360" s="169">
        <v>42531</v>
      </c>
      <c r="B360" s="115">
        <v>137.57</v>
      </c>
      <c r="C360" s="115">
        <v>134.72999999999999</v>
      </c>
      <c r="D360" s="115">
        <v>133.6</v>
      </c>
      <c r="E360" s="115">
        <v>136.76</v>
      </c>
      <c r="F360" s="115">
        <v>673.65</v>
      </c>
      <c r="G360">
        <v>1427</v>
      </c>
      <c r="H360" s="115"/>
      <c r="I360" s="115"/>
      <c r="L360" s="169">
        <v>42531</v>
      </c>
      <c r="M360" s="115">
        <v>135.49</v>
      </c>
      <c r="N360" s="115">
        <v>137.80000000000001</v>
      </c>
      <c r="O360" s="115">
        <v>133.4</v>
      </c>
      <c r="P360" s="115">
        <v>137.4</v>
      </c>
      <c r="Q360" s="115">
        <v>677.45</v>
      </c>
      <c r="R360">
        <v>4482</v>
      </c>
    </row>
    <row r="361" spans="1:18" x14ac:dyDescent="0.25">
      <c r="A361" s="169">
        <v>42534</v>
      </c>
      <c r="B361" s="115">
        <v>136.97</v>
      </c>
      <c r="C361" s="115">
        <v>136.1</v>
      </c>
      <c r="D361" s="115">
        <v>133</v>
      </c>
      <c r="E361" s="115">
        <v>134.80000000000001</v>
      </c>
      <c r="F361" s="115">
        <v>680.5</v>
      </c>
      <c r="G361">
        <v>1500</v>
      </c>
      <c r="H361" s="115"/>
      <c r="I361" s="115"/>
      <c r="L361" s="169">
        <v>42534</v>
      </c>
      <c r="M361" s="115">
        <v>135.12</v>
      </c>
      <c r="N361" s="115">
        <v>136.88</v>
      </c>
      <c r="O361" s="115">
        <v>133.62</v>
      </c>
      <c r="P361" s="115">
        <v>135.19999999999999</v>
      </c>
      <c r="Q361" s="115">
        <v>675.6</v>
      </c>
      <c r="R361">
        <v>2128</v>
      </c>
    </row>
    <row r="362" spans="1:18" x14ac:dyDescent="0.25">
      <c r="A362" s="169">
        <v>42535</v>
      </c>
      <c r="B362" s="115">
        <v>135.97</v>
      </c>
      <c r="C362" s="115">
        <v>135.12</v>
      </c>
      <c r="D362" s="115">
        <v>133.38</v>
      </c>
      <c r="E362" s="115">
        <v>135</v>
      </c>
      <c r="F362" s="115">
        <v>675.6</v>
      </c>
      <c r="G362">
        <v>312</v>
      </c>
      <c r="H362" s="115"/>
      <c r="I362" s="115"/>
      <c r="L362" s="169">
        <v>42535</v>
      </c>
      <c r="M362" s="115">
        <v>134.76</v>
      </c>
      <c r="N362" s="115">
        <v>136</v>
      </c>
      <c r="O362" s="115">
        <v>134</v>
      </c>
      <c r="P362" s="115">
        <v>135.78</v>
      </c>
      <c r="Q362" s="115">
        <v>673.8</v>
      </c>
      <c r="R362">
        <v>2307</v>
      </c>
    </row>
    <row r="363" spans="1:18" x14ac:dyDescent="0.25">
      <c r="A363" s="169">
        <v>42536</v>
      </c>
      <c r="B363" s="115">
        <v>136.80000000000001</v>
      </c>
      <c r="C363" s="115">
        <v>136.58000000000001</v>
      </c>
      <c r="D363" s="115">
        <v>135</v>
      </c>
      <c r="E363" s="115">
        <v>135</v>
      </c>
      <c r="F363" s="115">
        <v>682.9</v>
      </c>
      <c r="G363">
        <v>465</v>
      </c>
      <c r="H363" s="115"/>
      <c r="I363" s="115"/>
      <c r="L363" s="169">
        <v>42536</v>
      </c>
      <c r="M363" s="115">
        <v>136.69</v>
      </c>
      <c r="N363" s="115">
        <v>137</v>
      </c>
      <c r="O363" s="115">
        <v>134</v>
      </c>
      <c r="P363" s="115">
        <v>134</v>
      </c>
      <c r="Q363" s="115">
        <v>683.45</v>
      </c>
      <c r="R363">
        <v>3115</v>
      </c>
    </row>
    <row r="364" spans="1:18" x14ac:dyDescent="0.25">
      <c r="A364" s="169">
        <v>42537</v>
      </c>
      <c r="B364" s="115">
        <v>136.80000000000001</v>
      </c>
      <c r="C364" s="115">
        <v>134.81</v>
      </c>
      <c r="D364" s="115">
        <v>134.28</v>
      </c>
      <c r="E364" s="115">
        <v>136.80000000000001</v>
      </c>
      <c r="F364" s="115">
        <v>674.05</v>
      </c>
      <c r="G364">
        <v>383</v>
      </c>
      <c r="H364" s="115"/>
      <c r="I364" s="115"/>
      <c r="L364" s="169">
        <v>42537</v>
      </c>
      <c r="M364" s="115">
        <v>135.15</v>
      </c>
      <c r="N364" s="115">
        <v>136.97999999999999</v>
      </c>
      <c r="O364" s="115">
        <v>134.63999999999999</v>
      </c>
      <c r="P364" s="115">
        <v>136.75</v>
      </c>
      <c r="Q364" s="115">
        <v>675.75</v>
      </c>
      <c r="R364">
        <v>1233</v>
      </c>
    </row>
    <row r="365" spans="1:18" x14ac:dyDescent="0.25">
      <c r="A365" s="169">
        <v>42538</v>
      </c>
      <c r="B365" s="115">
        <v>135.94999999999999</v>
      </c>
      <c r="C365" s="115">
        <v>134.05000000000001</v>
      </c>
      <c r="D365" s="115">
        <v>132.41</v>
      </c>
      <c r="E365" s="115">
        <v>134.80000000000001</v>
      </c>
      <c r="F365" s="115">
        <v>670.25</v>
      </c>
      <c r="G365">
        <v>643</v>
      </c>
      <c r="H365" s="115"/>
      <c r="I365" s="115"/>
      <c r="L365" s="169">
        <v>42538</v>
      </c>
      <c r="M365" s="115">
        <v>134.11000000000001</v>
      </c>
      <c r="N365" s="115">
        <v>136.88999999999999</v>
      </c>
      <c r="O365" s="115">
        <v>132.21</v>
      </c>
      <c r="P365" s="115">
        <v>136.88999999999999</v>
      </c>
      <c r="Q365" s="115">
        <v>670.55</v>
      </c>
      <c r="R365">
        <v>2811</v>
      </c>
    </row>
    <row r="366" spans="1:18" x14ac:dyDescent="0.25">
      <c r="A366" s="169">
        <v>42541</v>
      </c>
      <c r="B366" s="115">
        <v>134.05000000000001</v>
      </c>
      <c r="C366" s="115">
        <v>132.80000000000001</v>
      </c>
      <c r="D366" s="115">
        <v>132.79</v>
      </c>
      <c r="E366" s="115">
        <v>134.05000000000001</v>
      </c>
      <c r="F366" s="115">
        <v>664</v>
      </c>
      <c r="G366">
        <v>454</v>
      </c>
      <c r="H366" s="115"/>
      <c r="I366" s="115"/>
      <c r="L366" s="169">
        <v>42541</v>
      </c>
      <c r="M366" s="115">
        <v>133.16999999999999</v>
      </c>
      <c r="N366" s="115">
        <v>134.59</v>
      </c>
      <c r="O366" s="115">
        <v>133</v>
      </c>
      <c r="P366" s="115">
        <v>134</v>
      </c>
      <c r="Q366" s="115">
        <v>665.85</v>
      </c>
      <c r="R366">
        <v>1219</v>
      </c>
    </row>
    <row r="367" spans="1:18" x14ac:dyDescent="0.25">
      <c r="A367" s="169">
        <v>42542</v>
      </c>
      <c r="B367" s="115">
        <v>134.41</v>
      </c>
      <c r="C367" s="115">
        <v>132.55000000000001</v>
      </c>
      <c r="D367" s="115">
        <v>130</v>
      </c>
      <c r="E367" s="115">
        <v>132.91</v>
      </c>
      <c r="F367" s="115">
        <v>662.75</v>
      </c>
      <c r="G367">
        <v>525</v>
      </c>
      <c r="H367" s="115"/>
      <c r="I367" s="115"/>
      <c r="L367" s="169">
        <v>42542</v>
      </c>
      <c r="M367" s="115">
        <v>133.36000000000001</v>
      </c>
      <c r="N367" s="115">
        <v>134</v>
      </c>
      <c r="O367" s="115">
        <v>132.80000000000001</v>
      </c>
      <c r="P367" s="115">
        <v>133.25</v>
      </c>
      <c r="Q367" s="115">
        <v>666.8</v>
      </c>
      <c r="R367">
        <v>921</v>
      </c>
    </row>
    <row r="368" spans="1:18" x14ac:dyDescent="0.25">
      <c r="A368" s="169">
        <v>42543</v>
      </c>
      <c r="B368" s="115">
        <v>134</v>
      </c>
      <c r="C368" s="115">
        <v>132.72</v>
      </c>
      <c r="D368" s="115">
        <v>132.41999999999999</v>
      </c>
      <c r="E368" s="115">
        <v>134</v>
      </c>
      <c r="F368" s="115">
        <v>663.6</v>
      </c>
      <c r="G368">
        <v>166</v>
      </c>
      <c r="H368" s="115"/>
      <c r="I368" s="115"/>
      <c r="L368" s="169">
        <v>42543</v>
      </c>
      <c r="M368" s="115">
        <v>133.11000000000001</v>
      </c>
      <c r="N368" s="115">
        <v>134.80000000000001</v>
      </c>
      <c r="O368" s="115">
        <v>133</v>
      </c>
      <c r="P368" s="115">
        <v>133.35</v>
      </c>
      <c r="Q368" s="115">
        <v>665.55</v>
      </c>
      <c r="R368">
        <v>1768</v>
      </c>
    </row>
    <row r="369" spans="1:18" x14ac:dyDescent="0.25">
      <c r="A369" s="169">
        <v>42544</v>
      </c>
      <c r="B369" s="115">
        <v>133.79</v>
      </c>
      <c r="C369" s="115">
        <v>133.22</v>
      </c>
      <c r="D369" s="115">
        <v>132.19999999999999</v>
      </c>
      <c r="E369" s="115">
        <v>133</v>
      </c>
      <c r="F369" s="115">
        <v>666.1</v>
      </c>
      <c r="G369">
        <v>396</v>
      </c>
      <c r="H369" s="115"/>
      <c r="I369" s="115"/>
      <c r="L369" s="169">
        <v>42544</v>
      </c>
      <c r="M369" s="115">
        <v>132.59</v>
      </c>
      <c r="N369" s="115">
        <v>134</v>
      </c>
      <c r="O369" s="115">
        <v>132</v>
      </c>
      <c r="P369" s="115">
        <v>134</v>
      </c>
      <c r="Q369" s="115">
        <v>662.95</v>
      </c>
      <c r="R369">
        <v>1144</v>
      </c>
    </row>
    <row r="370" spans="1:18" x14ac:dyDescent="0.25">
      <c r="A370" s="169">
        <v>42545</v>
      </c>
      <c r="B370" s="115">
        <v>134</v>
      </c>
      <c r="C370" s="115">
        <v>133.16</v>
      </c>
      <c r="D370" s="115">
        <v>130.69999999999999</v>
      </c>
      <c r="E370" s="115">
        <v>133.74</v>
      </c>
      <c r="F370" s="115">
        <v>665.8</v>
      </c>
      <c r="G370">
        <v>405</v>
      </c>
      <c r="H370" s="115"/>
      <c r="I370" s="115"/>
      <c r="L370" s="169">
        <v>42545</v>
      </c>
      <c r="M370" s="115">
        <v>132.97</v>
      </c>
      <c r="N370" s="115">
        <v>133.47999999999999</v>
      </c>
      <c r="O370" s="115">
        <v>130.02000000000001</v>
      </c>
      <c r="P370" s="115">
        <v>133.4</v>
      </c>
      <c r="Q370" s="115">
        <v>664.85</v>
      </c>
      <c r="R370">
        <v>5629</v>
      </c>
    </row>
    <row r="371" spans="1:18" x14ac:dyDescent="0.25">
      <c r="A371" s="169">
        <v>42548</v>
      </c>
      <c r="B371" s="115">
        <v>137.36000000000001</v>
      </c>
      <c r="C371" s="115">
        <v>136.22</v>
      </c>
      <c r="D371" s="115">
        <v>134</v>
      </c>
      <c r="E371" s="115">
        <v>134</v>
      </c>
      <c r="F371" s="115">
        <v>681.1</v>
      </c>
      <c r="G371">
        <v>550</v>
      </c>
      <c r="H371" s="115"/>
      <c r="I371" s="115"/>
      <c r="L371" s="169">
        <v>42548</v>
      </c>
      <c r="M371" s="115">
        <v>136.61000000000001</v>
      </c>
      <c r="N371" s="115">
        <v>138</v>
      </c>
      <c r="O371" s="115">
        <v>133.19999999999999</v>
      </c>
      <c r="P371" s="115">
        <v>133.19999999999999</v>
      </c>
      <c r="Q371" s="115">
        <v>683.05</v>
      </c>
      <c r="R371">
        <v>6410</v>
      </c>
    </row>
    <row r="372" spans="1:18" x14ac:dyDescent="0.25">
      <c r="A372" s="169">
        <v>42549</v>
      </c>
      <c r="B372" s="115">
        <v>138.4</v>
      </c>
      <c r="C372" s="115">
        <v>137.35</v>
      </c>
      <c r="D372" s="115">
        <v>134.97999999999999</v>
      </c>
      <c r="E372" s="115">
        <v>135</v>
      </c>
      <c r="F372" s="115">
        <v>686.75</v>
      </c>
      <c r="G372">
        <v>685</v>
      </c>
      <c r="H372" s="115"/>
      <c r="I372" s="115"/>
      <c r="L372" s="169">
        <v>42549</v>
      </c>
      <c r="M372" s="115">
        <v>137.22</v>
      </c>
      <c r="N372" s="115">
        <v>138.6</v>
      </c>
      <c r="O372" s="115">
        <v>134.47999999999999</v>
      </c>
      <c r="P372" s="115">
        <v>136.61000000000001</v>
      </c>
      <c r="Q372" s="115">
        <v>686.1</v>
      </c>
      <c r="R372">
        <v>1987</v>
      </c>
    </row>
    <row r="373" spans="1:18" x14ac:dyDescent="0.25">
      <c r="A373" s="169">
        <v>42550</v>
      </c>
      <c r="B373" s="115">
        <v>146.80000000000001</v>
      </c>
      <c r="C373" s="115">
        <v>143.1</v>
      </c>
      <c r="D373" s="115">
        <v>136</v>
      </c>
      <c r="E373" s="115">
        <v>137.19999999999999</v>
      </c>
      <c r="F373" s="115">
        <v>715.5</v>
      </c>
      <c r="G373">
        <v>4990</v>
      </c>
      <c r="H373" s="115"/>
      <c r="I373" s="115"/>
      <c r="L373" s="169">
        <v>42550</v>
      </c>
      <c r="M373" s="115">
        <v>144.72999999999999</v>
      </c>
      <c r="N373" s="115">
        <v>147.38</v>
      </c>
      <c r="O373" s="115">
        <v>136</v>
      </c>
      <c r="P373" s="115">
        <v>137</v>
      </c>
      <c r="Q373" s="115">
        <v>723.65</v>
      </c>
      <c r="R373">
        <v>51651</v>
      </c>
    </row>
    <row r="374" spans="1:18" x14ac:dyDescent="0.25">
      <c r="A374" s="169">
        <v>42551</v>
      </c>
      <c r="B374" s="115">
        <v>148.88999999999999</v>
      </c>
      <c r="C374" s="115">
        <v>147.47</v>
      </c>
      <c r="D374" s="115">
        <v>142.01</v>
      </c>
      <c r="E374" s="115">
        <v>144</v>
      </c>
      <c r="F374" s="115">
        <v>737.35</v>
      </c>
      <c r="G374">
        <v>6000</v>
      </c>
      <c r="H374" s="115"/>
      <c r="I374" s="115"/>
      <c r="L374" s="169">
        <v>42551</v>
      </c>
      <c r="M374" s="115">
        <v>149.04</v>
      </c>
      <c r="N374" s="115">
        <v>149.80000000000001</v>
      </c>
      <c r="O374" s="115">
        <v>142.4</v>
      </c>
      <c r="P374" s="115">
        <v>144.80000000000001</v>
      </c>
      <c r="Q374" s="115">
        <v>745.2</v>
      </c>
      <c r="R374">
        <v>61673</v>
      </c>
    </row>
    <row r="375" spans="1:18" x14ac:dyDescent="0.25">
      <c r="A375" s="169">
        <v>42552</v>
      </c>
      <c r="B375" s="115">
        <v>149</v>
      </c>
      <c r="C375" s="115">
        <v>144.81</v>
      </c>
      <c r="D375" s="115">
        <v>144.05000000000001</v>
      </c>
      <c r="E375" s="115">
        <v>146</v>
      </c>
      <c r="F375" s="115">
        <v>724.05</v>
      </c>
      <c r="G375">
        <v>1380</v>
      </c>
      <c r="H375" s="115"/>
      <c r="I375" s="115"/>
      <c r="L375" s="169">
        <v>42552</v>
      </c>
      <c r="M375" s="115">
        <v>143.78</v>
      </c>
      <c r="N375" s="115">
        <v>149.19</v>
      </c>
      <c r="O375" s="115">
        <v>142.4</v>
      </c>
      <c r="P375" s="115">
        <v>148</v>
      </c>
      <c r="Q375" s="115">
        <v>718.9</v>
      </c>
      <c r="R375">
        <v>6491</v>
      </c>
    </row>
    <row r="376" spans="1:18" x14ac:dyDescent="0.25">
      <c r="A376" s="169">
        <v>42555</v>
      </c>
      <c r="B376" s="115">
        <v>145</v>
      </c>
      <c r="C376" s="115">
        <v>141.77000000000001</v>
      </c>
      <c r="D376" s="115">
        <v>141</v>
      </c>
      <c r="E376" s="115">
        <v>145</v>
      </c>
      <c r="F376" s="115">
        <v>708.85</v>
      </c>
      <c r="G376">
        <v>1404</v>
      </c>
      <c r="H376" s="115"/>
      <c r="I376" s="115"/>
      <c r="L376" s="169">
        <v>42555</v>
      </c>
      <c r="M376" s="115">
        <v>141.82</v>
      </c>
      <c r="N376" s="115">
        <v>145.6</v>
      </c>
      <c r="O376" s="115">
        <v>140.61000000000001</v>
      </c>
      <c r="P376" s="115">
        <v>143.02000000000001</v>
      </c>
      <c r="Q376" s="115">
        <v>709.1</v>
      </c>
      <c r="R376">
        <v>13509</v>
      </c>
    </row>
    <row r="377" spans="1:18" x14ac:dyDescent="0.25">
      <c r="A377" s="169">
        <v>42556</v>
      </c>
      <c r="B377" s="115">
        <v>144.6</v>
      </c>
      <c r="C377" s="115">
        <v>141</v>
      </c>
      <c r="D377" s="115">
        <v>140.80000000000001</v>
      </c>
      <c r="E377" s="115">
        <v>144</v>
      </c>
      <c r="F377" s="115">
        <v>705</v>
      </c>
      <c r="G377">
        <v>386</v>
      </c>
      <c r="H377" s="115"/>
      <c r="I377" s="115"/>
      <c r="L377" s="169">
        <v>42556</v>
      </c>
      <c r="M377" s="115">
        <v>140.71</v>
      </c>
      <c r="N377" s="115">
        <v>144.6</v>
      </c>
      <c r="O377" s="115">
        <v>140.02000000000001</v>
      </c>
      <c r="P377" s="115">
        <v>140.61000000000001</v>
      </c>
      <c r="Q377" s="115">
        <v>703.55</v>
      </c>
      <c r="R377">
        <v>4321</v>
      </c>
    </row>
    <row r="378" spans="1:18" x14ac:dyDescent="0.25">
      <c r="A378" s="169">
        <v>42558</v>
      </c>
      <c r="B378" s="115">
        <v>149</v>
      </c>
      <c r="C378" s="115">
        <v>148.04</v>
      </c>
      <c r="D378" s="115">
        <v>140.80000000000001</v>
      </c>
      <c r="E378" s="115">
        <v>142.4</v>
      </c>
      <c r="F378" s="115">
        <v>740.2</v>
      </c>
      <c r="G378">
        <v>1301</v>
      </c>
      <c r="H378" s="115"/>
      <c r="I378" s="115"/>
      <c r="L378" s="169">
        <v>42558</v>
      </c>
      <c r="M378" s="115">
        <v>148.33000000000001</v>
      </c>
      <c r="N378" s="115">
        <v>149.44</v>
      </c>
      <c r="O378" s="115">
        <v>140.02000000000001</v>
      </c>
      <c r="P378" s="115">
        <v>140.4</v>
      </c>
      <c r="Q378" s="115">
        <v>741.65</v>
      </c>
      <c r="R378">
        <v>31387</v>
      </c>
    </row>
    <row r="379" spans="1:18" x14ac:dyDescent="0.25">
      <c r="A379" s="169">
        <v>42559</v>
      </c>
      <c r="B379" s="115">
        <v>153</v>
      </c>
      <c r="C379" s="115">
        <v>144.54</v>
      </c>
      <c r="D379" s="115">
        <v>143.02000000000001</v>
      </c>
      <c r="E379" s="115">
        <v>147</v>
      </c>
      <c r="F379" s="115">
        <v>722.7</v>
      </c>
      <c r="G379">
        <v>7008</v>
      </c>
      <c r="H379" s="115"/>
      <c r="I379" s="115"/>
      <c r="L379" s="169">
        <v>42559</v>
      </c>
      <c r="M379" s="115">
        <v>143.21</v>
      </c>
      <c r="N379" s="115">
        <v>153</v>
      </c>
      <c r="O379" s="115">
        <v>141.03</v>
      </c>
      <c r="P379" s="115">
        <v>148</v>
      </c>
      <c r="Q379" s="115">
        <v>716.05</v>
      </c>
      <c r="R379">
        <v>42383</v>
      </c>
    </row>
    <row r="380" spans="1:18" x14ac:dyDescent="0.25">
      <c r="A380" s="169">
        <v>42562</v>
      </c>
      <c r="B380" s="115">
        <v>153.59</v>
      </c>
      <c r="C380" s="115">
        <v>151.72</v>
      </c>
      <c r="D380" s="115">
        <v>141.4</v>
      </c>
      <c r="E380" s="115">
        <v>144</v>
      </c>
      <c r="F380" s="115">
        <v>758.6</v>
      </c>
      <c r="G380">
        <v>3146</v>
      </c>
      <c r="H380" s="115"/>
      <c r="I380" s="115"/>
      <c r="L380" s="169">
        <v>42562</v>
      </c>
      <c r="M380" s="115">
        <v>152.34</v>
      </c>
      <c r="N380" s="115">
        <v>154.80000000000001</v>
      </c>
      <c r="O380" s="115">
        <v>141.03</v>
      </c>
      <c r="P380" s="115">
        <v>146.79</v>
      </c>
      <c r="Q380" s="115">
        <v>761.7</v>
      </c>
      <c r="R380">
        <v>33694</v>
      </c>
    </row>
    <row r="381" spans="1:18" x14ac:dyDescent="0.25">
      <c r="A381" s="169">
        <v>42563</v>
      </c>
      <c r="B381" s="115">
        <v>151.19999999999999</v>
      </c>
      <c r="C381" s="115">
        <v>147.06</v>
      </c>
      <c r="D381" s="115">
        <v>146</v>
      </c>
      <c r="E381" s="115">
        <v>149.61000000000001</v>
      </c>
      <c r="F381" s="115">
        <v>735.3</v>
      </c>
      <c r="G381">
        <v>1473</v>
      </c>
      <c r="H381" s="115"/>
      <c r="I381" s="115"/>
      <c r="L381" s="169">
        <v>42563</v>
      </c>
      <c r="M381" s="115">
        <v>146.75</v>
      </c>
      <c r="N381" s="115">
        <v>152</v>
      </c>
      <c r="O381" s="115">
        <v>145.53</v>
      </c>
      <c r="P381" s="115">
        <v>151.19999999999999</v>
      </c>
      <c r="Q381" s="115">
        <v>733.75</v>
      </c>
      <c r="R381">
        <v>15866</v>
      </c>
    </row>
    <row r="382" spans="1:18" x14ac:dyDescent="0.25">
      <c r="A382" s="169">
        <v>42564</v>
      </c>
      <c r="B382" s="115">
        <v>146</v>
      </c>
      <c r="C382" s="115">
        <v>144.37</v>
      </c>
      <c r="D382" s="115">
        <v>144.19999999999999</v>
      </c>
      <c r="E382" s="115">
        <v>146</v>
      </c>
      <c r="F382" s="115">
        <v>721.85</v>
      </c>
      <c r="G382">
        <v>481</v>
      </c>
      <c r="H382" s="115"/>
      <c r="I382" s="115"/>
      <c r="L382" s="169">
        <v>42564</v>
      </c>
      <c r="M382" s="115">
        <v>144.59</v>
      </c>
      <c r="N382" s="115">
        <v>147.91999999999999</v>
      </c>
      <c r="O382" s="115">
        <v>143.80000000000001</v>
      </c>
      <c r="P382" s="115">
        <v>146.75</v>
      </c>
      <c r="Q382" s="115">
        <v>722.95</v>
      </c>
      <c r="R382">
        <v>3589</v>
      </c>
    </row>
    <row r="383" spans="1:18" x14ac:dyDescent="0.25">
      <c r="A383" s="169">
        <v>42565</v>
      </c>
      <c r="B383" s="115">
        <v>146.22999999999999</v>
      </c>
      <c r="C383" s="115">
        <v>145.51</v>
      </c>
      <c r="D383" s="115">
        <v>143.76</v>
      </c>
      <c r="E383" s="115">
        <v>144</v>
      </c>
      <c r="F383" s="115">
        <v>727.55</v>
      </c>
      <c r="G383">
        <v>221</v>
      </c>
      <c r="H383" s="115"/>
      <c r="I383" s="115"/>
      <c r="L383" s="169">
        <v>42565</v>
      </c>
      <c r="M383" s="115">
        <v>145.05000000000001</v>
      </c>
      <c r="N383" s="115">
        <v>146.19999999999999</v>
      </c>
      <c r="O383" s="115">
        <v>144</v>
      </c>
      <c r="P383" s="115">
        <v>145.57</v>
      </c>
      <c r="Q383" s="115">
        <v>725.25</v>
      </c>
      <c r="R383">
        <v>2489</v>
      </c>
    </row>
    <row r="384" spans="1:18" x14ac:dyDescent="0.25">
      <c r="A384" s="169">
        <v>42566</v>
      </c>
      <c r="B384" s="115">
        <v>146.66</v>
      </c>
      <c r="C384" s="115">
        <v>143.71</v>
      </c>
      <c r="D384" s="115">
        <v>141.94999999999999</v>
      </c>
      <c r="E384" s="115">
        <v>145.81</v>
      </c>
      <c r="F384" s="115">
        <v>718.55</v>
      </c>
      <c r="G384">
        <v>1323</v>
      </c>
      <c r="H384" s="115"/>
      <c r="I384" s="115"/>
      <c r="L384" s="169">
        <v>42566</v>
      </c>
      <c r="M384" s="115">
        <v>143.91</v>
      </c>
      <c r="N384" s="115">
        <v>146.93</v>
      </c>
      <c r="O384" s="115">
        <v>141.06</v>
      </c>
      <c r="P384" s="115">
        <v>145.05000000000001</v>
      </c>
      <c r="Q384" s="115">
        <v>719.55</v>
      </c>
      <c r="R384">
        <v>6905</v>
      </c>
    </row>
    <row r="385" spans="1:18" x14ac:dyDescent="0.25">
      <c r="A385" s="169">
        <v>42569</v>
      </c>
      <c r="B385" s="115">
        <v>145.19999999999999</v>
      </c>
      <c r="C385" s="115">
        <v>143</v>
      </c>
      <c r="D385" s="115">
        <v>143</v>
      </c>
      <c r="E385" s="115">
        <v>143.68</v>
      </c>
      <c r="F385" s="115">
        <v>715</v>
      </c>
      <c r="G385">
        <v>203</v>
      </c>
      <c r="H385" s="115"/>
      <c r="I385" s="115"/>
      <c r="L385" s="169">
        <v>42569</v>
      </c>
      <c r="M385" s="115">
        <v>143.03</v>
      </c>
      <c r="N385" s="115">
        <v>145.19999999999999</v>
      </c>
      <c r="O385" s="115">
        <v>142.19999999999999</v>
      </c>
      <c r="P385" s="115">
        <v>145.1</v>
      </c>
      <c r="Q385" s="115">
        <v>715.15</v>
      </c>
      <c r="R385">
        <v>2263</v>
      </c>
    </row>
    <row r="386" spans="1:18" x14ac:dyDescent="0.25">
      <c r="A386" s="169">
        <v>42570</v>
      </c>
      <c r="B386" s="115">
        <v>144.81</v>
      </c>
      <c r="C386" s="115">
        <v>142.37</v>
      </c>
      <c r="D386" s="115">
        <v>141.66</v>
      </c>
      <c r="E386" s="115">
        <v>143.36000000000001</v>
      </c>
      <c r="F386" s="115">
        <v>711.85</v>
      </c>
      <c r="G386">
        <v>378</v>
      </c>
      <c r="H386" s="115"/>
      <c r="I386" s="115"/>
      <c r="L386" s="169">
        <v>42570</v>
      </c>
      <c r="M386" s="115">
        <v>143.38</v>
      </c>
      <c r="N386" s="115">
        <v>145.66999999999999</v>
      </c>
      <c r="O386" s="115">
        <v>141.4</v>
      </c>
      <c r="P386" s="115">
        <v>141.4</v>
      </c>
      <c r="Q386" s="115">
        <v>716.9</v>
      </c>
      <c r="R386">
        <v>2887</v>
      </c>
    </row>
    <row r="387" spans="1:18" x14ac:dyDescent="0.25">
      <c r="A387" s="169">
        <v>42571</v>
      </c>
      <c r="B387" s="115">
        <v>144.6</v>
      </c>
      <c r="C387" s="115">
        <v>142.59</v>
      </c>
      <c r="D387" s="115">
        <v>142.27000000000001</v>
      </c>
      <c r="E387" s="115">
        <v>144.6</v>
      </c>
      <c r="F387" s="115">
        <v>712.95</v>
      </c>
      <c r="G387">
        <v>360</v>
      </c>
      <c r="H387" s="115"/>
      <c r="I387" s="115"/>
      <c r="L387" s="169">
        <v>42571</v>
      </c>
      <c r="M387" s="115">
        <v>142.9</v>
      </c>
      <c r="N387" s="115">
        <v>145.19999999999999</v>
      </c>
      <c r="O387" s="115">
        <v>142.6</v>
      </c>
      <c r="P387" s="115">
        <v>143.38</v>
      </c>
      <c r="Q387" s="115">
        <v>714.5</v>
      </c>
      <c r="R387">
        <v>1212</v>
      </c>
    </row>
    <row r="388" spans="1:18" x14ac:dyDescent="0.25">
      <c r="A388" s="169">
        <v>42572</v>
      </c>
      <c r="B388" s="115">
        <v>143.85</v>
      </c>
      <c r="C388" s="115">
        <v>143.04</v>
      </c>
      <c r="D388" s="115">
        <v>142.1</v>
      </c>
      <c r="E388" s="115">
        <v>143.5</v>
      </c>
      <c r="F388" s="115">
        <v>715.2</v>
      </c>
      <c r="G388">
        <v>336</v>
      </c>
      <c r="H388" s="115"/>
      <c r="I388" s="115"/>
      <c r="L388" s="169">
        <v>42572</v>
      </c>
      <c r="M388" s="115">
        <v>143.13</v>
      </c>
      <c r="N388" s="115">
        <v>144.97999999999999</v>
      </c>
      <c r="O388" s="115">
        <v>142</v>
      </c>
      <c r="P388" s="115">
        <v>144.97999999999999</v>
      </c>
      <c r="Q388" s="115">
        <v>715.65</v>
      </c>
      <c r="R388">
        <v>2191</v>
      </c>
    </row>
    <row r="389" spans="1:18" x14ac:dyDescent="0.25">
      <c r="A389" s="169">
        <v>42573</v>
      </c>
      <c r="B389" s="115">
        <v>149.58000000000001</v>
      </c>
      <c r="C389" s="115">
        <v>147.16</v>
      </c>
      <c r="D389" s="115">
        <v>143.4</v>
      </c>
      <c r="E389" s="115">
        <v>144</v>
      </c>
      <c r="F389" s="115">
        <v>735.8</v>
      </c>
      <c r="G389">
        <v>1963</v>
      </c>
      <c r="H389" s="115"/>
      <c r="I389" s="115"/>
      <c r="L389" s="169">
        <v>42573</v>
      </c>
      <c r="M389" s="115">
        <v>146.44</v>
      </c>
      <c r="N389" s="115">
        <v>149.80000000000001</v>
      </c>
      <c r="O389" s="115">
        <v>143.58000000000001</v>
      </c>
      <c r="P389" s="115">
        <v>144.94</v>
      </c>
      <c r="Q389" s="115">
        <v>732.2</v>
      </c>
      <c r="R389">
        <v>11124</v>
      </c>
    </row>
    <row r="390" spans="1:18" x14ac:dyDescent="0.25">
      <c r="A390" s="169">
        <v>42576</v>
      </c>
      <c r="B390" s="115">
        <v>145.34</v>
      </c>
      <c r="C390" s="115">
        <v>140.84</v>
      </c>
      <c r="D390" s="115">
        <v>138.9</v>
      </c>
      <c r="E390" s="115">
        <v>143</v>
      </c>
      <c r="F390" s="115">
        <v>704.2</v>
      </c>
      <c r="G390">
        <v>3849</v>
      </c>
      <c r="H390" s="115"/>
      <c r="I390" s="115"/>
      <c r="L390" s="169">
        <v>42576</v>
      </c>
      <c r="M390" s="115">
        <v>140.87</v>
      </c>
      <c r="N390" s="115">
        <v>145.56</v>
      </c>
      <c r="O390" s="115">
        <v>138</v>
      </c>
      <c r="P390" s="115">
        <v>143.02000000000001</v>
      </c>
      <c r="Q390" s="115">
        <v>704.35</v>
      </c>
      <c r="R390">
        <v>17658</v>
      </c>
    </row>
    <row r="391" spans="1:18" x14ac:dyDescent="0.25">
      <c r="A391" s="169">
        <v>42577</v>
      </c>
      <c r="B391" s="115">
        <v>140.6</v>
      </c>
      <c r="C391" s="115">
        <v>139.47</v>
      </c>
      <c r="D391" s="115">
        <v>138.75</v>
      </c>
      <c r="E391" s="115">
        <v>140.41</v>
      </c>
      <c r="F391" s="115">
        <v>697.35</v>
      </c>
      <c r="G391">
        <v>1820</v>
      </c>
      <c r="H391" s="115"/>
      <c r="I391" s="115"/>
      <c r="L391" s="169">
        <v>42577</v>
      </c>
      <c r="M391" s="115">
        <v>138.9</v>
      </c>
      <c r="N391" s="115">
        <v>140.88</v>
      </c>
      <c r="O391" s="115">
        <v>138.29</v>
      </c>
      <c r="P391" s="115">
        <v>140.88</v>
      </c>
      <c r="Q391" s="115">
        <v>694.5</v>
      </c>
      <c r="R391">
        <v>6097</v>
      </c>
    </row>
    <row r="392" spans="1:18" x14ac:dyDescent="0.25">
      <c r="A392" s="169">
        <v>42578</v>
      </c>
      <c r="B392" s="115">
        <v>140</v>
      </c>
      <c r="C392" s="115">
        <v>136.85</v>
      </c>
      <c r="D392" s="115">
        <v>136</v>
      </c>
      <c r="E392" s="115">
        <v>138.99</v>
      </c>
      <c r="F392" s="115">
        <v>684.25</v>
      </c>
      <c r="G392">
        <v>2356</v>
      </c>
      <c r="H392" s="115"/>
      <c r="I392" s="115"/>
      <c r="L392" s="169">
        <v>42578</v>
      </c>
      <c r="M392" s="115">
        <v>138.36000000000001</v>
      </c>
      <c r="N392" s="115">
        <v>140.62</v>
      </c>
      <c r="O392" s="115">
        <v>136.38999999999999</v>
      </c>
      <c r="P392" s="115">
        <v>140.59</v>
      </c>
      <c r="Q392" s="115">
        <v>691.8</v>
      </c>
      <c r="R392">
        <v>5521</v>
      </c>
    </row>
    <row r="393" spans="1:18" x14ac:dyDescent="0.25">
      <c r="A393" s="169">
        <v>42579</v>
      </c>
      <c r="B393" s="115">
        <v>139</v>
      </c>
      <c r="C393" s="115">
        <v>136.93</v>
      </c>
      <c r="D393" s="115">
        <v>134.83000000000001</v>
      </c>
      <c r="E393" s="115">
        <v>138</v>
      </c>
      <c r="F393" s="115">
        <v>684.65</v>
      </c>
      <c r="G393">
        <v>1841</v>
      </c>
      <c r="H393" s="115"/>
      <c r="I393" s="115"/>
      <c r="L393" s="169">
        <v>42579</v>
      </c>
      <c r="M393" s="115">
        <v>136.51</v>
      </c>
      <c r="N393" s="115">
        <v>139.6</v>
      </c>
      <c r="O393" s="115">
        <v>135.4</v>
      </c>
      <c r="P393" s="115">
        <v>138.36000000000001</v>
      </c>
      <c r="Q393" s="115">
        <v>682.55</v>
      </c>
      <c r="R393">
        <v>32500</v>
      </c>
    </row>
    <row r="394" spans="1:18" x14ac:dyDescent="0.25">
      <c r="A394" s="169">
        <v>42580</v>
      </c>
      <c r="B394" s="115">
        <v>137.28</v>
      </c>
      <c r="C394" s="115">
        <v>135.93</v>
      </c>
      <c r="D394" s="115">
        <v>134</v>
      </c>
      <c r="E394" s="115">
        <v>136.1</v>
      </c>
      <c r="F394" s="115">
        <v>679.65</v>
      </c>
      <c r="G394">
        <v>680</v>
      </c>
      <c r="H394" s="115"/>
      <c r="I394" s="115"/>
      <c r="L394" s="169">
        <v>42580</v>
      </c>
      <c r="M394" s="115">
        <v>135.24</v>
      </c>
      <c r="N394" s="115">
        <v>137.56</v>
      </c>
      <c r="O394" s="115">
        <v>133.6</v>
      </c>
      <c r="P394" s="115">
        <v>137</v>
      </c>
      <c r="Q394" s="115">
        <v>676.2</v>
      </c>
      <c r="R394">
        <v>6169</v>
      </c>
    </row>
    <row r="395" spans="1:18" x14ac:dyDescent="0.25">
      <c r="A395" s="169">
        <v>42583</v>
      </c>
      <c r="B395" s="115">
        <v>135.6</v>
      </c>
      <c r="C395" s="115">
        <v>132.97</v>
      </c>
      <c r="D395" s="115">
        <v>132.69999999999999</v>
      </c>
      <c r="E395" s="115">
        <v>135.4</v>
      </c>
      <c r="F395" s="115">
        <v>664.85</v>
      </c>
      <c r="G395">
        <v>1707</v>
      </c>
      <c r="H395" s="115"/>
      <c r="I395" s="115"/>
      <c r="L395" s="169">
        <v>42583</v>
      </c>
      <c r="M395" s="115">
        <v>133.57</v>
      </c>
      <c r="N395" s="115">
        <v>136.4</v>
      </c>
      <c r="O395" s="115">
        <v>133.24</v>
      </c>
      <c r="P395" s="115">
        <v>136</v>
      </c>
      <c r="Q395" s="115">
        <v>667.85</v>
      </c>
      <c r="R395">
        <v>4575</v>
      </c>
    </row>
    <row r="396" spans="1:18" x14ac:dyDescent="0.25">
      <c r="A396" s="169">
        <v>42584</v>
      </c>
      <c r="B396" s="115">
        <v>133.26</v>
      </c>
      <c r="C396" s="115">
        <v>131.65</v>
      </c>
      <c r="D396" s="115">
        <v>131.19999999999999</v>
      </c>
      <c r="E396" s="115">
        <v>133.26</v>
      </c>
      <c r="F396" s="115">
        <v>658.25</v>
      </c>
      <c r="G396">
        <v>535</v>
      </c>
      <c r="H396" s="115"/>
      <c r="I396" s="115"/>
      <c r="L396" s="169">
        <v>42584</v>
      </c>
      <c r="M396" s="115">
        <v>131.09</v>
      </c>
      <c r="N396" s="115">
        <v>134.80000000000001</v>
      </c>
      <c r="O396" s="115">
        <v>130.4</v>
      </c>
      <c r="P396" s="115">
        <v>133.19999999999999</v>
      </c>
      <c r="Q396" s="115">
        <v>655.45</v>
      </c>
      <c r="R396">
        <v>10331</v>
      </c>
    </row>
    <row r="397" spans="1:18" x14ac:dyDescent="0.25">
      <c r="A397" s="169">
        <v>42585</v>
      </c>
      <c r="B397" s="115">
        <v>132.16</v>
      </c>
      <c r="C397" s="115">
        <v>128.6</v>
      </c>
      <c r="D397" s="115">
        <v>127.99</v>
      </c>
      <c r="E397" s="115">
        <v>131.80000000000001</v>
      </c>
      <c r="F397" s="115">
        <v>643</v>
      </c>
      <c r="G397">
        <v>326</v>
      </c>
      <c r="H397" s="115"/>
      <c r="I397" s="115"/>
      <c r="L397" s="169">
        <v>42585</v>
      </c>
      <c r="M397" s="115">
        <v>128.05000000000001</v>
      </c>
      <c r="N397" s="115">
        <v>131.9</v>
      </c>
      <c r="O397" s="115">
        <v>127.25</v>
      </c>
      <c r="P397" s="115">
        <v>131</v>
      </c>
      <c r="Q397" s="115">
        <v>640.25</v>
      </c>
      <c r="R397">
        <v>5688</v>
      </c>
    </row>
    <row r="398" spans="1:18" x14ac:dyDescent="0.25">
      <c r="A398" s="169">
        <v>42586</v>
      </c>
      <c r="B398" s="115">
        <v>128</v>
      </c>
      <c r="C398" s="115">
        <v>125.57</v>
      </c>
      <c r="D398" s="115">
        <v>125.22</v>
      </c>
      <c r="E398" s="115">
        <v>128</v>
      </c>
      <c r="F398" s="115">
        <v>627.85</v>
      </c>
      <c r="G398">
        <v>1195</v>
      </c>
      <c r="H398" s="115"/>
      <c r="I398" s="115"/>
      <c r="L398" s="169">
        <v>42586</v>
      </c>
      <c r="M398" s="115">
        <v>125.91</v>
      </c>
      <c r="N398" s="115">
        <v>129.61000000000001</v>
      </c>
      <c r="O398" s="115">
        <v>125.4</v>
      </c>
      <c r="P398" s="115">
        <v>128.4</v>
      </c>
      <c r="Q398" s="115">
        <v>629.54999999999995</v>
      </c>
      <c r="R398">
        <v>4389</v>
      </c>
    </row>
    <row r="399" spans="1:18" x14ac:dyDescent="0.25">
      <c r="A399" s="169">
        <v>42587</v>
      </c>
      <c r="B399" s="115">
        <v>128.52000000000001</v>
      </c>
      <c r="C399" s="115">
        <v>125.21</v>
      </c>
      <c r="D399" s="115">
        <v>124.91</v>
      </c>
      <c r="E399" s="115">
        <v>128</v>
      </c>
      <c r="F399" s="115">
        <v>626.04999999999995</v>
      </c>
      <c r="G399">
        <v>1034</v>
      </c>
      <c r="H399" s="115"/>
      <c r="I399" s="115"/>
      <c r="L399" s="169">
        <v>42587</v>
      </c>
      <c r="M399" s="115">
        <v>125.6</v>
      </c>
      <c r="N399" s="115">
        <v>128.85</v>
      </c>
      <c r="O399" s="115">
        <v>125.22</v>
      </c>
      <c r="P399" s="115">
        <v>125.64</v>
      </c>
      <c r="Q399" s="115">
        <v>628</v>
      </c>
      <c r="R399">
        <v>5436</v>
      </c>
    </row>
    <row r="400" spans="1:18" x14ac:dyDescent="0.25">
      <c r="A400" s="169">
        <v>42590</v>
      </c>
      <c r="B400" s="115">
        <v>130.9</v>
      </c>
      <c r="C400" s="115">
        <v>126.05</v>
      </c>
      <c r="D400" s="115">
        <v>125.4</v>
      </c>
      <c r="E400" s="115">
        <v>125.61</v>
      </c>
      <c r="F400" s="115">
        <v>630.25</v>
      </c>
      <c r="G400">
        <v>1425</v>
      </c>
      <c r="H400" s="115"/>
      <c r="I400" s="115"/>
      <c r="L400" s="169">
        <v>42590</v>
      </c>
      <c r="M400" s="115">
        <v>125.63</v>
      </c>
      <c r="N400" s="115">
        <v>131.02000000000001</v>
      </c>
      <c r="O400" s="115">
        <v>124.99</v>
      </c>
      <c r="P400" s="115">
        <v>126.5</v>
      </c>
      <c r="Q400" s="115">
        <v>628.15</v>
      </c>
      <c r="R400">
        <v>17607</v>
      </c>
    </row>
    <row r="401" spans="1:18" x14ac:dyDescent="0.25">
      <c r="A401" s="169">
        <v>42591</v>
      </c>
      <c r="B401" s="115">
        <v>130.19999999999999</v>
      </c>
      <c r="C401" s="115">
        <v>124.89</v>
      </c>
      <c r="D401" s="115">
        <v>124</v>
      </c>
      <c r="E401" s="115">
        <v>127</v>
      </c>
      <c r="F401" s="115">
        <v>624.45000000000005</v>
      </c>
      <c r="G401">
        <v>587</v>
      </c>
      <c r="H401" s="115"/>
      <c r="I401" s="115"/>
      <c r="L401" s="169">
        <v>42591</v>
      </c>
      <c r="M401" s="115">
        <v>124.55</v>
      </c>
      <c r="N401" s="115">
        <v>127.38</v>
      </c>
      <c r="O401" s="115">
        <v>124.2</v>
      </c>
      <c r="P401" s="115">
        <v>126</v>
      </c>
      <c r="Q401" s="115">
        <v>622.75</v>
      </c>
      <c r="R401">
        <v>8881</v>
      </c>
    </row>
    <row r="402" spans="1:18" x14ac:dyDescent="0.25">
      <c r="A402" s="169">
        <v>42592</v>
      </c>
      <c r="B402" s="115">
        <v>126</v>
      </c>
      <c r="C402" s="115">
        <v>122.56</v>
      </c>
      <c r="D402" s="115">
        <v>121.4</v>
      </c>
      <c r="E402" s="115">
        <v>124.4</v>
      </c>
      <c r="F402" s="115">
        <v>612.79999999999995</v>
      </c>
      <c r="G402">
        <v>601</v>
      </c>
      <c r="H402" s="115"/>
      <c r="I402" s="115"/>
      <c r="L402" s="169">
        <v>42592</v>
      </c>
      <c r="M402" s="115">
        <v>122.34</v>
      </c>
      <c r="N402" s="115">
        <v>126.99</v>
      </c>
      <c r="O402" s="115">
        <v>121.4</v>
      </c>
      <c r="P402" s="115">
        <v>126.99</v>
      </c>
      <c r="Q402" s="115">
        <v>611.70000000000005</v>
      </c>
      <c r="R402">
        <v>23034</v>
      </c>
    </row>
    <row r="403" spans="1:18" x14ac:dyDescent="0.25">
      <c r="A403" s="169">
        <v>42593</v>
      </c>
      <c r="B403" s="115">
        <v>122.4</v>
      </c>
      <c r="C403" s="115">
        <v>120.01</v>
      </c>
      <c r="D403" s="115">
        <v>118.6</v>
      </c>
      <c r="E403" s="115">
        <v>122.4</v>
      </c>
      <c r="F403" s="115">
        <v>600.04999999999995</v>
      </c>
      <c r="G403">
        <v>1771</v>
      </c>
      <c r="H403" s="115"/>
      <c r="I403" s="115"/>
      <c r="L403" s="169">
        <v>42593</v>
      </c>
      <c r="M403" s="115">
        <v>120.17</v>
      </c>
      <c r="N403" s="115">
        <v>123.93</v>
      </c>
      <c r="O403" s="115">
        <v>119</v>
      </c>
      <c r="P403" s="115">
        <v>122.34</v>
      </c>
      <c r="Q403" s="115">
        <v>600.85</v>
      </c>
      <c r="R403">
        <v>9316</v>
      </c>
    </row>
    <row r="404" spans="1:18" x14ac:dyDescent="0.25">
      <c r="A404" s="169">
        <v>42594</v>
      </c>
      <c r="B404" s="115">
        <v>123.2</v>
      </c>
      <c r="C404" s="115">
        <v>121.45</v>
      </c>
      <c r="D404" s="115">
        <v>120.3</v>
      </c>
      <c r="E404" s="115">
        <v>122</v>
      </c>
      <c r="F404" s="115">
        <v>607.25</v>
      </c>
      <c r="G404">
        <v>224</v>
      </c>
      <c r="H404" s="115"/>
      <c r="I404" s="115"/>
      <c r="L404" s="169">
        <v>42594</v>
      </c>
      <c r="M404" s="115">
        <v>120.63</v>
      </c>
      <c r="N404" s="115">
        <v>123.6</v>
      </c>
      <c r="O404" s="115">
        <v>120.27</v>
      </c>
      <c r="P404" s="115">
        <v>121.18</v>
      </c>
      <c r="Q404" s="115">
        <v>603.15</v>
      </c>
      <c r="R404">
        <v>2410</v>
      </c>
    </row>
    <row r="405" spans="1:18" x14ac:dyDescent="0.25">
      <c r="A405" s="169">
        <v>42598</v>
      </c>
      <c r="B405" s="115">
        <v>125.1</v>
      </c>
      <c r="C405" s="115">
        <v>121.96</v>
      </c>
      <c r="D405" s="115">
        <v>120.4</v>
      </c>
      <c r="E405" s="115">
        <v>121.4</v>
      </c>
      <c r="F405" s="115">
        <v>609.79999999999995</v>
      </c>
      <c r="G405">
        <v>1723</v>
      </c>
      <c r="H405" s="115"/>
      <c r="I405" s="115"/>
      <c r="L405" s="169">
        <v>42598</v>
      </c>
      <c r="M405" s="115">
        <v>122.61</v>
      </c>
      <c r="N405" s="115">
        <v>125.6</v>
      </c>
      <c r="O405" s="115">
        <v>120</v>
      </c>
      <c r="P405" s="115">
        <v>122.6</v>
      </c>
      <c r="Q405" s="115">
        <v>613.04999999999995</v>
      </c>
      <c r="R405">
        <v>5839</v>
      </c>
    </row>
    <row r="406" spans="1:18" x14ac:dyDescent="0.25">
      <c r="A406" s="169">
        <v>42599</v>
      </c>
      <c r="B406" s="115">
        <v>124.47</v>
      </c>
      <c r="C406" s="115">
        <v>123</v>
      </c>
      <c r="D406" s="115">
        <v>121.6</v>
      </c>
      <c r="E406" s="115">
        <v>122</v>
      </c>
      <c r="F406" s="115">
        <v>615</v>
      </c>
      <c r="G406">
        <v>725</v>
      </c>
      <c r="H406" s="115"/>
      <c r="I406" s="115"/>
      <c r="L406" s="169">
        <v>42599</v>
      </c>
      <c r="M406" s="115">
        <v>123.04</v>
      </c>
      <c r="N406" s="115">
        <v>124.72</v>
      </c>
      <c r="O406" s="115">
        <v>120.4</v>
      </c>
      <c r="P406" s="115">
        <v>122.69</v>
      </c>
      <c r="Q406" s="115">
        <v>615.20000000000005</v>
      </c>
      <c r="R406">
        <v>3605</v>
      </c>
    </row>
    <row r="407" spans="1:18" x14ac:dyDescent="0.25">
      <c r="A407" s="169">
        <v>42600</v>
      </c>
      <c r="B407" s="115">
        <v>125.2</v>
      </c>
      <c r="C407" s="115">
        <v>124.78</v>
      </c>
      <c r="D407" s="115">
        <v>124</v>
      </c>
      <c r="E407" s="115">
        <v>124.18</v>
      </c>
      <c r="F407" s="115">
        <v>623.9</v>
      </c>
      <c r="G407">
        <v>838</v>
      </c>
      <c r="H407" s="115"/>
      <c r="I407" s="115"/>
      <c r="L407" s="169">
        <v>42600</v>
      </c>
      <c r="M407" s="115">
        <v>124.74</v>
      </c>
      <c r="N407" s="115">
        <v>125.18</v>
      </c>
      <c r="O407" s="115">
        <v>120.21</v>
      </c>
      <c r="P407" s="115">
        <v>121.22</v>
      </c>
      <c r="Q407" s="115">
        <v>623.70000000000005</v>
      </c>
      <c r="R407">
        <v>2733</v>
      </c>
    </row>
    <row r="408" spans="1:18" x14ac:dyDescent="0.25">
      <c r="A408" s="169">
        <v>42601</v>
      </c>
      <c r="B408" s="115">
        <v>127.2</v>
      </c>
      <c r="C408" s="115">
        <v>125.63</v>
      </c>
      <c r="D408" s="115">
        <v>124.4</v>
      </c>
      <c r="E408" s="115">
        <v>125.3</v>
      </c>
      <c r="F408" s="115">
        <v>628.15</v>
      </c>
      <c r="G408">
        <v>802</v>
      </c>
      <c r="H408" s="115"/>
      <c r="I408" s="115"/>
      <c r="L408" s="169">
        <v>42601</v>
      </c>
      <c r="M408" s="115">
        <v>126.12</v>
      </c>
      <c r="N408" s="115">
        <v>126.8</v>
      </c>
      <c r="O408" s="115">
        <v>124.2</v>
      </c>
      <c r="P408" s="115">
        <v>125.6</v>
      </c>
      <c r="Q408" s="115">
        <v>630.6</v>
      </c>
      <c r="R408">
        <v>4081</v>
      </c>
    </row>
    <row r="409" spans="1:18" x14ac:dyDescent="0.25">
      <c r="A409" s="169">
        <v>42604</v>
      </c>
      <c r="B409" s="115">
        <v>127.7</v>
      </c>
      <c r="C409" s="115">
        <v>126.58</v>
      </c>
      <c r="D409" s="115">
        <v>124.8</v>
      </c>
      <c r="E409" s="115">
        <v>126.4</v>
      </c>
      <c r="F409" s="115">
        <v>632.9</v>
      </c>
      <c r="G409">
        <v>599</v>
      </c>
      <c r="H409" s="115"/>
      <c r="I409" s="115"/>
      <c r="L409" s="169">
        <v>42604</v>
      </c>
      <c r="M409" s="115">
        <v>126.01</v>
      </c>
      <c r="N409" s="115">
        <v>127.47</v>
      </c>
      <c r="O409" s="115">
        <v>122.83</v>
      </c>
      <c r="P409" s="115">
        <v>126.12</v>
      </c>
      <c r="Q409" s="115">
        <v>630.04999999999995</v>
      </c>
      <c r="R409">
        <v>9048</v>
      </c>
    </row>
    <row r="410" spans="1:18" x14ac:dyDescent="0.25">
      <c r="A410" s="169">
        <v>42605</v>
      </c>
      <c r="B410" s="115">
        <v>127.3</v>
      </c>
      <c r="C410" s="115">
        <v>126.67</v>
      </c>
      <c r="D410" s="115">
        <v>125.6</v>
      </c>
      <c r="E410" s="115">
        <v>126</v>
      </c>
      <c r="F410" s="115">
        <v>633.35</v>
      </c>
      <c r="G410">
        <v>204</v>
      </c>
      <c r="H410" s="115"/>
      <c r="I410" s="115"/>
      <c r="L410" s="169">
        <v>42605</v>
      </c>
      <c r="M410" s="115">
        <v>126.18</v>
      </c>
      <c r="N410" s="115">
        <v>126.98</v>
      </c>
      <c r="O410" s="115">
        <v>125.6</v>
      </c>
      <c r="P410" s="115">
        <v>126</v>
      </c>
      <c r="Q410" s="115">
        <v>630.9</v>
      </c>
      <c r="R410">
        <v>1416</v>
      </c>
    </row>
    <row r="411" spans="1:18" x14ac:dyDescent="0.25">
      <c r="A411" s="169">
        <v>42607</v>
      </c>
      <c r="B411" s="115">
        <v>129.38</v>
      </c>
      <c r="C411" s="115">
        <v>126.32</v>
      </c>
      <c r="D411" s="115">
        <v>125.4</v>
      </c>
      <c r="E411" s="115">
        <v>127</v>
      </c>
      <c r="F411" s="115">
        <v>631.6</v>
      </c>
      <c r="G411">
        <v>827</v>
      </c>
      <c r="H411" s="115"/>
      <c r="I411" s="115"/>
      <c r="L411" s="169">
        <v>42606</v>
      </c>
      <c r="M411" s="115">
        <v>126.32</v>
      </c>
      <c r="N411" s="115">
        <v>126.92</v>
      </c>
      <c r="O411" s="115">
        <v>125.03</v>
      </c>
      <c r="P411" s="115">
        <v>125.04</v>
      </c>
      <c r="Q411" s="115">
        <v>631.6</v>
      </c>
      <c r="R411">
        <v>1693</v>
      </c>
    </row>
    <row r="412" spans="1:18" x14ac:dyDescent="0.25">
      <c r="A412" s="169">
        <v>42608</v>
      </c>
      <c r="B412" s="115">
        <v>127</v>
      </c>
      <c r="C412" s="115">
        <v>125.1</v>
      </c>
      <c r="D412" s="115">
        <v>125</v>
      </c>
      <c r="E412" s="115">
        <v>127</v>
      </c>
      <c r="F412" s="115">
        <v>625.5</v>
      </c>
      <c r="G412">
        <v>208</v>
      </c>
      <c r="H412" s="115"/>
      <c r="I412" s="115"/>
      <c r="L412" s="169">
        <v>42607</v>
      </c>
      <c r="M412" s="115">
        <v>127.01</v>
      </c>
      <c r="N412" s="115">
        <v>129.18</v>
      </c>
      <c r="O412" s="115">
        <v>126.53</v>
      </c>
      <c r="P412" s="115">
        <v>126.82</v>
      </c>
      <c r="Q412" s="115">
        <v>635.04999999999995</v>
      </c>
      <c r="R412">
        <v>4282</v>
      </c>
    </row>
    <row r="413" spans="1:18" x14ac:dyDescent="0.25">
      <c r="A413" s="169">
        <v>42611</v>
      </c>
      <c r="B413" s="115">
        <v>127.17</v>
      </c>
      <c r="C413" s="115">
        <v>127</v>
      </c>
      <c r="D413" s="115">
        <v>125</v>
      </c>
      <c r="E413" s="115">
        <v>126.12</v>
      </c>
      <c r="F413" s="115">
        <v>635</v>
      </c>
      <c r="G413">
        <v>147</v>
      </c>
      <c r="H413" s="115"/>
      <c r="I413" s="115"/>
      <c r="L413" s="169">
        <v>42608</v>
      </c>
      <c r="M413" s="115">
        <v>125.16</v>
      </c>
      <c r="N413" s="115">
        <v>127</v>
      </c>
      <c r="O413" s="115">
        <v>124.2</v>
      </c>
      <c r="P413" s="115">
        <v>126</v>
      </c>
      <c r="Q413" s="115">
        <v>625.79999999999995</v>
      </c>
      <c r="R413">
        <v>1790</v>
      </c>
    </row>
    <row r="414" spans="1:18" x14ac:dyDescent="0.25">
      <c r="A414" s="169">
        <v>42612</v>
      </c>
      <c r="B414" s="115">
        <v>131.99</v>
      </c>
      <c r="C414" s="115">
        <v>129.09</v>
      </c>
      <c r="D414" s="115">
        <v>126.2</v>
      </c>
      <c r="E414" s="115">
        <v>126.69</v>
      </c>
      <c r="F414" s="115">
        <v>645.45000000000005</v>
      </c>
      <c r="G414">
        <v>865</v>
      </c>
      <c r="H414" s="115"/>
      <c r="I414" s="115"/>
      <c r="L414" s="169">
        <v>42611</v>
      </c>
      <c r="M414" s="115">
        <v>126.37</v>
      </c>
      <c r="N414" s="115">
        <v>126.8</v>
      </c>
      <c r="O414" s="115">
        <v>124.02</v>
      </c>
      <c r="P414" s="115">
        <v>125.16</v>
      </c>
      <c r="Q414" s="115">
        <v>631.85</v>
      </c>
      <c r="R414">
        <v>513</v>
      </c>
    </row>
    <row r="415" spans="1:18" x14ac:dyDescent="0.25">
      <c r="A415" s="169">
        <v>42613</v>
      </c>
      <c r="B415" s="115">
        <v>133.97</v>
      </c>
      <c r="C415" s="115">
        <v>131.82</v>
      </c>
      <c r="D415" s="115">
        <v>127.2</v>
      </c>
      <c r="E415" s="115">
        <v>129.57</v>
      </c>
      <c r="F415" s="115">
        <v>659.1</v>
      </c>
      <c r="G415">
        <v>911</v>
      </c>
      <c r="H415" s="115"/>
      <c r="I415" s="115"/>
      <c r="L415" s="169">
        <v>42612</v>
      </c>
      <c r="M415" s="115">
        <v>130.13</v>
      </c>
      <c r="N415" s="115">
        <v>132.59</v>
      </c>
      <c r="O415" s="115">
        <v>125.6</v>
      </c>
      <c r="P415" s="115">
        <v>126.4</v>
      </c>
      <c r="Q415" s="115">
        <v>650.65</v>
      </c>
      <c r="R415">
        <v>11104</v>
      </c>
    </row>
    <row r="416" spans="1:18" x14ac:dyDescent="0.25">
      <c r="A416" s="169">
        <v>42614</v>
      </c>
      <c r="B416" s="115">
        <v>133.4</v>
      </c>
      <c r="C416" s="115">
        <v>130.02000000000001</v>
      </c>
      <c r="D416" s="115">
        <v>130</v>
      </c>
      <c r="E416" s="115">
        <v>133.4</v>
      </c>
      <c r="F416" s="115">
        <v>650.1</v>
      </c>
      <c r="G416">
        <v>793</v>
      </c>
      <c r="H416" s="115"/>
      <c r="I416" s="115"/>
      <c r="L416" s="169">
        <v>42613</v>
      </c>
      <c r="M416" s="115">
        <v>133.06</v>
      </c>
      <c r="N416" s="115">
        <v>134.80000000000001</v>
      </c>
      <c r="O416" s="115">
        <v>128</v>
      </c>
      <c r="P416" s="115">
        <v>128</v>
      </c>
      <c r="Q416" s="115">
        <v>665.3</v>
      </c>
      <c r="R416">
        <v>11494</v>
      </c>
    </row>
    <row r="417" spans="1:18" x14ac:dyDescent="0.25">
      <c r="A417" s="169">
        <v>42615</v>
      </c>
      <c r="B417" s="115">
        <v>130.19999999999999</v>
      </c>
      <c r="C417" s="115">
        <v>126.58</v>
      </c>
      <c r="D417" s="115">
        <v>126.21</v>
      </c>
      <c r="E417" s="115">
        <v>130.08000000000001</v>
      </c>
      <c r="F417" s="115">
        <v>632.9</v>
      </c>
      <c r="G417">
        <v>487</v>
      </c>
      <c r="H417" s="115"/>
      <c r="I417" s="115"/>
      <c r="L417" s="169">
        <v>42614</v>
      </c>
      <c r="M417" s="115">
        <v>130.62</v>
      </c>
      <c r="N417" s="115">
        <v>133</v>
      </c>
      <c r="O417" s="115">
        <v>129.01</v>
      </c>
      <c r="P417" s="115">
        <v>131.01</v>
      </c>
      <c r="Q417" s="115">
        <v>653.1</v>
      </c>
      <c r="R417">
        <v>3141</v>
      </c>
    </row>
    <row r="418" spans="1:18" x14ac:dyDescent="0.25">
      <c r="A418" s="169">
        <v>42619</v>
      </c>
      <c r="B418" s="115">
        <v>128.4</v>
      </c>
      <c r="C418" s="115">
        <v>125</v>
      </c>
      <c r="D418" s="115">
        <v>124.4</v>
      </c>
      <c r="E418" s="115">
        <v>128.4</v>
      </c>
      <c r="F418" s="115">
        <v>625</v>
      </c>
      <c r="G418">
        <v>654</v>
      </c>
      <c r="H418" s="115"/>
      <c r="I418" s="115"/>
      <c r="L418" s="169">
        <v>42615</v>
      </c>
      <c r="M418" s="115">
        <v>126.98</v>
      </c>
      <c r="N418" s="115">
        <v>133</v>
      </c>
      <c r="O418" s="115">
        <v>125.54</v>
      </c>
      <c r="P418" s="115">
        <v>131.58000000000001</v>
      </c>
      <c r="Q418" s="115">
        <v>634.9</v>
      </c>
      <c r="R418">
        <v>5194</v>
      </c>
    </row>
    <row r="419" spans="1:18" x14ac:dyDescent="0.25">
      <c r="A419" s="169">
        <v>42620</v>
      </c>
      <c r="B419" s="115">
        <v>127</v>
      </c>
      <c r="C419" s="115">
        <v>124.95</v>
      </c>
      <c r="D419" s="115">
        <v>123.84</v>
      </c>
      <c r="E419" s="115">
        <v>125.2</v>
      </c>
      <c r="F419" s="115">
        <v>624.75</v>
      </c>
      <c r="G419">
        <v>1651</v>
      </c>
      <c r="H419" s="115"/>
      <c r="I419" s="115"/>
      <c r="L419" s="169">
        <v>42619</v>
      </c>
      <c r="M419" s="115">
        <v>125.32</v>
      </c>
      <c r="N419" s="115">
        <v>128.19999999999999</v>
      </c>
      <c r="O419" s="115">
        <v>124.8</v>
      </c>
      <c r="P419" s="115">
        <v>125.2</v>
      </c>
      <c r="Q419" s="115">
        <v>626.6</v>
      </c>
      <c r="R419">
        <v>3045</v>
      </c>
    </row>
    <row r="420" spans="1:18" x14ac:dyDescent="0.25">
      <c r="A420" s="169">
        <v>42621</v>
      </c>
      <c r="B420" s="115">
        <v>128</v>
      </c>
      <c r="C420" s="115">
        <v>125.55</v>
      </c>
      <c r="D420" s="115">
        <v>125.4</v>
      </c>
      <c r="E420" s="115">
        <v>126</v>
      </c>
      <c r="F420" s="115">
        <v>627.75</v>
      </c>
      <c r="G420">
        <v>643</v>
      </c>
      <c r="H420" s="115"/>
      <c r="I420" s="115"/>
      <c r="L420" s="169">
        <v>42620</v>
      </c>
      <c r="M420" s="115">
        <v>125.49</v>
      </c>
      <c r="N420" s="115">
        <v>125.99</v>
      </c>
      <c r="O420" s="115">
        <v>124.2</v>
      </c>
      <c r="P420" s="115">
        <v>124.8</v>
      </c>
      <c r="Q420" s="115">
        <v>627.45000000000005</v>
      </c>
      <c r="R420">
        <v>1573</v>
      </c>
    </row>
    <row r="421" spans="1:18" x14ac:dyDescent="0.25">
      <c r="A421" s="169">
        <v>42622</v>
      </c>
      <c r="B421" s="115">
        <v>126.33</v>
      </c>
      <c r="C421" s="115">
        <v>126.16</v>
      </c>
      <c r="D421" s="115">
        <v>125.04</v>
      </c>
      <c r="E421" s="115">
        <v>125.44</v>
      </c>
      <c r="F421" s="115">
        <v>630.79999999999995</v>
      </c>
      <c r="G421">
        <v>44</v>
      </c>
      <c r="H421" s="115"/>
      <c r="I421" s="115"/>
      <c r="L421" s="169">
        <v>42621</v>
      </c>
      <c r="M421" s="115">
        <v>126.04</v>
      </c>
      <c r="N421" s="115">
        <v>132</v>
      </c>
      <c r="O421" s="115">
        <v>125.6</v>
      </c>
      <c r="P421" s="115">
        <v>126</v>
      </c>
      <c r="Q421" s="115">
        <v>630.20000000000005</v>
      </c>
      <c r="R421">
        <v>1629</v>
      </c>
    </row>
    <row r="422" spans="1:18" x14ac:dyDescent="0.25">
      <c r="A422" s="169">
        <v>42625</v>
      </c>
      <c r="B422" s="115">
        <v>126</v>
      </c>
      <c r="C422" s="115">
        <v>124.43</v>
      </c>
      <c r="D422" s="115">
        <v>123</v>
      </c>
      <c r="E422" s="115">
        <v>124</v>
      </c>
      <c r="F422" s="115">
        <v>622.15</v>
      </c>
      <c r="G422">
        <v>291</v>
      </c>
      <c r="H422" s="115"/>
      <c r="I422" s="115"/>
      <c r="L422" s="169">
        <v>42622</v>
      </c>
      <c r="M422" s="115">
        <v>125.09</v>
      </c>
      <c r="N422" s="115">
        <v>128.99</v>
      </c>
      <c r="O422" s="115">
        <v>125</v>
      </c>
      <c r="P422" s="115">
        <v>128.99</v>
      </c>
      <c r="Q422" s="115">
        <v>625.45000000000005</v>
      </c>
      <c r="R422">
        <v>796</v>
      </c>
    </row>
    <row r="423" spans="1:18" x14ac:dyDescent="0.25">
      <c r="A423" s="169">
        <v>42627</v>
      </c>
      <c r="B423" s="115">
        <v>125.6</v>
      </c>
      <c r="C423" s="115">
        <v>125</v>
      </c>
      <c r="D423" s="115">
        <v>122.2</v>
      </c>
      <c r="E423" s="115">
        <v>124.08</v>
      </c>
      <c r="F423" s="115">
        <v>625</v>
      </c>
      <c r="G423">
        <v>1120</v>
      </c>
      <c r="H423" s="115"/>
      <c r="I423" s="115"/>
      <c r="L423" s="169">
        <v>42625</v>
      </c>
      <c r="M423" s="115">
        <v>124</v>
      </c>
      <c r="N423" s="115">
        <v>126.6</v>
      </c>
      <c r="O423" s="115">
        <v>123</v>
      </c>
      <c r="P423" s="115">
        <v>125.2</v>
      </c>
      <c r="Q423" s="115">
        <v>620</v>
      </c>
      <c r="R423">
        <v>1649</v>
      </c>
    </row>
    <row r="424" spans="1:18" x14ac:dyDescent="0.25">
      <c r="A424" s="169">
        <v>42628</v>
      </c>
      <c r="B424" s="115">
        <v>126.98</v>
      </c>
      <c r="C424" s="115">
        <v>125.23</v>
      </c>
      <c r="D424" s="115">
        <v>124</v>
      </c>
      <c r="E424" s="115">
        <v>126</v>
      </c>
      <c r="F424" s="115">
        <v>626.15</v>
      </c>
      <c r="G424">
        <v>2314</v>
      </c>
      <c r="H424" s="115"/>
      <c r="I424" s="115"/>
      <c r="L424" s="169">
        <v>42627</v>
      </c>
      <c r="M424" s="115">
        <v>125.68</v>
      </c>
      <c r="N424" s="115">
        <v>126.39</v>
      </c>
      <c r="O424" s="115">
        <v>122.6</v>
      </c>
      <c r="P424" s="115">
        <v>126.39</v>
      </c>
      <c r="Q424" s="115">
        <v>628.4</v>
      </c>
      <c r="R424">
        <v>2487</v>
      </c>
    </row>
    <row r="425" spans="1:18" x14ac:dyDescent="0.25">
      <c r="A425" s="169">
        <v>42629</v>
      </c>
      <c r="B425" s="115">
        <v>129</v>
      </c>
      <c r="C425" s="115">
        <v>124.18</v>
      </c>
      <c r="D425" s="115">
        <v>123.8</v>
      </c>
      <c r="E425" s="115">
        <v>126.8</v>
      </c>
      <c r="F425" s="115">
        <v>620.9</v>
      </c>
      <c r="G425">
        <v>1326</v>
      </c>
      <c r="H425" s="115"/>
      <c r="I425" s="115"/>
      <c r="L425" s="169">
        <v>42628</v>
      </c>
      <c r="M425" s="115">
        <v>126.22</v>
      </c>
      <c r="N425" s="115">
        <v>127.46</v>
      </c>
      <c r="O425" s="115">
        <v>122.81</v>
      </c>
      <c r="P425" s="115">
        <v>124.01</v>
      </c>
      <c r="Q425" s="115">
        <v>631.1</v>
      </c>
      <c r="R425">
        <v>2675</v>
      </c>
    </row>
    <row r="426" spans="1:18" x14ac:dyDescent="0.25">
      <c r="A426" s="169">
        <v>42632</v>
      </c>
      <c r="B426" s="115">
        <v>124.6</v>
      </c>
      <c r="C426" s="115">
        <v>123.83</v>
      </c>
      <c r="D426" s="115">
        <v>122.68</v>
      </c>
      <c r="E426" s="115">
        <v>123.21</v>
      </c>
      <c r="F426" s="115">
        <v>619.15</v>
      </c>
      <c r="G426">
        <v>209</v>
      </c>
      <c r="H426" s="115"/>
      <c r="I426" s="115"/>
      <c r="L426" s="169">
        <v>42629</v>
      </c>
      <c r="M426" s="115">
        <v>124.69</v>
      </c>
      <c r="N426" s="115">
        <v>129</v>
      </c>
      <c r="O426" s="115">
        <v>123.21</v>
      </c>
      <c r="P426" s="115">
        <v>127.07</v>
      </c>
      <c r="Q426" s="115">
        <v>623.45000000000005</v>
      </c>
      <c r="R426">
        <v>6092</v>
      </c>
    </row>
    <row r="427" spans="1:18" x14ac:dyDescent="0.25">
      <c r="A427" s="169">
        <v>42633</v>
      </c>
      <c r="B427" s="115">
        <v>123.95</v>
      </c>
      <c r="C427" s="115">
        <v>123.31</v>
      </c>
      <c r="D427" s="115">
        <v>120.8</v>
      </c>
      <c r="E427" s="115">
        <v>122.78</v>
      </c>
      <c r="F427" s="115">
        <v>616.54999999999995</v>
      </c>
      <c r="G427">
        <v>731</v>
      </c>
      <c r="H427" s="115"/>
      <c r="I427" s="115"/>
      <c r="L427" s="169">
        <v>42632</v>
      </c>
      <c r="M427" s="115">
        <v>123.2</v>
      </c>
      <c r="N427" s="115">
        <v>124</v>
      </c>
      <c r="O427" s="115">
        <v>122.8</v>
      </c>
      <c r="P427" s="115">
        <v>124</v>
      </c>
      <c r="Q427" s="115">
        <v>616</v>
      </c>
      <c r="R427">
        <v>2692</v>
      </c>
    </row>
    <row r="428" spans="1:18" x14ac:dyDescent="0.25">
      <c r="A428" s="169">
        <v>42634</v>
      </c>
      <c r="B428" s="115">
        <v>125.72</v>
      </c>
      <c r="C428" s="115">
        <v>120.22</v>
      </c>
      <c r="D428" s="115">
        <v>119.7</v>
      </c>
      <c r="E428" s="115">
        <v>122.6</v>
      </c>
      <c r="F428" s="115">
        <v>601.1</v>
      </c>
      <c r="G428">
        <v>166436</v>
      </c>
      <c r="H428" s="115"/>
      <c r="I428" s="115"/>
      <c r="L428" s="169">
        <v>42633</v>
      </c>
      <c r="M428" s="115">
        <v>122.49</v>
      </c>
      <c r="N428" s="115">
        <v>123.99</v>
      </c>
      <c r="O428" s="115">
        <v>108.42</v>
      </c>
      <c r="P428" s="115">
        <v>123</v>
      </c>
      <c r="Q428" s="115">
        <v>612.45000000000005</v>
      </c>
      <c r="R428">
        <v>7222</v>
      </c>
    </row>
    <row r="429" spans="1:18" x14ac:dyDescent="0.25">
      <c r="A429" s="169">
        <v>42635</v>
      </c>
      <c r="B429" s="115">
        <v>125.6</v>
      </c>
      <c r="C429" s="115">
        <v>124.75</v>
      </c>
      <c r="D429" s="115">
        <v>121.41</v>
      </c>
      <c r="E429" s="115">
        <v>122</v>
      </c>
      <c r="F429" s="115">
        <v>623.75</v>
      </c>
      <c r="G429">
        <v>2761</v>
      </c>
      <c r="H429" s="115"/>
      <c r="I429" s="115"/>
      <c r="L429" s="169">
        <v>42634</v>
      </c>
      <c r="M429" s="115">
        <v>120.11</v>
      </c>
      <c r="N429" s="115">
        <v>125.96</v>
      </c>
      <c r="O429" s="115">
        <v>120</v>
      </c>
      <c r="P429" s="115">
        <v>123.2</v>
      </c>
      <c r="Q429" s="115">
        <v>600.54999999999995</v>
      </c>
      <c r="R429">
        <v>214181</v>
      </c>
    </row>
    <row r="430" spans="1:18" x14ac:dyDescent="0.25">
      <c r="A430" s="169">
        <v>42636</v>
      </c>
      <c r="B430" s="115">
        <v>127.59</v>
      </c>
      <c r="C430" s="115">
        <v>125.05</v>
      </c>
      <c r="D430" s="115">
        <v>124.22</v>
      </c>
      <c r="E430" s="115">
        <v>125.4</v>
      </c>
      <c r="F430" s="115">
        <v>625.25</v>
      </c>
      <c r="G430">
        <v>914</v>
      </c>
      <c r="H430" s="115"/>
      <c r="I430" s="115"/>
      <c r="L430" s="169">
        <v>42635</v>
      </c>
      <c r="M430" s="115">
        <v>124.32</v>
      </c>
      <c r="N430" s="115">
        <v>125</v>
      </c>
      <c r="O430" s="115">
        <v>121.4</v>
      </c>
      <c r="P430" s="115">
        <v>122.2</v>
      </c>
      <c r="Q430" s="115">
        <v>621.6</v>
      </c>
      <c r="R430">
        <v>12799</v>
      </c>
    </row>
    <row r="431" spans="1:18" x14ac:dyDescent="0.25">
      <c r="A431" s="169">
        <v>42639</v>
      </c>
      <c r="B431" s="115">
        <v>125.2</v>
      </c>
      <c r="C431" s="115">
        <v>123.38</v>
      </c>
      <c r="D431" s="115">
        <v>122.61</v>
      </c>
      <c r="E431" s="115">
        <v>125.2</v>
      </c>
      <c r="F431" s="115">
        <v>616.9</v>
      </c>
      <c r="G431">
        <v>558</v>
      </c>
      <c r="H431" s="115"/>
      <c r="I431" s="115"/>
      <c r="L431" s="169">
        <v>42636</v>
      </c>
      <c r="M431" s="115">
        <v>124.58</v>
      </c>
      <c r="N431" s="115">
        <v>127.94</v>
      </c>
      <c r="O431" s="115">
        <v>123.73</v>
      </c>
      <c r="P431" s="115">
        <v>124.35</v>
      </c>
      <c r="Q431" s="115">
        <v>622.9</v>
      </c>
      <c r="R431">
        <v>6214</v>
      </c>
    </row>
    <row r="432" spans="1:18" x14ac:dyDescent="0.25">
      <c r="A432" s="169">
        <v>42640</v>
      </c>
      <c r="B432" s="115">
        <v>124.06</v>
      </c>
      <c r="C432" s="115">
        <v>122.77</v>
      </c>
      <c r="D432" s="115">
        <v>122</v>
      </c>
      <c r="E432" s="115">
        <v>123.87</v>
      </c>
      <c r="F432" s="115">
        <v>613.85</v>
      </c>
      <c r="G432">
        <v>341</v>
      </c>
      <c r="H432" s="115"/>
      <c r="I432" s="115"/>
      <c r="L432" s="169">
        <v>42639</v>
      </c>
      <c r="M432" s="115">
        <v>122.91</v>
      </c>
      <c r="N432" s="115">
        <v>125.39</v>
      </c>
      <c r="O432" s="115">
        <v>122.21</v>
      </c>
      <c r="P432" s="115">
        <v>124.8</v>
      </c>
      <c r="Q432" s="115">
        <v>614.54999999999995</v>
      </c>
      <c r="R432">
        <v>2830</v>
      </c>
    </row>
    <row r="433" spans="1:18" x14ac:dyDescent="0.25">
      <c r="A433" s="169">
        <v>42641</v>
      </c>
      <c r="B433" s="115">
        <v>124.97</v>
      </c>
      <c r="C433" s="115">
        <v>122.66</v>
      </c>
      <c r="D433" s="115">
        <v>122</v>
      </c>
      <c r="E433" s="115">
        <v>122.38</v>
      </c>
      <c r="F433" s="115">
        <v>613.29999999999995</v>
      </c>
      <c r="G433">
        <v>379</v>
      </c>
      <c r="H433" s="115"/>
      <c r="I433" s="115"/>
      <c r="L433" s="169">
        <v>42640</v>
      </c>
      <c r="M433" s="115">
        <v>122.28</v>
      </c>
      <c r="N433" s="115">
        <v>124.81</v>
      </c>
      <c r="O433" s="115">
        <v>121.83</v>
      </c>
      <c r="P433" s="115">
        <v>122.91</v>
      </c>
      <c r="Q433" s="115">
        <v>611.4</v>
      </c>
      <c r="R433">
        <v>2310</v>
      </c>
    </row>
    <row r="434" spans="1:18" x14ac:dyDescent="0.25">
      <c r="A434" s="169">
        <v>42642</v>
      </c>
      <c r="B434" s="115">
        <v>124.99</v>
      </c>
      <c r="C434" s="115">
        <v>120.07</v>
      </c>
      <c r="D434" s="115">
        <v>118.14</v>
      </c>
      <c r="E434" s="115">
        <v>124.99</v>
      </c>
      <c r="F434" s="115">
        <v>600.35</v>
      </c>
      <c r="G434">
        <v>1808</v>
      </c>
      <c r="H434" s="115"/>
      <c r="I434" s="115"/>
      <c r="L434" s="169">
        <v>42641</v>
      </c>
      <c r="M434" s="115">
        <v>123.18</v>
      </c>
      <c r="N434" s="115">
        <v>124.6</v>
      </c>
      <c r="O434" s="115">
        <v>121.81</v>
      </c>
      <c r="P434" s="115">
        <v>122.28</v>
      </c>
      <c r="Q434" s="115">
        <v>615.9</v>
      </c>
      <c r="R434">
        <v>2717</v>
      </c>
    </row>
    <row r="435" spans="1:18" x14ac:dyDescent="0.25">
      <c r="A435" s="169">
        <v>42643</v>
      </c>
      <c r="B435" s="115">
        <v>120.37</v>
      </c>
      <c r="C435" s="115">
        <v>118.96</v>
      </c>
      <c r="D435" s="115">
        <v>118.25</v>
      </c>
      <c r="E435" s="115">
        <v>119.99</v>
      </c>
      <c r="F435" s="115">
        <v>594.79999999999995</v>
      </c>
      <c r="G435">
        <v>289</v>
      </c>
      <c r="H435" s="115"/>
      <c r="I435" s="115"/>
      <c r="L435" s="169">
        <v>42642</v>
      </c>
      <c r="M435" s="115">
        <v>119.85</v>
      </c>
      <c r="N435" s="115">
        <v>124.39</v>
      </c>
      <c r="O435" s="115">
        <v>118</v>
      </c>
      <c r="P435" s="115">
        <v>124.39</v>
      </c>
      <c r="Q435" s="115">
        <v>599.25</v>
      </c>
      <c r="R435">
        <v>16076</v>
      </c>
    </row>
    <row r="436" spans="1:18" x14ac:dyDescent="0.25">
      <c r="A436" s="169">
        <v>42646</v>
      </c>
      <c r="B436" s="115">
        <v>122.29</v>
      </c>
      <c r="C436" s="115">
        <v>120.98</v>
      </c>
      <c r="D436" s="115">
        <v>120</v>
      </c>
      <c r="E436" s="115">
        <v>120.04</v>
      </c>
      <c r="F436" s="115">
        <v>604.9</v>
      </c>
      <c r="G436">
        <v>303</v>
      </c>
      <c r="H436" s="115"/>
      <c r="I436" s="115"/>
      <c r="L436" s="169">
        <v>42643</v>
      </c>
      <c r="M436" s="115">
        <v>118.57</v>
      </c>
      <c r="N436" s="115">
        <v>122.9</v>
      </c>
      <c r="O436" s="115">
        <v>116.2</v>
      </c>
      <c r="P436" s="115">
        <v>116.2</v>
      </c>
      <c r="Q436" s="115">
        <v>592.85</v>
      </c>
      <c r="R436">
        <v>6598</v>
      </c>
    </row>
    <row r="437" spans="1:18" x14ac:dyDescent="0.25">
      <c r="A437" s="169">
        <v>42647</v>
      </c>
      <c r="B437" s="115">
        <v>122.98</v>
      </c>
      <c r="C437" s="115">
        <v>122.84</v>
      </c>
      <c r="D437" s="115">
        <v>121.1</v>
      </c>
      <c r="E437" s="115">
        <v>121.1</v>
      </c>
      <c r="F437" s="115">
        <v>614.20000000000005</v>
      </c>
      <c r="G437">
        <v>148</v>
      </c>
      <c r="H437" s="115"/>
      <c r="I437" s="115"/>
      <c r="L437" s="169">
        <v>42646</v>
      </c>
      <c r="M437" s="115">
        <v>120.5</v>
      </c>
      <c r="N437" s="115">
        <v>122.2</v>
      </c>
      <c r="O437" s="115">
        <v>116.25</v>
      </c>
      <c r="P437" s="115">
        <v>116.6</v>
      </c>
      <c r="Q437" s="115">
        <v>602.5</v>
      </c>
      <c r="R437">
        <v>2532</v>
      </c>
    </row>
    <row r="438" spans="1:18" x14ac:dyDescent="0.25">
      <c r="A438" s="169">
        <v>42648</v>
      </c>
      <c r="B438" s="115">
        <v>123.39</v>
      </c>
      <c r="C438" s="115">
        <v>121.81</v>
      </c>
      <c r="D438" s="115">
        <v>119.6</v>
      </c>
      <c r="E438" s="115">
        <v>123</v>
      </c>
      <c r="F438" s="115">
        <v>609.04999999999995</v>
      </c>
      <c r="G438">
        <v>731</v>
      </c>
      <c r="H438" s="115"/>
      <c r="I438" s="115"/>
      <c r="L438" s="169">
        <v>42647</v>
      </c>
      <c r="M438" s="115">
        <v>122.02</v>
      </c>
      <c r="N438" s="115">
        <v>122.94</v>
      </c>
      <c r="O438" s="115">
        <v>120.81</v>
      </c>
      <c r="P438" s="115">
        <v>122.2</v>
      </c>
      <c r="Q438" s="115">
        <v>610.1</v>
      </c>
      <c r="R438">
        <v>2499</v>
      </c>
    </row>
    <row r="439" spans="1:18" x14ac:dyDescent="0.25">
      <c r="A439" s="169">
        <v>42649</v>
      </c>
      <c r="B439" s="115">
        <v>122.99</v>
      </c>
      <c r="C439" s="115">
        <v>122.04</v>
      </c>
      <c r="D439" s="115">
        <v>121</v>
      </c>
      <c r="E439" s="115">
        <v>122.99</v>
      </c>
      <c r="F439" s="115">
        <v>610.20000000000005</v>
      </c>
      <c r="G439">
        <v>568</v>
      </c>
      <c r="H439" s="115"/>
      <c r="I439" s="115"/>
      <c r="L439" s="169">
        <v>42648</v>
      </c>
      <c r="M439" s="115">
        <v>121.3</v>
      </c>
      <c r="N439" s="115">
        <v>123</v>
      </c>
      <c r="O439" s="115">
        <v>118.6</v>
      </c>
      <c r="P439" s="115">
        <v>122.6</v>
      </c>
      <c r="Q439" s="115">
        <v>606.5</v>
      </c>
      <c r="R439">
        <v>7194</v>
      </c>
    </row>
    <row r="440" spans="1:18" x14ac:dyDescent="0.25">
      <c r="A440" s="169">
        <v>42650</v>
      </c>
      <c r="B440" s="115">
        <v>122.12</v>
      </c>
      <c r="C440" s="115">
        <v>122.12</v>
      </c>
      <c r="D440" s="115">
        <v>120</v>
      </c>
      <c r="E440" s="115">
        <v>120.64</v>
      </c>
      <c r="F440" s="115">
        <v>610.6</v>
      </c>
      <c r="G440">
        <v>148</v>
      </c>
      <c r="H440" s="115"/>
      <c r="I440" s="115"/>
      <c r="L440" s="169">
        <v>42649</v>
      </c>
      <c r="M440" s="115">
        <v>120.99</v>
      </c>
      <c r="N440" s="115">
        <v>124.3</v>
      </c>
      <c r="O440" s="115">
        <v>119.41</v>
      </c>
      <c r="P440" s="115">
        <v>120.4</v>
      </c>
      <c r="Q440" s="115">
        <v>604.95000000000005</v>
      </c>
      <c r="R440">
        <v>3611</v>
      </c>
    </row>
    <row r="441" spans="1:18" x14ac:dyDescent="0.25">
      <c r="A441" s="169">
        <v>42653</v>
      </c>
      <c r="B441" s="115">
        <v>122.2</v>
      </c>
      <c r="C441" s="115">
        <v>122.1</v>
      </c>
      <c r="D441" s="115">
        <v>121</v>
      </c>
      <c r="E441" s="115">
        <v>122.2</v>
      </c>
      <c r="F441" s="115">
        <v>610.5</v>
      </c>
      <c r="G441">
        <v>645</v>
      </c>
      <c r="H441" s="115"/>
      <c r="I441" s="115"/>
      <c r="L441" s="169">
        <v>42650</v>
      </c>
      <c r="M441" s="115">
        <v>121.01</v>
      </c>
      <c r="N441" s="115">
        <v>121.79</v>
      </c>
      <c r="O441" s="115">
        <v>120.31</v>
      </c>
      <c r="P441" s="115">
        <v>121.79</v>
      </c>
      <c r="Q441" s="115">
        <v>605.04999999999995</v>
      </c>
      <c r="R441">
        <v>2354</v>
      </c>
    </row>
    <row r="442" spans="1:18" x14ac:dyDescent="0.25">
      <c r="A442" s="169">
        <v>42656</v>
      </c>
      <c r="B442" s="115">
        <v>121.87</v>
      </c>
      <c r="C442" s="115">
        <v>120.72</v>
      </c>
      <c r="D442" s="115">
        <v>118.2</v>
      </c>
      <c r="E442" s="115">
        <v>120.72</v>
      </c>
      <c r="F442" s="115">
        <v>603.6</v>
      </c>
      <c r="G442">
        <v>749</v>
      </c>
      <c r="H442" s="115"/>
      <c r="I442" s="115"/>
      <c r="L442" s="169">
        <v>42653</v>
      </c>
      <c r="M442" s="115">
        <v>121.61</v>
      </c>
      <c r="N442" s="115">
        <v>122.98</v>
      </c>
      <c r="O442" s="115">
        <v>120.81</v>
      </c>
      <c r="P442" s="115">
        <v>121.8</v>
      </c>
      <c r="Q442" s="115">
        <v>608.04999999999995</v>
      </c>
      <c r="R442">
        <v>2716</v>
      </c>
    </row>
    <row r="443" spans="1:18" x14ac:dyDescent="0.25">
      <c r="A443" s="169">
        <v>42657</v>
      </c>
      <c r="B443" s="115">
        <v>123.39</v>
      </c>
      <c r="C443" s="115">
        <v>118.14</v>
      </c>
      <c r="D443" s="115">
        <v>117.72</v>
      </c>
      <c r="E443" s="115">
        <v>120.7</v>
      </c>
      <c r="F443" s="115">
        <v>590.70000000000005</v>
      </c>
      <c r="G443">
        <v>2932</v>
      </c>
      <c r="H443" s="115"/>
      <c r="I443" s="115"/>
      <c r="L443" s="169">
        <v>42656</v>
      </c>
      <c r="M443" s="115">
        <v>119.62</v>
      </c>
      <c r="N443" s="115">
        <v>121.8</v>
      </c>
      <c r="O443" s="115">
        <v>118.43</v>
      </c>
      <c r="P443" s="115">
        <v>121.8</v>
      </c>
      <c r="Q443" s="115">
        <v>598.1</v>
      </c>
      <c r="R443">
        <v>1671</v>
      </c>
    </row>
    <row r="444" spans="1:18" x14ac:dyDescent="0.25">
      <c r="A444" s="169">
        <v>42660</v>
      </c>
      <c r="B444" s="115">
        <v>119.6</v>
      </c>
      <c r="C444" s="115">
        <v>117.3</v>
      </c>
      <c r="D444" s="115">
        <v>117.3</v>
      </c>
      <c r="E444" s="115">
        <v>119.6</v>
      </c>
      <c r="F444" s="115">
        <v>586.5</v>
      </c>
      <c r="G444">
        <v>711</v>
      </c>
      <c r="H444" s="115"/>
      <c r="I444" s="115"/>
      <c r="L444" s="169">
        <v>42657</v>
      </c>
      <c r="M444" s="115">
        <v>118.18</v>
      </c>
      <c r="N444" s="115">
        <v>121</v>
      </c>
      <c r="O444" s="115">
        <v>117.4</v>
      </c>
      <c r="P444" s="115">
        <v>118.81</v>
      </c>
      <c r="Q444" s="115">
        <v>590.9</v>
      </c>
      <c r="R444">
        <v>5275</v>
      </c>
    </row>
    <row r="445" spans="1:18" x14ac:dyDescent="0.25">
      <c r="A445" s="169">
        <v>42661</v>
      </c>
      <c r="B445" s="115">
        <v>118.88</v>
      </c>
      <c r="C445" s="115">
        <v>118.01</v>
      </c>
      <c r="D445" s="115">
        <v>117.3</v>
      </c>
      <c r="E445" s="115">
        <v>117.6</v>
      </c>
      <c r="F445" s="115">
        <v>590.04999999999995</v>
      </c>
      <c r="G445">
        <v>417</v>
      </c>
      <c r="H445" s="115"/>
      <c r="I445" s="115"/>
      <c r="L445" s="169">
        <v>42660</v>
      </c>
      <c r="M445" s="115">
        <v>117.8</v>
      </c>
      <c r="N445" s="115">
        <v>120.2</v>
      </c>
      <c r="O445" s="115">
        <v>117.02</v>
      </c>
      <c r="P445" s="115">
        <v>118.2</v>
      </c>
      <c r="Q445" s="115">
        <v>589</v>
      </c>
      <c r="R445">
        <v>1188</v>
      </c>
    </row>
    <row r="446" spans="1:18" x14ac:dyDescent="0.25">
      <c r="A446" s="169">
        <v>42662</v>
      </c>
      <c r="B446" s="115">
        <v>119.9</v>
      </c>
      <c r="C446" s="115">
        <v>118.48</v>
      </c>
      <c r="D446" s="115">
        <v>117.41</v>
      </c>
      <c r="E446" s="115">
        <v>119</v>
      </c>
      <c r="F446" s="115">
        <v>592.4</v>
      </c>
      <c r="G446">
        <v>112</v>
      </c>
      <c r="H446" s="115"/>
      <c r="I446" s="115"/>
      <c r="L446" s="169">
        <v>42661</v>
      </c>
      <c r="M446" s="115">
        <v>117.88</v>
      </c>
      <c r="N446" s="115">
        <v>119.8</v>
      </c>
      <c r="O446" s="115">
        <v>116.46</v>
      </c>
      <c r="P446" s="115">
        <v>119.8</v>
      </c>
      <c r="Q446" s="115">
        <v>589.4</v>
      </c>
      <c r="R446">
        <v>6090</v>
      </c>
    </row>
    <row r="447" spans="1:18" x14ac:dyDescent="0.25">
      <c r="A447" s="169">
        <v>42663</v>
      </c>
      <c r="B447" s="115">
        <v>121.08</v>
      </c>
      <c r="C447" s="115">
        <v>120</v>
      </c>
      <c r="D447" s="115">
        <v>119</v>
      </c>
      <c r="E447" s="115">
        <v>119</v>
      </c>
      <c r="F447" s="115">
        <v>600</v>
      </c>
      <c r="G447">
        <v>1378</v>
      </c>
      <c r="H447" s="115"/>
      <c r="I447" s="115"/>
      <c r="L447" s="169">
        <v>42662</v>
      </c>
      <c r="M447" s="115">
        <v>117.97</v>
      </c>
      <c r="N447" s="115">
        <v>119.78</v>
      </c>
      <c r="O447" s="115">
        <v>117.6</v>
      </c>
      <c r="P447" s="115">
        <v>119.62</v>
      </c>
      <c r="Q447" s="115">
        <v>589.85</v>
      </c>
      <c r="R447">
        <v>733</v>
      </c>
    </row>
    <row r="448" spans="1:18" x14ac:dyDescent="0.25">
      <c r="A448" s="169">
        <v>42664</v>
      </c>
      <c r="B448" s="115">
        <v>119.83</v>
      </c>
      <c r="C448" s="115">
        <v>118.61</v>
      </c>
      <c r="D448" s="115">
        <v>116.24</v>
      </c>
      <c r="E448" s="115">
        <v>119.58</v>
      </c>
      <c r="F448" s="115">
        <v>593.04999999999995</v>
      </c>
      <c r="G448">
        <v>2603</v>
      </c>
      <c r="H448" s="115"/>
      <c r="I448" s="115"/>
      <c r="L448" s="169">
        <v>42663</v>
      </c>
      <c r="M448" s="115">
        <v>119.82</v>
      </c>
      <c r="N448" s="115">
        <v>121.7</v>
      </c>
      <c r="O448" s="115">
        <v>118.85</v>
      </c>
      <c r="P448" s="115">
        <v>118.86</v>
      </c>
      <c r="Q448" s="115">
        <v>599.1</v>
      </c>
      <c r="R448">
        <v>2018</v>
      </c>
    </row>
    <row r="449" spans="1:18" x14ac:dyDescent="0.25">
      <c r="A449" s="169">
        <v>42667</v>
      </c>
      <c r="B449" s="115">
        <v>119.67</v>
      </c>
      <c r="C449" s="115">
        <v>118</v>
      </c>
      <c r="D449" s="115">
        <v>117.4</v>
      </c>
      <c r="E449" s="115">
        <v>119</v>
      </c>
      <c r="F449" s="115">
        <v>590</v>
      </c>
      <c r="G449">
        <v>3483</v>
      </c>
      <c r="H449" s="115"/>
      <c r="I449" s="115"/>
      <c r="L449" s="169">
        <v>42664</v>
      </c>
      <c r="M449" s="115">
        <v>117.75</v>
      </c>
      <c r="N449" s="115">
        <v>119.43</v>
      </c>
      <c r="O449" s="115">
        <v>117.12</v>
      </c>
      <c r="P449" s="115">
        <v>119.43</v>
      </c>
      <c r="Q449" s="115">
        <v>588.75</v>
      </c>
      <c r="R449">
        <v>3903</v>
      </c>
    </row>
    <row r="450" spans="1:18" x14ac:dyDescent="0.25">
      <c r="A450" s="169">
        <v>42668</v>
      </c>
      <c r="B450" s="115">
        <v>119.6</v>
      </c>
      <c r="C450" s="115">
        <v>117.22</v>
      </c>
      <c r="D450" s="115">
        <v>116.01</v>
      </c>
      <c r="E450" s="115">
        <v>119.6</v>
      </c>
      <c r="F450" s="115">
        <v>586.1</v>
      </c>
      <c r="G450">
        <v>1698</v>
      </c>
      <c r="H450" s="115"/>
      <c r="I450" s="115"/>
      <c r="L450" s="169">
        <v>42667</v>
      </c>
      <c r="M450" s="115">
        <v>117.87</v>
      </c>
      <c r="N450" s="115">
        <v>119.79</v>
      </c>
      <c r="O450" s="115">
        <v>116.4</v>
      </c>
      <c r="P450" s="115">
        <v>116.4</v>
      </c>
      <c r="Q450" s="115">
        <v>589.35</v>
      </c>
      <c r="R450">
        <v>6812</v>
      </c>
    </row>
    <row r="451" spans="1:18" x14ac:dyDescent="0.25">
      <c r="A451" s="169">
        <v>42669</v>
      </c>
      <c r="B451" s="115">
        <v>120</v>
      </c>
      <c r="C451" s="115">
        <v>118.58</v>
      </c>
      <c r="D451" s="115">
        <v>109.98</v>
      </c>
      <c r="E451" s="115">
        <v>114.48</v>
      </c>
      <c r="F451" s="115">
        <v>592.9</v>
      </c>
      <c r="G451">
        <v>6272</v>
      </c>
      <c r="H451" s="115"/>
      <c r="I451" s="115"/>
      <c r="L451" s="169">
        <v>42668</v>
      </c>
      <c r="M451" s="115">
        <v>116.86</v>
      </c>
      <c r="N451" s="115">
        <v>119.4</v>
      </c>
      <c r="O451" s="115">
        <v>114.9</v>
      </c>
      <c r="P451" s="115">
        <v>118.96</v>
      </c>
      <c r="Q451" s="115">
        <v>584.29999999999995</v>
      </c>
      <c r="R451">
        <v>17904</v>
      </c>
    </row>
    <row r="452" spans="1:18" x14ac:dyDescent="0.25">
      <c r="A452" s="169">
        <v>42670</v>
      </c>
      <c r="B452" s="115">
        <v>118.51</v>
      </c>
      <c r="C452" s="115">
        <v>116.78</v>
      </c>
      <c r="D452" s="115">
        <v>116.61</v>
      </c>
      <c r="E452" s="115">
        <v>117</v>
      </c>
      <c r="F452" s="115">
        <v>583.9</v>
      </c>
      <c r="G452">
        <v>453</v>
      </c>
      <c r="H452" s="115"/>
      <c r="I452" s="115"/>
      <c r="L452" s="169">
        <v>42669</v>
      </c>
      <c r="M452" s="115">
        <v>118</v>
      </c>
      <c r="N452" s="115">
        <v>121.51</v>
      </c>
      <c r="O452" s="115">
        <v>108.6</v>
      </c>
      <c r="P452" s="115">
        <v>110.4</v>
      </c>
      <c r="Q452" s="115">
        <v>590</v>
      </c>
      <c r="R452">
        <v>76668</v>
      </c>
    </row>
    <row r="453" spans="1:18" x14ac:dyDescent="0.25">
      <c r="A453" s="169">
        <v>42671</v>
      </c>
      <c r="B453" s="115">
        <v>119.55</v>
      </c>
      <c r="C453" s="115">
        <v>117.9</v>
      </c>
      <c r="D453" s="115">
        <v>115.8</v>
      </c>
      <c r="E453" s="115">
        <v>119</v>
      </c>
      <c r="F453" s="115">
        <v>589.5</v>
      </c>
      <c r="G453">
        <v>754</v>
      </c>
      <c r="H453" s="115"/>
      <c r="I453" s="115"/>
      <c r="L453" s="169">
        <v>42670</v>
      </c>
      <c r="M453" s="115">
        <v>117.34</v>
      </c>
      <c r="N453" s="115">
        <v>119</v>
      </c>
      <c r="O453" s="115">
        <v>115.98</v>
      </c>
      <c r="P453" s="115">
        <v>117.98</v>
      </c>
      <c r="Q453" s="115">
        <v>586.70000000000005</v>
      </c>
      <c r="R453">
        <v>3379</v>
      </c>
    </row>
    <row r="454" spans="1:18" x14ac:dyDescent="0.25">
      <c r="A454" s="169">
        <v>42673</v>
      </c>
      <c r="B454" s="115">
        <v>118.8</v>
      </c>
      <c r="C454" s="115">
        <v>117.51</v>
      </c>
      <c r="D454" s="115">
        <v>112</v>
      </c>
      <c r="E454" s="115">
        <v>116.28</v>
      </c>
      <c r="F454" s="115">
        <v>587.54999999999995</v>
      </c>
      <c r="G454">
        <v>2177</v>
      </c>
      <c r="H454" s="115"/>
      <c r="I454" s="115"/>
      <c r="L454" s="169">
        <v>42671</v>
      </c>
      <c r="M454" s="115">
        <v>117.82</v>
      </c>
      <c r="N454" s="115">
        <v>118.97</v>
      </c>
      <c r="O454" s="115">
        <v>117.09</v>
      </c>
      <c r="P454" s="115">
        <v>117.39</v>
      </c>
      <c r="Q454" s="115">
        <v>589.1</v>
      </c>
      <c r="R454">
        <v>2657</v>
      </c>
    </row>
    <row r="455" spans="1:18" x14ac:dyDescent="0.25">
      <c r="A455" s="169">
        <v>42675</v>
      </c>
      <c r="B455" s="115">
        <v>120.78</v>
      </c>
      <c r="C455" s="115">
        <v>120.38</v>
      </c>
      <c r="D455" s="115">
        <v>118</v>
      </c>
      <c r="E455" s="115">
        <v>118</v>
      </c>
      <c r="F455" s="115">
        <v>601.9</v>
      </c>
      <c r="G455">
        <v>318</v>
      </c>
      <c r="H455" s="115"/>
      <c r="I455" s="115"/>
      <c r="L455" s="169">
        <v>42673</v>
      </c>
      <c r="M455" s="115">
        <v>118.15</v>
      </c>
      <c r="N455" s="115">
        <v>119.79</v>
      </c>
      <c r="O455" s="115">
        <v>114.2</v>
      </c>
      <c r="P455" s="115">
        <v>117</v>
      </c>
      <c r="Q455" s="115">
        <v>590.75</v>
      </c>
      <c r="R455">
        <v>4502</v>
      </c>
    </row>
    <row r="456" spans="1:18" x14ac:dyDescent="0.25">
      <c r="A456" s="169">
        <v>42676</v>
      </c>
      <c r="B456" s="115">
        <v>123.48</v>
      </c>
      <c r="C456" s="115">
        <v>121.29</v>
      </c>
      <c r="D456" s="115">
        <v>116.8</v>
      </c>
      <c r="E456" s="115">
        <v>118.08</v>
      </c>
      <c r="F456" s="115">
        <v>606.45000000000005</v>
      </c>
      <c r="G456">
        <v>496</v>
      </c>
      <c r="H456" s="115"/>
      <c r="I456" s="115"/>
      <c r="L456" s="169">
        <v>42675</v>
      </c>
      <c r="M456" s="115">
        <v>120.61</v>
      </c>
      <c r="N456" s="115">
        <v>120.99</v>
      </c>
      <c r="O456" s="115">
        <v>116.4</v>
      </c>
      <c r="P456" s="115">
        <v>117</v>
      </c>
      <c r="Q456" s="115">
        <v>603.04999999999995</v>
      </c>
      <c r="R456">
        <v>12858</v>
      </c>
    </row>
    <row r="457" spans="1:18" x14ac:dyDescent="0.25">
      <c r="A457" s="169">
        <v>42677</v>
      </c>
      <c r="B457" s="115">
        <v>120.4</v>
      </c>
      <c r="C457" s="115">
        <v>117.48</v>
      </c>
      <c r="D457" s="115">
        <v>116.4</v>
      </c>
      <c r="E457" s="115">
        <v>120.4</v>
      </c>
      <c r="F457" s="115">
        <v>587.4</v>
      </c>
      <c r="G457">
        <v>3982</v>
      </c>
      <c r="H457" s="115"/>
      <c r="I457" s="115"/>
      <c r="L457" s="169">
        <v>42676</v>
      </c>
      <c r="M457" s="115">
        <v>121.82</v>
      </c>
      <c r="N457" s="115">
        <v>122.8</v>
      </c>
      <c r="O457" s="115">
        <v>116.62</v>
      </c>
      <c r="P457" s="115">
        <v>118.8</v>
      </c>
      <c r="Q457" s="115">
        <v>609.1</v>
      </c>
      <c r="R457">
        <v>8593</v>
      </c>
    </row>
    <row r="458" spans="1:18" x14ac:dyDescent="0.25">
      <c r="A458" s="169">
        <v>42678</v>
      </c>
      <c r="B458" s="115">
        <v>118.42</v>
      </c>
      <c r="C458" s="115">
        <v>116.28</v>
      </c>
      <c r="D458" s="115">
        <v>115.08</v>
      </c>
      <c r="E458" s="115">
        <v>117.22</v>
      </c>
      <c r="F458" s="115">
        <v>581.4</v>
      </c>
      <c r="G458">
        <v>293</v>
      </c>
      <c r="H458" s="115"/>
      <c r="I458" s="115"/>
      <c r="L458" s="169">
        <v>42677</v>
      </c>
      <c r="M458" s="115">
        <v>118.87</v>
      </c>
      <c r="N458" s="115">
        <v>122.4</v>
      </c>
      <c r="O458" s="115">
        <v>118.25</v>
      </c>
      <c r="P458" s="115">
        <v>122.4</v>
      </c>
      <c r="Q458" s="115">
        <v>594.35</v>
      </c>
      <c r="R458">
        <v>11988</v>
      </c>
    </row>
    <row r="459" spans="1:18" x14ac:dyDescent="0.25">
      <c r="A459" s="169">
        <v>42681</v>
      </c>
      <c r="B459" s="115">
        <v>119</v>
      </c>
      <c r="C459" s="115">
        <v>118.11</v>
      </c>
      <c r="D459" s="115">
        <v>116.6</v>
      </c>
      <c r="E459" s="115">
        <v>117.76</v>
      </c>
      <c r="F459" s="115">
        <v>590.54999999999995</v>
      </c>
      <c r="G459">
        <v>168</v>
      </c>
      <c r="H459" s="115"/>
      <c r="I459" s="115"/>
      <c r="L459" s="169">
        <v>42678</v>
      </c>
      <c r="M459" s="115">
        <v>116.52</v>
      </c>
      <c r="N459" s="115">
        <v>118.42</v>
      </c>
      <c r="O459" s="115">
        <v>115.8</v>
      </c>
      <c r="P459" s="115">
        <v>118.42</v>
      </c>
      <c r="Q459" s="115">
        <v>582.6</v>
      </c>
      <c r="R459">
        <v>7658</v>
      </c>
    </row>
    <row r="460" spans="1:18" x14ac:dyDescent="0.25">
      <c r="A460" s="169">
        <v>42682</v>
      </c>
      <c r="B460" s="115">
        <v>118.4</v>
      </c>
      <c r="C460" s="115">
        <v>117.82</v>
      </c>
      <c r="D460" s="115">
        <v>116.7</v>
      </c>
      <c r="E460" s="115">
        <v>118.4</v>
      </c>
      <c r="F460" s="115">
        <v>589.1</v>
      </c>
      <c r="G460">
        <v>501</v>
      </c>
      <c r="H460" s="115"/>
      <c r="I460" s="115"/>
      <c r="L460" s="169">
        <v>42681</v>
      </c>
      <c r="M460" s="115">
        <v>116.4</v>
      </c>
      <c r="N460" s="115">
        <v>118.6</v>
      </c>
      <c r="O460" s="115">
        <v>116.05</v>
      </c>
      <c r="P460" s="115">
        <v>118.39</v>
      </c>
      <c r="Q460" s="115">
        <v>582</v>
      </c>
      <c r="R460">
        <v>1493</v>
      </c>
    </row>
    <row r="461" spans="1:18" x14ac:dyDescent="0.25">
      <c r="A461" s="169">
        <v>42683</v>
      </c>
      <c r="B461" s="115">
        <v>116.21</v>
      </c>
      <c r="C461" s="115">
        <v>116.13</v>
      </c>
      <c r="D461" s="115">
        <v>112</v>
      </c>
      <c r="E461" s="115">
        <v>115</v>
      </c>
      <c r="F461" s="115">
        <v>580.65</v>
      </c>
      <c r="G461">
        <v>203</v>
      </c>
      <c r="H461" s="115"/>
      <c r="I461" s="115"/>
      <c r="L461" s="169">
        <v>42682</v>
      </c>
      <c r="M461" s="115">
        <v>116.82</v>
      </c>
      <c r="N461" s="115">
        <v>117.99</v>
      </c>
      <c r="O461" s="115">
        <v>116.2</v>
      </c>
      <c r="P461" s="115">
        <v>117.01</v>
      </c>
      <c r="Q461" s="115">
        <v>584.1</v>
      </c>
      <c r="R461">
        <v>1000</v>
      </c>
    </row>
    <row r="462" spans="1:18" x14ac:dyDescent="0.25">
      <c r="A462" s="169">
        <v>42684</v>
      </c>
      <c r="B462" s="115">
        <v>122.54</v>
      </c>
      <c r="C462" s="115">
        <v>120.3</v>
      </c>
      <c r="D462" s="115">
        <v>115.4</v>
      </c>
      <c r="E462" s="115">
        <v>117</v>
      </c>
      <c r="F462" s="115">
        <v>601.5</v>
      </c>
      <c r="G462">
        <v>849</v>
      </c>
      <c r="H462" s="115"/>
      <c r="I462" s="115"/>
      <c r="L462" s="169">
        <v>42683</v>
      </c>
      <c r="M462" s="115">
        <v>114.88</v>
      </c>
      <c r="N462" s="115">
        <v>118.4</v>
      </c>
      <c r="O462" s="115">
        <v>112</v>
      </c>
      <c r="P462" s="115">
        <v>114.4</v>
      </c>
      <c r="Q462" s="115">
        <v>574.4</v>
      </c>
      <c r="R462">
        <v>5063</v>
      </c>
    </row>
    <row r="463" spans="1:18" x14ac:dyDescent="0.25">
      <c r="A463" s="169">
        <v>42685</v>
      </c>
      <c r="B463" s="115">
        <v>119.98</v>
      </c>
      <c r="C463" s="115">
        <v>118.57</v>
      </c>
      <c r="D463" s="115">
        <v>115.64</v>
      </c>
      <c r="E463" s="115">
        <v>119</v>
      </c>
      <c r="F463" s="115">
        <v>592.85</v>
      </c>
      <c r="G463">
        <v>1436</v>
      </c>
      <c r="H463" s="115"/>
      <c r="I463" s="115"/>
      <c r="L463" s="169">
        <v>42684</v>
      </c>
      <c r="M463" s="115">
        <v>120.16</v>
      </c>
      <c r="N463" s="115">
        <v>122.65</v>
      </c>
      <c r="O463" s="115">
        <v>115.8</v>
      </c>
      <c r="P463" s="115">
        <v>116.8</v>
      </c>
      <c r="Q463" s="115">
        <v>600.79999999999995</v>
      </c>
      <c r="R463">
        <v>3734</v>
      </c>
    </row>
    <row r="464" spans="1:18" x14ac:dyDescent="0.25">
      <c r="A464" s="169">
        <v>42689</v>
      </c>
      <c r="B464" s="115">
        <v>118.6</v>
      </c>
      <c r="C464" s="115">
        <v>117.33</v>
      </c>
      <c r="D464" s="115">
        <v>113</v>
      </c>
      <c r="E464" s="115">
        <v>118.6</v>
      </c>
      <c r="F464" s="115">
        <v>586.65</v>
      </c>
      <c r="G464">
        <v>699</v>
      </c>
      <c r="H464" s="115"/>
      <c r="I464" s="115"/>
      <c r="L464" s="169">
        <v>42685</v>
      </c>
      <c r="M464" s="115">
        <v>119.78</v>
      </c>
      <c r="N464" s="115">
        <v>120.4</v>
      </c>
      <c r="O464" s="115">
        <v>116</v>
      </c>
      <c r="P464" s="115">
        <v>119.6</v>
      </c>
      <c r="Q464" s="115">
        <v>598.9</v>
      </c>
      <c r="R464">
        <v>13431</v>
      </c>
    </row>
    <row r="465" spans="1:18" x14ac:dyDescent="0.25">
      <c r="A465" s="169">
        <v>42690</v>
      </c>
      <c r="B465" s="115">
        <v>119.77</v>
      </c>
      <c r="C465" s="115">
        <v>118.57</v>
      </c>
      <c r="D465" s="115">
        <v>116</v>
      </c>
      <c r="E465" s="115">
        <v>117.4</v>
      </c>
      <c r="F465" s="115">
        <v>592.85</v>
      </c>
      <c r="G465">
        <v>628</v>
      </c>
      <c r="H465" s="115"/>
      <c r="I465" s="115"/>
      <c r="L465" s="169">
        <v>42689</v>
      </c>
      <c r="M465" s="115">
        <v>117.4</v>
      </c>
      <c r="N465" s="115">
        <v>120.4</v>
      </c>
      <c r="O465" s="115">
        <v>112.62</v>
      </c>
      <c r="P465" s="115">
        <v>116</v>
      </c>
      <c r="Q465" s="115">
        <v>587</v>
      </c>
      <c r="R465">
        <v>16506</v>
      </c>
    </row>
    <row r="466" spans="1:18" x14ac:dyDescent="0.25">
      <c r="A466" s="169">
        <v>42691</v>
      </c>
      <c r="B466" s="115">
        <v>118</v>
      </c>
      <c r="C466" s="115">
        <v>115.4</v>
      </c>
      <c r="D466" s="115">
        <v>114.45</v>
      </c>
      <c r="E466" s="115">
        <v>116.41</v>
      </c>
      <c r="F466" s="115">
        <v>577</v>
      </c>
      <c r="G466">
        <v>251</v>
      </c>
      <c r="H466" s="115"/>
      <c r="I466" s="115"/>
      <c r="L466" s="169">
        <v>42690</v>
      </c>
      <c r="M466" s="115">
        <v>118.68</v>
      </c>
      <c r="N466" s="115">
        <v>119.6</v>
      </c>
      <c r="O466" s="115">
        <v>116.23</v>
      </c>
      <c r="P466" s="115">
        <v>119.6</v>
      </c>
      <c r="Q466" s="115">
        <v>593.4</v>
      </c>
      <c r="R466">
        <v>4734</v>
      </c>
    </row>
    <row r="467" spans="1:18" x14ac:dyDescent="0.25">
      <c r="A467" s="169">
        <v>42692</v>
      </c>
      <c r="B467" s="115">
        <v>119.89</v>
      </c>
      <c r="C467" s="115">
        <v>118.68</v>
      </c>
      <c r="D467" s="115">
        <v>115.4</v>
      </c>
      <c r="E467" s="115">
        <v>115.4</v>
      </c>
      <c r="F467" s="115">
        <v>593.4</v>
      </c>
      <c r="G467">
        <v>393</v>
      </c>
      <c r="H467" s="115"/>
      <c r="I467" s="115"/>
      <c r="L467" s="169">
        <v>42691</v>
      </c>
      <c r="M467" s="115">
        <v>116.97</v>
      </c>
      <c r="N467" s="115">
        <v>118.7</v>
      </c>
      <c r="O467" s="115">
        <v>116.32</v>
      </c>
      <c r="P467" s="115">
        <v>116.33</v>
      </c>
      <c r="Q467" s="115">
        <v>584.85</v>
      </c>
      <c r="R467">
        <v>971</v>
      </c>
    </row>
    <row r="468" spans="1:18" x14ac:dyDescent="0.25">
      <c r="A468" s="169">
        <v>42695</v>
      </c>
      <c r="B468" s="115">
        <v>119.01</v>
      </c>
      <c r="C468" s="115">
        <v>113.7</v>
      </c>
      <c r="D468" s="115">
        <v>112.02</v>
      </c>
      <c r="E468" s="115">
        <v>116.64</v>
      </c>
      <c r="F468" s="115">
        <v>568.5</v>
      </c>
      <c r="G468">
        <v>3347</v>
      </c>
      <c r="H468" s="115"/>
      <c r="I468" s="115"/>
      <c r="L468" s="169">
        <v>42692</v>
      </c>
      <c r="M468" s="115">
        <v>118.6</v>
      </c>
      <c r="N468" s="115">
        <v>119.6</v>
      </c>
      <c r="O468" s="115">
        <v>116.4</v>
      </c>
      <c r="P468" s="115">
        <v>116.4</v>
      </c>
      <c r="Q468" s="115">
        <v>593</v>
      </c>
      <c r="R468">
        <v>1523</v>
      </c>
    </row>
    <row r="469" spans="1:18" x14ac:dyDescent="0.25">
      <c r="A469" s="169">
        <v>42696</v>
      </c>
      <c r="B469" s="115">
        <v>116.3</v>
      </c>
      <c r="C469" s="115">
        <v>115.71</v>
      </c>
      <c r="D469" s="115">
        <v>112.02</v>
      </c>
      <c r="E469" s="115">
        <v>112.02</v>
      </c>
      <c r="F469" s="115">
        <v>578.54999999999995</v>
      </c>
      <c r="G469">
        <v>809</v>
      </c>
      <c r="H469" s="115"/>
      <c r="I469" s="115"/>
      <c r="L469" s="169">
        <v>42695</v>
      </c>
      <c r="M469" s="115">
        <v>113.51</v>
      </c>
      <c r="N469" s="115">
        <v>119</v>
      </c>
      <c r="O469" s="115">
        <v>112.2</v>
      </c>
      <c r="P469" s="115">
        <v>116.62</v>
      </c>
      <c r="Q469" s="115">
        <v>567.54999999999995</v>
      </c>
      <c r="R469">
        <v>5537</v>
      </c>
    </row>
    <row r="470" spans="1:18" x14ac:dyDescent="0.25">
      <c r="A470" s="169">
        <v>42697</v>
      </c>
      <c r="B470" s="115">
        <v>117.16</v>
      </c>
      <c r="C470" s="115">
        <v>116.56</v>
      </c>
      <c r="D470" s="115">
        <v>115.9</v>
      </c>
      <c r="E470" s="115">
        <v>116</v>
      </c>
      <c r="F470" s="115">
        <v>582.79999999999995</v>
      </c>
      <c r="G470">
        <v>218</v>
      </c>
      <c r="H470" s="115"/>
      <c r="I470" s="115"/>
      <c r="L470" s="169">
        <v>42696</v>
      </c>
      <c r="M470" s="115">
        <v>115.3</v>
      </c>
      <c r="N470" s="115">
        <v>116.8</v>
      </c>
      <c r="O470" s="115">
        <v>111.6</v>
      </c>
      <c r="P470" s="115">
        <v>114.4</v>
      </c>
      <c r="Q470" s="115">
        <v>576.5</v>
      </c>
      <c r="R470">
        <v>4386</v>
      </c>
    </row>
    <row r="471" spans="1:18" x14ac:dyDescent="0.25">
      <c r="A471" s="169">
        <v>42698</v>
      </c>
      <c r="B471" s="115">
        <v>120</v>
      </c>
      <c r="C471" s="115">
        <v>117.13</v>
      </c>
      <c r="D471" s="115">
        <v>113.36</v>
      </c>
      <c r="E471" s="115">
        <v>115</v>
      </c>
      <c r="F471" s="115">
        <v>585.65</v>
      </c>
      <c r="G471">
        <v>1379</v>
      </c>
      <c r="H471" s="115"/>
      <c r="I471" s="115"/>
      <c r="L471" s="169">
        <v>42697</v>
      </c>
      <c r="M471" s="115">
        <v>116.22</v>
      </c>
      <c r="N471" s="115">
        <v>116.91</v>
      </c>
      <c r="O471" s="115">
        <v>115</v>
      </c>
      <c r="P471" s="115">
        <v>116</v>
      </c>
      <c r="Q471" s="115">
        <v>581.1</v>
      </c>
      <c r="R471">
        <v>1003</v>
      </c>
    </row>
    <row r="472" spans="1:18" x14ac:dyDescent="0.25">
      <c r="A472" s="169">
        <v>42699</v>
      </c>
      <c r="B472" s="115">
        <v>120.5</v>
      </c>
      <c r="C472" s="115">
        <v>119.61</v>
      </c>
      <c r="D472" s="115">
        <v>115.6</v>
      </c>
      <c r="E472" s="115">
        <v>116</v>
      </c>
      <c r="F472" s="115">
        <v>598.04999999999995</v>
      </c>
      <c r="G472">
        <v>401</v>
      </c>
      <c r="H472" s="115"/>
      <c r="I472" s="115"/>
      <c r="L472" s="169">
        <v>42698</v>
      </c>
      <c r="M472" s="115">
        <v>116.93</v>
      </c>
      <c r="N472" s="115">
        <v>119</v>
      </c>
      <c r="O472" s="115">
        <v>114.2</v>
      </c>
      <c r="P472" s="115">
        <v>117.04</v>
      </c>
      <c r="Q472" s="115">
        <v>584.65</v>
      </c>
      <c r="R472">
        <v>7098</v>
      </c>
    </row>
    <row r="473" spans="1:18" x14ac:dyDescent="0.25">
      <c r="A473" s="169">
        <v>42702</v>
      </c>
      <c r="B473" s="115">
        <v>121</v>
      </c>
      <c r="C473" s="115">
        <v>120.08</v>
      </c>
      <c r="D473" s="115">
        <v>117.2</v>
      </c>
      <c r="E473" s="115">
        <v>118</v>
      </c>
      <c r="F473" s="115">
        <v>600.4</v>
      </c>
      <c r="G473">
        <v>171</v>
      </c>
      <c r="H473" s="115"/>
      <c r="I473" s="115"/>
      <c r="L473" s="169">
        <v>42699</v>
      </c>
      <c r="M473" s="115">
        <v>120.04</v>
      </c>
      <c r="N473" s="115">
        <v>121.8</v>
      </c>
      <c r="O473" s="115">
        <v>114.62</v>
      </c>
      <c r="P473" s="115">
        <v>114.62</v>
      </c>
      <c r="Q473" s="115">
        <v>600.20000000000005</v>
      </c>
      <c r="R473">
        <v>7724</v>
      </c>
    </row>
    <row r="474" spans="1:18" x14ac:dyDescent="0.25">
      <c r="A474" s="169">
        <v>42703</v>
      </c>
      <c r="B474" s="115">
        <v>122</v>
      </c>
      <c r="C474" s="115">
        <v>121.6</v>
      </c>
      <c r="D474" s="115">
        <v>117.8</v>
      </c>
      <c r="E474" s="115">
        <v>118</v>
      </c>
      <c r="F474" s="115">
        <v>608</v>
      </c>
      <c r="G474">
        <v>640</v>
      </c>
      <c r="H474" s="115"/>
      <c r="I474" s="115"/>
      <c r="L474" s="169">
        <v>42702</v>
      </c>
      <c r="M474" s="115">
        <v>120.1</v>
      </c>
      <c r="N474" s="115">
        <v>121</v>
      </c>
      <c r="O474" s="115">
        <v>118.01</v>
      </c>
      <c r="P474" s="115">
        <v>118.01</v>
      </c>
      <c r="Q474" s="115">
        <v>600.5</v>
      </c>
      <c r="R474">
        <v>1035</v>
      </c>
    </row>
    <row r="475" spans="1:18" x14ac:dyDescent="0.25">
      <c r="A475" s="169">
        <v>42704</v>
      </c>
      <c r="B475" s="115">
        <v>121.95</v>
      </c>
      <c r="C475" s="115">
        <v>121.29</v>
      </c>
      <c r="D475" s="115">
        <v>120</v>
      </c>
      <c r="E475" s="115">
        <v>120</v>
      </c>
      <c r="F475" s="115">
        <v>606.45000000000005</v>
      </c>
      <c r="G475">
        <v>124</v>
      </c>
      <c r="H475" s="115"/>
      <c r="I475" s="115"/>
      <c r="L475" s="169">
        <v>42703</v>
      </c>
      <c r="M475" s="115">
        <v>121.72</v>
      </c>
      <c r="N475" s="115">
        <v>122.4</v>
      </c>
      <c r="O475" s="115">
        <v>118</v>
      </c>
      <c r="P475" s="115">
        <v>120.2</v>
      </c>
      <c r="Q475" s="115">
        <v>608.6</v>
      </c>
      <c r="R475">
        <v>4062</v>
      </c>
    </row>
    <row r="476" spans="1:18" x14ac:dyDescent="0.25">
      <c r="A476" s="169">
        <v>42705</v>
      </c>
      <c r="B476" s="115">
        <v>121.99</v>
      </c>
      <c r="C476" s="115">
        <v>119.35</v>
      </c>
      <c r="D476" s="115">
        <v>118.73</v>
      </c>
      <c r="E476" s="115">
        <v>120.2</v>
      </c>
      <c r="F476" s="115">
        <v>596.75</v>
      </c>
      <c r="G476">
        <v>382</v>
      </c>
      <c r="H476" s="115"/>
      <c r="I476" s="115"/>
      <c r="L476" s="169">
        <v>42704</v>
      </c>
      <c r="M476" s="115">
        <v>120.58</v>
      </c>
      <c r="N476" s="115">
        <v>122</v>
      </c>
      <c r="O476" s="115">
        <v>118.8</v>
      </c>
      <c r="P476" s="115">
        <v>120</v>
      </c>
      <c r="Q476" s="115">
        <v>602.9</v>
      </c>
      <c r="R476">
        <v>1096</v>
      </c>
    </row>
    <row r="477" spans="1:18" x14ac:dyDescent="0.25">
      <c r="A477" s="169">
        <v>42706</v>
      </c>
      <c r="B477" s="115">
        <v>121.33</v>
      </c>
      <c r="C477" s="115">
        <v>119.68</v>
      </c>
      <c r="D477" s="115">
        <v>117</v>
      </c>
      <c r="E477" s="115">
        <v>118</v>
      </c>
      <c r="F477" s="115">
        <v>598.4</v>
      </c>
      <c r="G477">
        <v>319</v>
      </c>
      <c r="H477" s="115"/>
      <c r="I477" s="115"/>
      <c r="L477" s="169">
        <v>42705</v>
      </c>
      <c r="M477" s="115">
        <v>119.48</v>
      </c>
      <c r="N477" s="115">
        <v>125.8</v>
      </c>
      <c r="O477" s="115">
        <v>118</v>
      </c>
      <c r="P477" s="115">
        <v>118</v>
      </c>
      <c r="Q477" s="115">
        <v>597.4</v>
      </c>
      <c r="R477">
        <v>1691</v>
      </c>
    </row>
    <row r="478" spans="1:18" x14ac:dyDescent="0.25">
      <c r="A478" s="169">
        <v>42709</v>
      </c>
      <c r="B478" s="115">
        <v>120.9</v>
      </c>
      <c r="C478" s="115">
        <v>120.12</v>
      </c>
      <c r="D478" s="115">
        <v>118.73</v>
      </c>
      <c r="E478" s="115">
        <v>119</v>
      </c>
      <c r="F478" s="115">
        <v>600.6</v>
      </c>
      <c r="G478">
        <v>379</v>
      </c>
      <c r="H478" s="115"/>
      <c r="I478" s="115"/>
      <c r="L478" s="169">
        <v>42706</v>
      </c>
      <c r="M478" s="115">
        <v>120</v>
      </c>
      <c r="N478" s="115">
        <v>121.2</v>
      </c>
      <c r="O478" s="115">
        <v>117.2</v>
      </c>
      <c r="P478" s="115">
        <v>121.19</v>
      </c>
      <c r="Q478" s="115">
        <v>600</v>
      </c>
      <c r="R478">
        <v>4499</v>
      </c>
    </row>
    <row r="479" spans="1:18" x14ac:dyDescent="0.25">
      <c r="A479" s="169">
        <v>42710</v>
      </c>
      <c r="B479" s="115">
        <v>121.4</v>
      </c>
      <c r="C479" s="115">
        <v>120.4</v>
      </c>
      <c r="D479" s="115">
        <v>120.4</v>
      </c>
      <c r="E479" s="115">
        <v>121.4</v>
      </c>
      <c r="F479" s="115">
        <v>602</v>
      </c>
      <c r="G479">
        <v>20</v>
      </c>
      <c r="H479" s="115"/>
      <c r="I479" s="115"/>
      <c r="L479" s="169">
        <v>42709</v>
      </c>
      <c r="M479" s="115">
        <v>120.42</v>
      </c>
      <c r="N479" s="115">
        <v>122</v>
      </c>
      <c r="O479" s="115">
        <v>117.42</v>
      </c>
      <c r="P479" s="115">
        <v>118</v>
      </c>
      <c r="Q479" s="115">
        <v>602.1</v>
      </c>
      <c r="R479">
        <v>6474</v>
      </c>
    </row>
    <row r="480" spans="1:18" x14ac:dyDescent="0.25">
      <c r="A480" s="169">
        <v>42711</v>
      </c>
      <c r="B480" s="115">
        <v>119.34</v>
      </c>
      <c r="C480" s="115">
        <v>117.74</v>
      </c>
      <c r="D480" s="115">
        <v>117.01</v>
      </c>
      <c r="E480" s="115">
        <v>119.34</v>
      </c>
      <c r="F480" s="115">
        <v>588.70000000000005</v>
      </c>
      <c r="G480">
        <v>30</v>
      </c>
      <c r="H480" s="115"/>
      <c r="I480" s="115"/>
      <c r="L480" s="169">
        <v>42710</v>
      </c>
      <c r="M480" s="115">
        <v>120.19</v>
      </c>
      <c r="N480" s="115">
        <v>123.4</v>
      </c>
      <c r="O480" s="115">
        <v>119</v>
      </c>
      <c r="P480" s="115">
        <v>119</v>
      </c>
      <c r="Q480" s="115">
        <v>600.95000000000005</v>
      </c>
      <c r="R480">
        <v>1116</v>
      </c>
    </row>
    <row r="481" spans="1:18" x14ac:dyDescent="0.25">
      <c r="A481" s="169">
        <v>42712</v>
      </c>
      <c r="B481" s="115">
        <v>120.3</v>
      </c>
      <c r="C481" s="115">
        <v>120.3</v>
      </c>
      <c r="D481" s="115">
        <v>119</v>
      </c>
      <c r="E481" s="115">
        <v>120.05</v>
      </c>
      <c r="F481" s="115">
        <v>601.5</v>
      </c>
      <c r="G481">
        <v>37</v>
      </c>
      <c r="H481" s="115"/>
      <c r="I481" s="115"/>
      <c r="L481" s="169">
        <v>42711</v>
      </c>
      <c r="M481" s="115">
        <v>117.44</v>
      </c>
      <c r="N481" s="115">
        <v>121.39</v>
      </c>
      <c r="O481" s="115">
        <v>116.63</v>
      </c>
      <c r="P481" s="115">
        <v>121.39</v>
      </c>
      <c r="Q481" s="115">
        <v>587.20000000000005</v>
      </c>
      <c r="R481">
        <v>1028</v>
      </c>
    </row>
    <row r="482" spans="1:18" x14ac:dyDescent="0.25">
      <c r="A482" s="169">
        <v>42713</v>
      </c>
      <c r="B482" s="115">
        <v>123.05</v>
      </c>
      <c r="C482" s="115">
        <v>122.98</v>
      </c>
      <c r="D482" s="115">
        <v>116.61</v>
      </c>
      <c r="E482" s="115">
        <v>118</v>
      </c>
      <c r="F482" s="115">
        <v>614.9</v>
      </c>
      <c r="G482">
        <v>1282</v>
      </c>
      <c r="H482" s="115"/>
      <c r="I482" s="115"/>
      <c r="L482" s="169">
        <v>42712</v>
      </c>
      <c r="M482" s="115">
        <v>118.41</v>
      </c>
      <c r="N482" s="115">
        <v>119.8</v>
      </c>
      <c r="O482" s="115">
        <v>117</v>
      </c>
      <c r="P482" s="115">
        <v>117.44</v>
      </c>
      <c r="Q482" s="115">
        <v>592.04999999999995</v>
      </c>
      <c r="R482">
        <v>596</v>
      </c>
    </row>
    <row r="483" spans="1:18" x14ac:dyDescent="0.25">
      <c r="A483" s="169">
        <v>42716</v>
      </c>
      <c r="B483" s="115">
        <v>123.97</v>
      </c>
      <c r="C483" s="115">
        <v>121.87</v>
      </c>
      <c r="D483" s="115">
        <v>118.38</v>
      </c>
      <c r="E483" s="115">
        <v>123</v>
      </c>
      <c r="F483" s="115">
        <v>609.35</v>
      </c>
      <c r="G483">
        <v>1879</v>
      </c>
      <c r="H483" s="115"/>
      <c r="I483" s="115"/>
      <c r="L483" s="169">
        <v>42713</v>
      </c>
      <c r="M483" s="115">
        <v>122.77</v>
      </c>
      <c r="N483" s="115">
        <v>123.97</v>
      </c>
      <c r="O483" s="115">
        <v>116.23</v>
      </c>
      <c r="P483" s="115">
        <v>118.4</v>
      </c>
      <c r="Q483" s="115">
        <v>613.85</v>
      </c>
      <c r="R483">
        <v>11932</v>
      </c>
    </row>
    <row r="484" spans="1:18" x14ac:dyDescent="0.25">
      <c r="A484" s="169">
        <v>42717</v>
      </c>
      <c r="B484" s="115">
        <v>123.94</v>
      </c>
      <c r="C484" s="115">
        <v>120.86</v>
      </c>
      <c r="D484" s="115">
        <v>118.6</v>
      </c>
      <c r="E484" s="115">
        <v>120.8</v>
      </c>
      <c r="F484" s="115">
        <v>604.29999999999995</v>
      </c>
      <c r="G484">
        <v>3464</v>
      </c>
      <c r="H484" s="115"/>
      <c r="I484" s="115"/>
      <c r="L484" s="169">
        <v>42716</v>
      </c>
      <c r="M484" s="115">
        <v>122.73</v>
      </c>
      <c r="N484" s="115">
        <v>124.8</v>
      </c>
      <c r="O484" s="115">
        <v>118.4</v>
      </c>
      <c r="P484" s="115">
        <v>120.32</v>
      </c>
      <c r="Q484" s="115">
        <v>613.65</v>
      </c>
      <c r="R484">
        <v>9962</v>
      </c>
    </row>
    <row r="485" spans="1:18" x14ac:dyDescent="0.25">
      <c r="A485" s="169">
        <v>42718</v>
      </c>
      <c r="B485" s="115">
        <v>125</v>
      </c>
      <c r="C485" s="115">
        <v>122.68</v>
      </c>
      <c r="D485" s="115">
        <v>118.1</v>
      </c>
      <c r="E485" s="115">
        <v>120.6</v>
      </c>
      <c r="F485" s="115">
        <v>613.4</v>
      </c>
      <c r="G485">
        <v>557</v>
      </c>
      <c r="H485" s="115"/>
      <c r="I485" s="115"/>
      <c r="L485" s="169">
        <v>42717</v>
      </c>
      <c r="M485" s="115">
        <v>118.65</v>
      </c>
      <c r="N485" s="115">
        <v>123.6</v>
      </c>
      <c r="O485" s="115">
        <v>118.01</v>
      </c>
      <c r="P485" s="115">
        <v>120.28</v>
      </c>
      <c r="Q485" s="115">
        <v>593.25</v>
      </c>
      <c r="R485">
        <v>79653</v>
      </c>
    </row>
    <row r="486" spans="1:18" x14ac:dyDescent="0.25">
      <c r="A486" s="169">
        <v>42719</v>
      </c>
      <c r="B486" s="115">
        <v>122.99</v>
      </c>
      <c r="C486" s="115">
        <v>122.71</v>
      </c>
      <c r="D486" s="115">
        <v>120</v>
      </c>
      <c r="E486" s="115">
        <v>121.2</v>
      </c>
      <c r="F486" s="115">
        <v>613.54999999999995</v>
      </c>
      <c r="G486">
        <v>4235</v>
      </c>
      <c r="H486" s="115"/>
      <c r="I486" s="115"/>
      <c r="L486" s="169">
        <v>42718</v>
      </c>
      <c r="M486" s="115">
        <v>122.53</v>
      </c>
      <c r="N486" s="115">
        <v>126</v>
      </c>
      <c r="O486" s="115">
        <v>119.2</v>
      </c>
      <c r="P486" s="115">
        <v>120</v>
      </c>
      <c r="Q486" s="115">
        <v>612.65</v>
      </c>
      <c r="R486">
        <v>7519</v>
      </c>
    </row>
    <row r="487" spans="1:18" x14ac:dyDescent="0.25">
      <c r="A487" s="169">
        <v>42720</v>
      </c>
      <c r="B487" s="115">
        <v>122.01</v>
      </c>
      <c r="C487" s="115">
        <v>121.09</v>
      </c>
      <c r="D487" s="115">
        <v>121</v>
      </c>
      <c r="E487" s="115">
        <v>122.01</v>
      </c>
      <c r="F487" s="115">
        <v>605.45000000000005</v>
      </c>
      <c r="G487">
        <v>1063</v>
      </c>
      <c r="H487" s="115"/>
      <c r="I487" s="115"/>
      <c r="L487" s="169">
        <v>42719</v>
      </c>
      <c r="M487" s="115">
        <v>122.31</v>
      </c>
      <c r="N487" s="115">
        <v>123.32</v>
      </c>
      <c r="O487" s="115">
        <v>119.83</v>
      </c>
      <c r="P487" s="115">
        <v>122.4</v>
      </c>
      <c r="Q487" s="115">
        <v>611.54999999999995</v>
      </c>
      <c r="R487">
        <v>6082</v>
      </c>
    </row>
    <row r="488" spans="1:18" x14ac:dyDescent="0.25">
      <c r="A488" s="169">
        <v>42723</v>
      </c>
      <c r="B488" s="115">
        <v>120.72</v>
      </c>
      <c r="C488" s="115">
        <v>119.05</v>
      </c>
      <c r="D488" s="115">
        <v>118.48</v>
      </c>
      <c r="E488" s="115">
        <v>120</v>
      </c>
      <c r="F488" s="115">
        <v>595.25</v>
      </c>
      <c r="G488">
        <v>301</v>
      </c>
      <c r="H488" s="115"/>
      <c r="I488" s="115"/>
      <c r="L488" s="169">
        <v>42720</v>
      </c>
      <c r="M488" s="115">
        <v>120.48</v>
      </c>
      <c r="N488" s="115">
        <v>122.4</v>
      </c>
      <c r="O488" s="115">
        <v>120.2</v>
      </c>
      <c r="P488" s="115">
        <v>121.79</v>
      </c>
      <c r="Q488" s="115">
        <v>602.4</v>
      </c>
      <c r="R488">
        <v>2542</v>
      </c>
    </row>
    <row r="489" spans="1:18" x14ac:dyDescent="0.25">
      <c r="A489" s="169">
        <v>42724</v>
      </c>
      <c r="B489" s="115">
        <v>119.99</v>
      </c>
      <c r="C489" s="115">
        <v>118.6</v>
      </c>
      <c r="D489" s="115">
        <v>118.6</v>
      </c>
      <c r="E489" s="115">
        <v>119.05</v>
      </c>
      <c r="F489" s="115">
        <v>593</v>
      </c>
      <c r="G489">
        <v>298</v>
      </c>
      <c r="H489" s="115"/>
      <c r="I489" s="115"/>
      <c r="L489" s="169">
        <v>42723</v>
      </c>
      <c r="M489" s="115">
        <v>119.55</v>
      </c>
      <c r="N489" s="115">
        <v>121.38</v>
      </c>
      <c r="O489" s="115">
        <v>119</v>
      </c>
      <c r="P489" s="115">
        <v>119.13</v>
      </c>
      <c r="Q489" s="115">
        <v>597.75</v>
      </c>
      <c r="R489">
        <v>669</v>
      </c>
    </row>
    <row r="490" spans="1:18" x14ac:dyDescent="0.25">
      <c r="A490" s="169">
        <v>42725</v>
      </c>
      <c r="B490" s="115">
        <v>120.15</v>
      </c>
      <c r="C490" s="115">
        <v>119.9</v>
      </c>
      <c r="D490" s="115">
        <v>118.47</v>
      </c>
      <c r="E490" s="115">
        <v>119.21</v>
      </c>
      <c r="F490" s="115">
        <v>599.5</v>
      </c>
      <c r="G490">
        <v>159</v>
      </c>
      <c r="H490" s="115"/>
      <c r="I490" s="115"/>
      <c r="L490" s="169">
        <v>42724</v>
      </c>
      <c r="M490" s="115">
        <v>119.13</v>
      </c>
      <c r="N490" s="115">
        <v>120.97</v>
      </c>
      <c r="O490" s="115">
        <v>119</v>
      </c>
      <c r="P490" s="115">
        <v>120.97</v>
      </c>
      <c r="Q490" s="115">
        <v>595.65</v>
      </c>
      <c r="R490">
        <v>1271</v>
      </c>
    </row>
    <row r="491" spans="1:18" x14ac:dyDescent="0.25">
      <c r="A491" s="169">
        <v>42726</v>
      </c>
      <c r="B491" s="115">
        <v>120</v>
      </c>
      <c r="C491" s="115">
        <v>118.71</v>
      </c>
      <c r="D491" s="115">
        <v>115</v>
      </c>
      <c r="E491" s="115">
        <v>119</v>
      </c>
      <c r="F491" s="115">
        <v>593.54999999999995</v>
      </c>
      <c r="G491">
        <v>139</v>
      </c>
      <c r="H491" s="115"/>
      <c r="I491" s="115"/>
      <c r="L491" s="169">
        <v>42725</v>
      </c>
      <c r="M491" s="115">
        <v>119.47</v>
      </c>
      <c r="N491" s="115">
        <v>120.36</v>
      </c>
      <c r="O491" s="115">
        <v>118.48</v>
      </c>
      <c r="P491" s="115">
        <v>120.34</v>
      </c>
      <c r="Q491" s="115">
        <v>597.35</v>
      </c>
      <c r="R491">
        <v>1598</v>
      </c>
    </row>
    <row r="492" spans="1:18" x14ac:dyDescent="0.25">
      <c r="A492" s="169">
        <v>42727</v>
      </c>
      <c r="B492" s="115">
        <v>125</v>
      </c>
      <c r="C492" s="115">
        <v>123.92</v>
      </c>
      <c r="D492" s="115">
        <v>120</v>
      </c>
      <c r="E492" s="115">
        <v>120</v>
      </c>
      <c r="F492" s="115">
        <v>619.6</v>
      </c>
      <c r="G492">
        <v>285</v>
      </c>
      <c r="H492" s="115"/>
      <c r="I492" s="115"/>
      <c r="L492" s="169">
        <v>42726</v>
      </c>
      <c r="M492" s="115">
        <v>119.33</v>
      </c>
      <c r="N492" s="115">
        <v>120.8</v>
      </c>
      <c r="O492" s="115">
        <v>115</v>
      </c>
      <c r="P492" s="115">
        <v>118.63</v>
      </c>
      <c r="Q492" s="115">
        <v>596.65</v>
      </c>
      <c r="R492">
        <v>7289</v>
      </c>
    </row>
    <row r="493" spans="1:18" x14ac:dyDescent="0.25">
      <c r="A493" s="169">
        <v>42730</v>
      </c>
      <c r="B493" s="115">
        <v>125</v>
      </c>
      <c r="C493" s="115">
        <v>124.33</v>
      </c>
      <c r="D493" s="115">
        <v>120</v>
      </c>
      <c r="E493" s="115">
        <v>120.03</v>
      </c>
      <c r="F493" s="115">
        <v>621.65</v>
      </c>
      <c r="G493">
        <v>382</v>
      </c>
      <c r="H493" s="115"/>
      <c r="I493" s="115"/>
      <c r="L493" s="169">
        <v>42727</v>
      </c>
      <c r="M493" s="115">
        <v>123.25</v>
      </c>
      <c r="N493" s="115">
        <v>125.8</v>
      </c>
      <c r="O493" s="115">
        <v>117.2</v>
      </c>
      <c r="P493" s="115">
        <v>117.21</v>
      </c>
      <c r="Q493" s="115">
        <v>616.25</v>
      </c>
      <c r="R493">
        <v>11411</v>
      </c>
    </row>
    <row r="494" spans="1:18" x14ac:dyDescent="0.25">
      <c r="A494" s="169">
        <v>42731</v>
      </c>
      <c r="B494" s="115">
        <v>125.2</v>
      </c>
      <c r="C494" s="115">
        <v>125.11</v>
      </c>
      <c r="D494" s="115">
        <v>122.1</v>
      </c>
      <c r="E494" s="115">
        <v>124.94</v>
      </c>
      <c r="F494" s="115">
        <v>625.54999999999995</v>
      </c>
      <c r="G494">
        <v>148</v>
      </c>
      <c r="H494" s="115"/>
      <c r="I494" s="115"/>
      <c r="L494" s="169">
        <v>42730</v>
      </c>
      <c r="M494" s="115">
        <v>125.05</v>
      </c>
      <c r="N494" s="115">
        <v>125.66</v>
      </c>
      <c r="O494" s="115">
        <v>120</v>
      </c>
      <c r="P494" s="115">
        <v>120.78</v>
      </c>
      <c r="Q494" s="115">
        <v>625.25</v>
      </c>
      <c r="R494">
        <v>6655</v>
      </c>
    </row>
    <row r="495" spans="1:18" x14ac:dyDescent="0.25">
      <c r="A495" s="169">
        <v>42732</v>
      </c>
      <c r="B495" s="115">
        <v>125.1</v>
      </c>
      <c r="C495" s="115">
        <v>123.99</v>
      </c>
      <c r="D495" s="115">
        <v>120.8</v>
      </c>
      <c r="E495" s="115">
        <v>122</v>
      </c>
      <c r="F495" s="115">
        <v>619.95000000000005</v>
      </c>
      <c r="G495">
        <v>546</v>
      </c>
      <c r="H495" s="115"/>
      <c r="I495" s="115"/>
      <c r="L495" s="169">
        <v>42731</v>
      </c>
      <c r="M495" s="115">
        <v>124.08</v>
      </c>
      <c r="N495" s="115">
        <v>125.4</v>
      </c>
      <c r="O495" s="115">
        <v>121.61</v>
      </c>
      <c r="P495" s="115">
        <v>122.54</v>
      </c>
      <c r="Q495" s="115">
        <v>620.4</v>
      </c>
      <c r="R495">
        <v>4372</v>
      </c>
    </row>
    <row r="496" spans="1:18" x14ac:dyDescent="0.25">
      <c r="A496" s="169">
        <v>42733</v>
      </c>
      <c r="B496" s="115">
        <v>125.3</v>
      </c>
      <c r="C496" s="115">
        <v>122.15</v>
      </c>
      <c r="D496" s="115">
        <v>120.22</v>
      </c>
      <c r="E496" s="115">
        <v>124.4</v>
      </c>
      <c r="F496" s="115">
        <v>610.75</v>
      </c>
      <c r="G496">
        <v>2183</v>
      </c>
      <c r="H496" s="115"/>
      <c r="I496" s="115"/>
      <c r="L496" s="169">
        <v>42732</v>
      </c>
      <c r="M496" s="115">
        <v>124.88</v>
      </c>
      <c r="N496" s="115">
        <v>125.8</v>
      </c>
      <c r="O496" s="115">
        <v>121</v>
      </c>
      <c r="P496" s="115">
        <v>122.79</v>
      </c>
      <c r="Q496" s="115">
        <v>624.4</v>
      </c>
      <c r="R496">
        <v>10769</v>
      </c>
    </row>
    <row r="497" spans="1:18" x14ac:dyDescent="0.25">
      <c r="A497" s="169">
        <v>42734</v>
      </c>
      <c r="B497" s="115">
        <v>127</v>
      </c>
      <c r="C497" s="115">
        <v>125.79</v>
      </c>
      <c r="D497" s="115">
        <v>121.9</v>
      </c>
      <c r="E497" s="115">
        <v>122.5</v>
      </c>
      <c r="F497" s="115">
        <v>628.95000000000005</v>
      </c>
      <c r="G497">
        <v>2135</v>
      </c>
      <c r="H497" s="115"/>
      <c r="I497" s="115"/>
      <c r="L497" s="169">
        <v>42733</v>
      </c>
      <c r="M497" s="115">
        <v>122.65</v>
      </c>
      <c r="N497" s="115">
        <v>125.39</v>
      </c>
      <c r="O497" s="115">
        <v>121.81</v>
      </c>
      <c r="P497" s="115">
        <v>124.21</v>
      </c>
      <c r="Q497" s="115">
        <v>613.25</v>
      </c>
      <c r="R497">
        <v>11520</v>
      </c>
    </row>
    <row r="498" spans="1:18" x14ac:dyDescent="0.25">
      <c r="A498" s="169">
        <v>42737</v>
      </c>
      <c r="B498" s="115">
        <v>125.19</v>
      </c>
      <c r="C498" s="115">
        <v>124.61</v>
      </c>
      <c r="D498" s="115">
        <v>124.61</v>
      </c>
      <c r="E498" s="115">
        <v>125.19</v>
      </c>
      <c r="F498" s="115">
        <v>623.04999999999995</v>
      </c>
      <c r="G498">
        <v>6</v>
      </c>
      <c r="H498" s="115"/>
      <c r="I498" s="115"/>
      <c r="L498" s="169">
        <v>42734</v>
      </c>
      <c r="M498" s="115">
        <v>126.23</v>
      </c>
      <c r="N498" s="115">
        <v>127.9</v>
      </c>
      <c r="O498" s="115">
        <v>122.2</v>
      </c>
      <c r="P498" s="115">
        <v>124.59</v>
      </c>
      <c r="Q498" s="115">
        <v>631.15</v>
      </c>
      <c r="R498">
        <v>8556</v>
      </c>
    </row>
    <row r="499" spans="1:18" x14ac:dyDescent="0.25">
      <c r="A499" s="169">
        <v>42738</v>
      </c>
      <c r="B499" s="115">
        <v>125.6</v>
      </c>
      <c r="C499" s="115">
        <v>123.1</v>
      </c>
      <c r="D499" s="115">
        <v>123.01</v>
      </c>
      <c r="E499" s="115">
        <v>125.26</v>
      </c>
      <c r="F499" s="115">
        <v>615.5</v>
      </c>
      <c r="G499">
        <v>107</v>
      </c>
      <c r="H499" s="115"/>
      <c r="I499" s="115"/>
      <c r="L499" s="169">
        <v>42737</v>
      </c>
      <c r="M499" s="115">
        <v>125.15</v>
      </c>
      <c r="N499" s="115">
        <v>125.92</v>
      </c>
      <c r="O499" s="115">
        <v>123.7</v>
      </c>
      <c r="P499" s="115">
        <v>123.7</v>
      </c>
      <c r="Q499" s="115">
        <v>625.75</v>
      </c>
      <c r="R499">
        <v>1053</v>
      </c>
    </row>
    <row r="500" spans="1:18" x14ac:dyDescent="0.25">
      <c r="A500" s="169">
        <v>42739</v>
      </c>
      <c r="B500" s="115">
        <v>123.39</v>
      </c>
      <c r="C500" s="115">
        <v>122.93</v>
      </c>
      <c r="D500" s="115">
        <v>122.8</v>
      </c>
      <c r="E500" s="115">
        <v>123.39</v>
      </c>
      <c r="F500" s="115">
        <v>614.65</v>
      </c>
      <c r="G500">
        <v>40</v>
      </c>
      <c r="H500" s="115"/>
      <c r="I500" s="115"/>
      <c r="L500" s="169">
        <v>42738</v>
      </c>
      <c r="M500" s="115">
        <v>123.87</v>
      </c>
      <c r="N500" s="115">
        <v>125.6</v>
      </c>
      <c r="O500" s="115">
        <v>122.8</v>
      </c>
      <c r="P500" s="115">
        <v>124.21</v>
      </c>
      <c r="Q500" s="115">
        <v>619.35</v>
      </c>
      <c r="R500">
        <v>5284</v>
      </c>
    </row>
    <row r="501" spans="1:18" x14ac:dyDescent="0.25">
      <c r="A501" s="169">
        <v>42740</v>
      </c>
      <c r="B501" s="115">
        <v>124.94</v>
      </c>
      <c r="C501" s="115">
        <v>124.39</v>
      </c>
      <c r="D501" s="115">
        <v>122.61</v>
      </c>
      <c r="E501" s="115">
        <v>124</v>
      </c>
      <c r="F501" s="115">
        <v>621.95000000000005</v>
      </c>
      <c r="G501">
        <v>1216</v>
      </c>
      <c r="H501" s="115"/>
      <c r="I501" s="115"/>
      <c r="L501" s="169">
        <v>42739</v>
      </c>
      <c r="M501" s="115">
        <v>122.27</v>
      </c>
      <c r="N501" s="115">
        <v>124.99</v>
      </c>
      <c r="O501" s="115">
        <v>121.36</v>
      </c>
      <c r="P501" s="115">
        <v>124.29</v>
      </c>
      <c r="Q501" s="115">
        <v>611.35</v>
      </c>
      <c r="R501">
        <v>1928</v>
      </c>
    </row>
    <row r="502" spans="1:18" x14ac:dyDescent="0.25">
      <c r="A502" s="169">
        <v>42741</v>
      </c>
      <c r="B502" s="115">
        <v>123.99</v>
      </c>
      <c r="C502" s="115">
        <v>123.01</v>
      </c>
      <c r="D502" s="115">
        <v>122.21</v>
      </c>
      <c r="E502" s="115">
        <v>122.21</v>
      </c>
      <c r="F502" s="115">
        <v>615.04999999999995</v>
      </c>
      <c r="G502">
        <v>337</v>
      </c>
      <c r="H502" s="115"/>
      <c r="I502" s="115"/>
      <c r="L502" s="169">
        <v>42740</v>
      </c>
      <c r="M502" s="115">
        <v>123.81</v>
      </c>
      <c r="N502" s="115">
        <v>124.88</v>
      </c>
      <c r="O502" s="115">
        <v>123.2</v>
      </c>
      <c r="P502" s="115">
        <v>123.6</v>
      </c>
      <c r="Q502" s="115">
        <v>619.04999999999995</v>
      </c>
      <c r="R502">
        <v>764</v>
      </c>
    </row>
    <row r="503" spans="1:18" x14ac:dyDescent="0.25">
      <c r="A503" s="169">
        <v>42744</v>
      </c>
      <c r="B503" s="115">
        <v>124</v>
      </c>
      <c r="C503" s="115">
        <v>123.9</v>
      </c>
      <c r="D503" s="115">
        <v>122.6</v>
      </c>
      <c r="E503" s="115">
        <v>122.8</v>
      </c>
      <c r="F503" s="115">
        <v>619.5</v>
      </c>
      <c r="G503">
        <v>400</v>
      </c>
      <c r="H503" s="115"/>
      <c r="I503" s="115"/>
      <c r="L503" s="169">
        <v>42741</v>
      </c>
      <c r="M503" s="115">
        <v>123.4</v>
      </c>
      <c r="N503" s="115">
        <v>124.78</v>
      </c>
      <c r="O503" s="115">
        <v>122.6</v>
      </c>
      <c r="P503" s="115">
        <v>123.99</v>
      </c>
      <c r="Q503" s="115">
        <v>617</v>
      </c>
      <c r="R503">
        <v>892</v>
      </c>
    </row>
    <row r="504" spans="1:18" x14ac:dyDescent="0.25">
      <c r="A504" s="169">
        <v>42745</v>
      </c>
      <c r="B504" s="115">
        <v>122.99</v>
      </c>
      <c r="C504" s="115">
        <v>122.11</v>
      </c>
      <c r="D504" s="115">
        <v>122.1</v>
      </c>
      <c r="E504" s="115">
        <v>122.8</v>
      </c>
      <c r="F504" s="115">
        <v>610.54999999999995</v>
      </c>
      <c r="G504">
        <v>174</v>
      </c>
      <c r="H504" s="115"/>
      <c r="I504" s="115"/>
      <c r="L504" s="169">
        <v>42744</v>
      </c>
      <c r="M504" s="115">
        <v>122.96</v>
      </c>
      <c r="N504" s="115">
        <v>123.97</v>
      </c>
      <c r="O504" s="115">
        <v>122.04</v>
      </c>
      <c r="P504" s="115">
        <v>122.99</v>
      </c>
      <c r="Q504" s="115">
        <v>614.79999999999995</v>
      </c>
      <c r="R504">
        <v>1329</v>
      </c>
    </row>
    <row r="505" spans="1:18" x14ac:dyDescent="0.25">
      <c r="A505" s="169">
        <v>42746</v>
      </c>
      <c r="B505" s="115">
        <v>132.4</v>
      </c>
      <c r="C505" s="115">
        <v>124.35</v>
      </c>
      <c r="D505" s="115">
        <v>122</v>
      </c>
      <c r="E505" s="115">
        <v>122</v>
      </c>
      <c r="F505" s="115">
        <v>621.75</v>
      </c>
      <c r="G505">
        <v>2491</v>
      </c>
      <c r="H505" s="115"/>
      <c r="I505" s="115"/>
      <c r="L505" s="169">
        <v>42745</v>
      </c>
      <c r="M505" s="115">
        <v>122.01</v>
      </c>
      <c r="N505" s="115">
        <v>123.79</v>
      </c>
      <c r="O505" s="115">
        <v>121.72</v>
      </c>
      <c r="P505" s="115">
        <v>123.79</v>
      </c>
      <c r="Q505" s="115">
        <v>610.04999999999995</v>
      </c>
      <c r="R505">
        <v>840</v>
      </c>
    </row>
    <row r="506" spans="1:18" x14ac:dyDescent="0.25">
      <c r="A506" s="169">
        <v>42747</v>
      </c>
      <c r="B506" s="115">
        <v>126.72</v>
      </c>
      <c r="C506" s="115">
        <v>124.73</v>
      </c>
      <c r="D506" s="115">
        <v>124.02</v>
      </c>
      <c r="E506" s="115">
        <v>126</v>
      </c>
      <c r="F506" s="115">
        <v>623.65</v>
      </c>
      <c r="G506">
        <v>832</v>
      </c>
      <c r="H506" s="115"/>
      <c r="I506" s="115"/>
      <c r="L506" s="169">
        <v>42746</v>
      </c>
      <c r="M506" s="115">
        <v>124.98</v>
      </c>
      <c r="N506" s="115">
        <v>132.49</v>
      </c>
      <c r="O506" s="115">
        <v>121.83</v>
      </c>
      <c r="P506" s="115">
        <v>123.57</v>
      </c>
      <c r="Q506" s="115">
        <v>624.9</v>
      </c>
      <c r="R506">
        <v>27372</v>
      </c>
    </row>
    <row r="507" spans="1:18" x14ac:dyDescent="0.25">
      <c r="A507" s="169">
        <v>42748</v>
      </c>
      <c r="B507" s="115">
        <v>125</v>
      </c>
      <c r="C507" s="115">
        <v>124.37</v>
      </c>
      <c r="D507" s="115">
        <v>121.45</v>
      </c>
      <c r="E507" s="115">
        <v>124</v>
      </c>
      <c r="F507" s="115">
        <v>621.85</v>
      </c>
      <c r="G507">
        <v>329</v>
      </c>
      <c r="H507" s="115"/>
      <c r="I507" s="115"/>
      <c r="L507" s="169">
        <v>42747</v>
      </c>
      <c r="M507" s="115">
        <v>124</v>
      </c>
      <c r="N507" s="115">
        <v>127.22</v>
      </c>
      <c r="O507" s="115">
        <v>123.6</v>
      </c>
      <c r="P507" s="115">
        <v>124</v>
      </c>
      <c r="Q507" s="115">
        <v>620</v>
      </c>
      <c r="R507">
        <v>2739</v>
      </c>
    </row>
    <row r="508" spans="1:18" x14ac:dyDescent="0.25">
      <c r="A508" s="169">
        <v>42751</v>
      </c>
      <c r="B508" s="115">
        <v>128.58000000000001</v>
      </c>
      <c r="C508" s="115">
        <v>125.95</v>
      </c>
      <c r="D508" s="115">
        <v>123.73</v>
      </c>
      <c r="E508" s="115">
        <v>124.2</v>
      </c>
      <c r="F508" s="115">
        <v>629.75</v>
      </c>
      <c r="G508">
        <v>2407</v>
      </c>
      <c r="H508" s="115"/>
      <c r="I508" s="115"/>
      <c r="L508" s="169">
        <v>42748</v>
      </c>
      <c r="M508" s="115">
        <v>124.26</v>
      </c>
      <c r="N508" s="115">
        <v>124.94</v>
      </c>
      <c r="O508" s="115">
        <v>121</v>
      </c>
      <c r="P508" s="115">
        <v>124.94</v>
      </c>
      <c r="Q508" s="115">
        <v>621.29999999999995</v>
      </c>
      <c r="R508">
        <v>3555</v>
      </c>
    </row>
    <row r="509" spans="1:18" x14ac:dyDescent="0.25">
      <c r="A509" s="169">
        <v>42752</v>
      </c>
      <c r="B509" s="115">
        <v>126.66</v>
      </c>
      <c r="C509" s="115">
        <v>124.23</v>
      </c>
      <c r="D509" s="115">
        <v>124</v>
      </c>
      <c r="E509" s="115">
        <v>126</v>
      </c>
      <c r="F509" s="115">
        <v>621.15</v>
      </c>
      <c r="G509">
        <v>2382</v>
      </c>
      <c r="H509" s="115"/>
      <c r="I509" s="115"/>
      <c r="L509" s="169">
        <v>42751</v>
      </c>
      <c r="M509" s="115">
        <v>127.26</v>
      </c>
      <c r="N509" s="115">
        <v>129</v>
      </c>
      <c r="O509" s="115">
        <v>123.6</v>
      </c>
      <c r="P509" s="115">
        <v>123.6</v>
      </c>
      <c r="Q509" s="115">
        <v>636.29999999999995</v>
      </c>
      <c r="R509">
        <v>7109</v>
      </c>
    </row>
    <row r="510" spans="1:18" x14ac:dyDescent="0.25">
      <c r="A510" s="169">
        <v>42753</v>
      </c>
      <c r="B510" s="115">
        <v>126.36</v>
      </c>
      <c r="C510" s="115">
        <v>124.96</v>
      </c>
      <c r="D510" s="115">
        <v>124.1</v>
      </c>
      <c r="E510" s="115">
        <v>125</v>
      </c>
      <c r="F510" s="115">
        <v>624.79999999999995</v>
      </c>
      <c r="G510">
        <v>811</v>
      </c>
      <c r="H510" s="115"/>
      <c r="I510" s="115"/>
      <c r="L510" s="169">
        <v>42752</v>
      </c>
      <c r="M510" s="115">
        <v>124.63</v>
      </c>
      <c r="N510" s="115">
        <v>126.79</v>
      </c>
      <c r="O510" s="115">
        <v>124.2</v>
      </c>
      <c r="P510" s="115">
        <v>126.01</v>
      </c>
      <c r="Q510" s="115">
        <v>623.15</v>
      </c>
      <c r="R510">
        <v>1096</v>
      </c>
    </row>
    <row r="511" spans="1:18" x14ac:dyDescent="0.25">
      <c r="A511" s="169">
        <v>42754</v>
      </c>
      <c r="B511" s="115">
        <v>125.64</v>
      </c>
      <c r="C511" s="115">
        <v>122.85</v>
      </c>
      <c r="D511" s="115">
        <v>122</v>
      </c>
      <c r="E511" s="115">
        <v>125.64</v>
      </c>
      <c r="F511" s="115">
        <v>614.25</v>
      </c>
      <c r="G511">
        <v>126</v>
      </c>
      <c r="H511" s="115"/>
      <c r="I511" s="115"/>
      <c r="L511" s="169">
        <v>42753</v>
      </c>
      <c r="M511" s="115">
        <v>124.49</v>
      </c>
      <c r="N511" s="115">
        <v>125.8</v>
      </c>
      <c r="O511" s="115">
        <v>123.6</v>
      </c>
      <c r="P511" s="115">
        <v>125.79</v>
      </c>
      <c r="Q511" s="115">
        <v>622.45000000000005</v>
      </c>
      <c r="R511">
        <v>1465</v>
      </c>
    </row>
    <row r="512" spans="1:18" x14ac:dyDescent="0.25">
      <c r="A512" s="169">
        <v>42755</v>
      </c>
      <c r="B512" s="115">
        <v>125.2</v>
      </c>
      <c r="C512" s="115">
        <v>123.08</v>
      </c>
      <c r="D512" s="115">
        <v>121.02</v>
      </c>
      <c r="E512" s="115">
        <v>124</v>
      </c>
      <c r="F512" s="115">
        <v>615.4</v>
      </c>
      <c r="G512">
        <v>3499</v>
      </c>
      <c r="H512" s="115"/>
      <c r="I512" s="115"/>
      <c r="L512" s="169">
        <v>42754</v>
      </c>
      <c r="M512" s="115">
        <v>123.22</v>
      </c>
      <c r="N512" s="115">
        <v>125.39</v>
      </c>
      <c r="O512" s="115">
        <v>121.6</v>
      </c>
      <c r="P512" s="115">
        <v>125.39</v>
      </c>
      <c r="Q512" s="115">
        <v>616.1</v>
      </c>
      <c r="R512">
        <v>10778</v>
      </c>
    </row>
    <row r="513" spans="1:18" x14ac:dyDescent="0.25">
      <c r="A513" s="169">
        <v>42758</v>
      </c>
      <c r="B513" s="115">
        <v>125</v>
      </c>
      <c r="C513" s="115">
        <v>123.17</v>
      </c>
      <c r="D513" s="115">
        <v>122.66</v>
      </c>
      <c r="E513" s="115">
        <v>123.41</v>
      </c>
      <c r="F513" s="115">
        <v>615.85</v>
      </c>
      <c r="G513">
        <v>2885</v>
      </c>
      <c r="H513" s="115"/>
      <c r="I513" s="115"/>
      <c r="L513" s="169">
        <v>42755</v>
      </c>
      <c r="M513" s="115">
        <v>124.64</v>
      </c>
      <c r="N513" s="115">
        <v>125.7</v>
      </c>
      <c r="O513" s="115">
        <v>121.8</v>
      </c>
      <c r="P513" s="115">
        <v>124.4</v>
      </c>
      <c r="Q513" s="115">
        <v>623.20000000000005</v>
      </c>
      <c r="R513">
        <v>9651</v>
      </c>
    </row>
    <row r="514" spans="1:18" x14ac:dyDescent="0.25">
      <c r="A514" s="169">
        <v>42759</v>
      </c>
      <c r="B514" s="115">
        <v>130.93</v>
      </c>
      <c r="C514" s="115">
        <v>128.97999999999999</v>
      </c>
      <c r="D514" s="115">
        <v>122.9</v>
      </c>
      <c r="E514" s="115">
        <v>123.7</v>
      </c>
      <c r="F514" s="115">
        <v>644.9</v>
      </c>
      <c r="G514">
        <v>1851</v>
      </c>
      <c r="H514" s="115"/>
      <c r="I514" s="115"/>
      <c r="L514" s="169">
        <v>42758</v>
      </c>
      <c r="M514" s="115">
        <v>123.32</v>
      </c>
      <c r="N514" s="115">
        <v>124.99</v>
      </c>
      <c r="O514" s="115">
        <v>122.4</v>
      </c>
      <c r="P514" s="115">
        <v>123.62</v>
      </c>
      <c r="Q514" s="115">
        <v>616.6</v>
      </c>
      <c r="R514">
        <v>1403</v>
      </c>
    </row>
    <row r="515" spans="1:18" x14ac:dyDescent="0.25">
      <c r="A515" s="169">
        <v>42760</v>
      </c>
      <c r="B515" s="115">
        <v>128.79</v>
      </c>
      <c r="C515" s="115">
        <v>126.62</v>
      </c>
      <c r="D515" s="115">
        <v>126.2</v>
      </c>
      <c r="E515" s="115">
        <v>126.2</v>
      </c>
      <c r="F515" s="115">
        <v>633.1</v>
      </c>
      <c r="G515">
        <v>427</v>
      </c>
      <c r="H515" s="115"/>
      <c r="I515" s="115"/>
      <c r="L515" s="169">
        <v>42759</v>
      </c>
      <c r="M515" s="115">
        <v>129.16</v>
      </c>
      <c r="N515" s="115">
        <v>130.6</v>
      </c>
      <c r="O515" s="115">
        <v>123.4</v>
      </c>
      <c r="P515" s="115">
        <v>124.59</v>
      </c>
      <c r="Q515" s="115">
        <v>645.79999999999995</v>
      </c>
      <c r="R515">
        <v>21917</v>
      </c>
    </row>
    <row r="516" spans="1:18" x14ac:dyDescent="0.25">
      <c r="A516" s="169">
        <v>42762</v>
      </c>
      <c r="B516" s="115">
        <v>127.2</v>
      </c>
      <c r="C516" s="115">
        <v>124.64</v>
      </c>
      <c r="D516" s="115">
        <v>124.24</v>
      </c>
      <c r="E516" s="115">
        <v>127</v>
      </c>
      <c r="F516" s="115">
        <v>623.20000000000005</v>
      </c>
      <c r="G516">
        <v>4525</v>
      </c>
      <c r="H516" s="115"/>
      <c r="I516" s="115"/>
      <c r="L516" s="169">
        <v>42760</v>
      </c>
      <c r="M516" s="115">
        <v>127.98</v>
      </c>
      <c r="N516" s="115">
        <v>128.97999999999999</v>
      </c>
      <c r="O516" s="115">
        <v>125.28</v>
      </c>
      <c r="P516" s="115">
        <v>126.68</v>
      </c>
      <c r="Q516" s="115">
        <v>639.9</v>
      </c>
      <c r="R516">
        <v>7766</v>
      </c>
    </row>
    <row r="517" spans="1:18" x14ac:dyDescent="0.25">
      <c r="A517" s="169">
        <v>42765</v>
      </c>
      <c r="B517" s="115">
        <v>126.16</v>
      </c>
      <c r="C517" s="115">
        <v>123.46</v>
      </c>
      <c r="D517" s="115">
        <v>123.35</v>
      </c>
      <c r="E517" s="115">
        <v>125.8</v>
      </c>
      <c r="F517" s="115">
        <v>617.29999999999995</v>
      </c>
      <c r="G517">
        <v>400</v>
      </c>
      <c r="H517" s="115"/>
      <c r="I517" s="115"/>
      <c r="L517" s="169">
        <v>42762</v>
      </c>
      <c r="M517" s="115">
        <v>124.47</v>
      </c>
      <c r="N517" s="115">
        <v>128.19999999999999</v>
      </c>
      <c r="O517" s="115">
        <v>124.02</v>
      </c>
      <c r="P517" s="115">
        <v>128.19</v>
      </c>
      <c r="Q517" s="115">
        <v>622.35</v>
      </c>
      <c r="R517">
        <v>3684</v>
      </c>
    </row>
    <row r="518" spans="1:18" x14ac:dyDescent="0.25">
      <c r="A518" s="169">
        <v>42766</v>
      </c>
      <c r="B518" s="115">
        <v>128</v>
      </c>
      <c r="C518" s="115">
        <v>123.61</v>
      </c>
      <c r="D518" s="115">
        <v>122.25</v>
      </c>
      <c r="E518" s="115">
        <v>125</v>
      </c>
      <c r="F518" s="115">
        <v>618.04999999999995</v>
      </c>
      <c r="G518">
        <v>895</v>
      </c>
      <c r="H518" s="115"/>
      <c r="I518" s="115"/>
      <c r="L518" s="169">
        <v>42765</v>
      </c>
      <c r="M518" s="115">
        <v>124.16</v>
      </c>
      <c r="N518" s="115">
        <v>125.9</v>
      </c>
      <c r="O518" s="115">
        <v>123.49</v>
      </c>
      <c r="P518" s="115">
        <v>123.49</v>
      </c>
      <c r="Q518" s="115">
        <v>620.79999999999995</v>
      </c>
      <c r="R518">
        <v>1392</v>
      </c>
    </row>
    <row r="519" spans="1:18" x14ac:dyDescent="0.25">
      <c r="A519" s="169">
        <v>42767</v>
      </c>
      <c r="B519" s="115">
        <v>125.2</v>
      </c>
      <c r="C519" s="115">
        <v>124.21</v>
      </c>
      <c r="D519" s="115">
        <v>123</v>
      </c>
      <c r="E519" s="115">
        <v>123</v>
      </c>
      <c r="F519" s="115">
        <v>621.04999999999995</v>
      </c>
      <c r="G519">
        <v>1005</v>
      </c>
      <c r="H519" s="115"/>
      <c r="I519" s="115"/>
      <c r="L519" s="169">
        <v>42766</v>
      </c>
      <c r="M519" s="115">
        <v>122.55</v>
      </c>
      <c r="N519" s="115">
        <v>125</v>
      </c>
      <c r="O519" s="115">
        <v>121.76</v>
      </c>
      <c r="P519" s="115">
        <v>125</v>
      </c>
      <c r="Q519" s="115">
        <v>612.75</v>
      </c>
      <c r="R519">
        <v>5091</v>
      </c>
    </row>
    <row r="520" spans="1:18" x14ac:dyDescent="0.25">
      <c r="A520" s="169">
        <v>42768</v>
      </c>
      <c r="B520" s="115">
        <v>124.99</v>
      </c>
      <c r="C520" s="115">
        <v>122.58</v>
      </c>
      <c r="D520" s="115">
        <v>122.05</v>
      </c>
      <c r="E520" s="115">
        <v>124.99</v>
      </c>
      <c r="F520" s="115">
        <v>612.9</v>
      </c>
      <c r="G520">
        <v>888</v>
      </c>
      <c r="H520" s="115"/>
      <c r="I520" s="115"/>
      <c r="L520" s="169">
        <v>42767</v>
      </c>
      <c r="M520" s="115">
        <v>123.18</v>
      </c>
      <c r="N520" s="115">
        <v>125.2</v>
      </c>
      <c r="O520" s="115">
        <v>122.4</v>
      </c>
      <c r="P520" s="115">
        <v>122.44</v>
      </c>
      <c r="Q520" s="115">
        <v>615.9</v>
      </c>
      <c r="R520">
        <v>5216</v>
      </c>
    </row>
    <row r="521" spans="1:18" x14ac:dyDescent="0.25">
      <c r="A521" s="169">
        <v>42769</v>
      </c>
      <c r="B521" s="115">
        <v>123.6</v>
      </c>
      <c r="C521" s="115">
        <v>123.59</v>
      </c>
      <c r="D521" s="115">
        <v>122.4</v>
      </c>
      <c r="E521" s="115">
        <v>122.83</v>
      </c>
      <c r="F521" s="115">
        <v>617.95000000000005</v>
      </c>
      <c r="G521">
        <v>201</v>
      </c>
      <c r="H521" s="115"/>
      <c r="I521" s="115"/>
      <c r="L521" s="169">
        <v>42768</v>
      </c>
      <c r="M521" s="115">
        <v>122.52</v>
      </c>
      <c r="N521" s="115">
        <v>124.58</v>
      </c>
      <c r="O521" s="115">
        <v>121.01</v>
      </c>
      <c r="P521" s="115">
        <v>122.82</v>
      </c>
      <c r="Q521" s="115">
        <v>612.6</v>
      </c>
      <c r="R521">
        <v>2691</v>
      </c>
    </row>
    <row r="522" spans="1:18" x14ac:dyDescent="0.25">
      <c r="A522" s="169">
        <v>42772</v>
      </c>
      <c r="B522" s="115">
        <v>124.16</v>
      </c>
      <c r="C522" s="115">
        <v>123</v>
      </c>
      <c r="D522" s="115">
        <v>122.1</v>
      </c>
      <c r="E522" s="115">
        <v>124</v>
      </c>
      <c r="F522" s="115">
        <v>615</v>
      </c>
      <c r="G522">
        <v>69</v>
      </c>
      <c r="H522" s="115"/>
      <c r="I522" s="115"/>
      <c r="L522" s="169">
        <v>42769</v>
      </c>
      <c r="M522" s="115">
        <v>122.58</v>
      </c>
      <c r="N522" s="115">
        <v>123.3</v>
      </c>
      <c r="O522" s="115">
        <v>122.04</v>
      </c>
      <c r="P522" s="115">
        <v>123.21</v>
      </c>
      <c r="Q522" s="115">
        <v>612.9</v>
      </c>
      <c r="R522">
        <v>2457</v>
      </c>
    </row>
    <row r="523" spans="1:18" x14ac:dyDescent="0.25">
      <c r="A523" s="169">
        <v>42773</v>
      </c>
      <c r="B523" s="115">
        <v>124.73</v>
      </c>
      <c r="C523" s="115">
        <v>124.09</v>
      </c>
      <c r="D523" s="115">
        <v>122</v>
      </c>
      <c r="E523" s="115">
        <v>122</v>
      </c>
      <c r="F523" s="115">
        <v>620.45000000000005</v>
      </c>
      <c r="G523">
        <v>107</v>
      </c>
      <c r="H523" s="115"/>
      <c r="I523" s="115"/>
      <c r="L523" s="169">
        <v>42772</v>
      </c>
      <c r="M523" s="115">
        <v>123.37</v>
      </c>
      <c r="N523" s="115">
        <v>126.19</v>
      </c>
      <c r="O523" s="115">
        <v>121.2</v>
      </c>
      <c r="P523" s="115">
        <v>123.6</v>
      </c>
      <c r="Q523" s="115">
        <v>616.85</v>
      </c>
      <c r="R523">
        <v>3152</v>
      </c>
    </row>
    <row r="524" spans="1:18" x14ac:dyDescent="0.25">
      <c r="A524" s="169">
        <v>42774</v>
      </c>
      <c r="B524" s="115">
        <v>126</v>
      </c>
      <c r="C524" s="115">
        <v>124.9</v>
      </c>
      <c r="D524" s="115">
        <v>122.19</v>
      </c>
      <c r="E524" s="115">
        <v>122.19</v>
      </c>
      <c r="F524" s="115">
        <v>624.5</v>
      </c>
      <c r="G524">
        <v>582</v>
      </c>
      <c r="H524" s="115"/>
      <c r="I524" s="115"/>
      <c r="L524" s="169">
        <v>42773</v>
      </c>
      <c r="M524" s="115">
        <v>123.42</v>
      </c>
      <c r="N524" s="115">
        <v>126</v>
      </c>
      <c r="O524" s="115">
        <v>122.6</v>
      </c>
      <c r="P524" s="115">
        <v>123.8</v>
      </c>
      <c r="Q524" s="115">
        <v>617.1</v>
      </c>
      <c r="R524">
        <v>3665</v>
      </c>
    </row>
    <row r="525" spans="1:18" x14ac:dyDescent="0.25">
      <c r="A525" s="169">
        <v>42775</v>
      </c>
      <c r="B525" s="115">
        <v>125</v>
      </c>
      <c r="C525" s="115">
        <v>124.2</v>
      </c>
      <c r="D525" s="115">
        <v>122.9</v>
      </c>
      <c r="E525" s="115">
        <v>123.67</v>
      </c>
      <c r="F525" s="115">
        <v>621</v>
      </c>
      <c r="G525">
        <v>1380</v>
      </c>
      <c r="H525" s="115"/>
      <c r="I525" s="115"/>
      <c r="L525" s="169">
        <v>42774</v>
      </c>
      <c r="M525" s="115">
        <v>125.13</v>
      </c>
      <c r="N525" s="115">
        <v>125.99</v>
      </c>
      <c r="O525" s="115">
        <v>123.3</v>
      </c>
      <c r="P525" s="115">
        <v>124</v>
      </c>
      <c r="Q525" s="115">
        <v>625.65</v>
      </c>
      <c r="R525">
        <v>3315</v>
      </c>
    </row>
    <row r="526" spans="1:18" x14ac:dyDescent="0.25">
      <c r="A526" s="169">
        <v>42776</v>
      </c>
      <c r="B526" s="115">
        <v>123.8</v>
      </c>
      <c r="C526" s="115">
        <v>123.05</v>
      </c>
      <c r="D526" s="115">
        <v>122.8</v>
      </c>
      <c r="E526" s="115">
        <v>123</v>
      </c>
      <c r="F526" s="115">
        <v>615.25</v>
      </c>
      <c r="G526">
        <v>230</v>
      </c>
      <c r="H526" s="115"/>
      <c r="I526" s="115"/>
      <c r="L526" s="169">
        <v>42775</v>
      </c>
      <c r="M526" s="115">
        <v>123.64</v>
      </c>
      <c r="N526" s="115">
        <v>125.4</v>
      </c>
      <c r="O526" s="115">
        <v>123.41</v>
      </c>
      <c r="P526" s="115">
        <v>124.01</v>
      </c>
      <c r="Q526" s="115">
        <v>618.20000000000005</v>
      </c>
      <c r="R526">
        <v>1666</v>
      </c>
    </row>
    <row r="527" spans="1:18" x14ac:dyDescent="0.25">
      <c r="A527" s="169">
        <v>42779</v>
      </c>
      <c r="B527" s="115">
        <v>124.63</v>
      </c>
      <c r="C527" s="115">
        <v>123.67</v>
      </c>
      <c r="D527" s="115">
        <v>122.6</v>
      </c>
      <c r="E527" s="115">
        <v>122.8</v>
      </c>
      <c r="F527" s="115">
        <v>618.35</v>
      </c>
      <c r="G527">
        <v>2495</v>
      </c>
      <c r="H527" s="115"/>
      <c r="I527" s="115"/>
      <c r="L527" s="169">
        <v>42776</v>
      </c>
      <c r="M527" s="115">
        <v>122.75</v>
      </c>
      <c r="N527" s="115">
        <v>124.05</v>
      </c>
      <c r="O527" s="115">
        <v>122.47</v>
      </c>
      <c r="P527" s="115">
        <v>124.05</v>
      </c>
      <c r="Q527" s="115">
        <v>613.75</v>
      </c>
      <c r="R527">
        <v>3940</v>
      </c>
    </row>
    <row r="528" spans="1:18" x14ac:dyDescent="0.25">
      <c r="A528" s="169">
        <v>42780</v>
      </c>
      <c r="B528" s="115">
        <v>124.06</v>
      </c>
      <c r="C528" s="115">
        <v>123.89</v>
      </c>
      <c r="D528" s="115">
        <v>122</v>
      </c>
      <c r="E528" s="115">
        <v>122.5</v>
      </c>
      <c r="F528" s="115">
        <v>619.45000000000005</v>
      </c>
      <c r="G528">
        <v>992</v>
      </c>
      <c r="H528" s="115"/>
      <c r="I528" s="115"/>
      <c r="L528" s="169">
        <v>42779</v>
      </c>
      <c r="M528" s="115">
        <v>122.75</v>
      </c>
      <c r="N528" s="115">
        <v>124.39</v>
      </c>
      <c r="O528" s="115">
        <v>122.6</v>
      </c>
      <c r="P528" s="115">
        <v>123</v>
      </c>
      <c r="Q528" s="115">
        <v>613.75</v>
      </c>
      <c r="R528">
        <v>2028</v>
      </c>
    </row>
    <row r="529" spans="1:18" x14ac:dyDescent="0.25">
      <c r="A529" s="169">
        <v>42781</v>
      </c>
      <c r="B529" s="115">
        <v>123.76</v>
      </c>
      <c r="C529" s="115">
        <v>122.88</v>
      </c>
      <c r="D529" s="115">
        <v>121.32</v>
      </c>
      <c r="E529" s="115">
        <v>123.4</v>
      </c>
      <c r="F529" s="115">
        <v>614.4</v>
      </c>
      <c r="G529">
        <v>1641</v>
      </c>
      <c r="H529" s="115"/>
      <c r="I529" s="115"/>
      <c r="L529" s="169">
        <v>42780</v>
      </c>
      <c r="M529" s="115">
        <v>123.67</v>
      </c>
      <c r="N529" s="115">
        <v>123.98</v>
      </c>
      <c r="O529" s="115">
        <v>122.12</v>
      </c>
      <c r="P529" s="115">
        <v>122.79</v>
      </c>
      <c r="Q529" s="115">
        <v>618.35</v>
      </c>
      <c r="R529">
        <v>830</v>
      </c>
    </row>
    <row r="530" spans="1:18" x14ac:dyDescent="0.25">
      <c r="A530" s="169">
        <v>42782</v>
      </c>
      <c r="B530" s="115">
        <v>123</v>
      </c>
      <c r="C530" s="115">
        <v>122</v>
      </c>
      <c r="D530" s="115">
        <v>121.59</v>
      </c>
      <c r="E530" s="115">
        <v>121.59</v>
      </c>
      <c r="F530" s="115">
        <v>610</v>
      </c>
      <c r="G530">
        <v>1503</v>
      </c>
      <c r="H530" s="115"/>
      <c r="I530" s="115"/>
      <c r="L530" s="169">
        <v>42781</v>
      </c>
      <c r="M530" s="115">
        <v>121.83</v>
      </c>
      <c r="N530" s="115">
        <v>123.87</v>
      </c>
      <c r="O530" s="115">
        <v>121.06</v>
      </c>
      <c r="P530" s="115">
        <v>122.2</v>
      </c>
      <c r="Q530" s="115">
        <v>609.15</v>
      </c>
      <c r="R530">
        <v>2487</v>
      </c>
    </row>
    <row r="531" spans="1:18" x14ac:dyDescent="0.25">
      <c r="A531" s="169">
        <v>42783</v>
      </c>
      <c r="B531" s="115">
        <v>122.6</v>
      </c>
      <c r="C531" s="115">
        <v>122</v>
      </c>
      <c r="D531" s="115">
        <v>120.2</v>
      </c>
      <c r="E531" s="115">
        <v>121.48</v>
      </c>
      <c r="F531" s="115">
        <v>610</v>
      </c>
      <c r="G531">
        <v>924</v>
      </c>
      <c r="H531" s="115"/>
      <c r="I531" s="115"/>
      <c r="L531" s="169">
        <v>42782</v>
      </c>
      <c r="M531" s="115">
        <v>121.64</v>
      </c>
      <c r="N531" s="115">
        <v>123.8</v>
      </c>
      <c r="O531" s="115">
        <v>121.4</v>
      </c>
      <c r="P531" s="115">
        <v>121.4</v>
      </c>
      <c r="Q531" s="115">
        <v>608.20000000000005</v>
      </c>
      <c r="R531">
        <v>6344</v>
      </c>
    </row>
    <row r="532" spans="1:18" x14ac:dyDescent="0.25">
      <c r="A532" s="169">
        <v>42786</v>
      </c>
      <c r="B532" s="115">
        <v>125</v>
      </c>
      <c r="C532" s="115">
        <v>122.23</v>
      </c>
      <c r="D532" s="115">
        <v>122</v>
      </c>
      <c r="E532" s="115">
        <v>122.4</v>
      </c>
      <c r="F532" s="115">
        <v>611.15</v>
      </c>
      <c r="G532">
        <v>4006</v>
      </c>
      <c r="H532" s="115"/>
      <c r="I532" s="115"/>
      <c r="L532" s="169">
        <v>42783</v>
      </c>
      <c r="M532" s="115">
        <v>121.39</v>
      </c>
      <c r="N532" s="115">
        <v>123.58</v>
      </c>
      <c r="O532" s="115">
        <v>119.6</v>
      </c>
      <c r="P532" s="115">
        <v>123.2</v>
      </c>
      <c r="Q532" s="115">
        <v>606.95000000000005</v>
      </c>
      <c r="R532">
        <v>10029</v>
      </c>
    </row>
    <row r="533" spans="1:18" x14ac:dyDescent="0.25">
      <c r="A533" s="169">
        <v>42787</v>
      </c>
      <c r="B533" s="115">
        <v>126.4</v>
      </c>
      <c r="C533" s="115">
        <v>125.21</v>
      </c>
      <c r="D533" s="115">
        <v>121.4</v>
      </c>
      <c r="E533" s="115">
        <v>122.2</v>
      </c>
      <c r="F533" s="115">
        <v>626.04999999999995</v>
      </c>
      <c r="G533">
        <v>3476</v>
      </c>
      <c r="H533" s="115"/>
      <c r="I533" s="115"/>
      <c r="L533" s="169">
        <v>42786</v>
      </c>
      <c r="M533" s="115">
        <v>122.57</v>
      </c>
      <c r="N533" s="115">
        <v>124.88</v>
      </c>
      <c r="O533" s="115">
        <v>122.14</v>
      </c>
      <c r="P533" s="115">
        <v>122.14</v>
      </c>
      <c r="Q533" s="115">
        <v>612.85</v>
      </c>
      <c r="R533">
        <v>6920</v>
      </c>
    </row>
    <row r="534" spans="1:18" x14ac:dyDescent="0.25">
      <c r="A534" s="169">
        <v>42788</v>
      </c>
      <c r="B534" s="115">
        <v>127.4</v>
      </c>
      <c r="C534" s="115">
        <v>126.87</v>
      </c>
      <c r="D534" s="115">
        <v>123.89</v>
      </c>
      <c r="E534" s="115">
        <v>125.6</v>
      </c>
      <c r="F534" s="115">
        <v>634.35</v>
      </c>
      <c r="G534">
        <v>915</v>
      </c>
      <c r="H534" s="115"/>
      <c r="I534" s="115"/>
      <c r="L534" s="169">
        <v>42787</v>
      </c>
      <c r="M534" s="115">
        <v>126.05</v>
      </c>
      <c r="N534" s="115">
        <v>127.8</v>
      </c>
      <c r="O534" s="115">
        <v>121.15</v>
      </c>
      <c r="P534" s="115">
        <v>121.6</v>
      </c>
      <c r="Q534" s="115">
        <v>630.25</v>
      </c>
      <c r="R534">
        <v>21414</v>
      </c>
    </row>
    <row r="535" spans="1:18" x14ac:dyDescent="0.25">
      <c r="A535" s="169">
        <v>42789</v>
      </c>
      <c r="B535" s="115">
        <v>126</v>
      </c>
      <c r="C535" s="115">
        <v>125</v>
      </c>
      <c r="D535" s="115">
        <v>124.2</v>
      </c>
      <c r="E535" s="115">
        <v>126</v>
      </c>
      <c r="F535" s="115">
        <v>625</v>
      </c>
      <c r="G535">
        <v>428</v>
      </c>
      <c r="H535" s="115"/>
      <c r="I535" s="115"/>
      <c r="L535" s="169">
        <v>42788</v>
      </c>
      <c r="M535" s="115">
        <v>124.82</v>
      </c>
      <c r="N535" s="115">
        <v>127.8</v>
      </c>
      <c r="O535" s="115">
        <v>124.4</v>
      </c>
      <c r="P535" s="115">
        <v>125.4</v>
      </c>
      <c r="Q535" s="115">
        <v>624.1</v>
      </c>
      <c r="R535">
        <v>2836</v>
      </c>
    </row>
    <row r="536" spans="1:18" x14ac:dyDescent="0.25">
      <c r="A536" s="169">
        <v>42793</v>
      </c>
      <c r="B536" s="115">
        <v>124.65</v>
      </c>
      <c r="C536" s="115">
        <v>124.01</v>
      </c>
      <c r="D536" s="115">
        <v>123.85</v>
      </c>
      <c r="E536" s="115">
        <v>124.11</v>
      </c>
      <c r="F536" s="115">
        <v>620.04999999999995</v>
      </c>
      <c r="G536">
        <v>578</v>
      </c>
      <c r="H536" s="115"/>
      <c r="I536" s="115"/>
      <c r="L536" s="169">
        <v>42789</v>
      </c>
      <c r="M536" s="115">
        <v>125.34</v>
      </c>
      <c r="N536" s="115">
        <v>126.96</v>
      </c>
      <c r="O536" s="115">
        <v>123.86</v>
      </c>
      <c r="P536" s="115">
        <v>125.41</v>
      </c>
      <c r="Q536" s="115">
        <v>626.70000000000005</v>
      </c>
      <c r="R536">
        <v>7051</v>
      </c>
    </row>
    <row r="537" spans="1:18" x14ac:dyDescent="0.25">
      <c r="A537" s="169">
        <v>42794</v>
      </c>
      <c r="B537" s="115">
        <v>125.8</v>
      </c>
      <c r="C537" s="115">
        <v>124</v>
      </c>
      <c r="D537" s="115">
        <v>123.89</v>
      </c>
      <c r="E537" s="115">
        <v>125</v>
      </c>
      <c r="F537" s="115">
        <v>620</v>
      </c>
      <c r="G537">
        <v>2180</v>
      </c>
      <c r="H537" s="115"/>
      <c r="I537" s="115"/>
      <c r="L537" s="169">
        <v>42793</v>
      </c>
      <c r="M537" s="115">
        <v>124.19</v>
      </c>
      <c r="N537" s="115">
        <v>125.45</v>
      </c>
      <c r="O537" s="115">
        <v>121.05</v>
      </c>
      <c r="P537" s="115">
        <v>121.05</v>
      </c>
      <c r="Q537" s="115">
        <v>620.95000000000005</v>
      </c>
      <c r="R537">
        <v>1555</v>
      </c>
    </row>
    <row r="538" spans="1:18" x14ac:dyDescent="0.25">
      <c r="A538" s="169">
        <v>42795</v>
      </c>
      <c r="B538" s="115">
        <v>125</v>
      </c>
      <c r="C538" s="115">
        <v>124.8</v>
      </c>
      <c r="D538" s="115">
        <v>124.02</v>
      </c>
      <c r="E538" s="115">
        <v>125</v>
      </c>
      <c r="F538" s="115">
        <v>624</v>
      </c>
      <c r="G538">
        <v>55</v>
      </c>
      <c r="H538" s="115"/>
      <c r="I538" s="115"/>
      <c r="L538" s="169">
        <v>42794</v>
      </c>
      <c r="M538" s="115">
        <v>124.46</v>
      </c>
      <c r="N538" s="115">
        <v>125.6</v>
      </c>
      <c r="O538" s="115">
        <v>124.2</v>
      </c>
      <c r="P538" s="115">
        <v>124.99</v>
      </c>
      <c r="Q538" s="115">
        <v>622.29999999999995</v>
      </c>
      <c r="R538">
        <v>1117</v>
      </c>
    </row>
    <row r="539" spans="1:18" x14ac:dyDescent="0.25">
      <c r="A539" s="169">
        <v>42796</v>
      </c>
      <c r="B539" s="115">
        <v>124.6</v>
      </c>
      <c r="C539" s="115">
        <v>123.26</v>
      </c>
      <c r="D539" s="115">
        <v>123.17</v>
      </c>
      <c r="E539" s="115">
        <v>124.6</v>
      </c>
      <c r="F539" s="115">
        <v>616.29999999999995</v>
      </c>
      <c r="G539">
        <v>5553</v>
      </c>
      <c r="H539" s="115"/>
      <c r="I539" s="115"/>
      <c r="L539" s="169">
        <v>42795</v>
      </c>
      <c r="M539" s="115">
        <v>124.49</v>
      </c>
      <c r="N539" s="115">
        <v>125</v>
      </c>
      <c r="O539" s="115">
        <v>124</v>
      </c>
      <c r="P539" s="115">
        <v>124.71</v>
      </c>
      <c r="Q539" s="115">
        <v>622.45000000000005</v>
      </c>
      <c r="R539">
        <v>2099</v>
      </c>
    </row>
    <row r="540" spans="1:18" x14ac:dyDescent="0.25">
      <c r="A540" s="169">
        <v>42797</v>
      </c>
      <c r="B540" s="115">
        <v>123.68</v>
      </c>
      <c r="C540" s="115">
        <v>122.81</v>
      </c>
      <c r="D540" s="115">
        <v>122.03</v>
      </c>
      <c r="E540" s="115">
        <v>123</v>
      </c>
      <c r="F540" s="115">
        <v>614.04999999999995</v>
      </c>
      <c r="G540">
        <v>3382</v>
      </c>
      <c r="H540" s="115"/>
      <c r="I540" s="115"/>
      <c r="L540" s="169">
        <v>42796</v>
      </c>
      <c r="M540" s="115">
        <v>123.54</v>
      </c>
      <c r="N540" s="115">
        <v>124.95</v>
      </c>
      <c r="O540" s="115">
        <v>123</v>
      </c>
      <c r="P540" s="115">
        <v>124.95</v>
      </c>
      <c r="Q540" s="115">
        <v>617.70000000000005</v>
      </c>
      <c r="R540">
        <v>3667</v>
      </c>
    </row>
    <row r="541" spans="1:18" x14ac:dyDescent="0.25">
      <c r="A541" s="169">
        <v>42800</v>
      </c>
      <c r="B541" s="115">
        <v>125.28</v>
      </c>
      <c r="C541" s="115">
        <v>123.75</v>
      </c>
      <c r="D541" s="115">
        <v>122</v>
      </c>
      <c r="E541" s="115">
        <v>123</v>
      </c>
      <c r="F541" s="115">
        <v>618.75</v>
      </c>
      <c r="G541">
        <v>3995</v>
      </c>
      <c r="H541" s="115"/>
      <c r="I541" s="115"/>
      <c r="L541" s="169">
        <v>42797</v>
      </c>
      <c r="M541" s="115">
        <v>123.47</v>
      </c>
      <c r="N541" s="115">
        <v>124.3</v>
      </c>
      <c r="O541" s="115">
        <v>122.45</v>
      </c>
      <c r="P541" s="115">
        <v>124.02</v>
      </c>
      <c r="Q541" s="115">
        <v>617.35</v>
      </c>
      <c r="R541">
        <v>985</v>
      </c>
    </row>
    <row r="542" spans="1:18" x14ac:dyDescent="0.25">
      <c r="A542" s="169">
        <v>42801</v>
      </c>
      <c r="B542" s="115">
        <v>124.5</v>
      </c>
      <c r="C542" s="115">
        <v>123.93</v>
      </c>
      <c r="D542" s="115">
        <v>122.36</v>
      </c>
      <c r="E542" s="115">
        <v>123.34</v>
      </c>
      <c r="F542" s="115">
        <v>619.65</v>
      </c>
      <c r="G542">
        <v>1188</v>
      </c>
      <c r="H542" s="115"/>
      <c r="I542" s="115"/>
      <c r="L542" s="169">
        <v>42800</v>
      </c>
      <c r="M542" s="115">
        <v>122.73</v>
      </c>
      <c r="N542" s="115">
        <v>123.98</v>
      </c>
      <c r="O542" s="115">
        <v>122</v>
      </c>
      <c r="P542" s="115">
        <v>123.4</v>
      </c>
      <c r="Q542" s="115">
        <v>613.65</v>
      </c>
      <c r="R542">
        <v>3502</v>
      </c>
    </row>
    <row r="543" spans="1:18" x14ac:dyDescent="0.25">
      <c r="A543" s="169">
        <v>42802</v>
      </c>
      <c r="B543" s="115">
        <v>124.4</v>
      </c>
      <c r="C543" s="115">
        <v>122.11</v>
      </c>
      <c r="D543" s="115">
        <v>121.84</v>
      </c>
      <c r="E543" s="115">
        <v>124</v>
      </c>
      <c r="F543" s="115">
        <v>610.54999999999995</v>
      </c>
      <c r="G543">
        <v>441</v>
      </c>
      <c r="H543" s="115"/>
      <c r="I543" s="115"/>
      <c r="L543" s="169">
        <v>42801</v>
      </c>
      <c r="M543" s="115">
        <v>123.75</v>
      </c>
      <c r="N543" s="115">
        <v>124.6</v>
      </c>
      <c r="O543" s="115">
        <v>122.41</v>
      </c>
      <c r="P543" s="115">
        <v>123.3</v>
      </c>
      <c r="Q543" s="115">
        <v>618.75</v>
      </c>
      <c r="R543">
        <v>2610</v>
      </c>
    </row>
    <row r="544" spans="1:18" x14ac:dyDescent="0.25">
      <c r="A544" s="169">
        <v>42803</v>
      </c>
      <c r="B544" s="115">
        <v>125.8</v>
      </c>
      <c r="C544" s="115">
        <v>121.68</v>
      </c>
      <c r="D544" s="115">
        <v>121.5</v>
      </c>
      <c r="E544" s="115">
        <v>124</v>
      </c>
      <c r="F544" s="115">
        <v>608.4</v>
      </c>
      <c r="G544">
        <v>1797</v>
      </c>
      <c r="H544" s="115"/>
      <c r="I544" s="115"/>
      <c r="L544" s="169">
        <v>42802</v>
      </c>
      <c r="M544" s="115">
        <v>122.1</v>
      </c>
      <c r="N544" s="115">
        <v>125</v>
      </c>
      <c r="O544" s="115">
        <v>122</v>
      </c>
      <c r="P544" s="115">
        <v>124.43</v>
      </c>
      <c r="Q544" s="115">
        <v>610.5</v>
      </c>
      <c r="R544">
        <v>3263</v>
      </c>
    </row>
    <row r="545" spans="1:18" x14ac:dyDescent="0.25">
      <c r="A545" s="169">
        <v>42804</v>
      </c>
      <c r="B545" s="115">
        <v>124.6</v>
      </c>
      <c r="C545" s="115">
        <v>122.31</v>
      </c>
      <c r="D545" s="115">
        <v>122</v>
      </c>
      <c r="E545" s="115">
        <v>122.2</v>
      </c>
      <c r="F545" s="115">
        <v>611.54999999999995</v>
      </c>
      <c r="G545">
        <v>1483</v>
      </c>
      <c r="H545" s="115"/>
      <c r="I545" s="115"/>
      <c r="L545" s="169">
        <v>42803</v>
      </c>
      <c r="M545" s="115">
        <v>122.28</v>
      </c>
      <c r="N545" s="115">
        <v>124.06</v>
      </c>
      <c r="O545" s="115">
        <v>122</v>
      </c>
      <c r="P545" s="115">
        <v>123.59</v>
      </c>
      <c r="Q545" s="115">
        <v>611.4</v>
      </c>
      <c r="R545">
        <v>1147</v>
      </c>
    </row>
    <row r="546" spans="1:18" x14ac:dyDescent="0.25">
      <c r="A546" s="169">
        <v>42808</v>
      </c>
      <c r="B546" s="115">
        <v>123.79</v>
      </c>
      <c r="C546" s="115">
        <v>121.66</v>
      </c>
      <c r="D546" s="115">
        <v>120.73</v>
      </c>
      <c r="E546" s="115">
        <v>122.6</v>
      </c>
      <c r="F546" s="115">
        <v>608.29999999999995</v>
      </c>
      <c r="G546">
        <v>862</v>
      </c>
      <c r="H546" s="115"/>
      <c r="I546" s="115"/>
      <c r="L546" s="169">
        <v>42804</v>
      </c>
      <c r="M546" s="115">
        <v>123.45</v>
      </c>
      <c r="N546" s="115">
        <v>125.2</v>
      </c>
      <c r="O546" s="115">
        <v>122.2</v>
      </c>
      <c r="P546" s="115">
        <v>125.19</v>
      </c>
      <c r="Q546" s="115">
        <v>617.25</v>
      </c>
      <c r="R546">
        <v>92383</v>
      </c>
    </row>
    <row r="547" spans="1:18" x14ac:dyDescent="0.25">
      <c r="A547" s="169">
        <v>42809</v>
      </c>
      <c r="B547" s="115">
        <v>125</v>
      </c>
      <c r="C547" s="115">
        <v>122.8</v>
      </c>
      <c r="D547" s="115">
        <v>122</v>
      </c>
      <c r="E547" s="115">
        <v>122.34</v>
      </c>
      <c r="F547" s="115">
        <v>614</v>
      </c>
      <c r="G547">
        <v>465</v>
      </c>
      <c r="H547" s="115"/>
      <c r="I547" s="115"/>
      <c r="L547" s="169">
        <v>42808</v>
      </c>
      <c r="M547" s="115">
        <v>121.92</v>
      </c>
      <c r="N547" s="115">
        <v>124.6</v>
      </c>
      <c r="O547" s="115">
        <v>121</v>
      </c>
      <c r="P547" s="115">
        <v>124</v>
      </c>
      <c r="Q547" s="115">
        <v>609.6</v>
      </c>
      <c r="R547">
        <v>6492</v>
      </c>
    </row>
    <row r="548" spans="1:18" x14ac:dyDescent="0.25">
      <c r="A548" s="169">
        <v>42810</v>
      </c>
      <c r="B548" s="115">
        <v>124.99</v>
      </c>
      <c r="C548" s="115">
        <v>123.67</v>
      </c>
      <c r="D548" s="115">
        <v>122.74</v>
      </c>
      <c r="E548" s="115">
        <v>122.8</v>
      </c>
      <c r="F548" s="115">
        <v>618.35</v>
      </c>
      <c r="G548">
        <v>212</v>
      </c>
      <c r="H548" s="115"/>
      <c r="I548" s="115"/>
      <c r="L548" s="169">
        <v>42809</v>
      </c>
      <c r="M548" s="115">
        <v>123.18</v>
      </c>
      <c r="N548" s="115">
        <v>125.56</v>
      </c>
      <c r="O548" s="115">
        <v>121.5</v>
      </c>
      <c r="P548" s="115">
        <v>122.16</v>
      </c>
      <c r="Q548" s="115">
        <v>615.9</v>
      </c>
      <c r="R548">
        <v>6973</v>
      </c>
    </row>
    <row r="549" spans="1:18" x14ac:dyDescent="0.25">
      <c r="A549" s="169">
        <v>42811</v>
      </c>
      <c r="B549" s="115">
        <v>126.15</v>
      </c>
      <c r="C549" s="115">
        <v>125.96</v>
      </c>
      <c r="D549" s="115">
        <v>123.6</v>
      </c>
      <c r="E549" s="115">
        <v>124.99</v>
      </c>
      <c r="F549" s="115">
        <v>629.79999999999995</v>
      </c>
      <c r="G549">
        <v>425</v>
      </c>
      <c r="H549" s="115"/>
      <c r="I549" s="115"/>
      <c r="L549" s="169">
        <v>42810</v>
      </c>
      <c r="M549" s="115">
        <v>123.83</v>
      </c>
      <c r="N549" s="115">
        <v>124.8</v>
      </c>
      <c r="O549" s="115">
        <v>123.05</v>
      </c>
      <c r="P549" s="115">
        <v>124.39</v>
      </c>
      <c r="Q549" s="115">
        <v>619.15</v>
      </c>
      <c r="R549">
        <v>2775</v>
      </c>
    </row>
    <row r="550" spans="1:18" x14ac:dyDescent="0.25">
      <c r="A550" s="169">
        <v>42814</v>
      </c>
      <c r="B550" s="115">
        <v>125.36</v>
      </c>
      <c r="C550" s="115">
        <v>122.42</v>
      </c>
      <c r="D550" s="115">
        <v>120</v>
      </c>
      <c r="E550" s="115">
        <v>124</v>
      </c>
      <c r="F550" s="115">
        <v>612.1</v>
      </c>
      <c r="G550">
        <v>3782</v>
      </c>
      <c r="H550" s="115"/>
      <c r="I550" s="115"/>
      <c r="L550" s="169">
        <v>42811</v>
      </c>
      <c r="M550" s="115">
        <v>125.35</v>
      </c>
      <c r="N550" s="115">
        <v>126.04</v>
      </c>
      <c r="O550" s="115">
        <v>123.71</v>
      </c>
      <c r="P550" s="115">
        <v>124.8</v>
      </c>
      <c r="Q550" s="115">
        <v>626.75</v>
      </c>
      <c r="R550">
        <v>5510</v>
      </c>
    </row>
    <row r="551" spans="1:18" x14ac:dyDescent="0.25">
      <c r="A551" s="169">
        <v>42815</v>
      </c>
      <c r="B551" s="115">
        <v>123.95</v>
      </c>
      <c r="C551" s="115">
        <v>122.74</v>
      </c>
      <c r="D551" s="115">
        <v>120.2</v>
      </c>
      <c r="E551" s="115">
        <v>122.54</v>
      </c>
      <c r="F551" s="115">
        <v>613.70000000000005</v>
      </c>
      <c r="G551">
        <v>1818</v>
      </c>
      <c r="H551" s="115"/>
      <c r="I551" s="115"/>
      <c r="L551" s="169">
        <v>42814</v>
      </c>
      <c r="M551" s="115">
        <v>121.53</v>
      </c>
      <c r="N551" s="115">
        <v>126.4</v>
      </c>
      <c r="O551" s="115">
        <v>119.6</v>
      </c>
      <c r="P551" s="115">
        <v>125.4</v>
      </c>
      <c r="Q551" s="115">
        <v>607.65</v>
      </c>
      <c r="R551">
        <v>48592</v>
      </c>
    </row>
    <row r="552" spans="1:18" x14ac:dyDescent="0.25">
      <c r="A552" s="169">
        <v>42816</v>
      </c>
      <c r="B552" s="115">
        <v>124</v>
      </c>
      <c r="C552" s="115">
        <v>123.97</v>
      </c>
      <c r="D552" s="115">
        <v>121.82</v>
      </c>
      <c r="E552" s="115">
        <v>122</v>
      </c>
      <c r="F552" s="115">
        <v>619.85</v>
      </c>
      <c r="G552">
        <v>52</v>
      </c>
      <c r="H552" s="115"/>
      <c r="I552" s="115"/>
      <c r="L552" s="169">
        <v>42815</v>
      </c>
      <c r="M552" s="115">
        <v>122.63</v>
      </c>
      <c r="N552" s="115">
        <v>124.39</v>
      </c>
      <c r="O552" s="115">
        <v>120</v>
      </c>
      <c r="P552" s="115">
        <v>122.05</v>
      </c>
      <c r="Q552" s="115">
        <v>613.15</v>
      </c>
      <c r="R552">
        <v>12228</v>
      </c>
    </row>
    <row r="553" spans="1:18" x14ac:dyDescent="0.25">
      <c r="A553" s="169">
        <v>42817</v>
      </c>
      <c r="B553" s="115">
        <v>125.36</v>
      </c>
      <c r="C553" s="115">
        <v>124.03</v>
      </c>
      <c r="D553" s="115">
        <v>121.98</v>
      </c>
      <c r="E553" s="115">
        <v>122.61</v>
      </c>
      <c r="F553" s="115">
        <v>620.15</v>
      </c>
      <c r="G553">
        <v>688</v>
      </c>
      <c r="H553" s="115"/>
      <c r="I553" s="115"/>
      <c r="L553" s="169">
        <v>42816</v>
      </c>
      <c r="M553" s="115">
        <v>123.98</v>
      </c>
      <c r="N553" s="115">
        <v>124.8</v>
      </c>
      <c r="O553" s="115">
        <v>120.81</v>
      </c>
      <c r="P553" s="115">
        <v>123</v>
      </c>
      <c r="Q553" s="115">
        <v>619.9</v>
      </c>
      <c r="R553">
        <v>6374</v>
      </c>
    </row>
    <row r="554" spans="1:18" x14ac:dyDescent="0.25">
      <c r="A554" s="169">
        <v>42818</v>
      </c>
      <c r="B554" s="115">
        <v>126.6</v>
      </c>
      <c r="C554" s="115">
        <v>125.64</v>
      </c>
      <c r="D554" s="115">
        <v>122.67</v>
      </c>
      <c r="E554" s="115">
        <v>123.5</v>
      </c>
      <c r="F554" s="115">
        <v>628.20000000000005</v>
      </c>
      <c r="G554">
        <v>920</v>
      </c>
      <c r="H554" s="115"/>
      <c r="I554" s="115"/>
      <c r="L554" s="169">
        <v>42817</v>
      </c>
      <c r="M554" s="115">
        <v>123.74</v>
      </c>
      <c r="N554" s="115">
        <v>125.5</v>
      </c>
      <c r="O554" s="115">
        <v>121.83</v>
      </c>
      <c r="P554" s="115">
        <v>124.42</v>
      </c>
      <c r="Q554" s="115">
        <v>618.70000000000005</v>
      </c>
      <c r="R554">
        <v>22756</v>
      </c>
    </row>
    <row r="555" spans="1:18" x14ac:dyDescent="0.25">
      <c r="A555" s="169">
        <v>42821</v>
      </c>
      <c r="B555" s="115">
        <v>129.80000000000001</v>
      </c>
      <c r="C555" s="115">
        <v>128.94999999999999</v>
      </c>
      <c r="D555" s="115">
        <v>124.9</v>
      </c>
      <c r="E555" s="115">
        <v>125.6</v>
      </c>
      <c r="F555" s="115">
        <v>644.75</v>
      </c>
      <c r="G555">
        <v>4618</v>
      </c>
      <c r="H555" s="115"/>
      <c r="I555" s="115"/>
      <c r="L555" s="169">
        <v>42818</v>
      </c>
      <c r="M555" s="115">
        <v>126.21</v>
      </c>
      <c r="N555" s="115">
        <v>127</v>
      </c>
      <c r="O555" s="115">
        <v>123.13</v>
      </c>
      <c r="P555" s="115">
        <v>123.8</v>
      </c>
      <c r="Q555" s="115">
        <v>631.04999999999995</v>
      </c>
      <c r="R555">
        <v>7973</v>
      </c>
    </row>
    <row r="556" spans="1:18" x14ac:dyDescent="0.25">
      <c r="A556" s="169">
        <v>42822</v>
      </c>
      <c r="B556" s="115">
        <v>134.9</v>
      </c>
      <c r="C556" s="115">
        <v>132.75</v>
      </c>
      <c r="D556" s="115">
        <v>128.19999999999999</v>
      </c>
      <c r="E556" s="115">
        <v>128.4</v>
      </c>
      <c r="F556" s="115">
        <v>663.75</v>
      </c>
      <c r="G556">
        <v>1690</v>
      </c>
      <c r="H556" s="115"/>
      <c r="I556" s="115"/>
      <c r="L556" s="169">
        <v>42821</v>
      </c>
      <c r="M556" s="115">
        <v>128.63</v>
      </c>
      <c r="N556" s="115">
        <v>129.38999999999999</v>
      </c>
      <c r="O556" s="115">
        <v>124.81</v>
      </c>
      <c r="P556" s="115">
        <v>126.2</v>
      </c>
      <c r="Q556" s="115">
        <v>643.15</v>
      </c>
      <c r="R556">
        <v>23550</v>
      </c>
    </row>
    <row r="557" spans="1:18" x14ac:dyDescent="0.25">
      <c r="A557" s="169">
        <v>42823</v>
      </c>
      <c r="B557" s="115">
        <v>135</v>
      </c>
      <c r="C557" s="115">
        <v>134.41</v>
      </c>
      <c r="D557" s="115">
        <v>128.12</v>
      </c>
      <c r="E557" s="115">
        <v>132.75</v>
      </c>
      <c r="F557" s="115">
        <v>672.05</v>
      </c>
      <c r="G557">
        <v>3464</v>
      </c>
      <c r="H557" s="115"/>
      <c r="I557" s="115"/>
      <c r="L557" s="169">
        <v>42822</v>
      </c>
      <c r="M557" s="115">
        <v>133.6</v>
      </c>
      <c r="N557" s="115">
        <v>135.94</v>
      </c>
      <c r="O557" s="115">
        <v>127.04</v>
      </c>
      <c r="P557" s="115">
        <v>129.69999999999999</v>
      </c>
      <c r="Q557" s="115">
        <v>668</v>
      </c>
      <c r="R557">
        <v>25947</v>
      </c>
    </row>
    <row r="558" spans="1:18" x14ac:dyDescent="0.25">
      <c r="A558" s="169">
        <v>42824</v>
      </c>
      <c r="B558" s="115">
        <v>141.94</v>
      </c>
      <c r="C558" s="115">
        <v>140.02000000000001</v>
      </c>
      <c r="D558" s="115">
        <v>132.91</v>
      </c>
      <c r="E558" s="115">
        <v>135</v>
      </c>
      <c r="F558" s="115">
        <v>700.1</v>
      </c>
      <c r="G558">
        <v>5079</v>
      </c>
      <c r="H558" s="115"/>
      <c r="I558" s="115"/>
      <c r="L558" s="169">
        <v>42823</v>
      </c>
      <c r="M558" s="115">
        <v>135</v>
      </c>
      <c r="N558" s="115">
        <v>136.72</v>
      </c>
      <c r="O558" s="115">
        <v>127.63</v>
      </c>
      <c r="P558" s="115">
        <v>133.59</v>
      </c>
      <c r="Q558" s="115">
        <v>675</v>
      </c>
      <c r="R558">
        <v>30821</v>
      </c>
    </row>
    <row r="559" spans="1:18" x14ac:dyDescent="0.25">
      <c r="A559" s="169">
        <v>42825</v>
      </c>
      <c r="B559" s="115">
        <v>146.6</v>
      </c>
      <c r="C559" s="115">
        <v>144.78</v>
      </c>
      <c r="D559" s="115">
        <v>140</v>
      </c>
      <c r="E559" s="115">
        <v>142.15</v>
      </c>
      <c r="F559" s="115">
        <v>723.9</v>
      </c>
      <c r="G559">
        <v>2671</v>
      </c>
      <c r="H559" s="115"/>
      <c r="I559" s="115"/>
      <c r="L559" s="169">
        <v>42824</v>
      </c>
      <c r="M559" s="115">
        <v>139.84</v>
      </c>
      <c r="N559" s="115">
        <v>142.07</v>
      </c>
      <c r="O559" s="115">
        <v>132.6</v>
      </c>
      <c r="P559" s="115">
        <v>132.97999999999999</v>
      </c>
      <c r="Q559" s="115">
        <v>699.2</v>
      </c>
      <c r="R559">
        <v>52039</v>
      </c>
    </row>
    <row r="560" spans="1:18" x14ac:dyDescent="0.25">
      <c r="A560" s="169">
        <v>42828</v>
      </c>
      <c r="B560" s="115">
        <v>143</v>
      </c>
      <c r="C560" s="115">
        <v>140.75</v>
      </c>
      <c r="D560" s="115">
        <v>139.19999999999999</v>
      </c>
      <c r="E560" s="115">
        <v>143</v>
      </c>
      <c r="F560" s="115">
        <v>703.75</v>
      </c>
      <c r="G560">
        <v>6252</v>
      </c>
      <c r="H560" s="115"/>
      <c r="I560" s="115"/>
      <c r="L560" s="169">
        <v>42825</v>
      </c>
      <c r="M560" s="115">
        <v>145.29</v>
      </c>
      <c r="N560" s="115">
        <v>147.80000000000001</v>
      </c>
      <c r="O560" s="115">
        <v>140</v>
      </c>
      <c r="P560" s="115">
        <v>142.38</v>
      </c>
      <c r="Q560" s="115">
        <v>726.45</v>
      </c>
      <c r="R560">
        <v>54245</v>
      </c>
    </row>
    <row r="561" spans="1:18" x14ac:dyDescent="0.25">
      <c r="A561" s="169">
        <v>42830</v>
      </c>
      <c r="B561" s="115">
        <v>143.80000000000001</v>
      </c>
      <c r="C561" s="115">
        <v>141.29</v>
      </c>
      <c r="D561" s="115">
        <v>139.19999999999999</v>
      </c>
      <c r="E561" s="115">
        <v>140</v>
      </c>
      <c r="F561" s="115">
        <v>706.45</v>
      </c>
      <c r="G561">
        <v>4099</v>
      </c>
      <c r="H561" s="115"/>
      <c r="I561" s="115"/>
      <c r="L561" s="169">
        <v>42828</v>
      </c>
      <c r="M561" s="115">
        <v>140.66999999999999</v>
      </c>
      <c r="N561" s="115">
        <v>142.9</v>
      </c>
      <c r="O561" s="115">
        <v>139</v>
      </c>
      <c r="P561" s="115">
        <v>142</v>
      </c>
      <c r="Q561" s="115">
        <v>703.35</v>
      </c>
      <c r="R561">
        <v>37681</v>
      </c>
    </row>
    <row r="562" spans="1:18" x14ac:dyDescent="0.25">
      <c r="A562" s="169">
        <v>42831</v>
      </c>
      <c r="B562" s="115">
        <v>144</v>
      </c>
      <c r="C562" s="115">
        <v>140.69999999999999</v>
      </c>
      <c r="D562" s="115">
        <v>140.4</v>
      </c>
      <c r="E562" s="115">
        <v>142.27000000000001</v>
      </c>
      <c r="F562" s="115">
        <v>703.5</v>
      </c>
      <c r="G562">
        <v>1282</v>
      </c>
      <c r="H562" s="115"/>
      <c r="I562" s="115"/>
      <c r="L562" s="169">
        <v>42830</v>
      </c>
      <c r="M562" s="115">
        <v>143.38</v>
      </c>
      <c r="N562" s="115">
        <v>144.6</v>
      </c>
      <c r="O562" s="115">
        <v>140.4</v>
      </c>
      <c r="P562" s="115">
        <v>141.72</v>
      </c>
      <c r="Q562" s="115">
        <v>716.9</v>
      </c>
      <c r="R562">
        <v>19753</v>
      </c>
    </row>
    <row r="563" spans="1:18" x14ac:dyDescent="0.25">
      <c r="A563" s="169">
        <v>42832</v>
      </c>
      <c r="B563" s="115">
        <v>144.63</v>
      </c>
      <c r="C563" s="115">
        <v>142.53</v>
      </c>
      <c r="D563" s="115">
        <v>141.82</v>
      </c>
      <c r="E563" s="115">
        <v>142.72</v>
      </c>
      <c r="F563" s="115">
        <v>712.65</v>
      </c>
      <c r="G563">
        <v>2725</v>
      </c>
      <c r="H563" s="115"/>
      <c r="I563" s="115"/>
      <c r="L563" s="169">
        <v>42831</v>
      </c>
      <c r="M563" s="115">
        <v>141.56</v>
      </c>
      <c r="N563" s="115">
        <v>145.87</v>
      </c>
      <c r="O563" s="115">
        <v>140.19999999999999</v>
      </c>
      <c r="P563" s="115">
        <v>145.87</v>
      </c>
      <c r="Q563" s="115">
        <v>707.8</v>
      </c>
      <c r="R563">
        <v>10341</v>
      </c>
    </row>
    <row r="564" spans="1:18" x14ac:dyDescent="0.25">
      <c r="A564" s="169">
        <v>42835</v>
      </c>
      <c r="B564" s="115">
        <v>142.78</v>
      </c>
      <c r="C564" s="115">
        <v>141.80000000000001</v>
      </c>
      <c r="D564" s="115">
        <v>141</v>
      </c>
      <c r="E564" s="115">
        <v>142.6</v>
      </c>
      <c r="F564" s="115">
        <v>709</v>
      </c>
      <c r="G564">
        <v>586</v>
      </c>
      <c r="H564" s="115"/>
      <c r="I564" s="115"/>
      <c r="L564" s="169">
        <v>42832</v>
      </c>
      <c r="M564" s="115">
        <v>142.66</v>
      </c>
      <c r="N564" s="115">
        <v>145</v>
      </c>
      <c r="O564" s="115">
        <v>141.04</v>
      </c>
      <c r="P564" s="115">
        <v>142</v>
      </c>
      <c r="Q564" s="115">
        <v>713.3</v>
      </c>
      <c r="R564">
        <v>8287</v>
      </c>
    </row>
    <row r="565" spans="1:18" x14ac:dyDescent="0.25">
      <c r="A565" s="169">
        <v>42836</v>
      </c>
      <c r="B565" s="115">
        <v>148.4</v>
      </c>
      <c r="C565" s="115">
        <v>145.74</v>
      </c>
      <c r="D565" s="115">
        <v>140.83000000000001</v>
      </c>
      <c r="E565" s="115">
        <v>143.85</v>
      </c>
      <c r="F565" s="115">
        <v>728.7</v>
      </c>
      <c r="G565">
        <v>4907</v>
      </c>
      <c r="H565" s="115"/>
      <c r="I565" s="115"/>
      <c r="L565" s="169">
        <v>42835</v>
      </c>
      <c r="M565" s="115">
        <v>141.37</v>
      </c>
      <c r="N565" s="115">
        <v>143</v>
      </c>
      <c r="O565" s="115">
        <v>140.19999999999999</v>
      </c>
      <c r="P565" s="115">
        <v>142.6</v>
      </c>
      <c r="Q565" s="115">
        <v>706.85</v>
      </c>
      <c r="R565">
        <v>4990</v>
      </c>
    </row>
    <row r="566" spans="1:18" x14ac:dyDescent="0.25">
      <c r="A566" s="169">
        <v>42837</v>
      </c>
      <c r="B566" s="115">
        <v>146.85</v>
      </c>
      <c r="C566" s="115">
        <v>143</v>
      </c>
      <c r="D566" s="115">
        <v>142.19999999999999</v>
      </c>
      <c r="E566" s="115">
        <v>143.34</v>
      </c>
      <c r="F566" s="115">
        <v>715</v>
      </c>
      <c r="G566">
        <v>3037</v>
      </c>
      <c r="H566" s="115"/>
      <c r="I566" s="115"/>
      <c r="L566" s="169">
        <v>42836</v>
      </c>
      <c r="M566" s="115">
        <v>146.5</v>
      </c>
      <c r="N566" s="115">
        <v>148.93</v>
      </c>
      <c r="O566" s="115">
        <v>140.4</v>
      </c>
      <c r="P566" s="115">
        <v>141.6</v>
      </c>
      <c r="Q566" s="115">
        <v>732.5</v>
      </c>
      <c r="R566">
        <v>30692</v>
      </c>
    </row>
    <row r="567" spans="1:18" x14ac:dyDescent="0.25">
      <c r="A567" s="169">
        <v>42838</v>
      </c>
      <c r="B567" s="115">
        <v>146</v>
      </c>
      <c r="C567" s="115">
        <v>144.80000000000001</v>
      </c>
      <c r="D567" s="115">
        <v>142.80000000000001</v>
      </c>
      <c r="E567" s="115">
        <v>142.80000000000001</v>
      </c>
      <c r="F567" s="115">
        <v>724</v>
      </c>
      <c r="G567">
        <v>545</v>
      </c>
      <c r="H567" s="115"/>
      <c r="I567" s="115"/>
      <c r="L567" s="169">
        <v>42837</v>
      </c>
      <c r="M567" s="115">
        <v>143.65</v>
      </c>
      <c r="N567" s="115">
        <v>146.58000000000001</v>
      </c>
      <c r="O567" s="115">
        <v>142.28</v>
      </c>
      <c r="P567" s="115">
        <v>143.80000000000001</v>
      </c>
      <c r="Q567" s="115">
        <v>718.25</v>
      </c>
      <c r="R567">
        <v>6611</v>
      </c>
    </row>
    <row r="568" spans="1:18" x14ac:dyDescent="0.25">
      <c r="A568" s="169">
        <v>42842</v>
      </c>
      <c r="B568" s="115">
        <v>146.43</v>
      </c>
      <c r="C568" s="115">
        <v>145</v>
      </c>
      <c r="D568" s="115">
        <v>143.56</v>
      </c>
      <c r="E568" s="115">
        <v>144</v>
      </c>
      <c r="F568" s="115">
        <v>725</v>
      </c>
      <c r="G568">
        <v>636</v>
      </c>
      <c r="H568" s="115"/>
      <c r="I568" s="115"/>
      <c r="L568" s="169">
        <v>42838</v>
      </c>
      <c r="M568" s="115">
        <v>144.97</v>
      </c>
      <c r="N568" s="115">
        <v>146.80000000000001</v>
      </c>
      <c r="O568" s="115">
        <v>143.25</v>
      </c>
      <c r="P568" s="115">
        <v>144.93</v>
      </c>
      <c r="Q568" s="115">
        <v>724.85</v>
      </c>
      <c r="R568">
        <v>7618</v>
      </c>
    </row>
    <row r="569" spans="1:18" x14ac:dyDescent="0.25">
      <c r="A569" s="169">
        <v>42843</v>
      </c>
      <c r="B569" s="115">
        <v>147.6</v>
      </c>
      <c r="C569" s="115">
        <v>145.30000000000001</v>
      </c>
      <c r="D569" s="115">
        <v>144.32</v>
      </c>
      <c r="E569" s="115">
        <v>145.6</v>
      </c>
      <c r="F569" s="115">
        <v>726.5</v>
      </c>
      <c r="G569">
        <v>728</v>
      </c>
      <c r="H569" s="115"/>
      <c r="I569" s="115"/>
      <c r="L569" s="169">
        <v>42842</v>
      </c>
      <c r="M569" s="115">
        <v>145.33000000000001</v>
      </c>
      <c r="N569" s="115">
        <v>146</v>
      </c>
      <c r="O569" s="115">
        <v>144.02000000000001</v>
      </c>
      <c r="P569" s="115">
        <v>144.93</v>
      </c>
      <c r="Q569" s="115">
        <v>726.65</v>
      </c>
      <c r="R569">
        <v>5529</v>
      </c>
    </row>
    <row r="570" spans="1:18" x14ac:dyDescent="0.25">
      <c r="A570" s="169">
        <v>42844</v>
      </c>
      <c r="B570" s="115">
        <v>146.15</v>
      </c>
      <c r="C570" s="115">
        <v>144.19</v>
      </c>
      <c r="D570" s="115">
        <v>143.01</v>
      </c>
      <c r="E570" s="115">
        <v>146.15</v>
      </c>
      <c r="F570" s="115">
        <v>720.95</v>
      </c>
      <c r="G570">
        <v>990</v>
      </c>
      <c r="H570" s="115"/>
      <c r="I570" s="115"/>
      <c r="L570" s="169">
        <v>42843</v>
      </c>
      <c r="M570" s="115">
        <v>145.93</v>
      </c>
      <c r="N570" s="115">
        <v>148</v>
      </c>
      <c r="O570" s="115">
        <v>144.5</v>
      </c>
      <c r="P570" s="115">
        <v>145.6</v>
      </c>
      <c r="Q570" s="115">
        <v>729.65</v>
      </c>
      <c r="R570">
        <v>30756</v>
      </c>
    </row>
    <row r="571" spans="1:18" x14ac:dyDescent="0.25">
      <c r="A571" s="169">
        <v>42845</v>
      </c>
      <c r="B571" s="115">
        <v>144.99</v>
      </c>
      <c r="C571" s="115">
        <v>141.72999999999999</v>
      </c>
      <c r="D571" s="115">
        <v>140.6</v>
      </c>
      <c r="E571" s="115">
        <v>143</v>
      </c>
      <c r="F571" s="115">
        <v>708.65</v>
      </c>
      <c r="G571">
        <v>1046</v>
      </c>
      <c r="H571" s="115"/>
      <c r="I571" s="115"/>
      <c r="L571" s="169">
        <v>42844</v>
      </c>
      <c r="M571" s="115">
        <v>144.06</v>
      </c>
      <c r="N571" s="115">
        <v>147.13999999999999</v>
      </c>
      <c r="O571" s="115">
        <v>143.13999999999999</v>
      </c>
      <c r="P571" s="115">
        <v>146.86000000000001</v>
      </c>
      <c r="Q571" s="115">
        <v>720.3</v>
      </c>
      <c r="R571">
        <v>7258</v>
      </c>
    </row>
    <row r="572" spans="1:18" x14ac:dyDescent="0.25">
      <c r="A572" s="169">
        <v>42846</v>
      </c>
      <c r="B572" s="115">
        <v>142.69999999999999</v>
      </c>
      <c r="C572" s="115">
        <v>141.35</v>
      </c>
      <c r="D572" s="115">
        <v>140.96</v>
      </c>
      <c r="E572" s="115">
        <v>142</v>
      </c>
      <c r="F572" s="115">
        <v>706.75</v>
      </c>
      <c r="G572">
        <v>50578</v>
      </c>
      <c r="H572" s="115"/>
      <c r="I572" s="115"/>
      <c r="L572" s="169">
        <v>42845</v>
      </c>
      <c r="M572" s="115">
        <v>140.93</v>
      </c>
      <c r="N572" s="115">
        <v>145.6</v>
      </c>
      <c r="O572" s="115">
        <v>140.26</v>
      </c>
      <c r="P572" s="115">
        <v>143.22999999999999</v>
      </c>
      <c r="Q572" s="115">
        <v>704.65</v>
      </c>
      <c r="R572">
        <v>38015</v>
      </c>
    </row>
    <row r="573" spans="1:18" x14ac:dyDescent="0.25">
      <c r="A573" s="169">
        <v>42849</v>
      </c>
      <c r="B573" s="115">
        <v>143.49</v>
      </c>
      <c r="C573" s="115">
        <v>141.87</v>
      </c>
      <c r="D573" s="115">
        <v>141</v>
      </c>
      <c r="E573" s="115">
        <v>142.41</v>
      </c>
      <c r="F573" s="115">
        <v>709.35</v>
      </c>
      <c r="G573">
        <v>554</v>
      </c>
      <c r="H573" s="115"/>
      <c r="I573" s="115"/>
      <c r="L573" s="169">
        <v>42846</v>
      </c>
      <c r="M573" s="115">
        <v>141.16</v>
      </c>
      <c r="N573" s="115">
        <v>142.6</v>
      </c>
      <c r="O573" s="115">
        <v>140.01</v>
      </c>
      <c r="P573" s="115">
        <v>142</v>
      </c>
      <c r="Q573" s="115">
        <v>705.8</v>
      </c>
      <c r="R573">
        <v>3105</v>
      </c>
    </row>
    <row r="574" spans="1:18" x14ac:dyDescent="0.25">
      <c r="A574" s="169">
        <v>42850</v>
      </c>
      <c r="B574" s="115">
        <v>145.30000000000001</v>
      </c>
      <c r="C574" s="115">
        <v>144.34</v>
      </c>
      <c r="D574" s="115">
        <v>142.5</v>
      </c>
      <c r="E574" s="115">
        <v>143</v>
      </c>
      <c r="F574" s="115">
        <v>721.7</v>
      </c>
      <c r="G574">
        <v>646</v>
      </c>
      <c r="H574" s="115"/>
      <c r="I574" s="115"/>
      <c r="L574" s="169">
        <v>42849</v>
      </c>
      <c r="M574" s="115">
        <v>142.77000000000001</v>
      </c>
      <c r="N574" s="115">
        <v>144</v>
      </c>
      <c r="O574" s="115">
        <v>140.4</v>
      </c>
      <c r="P574" s="115">
        <v>140.4</v>
      </c>
      <c r="Q574" s="115">
        <v>713.85</v>
      </c>
      <c r="R574">
        <v>6240</v>
      </c>
    </row>
    <row r="575" spans="1:18" x14ac:dyDescent="0.25">
      <c r="A575" s="169">
        <v>42851</v>
      </c>
      <c r="B575" s="115">
        <v>147.80000000000001</v>
      </c>
      <c r="C575" s="115">
        <v>143.76</v>
      </c>
      <c r="D575" s="115">
        <v>137.36000000000001</v>
      </c>
      <c r="E575" s="115">
        <v>145</v>
      </c>
      <c r="F575" s="115">
        <v>718.8</v>
      </c>
      <c r="G575">
        <v>9743</v>
      </c>
      <c r="H575" s="115"/>
      <c r="I575" s="115"/>
      <c r="L575" s="169">
        <v>42850</v>
      </c>
      <c r="M575" s="115">
        <v>144.26</v>
      </c>
      <c r="N575" s="115">
        <v>145.52000000000001</v>
      </c>
      <c r="O575" s="115">
        <v>141.25</v>
      </c>
      <c r="P575" s="115">
        <v>143.80000000000001</v>
      </c>
      <c r="Q575" s="115">
        <v>721.3</v>
      </c>
      <c r="R575">
        <v>11733</v>
      </c>
    </row>
    <row r="576" spans="1:18" x14ac:dyDescent="0.25">
      <c r="A576" s="169">
        <v>42852</v>
      </c>
      <c r="B576" s="115">
        <v>145.03</v>
      </c>
      <c r="C576" s="115">
        <v>141.72</v>
      </c>
      <c r="D576" s="115">
        <v>139.80000000000001</v>
      </c>
      <c r="E576" s="115">
        <v>140.91</v>
      </c>
      <c r="F576" s="115">
        <v>708.6</v>
      </c>
      <c r="G576">
        <v>1502</v>
      </c>
      <c r="H576" s="115"/>
      <c r="I576" s="115"/>
      <c r="L576" s="169">
        <v>42851</v>
      </c>
      <c r="M576" s="115">
        <v>143.97</v>
      </c>
      <c r="N576" s="115">
        <v>147.94999999999999</v>
      </c>
      <c r="O576" s="115">
        <v>137.66</v>
      </c>
      <c r="P576" s="115">
        <v>144</v>
      </c>
      <c r="Q576" s="115">
        <v>719.85</v>
      </c>
      <c r="R576">
        <v>83400</v>
      </c>
    </row>
    <row r="577" spans="1:18" x14ac:dyDescent="0.25">
      <c r="A577" s="169">
        <v>42853</v>
      </c>
      <c r="B577" s="115">
        <v>142.56</v>
      </c>
      <c r="C577" s="115">
        <v>140.29</v>
      </c>
      <c r="D577" s="115">
        <v>140</v>
      </c>
      <c r="E577" s="115">
        <v>142.56</v>
      </c>
      <c r="F577" s="115">
        <v>701.45</v>
      </c>
      <c r="G577">
        <v>1286</v>
      </c>
      <c r="H577" s="115"/>
      <c r="I577" s="115"/>
      <c r="L577" s="169">
        <v>42852</v>
      </c>
      <c r="M577" s="115">
        <v>141.47999999999999</v>
      </c>
      <c r="N577" s="115">
        <v>144.69999999999999</v>
      </c>
      <c r="O577" s="115">
        <v>139</v>
      </c>
      <c r="P577" s="115">
        <v>139</v>
      </c>
      <c r="Q577" s="115">
        <v>707.4</v>
      </c>
      <c r="R577">
        <v>24155</v>
      </c>
    </row>
    <row r="578" spans="1:18" x14ac:dyDescent="0.25">
      <c r="A578" s="169">
        <v>42857</v>
      </c>
      <c r="B578" s="115">
        <v>143.93</v>
      </c>
      <c r="C578" s="115">
        <v>140.03</v>
      </c>
      <c r="D578" s="115">
        <v>140</v>
      </c>
      <c r="E578" s="115">
        <v>140.01</v>
      </c>
      <c r="F578" s="115">
        <v>700.15</v>
      </c>
      <c r="G578">
        <v>785</v>
      </c>
      <c r="H578" s="115"/>
      <c r="I578" s="115"/>
      <c r="L578" s="169">
        <v>42853</v>
      </c>
      <c r="M578" s="115">
        <v>140.05000000000001</v>
      </c>
      <c r="N578" s="115">
        <v>142.55000000000001</v>
      </c>
      <c r="O578" s="115">
        <v>140</v>
      </c>
      <c r="P578" s="115">
        <v>141.69999999999999</v>
      </c>
      <c r="Q578" s="115">
        <v>700.25</v>
      </c>
      <c r="R578">
        <v>27203</v>
      </c>
    </row>
    <row r="579" spans="1:18" x14ac:dyDescent="0.25">
      <c r="A579" s="169">
        <v>42858</v>
      </c>
      <c r="B579" s="115">
        <v>141.78</v>
      </c>
      <c r="C579" s="115">
        <v>140.84</v>
      </c>
      <c r="D579" s="115">
        <v>140</v>
      </c>
      <c r="E579" s="115">
        <v>141.22999999999999</v>
      </c>
      <c r="F579" s="115">
        <v>704.2</v>
      </c>
      <c r="G579">
        <v>547</v>
      </c>
      <c r="H579" s="115"/>
      <c r="I579" s="115"/>
      <c r="L579" s="169">
        <v>42857</v>
      </c>
      <c r="M579" s="115">
        <v>140.02000000000001</v>
      </c>
      <c r="N579" s="115">
        <v>140.99</v>
      </c>
      <c r="O579" s="115">
        <v>140</v>
      </c>
      <c r="P579" s="115">
        <v>140.01</v>
      </c>
      <c r="Q579" s="115">
        <v>700.1</v>
      </c>
      <c r="R579">
        <v>7494</v>
      </c>
    </row>
    <row r="580" spans="1:18" x14ac:dyDescent="0.25">
      <c r="A580" s="169">
        <v>42859</v>
      </c>
      <c r="B580" s="115">
        <v>141.91999999999999</v>
      </c>
      <c r="C580" s="115">
        <v>140</v>
      </c>
      <c r="D580" s="115">
        <v>140</v>
      </c>
      <c r="E580" s="115">
        <v>141.91999999999999</v>
      </c>
      <c r="F580" s="115">
        <v>700</v>
      </c>
      <c r="G580">
        <v>741</v>
      </c>
      <c r="H580" s="115"/>
      <c r="I580" s="115"/>
      <c r="L580" s="169">
        <v>42858</v>
      </c>
      <c r="M580" s="115">
        <v>140.04</v>
      </c>
      <c r="N580" s="115">
        <v>142.28</v>
      </c>
      <c r="O580" s="115">
        <v>140</v>
      </c>
      <c r="P580" s="115">
        <v>142.28</v>
      </c>
      <c r="Q580" s="115">
        <v>700.2</v>
      </c>
      <c r="R580">
        <v>8998</v>
      </c>
    </row>
    <row r="581" spans="1:18" x14ac:dyDescent="0.25">
      <c r="A581" s="169">
        <v>42860</v>
      </c>
      <c r="B581" s="115">
        <v>141</v>
      </c>
      <c r="C581" s="115">
        <v>139.66</v>
      </c>
      <c r="D581" s="115">
        <v>139.5</v>
      </c>
      <c r="E581" s="115">
        <v>140.6</v>
      </c>
      <c r="F581" s="115">
        <v>698.3</v>
      </c>
      <c r="G581">
        <v>1268</v>
      </c>
      <c r="H581" s="115"/>
      <c r="I581" s="115"/>
      <c r="L581" s="169">
        <v>42859</v>
      </c>
      <c r="M581" s="115">
        <v>140</v>
      </c>
      <c r="N581" s="115">
        <v>141.54</v>
      </c>
      <c r="O581" s="115">
        <v>140</v>
      </c>
      <c r="P581" s="115">
        <v>140.74</v>
      </c>
      <c r="Q581" s="115">
        <v>700</v>
      </c>
      <c r="R581">
        <v>10443</v>
      </c>
    </row>
    <row r="582" spans="1:18" x14ac:dyDescent="0.25">
      <c r="A582" s="169">
        <v>42863</v>
      </c>
      <c r="B582" s="115">
        <v>142.07</v>
      </c>
      <c r="C582" s="115">
        <v>137.58000000000001</v>
      </c>
      <c r="D582" s="115">
        <v>136.80000000000001</v>
      </c>
      <c r="E582" s="115">
        <v>142.07</v>
      </c>
      <c r="F582" s="115">
        <v>687.9</v>
      </c>
      <c r="G582">
        <v>3592</v>
      </c>
      <c r="H582" s="115"/>
      <c r="I582" s="115"/>
      <c r="L582" s="169">
        <v>42860</v>
      </c>
      <c r="M582" s="115">
        <v>140.01</v>
      </c>
      <c r="N582" s="115">
        <v>141.4</v>
      </c>
      <c r="O582" s="115">
        <v>139.6</v>
      </c>
      <c r="P582" s="115">
        <v>140.38999999999999</v>
      </c>
      <c r="Q582" s="115">
        <v>700.05</v>
      </c>
      <c r="R582">
        <v>14381</v>
      </c>
    </row>
    <row r="583" spans="1:18" x14ac:dyDescent="0.25">
      <c r="A583" s="169">
        <v>42864</v>
      </c>
      <c r="B583" s="115">
        <v>138.78</v>
      </c>
      <c r="C583" s="115">
        <v>135.93</v>
      </c>
      <c r="D583" s="115">
        <v>134.52000000000001</v>
      </c>
      <c r="E583" s="115">
        <v>138.41</v>
      </c>
      <c r="F583" s="115">
        <v>679.65</v>
      </c>
      <c r="G583">
        <v>1516</v>
      </c>
      <c r="H583" s="115"/>
      <c r="I583" s="115"/>
      <c r="L583" s="169">
        <v>42863</v>
      </c>
      <c r="M583" s="115">
        <v>138.80000000000001</v>
      </c>
      <c r="N583" s="115">
        <v>141.25</v>
      </c>
      <c r="O583" s="115">
        <v>138</v>
      </c>
      <c r="P583" s="115">
        <v>139.69999999999999</v>
      </c>
      <c r="Q583" s="115">
        <v>694</v>
      </c>
      <c r="R583">
        <v>11017</v>
      </c>
    </row>
    <row r="584" spans="1:18" x14ac:dyDescent="0.25">
      <c r="A584" s="169">
        <v>42865</v>
      </c>
      <c r="B584" s="115">
        <v>137.41</v>
      </c>
      <c r="C584" s="115">
        <v>134</v>
      </c>
      <c r="D584" s="115">
        <v>132.52000000000001</v>
      </c>
      <c r="E584" s="115">
        <v>137</v>
      </c>
      <c r="F584" s="115">
        <v>670</v>
      </c>
      <c r="G584">
        <v>643</v>
      </c>
      <c r="H584" s="115"/>
      <c r="I584" s="115"/>
      <c r="L584" s="169">
        <v>42864</v>
      </c>
      <c r="M584" s="115">
        <v>135.44999999999999</v>
      </c>
      <c r="N584" s="115">
        <v>139.66999999999999</v>
      </c>
      <c r="O584" s="115">
        <v>134.6</v>
      </c>
      <c r="P584" s="115">
        <v>138.19999999999999</v>
      </c>
      <c r="Q584" s="115">
        <v>677.25</v>
      </c>
      <c r="R584">
        <v>8141</v>
      </c>
    </row>
    <row r="585" spans="1:18" x14ac:dyDescent="0.25">
      <c r="A585" s="169">
        <v>42866</v>
      </c>
      <c r="B585" s="115">
        <v>135.88999999999999</v>
      </c>
      <c r="C585" s="115">
        <v>135.08000000000001</v>
      </c>
      <c r="D585" s="115">
        <v>133.1</v>
      </c>
      <c r="E585" s="115">
        <v>134.65</v>
      </c>
      <c r="F585" s="115">
        <v>675.4</v>
      </c>
      <c r="G585">
        <v>485</v>
      </c>
      <c r="H585" s="115"/>
      <c r="I585" s="115"/>
      <c r="L585" s="169">
        <v>42865</v>
      </c>
      <c r="M585" s="115">
        <v>134.52000000000001</v>
      </c>
      <c r="N585" s="115">
        <v>137.01</v>
      </c>
      <c r="O585" s="115">
        <v>133.19</v>
      </c>
      <c r="P585" s="115">
        <v>137.01</v>
      </c>
      <c r="Q585" s="115">
        <v>672.6</v>
      </c>
      <c r="R585">
        <v>6882</v>
      </c>
    </row>
    <row r="586" spans="1:18" x14ac:dyDescent="0.25">
      <c r="A586" s="169">
        <v>42867</v>
      </c>
      <c r="B586" s="115">
        <v>135.72999999999999</v>
      </c>
      <c r="C586" s="115">
        <v>134.44</v>
      </c>
      <c r="D586" s="115">
        <v>133.19999999999999</v>
      </c>
      <c r="E586" s="115">
        <v>135.6</v>
      </c>
      <c r="F586" s="115">
        <v>672.2</v>
      </c>
      <c r="G586">
        <v>1966</v>
      </c>
      <c r="H586" s="115"/>
      <c r="I586" s="115"/>
      <c r="L586" s="169">
        <v>42866</v>
      </c>
      <c r="M586" s="115">
        <v>134.12</v>
      </c>
      <c r="N586" s="115">
        <v>137.19</v>
      </c>
      <c r="O586" s="115">
        <v>133.04</v>
      </c>
      <c r="P586" s="115">
        <v>133.04</v>
      </c>
      <c r="Q586" s="115">
        <v>670.6</v>
      </c>
      <c r="R586">
        <v>4474</v>
      </c>
    </row>
    <row r="587" spans="1:18" x14ac:dyDescent="0.25">
      <c r="A587" s="169">
        <v>42870</v>
      </c>
      <c r="B587" s="115">
        <v>135.59</v>
      </c>
      <c r="C587" s="115">
        <v>135.59</v>
      </c>
      <c r="D587" s="115">
        <v>133.22</v>
      </c>
      <c r="E587" s="115">
        <v>134</v>
      </c>
      <c r="F587" s="115">
        <v>677.95</v>
      </c>
      <c r="G587">
        <v>539</v>
      </c>
      <c r="H587" s="115"/>
      <c r="I587" s="115"/>
      <c r="L587" s="169">
        <v>42867</v>
      </c>
      <c r="M587" s="115">
        <v>133.80000000000001</v>
      </c>
      <c r="N587" s="115">
        <v>136.19</v>
      </c>
      <c r="O587" s="115">
        <v>133.11000000000001</v>
      </c>
      <c r="P587" s="115">
        <v>133.44999999999999</v>
      </c>
      <c r="Q587" s="115">
        <v>669</v>
      </c>
      <c r="R587">
        <v>4884</v>
      </c>
    </row>
    <row r="588" spans="1:18" x14ac:dyDescent="0.25">
      <c r="A588" s="169">
        <v>42871</v>
      </c>
      <c r="B588" s="115">
        <v>136.18</v>
      </c>
      <c r="C588" s="115">
        <v>136.18</v>
      </c>
      <c r="D588" s="115">
        <v>134.6</v>
      </c>
      <c r="E588" s="115">
        <v>134.6</v>
      </c>
      <c r="F588" s="115">
        <v>680.9</v>
      </c>
      <c r="G588">
        <v>47</v>
      </c>
      <c r="H588" s="115"/>
      <c r="I588" s="115"/>
      <c r="L588" s="169">
        <v>42870</v>
      </c>
      <c r="M588" s="115">
        <v>134.1</v>
      </c>
      <c r="N588" s="115">
        <v>135.59</v>
      </c>
      <c r="O588" s="115">
        <v>133.1</v>
      </c>
      <c r="P588" s="115">
        <v>133.1</v>
      </c>
      <c r="Q588" s="115">
        <v>670.5</v>
      </c>
      <c r="R588">
        <v>2542</v>
      </c>
    </row>
    <row r="589" spans="1:18" x14ac:dyDescent="0.25">
      <c r="A589" s="169">
        <v>42872</v>
      </c>
      <c r="B589" s="115">
        <v>136.11000000000001</v>
      </c>
      <c r="C589" s="115">
        <v>135.76</v>
      </c>
      <c r="D589" s="115">
        <v>133.21</v>
      </c>
      <c r="E589" s="115">
        <v>135</v>
      </c>
      <c r="F589" s="115">
        <v>678.8</v>
      </c>
      <c r="G589">
        <v>381</v>
      </c>
      <c r="H589" s="115"/>
      <c r="I589" s="115"/>
      <c r="L589" s="169">
        <v>42871</v>
      </c>
      <c r="M589" s="115">
        <v>135.22</v>
      </c>
      <c r="N589" s="115">
        <v>135.6</v>
      </c>
      <c r="O589" s="115">
        <v>134.25</v>
      </c>
      <c r="P589" s="115">
        <v>134.6</v>
      </c>
      <c r="Q589" s="115">
        <v>676.1</v>
      </c>
      <c r="R589">
        <v>2965</v>
      </c>
    </row>
    <row r="590" spans="1:18" x14ac:dyDescent="0.25">
      <c r="A590" s="169">
        <v>42873</v>
      </c>
      <c r="B590" s="115">
        <v>136</v>
      </c>
      <c r="C590" s="115">
        <v>135.93</v>
      </c>
      <c r="D590" s="115">
        <v>134.41</v>
      </c>
      <c r="E590" s="115">
        <v>136</v>
      </c>
      <c r="F590" s="115">
        <v>679.65</v>
      </c>
      <c r="G590">
        <v>481</v>
      </c>
      <c r="H590" s="115"/>
      <c r="I590" s="115"/>
      <c r="L590" s="169">
        <v>42872</v>
      </c>
      <c r="M590" s="115">
        <v>134.63</v>
      </c>
      <c r="N590" s="115">
        <v>136.18</v>
      </c>
      <c r="O590" s="115">
        <v>133.44</v>
      </c>
      <c r="P590" s="115">
        <v>135</v>
      </c>
      <c r="Q590" s="115">
        <v>673.15</v>
      </c>
      <c r="R590">
        <v>2362</v>
      </c>
    </row>
    <row r="591" spans="1:18" x14ac:dyDescent="0.25">
      <c r="A591" s="169">
        <v>42874</v>
      </c>
      <c r="B591" s="115">
        <v>141</v>
      </c>
      <c r="C591" s="115">
        <v>135.63999999999999</v>
      </c>
      <c r="D591" s="115">
        <v>134.12</v>
      </c>
      <c r="E591" s="115">
        <v>137.13</v>
      </c>
      <c r="F591" s="115">
        <v>678.2</v>
      </c>
      <c r="G591">
        <v>1142</v>
      </c>
      <c r="H591" s="115"/>
      <c r="I591" s="115"/>
      <c r="L591" s="169">
        <v>42873</v>
      </c>
      <c r="M591" s="115">
        <v>136</v>
      </c>
      <c r="N591" s="115">
        <v>137.19999999999999</v>
      </c>
      <c r="O591" s="115">
        <v>134.65</v>
      </c>
      <c r="P591" s="115">
        <v>136.99</v>
      </c>
      <c r="Q591" s="115">
        <v>680</v>
      </c>
      <c r="R591">
        <v>2996</v>
      </c>
    </row>
    <row r="592" spans="1:18" x14ac:dyDescent="0.25">
      <c r="A592" s="169">
        <v>42877</v>
      </c>
      <c r="B592" s="115">
        <v>138.38</v>
      </c>
      <c r="C592" s="115">
        <v>136.1</v>
      </c>
      <c r="D592" s="115">
        <v>136</v>
      </c>
      <c r="E592" s="115">
        <v>137.19999999999999</v>
      </c>
      <c r="F592" s="115">
        <v>680.5</v>
      </c>
      <c r="G592">
        <v>2160</v>
      </c>
      <c r="H592" s="115"/>
      <c r="I592" s="115"/>
      <c r="L592" s="169">
        <v>42874</v>
      </c>
      <c r="M592" s="115">
        <v>135.22</v>
      </c>
      <c r="N592" s="115">
        <v>141.08000000000001</v>
      </c>
      <c r="O592" s="115">
        <v>134.4</v>
      </c>
      <c r="P592" s="115">
        <v>134.97999999999999</v>
      </c>
      <c r="Q592" s="115">
        <v>676.1</v>
      </c>
      <c r="R592">
        <v>9160</v>
      </c>
    </row>
    <row r="593" spans="1:18" x14ac:dyDescent="0.25">
      <c r="A593" s="169">
        <v>42878</v>
      </c>
      <c r="B593" s="115">
        <v>135.02000000000001</v>
      </c>
      <c r="C593" s="115">
        <v>134</v>
      </c>
      <c r="D593" s="115">
        <v>133.41</v>
      </c>
      <c r="E593" s="115">
        <v>135</v>
      </c>
      <c r="F593" s="115">
        <v>670</v>
      </c>
      <c r="G593">
        <v>1215</v>
      </c>
      <c r="H593" s="115"/>
      <c r="I593" s="115"/>
      <c r="L593" s="169">
        <v>42877</v>
      </c>
      <c r="M593" s="115">
        <v>135.38999999999999</v>
      </c>
      <c r="N593" s="115">
        <v>140.6</v>
      </c>
      <c r="O593" s="115">
        <v>135.06</v>
      </c>
      <c r="P593" s="115">
        <v>137.91999999999999</v>
      </c>
      <c r="Q593" s="115">
        <v>676.95</v>
      </c>
      <c r="R593">
        <v>3447</v>
      </c>
    </row>
    <row r="594" spans="1:18" x14ac:dyDescent="0.25">
      <c r="A594" s="169">
        <v>42879</v>
      </c>
      <c r="B594" s="115">
        <v>136</v>
      </c>
      <c r="C594" s="115">
        <v>134.34</v>
      </c>
      <c r="D594" s="115">
        <v>131.12</v>
      </c>
      <c r="E594" s="115">
        <v>135.53</v>
      </c>
      <c r="F594" s="115">
        <v>671.7</v>
      </c>
      <c r="G594">
        <v>687</v>
      </c>
      <c r="H594" s="115"/>
      <c r="I594" s="115"/>
      <c r="L594" s="169">
        <v>42878</v>
      </c>
      <c r="M594" s="115">
        <v>133.94</v>
      </c>
      <c r="N594" s="115">
        <v>136.01</v>
      </c>
      <c r="O594" s="115">
        <v>133.4</v>
      </c>
      <c r="P594" s="115">
        <v>136.01</v>
      </c>
      <c r="Q594" s="115">
        <v>669.7</v>
      </c>
      <c r="R594">
        <v>8764</v>
      </c>
    </row>
    <row r="595" spans="1:18" x14ac:dyDescent="0.25">
      <c r="A595" s="169">
        <v>42880</v>
      </c>
      <c r="B595" s="115">
        <v>134.6</v>
      </c>
      <c r="C595" s="115">
        <v>133.38</v>
      </c>
      <c r="D595" s="115">
        <v>132.61000000000001</v>
      </c>
      <c r="E595" s="115">
        <v>133.63999999999999</v>
      </c>
      <c r="F595" s="115">
        <v>666.9</v>
      </c>
      <c r="G595">
        <v>906</v>
      </c>
      <c r="H595" s="115"/>
      <c r="I595" s="115"/>
      <c r="L595" s="169">
        <v>42879</v>
      </c>
      <c r="M595" s="115">
        <v>133.97</v>
      </c>
      <c r="N595" s="115">
        <v>136.59</v>
      </c>
      <c r="O595" s="115">
        <v>131.11000000000001</v>
      </c>
      <c r="P595" s="115">
        <v>133.82</v>
      </c>
      <c r="Q595" s="115">
        <v>669.85</v>
      </c>
      <c r="R595">
        <v>12425</v>
      </c>
    </row>
    <row r="596" spans="1:18" x14ac:dyDescent="0.25">
      <c r="A596" s="169">
        <v>42881</v>
      </c>
      <c r="B596" s="115">
        <v>136</v>
      </c>
      <c r="C596" s="115">
        <v>134.1</v>
      </c>
      <c r="D596" s="115">
        <v>132.61000000000001</v>
      </c>
      <c r="E596" s="115">
        <v>132.61000000000001</v>
      </c>
      <c r="F596" s="115">
        <v>670.5</v>
      </c>
      <c r="G596">
        <v>454</v>
      </c>
      <c r="H596" s="115"/>
      <c r="I596" s="115"/>
      <c r="L596" s="169">
        <v>42880</v>
      </c>
      <c r="M596" s="115">
        <v>133.51</v>
      </c>
      <c r="N596" s="115">
        <v>135.13</v>
      </c>
      <c r="O596" s="115">
        <v>133.19999999999999</v>
      </c>
      <c r="P596" s="115">
        <v>133.94</v>
      </c>
      <c r="Q596" s="115">
        <v>667.55</v>
      </c>
      <c r="R596">
        <v>5505</v>
      </c>
    </row>
    <row r="597" spans="1:18" x14ac:dyDescent="0.25">
      <c r="A597" s="169">
        <v>42884</v>
      </c>
      <c r="B597" s="115">
        <v>136.13999999999999</v>
      </c>
      <c r="C597" s="115">
        <v>132.62</v>
      </c>
      <c r="D597" s="115">
        <v>132</v>
      </c>
      <c r="E597" s="115">
        <v>136.13999999999999</v>
      </c>
      <c r="F597" s="115">
        <v>663.1</v>
      </c>
      <c r="G597">
        <v>1081</v>
      </c>
      <c r="H597" s="115"/>
      <c r="I597" s="115"/>
      <c r="L597" s="169">
        <v>42881</v>
      </c>
      <c r="M597" s="115">
        <v>135.88</v>
      </c>
      <c r="N597" s="115">
        <v>137</v>
      </c>
      <c r="O597" s="115">
        <v>133.44999999999999</v>
      </c>
      <c r="P597" s="115">
        <v>134.16999999999999</v>
      </c>
      <c r="Q597" s="115">
        <v>679.4</v>
      </c>
      <c r="R597">
        <v>7818</v>
      </c>
    </row>
    <row r="598" spans="1:18" x14ac:dyDescent="0.25">
      <c r="A598" s="169">
        <v>42885</v>
      </c>
      <c r="B598" s="115">
        <v>133.36000000000001</v>
      </c>
      <c r="C598" s="115">
        <v>131.55000000000001</v>
      </c>
      <c r="D598" s="115">
        <v>131.55000000000001</v>
      </c>
      <c r="E598" s="115">
        <v>132.66</v>
      </c>
      <c r="F598" s="115">
        <v>657.75</v>
      </c>
      <c r="G598">
        <v>70</v>
      </c>
      <c r="H598" s="115"/>
      <c r="I598" s="115"/>
      <c r="L598" s="169">
        <v>42884</v>
      </c>
      <c r="M598" s="115">
        <v>133.26</v>
      </c>
      <c r="N598" s="115">
        <v>135.71</v>
      </c>
      <c r="O598" s="115">
        <v>133</v>
      </c>
      <c r="P598" s="115">
        <v>133.4</v>
      </c>
      <c r="Q598" s="115">
        <v>666.3</v>
      </c>
      <c r="R598">
        <v>2922</v>
      </c>
    </row>
    <row r="599" spans="1:18" x14ac:dyDescent="0.25">
      <c r="A599" s="169">
        <v>42886</v>
      </c>
      <c r="B599" s="115">
        <v>136.6</v>
      </c>
      <c r="C599" s="115">
        <v>134.55000000000001</v>
      </c>
      <c r="D599" s="115">
        <v>131.44</v>
      </c>
      <c r="E599" s="115">
        <v>133.38</v>
      </c>
      <c r="F599" s="115">
        <v>672.75</v>
      </c>
      <c r="G599">
        <v>2365</v>
      </c>
      <c r="H599" s="115"/>
      <c r="I599" s="115"/>
      <c r="L599" s="169">
        <v>42885</v>
      </c>
      <c r="M599" s="115">
        <v>132.33000000000001</v>
      </c>
      <c r="N599" s="115">
        <v>134.99</v>
      </c>
      <c r="O599" s="115">
        <v>132</v>
      </c>
      <c r="P599" s="115">
        <v>134.74</v>
      </c>
      <c r="Q599" s="115">
        <v>661.65</v>
      </c>
      <c r="R599">
        <v>1547</v>
      </c>
    </row>
    <row r="600" spans="1:18" x14ac:dyDescent="0.25">
      <c r="A600" s="169">
        <v>42887</v>
      </c>
      <c r="B600" s="115">
        <v>138.4</v>
      </c>
      <c r="C600" s="115">
        <v>137.63</v>
      </c>
      <c r="D600" s="115">
        <v>135.29</v>
      </c>
      <c r="E600" s="115">
        <v>136.34</v>
      </c>
      <c r="F600" s="115">
        <v>688.15</v>
      </c>
      <c r="G600">
        <v>489</v>
      </c>
      <c r="H600" s="115"/>
      <c r="I600" s="115"/>
      <c r="L600" s="169">
        <v>42886</v>
      </c>
      <c r="M600" s="115">
        <v>134.74</v>
      </c>
      <c r="N600" s="115">
        <v>138</v>
      </c>
      <c r="O600" s="115">
        <v>131.11000000000001</v>
      </c>
      <c r="P600" s="115">
        <v>132.19999999999999</v>
      </c>
      <c r="Q600" s="115">
        <v>673.7</v>
      </c>
      <c r="R600">
        <v>6010</v>
      </c>
    </row>
    <row r="601" spans="1:18" x14ac:dyDescent="0.25">
      <c r="A601" s="169">
        <v>42888</v>
      </c>
      <c r="B601" s="115">
        <v>143.38</v>
      </c>
      <c r="C601" s="115">
        <v>141.72999999999999</v>
      </c>
      <c r="D601" s="115">
        <v>138.04</v>
      </c>
      <c r="E601" s="115">
        <v>139</v>
      </c>
      <c r="F601" s="115">
        <v>708.65</v>
      </c>
      <c r="G601">
        <v>3371</v>
      </c>
      <c r="H601" s="115"/>
      <c r="I601" s="115"/>
      <c r="L601" s="169">
        <v>42887</v>
      </c>
      <c r="M601" s="115">
        <v>138.03</v>
      </c>
      <c r="N601" s="115">
        <v>138.6</v>
      </c>
      <c r="O601" s="115">
        <v>134.24</v>
      </c>
      <c r="P601" s="115">
        <v>134.24</v>
      </c>
      <c r="Q601" s="115">
        <v>690.15</v>
      </c>
      <c r="R601">
        <v>3105</v>
      </c>
    </row>
    <row r="602" spans="1:18" x14ac:dyDescent="0.25">
      <c r="A602" s="169">
        <v>42891</v>
      </c>
      <c r="B602" s="115">
        <v>145</v>
      </c>
      <c r="C602" s="115">
        <v>140.62</v>
      </c>
      <c r="D602" s="115">
        <v>138.68</v>
      </c>
      <c r="E602" s="115">
        <v>141.69999999999999</v>
      </c>
      <c r="F602" s="115">
        <v>703.1</v>
      </c>
      <c r="G602">
        <v>1215</v>
      </c>
      <c r="H602" s="115"/>
      <c r="I602" s="115"/>
      <c r="L602" s="169">
        <v>42888</v>
      </c>
      <c r="M602" s="115">
        <v>140.41999999999999</v>
      </c>
      <c r="N602" s="115">
        <v>142.97999999999999</v>
      </c>
      <c r="O602" s="115">
        <v>138.01</v>
      </c>
      <c r="P602" s="115">
        <v>138.69</v>
      </c>
      <c r="Q602" s="115">
        <v>702.1</v>
      </c>
      <c r="R602">
        <v>11703</v>
      </c>
    </row>
    <row r="603" spans="1:18" x14ac:dyDescent="0.25">
      <c r="A603" s="169">
        <v>42892</v>
      </c>
      <c r="B603" s="115">
        <v>141.6</v>
      </c>
      <c r="C603" s="115">
        <v>140</v>
      </c>
      <c r="D603" s="115">
        <v>138.54</v>
      </c>
      <c r="E603" s="115">
        <v>141.1</v>
      </c>
      <c r="F603" s="115">
        <v>700</v>
      </c>
      <c r="G603">
        <v>501</v>
      </c>
      <c r="H603" s="115"/>
      <c r="I603" s="115"/>
      <c r="L603" s="169">
        <v>42891</v>
      </c>
      <c r="M603" s="115">
        <v>141.51</v>
      </c>
      <c r="N603" s="115">
        <v>144.58000000000001</v>
      </c>
      <c r="O603" s="115">
        <v>140.21</v>
      </c>
      <c r="P603" s="115">
        <v>142</v>
      </c>
      <c r="Q603" s="115">
        <v>707.55</v>
      </c>
      <c r="R603">
        <v>57801</v>
      </c>
    </row>
    <row r="604" spans="1:18" x14ac:dyDescent="0.25">
      <c r="A604" s="169">
        <v>42893</v>
      </c>
      <c r="B604" s="115">
        <v>142.72</v>
      </c>
      <c r="C604" s="115">
        <v>141.96</v>
      </c>
      <c r="D604" s="115">
        <v>140.06</v>
      </c>
      <c r="E604" s="115">
        <v>140.06</v>
      </c>
      <c r="F604" s="115">
        <v>709.8</v>
      </c>
      <c r="G604">
        <v>1296</v>
      </c>
      <c r="H604" s="115"/>
      <c r="I604" s="115"/>
      <c r="L604" s="169">
        <v>42892</v>
      </c>
      <c r="M604" s="115">
        <v>140.16999999999999</v>
      </c>
      <c r="N604" s="115">
        <v>144.19999999999999</v>
      </c>
      <c r="O604" s="115">
        <v>138.6</v>
      </c>
      <c r="P604" s="115">
        <v>142.4</v>
      </c>
      <c r="Q604" s="115">
        <v>700.85</v>
      </c>
      <c r="R604">
        <v>2849</v>
      </c>
    </row>
    <row r="605" spans="1:18" x14ac:dyDescent="0.25">
      <c r="A605" s="169">
        <v>42894</v>
      </c>
      <c r="B605" s="115">
        <v>142.19999999999999</v>
      </c>
      <c r="C605" s="115">
        <v>140.66</v>
      </c>
      <c r="D605" s="115">
        <v>140</v>
      </c>
      <c r="E605" s="115">
        <v>141.54</v>
      </c>
      <c r="F605" s="115">
        <v>703.3</v>
      </c>
      <c r="G605">
        <v>819</v>
      </c>
      <c r="H605" s="115"/>
      <c r="I605" s="115"/>
      <c r="L605" s="169">
        <v>42893</v>
      </c>
      <c r="M605" s="115">
        <v>141.32</v>
      </c>
      <c r="N605" s="115">
        <v>143.22999999999999</v>
      </c>
      <c r="O605" s="115">
        <v>139.80000000000001</v>
      </c>
      <c r="P605" s="115">
        <v>139.9</v>
      </c>
      <c r="Q605" s="115">
        <v>706.6</v>
      </c>
      <c r="R605">
        <v>5618</v>
      </c>
    </row>
    <row r="606" spans="1:18" x14ac:dyDescent="0.25">
      <c r="A606" s="169">
        <v>42895</v>
      </c>
      <c r="B606" s="115">
        <v>140.80000000000001</v>
      </c>
      <c r="C606" s="115">
        <v>140.41999999999999</v>
      </c>
      <c r="D606" s="115">
        <v>137.4</v>
      </c>
      <c r="E606" s="115">
        <v>138.96</v>
      </c>
      <c r="F606" s="115">
        <v>702.1</v>
      </c>
      <c r="G606">
        <v>461</v>
      </c>
      <c r="H606" s="115"/>
      <c r="I606" s="115"/>
      <c r="L606" s="169">
        <v>42894</v>
      </c>
      <c r="M606" s="115">
        <v>140.19999999999999</v>
      </c>
      <c r="N606" s="115">
        <v>143</v>
      </c>
      <c r="O606" s="115">
        <v>139.04</v>
      </c>
      <c r="P606" s="115">
        <v>140.88999999999999</v>
      </c>
      <c r="Q606" s="115">
        <v>701</v>
      </c>
      <c r="R606">
        <v>1833</v>
      </c>
    </row>
    <row r="607" spans="1:18" x14ac:dyDescent="0.25">
      <c r="A607" s="169">
        <v>42898</v>
      </c>
      <c r="B607" s="115">
        <v>139.18</v>
      </c>
      <c r="C607" s="115">
        <v>135.9</v>
      </c>
      <c r="D607" s="115">
        <v>135.4</v>
      </c>
      <c r="E607" s="115">
        <v>138.9</v>
      </c>
      <c r="F607" s="115">
        <v>679.5</v>
      </c>
      <c r="G607">
        <v>2355</v>
      </c>
      <c r="H607" s="115"/>
      <c r="I607" s="115"/>
      <c r="L607" s="169">
        <v>42895</v>
      </c>
      <c r="M607" s="115">
        <v>139.85</v>
      </c>
      <c r="N607" s="115">
        <v>140.4</v>
      </c>
      <c r="O607" s="115">
        <v>136.5</v>
      </c>
      <c r="P607" s="115">
        <v>138.03</v>
      </c>
      <c r="Q607" s="115">
        <v>699.25</v>
      </c>
      <c r="R607">
        <v>4317</v>
      </c>
    </row>
    <row r="608" spans="1:18" x14ac:dyDescent="0.25">
      <c r="A608" s="169">
        <v>42899</v>
      </c>
      <c r="B608" s="115">
        <v>141.4</v>
      </c>
      <c r="C608" s="115">
        <v>139.79</v>
      </c>
      <c r="D608" s="115">
        <v>136.06</v>
      </c>
      <c r="E608" s="115">
        <v>136.06</v>
      </c>
      <c r="F608" s="115">
        <v>698.95</v>
      </c>
      <c r="G608">
        <v>5235</v>
      </c>
      <c r="H608" s="115"/>
      <c r="I608" s="115"/>
      <c r="L608" s="169">
        <v>42898</v>
      </c>
      <c r="M608" s="115">
        <v>136.78</v>
      </c>
      <c r="N608" s="115">
        <v>140</v>
      </c>
      <c r="O608" s="115">
        <v>136.19999999999999</v>
      </c>
      <c r="P608" s="115">
        <v>140</v>
      </c>
      <c r="Q608" s="115">
        <v>683.9</v>
      </c>
      <c r="R608">
        <v>2292</v>
      </c>
    </row>
    <row r="609" spans="1:18" x14ac:dyDescent="0.25">
      <c r="A609" s="169">
        <v>42900</v>
      </c>
      <c r="B609" s="115">
        <v>144</v>
      </c>
      <c r="C609" s="115">
        <v>142.13</v>
      </c>
      <c r="D609" s="115">
        <v>138.19999999999999</v>
      </c>
      <c r="E609" s="115">
        <v>143.19999999999999</v>
      </c>
      <c r="F609" s="115">
        <v>710.65</v>
      </c>
      <c r="G609">
        <v>3696</v>
      </c>
      <c r="H609" s="115"/>
      <c r="I609" s="115"/>
      <c r="L609" s="169">
        <v>42899</v>
      </c>
      <c r="M609" s="115">
        <v>140.04</v>
      </c>
      <c r="N609" s="115">
        <v>141.6</v>
      </c>
      <c r="O609" s="115">
        <v>136.4</v>
      </c>
      <c r="P609" s="115">
        <v>138.94999999999999</v>
      </c>
      <c r="Q609" s="115">
        <v>700.2</v>
      </c>
      <c r="R609">
        <v>2057</v>
      </c>
    </row>
    <row r="610" spans="1:18" x14ac:dyDescent="0.25">
      <c r="A610" s="169">
        <v>42901</v>
      </c>
      <c r="B610" s="115">
        <v>143.80000000000001</v>
      </c>
      <c r="C610" s="115">
        <v>142.26</v>
      </c>
      <c r="D610" s="115">
        <v>140.19999999999999</v>
      </c>
      <c r="E610" s="115">
        <v>140.56</v>
      </c>
      <c r="F610" s="115">
        <v>711.3</v>
      </c>
      <c r="G610">
        <v>5746</v>
      </c>
      <c r="H610" s="115"/>
      <c r="I610" s="115"/>
      <c r="L610" s="169">
        <v>42900</v>
      </c>
      <c r="M610" s="115">
        <v>142.16</v>
      </c>
      <c r="N610" s="115">
        <v>143.4</v>
      </c>
      <c r="O610" s="115">
        <v>138.44</v>
      </c>
      <c r="P610" s="115">
        <v>141.94</v>
      </c>
      <c r="Q610" s="115">
        <v>710.8</v>
      </c>
      <c r="R610">
        <v>2390</v>
      </c>
    </row>
    <row r="611" spans="1:18" x14ac:dyDescent="0.25">
      <c r="A611" s="169">
        <v>42902</v>
      </c>
      <c r="B611" s="115">
        <v>143</v>
      </c>
      <c r="C611" s="115">
        <v>142.31</v>
      </c>
      <c r="D611" s="115">
        <v>140.30000000000001</v>
      </c>
      <c r="E611" s="115">
        <v>140.87</v>
      </c>
      <c r="F611" s="115">
        <v>711.55</v>
      </c>
      <c r="G611">
        <v>2260</v>
      </c>
      <c r="H611" s="115"/>
      <c r="I611" s="115"/>
      <c r="L611" s="169">
        <v>42901</v>
      </c>
      <c r="M611" s="115">
        <v>141.49</v>
      </c>
      <c r="N611" s="115">
        <v>143.80000000000001</v>
      </c>
      <c r="O611" s="115">
        <v>140.61000000000001</v>
      </c>
      <c r="P611" s="115">
        <v>141.01</v>
      </c>
      <c r="Q611" s="115">
        <v>707.45</v>
      </c>
      <c r="R611">
        <v>3935</v>
      </c>
    </row>
    <row r="612" spans="1:18" x14ac:dyDescent="0.25">
      <c r="A612" s="169">
        <v>42905</v>
      </c>
      <c r="B612" s="115">
        <v>142.9</v>
      </c>
      <c r="C612" s="115">
        <v>142.30000000000001</v>
      </c>
      <c r="D612" s="115">
        <v>139.24</v>
      </c>
      <c r="E612" s="115">
        <v>142.30000000000001</v>
      </c>
      <c r="F612" s="115">
        <v>711.5</v>
      </c>
      <c r="G612">
        <v>1399</v>
      </c>
      <c r="H612" s="115"/>
      <c r="I612" s="115"/>
      <c r="L612" s="169">
        <v>42902</v>
      </c>
      <c r="M612" s="115">
        <v>141.91</v>
      </c>
      <c r="N612" s="115">
        <v>143.6</v>
      </c>
      <c r="O612" s="115">
        <v>138.43</v>
      </c>
      <c r="P612" s="115">
        <v>138.82</v>
      </c>
      <c r="Q612" s="115">
        <v>709.55</v>
      </c>
      <c r="R612">
        <v>2592</v>
      </c>
    </row>
    <row r="613" spans="1:18" x14ac:dyDescent="0.25">
      <c r="A613" s="169">
        <v>42906</v>
      </c>
      <c r="B613" s="115">
        <v>141</v>
      </c>
      <c r="C613" s="115">
        <v>140.6</v>
      </c>
      <c r="D613" s="115">
        <v>140</v>
      </c>
      <c r="E613" s="115">
        <v>140.19</v>
      </c>
      <c r="F613" s="115">
        <v>703</v>
      </c>
      <c r="G613">
        <v>137</v>
      </c>
      <c r="H613" s="115"/>
      <c r="I613" s="115"/>
      <c r="L613" s="169">
        <v>42905</v>
      </c>
      <c r="M613" s="115">
        <v>141.91999999999999</v>
      </c>
      <c r="N613" s="115">
        <v>142.80000000000001</v>
      </c>
      <c r="O613" s="115">
        <v>140.6</v>
      </c>
      <c r="P613" s="115">
        <v>141.97999999999999</v>
      </c>
      <c r="Q613" s="115">
        <v>709.6</v>
      </c>
      <c r="R613">
        <v>1394</v>
      </c>
    </row>
    <row r="614" spans="1:18" x14ac:dyDescent="0.25">
      <c r="A614" s="169">
        <v>42907</v>
      </c>
      <c r="B614" s="115">
        <v>143.99</v>
      </c>
      <c r="C614" s="115">
        <v>140.63999999999999</v>
      </c>
      <c r="D614" s="115">
        <v>136.4</v>
      </c>
      <c r="E614" s="115">
        <v>136.4</v>
      </c>
      <c r="F614" s="115">
        <v>703.2</v>
      </c>
      <c r="G614">
        <v>148</v>
      </c>
      <c r="H614" s="115"/>
      <c r="I614" s="115"/>
      <c r="L614" s="169">
        <v>42906</v>
      </c>
      <c r="M614" s="115">
        <v>140.87</v>
      </c>
      <c r="N614" s="115">
        <v>142.19999999999999</v>
      </c>
      <c r="O614" s="115">
        <v>139.6</v>
      </c>
      <c r="P614" s="115">
        <v>142.19999999999999</v>
      </c>
      <c r="Q614" s="115">
        <v>704.35</v>
      </c>
      <c r="R614">
        <v>4009</v>
      </c>
    </row>
    <row r="615" spans="1:18" x14ac:dyDescent="0.25">
      <c r="A615" s="169">
        <v>42908</v>
      </c>
      <c r="B615" s="115">
        <v>141</v>
      </c>
      <c r="C615" s="115">
        <v>138.13</v>
      </c>
      <c r="D615" s="115">
        <v>137.6</v>
      </c>
      <c r="E615" s="115">
        <v>140.61000000000001</v>
      </c>
      <c r="F615" s="115">
        <v>690.65</v>
      </c>
      <c r="G615">
        <v>1427</v>
      </c>
      <c r="H615" s="115"/>
      <c r="I615" s="115"/>
      <c r="L615" s="169">
        <v>42907</v>
      </c>
      <c r="M615" s="115">
        <v>142.47</v>
      </c>
      <c r="N615" s="115">
        <v>143</v>
      </c>
      <c r="O615" s="115">
        <v>138.81</v>
      </c>
      <c r="P615" s="115">
        <v>141.77000000000001</v>
      </c>
      <c r="Q615" s="115">
        <v>712.35</v>
      </c>
      <c r="R615">
        <v>1435</v>
      </c>
    </row>
    <row r="616" spans="1:18" x14ac:dyDescent="0.25">
      <c r="A616" s="169">
        <v>42909</v>
      </c>
      <c r="B616" s="115">
        <v>140.69999999999999</v>
      </c>
      <c r="C616" s="115">
        <v>139.84</v>
      </c>
      <c r="D616" s="115">
        <v>137.80000000000001</v>
      </c>
      <c r="E616" s="115">
        <v>138.6</v>
      </c>
      <c r="F616" s="115">
        <v>699.2</v>
      </c>
      <c r="G616">
        <v>2292</v>
      </c>
      <c r="H616" s="115"/>
      <c r="I616" s="115"/>
      <c r="L616" s="169">
        <v>42908</v>
      </c>
      <c r="M616" s="115">
        <v>138.63999999999999</v>
      </c>
      <c r="N616" s="115">
        <v>142.80000000000001</v>
      </c>
      <c r="O616" s="115">
        <v>138.02000000000001</v>
      </c>
      <c r="P616" s="115">
        <v>142.80000000000001</v>
      </c>
      <c r="Q616" s="115">
        <v>693.2</v>
      </c>
      <c r="R616">
        <v>10777</v>
      </c>
    </row>
    <row r="617" spans="1:18" x14ac:dyDescent="0.25">
      <c r="A617" s="169">
        <v>42913</v>
      </c>
      <c r="B617" s="115">
        <v>140.79</v>
      </c>
      <c r="C617" s="115">
        <v>138.88</v>
      </c>
      <c r="D617" s="115">
        <v>137</v>
      </c>
      <c r="E617" s="115">
        <v>138.6</v>
      </c>
      <c r="F617" s="115">
        <v>694.4</v>
      </c>
      <c r="G617">
        <v>304</v>
      </c>
      <c r="H617" s="115"/>
      <c r="I617" s="115"/>
      <c r="L617" s="169">
        <v>42909</v>
      </c>
      <c r="M617" s="115">
        <v>140.11000000000001</v>
      </c>
      <c r="N617" s="115">
        <v>141.59</v>
      </c>
      <c r="O617" s="115">
        <v>134.84</v>
      </c>
      <c r="P617" s="115">
        <v>138.19999999999999</v>
      </c>
      <c r="Q617" s="115">
        <v>700.55</v>
      </c>
      <c r="R617">
        <v>7672</v>
      </c>
    </row>
    <row r="618" spans="1:18" x14ac:dyDescent="0.25">
      <c r="A618" s="169">
        <v>42914</v>
      </c>
      <c r="B618" s="115">
        <v>160.6</v>
      </c>
      <c r="C618" s="115">
        <v>153.91999999999999</v>
      </c>
      <c r="D618" s="115">
        <v>137.4</v>
      </c>
      <c r="E618" s="115">
        <v>139.80000000000001</v>
      </c>
      <c r="F618" s="115">
        <v>769.6</v>
      </c>
      <c r="G618">
        <v>47242</v>
      </c>
      <c r="H618" s="115"/>
      <c r="I618" s="115"/>
      <c r="L618" s="169">
        <v>42913</v>
      </c>
      <c r="M618" s="115">
        <v>137.41999999999999</v>
      </c>
      <c r="N618" s="115">
        <v>140.22</v>
      </c>
      <c r="O618" s="115">
        <v>136.6</v>
      </c>
      <c r="P618" s="115">
        <v>137.4</v>
      </c>
      <c r="Q618" s="115">
        <v>687.1</v>
      </c>
      <c r="R618">
        <v>1106</v>
      </c>
    </row>
    <row r="619" spans="1:18" x14ac:dyDescent="0.25">
      <c r="A619" s="169">
        <v>42915</v>
      </c>
      <c r="B619" s="115">
        <v>156.77000000000001</v>
      </c>
      <c r="C619" s="115">
        <v>152.25</v>
      </c>
      <c r="D619" s="115">
        <v>151.05000000000001</v>
      </c>
      <c r="E619" s="115">
        <v>154.99</v>
      </c>
      <c r="F619" s="115">
        <v>761.25</v>
      </c>
      <c r="G619">
        <v>21089</v>
      </c>
      <c r="H619" s="115"/>
      <c r="I619" s="115"/>
      <c r="L619" s="169">
        <v>42914</v>
      </c>
      <c r="M619" s="115">
        <v>154.09</v>
      </c>
      <c r="N619" s="115">
        <v>160.99</v>
      </c>
      <c r="O619" s="115">
        <v>136</v>
      </c>
      <c r="P619" s="115">
        <v>136</v>
      </c>
      <c r="Q619" s="115">
        <v>770.45</v>
      </c>
      <c r="R619">
        <v>279833</v>
      </c>
    </row>
    <row r="620" spans="1:18" x14ac:dyDescent="0.25">
      <c r="A620" s="169">
        <v>42916</v>
      </c>
      <c r="B620" s="115">
        <v>158.16</v>
      </c>
      <c r="C620" s="115">
        <v>151.91</v>
      </c>
      <c r="D620" s="115">
        <v>146.19999999999999</v>
      </c>
      <c r="E620" s="115">
        <v>152.16999999999999</v>
      </c>
      <c r="F620" s="115">
        <v>759.55</v>
      </c>
      <c r="G620">
        <v>24780</v>
      </c>
      <c r="H620" s="115"/>
      <c r="I620" s="115"/>
      <c r="L620" s="169">
        <v>42915</v>
      </c>
      <c r="M620" s="115">
        <v>151.87</v>
      </c>
      <c r="N620" s="115">
        <v>156.66</v>
      </c>
      <c r="O620" s="115">
        <v>150.19999999999999</v>
      </c>
      <c r="P620" s="115">
        <v>154</v>
      </c>
      <c r="Q620" s="115">
        <v>759.35</v>
      </c>
      <c r="R620">
        <v>77548</v>
      </c>
    </row>
    <row r="621" spans="1:18" x14ac:dyDescent="0.25">
      <c r="A621" s="169">
        <v>42919</v>
      </c>
      <c r="B621" s="115">
        <v>156.12</v>
      </c>
      <c r="C621" s="115">
        <v>152.96</v>
      </c>
      <c r="D621" s="115">
        <v>150.19999999999999</v>
      </c>
      <c r="E621" s="115">
        <v>152.4</v>
      </c>
      <c r="F621" s="115">
        <v>764.8</v>
      </c>
      <c r="G621">
        <v>6172</v>
      </c>
      <c r="H621" s="115"/>
      <c r="I621" s="115"/>
      <c r="L621" s="169">
        <v>42916</v>
      </c>
      <c r="M621" s="115">
        <v>153.22</v>
      </c>
      <c r="N621" s="115">
        <v>158.80000000000001</v>
      </c>
      <c r="O621" s="115">
        <v>146.41999999999999</v>
      </c>
      <c r="P621" s="115">
        <v>149.6</v>
      </c>
      <c r="Q621" s="115">
        <v>766.1</v>
      </c>
      <c r="R621">
        <v>99408</v>
      </c>
    </row>
    <row r="622" spans="1:18" x14ac:dyDescent="0.25">
      <c r="A622" s="169">
        <v>42920</v>
      </c>
      <c r="B622" s="115">
        <v>160</v>
      </c>
      <c r="C622" s="115">
        <v>156.72</v>
      </c>
      <c r="D622" s="115">
        <v>152</v>
      </c>
      <c r="E622" s="115">
        <v>153.44999999999999</v>
      </c>
      <c r="F622" s="115">
        <v>783.6</v>
      </c>
      <c r="G622">
        <v>21889</v>
      </c>
      <c r="H622" s="115"/>
      <c r="I622" s="115"/>
      <c r="L622" s="169">
        <v>42919</v>
      </c>
      <c r="M622" s="115">
        <v>153.12</v>
      </c>
      <c r="N622" s="115">
        <v>156</v>
      </c>
      <c r="O622" s="115">
        <v>150.52000000000001</v>
      </c>
      <c r="P622" s="115">
        <v>153.63999999999999</v>
      </c>
      <c r="Q622" s="115">
        <v>765.6</v>
      </c>
      <c r="R622">
        <v>33374</v>
      </c>
    </row>
    <row r="623" spans="1:18" x14ac:dyDescent="0.25">
      <c r="A623" s="169">
        <v>42921</v>
      </c>
      <c r="B623" s="115">
        <v>167.9</v>
      </c>
      <c r="C623" s="115">
        <v>159.25</v>
      </c>
      <c r="D623" s="115">
        <v>156.24</v>
      </c>
      <c r="E623" s="115">
        <v>157.94</v>
      </c>
      <c r="F623" s="115">
        <v>796.25</v>
      </c>
      <c r="G623">
        <v>42858</v>
      </c>
      <c r="H623" s="115"/>
      <c r="I623" s="115"/>
      <c r="L623" s="169">
        <v>42920</v>
      </c>
      <c r="M623" s="115">
        <v>156.97</v>
      </c>
      <c r="N623" s="115">
        <v>160</v>
      </c>
      <c r="O623" s="115">
        <v>152.82</v>
      </c>
      <c r="P623" s="115">
        <v>153.4</v>
      </c>
      <c r="Q623" s="115">
        <v>784.85</v>
      </c>
      <c r="R623">
        <v>121388</v>
      </c>
    </row>
    <row r="624" spans="1:18" x14ac:dyDescent="0.25">
      <c r="A624" s="169">
        <v>42922</v>
      </c>
      <c r="B624" s="115">
        <v>164</v>
      </c>
      <c r="C624" s="115">
        <v>159.15</v>
      </c>
      <c r="D624" s="115">
        <v>157.53</v>
      </c>
      <c r="E624" s="115">
        <v>162.4</v>
      </c>
      <c r="F624" s="115">
        <v>795.75</v>
      </c>
      <c r="G624">
        <v>16965</v>
      </c>
      <c r="H624" s="115"/>
      <c r="I624" s="115"/>
      <c r="L624" s="169">
        <v>42921</v>
      </c>
      <c r="M624" s="115">
        <v>159.31</v>
      </c>
      <c r="N624" s="115">
        <v>167.77</v>
      </c>
      <c r="O624" s="115">
        <v>155.72</v>
      </c>
      <c r="P624" s="115">
        <v>157.16</v>
      </c>
      <c r="Q624" s="115">
        <v>796.55</v>
      </c>
      <c r="R624">
        <v>266064</v>
      </c>
    </row>
    <row r="625" spans="1:18" x14ac:dyDescent="0.25">
      <c r="A625" s="169">
        <v>42923</v>
      </c>
      <c r="B625" s="115">
        <v>166</v>
      </c>
      <c r="C625" s="115">
        <v>159.02000000000001</v>
      </c>
      <c r="D625" s="115">
        <v>157.19999999999999</v>
      </c>
      <c r="E625" s="115">
        <v>159.6</v>
      </c>
      <c r="F625" s="115">
        <v>795.1</v>
      </c>
      <c r="G625">
        <v>33747</v>
      </c>
      <c r="H625" s="115"/>
      <c r="I625" s="115"/>
      <c r="L625" s="169">
        <v>42922</v>
      </c>
      <c r="M625" s="115">
        <v>159.13</v>
      </c>
      <c r="N625" s="115">
        <v>164</v>
      </c>
      <c r="O625" s="115">
        <v>157.78</v>
      </c>
      <c r="P625" s="115">
        <v>160</v>
      </c>
      <c r="Q625" s="115">
        <v>795.65</v>
      </c>
      <c r="R625">
        <v>64548</v>
      </c>
    </row>
    <row r="626" spans="1:18" x14ac:dyDescent="0.25">
      <c r="A626" s="169">
        <v>42926</v>
      </c>
      <c r="B626" s="115">
        <v>163.80000000000001</v>
      </c>
      <c r="C626" s="115">
        <v>159.61000000000001</v>
      </c>
      <c r="D626" s="115">
        <v>159.04</v>
      </c>
      <c r="E626" s="115">
        <v>160</v>
      </c>
      <c r="F626" s="115">
        <v>798.05</v>
      </c>
      <c r="G626">
        <v>11139</v>
      </c>
      <c r="H626" s="115"/>
      <c r="I626" s="115"/>
      <c r="L626" s="169">
        <v>42923</v>
      </c>
      <c r="M626" s="115">
        <v>159.85</v>
      </c>
      <c r="N626" s="115">
        <v>166</v>
      </c>
      <c r="O626" s="115">
        <v>157.62</v>
      </c>
      <c r="P626" s="115">
        <v>159.13</v>
      </c>
      <c r="Q626" s="115">
        <v>799.25</v>
      </c>
      <c r="R626">
        <v>176384</v>
      </c>
    </row>
    <row r="627" spans="1:18" x14ac:dyDescent="0.25">
      <c r="A627" s="169">
        <v>42927</v>
      </c>
      <c r="B627" s="115">
        <v>164.74</v>
      </c>
      <c r="C627" s="115">
        <v>158.55000000000001</v>
      </c>
      <c r="D627" s="115">
        <v>157.53</v>
      </c>
      <c r="E627" s="115">
        <v>160.96</v>
      </c>
      <c r="F627" s="115">
        <v>792.75</v>
      </c>
      <c r="G627">
        <v>13871</v>
      </c>
      <c r="H627" s="115"/>
      <c r="I627" s="115"/>
      <c r="L627" s="169">
        <v>42926</v>
      </c>
      <c r="M627" s="115">
        <v>159.06</v>
      </c>
      <c r="N627" s="115">
        <v>161.80000000000001</v>
      </c>
      <c r="O627" s="115">
        <v>156</v>
      </c>
      <c r="P627" s="115">
        <v>161.80000000000001</v>
      </c>
      <c r="Q627" s="115">
        <v>795.3</v>
      </c>
      <c r="R627">
        <v>4737</v>
      </c>
    </row>
    <row r="628" spans="1:18" x14ac:dyDescent="0.25">
      <c r="A628" s="169">
        <v>42928</v>
      </c>
      <c r="B628" s="115">
        <v>161.96</v>
      </c>
      <c r="C628" s="115">
        <v>160.68</v>
      </c>
      <c r="D628" s="115">
        <v>157.6</v>
      </c>
      <c r="E628" s="115">
        <v>159.84</v>
      </c>
      <c r="F628" s="115">
        <v>803.4</v>
      </c>
      <c r="G628">
        <v>12977</v>
      </c>
      <c r="H628" s="115"/>
      <c r="I628" s="115"/>
      <c r="L628" s="169">
        <v>42927</v>
      </c>
      <c r="M628" s="115">
        <v>158.97999999999999</v>
      </c>
      <c r="N628" s="115">
        <v>164.54</v>
      </c>
      <c r="O628" s="115">
        <v>155.99</v>
      </c>
      <c r="P628" s="115">
        <v>160.30000000000001</v>
      </c>
      <c r="Q628" s="115">
        <v>794.9</v>
      </c>
      <c r="R628">
        <v>79198</v>
      </c>
    </row>
    <row r="629" spans="1:18" x14ac:dyDescent="0.25">
      <c r="A629" s="169">
        <v>42929</v>
      </c>
      <c r="B629" s="115">
        <v>161.16999999999999</v>
      </c>
      <c r="C629" s="115">
        <v>156.93</v>
      </c>
      <c r="D629" s="115">
        <v>156.46</v>
      </c>
      <c r="E629" s="115">
        <v>160.68</v>
      </c>
      <c r="F629" s="115">
        <v>784.65</v>
      </c>
      <c r="G629">
        <v>3345</v>
      </c>
      <c r="H629" s="115"/>
      <c r="I629" s="115"/>
      <c r="L629" s="169">
        <v>42928</v>
      </c>
      <c r="M629" s="115">
        <v>160.34</v>
      </c>
      <c r="N629" s="115">
        <v>161.81</v>
      </c>
      <c r="O629" s="115">
        <v>156.91999999999999</v>
      </c>
      <c r="P629" s="115">
        <v>157.24</v>
      </c>
      <c r="Q629" s="115">
        <v>801.7</v>
      </c>
      <c r="R629">
        <v>41774</v>
      </c>
    </row>
    <row r="630" spans="1:18" x14ac:dyDescent="0.25">
      <c r="A630" s="169">
        <v>42930</v>
      </c>
      <c r="B630" s="115">
        <v>158.07</v>
      </c>
      <c r="C630" s="115">
        <v>153.94999999999999</v>
      </c>
      <c r="D630" s="115">
        <v>152.88999999999999</v>
      </c>
      <c r="E630" s="115">
        <v>153.6</v>
      </c>
      <c r="F630" s="115">
        <v>769.75</v>
      </c>
      <c r="G630">
        <v>2696</v>
      </c>
      <c r="H630" s="115"/>
      <c r="I630" s="115"/>
      <c r="L630" s="169">
        <v>42929</v>
      </c>
      <c r="M630" s="115">
        <v>157.49</v>
      </c>
      <c r="N630" s="115">
        <v>161.6</v>
      </c>
      <c r="O630" s="115">
        <v>156.5</v>
      </c>
      <c r="P630" s="115">
        <v>161.4</v>
      </c>
      <c r="Q630" s="115">
        <v>787.45</v>
      </c>
      <c r="R630">
        <v>23801</v>
      </c>
    </row>
    <row r="631" spans="1:18" x14ac:dyDescent="0.25">
      <c r="A631" s="169">
        <v>42933</v>
      </c>
      <c r="B631" s="115">
        <v>156.80000000000001</v>
      </c>
      <c r="C631" s="115">
        <v>152.05000000000001</v>
      </c>
      <c r="D631" s="115">
        <v>151.19999999999999</v>
      </c>
      <c r="E631" s="115">
        <v>156.80000000000001</v>
      </c>
      <c r="F631" s="115">
        <v>760.25</v>
      </c>
      <c r="G631">
        <v>1113</v>
      </c>
      <c r="H631" s="115"/>
      <c r="I631" s="115"/>
      <c r="L631" s="169">
        <v>42930</v>
      </c>
      <c r="M631" s="115">
        <v>153.91</v>
      </c>
      <c r="N631" s="115">
        <v>157.88999999999999</v>
      </c>
      <c r="O631" s="115">
        <v>153.02000000000001</v>
      </c>
      <c r="P631" s="115">
        <v>156.80000000000001</v>
      </c>
      <c r="Q631" s="115">
        <v>769.55</v>
      </c>
      <c r="R631">
        <v>23371</v>
      </c>
    </row>
    <row r="632" spans="1:18" x14ac:dyDescent="0.25">
      <c r="A632" s="169">
        <v>42934</v>
      </c>
      <c r="B632" s="115">
        <v>158.97999999999999</v>
      </c>
      <c r="C632" s="115">
        <v>154.82</v>
      </c>
      <c r="D632" s="115">
        <v>150</v>
      </c>
      <c r="E632" s="115">
        <v>150</v>
      </c>
      <c r="F632" s="115">
        <v>774.1</v>
      </c>
      <c r="G632">
        <v>4723</v>
      </c>
      <c r="H632" s="115"/>
      <c r="I632" s="115"/>
      <c r="L632" s="169">
        <v>42933</v>
      </c>
      <c r="M632" s="115">
        <v>152.16</v>
      </c>
      <c r="N632" s="115">
        <v>155.99</v>
      </c>
      <c r="O632" s="115">
        <v>151.18</v>
      </c>
      <c r="P632" s="115">
        <v>155</v>
      </c>
      <c r="Q632" s="115">
        <v>760.8</v>
      </c>
      <c r="R632">
        <v>8384</v>
      </c>
    </row>
    <row r="633" spans="1:18" x14ac:dyDescent="0.25">
      <c r="A633" s="169">
        <v>42935</v>
      </c>
      <c r="B633" s="115">
        <v>157.41</v>
      </c>
      <c r="C633" s="115">
        <v>154.15</v>
      </c>
      <c r="D633" s="115">
        <v>152.72</v>
      </c>
      <c r="E633" s="115">
        <v>154.78</v>
      </c>
      <c r="F633" s="115">
        <v>770.75</v>
      </c>
      <c r="G633">
        <v>2601</v>
      </c>
      <c r="H633" s="115"/>
      <c r="I633" s="115"/>
      <c r="L633" s="169">
        <v>42934</v>
      </c>
      <c r="M633" s="115">
        <v>154.94</v>
      </c>
      <c r="N633" s="115">
        <v>158.94</v>
      </c>
      <c r="O633" s="115">
        <v>149.19999999999999</v>
      </c>
      <c r="P633" s="115">
        <v>151</v>
      </c>
      <c r="Q633" s="115">
        <v>774.7</v>
      </c>
      <c r="R633">
        <v>31400</v>
      </c>
    </row>
    <row r="634" spans="1:18" x14ac:dyDescent="0.25">
      <c r="A634" s="169">
        <v>42936</v>
      </c>
      <c r="B634" s="115">
        <v>156.4</v>
      </c>
      <c r="C634" s="115">
        <v>152.83000000000001</v>
      </c>
      <c r="D634" s="115">
        <v>151.80000000000001</v>
      </c>
      <c r="E634" s="115">
        <v>152.6</v>
      </c>
      <c r="F634" s="115">
        <v>764.15</v>
      </c>
      <c r="G634">
        <v>1873</v>
      </c>
      <c r="H634" s="115"/>
      <c r="I634" s="115"/>
      <c r="L634" s="169">
        <v>42935</v>
      </c>
      <c r="M634" s="115">
        <v>154.93</v>
      </c>
      <c r="N634" s="115">
        <v>157.4</v>
      </c>
      <c r="O634" s="115">
        <v>153</v>
      </c>
      <c r="P634" s="115">
        <v>155.99</v>
      </c>
      <c r="Q634" s="115">
        <v>774.65</v>
      </c>
      <c r="R634">
        <v>35770</v>
      </c>
    </row>
    <row r="635" spans="1:18" x14ac:dyDescent="0.25">
      <c r="A635" s="169">
        <v>42937</v>
      </c>
      <c r="B635" s="115">
        <v>156.38999999999999</v>
      </c>
      <c r="C635" s="115">
        <v>152.74</v>
      </c>
      <c r="D635" s="115">
        <v>151.80000000000001</v>
      </c>
      <c r="E635" s="115">
        <v>152.41999999999999</v>
      </c>
      <c r="F635" s="115">
        <v>763.7</v>
      </c>
      <c r="G635">
        <v>4052</v>
      </c>
      <c r="H635" s="115"/>
      <c r="I635" s="115"/>
      <c r="L635" s="169">
        <v>42936</v>
      </c>
      <c r="M635" s="115">
        <v>152.9</v>
      </c>
      <c r="N635" s="115">
        <v>156.29</v>
      </c>
      <c r="O635" s="115">
        <v>152.07</v>
      </c>
      <c r="P635" s="115">
        <v>154</v>
      </c>
      <c r="Q635" s="115">
        <v>764.5</v>
      </c>
      <c r="R635">
        <v>24789</v>
      </c>
    </row>
    <row r="636" spans="1:18" x14ac:dyDescent="0.25">
      <c r="A636" s="169">
        <v>42940</v>
      </c>
      <c r="B636" s="115">
        <v>155.69</v>
      </c>
      <c r="C636" s="115">
        <v>149.03</v>
      </c>
      <c r="D636" s="115">
        <v>147.76</v>
      </c>
      <c r="E636" s="115">
        <v>155</v>
      </c>
      <c r="F636" s="115">
        <v>745.15</v>
      </c>
      <c r="G636">
        <v>8339</v>
      </c>
      <c r="H636" s="115"/>
      <c r="I636" s="115"/>
      <c r="L636" s="169">
        <v>42937</v>
      </c>
      <c r="M636" s="115">
        <v>151.61000000000001</v>
      </c>
      <c r="N636" s="115">
        <v>156</v>
      </c>
      <c r="O636" s="115">
        <v>149.4</v>
      </c>
      <c r="P636" s="115">
        <v>153.44999999999999</v>
      </c>
      <c r="Q636" s="115">
        <v>758.05</v>
      </c>
      <c r="R636">
        <v>13741</v>
      </c>
    </row>
    <row r="637" spans="1:18" x14ac:dyDescent="0.25">
      <c r="A637" s="169">
        <v>42941</v>
      </c>
      <c r="B637" s="115">
        <v>153.37</v>
      </c>
      <c r="C637" s="115">
        <v>151.21</v>
      </c>
      <c r="D637" s="115">
        <v>149.03</v>
      </c>
      <c r="E637" s="115">
        <v>150.5</v>
      </c>
      <c r="F637" s="115">
        <v>756.05</v>
      </c>
      <c r="G637">
        <v>4915</v>
      </c>
      <c r="H637" s="115"/>
      <c r="I637" s="115"/>
      <c r="L637" s="169">
        <v>42940</v>
      </c>
      <c r="M637" s="115">
        <v>148.51</v>
      </c>
      <c r="N637" s="115">
        <v>155</v>
      </c>
      <c r="O637" s="115">
        <v>147.4</v>
      </c>
      <c r="P637" s="115">
        <v>152.01</v>
      </c>
      <c r="Q637" s="115">
        <v>742.55</v>
      </c>
      <c r="R637">
        <v>14893</v>
      </c>
    </row>
    <row r="638" spans="1:18" x14ac:dyDescent="0.25">
      <c r="A638" s="169">
        <v>42942</v>
      </c>
      <c r="B638" s="115">
        <v>156.30000000000001</v>
      </c>
      <c r="C638" s="115">
        <v>152.94</v>
      </c>
      <c r="D638" s="115">
        <v>150.6</v>
      </c>
      <c r="E638" s="115">
        <v>150.6</v>
      </c>
      <c r="F638" s="115">
        <v>764.7</v>
      </c>
      <c r="G638">
        <v>9763</v>
      </c>
      <c r="H638" s="115"/>
      <c r="I638" s="115"/>
      <c r="L638" s="169">
        <v>42941</v>
      </c>
      <c r="M638" s="115">
        <v>151.29</v>
      </c>
      <c r="N638" s="115">
        <v>153</v>
      </c>
      <c r="O638" s="115">
        <v>148.30000000000001</v>
      </c>
      <c r="P638" s="115">
        <v>149.99</v>
      </c>
      <c r="Q638" s="115">
        <v>756.45</v>
      </c>
      <c r="R638">
        <v>15574</v>
      </c>
    </row>
    <row r="639" spans="1:18" x14ac:dyDescent="0.25">
      <c r="A639" s="169">
        <v>42943</v>
      </c>
      <c r="B639" s="115">
        <v>154.1</v>
      </c>
      <c r="C639" s="115">
        <v>149.31</v>
      </c>
      <c r="D639" s="115">
        <v>148.19</v>
      </c>
      <c r="E639" s="115">
        <v>153.02000000000001</v>
      </c>
      <c r="F639" s="115">
        <v>746.55</v>
      </c>
      <c r="G639">
        <v>5657</v>
      </c>
      <c r="H639" s="115"/>
      <c r="I639" s="115"/>
      <c r="L639" s="169">
        <v>42942</v>
      </c>
      <c r="M639" s="115">
        <v>153.07</v>
      </c>
      <c r="N639" s="115">
        <v>156</v>
      </c>
      <c r="O639" s="115">
        <v>148.80000000000001</v>
      </c>
      <c r="P639" s="115">
        <v>148.80000000000001</v>
      </c>
      <c r="Q639" s="115">
        <v>765.35</v>
      </c>
      <c r="R639">
        <v>26674</v>
      </c>
    </row>
    <row r="640" spans="1:18" x14ac:dyDescent="0.25">
      <c r="A640" s="169">
        <v>42944</v>
      </c>
      <c r="B640" s="115">
        <v>152.11000000000001</v>
      </c>
      <c r="C640" s="115">
        <v>149.41</v>
      </c>
      <c r="D640" s="115">
        <v>149.31</v>
      </c>
      <c r="E640" s="115">
        <v>151.74</v>
      </c>
      <c r="F640" s="115">
        <v>747.05</v>
      </c>
      <c r="G640">
        <v>695</v>
      </c>
      <c r="H640" s="115"/>
      <c r="I640" s="115"/>
      <c r="L640" s="169">
        <v>42943</v>
      </c>
      <c r="M640" s="115">
        <v>150.25</v>
      </c>
      <c r="N640" s="115">
        <v>153.97</v>
      </c>
      <c r="O640" s="115">
        <v>149.68</v>
      </c>
      <c r="P640" s="115">
        <v>153.97</v>
      </c>
      <c r="Q640" s="115">
        <v>751.25</v>
      </c>
      <c r="R640">
        <v>17166</v>
      </c>
    </row>
    <row r="641" spans="1:18" x14ac:dyDescent="0.25">
      <c r="A641" s="169">
        <v>42947</v>
      </c>
      <c r="B641" s="115">
        <v>150.96</v>
      </c>
      <c r="C641" s="115">
        <v>148.31</v>
      </c>
      <c r="D641" s="115">
        <v>137.19999999999999</v>
      </c>
      <c r="E641" s="115">
        <v>150.96</v>
      </c>
      <c r="F641" s="115">
        <v>741.55</v>
      </c>
      <c r="G641">
        <v>1209</v>
      </c>
      <c r="H641" s="115"/>
      <c r="I641" s="115"/>
      <c r="L641" s="169">
        <v>42944</v>
      </c>
      <c r="M641" s="115">
        <v>149.84</v>
      </c>
      <c r="N641" s="115">
        <v>152.24</v>
      </c>
      <c r="O641" s="115">
        <v>149.6</v>
      </c>
      <c r="P641" s="115">
        <v>151</v>
      </c>
      <c r="Q641" s="115">
        <v>749.2</v>
      </c>
      <c r="R641">
        <v>5062</v>
      </c>
    </row>
    <row r="642" spans="1:18" x14ac:dyDescent="0.25">
      <c r="A642" s="169">
        <v>42948</v>
      </c>
      <c r="B642" s="115">
        <v>155.52000000000001</v>
      </c>
      <c r="C642" s="115">
        <v>150.47999999999999</v>
      </c>
      <c r="D642" s="115">
        <v>149.58000000000001</v>
      </c>
      <c r="E642" s="115">
        <v>150.80000000000001</v>
      </c>
      <c r="F642" s="115">
        <v>752.4</v>
      </c>
      <c r="G642">
        <v>2720</v>
      </c>
      <c r="H642" s="115"/>
      <c r="I642" s="115"/>
      <c r="L642" s="169">
        <v>42947</v>
      </c>
      <c r="M642" s="115">
        <v>148.24</v>
      </c>
      <c r="N642" s="115">
        <v>151</v>
      </c>
      <c r="O642" s="115">
        <v>147.6</v>
      </c>
      <c r="P642" s="115">
        <v>151</v>
      </c>
      <c r="Q642" s="115">
        <v>741.2</v>
      </c>
      <c r="R642">
        <v>5520</v>
      </c>
    </row>
    <row r="643" spans="1:18" x14ac:dyDescent="0.25">
      <c r="A643" s="169">
        <v>42949</v>
      </c>
      <c r="B643" s="115">
        <v>151.38</v>
      </c>
      <c r="C643" s="115">
        <v>149.72</v>
      </c>
      <c r="D643" s="115">
        <v>147.21</v>
      </c>
      <c r="E643" s="115">
        <v>151.38</v>
      </c>
      <c r="F643" s="115">
        <v>748.6</v>
      </c>
      <c r="G643">
        <v>1163</v>
      </c>
      <c r="H643" s="115"/>
      <c r="I643" s="115"/>
      <c r="L643" s="169">
        <v>42948</v>
      </c>
      <c r="M643" s="115">
        <v>150.72</v>
      </c>
      <c r="N643" s="115">
        <v>155.4</v>
      </c>
      <c r="O643" s="115">
        <v>148.21</v>
      </c>
      <c r="P643" s="115">
        <v>149.97999999999999</v>
      </c>
      <c r="Q643" s="115">
        <v>753.6</v>
      </c>
      <c r="R643">
        <v>28661</v>
      </c>
    </row>
    <row r="644" spans="1:18" x14ac:dyDescent="0.25">
      <c r="A644" s="169">
        <v>42950</v>
      </c>
      <c r="B644" s="115">
        <v>152</v>
      </c>
      <c r="C644" s="115">
        <v>146.35</v>
      </c>
      <c r="D644" s="115">
        <v>144.43</v>
      </c>
      <c r="E644" s="115">
        <v>150.82</v>
      </c>
      <c r="F644" s="115">
        <v>731.75</v>
      </c>
      <c r="G644">
        <v>1230</v>
      </c>
      <c r="H644" s="115"/>
      <c r="I644" s="115"/>
      <c r="L644" s="169">
        <v>42949</v>
      </c>
      <c r="M644" s="115">
        <v>150.16999999999999</v>
      </c>
      <c r="N644" s="115">
        <v>151.69999999999999</v>
      </c>
      <c r="O644" s="115">
        <v>148.4</v>
      </c>
      <c r="P644" s="115">
        <v>149</v>
      </c>
      <c r="Q644" s="115">
        <v>750.85</v>
      </c>
      <c r="R644">
        <v>5617</v>
      </c>
    </row>
    <row r="645" spans="1:18" x14ac:dyDescent="0.25">
      <c r="A645" s="169">
        <v>42951</v>
      </c>
      <c r="B645" s="115">
        <v>148.38999999999999</v>
      </c>
      <c r="C645" s="115">
        <v>143.75</v>
      </c>
      <c r="D645" s="115">
        <v>142.61000000000001</v>
      </c>
      <c r="E645" s="115">
        <v>142.99</v>
      </c>
      <c r="F645" s="115">
        <v>718.75</v>
      </c>
      <c r="G645">
        <v>2310</v>
      </c>
      <c r="H645" s="115"/>
      <c r="I645" s="115"/>
      <c r="L645" s="169">
        <v>42950</v>
      </c>
      <c r="M645" s="115">
        <v>146.57</v>
      </c>
      <c r="N645" s="115">
        <v>150.80000000000001</v>
      </c>
      <c r="O645" s="115">
        <v>145.66</v>
      </c>
      <c r="P645" s="115">
        <v>150.01</v>
      </c>
      <c r="Q645" s="115">
        <v>732.85</v>
      </c>
      <c r="R645">
        <v>5633</v>
      </c>
    </row>
    <row r="646" spans="1:18" x14ac:dyDescent="0.25">
      <c r="A646" s="169">
        <v>42954</v>
      </c>
      <c r="B646" s="115">
        <v>145.18</v>
      </c>
      <c r="C646" s="115">
        <v>144.69</v>
      </c>
      <c r="D646" s="115">
        <v>141.1</v>
      </c>
      <c r="E646" s="115">
        <v>143.80000000000001</v>
      </c>
      <c r="F646" s="115">
        <v>723.45</v>
      </c>
      <c r="G646">
        <v>343</v>
      </c>
      <c r="H646" s="115"/>
      <c r="I646" s="115"/>
      <c r="L646" s="169">
        <v>42951</v>
      </c>
      <c r="M646" s="115">
        <v>143.71</v>
      </c>
      <c r="N646" s="115">
        <v>148</v>
      </c>
      <c r="O646" s="115">
        <v>143</v>
      </c>
      <c r="P646" s="115">
        <v>144.41</v>
      </c>
      <c r="Q646" s="115">
        <v>718.55</v>
      </c>
      <c r="R646">
        <v>8161</v>
      </c>
    </row>
    <row r="647" spans="1:18" x14ac:dyDescent="0.25">
      <c r="A647" s="169">
        <v>42955</v>
      </c>
      <c r="B647" s="115">
        <v>144.04</v>
      </c>
      <c r="C647" s="115">
        <v>141.02000000000001</v>
      </c>
      <c r="D647" s="115">
        <v>140.4</v>
      </c>
      <c r="E647" s="115">
        <v>142.87</v>
      </c>
      <c r="F647" s="115">
        <v>705.1</v>
      </c>
      <c r="G647">
        <v>1212</v>
      </c>
      <c r="H647" s="115"/>
      <c r="I647" s="115"/>
      <c r="L647" s="169">
        <v>42954</v>
      </c>
      <c r="M647" s="115">
        <v>144.99</v>
      </c>
      <c r="N647" s="115">
        <v>145.79</v>
      </c>
      <c r="O647" s="115">
        <v>139.15</v>
      </c>
      <c r="P647" s="115">
        <v>144</v>
      </c>
      <c r="Q647" s="115">
        <v>724.95</v>
      </c>
      <c r="R647">
        <v>10283</v>
      </c>
    </row>
    <row r="648" spans="1:18" x14ac:dyDescent="0.25">
      <c r="A648" s="169">
        <v>42956</v>
      </c>
      <c r="B648" s="115">
        <v>142.97999999999999</v>
      </c>
      <c r="C648" s="115">
        <v>139.27000000000001</v>
      </c>
      <c r="D648" s="115">
        <v>139</v>
      </c>
      <c r="E648" s="115">
        <v>140</v>
      </c>
      <c r="F648" s="115">
        <v>696.35</v>
      </c>
      <c r="G648">
        <v>2703</v>
      </c>
      <c r="H648" s="115"/>
      <c r="I648" s="115"/>
      <c r="L648" s="169">
        <v>42955</v>
      </c>
      <c r="M648" s="115">
        <v>141.18</v>
      </c>
      <c r="N648" s="115">
        <v>146.12</v>
      </c>
      <c r="O648" s="115">
        <v>140.65</v>
      </c>
      <c r="P648" s="115">
        <v>145</v>
      </c>
      <c r="Q648" s="115">
        <v>705.9</v>
      </c>
      <c r="R648">
        <v>9965</v>
      </c>
    </row>
    <row r="649" spans="1:18" x14ac:dyDescent="0.25">
      <c r="A649" s="169">
        <v>42957</v>
      </c>
      <c r="B649" s="115">
        <v>140</v>
      </c>
      <c r="C649" s="115">
        <v>137.76</v>
      </c>
      <c r="D649" s="115">
        <v>132.02000000000001</v>
      </c>
      <c r="E649" s="115">
        <v>135</v>
      </c>
      <c r="F649" s="115">
        <v>688.8</v>
      </c>
      <c r="G649">
        <v>2740</v>
      </c>
      <c r="H649" s="115"/>
      <c r="I649" s="115"/>
      <c r="L649" s="169">
        <v>42956</v>
      </c>
      <c r="M649" s="115">
        <v>138.69</v>
      </c>
      <c r="N649" s="115">
        <v>142.79</v>
      </c>
      <c r="O649" s="115">
        <v>137.1</v>
      </c>
      <c r="P649" s="115">
        <v>140.65</v>
      </c>
      <c r="Q649" s="115">
        <v>693.45</v>
      </c>
      <c r="R649">
        <v>5416</v>
      </c>
    </row>
    <row r="650" spans="1:18" x14ac:dyDescent="0.25">
      <c r="A650" s="169">
        <v>42958</v>
      </c>
      <c r="B650" s="115">
        <v>141.93</v>
      </c>
      <c r="C650" s="115">
        <v>135.97999999999999</v>
      </c>
      <c r="D650" s="115">
        <v>133</v>
      </c>
      <c r="E650" s="115">
        <v>136.97999999999999</v>
      </c>
      <c r="F650" s="115">
        <v>679.9</v>
      </c>
      <c r="G650">
        <v>1388</v>
      </c>
      <c r="H650" s="115"/>
      <c r="I650" s="115"/>
      <c r="L650" s="169">
        <v>42957</v>
      </c>
      <c r="M650" s="115">
        <v>138.74</v>
      </c>
      <c r="N650" s="115">
        <v>141.22999999999999</v>
      </c>
      <c r="O650" s="115">
        <v>132.04</v>
      </c>
      <c r="P650" s="115">
        <v>136.80000000000001</v>
      </c>
      <c r="Q650" s="115">
        <v>693.7</v>
      </c>
      <c r="R650">
        <v>10949</v>
      </c>
    </row>
    <row r="651" spans="1:18" x14ac:dyDescent="0.25">
      <c r="A651" s="169">
        <v>42961</v>
      </c>
      <c r="B651" s="115">
        <v>137.91999999999999</v>
      </c>
      <c r="C651" s="115">
        <v>133.24</v>
      </c>
      <c r="D651" s="115">
        <v>131.81</v>
      </c>
      <c r="E651" s="115">
        <v>134.22999999999999</v>
      </c>
      <c r="F651" s="115">
        <v>666.2</v>
      </c>
      <c r="G651">
        <v>1142</v>
      </c>
      <c r="H651" s="115"/>
      <c r="I651" s="115"/>
      <c r="L651" s="169">
        <v>42958</v>
      </c>
      <c r="M651" s="115">
        <v>135.79</v>
      </c>
      <c r="N651" s="115">
        <v>142</v>
      </c>
      <c r="O651" s="115">
        <v>133.22</v>
      </c>
      <c r="P651" s="115">
        <v>139.6</v>
      </c>
      <c r="Q651" s="115">
        <v>678.95</v>
      </c>
      <c r="R651">
        <v>18138</v>
      </c>
    </row>
    <row r="652" spans="1:18" x14ac:dyDescent="0.25">
      <c r="A652" s="169">
        <v>42963</v>
      </c>
      <c r="B652" s="115">
        <v>137.41</v>
      </c>
      <c r="C652" s="115">
        <v>135.62</v>
      </c>
      <c r="D652" s="115">
        <v>134</v>
      </c>
      <c r="E652" s="115">
        <v>135</v>
      </c>
      <c r="F652" s="115">
        <v>678.1</v>
      </c>
      <c r="G652">
        <v>3405</v>
      </c>
      <c r="H652" s="115"/>
      <c r="I652" s="115"/>
      <c r="L652" s="169">
        <v>42961</v>
      </c>
      <c r="M652" s="115">
        <v>133.99</v>
      </c>
      <c r="N652" s="115">
        <v>139.6</v>
      </c>
      <c r="O652" s="115">
        <v>133.19999999999999</v>
      </c>
      <c r="P652" s="115">
        <v>135.80000000000001</v>
      </c>
      <c r="Q652" s="115">
        <v>669.95</v>
      </c>
      <c r="R652">
        <v>8488</v>
      </c>
    </row>
    <row r="653" spans="1:18" x14ac:dyDescent="0.25">
      <c r="A653" s="169">
        <v>42964</v>
      </c>
      <c r="B653" s="115">
        <v>137.97999999999999</v>
      </c>
      <c r="C653" s="115">
        <v>136.88999999999999</v>
      </c>
      <c r="D653" s="115">
        <v>134</v>
      </c>
      <c r="E653" s="115">
        <v>136.51</v>
      </c>
      <c r="F653" s="115">
        <v>684.45</v>
      </c>
      <c r="G653">
        <v>477</v>
      </c>
      <c r="H653" s="115"/>
      <c r="I653" s="115"/>
      <c r="L653" s="169">
        <v>42963</v>
      </c>
      <c r="M653" s="115">
        <v>136</v>
      </c>
      <c r="N653" s="115">
        <v>137.80000000000001</v>
      </c>
      <c r="O653" s="115">
        <v>132.82</v>
      </c>
      <c r="P653" s="115">
        <v>132.82</v>
      </c>
      <c r="Q653" s="115">
        <v>680</v>
      </c>
      <c r="R653">
        <v>26782</v>
      </c>
    </row>
    <row r="654" spans="1:18" x14ac:dyDescent="0.25">
      <c r="A654" s="169">
        <v>42965</v>
      </c>
      <c r="B654" s="115">
        <v>138.80000000000001</v>
      </c>
      <c r="C654" s="115">
        <v>137.08000000000001</v>
      </c>
      <c r="D654" s="115">
        <v>135</v>
      </c>
      <c r="E654" s="115">
        <v>135</v>
      </c>
      <c r="F654" s="115">
        <v>685.4</v>
      </c>
      <c r="G654">
        <v>2251</v>
      </c>
      <c r="H654" s="115"/>
      <c r="I654" s="115"/>
      <c r="L654" s="169">
        <v>42964</v>
      </c>
      <c r="M654" s="115">
        <v>136.01</v>
      </c>
      <c r="N654" s="115">
        <v>137.68</v>
      </c>
      <c r="O654" s="115">
        <v>135.4</v>
      </c>
      <c r="P654" s="115">
        <v>136</v>
      </c>
      <c r="Q654" s="115">
        <v>680.05</v>
      </c>
      <c r="R654">
        <v>7376</v>
      </c>
    </row>
    <row r="655" spans="1:18" x14ac:dyDescent="0.25">
      <c r="A655" s="169">
        <v>42968</v>
      </c>
      <c r="B655" s="115">
        <v>138.94</v>
      </c>
      <c r="C655" s="115">
        <v>137.19999999999999</v>
      </c>
      <c r="D655" s="115">
        <v>136.6</v>
      </c>
      <c r="E655" s="115">
        <v>137.33000000000001</v>
      </c>
      <c r="F655" s="115">
        <v>686</v>
      </c>
      <c r="G655">
        <v>10942</v>
      </c>
      <c r="H655" s="115"/>
      <c r="I655" s="115"/>
      <c r="L655" s="169">
        <v>42965</v>
      </c>
      <c r="M655" s="115">
        <v>137.31</v>
      </c>
      <c r="N655" s="115">
        <v>138.44</v>
      </c>
      <c r="O655" s="115">
        <v>134.01</v>
      </c>
      <c r="P655" s="115">
        <v>136.19999999999999</v>
      </c>
      <c r="Q655" s="115">
        <v>686.55</v>
      </c>
      <c r="R655">
        <v>3871</v>
      </c>
    </row>
    <row r="656" spans="1:18" x14ac:dyDescent="0.25">
      <c r="A656" s="169">
        <v>42969</v>
      </c>
      <c r="B656" s="115">
        <v>137.22</v>
      </c>
      <c r="C656" s="115">
        <v>136.68</v>
      </c>
      <c r="D656" s="115">
        <v>136.1</v>
      </c>
      <c r="E656" s="115">
        <v>137.22</v>
      </c>
      <c r="F656" s="115">
        <v>683.4</v>
      </c>
      <c r="G656">
        <v>309</v>
      </c>
      <c r="H656" s="115"/>
      <c r="I656" s="115"/>
      <c r="L656" s="169">
        <v>42968</v>
      </c>
      <c r="M656" s="115">
        <v>136.61000000000001</v>
      </c>
      <c r="N656" s="115">
        <v>138.44</v>
      </c>
      <c r="O656" s="115">
        <v>135.81</v>
      </c>
      <c r="P656" s="115">
        <v>136.4</v>
      </c>
      <c r="Q656" s="115">
        <v>683.05</v>
      </c>
      <c r="R656">
        <v>4589</v>
      </c>
    </row>
    <row r="657" spans="1:18" x14ac:dyDescent="0.25">
      <c r="A657" s="169">
        <v>42970</v>
      </c>
      <c r="B657" s="115">
        <v>137.4</v>
      </c>
      <c r="C657" s="115">
        <v>135.44999999999999</v>
      </c>
      <c r="D657" s="115">
        <v>135.44999999999999</v>
      </c>
      <c r="E657" s="115">
        <v>135.91999999999999</v>
      </c>
      <c r="F657" s="115">
        <v>677.25</v>
      </c>
      <c r="G657">
        <v>88</v>
      </c>
      <c r="H657" s="115"/>
      <c r="I657" s="115"/>
      <c r="L657" s="169">
        <v>42969</v>
      </c>
      <c r="M657" s="115">
        <v>135.55000000000001</v>
      </c>
      <c r="N657" s="115">
        <v>138</v>
      </c>
      <c r="O657" s="115">
        <v>134.80000000000001</v>
      </c>
      <c r="P657" s="115">
        <v>138</v>
      </c>
      <c r="Q657" s="115">
        <v>677.75</v>
      </c>
      <c r="R657">
        <v>28139</v>
      </c>
    </row>
    <row r="658" spans="1:18" x14ac:dyDescent="0.25">
      <c r="A658" s="169">
        <v>42971</v>
      </c>
      <c r="B658" s="115">
        <v>141</v>
      </c>
      <c r="C658" s="115">
        <v>138.93</v>
      </c>
      <c r="D658" s="115">
        <v>135.82</v>
      </c>
      <c r="E658" s="115">
        <v>135.82</v>
      </c>
      <c r="F658" s="115">
        <v>694.65</v>
      </c>
      <c r="G658">
        <v>898</v>
      </c>
      <c r="H658" s="115"/>
      <c r="I658" s="115"/>
      <c r="L658" s="169">
        <v>42970</v>
      </c>
      <c r="M658" s="115">
        <v>136.38</v>
      </c>
      <c r="N658" s="115">
        <v>138</v>
      </c>
      <c r="O658" s="115">
        <v>135.19</v>
      </c>
      <c r="P658" s="115">
        <v>135.19</v>
      </c>
      <c r="Q658" s="115">
        <v>681.9</v>
      </c>
      <c r="R658">
        <v>3409</v>
      </c>
    </row>
    <row r="659" spans="1:18" x14ac:dyDescent="0.25">
      <c r="A659" s="169">
        <v>42975</v>
      </c>
      <c r="B659" s="115">
        <v>140.96</v>
      </c>
      <c r="C659" s="115">
        <v>136.72</v>
      </c>
      <c r="D659" s="115">
        <v>136.52000000000001</v>
      </c>
      <c r="E659" s="115">
        <v>140</v>
      </c>
      <c r="F659" s="115">
        <v>683.6</v>
      </c>
      <c r="G659">
        <v>321</v>
      </c>
      <c r="H659" s="115"/>
      <c r="I659" s="115"/>
      <c r="L659" s="169">
        <v>42971</v>
      </c>
      <c r="M659" s="115">
        <v>138.03</v>
      </c>
      <c r="N659" s="115">
        <v>141.4</v>
      </c>
      <c r="O659" s="115">
        <v>135.38</v>
      </c>
      <c r="P659" s="115">
        <v>135.47</v>
      </c>
      <c r="Q659" s="115">
        <v>690.15</v>
      </c>
      <c r="R659">
        <v>10531</v>
      </c>
    </row>
    <row r="660" spans="1:18" x14ac:dyDescent="0.25">
      <c r="A660" s="169">
        <v>42976</v>
      </c>
      <c r="B660" s="115">
        <v>138.51</v>
      </c>
      <c r="C660" s="115">
        <v>138.19</v>
      </c>
      <c r="D660" s="115">
        <v>137.68</v>
      </c>
      <c r="E660" s="115">
        <v>138</v>
      </c>
      <c r="F660" s="115">
        <v>690.95</v>
      </c>
      <c r="G660">
        <v>433</v>
      </c>
      <c r="H660" s="115"/>
      <c r="I660" s="115"/>
      <c r="L660" s="169">
        <v>42975</v>
      </c>
      <c r="M660" s="115">
        <v>137.69</v>
      </c>
      <c r="N660" s="115">
        <v>140.99</v>
      </c>
      <c r="O660" s="115">
        <v>136.93</v>
      </c>
      <c r="P660" s="115">
        <v>139.99</v>
      </c>
      <c r="Q660" s="115">
        <v>688.45</v>
      </c>
      <c r="R660">
        <v>6581</v>
      </c>
    </row>
    <row r="661" spans="1:18" x14ac:dyDescent="0.25">
      <c r="A661" s="169">
        <v>42977</v>
      </c>
      <c r="B661" s="115">
        <v>138.59</v>
      </c>
      <c r="C661" s="115">
        <v>137.82</v>
      </c>
      <c r="D661" s="115">
        <v>136.6</v>
      </c>
      <c r="E661" s="115">
        <v>137.5</v>
      </c>
      <c r="F661" s="115">
        <v>689.1</v>
      </c>
      <c r="G661">
        <v>281</v>
      </c>
      <c r="H661" s="115"/>
      <c r="I661" s="115"/>
      <c r="L661" s="169">
        <v>42976</v>
      </c>
      <c r="M661" s="115">
        <v>137.54</v>
      </c>
      <c r="N661" s="115">
        <v>139.19</v>
      </c>
      <c r="O661" s="115">
        <v>137.16999999999999</v>
      </c>
      <c r="P661" s="115">
        <v>137.78</v>
      </c>
      <c r="Q661" s="115">
        <v>687.7</v>
      </c>
      <c r="R661">
        <v>2568</v>
      </c>
    </row>
    <row r="662" spans="1:18" x14ac:dyDescent="0.25">
      <c r="A662" s="169">
        <v>42978</v>
      </c>
      <c r="B662" s="115">
        <v>144.19</v>
      </c>
      <c r="C662" s="115">
        <v>141.99</v>
      </c>
      <c r="D662" s="115">
        <v>135.69</v>
      </c>
      <c r="E662" s="115">
        <v>138</v>
      </c>
      <c r="F662" s="115">
        <v>709.95</v>
      </c>
      <c r="G662">
        <v>115831</v>
      </c>
      <c r="H662" s="115"/>
      <c r="I662" s="115"/>
      <c r="L662" s="169">
        <v>42977</v>
      </c>
      <c r="M662" s="115">
        <v>137.08000000000001</v>
      </c>
      <c r="N662" s="115">
        <v>138.80000000000001</v>
      </c>
      <c r="O662" s="115">
        <v>136.4</v>
      </c>
      <c r="P662" s="115">
        <v>138.6</v>
      </c>
      <c r="Q662" s="115">
        <v>685.4</v>
      </c>
      <c r="R662">
        <v>1991</v>
      </c>
    </row>
    <row r="663" spans="1:18" x14ac:dyDescent="0.25">
      <c r="A663" s="169">
        <v>42979</v>
      </c>
      <c r="B663" s="115">
        <v>145</v>
      </c>
      <c r="C663" s="115">
        <v>141.06</v>
      </c>
      <c r="D663" s="115">
        <v>139.94</v>
      </c>
      <c r="E663" s="115">
        <v>142.94999999999999</v>
      </c>
      <c r="F663" s="115">
        <v>705.3</v>
      </c>
      <c r="G663">
        <v>734</v>
      </c>
      <c r="H663" s="115"/>
      <c r="I663" s="115"/>
      <c r="L663" s="169">
        <v>42978</v>
      </c>
      <c r="M663" s="115">
        <v>141.96</v>
      </c>
      <c r="N663" s="115">
        <v>144</v>
      </c>
      <c r="O663" s="115">
        <v>136</v>
      </c>
      <c r="P663" s="115">
        <v>136.01</v>
      </c>
      <c r="Q663" s="115">
        <v>709.8</v>
      </c>
      <c r="R663">
        <v>35296</v>
      </c>
    </row>
    <row r="664" spans="1:18" x14ac:dyDescent="0.25">
      <c r="A664" s="169">
        <v>42982</v>
      </c>
      <c r="B664" s="115">
        <v>143.30000000000001</v>
      </c>
      <c r="C664" s="115">
        <v>137.49</v>
      </c>
      <c r="D664" s="115">
        <v>136.31</v>
      </c>
      <c r="E664" s="115">
        <v>142.6</v>
      </c>
      <c r="F664" s="115">
        <v>687.45</v>
      </c>
      <c r="G664">
        <v>298</v>
      </c>
      <c r="H664" s="115"/>
      <c r="I664" s="115"/>
      <c r="L664" s="169">
        <v>42979</v>
      </c>
      <c r="M664" s="115">
        <v>142.19999999999999</v>
      </c>
      <c r="N664" s="115">
        <v>145.55000000000001</v>
      </c>
      <c r="O664" s="115">
        <v>141.4</v>
      </c>
      <c r="P664" s="115">
        <v>142.56</v>
      </c>
      <c r="Q664" s="115">
        <v>711</v>
      </c>
      <c r="R664">
        <v>12482</v>
      </c>
    </row>
    <row r="665" spans="1:18" x14ac:dyDescent="0.25">
      <c r="A665" s="169">
        <v>42983</v>
      </c>
      <c r="B665" s="115">
        <v>140.28</v>
      </c>
      <c r="C665" s="115">
        <v>139.34</v>
      </c>
      <c r="D665" s="115">
        <v>138.80000000000001</v>
      </c>
      <c r="E665" s="115">
        <v>138.84</v>
      </c>
      <c r="F665" s="115">
        <v>696.7</v>
      </c>
      <c r="G665">
        <v>772</v>
      </c>
      <c r="H665" s="115"/>
      <c r="I665" s="115"/>
      <c r="L665" s="169">
        <v>42982</v>
      </c>
      <c r="M665" s="115">
        <v>137.44999999999999</v>
      </c>
      <c r="N665" s="115">
        <v>143.79</v>
      </c>
      <c r="O665" s="115">
        <v>136.78</v>
      </c>
      <c r="P665" s="115">
        <v>142</v>
      </c>
      <c r="Q665" s="115">
        <v>687.25</v>
      </c>
      <c r="R665">
        <v>8732</v>
      </c>
    </row>
    <row r="666" spans="1:18" x14ac:dyDescent="0.25">
      <c r="A666" s="169">
        <v>42984</v>
      </c>
      <c r="B666" s="115">
        <v>145.6</v>
      </c>
      <c r="C666" s="115">
        <v>143.33000000000001</v>
      </c>
      <c r="D666" s="115">
        <v>137.16999999999999</v>
      </c>
      <c r="E666" s="115">
        <v>138.41</v>
      </c>
      <c r="F666" s="115">
        <v>716.65</v>
      </c>
      <c r="G666">
        <v>1277</v>
      </c>
      <c r="H666" s="115"/>
      <c r="I666" s="115"/>
      <c r="L666" s="169">
        <v>42983</v>
      </c>
      <c r="M666" s="115">
        <v>138.56</v>
      </c>
      <c r="N666" s="115">
        <v>139.97</v>
      </c>
      <c r="O666" s="115">
        <v>137.4</v>
      </c>
      <c r="P666" s="115">
        <v>138</v>
      </c>
      <c r="Q666" s="115">
        <v>692.8</v>
      </c>
      <c r="R666">
        <v>4092</v>
      </c>
    </row>
    <row r="667" spans="1:18" x14ac:dyDescent="0.25">
      <c r="A667" s="169">
        <v>42985</v>
      </c>
      <c r="B667" s="115">
        <v>152.06</v>
      </c>
      <c r="C667" s="115">
        <v>148.99</v>
      </c>
      <c r="D667" s="115">
        <v>145</v>
      </c>
      <c r="E667" s="115">
        <v>145</v>
      </c>
      <c r="F667" s="115">
        <v>744.95</v>
      </c>
      <c r="G667">
        <v>3252</v>
      </c>
      <c r="H667" s="115"/>
      <c r="I667" s="115"/>
      <c r="L667" s="169">
        <v>42984</v>
      </c>
      <c r="M667" s="115">
        <v>144.15</v>
      </c>
      <c r="N667" s="115">
        <v>145.76</v>
      </c>
      <c r="O667" s="115">
        <v>137</v>
      </c>
      <c r="P667" s="115">
        <v>138</v>
      </c>
      <c r="Q667" s="115">
        <v>720.75</v>
      </c>
      <c r="R667">
        <v>16358</v>
      </c>
    </row>
    <row r="668" spans="1:18" x14ac:dyDescent="0.25">
      <c r="A668" s="169">
        <v>42986</v>
      </c>
      <c r="B668" s="115">
        <v>152.56</v>
      </c>
      <c r="C668" s="115">
        <v>149.91999999999999</v>
      </c>
      <c r="D668" s="115">
        <v>148.01</v>
      </c>
      <c r="E668" s="115">
        <v>151.76</v>
      </c>
      <c r="F668" s="115">
        <v>749.6</v>
      </c>
      <c r="G668">
        <v>658</v>
      </c>
      <c r="H668" s="115"/>
      <c r="I668" s="115"/>
      <c r="L668" s="169">
        <v>42985</v>
      </c>
      <c r="M668" s="115">
        <v>150.16999999999999</v>
      </c>
      <c r="N668" s="115">
        <v>151.80000000000001</v>
      </c>
      <c r="O668" s="115">
        <v>143.05000000000001</v>
      </c>
      <c r="P668" s="115">
        <v>143.53</v>
      </c>
      <c r="Q668" s="115">
        <v>750.85</v>
      </c>
      <c r="R668">
        <v>26821</v>
      </c>
    </row>
    <row r="669" spans="1:18" x14ac:dyDescent="0.25">
      <c r="A669" s="169">
        <v>42989</v>
      </c>
      <c r="B669" s="115">
        <v>152.58000000000001</v>
      </c>
      <c r="C669" s="115">
        <v>151.94999999999999</v>
      </c>
      <c r="D669" s="115">
        <v>149.62</v>
      </c>
      <c r="E669" s="115">
        <v>151.25</v>
      </c>
      <c r="F669" s="115">
        <v>759.75</v>
      </c>
      <c r="G669">
        <v>1403</v>
      </c>
      <c r="H669" s="115"/>
      <c r="I669" s="115"/>
      <c r="L669" s="169">
        <v>42986</v>
      </c>
      <c r="M669" s="115">
        <v>150.16</v>
      </c>
      <c r="N669" s="115">
        <v>152.84</v>
      </c>
      <c r="O669" s="115">
        <v>147.91999999999999</v>
      </c>
      <c r="P669" s="115">
        <v>150</v>
      </c>
      <c r="Q669" s="115">
        <v>750.8</v>
      </c>
      <c r="R669">
        <v>19885</v>
      </c>
    </row>
    <row r="670" spans="1:18" x14ac:dyDescent="0.25">
      <c r="A670" s="169">
        <v>42990</v>
      </c>
      <c r="B670" s="115">
        <v>151.99</v>
      </c>
      <c r="C670" s="115">
        <v>149.13</v>
      </c>
      <c r="D670" s="115">
        <v>148.41999999999999</v>
      </c>
      <c r="E670" s="115">
        <v>151.81</v>
      </c>
      <c r="F670" s="115">
        <v>745.65</v>
      </c>
      <c r="G670">
        <v>466</v>
      </c>
      <c r="H670" s="115"/>
      <c r="I670" s="115"/>
      <c r="L670" s="169">
        <v>42989</v>
      </c>
      <c r="M670" s="115">
        <v>151.84</v>
      </c>
      <c r="N670" s="115">
        <v>152.78</v>
      </c>
      <c r="O670" s="115">
        <v>149.6</v>
      </c>
      <c r="P670" s="115">
        <v>151.79</v>
      </c>
      <c r="Q670" s="115">
        <v>759.2</v>
      </c>
      <c r="R670">
        <v>12986</v>
      </c>
    </row>
    <row r="671" spans="1:18" x14ac:dyDescent="0.25">
      <c r="A671" s="169">
        <v>42991</v>
      </c>
      <c r="B671" s="115">
        <v>148.6</v>
      </c>
      <c r="C671" s="115">
        <v>147.37</v>
      </c>
      <c r="D671" s="115">
        <v>146.81</v>
      </c>
      <c r="E671" s="115">
        <v>147.82</v>
      </c>
      <c r="F671" s="115">
        <v>736.85</v>
      </c>
      <c r="G671">
        <v>1280</v>
      </c>
      <c r="H671" s="115"/>
      <c r="I671" s="115"/>
      <c r="L671" s="169">
        <v>42990</v>
      </c>
      <c r="M671" s="115">
        <v>149.56</v>
      </c>
      <c r="N671" s="115">
        <v>152.01</v>
      </c>
      <c r="O671" s="115">
        <v>148.80000000000001</v>
      </c>
      <c r="P671" s="115">
        <v>150</v>
      </c>
      <c r="Q671" s="115">
        <v>747.8</v>
      </c>
      <c r="R671">
        <v>8064</v>
      </c>
    </row>
    <row r="672" spans="1:18" x14ac:dyDescent="0.25">
      <c r="A672" s="169">
        <v>42992</v>
      </c>
      <c r="B672" s="115">
        <v>147.22999999999999</v>
      </c>
      <c r="C672" s="115">
        <v>145.82</v>
      </c>
      <c r="D672" s="115">
        <v>145.69999999999999</v>
      </c>
      <c r="E672" s="115">
        <v>146.54</v>
      </c>
      <c r="F672" s="115">
        <v>729.1</v>
      </c>
      <c r="G672">
        <v>847</v>
      </c>
      <c r="H672" s="115"/>
      <c r="I672" s="115"/>
      <c r="L672" s="169">
        <v>42991</v>
      </c>
      <c r="M672" s="115">
        <v>147.47</v>
      </c>
      <c r="N672" s="115">
        <v>149.24</v>
      </c>
      <c r="O672" s="115">
        <v>146.86000000000001</v>
      </c>
      <c r="P672" s="115">
        <v>148.46</v>
      </c>
      <c r="Q672" s="115">
        <v>737.35</v>
      </c>
      <c r="R672">
        <v>9247</v>
      </c>
    </row>
    <row r="673" spans="1:18" x14ac:dyDescent="0.25">
      <c r="A673" s="169">
        <v>42993</v>
      </c>
      <c r="B673" s="115">
        <v>150.01</v>
      </c>
      <c r="C673" s="115">
        <v>148.52000000000001</v>
      </c>
      <c r="D673" s="115">
        <v>144</v>
      </c>
      <c r="E673" s="115">
        <v>145.82</v>
      </c>
      <c r="F673" s="115">
        <v>742.6</v>
      </c>
      <c r="G673">
        <v>1336</v>
      </c>
      <c r="H673" s="115"/>
      <c r="I673" s="115"/>
      <c r="L673" s="169">
        <v>42992</v>
      </c>
      <c r="M673" s="115">
        <v>146.1</v>
      </c>
      <c r="N673" s="115">
        <v>149.69</v>
      </c>
      <c r="O673" s="115">
        <v>145.4</v>
      </c>
      <c r="P673" s="115">
        <v>148</v>
      </c>
      <c r="Q673" s="115">
        <v>730.5</v>
      </c>
      <c r="R673">
        <v>5849</v>
      </c>
    </row>
    <row r="674" spans="1:18" x14ac:dyDescent="0.25">
      <c r="A674" s="169">
        <v>42996</v>
      </c>
      <c r="B674" s="115">
        <v>155.12</v>
      </c>
      <c r="C674" s="115">
        <v>153.24</v>
      </c>
      <c r="D674" s="115">
        <v>148.76</v>
      </c>
      <c r="E674" s="115">
        <v>150</v>
      </c>
      <c r="F674" s="115">
        <v>766.2</v>
      </c>
      <c r="G674">
        <v>4461</v>
      </c>
      <c r="H674" s="115"/>
      <c r="I674" s="115"/>
      <c r="L674" s="169">
        <v>42993</v>
      </c>
      <c r="M674" s="115">
        <v>148.11000000000001</v>
      </c>
      <c r="N674" s="115">
        <v>150.97999999999999</v>
      </c>
      <c r="O674" s="115">
        <v>143.13999999999999</v>
      </c>
      <c r="P674" s="115">
        <v>146</v>
      </c>
      <c r="Q674" s="115">
        <v>740.55</v>
      </c>
      <c r="R674">
        <v>11672</v>
      </c>
    </row>
    <row r="675" spans="1:18" x14ac:dyDescent="0.25">
      <c r="A675" s="169">
        <v>42997</v>
      </c>
      <c r="B675" s="115">
        <v>160</v>
      </c>
      <c r="C675" s="115">
        <v>152.12</v>
      </c>
      <c r="D675" s="115">
        <v>151.02000000000001</v>
      </c>
      <c r="E675" s="115">
        <v>160</v>
      </c>
      <c r="F675" s="115">
        <v>760.6</v>
      </c>
      <c r="G675">
        <v>460</v>
      </c>
      <c r="H675" s="115"/>
      <c r="I675" s="115"/>
      <c r="L675" s="169">
        <v>42996</v>
      </c>
      <c r="M675" s="115">
        <v>151.99</v>
      </c>
      <c r="N675" s="115">
        <v>154.80000000000001</v>
      </c>
      <c r="O675" s="115">
        <v>148.5</v>
      </c>
      <c r="P675" s="115">
        <v>150.4</v>
      </c>
      <c r="Q675" s="115">
        <v>759.95</v>
      </c>
      <c r="R675">
        <v>63108</v>
      </c>
    </row>
    <row r="676" spans="1:18" x14ac:dyDescent="0.25">
      <c r="A676" s="169">
        <v>42998</v>
      </c>
      <c r="B676" s="115">
        <v>153.22</v>
      </c>
      <c r="C676" s="115">
        <v>151.88</v>
      </c>
      <c r="D676" s="115">
        <v>150.46</v>
      </c>
      <c r="E676" s="115">
        <v>152.4</v>
      </c>
      <c r="F676" s="115">
        <v>759.4</v>
      </c>
      <c r="G676">
        <v>10660</v>
      </c>
      <c r="H676" s="115"/>
      <c r="I676" s="115"/>
      <c r="L676" s="169">
        <v>42997</v>
      </c>
      <c r="M676" s="115">
        <v>153.88999999999999</v>
      </c>
      <c r="N676" s="115">
        <v>158.38</v>
      </c>
      <c r="O676" s="115">
        <v>152.80000000000001</v>
      </c>
      <c r="P676" s="115">
        <v>158.38</v>
      </c>
      <c r="Q676" s="115">
        <v>769.45</v>
      </c>
      <c r="R676">
        <v>10241</v>
      </c>
    </row>
    <row r="677" spans="1:18" x14ac:dyDescent="0.25">
      <c r="A677" s="169">
        <v>42999</v>
      </c>
      <c r="B677" s="115">
        <v>152.08000000000001</v>
      </c>
      <c r="C677" s="115">
        <v>149.99</v>
      </c>
      <c r="D677" s="115">
        <v>147.19</v>
      </c>
      <c r="E677" s="115">
        <v>152.08000000000001</v>
      </c>
      <c r="F677" s="115">
        <v>749.95</v>
      </c>
      <c r="G677">
        <v>963</v>
      </c>
      <c r="H677" s="115"/>
      <c r="I677" s="115"/>
      <c r="L677" s="169">
        <v>42998</v>
      </c>
      <c r="M677" s="115">
        <v>152.44</v>
      </c>
      <c r="N677" s="115">
        <v>153.59</v>
      </c>
      <c r="O677" s="115">
        <v>150.16</v>
      </c>
      <c r="P677" s="115">
        <v>151.94999999999999</v>
      </c>
      <c r="Q677" s="115">
        <v>762.2</v>
      </c>
      <c r="R677">
        <v>4293</v>
      </c>
    </row>
    <row r="678" spans="1:18" x14ac:dyDescent="0.25">
      <c r="A678" s="169">
        <v>43000</v>
      </c>
      <c r="B678" s="115">
        <v>152.07</v>
      </c>
      <c r="C678" s="115">
        <v>148.54</v>
      </c>
      <c r="D678" s="115">
        <v>146.5</v>
      </c>
      <c r="E678" s="115">
        <v>147.34</v>
      </c>
      <c r="F678" s="115">
        <v>742.7</v>
      </c>
      <c r="G678">
        <v>805</v>
      </c>
      <c r="H678" s="115"/>
      <c r="I678" s="115"/>
      <c r="L678" s="169">
        <v>42999</v>
      </c>
      <c r="M678" s="115">
        <v>149.79</v>
      </c>
      <c r="N678" s="115">
        <v>152.58000000000001</v>
      </c>
      <c r="O678" s="115">
        <v>149</v>
      </c>
      <c r="P678" s="115">
        <v>150.41999999999999</v>
      </c>
      <c r="Q678" s="115">
        <v>748.95</v>
      </c>
      <c r="R678">
        <v>13542</v>
      </c>
    </row>
    <row r="679" spans="1:18" x14ac:dyDescent="0.25">
      <c r="A679" s="169">
        <v>43003</v>
      </c>
      <c r="B679" s="115">
        <v>148.19999999999999</v>
      </c>
      <c r="C679" s="115">
        <v>146.33000000000001</v>
      </c>
      <c r="D679" s="115">
        <v>143.4</v>
      </c>
      <c r="E679" s="115">
        <v>145.91</v>
      </c>
      <c r="F679" s="115">
        <v>731.65</v>
      </c>
      <c r="G679">
        <v>273</v>
      </c>
      <c r="H679" s="115"/>
      <c r="I679" s="115"/>
      <c r="L679" s="169">
        <v>43000</v>
      </c>
      <c r="M679" s="115">
        <v>149.01</v>
      </c>
      <c r="N679" s="115">
        <v>151.49</v>
      </c>
      <c r="O679" s="115">
        <v>145.96</v>
      </c>
      <c r="P679" s="115">
        <v>149.99</v>
      </c>
      <c r="Q679" s="115">
        <v>745.05</v>
      </c>
      <c r="R679">
        <v>57315</v>
      </c>
    </row>
    <row r="680" spans="1:18" x14ac:dyDescent="0.25">
      <c r="A680" s="169">
        <v>43004</v>
      </c>
      <c r="B680" s="115">
        <v>146.85</v>
      </c>
      <c r="C680" s="115">
        <v>142.6</v>
      </c>
      <c r="D680" s="115">
        <v>140</v>
      </c>
      <c r="E680" s="115">
        <v>146.51</v>
      </c>
      <c r="F680" s="115">
        <v>713</v>
      </c>
      <c r="G680">
        <v>1141</v>
      </c>
      <c r="H680" s="115"/>
      <c r="I680" s="115"/>
      <c r="L680" s="169">
        <v>43003</v>
      </c>
      <c r="M680" s="115">
        <v>147.56</v>
      </c>
      <c r="N680" s="115">
        <v>149.36000000000001</v>
      </c>
      <c r="O680" s="115">
        <v>143</v>
      </c>
      <c r="P680" s="115">
        <v>146.82</v>
      </c>
      <c r="Q680" s="115">
        <v>737.8</v>
      </c>
      <c r="R680">
        <v>10944</v>
      </c>
    </row>
    <row r="681" spans="1:18" x14ac:dyDescent="0.25">
      <c r="A681" s="169">
        <v>43005</v>
      </c>
      <c r="B681" s="115">
        <v>145.38999999999999</v>
      </c>
      <c r="C681" s="115">
        <v>143.09</v>
      </c>
      <c r="D681" s="115">
        <v>139.91</v>
      </c>
      <c r="E681" s="115">
        <v>144.01</v>
      </c>
      <c r="F681" s="115">
        <v>715.45</v>
      </c>
      <c r="G681">
        <v>327</v>
      </c>
      <c r="H681" s="115"/>
      <c r="I681" s="115"/>
      <c r="L681" s="169">
        <v>43004</v>
      </c>
      <c r="M681" s="115">
        <v>143.68</v>
      </c>
      <c r="N681" s="115">
        <v>147.97999999999999</v>
      </c>
      <c r="O681" s="115">
        <v>140.12</v>
      </c>
      <c r="P681" s="115">
        <v>146.01</v>
      </c>
      <c r="Q681" s="115">
        <v>718.4</v>
      </c>
      <c r="R681">
        <v>46067</v>
      </c>
    </row>
    <row r="682" spans="1:18" x14ac:dyDescent="0.25">
      <c r="A682" s="169">
        <v>43006</v>
      </c>
      <c r="B682" s="115">
        <v>152.41</v>
      </c>
      <c r="C682" s="115">
        <v>150.56</v>
      </c>
      <c r="D682" s="115">
        <v>140.4</v>
      </c>
      <c r="E682" s="115">
        <v>142.93</v>
      </c>
      <c r="F682" s="115">
        <v>752.8</v>
      </c>
      <c r="G682">
        <v>837</v>
      </c>
      <c r="H682" s="115"/>
      <c r="I682" s="115"/>
      <c r="L682" s="169">
        <v>43005</v>
      </c>
      <c r="M682" s="115">
        <v>142.18</v>
      </c>
      <c r="N682" s="115">
        <v>147</v>
      </c>
      <c r="O682" s="115">
        <v>140.5</v>
      </c>
      <c r="P682" s="115">
        <v>146.19999999999999</v>
      </c>
      <c r="Q682" s="115">
        <v>710.9</v>
      </c>
      <c r="R682">
        <v>3019</v>
      </c>
    </row>
    <row r="683" spans="1:18" x14ac:dyDescent="0.25">
      <c r="A683" s="169">
        <v>43007</v>
      </c>
      <c r="B683" s="115">
        <v>150.19999999999999</v>
      </c>
      <c r="C683" s="115">
        <v>146.47</v>
      </c>
      <c r="D683" s="115">
        <v>144.6</v>
      </c>
      <c r="E683" s="115">
        <v>149.80000000000001</v>
      </c>
      <c r="F683" s="115">
        <v>732.35</v>
      </c>
      <c r="G683">
        <v>2208</v>
      </c>
      <c r="H683" s="115"/>
      <c r="I683" s="115"/>
      <c r="L683" s="169">
        <v>43006</v>
      </c>
      <c r="M683" s="115">
        <v>150.21</v>
      </c>
      <c r="N683" s="115">
        <v>155.4</v>
      </c>
      <c r="O683" s="115">
        <v>141</v>
      </c>
      <c r="P683" s="115">
        <v>141.21</v>
      </c>
      <c r="Q683" s="115">
        <v>751.05</v>
      </c>
      <c r="R683">
        <v>11572</v>
      </c>
    </row>
    <row r="684" spans="1:18" x14ac:dyDescent="0.25">
      <c r="A684" s="169">
        <v>43011</v>
      </c>
      <c r="B684" s="115">
        <v>147.19999999999999</v>
      </c>
      <c r="C684" s="115">
        <v>144.6</v>
      </c>
      <c r="D684" s="115">
        <v>143.19999999999999</v>
      </c>
      <c r="E684" s="115">
        <v>147.19999999999999</v>
      </c>
      <c r="F684" s="115">
        <v>723</v>
      </c>
      <c r="G684">
        <v>3380</v>
      </c>
      <c r="H684" s="115"/>
      <c r="I684" s="115"/>
      <c r="L684" s="169">
        <v>43007</v>
      </c>
      <c r="M684" s="115">
        <v>147.12</v>
      </c>
      <c r="N684" s="115">
        <v>152</v>
      </c>
      <c r="O684" s="115">
        <v>144.69999999999999</v>
      </c>
      <c r="P684" s="115">
        <v>152</v>
      </c>
      <c r="Q684" s="115">
        <v>735.6</v>
      </c>
      <c r="R684">
        <v>7786</v>
      </c>
    </row>
    <row r="685" spans="1:18" x14ac:dyDescent="0.25">
      <c r="A685" s="169">
        <v>43012</v>
      </c>
      <c r="B685" s="115">
        <v>147.33000000000001</v>
      </c>
      <c r="C685" s="115">
        <v>144.06</v>
      </c>
      <c r="D685" s="115">
        <v>143.81</v>
      </c>
      <c r="E685" s="115">
        <v>146.99</v>
      </c>
      <c r="F685" s="115">
        <v>720.3</v>
      </c>
      <c r="G685">
        <v>355</v>
      </c>
      <c r="H685" s="115"/>
      <c r="I685" s="115"/>
      <c r="L685" s="169">
        <v>43011</v>
      </c>
      <c r="M685" s="115">
        <v>145.19</v>
      </c>
      <c r="N685" s="115">
        <v>150.19</v>
      </c>
      <c r="O685" s="115">
        <v>144.19999999999999</v>
      </c>
      <c r="P685" s="115">
        <v>150.19</v>
      </c>
      <c r="Q685" s="115">
        <v>725.95</v>
      </c>
      <c r="R685">
        <v>4282</v>
      </c>
    </row>
    <row r="686" spans="1:18" x14ac:dyDescent="0.25">
      <c r="A686" s="169">
        <v>43013</v>
      </c>
      <c r="B686" s="115">
        <v>149.97999999999999</v>
      </c>
      <c r="C686" s="115">
        <v>144.61000000000001</v>
      </c>
      <c r="D686" s="115">
        <v>143.6</v>
      </c>
      <c r="E686" s="115">
        <v>146.19</v>
      </c>
      <c r="F686" s="115">
        <v>723.05</v>
      </c>
      <c r="G686">
        <v>1165</v>
      </c>
      <c r="H686" s="115"/>
      <c r="I686" s="115"/>
      <c r="L686" s="169">
        <v>43012</v>
      </c>
      <c r="M686" s="115">
        <v>145.47999999999999</v>
      </c>
      <c r="N686" s="115">
        <v>147.6</v>
      </c>
      <c r="O686" s="115">
        <v>144.6</v>
      </c>
      <c r="P686" s="115">
        <v>146.09</v>
      </c>
      <c r="Q686" s="115">
        <v>727.4</v>
      </c>
      <c r="R686">
        <v>2003</v>
      </c>
    </row>
    <row r="687" spans="1:18" x14ac:dyDescent="0.25">
      <c r="A687" s="169">
        <v>43014</v>
      </c>
      <c r="B687" s="115">
        <v>147.29</v>
      </c>
      <c r="C687" s="115">
        <v>143.91</v>
      </c>
      <c r="D687" s="115">
        <v>143.4</v>
      </c>
      <c r="E687" s="115">
        <v>147.29</v>
      </c>
      <c r="F687" s="115">
        <v>719.55</v>
      </c>
      <c r="G687">
        <v>2252</v>
      </c>
      <c r="H687" s="115"/>
      <c r="I687" s="115"/>
      <c r="L687" s="169">
        <v>43013</v>
      </c>
      <c r="M687" s="115">
        <v>145.25</v>
      </c>
      <c r="N687" s="115">
        <v>150.54</v>
      </c>
      <c r="O687" s="115">
        <v>144.6</v>
      </c>
      <c r="P687" s="115">
        <v>147.79</v>
      </c>
      <c r="Q687" s="115">
        <v>726.25</v>
      </c>
      <c r="R687">
        <v>3714</v>
      </c>
    </row>
    <row r="688" spans="1:18" x14ac:dyDescent="0.25">
      <c r="A688" s="169">
        <v>43017</v>
      </c>
      <c r="B688" s="115">
        <v>156.6</v>
      </c>
      <c r="C688" s="115">
        <v>148.04</v>
      </c>
      <c r="D688" s="115">
        <v>147.79</v>
      </c>
      <c r="E688" s="115">
        <v>150</v>
      </c>
      <c r="F688" s="115">
        <v>740.2</v>
      </c>
      <c r="G688">
        <v>9107</v>
      </c>
      <c r="H688" s="115"/>
      <c r="I688" s="115"/>
      <c r="L688" s="169">
        <v>43014</v>
      </c>
      <c r="M688" s="115">
        <v>145.15</v>
      </c>
      <c r="N688" s="115">
        <v>148.97999999999999</v>
      </c>
      <c r="O688" s="115">
        <v>144.22</v>
      </c>
      <c r="P688" s="115">
        <v>148.57</v>
      </c>
      <c r="Q688" s="115">
        <v>725.75</v>
      </c>
      <c r="R688">
        <v>4463</v>
      </c>
    </row>
    <row r="689" spans="1:18" x14ac:dyDescent="0.25">
      <c r="A689" s="169">
        <v>43018</v>
      </c>
      <c r="B689" s="115">
        <v>149.38</v>
      </c>
      <c r="C689" s="115">
        <v>145.1</v>
      </c>
      <c r="D689" s="115">
        <v>144.41</v>
      </c>
      <c r="E689" s="115">
        <v>147.5</v>
      </c>
      <c r="F689" s="115">
        <v>725.5</v>
      </c>
      <c r="G689">
        <v>729</v>
      </c>
      <c r="H689" s="115"/>
      <c r="I689" s="115"/>
      <c r="L689" s="169">
        <v>43017</v>
      </c>
      <c r="M689" s="115">
        <v>147.84</v>
      </c>
      <c r="N689" s="115">
        <v>157.38</v>
      </c>
      <c r="O689" s="115">
        <v>147.25</v>
      </c>
      <c r="P689" s="115">
        <v>148.80000000000001</v>
      </c>
      <c r="Q689" s="115">
        <v>739.2</v>
      </c>
      <c r="R689">
        <v>75705</v>
      </c>
    </row>
    <row r="690" spans="1:18" x14ac:dyDescent="0.25">
      <c r="A690" s="169">
        <v>43019</v>
      </c>
      <c r="B690" s="115">
        <v>151.80000000000001</v>
      </c>
      <c r="C690" s="115">
        <v>149.84</v>
      </c>
      <c r="D690" s="115">
        <v>146.59</v>
      </c>
      <c r="E690" s="115">
        <v>147.99</v>
      </c>
      <c r="F690" s="115">
        <v>749.2</v>
      </c>
      <c r="G690">
        <v>1725</v>
      </c>
      <c r="H690" s="115"/>
      <c r="I690" s="115"/>
      <c r="L690" s="169">
        <v>43018</v>
      </c>
      <c r="M690" s="115">
        <v>146.29</v>
      </c>
      <c r="N690" s="115">
        <v>149.4</v>
      </c>
      <c r="O690" s="115">
        <v>145.6</v>
      </c>
      <c r="P690" s="115">
        <v>149.4</v>
      </c>
      <c r="Q690" s="115">
        <v>731.45</v>
      </c>
      <c r="R690">
        <v>13279</v>
      </c>
    </row>
    <row r="691" spans="1:18" x14ac:dyDescent="0.25">
      <c r="A691" s="169">
        <v>43020</v>
      </c>
      <c r="B691" s="115">
        <v>153.33000000000001</v>
      </c>
      <c r="C691" s="115">
        <v>148.82</v>
      </c>
      <c r="D691" s="115">
        <v>147.61000000000001</v>
      </c>
      <c r="E691" s="115">
        <v>153.33000000000001</v>
      </c>
      <c r="F691" s="115">
        <v>744.1</v>
      </c>
      <c r="G691">
        <v>371</v>
      </c>
      <c r="H691" s="115"/>
      <c r="I691" s="115"/>
      <c r="L691" s="169">
        <v>43019</v>
      </c>
      <c r="M691" s="115">
        <v>150.97999999999999</v>
      </c>
      <c r="N691" s="115">
        <v>152.68</v>
      </c>
      <c r="O691" s="115">
        <v>146.01</v>
      </c>
      <c r="P691" s="115">
        <v>146.01</v>
      </c>
      <c r="Q691" s="115">
        <v>754.9</v>
      </c>
      <c r="R691">
        <v>63354</v>
      </c>
    </row>
    <row r="692" spans="1:18" x14ac:dyDescent="0.25">
      <c r="A692" s="169">
        <v>43021</v>
      </c>
      <c r="B692" s="115">
        <v>151.79</v>
      </c>
      <c r="C692" s="115">
        <v>150.62</v>
      </c>
      <c r="D692" s="115">
        <v>144.63</v>
      </c>
      <c r="E692" s="115">
        <v>149.82</v>
      </c>
      <c r="F692" s="115">
        <v>753.1</v>
      </c>
      <c r="G692">
        <v>2266</v>
      </c>
      <c r="H692" s="115"/>
      <c r="I692" s="115"/>
      <c r="L692" s="169">
        <v>43020</v>
      </c>
      <c r="M692" s="115">
        <v>148.83000000000001</v>
      </c>
      <c r="N692" s="115">
        <v>152.4</v>
      </c>
      <c r="O692" s="115">
        <v>147.31</v>
      </c>
      <c r="P692" s="115">
        <v>152.09</v>
      </c>
      <c r="Q692" s="115">
        <v>744.15</v>
      </c>
      <c r="R692">
        <v>11598</v>
      </c>
    </row>
    <row r="693" spans="1:18" x14ac:dyDescent="0.25">
      <c r="A693" s="169">
        <v>43024</v>
      </c>
      <c r="B693" s="115">
        <v>155.61000000000001</v>
      </c>
      <c r="C693" s="115">
        <v>155.15</v>
      </c>
      <c r="D693" s="115">
        <v>148.51</v>
      </c>
      <c r="E693" s="115">
        <v>150.07</v>
      </c>
      <c r="F693" s="115">
        <v>775.75</v>
      </c>
      <c r="G693">
        <v>4533</v>
      </c>
      <c r="H693" s="115"/>
      <c r="I693" s="115"/>
      <c r="L693" s="169">
        <v>43021</v>
      </c>
      <c r="M693" s="115">
        <v>150.68</v>
      </c>
      <c r="N693" s="115">
        <v>152</v>
      </c>
      <c r="O693" s="115">
        <v>147.61000000000001</v>
      </c>
      <c r="P693" s="115">
        <v>150</v>
      </c>
      <c r="Q693" s="115">
        <v>753.4</v>
      </c>
      <c r="R693">
        <v>8369</v>
      </c>
    </row>
    <row r="694" spans="1:18" x14ac:dyDescent="0.25">
      <c r="A694" s="169">
        <v>43025</v>
      </c>
      <c r="B694" s="115">
        <v>159</v>
      </c>
      <c r="C694" s="115">
        <v>155.1</v>
      </c>
      <c r="D694" s="115">
        <v>152</v>
      </c>
      <c r="E694" s="115">
        <v>154</v>
      </c>
      <c r="F694" s="115">
        <v>775.5</v>
      </c>
      <c r="G694">
        <v>3156</v>
      </c>
      <c r="H694" s="115"/>
      <c r="I694" s="115"/>
      <c r="L694" s="169">
        <v>43024</v>
      </c>
      <c r="M694" s="115">
        <v>154.63</v>
      </c>
      <c r="N694" s="115">
        <v>155.6</v>
      </c>
      <c r="O694" s="115">
        <v>148.94999999999999</v>
      </c>
      <c r="P694" s="115">
        <v>150.59</v>
      </c>
      <c r="Q694" s="115">
        <v>773.15</v>
      </c>
      <c r="R694">
        <v>47407</v>
      </c>
    </row>
    <row r="695" spans="1:18" x14ac:dyDescent="0.25">
      <c r="A695" s="169">
        <v>43026</v>
      </c>
      <c r="B695" s="115">
        <v>162</v>
      </c>
      <c r="C695" s="115">
        <v>159.07</v>
      </c>
      <c r="D695" s="115">
        <v>155.83000000000001</v>
      </c>
      <c r="E695" s="115">
        <v>156</v>
      </c>
      <c r="F695" s="115">
        <v>795.35</v>
      </c>
      <c r="G695">
        <v>3661</v>
      </c>
      <c r="H695" s="115"/>
      <c r="I695" s="115"/>
      <c r="L695" s="169">
        <v>43025</v>
      </c>
      <c r="M695" s="115">
        <v>155.01</v>
      </c>
      <c r="N695" s="115">
        <v>159.5</v>
      </c>
      <c r="O695" s="115">
        <v>151.24</v>
      </c>
      <c r="P695" s="115">
        <v>152.6</v>
      </c>
      <c r="Q695" s="115">
        <v>775.05</v>
      </c>
      <c r="R695">
        <v>17157</v>
      </c>
    </row>
    <row r="696" spans="1:18" x14ac:dyDescent="0.25">
      <c r="A696" s="169">
        <v>43027</v>
      </c>
      <c r="B696" s="115">
        <v>170</v>
      </c>
      <c r="C696" s="115">
        <v>169</v>
      </c>
      <c r="D696" s="115">
        <v>163.16</v>
      </c>
      <c r="E696" s="115">
        <v>167.99</v>
      </c>
      <c r="F696" s="115">
        <v>845</v>
      </c>
      <c r="G696">
        <v>6877</v>
      </c>
      <c r="H696" s="115"/>
      <c r="I696" s="115"/>
      <c r="L696" s="169">
        <v>43026</v>
      </c>
      <c r="M696" s="115">
        <v>159.44</v>
      </c>
      <c r="N696" s="115">
        <v>162.25</v>
      </c>
      <c r="O696" s="115">
        <v>154.80000000000001</v>
      </c>
      <c r="P696" s="115">
        <v>154.80000000000001</v>
      </c>
      <c r="Q696" s="115">
        <v>797.2</v>
      </c>
      <c r="R696">
        <v>36979</v>
      </c>
    </row>
    <row r="697" spans="1:18" x14ac:dyDescent="0.25">
      <c r="A697" s="169">
        <v>43031</v>
      </c>
      <c r="B697" s="115">
        <v>186.2</v>
      </c>
      <c r="C697" s="115">
        <v>174.79</v>
      </c>
      <c r="D697" s="115">
        <v>170.01</v>
      </c>
      <c r="E697" s="115">
        <v>174</v>
      </c>
      <c r="F697" s="115">
        <v>873.95</v>
      </c>
      <c r="G697">
        <v>17525</v>
      </c>
      <c r="H697" s="115"/>
      <c r="I697" s="115"/>
      <c r="L697" s="169">
        <v>43027</v>
      </c>
      <c r="M697" s="115">
        <v>169.1</v>
      </c>
      <c r="N697" s="115">
        <v>169.96</v>
      </c>
      <c r="O697" s="115">
        <v>162.88999999999999</v>
      </c>
      <c r="P697" s="115">
        <v>163.6</v>
      </c>
      <c r="Q697" s="115">
        <v>845.5</v>
      </c>
      <c r="R697">
        <v>54402</v>
      </c>
    </row>
    <row r="698" spans="1:18" x14ac:dyDescent="0.25">
      <c r="A698" s="169">
        <v>43032</v>
      </c>
      <c r="B698" s="115">
        <v>171.59</v>
      </c>
      <c r="C698" s="115">
        <v>166.56</v>
      </c>
      <c r="D698" s="115">
        <v>165.6</v>
      </c>
      <c r="E698" s="115">
        <v>171.56</v>
      </c>
      <c r="F698" s="115">
        <v>832.8</v>
      </c>
      <c r="G698">
        <v>2088</v>
      </c>
      <c r="H698" s="115"/>
      <c r="I698" s="115"/>
      <c r="L698" s="169">
        <v>43031</v>
      </c>
      <c r="M698" s="115">
        <v>170.27</v>
      </c>
      <c r="N698" s="115">
        <v>177.6</v>
      </c>
      <c r="O698" s="115">
        <v>169.2</v>
      </c>
      <c r="P698" s="115">
        <v>169.2</v>
      </c>
      <c r="Q698" s="115">
        <v>851.35</v>
      </c>
      <c r="R698">
        <v>51731</v>
      </c>
    </row>
    <row r="699" spans="1:18" x14ac:dyDescent="0.25">
      <c r="A699" s="169">
        <v>43033</v>
      </c>
      <c r="B699" s="115">
        <v>168</v>
      </c>
      <c r="C699" s="115">
        <v>162.9</v>
      </c>
      <c r="D699" s="115">
        <v>162.80000000000001</v>
      </c>
      <c r="E699" s="115">
        <v>168</v>
      </c>
      <c r="F699" s="115">
        <v>814.5</v>
      </c>
      <c r="G699">
        <v>1664</v>
      </c>
      <c r="H699" s="115"/>
      <c r="I699" s="115"/>
      <c r="L699" s="169">
        <v>43032</v>
      </c>
      <c r="M699" s="115">
        <v>166.04</v>
      </c>
      <c r="N699" s="115">
        <v>171.36</v>
      </c>
      <c r="O699" s="115">
        <v>165.21</v>
      </c>
      <c r="P699" s="115">
        <v>170.4</v>
      </c>
      <c r="Q699" s="115">
        <v>830.2</v>
      </c>
      <c r="R699">
        <v>16531</v>
      </c>
    </row>
    <row r="700" spans="1:18" x14ac:dyDescent="0.25">
      <c r="A700" s="169">
        <v>43034</v>
      </c>
      <c r="B700" s="115">
        <v>163.89</v>
      </c>
      <c r="C700" s="115">
        <v>163.13999999999999</v>
      </c>
      <c r="D700" s="115">
        <v>161</v>
      </c>
      <c r="E700" s="115">
        <v>162.78</v>
      </c>
      <c r="F700" s="115">
        <v>815.7</v>
      </c>
      <c r="G700">
        <v>1141</v>
      </c>
      <c r="H700" s="115"/>
      <c r="I700" s="115"/>
      <c r="L700" s="169">
        <v>43033</v>
      </c>
      <c r="M700" s="115">
        <v>163.46</v>
      </c>
      <c r="N700" s="115">
        <v>169.6</v>
      </c>
      <c r="O700" s="115">
        <v>162.47</v>
      </c>
      <c r="P700" s="115">
        <v>169.6</v>
      </c>
      <c r="Q700" s="115">
        <v>817.3</v>
      </c>
      <c r="R700">
        <v>6041</v>
      </c>
    </row>
    <row r="701" spans="1:18" x14ac:dyDescent="0.25">
      <c r="A701" s="169">
        <v>43035</v>
      </c>
      <c r="B701" s="115">
        <v>165.6</v>
      </c>
      <c r="C701" s="115">
        <v>161.12</v>
      </c>
      <c r="D701" s="115">
        <v>160</v>
      </c>
      <c r="E701" s="115">
        <v>162.6</v>
      </c>
      <c r="F701" s="115">
        <v>805.6</v>
      </c>
      <c r="G701">
        <v>631</v>
      </c>
      <c r="H701" s="115"/>
      <c r="I701" s="115"/>
      <c r="L701" s="169">
        <v>43034</v>
      </c>
      <c r="M701" s="115">
        <v>163.38999999999999</v>
      </c>
      <c r="N701" s="115">
        <v>165</v>
      </c>
      <c r="O701" s="115">
        <v>161</v>
      </c>
      <c r="P701" s="115">
        <v>163.97</v>
      </c>
      <c r="Q701" s="115">
        <v>816.95</v>
      </c>
      <c r="R701">
        <v>6513</v>
      </c>
    </row>
    <row r="702" spans="1:18" x14ac:dyDescent="0.25">
      <c r="A702" s="169">
        <v>43038</v>
      </c>
      <c r="B702" s="115">
        <v>170</v>
      </c>
      <c r="C702" s="115">
        <v>168.73</v>
      </c>
      <c r="D702" s="115">
        <v>161.03</v>
      </c>
      <c r="E702" s="115">
        <v>162.91999999999999</v>
      </c>
      <c r="F702" s="115">
        <v>843.65</v>
      </c>
      <c r="G702">
        <v>2343</v>
      </c>
      <c r="H702" s="115"/>
      <c r="I702" s="115"/>
      <c r="L702" s="169">
        <v>43035</v>
      </c>
      <c r="M702" s="115">
        <v>161.36000000000001</v>
      </c>
      <c r="N702" s="115">
        <v>165.58</v>
      </c>
      <c r="O702" s="115">
        <v>160.63</v>
      </c>
      <c r="P702" s="115">
        <v>161</v>
      </c>
      <c r="Q702" s="115">
        <v>806.8</v>
      </c>
      <c r="R702">
        <v>4202</v>
      </c>
    </row>
    <row r="703" spans="1:18" x14ac:dyDescent="0.25">
      <c r="A703" s="169">
        <v>43039</v>
      </c>
      <c r="B703" s="115">
        <v>169</v>
      </c>
      <c r="C703" s="115">
        <v>167.27</v>
      </c>
      <c r="D703" s="115">
        <v>165</v>
      </c>
      <c r="E703" s="115">
        <v>167.8</v>
      </c>
      <c r="F703" s="115">
        <v>836.35</v>
      </c>
      <c r="G703">
        <v>1744</v>
      </c>
      <c r="H703" s="115"/>
      <c r="I703" s="115"/>
      <c r="L703" s="169">
        <v>43038</v>
      </c>
      <c r="M703" s="115">
        <v>168.09</v>
      </c>
      <c r="N703" s="115">
        <v>169.6</v>
      </c>
      <c r="O703" s="115">
        <v>161.21</v>
      </c>
      <c r="P703" s="115">
        <v>164.78</v>
      </c>
      <c r="Q703" s="115">
        <v>840.45</v>
      </c>
      <c r="R703">
        <v>11603</v>
      </c>
    </row>
    <row r="704" spans="1:18" x14ac:dyDescent="0.25">
      <c r="A704" s="169">
        <v>43040</v>
      </c>
      <c r="B704" s="115">
        <v>174.19</v>
      </c>
      <c r="C704" s="115">
        <v>167.39</v>
      </c>
      <c r="D704" s="115">
        <v>166</v>
      </c>
      <c r="E704" s="115">
        <v>168.99</v>
      </c>
      <c r="F704" s="115">
        <v>836.95</v>
      </c>
      <c r="G704">
        <v>1518</v>
      </c>
      <c r="H704" s="115"/>
      <c r="I704" s="115"/>
      <c r="L704" s="169">
        <v>43039</v>
      </c>
      <c r="M704" s="115">
        <v>168</v>
      </c>
      <c r="N704" s="115">
        <v>169.77</v>
      </c>
      <c r="O704" s="115">
        <v>164.8</v>
      </c>
      <c r="P704" s="115">
        <v>167.38</v>
      </c>
      <c r="Q704" s="115">
        <v>840</v>
      </c>
      <c r="R704">
        <v>7938</v>
      </c>
    </row>
    <row r="705" spans="1:18" x14ac:dyDescent="0.25">
      <c r="A705" s="169">
        <v>43041</v>
      </c>
      <c r="B705" s="115">
        <v>171</v>
      </c>
      <c r="C705" s="115">
        <v>168.83</v>
      </c>
      <c r="D705" s="115">
        <v>164.65</v>
      </c>
      <c r="E705" s="115">
        <v>170.93</v>
      </c>
      <c r="F705" s="115">
        <v>844.15</v>
      </c>
      <c r="G705">
        <v>9131</v>
      </c>
      <c r="H705" s="115"/>
      <c r="I705" s="115"/>
      <c r="L705" s="169">
        <v>43040</v>
      </c>
      <c r="M705" s="115">
        <v>167.19</v>
      </c>
      <c r="N705" s="115">
        <v>174.11</v>
      </c>
      <c r="O705" s="115">
        <v>165</v>
      </c>
      <c r="P705" s="115">
        <v>168.6</v>
      </c>
      <c r="Q705" s="115">
        <v>835.95</v>
      </c>
      <c r="R705">
        <v>11395</v>
      </c>
    </row>
    <row r="706" spans="1:18" x14ac:dyDescent="0.25">
      <c r="A706" s="169">
        <v>43042</v>
      </c>
      <c r="B706" s="115">
        <v>175.39</v>
      </c>
      <c r="C706" s="115">
        <v>172.87</v>
      </c>
      <c r="D706" s="115">
        <v>168.7</v>
      </c>
      <c r="E706" s="115">
        <v>174.35</v>
      </c>
      <c r="F706" s="115">
        <v>864.35</v>
      </c>
      <c r="G706">
        <v>7675</v>
      </c>
      <c r="H706" s="115"/>
      <c r="I706" s="115"/>
      <c r="L706" s="169">
        <v>43041</v>
      </c>
      <c r="M706" s="115">
        <v>170.18</v>
      </c>
      <c r="N706" s="115">
        <v>173</v>
      </c>
      <c r="O706" s="115">
        <v>164.8</v>
      </c>
      <c r="P706" s="115">
        <v>170.53</v>
      </c>
      <c r="Q706" s="115">
        <v>850.9</v>
      </c>
      <c r="R706">
        <v>17411</v>
      </c>
    </row>
    <row r="707" spans="1:18" x14ac:dyDescent="0.25">
      <c r="A707" s="169">
        <v>43045</v>
      </c>
      <c r="B707" s="115">
        <v>184.4</v>
      </c>
      <c r="C707" s="115">
        <v>172.37</v>
      </c>
      <c r="D707" s="115">
        <v>171.2</v>
      </c>
      <c r="E707" s="115">
        <v>179.99</v>
      </c>
      <c r="F707" s="115">
        <v>861.85</v>
      </c>
      <c r="G707">
        <v>6019</v>
      </c>
      <c r="H707" s="115"/>
      <c r="I707" s="115"/>
      <c r="L707" s="169">
        <v>43042</v>
      </c>
      <c r="M707" s="115">
        <v>175.07</v>
      </c>
      <c r="N707" s="115">
        <v>175.99</v>
      </c>
      <c r="O707" s="115">
        <v>168.5</v>
      </c>
      <c r="P707" s="115">
        <v>175.99</v>
      </c>
      <c r="Q707" s="115">
        <v>875.35</v>
      </c>
      <c r="R707">
        <v>49402</v>
      </c>
    </row>
    <row r="708" spans="1:18" x14ac:dyDescent="0.25">
      <c r="A708" s="169">
        <v>43046</v>
      </c>
      <c r="B708" s="115">
        <v>175.29</v>
      </c>
      <c r="C708" s="115">
        <v>173.24</v>
      </c>
      <c r="D708" s="115">
        <v>170.52</v>
      </c>
      <c r="E708" s="115">
        <v>175.29</v>
      </c>
      <c r="F708" s="115">
        <v>866.2</v>
      </c>
      <c r="G708">
        <v>1055</v>
      </c>
      <c r="H708" s="115"/>
      <c r="I708" s="115"/>
      <c r="L708" s="169">
        <v>43045</v>
      </c>
      <c r="M708" s="115">
        <v>173.26</v>
      </c>
      <c r="N708" s="115">
        <v>182.5</v>
      </c>
      <c r="O708" s="115">
        <v>171.67</v>
      </c>
      <c r="P708" s="115">
        <v>175.2</v>
      </c>
      <c r="Q708" s="115">
        <v>866.3</v>
      </c>
      <c r="R708">
        <v>30910</v>
      </c>
    </row>
    <row r="709" spans="1:18" x14ac:dyDescent="0.25">
      <c r="A709" s="169">
        <v>43047</v>
      </c>
      <c r="B709" s="115">
        <v>174.46</v>
      </c>
      <c r="C709" s="115">
        <v>173.44</v>
      </c>
      <c r="D709" s="115">
        <v>171.77</v>
      </c>
      <c r="E709" s="115">
        <v>171.77</v>
      </c>
      <c r="F709" s="115">
        <v>867.2</v>
      </c>
      <c r="G709">
        <v>295</v>
      </c>
      <c r="H709" s="115"/>
      <c r="I709" s="115"/>
      <c r="L709" s="169">
        <v>43046</v>
      </c>
      <c r="M709" s="115">
        <v>173.83</v>
      </c>
      <c r="N709" s="115">
        <v>176.31</v>
      </c>
      <c r="O709" s="115">
        <v>171</v>
      </c>
      <c r="P709" s="115">
        <v>173.01</v>
      </c>
      <c r="Q709" s="115">
        <v>869.15</v>
      </c>
      <c r="R709">
        <v>11659</v>
      </c>
    </row>
    <row r="710" spans="1:18" x14ac:dyDescent="0.25">
      <c r="A710" s="169">
        <v>43048</v>
      </c>
      <c r="B710" s="115">
        <v>174.93</v>
      </c>
      <c r="C710" s="115">
        <v>172.05</v>
      </c>
      <c r="D710" s="115">
        <v>168.61</v>
      </c>
      <c r="E710" s="115">
        <v>173.84</v>
      </c>
      <c r="F710" s="115">
        <v>860.25</v>
      </c>
      <c r="G710">
        <v>1965</v>
      </c>
      <c r="H710" s="115"/>
      <c r="I710" s="115"/>
      <c r="L710" s="169">
        <v>43047</v>
      </c>
      <c r="M710" s="115">
        <v>173.85</v>
      </c>
      <c r="N710" s="115">
        <v>175.8</v>
      </c>
      <c r="O710" s="115">
        <v>171.8</v>
      </c>
      <c r="P710" s="115">
        <v>171.8</v>
      </c>
      <c r="Q710" s="115">
        <v>869.25</v>
      </c>
      <c r="R710">
        <v>5771</v>
      </c>
    </row>
    <row r="711" spans="1:18" x14ac:dyDescent="0.25">
      <c r="A711" s="169">
        <v>43049</v>
      </c>
      <c r="B711" s="115">
        <v>176.65</v>
      </c>
      <c r="C711" s="115">
        <v>171.55</v>
      </c>
      <c r="D711" s="115">
        <v>170</v>
      </c>
      <c r="E711" s="115">
        <v>173.6</v>
      </c>
      <c r="F711" s="115">
        <v>857.75</v>
      </c>
      <c r="G711">
        <v>1039</v>
      </c>
      <c r="H711" s="115"/>
      <c r="I711" s="115"/>
      <c r="L711" s="169">
        <v>43048</v>
      </c>
      <c r="M711" s="115">
        <v>173.71</v>
      </c>
      <c r="N711" s="115">
        <v>175.6</v>
      </c>
      <c r="O711" s="115">
        <v>169.2</v>
      </c>
      <c r="P711" s="115">
        <v>173.41</v>
      </c>
      <c r="Q711" s="115">
        <v>868.55</v>
      </c>
      <c r="R711">
        <v>6921</v>
      </c>
    </row>
    <row r="712" spans="1:18" x14ac:dyDescent="0.25">
      <c r="A712" s="169">
        <v>43052</v>
      </c>
      <c r="B712" s="115">
        <v>177.61</v>
      </c>
      <c r="C712" s="115">
        <v>174.06</v>
      </c>
      <c r="D712" s="115">
        <v>171.81</v>
      </c>
      <c r="E712" s="115">
        <v>173.98</v>
      </c>
      <c r="F712" s="115">
        <v>870.3</v>
      </c>
      <c r="G712">
        <v>676</v>
      </c>
      <c r="H712" s="115"/>
      <c r="I712" s="115"/>
      <c r="L712" s="169">
        <v>43049</v>
      </c>
      <c r="M712" s="115">
        <v>171.92</v>
      </c>
      <c r="N712" s="115">
        <v>177.34</v>
      </c>
      <c r="O712" s="115">
        <v>170.6</v>
      </c>
      <c r="P712" s="115">
        <v>177.18</v>
      </c>
      <c r="Q712" s="115">
        <v>859.6</v>
      </c>
      <c r="R712">
        <v>7046</v>
      </c>
    </row>
    <row r="713" spans="1:18" x14ac:dyDescent="0.25">
      <c r="A713" s="169">
        <v>43053</v>
      </c>
      <c r="B713" s="115">
        <v>174</v>
      </c>
      <c r="C713" s="115">
        <v>169.57</v>
      </c>
      <c r="D713" s="115">
        <v>167.32</v>
      </c>
      <c r="E713" s="115">
        <v>172.57</v>
      </c>
      <c r="F713" s="115">
        <v>847.85</v>
      </c>
      <c r="G713">
        <v>510</v>
      </c>
      <c r="H713" s="115"/>
      <c r="I713" s="115"/>
      <c r="L713" s="169">
        <v>43052</v>
      </c>
      <c r="M713" s="115">
        <v>174.16</v>
      </c>
      <c r="N713" s="115">
        <v>178</v>
      </c>
      <c r="O713" s="115">
        <v>171.69</v>
      </c>
      <c r="P713" s="115">
        <v>171.92</v>
      </c>
      <c r="Q713" s="115">
        <v>870.8</v>
      </c>
      <c r="R713">
        <v>14454</v>
      </c>
    </row>
    <row r="714" spans="1:18" x14ac:dyDescent="0.25">
      <c r="A714" s="169">
        <v>43054</v>
      </c>
      <c r="B714" s="115">
        <v>176</v>
      </c>
      <c r="C714" s="115">
        <v>172.43</v>
      </c>
      <c r="D714" s="115">
        <v>162.04</v>
      </c>
      <c r="E714" s="115">
        <v>168.66</v>
      </c>
      <c r="F714" s="115">
        <v>862.15</v>
      </c>
      <c r="G714">
        <v>827</v>
      </c>
      <c r="H714" s="115"/>
      <c r="I714" s="115"/>
      <c r="L714" s="169">
        <v>43053</v>
      </c>
      <c r="M714" s="115">
        <v>169.35</v>
      </c>
      <c r="N714" s="115">
        <v>174.22</v>
      </c>
      <c r="O714" s="115">
        <v>168.2</v>
      </c>
      <c r="P714" s="115">
        <v>174.04</v>
      </c>
      <c r="Q714" s="115">
        <v>846.75</v>
      </c>
      <c r="R714">
        <v>4872</v>
      </c>
    </row>
    <row r="715" spans="1:18" x14ac:dyDescent="0.25">
      <c r="A715" s="169">
        <v>43055</v>
      </c>
      <c r="B715" s="115">
        <v>176</v>
      </c>
      <c r="C715" s="115">
        <v>173.94</v>
      </c>
      <c r="D715" s="115">
        <v>171.66</v>
      </c>
      <c r="E715" s="115">
        <v>173.4</v>
      </c>
      <c r="F715" s="115">
        <v>869.7</v>
      </c>
      <c r="G715">
        <v>779</v>
      </c>
      <c r="H715" s="115"/>
      <c r="I715" s="115"/>
      <c r="L715" s="169">
        <v>43054</v>
      </c>
      <c r="M715" s="115">
        <v>173.08</v>
      </c>
      <c r="N715" s="115">
        <v>177.6</v>
      </c>
      <c r="O715" s="115">
        <v>167.01</v>
      </c>
      <c r="P715" s="115">
        <v>171.54</v>
      </c>
      <c r="Q715" s="115">
        <v>865.4</v>
      </c>
      <c r="R715">
        <v>6123</v>
      </c>
    </row>
    <row r="716" spans="1:18" x14ac:dyDescent="0.25">
      <c r="A716" s="169">
        <v>43056</v>
      </c>
      <c r="B716" s="115">
        <v>177.68</v>
      </c>
      <c r="C716" s="115">
        <v>175.52</v>
      </c>
      <c r="D716" s="115">
        <v>171.4</v>
      </c>
      <c r="E716" s="115">
        <v>173.38</v>
      </c>
      <c r="F716" s="115">
        <v>877.6</v>
      </c>
      <c r="G716">
        <v>515</v>
      </c>
      <c r="H716" s="115"/>
      <c r="I716" s="115"/>
      <c r="L716" s="169">
        <v>43055</v>
      </c>
      <c r="M716" s="115">
        <v>174.98</v>
      </c>
      <c r="N716" s="115">
        <v>176.8</v>
      </c>
      <c r="O716" s="115">
        <v>171.64</v>
      </c>
      <c r="P716" s="115">
        <v>171.64</v>
      </c>
      <c r="Q716" s="115">
        <v>874.9</v>
      </c>
      <c r="R716">
        <v>12681</v>
      </c>
    </row>
    <row r="717" spans="1:18" x14ac:dyDescent="0.25">
      <c r="A717" s="169">
        <v>43059</v>
      </c>
      <c r="B717" s="115">
        <v>174.15</v>
      </c>
      <c r="C717" s="115">
        <v>171.22</v>
      </c>
      <c r="D717" s="115">
        <v>170</v>
      </c>
      <c r="E717" s="115">
        <v>173.5</v>
      </c>
      <c r="F717" s="115">
        <v>856.1</v>
      </c>
      <c r="G717">
        <v>477</v>
      </c>
      <c r="H717" s="115"/>
      <c r="I717" s="115"/>
      <c r="L717" s="169">
        <v>43056</v>
      </c>
      <c r="M717" s="115">
        <v>176.08</v>
      </c>
      <c r="N717" s="115">
        <v>177.2</v>
      </c>
      <c r="O717" s="115">
        <v>173.02</v>
      </c>
      <c r="P717" s="115">
        <v>173.99</v>
      </c>
      <c r="Q717" s="115">
        <v>880.4</v>
      </c>
      <c r="R717">
        <v>6878</v>
      </c>
    </row>
    <row r="718" spans="1:18" x14ac:dyDescent="0.25">
      <c r="A718" s="169">
        <v>43060</v>
      </c>
      <c r="B718" s="115">
        <v>175.4</v>
      </c>
      <c r="C718" s="115">
        <v>170.98</v>
      </c>
      <c r="D718" s="115">
        <v>170.61</v>
      </c>
      <c r="E718" s="115">
        <v>171.33</v>
      </c>
      <c r="F718" s="115">
        <v>854.9</v>
      </c>
      <c r="G718">
        <v>504</v>
      </c>
      <c r="H718" s="115"/>
      <c r="I718" s="115"/>
      <c r="L718" s="169">
        <v>43059</v>
      </c>
      <c r="M718" s="115">
        <v>171.34</v>
      </c>
      <c r="N718" s="115">
        <v>177.8</v>
      </c>
      <c r="O718" s="115">
        <v>170.02</v>
      </c>
      <c r="P718" s="115">
        <v>176.98</v>
      </c>
      <c r="Q718" s="115">
        <v>856.7</v>
      </c>
      <c r="R718">
        <v>8059</v>
      </c>
    </row>
    <row r="719" spans="1:18" x14ac:dyDescent="0.25">
      <c r="A719" s="169">
        <v>43061</v>
      </c>
      <c r="B719" s="115">
        <v>173.68</v>
      </c>
      <c r="C719" s="115">
        <v>169.96</v>
      </c>
      <c r="D719" s="115">
        <v>164.9</v>
      </c>
      <c r="E719" s="115">
        <v>171.4</v>
      </c>
      <c r="F719" s="115">
        <v>849.8</v>
      </c>
      <c r="G719">
        <v>470</v>
      </c>
      <c r="H719" s="115"/>
      <c r="I719" s="115"/>
      <c r="L719" s="169">
        <v>43060</v>
      </c>
      <c r="M719" s="115">
        <v>170.54</v>
      </c>
      <c r="N719" s="115">
        <v>174</v>
      </c>
      <c r="O719" s="115">
        <v>170</v>
      </c>
      <c r="P719" s="115">
        <v>171.61</v>
      </c>
      <c r="Q719" s="115">
        <v>852.7</v>
      </c>
      <c r="R719">
        <v>5159</v>
      </c>
    </row>
    <row r="720" spans="1:18" x14ac:dyDescent="0.25">
      <c r="A720" s="169">
        <v>43062</v>
      </c>
      <c r="B720" s="115">
        <v>175</v>
      </c>
      <c r="C720" s="115">
        <v>173.64</v>
      </c>
      <c r="D720" s="115">
        <v>168</v>
      </c>
      <c r="E720" s="115">
        <v>170.32</v>
      </c>
      <c r="F720" s="115">
        <v>868.2</v>
      </c>
      <c r="G720">
        <v>2758</v>
      </c>
      <c r="H720" s="115"/>
      <c r="I720" s="115"/>
      <c r="L720" s="169">
        <v>43061</v>
      </c>
      <c r="M720" s="115">
        <v>169.59</v>
      </c>
      <c r="N720" s="115">
        <v>172.47</v>
      </c>
      <c r="O720" s="115">
        <v>169.2</v>
      </c>
      <c r="P720" s="115">
        <v>172.3</v>
      </c>
      <c r="Q720" s="115">
        <v>847.95</v>
      </c>
      <c r="R720">
        <v>1668</v>
      </c>
    </row>
    <row r="721" spans="1:18" x14ac:dyDescent="0.25">
      <c r="A721" s="169">
        <v>43063</v>
      </c>
      <c r="B721" s="115">
        <v>174.2</v>
      </c>
      <c r="C721" s="115">
        <v>172.78</v>
      </c>
      <c r="D721" s="115">
        <v>172.24</v>
      </c>
      <c r="E721" s="115">
        <v>173.77</v>
      </c>
      <c r="F721" s="115">
        <v>863.9</v>
      </c>
      <c r="G721">
        <v>326</v>
      </c>
      <c r="H721" s="115"/>
      <c r="I721" s="115"/>
      <c r="L721" s="169">
        <v>43062</v>
      </c>
      <c r="M721" s="115">
        <v>175.46</v>
      </c>
      <c r="N721" s="115">
        <v>176.69</v>
      </c>
      <c r="O721" s="115">
        <v>169</v>
      </c>
      <c r="P721" s="115">
        <v>171</v>
      </c>
      <c r="Q721" s="115">
        <v>877.3</v>
      </c>
      <c r="R721">
        <v>12881</v>
      </c>
    </row>
    <row r="722" spans="1:18" x14ac:dyDescent="0.25">
      <c r="A722" s="169">
        <v>43066</v>
      </c>
      <c r="B722" s="115">
        <v>172</v>
      </c>
      <c r="C722" s="115">
        <v>170.89</v>
      </c>
      <c r="D722" s="115">
        <v>170.4</v>
      </c>
      <c r="E722" s="115">
        <v>171.2</v>
      </c>
      <c r="F722" s="115">
        <v>854.45</v>
      </c>
      <c r="G722">
        <v>171</v>
      </c>
      <c r="H722" s="115"/>
      <c r="I722" s="115"/>
      <c r="L722" s="169">
        <v>43063</v>
      </c>
      <c r="M722" s="115">
        <v>172.63</v>
      </c>
      <c r="N722" s="115">
        <v>175.46</v>
      </c>
      <c r="O722" s="115">
        <v>172.03</v>
      </c>
      <c r="P722" s="115">
        <v>175.46</v>
      </c>
      <c r="Q722" s="115">
        <v>863.15</v>
      </c>
      <c r="R722">
        <v>2141</v>
      </c>
    </row>
    <row r="723" spans="1:18" x14ac:dyDescent="0.25">
      <c r="A723" s="169">
        <v>43067</v>
      </c>
      <c r="B723" s="115">
        <v>171.08</v>
      </c>
      <c r="C723" s="115">
        <v>168.99</v>
      </c>
      <c r="D723" s="115">
        <v>168.41</v>
      </c>
      <c r="E723" s="115">
        <v>171</v>
      </c>
      <c r="F723" s="115">
        <v>844.95</v>
      </c>
      <c r="G723">
        <v>229</v>
      </c>
      <c r="H723" s="115"/>
      <c r="I723" s="115"/>
      <c r="L723" s="169">
        <v>43066</v>
      </c>
      <c r="M723" s="115">
        <v>170.4</v>
      </c>
      <c r="N723" s="115">
        <v>173.91</v>
      </c>
      <c r="O723" s="115">
        <v>169.13</v>
      </c>
      <c r="P723" s="115">
        <v>173.81</v>
      </c>
      <c r="Q723" s="115">
        <v>852</v>
      </c>
      <c r="R723">
        <v>4614</v>
      </c>
    </row>
    <row r="724" spans="1:18" x14ac:dyDescent="0.25">
      <c r="A724" s="169">
        <v>43068</v>
      </c>
      <c r="B724" s="115">
        <v>173.4</v>
      </c>
      <c r="C724" s="115">
        <v>171.27</v>
      </c>
      <c r="D724" s="115">
        <v>168.41</v>
      </c>
      <c r="E724" s="115">
        <v>168.41</v>
      </c>
      <c r="F724" s="115">
        <v>856.35</v>
      </c>
      <c r="G724">
        <v>271</v>
      </c>
      <c r="H724" s="115"/>
      <c r="I724" s="115"/>
      <c r="L724" s="169">
        <v>43067</v>
      </c>
      <c r="M724" s="115">
        <v>169.45</v>
      </c>
      <c r="N724" s="115">
        <v>173.4</v>
      </c>
      <c r="O724" s="115">
        <v>169.2</v>
      </c>
      <c r="P724" s="115">
        <v>172</v>
      </c>
      <c r="Q724" s="115">
        <v>847.25</v>
      </c>
      <c r="R724">
        <v>5296</v>
      </c>
    </row>
    <row r="725" spans="1:18" x14ac:dyDescent="0.25">
      <c r="A725" s="169">
        <v>43069</v>
      </c>
      <c r="B725" s="115">
        <v>175</v>
      </c>
      <c r="C725" s="115">
        <v>173.46</v>
      </c>
      <c r="D725" s="115">
        <v>172.76</v>
      </c>
      <c r="E725" s="115">
        <v>173.16</v>
      </c>
      <c r="F725" s="115">
        <v>867.3</v>
      </c>
      <c r="G725">
        <v>812</v>
      </c>
      <c r="H725" s="115"/>
      <c r="I725" s="115"/>
      <c r="L725" s="169">
        <v>43068</v>
      </c>
      <c r="M725" s="115">
        <v>172.01</v>
      </c>
      <c r="N725" s="115">
        <v>173.76</v>
      </c>
      <c r="O725" s="115">
        <v>169.21</v>
      </c>
      <c r="P725" s="115">
        <v>169.4</v>
      </c>
      <c r="Q725" s="115">
        <v>860.05</v>
      </c>
      <c r="R725">
        <v>9249</v>
      </c>
    </row>
    <row r="726" spans="1:18" x14ac:dyDescent="0.25">
      <c r="A726" s="169">
        <v>43070</v>
      </c>
      <c r="B726" s="115">
        <v>180</v>
      </c>
      <c r="C726" s="115">
        <v>174.1</v>
      </c>
      <c r="D726" s="115">
        <v>173.04</v>
      </c>
      <c r="E726" s="115">
        <v>173.39</v>
      </c>
      <c r="F726" s="115">
        <v>870.5</v>
      </c>
      <c r="G726">
        <v>3483</v>
      </c>
      <c r="H726" s="115"/>
      <c r="I726" s="115"/>
      <c r="L726" s="169">
        <v>43069</v>
      </c>
      <c r="M726" s="115">
        <v>174.09</v>
      </c>
      <c r="N726" s="115">
        <v>175.46</v>
      </c>
      <c r="O726" s="115">
        <v>171.21</v>
      </c>
      <c r="P726" s="115">
        <v>171.21</v>
      </c>
      <c r="Q726" s="115">
        <v>870.45</v>
      </c>
      <c r="R726">
        <v>16628</v>
      </c>
    </row>
    <row r="727" spans="1:18" x14ac:dyDescent="0.25">
      <c r="A727" s="169">
        <v>43073</v>
      </c>
      <c r="B727" s="115">
        <v>176.67</v>
      </c>
      <c r="C727" s="115">
        <v>174.91</v>
      </c>
      <c r="D727" s="115">
        <v>169.45</v>
      </c>
      <c r="E727" s="115">
        <v>172.95</v>
      </c>
      <c r="F727" s="115">
        <v>874.55</v>
      </c>
      <c r="G727">
        <v>683</v>
      </c>
      <c r="H727" s="115"/>
      <c r="I727" s="115"/>
      <c r="L727" s="169">
        <v>43070</v>
      </c>
      <c r="M727" s="115">
        <v>172.11</v>
      </c>
      <c r="N727" s="115">
        <v>180.74</v>
      </c>
      <c r="O727" s="115">
        <v>170.05</v>
      </c>
      <c r="P727" s="115">
        <v>174</v>
      </c>
      <c r="Q727" s="115">
        <v>860.55</v>
      </c>
      <c r="R727">
        <v>28364</v>
      </c>
    </row>
    <row r="728" spans="1:18" x14ac:dyDescent="0.25">
      <c r="A728" s="169">
        <v>43074</v>
      </c>
      <c r="B728" s="115">
        <v>177</v>
      </c>
      <c r="C728" s="115">
        <v>172.96</v>
      </c>
      <c r="D728" s="115">
        <v>169.13</v>
      </c>
      <c r="E728" s="115">
        <v>172.8</v>
      </c>
      <c r="F728" s="115">
        <v>864.8</v>
      </c>
      <c r="G728">
        <v>100971</v>
      </c>
      <c r="H728" s="115"/>
      <c r="I728" s="115"/>
      <c r="L728" s="169">
        <v>43073</v>
      </c>
      <c r="M728" s="115">
        <v>175.15</v>
      </c>
      <c r="N728" s="115">
        <v>176.2</v>
      </c>
      <c r="O728" s="115">
        <v>169.4</v>
      </c>
      <c r="P728" s="115">
        <v>173.8</v>
      </c>
      <c r="Q728" s="115">
        <v>875.75</v>
      </c>
      <c r="R728">
        <v>13996</v>
      </c>
    </row>
    <row r="729" spans="1:18" x14ac:dyDescent="0.25">
      <c r="A729" s="169">
        <v>43075</v>
      </c>
      <c r="B729" s="115">
        <v>171.25</v>
      </c>
      <c r="C729" s="115">
        <v>168.27</v>
      </c>
      <c r="D729" s="115">
        <v>165.68</v>
      </c>
      <c r="E729" s="115">
        <v>171.2</v>
      </c>
      <c r="F729" s="115">
        <v>841.35</v>
      </c>
      <c r="G729">
        <v>204</v>
      </c>
      <c r="H729" s="115"/>
      <c r="I729" s="115"/>
      <c r="L729" s="169">
        <v>43074</v>
      </c>
      <c r="M729" s="115">
        <v>171.87</v>
      </c>
      <c r="N729" s="115">
        <v>177.6</v>
      </c>
      <c r="O729" s="115">
        <v>170.86</v>
      </c>
      <c r="P729" s="115">
        <v>175</v>
      </c>
      <c r="Q729" s="115">
        <v>859.35</v>
      </c>
      <c r="R729">
        <v>7678</v>
      </c>
    </row>
    <row r="730" spans="1:18" x14ac:dyDescent="0.25">
      <c r="A730" s="169">
        <v>43076</v>
      </c>
      <c r="B730" s="115">
        <v>174.8</v>
      </c>
      <c r="C730" s="115">
        <v>173.42</v>
      </c>
      <c r="D730" s="115">
        <v>168</v>
      </c>
      <c r="E730" s="115">
        <v>168.12</v>
      </c>
      <c r="F730" s="115">
        <v>867.1</v>
      </c>
      <c r="G730">
        <v>3580</v>
      </c>
      <c r="H730" s="115"/>
      <c r="I730" s="115"/>
      <c r="L730" s="169">
        <v>43075</v>
      </c>
      <c r="M730" s="115">
        <v>167.8</v>
      </c>
      <c r="N730" s="115">
        <v>171.98</v>
      </c>
      <c r="O730" s="115">
        <v>167.07</v>
      </c>
      <c r="P730" s="115">
        <v>171.4</v>
      </c>
      <c r="Q730" s="115">
        <v>839</v>
      </c>
      <c r="R730">
        <v>5093</v>
      </c>
    </row>
    <row r="731" spans="1:18" x14ac:dyDescent="0.25">
      <c r="A731" s="169">
        <v>43077</v>
      </c>
      <c r="B731" s="115">
        <v>177.8</v>
      </c>
      <c r="C731" s="115">
        <v>175.61</v>
      </c>
      <c r="D731" s="115">
        <v>170.21</v>
      </c>
      <c r="E731" s="115">
        <v>173.88</v>
      </c>
      <c r="F731" s="115">
        <v>878.05</v>
      </c>
      <c r="G731">
        <v>1843</v>
      </c>
      <c r="H731" s="115"/>
      <c r="I731" s="115"/>
      <c r="L731" s="169">
        <v>43076</v>
      </c>
      <c r="M731" s="115">
        <v>174.08</v>
      </c>
      <c r="N731" s="115">
        <v>175</v>
      </c>
      <c r="O731" s="115">
        <v>168.54</v>
      </c>
      <c r="P731" s="115">
        <v>169.26</v>
      </c>
      <c r="Q731" s="115">
        <v>870.4</v>
      </c>
      <c r="R731">
        <v>10164</v>
      </c>
    </row>
    <row r="732" spans="1:18" x14ac:dyDescent="0.25">
      <c r="A732" s="169">
        <v>43080</v>
      </c>
      <c r="B732" s="115">
        <v>181.2</v>
      </c>
      <c r="C732" s="115">
        <v>179.77</v>
      </c>
      <c r="D732" s="115">
        <v>172.58</v>
      </c>
      <c r="E732" s="115">
        <v>174.02</v>
      </c>
      <c r="F732" s="115">
        <v>898.85</v>
      </c>
      <c r="G732">
        <v>3098</v>
      </c>
      <c r="H732" s="115"/>
      <c r="I732" s="115"/>
      <c r="L732" s="169">
        <v>43077</v>
      </c>
      <c r="M732" s="115">
        <v>176.63</v>
      </c>
      <c r="N732" s="115">
        <v>178.35</v>
      </c>
      <c r="O732" s="115">
        <v>170.81</v>
      </c>
      <c r="P732" s="115">
        <v>174</v>
      </c>
      <c r="Q732" s="115">
        <v>883.15</v>
      </c>
      <c r="R732">
        <v>17438</v>
      </c>
    </row>
    <row r="733" spans="1:18" x14ac:dyDescent="0.25">
      <c r="A733" s="169">
        <v>43081</v>
      </c>
      <c r="B733" s="115">
        <v>182.4</v>
      </c>
      <c r="C733" s="115">
        <v>179.31</v>
      </c>
      <c r="D733" s="115">
        <v>175.2</v>
      </c>
      <c r="E733" s="115">
        <v>175.29</v>
      </c>
      <c r="F733" s="115">
        <v>896.55</v>
      </c>
      <c r="G733">
        <v>714</v>
      </c>
      <c r="H733" s="115"/>
      <c r="I733" s="115"/>
      <c r="L733" s="169">
        <v>43080</v>
      </c>
      <c r="M733" s="115">
        <v>178.29</v>
      </c>
      <c r="N733" s="115">
        <v>179.41</v>
      </c>
      <c r="O733" s="115">
        <v>173</v>
      </c>
      <c r="P733" s="115">
        <v>177</v>
      </c>
      <c r="Q733" s="115">
        <v>891.45</v>
      </c>
      <c r="R733">
        <v>12387</v>
      </c>
    </row>
    <row r="734" spans="1:18" x14ac:dyDescent="0.25">
      <c r="A734" s="169">
        <v>43082</v>
      </c>
      <c r="B734" s="115">
        <v>180.13</v>
      </c>
      <c r="C734" s="115">
        <v>179.83</v>
      </c>
      <c r="D734" s="115">
        <v>178.04</v>
      </c>
      <c r="E734" s="115">
        <v>178.6</v>
      </c>
      <c r="F734" s="115">
        <v>899.15</v>
      </c>
      <c r="G734">
        <v>163</v>
      </c>
      <c r="H734" s="115"/>
      <c r="I734" s="115"/>
      <c r="L734" s="169">
        <v>43081</v>
      </c>
      <c r="M734" s="115">
        <v>179.32</v>
      </c>
      <c r="N734" s="115">
        <v>180.8</v>
      </c>
      <c r="O734" s="115">
        <v>174.4</v>
      </c>
      <c r="P734" s="115">
        <v>175.67</v>
      </c>
      <c r="Q734" s="115">
        <v>896.6</v>
      </c>
      <c r="R734">
        <v>14427</v>
      </c>
    </row>
    <row r="735" spans="1:18" x14ac:dyDescent="0.25">
      <c r="A735" s="169">
        <v>43083</v>
      </c>
      <c r="B735" s="115">
        <v>179.43</v>
      </c>
      <c r="C735" s="115">
        <v>176.57</v>
      </c>
      <c r="D735" s="115">
        <v>175.47</v>
      </c>
      <c r="E735" s="115">
        <v>179.2</v>
      </c>
      <c r="F735" s="115">
        <v>882.85</v>
      </c>
      <c r="G735">
        <v>394</v>
      </c>
      <c r="H735" s="115"/>
      <c r="I735" s="115"/>
      <c r="L735" s="169">
        <v>43082</v>
      </c>
      <c r="M735" s="115">
        <v>179.22</v>
      </c>
      <c r="N735" s="115">
        <v>183</v>
      </c>
      <c r="O735" s="115">
        <v>176.61</v>
      </c>
      <c r="P735" s="115">
        <v>180.4</v>
      </c>
      <c r="Q735" s="115">
        <v>896.1</v>
      </c>
      <c r="R735">
        <v>12888</v>
      </c>
    </row>
    <row r="736" spans="1:18" x14ac:dyDescent="0.25">
      <c r="A736" s="169">
        <v>43084</v>
      </c>
      <c r="B736" s="115">
        <v>179.8</v>
      </c>
      <c r="C736" s="115">
        <v>178.33</v>
      </c>
      <c r="D736" s="115">
        <v>174.21</v>
      </c>
      <c r="E736" s="115">
        <v>178.19</v>
      </c>
      <c r="F736" s="115">
        <v>891.65</v>
      </c>
      <c r="G736">
        <v>541</v>
      </c>
      <c r="H736" s="115"/>
      <c r="I736" s="115"/>
      <c r="L736" s="169">
        <v>43083</v>
      </c>
      <c r="M736" s="115">
        <v>176.77</v>
      </c>
      <c r="N736" s="115">
        <v>179.59</v>
      </c>
      <c r="O736" s="115">
        <v>174.81</v>
      </c>
      <c r="P736" s="115">
        <v>179.59</v>
      </c>
      <c r="Q736" s="115">
        <v>883.85</v>
      </c>
      <c r="R736">
        <v>3738</v>
      </c>
    </row>
    <row r="737" spans="1:18" x14ac:dyDescent="0.25">
      <c r="A737" s="169">
        <v>43087</v>
      </c>
      <c r="B737" s="115">
        <v>177.94</v>
      </c>
      <c r="C737" s="115">
        <v>175.77</v>
      </c>
      <c r="D737" s="115">
        <v>171.47</v>
      </c>
      <c r="E737" s="115">
        <v>173.08</v>
      </c>
      <c r="F737" s="115">
        <v>878.85</v>
      </c>
      <c r="G737">
        <v>236</v>
      </c>
      <c r="H737" s="115"/>
      <c r="I737" s="115"/>
      <c r="L737" s="169">
        <v>43084</v>
      </c>
      <c r="M737" s="115">
        <v>179.49</v>
      </c>
      <c r="N737" s="115">
        <v>182.99</v>
      </c>
      <c r="O737" s="115">
        <v>174.4</v>
      </c>
      <c r="P737" s="115">
        <v>182.99</v>
      </c>
      <c r="Q737" s="115">
        <v>897.45</v>
      </c>
      <c r="R737">
        <v>10515</v>
      </c>
    </row>
    <row r="738" spans="1:18" x14ac:dyDescent="0.25">
      <c r="A738" s="169">
        <v>43088</v>
      </c>
      <c r="B738" s="115">
        <v>178</v>
      </c>
      <c r="C738" s="115">
        <v>174.71</v>
      </c>
      <c r="D738" s="115">
        <v>174.19</v>
      </c>
      <c r="E738" s="115">
        <v>177.23</v>
      </c>
      <c r="F738" s="115">
        <v>873.55</v>
      </c>
      <c r="G738">
        <v>435</v>
      </c>
      <c r="H738" s="115"/>
      <c r="I738" s="115"/>
      <c r="L738" s="169">
        <v>43087</v>
      </c>
      <c r="M738" s="115">
        <v>175.36</v>
      </c>
      <c r="N738" s="115">
        <v>178.52</v>
      </c>
      <c r="O738" s="115">
        <v>172.65</v>
      </c>
      <c r="P738" s="115">
        <v>175</v>
      </c>
      <c r="Q738" s="115">
        <v>876.8</v>
      </c>
      <c r="R738">
        <v>8396</v>
      </c>
    </row>
    <row r="739" spans="1:18" x14ac:dyDescent="0.25">
      <c r="A739" s="169">
        <v>43089</v>
      </c>
      <c r="B739" s="115">
        <v>175.2</v>
      </c>
      <c r="C739" s="115">
        <v>173.19</v>
      </c>
      <c r="D739" s="115">
        <v>172.4</v>
      </c>
      <c r="E739" s="115">
        <v>175.2</v>
      </c>
      <c r="F739" s="115">
        <v>865.95</v>
      </c>
      <c r="G739">
        <v>103</v>
      </c>
      <c r="H739" s="115"/>
      <c r="I739" s="115"/>
      <c r="L739" s="169">
        <v>43088</v>
      </c>
      <c r="M739" s="115">
        <v>175.08</v>
      </c>
      <c r="N739" s="115">
        <v>180.38</v>
      </c>
      <c r="O739" s="115">
        <v>173.93</v>
      </c>
      <c r="P739" s="115">
        <v>180.38</v>
      </c>
      <c r="Q739" s="115">
        <v>875.4</v>
      </c>
      <c r="R739">
        <v>2759</v>
      </c>
    </row>
    <row r="740" spans="1:18" x14ac:dyDescent="0.25">
      <c r="A740" s="169">
        <v>43090</v>
      </c>
      <c r="B740" s="115">
        <v>175</v>
      </c>
      <c r="C740" s="115">
        <v>174.59</v>
      </c>
      <c r="D740" s="115">
        <v>172.61</v>
      </c>
      <c r="E740" s="115">
        <v>175</v>
      </c>
      <c r="F740" s="115">
        <v>872.95</v>
      </c>
      <c r="G740">
        <v>5033</v>
      </c>
      <c r="H740" s="115"/>
      <c r="I740" s="115"/>
      <c r="L740" s="169">
        <v>43089</v>
      </c>
      <c r="M740" s="115">
        <v>174.44</v>
      </c>
      <c r="N740" s="115">
        <v>176.01</v>
      </c>
      <c r="O740" s="115">
        <v>173.71</v>
      </c>
      <c r="P740" s="115">
        <v>176.01</v>
      </c>
      <c r="Q740" s="115">
        <v>872.2</v>
      </c>
      <c r="R740">
        <v>4299</v>
      </c>
    </row>
    <row r="741" spans="1:18" x14ac:dyDescent="0.25">
      <c r="A741" s="169">
        <v>43091</v>
      </c>
      <c r="B741" s="115">
        <v>181.91</v>
      </c>
      <c r="C741" s="115">
        <v>178.37</v>
      </c>
      <c r="D741" s="115">
        <v>172.09</v>
      </c>
      <c r="E741" s="115">
        <v>175.46</v>
      </c>
      <c r="F741" s="115">
        <v>891.85</v>
      </c>
      <c r="G741">
        <v>2837</v>
      </c>
      <c r="H741" s="115"/>
      <c r="I741" s="115"/>
      <c r="L741" s="169">
        <v>43090</v>
      </c>
      <c r="M741" s="115">
        <v>175.85</v>
      </c>
      <c r="N741" s="115">
        <v>177.43</v>
      </c>
      <c r="O741" s="115">
        <v>173.93</v>
      </c>
      <c r="P741" s="115">
        <v>174.45</v>
      </c>
      <c r="Q741" s="115">
        <v>879.25</v>
      </c>
      <c r="R741">
        <v>5804</v>
      </c>
    </row>
    <row r="742" spans="1:18" x14ac:dyDescent="0.25">
      <c r="A742" s="169">
        <v>43095</v>
      </c>
      <c r="B742" s="115">
        <v>181.4</v>
      </c>
      <c r="C742" s="115">
        <v>176.74</v>
      </c>
      <c r="D742" s="115">
        <v>176</v>
      </c>
      <c r="E742" s="115">
        <v>178.41</v>
      </c>
      <c r="F742" s="115">
        <v>883.7</v>
      </c>
      <c r="G742">
        <v>1045</v>
      </c>
      <c r="H742" s="115"/>
      <c r="I742" s="115"/>
      <c r="L742" s="169">
        <v>43091</v>
      </c>
      <c r="M742" s="115">
        <v>179.84</v>
      </c>
      <c r="N742" s="115">
        <v>181.2</v>
      </c>
      <c r="O742" s="115">
        <v>172.41</v>
      </c>
      <c r="P742" s="115">
        <v>174.81</v>
      </c>
      <c r="Q742" s="115">
        <v>899.2</v>
      </c>
      <c r="R742">
        <v>23614</v>
      </c>
    </row>
    <row r="743" spans="1:18" x14ac:dyDescent="0.25">
      <c r="A743" s="169">
        <v>43096</v>
      </c>
      <c r="B743" s="115">
        <v>181</v>
      </c>
      <c r="C743" s="115">
        <v>179.19</v>
      </c>
      <c r="D743" s="115">
        <v>177.2</v>
      </c>
      <c r="E743" s="115">
        <v>178.94</v>
      </c>
      <c r="F743" s="115">
        <v>895.95</v>
      </c>
      <c r="G743">
        <v>238</v>
      </c>
      <c r="H743" s="115"/>
      <c r="I743" s="115"/>
      <c r="L743" s="169">
        <v>43095</v>
      </c>
      <c r="M743" s="115">
        <v>178.57</v>
      </c>
      <c r="N743" s="115">
        <v>182.01</v>
      </c>
      <c r="O743" s="115">
        <v>178</v>
      </c>
      <c r="P743" s="115">
        <v>180</v>
      </c>
      <c r="Q743" s="115">
        <v>892.85</v>
      </c>
      <c r="R743">
        <v>7960</v>
      </c>
    </row>
    <row r="744" spans="1:18" x14ac:dyDescent="0.25">
      <c r="A744" s="169">
        <v>43097</v>
      </c>
      <c r="B744" s="115">
        <v>185</v>
      </c>
      <c r="C744" s="115">
        <v>183.54</v>
      </c>
      <c r="D744" s="115">
        <v>178</v>
      </c>
      <c r="E744" s="115">
        <v>180</v>
      </c>
      <c r="F744" s="115">
        <v>917.7</v>
      </c>
      <c r="G744">
        <v>6360</v>
      </c>
      <c r="H744" s="115"/>
      <c r="I744" s="115"/>
      <c r="L744" s="169">
        <v>43096</v>
      </c>
      <c r="M744" s="115">
        <v>179.1</v>
      </c>
      <c r="N744" s="115">
        <v>180.8</v>
      </c>
      <c r="O744" s="115">
        <v>177.13</v>
      </c>
      <c r="P744" s="115">
        <v>179.8</v>
      </c>
      <c r="Q744" s="115">
        <v>895.5</v>
      </c>
      <c r="R744">
        <v>14179</v>
      </c>
    </row>
    <row r="745" spans="1:18" x14ac:dyDescent="0.25">
      <c r="A745" s="169">
        <v>43098</v>
      </c>
      <c r="B745" s="115">
        <v>185</v>
      </c>
      <c r="C745" s="115">
        <v>177.3</v>
      </c>
      <c r="D745" s="115">
        <v>171.11</v>
      </c>
      <c r="E745" s="115">
        <v>184.2</v>
      </c>
      <c r="F745" s="115">
        <v>886.5</v>
      </c>
      <c r="G745">
        <v>6340</v>
      </c>
      <c r="H745" s="115"/>
      <c r="I745" s="115"/>
      <c r="L745" s="169">
        <v>43097</v>
      </c>
      <c r="M745" s="115">
        <v>182.11</v>
      </c>
      <c r="N745" s="115">
        <v>184.4</v>
      </c>
      <c r="O745" s="115">
        <v>177.21</v>
      </c>
      <c r="P745" s="115">
        <v>181.1</v>
      </c>
      <c r="Q745" s="115">
        <v>910.55</v>
      </c>
      <c r="R745">
        <v>60818</v>
      </c>
    </row>
    <row r="746" spans="1:18" x14ac:dyDescent="0.25">
      <c r="A746" s="169">
        <v>43101</v>
      </c>
      <c r="B746" s="115">
        <v>178.4</v>
      </c>
      <c r="C746" s="115">
        <v>172.82</v>
      </c>
      <c r="D746" s="115">
        <v>172.02</v>
      </c>
      <c r="E746" s="115">
        <v>178.4</v>
      </c>
      <c r="F746" s="115">
        <v>864.1</v>
      </c>
      <c r="G746">
        <v>3674</v>
      </c>
      <c r="H746" s="115"/>
      <c r="I746" s="115"/>
      <c r="L746" s="169">
        <v>43098</v>
      </c>
      <c r="M746" s="115">
        <v>181.07</v>
      </c>
      <c r="N746" s="115">
        <v>185.7</v>
      </c>
      <c r="O746" s="115">
        <v>174.71</v>
      </c>
      <c r="P746" s="115">
        <v>183.15</v>
      </c>
      <c r="Q746" s="115">
        <v>905.35</v>
      </c>
      <c r="R746">
        <v>55817</v>
      </c>
    </row>
    <row r="747" spans="1:18" x14ac:dyDescent="0.25">
      <c r="A747" s="169">
        <v>43102</v>
      </c>
      <c r="B747" s="115">
        <v>177</v>
      </c>
      <c r="C747" s="115">
        <v>174.04</v>
      </c>
      <c r="D747" s="115">
        <v>171.12</v>
      </c>
      <c r="E747" s="115">
        <v>175.11</v>
      </c>
      <c r="F747" s="115">
        <v>870.2</v>
      </c>
      <c r="G747">
        <v>2685</v>
      </c>
      <c r="H747" s="115"/>
      <c r="I747" s="115"/>
      <c r="L747" s="169">
        <v>43101</v>
      </c>
      <c r="M747" s="115">
        <v>173.45</v>
      </c>
      <c r="N747" s="115">
        <v>178.6</v>
      </c>
      <c r="O747" s="115">
        <v>172.6</v>
      </c>
      <c r="P747" s="115">
        <v>178.37</v>
      </c>
      <c r="Q747" s="115">
        <v>867.25</v>
      </c>
      <c r="R747">
        <v>18071</v>
      </c>
    </row>
    <row r="748" spans="1:18" x14ac:dyDescent="0.25">
      <c r="A748" s="169">
        <v>43103</v>
      </c>
      <c r="B748" s="115">
        <v>179.78</v>
      </c>
      <c r="C748" s="115">
        <v>177.52</v>
      </c>
      <c r="D748" s="115">
        <v>174.96</v>
      </c>
      <c r="E748" s="115">
        <v>174.96</v>
      </c>
      <c r="F748" s="115">
        <v>887.6</v>
      </c>
      <c r="G748">
        <v>1962</v>
      </c>
      <c r="H748" s="115"/>
      <c r="I748" s="115"/>
      <c r="L748" s="169">
        <v>43102</v>
      </c>
      <c r="M748" s="115">
        <v>174.73</v>
      </c>
      <c r="N748" s="115">
        <v>176.8</v>
      </c>
      <c r="O748" s="115">
        <v>171</v>
      </c>
      <c r="P748" s="115">
        <v>172.6</v>
      </c>
      <c r="Q748" s="115">
        <v>873.65</v>
      </c>
      <c r="R748">
        <v>55668</v>
      </c>
    </row>
    <row r="749" spans="1:18" x14ac:dyDescent="0.25">
      <c r="A749" s="169">
        <v>43104</v>
      </c>
      <c r="B749" s="115">
        <v>187</v>
      </c>
      <c r="C749" s="115">
        <v>179.45</v>
      </c>
      <c r="D749" s="115">
        <v>177.6</v>
      </c>
      <c r="E749" s="115">
        <v>185.6</v>
      </c>
      <c r="F749" s="115">
        <v>897.25</v>
      </c>
      <c r="G749">
        <v>5370</v>
      </c>
      <c r="H749" s="115"/>
      <c r="I749" s="115"/>
      <c r="L749" s="169">
        <v>43103</v>
      </c>
      <c r="M749" s="115">
        <v>177.15</v>
      </c>
      <c r="N749" s="115">
        <v>179.98</v>
      </c>
      <c r="O749" s="115">
        <v>175.21</v>
      </c>
      <c r="P749" s="115">
        <v>177.2</v>
      </c>
      <c r="Q749" s="115">
        <v>885.75</v>
      </c>
      <c r="R749">
        <v>17850</v>
      </c>
    </row>
    <row r="750" spans="1:18" x14ac:dyDescent="0.25">
      <c r="A750" s="169">
        <v>43105</v>
      </c>
      <c r="B750" s="115">
        <v>182.9</v>
      </c>
      <c r="C750" s="115">
        <v>178.86</v>
      </c>
      <c r="D750" s="115">
        <v>177.53</v>
      </c>
      <c r="E750" s="115">
        <v>180</v>
      </c>
      <c r="F750" s="115">
        <v>894.3</v>
      </c>
      <c r="G750">
        <v>5552</v>
      </c>
      <c r="H750" s="115"/>
      <c r="I750" s="115"/>
      <c r="L750" s="169">
        <v>43104</v>
      </c>
      <c r="M750" s="115">
        <v>178.79</v>
      </c>
      <c r="N750" s="115">
        <v>184</v>
      </c>
      <c r="O750" s="115">
        <v>177.4</v>
      </c>
      <c r="P750" s="115">
        <v>184</v>
      </c>
      <c r="Q750" s="115">
        <v>893.95</v>
      </c>
      <c r="R750">
        <v>37470</v>
      </c>
    </row>
    <row r="751" spans="1:18" x14ac:dyDescent="0.25">
      <c r="A751" s="169">
        <v>43108</v>
      </c>
      <c r="B751" s="115">
        <v>181.27</v>
      </c>
      <c r="C751" s="115">
        <v>178.9</v>
      </c>
      <c r="D751" s="115">
        <v>178.4</v>
      </c>
      <c r="E751" s="115">
        <v>181.26</v>
      </c>
      <c r="F751" s="115">
        <v>894.5</v>
      </c>
      <c r="G751">
        <v>1872</v>
      </c>
      <c r="H751" s="115"/>
      <c r="I751" s="115"/>
      <c r="L751" s="169">
        <v>43105</v>
      </c>
      <c r="M751" s="115">
        <v>180.07</v>
      </c>
      <c r="N751" s="115">
        <v>182.4</v>
      </c>
      <c r="O751" s="115">
        <v>178.09</v>
      </c>
      <c r="P751" s="115">
        <v>182.35</v>
      </c>
      <c r="Q751" s="115">
        <v>900.35</v>
      </c>
      <c r="R751">
        <v>13660</v>
      </c>
    </row>
    <row r="752" spans="1:18" x14ac:dyDescent="0.25">
      <c r="A752" s="169">
        <v>43109</v>
      </c>
      <c r="B752" s="115">
        <v>184</v>
      </c>
      <c r="C752" s="115">
        <v>181.16</v>
      </c>
      <c r="D752" s="115">
        <v>179.61</v>
      </c>
      <c r="E752" s="115">
        <v>181.08</v>
      </c>
      <c r="F752" s="115">
        <v>905.8</v>
      </c>
      <c r="G752">
        <v>1022</v>
      </c>
      <c r="H752" s="115"/>
      <c r="I752" s="115"/>
      <c r="L752" s="169">
        <v>43108</v>
      </c>
      <c r="M752" s="115">
        <v>180.01</v>
      </c>
      <c r="N752" s="115">
        <v>182.01</v>
      </c>
      <c r="O752" s="115">
        <v>178.64</v>
      </c>
      <c r="P752" s="115">
        <v>180.07</v>
      </c>
      <c r="Q752" s="115">
        <v>900.05</v>
      </c>
      <c r="R752">
        <v>6728</v>
      </c>
    </row>
    <row r="753" spans="1:18" x14ac:dyDescent="0.25">
      <c r="A753" s="169">
        <v>43110</v>
      </c>
      <c r="B753" s="115">
        <v>184.14</v>
      </c>
      <c r="C753" s="115">
        <v>180.86</v>
      </c>
      <c r="D753" s="115">
        <v>178.01</v>
      </c>
      <c r="E753" s="115">
        <v>180.6</v>
      </c>
      <c r="F753" s="115">
        <v>904.3</v>
      </c>
      <c r="G753">
        <v>949</v>
      </c>
      <c r="H753" s="115"/>
      <c r="I753" s="115"/>
      <c r="L753" s="169">
        <v>43109</v>
      </c>
      <c r="M753" s="115">
        <v>180.63</v>
      </c>
      <c r="N753" s="115">
        <v>183.8</v>
      </c>
      <c r="O753" s="115">
        <v>179.4</v>
      </c>
      <c r="P753" s="115">
        <v>180.04</v>
      </c>
      <c r="Q753" s="115">
        <v>903.15</v>
      </c>
      <c r="R753">
        <v>26830</v>
      </c>
    </row>
    <row r="754" spans="1:18" x14ac:dyDescent="0.25">
      <c r="A754" s="169">
        <v>43111</v>
      </c>
      <c r="B754" s="115">
        <v>179.75</v>
      </c>
      <c r="C754" s="115">
        <v>177.31</v>
      </c>
      <c r="D754" s="115">
        <v>176.06</v>
      </c>
      <c r="E754" s="115">
        <v>178.78</v>
      </c>
      <c r="F754" s="115">
        <v>886.55</v>
      </c>
      <c r="G754">
        <v>2538</v>
      </c>
      <c r="H754" s="115"/>
      <c r="I754" s="115"/>
      <c r="L754" s="169">
        <v>43110</v>
      </c>
      <c r="M754" s="115">
        <v>178.99</v>
      </c>
      <c r="N754" s="115">
        <v>181.6</v>
      </c>
      <c r="O754" s="115">
        <v>178.01</v>
      </c>
      <c r="P754" s="115">
        <v>179.2</v>
      </c>
      <c r="Q754" s="115">
        <v>894.95</v>
      </c>
      <c r="R754">
        <v>7520</v>
      </c>
    </row>
    <row r="755" spans="1:18" x14ac:dyDescent="0.25">
      <c r="A755" s="169">
        <v>43112</v>
      </c>
      <c r="B755" s="115">
        <v>179.2</v>
      </c>
      <c r="C755" s="115">
        <v>178.18</v>
      </c>
      <c r="D755" s="115">
        <v>176.4</v>
      </c>
      <c r="E755" s="115">
        <v>177.66</v>
      </c>
      <c r="F755" s="115">
        <v>890.9</v>
      </c>
      <c r="G755">
        <v>591</v>
      </c>
      <c r="H755" s="115"/>
      <c r="I755" s="115"/>
      <c r="L755" s="169">
        <v>43111</v>
      </c>
      <c r="M755" s="115">
        <v>177.87</v>
      </c>
      <c r="N755" s="115">
        <v>180.31</v>
      </c>
      <c r="O755" s="115">
        <v>176.4</v>
      </c>
      <c r="P755" s="115">
        <v>178.15</v>
      </c>
      <c r="Q755" s="115">
        <v>889.35</v>
      </c>
      <c r="R755">
        <v>2928</v>
      </c>
    </row>
    <row r="756" spans="1:18" x14ac:dyDescent="0.25">
      <c r="A756" s="169">
        <v>43115</v>
      </c>
      <c r="B756" s="115">
        <v>178.4</v>
      </c>
      <c r="C756" s="115">
        <v>176.85</v>
      </c>
      <c r="D756" s="115">
        <v>176.2</v>
      </c>
      <c r="E756" s="115">
        <v>178.4</v>
      </c>
      <c r="F756" s="115">
        <v>884.25</v>
      </c>
      <c r="G756">
        <v>422</v>
      </c>
      <c r="H756" s="115"/>
      <c r="I756" s="115"/>
      <c r="L756" s="169">
        <v>43112</v>
      </c>
      <c r="M756" s="115">
        <v>177.29</v>
      </c>
      <c r="N756" s="115">
        <v>179.8</v>
      </c>
      <c r="O756" s="115">
        <v>176.4</v>
      </c>
      <c r="P756" s="115">
        <v>179.11</v>
      </c>
      <c r="Q756" s="115">
        <v>886.45</v>
      </c>
      <c r="R756">
        <v>5482</v>
      </c>
    </row>
    <row r="757" spans="1:18" x14ac:dyDescent="0.25">
      <c r="A757" s="169">
        <v>43116</v>
      </c>
      <c r="B757" s="115">
        <v>187.2</v>
      </c>
      <c r="C757" s="115">
        <v>178.73</v>
      </c>
      <c r="D757" s="115">
        <v>175.4</v>
      </c>
      <c r="E757" s="115">
        <v>176.21</v>
      </c>
      <c r="F757" s="115">
        <v>893.65</v>
      </c>
      <c r="G757">
        <v>1834</v>
      </c>
      <c r="H757" s="115"/>
      <c r="I757" s="115"/>
      <c r="L757" s="169">
        <v>43115</v>
      </c>
      <c r="M757" s="115">
        <v>177.01</v>
      </c>
      <c r="N757" s="115">
        <v>179.39</v>
      </c>
      <c r="O757" s="115">
        <v>176.4</v>
      </c>
      <c r="P757" s="115">
        <v>179.39</v>
      </c>
      <c r="Q757" s="115">
        <v>885.05</v>
      </c>
      <c r="R757">
        <v>2662</v>
      </c>
    </row>
    <row r="758" spans="1:18" x14ac:dyDescent="0.25">
      <c r="A758" s="169">
        <v>43117</v>
      </c>
      <c r="B758" s="115">
        <v>180.87</v>
      </c>
      <c r="C758" s="115">
        <v>177.98</v>
      </c>
      <c r="D758" s="115">
        <v>177.06</v>
      </c>
      <c r="E758" s="115">
        <v>177.06</v>
      </c>
      <c r="F758" s="115">
        <v>889.9</v>
      </c>
      <c r="G758">
        <v>375</v>
      </c>
      <c r="H758" s="115"/>
      <c r="I758" s="115"/>
      <c r="L758" s="169">
        <v>43116</v>
      </c>
      <c r="M758" s="115">
        <v>178.07</v>
      </c>
      <c r="N758" s="115">
        <v>187.6</v>
      </c>
      <c r="O758" s="115">
        <v>175.85</v>
      </c>
      <c r="P758" s="115">
        <v>176.2</v>
      </c>
      <c r="Q758" s="115">
        <v>890.35</v>
      </c>
      <c r="R758">
        <v>29771</v>
      </c>
    </row>
    <row r="759" spans="1:18" x14ac:dyDescent="0.25">
      <c r="A759" s="169">
        <v>43118</v>
      </c>
      <c r="B759" s="115">
        <v>182</v>
      </c>
      <c r="C759" s="115">
        <v>177.89</v>
      </c>
      <c r="D759" s="115">
        <v>174.41</v>
      </c>
      <c r="E759" s="115">
        <v>177.7</v>
      </c>
      <c r="F759" s="115">
        <v>889.45</v>
      </c>
      <c r="G759">
        <v>833</v>
      </c>
      <c r="H759" s="115"/>
      <c r="I759" s="115"/>
      <c r="L759" s="169">
        <v>43117</v>
      </c>
      <c r="M759" s="115">
        <v>178.3</v>
      </c>
      <c r="N759" s="115">
        <v>182</v>
      </c>
      <c r="O759" s="115">
        <v>177.13</v>
      </c>
      <c r="P759" s="115">
        <v>178.4</v>
      </c>
      <c r="Q759" s="115">
        <v>891.5</v>
      </c>
      <c r="R759">
        <v>5649</v>
      </c>
    </row>
    <row r="760" spans="1:18" x14ac:dyDescent="0.25">
      <c r="A760" s="169">
        <v>43119</v>
      </c>
      <c r="B760" s="115">
        <v>179.8</v>
      </c>
      <c r="C760" s="115">
        <v>177.73</v>
      </c>
      <c r="D760" s="115">
        <v>176</v>
      </c>
      <c r="E760" s="115">
        <v>177.8</v>
      </c>
      <c r="F760" s="115">
        <v>888.65</v>
      </c>
      <c r="G760">
        <v>721</v>
      </c>
      <c r="H760" s="115"/>
      <c r="I760" s="115"/>
      <c r="L760" s="169">
        <v>43118</v>
      </c>
      <c r="M760" s="115">
        <v>179.45</v>
      </c>
      <c r="N760" s="115">
        <v>180.8</v>
      </c>
      <c r="O760" s="115">
        <v>176</v>
      </c>
      <c r="P760" s="115">
        <v>178.4</v>
      </c>
      <c r="Q760" s="115">
        <v>897.25</v>
      </c>
      <c r="R760">
        <v>8570</v>
      </c>
    </row>
    <row r="761" spans="1:18" x14ac:dyDescent="0.25">
      <c r="A761" s="169">
        <v>43122</v>
      </c>
      <c r="B761" s="115">
        <v>179.88</v>
      </c>
      <c r="C761" s="115">
        <v>177</v>
      </c>
      <c r="D761" s="115">
        <v>176.39</v>
      </c>
      <c r="E761" s="115">
        <v>178</v>
      </c>
      <c r="F761" s="115">
        <v>885</v>
      </c>
      <c r="G761">
        <v>385</v>
      </c>
      <c r="H761" s="115"/>
      <c r="I761" s="115"/>
      <c r="L761" s="169">
        <v>43119</v>
      </c>
      <c r="M761" s="115">
        <v>178.73</v>
      </c>
      <c r="N761" s="115">
        <v>180</v>
      </c>
      <c r="O761" s="115">
        <v>175.83</v>
      </c>
      <c r="P761" s="115">
        <v>179</v>
      </c>
      <c r="Q761" s="115">
        <v>893.65</v>
      </c>
      <c r="R761">
        <v>19323</v>
      </c>
    </row>
    <row r="762" spans="1:18" x14ac:dyDescent="0.25">
      <c r="A762" s="169">
        <v>43123</v>
      </c>
      <c r="B762" s="115">
        <v>178.8</v>
      </c>
      <c r="C762" s="115">
        <v>174.53</v>
      </c>
      <c r="D762" s="115">
        <v>174.32</v>
      </c>
      <c r="E762" s="115">
        <v>177.21</v>
      </c>
      <c r="F762" s="115">
        <v>872.65</v>
      </c>
      <c r="G762">
        <v>470</v>
      </c>
      <c r="H762" s="115"/>
      <c r="I762" s="115"/>
      <c r="L762" s="169">
        <v>43122</v>
      </c>
      <c r="M762" s="115">
        <v>177.4</v>
      </c>
      <c r="N762" s="115">
        <v>179.74</v>
      </c>
      <c r="O762" s="115">
        <v>176.03</v>
      </c>
      <c r="P762" s="115">
        <v>178</v>
      </c>
      <c r="Q762" s="115">
        <v>887</v>
      </c>
      <c r="R762">
        <v>4353</v>
      </c>
    </row>
    <row r="763" spans="1:18" x14ac:dyDescent="0.25">
      <c r="A763" s="169">
        <v>43124</v>
      </c>
      <c r="B763" s="115">
        <v>176.04</v>
      </c>
      <c r="C763" s="115">
        <v>174.14</v>
      </c>
      <c r="D763" s="115">
        <v>172.27</v>
      </c>
      <c r="E763" s="115">
        <v>174.6</v>
      </c>
      <c r="F763" s="115">
        <v>870.7</v>
      </c>
      <c r="G763">
        <v>744</v>
      </c>
      <c r="H763" s="115"/>
      <c r="I763" s="115"/>
      <c r="L763" s="169">
        <v>43123</v>
      </c>
      <c r="M763" s="115">
        <v>175.57</v>
      </c>
      <c r="N763" s="115">
        <v>180</v>
      </c>
      <c r="O763" s="115">
        <v>175</v>
      </c>
      <c r="P763" s="115">
        <v>180</v>
      </c>
      <c r="Q763" s="115">
        <v>877.85</v>
      </c>
      <c r="R763">
        <v>4453</v>
      </c>
    </row>
    <row r="764" spans="1:18" x14ac:dyDescent="0.25">
      <c r="A764" s="169">
        <v>43125</v>
      </c>
      <c r="B764" s="115">
        <v>179</v>
      </c>
      <c r="C764" s="115">
        <v>174.22</v>
      </c>
      <c r="D764" s="115">
        <v>174</v>
      </c>
      <c r="E764" s="115">
        <v>175</v>
      </c>
      <c r="F764" s="115">
        <v>871.1</v>
      </c>
      <c r="G764">
        <v>756</v>
      </c>
      <c r="H764" s="115"/>
      <c r="I764" s="115"/>
      <c r="L764" s="169">
        <v>43124</v>
      </c>
      <c r="M764" s="115">
        <v>174.87</v>
      </c>
      <c r="N764" s="115">
        <v>176.47</v>
      </c>
      <c r="O764" s="115">
        <v>173</v>
      </c>
      <c r="P764" s="115">
        <v>175.6</v>
      </c>
      <c r="Q764" s="115">
        <v>874.35</v>
      </c>
      <c r="R764">
        <v>3067</v>
      </c>
    </row>
    <row r="765" spans="1:18" x14ac:dyDescent="0.25">
      <c r="A765" s="169">
        <v>43129</v>
      </c>
      <c r="B765" s="115">
        <v>186.06</v>
      </c>
      <c r="C765" s="115">
        <v>183.7</v>
      </c>
      <c r="D765" s="115">
        <v>178.27</v>
      </c>
      <c r="E765" s="115">
        <v>180.01</v>
      </c>
      <c r="F765" s="115">
        <v>918.5</v>
      </c>
      <c r="G765">
        <v>36428</v>
      </c>
      <c r="H765" s="115"/>
      <c r="I765" s="115"/>
      <c r="L765" s="169">
        <v>43125</v>
      </c>
      <c r="M765" s="115">
        <v>174.42</v>
      </c>
      <c r="N765" s="115">
        <v>179.47</v>
      </c>
      <c r="O765" s="115">
        <v>173.3</v>
      </c>
      <c r="P765" s="115">
        <v>174.8</v>
      </c>
      <c r="Q765" s="115">
        <v>872.1</v>
      </c>
      <c r="R765">
        <v>7345</v>
      </c>
    </row>
    <row r="766" spans="1:18" x14ac:dyDescent="0.25">
      <c r="A766" s="169">
        <v>43130</v>
      </c>
      <c r="B766" s="115">
        <v>179.55</v>
      </c>
      <c r="C766" s="115">
        <v>177.41</v>
      </c>
      <c r="D766" s="115">
        <v>176.41</v>
      </c>
      <c r="E766" s="115">
        <v>178.7</v>
      </c>
      <c r="F766" s="115">
        <v>887.05</v>
      </c>
      <c r="G766">
        <v>621</v>
      </c>
      <c r="H766" s="115"/>
      <c r="I766" s="115"/>
      <c r="L766" s="169">
        <v>43129</v>
      </c>
      <c r="M766" s="115">
        <v>183.27</v>
      </c>
      <c r="N766" s="115">
        <v>186</v>
      </c>
      <c r="O766" s="115">
        <v>178.45</v>
      </c>
      <c r="P766" s="115">
        <v>185</v>
      </c>
      <c r="Q766" s="115">
        <v>916.35</v>
      </c>
      <c r="R766">
        <v>122229</v>
      </c>
    </row>
    <row r="767" spans="1:18" x14ac:dyDescent="0.25">
      <c r="A767" s="169">
        <v>43131</v>
      </c>
      <c r="B767" s="115">
        <v>180</v>
      </c>
      <c r="C767" s="115">
        <v>178.16</v>
      </c>
      <c r="D767" s="115">
        <v>174.26</v>
      </c>
      <c r="E767" s="115">
        <v>177</v>
      </c>
      <c r="F767" s="115">
        <v>890.8</v>
      </c>
      <c r="G767">
        <v>455</v>
      </c>
      <c r="H767" s="115"/>
      <c r="I767" s="115"/>
      <c r="L767" s="169">
        <v>43130</v>
      </c>
      <c r="M767" s="115">
        <v>177.3</v>
      </c>
      <c r="N767" s="115">
        <v>182.45</v>
      </c>
      <c r="O767" s="115">
        <v>176.21</v>
      </c>
      <c r="P767" s="115">
        <v>182</v>
      </c>
      <c r="Q767" s="115">
        <v>886.5</v>
      </c>
      <c r="R767">
        <v>10308</v>
      </c>
    </row>
    <row r="768" spans="1:18" x14ac:dyDescent="0.25">
      <c r="A768" s="169">
        <v>43132</v>
      </c>
      <c r="B768" s="115">
        <v>181.63</v>
      </c>
      <c r="C768" s="115">
        <v>174.47</v>
      </c>
      <c r="D768" s="115">
        <v>174</v>
      </c>
      <c r="E768" s="115">
        <v>181.59</v>
      </c>
      <c r="F768" s="115">
        <v>872.35</v>
      </c>
      <c r="G768">
        <v>5676</v>
      </c>
      <c r="H768" s="115"/>
      <c r="I768" s="115"/>
      <c r="L768" s="169">
        <v>43131</v>
      </c>
      <c r="M768" s="115">
        <v>179.52</v>
      </c>
      <c r="N768" s="115">
        <v>180</v>
      </c>
      <c r="O768" s="115">
        <v>175.53</v>
      </c>
      <c r="P768" s="115">
        <v>177.4</v>
      </c>
      <c r="Q768" s="115">
        <v>897.6</v>
      </c>
      <c r="R768">
        <v>9106</v>
      </c>
    </row>
    <row r="769" spans="1:18" x14ac:dyDescent="0.25">
      <c r="A769" s="169">
        <v>43133</v>
      </c>
      <c r="B769" s="115">
        <v>173.72</v>
      </c>
      <c r="C769" s="115">
        <v>171.9</v>
      </c>
      <c r="D769" s="115">
        <v>169.16</v>
      </c>
      <c r="E769" s="115">
        <v>173.2</v>
      </c>
      <c r="F769" s="115">
        <v>859.5</v>
      </c>
      <c r="G769">
        <v>1334</v>
      </c>
      <c r="H769" s="115"/>
      <c r="I769" s="115"/>
      <c r="L769" s="169">
        <v>43132</v>
      </c>
      <c r="M769" s="115">
        <v>175.21</v>
      </c>
      <c r="N769" s="115">
        <v>181.2</v>
      </c>
      <c r="O769" s="115">
        <v>173.04</v>
      </c>
      <c r="P769" s="115">
        <v>179.6</v>
      </c>
      <c r="Q769" s="115">
        <v>876.05</v>
      </c>
      <c r="R769">
        <v>23624</v>
      </c>
    </row>
    <row r="770" spans="1:18" x14ac:dyDescent="0.25">
      <c r="A770" s="169">
        <v>43136</v>
      </c>
      <c r="B770" s="115">
        <v>168.37</v>
      </c>
      <c r="C770" s="115">
        <v>167.03</v>
      </c>
      <c r="D770" s="115">
        <v>164</v>
      </c>
      <c r="E770" s="115">
        <v>164.97</v>
      </c>
      <c r="F770" s="115">
        <v>835.15</v>
      </c>
      <c r="G770">
        <v>692</v>
      </c>
      <c r="H770" s="115"/>
      <c r="I770" s="115"/>
      <c r="L770" s="169">
        <v>43133</v>
      </c>
      <c r="M770" s="115">
        <v>171.99</v>
      </c>
      <c r="N770" s="115">
        <v>177.99</v>
      </c>
      <c r="O770" s="115">
        <v>168.8</v>
      </c>
      <c r="P770" s="115">
        <v>174</v>
      </c>
      <c r="Q770" s="115">
        <v>859.95</v>
      </c>
      <c r="R770">
        <v>21309</v>
      </c>
    </row>
    <row r="771" spans="1:18" x14ac:dyDescent="0.25">
      <c r="A771" s="169">
        <v>43137</v>
      </c>
      <c r="B771" s="115">
        <v>166.46</v>
      </c>
      <c r="C771" s="115">
        <v>162.26</v>
      </c>
      <c r="D771" s="115">
        <v>156</v>
      </c>
      <c r="E771" s="115">
        <v>165.01</v>
      </c>
      <c r="F771" s="115">
        <v>811.3</v>
      </c>
      <c r="G771">
        <v>1057</v>
      </c>
      <c r="H771" s="115"/>
      <c r="I771" s="115"/>
      <c r="L771" s="169">
        <v>43136</v>
      </c>
      <c r="M771" s="115">
        <v>166.97</v>
      </c>
      <c r="N771" s="115">
        <v>169.43</v>
      </c>
      <c r="O771" s="115">
        <v>165</v>
      </c>
      <c r="P771" s="115">
        <v>169.43</v>
      </c>
      <c r="Q771" s="115">
        <v>834.85</v>
      </c>
      <c r="R771">
        <v>9694</v>
      </c>
    </row>
    <row r="772" spans="1:18" x14ac:dyDescent="0.25">
      <c r="A772" s="169">
        <v>43138</v>
      </c>
      <c r="B772" s="115">
        <v>166</v>
      </c>
      <c r="C772" s="115">
        <v>158.97</v>
      </c>
      <c r="D772" s="115">
        <v>158.31</v>
      </c>
      <c r="E772" s="115">
        <v>166</v>
      </c>
      <c r="F772" s="115">
        <v>794.85</v>
      </c>
      <c r="G772">
        <v>1459</v>
      </c>
      <c r="H772" s="115"/>
      <c r="I772" s="115"/>
      <c r="L772" s="169">
        <v>43137</v>
      </c>
      <c r="M772" s="115">
        <v>162.71</v>
      </c>
      <c r="N772" s="115">
        <v>165</v>
      </c>
      <c r="O772" s="115">
        <v>160</v>
      </c>
      <c r="P772" s="115">
        <v>165</v>
      </c>
      <c r="Q772" s="115">
        <v>813.55</v>
      </c>
      <c r="R772">
        <v>22088</v>
      </c>
    </row>
    <row r="773" spans="1:18" x14ac:dyDescent="0.25">
      <c r="A773" s="169">
        <v>43139</v>
      </c>
      <c r="B773" s="115">
        <v>160.80000000000001</v>
      </c>
      <c r="C773" s="115">
        <v>159.06</v>
      </c>
      <c r="D773" s="115">
        <v>158.44</v>
      </c>
      <c r="E773" s="115">
        <v>160.69</v>
      </c>
      <c r="F773" s="115">
        <v>795.3</v>
      </c>
      <c r="G773">
        <v>1022</v>
      </c>
      <c r="H773" s="115"/>
      <c r="I773" s="115"/>
      <c r="L773" s="169">
        <v>43138</v>
      </c>
      <c r="M773" s="115">
        <v>158.94</v>
      </c>
      <c r="N773" s="115">
        <v>166</v>
      </c>
      <c r="O773" s="115">
        <v>158.12</v>
      </c>
      <c r="P773" s="115">
        <v>165.95</v>
      </c>
      <c r="Q773" s="115">
        <v>794.7</v>
      </c>
      <c r="R773">
        <v>20661</v>
      </c>
    </row>
    <row r="774" spans="1:18" x14ac:dyDescent="0.25">
      <c r="A774" s="169">
        <v>43140</v>
      </c>
      <c r="B774" s="115">
        <v>158.55000000000001</v>
      </c>
      <c r="C774" s="115">
        <v>156.76</v>
      </c>
      <c r="D774" s="115">
        <v>154.93</v>
      </c>
      <c r="E774" s="115">
        <v>156.75</v>
      </c>
      <c r="F774" s="115">
        <v>783.8</v>
      </c>
      <c r="G774">
        <v>546</v>
      </c>
      <c r="H774" s="115"/>
      <c r="I774" s="115"/>
      <c r="L774" s="169">
        <v>43139</v>
      </c>
      <c r="M774" s="115">
        <v>159.41999999999999</v>
      </c>
      <c r="N774" s="115">
        <v>161.6</v>
      </c>
      <c r="O774" s="115">
        <v>158.41999999999999</v>
      </c>
      <c r="P774" s="115">
        <v>161.6</v>
      </c>
      <c r="Q774" s="115">
        <v>797.1</v>
      </c>
      <c r="R774">
        <v>20331</v>
      </c>
    </row>
    <row r="775" spans="1:18" x14ac:dyDescent="0.25">
      <c r="A775" s="169">
        <v>43143</v>
      </c>
      <c r="B775" s="115">
        <v>160</v>
      </c>
      <c r="C775" s="115">
        <v>159.9</v>
      </c>
      <c r="D775" s="115">
        <v>158.37</v>
      </c>
      <c r="E775" s="115">
        <v>159.93</v>
      </c>
      <c r="F775" s="115">
        <v>799.5</v>
      </c>
      <c r="G775">
        <v>613</v>
      </c>
      <c r="H775" s="115"/>
      <c r="I775" s="115"/>
      <c r="L775" s="169">
        <v>43140</v>
      </c>
      <c r="M775" s="115">
        <v>155.63</v>
      </c>
      <c r="N775" s="115">
        <v>158.80000000000001</v>
      </c>
      <c r="O775" s="115">
        <v>154.24</v>
      </c>
      <c r="P775" s="115">
        <v>158.80000000000001</v>
      </c>
      <c r="Q775" s="115">
        <v>778.15</v>
      </c>
      <c r="R775">
        <v>13328</v>
      </c>
    </row>
    <row r="776" spans="1:18" x14ac:dyDescent="0.25">
      <c r="A776" s="169">
        <v>43145</v>
      </c>
      <c r="B776" s="115">
        <v>160</v>
      </c>
      <c r="C776" s="115">
        <v>158.97999999999999</v>
      </c>
      <c r="D776" s="115">
        <v>158.4</v>
      </c>
      <c r="E776" s="115">
        <v>159.19999999999999</v>
      </c>
      <c r="F776" s="115">
        <v>794.9</v>
      </c>
      <c r="G776">
        <v>933</v>
      </c>
      <c r="H776" s="115"/>
      <c r="I776" s="115"/>
      <c r="L776" s="169">
        <v>43143</v>
      </c>
      <c r="M776" s="115">
        <v>159.85</v>
      </c>
      <c r="N776" s="115">
        <v>160.1</v>
      </c>
      <c r="O776" s="115">
        <v>158.28</v>
      </c>
      <c r="P776" s="115">
        <v>160</v>
      </c>
      <c r="Q776" s="115">
        <v>799.25</v>
      </c>
      <c r="R776">
        <v>9942</v>
      </c>
    </row>
    <row r="777" spans="1:18" x14ac:dyDescent="0.25">
      <c r="A777" s="169">
        <v>43146</v>
      </c>
      <c r="B777" s="115">
        <v>164.79</v>
      </c>
      <c r="C777" s="115">
        <v>161.43</v>
      </c>
      <c r="D777" s="115">
        <v>159.97999999999999</v>
      </c>
      <c r="E777" s="115">
        <v>159.99</v>
      </c>
      <c r="F777" s="115">
        <v>807.15</v>
      </c>
      <c r="G777">
        <v>573</v>
      </c>
      <c r="H777" s="115"/>
      <c r="I777" s="115"/>
      <c r="L777" s="169">
        <v>43145</v>
      </c>
      <c r="M777" s="115">
        <v>159.1</v>
      </c>
      <c r="N777" s="115">
        <v>162.13999999999999</v>
      </c>
      <c r="O777" s="115">
        <v>158.80000000000001</v>
      </c>
      <c r="P777" s="115">
        <v>159</v>
      </c>
      <c r="Q777" s="115">
        <v>795.5</v>
      </c>
      <c r="R777">
        <v>7394</v>
      </c>
    </row>
    <row r="778" spans="1:18" x14ac:dyDescent="0.25">
      <c r="A778" s="169">
        <v>43147</v>
      </c>
      <c r="B778" s="115">
        <v>164</v>
      </c>
      <c r="C778" s="115">
        <v>159.91999999999999</v>
      </c>
      <c r="D778" s="115">
        <v>159.25</v>
      </c>
      <c r="E778" s="115">
        <v>162.84</v>
      </c>
      <c r="F778" s="115">
        <v>799.6</v>
      </c>
      <c r="G778">
        <v>700</v>
      </c>
      <c r="H778" s="115"/>
      <c r="I778" s="115"/>
      <c r="L778" s="169">
        <v>43146</v>
      </c>
      <c r="M778" s="115">
        <v>160.82</v>
      </c>
      <c r="N778" s="115">
        <v>164.77</v>
      </c>
      <c r="O778" s="115">
        <v>159.01</v>
      </c>
      <c r="P778" s="115">
        <v>160</v>
      </c>
      <c r="Q778" s="115">
        <v>804.1</v>
      </c>
      <c r="R778">
        <v>16076</v>
      </c>
    </row>
    <row r="779" spans="1:18" x14ac:dyDescent="0.25">
      <c r="A779" s="169">
        <v>43150</v>
      </c>
      <c r="B779" s="115">
        <v>160.19999999999999</v>
      </c>
      <c r="C779" s="115">
        <v>158.15</v>
      </c>
      <c r="D779" s="115">
        <v>157</v>
      </c>
      <c r="E779" s="115">
        <v>158.53</v>
      </c>
      <c r="F779" s="115">
        <v>790.75</v>
      </c>
      <c r="G779">
        <v>493</v>
      </c>
      <c r="H779" s="115"/>
      <c r="I779" s="115"/>
      <c r="L779" s="169">
        <v>43147</v>
      </c>
      <c r="M779" s="115">
        <v>160</v>
      </c>
      <c r="N779" s="115">
        <v>163.80000000000001</v>
      </c>
      <c r="O779" s="115">
        <v>159.19999999999999</v>
      </c>
      <c r="P779" s="115">
        <v>160.02000000000001</v>
      </c>
      <c r="Q779" s="115">
        <v>800</v>
      </c>
      <c r="R779">
        <v>8609</v>
      </c>
    </row>
    <row r="780" spans="1:18" x14ac:dyDescent="0.25">
      <c r="A780" s="169">
        <v>43151</v>
      </c>
      <c r="B780" s="115">
        <v>160</v>
      </c>
      <c r="C780" s="115">
        <v>159.47</v>
      </c>
      <c r="D780" s="115">
        <v>158</v>
      </c>
      <c r="E780" s="115">
        <v>159.22999999999999</v>
      </c>
      <c r="F780" s="115">
        <v>797.35</v>
      </c>
      <c r="G780">
        <v>265</v>
      </c>
      <c r="H780" s="115"/>
      <c r="I780" s="115"/>
      <c r="L780" s="169">
        <v>43150</v>
      </c>
      <c r="M780" s="115">
        <v>158.68</v>
      </c>
      <c r="N780" s="115">
        <v>160.02000000000001</v>
      </c>
      <c r="O780" s="115">
        <v>158</v>
      </c>
      <c r="P780" s="115">
        <v>160</v>
      </c>
      <c r="Q780" s="115">
        <v>793.4</v>
      </c>
      <c r="R780">
        <v>2453</v>
      </c>
    </row>
    <row r="781" spans="1:18" x14ac:dyDescent="0.25">
      <c r="A781" s="169">
        <v>43152</v>
      </c>
      <c r="B781" s="115">
        <v>161.19999999999999</v>
      </c>
      <c r="C781" s="115">
        <v>159.28</v>
      </c>
      <c r="D781" s="115">
        <v>158.22</v>
      </c>
      <c r="E781" s="115">
        <v>161.19999999999999</v>
      </c>
      <c r="F781" s="115">
        <v>796.4</v>
      </c>
      <c r="G781">
        <v>1611</v>
      </c>
      <c r="H781" s="115"/>
      <c r="I781" s="115"/>
      <c r="L781" s="169">
        <v>43151</v>
      </c>
      <c r="M781" s="115">
        <v>158.25</v>
      </c>
      <c r="N781" s="115">
        <v>161.85</v>
      </c>
      <c r="O781" s="115">
        <v>158</v>
      </c>
      <c r="P781" s="115">
        <v>160</v>
      </c>
      <c r="Q781" s="115">
        <v>791.25</v>
      </c>
      <c r="R781">
        <v>1551</v>
      </c>
    </row>
    <row r="782" spans="1:18" x14ac:dyDescent="0.25">
      <c r="A782" s="169">
        <v>43153</v>
      </c>
      <c r="B782" s="115">
        <v>162.44</v>
      </c>
      <c r="C782" s="115">
        <v>156.08000000000001</v>
      </c>
      <c r="D782" s="115">
        <v>154.80000000000001</v>
      </c>
      <c r="E782" s="115">
        <v>162.44</v>
      </c>
      <c r="F782" s="115">
        <v>780.4</v>
      </c>
      <c r="G782">
        <v>463</v>
      </c>
      <c r="H782" s="115"/>
      <c r="I782" s="115"/>
      <c r="L782" s="169">
        <v>43152</v>
      </c>
      <c r="M782" s="115">
        <v>159.63</v>
      </c>
      <c r="N782" s="115">
        <v>161.34</v>
      </c>
      <c r="O782" s="115">
        <v>158.80000000000001</v>
      </c>
      <c r="P782" s="115">
        <v>160</v>
      </c>
      <c r="Q782" s="115">
        <v>798.15</v>
      </c>
      <c r="R782">
        <v>3623</v>
      </c>
    </row>
    <row r="783" spans="1:18" x14ac:dyDescent="0.25">
      <c r="A783" s="169">
        <v>43154</v>
      </c>
      <c r="B783" s="115">
        <v>162</v>
      </c>
      <c r="C783" s="115">
        <v>157.84</v>
      </c>
      <c r="D783" s="115">
        <v>156.63999999999999</v>
      </c>
      <c r="E783" s="115">
        <v>157.56</v>
      </c>
      <c r="F783" s="115">
        <v>789.2</v>
      </c>
      <c r="G783">
        <v>1364</v>
      </c>
      <c r="H783" s="115"/>
      <c r="I783" s="115"/>
      <c r="L783" s="169">
        <v>43153</v>
      </c>
      <c r="M783" s="115">
        <v>157.11000000000001</v>
      </c>
      <c r="N783" s="115">
        <v>160.80000000000001</v>
      </c>
      <c r="O783" s="115">
        <v>156.26</v>
      </c>
      <c r="P783" s="115">
        <v>159.81</v>
      </c>
      <c r="Q783" s="115">
        <v>785.55</v>
      </c>
      <c r="R783">
        <v>2559</v>
      </c>
    </row>
    <row r="784" spans="1:18" x14ac:dyDescent="0.25">
      <c r="A784" s="169">
        <v>43157</v>
      </c>
      <c r="B784" s="115">
        <v>160.19999999999999</v>
      </c>
      <c r="C784" s="115">
        <v>159.91999999999999</v>
      </c>
      <c r="D784" s="115">
        <v>159.19999999999999</v>
      </c>
      <c r="E784" s="115">
        <v>159.80000000000001</v>
      </c>
      <c r="F784" s="115">
        <v>799.6</v>
      </c>
      <c r="G784">
        <v>1033</v>
      </c>
      <c r="H784" s="115"/>
      <c r="I784" s="115"/>
      <c r="L784" s="169">
        <v>43154</v>
      </c>
      <c r="M784" s="115">
        <v>158.25</v>
      </c>
      <c r="N784" s="115">
        <v>162.02000000000001</v>
      </c>
      <c r="O784" s="115">
        <v>156.81</v>
      </c>
      <c r="P784" s="115">
        <v>160.25</v>
      </c>
      <c r="Q784" s="115">
        <v>791.25</v>
      </c>
      <c r="R784">
        <v>21574</v>
      </c>
    </row>
    <row r="785" spans="1:18" x14ac:dyDescent="0.25">
      <c r="A785" s="169">
        <v>43158</v>
      </c>
      <c r="B785" s="115">
        <v>160</v>
      </c>
      <c r="C785" s="115">
        <v>159.94999999999999</v>
      </c>
      <c r="D785" s="115">
        <v>157.19999999999999</v>
      </c>
      <c r="E785" s="115">
        <v>159</v>
      </c>
      <c r="F785" s="115">
        <v>799.75</v>
      </c>
      <c r="G785">
        <v>440</v>
      </c>
      <c r="H785" s="115"/>
      <c r="I785" s="115"/>
      <c r="L785" s="169">
        <v>43157</v>
      </c>
      <c r="M785" s="115">
        <v>159.37</v>
      </c>
      <c r="N785" s="115">
        <v>161</v>
      </c>
      <c r="O785" s="115">
        <v>158.47999999999999</v>
      </c>
      <c r="P785" s="115">
        <v>161</v>
      </c>
      <c r="Q785" s="115">
        <v>796.85</v>
      </c>
      <c r="R785">
        <v>12972</v>
      </c>
    </row>
    <row r="786" spans="1:18" x14ac:dyDescent="0.25">
      <c r="A786" s="169">
        <v>43159</v>
      </c>
      <c r="B786" s="115">
        <v>160.94999999999999</v>
      </c>
      <c r="C786" s="115">
        <v>160.11000000000001</v>
      </c>
      <c r="D786" s="115">
        <v>158.1</v>
      </c>
      <c r="E786" s="115">
        <v>160.94999999999999</v>
      </c>
      <c r="F786" s="115">
        <v>800.55</v>
      </c>
      <c r="G786">
        <v>2411</v>
      </c>
      <c r="H786" s="115"/>
      <c r="I786" s="115"/>
      <c r="L786" s="169">
        <v>43158</v>
      </c>
      <c r="M786" s="115">
        <v>159.97999999999999</v>
      </c>
      <c r="N786" s="115">
        <v>160.72</v>
      </c>
      <c r="O786" s="115">
        <v>158.4</v>
      </c>
      <c r="P786" s="115">
        <v>160.72</v>
      </c>
      <c r="Q786" s="115">
        <v>799.9</v>
      </c>
      <c r="R786">
        <v>22501</v>
      </c>
    </row>
    <row r="787" spans="1:18" x14ac:dyDescent="0.25">
      <c r="A787" s="169">
        <v>43160</v>
      </c>
      <c r="B787" s="115">
        <v>160</v>
      </c>
      <c r="C787" s="115">
        <v>158.5</v>
      </c>
      <c r="D787" s="115">
        <v>158.01</v>
      </c>
      <c r="E787" s="115">
        <v>160</v>
      </c>
      <c r="F787" s="115">
        <v>792.5</v>
      </c>
      <c r="G787">
        <v>10116</v>
      </c>
      <c r="H787" s="115"/>
      <c r="I787" s="115"/>
      <c r="L787" s="169">
        <v>43159</v>
      </c>
      <c r="M787" s="115">
        <v>159.99</v>
      </c>
      <c r="N787" s="115">
        <v>160.4</v>
      </c>
      <c r="O787" s="115">
        <v>158.49</v>
      </c>
      <c r="P787" s="115">
        <v>159.6</v>
      </c>
      <c r="Q787" s="115">
        <v>799.95</v>
      </c>
      <c r="R787">
        <v>19133</v>
      </c>
    </row>
    <row r="788" spans="1:18" x14ac:dyDescent="0.25">
      <c r="A788" s="169">
        <v>43164</v>
      </c>
      <c r="B788" s="115">
        <v>159.79</v>
      </c>
      <c r="C788" s="115">
        <v>157.84</v>
      </c>
      <c r="D788" s="115">
        <v>157.19999999999999</v>
      </c>
      <c r="E788" s="115">
        <v>158.6</v>
      </c>
      <c r="F788" s="115">
        <v>789.2</v>
      </c>
      <c r="G788">
        <v>467</v>
      </c>
      <c r="H788" s="115"/>
      <c r="I788" s="115"/>
      <c r="L788" s="169">
        <v>43160</v>
      </c>
      <c r="M788" s="115">
        <v>158.54</v>
      </c>
      <c r="N788" s="115">
        <v>160.80000000000001</v>
      </c>
      <c r="O788" s="115">
        <v>158</v>
      </c>
      <c r="P788" s="115">
        <v>160</v>
      </c>
      <c r="Q788" s="115">
        <v>792.7</v>
      </c>
      <c r="R788">
        <v>4140</v>
      </c>
    </row>
    <row r="789" spans="1:18" x14ac:dyDescent="0.25">
      <c r="A789" s="169">
        <v>43165</v>
      </c>
      <c r="B789" s="115">
        <v>160</v>
      </c>
      <c r="C789" s="115">
        <v>158.09</v>
      </c>
      <c r="D789" s="115">
        <v>156.5</v>
      </c>
      <c r="E789" s="115">
        <v>157.72</v>
      </c>
      <c r="F789" s="115">
        <v>790.45</v>
      </c>
      <c r="G789">
        <v>457</v>
      </c>
      <c r="H789" s="115"/>
      <c r="I789" s="115"/>
      <c r="L789" s="169">
        <v>43164</v>
      </c>
      <c r="M789" s="115">
        <v>157.25</v>
      </c>
      <c r="N789" s="115">
        <v>159.35</v>
      </c>
      <c r="O789" s="115">
        <v>156.03</v>
      </c>
      <c r="P789" s="115">
        <v>158.6</v>
      </c>
      <c r="Q789" s="115">
        <v>786.25</v>
      </c>
      <c r="R789">
        <v>2473</v>
      </c>
    </row>
    <row r="790" spans="1:18" x14ac:dyDescent="0.25">
      <c r="A790" s="169">
        <v>43166</v>
      </c>
      <c r="B790" s="115">
        <v>160</v>
      </c>
      <c r="C790" s="115">
        <v>159.77000000000001</v>
      </c>
      <c r="D790" s="115">
        <v>152.6</v>
      </c>
      <c r="E790" s="115">
        <v>156.29</v>
      </c>
      <c r="F790" s="115">
        <v>798.85</v>
      </c>
      <c r="G790">
        <v>1015</v>
      </c>
      <c r="H790" s="115"/>
      <c r="I790" s="115"/>
      <c r="L790" s="169">
        <v>43165</v>
      </c>
      <c r="M790" s="115">
        <v>156.41999999999999</v>
      </c>
      <c r="N790" s="115">
        <v>159</v>
      </c>
      <c r="O790" s="115">
        <v>156</v>
      </c>
      <c r="P790" s="115">
        <v>158.99</v>
      </c>
      <c r="Q790" s="115">
        <v>782.1</v>
      </c>
      <c r="R790">
        <v>2337</v>
      </c>
    </row>
    <row r="791" spans="1:18" x14ac:dyDescent="0.25">
      <c r="A791" s="169">
        <v>43167</v>
      </c>
      <c r="B791" s="115">
        <v>160</v>
      </c>
      <c r="C791" s="115">
        <v>157.06</v>
      </c>
      <c r="D791" s="115">
        <v>155.57</v>
      </c>
      <c r="E791" s="115">
        <v>160</v>
      </c>
      <c r="F791" s="115">
        <v>785.3</v>
      </c>
      <c r="G791">
        <v>643</v>
      </c>
      <c r="H791" s="115"/>
      <c r="I791" s="115"/>
      <c r="L791" s="169">
        <v>43166</v>
      </c>
      <c r="M791" s="115">
        <v>159.91999999999999</v>
      </c>
      <c r="N791" s="115">
        <v>160</v>
      </c>
      <c r="O791" s="115">
        <v>151.6</v>
      </c>
      <c r="P791" s="115">
        <v>155.6</v>
      </c>
      <c r="Q791" s="115">
        <v>799.6</v>
      </c>
      <c r="R791">
        <v>32206</v>
      </c>
    </row>
    <row r="792" spans="1:18" x14ac:dyDescent="0.25">
      <c r="A792" s="169">
        <v>43168</v>
      </c>
      <c r="B792" s="115">
        <v>159.79</v>
      </c>
      <c r="C792" s="115">
        <v>159.01</v>
      </c>
      <c r="D792" s="115">
        <v>154</v>
      </c>
      <c r="E792" s="115">
        <v>154.52000000000001</v>
      </c>
      <c r="F792" s="115">
        <v>795.05</v>
      </c>
      <c r="G792">
        <v>554</v>
      </c>
      <c r="H792" s="115"/>
      <c r="I792" s="115"/>
      <c r="L792" s="169">
        <v>43167</v>
      </c>
      <c r="M792" s="115">
        <v>156.22999999999999</v>
      </c>
      <c r="N792" s="115">
        <v>159</v>
      </c>
      <c r="O792" s="115">
        <v>155.08000000000001</v>
      </c>
      <c r="P792" s="115">
        <v>159</v>
      </c>
      <c r="Q792" s="115">
        <v>781.15</v>
      </c>
      <c r="R792">
        <v>4426</v>
      </c>
    </row>
    <row r="793" spans="1:18" x14ac:dyDescent="0.25">
      <c r="A793" s="169">
        <v>43171</v>
      </c>
      <c r="B793" s="115">
        <v>160</v>
      </c>
      <c r="C793" s="115">
        <v>159.88</v>
      </c>
      <c r="D793" s="115">
        <v>155.69</v>
      </c>
      <c r="E793" s="115">
        <v>160</v>
      </c>
      <c r="F793" s="115">
        <v>799.4</v>
      </c>
      <c r="G793">
        <v>556</v>
      </c>
      <c r="H793" s="115"/>
      <c r="I793" s="115"/>
      <c r="L793" s="169">
        <v>43168</v>
      </c>
      <c r="M793" s="115">
        <v>159.72999999999999</v>
      </c>
      <c r="N793" s="115">
        <v>159.99</v>
      </c>
      <c r="O793" s="115">
        <v>154.01</v>
      </c>
      <c r="P793" s="115">
        <v>155.04</v>
      </c>
      <c r="Q793" s="115">
        <v>798.65</v>
      </c>
      <c r="R793">
        <v>14648</v>
      </c>
    </row>
    <row r="794" spans="1:18" x14ac:dyDescent="0.25">
      <c r="A794" s="169">
        <v>43172</v>
      </c>
      <c r="B794" s="115">
        <v>160.1</v>
      </c>
      <c r="C794" s="115">
        <v>160</v>
      </c>
      <c r="D794" s="115">
        <v>157.4</v>
      </c>
      <c r="E794" s="115">
        <v>158.6</v>
      </c>
      <c r="F794" s="115">
        <v>800</v>
      </c>
      <c r="G794">
        <v>941</v>
      </c>
      <c r="H794" s="115"/>
      <c r="I794" s="115"/>
      <c r="L794" s="169">
        <v>43171</v>
      </c>
      <c r="M794" s="115">
        <v>159.99</v>
      </c>
      <c r="N794" s="115">
        <v>161.6</v>
      </c>
      <c r="O794" s="115">
        <v>158.27000000000001</v>
      </c>
      <c r="P794" s="115">
        <v>161.6</v>
      </c>
      <c r="Q794" s="115">
        <v>799.95</v>
      </c>
      <c r="R794">
        <v>13822</v>
      </c>
    </row>
    <row r="795" spans="1:18" x14ac:dyDescent="0.25">
      <c r="A795" s="169">
        <v>43173</v>
      </c>
      <c r="B795" s="115">
        <v>160</v>
      </c>
      <c r="C795" s="115">
        <v>158.94</v>
      </c>
      <c r="D795" s="115">
        <v>158.19999999999999</v>
      </c>
      <c r="E795" s="115">
        <v>159</v>
      </c>
      <c r="F795" s="115">
        <v>794.7</v>
      </c>
      <c r="G795">
        <v>2074</v>
      </c>
      <c r="H795" s="115"/>
      <c r="I795" s="115"/>
      <c r="L795" s="169">
        <v>43172</v>
      </c>
      <c r="M795" s="115">
        <v>158.86000000000001</v>
      </c>
      <c r="N795" s="115">
        <v>160.82</v>
      </c>
      <c r="O795" s="115">
        <v>156.80000000000001</v>
      </c>
      <c r="P795" s="115">
        <v>160.79</v>
      </c>
      <c r="Q795" s="115">
        <v>794.3</v>
      </c>
      <c r="R795">
        <v>4453</v>
      </c>
    </row>
    <row r="796" spans="1:18" x14ac:dyDescent="0.25">
      <c r="A796" s="169">
        <v>43174</v>
      </c>
      <c r="B796" s="115">
        <v>158.9</v>
      </c>
      <c r="C796" s="115">
        <v>156.51</v>
      </c>
      <c r="D796" s="115">
        <v>155.62</v>
      </c>
      <c r="E796" s="115">
        <v>157.56</v>
      </c>
      <c r="F796" s="115">
        <v>782.55</v>
      </c>
      <c r="G796">
        <v>168</v>
      </c>
      <c r="H796" s="115"/>
      <c r="I796" s="115"/>
      <c r="L796" s="169">
        <v>43173</v>
      </c>
      <c r="M796" s="115">
        <v>158.41999999999999</v>
      </c>
      <c r="N796" s="115">
        <v>165.94</v>
      </c>
      <c r="O796" s="115">
        <v>156.63999999999999</v>
      </c>
      <c r="P796" s="115">
        <v>156.63999999999999</v>
      </c>
      <c r="Q796" s="115">
        <v>792.1</v>
      </c>
      <c r="R796">
        <v>2088</v>
      </c>
    </row>
    <row r="797" spans="1:18" x14ac:dyDescent="0.25">
      <c r="A797" s="169">
        <v>43175</v>
      </c>
      <c r="B797" s="115">
        <v>155.6</v>
      </c>
      <c r="C797" s="115">
        <v>155.02000000000001</v>
      </c>
      <c r="D797" s="115">
        <v>155</v>
      </c>
      <c r="E797" s="115">
        <v>155.6</v>
      </c>
      <c r="F797" s="115">
        <v>775.1</v>
      </c>
      <c r="G797">
        <v>290</v>
      </c>
      <c r="H797" s="115"/>
      <c r="I797" s="115"/>
      <c r="L797" s="169">
        <v>43174</v>
      </c>
      <c r="M797" s="115">
        <v>156.1</v>
      </c>
      <c r="N797" s="115">
        <v>161.9</v>
      </c>
      <c r="O797" s="115">
        <v>155.19999999999999</v>
      </c>
      <c r="P797" s="115">
        <v>157.19999999999999</v>
      </c>
      <c r="Q797" s="115">
        <v>780.5</v>
      </c>
      <c r="R797">
        <v>10612</v>
      </c>
    </row>
    <row r="798" spans="1:18" x14ac:dyDescent="0.25">
      <c r="A798" s="169">
        <v>43178</v>
      </c>
      <c r="B798" s="115">
        <v>158.4</v>
      </c>
      <c r="C798" s="115">
        <v>155.91999999999999</v>
      </c>
      <c r="D798" s="115">
        <v>151.22999999999999</v>
      </c>
      <c r="E798" s="115">
        <v>154.19999999999999</v>
      </c>
      <c r="F798" s="115">
        <v>779.6</v>
      </c>
      <c r="G798">
        <v>3768</v>
      </c>
      <c r="H798" s="115"/>
      <c r="I798" s="115"/>
      <c r="L798" s="169">
        <v>43175</v>
      </c>
      <c r="M798" s="115">
        <v>154.87</v>
      </c>
      <c r="N798" s="115">
        <v>157.63999999999999</v>
      </c>
      <c r="O798" s="115">
        <v>154.4</v>
      </c>
      <c r="P798" s="115">
        <v>157.49</v>
      </c>
      <c r="Q798" s="115">
        <v>774.35</v>
      </c>
      <c r="R798">
        <v>2881</v>
      </c>
    </row>
    <row r="799" spans="1:18" x14ac:dyDescent="0.25">
      <c r="A799" s="169">
        <v>43179</v>
      </c>
      <c r="B799" s="115">
        <v>155</v>
      </c>
      <c r="C799" s="115">
        <v>152.66999999999999</v>
      </c>
      <c r="D799" s="115">
        <v>150.66</v>
      </c>
      <c r="E799" s="115">
        <v>151.4</v>
      </c>
      <c r="F799" s="115">
        <v>763.35</v>
      </c>
      <c r="G799">
        <v>5024</v>
      </c>
      <c r="H799" s="115"/>
      <c r="I799" s="115"/>
      <c r="L799" s="169">
        <v>43178</v>
      </c>
      <c r="M799" s="115">
        <v>152.68</v>
      </c>
      <c r="N799" s="115">
        <v>157.4</v>
      </c>
      <c r="O799" s="115">
        <v>151</v>
      </c>
      <c r="P799" s="115">
        <v>157.4</v>
      </c>
      <c r="Q799" s="115">
        <v>763.4</v>
      </c>
      <c r="R799">
        <v>1555</v>
      </c>
    </row>
    <row r="800" spans="1:18" x14ac:dyDescent="0.25">
      <c r="A800" s="169">
        <v>43180</v>
      </c>
      <c r="B800" s="115">
        <v>155.9</v>
      </c>
      <c r="C800" s="115">
        <v>154.65</v>
      </c>
      <c r="D800" s="115">
        <v>153.1</v>
      </c>
      <c r="E800" s="115">
        <v>153.32</v>
      </c>
      <c r="F800" s="115">
        <v>773.25</v>
      </c>
      <c r="G800">
        <v>147</v>
      </c>
      <c r="H800" s="115"/>
      <c r="I800" s="115"/>
      <c r="L800" s="169">
        <v>43179</v>
      </c>
      <c r="M800" s="115">
        <v>153.54</v>
      </c>
      <c r="N800" s="115">
        <v>154.79</v>
      </c>
      <c r="O800" s="115">
        <v>151.03</v>
      </c>
      <c r="P800" s="115">
        <v>152</v>
      </c>
      <c r="Q800" s="115">
        <v>767.7</v>
      </c>
      <c r="R800">
        <v>7809</v>
      </c>
    </row>
    <row r="801" spans="1:18" x14ac:dyDescent="0.25">
      <c r="A801" s="169">
        <v>43181</v>
      </c>
      <c r="B801" s="115">
        <v>155.80000000000001</v>
      </c>
      <c r="C801" s="115">
        <v>153.68</v>
      </c>
      <c r="D801" s="115">
        <v>152.38999999999999</v>
      </c>
      <c r="E801" s="115">
        <v>154.41</v>
      </c>
      <c r="F801" s="115">
        <v>768.4</v>
      </c>
      <c r="G801">
        <v>385</v>
      </c>
      <c r="H801" s="115"/>
      <c r="I801" s="115"/>
      <c r="L801" s="169">
        <v>43180</v>
      </c>
      <c r="M801" s="115">
        <v>154.29</v>
      </c>
      <c r="N801" s="115">
        <v>155.77000000000001</v>
      </c>
      <c r="O801" s="115">
        <v>154.01</v>
      </c>
      <c r="P801" s="115">
        <v>154.80000000000001</v>
      </c>
      <c r="Q801" s="115">
        <v>771.45</v>
      </c>
      <c r="R801">
        <v>5432</v>
      </c>
    </row>
    <row r="802" spans="1:18" x14ac:dyDescent="0.25">
      <c r="A802" s="169">
        <v>43182</v>
      </c>
      <c r="B802" s="115">
        <v>159</v>
      </c>
      <c r="C802" s="115">
        <v>156.44</v>
      </c>
      <c r="D802" s="115">
        <v>150.03</v>
      </c>
      <c r="E802" s="115">
        <v>151.22999999999999</v>
      </c>
      <c r="F802" s="115">
        <v>782.2</v>
      </c>
      <c r="G802">
        <v>2267</v>
      </c>
      <c r="H802" s="115"/>
      <c r="I802" s="115"/>
      <c r="L802" s="169">
        <v>43181</v>
      </c>
      <c r="M802" s="115">
        <v>153.69999999999999</v>
      </c>
      <c r="N802" s="115">
        <v>156.27000000000001</v>
      </c>
      <c r="O802" s="115">
        <v>151.22999999999999</v>
      </c>
      <c r="P802" s="115">
        <v>156.27000000000001</v>
      </c>
      <c r="Q802" s="115">
        <v>768.5</v>
      </c>
      <c r="R802">
        <v>3649</v>
      </c>
    </row>
    <row r="803" spans="1:18" x14ac:dyDescent="0.25">
      <c r="A803" s="169">
        <v>43185</v>
      </c>
      <c r="B803" s="115">
        <v>159.99</v>
      </c>
      <c r="C803" s="115">
        <v>157.82</v>
      </c>
      <c r="D803" s="115">
        <v>156.02000000000001</v>
      </c>
      <c r="E803" s="115">
        <v>158</v>
      </c>
      <c r="F803" s="115">
        <v>789.1</v>
      </c>
      <c r="G803">
        <v>557</v>
      </c>
      <c r="H803" s="115"/>
      <c r="I803" s="115"/>
      <c r="L803" s="169">
        <v>43182</v>
      </c>
      <c r="M803" s="115">
        <v>158.18</v>
      </c>
      <c r="N803" s="115">
        <v>159.54</v>
      </c>
      <c r="O803" s="115">
        <v>151</v>
      </c>
      <c r="P803" s="115">
        <v>151</v>
      </c>
      <c r="Q803" s="115">
        <v>790.9</v>
      </c>
      <c r="R803">
        <v>7706</v>
      </c>
    </row>
    <row r="804" spans="1:18" x14ac:dyDescent="0.25">
      <c r="A804" s="169">
        <v>43186</v>
      </c>
      <c r="B804" s="115">
        <v>159.80000000000001</v>
      </c>
      <c r="C804" s="115">
        <v>158.88999999999999</v>
      </c>
      <c r="D804" s="115">
        <v>156</v>
      </c>
      <c r="E804" s="115">
        <v>157.6</v>
      </c>
      <c r="F804" s="115">
        <v>794.45</v>
      </c>
      <c r="G804">
        <v>1154</v>
      </c>
      <c r="H804" s="115"/>
      <c r="I804" s="115"/>
      <c r="L804" s="169">
        <v>43185</v>
      </c>
      <c r="M804" s="115">
        <v>159.44999999999999</v>
      </c>
      <c r="N804" s="115">
        <v>160</v>
      </c>
      <c r="O804" s="115">
        <v>156.34</v>
      </c>
      <c r="P804" s="115">
        <v>159.6</v>
      </c>
      <c r="Q804" s="115">
        <v>797.25</v>
      </c>
      <c r="R804">
        <v>12169</v>
      </c>
    </row>
    <row r="805" spans="1:18" x14ac:dyDescent="0.25">
      <c r="A805" s="169">
        <v>43187</v>
      </c>
      <c r="B805" s="115">
        <v>159.13</v>
      </c>
      <c r="C805" s="115">
        <v>158.09</v>
      </c>
      <c r="D805" s="115">
        <v>156.30000000000001</v>
      </c>
      <c r="E805" s="115">
        <v>157.30000000000001</v>
      </c>
      <c r="F805" s="115">
        <v>790.45</v>
      </c>
      <c r="G805">
        <v>1122</v>
      </c>
      <c r="H805" s="115"/>
      <c r="I805" s="115"/>
      <c r="L805" s="169">
        <v>43186</v>
      </c>
      <c r="M805" s="115">
        <v>159.41</v>
      </c>
      <c r="N805" s="115">
        <v>160</v>
      </c>
      <c r="O805" s="115">
        <v>155</v>
      </c>
      <c r="P805" s="115">
        <v>158.91999999999999</v>
      </c>
      <c r="Q805" s="115">
        <v>797.05</v>
      </c>
      <c r="R805">
        <v>9257</v>
      </c>
    </row>
    <row r="806" spans="1:18" x14ac:dyDescent="0.25">
      <c r="A806" s="169">
        <v>43192</v>
      </c>
      <c r="B806" s="115">
        <v>165</v>
      </c>
      <c r="C806" s="115">
        <v>159.97999999999999</v>
      </c>
      <c r="D806" s="115">
        <v>157.99</v>
      </c>
      <c r="E806" s="115">
        <v>165</v>
      </c>
      <c r="F806" s="115">
        <v>799.9</v>
      </c>
      <c r="G806">
        <v>1161</v>
      </c>
      <c r="H806" s="115"/>
      <c r="I806" s="115"/>
      <c r="L806" s="169">
        <v>43187</v>
      </c>
      <c r="M806" s="115">
        <v>159.53</v>
      </c>
      <c r="N806" s="115">
        <v>159.79</v>
      </c>
      <c r="O806" s="115">
        <v>156.81</v>
      </c>
      <c r="P806" s="115">
        <v>157.19999999999999</v>
      </c>
      <c r="Q806" s="115">
        <v>797.65</v>
      </c>
      <c r="R806">
        <v>5631</v>
      </c>
    </row>
    <row r="807" spans="1:18" x14ac:dyDescent="0.25">
      <c r="A807" s="169">
        <v>43193</v>
      </c>
      <c r="B807" s="115">
        <v>159.78</v>
      </c>
      <c r="C807" s="115">
        <v>159.31</v>
      </c>
      <c r="D807" s="115">
        <v>158</v>
      </c>
      <c r="E807" s="115">
        <v>159.02000000000001</v>
      </c>
      <c r="F807" s="115">
        <v>796.55</v>
      </c>
      <c r="G807">
        <v>202</v>
      </c>
      <c r="H807" s="115"/>
      <c r="I807" s="115"/>
      <c r="L807" s="169">
        <v>43192</v>
      </c>
      <c r="M807" s="115">
        <v>159.97999999999999</v>
      </c>
      <c r="N807" s="115">
        <v>160.80000000000001</v>
      </c>
      <c r="O807" s="115">
        <v>158</v>
      </c>
      <c r="P807" s="115">
        <v>160.22999999999999</v>
      </c>
      <c r="Q807" s="115">
        <v>799.9</v>
      </c>
      <c r="R807">
        <v>5706</v>
      </c>
    </row>
    <row r="808" spans="1:18" x14ac:dyDescent="0.25">
      <c r="A808" s="169">
        <v>43194</v>
      </c>
      <c r="B808" s="115">
        <v>159.13999999999999</v>
      </c>
      <c r="C808" s="115">
        <v>157.43</v>
      </c>
      <c r="D808" s="115">
        <v>156.21</v>
      </c>
      <c r="E808" s="115">
        <v>159</v>
      </c>
      <c r="F808" s="115">
        <v>787.15</v>
      </c>
      <c r="G808">
        <v>481</v>
      </c>
      <c r="H808" s="115"/>
      <c r="I808" s="115"/>
      <c r="L808" s="169">
        <v>43193</v>
      </c>
      <c r="M808" s="115">
        <v>159.28</v>
      </c>
      <c r="N808" s="115">
        <v>160.1</v>
      </c>
      <c r="O808" s="115">
        <v>157.6</v>
      </c>
      <c r="P808" s="115">
        <v>158.4</v>
      </c>
      <c r="Q808" s="115">
        <v>796.4</v>
      </c>
      <c r="R808">
        <v>2691</v>
      </c>
    </row>
    <row r="809" spans="1:18" x14ac:dyDescent="0.25">
      <c r="A809" s="169">
        <v>43195</v>
      </c>
      <c r="B809" s="115">
        <v>160</v>
      </c>
      <c r="C809" s="115">
        <v>159.94999999999999</v>
      </c>
      <c r="D809" s="115">
        <v>157.80000000000001</v>
      </c>
      <c r="E809" s="115">
        <v>159</v>
      </c>
      <c r="F809" s="115">
        <v>799.75</v>
      </c>
      <c r="G809">
        <v>322</v>
      </c>
      <c r="H809" s="115"/>
      <c r="I809" s="115"/>
      <c r="L809" s="169">
        <v>43194</v>
      </c>
      <c r="M809" s="115">
        <v>157.30000000000001</v>
      </c>
      <c r="N809" s="115">
        <v>161.6</v>
      </c>
      <c r="O809" s="115">
        <v>156.80000000000001</v>
      </c>
      <c r="P809" s="115">
        <v>160</v>
      </c>
      <c r="Q809" s="115">
        <v>786.5</v>
      </c>
      <c r="R809">
        <v>2496</v>
      </c>
    </row>
    <row r="810" spans="1:18" x14ac:dyDescent="0.25">
      <c r="A810" s="169">
        <v>43196</v>
      </c>
      <c r="B810" s="115">
        <v>162</v>
      </c>
      <c r="C810" s="115">
        <v>159.43</v>
      </c>
      <c r="D810" s="115">
        <v>157.26</v>
      </c>
      <c r="E810" s="115">
        <v>160.19999999999999</v>
      </c>
      <c r="F810" s="115">
        <v>797.15</v>
      </c>
      <c r="G810">
        <v>1771</v>
      </c>
      <c r="H810" s="115"/>
      <c r="I810" s="115"/>
      <c r="L810" s="169">
        <v>43195</v>
      </c>
      <c r="M810" s="115">
        <v>159.97</v>
      </c>
      <c r="N810" s="115">
        <v>160</v>
      </c>
      <c r="O810" s="115">
        <v>157.41999999999999</v>
      </c>
      <c r="P810" s="115">
        <v>158.80000000000001</v>
      </c>
      <c r="Q810" s="115">
        <v>799.85</v>
      </c>
      <c r="R810">
        <v>7072</v>
      </c>
    </row>
    <row r="811" spans="1:18" x14ac:dyDescent="0.25">
      <c r="A811" s="169">
        <v>43199</v>
      </c>
      <c r="B811" s="115">
        <v>160.4</v>
      </c>
      <c r="C811" s="115">
        <v>159.66999999999999</v>
      </c>
      <c r="D811" s="115">
        <v>157.22999999999999</v>
      </c>
      <c r="E811" s="115">
        <v>159.79</v>
      </c>
      <c r="F811" s="115">
        <v>798.35</v>
      </c>
      <c r="G811">
        <v>2097</v>
      </c>
      <c r="H811" s="115"/>
      <c r="I811" s="115"/>
      <c r="L811" s="169">
        <v>43196</v>
      </c>
      <c r="M811" s="115">
        <v>159.56</v>
      </c>
      <c r="N811" s="115">
        <v>162.88</v>
      </c>
      <c r="O811" s="115">
        <v>156.63999999999999</v>
      </c>
      <c r="P811" s="115">
        <v>159.97</v>
      </c>
      <c r="Q811" s="115">
        <v>797.8</v>
      </c>
      <c r="R811">
        <v>43842</v>
      </c>
    </row>
    <row r="812" spans="1:18" x14ac:dyDescent="0.25">
      <c r="A812" s="169">
        <v>43200</v>
      </c>
      <c r="B812" s="115">
        <v>158.80000000000001</v>
      </c>
      <c r="C812" s="115">
        <v>158</v>
      </c>
      <c r="D812" s="115">
        <v>157.4</v>
      </c>
      <c r="E812" s="115">
        <v>158.19999999999999</v>
      </c>
      <c r="F812" s="115">
        <v>790</v>
      </c>
      <c r="G812">
        <v>277</v>
      </c>
      <c r="H812" s="115"/>
      <c r="I812" s="115"/>
      <c r="L812" s="169">
        <v>43199</v>
      </c>
      <c r="M812" s="115">
        <v>157.94999999999999</v>
      </c>
      <c r="N812" s="115">
        <v>160.63999999999999</v>
      </c>
      <c r="O812" s="115">
        <v>157.19999999999999</v>
      </c>
      <c r="P812" s="115">
        <v>158.79</v>
      </c>
      <c r="Q812" s="115">
        <v>789.75</v>
      </c>
      <c r="R812">
        <v>10006</v>
      </c>
    </row>
    <row r="813" spans="1:18" x14ac:dyDescent="0.25">
      <c r="A813" s="169">
        <v>43201</v>
      </c>
      <c r="B813" s="115">
        <v>159.6</v>
      </c>
      <c r="C813" s="115">
        <v>156.93</v>
      </c>
      <c r="D813" s="115">
        <v>156.19999999999999</v>
      </c>
      <c r="E813" s="115">
        <v>159.6</v>
      </c>
      <c r="F813" s="115">
        <v>784.65</v>
      </c>
      <c r="G813">
        <v>3303</v>
      </c>
      <c r="H813" s="115"/>
      <c r="I813" s="115"/>
      <c r="L813" s="169">
        <v>43200</v>
      </c>
      <c r="M813" s="115">
        <v>157.71</v>
      </c>
      <c r="N813" s="115">
        <v>159.4</v>
      </c>
      <c r="O813" s="115">
        <v>157.01</v>
      </c>
      <c r="P813" s="115">
        <v>159.4</v>
      </c>
      <c r="Q813" s="115">
        <v>788.55</v>
      </c>
      <c r="R813">
        <v>3484</v>
      </c>
    </row>
    <row r="814" spans="1:18" x14ac:dyDescent="0.25">
      <c r="A814" s="169">
        <v>43202</v>
      </c>
      <c r="B814" s="115">
        <v>158.4</v>
      </c>
      <c r="C814" s="115">
        <v>156.72</v>
      </c>
      <c r="D814" s="115">
        <v>155.6</v>
      </c>
      <c r="E814" s="115">
        <v>155.6</v>
      </c>
      <c r="F814" s="115">
        <v>783.6</v>
      </c>
      <c r="G814">
        <v>3692</v>
      </c>
      <c r="H814" s="115"/>
      <c r="I814" s="115"/>
      <c r="L814" s="169">
        <v>43201</v>
      </c>
      <c r="M814" s="115">
        <v>156.28</v>
      </c>
      <c r="N814" s="115">
        <v>160</v>
      </c>
      <c r="O814" s="115">
        <v>155.6</v>
      </c>
      <c r="P814" s="115">
        <v>157.02000000000001</v>
      </c>
      <c r="Q814" s="115">
        <v>781.4</v>
      </c>
      <c r="R814">
        <v>88771</v>
      </c>
    </row>
    <row r="815" spans="1:18" x14ac:dyDescent="0.25">
      <c r="A815" s="169">
        <v>43203</v>
      </c>
      <c r="B815" s="115">
        <v>158</v>
      </c>
      <c r="C815" s="115">
        <v>156.09</v>
      </c>
      <c r="D815" s="115">
        <v>155.13999999999999</v>
      </c>
      <c r="E815" s="115">
        <v>157.34</v>
      </c>
      <c r="F815" s="115">
        <v>780.45</v>
      </c>
      <c r="G815">
        <v>358</v>
      </c>
      <c r="H815" s="115"/>
      <c r="I815" s="115"/>
      <c r="L815" s="169">
        <v>43202</v>
      </c>
      <c r="M815" s="115">
        <v>156.26</v>
      </c>
      <c r="N815" s="115">
        <v>158.72</v>
      </c>
      <c r="O815" s="115">
        <v>155.44</v>
      </c>
      <c r="P815" s="115">
        <v>156</v>
      </c>
      <c r="Q815" s="115">
        <v>781.3</v>
      </c>
      <c r="R815">
        <v>35771</v>
      </c>
    </row>
    <row r="816" spans="1:18" x14ac:dyDescent="0.25">
      <c r="A816" s="169">
        <v>43206</v>
      </c>
      <c r="B816" s="115">
        <v>159</v>
      </c>
      <c r="C816" s="115">
        <v>156.41</v>
      </c>
      <c r="D816" s="115">
        <v>156</v>
      </c>
      <c r="E816" s="115">
        <v>157.15</v>
      </c>
      <c r="F816" s="115">
        <v>782.05</v>
      </c>
      <c r="G816">
        <v>3086</v>
      </c>
      <c r="H816" s="115"/>
      <c r="I816" s="115"/>
      <c r="L816" s="169">
        <v>43203</v>
      </c>
      <c r="M816" s="115">
        <v>155.99</v>
      </c>
      <c r="N816" s="115">
        <v>158.19999999999999</v>
      </c>
      <c r="O816" s="115">
        <v>155.11000000000001</v>
      </c>
      <c r="P816" s="115">
        <v>157.03</v>
      </c>
      <c r="Q816" s="115">
        <v>779.95</v>
      </c>
      <c r="R816">
        <v>15642</v>
      </c>
    </row>
    <row r="817" spans="1:18" x14ac:dyDescent="0.25">
      <c r="A817" s="169">
        <v>43207</v>
      </c>
      <c r="B817" s="115">
        <v>158</v>
      </c>
      <c r="C817" s="115">
        <v>156.72</v>
      </c>
      <c r="D817" s="115">
        <v>156</v>
      </c>
      <c r="E817" s="115">
        <v>157.6</v>
      </c>
      <c r="F817" s="115">
        <v>783.6</v>
      </c>
      <c r="G817">
        <v>847</v>
      </c>
      <c r="H817" s="115"/>
      <c r="I817" s="115"/>
      <c r="L817" s="169">
        <v>43206</v>
      </c>
      <c r="M817" s="115">
        <v>156.63999999999999</v>
      </c>
      <c r="N817" s="115">
        <v>159.97</v>
      </c>
      <c r="O817" s="115">
        <v>156.02000000000001</v>
      </c>
      <c r="P817" s="115">
        <v>156.49</v>
      </c>
      <c r="Q817" s="115">
        <v>783.2</v>
      </c>
      <c r="R817">
        <v>25436</v>
      </c>
    </row>
    <row r="818" spans="1:18" x14ac:dyDescent="0.25">
      <c r="A818" s="169">
        <v>43208</v>
      </c>
      <c r="B818" s="115">
        <v>161.03</v>
      </c>
      <c r="C818" s="115">
        <v>157.5</v>
      </c>
      <c r="D818" s="115">
        <v>156.6</v>
      </c>
      <c r="E818" s="115">
        <v>156.6</v>
      </c>
      <c r="F818" s="115">
        <v>787.5</v>
      </c>
      <c r="G818">
        <v>1259</v>
      </c>
      <c r="H818" s="115"/>
      <c r="I818" s="115"/>
      <c r="L818" s="169">
        <v>43207</v>
      </c>
      <c r="M818" s="115">
        <v>156.06</v>
      </c>
      <c r="N818" s="115">
        <v>157.96</v>
      </c>
      <c r="O818" s="115">
        <v>155.15</v>
      </c>
      <c r="P818" s="115">
        <v>156.69999999999999</v>
      </c>
      <c r="Q818" s="115">
        <v>780.3</v>
      </c>
      <c r="R818">
        <v>12330</v>
      </c>
    </row>
    <row r="819" spans="1:18" x14ac:dyDescent="0.25">
      <c r="A819" s="169">
        <v>43209</v>
      </c>
      <c r="B819" s="115">
        <v>169</v>
      </c>
      <c r="C819" s="115">
        <v>166.85</v>
      </c>
      <c r="D819" s="115">
        <v>160</v>
      </c>
      <c r="E819" s="115">
        <v>160.80000000000001</v>
      </c>
      <c r="F819" s="115">
        <v>834.25</v>
      </c>
      <c r="G819">
        <v>4288</v>
      </c>
      <c r="H819" s="115"/>
      <c r="I819" s="115"/>
      <c r="L819" s="169">
        <v>43208</v>
      </c>
      <c r="M819" s="115">
        <v>157.31</v>
      </c>
      <c r="N819" s="115">
        <v>161.6</v>
      </c>
      <c r="O819" s="115">
        <v>156.4</v>
      </c>
      <c r="P819" s="115">
        <v>156.4</v>
      </c>
      <c r="Q819" s="115">
        <v>786.55</v>
      </c>
      <c r="R819">
        <v>15720</v>
      </c>
    </row>
    <row r="820" spans="1:18" x14ac:dyDescent="0.25">
      <c r="A820" s="169">
        <v>43210</v>
      </c>
      <c r="B820" s="115">
        <v>172.77</v>
      </c>
      <c r="C820" s="115">
        <v>171.51</v>
      </c>
      <c r="D820" s="115">
        <v>168.02</v>
      </c>
      <c r="E820" s="115">
        <v>169.4</v>
      </c>
      <c r="F820" s="115">
        <v>857.55</v>
      </c>
      <c r="G820">
        <v>3190</v>
      </c>
      <c r="H820" s="115"/>
      <c r="I820" s="115"/>
      <c r="L820" s="169">
        <v>43209</v>
      </c>
      <c r="M820" s="115">
        <v>166.73</v>
      </c>
      <c r="N820" s="115">
        <v>168.8</v>
      </c>
      <c r="O820" s="115">
        <v>159.81</v>
      </c>
      <c r="P820" s="115">
        <v>160.75</v>
      </c>
      <c r="Q820" s="115">
        <v>833.65</v>
      </c>
      <c r="R820">
        <v>46992</v>
      </c>
    </row>
    <row r="821" spans="1:18" x14ac:dyDescent="0.25">
      <c r="A821" s="169">
        <v>43213</v>
      </c>
      <c r="B821" s="115">
        <v>175.6</v>
      </c>
      <c r="C821" s="115">
        <v>174.71</v>
      </c>
      <c r="D821" s="115">
        <v>172.43</v>
      </c>
      <c r="E821" s="115">
        <v>174</v>
      </c>
      <c r="F821" s="115">
        <v>873.55</v>
      </c>
      <c r="G821">
        <v>1777</v>
      </c>
      <c r="H821" s="115"/>
      <c r="I821" s="115"/>
      <c r="L821" s="169">
        <v>43210</v>
      </c>
      <c r="M821" s="115">
        <v>171.57</v>
      </c>
      <c r="N821" s="115">
        <v>172</v>
      </c>
      <c r="O821" s="115">
        <v>167.4</v>
      </c>
      <c r="P821" s="115">
        <v>167.8</v>
      </c>
      <c r="Q821" s="115">
        <v>857.85</v>
      </c>
      <c r="R821">
        <v>38860</v>
      </c>
    </row>
    <row r="822" spans="1:18" x14ac:dyDescent="0.25">
      <c r="A822" s="169">
        <v>43214</v>
      </c>
      <c r="B822" s="115">
        <v>178.14</v>
      </c>
      <c r="C822" s="115">
        <v>175.03</v>
      </c>
      <c r="D822" s="115">
        <v>173.02</v>
      </c>
      <c r="E822" s="115">
        <v>176</v>
      </c>
      <c r="F822" s="115">
        <v>875.15</v>
      </c>
      <c r="G822">
        <v>1667</v>
      </c>
      <c r="H822" s="115"/>
      <c r="I822" s="115"/>
      <c r="L822" s="169">
        <v>43213</v>
      </c>
      <c r="M822" s="115">
        <v>175.51</v>
      </c>
      <c r="N822" s="115">
        <v>177</v>
      </c>
      <c r="O822" s="115">
        <v>172.23</v>
      </c>
      <c r="P822" s="115">
        <v>175.2</v>
      </c>
      <c r="Q822" s="115">
        <v>877.55</v>
      </c>
      <c r="R822">
        <v>16647</v>
      </c>
    </row>
    <row r="823" spans="1:18" x14ac:dyDescent="0.25">
      <c r="A823" s="169">
        <v>43215</v>
      </c>
      <c r="B823" s="115">
        <v>177.9</v>
      </c>
      <c r="C823" s="115">
        <v>163.61000000000001</v>
      </c>
      <c r="D823" s="115">
        <v>162.80000000000001</v>
      </c>
      <c r="E823" s="115">
        <v>175.6</v>
      </c>
      <c r="F823" s="115">
        <v>818.05</v>
      </c>
      <c r="G823">
        <v>3953</v>
      </c>
      <c r="H823" s="115"/>
      <c r="I823" s="115"/>
      <c r="L823" s="169">
        <v>43214</v>
      </c>
      <c r="M823" s="115">
        <v>174.24</v>
      </c>
      <c r="N823" s="115">
        <v>178.82</v>
      </c>
      <c r="O823" s="115">
        <v>173.26</v>
      </c>
      <c r="P823" s="115">
        <v>176.63</v>
      </c>
      <c r="Q823" s="115">
        <v>871.2</v>
      </c>
      <c r="R823">
        <v>17311</v>
      </c>
    </row>
    <row r="824" spans="1:18" x14ac:dyDescent="0.25">
      <c r="A824" s="169">
        <v>43216</v>
      </c>
      <c r="B824" s="115">
        <v>167.6</v>
      </c>
      <c r="C824" s="115">
        <v>163.6</v>
      </c>
      <c r="D824" s="115">
        <v>157</v>
      </c>
      <c r="E824" s="115">
        <v>162</v>
      </c>
      <c r="F824" s="115">
        <v>818</v>
      </c>
      <c r="G824">
        <v>6554</v>
      </c>
      <c r="H824" s="115"/>
      <c r="I824" s="115"/>
      <c r="L824" s="169">
        <v>43215</v>
      </c>
      <c r="M824" s="115">
        <v>163.46</v>
      </c>
      <c r="N824" s="115">
        <v>177.64</v>
      </c>
      <c r="O824" s="115">
        <v>162</v>
      </c>
      <c r="P824" s="115">
        <v>174.47</v>
      </c>
      <c r="Q824" s="115">
        <v>817.3</v>
      </c>
      <c r="R824">
        <v>46851</v>
      </c>
    </row>
    <row r="825" spans="1:18" x14ac:dyDescent="0.25">
      <c r="A825" s="169">
        <v>43217</v>
      </c>
      <c r="B825" s="115">
        <v>168.89</v>
      </c>
      <c r="C825" s="115">
        <v>166.88</v>
      </c>
      <c r="D825" s="115">
        <v>163.03</v>
      </c>
      <c r="E825" s="115">
        <v>164.4</v>
      </c>
      <c r="F825" s="115">
        <v>834.4</v>
      </c>
      <c r="G825">
        <v>2152</v>
      </c>
      <c r="H825" s="115"/>
      <c r="I825" s="115"/>
      <c r="L825" s="169">
        <v>43216</v>
      </c>
      <c r="M825" s="115">
        <v>164.4</v>
      </c>
      <c r="N825" s="115">
        <v>167.99</v>
      </c>
      <c r="O825" s="115">
        <v>157.03</v>
      </c>
      <c r="P825" s="115">
        <v>163</v>
      </c>
      <c r="Q825" s="115">
        <v>822</v>
      </c>
      <c r="R825">
        <v>42296</v>
      </c>
    </row>
    <row r="826" spans="1:18" x14ac:dyDescent="0.25">
      <c r="A826" s="169">
        <v>43220</v>
      </c>
      <c r="B826" s="115">
        <v>170.14</v>
      </c>
      <c r="C826" s="115">
        <v>165.31</v>
      </c>
      <c r="D826" s="115">
        <v>165.05</v>
      </c>
      <c r="E826" s="115">
        <v>167</v>
      </c>
      <c r="F826" s="115">
        <v>826.55</v>
      </c>
      <c r="G826">
        <v>642</v>
      </c>
      <c r="H826" s="115"/>
      <c r="I826" s="115"/>
      <c r="L826" s="169">
        <v>43217</v>
      </c>
      <c r="M826" s="115">
        <v>166.77</v>
      </c>
      <c r="N826" s="115">
        <v>168.76</v>
      </c>
      <c r="O826" s="115">
        <v>163.4</v>
      </c>
      <c r="P826" s="115">
        <v>164.41</v>
      </c>
      <c r="Q826" s="115">
        <v>833.85</v>
      </c>
      <c r="R826">
        <v>13161</v>
      </c>
    </row>
    <row r="827" spans="1:18" x14ac:dyDescent="0.25">
      <c r="A827" s="169">
        <v>43222</v>
      </c>
      <c r="B827" s="115">
        <v>170</v>
      </c>
      <c r="C827" s="115">
        <v>162.69999999999999</v>
      </c>
      <c r="D827" s="115">
        <v>161.03</v>
      </c>
      <c r="E827" s="115">
        <v>167.6</v>
      </c>
      <c r="F827" s="115">
        <v>813.5</v>
      </c>
      <c r="G827">
        <v>2367</v>
      </c>
      <c r="H827" s="115"/>
      <c r="I827" s="115"/>
      <c r="L827" s="169">
        <v>43220</v>
      </c>
      <c r="M827" s="115">
        <v>165.38</v>
      </c>
      <c r="N827" s="115">
        <v>169</v>
      </c>
      <c r="O827" s="115">
        <v>164.4</v>
      </c>
      <c r="P827" s="115">
        <v>169</v>
      </c>
      <c r="Q827" s="115">
        <v>826.9</v>
      </c>
      <c r="R827">
        <v>5831</v>
      </c>
    </row>
    <row r="828" spans="1:18" x14ac:dyDescent="0.25">
      <c r="A828" s="169">
        <v>43223</v>
      </c>
      <c r="B828" s="115">
        <v>166.8</v>
      </c>
      <c r="C828" s="115">
        <v>165.09</v>
      </c>
      <c r="D828" s="115">
        <v>162.80000000000001</v>
      </c>
      <c r="E828" s="115">
        <v>164.26</v>
      </c>
      <c r="F828" s="115">
        <v>825.45</v>
      </c>
      <c r="G828">
        <v>1232</v>
      </c>
      <c r="H828" s="115"/>
      <c r="I828" s="115"/>
      <c r="L828" s="169">
        <v>43222</v>
      </c>
      <c r="M828" s="115">
        <v>162.85</v>
      </c>
      <c r="N828" s="115">
        <v>170</v>
      </c>
      <c r="O828" s="115">
        <v>162.19999999999999</v>
      </c>
      <c r="P828" s="115">
        <v>166</v>
      </c>
      <c r="Q828" s="115">
        <v>814.25</v>
      </c>
      <c r="R828">
        <v>20584</v>
      </c>
    </row>
    <row r="829" spans="1:18" x14ac:dyDescent="0.25">
      <c r="A829" s="169">
        <v>43224</v>
      </c>
      <c r="B829" s="115">
        <v>167.2</v>
      </c>
      <c r="C829" s="115">
        <v>165.97</v>
      </c>
      <c r="D829" s="115">
        <v>165.1</v>
      </c>
      <c r="E829" s="115">
        <v>166.01</v>
      </c>
      <c r="F829" s="115">
        <v>829.85</v>
      </c>
      <c r="G829">
        <v>262</v>
      </c>
      <c r="H829" s="115"/>
      <c r="I829" s="115"/>
      <c r="L829" s="169">
        <v>43223</v>
      </c>
      <c r="M829" s="115">
        <v>165.91</v>
      </c>
      <c r="N829" s="115">
        <v>167.2</v>
      </c>
      <c r="O829" s="115">
        <v>161.01</v>
      </c>
      <c r="P829" s="115">
        <v>162.79</v>
      </c>
      <c r="Q829" s="115">
        <v>829.55</v>
      </c>
      <c r="R829">
        <v>10291</v>
      </c>
    </row>
    <row r="830" spans="1:18" x14ac:dyDescent="0.25">
      <c r="A830" s="169">
        <v>43227</v>
      </c>
      <c r="B830" s="115">
        <v>167.4</v>
      </c>
      <c r="C830" s="115">
        <v>164.41</v>
      </c>
      <c r="D830" s="115">
        <v>164</v>
      </c>
      <c r="E830" s="115">
        <v>167.4</v>
      </c>
      <c r="F830" s="115">
        <v>822.05</v>
      </c>
      <c r="G830">
        <v>303</v>
      </c>
      <c r="H830" s="115"/>
      <c r="I830" s="115"/>
      <c r="L830" s="169">
        <v>43224</v>
      </c>
      <c r="M830" s="115">
        <v>166.01</v>
      </c>
      <c r="N830" s="115">
        <v>167.39</v>
      </c>
      <c r="O830" s="115">
        <v>165.6</v>
      </c>
      <c r="P830" s="115">
        <v>167.2</v>
      </c>
      <c r="Q830" s="115">
        <v>830.05</v>
      </c>
      <c r="R830">
        <v>3071</v>
      </c>
    </row>
    <row r="831" spans="1:18" x14ac:dyDescent="0.25">
      <c r="A831" s="169">
        <v>43228</v>
      </c>
      <c r="B831" s="115">
        <v>165</v>
      </c>
      <c r="C831" s="115">
        <v>163.53</v>
      </c>
      <c r="D831" s="115">
        <v>162.97999999999999</v>
      </c>
      <c r="E831" s="115">
        <v>163.37</v>
      </c>
      <c r="F831" s="115">
        <v>817.65</v>
      </c>
      <c r="G831">
        <v>446</v>
      </c>
      <c r="H831" s="115"/>
      <c r="I831" s="115"/>
      <c r="L831" s="169">
        <v>43227</v>
      </c>
      <c r="M831" s="115">
        <v>163.93</v>
      </c>
      <c r="N831" s="115">
        <v>168</v>
      </c>
      <c r="O831" s="115">
        <v>163.22999999999999</v>
      </c>
      <c r="P831" s="115">
        <v>168</v>
      </c>
      <c r="Q831" s="115">
        <v>819.65</v>
      </c>
      <c r="R831">
        <v>4001</v>
      </c>
    </row>
    <row r="832" spans="1:18" x14ac:dyDescent="0.25">
      <c r="A832" s="169">
        <v>43229</v>
      </c>
      <c r="B832" s="115">
        <v>175.4</v>
      </c>
      <c r="C832" s="115">
        <v>173.77</v>
      </c>
      <c r="D832" s="115">
        <v>165</v>
      </c>
      <c r="E832" s="115">
        <v>165</v>
      </c>
      <c r="F832" s="115">
        <v>868.85</v>
      </c>
      <c r="G832">
        <v>173324</v>
      </c>
      <c r="H832" s="115"/>
      <c r="I832" s="115"/>
      <c r="L832" s="169">
        <v>43228</v>
      </c>
      <c r="M832" s="115">
        <v>164.53</v>
      </c>
      <c r="N832" s="115">
        <v>166.2</v>
      </c>
      <c r="O832" s="115">
        <v>163.02000000000001</v>
      </c>
      <c r="P832" s="115">
        <v>166.2</v>
      </c>
      <c r="Q832" s="115">
        <v>822.65</v>
      </c>
      <c r="R832">
        <v>2252</v>
      </c>
    </row>
    <row r="833" spans="1:18" x14ac:dyDescent="0.25">
      <c r="A833" s="169">
        <v>43230</v>
      </c>
      <c r="B833" s="115">
        <v>174.8</v>
      </c>
      <c r="C833" s="115">
        <v>168.49</v>
      </c>
      <c r="D833" s="115">
        <v>167.56</v>
      </c>
      <c r="E833" s="115">
        <v>174.78</v>
      </c>
      <c r="F833" s="115">
        <v>842.45</v>
      </c>
      <c r="G833">
        <v>1397</v>
      </c>
      <c r="H833" s="115"/>
      <c r="I833" s="115"/>
      <c r="L833" s="169">
        <v>43229</v>
      </c>
      <c r="M833" s="115">
        <v>173.76</v>
      </c>
      <c r="N833" s="115">
        <v>174.8</v>
      </c>
      <c r="O833" s="115">
        <v>164.46</v>
      </c>
      <c r="P833" s="115">
        <v>165.01</v>
      </c>
      <c r="Q833" s="115">
        <v>868.8</v>
      </c>
      <c r="R833">
        <v>855530</v>
      </c>
    </row>
    <row r="834" spans="1:18" x14ac:dyDescent="0.25">
      <c r="A834" s="169">
        <v>43231</v>
      </c>
      <c r="B834" s="115">
        <v>167.8</v>
      </c>
      <c r="C834" s="115">
        <v>166.69</v>
      </c>
      <c r="D834" s="115">
        <v>165.99</v>
      </c>
      <c r="E834" s="115">
        <v>167</v>
      </c>
      <c r="F834" s="115">
        <v>833.45</v>
      </c>
      <c r="G834">
        <v>393</v>
      </c>
      <c r="H834" s="115"/>
      <c r="I834" s="115"/>
      <c r="L834" s="169">
        <v>43230</v>
      </c>
      <c r="M834" s="115">
        <v>167.78</v>
      </c>
      <c r="N834" s="115">
        <v>175.19</v>
      </c>
      <c r="O834" s="115">
        <v>167.02</v>
      </c>
      <c r="P834" s="115">
        <v>173.76</v>
      </c>
      <c r="Q834" s="115">
        <v>838.9</v>
      </c>
      <c r="R834">
        <v>23023</v>
      </c>
    </row>
    <row r="835" spans="1:18" x14ac:dyDescent="0.25">
      <c r="A835" s="169">
        <v>43234</v>
      </c>
      <c r="B835" s="115">
        <v>167.8</v>
      </c>
      <c r="C835" s="115">
        <v>167.42</v>
      </c>
      <c r="D835" s="115">
        <v>163.6</v>
      </c>
      <c r="E835" s="115">
        <v>166</v>
      </c>
      <c r="F835" s="115">
        <v>837.1</v>
      </c>
      <c r="G835">
        <v>1992</v>
      </c>
      <c r="H835" s="115"/>
      <c r="I835" s="115"/>
      <c r="L835" s="169">
        <v>43231</v>
      </c>
      <c r="M835" s="115">
        <v>166.57</v>
      </c>
      <c r="N835" s="115">
        <v>168.02</v>
      </c>
      <c r="O835" s="115">
        <v>165.43</v>
      </c>
      <c r="P835" s="115">
        <v>167.78</v>
      </c>
      <c r="Q835" s="115">
        <v>832.85</v>
      </c>
      <c r="R835">
        <v>9603</v>
      </c>
    </row>
    <row r="836" spans="1:18" x14ac:dyDescent="0.25">
      <c r="A836" s="169">
        <v>43235</v>
      </c>
      <c r="B836" s="115">
        <v>165.42</v>
      </c>
      <c r="C836" s="115">
        <v>163.21</v>
      </c>
      <c r="D836" s="115">
        <v>163</v>
      </c>
      <c r="E836" s="115">
        <v>163.59</v>
      </c>
      <c r="F836" s="115">
        <v>816.05</v>
      </c>
      <c r="G836">
        <v>432</v>
      </c>
      <c r="H836" s="115"/>
      <c r="I836" s="115"/>
      <c r="L836" s="169">
        <v>43234</v>
      </c>
      <c r="M836" s="115">
        <v>164.14</v>
      </c>
      <c r="N836" s="115">
        <v>167.98</v>
      </c>
      <c r="O836" s="115">
        <v>163.4</v>
      </c>
      <c r="P836" s="115">
        <v>167.98</v>
      </c>
      <c r="Q836" s="115">
        <v>820.7</v>
      </c>
      <c r="R836">
        <v>6946</v>
      </c>
    </row>
    <row r="837" spans="1:18" x14ac:dyDescent="0.25">
      <c r="A837" s="169">
        <v>43236</v>
      </c>
      <c r="B837" s="115">
        <v>164</v>
      </c>
      <c r="C837" s="115">
        <v>163.65</v>
      </c>
      <c r="D837" s="115">
        <v>160.54</v>
      </c>
      <c r="E837" s="115">
        <v>161.30000000000001</v>
      </c>
      <c r="F837" s="115">
        <v>818.25</v>
      </c>
      <c r="G837">
        <v>727</v>
      </c>
      <c r="H837" s="115"/>
      <c r="I837" s="115"/>
      <c r="L837" s="169">
        <v>43235</v>
      </c>
      <c r="M837" s="115">
        <v>163.87</v>
      </c>
      <c r="N837" s="115">
        <v>166</v>
      </c>
      <c r="O837" s="115">
        <v>162.4</v>
      </c>
      <c r="P837" s="115">
        <v>166</v>
      </c>
      <c r="Q837" s="115">
        <v>819.35</v>
      </c>
      <c r="R837">
        <v>5711</v>
      </c>
    </row>
    <row r="838" spans="1:18" x14ac:dyDescent="0.25">
      <c r="A838" s="169">
        <v>43237</v>
      </c>
      <c r="B838" s="115">
        <v>166.8</v>
      </c>
      <c r="C838" s="115">
        <v>165.57</v>
      </c>
      <c r="D838" s="115">
        <v>161.4</v>
      </c>
      <c r="E838" s="115">
        <v>163.6</v>
      </c>
      <c r="F838" s="115">
        <v>827.85</v>
      </c>
      <c r="G838">
        <v>680</v>
      </c>
      <c r="H838" s="115"/>
      <c r="I838" s="115"/>
      <c r="L838" s="169">
        <v>43236</v>
      </c>
      <c r="M838" s="115">
        <v>161.51</v>
      </c>
      <c r="N838" s="115">
        <v>163.19999999999999</v>
      </c>
      <c r="O838" s="115">
        <v>160.26</v>
      </c>
      <c r="P838" s="115">
        <v>163.19999999999999</v>
      </c>
      <c r="Q838" s="115">
        <v>807.55</v>
      </c>
      <c r="R838">
        <v>4090</v>
      </c>
    </row>
    <row r="839" spans="1:18" x14ac:dyDescent="0.25">
      <c r="A839" s="169">
        <v>43238</v>
      </c>
      <c r="B839" s="115">
        <v>165.4</v>
      </c>
      <c r="C839" s="115">
        <v>165.24</v>
      </c>
      <c r="D839" s="115">
        <v>160.13</v>
      </c>
      <c r="E839" s="115">
        <v>160.66999999999999</v>
      </c>
      <c r="F839" s="115">
        <v>826.2</v>
      </c>
      <c r="G839">
        <v>764</v>
      </c>
      <c r="H839" s="115"/>
      <c r="I839" s="115"/>
      <c r="L839" s="169">
        <v>43237</v>
      </c>
      <c r="M839" s="115">
        <v>162.87</v>
      </c>
      <c r="N839" s="115">
        <v>165.99</v>
      </c>
      <c r="O839" s="115">
        <v>161.4</v>
      </c>
      <c r="P839" s="115">
        <v>161.58000000000001</v>
      </c>
      <c r="Q839" s="115">
        <v>814.35</v>
      </c>
      <c r="R839">
        <v>5560</v>
      </c>
    </row>
    <row r="840" spans="1:18" x14ac:dyDescent="0.25">
      <c r="A840" s="169">
        <v>43241</v>
      </c>
      <c r="B840" s="115">
        <v>163.4</v>
      </c>
      <c r="C840" s="115">
        <v>161.05000000000001</v>
      </c>
      <c r="D840" s="115">
        <v>156</v>
      </c>
      <c r="E840" s="115">
        <v>161</v>
      </c>
      <c r="F840" s="115">
        <v>805.25</v>
      </c>
      <c r="G840">
        <v>2160</v>
      </c>
      <c r="H840" s="115"/>
      <c r="I840" s="115"/>
      <c r="L840" s="169">
        <v>43238</v>
      </c>
      <c r="M840" s="115">
        <v>160.63999999999999</v>
      </c>
      <c r="N840" s="115">
        <v>165.76</v>
      </c>
      <c r="O840" s="115">
        <v>160.4</v>
      </c>
      <c r="P840" s="115">
        <v>165.76</v>
      </c>
      <c r="Q840" s="115">
        <v>803.2</v>
      </c>
      <c r="R840">
        <v>3930</v>
      </c>
    </row>
    <row r="841" spans="1:18" x14ac:dyDescent="0.25">
      <c r="A841" s="169">
        <v>43242</v>
      </c>
      <c r="B841" s="115">
        <v>160.19999999999999</v>
      </c>
      <c r="C841" s="115">
        <v>159.19999999999999</v>
      </c>
      <c r="D841" s="115">
        <v>156.99</v>
      </c>
      <c r="E841" s="115">
        <v>158.4</v>
      </c>
      <c r="F841" s="115">
        <v>796</v>
      </c>
      <c r="G841">
        <v>379</v>
      </c>
      <c r="H841" s="115"/>
      <c r="I841" s="115"/>
      <c r="L841" s="169">
        <v>43241</v>
      </c>
      <c r="M841" s="115">
        <v>157.85</v>
      </c>
      <c r="N841" s="115">
        <v>164.19</v>
      </c>
      <c r="O841" s="115">
        <v>156.19999999999999</v>
      </c>
      <c r="P841" s="115">
        <v>164.19</v>
      </c>
      <c r="Q841" s="115">
        <v>789.25</v>
      </c>
      <c r="R841">
        <v>9154</v>
      </c>
    </row>
    <row r="842" spans="1:18" x14ac:dyDescent="0.25">
      <c r="A842" s="169">
        <v>43243</v>
      </c>
      <c r="B842" s="115">
        <v>159.9</v>
      </c>
      <c r="C842" s="115">
        <v>159.25</v>
      </c>
      <c r="D842" s="115">
        <v>157</v>
      </c>
      <c r="E842" s="115">
        <v>159.04</v>
      </c>
      <c r="F842" s="115">
        <v>796.25</v>
      </c>
      <c r="G842">
        <v>320</v>
      </c>
      <c r="H842" s="115"/>
      <c r="I842" s="115"/>
      <c r="L842" s="169">
        <v>43242</v>
      </c>
      <c r="M842" s="115">
        <v>157.55000000000001</v>
      </c>
      <c r="N842" s="115">
        <v>159.78</v>
      </c>
      <c r="O842" s="115">
        <v>156.80000000000001</v>
      </c>
      <c r="P842" s="115">
        <v>159</v>
      </c>
      <c r="Q842" s="115">
        <v>787.75</v>
      </c>
      <c r="R842">
        <v>3764</v>
      </c>
    </row>
    <row r="843" spans="1:18" x14ac:dyDescent="0.25">
      <c r="A843" s="169">
        <v>43244</v>
      </c>
      <c r="B843" s="115">
        <v>163.13999999999999</v>
      </c>
      <c r="C843" s="115">
        <v>159.68</v>
      </c>
      <c r="D843" s="115">
        <v>157.01</v>
      </c>
      <c r="E843" s="115">
        <v>159.03</v>
      </c>
      <c r="F843" s="115">
        <v>798.4</v>
      </c>
      <c r="G843">
        <v>601</v>
      </c>
      <c r="H843" s="115"/>
      <c r="I843" s="115"/>
      <c r="L843" s="169">
        <v>43243</v>
      </c>
      <c r="M843" s="115">
        <v>158.26</v>
      </c>
      <c r="N843" s="115">
        <v>159.80000000000001</v>
      </c>
      <c r="O843" s="115">
        <v>157.21</v>
      </c>
      <c r="P843" s="115">
        <v>159.80000000000001</v>
      </c>
      <c r="Q843" s="115">
        <v>791.3</v>
      </c>
      <c r="R843">
        <v>1671</v>
      </c>
    </row>
    <row r="844" spans="1:18" x14ac:dyDescent="0.25">
      <c r="A844" s="169">
        <v>43245</v>
      </c>
      <c r="B844" s="115">
        <v>163.16999999999999</v>
      </c>
      <c r="C844" s="115">
        <v>162.59</v>
      </c>
      <c r="D844" s="115">
        <v>157.99</v>
      </c>
      <c r="E844" s="115">
        <v>158</v>
      </c>
      <c r="F844" s="115">
        <v>812.95</v>
      </c>
      <c r="G844">
        <v>1449</v>
      </c>
      <c r="H844" s="115"/>
      <c r="I844" s="115"/>
      <c r="L844" s="169">
        <v>43244</v>
      </c>
      <c r="M844" s="115">
        <v>158.22999999999999</v>
      </c>
      <c r="N844" s="115">
        <v>164.2</v>
      </c>
      <c r="O844" s="115">
        <v>157.02000000000001</v>
      </c>
      <c r="P844" s="115">
        <v>159.05000000000001</v>
      </c>
      <c r="Q844" s="115">
        <v>791.15</v>
      </c>
      <c r="R844">
        <v>5029</v>
      </c>
    </row>
    <row r="845" spans="1:18" x14ac:dyDescent="0.25">
      <c r="A845" s="169">
        <v>43248</v>
      </c>
      <c r="B845" s="115">
        <v>166</v>
      </c>
      <c r="C845" s="115">
        <v>163.85</v>
      </c>
      <c r="D845" s="115">
        <v>163</v>
      </c>
      <c r="E845" s="115">
        <v>166</v>
      </c>
      <c r="F845" s="115">
        <v>819.25</v>
      </c>
      <c r="G845">
        <v>2180</v>
      </c>
      <c r="H845" s="115"/>
      <c r="I845" s="115"/>
      <c r="L845" s="169">
        <v>43245</v>
      </c>
      <c r="M845" s="115">
        <v>162.05000000000001</v>
      </c>
      <c r="N845" s="115">
        <v>163.98</v>
      </c>
      <c r="O845" s="115">
        <v>157.59</v>
      </c>
      <c r="P845" s="115">
        <v>159.78</v>
      </c>
      <c r="Q845" s="115">
        <v>810.25</v>
      </c>
      <c r="R845">
        <v>3137</v>
      </c>
    </row>
    <row r="846" spans="1:18" x14ac:dyDescent="0.25">
      <c r="A846" s="169">
        <v>43249</v>
      </c>
      <c r="B846" s="115">
        <v>164.83</v>
      </c>
      <c r="C846" s="115">
        <v>163.01</v>
      </c>
      <c r="D846" s="115">
        <v>162.27000000000001</v>
      </c>
      <c r="E846" s="115">
        <v>163.87</v>
      </c>
      <c r="F846" s="115">
        <v>815.05</v>
      </c>
      <c r="G846">
        <v>340</v>
      </c>
      <c r="H846" s="115"/>
      <c r="I846" s="115"/>
      <c r="L846" s="169">
        <v>43248</v>
      </c>
      <c r="M846" s="115">
        <v>163.95</v>
      </c>
      <c r="N846" s="115">
        <v>165.96</v>
      </c>
      <c r="O846" s="115">
        <v>162.19999999999999</v>
      </c>
      <c r="P846" s="115">
        <v>165</v>
      </c>
      <c r="Q846" s="115">
        <v>819.75</v>
      </c>
      <c r="R846">
        <v>9283</v>
      </c>
    </row>
    <row r="847" spans="1:18" x14ac:dyDescent="0.25">
      <c r="A847" s="169">
        <v>43250</v>
      </c>
      <c r="B847" s="115">
        <v>165</v>
      </c>
      <c r="C847" s="115">
        <v>164.89</v>
      </c>
      <c r="D847" s="115">
        <v>161.19999999999999</v>
      </c>
      <c r="E847" s="115">
        <v>161.19999999999999</v>
      </c>
      <c r="F847" s="115">
        <v>824.45</v>
      </c>
      <c r="G847">
        <v>348</v>
      </c>
      <c r="H847" s="115"/>
      <c r="I847" s="115"/>
      <c r="L847" s="169">
        <v>43249</v>
      </c>
      <c r="M847" s="115">
        <v>164.17</v>
      </c>
      <c r="N847" s="115">
        <v>165.66</v>
      </c>
      <c r="O847" s="115">
        <v>161.80000000000001</v>
      </c>
      <c r="P847" s="115">
        <v>164.03</v>
      </c>
      <c r="Q847" s="115">
        <v>820.85</v>
      </c>
      <c r="R847">
        <v>4362</v>
      </c>
    </row>
    <row r="848" spans="1:18" x14ac:dyDescent="0.25">
      <c r="A848" s="169">
        <v>43251</v>
      </c>
      <c r="B848" s="115">
        <v>165.21</v>
      </c>
      <c r="C848" s="115">
        <v>163.68</v>
      </c>
      <c r="D848" s="115">
        <v>163</v>
      </c>
      <c r="E848" s="115">
        <v>165.09</v>
      </c>
      <c r="F848" s="115">
        <v>818.4</v>
      </c>
      <c r="G848">
        <v>118</v>
      </c>
      <c r="H848" s="115"/>
      <c r="I848" s="115"/>
      <c r="L848" s="169">
        <v>43250</v>
      </c>
      <c r="M848" s="115">
        <v>164.87</v>
      </c>
      <c r="N848" s="115">
        <v>165.8</v>
      </c>
      <c r="O848" s="115">
        <v>161.08000000000001</v>
      </c>
      <c r="P848" s="115">
        <v>165.37</v>
      </c>
      <c r="Q848" s="115">
        <v>824.35</v>
      </c>
      <c r="R848">
        <v>2203</v>
      </c>
    </row>
    <row r="849" spans="1:18" x14ac:dyDescent="0.25">
      <c r="A849" s="169">
        <v>43252</v>
      </c>
      <c r="B849" s="115">
        <v>164.97</v>
      </c>
      <c r="C849" s="115">
        <v>163.78</v>
      </c>
      <c r="D849" s="115">
        <v>160.34</v>
      </c>
      <c r="E849" s="115">
        <v>164</v>
      </c>
      <c r="F849" s="115">
        <v>818.9</v>
      </c>
      <c r="G849">
        <v>377</v>
      </c>
      <c r="H849" s="115"/>
      <c r="I849" s="115"/>
      <c r="L849" s="169">
        <v>43251</v>
      </c>
      <c r="M849" s="115">
        <v>163.06</v>
      </c>
      <c r="N849" s="115">
        <v>165.47</v>
      </c>
      <c r="O849" s="115">
        <v>161.97999999999999</v>
      </c>
      <c r="P849" s="115">
        <v>165.47</v>
      </c>
      <c r="Q849" s="115">
        <v>815.3</v>
      </c>
      <c r="R849">
        <v>4620</v>
      </c>
    </row>
    <row r="850" spans="1:18" x14ac:dyDescent="0.25">
      <c r="A850" s="169">
        <v>43255</v>
      </c>
      <c r="B850" s="115">
        <v>163.6</v>
      </c>
      <c r="C850" s="115">
        <v>162.19</v>
      </c>
      <c r="D850" s="115">
        <v>161.1</v>
      </c>
      <c r="E850" s="115">
        <v>162</v>
      </c>
      <c r="F850" s="115">
        <v>810.95</v>
      </c>
      <c r="G850">
        <v>470</v>
      </c>
      <c r="H850" s="115"/>
      <c r="I850" s="115"/>
      <c r="L850" s="169">
        <v>43252</v>
      </c>
      <c r="M850" s="115">
        <v>163.05000000000001</v>
      </c>
      <c r="N850" s="115">
        <v>164.52</v>
      </c>
      <c r="O850" s="115">
        <v>162.6</v>
      </c>
      <c r="P850" s="115">
        <v>163.91</v>
      </c>
      <c r="Q850" s="115">
        <v>815.25</v>
      </c>
      <c r="R850">
        <v>2092</v>
      </c>
    </row>
    <row r="851" spans="1:18" x14ac:dyDescent="0.25">
      <c r="A851" s="169">
        <v>43256</v>
      </c>
      <c r="B851" s="115">
        <v>160.16999999999999</v>
      </c>
      <c r="C851" s="115">
        <v>158</v>
      </c>
      <c r="D851" s="115">
        <v>158</v>
      </c>
      <c r="E851" s="115">
        <v>160</v>
      </c>
      <c r="F851" s="115">
        <v>790</v>
      </c>
      <c r="G851">
        <v>144</v>
      </c>
      <c r="H851" s="115"/>
      <c r="I851" s="115"/>
      <c r="L851" s="169">
        <v>43255</v>
      </c>
      <c r="M851" s="115">
        <v>161.88</v>
      </c>
      <c r="N851" s="115">
        <v>163.97</v>
      </c>
      <c r="O851" s="115">
        <v>161</v>
      </c>
      <c r="P851" s="115">
        <v>161.08000000000001</v>
      </c>
      <c r="Q851" s="115">
        <v>809.4</v>
      </c>
      <c r="R851">
        <v>3425</v>
      </c>
    </row>
    <row r="852" spans="1:18" x14ac:dyDescent="0.25">
      <c r="A852" s="169">
        <v>43257</v>
      </c>
      <c r="B852" s="115">
        <v>163.59</v>
      </c>
      <c r="C852" s="115">
        <v>160.5</v>
      </c>
      <c r="D852" s="115">
        <v>156</v>
      </c>
      <c r="E852" s="115">
        <v>157</v>
      </c>
      <c r="F852" s="115">
        <v>802.5</v>
      </c>
      <c r="G852">
        <v>626</v>
      </c>
      <c r="H852" s="115"/>
      <c r="I852" s="115"/>
      <c r="L852" s="169">
        <v>43256</v>
      </c>
      <c r="M852" s="115">
        <v>157.71</v>
      </c>
      <c r="N852" s="115">
        <v>161.91</v>
      </c>
      <c r="O852" s="115">
        <v>157.6</v>
      </c>
      <c r="P852" s="115">
        <v>161.91</v>
      </c>
      <c r="Q852" s="115">
        <v>788.55</v>
      </c>
      <c r="R852">
        <v>3874</v>
      </c>
    </row>
    <row r="853" spans="1:18" x14ac:dyDescent="0.25">
      <c r="A853" s="169">
        <v>43258</v>
      </c>
      <c r="B853" s="115">
        <v>164.94</v>
      </c>
      <c r="C853" s="115">
        <v>161.28</v>
      </c>
      <c r="D853" s="115">
        <v>160.41999999999999</v>
      </c>
      <c r="E853" s="115">
        <v>160.86000000000001</v>
      </c>
      <c r="F853" s="115">
        <v>806.4</v>
      </c>
      <c r="G853">
        <v>465</v>
      </c>
      <c r="H853" s="115"/>
      <c r="I853" s="115"/>
      <c r="L853" s="169">
        <v>43257</v>
      </c>
      <c r="M853" s="115">
        <v>160.99</v>
      </c>
      <c r="N853" s="115">
        <v>163.19999999999999</v>
      </c>
      <c r="O853" s="115">
        <v>157.02000000000001</v>
      </c>
      <c r="P853" s="115">
        <v>158.57</v>
      </c>
      <c r="Q853" s="115">
        <v>804.95</v>
      </c>
      <c r="R853">
        <v>3921</v>
      </c>
    </row>
    <row r="854" spans="1:18" x14ac:dyDescent="0.25">
      <c r="A854" s="169">
        <v>43259</v>
      </c>
      <c r="B854" s="115">
        <v>164</v>
      </c>
      <c r="C854" s="115">
        <v>163.9</v>
      </c>
      <c r="D854" s="115">
        <v>158.49</v>
      </c>
      <c r="E854" s="115">
        <v>160.80000000000001</v>
      </c>
      <c r="F854" s="115">
        <v>819.5</v>
      </c>
      <c r="G854">
        <v>314</v>
      </c>
      <c r="H854" s="115"/>
      <c r="I854" s="115"/>
      <c r="L854" s="169">
        <v>43258</v>
      </c>
      <c r="M854" s="115">
        <v>160.47</v>
      </c>
      <c r="N854" s="115">
        <v>163.4</v>
      </c>
      <c r="O854" s="115">
        <v>159.43</v>
      </c>
      <c r="P854" s="115">
        <v>163.4</v>
      </c>
      <c r="Q854" s="115">
        <v>802.35</v>
      </c>
      <c r="R854">
        <v>2898</v>
      </c>
    </row>
    <row r="855" spans="1:18" x14ac:dyDescent="0.25">
      <c r="A855" s="169">
        <v>43262</v>
      </c>
      <c r="B855" s="115">
        <v>163.80000000000001</v>
      </c>
      <c r="C855" s="115">
        <v>162.81</v>
      </c>
      <c r="D855" s="115">
        <v>161.01</v>
      </c>
      <c r="E855" s="115">
        <v>163.4</v>
      </c>
      <c r="F855" s="115">
        <v>814.05</v>
      </c>
      <c r="G855">
        <v>319</v>
      </c>
      <c r="H855" s="115"/>
      <c r="I855" s="115"/>
      <c r="L855" s="169">
        <v>43259</v>
      </c>
      <c r="M855" s="115">
        <v>164.43</v>
      </c>
      <c r="N855" s="115">
        <v>165</v>
      </c>
      <c r="O855" s="115">
        <v>159.43</v>
      </c>
      <c r="P855" s="115">
        <v>162</v>
      </c>
      <c r="Q855" s="115">
        <v>822.15</v>
      </c>
      <c r="R855">
        <v>3259</v>
      </c>
    </row>
    <row r="856" spans="1:18" x14ac:dyDescent="0.25">
      <c r="A856" s="169">
        <v>43263</v>
      </c>
      <c r="B856" s="115">
        <v>174.79</v>
      </c>
      <c r="C856" s="115">
        <v>166.11</v>
      </c>
      <c r="D856" s="115">
        <v>159.6</v>
      </c>
      <c r="E856" s="115">
        <v>161</v>
      </c>
      <c r="F856" s="115">
        <v>830.55</v>
      </c>
      <c r="G856">
        <v>3992</v>
      </c>
      <c r="H856" s="115"/>
      <c r="I856" s="115"/>
      <c r="L856" s="169">
        <v>43262</v>
      </c>
      <c r="M856" s="115">
        <v>163.4</v>
      </c>
      <c r="N856" s="115">
        <v>166</v>
      </c>
      <c r="O856" s="115">
        <v>162.6</v>
      </c>
      <c r="P856" s="115">
        <v>166</v>
      </c>
      <c r="Q856" s="115">
        <v>817</v>
      </c>
      <c r="R856">
        <v>1769</v>
      </c>
    </row>
    <row r="857" spans="1:18" x14ac:dyDescent="0.25">
      <c r="A857" s="169">
        <v>43264</v>
      </c>
      <c r="B857" s="115">
        <v>172</v>
      </c>
      <c r="C857" s="115">
        <v>166.67</v>
      </c>
      <c r="D857" s="115">
        <v>164.02</v>
      </c>
      <c r="E857" s="115">
        <v>166.11</v>
      </c>
      <c r="F857" s="115">
        <v>833.35</v>
      </c>
      <c r="G857">
        <v>543</v>
      </c>
      <c r="H857" s="115"/>
      <c r="I857" s="115"/>
      <c r="L857" s="169">
        <v>43263</v>
      </c>
      <c r="M857" s="115">
        <v>170.9</v>
      </c>
      <c r="N857" s="115">
        <v>175</v>
      </c>
      <c r="O857" s="115">
        <v>160.12</v>
      </c>
      <c r="P857" s="115">
        <v>162.22999999999999</v>
      </c>
      <c r="Q857" s="115">
        <v>854.5</v>
      </c>
      <c r="R857">
        <v>9678</v>
      </c>
    </row>
    <row r="858" spans="1:18" x14ac:dyDescent="0.25">
      <c r="A858" s="169">
        <v>43265</v>
      </c>
      <c r="B858" s="115">
        <v>169.94</v>
      </c>
      <c r="C858" s="115">
        <v>167.83</v>
      </c>
      <c r="D858" s="115">
        <v>164.6</v>
      </c>
      <c r="E858" s="115">
        <v>165.8</v>
      </c>
      <c r="F858" s="115">
        <v>839.15</v>
      </c>
      <c r="G858">
        <v>365</v>
      </c>
      <c r="H858" s="115"/>
      <c r="I858" s="115"/>
      <c r="L858" s="169">
        <v>43264</v>
      </c>
      <c r="M858" s="115">
        <v>166.64</v>
      </c>
      <c r="N858" s="115">
        <v>170.6</v>
      </c>
      <c r="O858" s="115">
        <v>163.1</v>
      </c>
      <c r="P858" s="115">
        <v>170.6</v>
      </c>
      <c r="Q858" s="115">
        <v>833.2</v>
      </c>
      <c r="R858">
        <v>5273</v>
      </c>
    </row>
    <row r="859" spans="1:18" x14ac:dyDescent="0.25">
      <c r="A859" s="169">
        <v>43266</v>
      </c>
      <c r="B859" s="115">
        <v>167.5</v>
      </c>
      <c r="C859" s="115">
        <v>166.07</v>
      </c>
      <c r="D859" s="115">
        <v>164</v>
      </c>
      <c r="E859" s="115">
        <v>166.67</v>
      </c>
      <c r="F859" s="115">
        <v>830.35</v>
      </c>
      <c r="G859">
        <v>241</v>
      </c>
      <c r="H859" s="115"/>
      <c r="I859" s="115"/>
      <c r="L859" s="169">
        <v>43265</v>
      </c>
      <c r="M859" s="115">
        <v>166.88</v>
      </c>
      <c r="N859" s="115">
        <v>168.99</v>
      </c>
      <c r="O859" s="115">
        <v>163.19999999999999</v>
      </c>
      <c r="P859" s="115">
        <v>166</v>
      </c>
      <c r="Q859" s="115">
        <v>834.4</v>
      </c>
      <c r="R859">
        <v>2476</v>
      </c>
    </row>
    <row r="860" spans="1:18" x14ac:dyDescent="0.25">
      <c r="A860" s="169">
        <v>43269</v>
      </c>
      <c r="B860" s="115">
        <v>168</v>
      </c>
      <c r="C860" s="115">
        <v>167.74</v>
      </c>
      <c r="D860" s="115">
        <v>165</v>
      </c>
      <c r="E860" s="115">
        <v>166</v>
      </c>
      <c r="F860" s="115">
        <v>838.7</v>
      </c>
      <c r="G860">
        <v>327</v>
      </c>
      <c r="H860" s="115"/>
      <c r="I860" s="115"/>
      <c r="L860" s="169">
        <v>43266</v>
      </c>
      <c r="M860" s="115">
        <v>164.73</v>
      </c>
      <c r="N860" s="115">
        <v>167.6</v>
      </c>
      <c r="O860" s="115">
        <v>164</v>
      </c>
      <c r="P860" s="115">
        <v>166.99</v>
      </c>
      <c r="Q860" s="115">
        <v>823.65</v>
      </c>
      <c r="R860">
        <v>1326</v>
      </c>
    </row>
    <row r="861" spans="1:18" x14ac:dyDescent="0.25">
      <c r="A861" s="169">
        <v>43270</v>
      </c>
      <c r="B861" s="115">
        <v>167</v>
      </c>
      <c r="C861" s="115">
        <v>164.09</v>
      </c>
      <c r="D861" s="115">
        <v>163.22</v>
      </c>
      <c r="E861" s="115">
        <v>167</v>
      </c>
      <c r="F861" s="115">
        <v>820.45</v>
      </c>
      <c r="G861">
        <v>160</v>
      </c>
      <c r="H861" s="115"/>
      <c r="I861" s="115"/>
      <c r="L861" s="169">
        <v>43269</v>
      </c>
      <c r="M861" s="115">
        <v>166.83</v>
      </c>
      <c r="N861" s="115">
        <v>169</v>
      </c>
      <c r="O861" s="115">
        <v>163.80000000000001</v>
      </c>
      <c r="P861" s="115">
        <v>163.80000000000001</v>
      </c>
      <c r="Q861" s="115">
        <v>834.15</v>
      </c>
      <c r="R861">
        <v>3292</v>
      </c>
    </row>
    <row r="862" spans="1:18" x14ac:dyDescent="0.25">
      <c r="A862" s="169">
        <v>43271</v>
      </c>
      <c r="B862" s="115">
        <v>166.75</v>
      </c>
      <c r="C862" s="115">
        <v>166</v>
      </c>
      <c r="D862" s="115">
        <v>164.2</v>
      </c>
      <c r="E862" s="115">
        <v>165</v>
      </c>
      <c r="F862" s="115">
        <v>830</v>
      </c>
      <c r="G862">
        <v>82</v>
      </c>
      <c r="H862" s="115"/>
      <c r="I862" s="115"/>
      <c r="L862" s="169">
        <v>43270</v>
      </c>
      <c r="M862" s="115">
        <v>165.57</v>
      </c>
      <c r="N862" s="115">
        <v>166.4</v>
      </c>
      <c r="O862" s="115">
        <v>164</v>
      </c>
      <c r="P862" s="115">
        <v>164.2</v>
      </c>
      <c r="Q862" s="115">
        <v>827.85</v>
      </c>
      <c r="R862">
        <v>1522</v>
      </c>
    </row>
    <row r="863" spans="1:18" x14ac:dyDescent="0.25">
      <c r="A863" s="169">
        <v>43272</v>
      </c>
      <c r="B863" s="115">
        <v>181.59</v>
      </c>
      <c r="C863" s="115">
        <v>162.68</v>
      </c>
      <c r="D863" s="115">
        <v>160.22</v>
      </c>
      <c r="E863" s="115">
        <v>168</v>
      </c>
      <c r="F863" s="115">
        <v>813.4</v>
      </c>
      <c r="G863">
        <v>3305</v>
      </c>
      <c r="H863" s="115"/>
      <c r="I863" s="115"/>
      <c r="L863" s="169">
        <v>43271</v>
      </c>
      <c r="M863" s="115">
        <v>166.25</v>
      </c>
      <c r="N863" s="115">
        <v>167</v>
      </c>
      <c r="O863" s="115">
        <v>163.61000000000001</v>
      </c>
      <c r="P863" s="115">
        <v>164.57</v>
      </c>
      <c r="Q863" s="115">
        <v>831.25</v>
      </c>
      <c r="R863">
        <v>1692</v>
      </c>
    </row>
    <row r="864" spans="1:18" x14ac:dyDescent="0.25">
      <c r="A864" s="169">
        <v>43273</v>
      </c>
      <c r="B864" s="115">
        <v>165.13</v>
      </c>
      <c r="C864" s="115">
        <v>163</v>
      </c>
      <c r="D864" s="115">
        <v>161</v>
      </c>
      <c r="E864" s="115">
        <v>162</v>
      </c>
      <c r="F864" s="115">
        <v>815</v>
      </c>
      <c r="G864">
        <v>191</v>
      </c>
      <c r="H864" s="115"/>
      <c r="I864" s="115"/>
      <c r="L864" s="169">
        <v>43272</v>
      </c>
      <c r="M864" s="115">
        <v>162.05000000000001</v>
      </c>
      <c r="N864" s="115">
        <v>181.83</v>
      </c>
      <c r="O864" s="115">
        <v>160.19999999999999</v>
      </c>
      <c r="P864" s="115">
        <v>166.29</v>
      </c>
      <c r="Q864" s="115">
        <v>810.25</v>
      </c>
      <c r="R864">
        <v>45765</v>
      </c>
    </row>
    <row r="865" spans="1:18" x14ac:dyDescent="0.25">
      <c r="A865" s="169">
        <v>43276</v>
      </c>
      <c r="B865" s="115">
        <v>160.86000000000001</v>
      </c>
      <c r="C865" s="115">
        <v>160.86000000000001</v>
      </c>
      <c r="D865" s="115">
        <v>160.41999999999999</v>
      </c>
      <c r="E865" s="115">
        <v>160.41999999999999</v>
      </c>
      <c r="F865" s="115">
        <v>804.3</v>
      </c>
      <c r="G865">
        <v>17</v>
      </c>
      <c r="H865" s="115"/>
      <c r="I865" s="115"/>
      <c r="L865" s="169">
        <v>43273</v>
      </c>
      <c r="M865" s="115">
        <v>163.08000000000001</v>
      </c>
      <c r="N865" s="115">
        <v>166.81</v>
      </c>
      <c r="O865" s="115">
        <v>161.4</v>
      </c>
      <c r="P865" s="115">
        <v>162.6</v>
      </c>
      <c r="Q865" s="115">
        <v>815.4</v>
      </c>
      <c r="R865">
        <v>3966</v>
      </c>
    </row>
    <row r="866" spans="1:18" x14ac:dyDescent="0.25">
      <c r="A866" s="169">
        <v>43277</v>
      </c>
      <c r="B866" s="115">
        <v>161.96</v>
      </c>
      <c r="C866" s="115">
        <v>160</v>
      </c>
      <c r="D866" s="115">
        <v>158</v>
      </c>
      <c r="E866" s="115">
        <v>160.4</v>
      </c>
      <c r="F866" s="115">
        <v>800</v>
      </c>
      <c r="G866">
        <v>146</v>
      </c>
      <c r="H866" s="115"/>
      <c r="I866" s="115"/>
      <c r="L866" s="169">
        <v>43276</v>
      </c>
      <c r="M866" s="115">
        <v>160.72</v>
      </c>
      <c r="N866" s="115">
        <v>162.47999999999999</v>
      </c>
      <c r="O866" s="115">
        <v>160.41999999999999</v>
      </c>
      <c r="P866" s="115">
        <v>161.66</v>
      </c>
      <c r="Q866" s="115">
        <v>803.6</v>
      </c>
      <c r="R866">
        <v>1889</v>
      </c>
    </row>
    <row r="867" spans="1:18" x14ac:dyDescent="0.25">
      <c r="A867" s="169">
        <v>43278</v>
      </c>
      <c r="B867" s="115">
        <v>160.80000000000001</v>
      </c>
      <c r="C867" s="115">
        <v>156.6</v>
      </c>
      <c r="D867" s="115">
        <v>156.04</v>
      </c>
      <c r="E867" s="115">
        <v>158</v>
      </c>
      <c r="F867" s="115">
        <v>783</v>
      </c>
      <c r="G867">
        <v>106</v>
      </c>
      <c r="H867" s="115"/>
      <c r="I867" s="115"/>
      <c r="L867" s="169">
        <v>43277</v>
      </c>
      <c r="M867" s="115">
        <v>160.77000000000001</v>
      </c>
      <c r="N867" s="115">
        <v>162</v>
      </c>
      <c r="O867" s="115">
        <v>157.91</v>
      </c>
      <c r="P867" s="115">
        <v>158.12</v>
      </c>
      <c r="Q867" s="115">
        <v>803.85</v>
      </c>
      <c r="R867">
        <v>2222</v>
      </c>
    </row>
    <row r="868" spans="1:18" x14ac:dyDescent="0.25">
      <c r="A868" s="169">
        <v>43279</v>
      </c>
      <c r="B868" s="115">
        <v>157.1</v>
      </c>
      <c r="C868" s="115">
        <v>153.56</v>
      </c>
      <c r="D868" s="115">
        <v>151.81</v>
      </c>
      <c r="E868" s="115">
        <v>155.97999999999999</v>
      </c>
      <c r="F868" s="115">
        <v>767.8</v>
      </c>
      <c r="G868">
        <v>93644</v>
      </c>
      <c r="H868" s="115"/>
      <c r="I868" s="115"/>
      <c r="L868" s="169">
        <v>43278</v>
      </c>
      <c r="M868" s="115">
        <v>156.41</v>
      </c>
      <c r="N868" s="115">
        <v>160.53</v>
      </c>
      <c r="O868" s="115">
        <v>156.02000000000001</v>
      </c>
      <c r="P868" s="115">
        <v>160.53</v>
      </c>
      <c r="Q868" s="115">
        <v>782.05</v>
      </c>
      <c r="R868">
        <v>2278</v>
      </c>
    </row>
    <row r="869" spans="1:18" x14ac:dyDescent="0.25">
      <c r="A869" s="169">
        <v>43280</v>
      </c>
      <c r="B869" s="115">
        <v>161.38999999999999</v>
      </c>
      <c r="C869" s="115">
        <v>155.43</v>
      </c>
      <c r="D869" s="115">
        <v>153.41999999999999</v>
      </c>
      <c r="E869" s="115">
        <v>155.4</v>
      </c>
      <c r="F869" s="115">
        <v>777.15</v>
      </c>
      <c r="G869">
        <v>2077</v>
      </c>
      <c r="H869" s="115"/>
      <c r="I869" s="115"/>
      <c r="L869" s="169">
        <v>43279</v>
      </c>
      <c r="M869" s="115">
        <v>153.05000000000001</v>
      </c>
      <c r="N869" s="115">
        <v>157</v>
      </c>
      <c r="O869" s="115">
        <v>152</v>
      </c>
      <c r="P869" s="115">
        <v>156.01</v>
      </c>
      <c r="Q869" s="115">
        <v>765.25</v>
      </c>
      <c r="R869">
        <v>4069</v>
      </c>
    </row>
    <row r="870" spans="1:18" x14ac:dyDescent="0.25">
      <c r="A870" s="169">
        <v>43283</v>
      </c>
      <c r="B870" s="115">
        <v>158.97</v>
      </c>
      <c r="C870" s="115">
        <v>152.94</v>
      </c>
      <c r="D870" s="115">
        <v>150.41</v>
      </c>
      <c r="E870" s="115">
        <v>150.41</v>
      </c>
      <c r="F870" s="115">
        <v>764.7</v>
      </c>
      <c r="G870">
        <v>58</v>
      </c>
      <c r="H870" s="115"/>
      <c r="I870" s="115"/>
      <c r="L870" s="169">
        <v>43280</v>
      </c>
      <c r="M870" s="115">
        <v>156.31</v>
      </c>
      <c r="N870" s="115">
        <v>161.41999999999999</v>
      </c>
      <c r="O870" s="115">
        <v>151.22</v>
      </c>
      <c r="P870" s="115">
        <v>151.22</v>
      </c>
      <c r="Q870" s="115">
        <v>781.55</v>
      </c>
      <c r="R870">
        <v>11501</v>
      </c>
    </row>
    <row r="871" spans="1:18" x14ac:dyDescent="0.25">
      <c r="A871" s="169">
        <v>43284</v>
      </c>
      <c r="B871" s="115">
        <v>156.80000000000001</v>
      </c>
      <c r="C871" s="115">
        <v>155.63</v>
      </c>
      <c r="D871" s="115">
        <v>154.87</v>
      </c>
      <c r="E871" s="115">
        <v>154.87</v>
      </c>
      <c r="F871" s="115">
        <v>778.15</v>
      </c>
      <c r="G871">
        <v>136</v>
      </c>
      <c r="H871" s="115"/>
      <c r="I871" s="115"/>
      <c r="L871" s="169">
        <v>43283</v>
      </c>
      <c r="M871" s="115">
        <v>153.31</v>
      </c>
      <c r="N871" s="115">
        <v>158.38999999999999</v>
      </c>
      <c r="O871" s="115">
        <v>152.02000000000001</v>
      </c>
      <c r="P871" s="115">
        <v>154.19999999999999</v>
      </c>
      <c r="Q871" s="115">
        <v>766.55</v>
      </c>
      <c r="R871">
        <v>3492</v>
      </c>
    </row>
    <row r="872" spans="1:18" x14ac:dyDescent="0.25">
      <c r="A872" s="169">
        <v>43285</v>
      </c>
      <c r="B872" s="115">
        <v>158</v>
      </c>
      <c r="C872" s="115">
        <v>157.96</v>
      </c>
      <c r="D872" s="115">
        <v>151.59</v>
      </c>
      <c r="E872" s="115">
        <v>153.4</v>
      </c>
      <c r="F872" s="115">
        <v>789.8</v>
      </c>
      <c r="G872">
        <v>943</v>
      </c>
      <c r="H872" s="115"/>
      <c r="I872" s="115"/>
      <c r="L872" s="169">
        <v>43284</v>
      </c>
      <c r="M872" s="115">
        <v>155.63</v>
      </c>
      <c r="N872" s="115">
        <v>157</v>
      </c>
      <c r="O872" s="115">
        <v>153</v>
      </c>
      <c r="P872" s="115">
        <v>153</v>
      </c>
      <c r="Q872" s="115">
        <v>778.15</v>
      </c>
      <c r="R872">
        <v>1136</v>
      </c>
    </row>
    <row r="873" spans="1:18" x14ac:dyDescent="0.25">
      <c r="A873" s="169">
        <v>43286</v>
      </c>
      <c r="B873" s="115">
        <v>158</v>
      </c>
      <c r="C873" s="115">
        <v>156.41</v>
      </c>
      <c r="D873" s="115">
        <v>156.41</v>
      </c>
      <c r="E873" s="115">
        <v>158</v>
      </c>
      <c r="F873" s="115">
        <v>782.05</v>
      </c>
      <c r="G873">
        <v>271</v>
      </c>
      <c r="H873" s="115"/>
      <c r="I873" s="115"/>
      <c r="L873" s="169">
        <v>43285</v>
      </c>
      <c r="M873" s="115">
        <v>157.63</v>
      </c>
      <c r="N873" s="115">
        <v>158</v>
      </c>
      <c r="O873" s="115">
        <v>154.1</v>
      </c>
      <c r="P873" s="115">
        <v>155.97999999999999</v>
      </c>
      <c r="Q873" s="115">
        <v>788.15</v>
      </c>
      <c r="R873">
        <v>1919</v>
      </c>
    </row>
    <row r="874" spans="1:18" x14ac:dyDescent="0.25">
      <c r="A874" s="169">
        <v>43287</v>
      </c>
      <c r="B874" s="115">
        <v>163</v>
      </c>
      <c r="C874" s="115">
        <v>157.91999999999999</v>
      </c>
      <c r="D874" s="115">
        <v>157.4</v>
      </c>
      <c r="E874" s="115">
        <v>159.22999999999999</v>
      </c>
      <c r="F874" s="115">
        <v>789.6</v>
      </c>
      <c r="G874">
        <v>952</v>
      </c>
      <c r="H874" s="115"/>
      <c r="I874" s="115"/>
      <c r="L874" s="169">
        <v>43286</v>
      </c>
      <c r="M874" s="115">
        <v>155.71</v>
      </c>
      <c r="N874" s="115">
        <v>162.19999999999999</v>
      </c>
      <c r="O874" s="115">
        <v>154.30000000000001</v>
      </c>
      <c r="P874" s="115">
        <v>157.75</v>
      </c>
      <c r="Q874" s="115">
        <v>778.55</v>
      </c>
      <c r="R874">
        <v>2685</v>
      </c>
    </row>
    <row r="875" spans="1:18" x14ac:dyDescent="0.25">
      <c r="A875" s="169">
        <v>43290</v>
      </c>
      <c r="B875" s="115">
        <v>165.6</v>
      </c>
      <c r="C875" s="115">
        <v>161.5</v>
      </c>
      <c r="D875" s="115">
        <v>159.69999999999999</v>
      </c>
      <c r="E875" s="115">
        <v>161.5</v>
      </c>
      <c r="F875" s="115">
        <v>807.5</v>
      </c>
      <c r="G875">
        <v>567</v>
      </c>
      <c r="H875" s="115"/>
      <c r="I875" s="115"/>
      <c r="L875" s="169">
        <v>43287</v>
      </c>
      <c r="M875" s="115">
        <v>159.57</v>
      </c>
      <c r="N875" s="115">
        <v>161</v>
      </c>
      <c r="O875" s="115">
        <v>154.47999999999999</v>
      </c>
      <c r="P875" s="115">
        <v>154.71</v>
      </c>
      <c r="Q875" s="115">
        <v>797.85</v>
      </c>
      <c r="R875">
        <v>3158</v>
      </c>
    </row>
    <row r="876" spans="1:18" x14ac:dyDescent="0.25">
      <c r="A876" s="169">
        <v>43291</v>
      </c>
      <c r="B876" s="115">
        <v>161.80000000000001</v>
      </c>
      <c r="C876" s="115">
        <v>159.78</v>
      </c>
      <c r="D876" s="115">
        <v>157.74</v>
      </c>
      <c r="E876" s="115">
        <v>161.77000000000001</v>
      </c>
      <c r="F876" s="115">
        <v>798.9</v>
      </c>
      <c r="G876">
        <v>201</v>
      </c>
      <c r="H876" s="115"/>
      <c r="I876" s="115"/>
      <c r="L876" s="169">
        <v>43290</v>
      </c>
      <c r="M876" s="115">
        <v>160.30000000000001</v>
      </c>
      <c r="N876" s="115">
        <v>162.84</v>
      </c>
      <c r="O876" s="115">
        <v>157.5</v>
      </c>
      <c r="P876" s="115">
        <v>160.02000000000001</v>
      </c>
      <c r="Q876" s="115">
        <v>801.5</v>
      </c>
      <c r="R876">
        <v>3360</v>
      </c>
    </row>
    <row r="877" spans="1:18" x14ac:dyDescent="0.25">
      <c r="A877" s="169">
        <v>43292</v>
      </c>
      <c r="B877" s="115">
        <v>159.99</v>
      </c>
      <c r="C877" s="115">
        <v>159.34</v>
      </c>
      <c r="D877" s="115">
        <v>159</v>
      </c>
      <c r="E877" s="115">
        <v>159.19999999999999</v>
      </c>
      <c r="F877" s="115">
        <v>796.7</v>
      </c>
      <c r="G877">
        <v>180</v>
      </c>
      <c r="H877" s="115"/>
      <c r="I877" s="115"/>
      <c r="L877" s="169">
        <v>43291</v>
      </c>
      <c r="M877" s="115">
        <v>158.72</v>
      </c>
      <c r="N877" s="115">
        <v>161.68</v>
      </c>
      <c r="O877" s="115">
        <v>156.72</v>
      </c>
      <c r="P877" s="115">
        <v>160.30000000000001</v>
      </c>
      <c r="Q877" s="115">
        <v>793.6</v>
      </c>
      <c r="R877">
        <v>575</v>
      </c>
    </row>
    <row r="878" spans="1:18" x14ac:dyDescent="0.25">
      <c r="A878" s="169">
        <v>43293</v>
      </c>
      <c r="B878" s="115">
        <v>160.59</v>
      </c>
      <c r="C878" s="115">
        <v>159</v>
      </c>
      <c r="D878" s="115">
        <v>159</v>
      </c>
      <c r="E878" s="115">
        <v>160</v>
      </c>
      <c r="F878" s="115">
        <v>795</v>
      </c>
      <c r="G878">
        <v>47</v>
      </c>
      <c r="H878" s="115"/>
      <c r="I878" s="115"/>
      <c r="L878" s="169">
        <v>43292</v>
      </c>
      <c r="M878" s="115">
        <v>160.03</v>
      </c>
      <c r="N878" s="115">
        <v>160.79</v>
      </c>
      <c r="O878" s="115">
        <v>156.72999999999999</v>
      </c>
      <c r="P878" s="115">
        <v>156.72999999999999</v>
      </c>
      <c r="Q878" s="115">
        <v>800.15</v>
      </c>
      <c r="R878">
        <v>1999</v>
      </c>
    </row>
    <row r="879" spans="1:18" x14ac:dyDescent="0.25">
      <c r="A879" s="169">
        <v>43294</v>
      </c>
      <c r="B879" s="115">
        <v>161.80000000000001</v>
      </c>
      <c r="C879" s="115">
        <v>160.4</v>
      </c>
      <c r="D879" s="115">
        <v>155.47</v>
      </c>
      <c r="E879" s="115">
        <v>157.47999999999999</v>
      </c>
      <c r="F879" s="115">
        <v>802</v>
      </c>
      <c r="G879">
        <v>344</v>
      </c>
      <c r="H879" s="115"/>
      <c r="I879" s="115"/>
      <c r="L879" s="169">
        <v>43293</v>
      </c>
      <c r="M879" s="115">
        <v>158.63999999999999</v>
      </c>
      <c r="N879" s="115">
        <v>160.91999999999999</v>
      </c>
      <c r="O879" s="115">
        <v>157.1</v>
      </c>
      <c r="P879" s="115">
        <v>160</v>
      </c>
      <c r="Q879" s="115">
        <v>793.2</v>
      </c>
      <c r="R879">
        <v>957</v>
      </c>
    </row>
    <row r="880" spans="1:18" x14ac:dyDescent="0.25">
      <c r="A880" s="169">
        <v>43297</v>
      </c>
      <c r="B880" s="115">
        <v>160.78</v>
      </c>
      <c r="C880" s="115">
        <v>160.06</v>
      </c>
      <c r="D880" s="115">
        <v>157.53</v>
      </c>
      <c r="E880" s="115">
        <v>158.26</v>
      </c>
      <c r="F880" s="115">
        <v>800.3</v>
      </c>
      <c r="G880">
        <v>71</v>
      </c>
      <c r="H880" s="115"/>
      <c r="I880" s="115"/>
      <c r="L880" s="169">
        <v>43294</v>
      </c>
      <c r="M880" s="115">
        <v>160.72999999999999</v>
      </c>
      <c r="N880" s="115">
        <v>161.94999999999999</v>
      </c>
      <c r="O880" s="115">
        <v>157.86000000000001</v>
      </c>
      <c r="P880" s="115">
        <v>158.63999999999999</v>
      </c>
      <c r="Q880" s="115">
        <v>803.65</v>
      </c>
      <c r="R880">
        <v>1083</v>
      </c>
    </row>
    <row r="881" spans="1:18" x14ac:dyDescent="0.25">
      <c r="A881" s="169">
        <v>43298</v>
      </c>
      <c r="B881" s="115">
        <v>160.87</v>
      </c>
      <c r="C881" s="115">
        <v>160.32</v>
      </c>
      <c r="D881" s="115">
        <v>156.80000000000001</v>
      </c>
      <c r="E881" s="115">
        <v>159.09</v>
      </c>
      <c r="F881" s="115">
        <v>801.6</v>
      </c>
      <c r="G881">
        <v>232</v>
      </c>
      <c r="H881" s="115"/>
      <c r="I881" s="115"/>
      <c r="L881" s="169">
        <v>43297</v>
      </c>
      <c r="M881" s="115">
        <v>158.88</v>
      </c>
      <c r="N881" s="115">
        <v>161.69999999999999</v>
      </c>
      <c r="O881" s="115">
        <v>158.13</v>
      </c>
      <c r="P881" s="115">
        <v>161.1</v>
      </c>
      <c r="Q881" s="115">
        <v>794.4</v>
      </c>
      <c r="R881">
        <v>1660</v>
      </c>
    </row>
    <row r="882" spans="1:18" x14ac:dyDescent="0.25">
      <c r="A882" s="169">
        <v>43299</v>
      </c>
      <c r="B882" s="115">
        <v>159.18</v>
      </c>
      <c r="C882" s="115">
        <v>159.18</v>
      </c>
      <c r="D882" s="115">
        <v>156.80000000000001</v>
      </c>
      <c r="E882" s="115">
        <v>157.80000000000001</v>
      </c>
      <c r="F882" s="115">
        <v>795.9</v>
      </c>
      <c r="G882">
        <v>195</v>
      </c>
      <c r="H882" s="115"/>
      <c r="I882" s="115"/>
      <c r="L882" s="169">
        <v>43298</v>
      </c>
      <c r="M882" s="115">
        <v>159.72999999999999</v>
      </c>
      <c r="N882" s="115">
        <v>160.34</v>
      </c>
      <c r="O882" s="115">
        <v>156.51</v>
      </c>
      <c r="P882" s="115">
        <v>156.51</v>
      </c>
      <c r="Q882" s="115">
        <v>798.65</v>
      </c>
      <c r="R882">
        <v>1069</v>
      </c>
    </row>
    <row r="883" spans="1:18" x14ac:dyDescent="0.25">
      <c r="A883" s="169">
        <v>43300</v>
      </c>
      <c r="B883" s="115">
        <v>157.32</v>
      </c>
      <c r="C883" s="115">
        <v>152.69</v>
      </c>
      <c r="D883" s="115">
        <v>152.01</v>
      </c>
      <c r="E883" s="115">
        <v>157.32</v>
      </c>
      <c r="F883" s="115">
        <v>763.45</v>
      </c>
      <c r="G883">
        <v>112</v>
      </c>
      <c r="H883" s="115"/>
      <c r="I883" s="115"/>
      <c r="L883" s="169">
        <v>43299</v>
      </c>
      <c r="M883" s="115">
        <v>157.57</v>
      </c>
      <c r="N883" s="115">
        <v>160.74</v>
      </c>
      <c r="O883" s="115">
        <v>156.63</v>
      </c>
      <c r="P883" s="115">
        <v>158.02000000000001</v>
      </c>
      <c r="Q883" s="115">
        <v>787.85</v>
      </c>
      <c r="R883">
        <v>1210</v>
      </c>
    </row>
    <row r="884" spans="1:18" x14ac:dyDescent="0.25">
      <c r="A884" s="169">
        <v>43301</v>
      </c>
      <c r="B884" s="115">
        <v>155.77000000000001</v>
      </c>
      <c r="C884" s="115">
        <v>151.85</v>
      </c>
      <c r="D884" s="115">
        <v>150.6</v>
      </c>
      <c r="E884" s="115">
        <v>155.77000000000001</v>
      </c>
      <c r="F884" s="115">
        <v>759.25</v>
      </c>
      <c r="G884">
        <v>448</v>
      </c>
      <c r="H884" s="115"/>
      <c r="I884" s="115"/>
      <c r="L884" s="169">
        <v>43300</v>
      </c>
      <c r="M884" s="115">
        <v>152.5</v>
      </c>
      <c r="N884" s="115">
        <v>159.38999999999999</v>
      </c>
      <c r="O884" s="115">
        <v>151.85</v>
      </c>
      <c r="P884" s="115">
        <v>157.22</v>
      </c>
      <c r="Q884" s="115">
        <v>762.5</v>
      </c>
      <c r="R884">
        <v>8337</v>
      </c>
    </row>
    <row r="885" spans="1:18" x14ac:dyDescent="0.25">
      <c r="A885" s="169">
        <v>43304</v>
      </c>
      <c r="B885" s="115">
        <v>157.34</v>
      </c>
      <c r="C885" s="115">
        <v>155.63999999999999</v>
      </c>
      <c r="D885" s="115">
        <v>153.24</v>
      </c>
      <c r="E885" s="115">
        <v>154</v>
      </c>
      <c r="F885" s="115">
        <v>778.2</v>
      </c>
      <c r="G885">
        <v>324</v>
      </c>
      <c r="H885" s="115"/>
      <c r="I885" s="115"/>
      <c r="L885" s="169">
        <v>43301</v>
      </c>
      <c r="M885" s="115">
        <v>152.58000000000001</v>
      </c>
      <c r="N885" s="115">
        <v>155.51</v>
      </c>
      <c r="O885" s="115">
        <v>150.19999999999999</v>
      </c>
      <c r="P885" s="115">
        <v>152.5</v>
      </c>
      <c r="Q885" s="115">
        <v>762.9</v>
      </c>
      <c r="R885">
        <v>3820</v>
      </c>
    </row>
    <row r="886" spans="1:18" x14ac:dyDescent="0.25">
      <c r="A886" s="169">
        <v>43305</v>
      </c>
      <c r="B886" s="115">
        <v>160</v>
      </c>
      <c r="C886" s="115">
        <v>158.84</v>
      </c>
      <c r="D886" s="115">
        <v>156</v>
      </c>
      <c r="E886" s="115">
        <v>156</v>
      </c>
      <c r="F886" s="115">
        <v>794.2</v>
      </c>
      <c r="G886">
        <v>28</v>
      </c>
      <c r="H886" s="115"/>
      <c r="I886" s="115"/>
      <c r="L886" s="169">
        <v>43304</v>
      </c>
      <c r="M886" s="115">
        <v>156.08000000000001</v>
      </c>
      <c r="N886" s="115">
        <v>157.57</v>
      </c>
      <c r="O886" s="115">
        <v>151.21</v>
      </c>
      <c r="P886" s="115">
        <v>155.63</v>
      </c>
      <c r="Q886" s="115">
        <v>780.4</v>
      </c>
      <c r="R886">
        <v>1623</v>
      </c>
    </row>
    <row r="887" spans="1:18" x14ac:dyDescent="0.25">
      <c r="A887" s="169">
        <v>43306</v>
      </c>
      <c r="B887" s="115">
        <v>171.49</v>
      </c>
      <c r="C887" s="115">
        <v>164.07</v>
      </c>
      <c r="D887" s="115">
        <v>163.19999999999999</v>
      </c>
      <c r="E887" s="115">
        <v>164.4</v>
      </c>
      <c r="F887" s="115">
        <v>820.35</v>
      </c>
      <c r="G887">
        <v>3919</v>
      </c>
      <c r="H887" s="115"/>
      <c r="I887" s="115"/>
      <c r="L887" s="169">
        <v>43305</v>
      </c>
      <c r="M887" s="115">
        <v>158.28</v>
      </c>
      <c r="N887" s="115">
        <v>160</v>
      </c>
      <c r="O887" s="115">
        <v>155.38999999999999</v>
      </c>
      <c r="P887" s="115">
        <v>157</v>
      </c>
      <c r="Q887" s="115">
        <v>791.4</v>
      </c>
      <c r="R887">
        <v>2371</v>
      </c>
    </row>
    <row r="888" spans="1:18" x14ac:dyDescent="0.25">
      <c r="A888" s="169">
        <v>43307</v>
      </c>
      <c r="B888" s="115">
        <v>165.05</v>
      </c>
      <c r="C888" s="115">
        <v>160.41</v>
      </c>
      <c r="D888" s="115">
        <v>160</v>
      </c>
      <c r="E888" s="115">
        <v>163.01</v>
      </c>
      <c r="F888" s="115">
        <v>802.05</v>
      </c>
      <c r="G888">
        <v>669</v>
      </c>
      <c r="H888" s="115"/>
      <c r="I888" s="115"/>
      <c r="L888" s="169">
        <v>43306</v>
      </c>
      <c r="M888" s="115">
        <v>164.77</v>
      </c>
      <c r="N888" s="115">
        <v>175</v>
      </c>
      <c r="O888" s="115">
        <v>162.74</v>
      </c>
      <c r="P888" s="115">
        <v>167.2</v>
      </c>
      <c r="Q888" s="115">
        <v>823.85</v>
      </c>
      <c r="R888">
        <v>58089</v>
      </c>
    </row>
    <row r="889" spans="1:18" x14ac:dyDescent="0.25">
      <c r="A889" s="169">
        <v>43308</v>
      </c>
      <c r="B889" s="115">
        <v>160.41</v>
      </c>
      <c r="C889" s="115">
        <v>158</v>
      </c>
      <c r="D889" s="115">
        <v>158</v>
      </c>
      <c r="E889" s="115">
        <v>160.41</v>
      </c>
      <c r="F889" s="115">
        <v>790</v>
      </c>
      <c r="G889">
        <v>445</v>
      </c>
      <c r="H889" s="115"/>
      <c r="I889" s="115"/>
      <c r="L889" s="169">
        <v>43307</v>
      </c>
      <c r="M889" s="115">
        <v>159.54</v>
      </c>
      <c r="N889" s="115">
        <v>165.4</v>
      </c>
      <c r="O889" s="115">
        <v>159</v>
      </c>
      <c r="P889" s="115">
        <v>163.4</v>
      </c>
      <c r="Q889" s="115">
        <v>797.7</v>
      </c>
      <c r="R889">
        <v>5465</v>
      </c>
    </row>
    <row r="890" spans="1:18" x14ac:dyDescent="0.25">
      <c r="A890" s="169">
        <v>43312</v>
      </c>
      <c r="B890" s="115">
        <v>159</v>
      </c>
      <c r="C890" s="115">
        <v>157.68</v>
      </c>
      <c r="D890" s="115">
        <v>155.63</v>
      </c>
      <c r="E890" s="115">
        <v>155.63</v>
      </c>
      <c r="F890" s="115">
        <v>788.4</v>
      </c>
      <c r="G890">
        <v>267</v>
      </c>
      <c r="H890" s="115"/>
      <c r="I890" s="115"/>
      <c r="L890" s="169">
        <v>43308</v>
      </c>
      <c r="M890" s="115">
        <v>158.68</v>
      </c>
      <c r="N890" s="115">
        <v>160.59</v>
      </c>
      <c r="O890" s="115">
        <v>158</v>
      </c>
      <c r="P890" s="115">
        <v>159</v>
      </c>
      <c r="Q890" s="115">
        <v>793.4</v>
      </c>
      <c r="R890">
        <v>8384</v>
      </c>
    </row>
    <row r="891" spans="1:18" x14ac:dyDescent="0.25">
      <c r="A891" s="169">
        <v>43313</v>
      </c>
      <c r="B891" s="115">
        <v>160</v>
      </c>
      <c r="C891" s="115">
        <v>158.93</v>
      </c>
      <c r="D891" s="115">
        <v>156.77000000000001</v>
      </c>
      <c r="E891" s="115">
        <v>157.88999999999999</v>
      </c>
      <c r="F891" s="115">
        <v>794.65</v>
      </c>
      <c r="G891">
        <v>67</v>
      </c>
      <c r="H891" s="115"/>
      <c r="I891" s="115"/>
      <c r="L891" s="169">
        <v>43311</v>
      </c>
      <c r="M891" s="115">
        <v>157.16999999999999</v>
      </c>
      <c r="N891" s="115">
        <v>159</v>
      </c>
      <c r="O891" s="115">
        <v>156.4</v>
      </c>
      <c r="P891" s="115">
        <v>158.6</v>
      </c>
      <c r="Q891" s="115">
        <v>785.85</v>
      </c>
      <c r="R891">
        <v>4720</v>
      </c>
    </row>
    <row r="892" spans="1:18" x14ac:dyDescent="0.25">
      <c r="A892" s="169">
        <v>43314</v>
      </c>
      <c r="B892" s="115">
        <v>158.66999999999999</v>
      </c>
      <c r="C892" s="115">
        <v>157.24</v>
      </c>
      <c r="D892" s="115">
        <v>154</v>
      </c>
      <c r="E892" s="115">
        <v>158.61000000000001</v>
      </c>
      <c r="F892" s="115">
        <v>786.2</v>
      </c>
      <c r="G892">
        <v>340</v>
      </c>
      <c r="H892" s="115"/>
      <c r="I892" s="115"/>
      <c r="L892" s="169">
        <v>43312</v>
      </c>
      <c r="M892" s="115">
        <v>156.6</v>
      </c>
      <c r="N892" s="115">
        <v>157.69</v>
      </c>
      <c r="O892" s="115">
        <v>155</v>
      </c>
      <c r="P892" s="115">
        <v>156.74</v>
      </c>
      <c r="Q892" s="115">
        <v>783</v>
      </c>
      <c r="R892">
        <v>3256</v>
      </c>
    </row>
    <row r="893" spans="1:18" x14ac:dyDescent="0.25">
      <c r="A893" s="169">
        <v>43315</v>
      </c>
      <c r="B893" s="115">
        <v>164.2</v>
      </c>
      <c r="C893" s="115">
        <v>160.5</v>
      </c>
      <c r="D893" s="115">
        <v>157.6</v>
      </c>
      <c r="E893" s="115">
        <v>157.6</v>
      </c>
      <c r="F893" s="115">
        <v>802.5</v>
      </c>
      <c r="G893">
        <v>297</v>
      </c>
      <c r="H893" s="115"/>
      <c r="I893" s="115"/>
      <c r="L893" s="169">
        <v>43313</v>
      </c>
      <c r="M893" s="115">
        <v>157.05000000000001</v>
      </c>
      <c r="N893" s="115">
        <v>159</v>
      </c>
      <c r="O893" s="115">
        <v>156</v>
      </c>
      <c r="P893" s="115">
        <v>156.4</v>
      </c>
      <c r="Q893" s="115">
        <v>785.25</v>
      </c>
      <c r="R893">
        <v>3396</v>
      </c>
    </row>
    <row r="894" spans="1:18" x14ac:dyDescent="0.25">
      <c r="A894" s="169">
        <v>43318</v>
      </c>
      <c r="B894" s="115">
        <v>161.19999999999999</v>
      </c>
      <c r="C894" s="115">
        <v>161.19999999999999</v>
      </c>
      <c r="D894" s="115">
        <v>159.1</v>
      </c>
      <c r="E894" s="115">
        <v>159.6</v>
      </c>
      <c r="F894" s="115">
        <v>806</v>
      </c>
      <c r="G894">
        <v>643</v>
      </c>
      <c r="H894" s="115"/>
      <c r="I894" s="115"/>
      <c r="L894" s="169">
        <v>43314</v>
      </c>
      <c r="M894" s="115">
        <v>158.07</v>
      </c>
      <c r="N894" s="115">
        <v>159</v>
      </c>
      <c r="O894" s="115">
        <v>155.24</v>
      </c>
      <c r="P894" s="115">
        <v>156.01</v>
      </c>
      <c r="Q894" s="115">
        <v>790.35</v>
      </c>
      <c r="R894">
        <v>1366</v>
      </c>
    </row>
    <row r="895" spans="1:18" x14ac:dyDescent="0.25">
      <c r="A895" s="169">
        <v>43319</v>
      </c>
      <c r="B895" s="115">
        <v>161</v>
      </c>
      <c r="C895" s="115">
        <v>157.44</v>
      </c>
      <c r="D895" s="115">
        <v>156.6</v>
      </c>
      <c r="E895" s="115">
        <v>159.72</v>
      </c>
      <c r="F895" s="115">
        <v>787.2</v>
      </c>
      <c r="G895">
        <v>507</v>
      </c>
      <c r="H895" s="115"/>
      <c r="I895" s="115"/>
      <c r="L895" s="169">
        <v>43315</v>
      </c>
      <c r="M895" s="115">
        <v>161.35</v>
      </c>
      <c r="N895" s="115">
        <v>162</v>
      </c>
      <c r="O895" s="115">
        <v>157.80000000000001</v>
      </c>
      <c r="P895" s="115">
        <v>158.44</v>
      </c>
      <c r="Q895" s="115">
        <v>806.75</v>
      </c>
      <c r="R895">
        <v>2469</v>
      </c>
    </row>
    <row r="896" spans="1:18" x14ac:dyDescent="0.25">
      <c r="A896" s="169">
        <v>43320</v>
      </c>
      <c r="B896" s="115">
        <v>158.72</v>
      </c>
      <c r="C896" s="115">
        <v>157.4</v>
      </c>
      <c r="D896" s="115">
        <v>157.4</v>
      </c>
      <c r="E896" s="115">
        <v>157.80000000000001</v>
      </c>
      <c r="F896" s="115">
        <v>787</v>
      </c>
      <c r="G896">
        <v>51</v>
      </c>
      <c r="H896" s="115"/>
      <c r="I896" s="115"/>
      <c r="L896" s="169">
        <v>43318</v>
      </c>
      <c r="M896" s="115">
        <v>161.43</v>
      </c>
      <c r="N896" s="115">
        <v>161.87</v>
      </c>
      <c r="O896" s="115">
        <v>158.93</v>
      </c>
      <c r="P896" s="115">
        <v>158.93</v>
      </c>
      <c r="Q896" s="115">
        <v>807.15</v>
      </c>
      <c r="R896">
        <v>1193</v>
      </c>
    </row>
    <row r="897" spans="1:18" x14ac:dyDescent="0.25">
      <c r="A897" s="169">
        <v>43321</v>
      </c>
      <c r="B897" s="115">
        <v>158.5</v>
      </c>
      <c r="C897" s="115">
        <v>156.5</v>
      </c>
      <c r="D897" s="115">
        <v>156.24</v>
      </c>
      <c r="E897" s="115">
        <v>157</v>
      </c>
      <c r="F897" s="115">
        <v>782.5</v>
      </c>
      <c r="G897">
        <v>143</v>
      </c>
      <c r="H897" s="115"/>
      <c r="I897" s="115"/>
      <c r="L897" s="169">
        <v>43319</v>
      </c>
      <c r="M897" s="115">
        <v>156.94</v>
      </c>
      <c r="N897" s="115">
        <v>162.25</v>
      </c>
      <c r="O897" s="115">
        <v>156</v>
      </c>
      <c r="P897" s="115">
        <v>161.87</v>
      </c>
      <c r="Q897" s="115">
        <v>784.7</v>
      </c>
      <c r="R897">
        <v>2009</v>
      </c>
    </row>
    <row r="898" spans="1:18" x14ac:dyDescent="0.25">
      <c r="A898" s="169">
        <v>43322</v>
      </c>
      <c r="B898" s="115">
        <v>158.19</v>
      </c>
      <c r="C898" s="115">
        <v>156.4</v>
      </c>
      <c r="D898" s="115">
        <v>156.4</v>
      </c>
      <c r="E898" s="115">
        <v>158.19</v>
      </c>
      <c r="F898" s="115">
        <v>782</v>
      </c>
      <c r="G898">
        <v>3</v>
      </c>
      <c r="H898" s="115"/>
      <c r="I898" s="115"/>
      <c r="L898" s="169">
        <v>43320</v>
      </c>
      <c r="M898" s="115">
        <v>157.19999999999999</v>
      </c>
      <c r="N898" s="115">
        <v>159.59</v>
      </c>
      <c r="O898" s="115">
        <v>156.02000000000001</v>
      </c>
      <c r="P898" s="115">
        <v>156.02000000000001</v>
      </c>
      <c r="Q898" s="115">
        <v>786</v>
      </c>
      <c r="R898">
        <v>9354</v>
      </c>
    </row>
    <row r="899" spans="1:18" x14ac:dyDescent="0.25">
      <c r="A899" s="169">
        <v>43325</v>
      </c>
      <c r="B899" s="115">
        <v>157.19999999999999</v>
      </c>
      <c r="C899" s="115">
        <v>156.76</v>
      </c>
      <c r="D899" s="115">
        <v>155</v>
      </c>
      <c r="E899" s="115">
        <v>157.19999999999999</v>
      </c>
      <c r="F899" s="115">
        <v>783.8</v>
      </c>
      <c r="G899">
        <v>225</v>
      </c>
      <c r="H899" s="115"/>
      <c r="I899" s="115"/>
      <c r="L899" s="169">
        <v>43321</v>
      </c>
      <c r="M899" s="115">
        <v>157.16999999999999</v>
      </c>
      <c r="N899" s="115">
        <v>158.77000000000001</v>
      </c>
      <c r="O899" s="115">
        <v>156</v>
      </c>
      <c r="P899" s="115">
        <v>157.19999999999999</v>
      </c>
      <c r="Q899" s="115">
        <v>785.85</v>
      </c>
      <c r="R899">
        <v>6593</v>
      </c>
    </row>
    <row r="900" spans="1:18" x14ac:dyDescent="0.25">
      <c r="A900" s="169">
        <v>43326</v>
      </c>
      <c r="B900" s="115">
        <v>156</v>
      </c>
      <c r="C900" s="115">
        <v>151.99</v>
      </c>
      <c r="D900" s="115">
        <v>150.1</v>
      </c>
      <c r="E900" s="115">
        <v>156</v>
      </c>
      <c r="F900" s="115">
        <v>759.95</v>
      </c>
      <c r="G900">
        <v>2243</v>
      </c>
      <c r="H900" s="115"/>
      <c r="I900" s="115"/>
      <c r="L900" s="169">
        <v>43322</v>
      </c>
      <c r="M900" s="115">
        <v>157.68</v>
      </c>
      <c r="N900" s="115">
        <v>157.80000000000001</v>
      </c>
      <c r="O900" s="115">
        <v>156.01</v>
      </c>
      <c r="P900" s="115">
        <v>156.61000000000001</v>
      </c>
      <c r="Q900" s="115">
        <v>788.4</v>
      </c>
      <c r="R900">
        <v>1379</v>
      </c>
    </row>
    <row r="901" spans="1:18" x14ac:dyDescent="0.25">
      <c r="A901" s="169">
        <v>43328</v>
      </c>
      <c r="B901" s="115">
        <v>152.57</v>
      </c>
      <c r="C901" s="115">
        <v>151.11000000000001</v>
      </c>
      <c r="D901" s="115">
        <v>149.24</v>
      </c>
      <c r="E901" s="115">
        <v>152</v>
      </c>
      <c r="F901" s="115">
        <v>755.55</v>
      </c>
      <c r="G901">
        <v>2589</v>
      </c>
      <c r="H901" s="115"/>
      <c r="I901" s="115"/>
      <c r="L901" s="169">
        <v>43325</v>
      </c>
      <c r="M901" s="115">
        <v>155.72999999999999</v>
      </c>
      <c r="N901" s="115">
        <v>157.38999999999999</v>
      </c>
      <c r="O901" s="115">
        <v>155.19999999999999</v>
      </c>
      <c r="P901" s="115">
        <v>157.38</v>
      </c>
      <c r="Q901" s="115">
        <v>778.65</v>
      </c>
      <c r="R901">
        <v>1738</v>
      </c>
    </row>
    <row r="902" spans="1:18" x14ac:dyDescent="0.25">
      <c r="A902" s="169">
        <v>43329</v>
      </c>
      <c r="B902" s="115">
        <v>155.78</v>
      </c>
      <c r="C902" s="115">
        <v>154.77000000000001</v>
      </c>
      <c r="D902" s="115">
        <v>154</v>
      </c>
      <c r="E902" s="115">
        <v>154.08000000000001</v>
      </c>
      <c r="F902" s="115">
        <v>773.85</v>
      </c>
      <c r="G902">
        <v>73</v>
      </c>
      <c r="H902" s="115"/>
      <c r="I902" s="115"/>
      <c r="L902" s="169">
        <v>43326</v>
      </c>
      <c r="M902" s="115">
        <v>152.75</v>
      </c>
      <c r="N902" s="115">
        <v>157.76</v>
      </c>
      <c r="O902" s="115">
        <v>150</v>
      </c>
      <c r="P902" s="115">
        <v>154.19999999999999</v>
      </c>
      <c r="Q902" s="115">
        <v>763.75</v>
      </c>
      <c r="R902">
        <v>12480</v>
      </c>
    </row>
    <row r="903" spans="1:18" x14ac:dyDescent="0.25">
      <c r="A903" s="169">
        <v>43332</v>
      </c>
      <c r="B903" s="115">
        <v>157.19999999999999</v>
      </c>
      <c r="C903" s="115">
        <v>154.61000000000001</v>
      </c>
      <c r="D903" s="115">
        <v>152.41999999999999</v>
      </c>
      <c r="E903" s="115">
        <v>156</v>
      </c>
      <c r="F903" s="115">
        <v>773.05</v>
      </c>
      <c r="G903">
        <v>600</v>
      </c>
      <c r="H903" s="115"/>
      <c r="I903" s="115"/>
      <c r="L903" s="169">
        <v>43328</v>
      </c>
      <c r="M903" s="115">
        <v>152.02000000000001</v>
      </c>
      <c r="N903" s="115">
        <v>153.6</v>
      </c>
      <c r="O903" s="115">
        <v>150.6</v>
      </c>
      <c r="P903" s="115">
        <v>151</v>
      </c>
      <c r="Q903" s="115">
        <v>760.1</v>
      </c>
      <c r="R903">
        <v>4580</v>
      </c>
    </row>
    <row r="904" spans="1:18" x14ac:dyDescent="0.25">
      <c r="A904" s="169">
        <v>43333</v>
      </c>
      <c r="B904" s="115">
        <v>155.75</v>
      </c>
      <c r="C904" s="115">
        <v>154</v>
      </c>
      <c r="D904" s="115">
        <v>152.26</v>
      </c>
      <c r="E904" s="115">
        <v>155.75</v>
      </c>
      <c r="F904" s="115">
        <v>770</v>
      </c>
      <c r="G904">
        <v>51</v>
      </c>
      <c r="H904" s="115"/>
      <c r="I904" s="115"/>
      <c r="L904" s="169">
        <v>43329</v>
      </c>
      <c r="M904" s="115">
        <v>154.69</v>
      </c>
      <c r="N904" s="115">
        <v>156.4</v>
      </c>
      <c r="O904" s="115">
        <v>152.47</v>
      </c>
      <c r="P904" s="115">
        <v>154.80000000000001</v>
      </c>
      <c r="Q904" s="115">
        <v>773.45</v>
      </c>
      <c r="R904">
        <v>2901</v>
      </c>
    </row>
    <row r="905" spans="1:18" x14ac:dyDescent="0.25">
      <c r="A905" s="169">
        <v>43335</v>
      </c>
      <c r="B905" s="115">
        <v>154.99</v>
      </c>
      <c r="C905" s="115">
        <v>153.91</v>
      </c>
      <c r="D905" s="115">
        <v>151.62</v>
      </c>
      <c r="E905" s="115">
        <v>154</v>
      </c>
      <c r="F905" s="115">
        <v>769.55</v>
      </c>
      <c r="G905">
        <v>66</v>
      </c>
      <c r="H905" s="115"/>
      <c r="I905" s="115"/>
      <c r="L905" s="169">
        <v>43332</v>
      </c>
      <c r="M905" s="115">
        <v>153.84</v>
      </c>
      <c r="N905" s="115">
        <v>157.77000000000001</v>
      </c>
      <c r="O905" s="115">
        <v>153</v>
      </c>
      <c r="P905" s="115">
        <v>155.37</v>
      </c>
      <c r="Q905" s="115">
        <v>769.2</v>
      </c>
      <c r="R905">
        <v>5013</v>
      </c>
    </row>
    <row r="906" spans="1:18" x14ac:dyDescent="0.25">
      <c r="A906" s="169">
        <v>43336</v>
      </c>
      <c r="B906" s="115">
        <v>154.63999999999999</v>
      </c>
      <c r="C906" s="115">
        <v>153.21</v>
      </c>
      <c r="D906" s="115">
        <v>150.4</v>
      </c>
      <c r="E906" s="115">
        <v>150.4</v>
      </c>
      <c r="F906" s="115">
        <v>766.05</v>
      </c>
      <c r="G906">
        <v>564</v>
      </c>
      <c r="H906" s="115"/>
      <c r="I906" s="115"/>
      <c r="L906" s="169">
        <v>43333</v>
      </c>
      <c r="M906" s="115">
        <v>154.21</v>
      </c>
      <c r="N906" s="115">
        <v>154.99</v>
      </c>
      <c r="O906" s="115">
        <v>152</v>
      </c>
      <c r="P906" s="115">
        <v>152.1</v>
      </c>
      <c r="Q906" s="115">
        <v>771.05</v>
      </c>
      <c r="R906">
        <v>1701</v>
      </c>
    </row>
    <row r="907" spans="1:18" x14ac:dyDescent="0.25">
      <c r="A907" s="169">
        <v>43339</v>
      </c>
      <c r="B907" s="115">
        <v>159</v>
      </c>
      <c r="C907" s="115">
        <v>155.68</v>
      </c>
      <c r="D907" s="115">
        <v>152.53</v>
      </c>
      <c r="E907" s="115">
        <v>153.58000000000001</v>
      </c>
      <c r="F907" s="115">
        <v>778.4</v>
      </c>
      <c r="G907">
        <v>43118</v>
      </c>
      <c r="H907" s="115"/>
      <c r="I907" s="115"/>
      <c r="L907" s="169">
        <v>43335</v>
      </c>
      <c r="M907" s="115">
        <v>153.51</v>
      </c>
      <c r="N907" s="115">
        <v>154.80000000000001</v>
      </c>
      <c r="O907" s="115">
        <v>152.6</v>
      </c>
      <c r="P907" s="115">
        <v>154.4</v>
      </c>
      <c r="Q907" s="115">
        <v>767.55</v>
      </c>
      <c r="R907">
        <v>1342</v>
      </c>
    </row>
    <row r="908" spans="1:18" x14ac:dyDescent="0.25">
      <c r="A908" s="169">
        <v>43340</v>
      </c>
      <c r="B908" s="115">
        <v>158.88</v>
      </c>
      <c r="C908" s="115">
        <v>155.72999999999999</v>
      </c>
      <c r="D908" s="115">
        <v>154.21</v>
      </c>
      <c r="E908" s="115">
        <v>157.19999999999999</v>
      </c>
      <c r="F908" s="115">
        <v>778.65</v>
      </c>
      <c r="G908">
        <v>390</v>
      </c>
      <c r="H908" s="115"/>
      <c r="I908" s="115"/>
      <c r="L908" s="169">
        <v>43336</v>
      </c>
      <c r="M908" s="115">
        <v>153.24</v>
      </c>
      <c r="N908" s="115">
        <v>154</v>
      </c>
      <c r="O908" s="115">
        <v>152</v>
      </c>
      <c r="P908" s="115">
        <v>152.19</v>
      </c>
      <c r="Q908" s="115">
        <v>766.2</v>
      </c>
      <c r="R908">
        <v>1696</v>
      </c>
    </row>
    <row r="909" spans="1:18" x14ac:dyDescent="0.25">
      <c r="A909" s="169">
        <v>43341</v>
      </c>
      <c r="B909" s="115">
        <v>156.6</v>
      </c>
      <c r="C909" s="115">
        <v>156.03</v>
      </c>
      <c r="D909" s="115">
        <v>155</v>
      </c>
      <c r="E909" s="115">
        <v>156</v>
      </c>
      <c r="F909" s="115">
        <v>780.15</v>
      </c>
      <c r="G909">
        <v>154</v>
      </c>
      <c r="H909" s="115"/>
      <c r="I909" s="115"/>
      <c r="L909" s="169">
        <v>43339</v>
      </c>
      <c r="M909" s="115">
        <v>155.1</v>
      </c>
      <c r="N909" s="115">
        <v>158.81</v>
      </c>
      <c r="O909" s="115">
        <v>150.41</v>
      </c>
      <c r="P909" s="115">
        <v>153.19999999999999</v>
      </c>
      <c r="Q909" s="115">
        <v>775.5</v>
      </c>
      <c r="R909">
        <v>6180</v>
      </c>
    </row>
    <row r="910" spans="1:18" x14ac:dyDescent="0.25">
      <c r="A910" s="169">
        <v>43342</v>
      </c>
      <c r="B910" s="115">
        <v>177</v>
      </c>
      <c r="C910" s="115">
        <v>157.83000000000001</v>
      </c>
      <c r="D910" s="115">
        <v>154</v>
      </c>
      <c r="E910" s="115">
        <v>154</v>
      </c>
      <c r="F910" s="115">
        <v>789.15</v>
      </c>
      <c r="G910">
        <v>1816</v>
      </c>
      <c r="H910" s="115"/>
      <c r="I910" s="115"/>
      <c r="L910" s="169">
        <v>43340</v>
      </c>
      <c r="M910" s="115">
        <v>155.15</v>
      </c>
      <c r="N910" s="115">
        <v>157.80000000000001</v>
      </c>
      <c r="O910" s="115">
        <v>153.49</v>
      </c>
      <c r="P910" s="115">
        <v>156.80000000000001</v>
      </c>
      <c r="Q910" s="115">
        <v>775.75</v>
      </c>
      <c r="R910">
        <v>5474</v>
      </c>
    </row>
    <row r="911" spans="1:18" x14ac:dyDescent="0.25">
      <c r="A911" s="169">
        <v>43343</v>
      </c>
      <c r="B911" s="115">
        <v>156.80000000000001</v>
      </c>
      <c r="C911" s="115">
        <v>155.25</v>
      </c>
      <c r="D911" s="115">
        <v>155</v>
      </c>
      <c r="E911" s="115">
        <v>156.19999999999999</v>
      </c>
      <c r="F911" s="115">
        <v>776.25</v>
      </c>
      <c r="G911">
        <v>564</v>
      </c>
      <c r="H911" s="115"/>
      <c r="I911" s="115"/>
      <c r="L911" s="169">
        <v>43341</v>
      </c>
      <c r="M911" s="115">
        <v>154.99</v>
      </c>
      <c r="N911" s="115">
        <v>155.99</v>
      </c>
      <c r="O911" s="115">
        <v>154.43</v>
      </c>
      <c r="P911" s="115">
        <v>155.6</v>
      </c>
      <c r="Q911" s="115">
        <v>774.95</v>
      </c>
      <c r="R911">
        <v>1723</v>
      </c>
    </row>
    <row r="912" spans="1:18" x14ac:dyDescent="0.25">
      <c r="A912" s="169">
        <v>43346</v>
      </c>
      <c r="B912" s="115">
        <v>156.35</v>
      </c>
      <c r="C912" s="115">
        <v>154.76</v>
      </c>
      <c r="D912" s="115">
        <v>154</v>
      </c>
      <c r="E912" s="115">
        <v>155.6</v>
      </c>
      <c r="F912" s="115">
        <v>773.8</v>
      </c>
      <c r="G912">
        <v>1090</v>
      </c>
      <c r="H912" s="115"/>
      <c r="I912" s="115"/>
      <c r="L912" s="169">
        <v>43342</v>
      </c>
      <c r="M912" s="115">
        <v>157.66</v>
      </c>
      <c r="N912" s="115">
        <v>159.99</v>
      </c>
      <c r="O912" s="115">
        <v>154.04</v>
      </c>
      <c r="P912" s="115">
        <v>155.33000000000001</v>
      </c>
      <c r="Q912" s="115">
        <v>788.3</v>
      </c>
      <c r="R912">
        <v>6086</v>
      </c>
    </row>
    <row r="913" spans="1:18" x14ac:dyDescent="0.25">
      <c r="A913" s="169">
        <v>43347</v>
      </c>
      <c r="B913" s="115">
        <v>157.4</v>
      </c>
      <c r="C913" s="115">
        <v>156.76</v>
      </c>
      <c r="D913" s="115">
        <v>154.19999999999999</v>
      </c>
      <c r="E913" s="115">
        <v>154.19999999999999</v>
      </c>
      <c r="F913" s="115">
        <v>783.8</v>
      </c>
      <c r="G913">
        <v>338</v>
      </c>
      <c r="H913" s="115"/>
      <c r="I913" s="115"/>
      <c r="L913" s="169">
        <v>43343</v>
      </c>
      <c r="M913" s="115">
        <v>154.94</v>
      </c>
      <c r="N913" s="115">
        <v>157.6</v>
      </c>
      <c r="O913" s="115">
        <v>152.52000000000001</v>
      </c>
      <c r="P913" s="115">
        <v>157.6</v>
      </c>
      <c r="Q913" s="115">
        <v>774.7</v>
      </c>
      <c r="R913">
        <v>4802</v>
      </c>
    </row>
    <row r="914" spans="1:18" x14ac:dyDescent="0.25">
      <c r="A914" s="169">
        <v>43348</v>
      </c>
      <c r="B914" s="115">
        <v>156.19</v>
      </c>
      <c r="C914" s="115">
        <v>152.88</v>
      </c>
      <c r="D914" s="115">
        <v>152.54</v>
      </c>
      <c r="E914" s="115">
        <v>155.30000000000001</v>
      </c>
      <c r="F914" s="115">
        <v>764.4</v>
      </c>
      <c r="G914">
        <v>3511</v>
      </c>
      <c r="H914" s="115"/>
      <c r="I914" s="115"/>
      <c r="L914" s="169">
        <v>43346</v>
      </c>
      <c r="M914" s="115">
        <v>155.12</v>
      </c>
      <c r="N914" s="115">
        <v>155.99</v>
      </c>
      <c r="O914" s="115">
        <v>154.03</v>
      </c>
      <c r="P914" s="115">
        <v>154.03</v>
      </c>
      <c r="Q914" s="115">
        <v>775.6</v>
      </c>
      <c r="R914">
        <v>1539</v>
      </c>
    </row>
    <row r="915" spans="1:18" x14ac:dyDescent="0.25">
      <c r="A915" s="169">
        <v>43349</v>
      </c>
      <c r="B915" s="115">
        <v>155.80000000000001</v>
      </c>
      <c r="C915" s="115">
        <v>153.41999999999999</v>
      </c>
      <c r="D915" s="115">
        <v>153.4</v>
      </c>
      <c r="E915" s="115">
        <v>155.80000000000001</v>
      </c>
      <c r="F915" s="115">
        <v>767.1</v>
      </c>
      <c r="G915">
        <v>94</v>
      </c>
      <c r="H915" s="115"/>
      <c r="I915" s="115"/>
      <c r="L915" s="169">
        <v>43347</v>
      </c>
      <c r="M915" s="115">
        <v>155.94</v>
      </c>
      <c r="N915" s="115">
        <v>156</v>
      </c>
      <c r="O915" s="115">
        <v>154.02000000000001</v>
      </c>
      <c r="P915" s="115">
        <v>155.41</v>
      </c>
      <c r="Q915" s="115">
        <v>779.7</v>
      </c>
      <c r="R915">
        <v>1413</v>
      </c>
    </row>
    <row r="916" spans="1:18" x14ac:dyDescent="0.25">
      <c r="A916" s="169">
        <v>43350</v>
      </c>
      <c r="B916" s="115">
        <v>155.99</v>
      </c>
      <c r="C916" s="115">
        <v>154</v>
      </c>
      <c r="D916" s="115">
        <v>153.38999999999999</v>
      </c>
      <c r="E916" s="115">
        <v>155.99</v>
      </c>
      <c r="F916" s="115">
        <v>770</v>
      </c>
      <c r="G916">
        <v>195</v>
      </c>
      <c r="H916" s="115"/>
      <c r="I916" s="115"/>
      <c r="L916" s="169">
        <v>43348</v>
      </c>
      <c r="M916" s="115">
        <v>153.44999999999999</v>
      </c>
      <c r="N916" s="115">
        <v>156.6</v>
      </c>
      <c r="O916" s="115">
        <v>152.80000000000001</v>
      </c>
      <c r="P916" s="115">
        <v>152.80000000000001</v>
      </c>
      <c r="Q916" s="115">
        <v>767.25</v>
      </c>
      <c r="R916">
        <v>3811</v>
      </c>
    </row>
    <row r="917" spans="1:18" x14ac:dyDescent="0.25">
      <c r="A917" s="169">
        <v>43353</v>
      </c>
      <c r="B917" s="115">
        <v>156.79</v>
      </c>
      <c r="C917" s="115">
        <v>153.99</v>
      </c>
      <c r="D917" s="115">
        <v>152.12</v>
      </c>
      <c r="E917" s="115">
        <v>156.79</v>
      </c>
      <c r="F917" s="115">
        <v>769.95</v>
      </c>
      <c r="G917">
        <v>1000</v>
      </c>
      <c r="H917" s="115"/>
      <c r="I917" s="115"/>
      <c r="L917" s="169">
        <v>43349</v>
      </c>
      <c r="M917" s="115">
        <v>153.32</v>
      </c>
      <c r="N917" s="115">
        <v>154.4</v>
      </c>
      <c r="O917" s="115">
        <v>152.6</v>
      </c>
      <c r="P917" s="115">
        <v>152.6</v>
      </c>
      <c r="Q917" s="115">
        <v>766.6</v>
      </c>
      <c r="R917">
        <v>2610</v>
      </c>
    </row>
    <row r="918" spans="1:18" x14ac:dyDescent="0.25">
      <c r="A918" s="169">
        <v>43354</v>
      </c>
      <c r="B918" s="115">
        <v>157.19999999999999</v>
      </c>
      <c r="C918" s="115">
        <v>151.27000000000001</v>
      </c>
      <c r="D918" s="115">
        <v>149.80000000000001</v>
      </c>
      <c r="E918" s="115">
        <v>157.19999999999999</v>
      </c>
      <c r="F918" s="115">
        <v>756.35</v>
      </c>
      <c r="G918">
        <v>1452</v>
      </c>
      <c r="H918" s="115"/>
      <c r="I918" s="115"/>
      <c r="L918" s="169">
        <v>43350</v>
      </c>
      <c r="M918" s="115">
        <v>154.69</v>
      </c>
      <c r="N918" s="115">
        <v>156.6</v>
      </c>
      <c r="O918" s="115">
        <v>152.6</v>
      </c>
      <c r="P918" s="115">
        <v>152.6</v>
      </c>
      <c r="Q918" s="115">
        <v>773.45</v>
      </c>
      <c r="R918">
        <v>2939</v>
      </c>
    </row>
    <row r="919" spans="1:18" x14ac:dyDescent="0.25">
      <c r="A919" s="169">
        <v>43355</v>
      </c>
      <c r="B919" s="115">
        <v>154</v>
      </c>
      <c r="C919" s="115">
        <v>151.38</v>
      </c>
      <c r="D919" s="115">
        <v>150</v>
      </c>
      <c r="E919" s="115">
        <v>151.99</v>
      </c>
      <c r="F919" s="115">
        <v>756.9</v>
      </c>
      <c r="G919">
        <v>493</v>
      </c>
      <c r="H919" s="115"/>
      <c r="I919" s="115"/>
      <c r="L919" s="169">
        <v>43353</v>
      </c>
      <c r="M919" s="115">
        <v>155.5</v>
      </c>
      <c r="N919" s="115">
        <v>156.24</v>
      </c>
      <c r="O919" s="115">
        <v>152.19999999999999</v>
      </c>
      <c r="P919" s="115">
        <v>155.30000000000001</v>
      </c>
      <c r="Q919" s="115">
        <v>777.5</v>
      </c>
      <c r="R919">
        <v>2755</v>
      </c>
    </row>
    <row r="920" spans="1:18" x14ac:dyDescent="0.25">
      <c r="A920" s="169">
        <v>43357</v>
      </c>
      <c r="B920" s="115">
        <v>153.68</v>
      </c>
      <c r="C920" s="115">
        <v>151.16</v>
      </c>
      <c r="D920" s="115">
        <v>150.4</v>
      </c>
      <c r="E920" s="115">
        <v>153</v>
      </c>
      <c r="F920" s="115">
        <v>755.8</v>
      </c>
      <c r="G920">
        <v>628</v>
      </c>
      <c r="H920" s="115"/>
      <c r="I920" s="115"/>
      <c r="L920" s="169">
        <v>43354</v>
      </c>
      <c r="M920" s="115">
        <v>150.31</v>
      </c>
      <c r="N920" s="115">
        <v>155.49</v>
      </c>
      <c r="O920" s="115">
        <v>149.6</v>
      </c>
      <c r="P920" s="115">
        <v>155.49</v>
      </c>
      <c r="Q920" s="115">
        <v>751.55</v>
      </c>
      <c r="R920">
        <v>9321</v>
      </c>
    </row>
    <row r="921" spans="1:18" x14ac:dyDescent="0.25">
      <c r="A921" s="169">
        <v>43360</v>
      </c>
      <c r="B921" s="115">
        <v>152.16</v>
      </c>
      <c r="C921" s="115">
        <v>151.47</v>
      </c>
      <c r="D921" s="115">
        <v>150.61000000000001</v>
      </c>
      <c r="E921" s="115">
        <v>151.97</v>
      </c>
      <c r="F921" s="115">
        <v>757.35</v>
      </c>
      <c r="G921">
        <v>485</v>
      </c>
      <c r="H921" s="115"/>
      <c r="I921" s="115"/>
      <c r="L921" s="169">
        <v>43355</v>
      </c>
      <c r="M921" s="115">
        <v>152.66</v>
      </c>
      <c r="N921" s="115">
        <v>154.97</v>
      </c>
      <c r="O921" s="115">
        <v>149.4</v>
      </c>
      <c r="P921" s="115">
        <v>149.4</v>
      </c>
      <c r="Q921" s="115">
        <v>763.3</v>
      </c>
      <c r="R921">
        <v>4150</v>
      </c>
    </row>
    <row r="922" spans="1:18" x14ac:dyDescent="0.25">
      <c r="A922" s="169">
        <v>43361</v>
      </c>
      <c r="B922" s="115">
        <v>153.19999999999999</v>
      </c>
      <c r="C922" s="115">
        <v>151.41</v>
      </c>
      <c r="D922" s="115">
        <v>151.4</v>
      </c>
      <c r="E922" s="115">
        <v>153.19999999999999</v>
      </c>
      <c r="F922" s="115">
        <v>757.05</v>
      </c>
      <c r="G922">
        <v>330</v>
      </c>
      <c r="H922" s="115"/>
      <c r="I922" s="115"/>
      <c r="L922" s="169">
        <v>43357</v>
      </c>
      <c r="M922" s="115">
        <v>151.62</v>
      </c>
      <c r="N922" s="115">
        <v>154.80000000000001</v>
      </c>
      <c r="O922" s="115">
        <v>151.19999999999999</v>
      </c>
      <c r="P922" s="115">
        <v>154.80000000000001</v>
      </c>
      <c r="Q922" s="115">
        <v>758.1</v>
      </c>
      <c r="R922">
        <v>2431</v>
      </c>
    </row>
    <row r="923" spans="1:18" x14ac:dyDescent="0.25">
      <c r="A923" s="169">
        <v>43362</v>
      </c>
      <c r="B923" s="115">
        <v>152.4</v>
      </c>
      <c r="C923" s="115">
        <v>149.47999999999999</v>
      </c>
      <c r="D923" s="115">
        <v>149</v>
      </c>
      <c r="E923" s="115">
        <v>151.01</v>
      </c>
      <c r="F923" s="115">
        <v>747.4</v>
      </c>
      <c r="G923">
        <v>1246</v>
      </c>
      <c r="H923" s="115"/>
      <c r="I923" s="115"/>
      <c r="L923" s="169">
        <v>43360</v>
      </c>
      <c r="M923" s="115">
        <v>151</v>
      </c>
      <c r="N923" s="115">
        <v>152.6</v>
      </c>
      <c r="O923" s="115">
        <v>149.4</v>
      </c>
      <c r="P923" s="115">
        <v>149.4</v>
      </c>
      <c r="Q923" s="115">
        <v>755</v>
      </c>
      <c r="R923">
        <v>1573</v>
      </c>
    </row>
    <row r="924" spans="1:18" x14ac:dyDescent="0.25">
      <c r="A924" s="169">
        <v>43364</v>
      </c>
      <c r="B924" s="115">
        <v>151.99</v>
      </c>
      <c r="C924" s="115">
        <v>147.16999999999999</v>
      </c>
      <c r="D924" s="115">
        <v>146.80000000000001</v>
      </c>
      <c r="E924" s="115">
        <v>150</v>
      </c>
      <c r="F924" s="115">
        <v>735.85</v>
      </c>
      <c r="G924">
        <v>611</v>
      </c>
      <c r="H924" s="115"/>
      <c r="I924" s="115"/>
      <c r="L924" s="169">
        <v>43361</v>
      </c>
      <c r="M924" s="115">
        <v>151.19999999999999</v>
      </c>
      <c r="N924" s="115">
        <v>154</v>
      </c>
      <c r="O924" s="115">
        <v>151</v>
      </c>
      <c r="P924" s="115">
        <v>151</v>
      </c>
      <c r="Q924" s="115">
        <v>756</v>
      </c>
      <c r="R924">
        <v>925</v>
      </c>
    </row>
    <row r="925" spans="1:18" x14ac:dyDescent="0.25">
      <c r="A925" s="169">
        <v>43367</v>
      </c>
      <c r="B925" s="115">
        <v>150</v>
      </c>
      <c r="C925" s="115">
        <v>142.16999999999999</v>
      </c>
      <c r="D925" s="115">
        <v>140.44</v>
      </c>
      <c r="E925" s="115">
        <v>149</v>
      </c>
      <c r="F925" s="115">
        <v>710.85</v>
      </c>
      <c r="G925">
        <v>1410</v>
      </c>
      <c r="H925" s="115"/>
      <c r="I925" s="115"/>
      <c r="L925" s="169">
        <v>43362</v>
      </c>
      <c r="M925" s="115">
        <v>150.63</v>
      </c>
      <c r="N925" s="115">
        <v>153.69999999999999</v>
      </c>
      <c r="O925" s="115">
        <v>149.4</v>
      </c>
      <c r="P925" s="115">
        <v>149.81</v>
      </c>
      <c r="Q925" s="115">
        <v>753.15</v>
      </c>
      <c r="R925">
        <v>1561</v>
      </c>
    </row>
    <row r="926" spans="1:18" x14ac:dyDescent="0.25">
      <c r="A926" s="169">
        <v>43368</v>
      </c>
      <c r="B926" s="115">
        <v>144</v>
      </c>
      <c r="C926" s="115">
        <v>140.71</v>
      </c>
      <c r="D926" s="115">
        <v>139.80000000000001</v>
      </c>
      <c r="E926" s="115">
        <v>140.4</v>
      </c>
      <c r="F926" s="115">
        <v>703.55</v>
      </c>
      <c r="G926">
        <v>1388</v>
      </c>
      <c r="H926" s="115"/>
      <c r="I926" s="115"/>
      <c r="L926" s="169">
        <v>43364</v>
      </c>
      <c r="M926" s="115">
        <v>146.66</v>
      </c>
      <c r="N926" s="115">
        <v>151.62</v>
      </c>
      <c r="O926" s="115">
        <v>145.6</v>
      </c>
      <c r="P926" s="115">
        <v>149.41</v>
      </c>
      <c r="Q926" s="115">
        <v>733.3</v>
      </c>
      <c r="R926">
        <v>3556</v>
      </c>
    </row>
    <row r="927" spans="1:18" x14ac:dyDescent="0.25">
      <c r="A927" s="169">
        <v>43369</v>
      </c>
      <c r="B927" s="115">
        <v>144.77000000000001</v>
      </c>
      <c r="C927" s="115">
        <v>141.29</v>
      </c>
      <c r="D927" s="115">
        <v>140.80000000000001</v>
      </c>
      <c r="E927" s="115">
        <v>141.76</v>
      </c>
      <c r="F927" s="115">
        <v>706.45</v>
      </c>
      <c r="G927">
        <v>289</v>
      </c>
      <c r="H927" s="115"/>
      <c r="I927" s="115"/>
      <c r="L927" s="169">
        <v>43367</v>
      </c>
      <c r="M927" s="115">
        <v>142.74</v>
      </c>
      <c r="N927" s="115">
        <v>148</v>
      </c>
      <c r="O927" s="115">
        <v>140.49</v>
      </c>
      <c r="P927" s="115">
        <v>146</v>
      </c>
      <c r="Q927" s="115">
        <v>713.7</v>
      </c>
      <c r="R927">
        <v>4371</v>
      </c>
    </row>
    <row r="928" spans="1:18" x14ac:dyDescent="0.25">
      <c r="A928" s="169">
        <v>43370</v>
      </c>
      <c r="B928" s="115">
        <v>143</v>
      </c>
      <c r="C928" s="115">
        <v>138.43</v>
      </c>
      <c r="D928" s="115">
        <v>138</v>
      </c>
      <c r="E928" s="115">
        <v>142.6</v>
      </c>
      <c r="F928" s="115">
        <v>692.15</v>
      </c>
      <c r="G928">
        <v>6478</v>
      </c>
      <c r="H928" s="115"/>
      <c r="I928" s="115"/>
      <c r="L928" s="169">
        <v>43368</v>
      </c>
      <c r="M928" s="115">
        <v>140.38999999999999</v>
      </c>
      <c r="N928" s="115">
        <v>148.79</v>
      </c>
      <c r="O928" s="115">
        <v>139.80000000000001</v>
      </c>
      <c r="P928" s="115">
        <v>142.74</v>
      </c>
      <c r="Q928" s="115">
        <v>701.95</v>
      </c>
      <c r="R928">
        <v>3527</v>
      </c>
    </row>
    <row r="929" spans="1:18" x14ac:dyDescent="0.25">
      <c r="A929" s="169">
        <v>43371</v>
      </c>
      <c r="B929" s="115">
        <v>150.05000000000001</v>
      </c>
      <c r="C929" s="115">
        <v>144.58000000000001</v>
      </c>
      <c r="D929" s="115">
        <v>135</v>
      </c>
      <c r="E929" s="115">
        <v>141</v>
      </c>
      <c r="F929" s="115">
        <v>722.9</v>
      </c>
      <c r="G929">
        <v>1104</v>
      </c>
      <c r="H929" s="115"/>
      <c r="I929" s="115"/>
      <c r="L929" s="169">
        <v>43369</v>
      </c>
      <c r="M929" s="115">
        <v>141.34</v>
      </c>
      <c r="N929" s="115">
        <v>144.80000000000001</v>
      </c>
      <c r="O929" s="115">
        <v>140</v>
      </c>
      <c r="P929" s="115">
        <v>140.41</v>
      </c>
      <c r="Q929" s="115">
        <v>706.7</v>
      </c>
      <c r="R929">
        <v>1224</v>
      </c>
    </row>
    <row r="930" spans="1:18" x14ac:dyDescent="0.25">
      <c r="A930" s="169">
        <v>43374</v>
      </c>
      <c r="B930" s="115">
        <v>144.38999999999999</v>
      </c>
      <c r="C930" s="115">
        <v>139.66</v>
      </c>
      <c r="D930" s="115">
        <v>136.21</v>
      </c>
      <c r="E930" s="115">
        <v>141.6</v>
      </c>
      <c r="F930" s="115">
        <v>698.3</v>
      </c>
      <c r="G930">
        <v>207</v>
      </c>
      <c r="H930" s="115"/>
      <c r="I930" s="115"/>
      <c r="L930" s="169">
        <v>43370</v>
      </c>
      <c r="M930" s="115">
        <v>138.04</v>
      </c>
      <c r="N930" s="115">
        <v>143.6</v>
      </c>
      <c r="O930" s="115">
        <v>137.6</v>
      </c>
      <c r="P930" s="115">
        <v>143.6</v>
      </c>
      <c r="Q930" s="115">
        <v>690.2</v>
      </c>
      <c r="R930">
        <v>2747</v>
      </c>
    </row>
    <row r="931" spans="1:18" x14ac:dyDescent="0.25">
      <c r="A931" s="169">
        <v>43376</v>
      </c>
      <c r="B931" s="115">
        <v>145.80000000000001</v>
      </c>
      <c r="C931" s="115">
        <v>144.19</v>
      </c>
      <c r="D931" s="115">
        <v>137</v>
      </c>
      <c r="E931" s="115">
        <v>139</v>
      </c>
      <c r="F931" s="115">
        <v>720.95</v>
      </c>
      <c r="G931">
        <v>302</v>
      </c>
      <c r="H931" s="115"/>
      <c r="I931" s="115"/>
      <c r="L931" s="169">
        <v>43371</v>
      </c>
      <c r="M931" s="115">
        <v>146.63</v>
      </c>
      <c r="N931" s="115">
        <v>153.99</v>
      </c>
      <c r="O931" s="115">
        <v>135.32</v>
      </c>
      <c r="P931" s="115">
        <v>138.04</v>
      </c>
      <c r="Q931" s="115">
        <v>733.15</v>
      </c>
      <c r="R931">
        <v>18116</v>
      </c>
    </row>
    <row r="932" spans="1:18" x14ac:dyDescent="0.25">
      <c r="A932" s="169">
        <v>43377</v>
      </c>
      <c r="B932" s="115">
        <v>142.97</v>
      </c>
      <c r="C932" s="115">
        <v>139.34</v>
      </c>
      <c r="D932" s="115">
        <v>131.19999999999999</v>
      </c>
      <c r="E932" s="115">
        <v>131.19999999999999</v>
      </c>
      <c r="F932" s="115">
        <v>696.7</v>
      </c>
      <c r="G932">
        <v>835</v>
      </c>
      <c r="H932" s="115"/>
      <c r="I932" s="115"/>
      <c r="L932" s="169">
        <v>43374</v>
      </c>
      <c r="M932" s="115">
        <v>138.38999999999999</v>
      </c>
      <c r="N932" s="115">
        <v>148</v>
      </c>
      <c r="O932" s="115">
        <v>135.24</v>
      </c>
      <c r="P932" s="115">
        <v>148</v>
      </c>
      <c r="Q932" s="115">
        <v>691.95</v>
      </c>
      <c r="R932">
        <v>7838</v>
      </c>
    </row>
    <row r="933" spans="1:18" x14ac:dyDescent="0.25">
      <c r="A933" s="169">
        <v>43378</v>
      </c>
      <c r="B933" s="115">
        <v>140</v>
      </c>
      <c r="C933" s="115">
        <v>136.94</v>
      </c>
      <c r="D933" s="115">
        <v>134</v>
      </c>
      <c r="E933" s="115">
        <v>135.19999999999999</v>
      </c>
      <c r="F933" s="115">
        <v>684.7</v>
      </c>
      <c r="G933">
        <v>383</v>
      </c>
      <c r="H933" s="115"/>
      <c r="I933" s="115"/>
      <c r="L933" s="169">
        <v>43376</v>
      </c>
      <c r="M933" s="115">
        <v>142.79</v>
      </c>
      <c r="N933" s="115">
        <v>145.30000000000001</v>
      </c>
      <c r="O933" s="115">
        <v>135.19999999999999</v>
      </c>
      <c r="P933" s="115">
        <v>143.80000000000001</v>
      </c>
      <c r="Q933" s="115">
        <v>713.95</v>
      </c>
      <c r="R933">
        <v>111552</v>
      </c>
    </row>
    <row r="934" spans="1:18" x14ac:dyDescent="0.25">
      <c r="A934" s="169">
        <v>43381</v>
      </c>
      <c r="B934" s="115">
        <v>143</v>
      </c>
      <c r="C934" s="115">
        <v>139.38999999999999</v>
      </c>
      <c r="D934" s="115">
        <v>133.80000000000001</v>
      </c>
      <c r="E934" s="115">
        <v>138.6</v>
      </c>
      <c r="F934" s="115">
        <v>696.95</v>
      </c>
      <c r="G934">
        <v>157</v>
      </c>
      <c r="H934" s="115"/>
      <c r="I934" s="115"/>
      <c r="L934" s="169">
        <v>43377</v>
      </c>
      <c r="M934" s="115">
        <v>138.35</v>
      </c>
      <c r="N934" s="115">
        <v>143.41999999999999</v>
      </c>
      <c r="O934" s="115">
        <v>136.22</v>
      </c>
      <c r="P934" s="115">
        <v>140</v>
      </c>
      <c r="Q934" s="115">
        <v>691.75</v>
      </c>
      <c r="R934">
        <v>2894</v>
      </c>
    </row>
    <row r="935" spans="1:18" x14ac:dyDescent="0.25">
      <c r="A935" s="169">
        <v>43382</v>
      </c>
      <c r="B935" s="115">
        <v>151</v>
      </c>
      <c r="C935" s="115">
        <v>142.58000000000001</v>
      </c>
      <c r="D935" s="115">
        <v>136.5</v>
      </c>
      <c r="E935" s="115">
        <v>139</v>
      </c>
      <c r="F935" s="115">
        <v>712.9</v>
      </c>
      <c r="G935">
        <v>383</v>
      </c>
      <c r="H935" s="115"/>
      <c r="I935" s="115"/>
      <c r="L935" s="169">
        <v>43378</v>
      </c>
      <c r="M935" s="115">
        <v>137.01</v>
      </c>
      <c r="N935" s="115">
        <v>139.59</v>
      </c>
      <c r="O935" s="115">
        <v>135.19999999999999</v>
      </c>
      <c r="P935" s="115">
        <v>138.35</v>
      </c>
      <c r="Q935" s="115">
        <v>685.05</v>
      </c>
      <c r="R935">
        <v>2722</v>
      </c>
    </row>
    <row r="936" spans="1:18" x14ac:dyDescent="0.25">
      <c r="A936" s="169">
        <v>43383</v>
      </c>
      <c r="B936" s="115">
        <v>155</v>
      </c>
      <c r="C936" s="115">
        <v>148.08000000000001</v>
      </c>
      <c r="D936" s="115">
        <v>139.6</v>
      </c>
      <c r="E936" s="115">
        <v>143.99</v>
      </c>
      <c r="F936" s="115">
        <v>740.4</v>
      </c>
      <c r="G936">
        <v>763</v>
      </c>
      <c r="H936" s="115"/>
      <c r="I936" s="115"/>
      <c r="L936" s="169">
        <v>43381</v>
      </c>
      <c r="M936" s="115">
        <v>137.31</v>
      </c>
      <c r="N936" s="115">
        <v>140</v>
      </c>
      <c r="O936" s="115">
        <v>134.80000000000001</v>
      </c>
      <c r="P936" s="115">
        <v>137</v>
      </c>
      <c r="Q936" s="115">
        <v>686.55</v>
      </c>
      <c r="R936">
        <v>875</v>
      </c>
    </row>
    <row r="937" spans="1:18" x14ac:dyDescent="0.25">
      <c r="A937" s="169">
        <v>43384</v>
      </c>
      <c r="B937" s="115">
        <v>155</v>
      </c>
      <c r="C937" s="115">
        <v>145.22</v>
      </c>
      <c r="D937" s="115">
        <v>142.63</v>
      </c>
      <c r="E937" s="115">
        <v>155</v>
      </c>
      <c r="F937" s="115">
        <v>726.1</v>
      </c>
      <c r="G937">
        <v>302</v>
      </c>
      <c r="H937" s="115"/>
      <c r="I937" s="115"/>
      <c r="L937" s="169">
        <v>43382</v>
      </c>
      <c r="M937" s="115">
        <v>137.44</v>
      </c>
      <c r="N937" s="115">
        <v>140.4</v>
      </c>
      <c r="O937" s="115">
        <v>136.02000000000001</v>
      </c>
      <c r="P937" s="115">
        <v>136.02000000000001</v>
      </c>
      <c r="Q937" s="115">
        <v>687.2</v>
      </c>
      <c r="R937">
        <v>6737</v>
      </c>
    </row>
    <row r="938" spans="1:18" x14ac:dyDescent="0.25">
      <c r="A938" s="169">
        <v>43385</v>
      </c>
      <c r="B938" s="115">
        <v>149</v>
      </c>
      <c r="C938" s="115">
        <v>147.76</v>
      </c>
      <c r="D938" s="115">
        <v>145.19999999999999</v>
      </c>
      <c r="E938" s="115">
        <v>145.19999999999999</v>
      </c>
      <c r="F938" s="115">
        <v>738.8</v>
      </c>
      <c r="G938">
        <v>270</v>
      </c>
      <c r="H938" s="115"/>
      <c r="I938" s="115"/>
      <c r="L938" s="169">
        <v>43383</v>
      </c>
      <c r="M938" s="115">
        <v>152.53</v>
      </c>
      <c r="N938" s="115">
        <v>158</v>
      </c>
      <c r="O938" s="115">
        <v>136</v>
      </c>
      <c r="P938" s="115">
        <v>136</v>
      </c>
      <c r="Q938" s="115">
        <v>762.65</v>
      </c>
      <c r="R938">
        <v>10891</v>
      </c>
    </row>
    <row r="939" spans="1:18" x14ac:dyDescent="0.25">
      <c r="A939" s="169">
        <v>43388</v>
      </c>
      <c r="B939" s="115">
        <v>149.80000000000001</v>
      </c>
      <c r="C939" s="115">
        <v>146.9</v>
      </c>
      <c r="D939" s="115">
        <v>146.04</v>
      </c>
      <c r="E939" s="115">
        <v>148.77000000000001</v>
      </c>
      <c r="F939" s="115">
        <v>734.5</v>
      </c>
      <c r="G939">
        <v>4162</v>
      </c>
      <c r="H939" s="115"/>
      <c r="I939" s="115"/>
      <c r="L939" s="169">
        <v>43384</v>
      </c>
      <c r="M939" s="115">
        <v>145.96</v>
      </c>
      <c r="N939" s="115">
        <v>150.69999999999999</v>
      </c>
      <c r="O939" s="115">
        <v>140.41999999999999</v>
      </c>
      <c r="P939" s="115">
        <v>150.25</v>
      </c>
      <c r="Q939" s="115">
        <v>729.8</v>
      </c>
      <c r="R939">
        <v>5531</v>
      </c>
    </row>
    <row r="940" spans="1:18" x14ac:dyDescent="0.25">
      <c r="A940" s="169">
        <v>43389</v>
      </c>
      <c r="B940" s="115">
        <v>157.4</v>
      </c>
      <c r="C940" s="115">
        <v>153.07</v>
      </c>
      <c r="D940" s="115">
        <v>147.01</v>
      </c>
      <c r="E940" s="115">
        <v>147.96</v>
      </c>
      <c r="F940" s="115">
        <v>765.35</v>
      </c>
      <c r="G940">
        <v>422</v>
      </c>
      <c r="H940" s="115"/>
      <c r="I940" s="115"/>
      <c r="L940" s="169">
        <v>43385</v>
      </c>
      <c r="M940" s="115">
        <v>146.82</v>
      </c>
      <c r="N940" s="115">
        <v>149.19</v>
      </c>
      <c r="O940" s="115">
        <v>145</v>
      </c>
      <c r="P940" s="115">
        <v>146.21</v>
      </c>
      <c r="Q940" s="115">
        <v>734.1</v>
      </c>
      <c r="R940">
        <v>752</v>
      </c>
    </row>
    <row r="941" spans="1:18" x14ac:dyDescent="0.25">
      <c r="A941" s="169">
        <v>43390</v>
      </c>
      <c r="B941" s="115">
        <v>157.4</v>
      </c>
      <c r="C941" s="115">
        <v>149.01</v>
      </c>
      <c r="D941" s="115">
        <v>147.22</v>
      </c>
      <c r="E941" s="115">
        <v>157.38</v>
      </c>
      <c r="F941" s="115">
        <v>745.05</v>
      </c>
      <c r="G941">
        <v>3411</v>
      </c>
      <c r="H941" s="115"/>
      <c r="I941" s="115"/>
      <c r="L941" s="169">
        <v>43388</v>
      </c>
      <c r="M941" s="115">
        <v>147.43</v>
      </c>
      <c r="N941" s="115">
        <v>151.57</v>
      </c>
      <c r="O941" s="115">
        <v>145</v>
      </c>
      <c r="P941" s="115">
        <v>148.59</v>
      </c>
      <c r="Q941" s="115">
        <v>737.15</v>
      </c>
      <c r="R941">
        <v>1861</v>
      </c>
    </row>
    <row r="942" spans="1:18" x14ac:dyDescent="0.25">
      <c r="A942" s="169">
        <v>43392</v>
      </c>
      <c r="B942" s="115">
        <v>154.79</v>
      </c>
      <c r="C942" s="115">
        <v>150.01</v>
      </c>
      <c r="D942" s="115">
        <v>146.11000000000001</v>
      </c>
      <c r="E942" s="115">
        <v>151</v>
      </c>
      <c r="F942" s="115">
        <v>750.05</v>
      </c>
      <c r="G942">
        <v>506</v>
      </c>
      <c r="H942" s="115"/>
      <c r="I942" s="115"/>
      <c r="L942" s="169">
        <v>43389</v>
      </c>
      <c r="M942" s="115">
        <v>155.66999999999999</v>
      </c>
      <c r="N942" s="115">
        <v>157.4</v>
      </c>
      <c r="O942" s="115">
        <v>147.01</v>
      </c>
      <c r="P942" s="115">
        <v>150</v>
      </c>
      <c r="Q942" s="115">
        <v>778.35</v>
      </c>
      <c r="R942">
        <v>7297</v>
      </c>
    </row>
    <row r="943" spans="1:18" x14ac:dyDescent="0.25">
      <c r="A943" s="169">
        <v>43395</v>
      </c>
      <c r="B943" s="115">
        <v>153.78</v>
      </c>
      <c r="C943" s="115">
        <v>147.72</v>
      </c>
      <c r="D943" s="115">
        <v>144.30000000000001</v>
      </c>
      <c r="E943" s="115">
        <v>151</v>
      </c>
      <c r="F943" s="115">
        <v>738.6</v>
      </c>
      <c r="G943">
        <v>523</v>
      </c>
      <c r="H943" s="115"/>
      <c r="I943" s="115"/>
      <c r="L943" s="169">
        <v>43390</v>
      </c>
      <c r="M943" s="115">
        <v>151.03</v>
      </c>
      <c r="N943" s="115">
        <v>159.19999999999999</v>
      </c>
      <c r="O943" s="115">
        <v>148.72999999999999</v>
      </c>
      <c r="P943" s="115">
        <v>159.19999999999999</v>
      </c>
      <c r="Q943" s="115">
        <v>755.15</v>
      </c>
      <c r="R943">
        <v>5987</v>
      </c>
    </row>
    <row r="944" spans="1:18" x14ac:dyDescent="0.25">
      <c r="A944" s="169">
        <v>43396</v>
      </c>
      <c r="B944" s="115">
        <v>149.19999999999999</v>
      </c>
      <c r="C944" s="115">
        <v>144.33000000000001</v>
      </c>
      <c r="D944" s="115">
        <v>144</v>
      </c>
      <c r="E944" s="115">
        <v>146</v>
      </c>
      <c r="F944" s="115">
        <v>721.65</v>
      </c>
      <c r="G944">
        <v>77</v>
      </c>
      <c r="H944" s="115"/>
      <c r="I944" s="115"/>
      <c r="L944" s="169">
        <v>43392</v>
      </c>
      <c r="M944" s="115">
        <v>150.54</v>
      </c>
      <c r="N944" s="115">
        <v>153.63</v>
      </c>
      <c r="O944" s="115">
        <v>145.01</v>
      </c>
      <c r="P944" s="115">
        <v>150.99</v>
      </c>
      <c r="Q944" s="115">
        <v>752.7</v>
      </c>
      <c r="R944">
        <v>7995</v>
      </c>
    </row>
    <row r="945" spans="1:18" x14ac:dyDescent="0.25">
      <c r="A945" s="169">
        <v>43397</v>
      </c>
      <c r="B945" s="115">
        <v>159</v>
      </c>
      <c r="C945" s="115">
        <v>155.35</v>
      </c>
      <c r="D945" s="115">
        <v>142</v>
      </c>
      <c r="E945" s="115">
        <v>143</v>
      </c>
      <c r="F945" s="115">
        <v>776.75</v>
      </c>
      <c r="G945">
        <v>1294</v>
      </c>
      <c r="H945" s="115"/>
      <c r="I945" s="115"/>
      <c r="L945" s="169">
        <v>43396</v>
      </c>
      <c r="M945" s="115">
        <v>143.02000000000001</v>
      </c>
      <c r="N945" s="115">
        <v>148.94999999999999</v>
      </c>
      <c r="O945" s="115">
        <v>140.6</v>
      </c>
      <c r="P945" s="115">
        <v>146.97999999999999</v>
      </c>
      <c r="Q945" s="115">
        <v>715.1</v>
      </c>
      <c r="R945">
        <v>4309</v>
      </c>
    </row>
    <row r="946" spans="1:18" x14ac:dyDescent="0.25">
      <c r="A946" s="169">
        <v>43398</v>
      </c>
      <c r="B946" s="115">
        <v>162.4</v>
      </c>
      <c r="C946" s="115">
        <v>157.28</v>
      </c>
      <c r="D946" s="115">
        <v>153.80000000000001</v>
      </c>
      <c r="E946" s="115">
        <v>156</v>
      </c>
      <c r="F946" s="115">
        <v>786.4</v>
      </c>
      <c r="G946">
        <v>1353</v>
      </c>
      <c r="H946" s="115"/>
      <c r="I946" s="115"/>
      <c r="L946" s="169">
        <v>43397</v>
      </c>
      <c r="M946" s="115">
        <v>157.34</v>
      </c>
      <c r="N946" s="115">
        <v>159.80000000000001</v>
      </c>
      <c r="O946" s="115">
        <v>143</v>
      </c>
      <c r="P946" s="115">
        <v>143.02000000000001</v>
      </c>
      <c r="Q946" s="115">
        <v>786.7</v>
      </c>
      <c r="R946">
        <v>22598</v>
      </c>
    </row>
    <row r="947" spans="1:18" x14ac:dyDescent="0.25">
      <c r="A947" s="169">
        <v>43399</v>
      </c>
      <c r="B947" s="115">
        <v>161.80000000000001</v>
      </c>
      <c r="C947" s="115">
        <v>155.69</v>
      </c>
      <c r="D947" s="115">
        <v>154.84</v>
      </c>
      <c r="E947" s="115">
        <v>161.80000000000001</v>
      </c>
      <c r="F947" s="115">
        <v>778.45</v>
      </c>
      <c r="G947">
        <v>483</v>
      </c>
      <c r="H947" s="115"/>
      <c r="I947" s="115"/>
      <c r="L947" s="169">
        <v>43398</v>
      </c>
      <c r="M947" s="115">
        <v>159.83000000000001</v>
      </c>
      <c r="N947" s="115">
        <v>163.78</v>
      </c>
      <c r="O947" s="115">
        <v>153</v>
      </c>
      <c r="P947" s="115">
        <v>157.97999999999999</v>
      </c>
      <c r="Q947" s="115">
        <v>799.15</v>
      </c>
      <c r="R947">
        <v>26881</v>
      </c>
    </row>
    <row r="948" spans="1:18" x14ac:dyDescent="0.25">
      <c r="A948" s="169">
        <v>43402</v>
      </c>
      <c r="B948" s="115">
        <v>159.97999999999999</v>
      </c>
      <c r="C948" s="115">
        <v>156.16999999999999</v>
      </c>
      <c r="D948" s="115">
        <v>155.6</v>
      </c>
      <c r="E948" s="115">
        <v>155.74</v>
      </c>
      <c r="F948" s="115">
        <v>780.85</v>
      </c>
      <c r="G948">
        <v>307</v>
      </c>
      <c r="H948" s="115"/>
      <c r="I948" s="115"/>
      <c r="L948" s="169">
        <v>43399</v>
      </c>
      <c r="M948" s="115">
        <v>160.97</v>
      </c>
      <c r="N948" s="115">
        <v>162.38999999999999</v>
      </c>
      <c r="O948" s="115">
        <v>153.19999999999999</v>
      </c>
      <c r="P948" s="115">
        <v>161.80000000000001</v>
      </c>
      <c r="Q948" s="115">
        <v>804.85</v>
      </c>
      <c r="R948">
        <v>21868</v>
      </c>
    </row>
    <row r="949" spans="1:18" x14ac:dyDescent="0.25">
      <c r="A949" s="169">
        <v>43403</v>
      </c>
      <c r="B949" s="115">
        <v>161.4</v>
      </c>
      <c r="C949" s="115">
        <v>159.84</v>
      </c>
      <c r="D949" s="115">
        <v>153.22</v>
      </c>
      <c r="E949" s="115">
        <v>155.05000000000001</v>
      </c>
      <c r="F949" s="115">
        <v>799.2</v>
      </c>
      <c r="G949">
        <v>719</v>
      </c>
      <c r="H949" s="115"/>
      <c r="I949" s="115"/>
      <c r="L949" s="169">
        <v>43402</v>
      </c>
      <c r="M949" s="115">
        <v>155.69</v>
      </c>
      <c r="N949" s="115">
        <v>160</v>
      </c>
      <c r="O949" s="115">
        <v>155</v>
      </c>
      <c r="P949" s="115">
        <v>157.76</v>
      </c>
      <c r="Q949" s="115">
        <v>778.45</v>
      </c>
      <c r="R949">
        <v>7523</v>
      </c>
    </row>
    <row r="950" spans="1:18" x14ac:dyDescent="0.25">
      <c r="A950" s="169">
        <v>43404</v>
      </c>
      <c r="B950" s="115">
        <v>160</v>
      </c>
      <c r="C950" s="115">
        <v>158</v>
      </c>
      <c r="D950" s="115">
        <v>157.19999999999999</v>
      </c>
      <c r="E950" s="115">
        <v>160</v>
      </c>
      <c r="F950" s="115">
        <v>790</v>
      </c>
      <c r="G950">
        <v>226</v>
      </c>
      <c r="H950" s="115"/>
      <c r="I950" s="115"/>
      <c r="L950" s="169">
        <v>43403</v>
      </c>
      <c r="M950" s="115">
        <v>161.62</v>
      </c>
      <c r="N950" s="115">
        <v>164</v>
      </c>
      <c r="O950" s="115">
        <v>153.83000000000001</v>
      </c>
      <c r="P950" s="115">
        <v>156.87</v>
      </c>
      <c r="Q950" s="115">
        <v>808.1</v>
      </c>
      <c r="R950">
        <v>11701</v>
      </c>
    </row>
    <row r="951" spans="1:18" x14ac:dyDescent="0.25">
      <c r="A951" s="169">
        <v>43405</v>
      </c>
      <c r="B951" s="115">
        <v>162</v>
      </c>
      <c r="C951" s="115">
        <v>156.9</v>
      </c>
      <c r="D951" s="115">
        <v>156.4</v>
      </c>
      <c r="E951" s="115">
        <v>162</v>
      </c>
      <c r="F951" s="115">
        <v>784.5</v>
      </c>
      <c r="G951">
        <v>169</v>
      </c>
      <c r="H951" s="115"/>
      <c r="I951" s="115"/>
      <c r="L951" s="169">
        <v>43404</v>
      </c>
      <c r="M951" s="115">
        <v>160.05000000000001</v>
      </c>
      <c r="N951" s="115">
        <v>162.16</v>
      </c>
      <c r="O951" s="115">
        <v>157</v>
      </c>
      <c r="P951" s="115">
        <v>157.19999999999999</v>
      </c>
      <c r="Q951" s="115">
        <v>800.25</v>
      </c>
      <c r="R951">
        <v>10748</v>
      </c>
    </row>
    <row r="952" spans="1:18" x14ac:dyDescent="0.25">
      <c r="A952" s="169">
        <v>43406</v>
      </c>
      <c r="B952" s="115">
        <v>160</v>
      </c>
      <c r="C952" s="115">
        <v>154.22</v>
      </c>
      <c r="D952" s="115">
        <v>153.21</v>
      </c>
      <c r="E952" s="115">
        <v>160</v>
      </c>
      <c r="F952" s="115">
        <v>771.1</v>
      </c>
      <c r="G952">
        <v>1352</v>
      </c>
      <c r="H952" s="115"/>
      <c r="I952" s="115"/>
      <c r="L952" s="169">
        <v>43405</v>
      </c>
      <c r="M952" s="115">
        <v>157.79</v>
      </c>
      <c r="N952" s="115">
        <v>164.2</v>
      </c>
      <c r="O952" s="115">
        <v>156.1</v>
      </c>
      <c r="P952" s="115">
        <v>162</v>
      </c>
      <c r="Q952" s="115">
        <v>788.95</v>
      </c>
      <c r="R952">
        <v>10239</v>
      </c>
    </row>
    <row r="953" spans="1:18" x14ac:dyDescent="0.25">
      <c r="A953" s="169">
        <v>43409</v>
      </c>
      <c r="B953" s="115">
        <v>156.99</v>
      </c>
      <c r="C953" s="115">
        <v>153.77000000000001</v>
      </c>
      <c r="D953" s="115">
        <v>152.01</v>
      </c>
      <c r="E953" s="115">
        <v>155</v>
      </c>
      <c r="F953" s="115">
        <v>768.85</v>
      </c>
      <c r="G953">
        <v>338</v>
      </c>
      <c r="H953" s="115"/>
      <c r="I953" s="115"/>
      <c r="L953" s="169">
        <v>43406</v>
      </c>
      <c r="M953" s="115">
        <v>155.22</v>
      </c>
      <c r="N953" s="115">
        <v>159.99</v>
      </c>
      <c r="O953" s="115">
        <v>154</v>
      </c>
      <c r="P953" s="115">
        <v>159.99</v>
      </c>
      <c r="Q953" s="115">
        <v>776.1</v>
      </c>
      <c r="R953">
        <v>5269</v>
      </c>
    </row>
    <row r="954" spans="1:18" x14ac:dyDescent="0.25">
      <c r="A954" s="169">
        <v>43410</v>
      </c>
      <c r="B954" s="115">
        <v>159.54</v>
      </c>
      <c r="C954" s="115">
        <v>152.4</v>
      </c>
      <c r="D954" s="115">
        <v>152</v>
      </c>
      <c r="E954" s="115">
        <v>156</v>
      </c>
      <c r="F954" s="115">
        <v>762</v>
      </c>
      <c r="G954">
        <v>920</v>
      </c>
      <c r="H954" s="115"/>
      <c r="I954" s="115"/>
      <c r="L954" s="169">
        <v>43409</v>
      </c>
      <c r="M954" s="115">
        <v>153.54</v>
      </c>
      <c r="N954" s="115">
        <v>158</v>
      </c>
      <c r="O954" s="115">
        <v>152.1</v>
      </c>
      <c r="P954" s="115">
        <v>156</v>
      </c>
      <c r="Q954" s="115">
        <v>767.7</v>
      </c>
      <c r="R954">
        <v>4010</v>
      </c>
    </row>
    <row r="955" spans="1:18" x14ac:dyDescent="0.25">
      <c r="A955" s="169">
        <v>43411</v>
      </c>
      <c r="B955" s="115">
        <v>156.74</v>
      </c>
      <c r="C955" s="115">
        <v>155.19</v>
      </c>
      <c r="D955" s="115">
        <v>152</v>
      </c>
      <c r="E955" s="115">
        <v>152</v>
      </c>
      <c r="F955" s="115">
        <v>775.95</v>
      </c>
      <c r="G955">
        <v>205</v>
      </c>
      <c r="H955" s="115"/>
      <c r="I955" s="115"/>
      <c r="L955" s="169">
        <v>43410</v>
      </c>
      <c r="M955" s="115">
        <v>152.06</v>
      </c>
      <c r="N955" s="115">
        <v>154.57</v>
      </c>
      <c r="O955" s="115">
        <v>151.41</v>
      </c>
      <c r="P955" s="115">
        <v>153.6</v>
      </c>
      <c r="Q955" s="115">
        <v>760.3</v>
      </c>
      <c r="R955">
        <v>965</v>
      </c>
    </row>
    <row r="956" spans="1:18" x14ac:dyDescent="0.25">
      <c r="A956" s="169">
        <v>43413</v>
      </c>
      <c r="B956" s="115">
        <v>155.96</v>
      </c>
      <c r="C956" s="115">
        <v>152.84</v>
      </c>
      <c r="D956" s="115">
        <v>150.11000000000001</v>
      </c>
      <c r="E956" s="115">
        <v>155.96</v>
      </c>
      <c r="F956" s="115">
        <v>764.2</v>
      </c>
      <c r="G956">
        <v>214</v>
      </c>
      <c r="H956" s="115"/>
      <c r="I956" s="115"/>
      <c r="L956" s="169">
        <v>43411</v>
      </c>
      <c r="M956" s="115">
        <v>153.75</v>
      </c>
      <c r="N956" s="115">
        <v>155</v>
      </c>
      <c r="O956" s="115">
        <v>152.06</v>
      </c>
      <c r="P956" s="115">
        <v>154.94</v>
      </c>
      <c r="Q956" s="115">
        <v>768.75</v>
      </c>
      <c r="R956">
        <v>436</v>
      </c>
    </row>
    <row r="957" spans="1:18" x14ac:dyDescent="0.25">
      <c r="A957" s="169">
        <v>43416</v>
      </c>
      <c r="B957" s="115">
        <v>160</v>
      </c>
      <c r="C957" s="115">
        <v>152.19999999999999</v>
      </c>
      <c r="D957" s="115">
        <v>152</v>
      </c>
      <c r="E957" s="115">
        <v>160</v>
      </c>
      <c r="F957" s="115">
        <v>761</v>
      </c>
      <c r="G957">
        <v>633</v>
      </c>
      <c r="H957" s="115"/>
      <c r="I957" s="115"/>
      <c r="L957" s="169">
        <v>43413</v>
      </c>
      <c r="M957" s="115">
        <v>155.91999999999999</v>
      </c>
      <c r="N957" s="115">
        <v>158</v>
      </c>
      <c r="O957" s="115">
        <v>150.4</v>
      </c>
      <c r="P957" s="115">
        <v>154.97999999999999</v>
      </c>
      <c r="Q957" s="115">
        <v>779.6</v>
      </c>
      <c r="R957">
        <v>2593</v>
      </c>
    </row>
    <row r="958" spans="1:18" x14ac:dyDescent="0.25">
      <c r="A958" s="169">
        <v>43417</v>
      </c>
      <c r="B958" s="115">
        <v>156.38</v>
      </c>
      <c r="C958" s="115">
        <v>155</v>
      </c>
      <c r="D958" s="115">
        <v>152.44999999999999</v>
      </c>
      <c r="E958" s="115">
        <v>156.38</v>
      </c>
      <c r="F958" s="115">
        <v>775</v>
      </c>
      <c r="G958">
        <v>369</v>
      </c>
      <c r="H958" s="115"/>
      <c r="I958" s="115"/>
      <c r="L958" s="169">
        <v>43416</v>
      </c>
      <c r="M958" s="115">
        <v>153.1</v>
      </c>
      <c r="N958" s="115">
        <v>157</v>
      </c>
      <c r="O958" s="115">
        <v>153</v>
      </c>
      <c r="P958" s="115">
        <v>156.01</v>
      </c>
      <c r="Q958" s="115">
        <v>765.5</v>
      </c>
      <c r="R958">
        <v>1151</v>
      </c>
    </row>
    <row r="959" spans="1:18" x14ac:dyDescent="0.25">
      <c r="A959" s="169">
        <v>43423</v>
      </c>
      <c r="B959" s="115">
        <v>155.31</v>
      </c>
      <c r="C959" s="115">
        <v>152.66</v>
      </c>
      <c r="D959" s="115">
        <v>150.4</v>
      </c>
      <c r="E959" s="115">
        <v>155.31</v>
      </c>
      <c r="F959" s="115">
        <v>763.3</v>
      </c>
      <c r="G959">
        <v>30</v>
      </c>
      <c r="H959" s="115"/>
      <c r="I959" s="115"/>
      <c r="L959" s="169">
        <v>43417</v>
      </c>
      <c r="M959" s="115">
        <v>155.44999999999999</v>
      </c>
      <c r="N959" s="115">
        <v>155.80000000000001</v>
      </c>
      <c r="O959" s="115">
        <v>152.41999999999999</v>
      </c>
      <c r="P959" s="115">
        <v>152.43</v>
      </c>
      <c r="Q959" s="115">
        <v>777.25</v>
      </c>
      <c r="R959">
        <v>699</v>
      </c>
    </row>
    <row r="960" spans="1:18" x14ac:dyDescent="0.25">
      <c r="A960" s="169">
        <v>43424</v>
      </c>
      <c r="B960" s="115">
        <v>153.78</v>
      </c>
      <c r="C960" s="115">
        <v>152.80000000000001</v>
      </c>
      <c r="D960" s="115">
        <v>152</v>
      </c>
      <c r="E960" s="115">
        <v>153.78</v>
      </c>
      <c r="F960" s="115">
        <v>764</v>
      </c>
      <c r="G960">
        <v>19</v>
      </c>
      <c r="H960" s="115"/>
      <c r="I960" s="115"/>
      <c r="L960" s="169">
        <v>43418</v>
      </c>
      <c r="M960" s="115">
        <v>152.72</v>
      </c>
      <c r="N960" s="115">
        <v>155.38</v>
      </c>
      <c r="O960" s="115">
        <v>152.19999999999999</v>
      </c>
      <c r="P960" s="115">
        <v>154.41</v>
      </c>
      <c r="Q960" s="115">
        <v>763.6</v>
      </c>
      <c r="R960">
        <v>724</v>
      </c>
    </row>
    <row r="961" spans="1:18" x14ac:dyDescent="0.25">
      <c r="A961" s="169">
        <v>43425</v>
      </c>
      <c r="B961" s="115">
        <v>160</v>
      </c>
      <c r="C961" s="115">
        <v>157.16</v>
      </c>
      <c r="D961" s="115">
        <v>152</v>
      </c>
      <c r="E961" s="115">
        <v>152</v>
      </c>
      <c r="F961" s="115">
        <v>785.8</v>
      </c>
      <c r="G961">
        <v>1188</v>
      </c>
      <c r="H961" s="115"/>
      <c r="I961" s="115"/>
      <c r="L961" s="169">
        <v>43419</v>
      </c>
      <c r="M961" s="115">
        <v>151.18</v>
      </c>
      <c r="N961" s="115">
        <v>155.19</v>
      </c>
      <c r="O961" s="115">
        <v>150.4</v>
      </c>
      <c r="P961" s="115">
        <v>155.19</v>
      </c>
      <c r="Q961" s="115">
        <v>755.9</v>
      </c>
      <c r="R961">
        <v>1867</v>
      </c>
    </row>
    <row r="962" spans="1:18" x14ac:dyDescent="0.25">
      <c r="A962" s="169">
        <v>43426</v>
      </c>
      <c r="B962" s="115">
        <v>160.22</v>
      </c>
      <c r="C962" s="115">
        <v>155.05000000000001</v>
      </c>
      <c r="D962" s="115">
        <v>154</v>
      </c>
      <c r="E962" s="115">
        <v>160.22</v>
      </c>
      <c r="F962" s="115">
        <v>775.25</v>
      </c>
      <c r="G962">
        <v>237</v>
      </c>
      <c r="H962" s="115"/>
      <c r="I962" s="115"/>
      <c r="L962" s="169">
        <v>43420</v>
      </c>
      <c r="M962" s="115">
        <v>151.74</v>
      </c>
      <c r="N962" s="115">
        <v>154</v>
      </c>
      <c r="O962" s="115">
        <v>151.12</v>
      </c>
      <c r="P962" s="115">
        <v>153.59</v>
      </c>
      <c r="Q962" s="115">
        <v>758.7</v>
      </c>
      <c r="R962">
        <v>653</v>
      </c>
    </row>
    <row r="963" spans="1:18" x14ac:dyDescent="0.25">
      <c r="A963" s="169">
        <v>43430</v>
      </c>
      <c r="B963" s="115">
        <v>155.80000000000001</v>
      </c>
      <c r="C963" s="115">
        <v>152.12</v>
      </c>
      <c r="D963" s="115">
        <v>152</v>
      </c>
      <c r="E963" s="115">
        <v>154</v>
      </c>
      <c r="F963" s="115">
        <v>760.6</v>
      </c>
      <c r="G963">
        <v>131</v>
      </c>
      <c r="H963" s="115"/>
      <c r="I963" s="115"/>
      <c r="L963" s="169">
        <v>43423</v>
      </c>
      <c r="M963" s="115">
        <v>153.47</v>
      </c>
      <c r="N963" s="115">
        <v>156.86000000000001</v>
      </c>
      <c r="O963" s="115">
        <v>152</v>
      </c>
      <c r="P963" s="115">
        <v>153.71</v>
      </c>
      <c r="Q963" s="115">
        <v>767.35</v>
      </c>
      <c r="R963">
        <v>709</v>
      </c>
    </row>
    <row r="964" spans="1:18" x14ac:dyDescent="0.25">
      <c r="A964" s="169">
        <v>43431</v>
      </c>
      <c r="B964" s="115">
        <v>154.6</v>
      </c>
      <c r="C964" s="115">
        <v>151.76</v>
      </c>
      <c r="D964" s="115">
        <v>150.62</v>
      </c>
      <c r="E964" s="115">
        <v>151.22</v>
      </c>
      <c r="F964" s="115">
        <v>758.8</v>
      </c>
      <c r="G964">
        <v>37096</v>
      </c>
      <c r="H964" s="115"/>
      <c r="I964" s="115"/>
      <c r="L964" s="169">
        <v>43424</v>
      </c>
      <c r="M964" s="115">
        <v>150.30000000000001</v>
      </c>
      <c r="N964" s="115">
        <v>154.34</v>
      </c>
      <c r="O964" s="115">
        <v>150</v>
      </c>
      <c r="P964" s="115">
        <v>153.01</v>
      </c>
      <c r="Q964" s="115">
        <v>751.5</v>
      </c>
      <c r="R964">
        <v>1584</v>
      </c>
    </row>
    <row r="965" spans="1:18" x14ac:dyDescent="0.25">
      <c r="A965" s="169">
        <v>43432</v>
      </c>
      <c r="B965" s="115">
        <v>153.62</v>
      </c>
      <c r="C965" s="115">
        <v>151.80000000000001</v>
      </c>
      <c r="D965" s="115">
        <v>151.4</v>
      </c>
      <c r="E965" s="115">
        <v>153.62</v>
      </c>
      <c r="F965" s="115">
        <v>759</v>
      </c>
      <c r="G965">
        <v>5</v>
      </c>
      <c r="H965" s="115"/>
      <c r="I965" s="115"/>
      <c r="L965" s="169">
        <v>43425</v>
      </c>
      <c r="M965" s="115">
        <v>160.02000000000001</v>
      </c>
      <c r="N965" s="115">
        <v>165</v>
      </c>
      <c r="O965" s="115">
        <v>150.01</v>
      </c>
      <c r="P965" s="115">
        <v>153.37</v>
      </c>
      <c r="Q965" s="115">
        <v>800.1</v>
      </c>
      <c r="R965">
        <v>7836</v>
      </c>
    </row>
    <row r="966" spans="1:18" x14ac:dyDescent="0.25">
      <c r="A966" s="169">
        <v>43433</v>
      </c>
      <c r="B966" s="115">
        <v>159.80000000000001</v>
      </c>
      <c r="C966" s="115">
        <v>157.29</v>
      </c>
      <c r="D966" s="115">
        <v>150.28</v>
      </c>
      <c r="E966" s="115">
        <v>151</v>
      </c>
      <c r="F966" s="115">
        <v>786.45</v>
      </c>
      <c r="G966">
        <v>235</v>
      </c>
      <c r="H966" s="115"/>
      <c r="I966" s="115"/>
      <c r="L966" s="169">
        <v>43426</v>
      </c>
      <c r="M966" s="115">
        <v>154.12</v>
      </c>
      <c r="N966" s="115">
        <v>161.59</v>
      </c>
      <c r="O966" s="115">
        <v>153.1</v>
      </c>
      <c r="P966" s="115">
        <v>159.80000000000001</v>
      </c>
      <c r="Q966" s="115">
        <v>770.6</v>
      </c>
      <c r="R966">
        <v>3495</v>
      </c>
    </row>
    <row r="967" spans="1:18" x14ac:dyDescent="0.25">
      <c r="A967" s="169">
        <v>43434</v>
      </c>
      <c r="B967" s="115">
        <v>159</v>
      </c>
      <c r="C967" s="115">
        <v>158.78</v>
      </c>
      <c r="D967" s="115">
        <v>157.01</v>
      </c>
      <c r="E967" s="115">
        <v>157.99</v>
      </c>
      <c r="F967" s="115">
        <v>793.9</v>
      </c>
      <c r="G967">
        <v>151</v>
      </c>
      <c r="H967" s="115"/>
      <c r="I967" s="115"/>
      <c r="L967" s="169">
        <v>43430</v>
      </c>
      <c r="M967" s="115">
        <v>153.16999999999999</v>
      </c>
      <c r="N967" s="115">
        <v>155.19</v>
      </c>
      <c r="O967" s="115">
        <v>152</v>
      </c>
      <c r="P967" s="115">
        <v>154</v>
      </c>
      <c r="Q967" s="115">
        <v>765.85</v>
      </c>
      <c r="R967">
        <v>2813</v>
      </c>
    </row>
    <row r="968" spans="1:18" x14ac:dyDescent="0.25">
      <c r="A968" s="169">
        <v>43437</v>
      </c>
      <c r="B968" s="115">
        <v>157.4</v>
      </c>
      <c r="C968" s="115">
        <v>154.34</v>
      </c>
      <c r="D968" s="115">
        <v>152.1</v>
      </c>
      <c r="E968" s="115">
        <v>152.1</v>
      </c>
      <c r="F968" s="115">
        <v>771.7</v>
      </c>
      <c r="G968">
        <v>154</v>
      </c>
      <c r="H968" s="115"/>
      <c r="I968" s="115"/>
      <c r="L968" s="169">
        <v>43431</v>
      </c>
      <c r="M968" s="115">
        <v>152</v>
      </c>
      <c r="N968" s="115">
        <v>154</v>
      </c>
      <c r="O968" s="115">
        <v>150</v>
      </c>
      <c r="P968" s="115">
        <v>153</v>
      </c>
      <c r="Q968" s="115">
        <v>760</v>
      </c>
      <c r="R968">
        <v>17325</v>
      </c>
    </row>
    <row r="969" spans="1:18" x14ac:dyDescent="0.25">
      <c r="A969" s="169">
        <v>43438</v>
      </c>
      <c r="B969" s="115">
        <v>154.6</v>
      </c>
      <c r="C969" s="115">
        <v>152.53</v>
      </c>
      <c r="D969" s="115">
        <v>150.5</v>
      </c>
      <c r="E969" s="115">
        <v>153.59</v>
      </c>
      <c r="F969" s="115">
        <v>762.65</v>
      </c>
      <c r="G969">
        <v>993</v>
      </c>
      <c r="H969" s="115"/>
      <c r="I969" s="115"/>
      <c r="L969" s="169">
        <v>43432</v>
      </c>
      <c r="M969" s="115">
        <v>151.30000000000001</v>
      </c>
      <c r="N969" s="115">
        <v>153.59</v>
      </c>
      <c r="O969" s="115">
        <v>151.06</v>
      </c>
      <c r="P969" s="115">
        <v>153.59</v>
      </c>
      <c r="Q969" s="115">
        <v>756.5</v>
      </c>
      <c r="R969">
        <v>835</v>
      </c>
    </row>
    <row r="970" spans="1:18" x14ac:dyDescent="0.25">
      <c r="A970" s="169">
        <v>43439</v>
      </c>
      <c r="B970" s="115">
        <v>155.6</v>
      </c>
      <c r="C970" s="115">
        <v>154</v>
      </c>
      <c r="D970" s="115">
        <v>154</v>
      </c>
      <c r="E970" s="115">
        <v>155.6</v>
      </c>
      <c r="F970" s="115">
        <v>770</v>
      </c>
      <c r="G970">
        <v>2</v>
      </c>
      <c r="H970" s="115"/>
      <c r="I970" s="115"/>
      <c r="L970" s="169">
        <v>43433</v>
      </c>
      <c r="M970" s="115">
        <v>157.88</v>
      </c>
      <c r="N970" s="115">
        <v>160.19999999999999</v>
      </c>
      <c r="O970" s="115">
        <v>151.02000000000001</v>
      </c>
      <c r="P970" s="115">
        <v>154.35</v>
      </c>
      <c r="Q970" s="115">
        <v>789.4</v>
      </c>
      <c r="R970">
        <v>9436</v>
      </c>
    </row>
    <row r="971" spans="1:18" x14ac:dyDescent="0.25">
      <c r="A971" s="169">
        <v>43440</v>
      </c>
      <c r="B971" s="115">
        <v>157.82</v>
      </c>
      <c r="C971" s="115">
        <v>156.06</v>
      </c>
      <c r="D971" s="115">
        <v>149.22</v>
      </c>
      <c r="E971" s="115">
        <v>152.80000000000001</v>
      </c>
      <c r="F971" s="115">
        <v>780.3</v>
      </c>
      <c r="G971">
        <v>75</v>
      </c>
      <c r="H971" s="115"/>
      <c r="I971" s="115"/>
      <c r="L971" s="169">
        <v>43434</v>
      </c>
      <c r="M971" s="115">
        <v>156.12</v>
      </c>
      <c r="N971" s="115">
        <v>159</v>
      </c>
      <c r="O971" s="115">
        <v>154.79</v>
      </c>
      <c r="P971" s="115">
        <v>157.55000000000001</v>
      </c>
      <c r="Q971" s="115">
        <v>780.6</v>
      </c>
      <c r="R971">
        <v>1376</v>
      </c>
    </row>
    <row r="972" spans="1:18" x14ac:dyDescent="0.25">
      <c r="A972" s="169">
        <v>43441</v>
      </c>
      <c r="B972" s="115">
        <v>156.6</v>
      </c>
      <c r="C972" s="115">
        <v>153.02000000000001</v>
      </c>
      <c r="D972" s="115">
        <v>153.02000000000001</v>
      </c>
      <c r="E972" s="115">
        <v>156.6</v>
      </c>
      <c r="F972" s="115">
        <v>765.1</v>
      </c>
      <c r="G972">
        <v>33</v>
      </c>
      <c r="H972" s="115"/>
      <c r="I972" s="115"/>
      <c r="L972" s="169">
        <v>43437</v>
      </c>
      <c r="M972" s="115">
        <v>152.19</v>
      </c>
      <c r="N972" s="115">
        <v>157.97999999999999</v>
      </c>
      <c r="O972" s="115">
        <v>151.47</v>
      </c>
      <c r="P972" s="115">
        <v>153.41</v>
      </c>
      <c r="Q972" s="115">
        <v>760.95</v>
      </c>
      <c r="R972">
        <v>3829</v>
      </c>
    </row>
    <row r="973" spans="1:18" x14ac:dyDescent="0.25">
      <c r="A973" s="169">
        <v>43444</v>
      </c>
      <c r="B973" s="115">
        <v>153.4</v>
      </c>
      <c r="C973" s="115">
        <v>153</v>
      </c>
      <c r="D973" s="115">
        <v>150.1</v>
      </c>
      <c r="E973" s="115">
        <v>153</v>
      </c>
      <c r="F973" s="115">
        <v>765</v>
      </c>
      <c r="G973">
        <v>44</v>
      </c>
      <c r="H973" s="115"/>
      <c r="I973" s="115"/>
      <c r="L973" s="169">
        <v>43438</v>
      </c>
      <c r="M973" s="115">
        <v>155.06</v>
      </c>
      <c r="N973" s="115">
        <v>158</v>
      </c>
      <c r="O973" s="115">
        <v>151.28</v>
      </c>
      <c r="P973" s="115">
        <v>152.91999999999999</v>
      </c>
      <c r="Q973" s="115">
        <v>775.3</v>
      </c>
      <c r="R973">
        <v>3992</v>
      </c>
    </row>
    <row r="974" spans="1:18" x14ac:dyDescent="0.25">
      <c r="A974" s="169">
        <v>43445</v>
      </c>
      <c r="B974" s="115">
        <v>156</v>
      </c>
      <c r="C974" s="115">
        <v>151.63</v>
      </c>
      <c r="D974" s="115">
        <v>151.1</v>
      </c>
      <c r="E974" s="115">
        <v>153.38</v>
      </c>
      <c r="F974" s="115">
        <v>758.15</v>
      </c>
      <c r="G974">
        <v>115</v>
      </c>
      <c r="H974" s="115"/>
      <c r="I974" s="115"/>
      <c r="L974" s="169">
        <v>43439</v>
      </c>
      <c r="M974" s="115">
        <v>152.58000000000001</v>
      </c>
      <c r="N974" s="115">
        <v>155.76</v>
      </c>
      <c r="O974" s="115">
        <v>152.26</v>
      </c>
      <c r="P974" s="115">
        <v>155.76</v>
      </c>
      <c r="Q974" s="115">
        <v>762.9</v>
      </c>
      <c r="R974">
        <v>204</v>
      </c>
    </row>
    <row r="975" spans="1:18" x14ac:dyDescent="0.25">
      <c r="A975" s="169">
        <v>43446</v>
      </c>
      <c r="B975" s="115">
        <v>155.55000000000001</v>
      </c>
      <c r="C975" s="115">
        <v>153.91</v>
      </c>
      <c r="D975" s="115">
        <v>152.61000000000001</v>
      </c>
      <c r="E975" s="115">
        <v>154.41</v>
      </c>
      <c r="F975" s="115">
        <v>769.55</v>
      </c>
      <c r="G975">
        <v>217</v>
      </c>
      <c r="H975" s="115"/>
      <c r="I975" s="115"/>
      <c r="L975" s="169">
        <v>43440</v>
      </c>
      <c r="M975" s="115">
        <v>155.94999999999999</v>
      </c>
      <c r="N975" s="115">
        <v>158.77000000000001</v>
      </c>
      <c r="O975" s="115">
        <v>149.4</v>
      </c>
      <c r="P975" s="115">
        <v>150.41999999999999</v>
      </c>
      <c r="Q975" s="115">
        <v>779.75</v>
      </c>
      <c r="R975">
        <v>13704</v>
      </c>
    </row>
    <row r="976" spans="1:18" x14ac:dyDescent="0.25">
      <c r="A976" s="169">
        <v>43447</v>
      </c>
      <c r="B976" s="115">
        <v>156.5</v>
      </c>
      <c r="C976" s="115">
        <v>153.30000000000001</v>
      </c>
      <c r="D976" s="115">
        <v>153.12</v>
      </c>
      <c r="E976" s="115">
        <v>156.5</v>
      </c>
      <c r="F976" s="115">
        <v>766.5</v>
      </c>
      <c r="G976">
        <v>117</v>
      </c>
      <c r="H976" s="115"/>
      <c r="I976" s="115"/>
      <c r="L976" s="169">
        <v>43441</v>
      </c>
      <c r="M976" s="115">
        <v>153.87</v>
      </c>
      <c r="N976" s="115">
        <v>156.4</v>
      </c>
      <c r="O976" s="115">
        <v>153</v>
      </c>
      <c r="P976" s="115">
        <v>155.79</v>
      </c>
      <c r="Q976" s="115">
        <v>769.35</v>
      </c>
      <c r="R976">
        <v>4467</v>
      </c>
    </row>
    <row r="977" spans="1:18" x14ac:dyDescent="0.25">
      <c r="A977" s="169">
        <v>43448</v>
      </c>
      <c r="B977" s="115">
        <v>155.6</v>
      </c>
      <c r="C977" s="115">
        <v>154.59</v>
      </c>
      <c r="D977" s="115">
        <v>154.59</v>
      </c>
      <c r="E977" s="115">
        <v>155.6</v>
      </c>
      <c r="F977" s="115">
        <v>772.95</v>
      </c>
      <c r="G977">
        <v>4</v>
      </c>
      <c r="H977" s="115"/>
      <c r="I977" s="115"/>
      <c r="L977" s="169">
        <v>43444</v>
      </c>
      <c r="M977" s="115">
        <v>151.82</v>
      </c>
      <c r="N977" s="115">
        <v>152.80000000000001</v>
      </c>
      <c r="O977" s="115">
        <v>150.46</v>
      </c>
      <c r="P977" s="115">
        <v>152</v>
      </c>
      <c r="Q977" s="115">
        <v>759.1</v>
      </c>
      <c r="R977">
        <v>978</v>
      </c>
    </row>
    <row r="978" spans="1:18" x14ac:dyDescent="0.25">
      <c r="A978" s="169">
        <v>43451</v>
      </c>
      <c r="B978" s="115">
        <v>155.18</v>
      </c>
      <c r="C978" s="115">
        <v>154.02000000000001</v>
      </c>
      <c r="D978" s="115">
        <v>151.99</v>
      </c>
      <c r="E978" s="115">
        <v>154</v>
      </c>
      <c r="F978" s="115">
        <v>770.1</v>
      </c>
      <c r="G978">
        <v>197</v>
      </c>
      <c r="H978" s="115"/>
      <c r="I978" s="115"/>
      <c r="L978" s="169">
        <v>43445</v>
      </c>
      <c r="M978" s="115">
        <v>153.43</v>
      </c>
      <c r="N978" s="115">
        <v>155.80000000000001</v>
      </c>
      <c r="O978" s="115">
        <v>149.41</v>
      </c>
      <c r="P978" s="115">
        <v>155.79</v>
      </c>
      <c r="Q978" s="115">
        <v>767.15</v>
      </c>
      <c r="R978">
        <v>2068</v>
      </c>
    </row>
    <row r="979" spans="1:18" x14ac:dyDescent="0.25">
      <c r="A979" s="169">
        <v>43452</v>
      </c>
      <c r="B979" s="115">
        <v>158.18</v>
      </c>
      <c r="C979" s="115">
        <v>153.69999999999999</v>
      </c>
      <c r="D979" s="115">
        <v>150.6</v>
      </c>
      <c r="E979" s="115">
        <v>158.18</v>
      </c>
      <c r="F979" s="115">
        <v>768.5</v>
      </c>
      <c r="G979">
        <v>823</v>
      </c>
      <c r="H979" s="115"/>
      <c r="I979" s="115"/>
      <c r="L979" s="169">
        <v>43446</v>
      </c>
      <c r="M979" s="115">
        <v>154</v>
      </c>
      <c r="N979" s="115">
        <v>156.97999999999999</v>
      </c>
      <c r="O979" s="115">
        <v>152.01</v>
      </c>
      <c r="P979" s="115">
        <v>154.99</v>
      </c>
      <c r="Q979" s="115">
        <v>770</v>
      </c>
      <c r="R979">
        <v>12858</v>
      </c>
    </row>
    <row r="980" spans="1:18" x14ac:dyDescent="0.25">
      <c r="A980" s="169">
        <v>43453</v>
      </c>
      <c r="B980" s="115">
        <v>155.97999999999999</v>
      </c>
      <c r="C980" s="115">
        <v>151.88</v>
      </c>
      <c r="D980" s="115">
        <v>151.6</v>
      </c>
      <c r="E980" s="115">
        <v>155.97999999999999</v>
      </c>
      <c r="F980" s="115">
        <v>759.4</v>
      </c>
      <c r="G980">
        <v>100</v>
      </c>
      <c r="H980" s="115"/>
      <c r="I980" s="115"/>
      <c r="L980" s="169">
        <v>43447</v>
      </c>
      <c r="M980" s="115">
        <v>153.96</v>
      </c>
      <c r="N980" s="115">
        <v>156.38999999999999</v>
      </c>
      <c r="O980" s="115">
        <v>152.5</v>
      </c>
      <c r="P980" s="115">
        <v>156.38999999999999</v>
      </c>
      <c r="Q980" s="115">
        <v>769.8</v>
      </c>
      <c r="R980">
        <v>6325</v>
      </c>
    </row>
    <row r="981" spans="1:18" x14ac:dyDescent="0.25">
      <c r="A981" s="169">
        <v>43454</v>
      </c>
      <c r="B981" s="115">
        <v>153.80000000000001</v>
      </c>
      <c r="C981" s="115">
        <v>151.44</v>
      </c>
      <c r="D981" s="115">
        <v>151.44</v>
      </c>
      <c r="E981" s="115">
        <v>153.80000000000001</v>
      </c>
      <c r="F981" s="115">
        <v>757.2</v>
      </c>
      <c r="G981">
        <v>6605</v>
      </c>
      <c r="H981" s="115"/>
      <c r="I981" s="115"/>
      <c r="L981" s="169">
        <v>43448</v>
      </c>
      <c r="M981" s="115">
        <v>154.22999999999999</v>
      </c>
      <c r="N981" s="115">
        <v>155.79</v>
      </c>
      <c r="O981" s="115">
        <v>153.38</v>
      </c>
      <c r="P981" s="115">
        <v>155.79</v>
      </c>
      <c r="Q981" s="115">
        <v>771.15</v>
      </c>
      <c r="R981">
        <v>3973</v>
      </c>
    </row>
    <row r="982" spans="1:18" x14ac:dyDescent="0.25">
      <c r="A982" s="169">
        <v>43455</v>
      </c>
      <c r="B982" s="115">
        <v>155</v>
      </c>
      <c r="C982" s="115">
        <v>150.72</v>
      </c>
      <c r="D982" s="115">
        <v>150</v>
      </c>
      <c r="E982" s="115">
        <v>155</v>
      </c>
      <c r="F982" s="115">
        <v>753.6</v>
      </c>
      <c r="G982">
        <v>1386</v>
      </c>
      <c r="H982" s="115"/>
      <c r="I982" s="115"/>
      <c r="L982" s="169">
        <v>43451</v>
      </c>
      <c r="M982" s="115">
        <v>151.82</v>
      </c>
      <c r="N982" s="115">
        <v>155.79</v>
      </c>
      <c r="O982" s="115">
        <v>151</v>
      </c>
      <c r="P982" s="115">
        <v>155.79</v>
      </c>
      <c r="Q982" s="115">
        <v>759.1</v>
      </c>
      <c r="R982">
        <v>13255</v>
      </c>
    </row>
    <row r="983" spans="1:18" x14ac:dyDescent="0.25">
      <c r="A983" s="169">
        <v>43458</v>
      </c>
      <c r="B983" s="115">
        <v>154</v>
      </c>
      <c r="C983" s="115">
        <v>151.74</v>
      </c>
      <c r="D983" s="115">
        <v>148.25</v>
      </c>
      <c r="E983" s="115">
        <v>152.5</v>
      </c>
      <c r="F983" s="115">
        <v>758.7</v>
      </c>
      <c r="G983">
        <v>275</v>
      </c>
      <c r="H983" s="115"/>
      <c r="I983" s="115"/>
      <c r="L983" s="169">
        <v>43452</v>
      </c>
      <c r="M983" s="115">
        <v>155.13999999999999</v>
      </c>
      <c r="N983" s="115">
        <v>157</v>
      </c>
      <c r="O983" s="115">
        <v>151.88</v>
      </c>
      <c r="P983" s="115">
        <v>153.75</v>
      </c>
      <c r="Q983" s="115">
        <v>775.7</v>
      </c>
      <c r="R983">
        <v>5939</v>
      </c>
    </row>
    <row r="984" spans="1:18" x14ac:dyDescent="0.25">
      <c r="A984" s="169">
        <v>43460</v>
      </c>
      <c r="B984" s="115">
        <v>155.6</v>
      </c>
      <c r="C984" s="115">
        <v>154.80000000000001</v>
      </c>
      <c r="D984" s="115">
        <v>150.21</v>
      </c>
      <c r="E984" s="115">
        <v>153</v>
      </c>
      <c r="F984" s="115">
        <v>774</v>
      </c>
      <c r="G984">
        <v>271</v>
      </c>
      <c r="H984" s="115"/>
      <c r="I984" s="115"/>
      <c r="L984" s="169">
        <v>43453</v>
      </c>
      <c r="M984" s="115">
        <v>152.19</v>
      </c>
      <c r="N984" s="115">
        <v>156.79</v>
      </c>
      <c r="O984" s="115">
        <v>150.80000000000001</v>
      </c>
      <c r="P984" s="115">
        <v>156.79</v>
      </c>
      <c r="Q984" s="115">
        <v>760.95</v>
      </c>
      <c r="R984">
        <v>14600</v>
      </c>
    </row>
    <row r="985" spans="1:18" x14ac:dyDescent="0.25">
      <c r="A985" s="169">
        <v>43461</v>
      </c>
      <c r="B985" s="115">
        <v>163.80000000000001</v>
      </c>
      <c r="C985" s="115">
        <v>154.25</v>
      </c>
      <c r="D985" s="115">
        <v>153.1</v>
      </c>
      <c r="E985" s="115">
        <v>163.80000000000001</v>
      </c>
      <c r="F985" s="115">
        <v>771.25</v>
      </c>
      <c r="G985">
        <v>496</v>
      </c>
      <c r="H985" s="115"/>
      <c r="I985" s="115"/>
      <c r="L985" s="169">
        <v>43454</v>
      </c>
      <c r="M985" s="115">
        <v>151.76</v>
      </c>
      <c r="N985" s="115">
        <v>153.59</v>
      </c>
      <c r="O985" s="115">
        <v>150.65</v>
      </c>
      <c r="P985" s="115">
        <v>153.59</v>
      </c>
      <c r="Q985" s="115">
        <v>758.8</v>
      </c>
      <c r="R985">
        <v>953</v>
      </c>
    </row>
    <row r="986" spans="1:18" x14ac:dyDescent="0.25">
      <c r="A986" s="169">
        <v>43462</v>
      </c>
      <c r="B986" s="115">
        <v>156.77000000000001</v>
      </c>
      <c r="C986" s="115">
        <v>155.53</v>
      </c>
      <c r="D986" s="115">
        <v>153.4</v>
      </c>
      <c r="E986" s="115">
        <v>153.4</v>
      </c>
      <c r="F986" s="115">
        <v>777.65</v>
      </c>
      <c r="G986">
        <v>119</v>
      </c>
      <c r="H986" s="115"/>
      <c r="I986" s="115"/>
      <c r="L986" s="169">
        <v>43455</v>
      </c>
      <c r="M986" s="115">
        <v>151.88999999999999</v>
      </c>
      <c r="N986" s="115">
        <v>152.99</v>
      </c>
      <c r="O986" s="115">
        <v>150.03</v>
      </c>
      <c r="P986" s="115">
        <v>152.99</v>
      </c>
      <c r="Q986" s="115">
        <v>759.45</v>
      </c>
      <c r="R986">
        <v>6590</v>
      </c>
    </row>
    <row r="987" spans="1:18" x14ac:dyDescent="0.25">
      <c r="A987" s="169">
        <v>43465</v>
      </c>
      <c r="B987" s="115">
        <v>158.61000000000001</v>
      </c>
      <c r="C987" s="115">
        <v>155.85</v>
      </c>
      <c r="D987" s="115">
        <v>155.41</v>
      </c>
      <c r="E987" s="115">
        <v>158.61000000000001</v>
      </c>
      <c r="F987" s="115">
        <v>779.25</v>
      </c>
      <c r="G987">
        <v>37</v>
      </c>
      <c r="H987" s="115"/>
      <c r="I987" s="115"/>
      <c r="L987" s="169">
        <v>43458</v>
      </c>
      <c r="M987" s="115">
        <v>153.49</v>
      </c>
      <c r="N987" s="115">
        <v>154.79</v>
      </c>
      <c r="O987" s="115">
        <v>148.87</v>
      </c>
      <c r="P987" s="115">
        <v>150.02000000000001</v>
      </c>
      <c r="Q987" s="115">
        <v>767.45</v>
      </c>
      <c r="R987">
        <v>6444</v>
      </c>
    </row>
    <row r="988" spans="1:18" x14ac:dyDescent="0.25">
      <c r="A988" s="169">
        <v>43466</v>
      </c>
      <c r="B988" s="115">
        <v>156</v>
      </c>
      <c r="C988" s="115">
        <v>156</v>
      </c>
      <c r="D988" s="115">
        <v>156</v>
      </c>
      <c r="E988" s="115">
        <v>156</v>
      </c>
      <c r="F988" s="115">
        <v>780</v>
      </c>
      <c r="G988">
        <v>2</v>
      </c>
      <c r="H988" s="115"/>
      <c r="I988" s="115"/>
      <c r="L988" s="169">
        <v>43460</v>
      </c>
      <c r="M988" s="115">
        <v>154.72999999999999</v>
      </c>
      <c r="N988" s="115">
        <v>156</v>
      </c>
      <c r="O988" s="115">
        <v>151.19</v>
      </c>
      <c r="P988" s="115">
        <v>153.99</v>
      </c>
      <c r="Q988" s="115">
        <v>773.65</v>
      </c>
      <c r="R988">
        <v>6802</v>
      </c>
    </row>
    <row r="989" spans="1:18" x14ac:dyDescent="0.25">
      <c r="A989" s="169">
        <v>43467</v>
      </c>
      <c r="B989" s="115">
        <v>154.6</v>
      </c>
      <c r="C989" s="115">
        <v>153.38999999999999</v>
      </c>
      <c r="D989" s="115">
        <v>152.4</v>
      </c>
      <c r="E989" s="115">
        <v>153.82</v>
      </c>
      <c r="F989" s="115">
        <v>766.95</v>
      </c>
      <c r="G989">
        <v>170</v>
      </c>
      <c r="H989" s="115"/>
      <c r="I989" s="115"/>
      <c r="L989" s="169">
        <v>43461</v>
      </c>
      <c r="M989" s="115">
        <v>153.56</v>
      </c>
      <c r="N989" s="115">
        <v>156.4</v>
      </c>
      <c r="O989" s="115">
        <v>152.05000000000001</v>
      </c>
      <c r="P989" s="115">
        <v>156.4</v>
      </c>
      <c r="Q989" s="115">
        <v>767.8</v>
      </c>
      <c r="R989">
        <v>8627</v>
      </c>
    </row>
    <row r="990" spans="1:18" x14ac:dyDescent="0.25">
      <c r="A990" s="169">
        <v>43468</v>
      </c>
      <c r="B990" s="115">
        <v>155.6</v>
      </c>
      <c r="C990" s="115">
        <v>151.66</v>
      </c>
      <c r="D990" s="115">
        <v>150</v>
      </c>
      <c r="E990" s="115">
        <v>155.58000000000001</v>
      </c>
      <c r="F990" s="115">
        <v>758.3</v>
      </c>
      <c r="G990">
        <v>206</v>
      </c>
      <c r="H990" s="115"/>
      <c r="I990" s="115"/>
      <c r="L990" s="169">
        <v>43462</v>
      </c>
      <c r="M990" s="115">
        <v>156.86000000000001</v>
      </c>
      <c r="N990" s="115">
        <v>159</v>
      </c>
      <c r="O990" s="115">
        <v>153.01</v>
      </c>
      <c r="P990" s="115">
        <v>154.99</v>
      </c>
      <c r="Q990" s="115">
        <v>784.3</v>
      </c>
      <c r="R990">
        <v>11564</v>
      </c>
    </row>
    <row r="991" spans="1:18" x14ac:dyDescent="0.25">
      <c r="A991" s="169">
        <v>43469</v>
      </c>
      <c r="B991" s="115">
        <v>153.55000000000001</v>
      </c>
      <c r="C991" s="115">
        <v>151.6</v>
      </c>
      <c r="D991" s="115">
        <v>151.19999999999999</v>
      </c>
      <c r="E991" s="115">
        <v>152.36000000000001</v>
      </c>
      <c r="F991" s="115">
        <v>758</v>
      </c>
      <c r="G991">
        <v>153</v>
      </c>
      <c r="H991" s="115"/>
      <c r="I991" s="115"/>
      <c r="L991" s="169">
        <v>43465</v>
      </c>
      <c r="M991" s="115">
        <v>154.94</v>
      </c>
      <c r="N991" s="115">
        <v>157.97999999999999</v>
      </c>
      <c r="O991" s="115">
        <v>154.02000000000001</v>
      </c>
      <c r="P991" s="115">
        <v>156.81</v>
      </c>
      <c r="Q991" s="115">
        <v>774.7</v>
      </c>
      <c r="R991">
        <v>1181</v>
      </c>
    </row>
    <row r="992" spans="1:18" x14ac:dyDescent="0.25">
      <c r="A992" s="169">
        <v>43472</v>
      </c>
      <c r="B992" s="115">
        <v>152.96</v>
      </c>
      <c r="C992" s="115">
        <v>152.69999999999999</v>
      </c>
      <c r="D992" s="115">
        <v>151.1</v>
      </c>
      <c r="E992" s="115">
        <v>152.96</v>
      </c>
      <c r="F992" s="115">
        <v>763.5</v>
      </c>
      <c r="G992">
        <v>93</v>
      </c>
      <c r="H992" s="115"/>
      <c r="I992" s="115"/>
      <c r="L992" s="169">
        <v>43466</v>
      </c>
      <c r="M992" s="115">
        <v>154.11000000000001</v>
      </c>
      <c r="N992" s="115">
        <v>157.96</v>
      </c>
      <c r="O992" s="115">
        <v>153.44</v>
      </c>
      <c r="P992" s="115">
        <v>157.96</v>
      </c>
      <c r="Q992" s="115">
        <v>770.55</v>
      </c>
      <c r="R992">
        <v>1895</v>
      </c>
    </row>
    <row r="993" spans="1:18" x14ac:dyDescent="0.25">
      <c r="A993" s="169">
        <v>43473</v>
      </c>
      <c r="B993" s="115">
        <v>153.19999999999999</v>
      </c>
      <c r="C993" s="115">
        <v>152.94999999999999</v>
      </c>
      <c r="D993" s="115">
        <v>152.4</v>
      </c>
      <c r="E993" s="115">
        <v>153</v>
      </c>
      <c r="F993" s="115">
        <v>764.75</v>
      </c>
      <c r="G993">
        <v>207</v>
      </c>
      <c r="H993" s="115"/>
      <c r="I993" s="115"/>
      <c r="L993" s="169">
        <v>43467</v>
      </c>
      <c r="M993" s="115">
        <v>153.36000000000001</v>
      </c>
      <c r="N993" s="115">
        <v>155.97999999999999</v>
      </c>
      <c r="O993" s="115">
        <v>152.80000000000001</v>
      </c>
      <c r="P993" s="115">
        <v>152.80000000000001</v>
      </c>
      <c r="Q993" s="115">
        <v>766.8</v>
      </c>
      <c r="R993">
        <v>1124</v>
      </c>
    </row>
    <row r="994" spans="1:18" x14ac:dyDescent="0.25">
      <c r="A994" s="169">
        <v>43474</v>
      </c>
      <c r="B994" s="115">
        <v>150.6</v>
      </c>
      <c r="C994" s="115">
        <v>148.96</v>
      </c>
      <c r="D994" s="115">
        <v>148.25</v>
      </c>
      <c r="E994" s="115">
        <v>150.6</v>
      </c>
      <c r="F994" s="115">
        <v>744.8</v>
      </c>
      <c r="G994">
        <v>346</v>
      </c>
      <c r="H994" s="115"/>
      <c r="I994" s="115"/>
      <c r="L994" s="169">
        <v>43468</v>
      </c>
      <c r="M994" s="115">
        <v>153.25</v>
      </c>
      <c r="N994" s="115">
        <v>155.55000000000001</v>
      </c>
      <c r="O994" s="115">
        <v>152.6</v>
      </c>
      <c r="P994" s="115">
        <v>155.55000000000001</v>
      </c>
      <c r="Q994" s="115">
        <v>766.25</v>
      </c>
      <c r="R994">
        <v>1600</v>
      </c>
    </row>
    <row r="995" spans="1:18" x14ac:dyDescent="0.25">
      <c r="A995" s="169">
        <v>43475</v>
      </c>
      <c r="B995" s="115">
        <v>152.88</v>
      </c>
      <c r="C995" s="115">
        <v>151.78</v>
      </c>
      <c r="D995" s="115">
        <v>150.6</v>
      </c>
      <c r="E995" s="115">
        <v>151.19999999999999</v>
      </c>
      <c r="F995" s="115">
        <v>758.9</v>
      </c>
      <c r="G995">
        <v>411</v>
      </c>
      <c r="H995" s="115"/>
      <c r="I995" s="115"/>
      <c r="L995" s="169">
        <v>43469</v>
      </c>
      <c r="M995" s="115">
        <v>151.83000000000001</v>
      </c>
      <c r="N995" s="115">
        <v>153.6</v>
      </c>
      <c r="O995" s="115">
        <v>151.32</v>
      </c>
      <c r="P995" s="115">
        <v>152.03</v>
      </c>
      <c r="Q995" s="115">
        <v>759.15</v>
      </c>
      <c r="R995">
        <v>5116</v>
      </c>
    </row>
    <row r="996" spans="1:18" x14ac:dyDescent="0.25">
      <c r="A996" s="169">
        <v>43476</v>
      </c>
      <c r="B996" s="115">
        <v>155.75</v>
      </c>
      <c r="C996" s="115">
        <v>150.01</v>
      </c>
      <c r="D996" s="115">
        <v>148.4</v>
      </c>
      <c r="E996" s="115">
        <v>151.96</v>
      </c>
      <c r="F996" s="115">
        <v>750.05</v>
      </c>
      <c r="G996">
        <v>221</v>
      </c>
      <c r="H996" s="115"/>
      <c r="I996" s="115"/>
      <c r="L996" s="169">
        <v>43472</v>
      </c>
      <c r="M996" s="115">
        <v>151.77000000000001</v>
      </c>
      <c r="N996" s="115">
        <v>153.4</v>
      </c>
      <c r="O996" s="115">
        <v>151.41</v>
      </c>
      <c r="P996" s="115">
        <v>152.80000000000001</v>
      </c>
      <c r="Q996" s="115">
        <v>758.85</v>
      </c>
      <c r="R996">
        <v>5711</v>
      </c>
    </row>
    <row r="997" spans="1:18" x14ac:dyDescent="0.25">
      <c r="A997" s="169">
        <v>43479</v>
      </c>
      <c r="B997" s="115">
        <v>149.99</v>
      </c>
      <c r="C997" s="115">
        <v>147.76</v>
      </c>
      <c r="D997" s="115">
        <v>147</v>
      </c>
      <c r="E997" s="115">
        <v>148.69999999999999</v>
      </c>
      <c r="F997" s="115">
        <v>738.8</v>
      </c>
      <c r="G997">
        <v>348</v>
      </c>
      <c r="H997" s="115"/>
      <c r="I997" s="115"/>
      <c r="L997" s="169">
        <v>43473</v>
      </c>
      <c r="M997" s="115">
        <v>151.41999999999999</v>
      </c>
      <c r="N997" s="115">
        <v>153.6</v>
      </c>
      <c r="O997" s="115">
        <v>151.06</v>
      </c>
      <c r="P997" s="115">
        <v>153.6</v>
      </c>
      <c r="Q997" s="115">
        <v>757.1</v>
      </c>
      <c r="R997">
        <v>5371</v>
      </c>
    </row>
    <row r="998" spans="1:18" x14ac:dyDescent="0.25">
      <c r="A998" s="169">
        <v>43480</v>
      </c>
      <c r="B998" s="115">
        <v>149.79</v>
      </c>
      <c r="C998" s="115">
        <v>148.41</v>
      </c>
      <c r="D998" s="115">
        <v>147.30000000000001</v>
      </c>
      <c r="E998" s="115">
        <v>148.88</v>
      </c>
      <c r="F998" s="115">
        <v>742.05</v>
      </c>
      <c r="G998">
        <v>1477</v>
      </c>
      <c r="H998" s="115"/>
      <c r="I998" s="115"/>
      <c r="L998" s="169">
        <v>43474</v>
      </c>
      <c r="M998" s="115">
        <v>149.96</v>
      </c>
      <c r="N998" s="115">
        <v>152</v>
      </c>
      <c r="O998" s="115">
        <v>149.06</v>
      </c>
      <c r="P998" s="115">
        <v>151.99</v>
      </c>
      <c r="Q998" s="115">
        <v>749.8</v>
      </c>
      <c r="R998">
        <v>1812</v>
      </c>
    </row>
    <row r="999" spans="1:18" x14ac:dyDescent="0.25">
      <c r="A999" s="169">
        <v>43481</v>
      </c>
      <c r="B999" s="115">
        <v>148.97999999999999</v>
      </c>
      <c r="C999" s="115">
        <v>147.16999999999999</v>
      </c>
      <c r="D999" s="115">
        <v>146.1</v>
      </c>
      <c r="E999" s="115">
        <v>148.19999999999999</v>
      </c>
      <c r="F999" s="115">
        <v>735.85</v>
      </c>
      <c r="G999">
        <v>195</v>
      </c>
      <c r="H999" s="115"/>
      <c r="I999" s="115"/>
      <c r="L999" s="169">
        <v>43475</v>
      </c>
      <c r="M999" s="115">
        <v>151.31</v>
      </c>
      <c r="N999" s="115">
        <v>152.6</v>
      </c>
      <c r="O999" s="115">
        <v>150.02000000000001</v>
      </c>
      <c r="P999" s="115">
        <v>151.19999999999999</v>
      </c>
      <c r="Q999" s="115">
        <v>756.55</v>
      </c>
      <c r="R999">
        <v>7545</v>
      </c>
    </row>
    <row r="1000" spans="1:18" x14ac:dyDescent="0.25">
      <c r="A1000" s="169">
        <v>43482</v>
      </c>
      <c r="B1000" s="115">
        <v>148</v>
      </c>
      <c r="C1000" s="115">
        <v>145.01</v>
      </c>
      <c r="D1000" s="115">
        <v>145</v>
      </c>
      <c r="E1000" s="115">
        <v>147.97999999999999</v>
      </c>
      <c r="F1000" s="115">
        <v>725.05</v>
      </c>
      <c r="G1000">
        <v>391</v>
      </c>
      <c r="H1000" s="115"/>
      <c r="I1000" s="115"/>
      <c r="L1000" s="169">
        <v>43476</v>
      </c>
      <c r="M1000" s="115">
        <v>149.37</v>
      </c>
      <c r="N1000" s="115">
        <v>151.74</v>
      </c>
      <c r="O1000" s="115">
        <v>148.41999999999999</v>
      </c>
      <c r="P1000" s="115">
        <v>151.74</v>
      </c>
      <c r="Q1000" s="115">
        <v>746.85</v>
      </c>
      <c r="R1000">
        <v>3050</v>
      </c>
    </row>
    <row r="1001" spans="1:18" x14ac:dyDescent="0.25">
      <c r="A1001" s="169">
        <v>43483</v>
      </c>
      <c r="B1001" s="115">
        <v>145.69</v>
      </c>
      <c r="C1001" s="115">
        <v>145.41</v>
      </c>
      <c r="D1001" s="115">
        <v>143.13</v>
      </c>
      <c r="E1001" s="115">
        <v>143.4</v>
      </c>
      <c r="F1001" s="115">
        <v>727.05</v>
      </c>
      <c r="G1001">
        <v>224</v>
      </c>
      <c r="H1001" s="115"/>
      <c r="I1001" s="115"/>
      <c r="L1001" s="169">
        <v>43479</v>
      </c>
      <c r="M1001" s="115">
        <v>150.22999999999999</v>
      </c>
      <c r="N1001" s="115">
        <v>151.41999999999999</v>
      </c>
      <c r="O1001" s="115">
        <v>148.4</v>
      </c>
      <c r="P1001" s="115">
        <v>148.4</v>
      </c>
      <c r="Q1001" s="115">
        <v>751.15</v>
      </c>
      <c r="R1001">
        <v>644</v>
      </c>
    </row>
    <row r="1002" spans="1:18" x14ac:dyDescent="0.25">
      <c r="A1002" s="169">
        <v>43486</v>
      </c>
      <c r="B1002" s="115">
        <v>147.9</v>
      </c>
      <c r="C1002" s="115">
        <v>145.16999999999999</v>
      </c>
      <c r="D1002" s="115">
        <v>145</v>
      </c>
      <c r="E1002" s="115">
        <v>145.41</v>
      </c>
      <c r="F1002" s="115">
        <v>725.85</v>
      </c>
      <c r="G1002">
        <v>1229</v>
      </c>
      <c r="H1002" s="115"/>
      <c r="I1002" s="115"/>
      <c r="L1002" s="169">
        <v>43480</v>
      </c>
      <c r="M1002" s="115">
        <v>148.29</v>
      </c>
      <c r="N1002" s="115">
        <v>150.19999999999999</v>
      </c>
      <c r="O1002" s="115">
        <v>148</v>
      </c>
      <c r="P1002" s="115">
        <v>149.09</v>
      </c>
      <c r="Q1002" s="115">
        <v>741.45</v>
      </c>
      <c r="R1002">
        <v>2603</v>
      </c>
    </row>
    <row r="1003" spans="1:18" x14ac:dyDescent="0.25">
      <c r="A1003" s="169">
        <v>43487</v>
      </c>
      <c r="B1003" s="115">
        <v>145.6</v>
      </c>
      <c r="C1003" s="115">
        <v>143.75</v>
      </c>
      <c r="D1003" s="115">
        <v>142.19999999999999</v>
      </c>
      <c r="E1003" s="115">
        <v>145.22</v>
      </c>
      <c r="F1003" s="115">
        <v>718.75</v>
      </c>
      <c r="G1003">
        <v>109</v>
      </c>
      <c r="H1003" s="115"/>
      <c r="I1003" s="115"/>
      <c r="L1003" s="169">
        <v>43481</v>
      </c>
      <c r="M1003" s="115">
        <v>147</v>
      </c>
      <c r="N1003" s="115">
        <v>149.32</v>
      </c>
      <c r="O1003" s="115">
        <v>146</v>
      </c>
      <c r="P1003" s="115">
        <v>148.05000000000001</v>
      </c>
      <c r="Q1003" s="115">
        <v>735</v>
      </c>
      <c r="R1003">
        <v>2500</v>
      </c>
    </row>
    <row r="1004" spans="1:18" x14ac:dyDescent="0.25">
      <c r="A1004" s="169">
        <v>43488</v>
      </c>
      <c r="B1004" s="115">
        <v>145</v>
      </c>
      <c r="C1004" s="115">
        <v>140.44</v>
      </c>
      <c r="D1004" s="115">
        <v>139.80000000000001</v>
      </c>
      <c r="E1004" s="115">
        <v>145</v>
      </c>
      <c r="F1004" s="115">
        <v>702.2</v>
      </c>
      <c r="G1004">
        <v>800</v>
      </c>
      <c r="H1004" s="115"/>
      <c r="I1004" s="115"/>
      <c r="L1004" s="169">
        <v>43482</v>
      </c>
      <c r="M1004" s="115">
        <v>145.25</v>
      </c>
      <c r="N1004" s="115">
        <v>149.79</v>
      </c>
      <c r="O1004" s="115">
        <v>145.01</v>
      </c>
      <c r="P1004" s="115">
        <v>149.79</v>
      </c>
      <c r="Q1004" s="115">
        <v>726.25</v>
      </c>
      <c r="R1004">
        <v>2861</v>
      </c>
    </row>
    <row r="1005" spans="1:18" x14ac:dyDescent="0.25">
      <c r="A1005" s="169">
        <v>43489</v>
      </c>
      <c r="B1005" s="115">
        <v>142</v>
      </c>
      <c r="C1005" s="115">
        <v>138.29</v>
      </c>
      <c r="D1005" s="115">
        <v>137.01</v>
      </c>
      <c r="E1005" s="115">
        <v>140.96</v>
      </c>
      <c r="F1005" s="115">
        <v>691.45</v>
      </c>
      <c r="G1005">
        <v>658</v>
      </c>
      <c r="H1005" s="115"/>
      <c r="I1005" s="115"/>
      <c r="L1005" s="169">
        <v>43483</v>
      </c>
      <c r="M1005" s="115">
        <v>145.91999999999999</v>
      </c>
      <c r="N1005" s="115">
        <v>148.26</v>
      </c>
      <c r="O1005" s="115">
        <v>145.01</v>
      </c>
      <c r="P1005" s="115">
        <v>145.83000000000001</v>
      </c>
      <c r="Q1005" s="115">
        <v>729.6</v>
      </c>
      <c r="R1005">
        <v>697</v>
      </c>
    </row>
    <row r="1006" spans="1:18" x14ac:dyDescent="0.25">
      <c r="A1006" s="169">
        <v>43490</v>
      </c>
      <c r="B1006" s="115">
        <v>141.76</v>
      </c>
      <c r="C1006" s="115">
        <v>139.13999999999999</v>
      </c>
      <c r="D1006" s="115">
        <v>138</v>
      </c>
      <c r="E1006" s="115">
        <v>139.76</v>
      </c>
      <c r="F1006" s="115">
        <v>695.7</v>
      </c>
      <c r="G1006">
        <v>223</v>
      </c>
      <c r="H1006" s="115"/>
      <c r="I1006" s="115"/>
      <c r="L1006" s="169">
        <v>43486</v>
      </c>
      <c r="M1006" s="115">
        <v>145.09</v>
      </c>
      <c r="N1006" s="115">
        <v>149.97999999999999</v>
      </c>
      <c r="O1006" s="115">
        <v>144.6</v>
      </c>
      <c r="P1006" s="115">
        <v>147.91</v>
      </c>
      <c r="Q1006" s="115">
        <v>725.45</v>
      </c>
      <c r="R1006">
        <v>1487</v>
      </c>
    </row>
    <row r="1007" spans="1:18" x14ac:dyDescent="0.25">
      <c r="A1007" s="169">
        <v>43493</v>
      </c>
      <c r="B1007" s="115">
        <v>144.4</v>
      </c>
      <c r="C1007" s="115">
        <v>136</v>
      </c>
      <c r="D1007" s="115">
        <v>136</v>
      </c>
      <c r="E1007" s="115">
        <v>139.97999999999999</v>
      </c>
      <c r="F1007" s="115">
        <v>680</v>
      </c>
      <c r="G1007">
        <v>390</v>
      </c>
      <c r="H1007" s="115"/>
      <c r="I1007" s="115"/>
      <c r="L1007" s="169">
        <v>43487</v>
      </c>
      <c r="M1007" s="115">
        <v>143.13</v>
      </c>
      <c r="N1007" s="115">
        <v>146.99</v>
      </c>
      <c r="O1007" s="115">
        <v>142.4</v>
      </c>
      <c r="P1007" s="115">
        <v>146.99</v>
      </c>
      <c r="Q1007" s="115">
        <v>715.65</v>
      </c>
      <c r="R1007">
        <v>1867</v>
      </c>
    </row>
    <row r="1008" spans="1:18" x14ac:dyDescent="0.25">
      <c r="A1008" s="169">
        <v>43494</v>
      </c>
      <c r="B1008" s="115">
        <v>135.97999999999999</v>
      </c>
      <c r="C1008" s="115">
        <v>133.99</v>
      </c>
      <c r="D1008" s="115">
        <v>132.41999999999999</v>
      </c>
      <c r="E1008" s="115">
        <v>135.80000000000001</v>
      </c>
      <c r="F1008" s="115">
        <v>669.95</v>
      </c>
      <c r="G1008">
        <v>286</v>
      </c>
      <c r="H1008" s="115"/>
      <c r="I1008" s="115"/>
      <c r="L1008" s="169">
        <v>43488</v>
      </c>
      <c r="M1008" s="115">
        <v>140.33000000000001</v>
      </c>
      <c r="N1008" s="115">
        <v>145.91</v>
      </c>
      <c r="O1008" s="115">
        <v>139.30000000000001</v>
      </c>
      <c r="P1008" s="115">
        <v>145.91</v>
      </c>
      <c r="Q1008" s="115">
        <v>701.65</v>
      </c>
      <c r="R1008">
        <v>4283</v>
      </c>
    </row>
    <row r="1009" spans="1:18" x14ac:dyDescent="0.25">
      <c r="A1009" s="169">
        <v>43495</v>
      </c>
      <c r="B1009" s="115">
        <v>140.76</v>
      </c>
      <c r="C1009" s="115">
        <v>137.49</v>
      </c>
      <c r="D1009" s="115">
        <v>133.80000000000001</v>
      </c>
      <c r="E1009" s="115">
        <v>134.78</v>
      </c>
      <c r="F1009" s="115">
        <v>687.45</v>
      </c>
      <c r="G1009">
        <v>381</v>
      </c>
      <c r="H1009" s="115"/>
      <c r="I1009" s="115"/>
      <c r="L1009" s="169">
        <v>43489</v>
      </c>
      <c r="M1009" s="115">
        <v>138.63999999999999</v>
      </c>
      <c r="N1009" s="115">
        <v>141.47</v>
      </c>
      <c r="O1009" s="115">
        <v>137.74</v>
      </c>
      <c r="P1009" s="115">
        <v>140.47999999999999</v>
      </c>
      <c r="Q1009" s="115">
        <v>693.2</v>
      </c>
      <c r="R1009">
        <v>4031</v>
      </c>
    </row>
    <row r="1010" spans="1:18" x14ac:dyDescent="0.25">
      <c r="A1010" s="169">
        <v>43496</v>
      </c>
      <c r="B1010" s="115">
        <v>143</v>
      </c>
      <c r="C1010" s="115">
        <v>140.12</v>
      </c>
      <c r="D1010" s="115">
        <v>140</v>
      </c>
      <c r="E1010" s="115">
        <v>141.6</v>
      </c>
      <c r="F1010" s="115">
        <v>700.6</v>
      </c>
      <c r="G1010">
        <v>889</v>
      </c>
      <c r="H1010" s="115"/>
      <c r="I1010" s="115"/>
      <c r="L1010" s="169">
        <v>43490</v>
      </c>
      <c r="M1010" s="115">
        <v>139.58000000000001</v>
      </c>
      <c r="N1010" s="115">
        <v>143.19</v>
      </c>
      <c r="O1010" s="115">
        <v>138.19999999999999</v>
      </c>
      <c r="P1010" s="115">
        <v>143.19</v>
      </c>
      <c r="Q1010" s="115">
        <v>697.9</v>
      </c>
      <c r="R1010">
        <v>1635</v>
      </c>
    </row>
    <row r="1011" spans="1:18" x14ac:dyDescent="0.25">
      <c r="A1011" s="169">
        <v>43497</v>
      </c>
      <c r="B1011" s="115">
        <v>141</v>
      </c>
      <c r="C1011" s="115">
        <v>137.07</v>
      </c>
      <c r="D1011" s="115">
        <v>135.81</v>
      </c>
      <c r="E1011" s="115">
        <v>141</v>
      </c>
      <c r="F1011" s="115">
        <v>685.35</v>
      </c>
      <c r="G1011">
        <v>1071</v>
      </c>
      <c r="H1011" s="115"/>
      <c r="I1011" s="115"/>
      <c r="L1011" s="169">
        <v>43493</v>
      </c>
      <c r="M1011" s="115">
        <v>136.38</v>
      </c>
      <c r="N1011" s="115">
        <v>141.75</v>
      </c>
      <c r="O1011" s="115">
        <v>135.4</v>
      </c>
      <c r="P1011" s="115">
        <v>138</v>
      </c>
      <c r="Q1011" s="115">
        <v>681.9</v>
      </c>
      <c r="R1011">
        <v>7304</v>
      </c>
    </row>
    <row r="1012" spans="1:18" x14ac:dyDescent="0.25">
      <c r="A1012" s="169">
        <v>43500</v>
      </c>
      <c r="B1012" s="115">
        <v>138</v>
      </c>
      <c r="C1012" s="115">
        <v>134.03</v>
      </c>
      <c r="D1012" s="115">
        <v>133.41</v>
      </c>
      <c r="E1012" s="115">
        <v>138</v>
      </c>
      <c r="F1012" s="115">
        <v>670.15</v>
      </c>
      <c r="G1012">
        <v>198</v>
      </c>
      <c r="H1012" s="115"/>
      <c r="I1012" s="115"/>
      <c r="L1012" s="169">
        <v>43494</v>
      </c>
      <c r="M1012" s="115">
        <v>133.66</v>
      </c>
      <c r="N1012" s="115">
        <v>137.15</v>
      </c>
      <c r="O1012" s="115">
        <v>133</v>
      </c>
      <c r="P1012" s="115">
        <v>135.29</v>
      </c>
      <c r="Q1012" s="115">
        <v>668.3</v>
      </c>
      <c r="R1012">
        <v>3552</v>
      </c>
    </row>
    <row r="1013" spans="1:18" x14ac:dyDescent="0.25">
      <c r="A1013" s="169">
        <v>43501</v>
      </c>
      <c r="B1013" s="115">
        <v>136.80000000000001</v>
      </c>
      <c r="C1013" s="115">
        <v>133.6</v>
      </c>
      <c r="D1013" s="115">
        <v>130.5</v>
      </c>
      <c r="E1013" s="115">
        <v>135.68</v>
      </c>
      <c r="F1013" s="115">
        <v>668</v>
      </c>
      <c r="G1013">
        <v>71</v>
      </c>
      <c r="H1013" s="115"/>
      <c r="I1013" s="115"/>
      <c r="L1013" s="169">
        <v>43495</v>
      </c>
      <c r="M1013" s="115">
        <v>139.85</v>
      </c>
      <c r="N1013" s="115">
        <v>142.58000000000001</v>
      </c>
      <c r="O1013" s="115">
        <v>132.85</v>
      </c>
      <c r="P1013" s="115">
        <v>133</v>
      </c>
      <c r="Q1013" s="115">
        <v>699.25</v>
      </c>
      <c r="R1013">
        <v>32212</v>
      </c>
    </row>
    <row r="1014" spans="1:18" x14ac:dyDescent="0.25">
      <c r="A1014" s="169">
        <v>43502</v>
      </c>
      <c r="B1014" s="115">
        <v>135.66</v>
      </c>
      <c r="C1014" s="115">
        <v>134.65</v>
      </c>
      <c r="D1014" s="115">
        <v>134.4</v>
      </c>
      <c r="E1014" s="115">
        <v>134.58000000000001</v>
      </c>
      <c r="F1014" s="115">
        <v>673.25</v>
      </c>
      <c r="G1014">
        <v>97</v>
      </c>
      <c r="H1014" s="115"/>
      <c r="I1014" s="115"/>
      <c r="L1014" s="169">
        <v>43496</v>
      </c>
      <c r="M1014" s="115">
        <v>140.13</v>
      </c>
      <c r="N1014" s="115">
        <v>143.77000000000001</v>
      </c>
      <c r="O1014" s="115">
        <v>138.61000000000001</v>
      </c>
      <c r="P1014" s="115">
        <v>139.85</v>
      </c>
      <c r="Q1014" s="115">
        <v>700.65</v>
      </c>
      <c r="R1014">
        <v>16796</v>
      </c>
    </row>
    <row r="1015" spans="1:18" x14ac:dyDescent="0.25">
      <c r="A1015" s="169">
        <v>43503</v>
      </c>
      <c r="B1015" s="115">
        <v>135.80000000000001</v>
      </c>
      <c r="C1015" s="115">
        <v>135.80000000000001</v>
      </c>
      <c r="D1015" s="115">
        <v>134.62</v>
      </c>
      <c r="E1015" s="115">
        <v>135.47999999999999</v>
      </c>
      <c r="F1015" s="115">
        <v>679</v>
      </c>
      <c r="G1015">
        <v>316</v>
      </c>
      <c r="H1015" s="115"/>
      <c r="I1015" s="115"/>
      <c r="L1015" s="169">
        <v>43497</v>
      </c>
      <c r="M1015" s="115">
        <v>137.58000000000001</v>
      </c>
      <c r="N1015" s="115">
        <v>141.72999999999999</v>
      </c>
      <c r="O1015" s="115">
        <v>136.80000000000001</v>
      </c>
      <c r="P1015" s="115">
        <v>140.13</v>
      </c>
      <c r="Q1015" s="115">
        <v>687.9</v>
      </c>
      <c r="R1015">
        <v>6154</v>
      </c>
    </row>
    <row r="1016" spans="1:18" x14ac:dyDescent="0.25">
      <c r="A1016" s="169">
        <v>43504</v>
      </c>
      <c r="B1016" s="115">
        <v>136.19999999999999</v>
      </c>
      <c r="C1016" s="115">
        <v>133.66999999999999</v>
      </c>
      <c r="D1016" s="115">
        <v>133.6</v>
      </c>
      <c r="E1016" s="115">
        <v>134.4</v>
      </c>
      <c r="F1016" s="115">
        <v>668.35</v>
      </c>
      <c r="G1016">
        <v>129</v>
      </c>
      <c r="H1016" s="115"/>
      <c r="I1016" s="115"/>
      <c r="L1016" s="169">
        <v>43500</v>
      </c>
      <c r="M1016" s="115">
        <v>133.63</v>
      </c>
      <c r="N1016" s="115">
        <v>139.96</v>
      </c>
      <c r="O1016" s="115">
        <v>133</v>
      </c>
      <c r="P1016" s="115">
        <v>137.81</v>
      </c>
      <c r="Q1016" s="115">
        <v>668.15</v>
      </c>
      <c r="R1016">
        <v>7190</v>
      </c>
    </row>
    <row r="1017" spans="1:18" x14ac:dyDescent="0.25">
      <c r="A1017" s="169">
        <v>43507</v>
      </c>
      <c r="B1017" s="115">
        <v>136.6</v>
      </c>
      <c r="C1017" s="115">
        <v>133.12</v>
      </c>
      <c r="D1017" s="115">
        <v>120.26</v>
      </c>
      <c r="E1017" s="115">
        <v>130.80000000000001</v>
      </c>
      <c r="F1017" s="115">
        <v>665.6</v>
      </c>
      <c r="G1017">
        <v>1584</v>
      </c>
      <c r="H1017" s="115"/>
      <c r="I1017" s="115"/>
      <c r="L1017" s="169">
        <v>43501</v>
      </c>
      <c r="M1017" s="115">
        <v>134.38999999999999</v>
      </c>
      <c r="N1017" s="115">
        <v>135.79</v>
      </c>
      <c r="O1017" s="115">
        <v>133.5</v>
      </c>
      <c r="P1017" s="115">
        <v>135.79</v>
      </c>
      <c r="Q1017" s="115">
        <v>671.95</v>
      </c>
      <c r="R1017">
        <v>2857</v>
      </c>
    </row>
    <row r="1018" spans="1:18" x14ac:dyDescent="0.25">
      <c r="A1018" s="169">
        <v>43508</v>
      </c>
      <c r="B1018" s="115">
        <v>134.38999999999999</v>
      </c>
      <c r="C1018" s="115">
        <v>132.54</v>
      </c>
      <c r="D1018" s="115">
        <v>131.91</v>
      </c>
      <c r="E1018" s="115">
        <v>133.58000000000001</v>
      </c>
      <c r="F1018" s="115">
        <v>662.7</v>
      </c>
      <c r="G1018">
        <v>382</v>
      </c>
      <c r="H1018" s="115"/>
      <c r="I1018" s="115"/>
      <c r="L1018" s="169">
        <v>43502</v>
      </c>
      <c r="M1018" s="115">
        <v>135.69999999999999</v>
      </c>
      <c r="N1018" s="115">
        <v>136.16999999999999</v>
      </c>
      <c r="O1018" s="115">
        <v>134.38999999999999</v>
      </c>
      <c r="P1018" s="115">
        <v>135.97</v>
      </c>
      <c r="Q1018" s="115">
        <v>678.5</v>
      </c>
      <c r="R1018">
        <v>4750</v>
      </c>
    </row>
    <row r="1019" spans="1:18" x14ac:dyDescent="0.25">
      <c r="A1019" s="169">
        <v>43509</v>
      </c>
      <c r="B1019" s="115">
        <v>133.5</v>
      </c>
      <c r="C1019" s="115">
        <v>131.21</v>
      </c>
      <c r="D1019" s="115">
        <v>130.4</v>
      </c>
      <c r="E1019" s="115">
        <v>132</v>
      </c>
      <c r="F1019" s="115">
        <v>656.05</v>
      </c>
      <c r="G1019">
        <v>21</v>
      </c>
      <c r="H1019" s="115"/>
      <c r="I1019" s="115"/>
      <c r="L1019" s="169">
        <v>43503</v>
      </c>
      <c r="M1019" s="115">
        <v>135.13999999999999</v>
      </c>
      <c r="N1019" s="115">
        <v>137.38999999999999</v>
      </c>
      <c r="O1019" s="115">
        <v>134.11000000000001</v>
      </c>
      <c r="P1019" s="115">
        <v>137.38999999999999</v>
      </c>
      <c r="Q1019" s="115">
        <v>675.7</v>
      </c>
      <c r="R1019">
        <v>1706</v>
      </c>
    </row>
    <row r="1020" spans="1:18" x14ac:dyDescent="0.25">
      <c r="A1020" s="169">
        <v>43510</v>
      </c>
      <c r="B1020" s="115">
        <v>132.5</v>
      </c>
      <c r="C1020" s="115">
        <v>132</v>
      </c>
      <c r="D1020" s="115">
        <v>130</v>
      </c>
      <c r="E1020" s="115">
        <v>130.02000000000001</v>
      </c>
      <c r="F1020" s="115">
        <v>660</v>
      </c>
      <c r="G1020">
        <v>51</v>
      </c>
      <c r="H1020" s="115"/>
      <c r="I1020" s="115"/>
      <c r="L1020" s="169">
        <v>43504</v>
      </c>
      <c r="M1020" s="115">
        <v>131.63999999999999</v>
      </c>
      <c r="N1020" s="115">
        <v>135.77000000000001</v>
      </c>
      <c r="O1020" s="115">
        <v>130.01</v>
      </c>
      <c r="P1020" s="115">
        <v>134</v>
      </c>
      <c r="Q1020" s="115">
        <v>658.2</v>
      </c>
      <c r="R1020">
        <v>2382</v>
      </c>
    </row>
    <row r="1021" spans="1:18" x14ac:dyDescent="0.25">
      <c r="A1021" s="169">
        <v>43511</v>
      </c>
      <c r="B1021" s="115">
        <v>132</v>
      </c>
      <c r="C1021" s="115">
        <v>132</v>
      </c>
      <c r="D1021" s="115">
        <v>132</v>
      </c>
      <c r="E1021" s="115">
        <v>132</v>
      </c>
      <c r="F1021" s="115">
        <v>660</v>
      </c>
      <c r="G1021">
        <v>40</v>
      </c>
      <c r="H1021" s="115"/>
      <c r="I1021" s="115"/>
      <c r="L1021" s="169">
        <v>43507</v>
      </c>
      <c r="M1021" s="115">
        <v>135.02000000000001</v>
      </c>
      <c r="N1021" s="115">
        <v>136.03</v>
      </c>
      <c r="O1021" s="115">
        <v>130.21</v>
      </c>
      <c r="P1021" s="115">
        <v>131.66</v>
      </c>
      <c r="Q1021" s="115">
        <v>675.1</v>
      </c>
      <c r="R1021">
        <v>5112</v>
      </c>
    </row>
    <row r="1022" spans="1:18" x14ac:dyDescent="0.25">
      <c r="A1022" s="169">
        <v>43514</v>
      </c>
      <c r="B1022" s="115">
        <v>132</v>
      </c>
      <c r="C1022" s="115">
        <v>131.57</v>
      </c>
      <c r="D1022" s="115">
        <v>130.22</v>
      </c>
      <c r="E1022" s="115">
        <v>130.22</v>
      </c>
      <c r="F1022" s="115">
        <v>657.85</v>
      </c>
      <c r="G1022">
        <v>28</v>
      </c>
      <c r="H1022" s="115"/>
      <c r="I1022" s="115"/>
      <c r="L1022" s="169">
        <v>43508</v>
      </c>
      <c r="M1022" s="115">
        <v>131.76</v>
      </c>
      <c r="N1022" s="115">
        <v>135.94</v>
      </c>
      <c r="O1022" s="115">
        <v>130.22</v>
      </c>
      <c r="P1022" s="115">
        <v>135.94</v>
      </c>
      <c r="Q1022" s="115">
        <v>658.8</v>
      </c>
      <c r="R1022">
        <v>6698</v>
      </c>
    </row>
    <row r="1023" spans="1:18" x14ac:dyDescent="0.25">
      <c r="A1023" s="169">
        <v>43515</v>
      </c>
      <c r="B1023" s="115">
        <v>134.76</v>
      </c>
      <c r="C1023" s="115">
        <v>132.19999999999999</v>
      </c>
      <c r="D1023" s="115">
        <v>131.6</v>
      </c>
      <c r="E1023" s="115">
        <v>131.6</v>
      </c>
      <c r="F1023" s="115">
        <v>661</v>
      </c>
      <c r="G1023">
        <v>3700</v>
      </c>
      <c r="H1023" s="115"/>
      <c r="I1023" s="115"/>
      <c r="L1023" s="169">
        <v>43509</v>
      </c>
      <c r="M1023" s="115">
        <v>131.08000000000001</v>
      </c>
      <c r="N1023" s="115">
        <v>133.59</v>
      </c>
      <c r="O1023" s="115">
        <v>131</v>
      </c>
      <c r="P1023" s="115">
        <v>133.59</v>
      </c>
      <c r="Q1023" s="115">
        <v>655.4</v>
      </c>
      <c r="R1023">
        <v>1615</v>
      </c>
    </row>
    <row r="1024" spans="1:18" x14ac:dyDescent="0.25">
      <c r="A1024" s="169">
        <v>43516</v>
      </c>
      <c r="B1024" s="115">
        <v>133.38</v>
      </c>
      <c r="C1024" s="115">
        <v>130.99</v>
      </c>
      <c r="D1024" s="115">
        <v>130</v>
      </c>
      <c r="E1024" s="115">
        <v>133.38</v>
      </c>
      <c r="F1024" s="115">
        <v>654.95000000000005</v>
      </c>
      <c r="G1024">
        <v>77</v>
      </c>
      <c r="H1024" s="115"/>
      <c r="I1024" s="115"/>
      <c r="L1024" s="169">
        <v>43510</v>
      </c>
      <c r="M1024" s="115">
        <v>132.08000000000001</v>
      </c>
      <c r="N1024" s="115">
        <v>133.57</v>
      </c>
      <c r="O1024" s="115">
        <v>130.06</v>
      </c>
      <c r="P1024" s="115">
        <v>132.38999999999999</v>
      </c>
      <c r="Q1024" s="115">
        <v>660.4</v>
      </c>
      <c r="R1024">
        <v>1440</v>
      </c>
    </row>
    <row r="1025" spans="1:18" x14ac:dyDescent="0.25">
      <c r="A1025" s="169">
        <v>43517</v>
      </c>
      <c r="B1025" s="115">
        <v>131.4</v>
      </c>
      <c r="C1025" s="115">
        <v>128.97999999999999</v>
      </c>
      <c r="D1025" s="115">
        <v>128.21</v>
      </c>
      <c r="E1025" s="115">
        <v>130</v>
      </c>
      <c r="F1025" s="115">
        <v>644.9</v>
      </c>
      <c r="G1025">
        <v>78</v>
      </c>
      <c r="H1025" s="115"/>
      <c r="I1025" s="115"/>
      <c r="L1025" s="169">
        <v>43511</v>
      </c>
      <c r="M1025" s="115">
        <v>131.03</v>
      </c>
      <c r="N1025" s="115">
        <v>132.99</v>
      </c>
      <c r="O1025" s="115">
        <v>130.06</v>
      </c>
      <c r="P1025" s="115">
        <v>132.99</v>
      </c>
      <c r="Q1025" s="115">
        <v>655.15</v>
      </c>
      <c r="R1025">
        <v>1847</v>
      </c>
    </row>
    <row r="1026" spans="1:18" x14ac:dyDescent="0.25">
      <c r="A1026" s="169">
        <v>43518</v>
      </c>
      <c r="B1026" s="115">
        <v>131.6</v>
      </c>
      <c r="C1026" s="115">
        <v>129.54</v>
      </c>
      <c r="D1026" s="115">
        <v>127.6</v>
      </c>
      <c r="E1026" s="115">
        <v>127.6</v>
      </c>
      <c r="F1026" s="115">
        <v>647.70000000000005</v>
      </c>
      <c r="G1026">
        <v>64</v>
      </c>
      <c r="H1026" s="115"/>
      <c r="I1026" s="115"/>
      <c r="L1026" s="169">
        <v>43514</v>
      </c>
      <c r="M1026" s="115">
        <v>134.61000000000001</v>
      </c>
      <c r="N1026" s="115">
        <v>135.38999999999999</v>
      </c>
      <c r="O1026" s="115">
        <v>131.01</v>
      </c>
      <c r="P1026" s="115">
        <v>131.02000000000001</v>
      </c>
      <c r="Q1026" s="115">
        <v>673.05</v>
      </c>
      <c r="R1026">
        <v>861</v>
      </c>
    </row>
    <row r="1027" spans="1:18" x14ac:dyDescent="0.25">
      <c r="A1027" s="169">
        <v>43521</v>
      </c>
      <c r="B1027" s="115">
        <v>131.38999999999999</v>
      </c>
      <c r="C1027" s="115">
        <v>130.91999999999999</v>
      </c>
      <c r="D1027" s="115">
        <v>129.11000000000001</v>
      </c>
      <c r="E1027" s="115">
        <v>131.38999999999999</v>
      </c>
      <c r="F1027" s="115">
        <v>654.6</v>
      </c>
      <c r="G1027">
        <v>5654</v>
      </c>
      <c r="H1027" s="115"/>
      <c r="I1027" s="115"/>
      <c r="L1027" s="169">
        <v>43515</v>
      </c>
      <c r="M1027" s="115">
        <v>130.78</v>
      </c>
      <c r="N1027" s="115">
        <v>134.27000000000001</v>
      </c>
      <c r="O1027" s="115">
        <v>130.22</v>
      </c>
      <c r="P1027" s="115">
        <v>133.19999999999999</v>
      </c>
      <c r="Q1027" s="115">
        <v>653.9</v>
      </c>
      <c r="R1027">
        <v>1608</v>
      </c>
    </row>
    <row r="1028" spans="1:18" x14ac:dyDescent="0.25">
      <c r="A1028" s="169">
        <v>43522</v>
      </c>
      <c r="B1028" s="115">
        <v>131.19999999999999</v>
      </c>
      <c r="C1028" s="115">
        <v>130.19999999999999</v>
      </c>
      <c r="D1028" s="115">
        <v>128.80000000000001</v>
      </c>
      <c r="E1028" s="115">
        <v>128.80000000000001</v>
      </c>
      <c r="F1028" s="115">
        <v>651</v>
      </c>
      <c r="G1028">
        <v>150</v>
      </c>
      <c r="H1028" s="115"/>
      <c r="I1028" s="115"/>
      <c r="L1028" s="169">
        <v>43516</v>
      </c>
      <c r="M1028" s="115">
        <v>129.99</v>
      </c>
      <c r="N1028" s="115">
        <v>132.6</v>
      </c>
      <c r="O1028" s="115">
        <v>129.5</v>
      </c>
      <c r="P1028" s="115">
        <v>132.6</v>
      </c>
      <c r="Q1028" s="115">
        <v>649.95000000000005</v>
      </c>
      <c r="R1028">
        <v>12996</v>
      </c>
    </row>
    <row r="1029" spans="1:18" x14ac:dyDescent="0.25">
      <c r="A1029" s="169">
        <v>43523</v>
      </c>
      <c r="B1029" s="115">
        <v>134.55000000000001</v>
      </c>
      <c r="C1029" s="115">
        <v>131.25</v>
      </c>
      <c r="D1029" s="115">
        <v>130</v>
      </c>
      <c r="E1029" s="115">
        <v>133</v>
      </c>
      <c r="F1029" s="115">
        <v>656.25</v>
      </c>
      <c r="G1029">
        <v>252</v>
      </c>
      <c r="H1029" s="115"/>
      <c r="I1029" s="115"/>
      <c r="L1029" s="169">
        <v>43517</v>
      </c>
      <c r="M1029" s="115">
        <v>129.41</v>
      </c>
      <c r="N1029" s="115">
        <v>130.41999999999999</v>
      </c>
      <c r="O1029" s="115">
        <v>128.69999999999999</v>
      </c>
      <c r="P1029" s="115">
        <v>130.41999999999999</v>
      </c>
      <c r="Q1029" s="115">
        <v>647.04999999999995</v>
      </c>
      <c r="R1029">
        <v>2828</v>
      </c>
    </row>
    <row r="1030" spans="1:18" x14ac:dyDescent="0.25">
      <c r="A1030" s="169">
        <v>43524</v>
      </c>
      <c r="B1030" s="115">
        <v>135</v>
      </c>
      <c r="C1030" s="115">
        <v>130.49</v>
      </c>
      <c r="D1030" s="115">
        <v>128.69999999999999</v>
      </c>
      <c r="E1030" s="115">
        <v>135</v>
      </c>
      <c r="F1030" s="115">
        <v>652.45000000000005</v>
      </c>
      <c r="G1030">
        <v>217</v>
      </c>
      <c r="H1030" s="115"/>
      <c r="I1030" s="115"/>
      <c r="L1030" s="169">
        <v>43518</v>
      </c>
      <c r="M1030" s="115">
        <v>129.97</v>
      </c>
      <c r="N1030" s="115">
        <v>131.19</v>
      </c>
      <c r="O1030" s="115">
        <v>128.71</v>
      </c>
      <c r="P1030" s="115">
        <v>131.19</v>
      </c>
      <c r="Q1030" s="115">
        <v>649.85</v>
      </c>
      <c r="R1030">
        <v>3805</v>
      </c>
    </row>
    <row r="1031" spans="1:18" x14ac:dyDescent="0.25">
      <c r="A1031" s="169">
        <v>43525</v>
      </c>
      <c r="B1031" s="115">
        <v>132.4</v>
      </c>
      <c r="C1031" s="115">
        <v>130.11000000000001</v>
      </c>
      <c r="D1031" s="115">
        <v>128.94</v>
      </c>
      <c r="E1031" s="115">
        <v>128.94</v>
      </c>
      <c r="F1031" s="115">
        <v>650.54999999999995</v>
      </c>
      <c r="G1031">
        <v>166</v>
      </c>
      <c r="H1031" s="115"/>
      <c r="I1031" s="115"/>
      <c r="L1031" s="169">
        <v>43521</v>
      </c>
      <c r="M1031" s="115">
        <v>129.57</v>
      </c>
      <c r="N1031" s="115">
        <v>130.97</v>
      </c>
      <c r="O1031" s="115">
        <v>129.05000000000001</v>
      </c>
      <c r="P1031" s="115">
        <v>130.97</v>
      </c>
      <c r="Q1031" s="115">
        <v>647.85</v>
      </c>
      <c r="R1031">
        <v>6330</v>
      </c>
    </row>
    <row r="1032" spans="1:18" x14ac:dyDescent="0.25">
      <c r="A1032" s="169">
        <v>43529</v>
      </c>
      <c r="B1032" s="115">
        <v>137.38</v>
      </c>
      <c r="C1032" s="115">
        <v>131.69999999999999</v>
      </c>
      <c r="D1032" s="115">
        <v>128.19999999999999</v>
      </c>
      <c r="E1032" s="115">
        <v>129.19999999999999</v>
      </c>
      <c r="F1032" s="115">
        <v>658.5</v>
      </c>
      <c r="G1032">
        <v>1507</v>
      </c>
      <c r="H1032" s="115"/>
      <c r="I1032" s="115"/>
      <c r="L1032" s="169">
        <v>43522</v>
      </c>
      <c r="M1032" s="115">
        <v>129.44</v>
      </c>
      <c r="N1032" s="115">
        <v>130.96</v>
      </c>
      <c r="O1032" s="115">
        <v>128.36000000000001</v>
      </c>
      <c r="P1032" s="115">
        <v>128.80000000000001</v>
      </c>
      <c r="Q1032" s="115">
        <v>647.20000000000005</v>
      </c>
      <c r="R1032">
        <v>4584</v>
      </c>
    </row>
    <row r="1033" spans="1:18" x14ac:dyDescent="0.25">
      <c r="A1033" s="169">
        <v>43530</v>
      </c>
      <c r="B1033" s="115">
        <v>137.30000000000001</v>
      </c>
      <c r="C1033" s="115">
        <v>135.63999999999999</v>
      </c>
      <c r="D1033" s="115">
        <v>133.21</v>
      </c>
      <c r="E1033" s="115">
        <v>136.79</v>
      </c>
      <c r="F1033" s="115">
        <v>678.2</v>
      </c>
      <c r="G1033">
        <v>420</v>
      </c>
      <c r="H1033" s="115"/>
      <c r="I1033" s="115"/>
      <c r="L1033" s="169">
        <v>43523</v>
      </c>
      <c r="M1033" s="115">
        <v>131.46</v>
      </c>
      <c r="N1033" s="115">
        <v>134.6</v>
      </c>
      <c r="O1033" s="115">
        <v>129.99</v>
      </c>
      <c r="P1033" s="115">
        <v>129.99</v>
      </c>
      <c r="Q1033" s="115">
        <v>657.3</v>
      </c>
      <c r="R1033">
        <v>5131</v>
      </c>
    </row>
    <row r="1034" spans="1:18" x14ac:dyDescent="0.25">
      <c r="A1034" s="169">
        <v>43531</v>
      </c>
      <c r="B1034" s="115">
        <v>138.99</v>
      </c>
      <c r="C1034" s="115">
        <v>135.02000000000001</v>
      </c>
      <c r="D1034" s="115">
        <v>135</v>
      </c>
      <c r="E1034" s="115">
        <v>136.97999999999999</v>
      </c>
      <c r="F1034" s="115">
        <v>675.1</v>
      </c>
      <c r="G1034">
        <v>82</v>
      </c>
      <c r="H1034" s="115"/>
      <c r="I1034" s="115"/>
      <c r="L1034" s="169">
        <v>43524</v>
      </c>
      <c r="M1034" s="115">
        <v>129.9</v>
      </c>
      <c r="N1034" s="115">
        <v>132</v>
      </c>
      <c r="O1034" s="115">
        <v>128.68</v>
      </c>
      <c r="P1034" s="115">
        <v>131.97</v>
      </c>
      <c r="Q1034" s="115">
        <v>649.5</v>
      </c>
      <c r="R1034">
        <v>8118</v>
      </c>
    </row>
    <row r="1035" spans="1:18" x14ac:dyDescent="0.25">
      <c r="A1035" s="169">
        <v>43532</v>
      </c>
      <c r="B1035" s="115">
        <v>140</v>
      </c>
      <c r="C1035" s="115">
        <v>138.46</v>
      </c>
      <c r="D1035" s="115">
        <v>133.22</v>
      </c>
      <c r="E1035" s="115">
        <v>133.22</v>
      </c>
      <c r="F1035" s="115">
        <v>692.3</v>
      </c>
      <c r="G1035">
        <v>557</v>
      </c>
      <c r="H1035" s="115"/>
      <c r="I1035" s="115"/>
      <c r="L1035" s="169">
        <v>43525</v>
      </c>
      <c r="M1035" s="115">
        <v>129.22</v>
      </c>
      <c r="N1035" s="115">
        <v>131.80000000000001</v>
      </c>
      <c r="O1035" s="115">
        <v>129.01</v>
      </c>
      <c r="P1035" s="115">
        <v>129.62</v>
      </c>
      <c r="Q1035" s="115">
        <v>646.1</v>
      </c>
      <c r="R1035">
        <v>14986</v>
      </c>
    </row>
    <row r="1036" spans="1:18" x14ac:dyDescent="0.25">
      <c r="A1036" s="169">
        <v>43535</v>
      </c>
      <c r="B1036" s="115">
        <v>150.4</v>
      </c>
      <c r="C1036" s="115">
        <v>138.13999999999999</v>
      </c>
      <c r="D1036" s="115">
        <v>137.41</v>
      </c>
      <c r="E1036" s="115">
        <v>150.4</v>
      </c>
      <c r="F1036" s="115">
        <v>690.7</v>
      </c>
      <c r="G1036">
        <v>239</v>
      </c>
      <c r="H1036" s="115"/>
      <c r="I1036" s="115"/>
      <c r="L1036" s="169">
        <v>43529</v>
      </c>
      <c r="M1036" s="115">
        <v>134.46</v>
      </c>
      <c r="N1036" s="115">
        <v>137.6</v>
      </c>
      <c r="O1036" s="115">
        <v>127.72</v>
      </c>
      <c r="P1036" s="115">
        <v>130.99</v>
      </c>
      <c r="Q1036" s="115">
        <v>672.3</v>
      </c>
      <c r="R1036">
        <v>113980</v>
      </c>
    </row>
    <row r="1037" spans="1:18" x14ac:dyDescent="0.25">
      <c r="A1037" s="169">
        <v>43536</v>
      </c>
      <c r="B1037" s="115">
        <v>144.55000000000001</v>
      </c>
      <c r="C1037" s="115">
        <v>142.82</v>
      </c>
      <c r="D1037" s="115">
        <v>139.22999999999999</v>
      </c>
      <c r="E1037" s="115">
        <v>140</v>
      </c>
      <c r="F1037" s="115">
        <v>714.1</v>
      </c>
      <c r="G1037">
        <v>263</v>
      </c>
      <c r="H1037" s="115"/>
      <c r="I1037" s="115"/>
      <c r="L1037" s="169">
        <v>43530</v>
      </c>
      <c r="M1037" s="115">
        <v>136.34</v>
      </c>
      <c r="N1037" s="115">
        <v>138.06</v>
      </c>
      <c r="O1037" s="115">
        <v>134.02000000000001</v>
      </c>
      <c r="P1037" s="115">
        <v>136.38999999999999</v>
      </c>
      <c r="Q1037" s="115">
        <v>681.7</v>
      </c>
      <c r="R1037">
        <v>8267</v>
      </c>
    </row>
    <row r="1038" spans="1:18" x14ac:dyDescent="0.25">
      <c r="A1038" s="169">
        <v>43537</v>
      </c>
      <c r="B1038" s="115">
        <v>146</v>
      </c>
      <c r="C1038" s="115">
        <v>142.88</v>
      </c>
      <c r="D1038" s="115">
        <v>141</v>
      </c>
      <c r="E1038" s="115">
        <v>142.4</v>
      </c>
      <c r="F1038" s="115">
        <v>714.4</v>
      </c>
      <c r="G1038">
        <v>1120</v>
      </c>
      <c r="H1038" s="115"/>
      <c r="I1038" s="115"/>
      <c r="L1038" s="169">
        <v>43531</v>
      </c>
      <c r="M1038" s="115">
        <v>135.41</v>
      </c>
      <c r="N1038" s="115">
        <v>137.33000000000001</v>
      </c>
      <c r="O1038" s="115">
        <v>134.99</v>
      </c>
      <c r="P1038" s="115">
        <v>135.12</v>
      </c>
      <c r="Q1038" s="115">
        <v>677.05</v>
      </c>
      <c r="R1038">
        <v>1182</v>
      </c>
    </row>
    <row r="1039" spans="1:18" x14ac:dyDescent="0.25">
      <c r="A1039" s="169">
        <v>43539</v>
      </c>
      <c r="B1039" s="115">
        <v>146.82</v>
      </c>
      <c r="C1039" s="115">
        <v>142.25</v>
      </c>
      <c r="D1039" s="115">
        <v>141.25</v>
      </c>
      <c r="E1039" s="115">
        <v>146.4</v>
      </c>
      <c r="F1039" s="115">
        <v>711.25</v>
      </c>
      <c r="G1039">
        <v>361</v>
      </c>
      <c r="H1039" s="115"/>
      <c r="I1039" s="115"/>
      <c r="L1039" s="169">
        <v>43532</v>
      </c>
      <c r="M1039" s="115">
        <v>138.13999999999999</v>
      </c>
      <c r="N1039" s="115">
        <v>140.34</v>
      </c>
      <c r="O1039" s="115">
        <v>133.93</v>
      </c>
      <c r="P1039" s="115">
        <v>135.41</v>
      </c>
      <c r="Q1039" s="115">
        <v>690.7</v>
      </c>
      <c r="R1039">
        <v>5782</v>
      </c>
    </row>
    <row r="1040" spans="1:18" x14ac:dyDescent="0.25">
      <c r="A1040" s="169">
        <v>43542</v>
      </c>
      <c r="B1040" s="115">
        <v>145.4</v>
      </c>
      <c r="C1040" s="115">
        <v>138.4</v>
      </c>
      <c r="D1040" s="115">
        <v>135.61000000000001</v>
      </c>
      <c r="E1040" s="115">
        <v>145.4</v>
      </c>
      <c r="F1040" s="115">
        <v>692</v>
      </c>
      <c r="G1040">
        <v>1876</v>
      </c>
      <c r="H1040" s="115"/>
      <c r="I1040" s="115"/>
      <c r="L1040" s="169">
        <v>43535</v>
      </c>
      <c r="M1040" s="115">
        <v>138.96</v>
      </c>
      <c r="N1040" s="115">
        <v>140.4</v>
      </c>
      <c r="O1040" s="115">
        <v>135.80000000000001</v>
      </c>
      <c r="P1040" s="115">
        <v>138.6</v>
      </c>
      <c r="Q1040" s="115">
        <v>694.8</v>
      </c>
      <c r="R1040">
        <v>6332</v>
      </c>
    </row>
    <row r="1041" spans="1:18" x14ac:dyDescent="0.25">
      <c r="A1041" s="169">
        <v>43543</v>
      </c>
      <c r="B1041" s="115">
        <v>139.59</v>
      </c>
      <c r="C1041" s="115">
        <v>136.87</v>
      </c>
      <c r="D1041" s="115">
        <v>135.6</v>
      </c>
      <c r="E1041" s="115">
        <v>138.19999999999999</v>
      </c>
      <c r="F1041" s="115">
        <v>684.35</v>
      </c>
      <c r="G1041">
        <v>1394</v>
      </c>
      <c r="H1041" s="115"/>
      <c r="I1041" s="115"/>
      <c r="L1041" s="169">
        <v>43536</v>
      </c>
      <c r="M1041" s="115">
        <v>141.46</v>
      </c>
      <c r="N1041" s="115">
        <v>144.88</v>
      </c>
      <c r="O1041" s="115">
        <v>137.02000000000001</v>
      </c>
      <c r="P1041" s="115">
        <v>137.03</v>
      </c>
      <c r="Q1041" s="115">
        <v>707.3</v>
      </c>
      <c r="R1041">
        <v>7949</v>
      </c>
    </row>
    <row r="1042" spans="1:18" x14ac:dyDescent="0.25">
      <c r="A1042" s="169">
        <v>43544</v>
      </c>
      <c r="B1042" s="115">
        <v>139.99</v>
      </c>
      <c r="C1042" s="115">
        <v>136.59</v>
      </c>
      <c r="D1042" s="115">
        <v>136</v>
      </c>
      <c r="E1042" s="115">
        <v>137.80000000000001</v>
      </c>
      <c r="F1042" s="115">
        <v>682.95</v>
      </c>
      <c r="G1042">
        <v>528</v>
      </c>
      <c r="H1042" s="115"/>
      <c r="I1042" s="115"/>
      <c r="L1042" s="169">
        <v>43537</v>
      </c>
      <c r="M1042" s="115">
        <v>142.43</v>
      </c>
      <c r="N1042" s="115">
        <v>144.4</v>
      </c>
      <c r="O1042" s="115">
        <v>140.99</v>
      </c>
      <c r="P1042" s="115">
        <v>141.16999999999999</v>
      </c>
      <c r="Q1042" s="115">
        <v>712.15</v>
      </c>
      <c r="R1042">
        <v>3730</v>
      </c>
    </row>
    <row r="1043" spans="1:18" x14ac:dyDescent="0.25">
      <c r="A1043" s="169">
        <v>43546</v>
      </c>
      <c r="B1043" s="115">
        <v>138.94</v>
      </c>
      <c r="C1043" s="115">
        <v>132.96</v>
      </c>
      <c r="D1043" s="115">
        <v>132.6</v>
      </c>
      <c r="E1043" s="115">
        <v>137.97999999999999</v>
      </c>
      <c r="F1043" s="115">
        <v>664.8</v>
      </c>
      <c r="G1043">
        <v>1613</v>
      </c>
      <c r="H1043" s="115"/>
      <c r="I1043" s="115"/>
      <c r="L1043" s="169">
        <v>43538</v>
      </c>
      <c r="M1043" s="115">
        <v>141.96</v>
      </c>
      <c r="N1043" s="115">
        <v>143.96</v>
      </c>
      <c r="O1043" s="115">
        <v>140.51</v>
      </c>
      <c r="P1043" s="115">
        <v>143.62</v>
      </c>
      <c r="Q1043" s="115">
        <v>709.8</v>
      </c>
      <c r="R1043">
        <v>4001</v>
      </c>
    </row>
    <row r="1044" spans="1:18" x14ac:dyDescent="0.25">
      <c r="A1044" s="169">
        <v>43549</v>
      </c>
      <c r="B1044" s="115">
        <v>136.96</v>
      </c>
      <c r="C1044" s="115">
        <v>134.72999999999999</v>
      </c>
      <c r="D1044" s="115">
        <v>134.24</v>
      </c>
      <c r="E1044" s="115">
        <v>135.6</v>
      </c>
      <c r="F1044" s="115">
        <v>673.65</v>
      </c>
      <c r="G1044">
        <v>721</v>
      </c>
      <c r="H1044" s="115"/>
      <c r="I1044" s="115"/>
      <c r="L1044" s="169">
        <v>43539</v>
      </c>
      <c r="M1044" s="115">
        <v>142.16999999999999</v>
      </c>
      <c r="N1044" s="115">
        <v>145.80000000000001</v>
      </c>
      <c r="O1044" s="115">
        <v>141.22</v>
      </c>
      <c r="P1044" s="115">
        <v>145.80000000000001</v>
      </c>
      <c r="Q1044" s="115">
        <v>710.85</v>
      </c>
      <c r="R1044">
        <v>6609</v>
      </c>
    </row>
    <row r="1045" spans="1:18" x14ac:dyDescent="0.25">
      <c r="A1045" s="169">
        <v>43550</v>
      </c>
      <c r="B1045" s="115">
        <v>136.80000000000001</v>
      </c>
      <c r="C1045" s="115">
        <v>133.6</v>
      </c>
      <c r="D1045" s="115">
        <v>132.65</v>
      </c>
      <c r="E1045" s="115">
        <v>134.6</v>
      </c>
      <c r="F1045" s="115">
        <v>668</v>
      </c>
      <c r="G1045">
        <v>129</v>
      </c>
      <c r="H1045" s="115"/>
      <c r="I1045" s="115"/>
      <c r="L1045" s="169">
        <v>43542</v>
      </c>
      <c r="M1045" s="115">
        <v>138.13</v>
      </c>
      <c r="N1045" s="115">
        <v>143.63</v>
      </c>
      <c r="O1045" s="115">
        <v>136.68</v>
      </c>
      <c r="P1045" s="115">
        <v>142</v>
      </c>
      <c r="Q1045" s="115">
        <v>690.65</v>
      </c>
      <c r="R1045">
        <v>4171</v>
      </c>
    </row>
    <row r="1046" spans="1:18" x14ac:dyDescent="0.25">
      <c r="A1046" s="169">
        <v>43551</v>
      </c>
      <c r="B1046" s="115">
        <v>136</v>
      </c>
      <c r="C1046" s="115">
        <v>134.32</v>
      </c>
      <c r="D1046" s="115">
        <v>132.4</v>
      </c>
      <c r="E1046" s="115">
        <v>132.5</v>
      </c>
      <c r="F1046" s="115">
        <v>671.6</v>
      </c>
      <c r="G1046">
        <v>315</v>
      </c>
      <c r="H1046" s="115"/>
      <c r="I1046" s="115"/>
      <c r="L1046" s="169">
        <v>43543</v>
      </c>
      <c r="M1046" s="115">
        <v>138.12</v>
      </c>
      <c r="N1046" s="115">
        <v>139.32</v>
      </c>
      <c r="O1046" s="115">
        <v>136.46</v>
      </c>
      <c r="P1046" s="115">
        <v>137.19999999999999</v>
      </c>
      <c r="Q1046" s="115">
        <v>690.6</v>
      </c>
      <c r="R1046">
        <v>3591</v>
      </c>
    </row>
    <row r="1047" spans="1:18" x14ac:dyDescent="0.25">
      <c r="A1047" s="169">
        <v>43552</v>
      </c>
      <c r="B1047" s="115">
        <v>135.56</v>
      </c>
      <c r="C1047" s="115">
        <v>133.88999999999999</v>
      </c>
      <c r="D1047" s="115">
        <v>130.6</v>
      </c>
      <c r="E1047" s="115">
        <v>135.4</v>
      </c>
      <c r="F1047" s="115">
        <v>669.45</v>
      </c>
      <c r="G1047">
        <v>1881</v>
      </c>
      <c r="H1047" s="115"/>
      <c r="I1047" s="115"/>
      <c r="L1047" s="169">
        <v>43544</v>
      </c>
      <c r="M1047" s="115">
        <v>135.9</v>
      </c>
      <c r="N1047" s="115">
        <v>139.80000000000001</v>
      </c>
      <c r="O1047" s="115">
        <v>135.19999999999999</v>
      </c>
      <c r="P1047" s="115">
        <v>137.99</v>
      </c>
      <c r="Q1047" s="115">
        <v>679.5</v>
      </c>
      <c r="R1047">
        <v>5997</v>
      </c>
    </row>
    <row r="1048" spans="1:18" x14ac:dyDescent="0.25">
      <c r="A1048" s="169">
        <v>43553</v>
      </c>
      <c r="B1048" s="115">
        <v>139</v>
      </c>
      <c r="C1048" s="115">
        <v>137.56</v>
      </c>
      <c r="D1048" s="115">
        <v>133.69999999999999</v>
      </c>
      <c r="E1048" s="115">
        <v>135.97999999999999</v>
      </c>
      <c r="F1048" s="115">
        <v>687.8</v>
      </c>
      <c r="G1048">
        <v>180</v>
      </c>
      <c r="H1048" s="115"/>
      <c r="I1048" s="115"/>
      <c r="L1048" s="169">
        <v>43546</v>
      </c>
      <c r="M1048" s="115">
        <v>134.36000000000001</v>
      </c>
      <c r="N1048" s="115">
        <v>138.57</v>
      </c>
      <c r="O1048" s="115">
        <v>133.6</v>
      </c>
      <c r="P1048" s="115">
        <v>137.94</v>
      </c>
      <c r="Q1048" s="115">
        <v>671.8</v>
      </c>
      <c r="R1048">
        <v>7182</v>
      </c>
    </row>
    <row r="1049" spans="1:18" x14ac:dyDescent="0.25">
      <c r="A1049" s="169">
        <v>43556</v>
      </c>
      <c r="B1049" s="115">
        <v>138.6</v>
      </c>
      <c r="C1049" s="115">
        <v>135.4</v>
      </c>
      <c r="D1049" s="115">
        <v>134.74</v>
      </c>
      <c r="E1049" s="115">
        <v>138.6</v>
      </c>
      <c r="F1049" s="115">
        <v>677</v>
      </c>
      <c r="G1049">
        <v>288</v>
      </c>
      <c r="H1049" s="115"/>
      <c r="I1049" s="115"/>
      <c r="L1049" s="169">
        <v>43549</v>
      </c>
      <c r="M1049" s="115">
        <v>135.22999999999999</v>
      </c>
      <c r="N1049" s="115">
        <v>137.38</v>
      </c>
      <c r="O1049" s="115">
        <v>133.59</v>
      </c>
      <c r="P1049" s="115">
        <v>135.55000000000001</v>
      </c>
      <c r="Q1049" s="115">
        <v>676.15</v>
      </c>
      <c r="R1049">
        <v>7297</v>
      </c>
    </row>
    <row r="1050" spans="1:18" x14ac:dyDescent="0.25">
      <c r="A1050" s="169">
        <v>43557</v>
      </c>
      <c r="B1050" s="115">
        <v>139</v>
      </c>
      <c r="C1050" s="115">
        <v>138.52000000000001</v>
      </c>
      <c r="D1050" s="115">
        <v>136</v>
      </c>
      <c r="E1050" s="115">
        <v>137.6</v>
      </c>
      <c r="F1050" s="115">
        <v>692.6</v>
      </c>
      <c r="G1050">
        <v>493</v>
      </c>
      <c r="H1050" s="115"/>
      <c r="I1050" s="115"/>
      <c r="L1050" s="169">
        <v>43550</v>
      </c>
      <c r="M1050" s="115">
        <v>134.16</v>
      </c>
      <c r="N1050" s="115">
        <v>136.4</v>
      </c>
      <c r="O1050" s="115">
        <v>132.80000000000001</v>
      </c>
      <c r="P1050" s="115">
        <v>136.4</v>
      </c>
      <c r="Q1050" s="115">
        <v>670.8</v>
      </c>
      <c r="R1050">
        <v>3785</v>
      </c>
    </row>
    <row r="1051" spans="1:18" x14ac:dyDescent="0.25">
      <c r="A1051" s="169">
        <v>43558</v>
      </c>
      <c r="B1051" s="115">
        <v>138.62</v>
      </c>
      <c r="C1051" s="115">
        <v>137</v>
      </c>
      <c r="D1051" s="115">
        <v>137</v>
      </c>
      <c r="E1051" s="115">
        <v>138.6</v>
      </c>
      <c r="F1051" s="115">
        <v>685</v>
      </c>
      <c r="G1051">
        <v>231</v>
      </c>
      <c r="H1051" s="115"/>
      <c r="I1051" s="115"/>
      <c r="L1051" s="169">
        <v>43551</v>
      </c>
      <c r="M1051" s="115">
        <v>133.69</v>
      </c>
      <c r="N1051" s="115">
        <v>135.80000000000001</v>
      </c>
      <c r="O1051" s="115">
        <v>133.1</v>
      </c>
      <c r="P1051" s="115">
        <v>133.62</v>
      </c>
      <c r="Q1051" s="115">
        <v>668.45</v>
      </c>
      <c r="R1051">
        <v>6783</v>
      </c>
    </row>
    <row r="1052" spans="1:18" x14ac:dyDescent="0.25">
      <c r="A1052" s="169">
        <v>43559</v>
      </c>
      <c r="B1052" s="115">
        <v>136.4</v>
      </c>
      <c r="C1052" s="115">
        <v>135.41999999999999</v>
      </c>
      <c r="D1052" s="115">
        <v>135.41999999999999</v>
      </c>
      <c r="E1052" s="115">
        <v>136.4</v>
      </c>
      <c r="F1052" s="115">
        <v>677.1</v>
      </c>
      <c r="G1052">
        <v>24</v>
      </c>
      <c r="H1052" s="115"/>
      <c r="I1052" s="115"/>
      <c r="L1052" s="169">
        <v>43552</v>
      </c>
      <c r="M1052" s="115">
        <v>133.79</v>
      </c>
      <c r="N1052" s="115">
        <v>136.59</v>
      </c>
      <c r="O1052" s="115">
        <v>133.03</v>
      </c>
      <c r="P1052" s="115">
        <v>133.03</v>
      </c>
      <c r="Q1052" s="115">
        <v>668.95</v>
      </c>
      <c r="R1052">
        <v>4561</v>
      </c>
    </row>
    <row r="1053" spans="1:18" x14ac:dyDescent="0.25">
      <c r="A1053" s="169">
        <v>43560</v>
      </c>
      <c r="B1053" s="115">
        <v>137.80000000000001</v>
      </c>
      <c r="C1053" s="115">
        <v>134.53</v>
      </c>
      <c r="D1053" s="115">
        <v>134.53</v>
      </c>
      <c r="E1053" s="115">
        <v>137.80000000000001</v>
      </c>
      <c r="F1053" s="115">
        <v>672.65</v>
      </c>
      <c r="G1053">
        <v>187</v>
      </c>
      <c r="H1053" s="115"/>
      <c r="I1053" s="115"/>
      <c r="L1053" s="169">
        <v>43553</v>
      </c>
      <c r="M1053" s="115">
        <v>137.44999999999999</v>
      </c>
      <c r="N1053" s="115">
        <v>139.19999999999999</v>
      </c>
      <c r="O1053" s="115">
        <v>134.4</v>
      </c>
      <c r="P1053" s="115">
        <v>135.53</v>
      </c>
      <c r="Q1053" s="115">
        <v>687.25</v>
      </c>
      <c r="R1053">
        <v>5657</v>
      </c>
    </row>
    <row r="1054" spans="1:18" x14ac:dyDescent="0.25">
      <c r="A1054" s="169">
        <v>43563</v>
      </c>
      <c r="B1054" s="115">
        <v>139</v>
      </c>
      <c r="C1054" s="115">
        <v>137.4</v>
      </c>
      <c r="D1054" s="115">
        <v>137.4</v>
      </c>
      <c r="E1054" s="115">
        <v>137.4</v>
      </c>
      <c r="F1054" s="115">
        <v>687</v>
      </c>
      <c r="G1054">
        <v>331</v>
      </c>
      <c r="H1054" s="115"/>
      <c r="I1054" s="115"/>
      <c r="L1054" s="169">
        <v>43556</v>
      </c>
      <c r="M1054" s="115">
        <v>135.62</v>
      </c>
      <c r="N1054" s="115">
        <v>139</v>
      </c>
      <c r="O1054" s="115">
        <v>135.26</v>
      </c>
      <c r="P1054" s="115">
        <v>137.5</v>
      </c>
      <c r="Q1054" s="115">
        <v>678.1</v>
      </c>
      <c r="R1054">
        <v>6455</v>
      </c>
    </row>
    <row r="1055" spans="1:18" x14ac:dyDescent="0.25">
      <c r="A1055" s="169">
        <v>43564</v>
      </c>
      <c r="B1055" s="115">
        <v>138.19999999999999</v>
      </c>
      <c r="C1055" s="115">
        <v>138</v>
      </c>
      <c r="D1055" s="115">
        <v>135.47999999999999</v>
      </c>
      <c r="E1055" s="115">
        <v>137.97999999999999</v>
      </c>
      <c r="F1055" s="115">
        <v>690</v>
      </c>
      <c r="G1055">
        <v>73</v>
      </c>
      <c r="H1055" s="115"/>
      <c r="I1055" s="115"/>
      <c r="L1055" s="169">
        <v>43557</v>
      </c>
      <c r="M1055" s="115">
        <v>137.6</v>
      </c>
      <c r="N1055" s="115">
        <v>138.6</v>
      </c>
      <c r="O1055" s="115">
        <v>135.01</v>
      </c>
      <c r="P1055" s="115">
        <v>137.4</v>
      </c>
      <c r="Q1055" s="115">
        <v>688</v>
      </c>
      <c r="R1055">
        <v>2136</v>
      </c>
    </row>
    <row r="1056" spans="1:18" x14ac:dyDescent="0.25">
      <c r="A1056" s="169">
        <v>43565</v>
      </c>
      <c r="B1056" s="115">
        <v>141.54</v>
      </c>
      <c r="C1056" s="115">
        <v>139.37</v>
      </c>
      <c r="D1056" s="115">
        <v>138</v>
      </c>
      <c r="E1056" s="115">
        <v>141.54</v>
      </c>
      <c r="F1056" s="115">
        <v>696.85</v>
      </c>
      <c r="G1056">
        <v>714</v>
      </c>
      <c r="H1056" s="115"/>
      <c r="I1056" s="115"/>
      <c r="L1056" s="169">
        <v>43558</v>
      </c>
      <c r="M1056" s="115">
        <v>136.88</v>
      </c>
      <c r="N1056" s="115">
        <v>138.59</v>
      </c>
      <c r="O1056" s="115">
        <v>136.6</v>
      </c>
      <c r="P1056" s="115">
        <v>138.22999999999999</v>
      </c>
      <c r="Q1056" s="115">
        <v>684.4</v>
      </c>
      <c r="R1056">
        <v>1965</v>
      </c>
    </row>
    <row r="1057" spans="1:18" x14ac:dyDescent="0.25">
      <c r="A1057" s="169">
        <v>43566</v>
      </c>
      <c r="B1057" s="115">
        <v>141.97999999999999</v>
      </c>
      <c r="C1057" s="115">
        <v>137.43</v>
      </c>
      <c r="D1057" s="115">
        <v>137</v>
      </c>
      <c r="E1057" s="115">
        <v>141.97999999999999</v>
      </c>
      <c r="F1057" s="115">
        <v>687.15</v>
      </c>
      <c r="G1057">
        <v>77</v>
      </c>
      <c r="H1057" s="115"/>
      <c r="I1057" s="115"/>
      <c r="L1057" s="169">
        <v>43559</v>
      </c>
      <c r="M1057" s="115">
        <v>135.72</v>
      </c>
      <c r="N1057" s="115">
        <v>138.22999999999999</v>
      </c>
      <c r="O1057" s="115">
        <v>135</v>
      </c>
      <c r="P1057" s="115">
        <v>137.97999999999999</v>
      </c>
      <c r="Q1057" s="115">
        <v>678.6</v>
      </c>
      <c r="R1057">
        <v>2256</v>
      </c>
    </row>
    <row r="1058" spans="1:18" x14ac:dyDescent="0.25">
      <c r="A1058" s="169">
        <v>43567</v>
      </c>
      <c r="B1058" s="115">
        <v>137.68</v>
      </c>
      <c r="C1058" s="115">
        <v>137.6</v>
      </c>
      <c r="D1058" s="115">
        <v>136.02000000000001</v>
      </c>
      <c r="E1058" s="115">
        <v>136.02000000000001</v>
      </c>
      <c r="F1058" s="115">
        <v>688</v>
      </c>
      <c r="G1058">
        <v>14</v>
      </c>
      <c r="H1058" s="115"/>
      <c r="I1058" s="115"/>
      <c r="L1058" s="169">
        <v>43560</v>
      </c>
      <c r="M1058" s="115">
        <v>136.37</v>
      </c>
      <c r="N1058" s="115">
        <v>137.38999999999999</v>
      </c>
      <c r="O1058" s="115">
        <v>135.07</v>
      </c>
      <c r="P1058" s="115">
        <v>136.78</v>
      </c>
      <c r="Q1058" s="115">
        <v>681.85</v>
      </c>
      <c r="R1058">
        <v>2018</v>
      </c>
    </row>
    <row r="1059" spans="1:18" x14ac:dyDescent="0.25">
      <c r="A1059" s="169">
        <v>43570</v>
      </c>
      <c r="B1059" s="115">
        <v>139.4</v>
      </c>
      <c r="C1059" s="115">
        <v>138</v>
      </c>
      <c r="D1059" s="115">
        <v>137.6</v>
      </c>
      <c r="E1059" s="115">
        <v>137.6</v>
      </c>
      <c r="F1059" s="115">
        <v>690</v>
      </c>
      <c r="G1059">
        <v>143</v>
      </c>
      <c r="H1059" s="115"/>
      <c r="I1059" s="115"/>
      <c r="L1059" s="169">
        <v>43563</v>
      </c>
      <c r="M1059" s="115">
        <v>137.61000000000001</v>
      </c>
      <c r="N1059" s="115">
        <v>138.47</v>
      </c>
      <c r="O1059" s="115">
        <v>136.37</v>
      </c>
      <c r="P1059" s="115">
        <v>137.6</v>
      </c>
      <c r="Q1059" s="115">
        <v>688.05</v>
      </c>
      <c r="R1059">
        <v>1908</v>
      </c>
    </row>
    <row r="1060" spans="1:18" x14ac:dyDescent="0.25">
      <c r="A1060" s="169">
        <v>43571</v>
      </c>
      <c r="B1060" s="115">
        <v>138.4</v>
      </c>
      <c r="C1060" s="115">
        <v>137.32</v>
      </c>
      <c r="D1060" s="115">
        <v>137.32</v>
      </c>
      <c r="E1060" s="115">
        <v>138.36000000000001</v>
      </c>
      <c r="F1060" s="115">
        <v>686.6</v>
      </c>
      <c r="G1060">
        <v>234</v>
      </c>
      <c r="H1060" s="115"/>
      <c r="I1060" s="115"/>
      <c r="L1060" s="169">
        <v>43564</v>
      </c>
      <c r="M1060" s="115">
        <v>137.44</v>
      </c>
      <c r="N1060" s="115">
        <v>138.38</v>
      </c>
      <c r="O1060" s="115">
        <v>136.02000000000001</v>
      </c>
      <c r="P1060" s="115">
        <v>137.62</v>
      </c>
      <c r="Q1060" s="115">
        <v>687.2</v>
      </c>
      <c r="R1060">
        <v>1726</v>
      </c>
    </row>
    <row r="1061" spans="1:18" x14ac:dyDescent="0.25">
      <c r="A1061" s="169">
        <v>43573</v>
      </c>
      <c r="B1061" s="115">
        <v>138</v>
      </c>
      <c r="C1061" s="115">
        <v>136.88</v>
      </c>
      <c r="D1061" s="115">
        <v>134.6</v>
      </c>
      <c r="E1061" s="115">
        <v>138</v>
      </c>
      <c r="F1061" s="115">
        <v>684.4</v>
      </c>
      <c r="G1061">
        <v>82</v>
      </c>
      <c r="H1061" s="115"/>
      <c r="I1061" s="115"/>
      <c r="L1061" s="169">
        <v>43565</v>
      </c>
      <c r="M1061" s="115">
        <v>139.63999999999999</v>
      </c>
      <c r="N1061" s="115">
        <v>142.4</v>
      </c>
      <c r="O1061" s="115">
        <v>138</v>
      </c>
      <c r="P1061" s="115">
        <v>140</v>
      </c>
      <c r="Q1061" s="115">
        <v>698.2</v>
      </c>
      <c r="R1061">
        <v>10945</v>
      </c>
    </row>
    <row r="1062" spans="1:18" x14ac:dyDescent="0.25">
      <c r="A1062" s="169">
        <v>43577</v>
      </c>
      <c r="B1062" s="115">
        <v>138</v>
      </c>
      <c r="C1062" s="115">
        <v>137.65</v>
      </c>
      <c r="D1062" s="115">
        <v>137.02000000000001</v>
      </c>
      <c r="E1062" s="115">
        <v>137.1</v>
      </c>
      <c r="F1062" s="115">
        <v>688.25</v>
      </c>
      <c r="G1062">
        <v>64</v>
      </c>
      <c r="H1062" s="115"/>
      <c r="I1062" s="115"/>
      <c r="L1062" s="169">
        <v>43566</v>
      </c>
      <c r="M1062" s="115">
        <v>138.52000000000001</v>
      </c>
      <c r="N1062" s="115">
        <v>140.74</v>
      </c>
      <c r="O1062" s="115">
        <v>138</v>
      </c>
      <c r="P1062" s="115">
        <v>139</v>
      </c>
      <c r="Q1062" s="115">
        <v>692.6</v>
      </c>
      <c r="R1062">
        <v>703</v>
      </c>
    </row>
    <row r="1063" spans="1:18" x14ac:dyDescent="0.25">
      <c r="A1063" s="169">
        <v>43578</v>
      </c>
      <c r="B1063" s="115">
        <v>137.69999999999999</v>
      </c>
      <c r="C1063" s="115">
        <v>137.19999999999999</v>
      </c>
      <c r="D1063" s="115">
        <v>135.22</v>
      </c>
      <c r="E1063" s="115">
        <v>135.30000000000001</v>
      </c>
      <c r="F1063" s="115">
        <v>686</v>
      </c>
      <c r="G1063">
        <v>241</v>
      </c>
      <c r="H1063" s="115"/>
      <c r="I1063" s="115"/>
      <c r="L1063" s="169">
        <v>43567</v>
      </c>
      <c r="M1063" s="115">
        <v>136.21</v>
      </c>
      <c r="N1063" s="115">
        <v>138.52000000000001</v>
      </c>
      <c r="O1063" s="115">
        <v>136</v>
      </c>
      <c r="P1063" s="115">
        <v>138.52000000000001</v>
      </c>
      <c r="Q1063" s="115">
        <v>681.05</v>
      </c>
      <c r="R1063">
        <v>2867</v>
      </c>
    </row>
    <row r="1064" spans="1:18" x14ac:dyDescent="0.25">
      <c r="A1064" s="169">
        <v>43579</v>
      </c>
      <c r="B1064" s="115">
        <v>137.80000000000001</v>
      </c>
      <c r="C1064" s="115">
        <v>137.79</v>
      </c>
      <c r="D1064" s="115">
        <v>136.5</v>
      </c>
      <c r="E1064" s="115">
        <v>136.5</v>
      </c>
      <c r="F1064" s="115">
        <v>688.95</v>
      </c>
      <c r="G1064">
        <v>335</v>
      </c>
      <c r="H1064" s="115"/>
      <c r="I1064" s="115"/>
      <c r="L1064" s="169">
        <v>43570</v>
      </c>
      <c r="M1064" s="115">
        <v>137.38999999999999</v>
      </c>
      <c r="N1064" s="115">
        <v>139.81</v>
      </c>
      <c r="O1064" s="115">
        <v>136.29</v>
      </c>
      <c r="P1064" s="115">
        <v>138.19</v>
      </c>
      <c r="Q1064" s="115">
        <v>686.95</v>
      </c>
      <c r="R1064">
        <v>3995</v>
      </c>
    </row>
    <row r="1065" spans="1:18" x14ac:dyDescent="0.25">
      <c r="A1065" s="169">
        <v>43580</v>
      </c>
      <c r="B1065" s="115">
        <v>138.65</v>
      </c>
      <c r="C1065" s="115">
        <v>138.65</v>
      </c>
      <c r="D1065" s="115">
        <v>135.6</v>
      </c>
      <c r="E1065" s="115">
        <v>136.1</v>
      </c>
      <c r="F1065" s="115">
        <v>693.25</v>
      </c>
      <c r="G1065">
        <v>80</v>
      </c>
      <c r="H1065" s="115"/>
      <c r="I1065" s="115"/>
      <c r="L1065" s="169">
        <v>43571</v>
      </c>
      <c r="M1065" s="115">
        <v>137.18</v>
      </c>
      <c r="N1065" s="115">
        <v>139.47999999999999</v>
      </c>
      <c r="O1065" s="115">
        <v>137</v>
      </c>
      <c r="P1065" s="115">
        <v>137.38999999999999</v>
      </c>
      <c r="Q1065" s="115">
        <v>685.9</v>
      </c>
      <c r="R1065">
        <v>3178</v>
      </c>
    </row>
    <row r="1066" spans="1:18" x14ac:dyDescent="0.25">
      <c r="A1066" s="169">
        <v>43581</v>
      </c>
      <c r="B1066" s="115">
        <v>136.79</v>
      </c>
      <c r="C1066" s="115">
        <v>135.80000000000001</v>
      </c>
      <c r="D1066" s="115">
        <v>135.01</v>
      </c>
      <c r="E1066" s="115">
        <v>135.69999999999999</v>
      </c>
      <c r="F1066" s="115">
        <v>679</v>
      </c>
      <c r="G1066">
        <v>168</v>
      </c>
      <c r="H1066" s="115"/>
      <c r="I1066" s="115"/>
      <c r="L1066" s="169">
        <v>43573</v>
      </c>
      <c r="M1066" s="115">
        <v>137.57</v>
      </c>
      <c r="N1066" s="115">
        <v>139</v>
      </c>
      <c r="O1066" s="115">
        <v>134.94</v>
      </c>
      <c r="P1066" s="115">
        <v>137.18</v>
      </c>
      <c r="Q1066" s="115">
        <v>687.85</v>
      </c>
      <c r="R1066">
        <v>3571</v>
      </c>
    </row>
    <row r="1067" spans="1:18" x14ac:dyDescent="0.25">
      <c r="A1067" s="169">
        <v>43585</v>
      </c>
      <c r="B1067" s="115">
        <v>135.79</v>
      </c>
      <c r="C1067" s="115">
        <v>133.66999999999999</v>
      </c>
      <c r="D1067" s="115">
        <v>133.19999999999999</v>
      </c>
      <c r="E1067" s="115">
        <v>135.1</v>
      </c>
      <c r="F1067" s="115">
        <v>668.35</v>
      </c>
      <c r="G1067">
        <v>457</v>
      </c>
      <c r="H1067" s="115"/>
      <c r="I1067" s="115"/>
      <c r="L1067" s="169">
        <v>43577</v>
      </c>
      <c r="M1067" s="115">
        <v>137.47999999999999</v>
      </c>
      <c r="N1067" s="115">
        <v>138.96</v>
      </c>
      <c r="O1067" s="115">
        <v>137.19999999999999</v>
      </c>
      <c r="P1067" s="115">
        <v>138.91</v>
      </c>
      <c r="Q1067" s="115">
        <v>687.4</v>
      </c>
      <c r="R1067">
        <v>567</v>
      </c>
    </row>
    <row r="1068" spans="1:18" x14ac:dyDescent="0.25">
      <c r="A1068" s="169">
        <v>43587</v>
      </c>
      <c r="B1068" s="115">
        <v>133.05000000000001</v>
      </c>
      <c r="C1068" s="115">
        <v>131.38</v>
      </c>
      <c r="D1068" s="115">
        <v>130.41999999999999</v>
      </c>
      <c r="E1068" s="115">
        <v>133.05000000000001</v>
      </c>
      <c r="F1068" s="115">
        <v>656.9</v>
      </c>
      <c r="G1068">
        <v>213</v>
      </c>
      <c r="H1068" s="115"/>
      <c r="I1068" s="115"/>
      <c r="L1068" s="169">
        <v>43578</v>
      </c>
      <c r="M1068" s="115">
        <v>136.96</v>
      </c>
      <c r="N1068" s="115">
        <v>138.41</v>
      </c>
      <c r="O1068" s="115">
        <v>136</v>
      </c>
      <c r="P1068" s="115">
        <v>137.49</v>
      </c>
      <c r="Q1068" s="115">
        <v>684.8</v>
      </c>
      <c r="R1068">
        <v>941</v>
      </c>
    </row>
    <row r="1069" spans="1:18" x14ac:dyDescent="0.25">
      <c r="A1069" s="169">
        <v>43588</v>
      </c>
      <c r="B1069" s="115">
        <v>133.80000000000001</v>
      </c>
      <c r="C1069" s="115">
        <v>131.84</v>
      </c>
      <c r="D1069" s="115">
        <v>131.19999999999999</v>
      </c>
      <c r="E1069" s="115">
        <v>133</v>
      </c>
      <c r="F1069" s="115">
        <v>659.2</v>
      </c>
      <c r="G1069">
        <v>385</v>
      </c>
      <c r="H1069" s="115"/>
      <c r="I1069" s="115"/>
      <c r="L1069" s="169">
        <v>43579</v>
      </c>
      <c r="M1069" s="115">
        <v>137.56</v>
      </c>
      <c r="N1069" s="115">
        <v>139</v>
      </c>
      <c r="O1069" s="115">
        <v>136.02000000000001</v>
      </c>
      <c r="P1069" s="115">
        <v>139</v>
      </c>
      <c r="Q1069" s="115">
        <v>687.8</v>
      </c>
      <c r="R1069">
        <v>1898</v>
      </c>
    </row>
    <row r="1070" spans="1:18" x14ac:dyDescent="0.25">
      <c r="A1070" s="169">
        <v>43591</v>
      </c>
      <c r="B1070" s="115">
        <v>131.99</v>
      </c>
      <c r="C1070" s="115">
        <v>131.41</v>
      </c>
      <c r="D1070" s="115">
        <v>130.80000000000001</v>
      </c>
      <c r="E1070" s="115">
        <v>131.6</v>
      </c>
      <c r="F1070" s="115">
        <v>657.05</v>
      </c>
      <c r="G1070">
        <v>291</v>
      </c>
      <c r="H1070" s="115"/>
      <c r="I1070" s="115"/>
      <c r="L1070" s="169">
        <v>43580</v>
      </c>
      <c r="M1070" s="115">
        <v>136.38999999999999</v>
      </c>
      <c r="N1070" s="115">
        <v>138</v>
      </c>
      <c r="O1070" s="115">
        <v>135.19</v>
      </c>
      <c r="P1070" s="115">
        <v>137.56</v>
      </c>
      <c r="Q1070" s="115">
        <v>681.95</v>
      </c>
      <c r="R1070">
        <v>2684</v>
      </c>
    </row>
    <row r="1071" spans="1:18" x14ac:dyDescent="0.25">
      <c r="A1071" s="169">
        <v>43592</v>
      </c>
      <c r="B1071" s="115">
        <v>131.99</v>
      </c>
      <c r="C1071" s="115">
        <v>130</v>
      </c>
      <c r="D1071" s="115">
        <v>129.99</v>
      </c>
      <c r="E1071" s="115">
        <v>130</v>
      </c>
      <c r="F1071" s="115">
        <v>650</v>
      </c>
      <c r="G1071">
        <v>216</v>
      </c>
      <c r="H1071" s="115"/>
      <c r="I1071" s="115"/>
      <c r="L1071" s="169">
        <v>43581</v>
      </c>
      <c r="M1071" s="115">
        <v>135.51</v>
      </c>
      <c r="N1071" s="115">
        <v>136.97</v>
      </c>
      <c r="O1071" s="115">
        <v>134.32</v>
      </c>
      <c r="P1071" s="115">
        <v>135.56</v>
      </c>
      <c r="Q1071" s="115">
        <v>677.55</v>
      </c>
      <c r="R1071">
        <v>2734</v>
      </c>
    </row>
    <row r="1072" spans="1:18" x14ac:dyDescent="0.25">
      <c r="A1072" s="169">
        <v>43593</v>
      </c>
      <c r="B1072" s="115">
        <v>133</v>
      </c>
      <c r="C1072" s="115">
        <v>131.96</v>
      </c>
      <c r="D1072" s="115">
        <v>131.6</v>
      </c>
      <c r="E1072" s="115">
        <v>131.6</v>
      </c>
      <c r="F1072" s="115">
        <v>659.8</v>
      </c>
      <c r="G1072">
        <v>59</v>
      </c>
      <c r="H1072" s="115"/>
      <c r="I1072" s="115"/>
      <c r="L1072" s="169">
        <v>43585</v>
      </c>
      <c r="M1072" s="115">
        <v>133.58000000000001</v>
      </c>
      <c r="N1072" s="115">
        <v>136.66</v>
      </c>
      <c r="O1072" s="115">
        <v>132.6</v>
      </c>
      <c r="P1072" s="115">
        <v>135.52000000000001</v>
      </c>
      <c r="Q1072" s="115">
        <v>667.9</v>
      </c>
      <c r="R1072">
        <v>1238</v>
      </c>
    </row>
    <row r="1073" spans="1:18" x14ac:dyDescent="0.25">
      <c r="A1073" s="169">
        <v>43594</v>
      </c>
      <c r="B1073" s="115">
        <v>136.38</v>
      </c>
      <c r="C1073" s="115">
        <v>134.6</v>
      </c>
      <c r="D1073" s="115">
        <v>134</v>
      </c>
      <c r="E1073" s="115">
        <v>136.38</v>
      </c>
      <c r="F1073" s="115">
        <v>673</v>
      </c>
      <c r="G1073">
        <v>556</v>
      </c>
      <c r="H1073" s="115"/>
      <c r="I1073" s="115"/>
      <c r="L1073" s="169">
        <v>43587</v>
      </c>
      <c r="M1073" s="115">
        <v>131.77000000000001</v>
      </c>
      <c r="N1073" s="115">
        <v>134.99</v>
      </c>
      <c r="O1073" s="115">
        <v>130.19999999999999</v>
      </c>
      <c r="P1073" s="115">
        <v>134.99</v>
      </c>
      <c r="Q1073" s="115">
        <v>658.85</v>
      </c>
      <c r="R1073">
        <v>3625</v>
      </c>
    </row>
    <row r="1074" spans="1:18" x14ac:dyDescent="0.25">
      <c r="A1074" s="169">
        <v>43595</v>
      </c>
      <c r="B1074" s="115">
        <v>134.9</v>
      </c>
      <c r="C1074" s="115">
        <v>132.35</v>
      </c>
      <c r="D1074" s="115">
        <v>131.43</v>
      </c>
      <c r="E1074" s="115">
        <v>134.80000000000001</v>
      </c>
      <c r="F1074" s="115">
        <v>661.75</v>
      </c>
      <c r="G1074">
        <v>160</v>
      </c>
      <c r="H1074" s="115"/>
      <c r="I1074" s="115"/>
      <c r="L1074" s="169">
        <v>43588</v>
      </c>
      <c r="M1074" s="115">
        <v>133.54</v>
      </c>
      <c r="N1074" s="115">
        <v>134.47999999999999</v>
      </c>
      <c r="O1074" s="115">
        <v>131.11000000000001</v>
      </c>
      <c r="P1074" s="115">
        <v>132.01</v>
      </c>
      <c r="Q1074" s="115">
        <v>667.7</v>
      </c>
      <c r="R1074">
        <v>2095</v>
      </c>
    </row>
    <row r="1075" spans="1:18" x14ac:dyDescent="0.25">
      <c r="A1075" s="169">
        <v>43598</v>
      </c>
      <c r="B1075" s="115">
        <v>133</v>
      </c>
      <c r="C1075" s="115">
        <v>130.41999999999999</v>
      </c>
      <c r="D1075" s="115">
        <v>130.41999999999999</v>
      </c>
      <c r="E1075" s="115">
        <v>133</v>
      </c>
      <c r="F1075" s="115">
        <v>652.1</v>
      </c>
      <c r="G1075">
        <v>119</v>
      </c>
      <c r="H1075" s="115"/>
      <c r="I1075" s="115"/>
      <c r="L1075" s="169">
        <v>43591</v>
      </c>
      <c r="M1075" s="115">
        <v>130.44</v>
      </c>
      <c r="N1075" s="115">
        <v>133.32</v>
      </c>
      <c r="O1075" s="115">
        <v>130.02000000000001</v>
      </c>
      <c r="P1075" s="115">
        <v>132.6</v>
      </c>
      <c r="Q1075" s="115">
        <v>652.20000000000005</v>
      </c>
      <c r="R1075">
        <v>2032</v>
      </c>
    </row>
    <row r="1076" spans="1:18" x14ac:dyDescent="0.25">
      <c r="A1076" s="169">
        <v>43599</v>
      </c>
      <c r="B1076" s="115">
        <v>132.99</v>
      </c>
      <c r="C1076" s="115">
        <v>130.9</v>
      </c>
      <c r="D1076" s="115">
        <v>128</v>
      </c>
      <c r="E1076" s="115">
        <v>128</v>
      </c>
      <c r="F1076" s="115">
        <v>654.5</v>
      </c>
      <c r="G1076">
        <v>147</v>
      </c>
      <c r="H1076" s="115"/>
      <c r="I1076" s="115"/>
      <c r="L1076" s="169">
        <v>43592</v>
      </c>
      <c r="M1076" s="115">
        <v>132.38999999999999</v>
      </c>
      <c r="N1076" s="115">
        <v>133.01</v>
      </c>
      <c r="O1076" s="115">
        <v>129.99</v>
      </c>
      <c r="P1076" s="115">
        <v>131.99</v>
      </c>
      <c r="Q1076" s="115">
        <v>661.95</v>
      </c>
      <c r="R1076">
        <v>3687</v>
      </c>
    </row>
    <row r="1077" spans="1:18" x14ac:dyDescent="0.25">
      <c r="A1077" s="169">
        <v>43600</v>
      </c>
      <c r="B1077" s="115">
        <v>132</v>
      </c>
      <c r="C1077" s="115">
        <v>131.97999999999999</v>
      </c>
      <c r="D1077" s="115">
        <v>130.4</v>
      </c>
      <c r="E1077" s="115">
        <v>132</v>
      </c>
      <c r="F1077" s="115">
        <v>659.9</v>
      </c>
      <c r="G1077">
        <v>32</v>
      </c>
      <c r="H1077" s="115"/>
      <c r="I1077" s="115"/>
      <c r="L1077" s="169">
        <v>43593</v>
      </c>
      <c r="M1077" s="115">
        <v>133.69</v>
      </c>
      <c r="N1077" s="115">
        <v>134.93</v>
      </c>
      <c r="O1077" s="115">
        <v>130.22999999999999</v>
      </c>
      <c r="P1077" s="115">
        <v>131.88999999999999</v>
      </c>
      <c r="Q1077" s="115">
        <v>668.45</v>
      </c>
      <c r="R1077">
        <v>3142</v>
      </c>
    </row>
    <row r="1078" spans="1:18" x14ac:dyDescent="0.25">
      <c r="A1078" s="169">
        <v>43601</v>
      </c>
      <c r="B1078" s="115">
        <v>135</v>
      </c>
      <c r="C1078" s="115">
        <v>134.44</v>
      </c>
      <c r="D1078" s="115">
        <v>131.19999999999999</v>
      </c>
      <c r="E1078" s="115">
        <v>131.80000000000001</v>
      </c>
      <c r="F1078" s="115">
        <v>672.2</v>
      </c>
      <c r="G1078">
        <v>296</v>
      </c>
      <c r="H1078" s="115"/>
      <c r="I1078" s="115"/>
      <c r="L1078" s="169">
        <v>43594</v>
      </c>
      <c r="M1078" s="115">
        <v>134.51</v>
      </c>
      <c r="N1078" s="115">
        <v>136.41</v>
      </c>
      <c r="O1078" s="115">
        <v>132.25</v>
      </c>
      <c r="P1078" s="115">
        <v>135.12</v>
      </c>
      <c r="Q1078" s="115">
        <v>672.55</v>
      </c>
      <c r="R1078">
        <v>12693</v>
      </c>
    </row>
    <row r="1079" spans="1:18" x14ac:dyDescent="0.25">
      <c r="A1079" s="169">
        <v>43602</v>
      </c>
      <c r="B1079" s="115">
        <v>136.99</v>
      </c>
      <c r="C1079" s="115">
        <v>135.9</v>
      </c>
      <c r="D1079" s="115">
        <v>133.4</v>
      </c>
      <c r="E1079" s="115">
        <v>133.61000000000001</v>
      </c>
      <c r="F1079" s="115">
        <v>679.5</v>
      </c>
      <c r="G1079">
        <v>299</v>
      </c>
      <c r="H1079" s="115"/>
      <c r="I1079" s="115"/>
      <c r="L1079" s="169">
        <v>43595</v>
      </c>
      <c r="M1079" s="115">
        <v>132.35</v>
      </c>
      <c r="N1079" s="115">
        <v>134.13</v>
      </c>
      <c r="O1079" s="115">
        <v>131.02000000000001</v>
      </c>
      <c r="P1079" s="115">
        <v>134</v>
      </c>
      <c r="Q1079" s="115">
        <v>661.75</v>
      </c>
      <c r="R1079">
        <v>2275</v>
      </c>
    </row>
    <row r="1080" spans="1:18" x14ac:dyDescent="0.25">
      <c r="A1080" s="169">
        <v>43605</v>
      </c>
      <c r="B1080" s="115">
        <v>138.6</v>
      </c>
      <c r="C1080" s="115">
        <v>138.57</v>
      </c>
      <c r="D1080" s="115">
        <v>136.21</v>
      </c>
      <c r="E1080" s="115">
        <v>138</v>
      </c>
      <c r="F1080" s="115">
        <v>692.85</v>
      </c>
      <c r="G1080">
        <v>154</v>
      </c>
      <c r="H1080" s="115"/>
      <c r="I1080" s="115"/>
      <c r="L1080" s="169">
        <v>43598</v>
      </c>
      <c r="M1080" s="115">
        <v>130.56</v>
      </c>
      <c r="N1080" s="115">
        <v>132.99</v>
      </c>
      <c r="O1080" s="115">
        <v>130.21</v>
      </c>
      <c r="P1080" s="115">
        <v>132.15</v>
      </c>
      <c r="Q1080" s="115">
        <v>652.79999999999995</v>
      </c>
      <c r="R1080">
        <v>2242</v>
      </c>
    </row>
    <row r="1081" spans="1:18" x14ac:dyDescent="0.25">
      <c r="A1081" s="169">
        <v>43606</v>
      </c>
      <c r="B1081" s="115">
        <v>140.58000000000001</v>
      </c>
      <c r="C1081" s="115">
        <v>139.52000000000001</v>
      </c>
      <c r="D1081" s="115">
        <v>137.02000000000001</v>
      </c>
      <c r="E1081" s="115">
        <v>138.80000000000001</v>
      </c>
      <c r="F1081" s="115">
        <v>697.6</v>
      </c>
      <c r="G1081">
        <v>242</v>
      </c>
      <c r="H1081" s="115"/>
      <c r="I1081" s="115"/>
      <c r="L1081" s="169">
        <v>43599</v>
      </c>
      <c r="M1081" s="115">
        <v>130.21</v>
      </c>
      <c r="N1081" s="115">
        <v>131.99</v>
      </c>
      <c r="O1081" s="115">
        <v>129.72999999999999</v>
      </c>
      <c r="P1081" s="115">
        <v>130.13</v>
      </c>
      <c r="Q1081" s="115">
        <v>651.04999999999995</v>
      </c>
      <c r="R1081">
        <v>2776</v>
      </c>
    </row>
    <row r="1082" spans="1:18" x14ac:dyDescent="0.25">
      <c r="A1082" s="169">
        <v>43607</v>
      </c>
      <c r="B1082" s="115">
        <v>137.78</v>
      </c>
      <c r="C1082" s="115">
        <v>136.80000000000001</v>
      </c>
      <c r="D1082" s="115">
        <v>134.61000000000001</v>
      </c>
      <c r="E1082" s="115">
        <v>137.41999999999999</v>
      </c>
      <c r="F1082" s="115">
        <v>684</v>
      </c>
      <c r="G1082">
        <v>500</v>
      </c>
      <c r="H1082" s="115"/>
      <c r="I1082" s="115"/>
      <c r="L1082" s="169">
        <v>43600</v>
      </c>
      <c r="M1082" s="115">
        <v>131.79</v>
      </c>
      <c r="N1082" s="115">
        <v>132.16</v>
      </c>
      <c r="O1082" s="115">
        <v>129.72999999999999</v>
      </c>
      <c r="P1082" s="115">
        <v>129.72999999999999</v>
      </c>
      <c r="Q1082" s="115">
        <v>658.95</v>
      </c>
      <c r="R1082">
        <v>1343</v>
      </c>
    </row>
    <row r="1083" spans="1:18" x14ac:dyDescent="0.25">
      <c r="A1083" s="169">
        <v>43608</v>
      </c>
      <c r="B1083" s="115">
        <v>136.6</v>
      </c>
      <c r="C1083" s="115">
        <v>134.28</v>
      </c>
      <c r="D1083" s="115">
        <v>133.61000000000001</v>
      </c>
      <c r="E1083" s="115">
        <v>135.6</v>
      </c>
      <c r="F1083" s="115">
        <v>671.4</v>
      </c>
      <c r="G1083">
        <v>57</v>
      </c>
      <c r="H1083" s="115"/>
      <c r="I1083" s="115"/>
      <c r="L1083" s="169">
        <v>43601</v>
      </c>
      <c r="M1083" s="115">
        <v>134.59</v>
      </c>
      <c r="N1083" s="115">
        <v>135.38999999999999</v>
      </c>
      <c r="O1083" s="115">
        <v>131.79</v>
      </c>
      <c r="P1083" s="115">
        <v>133</v>
      </c>
      <c r="Q1083" s="115">
        <v>672.95</v>
      </c>
      <c r="R1083">
        <v>2140</v>
      </c>
    </row>
    <row r="1084" spans="1:18" x14ac:dyDescent="0.25">
      <c r="A1084" s="169">
        <v>43609</v>
      </c>
      <c r="B1084" s="115">
        <v>136.4</v>
      </c>
      <c r="C1084" s="115">
        <v>135.41</v>
      </c>
      <c r="D1084" s="115">
        <v>134.30000000000001</v>
      </c>
      <c r="E1084" s="115">
        <v>136.4</v>
      </c>
      <c r="F1084" s="115">
        <v>677.05</v>
      </c>
      <c r="G1084">
        <v>82</v>
      </c>
      <c r="H1084" s="115"/>
      <c r="I1084" s="115"/>
      <c r="L1084" s="169">
        <v>43602</v>
      </c>
      <c r="M1084" s="115">
        <v>136.15</v>
      </c>
      <c r="N1084" s="115">
        <v>136.86000000000001</v>
      </c>
      <c r="O1084" s="115">
        <v>133.03</v>
      </c>
      <c r="P1084" s="115">
        <v>134.80000000000001</v>
      </c>
      <c r="Q1084" s="115">
        <v>680.75</v>
      </c>
      <c r="R1084">
        <v>4702</v>
      </c>
    </row>
    <row r="1085" spans="1:18" x14ac:dyDescent="0.25">
      <c r="A1085" s="169">
        <v>43612</v>
      </c>
      <c r="B1085" s="115">
        <v>143</v>
      </c>
      <c r="C1085" s="115">
        <v>139.69</v>
      </c>
      <c r="D1085" s="115">
        <v>136</v>
      </c>
      <c r="E1085" s="115">
        <v>136</v>
      </c>
      <c r="F1085" s="115">
        <v>698.45</v>
      </c>
      <c r="G1085">
        <v>97340</v>
      </c>
      <c r="H1085" s="115"/>
      <c r="I1085" s="115"/>
      <c r="L1085" s="169">
        <v>43605</v>
      </c>
      <c r="M1085" s="115">
        <v>138.71</v>
      </c>
      <c r="N1085" s="115">
        <v>139.80000000000001</v>
      </c>
      <c r="O1085" s="115">
        <v>135.86000000000001</v>
      </c>
      <c r="P1085" s="115">
        <v>136.19999999999999</v>
      </c>
      <c r="Q1085" s="115">
        <v>693.55</v>
      </c>
      <c r="R1085">
        <v>2911</v>
      </c>
    </row>
    <row r="1086" spans="1:18" x14ac:dyDescent="0.25">
      <c r="A1086" s="169">
        <v>43613</v>
      </c>
      <c r="B1086" s="115">
        <v>142.80000000000001</v>
      </c>
      <c r="C1086" s="115">
        <v>142.65</v>
      </c>
      <c r="D1086" s="115">
        <v>138.80000000000001</v>
      </c>
      <c r="E1086" s="115">
        <v>139.80000000000001</v>
      </c>
      <c r="F1086" s="115">
        <v>713.25</v>
      </c>
      <c r="G1086">
        <v>47</v>
      </c>
      <c r="H1086" s="115"/>
      <c r="I1086" s="115"/>
      <c r="L1086" s="169">
        <v>43606</v>
      </c>
      <c r="M1086" s="115">
        <v>137.88999999999999</v>
      </c>
      <c r="N1086" s="115">
        <v>140</v>
      </c>
      <c r="O1086" s="115">
        <v>136.09</v>
      </c>
      <c r="P1086" s="115">
        <v>140</v>
      </c>
      <c r="Q1086" s="115">
        <v>689.45</v>
      </c>
      <c r="R1086">
        <v>2422</v>
      </c>
    </row>
    <row r="1087" spans="1:18" x14ac:dyDescent="0.25">
      <c r="A1087" s="169">
        <v>43614</v>
      </c>
      <c r="B1087" s="115">
        <v>142.6</v>
      </c>
      <c r="C1087" s="115">
        <v>141.13999999999999</v>
      </c>
      <c r="D1087" s="115">
        <v>139.22</v>
      </c>
      <c r="E1087" s="115">
        <v>142.6</v>
      </c>
      <c r="F1087" s="115">
        <v>705.7</v>
      </c>
      <c r="G1087">
        <v>142</v>
      </c>
      <c r="H1087" s="115"/>
      <c r="I1087" s="115"/>
      <c r="L1087" s="169">
        <v>43607</v>
      </c>
      <c r="M1087" s="115">
        <v>136.66</v>
      </c>
      <c r="N1087" s="115">
        <v>138.94999999999999</v>
      </c>
      <c r="O1087" s="115">
        <v>136</v>
      </c>
      <c r="P1087" s="115">
        <v>138.01</v>
      </c>
      <c r="Q1087" s="115">
        <v>683.3</v>
      </c>
      <c r="R1087">
        <v>1170</v>
      </c>
    </row>
    <row r="1088" spans="1:18" x14ac:dyDescent="0.25">
      <c r="A1088" s="169">
        <v>43615</v>
      </c>
      <c r="B1088" s="115">
        <v>144.19</v>
      </c>
      <c r="C1088" s="115">
        <v>138.61000000000001</v>
      </c>
      <c r="D1088" s="115">
        <v>138.4</v>
      </c>
      <c r="E1088" s="115">
        <v>144.19</v>
      </c>
      <c r="F1088" s="115">
        <v>693.05</v>
      </c>
      <c r="G1088">
        <v>450</v>
      </c>
      <c r="H1088" s="115"/>
      <c r="I1088" s="115"/>
      <c r="L1088" s="169">
        <v>43608</v>
      </c>
      <c r="M1088" s="115">
        <v>133.93</v>
      </c>
      <c r="N1088" s="115">
        <v>138.61000000000001</v>
      </c>
      <c r="O1088" s="115">
        <v>133</v>
      </c>
      <c r="P1088" s="115">
        <v>137.86000000000001</v>
      </c>
      <c r="Q1088" s="115">
        <v>669.65</v>
      </c>
      <c r="R1088">
        <v>9568</v>
      </c>
    </row>
    <row r="1089" spans="1:18" x14ac:dyDescent="0.25">
      <c r="A1089" s="169">
        <v>43616</v>
      </c>
      <c r="B1089" s="115">
        <v>138.99</v>
      </c>
      <c r="C1089" s="115">
        <v>138.99</v>
      </c>
      <c r="D1089" s="115">
        <v>136.21</v>
      </c>
      <c r="E1089" s="115">
        <v>136.21</v>
      </c>
      <c r="F1089" s="115">
        <v>694.95</v>
      </c>
      <c r="G1089">
        <v>2</v>
      </c>
      <c r="H1089" s="115"/>
      <c r="I1089" s="115"/>
      <c r="L1089" s="169">
        <v>43609</v>
      </c>
      <c r="M1089" s="115">
        <v>136.19</v>
      </c>
      <c r="N1089" s="115">
        <v>136.80000000000001</v>
      </c>
      <c r="O1089" s="115">
        <v>133.22</v>
      </c>
      <c r="P1089" s="115">
        <v>133.22</v>
      </c>
      <c r="Q1089" s="115">
        <v>680.95</v>
      </c>
      <c r="R1089">
        <v>1059</v>
      </c>
    </row>
    <row r="1090" spans="1:18" x14ac:dyDescent="0.25">
      <c r="A1090" s="169">
        <v>43619</v>
      </c>
      <c r="B1090" s="115">
        <v>145</v>
      </c>
      <c r="C1090" s="115">
        <v>143.96</v>
      </c>
      <c r="D1090" s="115">
        <v>138</v>
      </c>
      <c r="E1090" s="115">
        <v>138</v>
      </c>
      <c r="F1090" s="115">
        <v>719.8</v>
      </c>
      <c r="G1090">
        <v>268</v>
      </c>
      <c r="H1090" s="115"/>
      <c r="I1090" s="115"/>
      <c r="L1090" s="169">
        <v>43612</v>
      </c>
      <c r="M1090" s="115">
        <v>139.51</v>
      </c>
      <c r="N1090" s="115">
        <v>143.51</v>
      </c>
      <c r="O1090" s="115">
        <v>134.66</v>
      </c>
      <c r="P1090" s="115">
        <v>134.66</v>
      </c>
      <c r="Q1090" s="115">
        <v>697.55</v>
      </c>
      <c r="R1090">
        <v>116342</v>
      </c>
    </row>
    <row r="1091" spans="1:18" x14ac:dyDescent="0.25">
      <c r="A1091" s="169">
        <v>43620</v>
      </c>
      <c r="B1091" s="115">
        <v>147</v>
      </c>
      <c r="C1091" s="115">
        <v>145.6</v>
      </c>
      <c r="D1091" s="115">
        <v>142.91999999999999</v>
      </c>
      <c r="E1091" s="115">
        <v>143.02000000000001</v>
      </c>
      <c r="F1091" s="115">
        <v>728</v>
      </c>
      <c r="G1091">
        <v>1349</v>
      </c>
      <c r="H1091" s="115"/>
      <c r="I1091" s="115"/>
      <c r="L1091" s="169">
        <v>43613</v>
      </c>
      <c r="M1091" s="115">
        <v>142.33000000000001</v>
      </c>
      <c r="N1091" s="115">
        <v>143.41999999999999</v>
      </c>
      <c r="O1091" s="115">
        <v>139.37</v>
      </c>
      <c r="P1091" s="115">
        <v>139.51</v>
      </c>
      <c r="Q1091" s="115">
        <v>711.65</v>
      </c>
      <c r="R1091">
        <v>3316</v>
      </c>
    </row>
    <row r="1092" spans="1:18" x14ac:dyDescent="0.25">
      <c r="A1092" s="169">
        <v>43622</v>
      </c>
      <c r="B1092" s="115">
        <v>145.6</v>
      </c>
      <c r="C1092" s="115">
        <v>143.79</v>
      </c>
      <c r="D1092" s="115">
        <v>143.19999999999999</v>
      </c>
      <c r="E1092" s="115">
        <v>145.6</v>
      </c>
      <c r="F1092" s="115">
        <v>718.95</v>
      </c>
      <c r="G1092">
        <v>122</v>
      </c>
      <c r="H1092" s="115"/>
      <c r="I1092" s="115"/>
      <c r="L1092" s="169">
        <v>43614</v>
      </c>
      <c r="M1092" s="115">
        <v>141.88999999999999</v>
      </c>
      <c r="N1092" s="115">
        <v>143</v>
      </c>
      <c r="O1092" s="115">
        <v>140.4</v>
      </c>
      <c r="P1092" s="115">
        <v>142.91</v>
      </c>
      <c r="Q1092" s="115">
        <v>709.45</v>
      </c>
      <c r="R1092">
        <v>1960</v>
      </c>
    </row>
    <row r="1093" spans="1:18" x14ac:dyDescent="0.25">
      <c r="A1093" s="169">
        <v>43623</v>
      </c>
      <c r="B1093" s="115">
        <v>145.19999999999999</v>
      </c>
      <c r="C1093" s="115">
        <v>142.03</v>
      </c>
      <c r="D1093" s="115">
        <v>141.19999999999999</v>
      </c>
      <c r="E1093" s="115">
        <v>141.19999999999999</v>
      </c>
      <c r="F1093" s="115">
        <v>710.15</v>
      </c>
      <c r="G1093">
        <v>307</v>
      </c>
      <c r="H1093" s="115"/>
      <c r="I1093" s="115"/>
      <c r="L1093" s="169">
        <v>43615</v>
      </c>
      <c r="M1093" s="115">
        <v>137.97</v>
      </c>
      <c r="N1093" s="115">
        <v>142.56</v>
      </c>
      <c r="O1093" s="115">
        <v>137.6</v>
      </c>
      <c r="P1093" s="115">
        <v>142.29</v>
      </c>
      <c r="Q1093" s="115">
        <v>689.85</v>
      </c>
      <c r="R1093">
        <v>12178</v>
      </c>
    </row>
    <row r="1094" spans="1:18" x14ac:dyDescent="0.25">
      <c r="A1094" s="169">
        <v>43626</v>
      </c>
      <c r="B1094" s="115">
        <v>146.63</v>
      </c>
      <c r="C1094" s="115">
        <v>143</v>
      </c>
      <c r="D1094" s="115">
        <v>141.27000000000001</v>
      </c>
      <c r="E1094" s="115">
        <v>142</v>
      </c>
      <c r="F1094" s="115">
        <v>715</v>
      </c>
      <c r="G1094">
        <v>84</v>
      </c>
      <c r="H1094" s="115"/>
      <c r="I1094" s="115"/>
      <c r="L1094" s="169">
        <v>43616</v>
      </c>
      <c r="M1094" s="115">
        <v>136.1</v>
      </c>
      <c r="N1094" s="115">
        <v>139.94999999999999</v>
      </c>
      <c r="O1094" s="115">
        <v>136</v>
      </c>
      <c r="P1094" s="115">
        <v>137</v>
      </c>
      <c r="Q1094" s="115">
        <v>680.5</v>
      </c>
      <c r="R1094">
        <v>1673</v>
      </c>
    </row>
    <row r="1095" spans="1:18" x14ac:dyDescent="0.25">
      <c r="A1095" s="169">
        <v>43627</v>
      </c>
      <c r="B1095" s="115">
        <v>143.99</v>
      </c>
      <c r="C1095" s="115">
        <v>143.03</v>
      </c>
      <c r="D1095" s="115">
        <v>141.30000000000001</v>
      </c>
      <c r="E1095" s="115">
        <v>141.30000000000001</v>
      </c>
      <c r="F1095" s="115">
        <v>715.15</v>
      </c>
      <c r="G1095">
        <v>146</v>
      </c>
      <c r="H1095" s="115"/>
      <c r="I1095" s="115"/>
      <c r="L1095" s="169">
        <v>43619</v>
      </c>
      <c r="M1095" s="115">
        <v>143.46</v>
      </c>
      <c r="N1095" s="115">
        <v>144.80000000000001</v>
      </c>
      <c r="O1095" s="115">
        <v>135</v>
      </c>
      <c r="P1095" s="115">
        <v>136.11000000000001</v>
      </c>
      <c r="Q1095" s="115">
        <v>717.3</v>
      </c>
      <c r="R1095">
        <v>7127</v>
      </c>
    </row>
    <row r="1096" spans="1:18" x14ac:dyDescent="0.25">
      <c r="A1096" s="169">
        <v>43628</v>
      </c>
      <c r="B1096" s="115">
        <v>147.97999999999999</v>
      </c>
      <c r="C1096" s="115">
        <v>142.80000000000001</v>
      </c>
      <c r="D1096" s="115">
        <v>141.74</v>
      </c>
      <c r="E1096" s="115">
        <v>146.80000000000001</v>
      </c>
      <c r="F1096" s="115">
        <v>714</v>
      </c>
      <c r="G1096">
        <v>203</v>
      </c>
      <c r="H1096" s="115"/>
      <c r="I1096" s="115"/>
      <c r="L1096" s="169">
        <v>43620</v>
      </c>
      <c r="M1096" s="115">
        <v>144.72999999999999</v>
      </c>
      <c r="N1096" s="115">
        <v>146.80000000000001</v>
      </c>
      <c r="O1096" s="115">
        <v>143.4</v>
      </c>
      <c r="P1096" s="115">
        <v>143.46</v>
      </c>
      <c r="Q1096" s="115">
        <v>723.65</v>
      </c>
      <c r="R1096">
        <v>9278</v>
      </c>
    </row>
    <row r="1097" spans="1:18" x14ac:dyDescent="0.25">
      <c r="A1097" s="169">
        <v>43629</v>
      </c>
      <c r="B1097" s="115">
        <v>147.59</v>
      </c>
      <c r="C1097" s="115">
        <v>145</v>
      </c>
      <c r="D1097" s="115">
        <v>143.62</v>
      </c>
      <c r="E1097" s="115">
        <v>147.59</v>
      </c>
      <c r="F1097" s="115">
        <v>725</v>
      </c>
      <c r="G1097">
        <v>62</v>
      </c>
      <c r="H1097" s="115"/>
      <c r="I1097" s="115"/>
      <c r="L1097" s="169">
        <v>43622</v>
      </c>
      <c r="M1097" s="115">
        <v>145.03</v>
      </c>
      <c r="N1097" s="115">
        <v>147</v>
      </c>
      <c r="O1097" s="115">
        <v>143.4</v>
      </c>
      <c r="P1097" s="115">
        <v>147</v>
      </c>
      <c r="Q1097" s="115">
        <v>725.15</v>
      </c>
      <c r="R1097">
        <v>6745</v>
      </c>
    </row>
    <row r="1098" spans="1:18" x14ac:dyDescent="0.25">
      <c r="A1098" s="169">
        <v>43630</v>
      </c>
      <c r="B1098" s="115">
        <v>145</v>
      </c>
      <c r="C1098" s="115">
        <v>143.46</v>
      </c>
      <c r="D1098" s="115">
        <v>143.19999999999999</v>
      </c>
      <c r="E1098" s="115">
        <v>143.5</v>
      </c>
      <c r="F1098" s="115">
        <v>717.3</v>
      </c>
      <c r="G1098">
        <v>38</v>
      </c>
      <c r="H1098" s="115"/>
      <c r="I1098" s="115"/>
      <c r="L1098" s="169">
        <v>43623</v>
      </c>
      <c r="M1098" s="115">
        <v>143.38</v>
      </c>
      <c r="N1098" s="115">
        <v>145.80000000000001</v>
      </c>
      <c r="O1098" s="115">
        <v>141.19999999999999</v>
      </c>
      <c r="P1098" s="115">
        <v>144.75</v>
      </c>
      <c r="Q1098" s="115">
        <v>716.9</v>
      </c>
      <c r="R1098">
        <v>5206</v>
      </c>
    </row>
    <row r="1099" spans="1:18" x14ac:dyDescent="0.25">
      <c r="A1099" s="169">
        <v>43633</v>
      </c>
      <c r="B1099" s="115">
        <v>143.47999999999999</v>
      </c>
      <c r="C1099" s="115">
        <v>140.30000000000001</v>
      </c>
      <c r="D1099" s="115">
        <v>140</v>
      </c>
      <c r="E1099" s="115">
        <v>143.47999999999999</v>
      </c>
      <c r="F1099" s="115">
        <v>701.5</v>
      </c>
      <c r="G1099">
        <v>504</v>
      </c>
      <c r="H1099" s="115"/>
      <c r="I1099" s="115"/>
      <c r="L1099" s="169">
        <v>43626</v>
      </c>
      <c r="M1099" s="115">
        <v>142.58000000000001</v>
      </c>
      <c r="N1099" s="115">
        <v>143.80000000000001</v>
      </c>
      <c r="O1099" s="115">
        <v>141.12</v>
      </c>
      <c r="P1099" s="115">
        <v>142.04</v>
      </c>
      <c r="Q1099" s="115">
        <v>712.9</v>
      </c>
      <c r="R1099">
        <v>4322</v>
      </c>
    </row>
    <row r="1100" spans="1:18" x14ac:dyDescent="0.25">
      <c r="A1100" s="169">
        <v>43634</v>
      </c>
      <c r="B1100" s="115">
        <v>143</v>
      </c>
      <c r="C1100" s="115">
        <v>139.5</v>
      </c>
      <c r="D1100" s="115">
        <v>139.02000000000001</v>
      </c>
      <c r="E1100" s="115">
        <v>143</v>
      </c>
      <c r="F1100" s="115">
        <v>697.5</v>
      </c>
      <c r="G1100">
        <v>888</v>
      </c>
      <c r="H1100" s="115"/>
      <c r="I1100" s="115"/>
      <c r="L1100" s="169">
        <v>43627</v>
      </c>
      <c r="M1100" s="115">
        <v>144.47999999999999</v>
      </c>
      <c r="N1100" s="115">
        <v>147</v>
      </c>
      <c r="O1100" s="115">
        <v>141.63</v>
      </c>
      <c r="P1100" s="115">
        <v>141.63999999999999</v>
      </c>
      <c r="Q1100" s="115">
        <v>722.4</v>
      </c>
      <c r="R1100">
        <v>4137</v>
      </c>
    </row>
    <row r="1101" spans="1:18" x14ac:dyDescent="0.25">
      <c r="A1101" s="169">
        <v>43635</v>
      </c>
      <c r="B1101" s="115">
        <v>144.91</v>
      </c>
      <c r="C1101" s="115">
        <v>140.77000000000001</v>
      </c>
      <c r="D1101" s="115">
        <v>137.55000000000001</v>
      </c>
      <c r="E1101" s="115">
        <v>140</v>
      </c>
      <c r="F1101" s="115">
        <v>703.85</v>
      </c>
      <c r="G1101">
        <v>177</v>
      </c>
      <c r="H1101" s="115"/>
      <c r="I1101" s="115"/>
      <c r="L1101" s="169">
        <v>43628</v>
      </c>
      <c r="M1101" s="115">
        <v>142.79</v>
      </c>
      <c r="N1101" s="115">
        <v>146.77000000000001</v>
      </c>
      <c r="O1101" s="115">
        <v>142.05000000000001</v>
      </c>
      <c r="P1101" s="115">
        <v>146.77000000000001</v>
      </c>
      <c r="Q1101" s="115">
        <v>713.95</v>
      </c>
      <c r="R1101">
        <v>2368</v>
      </c>
    </row>
    <row r="1102" spans="1:18" x14ac:dyDescent="0.25">
      <c r="A1102" s="169">
        <v>43636</v>
      </c>
      <c r="B1102" s="115">
        <v>140.4</v>
      </c>
      <c r="C1102" s="115">
        <v>139.5</v>
      </c>
      <c r="D1102" s="115">
        <v>138</v>
      </c>
      <c r="E1102" s="115">
        <v>140.4</v>
      </c>
      <c r="F1102" s="115">
        <v>697.5</v>
      </c>
      <c r="G1102">
        <v>1884</v>
      </c>
      <c r="H1102" s="115"/>
      <c r="I1102" s="115"/>
      <c r="L1102" s="169">
        <v>43629</v>
      </c>
      <c r="M1102" s="115">
        <v>143.74</v>
      </c>
      <c r="N1102" s="115">
        <v>145.80000000000001</v>
      </c>
      <c r="O1102" s="115">
        <v>143.11000000000001</v>
      </c>
      <c r="P1102" s="115">
        <v>143.69999999999999</v>
      </c>
      <c r="Q1102" s="115">
        <v>718.7</v>
      </c>
      <c r="R1102">
        <v>2889</v>
      </c>
    </row>
    <row r="1103" spans="1:18" x14ac:dyDescent="0.25">
      <c r="A1103" s="169">
        <v>43637</v>
      </c>
      <c r="B1103" s="115">
        <v>145.69</v>
      </c>
      <c r="C1103" s="115">
        <v>141.97999999999999</v>
      </c>
      <c r="D1103" s="115">
        <v>140.21</v>
      </c>
      <c r="E1103" s="115">
        <v>144.49</v>
      </c>
      <c r="F1103" s="115">
        <v>709.9</v>
      </c>
      <c r="G1103">
        <v>649</v>
      </c>
      <c r="H1103" s="115"/>
      <c r="I1103" s="115"/>
      <c r="L1103" s="169">
        <v>43630</v>
      </c>
      <c r="M1103" s="115">
        <v>143.78</v>
      </c>
      <c r="N1103" s="115">
        <v>145.6</v>
      </c>
      <c r="O1103" s="115">
        <v>142.6</v>
      </c>
      <c r="P1103" s="115">
        <v>145.6</v>
      </c>
      <c r="Q1103" s="115">
        <v>718.9</v>
      </c>
      <c r="R1103">
        <v>3402</v>
      </c>
    </row>
    <row r="1104" spans="1:18" x14ac:dyDescent="0.25">
      <c r="A1104" s="169">
        <v>43640</v>
      </c>
      <c r="B1104" s="115">
        <v>147.55000000000001</v>
      </c>
      <c r="C1104" s="115">
        <v>139.43</v>
      </c>
      <c r="D1104" s="115">
        <v>138</v>
      </c>
      <c r="E1104" s="115">
        <v>140.19999999999999</v>
      </c>
      <c r="F1104" s="115">
        <v>697.15</v>
      </c>
      <c r="G1104">
        <v>171</v>
      </c>
      <c r="H1104" s="115"/>
      <c r="I1104" s="115"/>
      <c r="L1104" s="169">
        <v>43633</v>
      </c>
      <c r="M1104" s="115">
        <v>140.44999999999999</v>
      </c>
      <c r="N1104" s="115">
        <v>144.94</v>
      </c>
      <c r="O1104" s="115">
        <v>139.46</v>
      </c>
      <c r="P1104" s="115">
        <v>144.66999999999999</v>
      </c>
      <c r="Q1104" s="115">
        <v>702.25</v>
      </c>
      <c r="R1104">
        <v>6099</v>
      </c>
    </row>
    <row r="1105" spans="1:18" x14ac:dyDescent="0.25">
      <c r="A1105" s="169">
        <v>43641</v>
      </c>
      <c r="B1105" s="115">
        <v>142</v>
      </c>
      <c r="C1105" s="115">
        <v>140.26</v>
      </c>
      <c r="D1105" s="115">
        <v>139.01</v>
      </c>
      <c r="E1105" s="115">
        <v>142</v>
      </c>
      <c r="F1105" s="115">
        <v>701.3</v>
      </c>
      <c r="G1105">
        <v>238</v>
      </c>
      <c r="H1105" s="115"/>
      <c r="I1105" s="115"/>
      <c r="L1105" s="169">
        <v>43634</v>
      </c>
      <c r="M1105" s="115">
        <v>139.91</v>
      </c>
      <c r="N1105" s="115">
        <v>143.38999999999999</v>
      </c>
      <c r="O1105" s="115">
        <v>139.66999999999999</v>
      </c>
      <c r="P1105" s="115">
        <v>143.38999999999999</v>
      </c>
      <c r="Q1105" s="115">
        <v>699.55</v>
      </c>
      <c r="R1105">
        <v>5037</v>
      </c>
    </row>
    <row r="1106" spans="1:18" x14ac:dyDescent="0.25">
      <c r="A1106" s="169">
        <v>43642</v>
      </c>
      <c r="B1106" s="115">
        <v>141.25</v>
      </c>
      <c r="C1106" s="115">
        <v>140.88999999999999</v>
      </c>
      <c r="D1106" s="115">
        <v>140.88999999999999</v>
      </c>
      <c r="E1106" s="115">
        <v>141.25</v>
      </c>
      <c r="F1106" s="115">
        <v>704.45</v>
      </c>
      <c r="G1106">
        <v>15</v>
      </c>
      <c r="H1106" s="115"/>
      <c r="I1106" s="115"/>
      <c r="L1106" s="169">
        <v>43635</v>
      </c>
      <c r="M1106" s="115">
        <v>140.75</v>
      </c>
      <c r="N1106" s="115">
        <v>144.80000000000001</v>
      </c>
      <c r="O1106" s="115">
        <v>137.77000000000001</v>
      </c>
      <c r="P1106" s="115">
        <v>140.19999999999999</v>
      </c>
      <c r="Q1106" s="115">
        <v>703.75</v>
      </c>
      <c r="R1106">
        <v>5257</v>
      </c>
    </row>
    <row r="1107" spans="1:18" x14ac:dyDescent="0.25">
      <c r="A1107" s="169">
        <v>43643</v>
      </c>
      <c r="B1107" s="115">
        <v>143.78</v>
      </c>
      <c r="C1107" s="115">
        <v>141.58000000000001</v>
      </c>
      <c r="D1107" s="115">
        <v>141.41999999999999</v>
      </c>
      <c r="E1107" s="115">
        <v>141.41999999999999</v>
      </c>
      <c r="F1107" s="115">
        <v>707.9</v>
      </c>
      <c r="G1107">
        <v>51</v>
      </c>
      <c r="H1107" s="115"/>
      <c r="I1107" s="115"/>
      <c r="L1107" s="169">
        <v>43636</v>
      </c>
      <c r="M1107" s="115">
        <v>139.47</v>
      </c>
      <c r="N1107" s="115">
        <v>140.6</v>
      </c>
      <c r="O1107" s="115">
        <v>138.6</v>
      </c>
      <c r="P1107" s="115">
        <v>140.24</v>
      </c>
      <c r="Q1107" s="115">
        <v>697.35</v>
      </c>
      <c r="R1107">
        <v>3714</v>
      </c>
    </row>
    <row r="1108" spans="1:18" x14ac:dyDescent="0.25">
      <c r="A1108" s="169">
        <v>43644</v>
      </c>
      <c r="B1108" s="115">
        <v>144.66999999999999</v>
      </c>
      <c r="C1108" s="115">
        <v>143.32</v>
      </c>
      <c r="D1108" s="115">
        <v>142.47999999999999</v>
      </c>
      <c r="E1108" s="115">
        <v>144</v>
      </c>
      <c r="F1108" s="115">
        <v>716.6</v>
      </c>
      <c r="G1108">
        <v>211</v>
      </c>
      <c r="H1108" s="115"/>
      <c r="I1108" s="115"/>
      <c r="L1108" s="169">
        <v>43637</v>
      </c>
      <c r="M1108" s="115">
        <v>141.68</v>
      </c>
      <c r="N1108" s="115">
        <v>147.80000000000001</v>
      </c>
      <c r="O1108" s="115">
        <v>139.6</v>
      </c>
      <c r="P1108" s="115">
        <v>139.6</v>
      </c>
      <c r="Q1108" s="115">
        <v>708.4</v>
      </c>
      <c r="R1108">
        <v>6581</v>
      </c>
    </row>
    <row r="1109" spans="1:18" x14ac:dyDescent="0.25">
      <c r="A1109" s="169">
        <v>43647</v>
      </c>
      <c r="B1109" s="115">
        <v>142.80000000000001</v>
      </c>
      <c r="C1109" s="115">
        <v>142.11000000000001</v>
      </c>
      <c r="D1109" s="115">
        <v>141.6</v>
      </c>
      <c r="E1109" s="115">
        <v>142.41999999999999</v>
      </c>
      <c r="F1109" s="115">
        <v>710.55</v>
      </c>
      <c r="G1109">
        <v>259</v>
      </c>
      <c r="H1109" s="115"/>
      <c r="I1109" s="115"/>
      <c r="L1109" s="169">
        <v>43640</v>
      </c>
      <c r="M1109" s="115">
        <v>139.02000000000001</v>
      </c>
      <c r="N1109" s="115">
        <v>142.34</v>
      </c>
      <c r="O1109" s="115">
        <v>137.19999999999999</v>
      </c>
      <c r="P1109" s="115">
        <v>142</v>
      </c>
      <c r="Q1109" s="115">
        <v>695.1</v>
      </c>
      <c r="R1109">
        <v>3270</v>
      </c>
    </row>
    <row r="1110" spans="1:18" x14ac:dyDescent="0.25">
      <c r="A1110" s="169">
        <v>43648</v>
      </c>
      <c r="B1110" s="115">
        <v>144</v>
      </c>
      <c r="C1110" s="115">
        <v>142.62</v>
      </c>
      <c r="D1110" s="115">
        <v>142.6</v>
      </c>
      <c r="E1110" s="115">
        <v>143</v>
      </c>
      <c r="F1110" s="115">
        <v>713.1</v>
      </c>
      <c r="G1110">
        <v>112</v>
      </c>
      <c r="H1110" s="115"/>
      <c r="I1110" s="115"/>
      <c r="L1110" s="169">
        <v>43641</v>
      </c>
      <c r="M1110" s="115">
        <v>141.4</v>
      </c>
      <c r="N1110" s="115">
        <v>142.22999999999999</v>
      </c>
      <c r="O1110" s="115">
        <v>138</v>
      </c>
      <c r="P1110" s="115">
        <v>138</v>
      </c>
      <c r="Q1110" s="115">
        <v>707</v>
      </c>
      <c r="R1110">
        <v>1989</v>
      </c>
    </row>
    <row r="1111" spans="1:18" x14ac:dyDescent="0.25">
      <c r="A1111" s="169">
        <v>43649</v>
      </c>
      <c r="B1111" s="115">
        <v>143.37</v>
      </c>
      <c r="C1111" s="115">
        <v>142.24</v>
      </c>
      <c r="D1111" s="115">
        <v>140.83000000000001</v>
      </c>
      <c r="E1111" s="115">
        <v>141.63</v>
      </c>
      <c r="F1111" s="115">
        <v>711.2</v>
      </c>
      <c r="G1111">
        <v>72</v>
      </c>
      <c r="H1111" s="115"/>
      <c r="I1111" s="115"/>
      <c r="L1111" s="169">
        <v>43642</v>
      </c>
      <c r="M1111" s="115">
        <v>141.30000000000001</v>
      </c>
      <c r="N1111" s="115">
        <v>143.99</v>
      </c>
      <c r="O1111" s="115">
        <v>138.4</v>
      </c>
      <c r="P1111" s="115">
        <v>138.4</v>
      </c>
      <c r="Q1111" s="115">
        <v>706.5</v>
      </c>
      <c r="R1111">
        <v>1602</v>
      </c>
    </row>
    <row r="1112" spans="1:18" x14ac:dyDescent="0.25">
      <c r="A1112" s="169">
        <v>43650</v>
      </c>
      <c r="B1112" s="115">
        <v>144.58000000000001</v>
      </c>
      <c r="C1112" s="115">
        <v>144.02000000000001</v>
      </c>
      <c r="D1112" s="115">
        <v>143.56</v>
      </c>
      <c r="E1112" s="115">
        <v>143.58000000000001</v>
      </c>
      <c r="F1112" s="115">
        <v>720.1</v>
      </c>
      <c r="G1112">
        <v>25</v>
      </c>
      <c r="H1112" s="115"/>
      <c r="I1112" s="115"/>
      <c r="L1112" s="169">
        <v>43643</v>
      </c>
      <c r="M1112" s="115">
        <v>142.41</v>
      </c>
      <c r="N1112" s="115">
        <v>143.80000000000001</v>
      </c>
      <c r="O1112" s="115">
        <v>140.4</v>
      </c>
      <c r="P1112" s="115">
        <v>140.4</v>
      </c>
      <c r="Q1112" s="115">
        <v>712.05</v>
      </c>
      <c r="R1112">
        <v>4085</v>
      </c>
    </row>
    <row r="1113" spans="1:18" x14ac:dyDescent="0.25">
      <c r="A1113" s="169">
        <v>43651</v>
      </c>
      <c r="B1113" s="115">
        <v>148</v>
      </c>
      <c r="C1113" s="115">
        <v>143.56</v>
      </c>
      <c r="D1113" s="115">
        <v>143</v>
      </c>
      <c r="E1113" s="115">
        <v>145</v>
      </c>
      <c r="F1113" s="115">
        <v>717.8</v>
      </c>
      <c r="G1113">
        <v>302</v>
      </c>
      <c r="H1113" s="115"/>
      <c r="I1113" s="115"/>
      <c r="L1113" s="169">
        <v>43644</v>
      </c>
      <c r="M1113" s="115">
        <v>143.38999999999999</v>
      </c>
      <c r="N1113" s="115">
        <v>145.6</v>
      </c>
      <c r="O1113" s="115">
        <v>141.91</v>
      </c>
      <c r="P1113" s="115">
        <v>145.6</v>
      </c>
      <c r="Q1113" s="115">
        <v>716.95</v>
      </c>
      <c r="R1113">
        <v>7730</v>
      </c>
    </row>
    <row r="1114" spans="1:18" x14ac:dyDescent="0.25">
      <c r="A1114" s="169">
        <v>43654</v>
      </c>
      <c r="B1114" s="115">
        <v>142.5</v>
      </c>
      <c r="C1114" s="115">
        <v>139.97999999999999</v>
      </c>
      <c r="D1114" s="115">
        <v>139</v>
      </c>
      <c r="E1114" s="115">
        <v>140</v>
      </c>
      <c r="F1114" s="115">
        <v>699.9</v>
      </c>
      <c r="G1114">
        <v>390</v>
      </c>
      <c r="H1114" s="115"/>
      <c r="I1114" s="115"/>
      <c r="L1114" s="169">
        <v>43647</v>
      </c>
      <c r="M1114" s="115">
        <v>142.16999999999999</v>
      </c>
      <c r="N1114" s="115">
        <v>144.51</v>
      </c>
      <c r="O1114" s="115">
        <v>141</v>
      </c>
      <c r="P1114" s="115">
        <v>144.51</v>
      </c>
      <c r="Q1114" s="115">
        <v>710.85</v>
      </c>
      <c r="R1114">
        <v>3976</v>
      </c>
    </row>
    <row r="1115" spans="1:18" x14ac:dyDescent="0.25">
      <c r="A1115" s="169">
        <v>43655</v>
      </c>
      <c r="B1115" s="115">
        <v>143.86000000000001</v>
      </c>
      <c r="C1115" s="115">
        <v>142.04</v>
      </c>
      <c r="D1115" s="115">
        <v>139.97999999999999</v>
      </c>
      <c r="E1115" s="115">
        <v>139.97999999999999</v>
      </c>
      <c r="F1115" s="115">
        <v>710.2</v>
      </c>
      <c r="G1115">
        <v>279</v>
      </c>
      <c r="H1115" s="115"/>
      <c r="I1115" s="115"/>
      <c r="L1115" s="169">
        <v>43648</v>
      </c>
      <c r="M1115" s="115">
        <v>142.5</v>
      </c>
      <c r="N1115" s="115">
        <v>143.99</v>
      </c>
      <c r="O1115" s="115">
        <v>141.03</v>
      </c>
      <c r="P1115" s="115">
        <v>142</v>
      </c>
      <c r="Q1115" s="115">
        <v>712.5</v>
      </c>
      <c r="R1115">
        <v>1237</v>
      </c>
    </row>
    <row r="1116" spans="1:18" x14ac:dyDescent="0.25">
      <c r="A1116" s="169">
        <v>43656</v>
      </c>
      <c r="B1116" s="115">
        <v>140.99</v>
      </c>
      <c r="C1116" s="115">
        <v>137.97</v>
      </c>
      <c r="D1116" s="115">
        <v>137.51</v>
      </c>
      <c r="E1116" s="115">
        <v>140.6</v>
      </c>
      <c r="F1116" s="115">
        <v>689.85</v>
      </c>
      <c r="G1116">
        <v>340</v>
      </c>
      <c r="H1116" s="115"/>
      <c r="I1116" s="115"/>
      <c r="L1116" s="169">
        <v>43649</v>
      </c>
      <c r="M1116" s="115">
        <v>142.62</v>
      </c>
      <c r="N1116" s="115">
        <v>143.19999999999999</v>
      </c>
      <c r="O1116" s="115">
        <v>140.22</v>
      </c>
      <c r="P1116" s="115">
        <v>141.79</v>
      </c>
      <c r="Q1116" s="115">
        <v>713.1</v>
      </c>
      <c r="R1116">
        <v>3419</v>
      </c>
    </row>
    <row r="1117" spans="1:18" x14ac:dyDescent="0.25">
      <c r="A1117" s="169">
        <v>43657</v>
      </c>
      <c r="B1117" s="115">
        <v>142.83000000000001</v>
      </c>
      <c r="C1117" s="115">
        <v>140.91</v>
      </c>
      <c r="D1117" s="115">
        <v>137.80000000000001</v>
      </c>
      <c r="E1117" s="115">
        <v>138.4</v>
      </c>
      <c r="F1117" s="115">
        <v>704.55</v>
      </c>
      <c r="G1117">
        <v>131</v>
      </c>
      <c r="H1117" s="115"/>
      <c r="I1117" s="115"/>
      <c r="L1117" s="169">
        <v>43650</v>
      </c>
      <c r="M1117" s="115">
        <v>144.24</v>
      </c>
      <c r="N1117" s="115">
        <v>144.80000000000001</v>
      </c>
      <c r="O1117" s="115">
        <v>142</v>
      </c>
      <c r="P1117" s="115">
        <v>142</v>
      </c>
      <c r="Q1117" s="115">
        <v>721.2</v>
      </c>
      <c r="R1117">
        <v>1589</v>
      </c>
    </row>
    <row r="1118" spans="1:18" x14ac:dyDescent="0.25">
      <c r="A1118" s="169">
        <v>43658</v>
      </c>
      <c r="B1118" s="115">
        <v>142.80000000000001</v>
      </c>
      <c r="C1118" s="115">
        <v>142.59</v>
      </c>
      <c r="D1118" s="115">
        <v>141.71</v>
      </c>
      <c r="E1118" s="115">
        <v>141.71</v>
      </c>
      <c r="F1118" s="115">
        <v>712.95</v>
      </c>
      <c r="G1118">
        <v>50</v>
      </c>
      <c r="H1118" s="115"/>
      <c r="I1118" s="115"/>
      <c r="L1118" s="169">
        <v>43651</v>
      </c>
      <c r="M1118" s="115">
        <v>143.49</v>
      </c>
      <c r="N1118" s="115">
        <v>147.79</v>
      </c>
      <c r="O1118" s="115">
        <v>142</v>
      </c>
      <c r="P1118" s="115">
        <v>142</v>
      </c>
      <c r="Q1118" s="115">
        <v>717.45</v>
      </c>
      <c r="R1118">
        <v>7621</v>
      </c>
    </row>
    <row r="1119" spans="1:18" x14ac:dyDescent="0.25">
      <c r="A1119" s="169">
        <v>43661</v>
      </c>
      <c r="B1119" s="115">
        <v>142.80000000000001</v>
      </c>
      <c r="C1119" s="115">
        <v>140.21</v>
      </c>
      <c r="D1119" s="115">
        <v>140.21</v>
      </c>
      <c r="E1119" s="115">
        <v>142.80000000000001</v>
      </c>
      <c r="F1119" s="115">
        <v>701.05</v>
      </c>
      <c r="G1119">
        <v>28</v>
      </c>
      <c r="H1119" s="115"/>
      <c r="I1119" s="115"/>
      <c r="L1119" s="169">
        <v>43654</v>
      </c>
      <c r="M1119" s="115">
        <v>140.04</v>
      </c>
      <c r="N1119" s="115">
        <v>143.37</v>
      </c>
      <c r="O1119" s="115">
        <v>138.4</v>
      </c>
      <c r="P1119" s="115">
        <v>143.37</v>
      </c>
      <c r="Q1119" s="115">
        <v>700.2</v>
      </c>
      <c r="R1119">
        <v>4119</v>
      </c>
    </row>
    <row r="1120" spans="1:18" x14ac:dyDescent="0.25">
      <c r="A1120" s="169">
        <v>43662</v>
      </c>
      <c r="B1120" s="115">
        <v>141.69999999999999</v>
      </c>
      <c r="C1120" s="115">
        <v>137.19999999999999</v>
      </c>
      <c r="D1120" s="115">
        <v>135.87</v>
      </c>
      <c r="E1120" s="115">
        <v>141.69999999999999</v>
      </c>
      <c r="F1120" s="115">
        <v>686</v>
      </c>
      <c r="G1120">
        <v>657</v>
      </c>
      <c r="H1120" s="115"/>
      <c r="I1120" s="115"/>
      <c r="L1120" s="169">
        <v>43655</v>
      </c>
      <c r="M1120" s="115">
        <v>143.09</v>
      </c>
      <c r="N1120" s="115">
        <v>144.53</v>
      </c>
      <c r="O1120" s="115">
        <v>137.80000000000001</v>
      </c>
      <c r="P1120" s="115">
        <v>137.80000000000001</v>
      </c>
      <c r="Q1120" s="115">
        <v>715.45</v>
      </c>
      <c r="R1120">
        <v>3593</v>
      </c>
    </row>
    <row r="1121" spans="1:18" x14ac:dyDescent="0.25">
      <c r="A1121" s="169">
        <v>43663</v>
      </c>
      <c r="B1121" s="115">
        <v>138</v>
      </c>
      <c r="C1121" s="115">
        <v>137.26</v>
      </c>
      <c r="D1121" s="115">
        <v>136.19999999999999</v>
      </c>
      <c r="E1121" s="115">
        <v>137.5</v>
      </c>
      <c r="F1121" s="115">
        <v>686.3</v>
      </c>
      <c r="G1121">
        <v>959</v>
      </c>
      <c r="H1121" s="115"/>
      <c r="I1121" s="115"/>
      <c r="L1121" s="169">
        <v>43656</v>
      </c>
      <c r="M1121" s="115">
        <v>138.88999999999999</v>
      </c>
      <c r="N1121" s="115">
        <v>143.97999999999999</v>
      </c>
      <c r="O1121" s="115">
        <v>138</v>
      </c>
      <c r="P1121" s="115">
        <v>141.6</v>
      </c>
      <c r="Q1121" s="115">
        <v>694.45</v>
      </c>
      <c r="R1121">
        <v>8949</v>
      </c>
    </row>
    <row r="1122" spans="1:18" x14ac:dyDescent="0.25">
      <c r="A1122" s="169">
        <v>43664</v>
      </c>
      <c r="B1122" s="115">
        <v>138.58000000000001</v>
      </c>
      <c r="C1122" s="115">
        <v>134.47</v>
      </c>
      <c r="D1122" s="115">
        <v>133</v>
      </c>
      <c r="E1122" s="115">
        <v>137.38</v>
      </c>
      <c r="F1122" s="115">
        <v>672.35</v>
      </c>
      <c r="G1122">
        <v>398</v>
      </c>
      <c r="H1122" s="115"/>
      <c r="I1122" s="115"/>
      <c r="L1122" s="169">
        <v>43657</v>
      </c>
      <c r="M1122" s="115">
        <v>141.38</v>
      </c>
      <c r="N1122" s="115">
        <v>143</v>
      </c>
      <c r="O1122" s="115">
        <v>137.71</v>
      </c>
      <c r="P1122" s="115">
        <v>137.9</v>
      </c>
      <c r="Q1122" s="115">
        <v>706.9</v>
      </c>
      <c r="R1122">
        <v>6044</v>
      </c>
    </row>
    <row r="1123" spans="1:18" x14ac:dyDescent="0.25">
      <c r="A1123" s="169">
        <v>43665</v>
      </c>
      <c r="B1123" s="115">
        <v>132.96</v>
      </c>
      <c r="C1123" s="115">
        <v>131.81</v>
      </c>
      <c r="D1123" s="115">
        <v>130.6</v>
      </c>
      <c r="E1123" s="115">
        <v>132.59</v>
      </c>
      <c r="F1123" s="115">
        <v>659.05</v>
      </c>
      <c r="G1123">
        <v>371</v>
      </c>
      <c r="H1123" s="115"/>
      <c r="I1123" s="115"/>
      <c r="L1123" s="169">
        <v>43658</v>
      </c>
      <c r="M1123" s="115">
        <v>142.47999999999999</v>
      </c>
      <c r="N1123" s="115">
        <v>143.29</v>
      </c>
      <c r="O1123" s="115">
        <v>140.44</v>
      </c>
      <c r="P1123" s="115">
        <v>140.80000000000001</v>
      </c>
      <c r="Q1123" s="115">
        <v>712.4</v>
      </c>
      <c r="R1123">
        <v>2662</v>
      </c>
    </row>
    <row r="1124" spans="1:18" x14ac:dyDescent="0.25">
      <c r="A1124" s="169">
        <v>43668</v>
      </c>
      <c r="B1124" s="115">
        <v>135</v>
      </c>
      <c r="C1124" s="115">
        <v>129.66999999999999</v>
      </c>
      <c r="D1124" s="115">
        <v>128.6</v>
      </c>
      <c r="E1124" s="115">
        <v>135</v>
      </c>
      <c r="F1124" s="115">
        <v>648.35</v>
      </c>
      <c r="G1124">
        <v>450</v>
      </c>
      <c r="H1124" s="115"/>
      <c r="I1124" s="115"/>
      <c r="L1124" s="169">
        <v>43661</v>
      </c>
      <c r="M1124" s="115">
        <v>140.57</v>
      </c>
      <c r="N1124" s="115">
        <v>143.22999999999999</v>
      </c>
      <c r="O1124" s="115">
        <v>139.19999999999999</v>
      </c>
      <c r="P1124" s="115">
        <v>141.66</v>
      </c>
      <c r="Q1124" s="115">
        <v>702.85</v>
      </c>
      <c r="R1124">
        <v>5705</v>
      </c>
    </row>
    <row r="1125" spans="1:18" x14ac:dyDescent="0.25">
      <c r="A1125" s="169">
        <v>43669</v>
      </c>
      <c r="B1125" s="115">
        <v>133.38999999999999</v>
      </c>
      <c r="C1125" s="115">
        <v>129.37</v>
      </c>
      <c r="D1125" s="115">
        <v>127.48</v>
      </c>
      <c r="E1125" s="115">
        <v>130.27000000000001</v>
      </c>
      <c r="F1125" s="115">
        <v>646.85</v>
      </c>
      <c r="G1125">
        <v>896</v>
      </c>
      <c r="H1125" s="115"/>
      <c r="I1125" s="115"/>
      <c r="L1125" s="169">
        <v>43662</v>
      </c>
      <c r="M1125" s="115">
        <v>137.75</v>
      </c>
      <c r="N1125" s="115">
        <v>141.29</v>
      </c>
      <c r="O1125" s="115">
        <v>136.38</v>
      </c>
      <c r="P1125" s="115">
        <v>139.82</v>
      </c>
      <c r="Q1125" s="115">
        <v>688.75</v>
      </c>
      <c r="R1125">
        <v>7049</v>
      </c>
    </row>
    <row r="1126" spans="1:18" x14ac:dyDescent="0.25">
      <c r="A1126" s="169">
        <v>43670</v>
      </c>
      <c r="B1126" s="115">
        <v>128</v>
      </c>
      <c r="C1126" s="115">
        <v>126.7</v>
      </c>
      <c r="D1126" s="115">
        <v>125</v>
      </c>
      <c r="E1126" s="115">
        <v>128</v>
      </c>
      <c r="F1126" s="115">
        <v>633.5</v>
      </c>
      <c r="G1126">
        <v>629</v>
      </c>
      <c r="H1126" s="115"/>
      <c r="I1126" s="115"/>
      <c r="L1126" s="169">
        <v>43663</v>
      </c>
      <c r="M1126" s="115">
        <v>136.97</v>
      </c>
      <c r="N1126" s="115">
        <v>139</v>
      </c>
      <c r="O1126" s="115">
        <v>136.4</v>
      </c>
      <c r="P1126" s="115">
        <v>138</v>
      </c>
      <c r="Q1126" s="115">
        <v>684.85</v>
      </c>
      <c r="R1126">
        <v>22868</v>
      </c>
    </row>
    <row r="1127" spans="1:18" x14ac:dyDescent="0.25">
      <c r="A1127" s="169">
        <v>43671</v>
      </c>
      <c r="B1127" s="115">
        <v>130.81</v>
      </c>
      <c r="C1127" s="115">
        <v>126.36</v>
      </c>
      <c r="D1127" s="115">
        <v>125.6</v>
      </c>
      <c r="E1127" s="115">
        <v>128.41</v>
      </c>
      <c r="F1127" s="115">
        <v>631.79999999999995</v>
      </c>
      <c r="G1127">
        <v>245</v>
      </c>
      <c r="H1127" s="115"/>
      <c r="I1127" s="115"/>
      <c r="L1127" s="169">
        <v>43664</v>
      </c>
      <c r="M1127" s="115">
        <v>133.66999999999999</v>
      </c>
      <c r="N1127" s="115">
        <v>136.79</v>
      </c>
      <c r="O1127" s="115">
        <v>133.19</v>
      </c>
      <c r="P1127" s="115">
        <v>136</v>
      </c>
      <c r="Q1127" s="115">
        <v>668.35</v>
      </c>
      <c r="R1127">
        <v>3767</v>
      </c>
    </row>
    <row r="1128" spans="1:18" x14ac:dyDescent="0.25">
      <c r="A1128" s="169">
        <v>43672</v>
      </c>
      <c r="B1128" s="115">
        <v>134.93</v>
      </c>
      <c r="C1128" s="115">
        <v>130.13999999999999</v>
      </c>
      <c r="D1128" s="115">
        <v>126</v>
      </c>
      <c r="E1128" s="115">
        <v>126.43</v>
      </c>
      <c r="F1128" s="115">
        <v>650.70000000000005</v>
      </c>
      <c r="G1128">
        <v>956</v>
      </c>
      <c r="H1128" s="115"/>
      <c r="I1128" s="115"/>
      <c r="L1128" s="169">
        <v>43665</v>
      </c>
      <c r="M1128" s="115">
        <v>132.22999999999999</v>
      </c>
      <c r="N1128" s="115">
        <v>134.18</v>
      </c>
      <c r="O1128" s="115">
        <v>130.15</v>
      </c>
      <c r="P1128" s="115">
        <v>133.66999999999999</v>
      </c>
      <c r="Q1128" s="115">
        <v>661.15</v>
      </c>
      <c r="R1128">
        <v>2815</v>
      </c>
    </row>
    <row r="1129" spans="1:18" x14ac:dyDescent="0.25">
      <c r="A1129" s="169">
        <v>43675</v>
      </c>
      <c r="B1129" s="115">
        <v>129.80000000000001</v>
      </c>
      <c r="C1129" s="115">
        <v>125</v>
      </c>
      <c r="D1129" s="115">
        <v>123.26</v>
      </c>
      <c r="E1129" s="115">
        <v>128.5</v>
      </c>
      <c r="F1129" s="115">
        <v>625</v>
      </c>
      <c r="G1129">
        <v>126</v>
      </c>
      <c r="H1129" s="115"/>
      <c r="I1129" s="115"/>
      <c r="L1129" s="169">
        <v>43668</v>
      </c>
      <c r="M1129" s="115">
        <v>129.28</v>
      </c>
      <c r="N1129" s="115">
        <v>133.99</v>
      </c>
      <c r="O1129" s="115">
        <v>128.02000000000001</v>
      </c>
      <c r="P1129" s="115">
        <v>132.22999999999999</v>
      </c>
      <c r="Q1129" s="115">
        <v>646.4</v>
      </c>
      <c r="R1129">
        <v>3541</v>
      </c>
    </row>
    <row r="1130" spans="1:18" x14ac:dyDescent="0.25">
      <c r="A1130" s="169">
        <v>43676</v>
      </c>
      <c r="B1130" s="115">
        <v>126.6</v>
      </c>
      <c r="C1130" s="115">
        <v>123.04</v>
      </c>
      <c r="D1130" s="115">
        <v>121.63</v>
      </c>
      <c r="E1130" s="115">
        <v>124.6</v>
      </c>
      <c r="F1130" s="115">
        <v>615.20000000000005</v>
      </c>
      <c r="G1130">
        <v>699</v>
      </c>
      <c r="H1130" s="115"/>
      <c r="I1130" s="115"/>
      <c r="L1130" s="169">
        <v>43669</v>
      </c>
      <c r="M1130" s="115">
        <v>128.38</v>
      </c>
      <c r="N1130" s="115">
        <v>133.80000000000001</v>
      </c>
      <c r="O1130" s="115">
        <v>127.2</v>
      </c>
      <c r="P1130" s="115">
        <v>127.2</v>
      </c>
      <c r="Q1130" s="115">
        <v>641.9</v>
      </c>
      <c r="R1130">
        <v>2959</v>
      </c>
    </row>
    <row r="1131" spans="1:18" x14ac:dyDescent="0.25">
      <c r="A1131" s="169">
        <v>43677</v>
      </c>
      <c r="B1131" s="115">
        <v>126.25</v>
      </c>
      <c r="C1131" s="115">
        <v>122.39</v>
      </c>
      <c r="D1131" s="115">
        <v>121.6</v>
      </c>
      <c r="E1131" s="115">
        <v>123</v>
      </c>
      <c r="F1131" s="115">
        <v>611.95000000000005</v>
      </c>
      <c r="G1131">
        <v>307</v>
      </c>
      <c r="H1131" s="115"/>
      <c r="I1131" s="115"/>
      <c r="L1131" s="169">
        <v>43670</v>
      </c>
      <c r="M1131" s="115">
        <v>126.02</v>
      </c>
      <c r="N1131" s="115">
        <v>128.57</v>
      </c>
      <c r="O1131" s="115">
        <v>124.2</v>
      </c>
      <c r="P1131" s="115">
        <v>126.8</v>
      </c>
      <c r="Q1131" s="115">
        <v>630.1</v>
      </c>
      <c r="R1131">
        <v>5158</v>
      </c>
    </row>
    <row r="1132" spans="1:18" x14ac:dyDescent="0.25">
      <c r="A1132" s="169">
        <v>43678</v>
      </c>
      <c r="B1132" s="115">
        <v>123.59</v>
      </c>
      <c r="C1132" s="115">
        <v>119.39</v>
      </c>
      <c r="D1132" s="115">
        <v>118</v>
      </c>
      <c r="E1132" s="115">
        <v>120.95</v>
      </c>
      <c r="F1132" s="115">
        <v>596.95000000000005</v>
      </c>
      <c r="G1132">
        <v>3217</v>
      </c>
      <c r="H1132" s="115"/>
      <c r="I1132" s="115"/>
      <c r="L1132" s="169">
        <v>43671</v>
      </c>
      <c r="M1132" s="115">
        <v>126.06</v>
      </c>
      <c r="N1132" s="115">
        <v>131.6</v>
      </c>
      <c r="O1132" s="115">
        <v>125.8</v>
      </c>
      <c r="P1132" s="115">
        <v>127.4</v>
      </c>
      <c r="Q1132" s="115">
        <v>630.29999999999995</v>
      </c>
      <c r="R1132">
        <v>6763</v>
      </c>
    </row>
    <row r="1133" spans="1:18" x14ac:dyDescent="0.25">
      <c r="A1133" s="169">
        <v>43679</v>
      </c>
      <c r="B1133" s="115">
        <v>118.4</v>
      </c>
      <c r="C1133" s="115">
        <v>113.48</v>
      </c>
      <c r="D1133" s="115">
        <v>113</v>
      </c>
      <c r="E1133" s="115">
        <v>118</v>
      </c>
      <c r="F1133" s="115">
        <v>567.4</v>
      </c>
      <c r="G1133">
        <v>1205</v>
      </c>
      <c r="H1133" s="115"/>
      <c r="I1133" s="115"/>
      <c r="L1133" s="169">
        <v>43672</v>
      </c>
      <c r="M1133" s="115">
        <v>130.05000000000001</v>
      </c>
      <c r="N1133" s="115">
        <v>131.6</v>
      </c>
      <c r="O1133" s="115">
        <v>126.2</v>
      </c>
      <c r="P1133" s="115">
        <v>126.2</v>
      </c>
      <c r="Q1133" s="115">
        <v>650.25</v>
      </c>
      <c r="R1133">
        <v>8867</v>
      </c>
    </row>
    <row r="1134" spans="1:18" x14ac:dyDescent="0.25">
      <c r="A1134" s="169">
        <v>43682</v>
      </c>
      <c r="B1134" s="115">
        <v>115</v>
      </c>
      <c r="C1134" s="115">
        <v>111.17</v>
      </c>
      <c r="D1134" s="115">
        <v>110</v>
      </c>
      <c r="E1134" s="115">
        <v>115</v>
      </c>
      <c r="F1134" s="115">
        <v>555.85</v>
      </c>
      <c r="G1134">
        <v>511</v>
      </c>
      <c r="H1134" s="115"/>
      <c r="I1134" s="115"/>
      <c r="L1134" s="169">
        <v>43675</v>
      </c>
      <c r="M1134" s="115">
        <v>124.63</v>
      </c>
      <c r="N1134" s="115">
        <v>130.58000000000001</v>
      </c>
      <c r="O1134" s="115">
        <v>123.6</v>
      </c>
      <c r="P1134" s="115">
        <v>127.44</v>
      </c>
      <c r="Q1134" s="115">
        <v>623.15</v>
      </c>
      <c r="R1134">
        <v>6018</v>
      </c>
    </row>
    <row r="1135" spans="1:18" x14ac:dyDescent="0.25">
      <c r="A1135" s="169">
        <v>43683</v>
      </c>
      <c r="B1135" s="115">
        <v>117.2</v>
      </c>
      <c r="C1135" s="115">
        <v>113.26</v>
      </c>
      <c r="D1135" s="115">
        <v>110</v>
      </c>
      <c r="E1135" s="115">
        <v>117.2</v>
      </c>
      <c r="F1135" s="115">
        <v>566.29999999999995</v>
      </c>
      <c r="G1135">
        <v>172</v>
      </c>
      <c r="H1135" s="115"/>
      <c r="I1135" s="115"/>
      <c r="L1135" s="169">
        <v>43676</v>
      </c>
      <c r="M1135" s="115">
        <v>123.58</v>
      </c>
      <c r="N1135" s="115">
        <v>126.98</v>
      </c>
      <c r="O1135" s="115">
        <v>123.2</v>
      </c>
      <c r="P1135" s="115">
        <v>124.63</v>
      </c>
      <c r="Q1135" s="115">
        <v>617.9</v>
      </c>
      <c r="R1135">
        <v>2811</v>
      </c>
    </row>
    <row r="1136" spans="1:18" x14ac:dyDescent="0.25">
      <c r="A1136" s="169">
        <v>43684</v>
      </c>
      <c r="B1136" s="115">
        <v>116.98</v>
      </c>
      <c r="C1136" s="115">
        <v>113.24</v>
      </c>
      <c r="D1136" s="115">
        <v>112.41</v>
      </c>
      <c r="E1136" s="115">
        <v>115.36</v>
      </c>
      <c r="F1136" s="115">
        <v>566.20000000000005</v>
      </c>
      <c r="G1136">
        <v>245</v>
      </c>
      <c r="H1136" s="115"/>
      <c r="I1136" s="115"/>
      <c r="L1136" s="169">
        <v>43677</v>
      </c>
      <c r="M1136" s="115">
        <v>122.38</v>
      </c>
      <c r="N1136" s="115">
        <v>126.29</v>
      </c>
      <c r="O1136" s="115">
        <v>120.61</v>
      </c>
      <c r="P1136" s="115">
        <v>123.04</v>
      </c>
      <c r="Q1136" s="115">
        <v>611.9</v>
      </c>
      <c r="R1136">
        <v>8422</v>
      </c>
    </row>
    <row r="1137" spans="1:18" x14ac:dyDescent="0.25">
      <c r="A1137" s="169">
        <v>43685</v>
      </c>
      <c r="B1137" s="115">
        <v>116.7</v>
      </c>
      <c r="C1137" s="115">
        <v>116.43</v>
      </c>
      <c r="D1137" s="115">
        <v>112.2</v>
      </c>
      <c r="E1137" s="115">
        <v>113.2</v>
      </c>
      <c r="F1137" s="115">
        <v>582.15</v>
      </c>
      <c r="G1137">
        <v>366</v>
      </c>
      <c r="H1137" s="115"/>
      <c r="I1137" s="115"/>
      <c r="L1137" s="169">
        <v>43678</v>
      </c>
      <c r="M1137" s="115">
        <v>119.03</v>
      </c>
      <c r="N1137" s="115">
        <v>123.6</v>
      </c>
      <c r="O1137" s="115">
        <v>117.99</v>
      </c>
      <c r="P1137" s="115">
        <v>121.52</v>
      </c>
      <c r="Q1137" s="115">
        <v>595.15</v>
      </c>
      <c r="R1137">
        <v>15151</v>
      </c>
    </row>
    <row r="1138" spans="1:18" x14ac:dyDescent="0.25">
      <c r="A1138" s="169">
        <v>43686</v>
      </c>
      <c r="B1138" s="115">
        <v>124.2</v>
      </c>
      <c r="C1138" s="115">
        <v>120.46</v>
      </c>
      <c r="D1138" s="115">
        <v>115.4</v>
      </c>
      <c r="E1138" s="115">
        <v>115.59</v>
      </c>
      <c r="F1138" s="115">
        <v>602.29999999999995</v>
      </c>
      <c r="G1138">
        <v>262</v>
      </c>
      <c r="H1138" s="115"/>
      <c r="I1138" s="115"/>
      <c r="L1138" s="169">
        <v>43679</v>
      </c>
      <c r="M1138" s="115">
        <v>114.09</v>
      </c>
      <c r="N1138" s="115">
        <v>118.97</v>
      </c>
      <c r="O1138" s="115">
        <v>112.42</v>
      </c>
      <c r="P1138" s="115">
        <v>118.1</v>
      </c>
      <c r="Q1138" s="115">
        <v>570.45000000000005</v>
      </c>
      <c r="R1138">
        <v>20075</v>
      </c>
    </row>
    <row r="1139" spans="1:18" x14ac:dyDescent="0.25">
      <c r="A1139" s="169">
        <v>43690</v>
      </c>
      <c r="B1139" s="115">
        <v>122.8</v>
      </c>
      <c r="C1139" s="115">
        <v>122.29</v>
      </c>
      <c r="D1139" s="115">
        <v>120</v>
      </c>
      <c r="E1139" s="115">
        <v>120.17</v>
      </c>
      <c r="F1139" s="115">
        <v>611.45000000000005</v>
      </c>
      <c r="G1139">
        <v>240</v>
      </c>
      <c r="H1139" s="115"/>
      <c r="I1139" s="115"/>
      <c r="L1139" s="169">
        <v>43682</v>
      </c>
      <c r="M1139" s="115">
        <v>110.98</v>
      </c>
      <c r="N1139" s="115">
        <v>116</v>
      </c>
      <c r="O1139" s="115">
        <v>109.85</v>
      </c>
      <c r="P1139" s="115">
        <v>116</v>
      </c>
      <c r="Q1139" s="115">
        <v>554.9</v>
      </c>
      <c r="R1139">
        <v>6349</v>
      </c>
    </row>
    <row r="1140" spans="1:18" x14ac:dyDescent="0.25">
      <c r="A1140" s="169">
        <v>43691</v>
      </c>
      <c r="B1140" s="115">
        <v>123.4</v>
      </c>
      <c r="C1140" s="115">
        <v>119.99</v>
      </c>
      <c r="D1140" s="115">
        <v>118.88</v>
      </c>
      <c r="E1140" s="115">
        <v>122.4</v>
      </c>
      <c r="F1140" s="115">
        <v>599.95000000000005</v>
      </c>
      <c r="G1140">
        <v>378</v>
      </c>
      <c r="H1140" s="115"/>
      <c r="I1140" s="115"/>
      <c r="L1140" s="169">
        <v>43683</v>
      </c>
      <c r="M1140" s="115">
        <v>112.34</v>
      </c>
      <c r="N1140" s="115">
        <v>114.25</v>
      </c>
      <c r="O1140" s="115">
        <v>109.8</v>
      </c>
      <c r="P1140" s="115">
        <v>109.8</v>
      </c>
      <c r="Q1140" s="115">
        <v>561.70000000000005</v>
      </c>
      <c r="R1140">
        <v>6042</v>
      </c>
    </row>
    <row r="1141" spans="1:18" x14ac:dyDescent="0.25">
      <c r="A1141" s="169">
        <v>43693</v>
      </c>
      <c r="B1141" s="115">
        <v>122</v>
      </c>
      <c r="C1141" s="115">
        <v>120.06</v>
      </c>
      <c r="D1141" s="115">
        <v>115.65</v>
      </c>
      <c r="E1141" s="115">
        <v>116.8</v>
      </c>
      <c r="F1141" s="115">
        <v>600.29999999999995</v>
      </c>
      <c r="G1141">
        <v>229</v>
      </c>
      <c r="H1141" s="115"/>
      <c r="I1141" s="115"/>
      <c r="L1141" s="169">
        <v>43684</v>
      </c>
      <c r="M1141" s="115">
        <v>113.35</v>
      </c>
      <c r="N1141" s="115">
        <v>115.98</v>
      </c>
      <c r="O1141" s="115">
        <v>111.46</v>
      </c>
      <c r="P1141" s="115">
        <v>113.8</v>
      </c>
      <c r="Q1141" s="115">
        <v>566.75</v>
      </c>
      <c r="R1141">
        <v>3974</v>
      </c>
    </row>
    <row r="1142" spans="1:18" x14ac:dyDescent="0.25">
      <c r="A1142" s="169">
        <v>43696</v>
      </c>
      <c r="B1142" s="115">
        <v>124</v>
      </c>
      <c r="C1142" s="115">
        <v>120.52</v>
      </c>
      <c r="D1142" s="115">
        <v>120</v>
      </c>
      <c r="E1142" s="115">
        <v>124</v>
      </c>
      <c r="F1142" s="115">
        <v>602.6</v>
      </c>
      <c r="G1142">
        <v>287</v>
      </c>
      <c r="H1142" s="115"/>
      <c r="I1142" s="115"/>
      <c r="L1142" s="169">
        <v>43685</v>
      </c>
      <c r="M1142" s="115">
        <v>115.65</v>
      </c>
      <c r="N1142" s="115">
        <v>116.5</v>
      </c>
      <c r="O1142" s="115">
        <v>112.45</v>
      </c>
      <c r="P1142" s="115">
        <v>114.99</v>
      </c>
      <c r="Q1142" s="115">
        <v>578.25</v>
      </c>
      <c r="R1142">
        <v>3314</v>
      </c>
    </row>
    <row r="1143" spans="1:18" x14ac:dyDescent="0.25">
      <c r="A1143" s="169">
        <v>43697</v>
      </c>
      <c r="B1143" s="115">
        <v>120.78</v>
      </c>
      <c r="C1143" s="115">
        <v>118.67</v>
      </c>
      <c r="D1143" s="115">
        <v>117.6</v>
      </c>
      <c r="E1143" s="115">
        <v>120.78</v>
      </c>
      <c r="F1143" s="115">
        <v>593.35</v>
      </c>
      <c r="G1143">
        <v>429</v>
      </c>
      <c r="H1143" s="115"/>
      <c r="I1143" s="115"/>
      <c r="L1143" s="169">
        <v>43686</v>
      </c>
      <c r="M1143" s="115">
        <v>121.09</v>
      </c>
      <c r="N1143" s="115">
        <v>124</v>
      </c>
      <c r="O1143" s="115">
        <v>114.89</v>
      </c>
      <c r="P1143" s="115">
        <v>116.01</v>
      </c>
      <c r="Q1143" s="115">
        <v>605.45000000000005</v>
      </c>
      <c r="R1143">
        <v>4764</v>
      </c>
    </row>
    <row r="1144" spans="1:18" x14ac:dyDescent="0.25">
      <c r="A1144" s="169">
        <v>43698</v>
      </c>
      <c r="B1144" s="115">
        <v>118.08</v>
      </c>
      <c r="C1144" s="115">
        <v>115.52</v>
      </c>
      <c r="D1144" s="115">
        <v>115.48</v>
      </c>
      <c r="E1144" s="115">
        <v>118.08</v>
      </c>
      <c r="F1144" s="115">
        <v>577.6</v>
      </c>
      <c r="G1144">
        <v>619</v>
      </c>
      <c r="H1144" s="115"/>
      <c r="I1144" s="115"/>
      <c r="L1144" s="169">
        <v>43690</v>
      </c>
      <c r="M1144" s="115">
        <v>122.2</v>
      </c>
      <c r="N1144" s="115">
        <v>122.96</v>
      </c>
      <c r="O1144" s="115">
        <v>118</v>
      </c>
      <c r="P1144" s="115">
        <v>118</v>
      </c>
      <c r="Q1144" s="115">
        <v>611</v>
      </c>
      <c r="R1144">
        <v>5660</v>
      </c>
    </row>
    <row r="1145" spans="1:18" x14ac:dyDescent="0.25">
      <c r="A1145" s="169">
        <v>43699</v>
      </c>
      <c r="B1145" s="115">
        <v>118</v>
      </c>
      <c r="C1145" s="115">
        <v>114.73</v>
      </c>
      <c r="D1145" s="115">
        <v>114.73</v>
      </c>
      <c r="E1145" s="115">
        <v>117.08</v>
      </c>
      <c r="F1145" s="115">
        <v>573.65</v>
      </c>
      <c r="G1145">
        <v>314</v>
      </c>
      <c r="H1145" s="115"/>
      <c r="I1145" s="115"/>
      <c r="L1145" s="169">
        <v>43691</v>
      </c>
      <c r="M1145" s="115">
        <v>120.41</v>
      </c>
      <c r="N1145" s="115">
        <v>123.03</v>
      </c>
      <c r="O1145" s="115">
        <v>119.06</v>
      </c>
      <c r="P1145" s="115">
        <v>122.76</v>
      </c>
      <c r="Q1145" s="115">
        <v>602.04999999999995</v>
      </c>
      <c r="R1145">
        <v>1722</v>
      </c>
    </row>
    <row r="1146" spans="1:18" x14ac:dyDescent="0.25">
      <c r="A1146" s="169">
        <v>43700</v>
      </c>
      <c r="B1146" s="115">
        <v>118.65</v>
      </c>
      <c r="C1146" s="115">
        <v>118.27</v>
      </c>
      <c r="D1146" s="115">
        <v>112.82</v>
      </c>
      <c r="E1146" s="115">
        <v>114</v>
      </c>
      <c r="F1146" s="115">
        <v>591.35</v>
      </c>
      <c r="G1146">
        <v>260</v>
      </c>
      <c r="H1146" s="115"/>
      <c r="I1146" s="115"/>
      <c r="L1146" s="169">
        <v>43693</v>
      </c>
      <c r="M1146" s="115">
        <v>120.7</v>
      </c>
      <c r="N1146" s="115">
        <v>122.4</v>
      </c>
      <c r="O1146" s="115">
        <v>115</v>
      </c>
      <c r="P1146" s="115">
        <v>118.22</v>
      </c>
      <c r="Q1146" s="115">
        <v>603.5</v>
      </c>
      <c r="R1146">
        <v>5457</v>
      </c>
    </row>
    <row r="1147" spans="1:18" x14ac:dyDescent="0.25">
      <c r="A1147" s="169">
        <v>43703</v>
      </c>
      <c r="B1147" s="115">
        <v>122.56</v>
      </c>
      <c r="C1147" s="115">
        <v>119.28</v>
      </c>
      <c r="D1147" s="115">
        <v>116.28</v>
      </c>
      <c r="E1147" s="115">
        <v>118.7</v>
      </c>
      <c r="F1147" s="115">
        <v>596.4</v>
      </c>
      <c r="G1147">
        <v>146</v>
      </c>
      <c r="H1147" s="115"/>
      <c r="I1147" s="115"/>
      <c r="L1147" s="169">
        <v>43696</v>
      </c>
      <c r="M1147" s="115">
        <v>120.57</v>
      </c>
      <c r="N1147" s="115">
        <v>123.6</v>
      </c>
      <c r="O1147" s="115">
        <v>119.4</v>
      </c>
      <c r="P1147" s="115">
        <v>123.6</v>
      </c>
      <c r="Q1147" s="115">
        <v>602.85</v>
      </c>
      <c r="R1147">
        <v>3037</v>
      </c>
    </row>
    <row r="1148" spans="1:18" x14ac:dyDescent="0.25">
      <c r="A1148" s="169">
        <v>43704</v>
      </c>
      <c r="B1148" s="115">
        <v>121.62</v>
      </c>
      <c r="C1148" s="115">
        <v>121.49</v>
      </c>
      <c r="D1148" s="115">
        <v>119.9</v>
      </c>
      <c r="E1148" s="115">
        <v>120</v>
      </c>
      <c r="F1148" s="115">
        <v>607.45000000000005</v>
      </c>
      <c r="G1148">
        <v>184</v>
      </c>
      <c r="H1148" s="115"/>
      <c r="I1148" s="115"/>
      <c r="L1148" s="169">
        <v>43697</v>
      </c>
      <c r="M1148" s="115">
        <v>118.59</v>
      </c>
      <c r="N1148" s="115">
        <v>120.95</v>
      </c>
      <c r="O1148" s="115">
        <v>117.71</v>
      </c>
      <c r="P1148" s="115">
        <v>119.8</v>
      </c>
      <c r="Q1148" s="115">
        <v>592.95000000000005</v>
      </c>
      <c r="R1148">
        <v>5255</v>
      </c>
    </row>
    <row r="1149" spans="1:18" x14ac:dyDescent="0.25">
      <c r="A1149" s="169">
        <v>43705</v>
      </c>
      <c r="B1149" s="115">
        <v>121.6</v>
      </c>
      <c r="C1149" s="115">
        <v>121.6</v>
      </c>
      <c r="D1149" s="115">
        <v>120</v>
      </c>
      <c r="E1149" s="115">
        <v>120.54</v>
      </c>
      <c r="F1149" s="115">
        <v>608</v>
      </c>
      <c r="G1149">
        <v>76</v>
      </c>
      <c r="H1149" s="115"/>
      <c r="I1149" s="115"/>
      <c r="L1149" s="169">
        <v>43698</v>
      </c>
      <c r="M1149" s="115">
        <v>115.92</v>
      </c>
      <c r="N1149" s="115">
        <v>118.71</v>
      </c>
      <c r="O1149" s="115">
        <v>115.11</v>
      </c>
      <c r="P1149" s="115">
        <v>118.58</v>
      </c>
      <c r="Q1149" s="115">
        <v>579.6</v>
      </c>
      <c r="R1149">
        <v>4784</v>
      </c>
    </row>
    <row r="1150" spans="1:18" x14ac:dyDescent="0.25">
      <c r="A1150" s="169">
        <v>43706</v>
      </c>
      <c r="B1150" s="115">
        <v>122.6</v>
      </c>
      <c r="C1150" s="115">
        <v>122.24</v>
      </c>
      <c r="D1150" s="115">
        <v>120.78</v>
      </c>
      <c r="E1150" s="115">
        <v>122.6</v>
      </c>
      <c r="F1150" s="115">
        <v>611.20000000000005</v>
      </c>
      <c r="G1150">
        <v>528</v>
      </c>
      <c r="H1150" s="115"/>
      <c r="I1150" s="115"/>
      <c r="L1150" s="169">
        <v>43699</v>
      </c>
      <c r="M1150" s="115">
        <v>115.29</v>
      </c>
      <c r="N1150" s="115">
        <v>117.94</v>
      </c>
      <c r="O1150" s="115">
        <v>114.6</v>
      </c>
      <c r="P1150" s="115">
        <v>115.92</v>
      </c>
      <c r="Q1150" s="115">
        <v>576.45000000000005</v>
      </c>
      <c r="R1150">
        <v>3429</v>
      </c>
    </row>
    <row r="1151" spans="1:18" x14ac:dyDescent="0.25">
      <c r="A1151" s="169">
        <v>43707</v>
      </c>
      <c r="B1151" s="115">
        <v>122.4</v>
      </c>
      <c r="C1151" s="115">
        <v>121.99</v>
      </c>
      <c r="D1151" s="115">
        <v>119.4</v>
      </c>
      <c r="E1151" s="115">
        <v>121.49</v>
      </c>
      <c r="F1151" s="115">
        <v>609.95000000000005</v>
      </c>
      <c r="G1151">
        <v>468</v>
      </c>
      <c r="H1151" s="115"/>
      <c r="I1151" s="115"/>
      <c r="L1151" s="169">
        <v>43700</v>
      </c>
      <c r="M1151" s="115">
        <v>119.35</v>
      </c>
      <c r="N1151" s="115">
        <v>121.6</v>
      </c>
      <c r="O1151" s="115">
        <v>112.99</v>
      </c>
      <c r="P1151" s="115">
        <v>114.02</v>
      </c>
      <c r="Q1151" s="115">
        <v>596.75</v>
      </c>
      <c r="R1151">
        <v>3230</v>
      </c>
    </row>
    <row r="1152" spans="1:18" x14ac:dyDescent="0.25">
      <c r="A1152" s="169">
        <v>43711</v>
      </c>
      <c r="B1152" s="115">
        <v>123.13</v>
      </c>
      <c r="C1152" s="115">
        <v>114.25</v>
      </c>
      <c r="D1152" s="115">
        <v>107.13</v>
      </c>
      <c r="E1152" s="115">
        <v>123.13</v>
      </c>
      <c r="F1152" s="115">
        <v>571.25</v>
      </c>
      <c r="G1152">
        <v>3248</v>
      </c>
      <c r="H1152" s="115"/>
      <c r="I1152" s="115"/>
      <c r="L1152" s="169">
        <v>43703</v>
      </c>
      <c r="M1152" s="115">
        <v>119.49</v>
      </c>
      <c r="N1152" s="115">
        <v>123.08</v>
      </c>
      <c r="O1152" s="115">
        <v>116.49</v>
      </c>
      <c r="P1152" s="115">
        <v>118.22</v>
      </c>
      <c r="Q1152" s="115">
        <v>597.45000000000005</v>
      </c>
      <c r="R1152">
        <v>5830</v>
      </c>
    </row>
    <row r="1153" spans="1:18" x14ac:dyDescent="0.25">
      <c r="A1153" s="169">
        <v>43712</v>
      </c>
      <c r="B1153" s="115">
        <v>118</v>
      </c>
      <c r="C1153" s="115">
        <v>117.57</v>
      </c>
      <c r="D1153" s="115">
        <v>114.5</v>
      </c>
      <c r="E1153" s="115">
        <v>114.5</v>
      </c>
      <c r="F1153" s="115">
        <v>587.85</v>
      </c>
      <c r="G1153">
        <v>227</v>
      </c>
      <c r="H1153" s="115"/>
      <c r="I1153" s="115"/>
      <c r="L1153" s="169">
        <v>43704</v>
      </c>
      <c r="M1153" s="115">
        <v>121.72</v>
      </c>
      <c r="N1153" s="115">
        <v>122.8</v>
      </c>
      <c r="O1153" s="115">
        <v>119.68</v>
      </c>
      <c r="P1153" s="115">
        <v>120.34</v>
      </c>
      <c r="Q1153" s="115">
        <v>608.6</v>
      </c>
      <c r="R1153">
        <v>2469</v>
      </c>
    </row>
    <row r="1154" spans="1:18" x14ac:dyDescent="0.25">
      <c r="A1154" s="169">
        <v>43713</v>
      </c>
      <c r="B1154" s="115">
        <v>121.11</v>
      </c>
      <c r="C1154" s="115">
        <v>120.02</v>
      </c>
      <c r="D1154" s="115">
        <v>118</v>
      </c>
      <c r="E1154" s="115">
        <v>118</v>
      </c>
      <c r="F1154" s="115">
        <v>600.1</v>
      </c>
      <c r="G1154">
        <v>233</v>
      </c>
      <c r="H1154" s="115"/>
      <c r="I1154" s="115"/>
      <c r="L1154" s="169">
        <v>43705</v>
      </c>
      <c r="M1154" s="115">
        <v>122.24</v>
      </c>
      <c r="N1154" s="115">
        <v>123</v>
      </c>
      <c r="O1154" s="115">
        <v>119.24</v>
      </c>
      <c r="P1154" s="115">
        <v>119.39</v>
      </c>
      <c r="Q1154" s="115">
        <v>611.20000000000005</v>
      </c>
      <c r="R1154">
        <v>1610</v>
      </c>
    </row>
    <row r="1155" spans="1:18" x14ac:dyDescent="0.25">
      <c r="A1155" s="169">
        <v>43714</v>
      </c>
      <c r="B1155" s="115">
        <v>120</v>
      </c>
      <c r="C1155" s="115">
        <v>120</v>
      </c>
      <c r="D1155" s="115">
        <v>119</v>
      </c>
      <c r="E1155" s="115">
        <v>119</v>
      </c>
      <c r="F1155" s="115">
        <v>600</v>
      </c>
      <c r="G1155">
        <v>141</v>
      </c>
      <c r="H1155" s="115"/>
      <c r="I1155" s="115"/>
      <c r="L1155" s="169">
        <v>43706</v>
      </c>
      <c r="M1155" s="115">
        <v>122.38</v>
      </c>
      <c r="N1155" s="115">
        <v>123</v>
      </c>
      <c r="O1155" s="115">
        <v>120.65</v>
      </c>
      <c r="P1155" s="115">
        <v>121.9</v>
      </c>
      <c r="Q1155" s="115">
        <v>611.9</v>
      </c>
      <c r="R1155">
        <v>1939</v>
      </c>
    </row>
    <row r="1156" spans="1:18" x14ac:dyDescent="0.25">
      <c r="A1156" s="169">
        <v>43717</v>
      </c>
      <c r="B1156" s="115">
        <v>123.18</v>
      </c>
      <c r="C1156" s="115">
        <v>122.88</v>
      </c>
      <c r="D1156" s="115">
        <v>121</v>
      </c>
      <c r="E1156" s="115">
        <v>121</v>
      </c>
      <c r="F1156" s="115">
        <v>614.4</v>
      </c>
      <c r="G1156">
        <v>980</v>
      </c>
      <c r="H1156" s="115"/>
      <c r="I1156" s="115"/>
      <c r="L1156" s="169">
        <v>43707</v>
      </c>
      <c r="M1156" s="115">
        <v>122.51</v>
      </c>
      <c r="N1156" s="115">
        <v>123.84</v>
      </c>
      <c r="O1156" s="115">
        <v>120.4</v>
      </c>
      <c r="P1156" s="115">
        <v>122.05</v>
      </c>
      <c r="Q1156" s="115">
        <v>612.54999999999995</v>
      </c>
      <c r="R1156">
        <v>4351</v>
      </c>
    </row>
    <row r="1157" spans="1:18" x14ac:dyDescent="0.25">
      <c r="A1157" s="169">
        <v>43719</v>
      </c>
      <c r="B1157" s="115">
        <v>124.2</v>
      </c>
      <c r="C1157" s="115">
        <v>123.29</v>
      </c>
      <c r="D1157" s="115">
        <v>119.49</v>
      </c>
      <c r="E1157" s="115">
        <v>124</v>
      </c>
      <c r="F1157" s="115">
        <v>616.45000000000005</v>
      </c>
      <c r="G1157">
        <v>1675</v>
      </c>
      <c r="H1157" s="115"/>
      <c r="I1157" s="115"/>
      <c r="L1157" s="169">
        <v>43711</v>
      </c>
      <c r="M1157" s="115">
        <v>113.06</v>
      </c>
      <c r="N1157" s="115">
        <v>123.83</v>
      </c>
      <c r="O1157" s="115">
        <v>107.8</v>
      </c>
      <c r="P1157" s="115">
        <v>122.6</v>
      </c>
      <c r="Q1157" s="115">
        <v>565.29999999999995</v>
      </c>
      <c r="R1157">
        <v>25847</v>
      </c>
    </row>
    <row r="1158" spans="1:18" x14ac:dyDescent="0.25">
      <c r="A1158" s="169">
        <v>43720</v>
      </c>
      <c r="B1158" s="115">
        <v>123.3</v>
      </c>
      <c r="C1158" s="115">
        <v>121.71</v>
      </c>
      <c r="D1158" s="115">
        <v>120.93</v>
      </c>
      <c r="E1158" s="115">
        <v>123.3</v>
      </c>
      <c r="F1158" s="115">
        <v>608.54999999999995</v>
      </c>
      <c r="G1158">
        <v>226</v>
      </c>
      <c r="H1158" s="115"/>
      <c r="I1158" s="115"/>
      <c r="L1158" s="169">
        <v>43712</v>
      </c>
      <c r="M1158" s="115">
        <v>116.92</v>
      </c>
      <c r="N1158" s="115">
        <v>118</v>
      </c>
      <c r="O1158" s="115">
        <v>113.23</v>
      </c>
      <c r="P1158" s="115">
        <v>113.8</v>
      </c>
      <c r="Q1158" s="115">
        <v>584.6</v>
      </c>
      <c r="R1158">
        <v>3317</v>
      </c>
    </row>
    <row r="1159" spans="1:18" x14ac:dyDescent="0.25">
      <c r="A1159" s="169">
        <v>43721</v>
      </c>
      <c r="B1159" s="115">
        <v>122.17</v>
      </c>
      <c r="C1159" s="115">
        <v>119.93</v>
      </c>
      <c r="D1159" s="115">
        <v>119.41</v>
      </c>
      <c r="E1159" s="115">
        <v>121.77</v>
      </c>
      <c r="F1159" s="115">
        <v>599.65</v>
      </c>
      <c r="G1159">
        <v>77</v>
      </c>
      <c r="H1159" s="115"/>
      <c r="I1159" s="115"/>
      <c r="L1159" s="169">
        <v>43713</v>
      </c>
      <c r="M1159" s="115">
        <v>120.31</v>
      </c>
      <c r="N1159" s="115">
        <v>120.96</v>
      </c>
      <c r="O1159" s="115">
        <v>117</v>
      </c>
      <c r="P1159" s="115">
        <v>117</v>
      </c>
      <c r="Q1159" s="115">
        <v>601.54999999999995</v>
      </c>
      <c r="R1159">
        <v>1884</v>
      </c>
    </row>
    <row r="1160" spans="1:18" x14ac:dyDescent="0.25">
      <c r="A1160" s="169">
        <v>43724</v>
      </c>
      <c r="B1160" s="115">
        <v>119.93</v>
      </c>
      <c r="C1160" s="115">
        <v>119.1</v>
      </c>
      <c r="D1160" s="115">
        <v>118.35</v>
      </c>
      <c r="E1160" s="115">
        <v>119.93</v>
      </c>
      <c r="F1160" s="115">
        <v>595.5</v>
      </c>
      <c r="G1160">
        <v>1365</v>
      </c>
      <c r="H1160" s="115"/>
      <c r="I1160" s="115"/>
      <c r="L1160" s="169">
        <v>43714</v>
      </c>
      <c r="M1160" s="115">
        <v>119.02</v>
      </c>
      <c r="N1160" s="115">
        <v>121.11</v>
      </c>
      <c r="O1160" s="115">
        <v>118.2</v>
      </c>
      <c r="P1160" s="115">
        <v>120</v>
      </c>
      <c r="Q1160" s="115">
        <v>595.1</v>
      </c>
      <c r="R1160">
        <v>3012</v>
      </c>
    </row>
    <row r="1161" spans="1:18" x14ac:dyDescent="0.25">
      <c r="A1161" s="169">
        <v>43725</v>
      </c>
      <c r="B1161" s="115">
        <v>118.4</v>
      </c>
      <c r="C1161" s="115">
        <v>116.6</v>
      </c>
      <c r="D1161" s="115">
        <v>116.6</v>
      </c>
      <c r="E1161" s="115">
        <v>118.4</v>
      </c>
      <c r="F1161" s="115">
        <v>583</v>
      </c>
      <c r="G1161">
        <v>432</v>
      </c>
      <c r="H1161" s="115"/>
      <c r="I1161" s="115"/>
      <c r="L1161" s="169">
        <v>43717</v>
      </c>
      <c r="M1161" s="115">
        <v>122.9</v>
      </c>
      <c r="N1161" s="115">
        <v>124</v>
      </c>
      <c r="O1161" s="115">
        <v>119</v>
      </c>
      <c r="P1161" s="115">
        <v>120.01</v>
      </c>
      <c r="Q1161" s="115">
        <v>614.5</v>
      </c>
      <c r="R1161">
        <v>3725</v>
      </c>
    </row>
    <row r="1162" spans="1:18" x14ac:dyDescent="0.25">
      <c r="A1162" s="169">
        <v>43726</v>
      </c>
      <c r="B1162" s="115">
        <v>121.3</v>
      </c>
      <c r="C1162" s="115">
        <v>121.02</v>
      </c>
      <c r="D1162" s="115">
        <v>117.76</v>
      </c>
      <c r="E1162" s="115">
        <v>117.76</v>
      </c>
      <c r="F1162" s="115">
        <v>605.1</v>
      </c>
      <c r="G1162">
        <v>414</v>
      </c>
      <c r="H1162" s="115"/>
      <c r="I1162" s="115"/>
      <c r="L1162" s="169">
        <v>43719</v>
      </c>
      <c r="M1162" s="115">
        <v>123.3</v>
      </c>
      <c r="N1162" s="115">
        <v>124.8</v>
      </c>
      <c r="O1162" s="115">
        <v>119.22</v>
      </c>
      <c r="P1162" s="115">
        <v>124</v>
      </c>
      <c r="Q1162" s="115">
        <v>616.5</v>
      </c>
      <c r="R1162">
        <v>6056</v>
      </c>
    </row>
    <row r="1163" spans="1:18" x14ac:dyDescent="0.25">
      <c r="A1163" s="169">
        <v>43727</v>
      </c>
      <c r="B1163" s="115">
        <v>120.96</v>
      </c>
      <c r="C1163" s="115">
        <v>118.83</v>
      </c>
      <c r="D1163" s="115">
        <v>118.42</v>
      </c>
      <c r="E1163" s="115">
        <v>119.73</v>
      </c>
      <c r="F1163" s="115">
        <v>594.15</v>
      </c>
      <c r="G1163">
        <v>149</v>
      </c>
      <c r="H1163" s="115"/>
      <c r="I1163" s="115"/>
      <c r="L1163" s="169">
        <v>43720</v>
      </c>
      <c r="M1163" s="115">
        <v>121.22</v>
      </c>
      <c r="N1163" s="115">
        <v>124.8</v>
      </c>
      <c r="O1163" s="115">
        <v>120.8</v>
      </c>
      <c r="P1163" s="115">
        <v>123.99</v>
      </c>
      <c r="Q1163" s="115">
        <v>606.1</v>
      </c>
      <c r="R1163">
        <v>2602</v>
      </c>
    </row>
    <row r="1164" spans="1:18" x14ac:dyDescent="0.25">
      <c r="A1164" s="169">
        <v>43728</v>
      </c>
      <c r="B1164" s="115">
        <v>130</v>
      </c>
      <c r="C1164" s="115">
        <v>128.51</v>
      </c>
      <c r="D1164" s="115">
        <v>119.98</v>
      </c>
      <c r="E1164" s="115">
        <v>119.98</v>
      </c>
      <c r="F1164" s="115">
        <v>642.54999999999995</v>
      </c>
      <c r="G1164">
        <v>1903</v>
      </c>
      <c r="H1164" s="115"/>
      <c r="I1164" s="115"/>
      <c r="L1164" s="169">
        <v>43721</v>
      </c>
      <c r="M1164" s="115">
        <v>120.2</v>
      </c>
      <c r="N1164" s="115">
        <v>123</v>
      </c>
      <c r="O1164" s="115">
        <v>119.45</v>
      </c>
      <c r="P1164" s="115">
        <v>123</v>
      </c>
      <c r="Q1164" s="115">
        <v>601</v>
      </c>
      <c r="R1164">
        <v>1265</v>
      </c>
    </row>
    <row r="1165" spans="1:18" x14ac:dyDescent="0.25">
      <c r="A1165" s="169">
        <v>43731</v>
      </c>
      <c r="B1165" s="115">
        <v>142.96</v>
      </c>
      <c r="C1165" s="115">
        <v>137.41999999999999</v>
      </c>
      <c r="D1165" s="115">
        <v>133.71</v>
      </c>
      <c r="E1165" s="115">
        <v>134.07</v>
      </c>
      <c r="F1165" s="115">
        <v>687.1</v>
      </c>
      <c r="G1165">
        <v>5029</v>
      </c>
      <c r="H1165" s="115"/>
      <c r="I1165" s="115"/>
      <c r="L1165" s="169">
        <v>43724</v>
      </c>
      <c r="M1165" s="115">
        <v>119.08</v>
      </c>
      <c r="N1165" s="115">
        <v>121.6</v>
      </c>
      <c r="O1165" s="115">
        <v>118.25</v>
      </c>
      <c r="P1165" s="115">
        <v>121.6</v>
      </c>
      <c r="Q1165" s="115">
        <v>595.4</v>
      </c>
      <c r="R1165">
        <v>4180</v>
      </c>
    </row>
    <row r="1166" spans="1:18" x14ac:dyDescent="0.25">
      <c r="A1166" s="169">
        <v>43732</v>
      </c>
      <c r="B1166" s="115">
        <v>138</v>
      </c>
      <c r="C1166" s="115">
        <v>134.69</v>
      </c>
      <c r="D1166" s="115">
        <v>133.1</v>
      </c>
      <c r="E1166" s="115">
        <v>137.30000000000001</v>
      </c>
      <c r="F1166" s="115">
        <v>673.45</v>
      </c>
      <c r="G1166">
        <v>1877</v>
      </c>
      <c r="H1166" s="115"/>
      <c r="I1166" s="115"/>
      <c r="L1166" s="169">
        <v>43725</v>
      </c>
      <c r="M1166" s="115">
        <v>117.04</v>
      </c>
      <c r="N1166" s="115">
        <v>120.4</v>
      </c>
      <c r="O1166" s="115">
        <v>116.45</v>
      </c>
      <c r="P1166" s="115">
        <v>120.4</v>
      </c>
      <c r="Q1166" s="115">
        <v>585.20000000000005</v>
      </c>
      <c r="R1166">
        <v>3925</v>
      </c>
    </row>
    <row r="1167" spans="1:18" x14ac:dyDescent="0.25">
      <c r="A1167" s="169">
        <v>43733</v>
      </c>
      <c r="B1167" s="115">
        <v>134.51</v>
      </c>
      <c r="C1167" s="115">
        <v>132.69999999999999</v>
      </c>
      <c r="D1167" s="115">
        <v>132.4</v>
      </c>
      <c r="E1167" s="115">
        <v>133.69999999999999</v>
      </c>
      <c r="F1167" s="115">
        <v>663.5</v>
      </c>
      <c r="G1167">
        <v>553</v>
      </c>
      <c r="H1167" s="115"/>
      <c r="I1167" s="115"/>
      <c r="L1167" s="169">
        <v>43726</v>
      </c>
      <c r="M1167" s="115">
        <v>120.93</v>
      </c>
      <c r="N1167" s="115">
        <v>122</v>
      </c>
      <c r="O1167" s="115">
        <v>117.2</v>
      </c>
      <c r="P1167" s="115">
        <v>117.32</v>
      </c>
      <c r="Q1167" s="115">
        <v>604.65</v>
      </c>
      <c r="R1167">
        <v>2781</v>
      </c>
    </row>
    <row r="1168" spans="1:18" x14ac:dyDescent="0.25">
      <c r="A1168" s="169">
        <v>43734</v>
      </c>
      <c r="B1168" s="115">
        <v>133.43</v>
      </c>
      <c r="C1168" s="115">
        <v>132.44</v>
      </c>
      <c r="D1168" s="115">
        <v>130.80000000000001</v>
      </c>
      <c r="E1168" s="115">
        <v>133.43</v>
      </c>
      <c r="F1168" s="115">
        <v>662.2</v>
      </c>
      <c r="G1168">
        <v>169</v>
      </c>
      <c r="H1168" s="115"/>
      <c r="I1168" s="115"/>
      <c r="L1168" s="169">
        <v>43727</v>
      </c>
      <c r="M1168" s="115">
        <v>119.59</v>
      </c>
      <c r="N1168" s="115">
        <v>120.79</v>
      </c>
      <c r="O1168" s="115">
        <v>118.42</v>
      </c>
      <c r="P1168" s="115">
        <v>119.8</v>
      </c>
      <c r="Q1168" s="115">
        <v>597.95000000000005</v>
      </c>
      <c r="R1168">
        <v>1317</v>
      </c>
    </row>
    <row r="1169" spans="1:18" x14ac:dyDescent="0.25">
      <c r="A1169" s="169">
        <v>43735</v>
      </c>
      <c r="B1169" s="115">
        <v>135</v>
      </c>
      <c r="C1169" s="115">
        <v>133.77000000000001</v>
      </c>
      <c r="D1169" s="115">
        <v>130.28</v>
      </c>
      <c r="E1169" s="115">
        <v>130.28</v>
      </c>
      <c r="F1169" s="115">
        <v>668.85</v>
      </c>
      <c r="G1169">
        <v>1694</v>
      </c>
      <c r="H1169" s="115"/>
      <c r="I1169" s="115"/>
      <c r="L1169" s="169">
        <v>43728</v>
      </c>
      <c r="M1169" s="115">
        <v>128.21</v>
      </c>
      <c r="N1169" s="115">
        <v>132</v>
      </c>
      <c r="O1169" s="115">
        <v>119.01</v>
      </c>
      <c r="P1169" s="115">
        <v>119.85</v>
      </c>
      <c r="Q1169" s="115">
        <v>641.04999999999995</v>
      </c>
      <c r="R1169">
        <v>15933</v>
      </c>
    </row>
    <row r="1170" spans="1:18" x14ac:dyDescent="0.25">
      <c r="A1170" s="169">
        <v>43738</v>
      </c>
      <c r="B1170" s="115">
        <v>140.19</v>
      </c>
      <c r="C1170" s="115">
        <v>139.08000000000001</v>
      </c>
      <c r="D1170" s="115">
        <v>130.13</v>
      </c>
      <c r="E1170" s="115">
        <v>133.77000000000001</v>
      </c>
      <c r="F1170" s="115">
        <v>695.4</v>
      </c>
      <c r="G1170">
        <v>508</v>
      </c>
      <c r="H1170" s="115"/>
      <c r="I1170" s="115"/>
      <c r="L1170" s="169">
        <v>43731</v>
      </c>
      <c r="M1170" s="115">
        <v>137.87</v>
      </c>
      <c r="N1170" s="115">
        <v>142.88</v>
      </c>
      <c r="O1170" s="115">
        <v>131</v>
      </c>
      <c r="P1170" s="115">
        <v>131</v>
      </c>
      <c r="Q1170" s="115">
        <v>689.35</v>
      </c>
      <c r="R1170">
        <v>37293</v>
      </c>
    </row>
    <row r="1171" spans="1:18" x14ac:dyDescent="0.25">
      <c r="A1171" s="169">
        <v>43739</v>
      </c>
      <c r="B1171" s="115">
        <v>139.4</v>
      </c>
      <c r="C1171" s="115">
        <v>133.18</v>
      </c>
      <c r="D1171" s="115">
        <v>130.94</v>
      </c>
      <c r="E1171" s="115">
        <v>139.4</v>
      </c>
      <c r="F1171" s="115">
        <v>665.9</v>
      </c>
      <c r="G1171">
        <v>1263</v>
      </c>
      <c r="H1171" s="115"/>
      <c r="I1171" s="115"/>
      <c r="L1171" s="169">
        <v>43732</v>
      </c>
      <c r="M1171" s="115">
        <v>134.51</v>
      </c>
      <c r="N1171" s="115">
        <v>139.19999999999999</v>
      </c>
      <c r="O1171" s="115">
        <v>132.84</v>
      </c>
      <c r="P1171" s="115">
        <v>138</v>
      </c>
      <c r="Q1171" s="115">
        <v>672.55</v>
      </c>
      <c r="R1171">
        <v>4765</v>
      </c>
    </row>
    <row r="1172" spans="1:18" x14ac:dyDescent="0.25">
      <c r="A1172" s="169">
        <v>43741</v>
      </c>
      <c r="B1172" s="115">
        <v>131.4</v>
      </c>
      <c r="C1172" s="115">
        <v>131.4</v>
      </c>
      <c r="D1172" s="115">
        <v>130.25</v>
      </c>
      <c r="E1172" s="115">
        <v>130.25</v>
      </c>
      <c r="F1172" s="115">
        <v>657</v>
      </c>
      <c r="G1172">
        <v>2</v>
      </c>
      <c r="H1172" s="115"/>
      <c r="I1172" s="115"/>
      <c r="L1172" s="169">
        <v>43733</v>
      </c>
      <c r="M1172" s="115">
        <v>132.72</v>
      </c>
      <c r="N1172" s="115">
        <v>136.38999999999999</v>
      </c>
      <c r="O1172" s="115">
        <v>131.80000000000001</v>
      </c>
      <c r="P1172" s="115">
        <v>132.41</v>
      </c>
      <c r="Q1172" s="115">
        <v>663.6</v>
      </c>
      <c r="R1172">
        <v>2618</v>
      </c>
    </row>
    <row r="1173" spans="1:18" x14ac:dyDescent="0.25">
      <c r="A1173" s="169">
        <v>43742</v>
      </c>
      <c r="B1173" s="115">
        <v>133.72</v>
      </c>
      <c r="C1173" s="115">
        <v>130.44999999999999</v>
      </c>
      <c r="D1173" s="115">
        <v>130.19999999999999</v>
      </c>
      <c r="E1173" s="115">
        <v>130.19999999999999</v>
      </c>
      <c r="F1173" s="115">
        <v>652.25</v>
      </c>
      <c r="G1173">
        <v>22</v>
      </c>
      <c r="H1173" s="115"/>
      <c r="I1173" s="115"/>
      <c r="L1173" s="169">
        <v>43734</v>
      </c>
      <c r="M1173" s="115">
        <v>132.58000000000001</v>
      </c>
      <c r="N1173" s="115">
        <v>135.65</v>
      </c>
      <c r="O1173" s="115">
        <v>130.31</v>
      </c>
      <c r="P1173" s="115">
        <v>133.87</v>
      </c>
      <c r="Q1173" s="115">
        <v>662.9</v>
      </c>
      <c r="R1173">
        <v>7874</v>
      </c>
    </row>
    <row r="1174" spans="1:18" x14ac:dyDescent="0.25">
      <c r="A1174" s="169">
        <v>43745</v>
      </c>
      <c r="B1174" s="115">
        <v>132.13</v>
      </c>
      <c r="C1174" s="115">
        <v>131.78</v>
      </c>
      <c r="D1174" s="115">
        <v>129</v>
      </c>
      <c r="E1174" s="115">
        <v>129</v>
      </c>
      <c r="F1174" s="115">
        <v>658.9</v>
      </c>
      <c r="G1174">
        <v>78</v>
      </c>
      <c r="H1174" s="115"/>
      <c r="I1174" s="115"/>
      <c r="L1174" s="169">
        <v>43735</v>
      </c>
      <c r="M1174" s="115">
        <v>133.76</v>
      </c>
      <c r="N1174" s="115">
        <v>135.4</v>
      </c>
      <c r="O1174" s="115">
        <v>130.28</v>
      </c>
      <c r="P1174" s="115">
        <v>132.6</v>
      </c>
      <c r="Q1174" s="115">
        <v>668.8</v>
      </c>
      <c r="R1174">
        <v>8864</v>
      </c>
    </row>
    <row r="1175" spans="1:18" x14ac:dyDescent="0.25">
      <c r="A1175" s="169">
        <v>43747</v>
      </c>
      <c r="B1175" s="115">
        <v>129.58000000000001</v>
      </c>
      <c r="C1175" s="115">
        <v>127.87</v>
      </c>
      <c r="D1175" s="115">
        <v>126.8</v>
      </c>
      <c r="E1175" s="115">
        <v>128.80000000000001</v>
      </c>
      <c r="F1175" s="115">
        <v>639.35</v>
      </c>
      <c r="G1175">
        <v>368</v>
      </c>
      <c r="H1175" s="115"/>
      <c r="I1175" s="115"/>
      <c r="L1175" s="169">
        <v>43738</v>
      </c>
      <c r="M1175" s="115">
        <v>138.69</v>
      </c>
      <c r="N1175" s="115">
        <v>139.80000000000001</v>
      </c>
      <c r="O1175" s="115">
        <v>130.28</v>
      </c>
      <c r="P1175" s="115">
        <v>132.03</v>
      </c>
      <c r="Q1175" s="115">
        <v>693.45</v>
      </c>
      <c r="R1175">
        <v>4618</v>
      </c>
    </row>
    <row r="1176" spans="1:18" x14ac:dyDescent="0.25">
      <c r="A1176" s="169">
        <v>43748</v>
      </c>
      <c r="B1176" s="115">
        <v>131.99</v>
      </c>
      <c r="C1176" s="115">
        <v>130.61000000000001</v>
      </c>
      <c r="D1176" s="115">
        <v>126.8</v>
      </c>
      <c r="E1176" s="115">
        <v>128</v>
      </c>
      <c r="F1176" s="115">
        <v>653.04999999999995</v>
      </c>
      <c r="G1176">
        <v>16</v>
      </c>
      <c r="H1176" s="115"/>
      <c r="I1176" s="115"/>
      <c r="L1176" s="169">
        <v>43739</v>
      </c>
      <c r="M1176" s="115">
        <v>132.16</v>
      </c>
      <c r="N1176" s="115">
        <v>138.69</v>
      </c>
      <c r="O1176" s="115">
        <v>131.03</v>
      </c>
      <c r="P1176" s="115">
        <v>138.69</v>
      </c>
      <c r="Q1176" s="115">
        <v>660.8</v>
      </c>
      <c r="R1176">
        <v>8836</v>
      </c>
    </row>
    <row r="1177" spans="1:18" x14ac:dyDescent="0.25">
      <c r="A1177" s="169">
        <v>43749</v>
      </c>
      <c r="B1177" s="115">
        <v>133.6</v>
      </c>
      <c r="C1177" s="115">
        <v>127.92</v>
      </c>
      <c r="D1177" s="115">
        <v>126.87</v>
      </c>
      <c r="E1177" s="115">
        <v>133.6</v>
      </c>
      <c r="F1177" s="115">
        <v>639.6</v>
      </c>
      <c r="G1177">
        <v>177</v>
      </c>
      <c r="H1177" s="115"/>
      <c r="I1177" s="115"/>
      <c r="L1177" s="169">
        <v>43741</v>
      </c>
      <c r="M1177" s="115">
        <v>130.99</v>
      </c>
      <c r="N1177" s="115">
        <v>133.54</v>
      </c>
      <c r="O1177" s="115">
        <v>130.28</v>
      </c>
      <c r="P1177" s="115">
        <v>132.41</v>
      </c>
      <c r="Q1177" s="115">
        <v>654.95000000000005</v>
      </c>
      <c r="R1177">
        <v>6814</v>
      </c>
    </row>
    <row r="1178" spans="1:18" x14ac:dyDescent="0.25">
      <c r="A1178" s="169">
        <v>43752</v>
      </c>
      <c r="B1178" s="115">
        <v>130.47999999999999</v>
      </c>
      <c r="C1178" s="115">
        <v>130.24</v>
      </c>
      <c r="D1178" s="115">
        <v>125.57</v>
      </c>
      <c r="E1178" s="115">
        <v>126</v>
      </c>
      <c r="F1178" s="115">
        <v>651.20000000000005</v>
      </c>
      <c r="G1178">
        <v>708</v>
      </c>
      <c r="H1178" s="115"/>
      <c r="I1178" s="115"/>
      <c r="L1178" s="169">
        <v>43742</v>
      </c>
      <c r="M1178" s="115">
        <v>130.52000000000001</v>
      </c>
      <c r="N1178" s="115">
        <v>133.37</v>
      </c>
      <c r="O1178" s="115">
        <v>130.19999999999999</v>
      </c>
      <c r="P1178" s="115">
        <v>131.25</v>
      </c>
      <c r="Q1178" s="115">
        <v>652.6</v>
      </c>
      <c r="R1178">
        <v>4198</v>
      </c>
    </row>
    <row r="1179" spans="1:18" x14ac:dyDescent="0.25">
      <c r="A1179" s="169">
        <v>43753</v>
      </c>
      <c r="B1179" s="115">
        <v>132.80000000000001</v>
      </c>
      <c r="C1179" s="115">
        <v>129.15</v>
      </c>
      <c r="D1179" s="115">
        <v>126.75</v>
      </c>
      <c r="E1179" s="115">
        <v>126.75</v>
      </c>
      <c r="F1179" s="115">
        <v>645.75</v>
      </c>
      <c r="G1179">
        <v>81</v>
      </c>
      <c r="H1179" s="115"/>
      <c r="I1179" s="115"/>
      <c r="L1179" s="169">
        <v>43745</v>
      </c>
      <c r="M1179" s="115">
        <v>130.37</v>
      </c>
      <c r="N1179" s="115">
        <v>133</v>
      </c>
      <c r="O1179" s="115">
        <v>128.4</v>
      </c>
      <c r="P1179" s="115">
        <v>131.6</v>
      </c>
      <c r="Q1179" s="115">
        <v>651.85</v>
      </c>
      <c r="R1179">
        <v>8642</v>
      </c>
    </row>
    <row r="1180" spans="1:18" x14ac:dyDescent="0.25">
      <c r="A1180" s="169">
        <v>43754</v>
      </c>
      <c r="B1180" s="115">
        <v>134.80000000000001</v>
      </c>
      <c r="C1180" s="115">
        <v>132.80000000000001</v>
      </c>
      <c r="D1180" s="115">
        <v>128.05000000000001</v>
      </c>
      <c r="E1180" s="115">
        <v>128.05000000000001</v>
      </c>
      <c r="F1180" s="115">
        <v>664</v>
      </c>
      <c r="G1180">
        <v>61</v>
      </c>
      <c r="H1180" s="115"/>
      <c r="I1180" s="115"/>
      <c r="L1180" s="169">
        <v>43747</v>
      </c>
      <c r="M1180" s="115">
        <v>127.35</v>
      </c>
      <c r="N1180" s="115">
        <v>133.99</v>
      </c>
      <c r="O1180" s="115">
        <v>126.6</v>
      </c>
      <c r="P1180" s="115">
        <v>129</v>
      </c>
      <c r="Q1180" s="115">
        <v>636.75</v>
      </c>
      <c r="R1180">
        <v>8722</v>
      </c>
    </row>
    <row r="1181" spans="1:18" x14ac:dyDescent="0.25">
      <c r="A1181" s="169">
        <v>43755</v>
      </c>
      <c r="B1181" s="115">
        <v>138.80000000000001</v>
      </c>
      <c r="C1181" s="115">
        <v>136.66999999999999</v>
      </c>
      <c r="D1181" s="115">
        <v>130.44999999999999</v>
      </c>
      <c r="E1181" s="115">
        <v>130.44999999999999</v>
      </c>
      <c r="F1181" s="115">
        <v>683.35</v>
      </c>
      <c r="G1181">
        <v>507</v>
      </c>
      <c r="H1181" s="115"/>
      <c r="I1181" s="115"/>
      <c r="L1181" s="169">
        <v>43748</v>
      </c>
      <c r="M1181" s="115">
        <v>129.82</v>
      </c>
      <c r="N1181" s="115">
        <v>131.80000000000001</v>
      </c>
      <c r="O1181" s="115">
        <v>127.99</v>
      </c>
      <c r="P1181" s="115">
        <v>129.61000000000001</v>
      </c>
      <c r="Q1181" s="115">
        <v>649.1</v>
      </c>
      <c r="R1181">
        <v>3489</v>
      </c>
    </row>
    <row r="1182" spans="1:18" x14ac:dyDescent="0.25">
      <c r="A1182" s="169">
        <v>43756</v>
      </c>
      <c r="B1182" s="115">
        <v>136.80000000000001</v>
      </c>
      <c r="C1182" s="115">
        <v>132.66</v>
      </c>
      <c r="D1182" s="115">
        <v>132.46</v>
      </c>
      <c r="E1182" s="115">
        <v>136.80000000000001</v>
      </c>
      <c r="F1182" s="115">
        <v>663.3</v>
      </c>
      <c r="G1182">
        <v>443</v>
      </c>
      <c r="H1182" s="115"/>
      <c r="I1182" s="115"/>
      <c r="L1182" s="169">
        <v>43749</v>
      </c>
      <c r="M1182" s="115">
        <v>127.39</v>
      </c>
      <c r="N1182" s="115">
        <v>131.37</v>
      </c>
      <c r="O1182" s="115">
        <v>126.73</v>
      </c>
      <c r="P1182" s="115">
        <v>129.19</v>
      </c>
      <c r="Q1182" s="115">
        <v>636.95000000000005</v>
      </c>
      <c r="R1182">
        <v>4055</v>
      </c>
    </row>
    <row r="1183" spans="1:18" x14ac:dyDescent="0.25">
      <c r="A1183" s="169">
        <v>43760</v>
      </c>
      <c r="B1183" s="115">
        <v>135.72</v>
      </c>
      <c r="C1183" s="115">
        <v>133.69999999999999</v>
      </c>
      <c r="D1183" s="115">
        <v>132.01</v>
      </c>
      <c r="E1183" s="115">
        <v>132.01</v>
      </c>
      <c r="F1183" s="115">
        <v>668.5</v>
      </c>
      <c r="G1183">
        <v>78</v>
      </c>
      <c r="H1183" s="115"/>
      <c r="I1183" s="115"/>
      <c r="L1183" s="169">
        <v>43752</v>
      </c>
      <c r="M1183" s="115">
        <v>130.34</v>
      </c>
      <c r="N1183" s="115">
        <v>131.19999999999999</v>
      </c>
      <c r="O1183" s="115">
        <v>125</v>
      </c>
      <c r="P1183" s="115">
        <v>128.88999999999999</v>
      </c>
      <c r="Q1183" s="115">
        <v>651.70000000000005</v>
      </c>
      <c r="R1183">
        <v>3233</v>
      </c>
    </row>
    <row r="1184" spans="1:18" x14ac:dyDescent="0.25">
      <c r="A1184" s="169">
        <v>43761</v>
      </c>
      <c r="B1184" s="115">
        <v>138</v>
      </c>
      <c r="C1184" s="115">
        <v>135.19</v>
      </c>
      <c r="D1184" s="115">
        <v>134.85</v>
      </c>
      <c r="E1184" s="115">
        <v>136.80000000000001</v>
      </c>
      <c r="F1184" s="115">
        <v>675.95</v>
      </c>
      <c r="G1184">
        <v>611</v>
      </c>
      <c r="H1184" s="115"/>
      <c r="I1184" s="115"/>
      <c r="L1184" s="169">
        <v>43753</v>
      </c>
      <c r="M1184" s="115">
        <v>130.08000000000001</v>
      </c>
      <c r="N1184" s="115">
        <v>132.03</v>
      </c>
      <c r="O1184" s="115">
        <v>128.71</v>
      </c>
      <c r="P1184" s="115">
        <v>130.6</v>
      </c>
      <c r="Q1184" s="115">
        <v>650.4</v>
      </c>
      <c r="R1184">
        <v>3020</v>
      </c>
    </row>
    <row r="1185" spans="1:18" x14ac:dyDescent="0.25">
      <c r="A1185" s="169">
        <v>43763</v>
      </c>
      <c r="B1185" s="115">
        <v>136.72</v>
      </c>
      <c r="C1185" s="115">
        <v>133.75</v>
      </c>
      <c r="D1185" s="115">
        <v>132.6</v>
      </c>
      <c r="E1185" s="115">
        <v>136.6</v>
      </c>
      <c r="F1185" s="115">
        <v>668.75</v>
      </c>
      <c r="G1185">
        <v>289</v>
      </c>
      <c r="H1185" s="115"/>
      <c r="I1185" s="115"/>
      <c r="L1185" s="169">
        <v>43754</v>
      </c>
      <c r="M1185" s="115">
        <v>132.01</v>
      </c>
      <c r="N1185" s="115">
        <v>133</v>
      </c>
      <c r="O1185" s="115">
        <v>128.19</v>
      </c>
      <c r="P1185" s="115">
        <v>128.19</v>
      </c>
      <c r="Q1185" s="115">
        <v>660.05</v>
      </c>
      <c r="R1185">
        <v>1975</v>
      </c>
    </row>
    <row r="1186" spans="1:18" x14ac:dyDescent="0.25">
      <c r="A1186" s="169">
        <v>43765</v>
      </c>
      <c r="B1186" s="115">
        <v>136.4</v>
      </c>
      <c r="C1186" s="115">
        <v>135.52000000000001</v>
      </c>
      <c r="D1186" s="115">
        <v>134.75</v>
      </c>
      <c r="E1186" s="115">
        <v>136.34</v>
      </c>
      <c r="F1186" s="115">
        <v>677.6</v>
      </c>
      <c r="G1186">
        <v>88</v>
      </c>
      <c r="H1186" s="115"/>
      <c r="I1186" s="115"/>
      <c r="L1186" s="169">
        <v>43755</v>
      </c>
      <c r="M1186" s="115">
        <v>134.69</v>
      </c>
      <c r="N1186" s="115">
        <v>139.58000000000001</v>
      </c>
      <c r="O1186" s="115">
        <v>130.4</v>
      </c>
      <c r="P1186" s="115">
        <v>130.59</v>
      </c>
      <c r="Q1186" s="115">
        <v>673.45</v>
      </c>
      <c r="R1186">
        <v>4889</v>
      </c>
    </row>
    <row r="1187" spans="1:18" x14ac:dyDescent="0.25">
      <c r="A1187" s="169">
        <v>43767</v>
      </c>
      <c r="B1187" s="115">
        <v>138.80000000000001</v>
      </c>
      <c r="C1187" s="115">
        <v>133.83000000000001</v>
      </c>
      <c r="D1187" s="115">
        <v>132.78</v>
      </c>
      <c r="E1187" s="115">
        <v>137</v>
      </c>
      <c r="F1187" s="115">
        <v>669.15</v>
      </c>
      <c r="G1187">
        <v>321</v>
      </c>
      <c r="H1187" s="115"/>
      <c r="I1187" s="115"/>
      <c r="L1187" s="169">
        <v>43756</v>
      </c>
      <c r="M1187" s="115">
        <v>133.88999999999999</v>
      </c>
      <c r="N1187" s="115">
        <v>136.19999999999999</v>
      </c>
      <c r="O1187" s="115">
        <v>133.21</v>
      </c>
      <c r="P1187" s="115">
        <v>136</v>
      </c>
      <c r="Q1187" s="115">
        <v>669.45</v>
      </c>
      <c r="R1187">
        <v>2916</v>
      </c>
    </row>
    <row r="1188" spans="1:18" x14ac:dyDescent="0.25">
      <c r="A1188" s="169">
        <v>43768</v>
      </c>
      <c r="B1188" s="115">
        <v>138</v>
      </c>
      <c r="C1188" s="115">
        <v>135.62</v>
      </c>
      <c r="D1188" s="115">
        <v>133.05000000000001</v>
      </c>
      <c r="E1188" s="115">
        <v>135.11000000000001</v>
      </c>
      <c r="F1188" s="115">
        <v>678.1</v>
      </c>
      <c r="G1188">
        <v>150</v>
      </c>
      <c r="H1188" s="115"/>
      <c r="I1188" s="115"/>
      <c r="L1188" s="169">
        <v>43760</v>
      </c>
      <c r="M1188" s="115">
        <v>134.26</v>
      </c>
      <c r="N1188" s="115">
        <v>136</v>
      </c>
      <c r="O1188" s="115">
        <v>131.99</v>
      </c>
      <c r="P1188" s="115">
        <v>134.21</v>
      </c>
      <c r="Q1188" s="115">
        <v>671.3</v>
      </c>
      <c r="R1188">
        <v>1628</v>
      </c>
    </row>
    <row r="1189" spans="1:18" x14ac:dyDescent="0.25">
      <c r="A1189" s="169">
        <v>43769</v>
      </c>
      <c r="B1189" s="115">
        <v>140.19999999999999</v>
      </c>
      <c r="C1189" s="115">
        <v>138.94</v>
      </c>
      <c r="D1189" s="115">
        <v>132.84</v>
      </c>
      <c r="E1189" s="115">
        <v>135.22999999999999</v>
      </c>
      <c r="F1189" s="115">
        <v>694.7</v>
      </c>
      <c r="G1189">
        <v>432</v>
      </c>
      <c r="H1189" s="115"/>
      <c r="I1189" s="115"/>
      <c r="L1189" s="169">
        <v>43761</v>
      </c>
      <c r="M1189" s="115">
        <v>136.72999999999999</v>
      </c>
      <c r="N1189" s="115">
        <v>138.54</v>
      </c>
      <c r="O1189" s="115">
        <v>134.30000000000001</v>
      </c>
      <c r="P1189" s="115">
        <v>134.30000000000001</v>
      </c>
      <c r="Q1189" s="115">
        <v>683.65</v>
      </c>
      <c r="R1189">
        <v>4337</v>
      </c>
    </row>
    <row r="1190" spans="1:18" x14ac:dyDescent="0.25">
      <c r="A1190" s="169">
        <v>43770</v>
      </c>
      <c r="B1190" s="115">
        <v>138</v>
      </c>
      <c r="C1190" s="115">
        <v>137.32</v>
      </c>
      <c r="D1190" s="115">
        <v>135.4</v>
      </c>
      <c r="E1190" s="115">
        <v>136.97999999999999</v>
      </c>
      <c r="F1190" s="115">
        <v>686.6</v>
      </c>
      <c r="G1190">
        <v>297</v>
      </c>
      <c r="H1190" s="115"/>
      <c r="I1190" s="115"/>
      <c r="L1190" s="169">
        <v>43762</v>
      </c>
      <c r="M1190" s="115">
        <v>135.56</v>
      </c>
      <c r="N1190" s="115">
        <v>137.9</v>
      </c>
      <c r="O1190" s="115">
        <v>135.11000000000001</v>
      </c>
      <c r="P1190" s="115">
        <v>137</v>
      </c>
      <c r="Q1190" s="115">
        <v>677.8</v>
      </c>
      <c r="R1190">
        <v>2227</v>
      </c>
    </row>
    <row r="1191" spans="1:18" x14ac:dyDescent="0.25">
      <c r="A1191" s="169">
        <v>43773</v>
      </c>
      <c r="B1191" s="115">
        <v>139.71</v>
      </c>
      <c r="C1191" s="115">
        <v>137.34</v>
      </c>
      <c r="D1191" s="115">
        <v>129</v>
      </c>
      <c r="E1191" s="115">
        <v>133.4</v>
      </c>
      <c r="F1191" s="115">
        <v>686.7</v>
      </c>
      <c r="G1191">
        <v>663</v>
      </c>
      <c r="H1191" s="115"/>
      <c r="I1191" s="115"/>
      <c r="L1191" s="169">
        <v>43763</v>
      </c>
      <c r="M1191" s="115">
        <v>133.63999999999999</v>
      </c>
      <c r="N1191" s="115">
        <v>136</v>
      </c>
      <c r="O1191" s="115">
        <v>132.61000000000001</v>
      </c>
      <c r="P1191" s="115">
        <v>135.12</v>
      </c>
      <c r="Q1191" s="115">
        <v>668.2</v>
      </c>
      <c r="R1191">
        <v>505</v>
      </c>
    </row>
    <row r="1192" spans="1:18" x14ac:dyDescent="0.25">
      <c r="A1192" s="169">
        <v>43774</v>
      </c>
      <c r="B1192" s="115">
        <v>139.63999999999999</v>
      </c>
      <c r="C1192" s="115">
        <v>138.85</v>
      </c>
      <c r="D1192" s="115">
        <v>138</v>
      </c>
      <c r="E1192" s="115">
        <v>138</v>
      </c>
      <c r="F1192" s="115">
        <v>694.25</v>
      </c>
      <c r="G1192">
        <v>144</v>
      </c>
      <c r="H1192" s="115"/>
      <c r="I1192" s="115"/>
      <c r="L1192" s="169">
        <v>43765</v>
      </c>
      <c r="M1192" s="115">
        <v>135.56</v>
      </c>
      <c r="N1192" s="115">
        <v>137.19999999999999</v>
      </c>
      <c r="O1192" s="115">
        <v>132.5</v>
      </c>
      <c r="P1192" s="115">
        <v>132.5</v>
      </c>
      <c r="Q1192" s="115">
        <v>677.8</v>
      </c>
      <c r="R1192">
        <v>1063</v>
      </c>
    </row>
    <row r="1193" spans="1:18" x14ac:dyDescent="0.25">
      <c r="A1193" s="169">
        <v>43775</v>
      </c>
      <c r="B1193" s="115">
        <v>148</v>
      </c>
      <c r="C1193" s="115">
        <v>144.75</v>
      </c>
      <c r="D1193" s="115">
        <v>138.6</v>
      </c>
      <c r="E1193" s="115">
        <v>143</v>
      </c>
      <c r="F1193" s="115">
        <v>723.75</v>
      </c>
      <c r="G1193">
        <v>3535</v>
      </c>
      <c r="H1193" s="115"/>
      <c r="I1193" s="115"/>
      <c r="L1193" s="169">
        <v>43767</v>
      </c>
      <c r="M1193" s="115">
        <v>133.9</v>
      </c>
      <c r="N1193" s="115">
        <v>139</v>
      </c>
      <c r="O1193" s="115">
        <v>130.46</v>
      </c>
      <c r="P1193" s="115">
        <v>137.16999999999999</v>
      </c>
      <c r="Q1193" s="115">
        <v>669.5</v>
      </c>
      <c r="R1193">
        <v>4837</v>
      </c>
    </row>
    <row r="1194" spans="1:18" x14ac:dyDescent="0.25">
      <c r="A1194" s="169">
        <v>43776</v>
      </c>
      <c r="B1194" s="115">
        <v>144.53</v>
      </c>
      <c r="C1194" s="115">
        <v>143.08000000000001</v>
      </c>
      <c r="D1194" s="115">
        <v>140.41999999999999</v>
      </c>
      <c r="E1194" s="115">
        <v>142.27000000000001</v>
      </c>
      <c r="F1194" s="115">
        <v>715.4</v>
      </c>
      <c r="G1194">
        <v>400</v>
      </c>
      <c r="H1194" s="115"/>
      <c r="I1194" s="115"/>
      <c r="L1194" s="169">
        <v>43768</v>
      </c>
      <c r="M1194" s="115">
        <v>135.9</v>
      </c>
      <c r="N1194" s="115">
        <v>137.19999999999999</v>
      </c>
      <c r="O1194" s="115">
        <v>134</v>
      </c>
      <c r="P1194" s="115">
        <v>136.63999999999999</v>
      </c>
      <c r="Q1194" s="115">
        <v>679.5</v>
      </c>
      <c r="R1194">
        <v>3068</v>
      </c>
    </row>
    <row r="1195" spans="1:18" x14ac:dyDescent="0.25">
      <c r="A1195" s="169">
        <v>43777</v>
      </c>
      <c r="B1195" s="115">
        <v>147.68</v>
      </c>
      <c r="C1195" s="115">
        <v>143.46</v>
      </c>
      <c r="D1195" s="115">
        <v>141.38</v>
      </c>
      <c r="E1195" s="115">
        <v>141.38</v>
      </c>
      <c r="F1195" s="115">
        <v>717.3</v>
      </c>
      <c r="G1195">
        <v>215</v>
      </c>
      <c r="H1195" s="115"/>
      <c r="I1195" s="115"/>
      <c r="L1195" s="169">
        <v>43769</v>
      </c>
      <c r="M1195" s="115">
        <v>139.24</v>
      </c>
      <c r="N1195" s="115">
        <v>139.97999999999999</v>
      </c>
      <c r="O1195" s="115">
        <v>133</v>
      </c>
      <c r="P1195" s="115">
        <v>133.56</v>
      </c>
      <c r="Q1195" s="115">
        <v>696.2</v>
      </c>
      <c r="R1195">
        <v>6658</v>
      </c>
    </row>
    <row r="1196" spans="1:18" x14ac:dyDescent="0.25">
      <c r="A1196" s="169">
        <v>43780</v>
      </c>
      <c r="B1196" s="115">
        <v>143.75</v>
      </c>
      <c r="C1196" s="115">
        <v>141.01</v>
      </c>
      <c r="D1196" s="115">
        <v>140.93</v>
      </c>
      <c r="E1196" s="115">
        <v>140.93</v>
      </c>
      <c r="F1196" s="115">
        <v>705.05</v>
      </c>
      <c r="G1196">
        <v>153</v>
      </c>
      <c r="H1196" s="115"/>
      <c r="I1196" s="115"/>
      <c r="L1196" s="169">
        <v>43770</v>
      </c>
      <c r="M1196" s="115">
        <v>137.19999999999999</v>
      </c>
      <c r="N1196" s="115">
        <v>139.19999999999999</v>
      </c>
      <c r="O1196" s="115">
        <v>134.91</v>
      </c>
      <c r="P1196" s="115">
        <v>139.16999999999999</v>
      </c>
      <c r="Q1196" s="115">
        <v>686</v>
      </c>
      <c r="R1196">
        <v>2592</v>
      </c>
    </row>
    <row r="1197" spans="1:18" x14ac:dyDescent="0.25">
      <c r="A1197" s="169">
        <v>43782</v>
      </c>
      <c r="B1197" s="115">
        <v>141</v>
      </c>
      <c r="C1197" s="115">
        <v>141</v>
      </c>
      <c r="D1197" s="115">
        <v>138</v>
      </c>
      <c r="E1197" s="115">
        <v>140.19999999999999</v>
      </c>
      <c r="F1197" s="115">
        <v>705</v>
      </c>
      <c r="G1197">
        <v>348</v>
      </c>
      <c r="H1197" s="115"/>
      <c r="I1197" s="115"/>
      <c r="L1197" s="169">
        <v>43773</v>
      </c>
      <c r="M1197" s="115">
        <v>138.19999999999999</v>
      </c>
      <c r="N1197" s="115">
        <v>139.75</v>
      </c>
      <c r="O1197" s="115">
        <v>136</v>
      </c>
      <c r="P1197" s="115">
        <v>136.01</v>
      </c>
      <c r="Q1197" s="115">
        <v>691</v>
      </c>
      <c r="R1197">
        <v>5103</v>
      </c>
    </row>
    <row r="1198" spans="1:18" x14ac:dyDescent="0.25">
      <c r="A1198" s="169">
        <v>43783</v>
      </c>
      <c r="B1198" s="115">
        <v>143.88</v>
      </c>
      <c r="C1198" s="115">
        <v>142.25</v>
      </c>
      <c r="D1198" s="115">
        <v>139</v>
      </c>
      <c r="E1198" s="115">
        <v>140</v>
      </c>
      <c r="F1198" s="115">
        <v>711.25</v>
      </c>
      <c r="G1198">
        <v>1001</v>
      </c>
      <c r="H1198" s="115"/>
      <c r="I1198" s="115"/>
      <c r="L1198" s="169">
        <v>43774</v>
      </c>
      <c r="M1198" s="115">
        <v>139.01</v>
      </c>
      <c r="N1198" s="115">
        <v>139.88</v>
      </c>
      <c r="O1198" s="115">
        <v>137.79</v>
      </c>
      <c r="P1198" s="115">
        <v>137.79</v>
      </c>
      <c r="Q1198" s="115">
        <v>695.05</v>
      </c>
      <c r="R1198">
        <v>11541</v>
      </c>
    </row>
    <row r="1199" spans="1:18" x14ac:dyDescent="0.25">
      <c r="A1199" s="169">
        <v>43784</v>
      </c>
      <c r="B1199" s="115">
        <v>141.6</v>
      </c>
      <c r="C1199" s="115">
        <v>140.47999999999999</v>
      </c>
      <c r="D1199" s="115">
        <v>137.61000000000001</v>
      </c>
      <c r="E1199" s="115">
        <v>141.6</v>
      </c>
      <c r="F1199" s="115">
        <v>702.4</v>
      </c>
      <c r="G1199">
        <v>340</v>
      </c>
      <c r="H1199" s="115"/>
      <c r="I1199" s="115"/>
      <c r="L1199" s="169">
        <v>43775</v>
      </c>
      <c r="M1199" s="115">
        <v>144.46</v>
      </c>
      <c r="N1199" s="115">
        <v>147.6</v>
      </c>
      <c r="O1199" s="115">
        <v>138.59</v>
      </c>
      <c r="P1199" s="115">
        <v>143</v>
      </c>
      <c r="Q1199" s="115">
        <v>722.3</v>
      </c>
      <c r="R1199">
        <v>21775</v>
      </c>
    </row>
    <row r="1200" spans="1:18" x14ac:dyDescent="0.25">
      <c r="A1200" s="169">
        <v>43787</v>
      </c>
      <c r="B1200" s="115">
        <v>143.32</v>
      </c>
      <c r="C1200" s="115">
        <v>141.80000000000001</v>
      </c>
      <c r="D1200" s="115">
        <v>138.19999999999999</v>
      </c>
      <c r="E1200" s="115">
        <v>141</v>
      </c>
      <c r="F1200" s="115">
        <v>709</v>
      </c>
      <c r="G1200">
        <v>128</v>
      </c>
      <c r="H1200" s="115"/>
      <c r="I1200" s="115"/>
      <c r="L1200" s="169">
        <v>43776</v>
      </c>
      <c r="M1200" s="115">
        <v>143.5</v>
      </c>
      <c r="N1200" s="115">
        <v>144.57</v>
      </c>
      <c r="O1200" s="115">
        <v>140.4</v>
      </c>
      <c r="P1200" s="115">
        <v>143.6</v>
      </c>
      <c r="Q1200" s="115">
        <v>717.5</v>
      </c>
      <c r="R1200">
        <v>5854</v>
      </c>
    </row>
    <row r="1201" spans="1:18" x14ac:dyDescent="0.25">
      <c r="A1201" s="169">
        <v>43788</v>
      </c>
      <c r="B1201" s="115">
        <v>139.01</v>
      </c>
      <c r="C1201" s="115">
        <v>139.01</v>
      </c>
      <c r="D1201" s="115">
        <v>138.35</v>
      </c>
      <c r="E1201" s="115">
        <v>138.56</v>
      </c>
      <c r="F1201" s="115">
        <v>695.05</v>
      </c>
      <c r="G1201">
        <v>4</v>
      </c>
      <c r="H1201" s="115"/>
      <c r="I1201" s="115"/>
      <c r="L1201" s="169">
        <v>43777</v>
      </c>
      <c r="M1201" s="115">
        <v>143.13</v>
      </c>
      <c r="N1201" s="115">
        <v>147.22</v>
      </c>
      <c r="O1201" s="115">
        <v>142.69999999999999</v>
      </c>
      <c r="P1201" s="115">
        <v>142.69999999999999</v>
      </c>
      <c r="Q1201" s="115">
        <v>715.65</v>
      </c>
      <c r="R1201">
        <v>8101</v>
      </c>
    </row>
    <row r="1202" spans="1:18" x14ac:dyDescent="0.25">
      <c r="A1202" s="169">
        <v>43789</v>
      </c>
      <c r="B1202" s="115">
        <v>139.88</v>
      </c>
      <c r="C1202" s="115">
        <v>137.57</v>
      </c>
      <c r="D1202" s="115">
        <v>136.19999999999999</v>
      </c>
      <c r="E1202" s="115">
        <v>138.69</v>
      </c>
      <c r="F1202" s="115">
        <v>687.85</v>
      </c>
      <c r="G1202">
        <v>91</v>
      </c>
      <c r="H1202" s="115"/>
      <c r="I1202" s="115"/>
      <c r="L1202" s="169">
        <v>43780</v>
      </c>
      <c r="M1202" s="115">
        <v>141.41</v>
      </c>
      <c r="N1202" s="115">
        <v>143.79</v>
      </c>
      <c r="O1202" s="115">
        <v>140.80000000000001</v>
      </c>
      <c r="P1202" s="115">
        <v>140.80000000000001</v>
      </c>
      <c r="Q1202" s="115">
        <v>707.05</v>
      </c>
      <c r="R1202">
        <v>3591</v>
      </c>
    </row>
    <row r="1203" spans="1:18" x14ac:dyDescent="0.25">
      <c r="A1203" s="169">
        <v>43790</v>
      </c>
      <c r="B1203" s="115">
        <v>137.53</v>
      </c>
      <c r="C1203" s="115">
        <v>135.58000000000001</v>
      </c>
      <c r="D1203" s="115">
        <v>135.19999999999999</v>
      </c>
      <c r="E1203" s="115">
        <v>137.53</v>
      </c>
      <c r="F1203" s="115">
        <v>677.9</v>
      </c>
      <c r="G1203">
        <v>37</v>
      </c>
      <c r="H1203" s="115"/>
      <c r="I1203" s="115"/>
      <c r="L1203" s="169">
        <v>43782</v>
      </c>
      <c r="M1203" s="115">
        <v>141.54</v>
      </c>
      <c r="N1203" s="115">
        <v>143.41</v>
      </c>
      <c r="O1203" s="115">
        <v>138</v>
      </c>
      <c r="P1203" s="115">
        <v>142</v>
      </c>
      <c r="Q1203" s="115">
        <v>707.7</v>
      </c>
      <c r="R1203">
        <v>6045</v>
      </c>
    </row>
    <row r="1204" spans="1:18" x14ac:dyDescent="0.25">
      <c r="A1204" s="169">
        <v>43791</v>
      </c>
      <c r="B1204" s="115">
        <v>135.80000000000001</v>
      </c>
      <c r="C1204" s="115">
        <v>133.93</v>
      </c>
      <c r="D1204" s="115">
        <v>131.6</v>
      </c>
      <c r="E1204" s="115">
        <v>131.6</v>
      </c>
      <c r="F1204" s="115">
        <v>669.65</v>
      </c>
      <c r="G1204">
        <v>118</v>
      </c>
      <c r="H1204" s="115"/>
      <c r="I1204" s="115"/>
      <c r="L1204" s="169">
        <v>43783</v>
      </c>
      <c r="M1204" s="115">
        <v>140.38999999999999</v>
      </c>
      <c r="N1204" s="115">
        <v>143.19999999999999</v>
      </c>
      <c r="O1204" s="115">
        <v>137.83000000000001</v>
      </c>
      <c r="P1204" s="115">
        <v>143.19999999999999</v>
      </c>
      <c r="Q1204" s="115">
        <v>701.95</v>
      </c>
      <c r="R1204">
        <v>6758</v>
      </c>
    </row>
    <row r="1205" spans="1:18" x14ac:dyDescent="0.25">
      <c r="A1205" s="169">
        <v>43794</v>
      </c>
      <c r="B1205" s="115">
        <v>138</v>
      </c>
      <c r="C1205" s="115">
        <v>136.94</v>
      </c>
      <c r="D1205" s="115">
        <v>135.19999999999999</v>
      </c>
      <c r="E1205" s="115">
        <v>138</v>
      </c>
      <c r="F1205" s="115">
        <v>684.7</v>
      </c>
      <c r="G1205">
        <v>74</v>
      </c>
      <c r="H1205" s="115"/>
      <c r="I1205" s="115"/>
      <c r="L1205" s="169">
        <v>43784</v>
      </c>
      <c r="M1205" s="115">
        <v>141.21</v>
      </c>
      <c r="N1205" s="115">
        <v>141.68</v>
      </c>
      <c r="O1205" s="115">
        <v>139.15</v>
      </c>
      <c r="P1205" s="115">
        <v>140.97999999999999</v>
      </c>
      <c r="Q1205" s="115">
        <v>706.05</v>
      </c>
      <c r="R1205">
        <v>2558</v>
      </c>
    </row>
    <row r="1206" spans="1:18" x14ac:dyDescent="0.25">
      <c r="A1206" s="169">
        <v>43795</v>
      </c>
      <c r="B1206" s="115">
        <v>137.85</v>
      </c>
      <c r="C1206" s="115">
        <v>137.85</v>
      </c>
      <c r="D1206" s="115">
        <v>136.21</v>
      </c>
      <c r="E1206" s="115">
        <v>136.94</v>
      </c>
      <c r="F1206" s="115">
        <v>689.25</v>
      </c>
      <c r="G1206">
        <v>43</v>
      </c>
      <c r="H1206" s="115"/>
      <c r="I1206" s="115"/>
      <c r="L1206" s="169">
        <v>43787</v>
      </c>
      <c r="M1206" s="115">
        <v>140.66</v>
      </c>
      <c r="N1206" s="115">
        <v>144</v>
      </c>
      <c r="O1206" s="115">
        <v>138</v>
      </c>
      <c r="P1206" s="115">
        <v>140.4</v>
      </c>
      <c r="Q1206" s="115">
        <v>703.3</v>
      </c>
      <c r="R1206">
        <v>5896</v>
      </c>
    </row>
    <row r="1207" spans="1:18" x14ac:dyDescent="0.25">
      <c r="A1207" s="169">
        <v>43796</v>
      </c>
      <c r="B1207" s="115">
        <v>137.51</v>
      </c>
      <c r="C1207" s="115">
        <v>135.41999999999999</v>
      </c>
      <c r="D1207" s="115">
        <v>134</v>
      </c>
      <c r="E1207" s="115">
        <v>134</v>
      </c>
      <c r="F1207" s="115">
        <v>677.1</v>
      </c>
      <c r="G1207">
        <v>60</v>
      </c>
      <c r="H1207" s="115"/>
      <c r="I1207" s="115"/>
      <c r="L1207" s="169">
        <v>43788</v>
      </c>
      <c r="M1207" s="115">
        <v>138.62</v>
      </c>
      <c r="N1207" s="115">
        <v>142</v>
      </c>
      <c r="O1207" s="115">
        <v>138.12</v>
      </c>
      <c r="P1207" s="115">
        <v>139.4</v>
      </c>
      <c r="Q1207" s="115">
        <v>693.1</v>
      </c>
      <c r="R1207">
        <v>3028</v>
      </c>
    </row>
    <row r="1208" spans="1:18" x14ac:dyDescent="0.25">
      <c r="A1208" s="169">
        <v>43797</v>
      </c>
      <c r="B1208" s="115">
        <v>136.57</v>
      </c>
      <c r="C1208" s="115">
        <v>135.13</v>
      </c>
      <c r="D1208" s="115">
        <v>134.84</v>
      </c>
      <c r="E1208" s="115">
        <v>135.02000000000001</v>
      </c>
      <c r="F1208" s="115">
        <v>675.65</v>
      </c>
      <c r="G1208">
        <v>138</v>
      </c>
      <c r="H1208" s="115"/>
      <c r="I1208" s="115"/>
      <c r="L1208" s="169">
        <v>43789</v>
      </c>
      <c r="M1208" s="115">
        <v>137.62</v>
      </c>
      <c r="N1208" s="115">
        <v>139.80000000000001</v>
      </c>
      <c r="O1208" s="115">
        <v>136.4</v>
      </c>
      <c r="P1208" s="115">
        <v>138.62</v>
      </c>
      <c r="Q1208" s="115">
        <v>688.1</v>
      </c>
      <c r="R1208">
        <v>4062</v>
      </c>
    </row>
    <row r="1209" spans="1:18" x14ac:dyDescent="0.25">
      <c r="A1209" s="169">
        <v>43798</v>
      </c>
      <c r="B1209" s="115">
        <v>135.19999999999999</v>
      </c>
      <c r="C1209" s="115">
        <v>134.61000000000001</v>
      </c>
      <c r="D1209" s="115">
        <v>133.6</v>
      </c>
      <c r="E1209" s="115">
        <v>135</v>
      </c>
      <c r="F1209" s="115">
        <v>673.05</v>
      </c>
      <c r="G1209">
        <v>7</v>
      </c>
      <c r="H1209" s="115"/>
      <c r="I1209" s="115"/>
      <c r="L1209" s="169">
        <v>43790</v>
      </c>
      <c r="M1209" s="115">
        <v>135.65</v>
      </c>
      <c r="N1209" s="115">
        <v>137.4</v>
      </c>
      <c r="O1209" s="115">
        <v>135</v>
      </c>
      <c r="P1209" s="115">
        <v>136.19999999999999</v>
      </c>
      <c r="Q1209" s="115">
        <v>678.25</v>
      </c>
      <c r="R1209">
        <v>5207</v>
      </c>
    </row>
    <row r="1210" spans="1:18" x14ac:dyDescent="0.25">
      <c r="A1210" s="169">
        <v>43801</v>
      </c>
      <c r="B1210" s="115">
        <v>134.30000000000001</v>
      </c>
      <c r="C1210" s="115">
        <v>130.9</v>
      </c>
      <c r="D1210" s="115">
        <v>129.88999999999999</v>
      </c>
      <c r="E1210" s="115">
        <v>134.30000000000001</v>
      </c>
      <c r="F1210" s="115">
        <v>654.5</v>
      </c>
      <c r="G1210">
        <v>212</v>
      </c>
      <c r="H1210" s="115"/>
      <c r="I1210" s="115"/>
      <c r="L1210" s="169">
        <v>43791</v>
      </c>
      <c r="M1210" s="115">
        <v>133.84</v>
      </c>
      <c r="N1210" s="115">
        <v>137.07</v>
      </c>
      <c r="O1210" s="115">
        <v>133</v>
      </c>
      <c r="P1210" s="115">
        <v>133</v>
      </c>
      <c r="Q1210" s="115">
        <v>669.2</v>
      </c>
      <c r="R1210">
        <v>2594</v>
      </c>
    </row>
    <row r="1211" spans="1:18" x14ac:dyDescent="0.25">
      <c r="A1211" s="169">
        <v>43802</v>
      </c>
      <c r="B1211" s="115">
        <v>137</v>
      </c>
      <c r="C1211" s="115">
        <v>132.91999999999999</v>
      </c>
      <c r="D1211" s="115">
        <v>130.19999999999999</v>
      </c>
      <c r="E1211" s="115">
        <v>130.19999999999999</v>
      </c>
      <c r="F1211" s="115">
        <v>664.6</v>
      </c>
      <c r="G1211">
        <v>253</v>
      </c>
      <c r="H1211" s="115"/>
      <c r="I1211" s="115"/>
      <c r="L1211" s="169">
        <v>43794</v>
      </c>
      <c r="M1211" s="115">
        <v>137.35</v>
      </c>
      <c r="N1211" s="115">
        <v>137.99</v>
      </c>
      <c r="O1211" s="115">
        <v>133.15</v>
      </c>
      <c r="P1211" s="115">
        <v>133.15</v>
      </c>
      <c r="Q1211" s="115">
        <v>686.75</v>
      </c>
      <c r="R1211">
        <v>2597</v>
      </c>
    </row>
    <row r="1212" spans="1:18" x14ac:dyDescent="0.25">
      <c r="A1212" s="169">
        <v>43803</v>
      </c>
      <c r="B1212" s="115">
        <v>133.52000000000001</v>
      </c>
      <c r="C1212" s="115">
        <v>132.6</v>
      </c>
      <c r="D1212" s="115">
        <v>132.6</v>
      </c>
      <c r="E1212" s="115">
        <v>133.52000000000001</v>
      </c>
      <c r="F1212" s="115">
        <v>663</v>
      </c>
      <c r="G1212">
        <v>56</v>
      </c>
      <c r="H1212" s="115"/>
      <c r="I1212" s="115"/>
      <c r="L1212" s="169">
        <v>43795</v>
      </c>
      <c r="M1212" s="115">
        <v>135.81</v>
      </c>
      <c r="N1212" s="115">
        <v>137.91</v>
      </c>
      <c r="O1212" s="115">
        <v>135.19999999999999</v>
      </c>
      <c r="P1212" s="115">
        <v>137.91</v>
      </c>
      <c r="Q1212" s="115">
        <v>679.05</v>
      </c>
      <c r="R1212">
        <v>50875</v>
      </c>
    </row>
    <row r="1213" spans="1:18" x14ac:dyDescent="0.25">
      <c r="A1213" s="169">
        <v>43804</v>
      </c>
      <c r="B1213" s="115">
        <v>137</v>
      </c>
      <c r="C1213" s="115">
        <v>134.88999999999999</v>
      </c>
      <c r="D1213" s="115">
        <v>133.76</v>
      </c>
      <c r="E1213" s="115">
        <v>135</v>
      </c>
      <c r="F1213" s="115">
        <v>674.45</v>
      </c>
      <c r="G1213">
        <v>653</v>
      </c>
      <c r="H1213" s="115"/>
      <c r="I1213" s="115"/>
      <c r="L1213" s="169">
        <v>43796</v>
      </c>
      <c r="M1213" s="115">
        <v>136.5</v>
      </c>
      <c r="N1213" s="115">
        <v>137.94999999999999</v>
      </c>
      <c r="O1213" s="115">
        <v>133.81</v>
      </c>
      <c r="P1213" s="115">
        <v>135.83000000000001</v>
      </c>
      <c r="Q1213" s="115">
        <v>682.5</v>
      </c>
      <c r="R1213">
        <v>3570</v>
      </c>
    </row>
    <row r="1214" spans="1:18" x14ac:dyDescent="0.25">
      <c r="A1214" s="169">
        <v>43805</v>
      </c>
      <c r="B1214" s="115">
        <v>134</v>
      </c>
      <c r="C1214" s="115">
        <v>133.56</v>
      </c>
      <c r="D1214" s="115">
        <v>132.41999999999999</v>
      </c>
      <c r="E1214" s="115">
        <v>132.41999999999999</v>
      </c>
      <c r="F1214" s="115">
        <v>667.8</v>
      </c>
      <c r="G1214">
        <v>193</v>
      </c>
      <c r="H1214" s="115"/>
      <c r="I1214" s="115"/>
      <c r="L1214" s="169">
        <v>43797</v>
      </c>
      <c r="M1214" s="115">
        <v>135.21</v>
      </c>
      <c r="N1214" s="115">
        <v>137.5</v>
      </c>
      <c r="O1214" s="115">
        <v>134.62</v>
      </c>
      <c r="P1214" s="115">
        <v>136.46</v>
      </c>
      <c r="Q1214" s="115">
        <v>676.05</v>
      </c>
      <c r="R1214">
        <v>3301</v>
      </c>
    </row>
    <row r="1215" spans="1:18" x14ac:dyDescent="0.25">
      <c r="A1215" s="169">
        <v>43808</v>
      </c>
      <c r="B1215" s="115">
        <v>131.9</v>
      </c>
      <c r="C1215" s="115">
        <v>130.06</v>
      </c>
      <c r="D1215" s="115">
        <v>128.25</v>
      </c>
      <c r="E1215" s="115">
        <v>131.9</v>
      </c>
      <c r="F1215" s="115">
        <v>650.29999999999995</v>
      </c>
      <c r="G1215">
        <v>131</v>
      </c>
      <c r="H1215" s="115"/>
      <c r="I1215" s="115"/>
      <c r="L1215" s="169">
        <v>43798</v>
      </c>
      <c r="M1215" s="115">
        <v>134.88999999999999</v>
      </c>
      <c r="N1215" s="115">
        <v>137.53</v>
      </c>
      <c r="O1215" s="115">
        <v>134.4</v>
      </c>
      <c r="P1215" s="115">
        <v>135.19999999999999</v>
      </c>
      <c r="Q1215" s="115">
        <v>674.45</v>
      </c>
      <c r="R1215">
        <v>1252</v>
      </c>
    </row>
    <row r="1216" spans="1:18" x14ac:dyDescent="0.25">
      <c r="A1216" s="169">
        <v>43809</v>
      </c>
      <c r="B1216" s="115">
        <v>130.6</v>
      </c>
      <c r="C1216" s="115">
        <v>130.6</v>
      </c>
      <c r="D1216" s="115">
        <v>130</v>
      </c>
      <c r="E1216" s="115">
        <v>130</v>
      </c>
      <c r="F1216" s="115">
        <v>653</v>
      </c>
      <c r="G1216">
        <v>50</v>
      </c>
      <c r="H1216" s="115"/>
      <c r="I1216" s="115"/>
      <c r="L1216" s="169">
        <v>43801</v>
      </c>
      <c r="M1216" s="115">
        <v>131.4</v>
      </c>
      <c r="N1216" s="115">
        <v>135.71</v>
      </c>
      <c r="O1216" s="115">
        <v>129.97999999999999</v>
      </c>
      <c r="P1216" s="115">
        <v>134</v>
      </c>
      <c r="Q1216" s="115">
        <v>657</v>
      </c>
      <c r="R1216">
        <v>8700</v>
      </c>
    </row>
    <row r="1217" spans="1:18" x14ac:dyDescent="0.25">
      <c r="A1217" s="169">
        <v>43810</v>
      </c>
      <c r="B1217" s="115">
        <v>134.81</v>
      </c>
      <c r="C1217" s="115">
        <v>134</v>
      </c>
      <c r="D1217" s="115">
        <v>132.41999999999999</v>
      </c>
      <c r="E1217" s="115">
        <v>134.78</v>
      </c>
      <c r="F1217" s="115">
        <v>670</v>
      </c>
      <c r="G1217">
        <v>133</v>
      </c>
      <c r="H1217" s="115"/>
      <c r="I1217" s="115"/>
      <c r="L1217" s="169">
        <v>43802</v>
      </c>
      <c r="M1217" s="115">
        <v>133.5</v>
      </c>
      <c r="N1217" s="115">
        <v>136.99</v>
      </c>
      <c r="O1217" s="115">
        <v>130</v>
      </c>
      <c r="P1217" s="115">
        <v>132.01</v>
      </c>
      <c r="Q1217" s="115">
        <v>667.5</v>
      </c>
      <c r="R1217">
        <v>8570</v>
      </c>
    </row>
    <row r="1218" spans="1:18" x14ac:dyDescent="0.25">
      <c r="A1218" s="169">
        <v>43811</v>
      </c>
      <c r="B1218" s="115">
        <v>132.4</v>
      </c>
      <c r="C1218" s="115">
        <v>130.22</v>
      </c>
      <c r="D1218" s="115">
        <v>129.74</v>
      </c>
      <c r="E1218" s="115">
        <v>132.4</v>
      </c>
      <c r="F1218" s="115">
        <v>651.1</v>
      </c>
      <c r="G1218">
        <v>462</v>
      </c>
      <c r="H1218" s="115"/>
      <c r="I1218" s="115"/>
      <c r="L1218" s="169">
        <v>43803</v>
      </c>
      <c r="M1218" s="115">
        <v>132.88</v>
      </c>
      <c r="N1218" s="115">
        <v>133.69999999999999</v>
      </c>
      <c r="O1218" s="115">
        <v>131.19999999999999</v>
      </c>
      <c r="P1218" s="115">
        <v>133.19999999999999</v>
      </c>
      <c r="Q1218" s="115">
        <v>664.4</v>
      </c>
      <c r="R1218">
        <v>2155</v>
      </c>
    </row>
    <row r="1219" spans="1:18" x14ac:dyDescent="0.25">
      <c r="A1219" s="169">
        <v>43812</v>
      </c>
      <c r="B1219" s="115">
        <v>132.72999999999999</v>
      </c>
      <c r="C1219" s="115">
        <v>130.52000000000001</v>
      </c>
      <c r="D1219" s="115">
        <v>129.38999999999999</v>
      </c>
      <c r="E1219" s="115">
        <v>131.99</v>
      </c>
      <c r="F1219" s="115">
        <v>652.6</v>
      </c>
      <c r="G1219">
        <v>239</v>
      </c>
      <c r="H1219" s="115"/>
      <c r="I1219" s="115"/>
      <c r="L1219" s="169">
        <v>43804</v>
      </c>
      <c r="M1219" s="115">
        <v>135.75</v>
      </c>
      <c r="N1219" s="115">
        <v>136.97</v>
      </c>
      <c r="O1219" s="115">
        <v>133.99</v>
      </c>
      <c r="P1219" s="115">
        <v>134</v>
      </c>
      <c r="Q1219" s="115">
        <v>678.75</v>
      </c>
      <c r="R1219">
        <v>3837</v>
      </c>
    </row>
    <row r="1220" spans="1:18" x14ac:dyDescent="0.25">
      <c r="A1220" s="169">
        <v>43815</v>
      </c>
      <c r="B1220" s="115">
        <v>131.18</v>
      </c>
      <c r="C1220" s="115">
        <v>130</v>
      </c>
      <c r="D1220" s="115">
        <v>129.4</v>
      </c>
      <c r="E1220" s="115">
        <v>129.4</v>
      </c>
      <c r="F1220" s="115">
        <v>650</v>
      </c>
      <c r="G1220">
        <v>135</v>
      </c>
      <c r="H1220" s="115"/>
      <c r="I1220" s="115"/>
      <c r="L1220" s="169">
        <v>43805</v>
      </c>
      <c r="M1220" s="115">
        <v>133.68</v>
      </c>
      <c r="N1220" s="115">
        <v>136.97</v>
      </c>
      <c r="O1220" s="115">
        <v>132.63999999999999</v>
      </c>
      <c r="P1220" s="115">
        <v>136.97</v>
      </c>
      <c r="Q1220" s="115">
        <v>668.4</v>
      </c>
      <c r="R1220">
        <v>1841</v>
      </c>
    </row>
    <row r="1221" spans="1:18" x14ac:dyDescent="0.25">
      <c r="A1221" s="169">
        <v>43816</v>
      </c>
      <c r="B1221" s="115">
        <v>130.83000000000001</v>
      </c>
      <c r="C1221" s="115">
        <v>129.1</v>
      </c>
      <c r="D1221" s="115">
        <v>129.1</v>
      </c>
      <c r="E1221" s="115">
        <v>130.83000000000001</v>
      </c>
      <c r="F1221" s="115">
        <v>645.5</v>
      </c>
      <c r="G1221">
        <v>171</v>
      </c>
      <c r="H1221" s="115"/>
      <c r="I1221" s="115"/>
      <c r="L1221" s="169">
        <v>43808</v>
      </c>
      <c r="M1221" s="115">
        <v>130.51</v>
      </c>
      <c r="N1221" s="115">
        <v>134.12</v>
      </c>
      <c r="O1221" s="115">
        <v>130</v>
      </c>
      <c r="P1221" s="115">
        <v>131.07</v>
      </c>
      <c r="Q1221" s="115">
        <v>652.54999999999995</v>
      </c>
      <c r="R1221">
        <v>3525</v>
      </c>
    </row>
    <row r="1222" spans="1:18" x14ac:dyDescent="0.25">
      <c r="A1222" s="169">
        <v>43817</v>
      </c>
      <c r="B1222" s="115">
        <v>130.4</v>
      </c>
      <c r="C1222" s="115">
        <v>128.44999999999999</v>
      </c>
      <c r="D1222" s="115">
        <v>128.19999999999999</v>
      </c>
      <c r="E1222" s="115">
        <v>130</v>
      </c>
      <c r="F1222" s="115">
        <v>642.25</v>
      </c>
      <c r="G1222">
        <v>1684</v>
      </c>
      <c r="H1222" s="115"/>
      <c r="I1222" s="115"/>
      <c r="L1222" s="169">
        <v>43809</v>
      </c>
      <c r="M1222" s="115">
        <v>130.82</v>
      </c>
      <c r="N1222" s="115">
        <v>131.97999999999999</v>
      </c>
      <c r="O1222" s="115">
        <v>130.5</v>
      </c>
      <c r="P1222" s="115">
        <v>130.99</v>
      </c>
      <c r="Q1222" s="115">
        <v>654.1</v>
      </c>
      <c r="R1222">
        <v>1357</v>
      </c>
    </row>
    <row r="1223" spans="1:18" x14ac:dyDescent="0.25">
      <c r="A1223" s="169">
        <v>43818</v>
      </c>
      <c r="B1223" s="115">
        <v>129.69999999999999</v>
      </c>
      <c r="C1223" s="115">
        <v>128.13999999999999</v>
      </c>
      <c r="D1223" s="115">
        <v>127.1</v>
      </c>
      <c r="E1223" s="115">
        <v>129.22999999999999</v>
      </c>
      <c r="F1223" s="115">
        <v>640.70000000000005</v>
      </c>
      <c r="G1223">
        <v>726</v>
      </c>
      <c r="H1223" s="115"/>
      <c r="I1223" s="115"/>
      <c r="L1223" s="169">
        <v>43810</v>
      </c>
      <c r="M1223" s="115">
        <v>133.87</v>
      </c>
      <c r="N1223" s="115">
        <v>135</v>
      </c>
      <c r="O1223" s="115">
        <v>130.82</v>
      </c>
      <c r="P1223" s="115">
        <v>130.82</v>
      </c>
      <c r="Q1223" s="115">
        <v>669.35</v>
      </c>
      <c r="R1223">
        <v>2443</v>
      </c>
    </row>
    <row r="1224" spans="1:18" x14ac:dyDescent="0.25">
      <c r="A1224" s="169">
        <v>43819</v>
      </c>
      <c r="B1224" s="115">
        <v>133.91</v>
      </c>
      <c r="C1224" s="115">
        <v>131.94999999999999</v>
      </c>
      <c r="D1224" s="115">
        <v>126.42</v>
      </c>
      <c r="E1224" s="115">
        <v>127.2</v>
      </c>
      <c r="F1224" s="115">
        <v>659.75</v>
      </c>
      <c r="G1224">
        <v>118</v>
      </c>
      <c r="H1224" s="115"/>
      <c r="I1224" s="115"/>
      <c r="L1224" s="169">
        <v>43811</v>
      </c>
      <c r="M1224" s="115">
        <v>130.63999999999999</v>
      </c>
      <c r="N1224" s="115">
        <v>136</v>
      </c>
      <c r="O1224" s="115">
        <v>129.19999999999999</v>
      </c>
      <c r="P1224" s="115">
        <v>136</v>
      </c>
      <c r="Q1224" s="115">
        <v>653.20000000000005</v>
      </c>
      <c r="R1224">
        <v>8115</v>
      </c>
    </row>
    <row r="1225" spans="1:18" x14ac:dyDescent="0.25">
      <c r="A1225" s="169">
        <v>43822</v>
      </c>
      <c r="B1225" s="115">
        <v>132.24</v>
      </c>
      <c r="C1225" s="115">
        <v>131</v>
      </c>
      <c r="D1225" s="115">
        <v>130.6</v>
      </c>
      <c r="E1225" s="115">
        <v>132.15</v>
      </c>
      <c r="F1225" s="115">
        <v>655</v>
      </c>
      <c r="G1225">
        <v>301</v>
      </c>
      <c r="H1225" s="115"/>
      <c r="I1225" s="115"/>
      <c r="L1225" s="169">
        <v>43812</v>
      </c>
      <c r="M1225" s="115">
        <v>130.09</v>
      </c>
      <c r="N1225" s="115">
        <v>133.01</v>
      </c>
      <c r="O1225" s="115">
        <v>129.30000000000001</v>
      </c>
      <c r="P1225" s="115">
        <v>131.15</v>
      </c>
      <c r="Q1225" s="115">
        <v>650.45000000000005</v>
      </c>
      <c r="R1225">
        <v>8638</v>
      </c>
    </row>
    <row r="1226" spans="1:18" x14ac:dyDescent="0.25">
      <c r="A1226" s="169">
        <v>43823</v>
      </c>
      <c r="B1226" s="115">
        <v>132.80000000000001</v>
      </c>
      <c r="C1226" s="115">
        <v>132.1</v>
      </c>
      <c r="D1226" s="115">
        <v>130.68</v>
      </c>
      <c r="E1226" s="115">
        <v>132</v>
      </c>
      <c r="F1226" s="115">
        <v>660.5</v>
      </c>
      <c r="G1226">
        <v>630</v>
      </c>
      <c r="H1226" s="115"/>
      <c r="I1226" s="115"/>
      <c r="L1226" s="169">
        <v>43815</v>
      </c>
      <c r="M1226" s="115">
        <v>130.13</v>
      </c>
      <c r="N1226" s="115">
        <v>131.01</v>
      </c>
      <c r="O1226" s="115">
        <v>128.79</v>
      </c>
      <c r="P1226" s="115">
        <v>128.80000000000001</v>
      </c>
      <c r="Q1226" s="115">
        <v>650.65</v>
      </c>
      <c r="R1226">
        <v>7542</v>
      </c>
    </row>
    <row r="1227" spans="1:18" x14ac:dyDescent="0.25">
      <c r="A1227" s="169">
        <v>43825</v>
      </c>
      <c r="B1227" s="115">
        <v>132</v>
      </c>
      <c r="C1227" s="115">
        <v>130.65</v>
      </c>
      <c r="D1227" s="115">
        <v>129</v>
      </c>
      <c r="E1227" s="115">
        <v>132</v>
      </c>
      <c r="F1227" s="115">
        <v>653.25</v>
      </c>
      <c r="G1227">
        <v>250</v>
      </c>
      <c r="H1227" s="115"/>
      <c r="I1227" s="115"/>
      <c r="L1227" s="169">
        <v>43816</v>
      </c>
      <c r="M1227" s="115">
        <v>129.66</v>
      </c>
      <c r="N1227" s="115">
        <v>131.33000000000001</v>
      </c>
      <c r="O1227" s="115">
        <v>128.72</v>
      </c>
      <c r="P1227" s="115">
        <v>130.19999999999999</v>
      </c>
      <c r="Q1227" s="115">
        <v>648.29999999999995</v>
      </c>
      <c r="R1227">
        <v>2174</v>
      </c>
    </row>
    <row r="1228" spans="1:18" x14ac:dyDescent="0.25">
      <c r="A1228" s="169">
        <v>43826</v>
      </c>
      <c r="B1228" s="115">
        <v>136.49</v>
      </c>
      <c r="C1228" s="115">
        <v>135.16999999999999</v>
      </c>
      <c r="D1228" s="115">
        <v>130.03</v>
      </c>
      <c r="E1228" s="115">
        <v>130.19999999999999</v>
      </c>
      <c r="F1228" s="115">
        <v>675.85</v>
      </c>
      <c r="G1228">
        <v>770</v>
      </c>
      <c r="H1228" s="115"/>
      <c r="I1228" s="115"/>
      <c r="L1228" s="169">
        <v>43817</v>
      </c>
      <c r="M1228" s="115">
        <v>129.72999999999999</v>
      </c>
      <c r="N1228" s="115">
        <v>130.54</v>
      </c>
      <c r="O1228" s="115">
        <v>128.38999999999999</v>
      </c>
      <c r="P1228" s="115">
        <v>129.19999999999999</v>
      </c>
      <c r="Q1228" s="115">
        <v>648.65</v>
      </c>
      <c r="R1228">
        <v>3584</v>
      </c>
    </row>
    <row r="1229" spans="1:18" x14ac:dyDescent="0.25">
      <c r="A1229" s="169">
        <v>43829</v>
      </c>
      <c r="B1229" s="115">
        <v>138</v>
      </c>
      <c r="C1229" s="115">
        <v>136.13</v>
      </c>
      <c r="D1229" s="115">
        <v>134</v>
      </c>
      <c r="E1229" s="115">
        <v>134.33000000000001</v>
      </c>
      <c r="F1229" s="115">
        <v>680.65</v>
      </c>
      <c r="G1229">
        <v>52</v>
      </c>
      <c r="H1229" s="115"/>
      <c r="I1229" s="115"/>
      <c r="L1229" s="169">
        <v>43818</v>
      </c>
      <c r="M1229" s="115">
        <v>128.03</v>
      </c>
      <c r="N1229" s="115">
        <v>130.79</v>
      </c>
      <c r="O1229" s="115">
        <v>127.4</v>
      </c>
      <c r="P1229" s="115">
        <v>129.18</v>
      </c>
      <c r="Q1229" s="115">
        <v>640.15</v>
      </c>
      <c r="R1229">
        <v>6549</v>
      </c>
    </row>
    <row r="1230" spans="1:18" x14ac:dyDescent="0.25">
      <c r="A1230" s="169">
        <v>43830</v>
      </c>
      <c r="B1230" s="115">
        <v>137.96</v>
      </c>
      <c r="C1230" s="115">
        <v>135</v>
      </c>
      <c r="D1230" s="115">
        <v>134</v>
      </c>
      <c r="E1230" s="115">
        <v>134.61000000000001</v>
      </c>
      <c r="F1230" s="115">
        <v>675</v>
      </c>
      <c r="G1230">
        <v>2444</v>
      </c>
      <c r="H1230" s="115"/>
      <c r="I1230" s="115"/>
      <c r="L1230" s="169">
        <v>43819</v>
      </c>
      <c r="M1230" s="115">
        <v>131.75</v>
      </c>
      <c r="N1230" s="115">
        <v>133.99</v>
      </c>
      <c r="O1230" s="115">
        <v>126.22</v>
      </c>
      <c r="P1230" s="115">
        <v>128</v>
      </c>
      <c r="Q1230" s="115">
        <v>658.75</v>
      </c>
      <c r="R1230">
        <v>10640</v>
      </c>
    </row>
    <row r="1231" spans="1:18" x14ac:dyDescent="0.25">
      <c r="A1231" s="169">
        <v>43831</v>
      </c>
      <c r="B1231" s="115">
        <v>136</v>
      </c>
      <c r="C1231" s="115">
        <v>135.81</v>
      </c>
      <c r="D1231" s="115">
        <v>134.69999999999999</v>
      </c>
      <c r="E1231" s="115">
        <v>136</v>
      </c>
      <c r="F1231" s="115">
        <v>679.05</v>
      </c>
      <c r="G1231">
        <v>10</v>
      </c>
      <c r="H1231" s="115"/>
      <c r="I1231" s="115"/>
      <c r="L1231" s="169">
        <v>43822</v>
      </c>
      <c r="M1231" s="115">
        <v>131.31</v>
      </c>
      <c r="N1231" s="115">
        <v>132.79</v>
      </c>
      <c r="O1231" s="115">
        <v>129.04</v>
      </c>
      <c r="P1231" s="115">
        <v>131.79</v>
      </c>
      <c r="Q1231" s="115">
        <v>656.55</v>
      </c>
      <c r="R1231">
        <v>3254</v>
      </c>
    </row>
    <row r="1232" spans="1:18" x14ac:dyDescent="0.25">
      <c r="A1232" s="169">
        <v>43832</v>
      </c>
      <c r="B1232" s="115">
        <v>137.06</v>
      </c>
      <c r="C1232" s="115">
        <v>136.81</v>
      </c>
      <c r="D1232" s="115">
        <v>136.81</v>
      </c>
      <c r="E1232" s="115">
        <v>137</v>
      </c>
      <c r="F1232" s="115">
        <v>684.05</v>
      </c>
      <c r="G1232">
        <v>26</v>
      </c>
      <c r="H1232" s="115"/>
      <c r="I1232" s="115"/>
      <c r="L1232" s="169">
        <v>43823</v>
      </c>
      <c r="M1232" s="115">
        <v>132.69</v>
      </c>
      <c r="N1232" s="115">
        <v>133</v>
      </c>
      <c r="O1232" s="115">
        <v>130.4</v>
      </c>
      <c r="P1232" s="115">
        <v>130.41999999999999</v>
      </c>
      <c r="Q1232" s="115">
        <v>663.45</v>
      </c>
      <c r="R1232">
        <v>3256</v>
      </c>
    </row>
    <row r="1233" spans="1:18" x14ac:dyDescent="0.25">
      <c r="A1233" s="169">
        <v>43833</v>
      </c>
      <c r="B1233" s="115">
        <v>137.43</v>
      </c>
      <c r="C1233" s="115">
        <v>136.44</v>
      </c>
      <c r="D1233" s="115">
        <v>134.51</v>
      </c>
      <c r="E1233" s="115">
        <v>137.22999999999999</v>
      </c>
      <c r="F1233" s="115">
        <v>682.2</v>
      </c>
      <c r="G1233">
        <v>589</v>
      </c>
      <c r="H1233" s="115"/>
      <c r="I1233" s="115"/>
      <c r="L1233" s="169">
        <v>43825</v>
      </c>
      <c r="M1233" s="115">
        <v>130.28</v>
      </c>
      <c r="N1233" s="115">
        <v>132.4</v>
      </c>
      <c r="O1233" s="115">
        <v>129.63999999999999</v>
      </c>
      <c r="P1233" s="115">
        <v>131.6</v>
      </c>
      <c r="Q1233" s="115">
        <v>651.4</v>
      </c>
      <c r="R1233">
        <v>1852</v>
      </c>
    </row>
    <row r="1234" spans="1:18" x14ac:dyDescent="0.25">
      <c r="A1234" s="169">
        <v>43836</v>
      </c>
      <c r="B1234" s="115">
        <v>138.21</v>
      </c>
      <c r="C1234" s="115">
        <v>136.54</v>
      </c>
      <c r="D1234" s="115">
        <v>131.82</v>
      </c>
      <c r="E1234" s="115">
        <v>134</v>
      </c>
      <c r="F1234" s="115">
        <v>682.7</v>
      </c>
      <c r="G1234">
        <v>521</v>
      </c>
      <c r="H1234" s="115"/>
      <c r="I1234" s="115"/>
      <c r="L1234" s="169">
        <v>43826</v>
      </c>
      <c r="M1234" s="115">
        <v>135.4</v>
      </c>
      <c r="N1234" s="115">
        <v>136.96</v>
      </c>
      <c r="O1234" s="115">
        <v>129</v>
      </c>
      <c r="P1234" s="115">
        <v>129.21</v>
      </c>
      <c r="Q1234" s="115">
        <v>677</v>
      </c>
      <c r="R1234">
        <v>5169</v>
      </c>
    </row>
    <row r="1235" spans="1:18" x14ac:dyDescent="0.25">
      <c r="A1235" s="169">
        <v>43837</v>
      </c>
      <c r="B1235" s="115">
        <v>138</v>
      </c>
      <c r="C1235" s="115">
        <v>135.35</v>
      </c>
      <c r="D1235" s="115">
        <v>134.94999999999999</v>
      </c>
      <c r="E1235" s="115">
        <v>138</v>
      </c>
      <c r="F1235" s="115">
        <v>676.75</v>
      </c>
      <c r="G1235">
        <v>84</v>
      </c>
      <c r="H1235" s="115"/>
      <c r="I1235" s="115"/>
      <c r="L1235" s="169">
        <v>43829</v>
      </c>
      <c r="M1235" s="115">
        <v>136.77000000000001</v>
      </c>
      <c r="N1235" s="115">
        <v>137.6</v>
      </c>
      <c r="O1235" s="115">
        <v>132.84</v>
      </c>
      <c r="P1235" s="115">
        <v>132.84</v>
      </c>
      <c r="Q1235" s="115">
        <v>683.85</v>
      </c>
      <c r="R1235">
        <v>4598</v>
      </c>
    </row>
    <row r="1236" spans="1:18" x14ac:dyDescent="0.25">
      <c r="A1236" s="169">
        <v>43838</v>
      </c>
      <c r="B1236" s="115">
        <v>135.69999999999999</v>
      </c>
      <c r="C1236" s="115">
        <v>135.5</v>
      </c>
      <c r="D1236" s="115">
        <v>133.6</v>
      </c>
      <c r="E1236" s="115">
        <v>133.9</v>
      </c>
      <c r="F1236" s="115">
        <v>677.5</v>
      </c>
      <c r="G1236">
        <v>504</v>
      </c>
      <c r="H1236" s="115"/>
      <c r="I1236" s="115"/>
      <c r="L1236" s="169">
        <v>43830</v>
      </c>
      <c r="M1236" s="115">
        <v>134.96</v>
      </c>
      <c r="N1236" s="115">
        <v>137.77000000000001</v>
      </c>
      <c r="O1236" s="115">
        <v>133.21</v>
      </c>
      <c r="P1236" s="115">
        <v>134.68</v>
      </c>
      <c r="Q1236" s="115">
        <v>674.8</v>
      </c>
      <c r="R1236">
        <v>9831</v>
      </c>
    </row>
    <row r="1237" spans="1:18" x14ac:dyDescent="0.25">
      <c r="A1237" s="169">
        <v>43839</v>
      </c>
      <c r="B1237" s="115">
        <v>140.19999999999999</v>
      </c>
      <c r="C1237" s="115">
        <v>136.49</v>
      </c>
      <c r="D1237" s="115">
        <v>135.02000000000001</v>
      </c>
      <c r="E1237" s="115">
        <v>135.19999999999999</v>
      </c>
      <c r="F1237" s="115">
        <v>682.45</v>
      </c>
      <c r="G1237">
        <v>1450</v>
      </c>
      <c r="H1237" s="115"/>
      <c r="I1237" s="115"/>
      <c r="L1237" s="169">
        <v>43831</v>
      </c>
      <c r="M1237" s="115">
        <v>135.30000000000001</v>
      </c>
      <c r="N1237" s="115">
        <v>137</v>
      </c>
      <c r="O1237" s="115">
        <v>133.75</v>
      </c>
      <c r="P1237" s="115">
        <v>134.66</v>
      </c>
      <c r="Q1237" s="115">
        <v>676.5</v>
      </c>
      <c r="R1237">
        <v>3078</v>
      </c>
    </row>
    <row r="1238" spans="1:18" x14ac:dyDescent="0.25">
      <c r="A1238" s="169">
        <v>43840</v>
      </c>
      <c r="B1238" s="115">
        <v>149.19999999999999</v>
      </c>
      <c r="C1238" s="115">
        <v>138.66999999999999</v>
      </c>
      <c r="D1238" s="115">
        <v>137.94</v>
      </c>
      <c r="E1238" s="115">
        <v>139.76</v>
      </c>
      <c r="F1238" s="115">
        <v>693.35</v>
      </c>
      <c r="G1238">
        <v>4397</v>
      </c>
      <c r="H1238" s="115"/>
      <c r="I1238" s="115"/>
      <c r="L1238" s="169">
        <v>43832</v>
      </c>
      <c r="M1238" s="115">
        <v>137.05000000000001</v>
      </c>
      <c r="N1238" s="115">
        <v>137.80000000000001</v>
      </c>
      <c r="O1238" s="115">
        <v>134.80000000000001</v>
      </c>
      <c r="P1238" s="115">
        <v>134.81</v>
      </c>
      <c r="Q1238" s="115">
        <v>685.25</v>
      </c>
      <c r="R1238">
        <v>2309</v>
      </c>
    </row>
    <row r="1239" spans="1:18" x14ac:dyDescent="0.25">
      <c r="A1239" s="169">
        <v>43843</v>
      </c>
      <c r="B1239" s="115">
        <v>139.80000000000001</v>
      </c>
      <c r="C1239" s="115">
        <v>137.65</v>
      </c>
      <c r="D1239" s="115">
        <v>137.6</v>
      </c>
      <c r="E1239" s="115">
        <v>139</v>
      </c>
      <c r="F1239" s="115">
        <v>688.25</v>
      </c>
      <c r="G1239">
        <v>435</v>
      </c>
      <c r="H1239" s="115"/>
      <c r="I1239" s="115"/>
      <c r="L1239" s="169">
        <v>43833</v>
      </c>
      <c r="M1239" s="115">
        <v>136.22</v>
      </c>
      <c r="N1239" s="115">
        <v>138.49</v>
      </c>
      <c r="O1239" s="115">
        <v>134.80000000000001</v>
      </c>
      <c r="P1239" s="115">
        <v>136.46</v>
      </c>
      <c r="Q1239" s="115">
        <v>681.1</v>
      </c>
      <c r="R1239">
        <v>2892</v>
      </c>
    </row>
    <row r="1240" spans="1:18" x14ac:dyDescent="0.25">
      <c r="A1240" s="169">
        <v>43844</v>
      </c>
      <c r="B1240" s="115">
        <v>140.6</v>
      </c>
      <c r="C1240" s="115">
        <v>137.18</v>
      </c>
      <c r="D1240" s="115">
        <v>136.55000000000001</v>
      </c>
      <c r="E1240" s="115">
        <v>140.58000000000001</v>
      </c>
      <c r="F1240" s="115">
        <v>685.9</v>
      </c>
      <c r="G1240">
        <v>322</v>
      </c>
      <c r="H1240" s="115"/>
      <c r="I1240" s="115"/>
      <c r="L1240" s="169">
        <v>43836</v>
      </c>
      <c r="M1240" s="115">
        <v>137.27000000000001</v>
      </c>
      <c r="N1240" s="115">
        <v>139.01</v>
      </c>
      <c r="O1240" s="115">
        <v>133.01</v>
      </c>
      <c r="P1240" s="115">
        <v>134.03</v>
      </c>
      <c r="Q1240" s="115">
        <v>686.35</v>
      </c>
      <c r="R1240">
        <v>4052</v>
      </c>
    </row>
    <row r="1241" spans="1:18" x14ac:dyDescent="0.25">
      <c r="A1241" s="169">
        <v>43845</v>
      </c>
      <c r="B1241" s="115">
        <v>139.88999999999999</v>
      </c>
      <c r="C1241" s="115">
        <v>138.43</v>
      </c>
      <c r="D1241" s="115">
        <v>136.13999999999999</v>
      </c>
      <c r="E1241" s="115">
        <v>136.82</v>
      </c>
      <c r="F1241" s="115">
        <v>692.15</v>
      </c>
      <c r="G1241">
        <v>481</v>
      </c>
      <c r="H1241" s="115"/>
      <c r="I1241" s="115"/>
      <c r="L1241" s="169">
        <v>43837</v>
      </c>
      <c r="M1241" s="115">
        <v>135.43</v>
      </c>
      <c r="N1241" s="115">
        <v>139.49</v>
      </c>
      <c r="O1241" s="115">
        <v>134.58000000000001</v>
      </c>
      <c r="P1241" s="115">
        <v>136.63999999999999</v>
      </c>
      <c r="Q1241" s="115">
        <v>677.15</v>
      </c>
      <c r="R1241">
        <v>3948</v>
      </c>
    </row>
    <row r="1242" spans="1:18" x14ac:dyDescent="0.25">
      <c r="A1242" s="169">
        <v>43846</v>
      </c>
      <c r="B1242" s="115">
        <v>141.4</v>
      </c>
      <c r="C1242" s="115">
        <v>139.41999999999999</v>
      </c>
      <c r="D1242" s="115">
        <v>138.57</v>
      </c>
      <c r="E1242" s="115">
        <v>138.57</v>
      </c>
      <c r="F1242" s="115">
        <v>697.1</v>
      </c>
      <c r="G1242">
        <v>302</v>
      </c>
      <c r="H1242" s="115"/>
      <c r="I1242" s="115"/>
      <c r="L1242" s="169">
        <v>43838</v>
      </c>
      <c r="M1242" s="115">
        <v>135.69999999999999</v>
      </c>
      <c r="N1242" s="115">
        <v>136.61000000000001</v>
      </c>
      <c r="O1242" s="115">
        <v>133.74</v>
      </c>
      <c r="P1242" s="115">
        <v>134.72</v>
      </c>
      <c r="Q1242" s="115">
        <v>678.5</v>
      </c>
      <c r="R1242">
        <v>3892</v>
      </c>
    </row>
    <row r="1243" spans="1:18" x14ac:dyDescent="0.25">
      <c r="A1243" s="169">
        <v>43847</v>
      </c>
      <c r="B1243" s="115">
        <v>146</v>
      </c>
      <c r="C1243" s="115">
        <v>145.69999999999999</v>
      </c>
      <c r="D1243" s="115">
        <v>135.4</v>
      </c>
      <c r="E1243" s="115">
        <v>135.4</v>
      </c>
      <c r="F1243" s="115">
        <v>728.5</v>
      </c>
      <c r="G1243">
        <v>677</v>
      </c>
      <c r="H1243" s="115"/>
      <c r="I1243" s="115"/>
      <c r="L1243" s="169">
        <v>43839</v>
      </c>
      <c r="M1243" s="115">
        <v>136.91999999999999</v>
      </c>
      <c r="N1243" s="115">
        <v>140.93</v>
      </c>
      <c r="O1243" s="115">
        <v>134.12</v>
      </c>
      <c r="P1243" s="115">
        <v>136.15</v>
      </c>
      <c r="Q1243" s="115">
        <v>684.6</v>
      </c>
      <c r="R1243">
        <v>26129</v>
      </c>
    </row>
    <row r="1244" spans="1:18" x14ac:dyDescent="0.25">
      <c r="A1244" s="169">
        <v>43850</v>
      </c>
      <c r="B1244" s="115">
        <v>146.34</v>
      </c>
      <c r="C1244" s="115">
        <v>145.71</v>
      </c>
      <c r="D1244" s="115">
        <v>142</v>
      </c>
      <c r="E1244" s="115">
        <v>145.13</v>
      </c>
      <c r="F1244" s="115">
        <v>728.55</v>
      </c>
      <c r="G1244">
        <v>552</v>
      </c>
      <c r="H1244" s="115"/>
      <c r="I1244" s="115"/>
      <c r="L1244" s="169">
        <v>43840</v>
      </c>
      <c r="M1244" s="115">
        <v>139.18</v>
      </c>
      <c r="N1244" s="115">
        <v>152</v>
      </c>
      <c r="O1244" s="115">
        <v>136.38999999999999</v>
      </c>
      <c r="P1244" s="115">
        <v>136.38999999999999</v>
      </c>
      <c r="Q1244" s="115">
        <v>695.9</v>
      </c>
      <c r="R1244">
        <v>87457</v>
      </c>
    </row>
    <row r="1245" spans="1:18" x14ac:dyDescent="0.25">
      <c r="A1245" s="169">
        <v>43851</v>
      </c>
      <c r="B1245" s="115">
        <v>152</v>
      </c>
      <c r="C1245" s="115">
        <v>144.15</v>
      </c>
      <c r="D1245" s="115">
        <v>142.9</v>
      </c>
      <c r="E1245" s="115">
        <v>144.41999999999999</v>
      </c>
      <c r="F1245" s="115">
        <v>720.75</v>
      </c>
      <c r="G1245">
        <v>2594</v>
      </c>
      <c r="H1245" s="115"/>
      <c r="I1245" s="115"/>
      <c r="L1245" s="169">
        <v>43843</v>
      </c>
      <c r="M1245" s="115">
        <v>137.55000000000001</v>
      </c>
      <c r="N1245" s="115">
        <v>141.58000000000001</v>
      </c>
      <c r="O1245" s="115">
        <v>137.22</v>
      </c>
      <c r="P1245" s="115">
        <v>141.58000000000001</v>
      </c>
      <c r="Q1245" s="115">
        <v>687.75</v>
      </c>
      <c r="R1245">
        <v>4944</v>
      </c>
    </row>
    <row r="1246" spans="1:18" x14ac:dyDescent="0.25">
      <c r="A1246" s="169">
        <v>43852</v>
      </c>
      <c r="B1246" s="115">
        <v>148.96</v>
      </c>
      <c r="C1246" s="115">
        <v>147.16999999999999</v>
      </c>
      <c r="D1246" s="115">
        <v>144.31</v>
      </c>
      <c r="E1246" s="115">
        <v>145.19999999999999</v>
      </c>
      <c r="F1246" s="115">
        <v>735.85</v>
      </c>
      <c r="G1246">
        <v>331</v>
      </c>
      <c r="H1246" s="115"/>
      <c r="I1246" s="115"/>
      <c r="L1246" s="169">
        <v>43844</v>
      </c>
      <c r="M1246" s="115">
        <v>137.16</v>
      </c>
      <c r="N1246" s="115">
        <v>140.80000000000001</v>
      </c>
      <c r="O1246" s="115">
        <v>136.4</v>
      </c>
      <c r="P1246" s="115">
        <v>137.22</v>
      </c>
      <c r="Q1246" s="115">
        <v>685.8</v>
      </c>
      <c r="R1246">
        <v>7995</v>
      </c>
    </row>
    <row r="1247" spans="1:18" x14ac:dyDescent="0.25">
      <c r="A1247" s="169">
        <v>43853</v>
      </c>
      <c r="B1247" s="115">
        <v>146.94999999999999</v>
      </c>
      <c r="C1247" s="115">
        <v>142.87</v>
      </c>
      <c r="D1247" s="115">
        <v>142.27000000000001</v>
      </c>
      <c r="E1247" s="115">
        <v>146.94999999999999</v>
      </c>
      <c r="F1247" s="115">
        <v>714.35</v>
      </c>
      <c r="G1247">
        <v>185</v>
      </c>
      <c r="H1247" s="115"/>
      <c r="I1247" s="115"/>
      <c r="L1247" s="169">
        <v>43845</v>
      </c>
      <c r="M1247" s="115">
        <v>138.75</v>
      </c>
      <c r="N1247" s="115">
        <v>140</v>
      </c>
      <c r="O1247" s="115">
        <v>136.6</v>
      </c>
      <c r="P1247" s="115">
        <v>138.01</v>
      </c>
      <c r="Q1247" s="115">
        <v>693.75</v>
      </c>
      <c r="R1247">
        <v>8057</v>
      </c>
    </row>
    <row r="1248" spans="1:18" x14ac:dyDescent="0.25">
      <c r="A1248" s="169">
        <v>43854</v>
      </c>
      <c r="B1248" s="115">
        <v>143.88999999999999</v>
      </c>
      <c r="C1248" s="115">
        <v>142.33000000000001</v>
      </c>
      <c r="D1248" s="115">
        <v>141</v>
      </c>
      <c r="E1248" s="115">
        <v>143.88999999999999</v>
      </c>
      <c r="F1248" s="115">
        <v>711.65</v>
      </c>
      <c r="G1248">
        <v>105</v>
      </c>
      <c r="H1248" s="115"/>
      <c r="I1248" s="115"/>
      <c r="L1248" s="169">
        <v>43846</v>
      </c>
      <c r="M1248" s="115">
        <v>139.49</v>
      </c>
      <c r="N1248" s="115">
        <v>141.44</v>
      </c>
      <c r="O1248" s="115">
        <v>137.4</v>
      </c>
      <c r="P1248" s="115">
        <v>137.4</v>
      </c>
      <c r="Q1248" s="115">
        <v>697.45</v>
      </c>
      <c r="R1248">
        <v>11044</v>
      </c>
    </row>
    <row r="1249" spans="1:18" x14ac:dyDescent="0.25">
      <c r="A1249" s="169">
        <v>43857</v>
      </c>
      <c r="B1249" s="115">
        <v>147.91999999999999</v>
      </c>
      <c r="C1249" s="115">
        <v>147</v>
      </c>
      <c r="D1249" s="115">
        <v>141.6</v>
      </c>
      <c r="E1249" s="115">
        <v>141.6</v>
      </c>
      <c r="F1249" s="115">
        <v>735</v>
      </c>
      <c r="G1249">
        <v>206</v>
      </c>
      <c r="H1249" s="115"/>
      <c r="I1249" s="115"/>
      <c r="L1249" s="169">
        <v>43847</v>
      </c>
      <c r="M1249" s="115">
        <v>144.96</v>
      </c>
      <c r="N1249" s="115">
        <v>145.6</v>
      </c>
      <c r="O1249" s="115">
        <v>138</v>
      </c>
      <c r="P1249" s="115">
        <v>139.78</v>
      </c>
      <c r="Q1249" s="115">
        <v>724.8</v>
      </c>
      <c r="R1249">
        <v>18570</v>
      </c>
    </row>
    <row r="1250" spans="1:18" x14ac:dyDescent="0.25">
      <c r="A1250" s="169">
        <v>43858</v>
      </c>
      <c r="B1250" s="115">
        <v>149</v>
      </c>
      <c r="C1250" s="115">
        <v>147.72999999999999</v>
      </c>
      <c r="D1250" s="115">
        <v>145.26</v>
      </c>
      <c r="E1250" s="115">
        <v>147</v>
      </c>
      <c r="F1250" s="115">
        <v>738.65</v>
      </c>
      <c r="G1250">
        <v>672</v>
      </c>
      <c r="H1250" s="115"/>
      <c r="I1250" s="115"/>
      <c r="L1250" s="169">
        <v>43850</v>
      </c>
      <c r="M1250" s="115">
        <v>145.68</v>
      </c>
      <c r="N1250" s="115">
        <v>147</v>
      </c>
      <c r="O1250" s="115">
        <v>141.83000000000001</v>
      </c>
      <c r="P1250" s="115">
        <v>144.01</v>
      </c>
      <c r="Q1250" s="115">
        <v>728.4</v>
      </c>
      <c r="R1250">
        <v>9923</v>
      </c>
    </row>
    <row r="1251" spans="1:18" x14ac:dyDescent="0.25">
      <c r="A1251" s="169">
        <v>43859</v>
      </c>
      <c r="B1251" s="115">
        <v>149.97999999999999</v>
      </c>
      <c r="C1251" s="115">
        <v>146.61000000000001</v>
      </c>
      <c r="D1251" s="115">
        <v>144.97</v>
      </c>
      <c r="E1251" s="115">
        <v>145.19999999999999</v>
      </c>
      <c r="F1251" s="115">
        <v>733.05</v>
      </c>
      <c r="G1251">
        <v>467</v>
      </c>
      <c r="H1251" s="115"/>
      <c r="I1251" s="115"/>
      <c r="L1251" s="169">
        <v>43851</v>
      </c>
      <c r="M1251" s="115">
        <v>143.93</v>
      </c>
      <c r="N1251" s="115">
        <v>151.80000000000001</v>
      </c>
      <c r="O1251" s="115">
        <v>142.21</v>
      </c>
      <c r="P1251" s="115">
        <v>144.13</v>
      </c>
      <c r="Q1251" s="115">
        <v>719.65</v>
      </c>
      <c r="R1251">
        <v>26365</v>
      </c>
    </row>
    <row r="1252" spans="1:18" x14ac:dyDescent="0.25">
      <c r="A1252" s="169">
        <v>43860</v>
      </c>
      <c r="B1252" s="115">
        <v>148.07</v>
      </c>
      <c r="C1252" s="115">
        <v>143.53</v>
      </c>
      <c r="D1252" s="115">
        <v>142.25</v>
      </c>
      <c r="E1252" s="115">
        <v>144.19999999999999</v>
      </c>
      <c r="F1252" s="115">
        <v>717.65</v>
      </c>
      <c r="G1252">
        <v>101</v>
      </c>
      <c r="H1252" s="115"/>
      <c r="I1252" s="115"/>
      <c r="L1252" s="169">
        <v>43852</v>
      </c>
      <c r="M1252" s="115">
        <v>146.94</v>
      </c>
      <c r="N1252" s="115">
        <v>148.80000000000001</v>
      </c>
      <c r="O1252" s="115">
        <v>143.65</v>
      </c>
      <c r="P1252" s="115">
        <v>143.65</v>
      </c>
      <c r="Q1252" s="115">
        <v>734.7</v>
      </c>
      <c r="R1252">
        <v>13999</v>
      </c>
    </row>
    <row r="1253" spans="1:18" x14ac:dyDescent="0.25">
      <c r="A1253" s="169">
        <v>43861</v>
      </c>
      <c r="B1253" s="115">
        <v>149</v>
      </c>
      <c r="C1253" s="115">
        <v>147.83000000000001</v>
      </c>
      <c r="D1253" s="115">
        <v>143.6</v>
      </c>
      <c r="E1253" s="115">
        <v>143.6</v>
      </c>
      <c r="F1253" s="115">
        <v>739.15</v>
      </c>
      <c r="G1253">
        <v>158</v>
      </c>
      <c r="H1253" s="115"/>
      <c r="I1253" s="115"/>
      <c r="L1253" s="169">
        <v>43853</v>
      </c>
      <c r="M1253" s="115">
        <v>143.69999999999999</v>
      </c>
      <c r="N1253" s="115">
        <v>148</v>
      </c>
      <c r="O1253" s="115">
        <v>142.30000000000001</v>
      </c>
      <c r="P1253" s="115">
        <v>146.94</v>
      </c>
      <c r="Q1253" s="115">
        <v>718.5</v>
      </c>
      <c r="R1253">
        <v>5949</v>
      </c>
    </row>
    <row r="1254" spans="1:18" x14ac:dyDescent="0.25">
      <c r="A1254" s="169">
        <v>43862</v>
      </c>
      <c r="B1254" s="115">
        <v>152.88999999999999</v>
      </c>
      <c r="C1254" s="115">
        <v>138.78</v>
      </c>
      <c r="D1254" s="115">
        <v>136.19999999999999</v>
      </c>
      <c r="E1254" s="115">
        <v>147.25</v>
      </c>
      <c r="F1254" s="115">
        <v>693.9</v>
      </c>
      <c r="G1254">
        <v>6712</v>
      </c>
      <c r="H1254" s="115"/>
      <c r="I1254" s="115"/>
      <c r="L1254" s="169">
        <v>43854</v>
      </c>
      <c r="M1254" s="115">
        <v>142.58000000000001</v>
      </c>
      <c r="N1254" s="115">
        <v>146.19999999999999</v>
      </c>
      <c r="O1254" s="115">
        <v>140.56</v>
      </c>
      <c r="P1254" s="115">
        <v>146.19999999999999</v>
      </c>
      <c r="Q1254" s="115">
        <v>712.9</v>
      </c>
      <c r="R1254">
        <v>3999</v>
      </c>
    </row>
    <row r="1255" spans="1:18" x14ac:dyDescent="0.25">
      <c r="A1255" s="169">
        <v>43864</v>
      </c>
      <c r="B1255" s="115">
        <v>146.4</v>
      </c>
      <c r="C1255" s="115">
        <v>144.12</v>
      </c>
      <c r="D1255" s="115">
        <v>136.38</v>
      </c>
      <c r="E1255" s="115">
        <v>138</v>
      </c>
      <c r="F1255" s="115">
        <v>720.6</v>
      </c>
      <c r="G1255">
        <v>344</v>
      </c>
      <c r="H1255" s="115"/>
      <c r="I1255" s="115"/>
      <c r="L1255" s="169">
        <v>43857</v>
      </c>
      <c r="M1255" s="115">
        <v>146.69</v>
      </c>
      <c r="N1255" s="115">
        <v>147.69999999999999</v>
      </c>
      <c r="O1255" s="115">
        <v>141.05000000000001</v>
      </c>
      <c r="P1255" s="115">
        <v>141.05000000000001</v>
      </c>
      <c r="Q1255" s="115">
        <v>733.45</v>
      </c>
      <c r="R1255">
        <v>7486</v>
      </c>
    </row>
    <row r="1256" spans="1:18" x14ac:dyDescent="0.25">
      <c r="A1256" s="169">
        <v>43865</v>
      </c>
      <c r="B1256" s="115">
        <v>148.1</v>
      </c>
      <c r="C1256" s="115">
        <v>146.85</v>
      </c>
      <c r="D1256" s="115">
        <v>144.41999999999999</v>
      </c>
      <c r="E1256" s="115">
        <v>144.41999999999999</v>
      </c>
      <c r="F1256" s="115">
        <v>734.25</v>
      </c>
      <c r="G1256">
        <v>600</v>
      </c>
      <c r="H1256" s="115"/>
      <c r="I1256" s="115"/>
      <c r="L1256" s="169">
        <v>43858</v>
      </c>
      <c r="M1256" s="115">
        <v>147.72999999999999</v>
      </c>
      <c r="N1256" s="115">
        <v>149.51</v>
      </c>
      <c r="O1256" s="115">
        <v>145.1</v>
      </c>
      <c r="P1256" s="115">
        <v>146.02000000000001</v>
      </c>
      <c r="Q1256" s="115">
        <v>738.65</v>
      </c>
      <c r="R1256">
        <v>8445</v>
      </c>
    </row>
    <row r="1257" spans="1:18" x14ac:dyDescent="0.25">
      <c r="A1257" s="169">
        <v>43866</v>
      </c>
      <c r="B1257" s="115">
        <v>151.06</v>
      </c>
      <c r="C1257" s="115">
        <v>149.65</v>
      </c>
      <c r="D1257" s="115">
        <v>146</v>
      </c>
      <c r="E1257" s="115">
        <v>146</v>
      </c>
      <c r="F1257" s="115">
        <v>748.25</v>
      </c>
      <c r="G1257">
        <v>2595</v>
      </c>
      <c r="H1257" s="115"/>
      <c r="I1257" s="115"/>
      <c r="L1257" s="169">
        <v>43859</v>
      </c>
      <c r="M1257" s="115">
        <v>146.13</v>
      </c>
      <c r="N1257" s="115">
        <v>149.96</v>
      </c>
      <c r="O1257" s="115">
        <v>144.79</v>
      </c>
      <c r="P1257" s="115">
        <v>145.47</v>
      </c>
      <c r="Q1257" s="115">
        <v>730.65</v>
      </c>
      <c r="R1257">
        <v>6709</v>
      </c>
    </row>
    <row r="1258" spans="1:18" x14ac:dyDescent="0.25">
      <c r="A1258" s="169">
        <v>43867</v>
      </c>
      <c r="B1258" s="115">
        <v>151.30000000000001</v>
      </c>
      <c r="C1258" s="115">
        <v>149.88</v>
      </c>
      <c r="D1258" s="115">
        <v>148</v>
      </c>
      <c r="E1258" s="115">
        <v>150</v>
      </c>
      <c r="F1258" s="115">
        <v>749.4</v>
      </c>
      <c r="G1258">
        <v>507</v>
      </c>
      <c r="H1258" s="115"/>
      <c r="I1258" s="115"/>
      <c r="L1258" s="169">
        <v>43860</v>
      </c>
      <c r="M1258" s="115">
        <v>144.04</v>
      </c>
      <c r="N1258" s="115">
        <v>148</v>
      </c>
      <c r="O1258" s="115">
        <v>142.38999999999999</v>
      </c>
      <c r="P1258" s="115">
        <v>147.80000000000001</v>
      </c>
      <c r="Q1258" s="115">
        <v>720.2</v>
      </c>
      <c r="R1258">
        <v>8651</v>
      </c>
    </row>
    <row r="1259" spans="1:18" x14ac:dyDescent="0.25">
      <c r="A1259" s="169">
        <v>43868</v>
      </c>
      <c r="B1259" s="115">
        <v>148.4</v>
      </c>
      <c r="C1259" s="115">
        <v>147.71</v>
      </c>
      <c r="D1259" s="115">
        <v>145</v>
      </c>
      <c r="E1259" s="115">
        <v>148.4</v>
      </c>
      <c r="F1259" s="115">
        <v>738.55</v>
      </c>
      <c r="G1259">
        <v>100</v>
      </c>
      <c r="H1259" s="115"/>
      <c r="I1259" s="115"/>
      <c r="L1259" s="169">
        <v>43861</v>
      </c>
      <c r="M1259" s="115">
        <v>148.05000000000001</v>
      </c>
      <c r="N1259" s="115">
        <v>149</v>
      </c>
      <c r="O1259" s="115">
        <v>142.52000000000001</v>
      </c>
      <c r="P1259" s="115">
        <v>143.68</v>
      </c>
      <c r="Q1259" s="115">
        <v>740.25</v>
      </c>
      <c r="R1259">
        <v>9006</v>
      </c>
    </row>
    <row r="1260" spans="1:18" x14ac:dyDescent="0.25">
      <c r="A1260" s="169">
        <v>43871</v>
      </c>
      <c r="B1260" s="115">
        <v>148</v>
      </c>
      <c r="C1260" s="115">
        <v>144.61000000000001</v>
      </c>
      <c r="D1260" s="115">
        <v>142.94999999999999</v>
      </c>
      <c r="E1260" s="115">
        <v>148</v>
      </c>
      <c r="F1260" s="115">
        <v>723.05</v>
      </c>
      <c r="G1260">
        <v>482</v>
      </c>
      <c r="H1260" s="115"/>
      <c r="I1260" s="115"/>
      <c r="L1260" s="169">
        <v>43862</v>
      </c>
      <c r="M1260" s="115">
        <v>139.33000000000001</v>
      </c>
      <c r="N1260" s="115">
        <v>152.80000000000001</v>
      </c>
      <c r="O1260" s="115">
        <v>136.02000000000001</v>
      </c>
      <c r="P1260" s="115">
        <v>147.76</v>
      </c>
      <c r="Q1260" s="115">
        <v>696.65</v>
      </c>
      <c r="R1260">
        <v>162899</v>
      </c>
    </row>
    <row r="1261" spans="1:18" x14ac:dyDescent="0.25">
      <c r="A1261" s="169">
        <v>43872</v>
      </c>
      <c r="B1261" s="115">
        <v>147.19</v>
      </c>
      <c r="C1261" s="115">
        <v>145.31</v>
      </c>
      <c r="D1261" s="115">
        <v>142</v>
      </c>
      <c r="E1261" s="115">
        <v>144.69999999999999</v>
      </c>
      <c r="F1261" s="115">
        <v>726.55</v>
      </c>
      <c r="G1261">
        <v>208</v>
      </c>
      <c r="H1261" s="115"/>
      <c r="I1261" s="115"/>
      <c r="L1261" s="169">
        <v>43864</v>
      </c>
      <c r="M1261" s="115">
        <v>144.04</v>
      </c>
      <c r="N1261" s="115">
        <v>146.56</v>
      </c>
      <c r="O1261" s="115">
        <v>135.32</v>
      </c>
      <c r="P1261" s="115">
        <v>138.1</v>
      </c>
      <c r="Q1261" s="115">
        <v>720.2</v>
      </c>
      <c r="R1261">
        <v>21737</v>
      </c>
    </row>
    <row r="1262" spans="1:18" x14ac:dyDescent="0.25">
      <c r="A1262" s="169">
        <v>43873</v>
      </c>
      <c r="B1262" s="115">
        <v>147.36000000000001</v>
      </c>
      <c r="C1262" s="115">
        <v>143.66999999999999</v>
      </c>
      <c r="D1262" s="115">
        <v>142.15</v>
      </c>
      <c r="E1262" s="115">
        <v>145.18</v>
      </c>
      <c r="F1262" s="115">
        <v>718.35</v>
      </c>
      <c r="G1262">
        <v>1617</v>
      </c>
      <c r="H1262" s="115"/>
      <c r="I1262" s="115"/>
      <c r="L1262" s="169">
        <v>43865</v>
      </c>
      <c r="M1262" s="115">
        <v>147.44999999999999</v>
      </c>
      <c r="N1262" s="115">
        <v>148.6</v>
      </c>
      <c r="O1262" s="115">
        <v>141.41</v>
      </c>
      <c r="P1262" s="115">
        <v>141.41</v>
      </c>
      <c r="Q1262" s="115">
        <v>737.25</v>
      </c>
      <c r="R1262">
        <v>10526</v>
      </c>
    </row>
    <row r="1263" spans="1:18" x14ac:dyDescent="0.25">
      <c r="A1263" s="169">
        <v>43874</v>
      </c>
      <c r="B1263" s="115">
        <v>143.75</v>
      </c>
      <c r="C1263" s="115">
        <v>142.52000000000001</v>
      </c>
      <c r="D1263" s="115">
        <v>141.05000000000001</v>
      </c>
      <c r="E1263" s="115">
        <v>142.80000000000001</v>
      </c>
      <c r="F1263" s="115">
        <v>712.6</v>
      </c>
      <c r="G1263">
        <v>255</v>
      </c>
      <c r="H1263" s="115"/>
      <c r="I1263" s="115"/>
      <c r="L1263" s="169">
        <v>43866</v>
      </c>
      <c r="M1263" s="115">
        <v>149.74</v>
      </c>
      <c r="N1263" s="115">
        <v>151</v>
      </c>
      <c r="O1263" s="115">
        <v>143.61000000000001</v>
      </c>
      <c r="P1263" s="115">
        <v>143.61000000000001</v>
      </c>
      <c r="Q1263" s="115">
        <v>748.7</v>
      </c>
      <c r="R1263">
        <v>26284</v>
      </c>
    </row>
    <row r="1264" spans="1:18" x14ac:dyDescent="0.25">
      <c r="A1264" s="169">
        <v>43875</v>
      </c>
      <c r="B1264" s="115">
        <v>147.22999999999999</v>
      </c>
      <c r="C1264" s="115">
        <v>144.94</v>
      </c>
      <c r="D1264" s="115">
        <v>141.6</v>
      </c>
      <c r="E1264" s="115">
        <v>142.62</v>
      </c>
      <c r="F1264" s="115">
        <v>724.7</v>
      </c>
      <c r="G1264">
        <v>253</v>
      </c>
      <c r="H1264" s="115"/>
      <c r="I1264" s="115"/>
      <c r="L1264" s="169">
        <v>43867</v>
      </c>
      <c r="M1264" s="115">
        <v>149.71</v>
      </c>
      <c r="N1264" s="115">
        <v>151.80000000000001</v>
      </c>
      <c r="O1264" s="115">
        <v>147.6</v>
      </c>
      <c r="P1264" s="115">
        <v>149.19999999999999</v>
      </c>
      <c r="Q1264" s="115">
        <v>748.55</v>
      </c>
      <c r="R1264">
        <v>7778</v>
      </c>
    </row>
    <row r="1265" spans="1:18" x14ac:dyDescent="0.25">
      <c r="A1265" s="169">
        <v>43878</v>
      </c>
      <c r="B1265" s="115">
        <v>145.97999999999999</v>
      </c>
      <c r="C1265" s="115">
        <v>141.96</v>
      </c>
      <c r="D1265" s="115">
        <v>141.11000000000001</v>
      </c>
      <c r="E1265" s="115">
        <v>145.97999999999999</v>
      </c>
      <c r="F1265" s="115">
        <v>709.8</v>
      </c>
      <c r="G1265">
        <v>138</v>
      </c>
      <c r="H1265" s="115"/>
      <c r="I1265" s="115"/>
      <c r="L1265" s="169">
        <v>43868</v>
      </c>
      <c r="M1265" s="115">
        <v>147.65</v>
      </c>
      <c r="N1265" s="115">
        <v>150.58000000000001</v>
      </c>
      <c r="O1265" s="115">
        <v>145</v>
      </c>
      <c r="P1265" s="115">
        <v>148.19999999999999</v>
      </c>
      <c r="Q1265" s="115">
        <v>738.25</v>
      </c>
      <c r="R1265">
        <v>6180</v>
      </c>
    </row>
    <row r="1266" spans="1:18" x14ac:dyDescent="0.25">
      <c r="A1266" s="169">
        <v>43879</v>
      </c>
      <c r="B1266" s="115">
        <v>141.19999999999999</v>
      </c>
      <c r="C1266" s="115">
        <v>140.86000000000001</v>
      </c>
      <c r="D1266" s="115">
        <v>139.4</v>
      </c>
      <c r="E1266" s="115">
        <v>141.19999999999999</v>
      </c>
      <c r="F1266" s="115">
        <v>704.3</v>
      </c>
      <c r="G1266">
        <v>475</v>
      </c>
      <c r="H1266" s="115"/>
      <c r="I1266" s="115"/>
      <c r="L1266" s="169">
        <v>43871</v>
      </c>
      <c r="M1266" s="115">
        <v>144.32</v>
      </c>
      <c r="N1266" s="115">
        <v>149</v>
      </c>
      <c r="O1266" s="115">
        <v>142.19999999999999</v>
      </c>
      <c r="P1266" s="115">
        <v>145.32</v>
      </c>
      <c r="Q1266" s="115">
        <v>721.6</v>
      </c>
      <c r="R1266">
        <v>24056</v>
      </c>
    </row>
    <row r="1267" spans="1:18" x14ac:dyDescent="0.25">
      <c r="A1267" s="169">
        <v>43880</v>
      </c>
      <c r="B1267" s="115">
        <v>143</v>
      </c>
      <c r="C1267" s="115">
        <v>140.35</v>
      </c>
      <c r="D1267" s="115">
        <v>139.25</v>
      </c>
      <c r="E1267" s="115">
        <v>141.38</v>
      </c>
      <c r="F1267" s="115">
        <v>701.75</v>
      </c>
      <c r="G1267">
        <v>394</v>
      </c>
      <c r="H1267" s="115"/>
      <c r="I1267" s="115"/>
      <c r="L1267" s="169">
        <v>43872</v>
      </c>
      <c r="M1267" s="115">
        <v>145.63</v>
      </c>
      <c r="N1267" s="115">
        <v>147.38999999999999</v>
      </c>
      <c r="O1267" s="115">
        <v>141.01</v>
      </c>
      <c r="P1267" s="115">
        <v>145.4</v>
      </c>
      <c r="Q1267" s="115">
        <v>728.15</v>
      </c>
      <c r="R1267">
        <v>7939</v>
      </c>
    </row>
    <row r="1268" spans="1:18" x14ac:dyDescent="0.25">
      <c r="A1268" s="169">
        <v>43881</v>
      </c>
      <c r="B1268" s="115">
        <v>143</v>
      </c>
      <c r="C1268" s="115">
        <v>141.85</v>
      </c>
      <c r="D1268" s="115">
        <v>139.66</v>
      </c>
      <c r="E1268" s="115">
        <v>142.44999999999999</v>
      </c>
      <c r="F1268" s="115">
        <v>709.25</v>
      </c>
      <c r="G1268">
        <v>435</v>
      </c>
      <c r="H1268" s="115"/>
      <c r="I1268" s="115"/>
      <c r="L1268" s="169">
        <v>43873</v>
      </c>
      <c r="M1268" s="115">
        <v>143.59</v>
      </c>
      <c r="N1268" s="115">
        <v>147</v>
      </c>
      <c r="O1268" s="115">
        <v>142.12</v>
      </c>
      <c r="P1268" s="115">
        <v>143.63</v>
      </c>
      <c r="Q1268" s="115">
        <v>717.95</v>
      </c>
      <c r="R1268">
        <v>5658</v>
      </c>
    </row>
    <row r="1269" spans="1:18" x14ac:dyDescent="0.25">
      <c r="A1269" s="169">
        <v>43885</v>
      </c>
      <c r="B1269" s="115">
        <v>140.43</v>
      </c>
      <c r="C1269" s="115">
        <v>138.08000000000001</v>
      </c>
      <c r="D1269" s="115">
        <v>138</v>
      </c>
      <c r="E1269" s="115">
        <v>140.43</v>
      </c>
      <c r="F1269" s="115">
        <v>690.4</v>
      </c>
      <c r="G1269">
        <v>37</v>
      </c>
      <c r="H1269" s="115"/>
      <c r="I1269" s="115"/>
      <c r="L1269" s="169">
        <v>43874</v>
      </c>
      <c r="M1269" s="115">
        <v>142</v>
      </c>
      <c r="N1269" s="115">
        <v>145.4</v>
      </c>
      <c r="O1269" s="115">
        <v>140.46</v>
      </c>
      <c r="P1269" s="115">
        <v>145.4</v>
      </c>
      <c r="Q1269" s="115">
        <v>710</v>
      </c>
      <c r="R1269">
        <v>5297</v>
      </c>
    </row>
    <row r="1270" spans="1:18" x14ac:dyDescent="0.25">
      <c r="A1270" s="169">
        <v>43886</v>
      </c>
      <c r="B1270" s="115">
        <v>137.22999999999999</v>
      </c>
      <c r="C1270" s="115">
        <v>135.04</v>
      </c>
      <c r="D1270" s="115">
        <v>133.78</v>
      </c>
      <c r="E1270" s="115">
        <v>137.22999999999999</v>
      </c>
      <c r="F1270" s="115">
        <v>675.2</v>
      </c>
      <c r="G1270">
        <v>396</v>
      </c>
      <c r="H1270" s="115"/>
      <c r="I1270" s="115"/>
      <c r="L1270" s="169">
        <v>43875</v>
      </c>
      <c r="M1270" s="115">
        <v>144.9</v>
      </c>
      <c r="N1270" s="115">
        <v>146.94</v>
      </c>
      <c r="O1270" s="115">
        <v>141.4</v>
      </c>
      <c r="P1270" s="115">
        <v>143.80000000000001</v>
      </c>
      <c r="Q1270" s="115">
        <v>724.5</v>
      </c>
      <c r="R1270">
        <v>7387</v>
      </c>
    </row>
    <row r="1271" spans="1:18" x14ac:dyDescent="0.25">
      <c r="A1271" s="169">
        <v>43887</v>
      </c>
      <c r="B1271" s="115">
        <v>134.30000000000001</v>
      </c>
      <c r="C1271" s="115">
        <v>129.44</v>
      </c>
      <c r="D1271" s="115">
        <v>128.81</v>
      </c>
      <c r="E1271" s="115">
        <v>134.30000000000001</v>
      </c>
      <c r="F1271" s="115">
        <v>647.20000000000005</v>
      </c>
      <c r="G1271">
        <v>512</v>
      </c>
      <c r="H1271" s="115"/>
      <c r="I1271" s="115"/>
      <c r="L1271" s="169">
        <v>43878</v>
      </c>
      <c r="M1271" s="115">
        <v>142.78</v>
      </c>
      <c r="N1271" s="115">
        <v>145.07</v>
      </c>
      <c r="O1271" s="115">
        <v>141.13</v>
      </c>
      <c r="P1271" s="115">
        <v>143.26</v>
      </c>
      <c r="Q1271" s="115">
        <v>713.9</v>
      </c>
      <c r="R1271">
        <v>2913</v>
      </c>
    </row>
    <row r="1272" spans="1:18" x14ac:dyDescent="0.25">
      <c r="A1272" s="169">
        <v>43888</v>
      </c>
      <c r="B1272" s="115">
        <v>137.99</v>
      </c>
      <c r="C1272" s="115">
        <v>134.28</v>
      </c>
      <c r="D1272" s="115">
        <v>126.8</v>
      </c>
      <c r="E1272" s="115">
        <v>134.19999999999999</v>
      </c>
      <c r="F1272" s="115">
        <v>671.4</v>
      </c>
      <c r="G1272">
        <v>634</v>
      </c>
      <c r="H1272" s="115"/>
      <c r="I1272" s="115"/>
      <c r="L1272" s="169">
        <v>43879</v>
      </c>
      <c r="M1272" s="115">
        <v>140.03</v>
      </c>
      <c r="N1272" s="115">
        <v>142.30000000000001</v>
      </c>
      <c r="O1272" s="115">
        <v>138.63</v>
      </c>
      <c r="P1272" s="115">
        <v>141.02000000000001</v>
      </c>
      <c r="Q1272" s="115">
        <v>700.15</v>
      </c>
      <c r="R1272">
        <v>8160</v>
      </c>
    </row>
    <row r="1273" spans="1:18" x14ac:dyDescent="0.25">
      <c r="A1273" s="169">
        <v>43889</v>
      </c>
      <c r="B1273" s="115">
        <v>135.81</v>
      </c>
      <c r="C1273" s="115">
        <v>133.61000000000001</v>
      </c>
      <c r="D1273" s="115">
        <v>126.5</v>
      </c>
      <c r="E1273" s="115">
        <v>128</v>
      </c>
      <c r="F1273" s="115">
        <v>668.05</v>
      </c>
      <c r="G1273">
        <v>1212</v>
      </c>
      <c r="H1273" s="115"/>
      <c r="I1273" s="115"/>
      <c r="L1273" s="169">
        <v>43880</v>
      </c>
      <c r="M1273" s="115">
        <v>141.19</v>
      </c>
      <c r="N1273" s="115">
        <v>143.19999999999999</v>
      </c>
      <c r="O1273" s="115">
        <v>139.38999999999999</v>
      </c>
      <c r="P1273" s="115">
        <v>141.4</v>
      </c>
      <c r="Q1273" s="115">
        <v>705.95</v>
      </c>
      <c r="R1273">
        <v>26469</v>
      </c>
    </row>
    <row r="1274" spans="1:18" x14ac:dyDescent="0.25">
      <c r="A1274" s="169">
        <v>43892</v>
      </c>
      <c r="B1274" s="115">
        <v>136</v>
      </c>
      <c r="C1274" s="115">
        <v>132.22</v>
      </c>
      <c r="D1274" s="115">
        <v>130.44</v>
      </c>
      <c r="E1274" s="115">
        <v>136</v>
      </c>
      <c r="F1274" s="115">
        <v>661.1</v>
      </c>
      <c r="G1274">
        <v>135</v>
      </c>
      <c r="H1274" s="115"/>
      <c r="I1274" s="115"/>
      <c r="L1274" s="169">
        <v>43881</v>
      </c>
      <c r="M1274" s="115">
        <v>141.36000000000001</v>
      </c>
      <c r="N1274" s="115">
        <v>145.80000000000001</v>
      </c>
      <c r="O1274" s="115">
        <v>139.61000000000001</v>
      </c>
      <c r="P1274" s="115">
        <v>142.19999999999999</v>
      </c>
      <c r="Q1274" s="115">
        <v>706.8</v>
      </c>
      <c r="R1274">
        <v>21657</v>
      </c>
    </row>
    <row r="1275" spans="1:18" x14ac:dyDescent="0.25">
      <c r="A1275" s="169">
        <v>43893</v>
      </c>
      <c r="B1275" s="115">
        <v>137.13</v>
      </c>
      <c r="C1275" s="115">
        <v>135.44999999999999</v>
      </c>
      <c r="D1275" s="115">
        <v>132.56</v>
      </c>
      <c r="E1275" s="115">
        <v>136.19</v>
      </c>
      <c r="F1275" s="115">
        <v>677.25</v>
      </c>
      <c r="G1275">
        <v>170112</v>
      </c>
      <c r="H1275" s="115"/>
      <c r="I1275" s="115"/>
      <c r="L1275" s="169">
        <v>43885</v>
      </c>
      <c r="M1275" s="115">
        <v>138.38</v>
      </c>
      <c r="N1275" s="115">
        <v>141.19999999999999</v>
      </c>
      <c r="O1275" s="115">
        <v>138.19999999999999</v>
      </c>
      <c r="P1275" s="115">
        <v>140</v>
      </c>
      <c r="Q1275" s="115">
        <v>691.9</v>
      </c>
      <c r="R1275">
        <v>2771</v>
      </c>
    </row>
    <row r="1276" spans="1:18" x14ac:dyDescent="0.25">
      <c r="A1276" s="169">
        <v>43894</v>
      </c>
      <c r="B1276" s="115">
        <v>140.05000000000001</v>
      </c>
      <c r="C1276" s="115">
        <v>138.88</v>
      </c>
      <c r="D1276" s="115">
        <v>130.1</v>
      </c>
      <c r="E1276" s="115">
        <v>139.4</v>
      </c>
      <c r="F1276" s="115">
        <v>694.4</v>
      </c>
      <c r="G1276">
        <v>174732</v>
      </c>
      <c r="H1276" s="115"/>
      <c r="I1276" s="115"/>
      <c r="L1276" s="169">
        <v>43886</v>
      </c>
      <c r="M1276" s="115">
        <v>134.99</v>
      </c>
      <c r="N1276" s="115">
        <v>138.59</v>
      </c>
      <c r="O1276" s="115">
        <v>133.44999999999999</v>
      </c>
      <c r="P1276" s="115">
        <v>138.44</v>
      </c>
      <c r="Q1276" s="115">
        <v>674.95</v>
      </c>
      <c r="R1276">
        <v>4539</v>
      </c>
    </row>
    <row r="1277" spans="1:18" x14ac:dyDescent="0.25">
      <c r="A1277" s="169">
        <v>43895</v>
      </c>
      <c r="B1277" s="115">
        <v>139.01</v>
      </c>
      <c r="C1277" s="115">
        <v>133.74</v>
      </c>
      <c r="D1277" s="115">
        <v>132.4</v>
      </c>
      <c r="E1277" s="115">
        <v>139.01</v>
      </c>
      <c r="F1277" s="115">
        <v>668.7</v>
      </c>
      <c r="G1277">
        <v>1009</v>
      </c>
      <c r="H1277" s="115"/>
      <c r="I1277" s="115"/>
      <c r="L1277" s="169">
        <v>43887</v>
      </c>
      <c r="M1277" s="115">
        <v>129.66999999999999</v>
      </c>
      <c r="N1277" s="115">
        <v>135.35</v>
      </c>
      <c r="O1277" s="115">
        <v>128.51</v>
      </c>
      <c r="P1277" s="115">
        <v>134.4</v>
      </c>
      <c r="Q1277" s="115">
        <v>648.35</v>
      </c>
      <c r="R1277">
        <v>18982</v>
      </c>
    </row>
    <row r="1278" spans="1:18" x14ac:dyDescent="0.25">
      <c r="A1278" s="169">
        <v>43896</v>
      </c>
      <c r="B1278" s="115">
        <v>133.80000000000001</v>
      </c>
      <c r="C1278" s="115">
        <v>129.36000000000001</v>
      </c>
      <c r="D1278" s="115">
        <v>128.1</v>
      </c>
      <c r="E1278" s="115">
        <v>132.88</v>
      </c>
      <c r="F1278" s="115">
        <v>646.79999999999995</v>
      </c>
      <c r="G1278">
        <v>98611</v>
      </c>
      <c r="H1278" s="115"/>
      <c r="I1278" s="115"/>
      <c r="L1278" s="169">
        <v>43888</v>
      </c>
      <c r="M1278" s="115">
        <v>134.47</v>
      </c>
      <c r="N1278" s="115">
        <v>139</v>
      </c>
      <c r="O1278" s="115">
        <v>127.2</v>
      </c>
      <c r="P1278" s="115">
        <v>130.80000000000001</v>
      </c>
      <c r="Q1278" s="115">
        <v>672.35</v>
      </c>
      <c r="R1278">
        <v>17216</v>
      </c>
    </row>
    <row r="1279" spans="1:18" x14ac:dyDescent="0.25">
      <c r="A1279" s="169">
        <v>43899</v>
      </c>
      <c r="B1279" s="115">
        <v>128.4</v>
      </c>
      <c r="C1279" s="115">
        <v>123.16</v>
      </c>
      <c r="D1279" s="115">
        <v>122.42</v>
      </c>
      <c r="E1279" s="115">
        <v>128.4</v>
      </c>
      <c r="F1279" s="115">
        <v>615.79999999999995</v>
      </c>
      <c r="G1279">
        <v>680</v>
      </c>
      <c r="H1279" s="115"/>
      <c r="I1279" s="115"/>
      <c r="L1279" s="169">
        <v>43889</v>
      </c>
      <c r="M1279" s="115">
        <v>133.25</v>
      </c>
      <c r="N1279" s="115">
        <v>137.43</v>
      </c>
      <c r="O1279" s="115">
        <v>125.99</v>
      </c>
      <c r="P1279" s="115">
        <v>127.8</v>
      </c>
      <c r="Q1279" s="115">
        <v>666.25</v>
      </c>
      <c r="R1279">
        <v>24826</v>
      </c>
    </row>
    <row r="1280" spans="1:18" x14ac:dyDescent="0.25">
      <c r="A1280" s="169">
        <v>43901</v>
      </c>
      <c r="B1280" s="115">
        <v>128.85</v>
      </c>
      <c r="C1280" s="115">
        <v>128.44999999999999</v>
      </c>
      <c r="D1280" s="115">
        <v>121.14</v>
      </c>
      <c r="E1280" s="115">
        <v>125</v>
      </c>
      <c r="F1280" s="115">
        <v>642.25</v>
      </c>
      <c r="G1280">
        <v>409</v>
      </c>
      <c r="H1280" s="115"/>
      <c r="I1280" s="115"/>
      <c r="L1280" s="169">
        <v>43892</v>
      </c>
      <c r="M1280" s="115">
        <v>133.32</v>
      </c>
      <c r="N1280" s="115">
        <v>136.31</v>
      </c>
      <c r="O1280" s="115">
        <v>129.4</v>
      </c>
      <c r="P1280" s="115">
        <v>133.6</v>
      </c>
      <c r="Q1280" s="115">
        <v>666.6</v>
      </c>
      <c r="R1280">
        <v>28047</v>
      </c>
    </row>
    <row r="1281" spans="1:18" x14ac:dyDescent="0.25">
      <c r="A1281" s="169">
        <v>43902</v>
      </c>
      <c r="B1281" s="115">
        <v>125.2</v>
      </c>
      <c r="C1281" s="115">
        <v>119.96</v>
      </c>
      <c r="D1281" s="115">
        <v>110</v>
      </c>
      <c r="E1281" s="115">
        <v>125.2</v>
      </c>
      <c r="F1281" s="115">
        <v>599.79999999999995</v>
      </c>
      <c r="G1281">
        <v>15126</v>
      </c>
      <c r="H1281" s="115"/>
      <c r="I1281" s="115"/>
      <c r="L1281" s="169">
        <v>43893</v>
      </c>
      <c r="M1281" s="115">
        <v>135.44999999999999</v>
      </c>
      <c r="N1281" s="115">
        <v>136.4</v>
      </c>
      <c r="O1281" s="115">
        <v>129.32</v>
      </c>
      <c r="P1281" s="115">
        <v>129.32</v>
      </c>
      <c r="Q1281" s="115">
        <v>677.25</v>
      </c>
      <c r="R1281">
        <v>173437</v>
      </c>
    </row>
    <row r="1282" spans="1:18" x14ac:dyDescent="0.25">
      <c r="A1282" s="169">
        <v>43903</v>
      </c>
      <c r="B1282" s="115">
        <v>119.07</v>
      </c>
      <c r="C1282" s="115">
        <v>118.65</v>
      </c>
      <c r="D1282" s="115">
        <v>105.01</v>
      </c>
      <c r="E1282" s="115">
        <v>111</v>
      </c>
      <c r="F1282" s="115">
        <v>593.25</v>
      </c>
      <c r="G1282">
        <v>1518</v>
      </c>
      <c r="H1282" s="115"/>
      <c r="I1282" s="115"/>
      <c r="L1282" s="169">
        <v>43894</v>
      </c>
      <c r="M1282" s="115">
        <v>138.94999999999999</v>
      </c>
      <c r="N1282" s="115">
        <v>140</v>
      </c>
      <c r="O1282" s="115">
        <v>130.6</v>
      </c>
      <c r="P1282" s="115">
        <v>135</v>
      </c>
      <c r="Q1282" s="115">
        <v>694.75</v>
      </c>
      <c r="R1282">
        <v>185016</v>
      </c>
    </row>
    <row r="1283" spans="1:18" x14ac:dyDescent="0.25">
      <c r="A1283" s="169">
        <v>43906</v>
      </c>
      <c r="B1283" s="115">
        <v>115.65</v>
      </c>
      <c r="C1283" s="115">
        <v>106.95</v>
      </c>
      <c r="D1283" s="115">
        <v>106.61</v>
      </c>
      <c r="E1283" s="115">
        <v>110.92</v>
      </c>
      <c r="F1283" s="115">
        <v>534.75</v>
      </c>
      <c r="G1283">
        <v>518</v>
      </c>
      <c r="H1283" s="115"/>
      <c r="I1283" s="115"/>
      <c r="L1283" s="169">
        <v>43895</v>
      </c>
      <c r="M1283" s="115">
        <v>133.58000000000001</v>
      </c>
      <c r="N1283" s="115">
        <v>138.4</v>
      </c>
      <c r="O1283" s="115">
        <v>132.4</v>
      </c>
      <c r="P1283" s="115">
        <v>138.4</v>
      </c>
      <c r="Q1283" s="115">
        <v>667.9</v>
      </c>
      <c r="R1283">
        <v>6020</v>
      </c>
    </row>
    <row r="1284" spans="1:18" x14ac:dyDescent="0.25">
      <c r="A1284" s="169">
        <v>43907</v>
      </c>
      <c r="B1284" s="115">
        <v>107.93</v>
      </c>
      <c r="C1284" s="115">
        <v>105.67</v>
      </c>
      <c r="D1284" s="115">
        <v>104</v>
      </c>
      <c r="E1284" s="115">
        <v>106</v>
      </c>
      <c r="F1284" s="115">
        <v>528.35</v>
      </c>
      <c r="G1284">
        <v>52919</v>
      </c>
      <c r="H1284" s="115"/>
      <c r="I1284" s="115"/>
      <c r="L1284" s="169">
        <v>43896</v>
      </c>
      <c r="M1284" s="115">
        <v>128.88999999999999</v>
      </c>
      <c r="N1284" s="115">
        <v>134</v>
      </c>
      <c r="O1284" s="115">
        <v>128.4</v>
      </c>
      <c r="P1284" s="115">
        <v>132.97999999999999</v>
      </c>
      <c r="Q1284" s="115">
        <v>644.45000000000005</v>
      </c>
      <c r="R1284">
        <v>185644</v>
      </c>
    </row>
    <row r="1285" spans="1:18" x14ac:dyDescent="0.25">
      <c r="A1285" s="169">
        <v>43908</v>
      </c>
      <c r="B1285" s="115">
        <v>106.67</v>
      </c>
      <c r="C1285" s="115">
        <v>96.95</v>
      </c>
      <c r="D1285" s="115">
        <v>94.4</v>
      </c>
      <c r="E1285" s="115">
        <v>106.2</v>
      </c>
      <c r="F1285" s="115">
        <v>484.75</v>
      </c>
      <c r="G1285">
        <v>1039</v>
      </c>
      <c r="H1285" s="115"/>
      <c r="I1285" s="115"/>
      <c r="L1285" s="169">
        <v>43899</v>
      </c>
      <c r="M1285" s="115">
        <v>122.95</v>
      </c>
      <c r="N1285" s="115">
        <v>128.30000000000001</v>
      </c>
      <c r="O1285" s="115">
        <v>122.42</v>
      </c>
      <c r="P1285" s="115">
        <v>128.30000000000001</v>
      </c>
      <c r="Q1285" s="115">
        <v>614.75</v>
      </c>
      <c r="R1285">
        <v>10245</v>
      </c>
    </row>
    <row r="1286" spans="1:18" x14ac:dyDescent="0.25">
      <c r="A1286" s="169">
        <v>43909</v>
      </c>
      <c r="B1286" s="115">
        <v>96.22</v>
      </c>
      <c r="C1286" s="115">
        <v>94.22</v>
      </c>
      <c r="D1286" s="115">
        <v>88</v>
      </c>
      <c r="E1286" s="115">
        <v>92.72</v>
      </c>
      <c r="F1286" s="115">
        <v>471.1</v>
      </c>
      <c r="G1286">
        <v>661</v>
      </c>
      <c r="H1286" s="115"/>
      <c r="I1286" s="115"/>
      <c r="L1286" s="169">
        <v>43901</v>
      </c>
      <c r="M1286" s="115">
        <v>127.51</v>
      </c>
      <c r="N1286" s="115">
        <v>128.99</v>
      </c>
      <c r="O1286" s="115">
        <v>120.8</v>
      </c>
      <c r="P1286" s="115">
        <v>127.76</v>
      </c>
      <c r="Q1286" s="115">
        <v>637.54999999999995</v>
      </c>
      <c r="R1286">
        <v>10941</v>
      </c>
    </row>
    <row r="1287" spans="1:18" x14ac:dyDescent="0.25">
      <c r="A1287" s="169">
        <v>43910</v>
      </c>
      <c r="B1287" s="115">
        <v>106.18</v>
      </c>
      <c r="C1287" s="115">
        <v>105</v>
      </c>
      <c r="D1287" s="115">
        <v>94</v>
      </c>
      <c r="E1287" s="115">
        <v>96</v>
      </c>
      <c r="F1287" s="115">
        <v>525</v>
      </c>
      <c r="G1287">
        <v>1351</v>
      </c>
      <c r="H1287" s="115"/>
      <c r="I1287" s="115"/>
      <c r="L1287" s="169">
        <v>43902</v>
      </c>
      <c r="M1287" s="115">
        <v>116.78</v>
      </c>
      <c r="N1287" s="115">
        <v>125</v>
      </c>
      <c r="O1287" s="115">
        <v>110.26</v>
      </c>
      <c r="P1287" s="115">
        <v>120.2</v>
      </c>
      <c r="Q1287" s="115">
        <v>583.9</v>
      </c>
      <c r="R1287">
        <v>20638</v>
      </c>
    </row>
    <row r="1288" spans="1:18" x14ac:dyDescent="0.25">
      <c r="A1288" s="169">
        <v>43913</v>
      </c>
      <c r="B1288" s="115">
        <v>98.9</v>
      </c>
      <c r="C1288" s="115">
        <v>86.07</v>
      </c>
      <c r="D1288" s="115">
        <v>84</v>
      </c>
      <c r="E1288" s="115">
        <v>98.9</v>
      </c>
      <c r="F1288" s="115">
        <v>430.35</v>
      </c>
      <c r="G1288">
        <v>1630</v>
      </c>
      <c r="H1288" s="115"/>
      <c r="I1288" s="115"/>
      <c r="L1288" s="169">
        <v>43903</v>
      </c>
      <c r="M1288" s="115">
        <v>117.66</v>
      </c>
      <c r="N1288" s="115">
        <v>119.58</v>
      </c>
      <c r="O1288" s="115">
        <v>94.04</v>
      </c>
      <c r="P1288" s="115">
        <v>110</v>
      </c>
      <c r="Q1288" s="115">
        <v>588.29999999999995</v>
      </c>
      <c r="R1288">
        <v>45696</v>
      </c>
    </row>
    <row r="1289" spans="1:18" x14ac:dyDescent="0.25">
      <c r="A1289" s="169">
        <v>43914</v>
      </c>
      <c r="B1289" s="115">
        <v>95</v>
      </c>
      <c r="C1289" s="115">
        <v>84.67</v>
      </c>
      <c r="D1289" s="115">
        <v>82.57</v>
      </c>
      <c r="E1289" s="115">
        <v>95</v>
      </c>
      <c r="F1289" s="115">
        <v>423.35</v>
      </c>
      <c r="G1289">
        <v>623</v>
      </c>
      <c r="H1289" s="115"/>
      <c r="I1289" s="115"/>
      <c r="L1289" s="169">
        <v>43906</v>
      </c>
      <c r="M1289" s="115">
        <v>106.98</v>
      </c>
      <c r="N1289" s="115">
        <v>117.2</v>
      </c>
      <c r="O1289" s="115">
        <v>106.2</v>
      </c>
      <c r="P1289" s="115">
        <v>117.2</v>
      </c>
      <c r="Q1289" s="115">
        <v>534.9</v>
      </c>
      <c r="R1289">
        <v>12748</v>
      </c>
    </row>
    <row r="1290" spans="1:18" x14ac:dyDescent="0.25">
      <c r="A1290" s="169">
        <v>43915</v>
      </c>
      <c r="B1290" s="115">
        <v>87.37</v>
      </c>
      <c r="C1290" s="115">
        <v>86.43</v>
      </c>
      <c r="D1290" s="115">
        <v>85.2</v>
      </c>
      <c r="E1290" s="115">
        <v>85.38</v>
      </c>
      <c r="F1290" s="115">
        <v>432.15</v>
      </c>
      <c r="G1290">
        <v>195</v>
      </c>
      <c r="H1290" s="115"/>
      <c r="I1290" s="115"/>
      <c r="L1290" s="169">
        <v>43907</v>
      </c>
      <c r="M1290" s="115">
        <v>105.63</v>
      </c>
      <c r="N1290" s="115">
        <v>108.11</v>
      </c>
      <c r="O1290" s="115">
        <v>104.02</v>
      </c>
      <c r="P1290" s="115">
        <v>107</v>
      </c>
      <c r="Q1290" s="115">
        <v>528.15</v>
      </c>
      <c r="R1290">
        <v>7615</v>
      </c>
    </row>
    <row r="1291" spans="1:18" x14ac:dyDescent="0.25">
      <c r="A1291" s="169">
        <v>43916</v>
      </c>
      <c r="B1291" s="115">
        <v>92.06</v>
      </c>
      <c r="C1291" s="115">
        <v>89.09</v>
      </c>
      <c r="D1291" s="115">
        <v>87.41</v>
      </c>
      <c r="E1291" s="115">
        <v>92.06</v>
      </c>
      <c r="F1291" s="115">
        <v>445.45</v>
      </c>
      <c r="G1291">
        <v>219</v>
      </c>
      <c r="H1291" s="115"/>
      <c r="I1291" s="115"/>
      <c r="L1291" s="169">
        <v>43908</v>
      </c>
      <c r="M1291" s="115">
        <v>97.12</v>
      </c>
      <c r="N1291" s="115">
        <v>109.02</v>
      </c>
      <c r="O1291" s="115">
        <v>94.51</v>
      </c>
      <c r="P1291" s="115">
        <v>106.03</v>
      </c>
      <c r="Q1291" s="115">
        <v>485.6</v>
      </c>
      <c r="R1291">
        <v>18291</v>
      </c>
    </row>
    <row r="1292" spans="1:18" x14ac:dyDescent="0.25">
      <c r="A1292" s="169">
        <v>43917</v>
      </c>
      <c r="B1292" s="115">
        <v>94.55</v>
      </c>
      <c r="C1292" s="115">
        <v>87.35</v>
      </c>
      <c r="D1292" s="115">
        <v>85</v>
      </c>
      <c r="E1292" s="115">
        <v>92.52</v>
      </c>
      <c r="F1292" s="115">
        <v>436.75</v>
      </c>
      <c r="G1292">
        <v>1334</v>
      </c>
      <c r="H1292" s="115"/>
      <c r="I1292" s="115"/>
      <c r="L1292" s="169">
        <v>43909</v>
      </c>
      <c r="M1292" s="115">
        <v>94.21</v>
      </c>
      <c r="N1292" s="115">
        <v>95.54</v>
      </c>
      <c r="O1292" s="115">
        <v>88.02</v>
      </c>
      <c r="P1292" s="115">
        <v>95.54</v>
      </c>
      <c r="Q1292" s="115">
        <v>471.05</v>
      </c>
      <c r="R1292">
        <v>10292</v>
      </c>
    </row>
    <row r="1293" spans="1:18" x14ac:dyDescent="0.25">
      <c r="A1293" s="169">
        <v>43920</v>
      </c>
      <c r="B1293" s="115">
        <v>86.01</v>
      </c>
      <c r="C1293" s="115">
        <v>79.739999999999995</v>
      </c>
      <c r="D1293" s="115">
        <v>77.28</v>
      </c>
      <c r="E1293" s="115">
        <v>84.8</v>
      </c>
      <c r="F1293" s="115">
        <v>398.7</v>
      </c>
      <c r="G1293">
        <v>1546</v>
      </c>
      <c r="H1293" s="115"/>
      <c r="I1293" s="115"/>
      <c r="L1293" s="169">
        <v>43910</v>
      </c>
      <c r="M1293" s="115">
        <v>105.14</v>
      </c>
      <c r="N1293" s="115">
        <v>105.8</v>
      </c>
      <c r="O1293" s="115">
        <v>93</v>
      </c>
      <c r="P1293" s="115">
        <v>97.41</v>
      </c>
      <c r="Q1293" s="115">
        <v>525.70000000000005</v>
      </c>
      <c r="R1293">
        <v>9913</v>
      </c>
    </row>
    <row r="1294" spans="1:18" x14ac:dyDescent="0.25">
      <c r="A1294" s="169">
        <v>43921</v>
      </c>
      <c r="B1294" s="115">
        <v>85.98</v>
      </c>
      <c r="C1294" s="115">
        <v>84.84</v>
      </c>
      <c r="D1294" s="115">
        <v>80.040000000000006</v>
      </c>
      <c r="E1294" s="115">
        <v>83.03</v>
      </c>
      <c r="F1294" s="115">
        <v>424.2</v>
      </c>
      <c r="G1294">
        <v>328</v>
      </c>
      <c r="H1294" s="115"/>
      <c r="I1294" s="115"/>
      <c r="L1294" s="169">
        <v>43913</v>
      </c>
      <c r="M1294" s="115">
        <v>85.97</v>
      </c>
      <c r="N1294" s="115">
        <v>100.93</v>
      </c>
      <c r="O1294" s="115">
        <v>84.2</v>
      </c>
      <c r="P1294" s="115">
        <v>98</v>
      </c>
      <c r="Q1294" s="115">
        <v>429.85</v>
      </c>
      <c r="R1294">
        <v>10103</v>
      </c>
    </row>
    <row r="1295" spans="1:18" x14ac:dyDescent="0.25">
      <c r="A1295" s="169">
        <v>43922</v>
      </c>
      <c r="B1295" s="115">
        <v>85.77</v>
      </c>
      <c r="C1295" s="115">
        <v>80.95</v>
      </c>
      <c r="D1295" s="115">
        <v>80</v>
      </c>
      <c r="E1295" s="115">
        <v>83.18</v>
      </c>
      <c r="F1295" s="115">
        <v>404.75</v>
      </c>
      <c r="G1295">
        <v>738</v>
      </c>
      <c r="H1295" s="115"/>
      <c r="I1295" s="115"/>
      <c r="L1295" s="169">
        <v>43914</v>
      </c>
      <c r="M1295" s="115">
        <v>84.24</v>
      </c>
      <c r="N1295" s="115">
        <v>96.97</v>
      </c>
      <c r="O1295" s="115">
        <v>82</v>
      </c>
      <c r="P1295" s="115">
        <v>86.01</v>
      </c>
      <c r="Q1295" s="115">
        <v>421.2</v>
      </c>
      <c r="R1295">
        <v>5337</v>
      </c>
    </row>
    <row r="1296" spans="1:18" x14ac:dyDescent="0.25">
      <c r="A1296" s="169">
        <v>43924</v>
      </c>
      <c r="B1296" s="115">
        <v>86.3</v>
      </c>
      <c r="C1296" s="115">
        <v>82.89</v>
      </c>
      <c r="D1296" s="115">
        <v>82</v>
      </c>
      <c r="E1296" s="115">
        <v>84.43</v>
      </c>
      <c r="F1296" s="115">
        <v>414.45</v>
      </c>
      <c r="G1296">
        <v>119</v>
      </c>
      <c r="H1296" s="115"/>
      <c r="I1296" s="115"/>
      <c r="L1296" s="169">
        <v>43915</v>
      </c>
      <c r="M1296" s="115">
        <v>86.59</v>
      </c>
      <c r="N1296" s="115">
        <v>87.79</v>
      </c>
      <c r="O1296" s="115">
        <v>82.81</v>
      </c>
      <c r="P1296" s="115">
        <v>84.95</v>
      </c>
      <c r="Q1296" s="115">
        <v>432.95</v>
      </c>
      <c r="R1296">
        <v>9383</v>
      </c>
    </row>
    <row r="1297" spans="1:18" x14ac:dyDescent="0.25">
      <c r="A1297" s="169">
        <v>43928</v>
      </c>
      <c r="B1297" s="115">
        <v>87.01</v>
      </c>
      <c r="C1297" s="115">
        <v>86.12</v>
      </c>
      <c r="D1297" s="115">
        <v>83.61</v>
      </c>
      <c r="E1297" s="115">
        <v>86</v>
      </c>
      <c r="F1297" s="115">
        <v>430.6</v>
      </c>
      <c r="G1297">
        <v>604</v>
      </c>
      <c r="H1297" s="115"/>
      <c r="I1297" s="115"/>
      <c r="L1297" s="169">
        <v>43916</v>
      </c>
      <c r="M1297" s="115">
        <v>89.46</v>
      </c>
      <c r="N1297" s="115">
        <v>92.4</v>
      </c>
      <c r="O1297" s="115">
        <v>85.8</v>
      </c>
      <c r="P1297" s="115">
        <v>85.8</v>
      </c>
      <c r="Q1297" s="115">
        <v>447.3</v>
      </c>
      <c r="R1297">
        <v>4742</v>
      </c>
    </row>
    <row r="1298" spans="1:18" x14ac:dyDescent="0.25">
      <c r="A1298" s="169">
        <v>43929</v>
      </c>
      <c r="B1298" s="115">
        <v>90.2</v>
      </c>
      <c r="C1298" s="115">
        <v>88.82</v>
      </c>
      <c r="D1298" s="115">
        <v>86</v>
      </c>
      <c r="E1298" s="115">
        <v>86.01</v>
      </c>
      <c r="F1298" s="115">
        <v>444.1</v>
      </c>
      <c r="G1298">
        <v>1129</v>
      </c>
      <c r="H1298" s="115"/>
      <c r="I1298" s="115"/>
      <c r="L1298" s="169">
        <v>43917</v>
      </c>
      <c r="M1298" s="115">
        <v>87.04</v>
      </c>
      <c r="N1298" s="115">
        <v>94.38</v>
      </c>
      <c r="O1298" s="115">
        <v>85.4</v>
      </c>
      <c r="P1298" s="115">
        <v>91.7</v>
      </c>
      <c r="Q1298" s="115">
        <v>435.2</v>
      </c>
      <c r="R1298">
        <v>7970</v>
      </c>
    </row>
    <row r="1299" spans="1:18" x14ac:dyDescent="0.25">
      <c r="A1299" s="169">
        <v>43930</v>
      </c>
      <c r="B1299" s="115">
        <v>96.41</v>
      </c>
      <c r="C1299" s="115">
        <v>89.99</v>
      </c>
      <c r="D1299" s="115">
        <v>87</v>
      </c>
      <c r="E1299" s="115">
        <v>96.41</v>
      </c>
      <c r="F1299" s="115">
        <v>449.95</v>
      </c>
      <c r="G1299">
        <v>2623</v>
      </c>
      <c r="H1299" s="115"/>
      <c r="I1299" s="115"/>
      <c r="L1299" s="169">
        <v>43920</v>
      </c>
      <c r="M1299" s="115">
        <v>79.180000000000007</v>
      </c>
      <c r="N1299" s="115">
        <v>90.96</v>
      </c>
      <c r="O1299" s="115">
        <v>77.2</v>
      </c>
      <c r="P1299" s="115">
        <v>90.96</v>
      </c>
      <c r="Q1299" s="115">
        <v>395.9</v>
      </c>
      <c r="R1299">
        <v>19255</v>
      </c>
    </row>
    <row r="1300" spans="1:18" x14ac:dyDescent="0.25">
      <c r="A1300" s="169">
        <v>43934</v>
      </c>
      <c r="B1300" s="115">
        <v>98.39</v>
      </c>
      <c r="C1300" s="115">
        <v>97.35</v>
      </c>
      <c r="D1300" s="115">
        <v>88</v>
      </c>
      <c r="E1300" s="115">
        <v>98.39</v>
      </c>
      <c r="F1300" s="115">
        <v>486.75</v>
      </c>
      <c r="G1300">
        <v>2964</v>
      </c>
      <c r="H1300" s="115"/>
      <c r="I1300" s="115"/>
      <c r="L1300" s="169">
        <v>43921</v>
      </c>
      <c r="M1300" s="115">
        <v>85.01</v>
      </c>
      <c r="N1300" s="115">
        <v>85.82</v>
      </c>
      <c r="O1300" s="115">
        <v>79.599999999999994</v>
      </c>
      <c r="P1300" s="115">
        <v>83.99</v>
      </c>
      <c r="Q1300" s="115">
        <v>425.05</v>
      </c>
      <c r="R1300">
        <v>8452</v>
      </c>
    </row>
    <row r="1301" spans="1:18" x14ac:dyDescent="0.25">
      <c r="A1301" s="169">
        <v>43936</v>
      </c>
      <c r="B1301" s="115">
        <v>110.69</v>
      </c>
      <c r="C1301" s="115">
        <v>99.12</v>
      </c>
      <c r="D1301" s="115">
        <v>98.52</v>
      </c>
      <c r="E1301" s="115">
        <v>99.74</v>
      </c>
      <c r="F1301" s="115">
        <v>495.6</v>
      </c>
      <c r="G1301">
        <v>2898</v>
      </c>
      <c r="H1301" s="115"/>
      <c r="I1301" s="115"/>
      <c r="L1301" s="169">
        <v>43922</v>
      </c>
      <c r="M1301" s="115">
        <v>82.86</v>
      </c>
      <c r="N1301" s="115">
        <v>85.99</v>
      </c>
      <c r="O1301" s="115">
        <v>80.010000000000005</v>
      </c>
      <c r="P1301" s="115">
        <v>85.99</v>
      </c>
      <c r="Q1301" s="115">
        <v>414.3</v>
      </c>
      <c r="R1301">
        <v>8562</v>
      </c>
    </row>
    <row r="1302" spans="1:18" x14ac:dyDescent="0.25">
      <c r="A1302" s="169">
        <v>43937</v>
      </c>
      <c r="B1302" s="115">
        <v>104.44</v>
      </c>
      <c r="C1302" s="115">
        <v>103.99</v>
      </c>
      <c r="D1302" s="115">
        <v>98</v>
      </c>
      <c r="E1302" s="115">
        <v>102.13</v>
      </c>
      <c r="F1302" s="115">
        <v>519.95000000000005</v>
      </c>
      <c r="G1302">
        <v>58775</v>
      </c>
      <c r="H1302" s="115"/>
      <c r="I1302" s="115"/>
      <c r="L1302" s="169">
        <v>43924</v>
      </c>
      <c r="M1302" s="115">
        <v>82.31</v>
      </c>
      <c r="N1302" s="115">
        <v>86</v>
      </c>
      <c r="O1302" s="115">
        <v>80.2</v>
      </c>
      <c r="P1302" s="115">
        <v>82.4</v>
      </c>
      <c r="Q1302" s="115">
        <v>411.55</v>
      </c>
      <c r="R1302">
        <v>6099</v>
      </c>
    </row>
    <row r="1303" spans="1:18" x14ac:dyDescent="0.25">
      <c r="A1303" s="169">
        <v>43938</v>
      </c>
      <c r="B1303" s="115">
        <v>105.6</v>
      </c>
      <c r="C1303" s="115">
        <v>101.11</v>
      </c>
      <c r="D1303" s="115">
        <v>100.8</v>
      </c>
      <c r="E1303" s="115">
        <v>105.4</v>
      </c>
      <c r="F1303" s="115">
        <v>505.55</v>
      </c>
      <c r="G1303">
        <v>1506</v>
      </c>
      <c r="H1303" s="115"/>
      <c r="I1303" s="115"/>
      <c r="L1303" s="169">
        <v>43928</v>
      </c>
      <c r="M1303" s="115">
        <v>86.05</v>
      </c>
      <c r="N1303" s="115">
        <v>87.4</v>
      </c>
      <c r="O1303" s="115">
        <v>83</v>
      </c>
      <c r="P1303" s="115">
        <v>87</v>
      </c>
      <c r="Q1303" s="115">
        <v>430.25</v>
      </c>
      <c r="R1303">
        <v>29037</v>
      </c>
    </row>
    <row r="1304" spans="1:18" x14ac:dyDescent="0.25">
      <c r="A1304" s="169">
        <v>43941</v>
      </c>
      <c r="B1304" s="115">
        <v>109.96</v>
      </c>
      <c r="C1304" s="115">
        <v>103.32</v>
      </c>
      <c r="D1304" s="115">
        <v>102.51</v>
      </c>
      <c r="E1304" s="115">
        <v>109.96</v>
      </c>
      <c r="F1304" s="115">
        <v>516.6</v>
      </c>
      <c r="G1304">
        <v>1756</v>
      </c>
      <c r="H1304" s="115"/>
      <c r="I1304" s="115"/>
      <c r="L1304" s="169">
        <v>43929</v>
      </c>
      <c r="M1304" s="115">
        <v>88.35</v>
      </c>
      <c r="N1304" s="115">
        <v>90.2</v>
      </c>
      <c r="O1304" s="115">
        <v>84.64</v>
      </c>
      <c r="P1304" s="115">
        <v>85.99</v>
      </c>
      <c r="Q1304" s="115">
        <v>441.75</v>
      </c>
      <c r="R1304">
        <v>20975</v>
      </c>
    </row>
    <row r="1305" spans="1:18" x14ac:dyDescent="0.25">
      <c r="A1305" s="169">
        <v>43942</v>
      </c>
      <c r="B1305" s="115">
        <v>101.23</v>
      </c>
      <c r="C1305" s="115">
        <v>99.2</v>
      </c>
      <c r="D1305" s="115">
        <v>98.4</v>
      </c>
      <c r="E1305" s="115">
        <v>101.23</v>
      </c>
      <c r="F1305" s="115">
        <v>496</v>
      </c>
      <c r="G1305">
        <v>1043</v>
      </c>
      <c r="H1305" s="115"/>
      <c r="I1305" s="115"/>
      <c r="L1305" s="169">
        <v>43930</v>
      </c>
      <c r="M1305" s="115">
        <v>90.27</v>
      </c>
      <c r="N1305" s="115">
        <v>93.39</v>
      </c>
      <c r="O1305" s="115">
        <v>88</v>
      </c>
      <c r="P1305" s="115">
        <v>91.4</v>
      </c>
      <c r="Q1305" s="115">
        <v>451.35</v>
      </c>
      <c r="R1305">
        <v>24939</v>
      </c>
    </row>
    <row r="1306" spans="1:18" x14ac:dyDescent="0.25">
      <c r="A1306" s="169">
        <v>43943</v>
      </c>
      <c r="B1306" s="115">
        <v>101.2</v>
      </c>
      <c r="C1306" s="115">
        <v>101.12</v>
      </c>
      <c r="D1306" s="115">
        <v>99.29</v>
      </c>
      <c r="E1306" s="115">
        <v>100.81</v>
      </c>
      <c r="F1306" s="115">
        <v>505.6</v>
      </c>
      <c r="G1306">
        <v>420</v>
      </c>
      <c r="H1306" s="115"/>
      <c r="I1306" s="115"/>
      <c r="L1306" s="169">
        <v>43934</v>
      </c>
      <c r="M1306" s="115">
        <v>96.8</v>
      </c>
      <c r="N1306" s="115">
        <v>97.8</v>
      </c>
      <c r="O1306" s="115">
        <v>89.6</v>
      </c>
      <c r="P1306" s="115">
        <v>93</v>
      </c>
      <c r="Q1306" s="115">
        <v>484</v>
      </c>
      <c r="R1306">
        <v>45193</v>
      </c>
    </row>
    <row r="1307" spans="1:18" x14ac:dyDescent="0.25">
      <c r="A1307" s="169">
        <v>43944</v>
      </c>
      <c r="B1307" s="115">
        <v>101.79</v>
      </c>
      <c r="C1307" s="115">
        <v>100.87</v>
      </c>
      <c r="D1307" s="115">
        <v>99.12</v>
      </c>
      <c r="E1307" s="115">
        <v>101.13</v>
      </c>
      <c r="F1307" s="115">
        <v>504.35</v>
      </c>
      <c r="G1307">
        <v>1000</v>
      </c>
      <c r="H1307" s="115"/>
      <c r="I1307" s="115"/>
      <c r="L1307" s="169">
        <v>43936</v>
      </c>
      <c r="M1307" s="115">
        <v>99.4</v>
      </c>
      <c r="N1307" s="115">
        <v>111.6</v>
      </c>
      <c r="O1307" s="115">
        <v>98.1</v>
      </c>
      <c r="P1307" s="115">
        <v>99.99</v>
      </c>
      <c r="Q1307" s="115">
        <v>497</v>
      </c>
      <c r="R1307">
        <v>91386</v>
      </c>
    </row>
    <row r="1308" spans="1:18" x14ac:dyDescent="0.25">
      <c r="A1308" s="169">
        <v>43945</v>
      </c>
      <c r="B1308" s="115">
        <v>101.4</v>
      </c>
      <c r="C1308" s="115">
        <v>98.62</v>
      </c>
      <c r="D1308" s="115">
        <v>98.05</v>
      </c>
      <c r="E1308" s="115">
        <v>100.4</v>
      </c>
      <c r="F1308" s="115">
        <v>493.1</v>
      </c>
      <c r="G1308">
        <v>516</v>
      </c>
      <c r="H1308" s="115"/>
      <c r="I1308" s="115"/>
      <c r="L1308" s="169">
        <v>43937</v>
      </c>
      <c r="M1308" s="115">
        <v>103.66</v>
      </c>
      <c r="N1308" s="115">
        <v>105.44</v>
      </c>
      <c r="O1308" s="115">
        <v>99.8</v>
      </c>
      <c r="P1308" s="115">
        <v>100</v>
      </c>
      <c r="Q1308" s="115">
        <v>518.29999999999995</v>
      </c>
      <c r="R1308">
        <v>59103</v>
      </c>
    </row>
    <row r="1309" spans="1:18" x14ac:dyDescent="0.25">
      <c r="A1309" s="169">
        <v>43948</v>
      </c>
      <c r="B1309" s="115">
        <v>100.4</v>
      </c>
      <c r="C1309" s="115">
        <v>98.73</v>
      </c>
      <c r="D1309" s="115">
        <v>98.6</v>
      </c>
      <c r="E1309" s="115">
        <v>99.96</v>
      </c>
      <c r="F1309" s="115">
        <v>493.65</v>
      </c>
      <c r="G1309">
        <v>705</v>
      </c>
      <c r="H1309" s="115"/>
      <c r="I1309" s="115"/>
      <c r="L1309" s="169">
        <v>43938</v>
      </c>
      <c r="M1309" s="115">
        <v>101.02</v>
      </c>
      <c r="N1309" s="115">
        <v>105.49</v>
      </c>
      <c r="O1309" s="115">
        <v>100.68</v>
      </c>
      <c r="P1309" s="115">
        <v>105.44</v>
      </c>
      <c r="Q1309" s="115">
        <v>505.1</v>
      </c>
      <c r="R1309">
        <v>26492</v>
      </c>
    </row>
    <row r="1310" spans="1:18" x14ac:dyDescent="0.25">
      <c r="A1310" s="169">
        <v>43949</v>
      </c>
      <c r="B1310" s="115">
        <v>99.19</v>
      </c>
      <c r="C1310" s="115">
        <v>99.09</v>
      </c>
      <c r="D1310" s="115">
        <v>97.04</v>
      </c>
      <c r="E1310" s="115">
        <v>99</v>
      </c>
      <c r="F1310" s="115">
        <v>495.45</v>
      </c>
      <c r="G1310">
        <v>265</v>
      </c>
      <c r="H1310" s="115"/>
      <c r="I1310" s="115"/>
      <c r="L1310" s="169">
        <v>43941</v>
      </c>
      <c r="M1310" s="115">
        <v>103.11</v>
      </c>
      <c r="N1310" s="115">
        <v>104.99</v>
      </c>
      <c r="O1310" s="115">
        <v>102.02</v>
      </c>
      <c r="P1310" s="115">
        <v>102.8</v>
      </c>
      <c r="Q1310" s="115">
        <v>515.54999999999995</v>
      </c>
      <c r="R1310">
        <v>17594</v>
      </c>
    </row>
    <row r="1311" spans="1:18" x14ac:dyDescent="0.25">
      <c r="A1311" s="169">
        <v>43950</v>
      </c>
      <c r="B1311" s="115">
        <v>99.33</v>
      </c>
      <c r="C1311" s="115">
        <v>98.07</v>
      </c>
      <c r="D1311" s="115">
        <v>97.81</v>
      </c>
      <c r="E1311" s="115">
        <v>99.09</v>
      </c>
      <c r="F1311" s="115">
        <v>490.35</v>
      </c>
      <c r="G1311">
        <v>426</v>
      </c>
      <c r="H1311" s="115"/>
      <c r="I1311" s="115"/>
      <c r="L1311" s="169">
        <v>43942</v>
      </c>
      <c r="M1311" s="115">
        <v>99.07</v>
      </c>
      <c r="N1311" s="115">
        <v>101.99</v>
      </c>
      <c r="O1311" s="115">
        <v>98.6</v>
      </c>
      <c r="P1311" s="115">
        <v>101</v>
      </c>
      <c r="Q1311" s="115">
        <v>495.35</v>
      </c>
      <c r="R1311">
        <v>11257</v>
      </c>
    </row>
    <row r="1312" spans="1:18" x14ac:dyDescent="0.25">
      <c r="A1312" s="169">
        <v>43951</v>
      </c>
      <c r="B1312" s="115">
        <v>100.6</v>
      </c>
      <c r="C1312" s="115">
        <v>98.32</v>
      </c>
      <c r="D1312" s="115">
        <v>98.2</v>
      </c>
      <c r="E1312" s="115">
        <v>99.9</v>
      </c>
      <c r="F1312" s="115">
        <v>491.6</v>
      </c>
      <c r="G1312">
        <v>354</v>
      </c>
      <c r="H1312" s="115"/>
      <c r="I1312" s="115"/>
      <c r="L1312" s="169">
        <v>43943</v>
      </c>
      <c r="M1312" s="115">
        <v>100.58</v>
      </c>
      <c r="N1312" s="115">
        <v>101.59</v>
      </c>
      <c r="O1312" s="115">
        <v>99.22</v>
      </c>
      <c r="P1312" s="115">
        <v>101.59</v>
      </c>
      <c r="Q1312" s="115">
        <v>502.9</v>
      </c>
      <c r="R1312">
        <v>60472</v>
      </c>
    </row>
    <row r="1313" spans="1:18" x14ac:dyDescent="0.25">
      <c r="A1313" s="169">
        <v>43955</v>
      </c>
      <c r="B1313" s="115">
        <v>98.34</v>
      </c>
      <c r="C1313" s="115">
        <v>91.99</v>
      </c>
      <c r="D1313" s="115">
        <v>91</v>
      </c>
      <c r="E1313" s="115">
        <v>98.34</v>
      </c>
      <c r="F1313" s="115">
        <v>459.95</v>
      </c>
      <c r="G1313">
        <v>559</v>
      </c>
      <c r="H1313" s="115"/>
      <c r="I1313" s="115"/>
      <c r="L1313" s="169">
        <v>43944</v>
      </c>
      <c r="M1313" s="115">
        <v>99.95</v>
      </c>
      <c r="N1313" s="115">
        <v>101.47</v>
      </c>
      <c r="O1313" s="115">
        <v>99</v>
      </c>
      <c r="P1313" s="115">
        <v>100.99</v>
      </c>
      <c r="Q1313" s="115">
        <v>499.75</v>
      </c>
      <c r="R1313">
        <v>15420</v>
      </c>
    </row>
    <row r="1314" spans="1:18" x14ac:dyDescent="0.25">
      <c r="A1314" s="169">
        <v>43956</v>
      </c>
      <c r="B1314" s="115">
        <v>94.83</v>
      </c>
      <c r="C1314" s="115">
        <v>91.3</v>
      </c>
      <c r="D1314" s="115">
        <v>91.02</v>
      </c>
      <c r="E1314" s="115">
        <v>92.4</v>
      </c>
      <c r="F1314" s="115">
        <v>456.5</v>
      </c>
      <c r="G1314">
        <v>628</v>
      </c>
      <c r="H1314" s="115"/>
      <c r="I1314" s="115"/>
      <c r="L1314" s="169">
        <v>43945</v>
      </c>
      <c r="M1314" s="115">
        <v>98.87</v>
      </c>
      <c r="N1314" s="115">
        <v>101.6</v>
      </c>
      <c r="O1314" s="115">
        <v>98</v>
      </c>
      <c r="P1314" s="115">
        <v>100.6</v>
      </c>
      <c r="Q1314" s="115">
        <v>494.35</v>
      </c>
      <c r="R1314">
        <v>10311</v>
      </c>
    </row>
    <row r="1315" spans="1:18" x14ac:dyDescent="0.25">
      <c r="A1315" s="169">
        <v>43957</v>
      </c>
      <c r="B1315" s="115">
        <v>93.27</v>
      </c>
      <c r="C1315" s="115">
        <v>90.69</v>
      </c>
      <c r="D1315" s="115">
        <v>90.45</v>
      </c>
      <c r="E1315" s="115">
        <v>91.51</v>
      </c>
      <c r="F1315" s="115">
        <v>453.45</v>
      </c>
      <c r="G1315">
        <v>416</v>
      </c>
      <c r="H1315" s="115"/>
      <c r="I1315" s="115"/>
      <c r="L1315" s="169">
        <v>43948</v>
      </c>
      <c r="M1315" s="115">
        <v>98.98</v>
      </c>
      <c r="N1315" s="115">
        <v>100.22</v>
      </c>
      <c r="O1315" s="115">
        <v>98.41</v>
      </c>
      <c r="P1315" s="115">
        <v>99.99</v>
      </c>
      <c r="Q1315" s="115">
        <v>494.9</v>
      </c>
      <c r="R1315">
        <v>10325</v>
      </c>
    </row>
    <row r="1316" spans="1:18" x14ac:dyDescent="0.25">
      <c r="A1316" s="169">
        <v>43958</v>
      </c>
      <c r="B1316" s="115">
        <v>92</v>
      </c>
      <c r="C1316" s="115">
        <v>90</v>
      </c>
      <c r="D1316" s="115">
        <v>89.27</v>
      </c>
      <c r="E1316" s="115">
        <v>92</v>
      </c>
      <c r="F1316" s="115">
        <v>450</v>
      </c>
      <c r="G1316">
        <v>270</v>
      </c>
      <c r="H1316" s="115"/>
      <c r="I1316" s="115"/>
      <c r="L1316" s="169">
        <v>43949</v>
      </c>
      <c r="M1316" s="115">
        <v>98.89</v>
      </c>
      <c r="N1316" s="115">
        <v>99.95</v>
      </c>
      <c r="O1316" s="115">
        <v>97</v>
      </c>
      <c r="P1316" s="115">
        <v>99.95</v>
      </c>
      <c r="Q1316" s="115">
        <v>494.45</v>
      </c>
      <c r="R1316">
        <v>6758</v>
      </c>
    </row>
    <row r="1317" spans="1:18" x14ac:dyDescent="0.25">
      <c r="A1317" s="169">
        <v>43959</v>
      </c>
      <c r="B1317" s="115">
        <v>93</v>
      </c>
      <c r="C1317" s="115">
        <v>90.07</v>
      </c>
      <c r="D1317" s="115">
        <v>89.23</v>
      </c>
      <c r="E1317" s="115">
        <v>93</v>
      </c>
      <c r="F1317" s="115">
        <v>450.35</v>
      </c>
      <c r="G1317">
        <v>1150</v>
      </c>
      <c r="H1317" s="115"/>
      <c r="I1317" s="115"/>
      <c r="L1317" s="169">
        <v>43950</v>
      </c>
      <c r="M1317" s="115">
        <v>98.27</v>
      </c>
      <c r="N1317" s="115">
        <v>99.44</v>
      </c>
      <c r="O1317" s="115">
        <v>97.92</v>
      </c>
      <c r="P1317" s="115">
        <v>99</v>
      </c>
      <c r="Q1317" s="115">
        <v>491.35</v>
      </c>
      <c r="R1317">
        <v>8729</v>
      </c>
    </row>
    <row r="1318" spans="1:18" x14ac:dyDescent="0.25">
      <c r="A1318" s="169">
        <v>43962</v>
      </c>
      <c r="B1318" s="115">
        <v>90.87</v>
      </c>
      <c r="C1318" s="115">
        <v>88.65</v>
      </c>
      <c r="D1318" s="115">
        <v>88.09</v>
      </c>
      <c r="E1318" s="115">
        <v>90</v>
      </c>
      <c r="F1318" s="115">
        <v>443.25</v>
      </c>
      <c r="G1318">
        <v>203</v>
      </c>
      <c r="H1318" s="115"/>
      <c r="I1318" s="115"/>
      <c r="L1318" s="169">
        <v>43951</v>
      </c>
      <c r="M1318" s="115">
        <v>98.36</v>
      </c>
      <c r="N1318" s="115">
        <v>100.59</v>
      </c>
      <c r="O1318" s="115">
        <v>98</v>
      </c>
      <c r="P1318" s="115">
        <v>99.73</v>
      </c>
      <c r="Q1318" s="115">
        <v>491.8</v>
      </c>
      <c r="R1318">
        <v>11232</v>
      </c>
    </row>
    <row r="1319" spans="1:18" x14ac:dyDescent="0.25">
      <c r="A1319" s="169">
        <v>43963</v>
      </c>
      <c r="B1319" s="115">
        <v>89</v>
      </c>
      <c r="C1319" s="115">
        <v>88.32</v>
      </c>
      <c r="D1319" s="115">
        <v>85.33</v>
      </c>
      <c r="E1319" s="115">
        <v>88.01</v>
      </c>
      <c r="F1319" s="115">
        <v>441.6</v>
      </c>
      <c r="G1319">
        <v>1136</v>
      </c>
      <c r="H1319" s="115"/>
      <c r="I1319" s="115"/>
      <c r="L1319" s="169">
        <v>43955</v>
      </c>
      <c r="M1319" s="115">
        <v>92.07</v>
      </c>
      <c r="N1319" s="115">
        <v>98.93</v>
      </c>
      <c r="O1319" s="115">
        <v>91.01</v>
      </c>
      <c r="P1319" s="115">
        <v>98.93</v>
      </c>
      <c r="Q1319" s="115">
        <v>460.35</v>
      </c>
      <c r="R1319">
        <v>15878</v>
      </c>
    </row>
    <row r="1320" spans="1:18" x14ac:dyDescent="0.25">
      <c r="A1320" s="169">
        <v>43964</v>
      </c>
      <c r="B1320" s="115">
        <v>93.99</v>
      </c>
      <c r="C1320" s="115">
        <v>89.44</v>
      </c>
      <c r="D1320" s="115">
        <v>88.4</v>
      </c>
      <c r="E1320" s="115">
        <v>93.99</v>
      </c>
      <c r="F1320" s="115">
        <v>447.2</v>
      </c>
      <c r="G1320">
        <v>4189</v>
      </c>
      <c r="H1320" s="115"/>
      <c r="I1320" s="115"/>
      <c r="L1320" s="169">
        <v>43956</v>
      </c>
      <c r="M1320" s="115">
        <v>91.73</v>
      </c>
      <c r="N1320" s="115">
        <v>94.79</v>
      </c>
      <c r="O1320" s="115">
        <v>90.73</v>
      </c>
      <c r="P1320" s="115">
        <v>94.79</v>
      </c>
      <c r="Q1320" s="115">
        <v>458.65</v>
      </c>
      <c r="R1320">
        <v>6872</v>
      </c>
    </row>
    <row r="1321" spans="1:18" x14ac:dyDescent="0.25">
      <c r="A1321" s="169">
        <v>43965</v>
      </c>
      <c r="B1321" s="115">
        <v>91</v>
      </c>
      <c r="C1321" s="115">
        <v>89.84</v>
      </c>
      <c r="D1321" s="115">
        <v>87.4</v>
      </c>
      <c r="E1321" s="115">
        <v>89.6</v>
      </c>
      <c r="F1321" s="115">
        <v>449.2</v>
      </c>
      <c r="G1321">
        <v>1098</v>
      </c>
      <c r="H1321" s="115"/>
      <c r="I1321" s="115"/>
      <c r="L1321" s="169">
        <v>43957</v>
      </c>
      <c r="M1321" s="115">
        <v>91.07</v>
      </c>
      <c r="N1321" s="115">
        <v>93.55</v>
      </c>
      <c r="O1321" s="115">
        <v>90</v>
      </c>
      <c r="P1321" s="115">
        <v>90.8</v>
      </c>
      <c r="Q1321" s="115">
        <v>455.35</v>
      </c>
      <c r="R1321">
        <v>8527</v>
      </c>
    </row>
    <row r="1322" spans="1:18" x14ac:dyDescent="0.25">
      <c r="A1322" s="169">
        <v>43966</v>
      </c>
      <c r="B1322" s="115">
        <v>89</v>
      </c>
      <c r="C1322" s="115">
        <v>88</v>
      </c>
      <c r="D1322" s="115">
        <v>87.6</v>
      </c>
      <c r="E1322" s="115">
        <v>88.12</v>
      </c>
      <c r="F1322" s="115">
        <v>440</v>
      </c>
      <c r="G1322">
        <v>2741</v>
      </c>
      <c r="H1322" s="115"/>
      <c r="I1322" s="115"/>
      <c r="L1322" s="169">
        <v>43958</v>
      </c>
      <c r="M1322" s="115">
        <v>90.08</v>
      </c>
      <c r="N1322" s="115">
        <v>92.1</v>
      </c>
      <c r="O1322" s="115">
        <v>89.6</v>
      </c>
      <c r="P1322" s="115">
        <v>90.2</v>
      </c>
      <c r="Q1322" s="115">
        <v>450.4</v>
      </c>
      <c r="R1322">
        <v>10934</v>
      </c>
    </row>
    <row r="1323" spans="1:18" x14ac:dyDescent="0.25">
      <c r="A1323" s="169">
        <v>43969</v>
      </c>
      <c r="B1323" s="115">
        <v>90.79</v>
      </c>
      <c r="C1323" s="115">
        <v>86.09</v>
      </c>
      <c r="D1323" s="115">
        <v>85.6</v>
      </c>
      <c r="E1323" s="115">
        <v>88.5</v>
      </c>
      <c r="F1323" s="115">
        <v>430.45</v>
      </c>
      <c r="G1323">
        <v>880</v>
      </c>
      <c r="H1323" s="115"/>
      <c r="I1323" s="115"/>
      <c r="L1323" s="169">
        <v>43959</v>
      </c>
      <c r="M1323" s="115">
        <v>89.92</v>
      </c>
      <c r="N1323" s="115">
        <v>92.26</v>
      </c>
      <c r="O1323" s="115">
        <v>89.01</v>
      </c>
      <c r="P1323" s="115">
        <v>91.01</v>
      </c>
      <c r="Q1323" s="115">
        <v>449.6</v>
      </c>
      <c r="R1323">
        <v>5821</v>
      </c>
    </row>
    <row r="1324" spans="1:18" x14ac:dyDescent="0.25">
      <c r="A1324" s="169">
        <v>43970</v>
      </c>
      <c r="B1324" s="115">
        <v>89.57</v>
      </c>
      <c r="C1324" s="115">
        <v>88.91</v>
      </c>
      <c r="D1324" s="115">
        <v>86.02</v>
      </c>
      <c r="E1324" s="115">
        <v>86.6</v>
      </c>
      <c r="F1324" s="115">
        <v>444.55</v>
      </c>
      <c r="G1324">
        <v>799</v>
      </c>
      <c r="H1324" s="115"/>
      <c r="I1324" s="115"/>
      <c r="L1324" s="169">
        <v>43962</v>
      </c>
      <c r="M1324" s="115">
        <v>88.99</v>
      </c>
      <c r="N1324" s="115">
        <v>90.87</v>
      </c>
      <c r="O1324" s="115">
        <v>88.42</v>
      </c>
      <c r="P1324" s="115">
        <v>90.26</v>
      </c>
      <c r="Q1324" s="115">
        <v>444.95</v>
      </c>
      <c r="R1324">
        <v>3128</v>
      </c>
    </row>
    <row r="1325" spans="1:18" x14ac:dyDescent="0.25">
      <c r="A1325" s="169">
        <v>43971</v>
      </c>
      <c r="B1325" s="115">
        <v>88.94</v>
      </c>
      <c r="C1325" s="115">
        <v>87.69</v>
      </c>
      <c r="D1325" s="115">
        <v>87.42</v>
      </c>
      <c r="E1325" s="115">
        <v>88.94</v>
      </c>
      <c r="F1325" s="115">
        <v>438.45</v>
      </c>
      <c r="G1325">
        <v>337</v>
      </c>
      <c r="H1325" s="115"/>
      <c r="I1325" s="115"/>
      <c r="L1325" s="169">
        <v>43963</v>
      </c>
      <c r="M1325" s="115">
        <v>87.63</v>
      </c>
      <c r="N1325" s="115">
        <v>88.74</v>
      </c>
      <c r="O1325" s="115">
        <v>85.38</v>
      </c>
      <c r="P1325" s="115">
        <v>88.4</v>
      </c>
      <c r="Q1325" s="115">
        <v>438.15</v>
      </c>
      <c r="R1325">
        <v>13657</v>
      </c>
    </row>
    <row r="1326" spans="1:18" x14ac:dyDescent="0.25">
      <c r="A1326" s="169">
        <v>43972</v>
      </c>
      <c r="B1326" s="115">
        <v>92.8</v>
      </c>
      <c r="C1326" s="115">
        <v>90.87</v>
      </c>
      <c r="D1326" s="115">
        <v>88</v>
      </c>
      <c r="E1326" s="115">
        <v>88.6</v>
      </c>
      <c r="F1326" s="115">
        <v>454.35</v>
      </c>
      <c r="G1326">
        <v>2765</v>
      </c>
      <c r="H1326" s="115"/>
      <c r="I1326" s="115"/>
      <c r="L1326" s="169">
        <v>43964</v>
      </c>
      <c r="M1326" s="115">
        <v>89.72</v>
      </c>
      <c r="N1326" s="115">
        <v>94.98</v>
      </c>
      <c r="O1326" s="115">
        <v>87.8</v>
      </c>
      <c r="P1326" s="115">
        <v>89.4</v>
      </c>
      <c r="Q1326" s="115">
        <v>448.6</v>
      </c>
      <c r="R1326">
        <v>50064</v>
      </c>
    </row>
    <row r="1327" spans="1:18" x14ac:dyDescent="0.25">
      <c r="A1327" s="169">
        <v>43973</v>
      </c>
      <c r="B1327" s="115">
        <v>96.2</v>
      </c>
      <c r="C1327" s="115">
        <v>95.44</v>
      </c>
      <c r="D1327" s="115">
        <v>90.9</v>
      </c>
      <c r="E1327" s="115">
        <v>91</v>
      </c>
      <c r="F1327" s="115">
        <v>477.2</v>
      </c>
      <c r="G1327">
        <v>2257</v>
      </c>
      <c r="H1327" s="115"/>
      <c r="I1327" s="115"/>
      <c r="L1327" s="169">
        <v>43965</v>
      </c>
      <c r="M1327" s="115">
        <v>89.54</v>
      </c>
      <c r="N1327" s="115">
        <v>91</v>
      </c>
      <c r="O1327" s="115">
        <v>87.01</v>
      </c>
      <c r="P1327" s="115">
        <v>87.1</v>
      </c>
      <c r="Q1327" s="115">
        <v>447.7</v>
      </c>
      <c r="R1327">
        <v>9153</v>
      </c>
    </row>
    <row r="1328" spans="1:18" x14ac:dyDescent="0.25">
      <c r="A1328" s="169">
        <v>43977</v>
      </c>
      <c r="B1328" s="115">
        <v>97</v>
      </c>
      <c r="C1328" s="115">
        <v>91.49</v>
      </c>
      <c r="D1328" s="115">
        <v>91.12</v>
      </c>
      <c r="E1328" s="115">
        <v>97</v>
      </c>
      <c r="F1328" s="115">
        <v>457.45</v>
      </c>
      <c r="G1328">
        <v>146</v>
      </c>
      <c r="H1328" s="115"/>
      <c r="I1328" s="115"/>
      <c r="L1328" s="169">
        <v>43966</v>
      </c>
      <c r="M1328" s="115">
        <v>88.01</v>
      </c>
      <c r="N1328" s="115">
        <v>89.6</v>
      </c>
      <c r="O1328" s="115">
        <v>87.7</v>
      </c>
      <c r="P1328" s="115">
        <v>89.6</v>
      </c>
      <c r="Q1328" s="115">
        <v>440.05</v>
      </c>
      <c r="R1328">
        <v>11112</v>
      </c>
    </row>
    <row r="1329" spans="1:18" x14ac:dyDescent="0.25">
      <c r="A1329" s="169">
        <v>43978</v>
      </c>
      <c r="B1329" s="115">
        <v>93</v>
      </c>
      <c r="C1329" s="115">
        <v>92.6</v>
      </c>
      <c r="D1329" s="115">
        <v>92.11</v>
      </c>
      <c r="E1329" s="115">
        <v>93</v>
      </c>
      <c r="F1329" s="115">
        <v>463</v>
      </c>
      <c r="G1329">
        <v>197</v>
      </c>
      <c r="H1329" s="115"/>
      <c r="I1329" s="115"/>
      <c r="L1329" s="169">
        <v>43969</v>
      </c>
      <c r="M1329" s="115">
        <v>86.16</v>
      </c>
      <c r="N1329" s="115">
        <v>99.74</v>
      </c>
      <c r="O1329" s="115">
        <v>85.62</v>
      </c>
      <c r="P1329" s="115">
        <v>88.2</v>
      </c>
      <c r="Q1329" s="115">
        <v>430.8</v>
      </c>
      <c r="R1329">
        <v>14397</v>
      </c>
    </row>
    <row r="1330" spans="1:18" x14ac:dyDescent="0.25">
      <c r="A1330" s="169">
        <v>43979</v>
      </c>
      <c r="B1330" s="115">
        <v>93.9</v>
      </c>
      <c r="C1330" s="115">
        <v>93.9</v>
      </c>
      <c r="D1330" s="115">
        <v>93.25</v>
      </c>
      <c r="E1330" s="115">
        <v>93.41</v>
      </c>
      <c r="F1330" s="115">
        <v>469.5</v>
      </c>
      <c r="G1330">
        <v>40</v>
      </c>
      <c r="H1330" s="115"/>
      <c r="I1330" s="115"/>
      <c r="L1330" s="169">
        <v>43970</v>
      </c>
      <c r="M1330" s="115">
        <v>88.76</v>
      </c>
      <c r="N1330" s="115">
        <v>89.6</v>
      </c>
      <c r="O1330" s="115">
        <v>85.63</v>
      </c>
      <c r="P1330" s="115">
        <v>86.6</v>
      </c>
      <c r="Q1330" s="115">
        <v>443.8</v>
      </c>
      <c r="R1330">
        <v>11895</v>
      </c>
    </row>
    <row r="1331" spans="1:18" x14ac:dyDescent="0.25">
      <c r="A1331" s="169">
        <v>43980</v>
      </c>
      <c r="B1331" s="115">
        <v>95.06</v>
      </c>
      <c r="C1331" s="115">
        <v>92.58</v>
      </c>
      <c r="D1331" s="115">
        <v>92.02</v>
      </c>
      <c r="E1331" s="115">
        <v>93.28</v>
      </c>
      <c r="F1331" s="115">
        <v>462.9</v>
      </c>
      <c r="G1331">
        <v>574</v>
      </c>
      <c r="H1331" s="115"/>
      <c r="I1331" s="115"/>
      <c r="L1331" s="169">
        <v>43971</v>
      </c>
      <c r="M1331" s="115">
        <v>88.3</v>
      </c>
      <c r="N1331" s="115">
        <v>89.59</v>
      </c>
      <c r="O1331" s="115">
        <v>87.4</v>
      </c>
      <c r="P1331" s="115">
        <v>88.76</v>
      </c>
      <c r="Q1331" s="115">
        <v>441.5</v>
      </c>
      <c r="R1331">
        <v>2337</v>
      </c>
    </row>
    <row r="1332" spans="1:18" x14ac:dyDescent="0.25">
      <c r="A1332" s="169">
        <v>43983</v>
      </c>
      <c r="B1332" s="115">
        <v>96</v>
      </c>
      <c r="C1332" s="115">
        <v>93.82</v>
      </c>
      <c r="D1332" s="115">
        <v>93.31</v>
      </c>
      <c r="E1332" s="115">
        <v>94.4</v>
      </c>
      <c r="F1332" s="115">
        <v>469.1</v>
      </c>
      <c r="G1332">
        <v>547</v>
      </c>
      <c r="H1332" s="115"/>
      <c r="I1332" s="115"/>
      <c r="L1332" s="169">
        <v>43972</v>
      </c>
      <c r="M1332" s="115">
        <v>91.44</v>
      </c>
      <c r="N1332" s="115">
        <v>93.4</v>
      </c>
      <c r="O1332" s="115">
        <v>88</v>
      </c>
      <c r="P1332" s="115">
        <v>88</v>
      </c>
      <c r="Q1332" s="115">
        <v>457.2</v>
      </c>
      <c r="R1332">
        <v>11794</v>
      </c>
    </row>
    <row r="1333" spans="1:18" x14ac:dyDescent="0.25">
      <c r="A1333" s="169">
        <v>43984</v>
      </c>
      <c r="B1333" s="115">
        <v>96</v>
      </c>
      <c r="C1333" s="115">
        <v>95.5</v>
      </c>
      <c r="D1333" s="115">
        <v>94.33</v>
      </c>
      <c r="E1333" s="115">
        <v>94.75</v>
      </c>
      <c r="F1333" s="115">
        <v>477.5</v>
      </c>
      <c r="G1333">
        <v>561</v>
      </c>
      <c r="H1333" s="115"/>
      <c r="I1333" s="115"/>
      <c r="L1333" s="169">
        <v>43973</v>
      </c>
      <c r="M1333" s="115">
        <v>95.33</v>
      </c>
      <c r="N1333" s="115">
        <v>96.7</v>
      </c>
      <c r="O1333" s="115">
        <v>90.8</v>
      </c>
      <c r="P1333" s="115">
        <v>90.8</v>
      </c>
      <c r="Q1333" s="115">
        <v>476.65</v>
      </c>
      <c r="R1333">
        <v>49195</v>
      </c>
    </row>
    <row r="1334" spans="1:18" x14ac:dyDescent="0.25">
      <c r="A1334" s="169">
        <v>43985</v>
      </c>
      <c r="B1334" s="115">
        <v>98.4</v>
      </c>
      <c r="C1334" s="115">
        <v>96.92</v>
      </c>
      <c r="D1334" s="115">
        <v>95.46</v>
      </c>
      <c r="E1334" s="115">
        <v>97</v>
      </c>
      <c r="F1334" s="115">
        <v>484.6</v>
      </c>
      <c r="G1334">
        <v>1944</v>
      </c>
      <c r="H1334" s="115"/>
      <c r="I1334" s="115"/>
      <c r="L1334" s="169">
        <v>43977</v>
      </c>
      <c r="M1334" s="115">
        <v>91.38</v>
      </c>
      <c r="N1334" s="115">
        <v>96.45</v>
      </c>
      <c r="O1334" s="115">
        <v>91.18</v>
      </c>
      <c r="P1334" s="115">
        <v>96</v>
      </c>
      <c r="Q1334" s="115">
        <v>456.9</v>
      </c>
      <c r="R1334">
        <v>8176</v>
      </c>
    </row>
    <row r="1335" spans="1:18" x14ac:dyDescent="0.25">
      <c r="A1335" s="169">
        <v>43986</v>
      </c>
      <c r="B1335" s="115">
        <v>103.3</v>
      </c>
      <c r="C1335" s="115">
        <v>100.49</v>
      </c>
      <c r="D1335" s="115">
        <v>100</v>
      </c>
      <c r="E1335" s="115">
        <v>100</v>
      </c>
      <c r="F1335" s="115">
        <v>502.45</v>
      </c>
      <c r="G1335">
        <v>1828</v>
      </c>
      <c r="H1335" s="115"/>
      <c r="I1335" s="115"/>
      <c r="L1335" s="169">
        <v>43978</v>
      </c>
      <c r="M1335" s="115">
        <v>92.32</v>
      </c>
      <c r="N1335" s="115">
        <v>93.6</v>
      </c>
      <c r="O1335" s="115">
        <v>91.6</v>
      </c>
      <c r="P1335" s="115">
        <v>93.43</v>
      </c>
      <c r="Q1335" s="115">
        <v>461.6</v>
      </c>
      <c r="R1335">
        <v>11106</v>
      </c>
    </row>
    <row r="1336" spans="1:18" x14ac:dyDescent="0.25">
      <c r="A1336" s="169">
        <v>43987</v>
      </c>
      <c r="B1336" s="115">
        <v>107</v>
      </c>
      <c r="C1336" s="115">
        <v>103</v>
      </c>
      <c r="D1336" s="115">
        <v>100.6</v>
      </c>
      <c r="E1336" s="115">
        <v>107</v>
      </c>
      <c r="F1336" s="115">
        <v>515</v>
      </c>
      <c r="G1336">
        <v>908</v>
      </c>
      <c r="H1336" s="115"/>
      <c r="I1336" s="115"/>
      <c r="L1336" s="169">
        <v>43979</v>
      </c>
      <c r="M1336" s="115">
        <v>94.07</v>
      </c>
      <c r="N1336" s="115">
        <v>94.99</v>
      </c>
      <c r="O1336" s="115">
        <v>91.8</v>
      </c>
      <c r="P1336" s="115">
        <v>92.03</v>
      </c>
      <c r="Q1336" s="115">
        <v>470.35</v>
      </c>
      <c r="R1336">
        <v>4997</v>
      </c>
    </row>
    <row r="1337" spans="1:18" x14ac:dyDescent="0.25">
      <c r="A1337" s="169">
        <v>43990</v>
      </c>
      <c r="B1337" s="115">
        <v>107.9</v>
      </c>
      <c r="C1337" s="115">
        <v>103.04</v>
      </c>
      <c r="D1337" s="115">
        <v>101.8</v>
      </c>
      <c r="E1337" s="115">
        <v>107.9</v>
      </c>
      <c r="F1337" s="115">
        <v>515.20000000000005</v>
      </c>
      <c r="G1337">
        <v>5187</v>
      </c>
      <c r="H1337" s="115"/>
      <c r="I1337" s="115"/>
      <c r="L1337" s="169">
        <v>43980</v>
      </c>
      <c r="M1337" s="115">
        <v>92.53</v>
      </c>
      <c r="N1337" s="115">
        <v>94.89</v>
      </c>
      <c r="O1337" s="115">
        <v>91</v>
      </c>
      <c r="P1337" s="115">
        <v>94</v>
      </c>
      <c r="Q1337" s="115">
        <v>462.65</v>
      </c>
      <c r="R1337">
        <v>10995</v>
      </c>
    </row>
    <row r="1338" spans="1:18" x14ac:dyDescent="0.25">
      <c r="A1338" s="169">
        <v>43991</v>
      </c>
      <c r="B1338" s="115">
        <v>104.38</v>
      </c>
      <c r="C1338" s="115">
        <v>101.85</v>
      </c>
      <c r="D1338" s="115">
        <v>101.04</v>
      </c>
      <c r="E1338" s="115">
        <v>103.1</v>
      </c>
      <c r="F1338" s="115">
        <v>509.25</v>
      </c>
      <c r="G1338">
        <v>1547</v>
      </c>
      <c r="H1338" s="115"/>
      <c r="I1338" s="115"/>
      <c r="L1338" s="169">
        <v>43983</v>
      </c>
      <c r="M1338" s="115">
        <v>93.74</v>
      </c>
      <c r="N1338" s="115">
        <v>95.96</v>
      </c>
      <c r="O1338" s="115">
        <v>93.22</v>
      </c>
      <c r="P1338" s="115">
        <v>94.96</v>
      </c>
      <c r="Q1338" s="115">
        <v>468.7</v>
      </c>
      <c r="R1338">
        <v>12032</v>
      </c>
    </row>
    <row r="1339" spans="1:18" x14ac:dyDescent="0.25">
      <c r="A1339" s="169">
        <v>43992</v>
      </c>
      <c r="B1339" s="115">
        <v>103.79</v>
      </c>
      <c r="C1339" s="115">
        <v>102.86</v>
      </c>
      <c r="D1339" s="115">
        <v>102</v>
      </c>
      <c r="E1339" s="115">
        <v>102.6</v>
      </c>
      <c r="F1339" s="115">
        <v>514.29999999999995</v>
      </c>
      <c r="G1339">
        <v>795</v>
      </c>
      <c r="H1339" s="115"/>
      <c r="I1339" s="115"/>
      <c r="L1339" s="169">
        <v>43984</v>
      </c>
      <c r="M1339" s="115">
        <v>95.47</v>
      </c>
      <c r="N1339" s="115">
        <v>96.3</v>
      </c>
      <c r="O1339" s="115">
        <v>93.74</v>
      </c>
      <c r="P1339" s="115">
        <v>95.32</v>
      </c>
      <c r="Q1339" s="115">
        <v>477.35</v>
      </c>
      <c r="R1339">
        <v>10911</v>
      </c>
    </row>
    <row r="1340" spans="1:18" x14ac:dyDescent="0.25">
      <c r="A1340" s="169">
        <v>43993</v>
      </c>
      <c r="B1340" s="115">
        <v>105.6</v>
      </c>
      <c r="C1340" s="115">
        <v>104.1</v>
      </c>
      <c r="D1340" s="115">
        <v>102.85</v>
      </c>
      <c r="E1340" s="115">
        <v>103.9</v>
      </c>
      <c r="F1340" s="115">
        <v>520.5</v>
      </c>
      <c r="G1340">
        <v>1218</v>
      </c>
      <c r="H1340" s="115"/>
      <c r="I1340" s="115"/>
      <c r="L1340" s="169">
        <v>43985</v>
      </c>
      <c r="M1340" s="115">
        <v>96.91</v>
      </c>
      <c r="N1340" s="115">
        <v>99.39</v>
      </c>
      <c r="O1340" s="115">
        <v>95.47</v>
      </c>
      <c r="P1340" s="115">
        <v>95.47</v>
      </c>
      <c r="Q1340" s="115">
        <v>484.55</v>
      </c>
      <c r="R1340">
        <v>29659</v>
      </c>
    </row>
    <row r="1341" spans="1:18" x14ac:dyDescent="0.25">
      <c r="A1341" s="169">
        <v>43994</v>
      </c>
      <c r="B1341" s="115">
        <v>98.98</v>
      </c>
      <c r="C1341" s="115">
        <v>97.99</v>
      </c>
      <c r="D1341" s="115">
        <v>93.4</v>
      </c>
      <c r="E1341" s="115">
        <v>96</v>
      </c>
      <c r="F1341" s="115">
        <v>489.95</v>
      </c>
      <c r="G1341">
        <v>5593</v>
      </c>
      <c r="H1341" s="115"/>
      <c r="I1341" s="115"/>
      <c r="L1341" s="169">
        <v>43986</v>
      </c>
      <c r="M1341" s="115">
        <v>100.86</v>
      </c>
      <c r="N1341" s="115">
        <v>103.48</v>
      </c>
      <c r="O1341" s="115">
        <v>99.05</v>
      </c>
      <c r="P1341" s="115">
        <v>99.05</v>
      </c>
      <c r="Q1341" s="115">
        <v>504.3</v>
      </c>
      <c r="R1341">
        <v>42767</v>
      </c>
    </row>
    <row r="1342" spans="1:18" x14ac:dyDescent="0.25">
      <c r="A1342" s="169">
        <v>43997</v>
      </c>
      <c r="B1342" s="115">
        <v>98.3</v>
      </c>
      <c r="C1342" s="115">
        <v>94.5</v>
      </c>
      <c r="D1342" s="115">
        <v>93.7</v>
      </c>
      <c r="E1342" s="115">
        <v>98.3</v>
      </c>
      <c r="F1342" s="115">
        <v>472.5</v>
      </c>
      <c r="G1342">
        <v>3221</v>
      </c>
      <c r="H1342" s="115"/>
      <c r="I1342" s="115"/>
      <c r="L1342" s="169">
        <v>43987</v>
      </c>
      <c r="M1342" s="115">
        <v>103.17</v>
      </c>
      <c r="N1342" s="115">
        <v>106.8</v>
      </c>
      <c r="O1342" s="115">
        <v>100.55</v>
      </c>
      <c r="P1342" s="115">
        <v>101.51</v>
      </c>
      <c r="Q1342" s="115">
        <v>515.85</v>
      </c>
      <c r="R1342">
        <v>49063</v>
      </c>
    </row>
    <row r="1343" spans="1:18" x14ac:dyDescent="0.25">
      <c r="A1343" s="169">
        <v>43998</v>
      </c>
      <c r="B1343" s="115">
        <v>96.08</v>
      </c>
      <c r="C1343" s="115">
        <v>93.36</v>
      </c>
      <c r="D1343" s="115">
        <v>90.6</v>
      </c>
      <c r="E1343" s="115">
        <v>95.01</v>
      </c>
      <c r="F1343" s="115">
        <v>466.8</v>
      </c>
      <c r="G1343">
        <v>3305</v>
      </c>
      <c r="H1343" s="115"/>
      <c r="I1343" s="115"/>
      <c r="L1343" s="169">
        <v>43990</v>
      </c>
      <c r="M1343" s="115">
        <v>102.7</v>
      </c>
      <c r="N1343" s="115">
        <v>107.6</v>
      </c>
      <c r="O1343" s="115">
        <v>101.64</v>
      </c>
      <c r="P1343" s="115">
        <v>105.78</v>
      </c>
      <c r="Q1343" s="115">
        <v>513.5</v>
      </c>
      <c r="R1343">
        <v>39930</v>
      </c>
    </row>
    <row r="1344" spans="1:18" x14ac:dyDescent="0.25">
      <c r="A1344" s="169">
        <v>43999</v>
      </c>
      <c r="B1344" s="115">
        <v>94.5</v>
      </c>
      <c r="C1344" s="115">
        <v>90.65</v>
      </c>
      <c r="D1344" s="115">
        <v>90.2</v>
      </c>
      <c r="E1344" s="115">
        <v>94.4</v>
      </c>
      <c r="F1344" s="115">
        <v>453.25</v>
      </c>
      <c r="G1344">
        <v>2150</v>
      </c>
      <c r="H1344" s="115"/>
      <c r="I1344" s="115"/>
      <c r="L1344" s="169">
        <v>43991</v>
      </c>
      <c r="M1344" s="115">
        <v>101.71</v>
      </c>
      <c r="N1344" s="115">
        <v>104.5</v>
      </c>
      <c r="O1344" s="115">
        <v>100.83</v>
      </c>
      <c r="P1344" s="115">
        <v>103.8</v>
      </c>
      <c r="Q1344" s="115">
        <v>508.55</v>
      </c>
      <c r="R1344">
        <v>21717</v>
      </c>
    </row>
    <row r="1345" spans="1:18" x14ac:dyDescent="0.25">
      <c r="A1345" s="169">
        <v>44000</v>
      </c>
      <c r="B1345" s="115">
        <v>93.19</v>
      </c>
      <c r="C1345" s="115">
        <v>91.67</v>
      </c>
      <c r="D1345" s="115">
        <v>90.92</v>
      </c>
      <c r="E1345" s="115">
        <v>90.92</v>
      </c>
      <c r="F1345" s="115">
        <v>458.35</v>
      </c>
      <c r="G1345">
        <v>1384</v>
      </c>
      <c r="H1345" s="115"/>
      <c r="I1345" s="115"/>
      <c r="L1345" s="169">
        <v>43992</v>
      </c>
      <c r="M1345" s="115">
        <v>103.09</v>
      </c>
      <c r="N1345" s="115">
        <v>103.97</v>
      </c>
      <c r="O1345" s="115">
        <v>101.01</v>
      </c>
      <c r="P1345" s="115">
        <v>102.11</v>
      </c>
      <c r="Q1345" s="115">
        <v>515.45000000000005</v>
      </c>
      <c r="R1345">
        <v>9274</v>
      </c>
    </row>
    <row r="1346" spans="1:18" x14ac:dyDescent="0.25">
      <c r="A1346" s="169">
        <v>44001</v>
      </c>
      <c r="B1346" s="115">
        <v>93.6</v>
      </c>
      <c r="C1346" s="115">
        <v>92.65</v>
      </c>
      <c r="D1346" s="115">
        <v>91.95</v>
      </c>
      <c r="E1346" s="115">
        <v>93.6</v>
      </c>
      <c r="F1346" s="115">
        <v>463.25</v>
      </c>
      <c r="G1346">
        <v>869</v>
      </c>
      <c r="H1346" s="115"/>
      <c r="I1346" s="115"/>
      <c r="L1346" s="169">
        <v>43993</v>
      </c>
      <c r="M1346" s="115">
        <v>103.71</v>
      </c>
      <c r="N1346" s="115">
        <v>105.59</v>
      </c>
      <c r="O1346" s="115">
        <v>102.35</v>
      </c>
      <c r="P1346" s="115">
        <v>103.57</v>
      </c>
      <c r="Q1346" s="115">
        <v>518.54999999999995</v>
      </c>
      <c r="R1346">
        <v>17277</v>
      </c>
    </row>
    <row r="1347" spans="1:18" x14ac:dyDescent="0.25">
      <c r="A1347" s="169">
        <v>44004</v>
      </c>
      <c r="B1347" s="115">
        <v>94.4</v>
      </c>
      <c r="C1347" s="115">
        <v>93.22</v>
      </c>
      <c r="D1347" s="115">
        <v>92.5</v>
      </c>
      <c r="E1347" s="115">
        <v>92.95</v>
      </c>
      <c r="F1347" s="115">
        <v>466.1</v>
      </c>
      <c r="G1347">
        <v>930</v>
      </c>
      <c r="H1347" s="115"/>
      <c r="I1347" s="115"/>
      <c r="L1347" s="169">
        <v>43994</v>
      </c>
      <c r="M1347" s="115">
        <v>98.1</v>
      </c>
      <c r="N1347" s="115">
        <v>99</v>
      </c>
      <c r="O1347" s="115">
        <v>93</v>
      </c>
      <c r="P1347" s="115">
        <v>95.04</v>
      </c>
      <c r="Q1347" s="115">
        <v>490.5</v>
      </c>
      <c r="R1347">
        <v>66815</v>
      </c>
    </row>
    <row r="1348" spans="1:18" x14ac:dyDescent="0.25">
      <c r="A1348" s="169">
        <v>44005</v>
      </c>
      <c r="B1348" s="115">
        <v>99</v>
      </c>
      <c r="C1348" s="115">
        <v>95.77</v>
      </c>
      <c r="D1348" s="115">
        <v>92.41</v>
      </c>
      <c r="E1348" s="115">
        <v>95.69</v>
      </c>
      <c r="F1348" s="115">
        <v>478.85</v>
      </c>
      <c r="G1348">
        <v>3384</v>
      </c>
      <c r="H1348" s="115"/>
      <c r="I1348" s="115"/>
      <c r="L1348" s="169">
        <v>43997</v>
      </c>
      <c r="M1348" s="115">
        <v>94.04</v>
      </c>
      <c r="N1348" s="115">
        <v>98.96</v>
      </c>
      <c r="O1348" s="115">
        <v>93.62</v>
      </c>
      <c r="P1348" s="115">
        <v>98</v>
      </c>
      <c r="Q1348" s="115">
        <v>470.2</v>
      </c>
      <c r="R1348">
        <v>48278</v>
      </c>
    </row>
    <row r="1349" spans="1:18" x14ac:dyDescent="0.25">
      <c r="A1349" s="169">
        <v>44006</v>
      </c>
      <c r="B1349" s="115">
        <v>99</v>
      </c>
      <c r="C1349" s="115">
        <v>96.94</v>
      </c>
      <c r="D1349" s="115">
        <v>95.44</v>
      </c>
      <c r="E1349" s="115">
        <v>96.11</v>
      </c>
      <c r="F1349" s="115">
        <v>484.7</v>
      </c>
      <c r="G1349">
        <v>8036</v>
      </c>
      <c r="H1349" s="115"/>
      <c r="I1349" s="115"/>
      <c r="L1349" s="169">
        <v>43998</v>
      </c>
      <c r="M1349" s="115">
        <v>93.49</v>
      </c>
      <c r="N1349" s="115">
        <v>95.98</v>
      </c>
      <c r="O1349" s="115">
        <v>92.2</v>
      </c>
      <c r="P1349" s="115">
        <v>95.56</v>
      </c>
      <c r="Q1349" s="115">
        <v>467.45</v>
      </c>
      <c r="R1349">
        <v>36222</v>
      </c>
    </row>
    <row r="1350" spans="1:18" x14ac:dyDescent="0.25">
      <c r="A1350" s="169">
        <v>44007</v>
      </c>
      <c r="B1350" s="115">
        <v>96.68</v>
      </c>
      <c r="C1350" s="115">
        <v>94.32</v>
      </c>
      <c r="D1350" s="115">
        <v>93.74</v>
      </c>
      <c r="E1350" s="115">
        <v>95.66</v>
      </c>
      <c r="F1350" s="115">
        <v>471.6</v>
      </c>
      <c r="G1350">
        <v>2876</v>
      </c>
      <c r="H1350" s="115"/>
      <c r="I1350" s="115"/>
      <c r="L1350" s="169">
        <v>43999</v>
      </c>
      <c r="M1350" s="115">
        <v>90.7</v>
      </c>
      <c r="N1350" s="115">
        <v>94.63</v>
      </c>
      <c r="O1350" s="115">
        <v>90.16</v>
      </c>
      <c r="P1350" s="115">
        <v>94.38</v>
      </c>
      <c r="Q1350" s="115">
        <v>453.5</v>
      </c>
      <c r="R1350">
        <v>42274</v>
      </c>
    </row>
    <row r="1351" spans="1:18" x14ac:dyDescent="0.25">
      <c r="A1351" s="169">
        <v>44008</v>
      </c>
      <c r="B1351" s="115">
        <v>95.8</v>
      </c>
      <c r="C1351" s="115">
        <v>95.48</v>
      </c>
      <c r="D1351" s="115">
        <v>94.11</v>
      </c>
      <c r="E1351" s="115">
        <v>95.4</v>
      </c>
      <c r="F1351" s="115">
        <v>477.4</v>
      </c>
      <c r="G1351">
        <v>1831</v>
      </c>
      <c r="H1351" s="115"/>
      <c r="I1351" s="115"/>
      <c r="L1351" s="169">
        <v>44000</v>
      </c>
      <c r="M1351" s="115">
        <v>92.02</v>
      </c>
      <c r="N1351" s="115">
        <v>93.48</v>
      </c>
      <c r="O1351" s="115">
        <v>90.03</v>
      </c>
      <c r="P1351" s="115">
        <v>91.8</v>
      </c>
      <c r="Q1351" s="115">
        <v>460.1</v>
      </c>
      <c r="R1351">
        <v>15906</v>
      </c>
    </row>
    <row r="1352" spans="1:18" x14ac:dyDescent="0.25">
      <c r="A1352" s="169">
        <v>44011</v>
      </c>
      <c r="B1352" s="115">
        <v>94.4</v>
      </c>
      <c r="C1352" s="115">
        <v>92.95</v>
      </c>
      <c r="D1352" s="115">
        <v>92.29</v>
      </c>
      <c r="E1352" s="115">
        <v>94.13</v>
      </c>
      <c r="F1352" s="115">
        <v>464.75</v>
      </c>
      <c r="G1352">
        <v>964</v>
      </c>
      <c r="H1352" s="115"/>
      <c r="I1352" s="115"/>
      <c r="L1352" s="169">
        <v>44001</v>
      </c>
      <c r="M1352" s="115">
        <v>92.71</v>
      </c>
      <c r="N1352" s="115">
        <v>93.86</v>
      </c>
      <c r="O1352" s="115">
        <v>92.05</v>
      </c>
      <c r="P1352" s="115">
        <v>93</v>
      </c>
      <c r="Q1352" s="115">
        <v>463.55</v>
      </c>
      <c r="R1352">
        <v>22484</v>
      </c>
    </row>
    <row r="1353" spans="1:18" x14ac:dyDescent="0.25">
      <c r="A1353" s="169">
        <v>44012</v>
      </c>
      <c r="B1353" s="115">
        <v>94</v>
      </c>
      <c r="C1353" s="115">
        <v>93.35</v>
      </c>
      <c r="D1353" s="115">
        <v>92.54</v>
      </c>
      <c r="E1353" s="115">
        <v>93.48</v>
      </c>
      <c r="F1353" s="115">
        <v>466.75</v>
      </c>
      <c r="G1353">
        <v>304</v>
      </c>
      <c r="H1353" s="115"/>
      <c r="I1353" s="115"/>
      <c r="L1353" s="169">
        <v>44004</v>
      </c>
      <c r="M1353" s="115">
        <v>93.13</v>
      </c>
      <c r="N1353" s="115">
        <v>94.4</v>
      </c>
      <c r="O1353" s="115">
        <v>92.1</v>
      </c>
      <c r="P1353" s="115">
        <v>93.6</v>
      </c>
      <c r="Q1353" s="115">
        <v>465.65</v>
      </c>
      <c r="R1353">
        <v>22937</v>
      </c>
    </row>
    <row r="1354" spans="1:18" x14ac:dyDescent="0.25">
      <c r="A1354" s="169">
        <v>44013</v>
      </c>
      <c r="B1354" s="115">
        <v>93.69</v>
      </c>
      <c r="C1354" s="115">
        <v>93.25</v>
      </c>
      <c r="D1354" s="115">
        <v>92</v>
      </c>
      <c r="E1354" s="115">
        <v>93.2</v>
      </c>
      <c r="F1354" s="115">
        <v>466.25</v>
      </c>
      <c r="G1354">
        <v>713</v>
      </c>
      <c r="H1354" s="115"/>
      <c r="I1354" s="115"/>
      <c r="L1354" s="169">
        <v>44005</v>
      </c>
      <c r="M1354" s="115">
        <v>95.48</v>
      </c>
      <c r="N1354" s="115">
        <v>99.2</v>
      </c>
      <c r="O1354" s="115">
        <v>93.02</v>
      </c>
      <c r="P1354" s="115">
        <v>94.2</v>
      </c>
      <c r="Q1354" s="115">
        <v>477.4</v>
      </c>
      <c r="R1354">
        <v>45002</v>
      </c>
    </row>
    <row r="1355" spans="1:18" x14ac:dyDescent="0.25">
      <c r="A1355" s="169">
        <v>44014</v>
      </c>
      <c r="B1355" s="115">
        <v>95.07</v>
      </c>
      <c r="C1355" s="115">
        <v>94.25</v>
      </c>
      <c r="D1355" s="115">
        <v>93.3</v>
      </c>
      <c r="E1355" s="115">
        <v>93.36</v>
      </c>
      <c r="F1355" s="115">
        <v>471.25</v>
      </c>
      <c r="G1355">
        <v>2659</v>
      </c>
      <c r="H1355" s="115"/>
      <c r="I1355" s="115"/>
      <c r="L1355" s="169">
        <v>44006</v>
      </c>
      <c r="M1355" s="115">
        <v>97.01</v>
      </c>
      <c r="N1355" s="115">
        <v>99</v>
      </c>
      <c r="O1355" s="115">
        <v>95.65</v>
      </c>
      <c r="P1355" s="115">
        <v>95.75</v>
      </c>
      <c r="Q1355" s="115">
        <v>485.05</v>
      </c>
      <c r="R1355">
        <v>44577</v>
      </c>
    </row>
    <row r="1356" spans="1:18" x14ac:dyDescent="0.25">
      <c r="A1356" s="169">
        <v>44015</v>
      </c>
      <c r="B1356" s="115">
        <v>95.44</v>
      </c>
      <c r="C1356" s="115">
        <v>94.1</v>
      </c>
      <c r="D1356" s="115">
        <v>93.8</v>
      </c>
      <c r="E1356" s="115">
        <v>93.91</v>
      </c>
      <c r="F1356" s="115">
        <v>470.5</v>
      </c>
      <c r="G1356">
        <v>1970</v>
      </c>
      <c r="H1356" s="115"/>
      <c r="I1356" s="115"/>
      <c r="L1356" s="169">
        <v>44007</v>
      </c>
      <c r="M1356" s="115">
        <v>94.21</v>
      </c>
      <c r="N1356" s="115">
        <v>96.59</v>
      </c>
      <c r="O1356" s="115">
        <v>93.6</v>
      </c>
      <c r="P1356" s="115">
        <v>96.4</v>
      </c>
      <c r="Q1356" s="115">
        <v>471.05</v>
      </c>
      <c r="R1356">
        <v>21205</v>
      </c>
    </row>
    <row r="1357" spans="1:18" x14ac:dyDescent="0.25">
      <c r="A1357" s="169">
        <v>44018</v>
      </c>
      <c r="B1357" s="115">
        <v>100.47</v>
      </c>
      <c r="C1357" s="115">
        <v>98.17</v>
      </c>
      <c r="D1357" s="115">
        <v>95</v>
      </c>
      <c r="E1357" s="115">
        <v>96</v>
      </c>
      <c r="F1357" s="115">
        <v>490.85</v>
      </c>
      <c r="G1357">
        <v>1567</v>
      </c>
      <c r="H1357" s="115"/>
      <c r="I1357" s="115"/>
      <c r="L1357" s="169">
        <v>44008</v>
      </c>
      <c r="M1357" s="115">
        <v>95.45</v>
      </c>
      <c r="N1357" s="115">
        <v>96</v>
      </c>
      <c r="O1357" s="115">
        <v>94.01</v>
      </c>
      <c r="P1357" s="115">
        <v>96</v>
      </c>
      <c r="Q1357" s="115">
        <v>477.25</v>
      </c>
      <c r="R1357">
        <v>11563</v>
      </c>
    </row>
    <row r="1358" spans="1:18" x14ac:dyDescent="0.25">
      <c r="A1358" s="169">
        <v>44019</v>
      </c>
      <c r="B1358" s="115">
        <v>101.8</v>
      </c>
      <c r="C1358" s="115">
        <v>101.27</v>
      </c>
      <c r="D1358" s="115">
        <v>97.9</v>
      </c>
      <c r="E1358" s="115">
        <v>99</v>
      </c>
      <c r="F1358" s="115">
        <v>506.35</v>
      </c>
      <c r="G1358">
        <v>2662</v>
      </c>
      <c r="H1358" s="115"/>
      <c r="I1358" s="115"/>
      <c r="L1358" s="169">
        <v>44011</v>
      </c>
      <c r="M1358" s="115">
        <v>93.16</v>
      </c>
      <c r="N1358" s="115">
        <v>95.39</v>
      </c>
      <c r="O1358" s="115">
        <v>92</v>
      </c>
      <c r="P1358" s="115">
        <v>94.4</v>
      </c>
      <c r="Q1358" s="115">
        <v>465.8</v>
      </c>
      <c r="R1358">
        <v>13338</v>
      </c>
    </row>
    <row r="1359" spans="1:18" x14ac:dyDescent="0.25">
      <c r="A1359" s="169">
        <v>44020</v>
      </c>
      <c r="B1359" s="115">
        <v>106.84</v>
      </c>
      <c r="C1359" s="115">
        <v>103.04</v>
      </c>
      <c r="D1359" s="115">
        <v>100.1</v>
      </c>
      <c r="E1359" s="115">
        <v>102</v>
      </c>
      <c r="F1359" s="115">
        <v>515.20000000000005</v>
      </c>
      <c r="G1359">
        <v>7564</v>
      </c>
      <c r="H1359" s="115"/>
      <c r="I1359" s="115"/>
      <c r="L1359" s="169">
        <v>44012</v>
      </c>
      <c r="M1359" s="115">
        <v>93.43</v>
      </c>
      <c r="N1359" s="115">
        <v>93.98</v>
      </c>
      <c r="O1359" s="115">
        <v>92.34</v>
      </c>
      <c r="P1359" s="115">
        <v>92.35</v>
      </c>
      <c r="Q1359" s="115">
        <v>467.15</v>
      </c>
      <c r="R1359">
        <v>8157</v>
      </c>
    </row>
    <row r="1360" spans="1:18" x14ac:dyDescent="0.25">
      <c r="A1360" s="169">
        <v>44021</v>
      </c>
      <c r="B1360" s="115">
        <v>106</v>
      </c>
      <c r="C1360" s="115">
        <v>105.25</v>
      </c>
      <c r="D1360" s="115">
        <v>100.3</v>
      </c>
      <c r="E1360" s="115">
        <v>105.29</v>
      </c>
      <c r="F1360" s="115">
        <v>526.25</v>
      </c>
      <c r="G1360">
        <v>3891</v>
      </c>
      <c r="H1360" s="115"/>
      <c r="I1360" s="115"/>
      <c r="L1360" s="169">
        <v>44013</v>
      </c>
      <c r="M1360" s="115">
        <v>93.19</v>
      </c>
      <c r="N1360" s="115">
        <v>94</v>
      </c>
      <c r="O1360" s="115">
        <v>92.76</v>
      </c>
      <c r="P1360" s="115">
        <v>94</v>
      </c>
      <c r="Q1360" s="115">
        <v>465.95</v>
      </c>
      <c r="R1360">
        <v>9106</v>
      </c>
    </row>
    <row r="1361" spans="1:18" x14ac:dyDescent="0.25">
      <c r="A1361" s="169">
        <v>44022</v>
      </c>
      <c r="B1361" s="115">
        <v>108.05</v>
      </c>
      <c r="C1361" s="115">
        <v>104.23</v>
      </c>
      <c r="D1361" s="115">
        <v>103.4</v>
      </c>
      <c r="E1361" s="115">
        <v>107</v>
      </c>
      <c r="F1361" s="115">
        <v>521.15</v>
      </c>
      <c r="G1361">
        <v>1573</v>
      </c>
      <c r="H1361" s="115"/>
      <c r="I1361" s="115"/>
      <c r="L1361" s="169">
        <v>44014</v>
      </c>
      <c r="M1361" s="115">
        <v>93.93</v>
      </c>
      <c r="N1361" s="115">
        <v>95.03</v>
      </c>
      <c r="O1361" s="115">
        <v>92.9</v>
      </c>
      <c r="P1361" s="115">
        <v>92.9</v>
      </c>
      <c r="Q1361" s="115">
        <v>469.65</v>
      </c>
      <c r="R1361">
        <v>12415</v>
      </c>
    </row>
    <row r="1362" spans="1:18" x14ac:dyDescent="0.25">
      <c r="A1362" s="169">
        <v>44025</v>
      </c>
      <c r="B1362" s="115">
        <v>115.08</v>
      </c>
      <c r="C1362" s="115">
        <v>111.17</v>
      </c>
      <c r="D1362" s="115">
        <v>109.4</v>
      </c>
      <c r="E1362" s="115">
        <v>110.69</v>
      </c>
      <c r="F1362" s="115">
        <v>555.85</v>
      </c>
      <c r="G1362">
        <v>18783</v>
      </c>
      <c r="H1362" s="115"/>
      <c r="I1362" s="115"/>
      <c r="L1362" s="169">
        <v>44015</v>
      </c>
      <c r="M1362" s="115">
        <v>94.12</v>
      </c>
      <c r="N1362" s="115">
        <v>96</v>
      </c>
      <c r="O1362" s="115">
        <v>93.85</v>
      </c>
      <c r="P1362" s="115">
        <v>94.03</v>
      </c>
      <c r="Q1362" s="115">
        <v>470.6</v>
      </c>
      <c r="R1362">
        <v>11854</v>
      </c>
    </row>
    <row r="1363" spans="1:18" x14ac:dyDescent="0.25">
      <c r="A1363" s="169">
        <v>44026</v>
      </c>
      <c r="B1363" s="115">
        <v>114.4</v>
      </c>
      <c r="C1363" s="115">
        <v>109.76</v>
      </c>
      <c r="D1363" s="115">
        <v>109.08</v>
      </c>
      <c r="E1363" s="115">
        <v>114.4</v>
      </c>
      <c r="F1363" s="115">
        <v>548.79999999999995</v>
      </c>
      <c r="G1363">
        <v>4911</v>
      </c>
      <c r="H1363" s="115"/>
      <c r="I1363" s="115"/>
      <c r="L1363" s="169">
        <v>44018</v>
      </c>
      <c r="M1363" s="115">
        <v>98.4</v>
      </c>
      <c r="N1363" s="115">
        <v>100.56</v>
      </c>
      <c r="O1363" s="115">
        <v>94.45</v>
      </c>
      <c r="P1363" s="115">
        <v>95</v>
      </c>
      <c r="Q1363" s="115">
        <v>492</v>
      </c>
      <c r="R1363">
        <v>45598</v>
      </c>
    </row>
    <row r="1364" spans="1:18" x14ac:dyDescent="0.25">
      <c r="A1364" s="169">
        <v>44027</v>
      </c>
      <c r="B1364" s="115">
        <v>110.4</v>
      </c>
      <c r="C1364" s="115">
        <v>107.15</v>
      </c>
      <c r="D1364" s="115">
        <v>106.91</v>
      </c>
      <c r="E1364" s="115">
        <v>110.1</v>
      </c>
      <c r="F1364" s="115">
        <v>535.75</v>
      </c>
      <c r="G1364">
        <v>4020</v>
      </c>
      <c r="H1364" s="115"/>
      <c r="I1364" s="115"/>
      <c r="L1364" s="169">
        <v>44019</v>
      </c>
      <c r="M1364" s="115">
        <v>101.35</v>
      </c>
      <c r="N1364" s="115">
        <v>101.8</v>
      </c>
      <c r="O1364" s="115">
        <v>98</v>
      </c>
      <c r="P1364" s="115">
        <v>98.99</v>
      </c>
      <c r="Q1364" s="115">
        <v>506.75</v>
      </c>
      <c r="R1364">
        <v>41357</v>
      </c>
    </row>
    <row r="1365" spans="1:18" x14ac:dyDescent="0.25">
      <c r="A1365" s="169">
        <v>44028</v>
      </c>
      <c r="B1365" s="115">
        <v>107.3</v>
      </c>
      <c r="C1365" s="115">
        <v>103.85</v>
      </c>
      <c r="D1365" s="115">
        <v>103.3</v>
      </c>
      <c r="E1365" s="115">
        <v>107.3</v>
      </c>
      <c r="F1365" s="115">
        <v>519.25</v>
      </c>
      <c r="G1365">
        <v>1614</v>
      </c>
      <c r="H1365" s="115"/>
      <c r="I1365" s="115"/>
      <c r="L1365" s="169">
        <v>44020</v>
      </c>
      <c r="M1365" s="115">
        <v>103.03</v>
      </c>
      <c r="N1365" s="115">
        <v>114.52</v>
      </c>
      <c r="O1365" s="115">
        <v>99.89</v>
      </c>
      <c r="P1365" s="115">
        <v>102.57</v>
      </c>
      <c r="Q1365" s="115">
        <v>515.15</v>
      </c>
      <c r="R1365">
        <v>150053</v>
      </c>
    </row>
    <row r="1366" spans="1:18" x14ac:dyDescent="0.25">
      <c r="A1366" s="169">
        <v>44029</v>
      </c>
      <c r="B1366" s="115">
        <v>105.82</v>
      </c>
      <c r="C1366" s="115">
        <v>105.41</v>
      </c>
      <c r="D1366" s="115">
        <v>104.6</v>
      </c>
      <c r="E1366" s="115">
        <v>104.9</v>
      </c>
      <c r="F1366" s="115">
        <v>527.04999999999995</v>
      </c>
      <c r="G1366">
        <v>1045</v>
      </c>
      <c r="H1366" s="115"/>
      <c r="I1366" s="115"/>
      <c r="L1366" s="169">
        <v>44021</v>
      </c>
      <c r="M1366" s="115">
        <v>105.35</v>
      </c>
      <c r="N1366" s="115">
        <v>106.2</v>
      </c>
      <c r="O1366" s="115">
        <v>100.11</v>
      </c>
      <c r="P1366" s="115">
        <v>104</v>
      </c>
      <c r="Q1366" s="115">
        <v>526.75</v>
      </c>
      <c r="R1366">
        <v>41866</v>
      </c>
    </row>
    <row r="1367" spans="1:18" x14ac:dyDescent="0.25">
      <c r="A1367" s="169">
        <v>44032</v>
      </c>
      <c r="B1367" s="115">
        <v>107.5</v>
      </c>
      <c r="C1367" s="115">
        <v>105.67</v>
      </c>
      <c r="D1367" s="115">
        <v>104.46</v>
      </c>
      <c r="E1367" s="115">
        <v>107.5</v>
      </c>
      <c r="F1367" s="115">
        <v>528.35</v>
      </c>
      <c r="G1367">
        <v>2457</v>
      </c>
      <c r="H1367" s="115"/>
      <c r="I1367" s="115"/>
      <c r="L1367" s="169">
        <v>44022</v>
      </c>
      <c r="M1367" s="115">
        <v>104.31</v>
      </c>
      <c r="N1367" s="115">
        <v>108.4</v>
      </c>
      <c r="O1367" s="115">
        <v>103.2</v>
      </c>
      <c r="P1367" s="115">
        <v>103.4</v>
      </c>
      <c r="Q1367" s="115">
        <v>521.54999999999995</v>
      </c>
      <c r="R1367">
        <v>48135</v>
      </c>
    </row>
    <row r="1368" spans="1:18" x14ac:dyDescent="0.25">
      <c r="A1368" s="169">
        <v>44033</v>
      </c>
      <c r="B1368" s="115">
        <v>108.2</v>
      </c>
      <c r="C1368" s="115">
        <v>106.42</v>
      </c>
      <c r="D1368" s="115">
        <v>105.38</v>
      </c>
      <c r="E1368" s="115">
        <v>105.52</v>
      </c>
      <c r="F1368" s="115">
        <v>532.1</v>
      </c>
      <c r="G1368">
        <v>1749</v>
      </c>
      <c r="H1368" s="115"/>
      <c r="I1368" s="115"/>
      <c r="L1368" s="169">
        <v>44025</v>
      </c>
      <c r="M1368" s="115">
        <v>111.26</v>
      </c>
      <c r="N1368" s="115">
        <v>118.1</v>
      </c>
      <c r="O1368" s="115">
        <v>104.31</v>
      </c>
      <c r="P1368" s="115">
        <v>104.31</v>
      </c>
      <c r="Q1368" s="115">
        <v>556.29999999999995</v>
      </c>
      <c r="R1368">
        <v>532345</v>
      </c>
    </row>
    <row r="1369" spans="1:18" x14ac:dyDescent="0.25">
      <c r="A1369" s="169">
        <v>44034</v>
      </c>
      <c r="B1369" s="115">
        <v>105.82</v>
      </c>
      <c r="C1369" s="115">
        <v>105.41</v>
      </c>
      <c r="D1369" s="115">
        <v>104</v>
      </c>
      <c r="E1369" s="115">
        <v>105.2</v>
      </c>
      <c r="F1369" s="115">
        <v>527.04999999999995</v>
      </c>
      <c r="G1369">
        <v>1539</v>
      </c>
      <c r="H1369" s="115"/>
      <c r="I1369" s="115"/>
      <c r="L1369" s="169">
        <v>44026</v>
      </c>
      <c r="M1369" s="115">
        <v>109.73</v>
      </c>
      <c r="N1369" s="115">
        <v>111.9</v>
      </c>
      <c r="O1369" s="115">
        <v>109.04</v>
      </c>
      <c r="P1369" s="115">
        <v>111.9</v>
      </c>
      <c r="Q1369" s="115">
        <v>548.65</v>
      </c>
      <c r="R1369">
        <v>40355</v>
      </c>
    </row>
    <row r="1370" spans="1:18" x14ac:dyDescent="0.25">
      <c r="A1370" s="169">
        <v>44035</v>
      </c>
      <c r="B1370" s="115">
        <v>106.5</v>
      </c>
      <c r="C1370" s="115">
        <v>104.78</v>
      </c>
      <c r="D1370" s="115">
        <v>104</v>
      </c>
      <c r="E1370" s="115">
        <v>106.5</v>
      </c>
      <c r="F1370" s="115">
        <v>523.9</v>
      </c>
      <c r="G1370">
        <v>2412</v>
      </c>
      <c r="H1370" s="115"/>
      <c r="I1370" s="115"/>
      <c r="L1370" s="169">
        <v>44027</v>
      </c>
      <c r="M1370" s="115">
        <v>107.36</v>
      </c>
      <c r="N1370" s="115">
        <v>110.99</v>
      </c>
      <c r="O1370" s="115">
        <v>107</v>
      </c>
      <c r="P1370" s="115">
        <v>109.8</v>
      </c>
      <c r="Q1370" s="115">
        <v>536.79999999999995</v>
      </c>
      <c r="R1370">
        <v>23827</v>
      </c>
    </row>
    <row r="1371" spans="1:18" x14ac:dyDescent="0.25">
      <c r="A1371" s="169">
        <v>44036</v>
      </c>
      <c r="B1371" s="115">
        <v>105.42</v>
      </c>
      <c r="C1371" s="115">
        <v>103.9</v>
      </c>
      <c r="D1371" s="115">
        <v>103.2</v>
      </c>
      <c r="E1371" s="115">
        <v>104</v>
      </c>
      <c r="F1371" s="115">
        <v>519.5</v>
      </c>
      <c r="G1371">
        <v>1677</v>
      </c>
      <c r="H1371" s="115"/>
      <c r="I1371" s="115"/>
      <c r="L1371" s="169">
        <v>44028</v>
      </c>
      <c r="M1371" s="115">
        <v>103.95</v>
      </c>
      <c r="N1371" s="115">
        <v>107.87</v>
      </c>
      <c r="O1371" s="115">
        <v>103.09</v>
      </c>
      <c r="P1371" s="115">
        <v>107.41</v>
      </c>
      <c r="Q1371" s="115">
        <v>519.75</v>
      </c>
      <c r="R1371">
        <v>17079</v>
      </c>
    </row>
    <row r="1372" spans="1:18" x14ac:dyDescent="0.25">
      <c r="A1372" s="169">
        <v>44039</v>
      </c>
      <c r="B1372" s="115">
        <v>103.95</v>
      </c>
      <c r="C1372" s="115">
        <v>101.17</v>
      </c>
      <c r="D1372" s="115">
        <v>100.6</v>
      </c>
      <c r="E1372" s="115">
        <v>103.95</v>
      </c>
      <c r="F1372" s="115">
        <v>505.85</v>
      </c>
      <c r="G1372">
        <v>1343</v>
      </c>
      <c r="H1372" s="115"/>
      <c r="I1372" s="115"/>
      <c r="L1372" s="169">
        <v>44029</v>
      </c>
      <c r="M1372" s="115">
        <v>105.32</v>
      </c>
      <c r="N1372" s="115">
        <v>105.97</v>
      </c>
      <c r="O1372" s="115">
        <v>104.4</v>
      </c>
      <c r="P1372" s="115">
        <v>104.6</v>
      </c>
      <c r="Q1372" s="115">
        <v>526.6</v>
      </c>
      <c r="R1372">
        <v>10517</v>
      </c>
    </row>
    <row r="1373" spans="1:18" x14ac:dyDescent="0.25">
      <c r="A1373" s="169">
        <v>44040</v>
      </c>
      <c r="B1373" s="115">
        <v>102.46</v>
      </c>
      <c r="C1373" s="115">
        <v>99.85</v>
      </c>
      <c r="D1373" s="115">
        <v>96.6</v>
      </c>
      <c r="E1373" s="115">
        <v>101.17</v>
      </c>
      <c r="F1373" s="115">
        <v>499.25</v>
      </c>
      <c r="G1373">
        <v>3271</v>
      </c>
      <c r="H1373" s="115"/>
      <c r="I1373" s="115"/>
      <c r="L1373" s="169">
        <v>44032</v>
      </c>
      <c r="M1373" s="115">
        <v>105.57</v>
      </c>
      <c r="N1373" s="115">
        <v>107.79</v>
      </c>
      <c r="O1373" s="115">
        <v>104.6</v>
      </c>
      <c r="P1373" s="115">
        <v>106</v>
      </c>
      <c r="Q1373" s="115">
        <v>527.85</v>
      </c>
      <c r="R1373">
        <v>12628</v>
      </c>
    </row>
    <row r="1374" spans="1:18" x14ac:dyDescent="0.25">
      <c r="A1374" s="169">
        <v>44041</v>
      </c>
      <c r="B1374" s="115">
        <v>103.99</v>
      </c>
      <c r="C1374" s="115">
        <v>99.57</v>
      </c>
      <c r="D1374" s="115">
        <v>99.4</v>
      </c>
      <c r="E1374" s="115">
        <v>103.99</v>
      </c>
      <c r="F1374" s="115">
        <v>497.85</v>
      </c>
      <c r="G1374">
        <v>537</v>
      </c>
      <c r="H1374" s="115"/>
      <c r="I1374" s="115"/>
      <c r="L1374" s="169">
        <v>44033</v>
      </c>
      <c r="M1374" s="115">
        <v>106.32</v>
      </c>
      <c r="N1374" s="115">
        <v>108.4</v>
      </c>
      <c r="O1374" s="115">
        <v>105.12</v>
      </c>
      <c r="P1374" s="115">
        <v>107</v>
      </c>
      <c r="Q1374" s="115">
        <v>531.6</v>
      </c>
      <c r="R1374">
        <v>11058</v>
      </c>
    </row>
    <row r="1375" spans="1:18" x14ac:dyDescent="0.25">
      <c r="A1375" s="169">
        <v>44042</v>
      </c>
      <c r="B1375" s="115">
        <v>103.25</v>
      </c>
      <c r="C1375" s="115">
        <v>101.73</v>
      </c>
      <c r="D1375" s="115">
        <v>100.89</v>
      </c>
      <c r="E1375" s="115">
        <v>101.06</v>
      </c>
      <c r="F1375" s="115">
        <v>508.65</v>
      </c>
      <c r="G1375">
        <v>808</v>
      </c>
      <c r="H1375" s="115"/>
      <c r="I1375" s="115"/>
      <c r="L1375" s="169">
        <v>44034</v>
      </c>
      <c r="M1375" s="115">
        <v>105.24</v>
      </c>
      <c r="N1375" s="115">
        <v>105.86</v>
      </c>
      <c r="O1375" s="115">
        <v>104.1</v>
      </c>
      <c r="P1375" s="115">
        <v>105.8</v>
      </c>
      <c r="Q1375" s="115">
        <v>526.20000000000005</v>
      </c>
      <c r="R1375">
        <v>7264</v>
      </c>
    </row>
    <row r="1376" spans="1:18" x14ac:dyDescent="0.25">
      <c r="A1376" s="169">
        <v>44043</v>
      </c>
      <c r="B1376" s="115">
        <v>103.63</v>
      </c>
      <c r="C1376" s="115">
        <v>101.68</v>
      </c>
      <c r="D1376" s="115">
        <v>100.24</v>
      </c>
      <c r="E1376" s="115">
        <v>102.7</v>
      </c>
      <c r="F1376" s="115">
        <v>508.4</v>
      </c>
      <c r="G1376">
        <v>1904</v>
      </c>
      <c r="H1376" s="115"/>
      <c r="I1376" s="115"/>
      <c r="L1376" s="169">
        <v>44035</v>
      </c>
      <c r="M1376" s="115">
        <v>104.74</v>
      </c>
      <c r="N1376" s="115">
        <v>106.46</v>
      </c>
      <c r="O1376" s="115">
        <v>103.81</v>
      </c>
      <c r="P1376" s="115">
        <v>105.58</v>
      </c>
      <c r="Q1376" s="115">
        <v>523.70000000000005</v>
      </c>
      <c r="R1376">
        <v>11541</v>
      </c>
    </row>
    <row r="1377" spans="1:18" x14ac:dyDescent="0.25">
      <c r="A1377" s="169">
        <v>44046</v>
      </c>
      <c r="B1377" s="115">
        <v>103.4</v>
      </c>
      <c r="C1377" s="115">
        <v>102</v>
      </c>
      <c r="D1377" s="115">
        <v>98.66</v>
      </c>
      <c r="E1377" s="115">
        <v>99.3</v>
      </c>
      <c r="F1377" s="115">
        <v>510</v>
      </c>
      <c r="G1377">
        <v>1621</v>
      </c>
      <c r="H1377" s="115"/>
      <c r="I1377" s="115"/>
      <c r="L1377" s="169">
        <v>44036</v>
      </c>
      <c r="M1377" s="115">
        <v>103.9</v>
      </c>
      <c r="N1377" s="115">
        <v>105.2</v>
      </c>
      <c r="O1377" s="115">
        <v>103.1</v>
      </c>
      <c r="P1377" s="115">
        <v>104.2</v>
      </c>
      <c r="Q1377" s="115">
        <v>519.5</v>
      </c>
      <c r="R1377">
        <v>7772</v>
      </c>
    </row>
    <row r="1378" spans="1:18" x14ac:dyDescent="0.25">
      <c r="A1378" s="169">
        <v>44047</v>
      </c>
      <c r="B1378" s="115">
        <v>103.2</v>
      </c>
      <c r="C1378" s="115">
        <v>101.59</v>
      </c>
      <c r="D1378" s="115">
        <v>99.8</v>
      </c>
      <c r="E1378" s="115">
        <v>99.8</v>
      </c>
      <c r="F1378" s="115">
        <v>507.95</v>
      </c>
      <c r="G1378">
        <v>778</v>
      </c>
      <c r="H1378" s="115"/>
      <c r="I1378" s="115"/>
      <c r="L1378" s="169">
        <v>44039</v>
      </c>
      <c r="M1378" s="115">
        <v>101.04</v>
      </c>
      <c r="N1378" s="115">
        <v>105</v>
      </c>
      <c r="O1378" s="115">
        <v>100.5</v>
      </c>
      <c r="P1378" s="115">
        <v>103.9</v>
      </c>
      <c r="Q1378" s="115">
        <v>505.2</v>
      </c>
      <c r="R1378">
        <v>10435</v>
      </c>
    </row>
    <row r="1379" spans="1:18" x14ac:dyDescent="0.25">
      <c r="A1379" s="169">
        <v>44048</v>
      </c>
      <c r="B1379" s="115">
        <v>105.5</v>
      </c>
      <c r="C1379" s="115">
        <v>102.16</v>
      </c>
      <c r="D1379" s="115">
        <v>101.63</v>
      </c>
      <c r="E1379" s="115">
        <v>103.98</v>
      </c>
      <c r="F1379" s="115">
        <v>510.8</v>
      </c>
      <c r="G1379">
        <v>1747</v>
      </c>
      <c r="H1379" s="115"/>
      <c r="I1379" s="115"/>
      <c r="L1379" s="169">
        <v>44040</v>
      </c>
      <c r="M1379" s="115">
        <v>100.03</v>
      </c>
      <c r="N1379" s="115">
        <v>102.2</v>
      </c>
      <c r="O1379" s="115">
        <v>98.42</v>
      </c>
      <c r="P1379" s="115">
        <v>101</v>
      </c>
      <c r="Q1379" s="115">
        <v>500.15</v>
      </c>
      <c r="R1379">
        <v>32253</v>
      </c>
    </row>
    <row r="1380" spans="1:18" x14ac:dyDescent="0.25">
      <c r="A1380" s="169">
        <v>44049</v>
      </c>
      <c r="B1380" s="115">
        <v>103.27</v>
      </c>
      <c r="C1380" s="115">
        <v>101.8</v>
      </c>
      <c r="D1380" s="115">
        <v>101.71</v>
      </c>
      <c r="E1380" s="115">
        <v>103.27</v>
      </c>
      <c r="F1380" s="115">
        <v>509</v>
      </c>
      <c r="G1380">
        <v>1209</v>
      </c>
      <c r="H1380" s="115"/>
      <c r="I1380" s="115"/>
      <c r="L1380" s="169">
        <v>44041</v>
      </c>
      <c r="M1380" s="115">
        <v>99.88</v>
      </c>
      <c r="N1380" s="115">
        <v>103.2</v>
      </c>
      <c r="O1380" s="115">
        <v>99.1</v>
      </c>
      <c r="P1380" s="115">
        <v>100.39</v>
      </c>
      <c r="Q1380" s="115">
        <v>499.4</v>
      </c>
      <c r="R1380">
        <v>32895</v>
      </c>
    </row>
    <row r="1381" spans="1:18" x14ac:dyDescent="0.25">
      <c r="A1381" s="169">
        <v>44050</v>
      </c>
      <c r="B1381" s="115">
        <v>105.51</v>
      </c>
      <c r="C1381" s="115">
        <v>103.15</v>
      </c>
      <c r="D1381" s="115">
        <v>102.01</v>
      </c>
      <c r="E1381" s="115">
        <v>102.81</v>
      </c>
      <c r="F1381" s="115">
        <v>515.75</v>
      </c>
      <c r="G1381">
        <v>3981</v>
      </c>
      <c r="H1381" s="115"/>
      <c r="I1381" s="115"/>
      <c r="L1381" s="169">
        <v>44042</v>
      </c>
      <c r="M1381" s="115">
        <v>101.64</v>
      </c>
      <c r="N1381" s="115">
        <v>103.61</v>
      </c>
      <c r="O1381" s="115">
        <v>100.27</v>
      </c>
      <c r="P1381" s="115">
        <v>101</v>
      </c>
      <c r="Q1381" s="115">
        <v>508.2</v>
      </c>
      <c r="R1381">
        <v>20027</v>
      </c>
    </row>
    <row r="1382" spans="1:18" x14ac:dyDescent="0.25">
      <c r="A1382" s="169">
        <v>44053</v>
      </c>
      <c r="B1382" s="115">
        <v>105.3</v>
      </c>
      <c r="C1382" s="115">
        <v>104.55</v>
      </c>
      <c r="D1382" s="115">
        <v>101.6</v>
      </c>
      <c r="E1382" s="115">
        <v>102.33</v>
      </c>
      <c r="F1382" s="115">
        <v>522.75</v>
      </c>
      <c r="G1382">
        <v>2198</v>
      </c>
      <c r="H1382" s="115"/>
      <c r="I1382" s="115"/>
      <c r="L1382" s="169">
        <v>44043</v>
      </c>
      <c r="M1382" s="115">
        <v>101.41</v>
      </c>
      <c r="N1382" s="115">
        <v>103.62</v>
      </c>
      <c r="O1382" s="115">
        <v>100.95</v>
      </c>
      <c r="P1382" s="115">
        <v>101.81</v>
      </c>
      <c r="Q1382" s="115">
        <v>507.05</v>
      </c>
      <c r="R1382">
        <v>12781</v>
      </c>
    </row>
    <row r="1383" spans="1:18" x14ac:dyDescent="0.25">
      <c r="A1383" s="169">
        <v>44054</v>
      </c>
      <c r="B1383" s="115">
        <v>107</v>
      </c>
      <c r="C1383" s="115">
        <v>105.78</v>
      </c>
      <c r="D1383" s="115">
        <v>104.75</v>
      </c>
      <c r="E1383" s="115">
        <v>106.91</v>
      </c>
      <c r="F1383" s="115">
        <v>528.9</v>
      </c>
      <c r="G1383">
        <v>2369</v>
      </c>
      <c r="H1383" s="115"/>
      <c r="I1383" s="115"/>
      <c r="L1383" s="169">
        <v>44046</v>
      </c>
      <c r="M1383" s="115">
        <v>101.95</v>
      </c>
      <c r="N1383" s="115">
        <v>103</v>
      </c>
      <c r="O1383" s="115">
        <v>100.4</v>
      </c>
      <c r="P1383" s="115">
        <v>103</v>
      </c>
      <c r="Q1383" s="115">
        <v>509.75</v>
      </c>
      <c r="R1383">
        <v>8007</v>
      </c>
    </row>
    <row r="1384" spans="1:18" x14ac:dyDescent="0.25">
      <c r="A1384" s="169">
        <v>44055</v>
      </c>
      <c r="B1384" s="115">
        <v>105.87</v>
      </c>
      <c r="C1384" s="115">
        <v>104.92</v>
      </c>
      <c r="D1384" s="115">
        <v>104.41</v>
      </c>
      <c r="E1384" s="115">
        <v>104.94</v>
      </c>
      <c r="F1384" s="115">
        <v>524.6</v>
      </c>
      <c r="G1384">
        <v>1045</v>
      </c>
      <c r="H1384" s="115"/>
      <c r="I1384" s="115"/>
      <c r="L1384" s="169">
        <v>44047</v>
      </c>
      <c r="M1384" s="115">
        <v>101.28</v>
      </c>
      <c r="N1384" s="115">
        <v>103.3</v>
      </c>
      <c r="O1384" s="115">
        <v>100.21</v>
      </c>
      <c r="P1384" s="115">
        <v>102.8</v>
      </c>
      <c r="Q1384" s="115">
        <v>506.4</v>
      </c>
      <c r="R1384">
        <v>16197</v>
      </c>
    </row>
    <row r="1385" spans="1:18" x14ac:dyDescent="0.25">
      <c r="A1385" s="169">
        <v>44056</v>
      </c>
      <c r="B1385" s="115">
        <v>106</v>
      </c>
      <c r="C1385" s="115">
        <v>102.88</v>
      </c>
      <c r="D1385" s="115">
        <v>102.31</v>
      </c>
      <c r="E1385" s="115">
        <v>104.92</v>
      </c>
      <c r="F1385" s="115">
        <v>514.4</v>
      </c>
      <c r="G1385">
        <v>1828</v>
      </c>
      <c r="H1385" s="115"/>
      <c r="I1385" s="115"/>
      <c r="L1385" s="169">
        <v>44048</v>
      </c>
      <c r="M1385" s="115">
        <v>102.22</v>
      </c>
      <c r="N1385" s="115">
        <v>106.34</v>
      </c>
      <c r="O1385" s="115">
        <v>101.7</v>
      </c>
      <c r="P1385" s="115">
        <v>103.38</v>
      </c>
      <c r="Q1385" s="115">
        <v>511.1</v>
      </c>
      <c r="R1385">
        <v>31330</v>
      </c>
    </row>
    <row r="1386" spans="1:18" x14ac:dyDescent="0.25">
      <c r="A1386" s="169">
        <v>44057</v>
      </c>
      <c r="B1386" s="115">
        <v>107.63</v>
      </c>
      <c r="C1386" s="115">
        <v>103.95</v>
      </c>
      <c r="D1386" s="115">
        <v>102</v>
      </c>
      <c r="E1386" s="115">
        <v>102</v>
      </c>
      <c r="F1386" s="115">
        <v>519.75</v>
      </c>
      <c r="G1386">
        <v>4182</v>
      </c>
      <c r="H1386" s="115"/>
      <c r="I1386" s="115"/>
      <c r="L1386" s="169">
        <v>44049</v>
      </c>
      <c r="M1386" s="115">
        <v>101.75</v>
      </c>
      <c r="N1386" s="115">
        <v>104.03</v>
      </c>
      <c r="O1386" s="115">
        <v>101.6</v>
      </c>
      <c r="P1386" s="115">
        <v>102.29</v>
      </c>
      <c r="Q1386" s="115">
        <v>508.75</v>
      </c>
      <c r="R1386">
        <v>11425</v>
      </c>
    </row>
    <row r="1387" spans="1:18" x14ac:dyDescent="0.25">
      <c r="A1387" s="169">
        <v>44060</v>
      </c>
      <c r="B1387" s="115">
        <v>105.01</v>
      </c>
      <c r="C1387" s="115">
        <v>104.92</v>
      </c>
      <c r="D1387" s="115">
        <v>102</v>
      </c>
      <c r="E1387" s="115">
        <v>103.67</v>
      </c>
      <c r="F1387" s="115">
        <v>524.6</v>
      </c>
      <c r="G1387">
        <v>1336</v>
      </c>
      <c r="H1387" s="115"/>
      <c r="I1387" s="115"/>
      <c r="L1387" s="169">
        <v>44050</v>
      </c>
      <c r="M1387" s="115">
        <v>102.82</v>
      </c>
      <c r="N1387" s="115">
        <v>105.61</v>
      </c>
      <c r="O1387" s="115">
        <v>101.87</v>
      </c>
      <c r="P1387" s="115">
        <v>103.2</v>
      </c>
      <c r="Q1387" s="115">
        <v>514.1</v>
      </c>
      <c r="R1387">
        <v>55649</v>
      </c>
    </row>
    <row r="1388" spans="1:18" x14ac:dyDescent="0.25">
      <c r="A1388" s="169">
        <v>44061</v>
      </c>
      <c r="B1388" s="115">
        <v>106.74</v>
      </c>
      <c r="C1388" s="115">
        <v>103.9</v>
      </c>
      <c r="D1388" s="115">
        <v>102</v>
      </c>
      <c r="E1388" s="115">
        <v>104.85</v>
      </c>
      <c r="F1388" s="115">
        <v>519.5</v>
      </c>
      <c r="G1388">
        <v>1232</v>
      </c>
      <c r="H1388" s="115"/>
      <c r="I1388" s="115"/>
      <c r="L1388" s="169">
        <v>44053</v>
      </c>
      <c r="M1388" s="115">
        <v>104.54</v>
      </c>
      <c r="N1388" s="115">
        <v>105.2</v>
      </c>
      <c r="O1388" s="115">
        <v>102.37</v>
      </c>
      <c r="P1388" s="115">
        <v>104</v>
      </c>
      <c r="Q1388" s="115">
        <v>522.70000000000005</v>
      </c>
      <c r="R1388">
        <v>19474</v>
      </c>
    </row>
    <row r="1389" spans="1:18" x14ac:dyDescent="0.25">
      <c r="A1389" s="169">
        <v>44062</v>
      </c>
      <c r="B1389" s="115">
        <v>106.49</v>
      </c>
      <c r="C1389" s="115">
        <v>105.74</v>
      </c>
      <c r="D1389" s="115">
        <v>104.45</v>
      </c>
      <c r="E1389" s="115">
        <v>104.9</v>
      </c>
      <c r="F1389" s="115">
        <v>528.70000000000005</v>
      </c>
      <c r="G1389">
        <v>523</v>
      </c>
      <c r="H1389" s="115"/>
      <c r="I1389" s="115"/>
      <c r="L1389" s="169">
        <v>44054</v>
      </c>
      <c r="M1389" s="115">
        <v>105.43</v>
      </c>
      <c r="N1389" s="115">
        <v>107</v>
      </c>
      <c r="O1389" s="115">
        <v>104.19</v>
      </c>
      <c r="P1389" s="115">
        <v>105.78</v>
      </c>
      <c r="Q1389" s="115">
        <v>527.15</v>
      </c>
      <c r="R1389">
        <v>17741</v>
      </c>
    </row>
    <row r="1390" spans="1:18" x14ac:dyDescent="0.25">
      <c r="A1390" s="169">
        <v>44063</v>
      </c>
      <c r="B1390" s="115">
        <v>107.7</v>
      </c>
      <c r="C1390" s="115">
        <v>106.02</v>
      </c>
      <c r="D1390" s="115">
        <v>104.4</v>
      </c>
      <c r="E1390" s="115">
        <v>105.93</v>
      </c>
      <c r="F1390" s="115">
        <v>530.1</v>
      </c>
      <c r="G1390">
        <v>3451</v>
      </c>
      <c r="H1390" s="115"/>
      <c r="I1390" s="115"/>
      <c r="L1390" s="169">
        <v>44055</v>
      </c>
      <c r="M1390" s="115">
        <v>104.87</v>
      </c>
      <c r="N1390" s="115">
        <v>106.58</v>
      </c>
      <c r="O1390" s="115">
        <v>104.22</v>
      </c>
      <c r="P1390" s="115">
        <v>106.58</v>
      </c>
      <c r="Q1390" s="115">
        <v>524.35</v>
      </c>
      <c r="R1390">
        <v>11589</v>
      </c>
    </row>
    <row r="1391" spans="1:18" x14ac:dyDescent="0.25">
      <c r="A1391" s="169">
        <v>44064</v>
      </c>
      <c r="B1391" s="115">
        <v>108.99</v>
      </c>
      <c r="C1391" s="115">
        <v>107.53</v>
      </c>
      <c r="D1391" s="115">
        <v>106.24</v>
      </c>
      <c r="E1391" s="115">
        <v>108.99</v>
      </c>
      <c r="F1391" s="115">
        <v>537.65</v>
      </c>
      <c r="G1391">
        <v>754</v>
      </c>
      <c r="H1391" s="115"/>
      <c r="I1391" s="115"/>
      <c r="L1391" s="169">
        <v>44056</v>
      </c>
      <c r="M1391" s="115">
        <v>102.96</v>
      </c>
      <c r="N1391" s="115">
        <v>105.92</v>
      </c>
      <c r="O1391" s="115">
        <v>102.2</v>
      </c>
      <c r="P1391" s="115">
        <v>105.06</v>
      </c>
      <c r="Q1391" s="115">
        <v>514.79999999999995</v>
      </c>
      <c r="R1391">
        <v>22315</v>
      </c>
    </row>
    <row r="1392" spans="1:18" x14ac:dyDescent="0.25">
      <c r="A1392" s="169">
        <v>44067</v>
      </c>
      <c r="B1392" s="115">
        <v>106.67</v>
      </c>
      <c r="C1392" s="115">
        <v>106.32</v>
      </c>
      <c r="D1392" s="115">
        <v>103.26</v>
      </c>
      <c r="E1392" s="115">
        <v>106.2</v>
      </c>
      <c r="F1392" s="115">
        <v>531.6</v>
      </c>
      <c r="G1392">
        <v>2211</v>
      </c>
      <c r="H1392" s="115"/>
      <c r="I1392" s="115"/>
      <c r="L1392" s="169">
        <v>44057</v>
      </c>
      <c r="M1392" s="115">
        <v>104.07</v>
      </c>
      <c r="N1392" s="115">
        <v>107.6</v>
      </c>
      <c r="O1392" s="115">
        <v>103.56</v>
      </c>
      <c r="P1392" s="115">
        <v>105.38</v>
      </c>
      <c r="Q1392" s="115">
        <v>520.35</v>
      </c>
      <c r="R1392">
        <v>40042</v>
      </c>
    </row>
    <row r="1393" spans="1:18" x14ac:dyDescent="0.25">
      <c r="A1393" s="169">
        <v>44068</v>
      </c>
      <c r="B1393" s="115">
        <v>110.8</v>
      </c>
      <c r="C1393" s="115">
        <v>109.7</v>
      </c>
      <c r="D1393" s="115">
        <v>105.9</v>
      </c>
      <c r="E1393" s="115">
        <v>106.23</v>
      </c>
      <c r="F1393" s="115">
        <v>548.5</v>
      </c>
      <c r="G1393">
        <v>6304</v>
      </c>
      <c r="H1393" s="115"/>
      <c r="I1393" s="115"/>
      <c r="L1393" s="169">
        <v>44060</v>
      </c>
      <c r="M1393" s="115">
        <v>104.44</v>
      </c>
      <c r="N1393" s="115">
        <v>105.17</v>
      </c>
      <c r="O1393" s="115">
        <v>102</v>
      </c>
      <c r="P1393" s="115">
        <v>104.2</v>
      </c>
      <c r="Q1393" s="115">
        <v>522.20000000000005</v>
      </c>
      <c r="R1393">
        <v>18118</v>
      </c>
    </row>
    <row r="1394" spans="1:18" x14ac:dyDescent="0.25">
      <c r="A1394" s="169">
        <v>44069</v>
      </c>
      <c r="B1394" s="115">
        <v>112.69</v>
      </c>
      <c r="C1394" s="115">
        <v>111.26</v>
      </c>
      <c r="D1394" s="115">
        <v>110.42</v>
      </c>
      <c r="E1394" s="115">
        <v>110.42</v>
      </c>
      <c r="F1394" s="115">
        <v>556.29999999999995</v>
      </c>
      <c r="G1394">
        <v>6197</v>
      </c>
      <c r="H1394" s="115"/>
      <c r="I1394" s="115"/>
      <c r="L1394" s="169">
        <v>44061</v>
      </c>
      <c r="M1394" s="115">
        <v>104.03</v>
      </c>
      <c r="N1394" s="115">
        <v>106.85</v>
      </c>
      <c r="O1394" s="115">
        <v>103.6</v>
      </c>
      <c r="P1394" s="115">
        <v>105.78</v>
      </c>
      <c r="Q1394" s="115">
        <v>520.15</v>
      </c>
      <c r="R1394">
        <v>38859</v>
      </c>
    </row>
    <row r="1395" spans="1:18" x14ac:dyDescent="0.25">
      <c r="A1395" s="169">
        <v>44070</v>
      </c>
      <c r="B1395" s="115">
        <v>111.82</v>
      </c>
      <c r="C1395" s="115">
        <v>110.55</v>
      </c>
      <c r="D1395" s="115">
        <v>110.12</v>
      </c>
      <c r="E1395" s="115">
        <v>111.82</v>
      </c>
      <c r="F1395" s="115">
        <v>552.75</v>
      </c>
      <c r="G1395">
        <v>610</v>
      </c>
      <c r="H1395" s="115"/>
      <c r="I1395" s="115"/>
      <c r="L1395" s="169">
        <v>44062</v>
      </c>
      <c r="M1395" s="115">
        <v>106</v>
      </c>
      <c r="N1395" s="115">
        <v>106.66</v>
      </c>
      <c r="O1395" s="115">
        <v>104.61</v>
      </c>
      <c r="P1395" s="115">
        <v>104.98</v>
      </c>
      <c r="Q1395" s="115">
        <v>530</v>
      </c>
      <c r="R1395">
        <v>17393</v>
      </c>
    </row>
    <row r="1396" spans="1:18" x14ac:dyDescent="0.25">
      <c r="A1396" s="169">
        <v>44071</v>
      </c>
      <c r="B1396" s="115">
        <v>110.92</v>
      </c>
      <c r="C1396" s="115">
        <v>109.55</v>
      </c>
      <c r="D1396" s="115">
        <v>109.31</v>
      </c>
      <c r="E1396" s="115">
        <v>110.41</v>
      </c>
      <c r="F1396" s="115">
        <v>547.75</v>
      </c>
      <c r="G1396">
        <v>838</v>
      </c>
      <c r="H1396" s="115"/>
      <c r="I1396" s="115"/>
      <c r="L1396" s="169">
        <v>44063</v>
      </c>
      <c r="M1396" s="115">
        <v>107.15</v>
      </c>
      <c r="N1396" s="115">
        <v>107.79</v>
      </c>
      <c r="O1396" s="115">
        <v>105.4</v>
      </c>
      <c r="P1396" s="115">
        <v>105.98</v>
      </c>
      <c r="Q1396" s="115">
        <v>535.75</v>
      </c>
      <c r="R1396">
        <v>26957</v>
      </c>
    </row>
    <row r="1397" spans="1:18" x14ac:dyDescent="0.25">
      <c r="A1397" s="169">
        <v>44074</v>
      </c>
      <c r="B1397" s="115">
        <v>109.94</v>
      </c>
      <c r="C1397" s="115">
        <v>104.54</v>
      </c>
      <c r="D1397" s="115">
        <v>103.85</v>
      </c>
      <c r="E1397" s="115">
        <v>109.94</v>
      </c>
      <c r="F1397" s="115">
        <v>522.70000000000005</v>
      </c>
      <c r="G1397">
        <v>1834</v>
      </c>
      <c r="H1397" s="115"/>
      <c r="I1397" s="115"/>
      <c r="L1397" s="169">
        <v>44064</v>
      </c>
      <c r="M1397" s="115">
        <v>107.54</v>
      </c>
      <c r="N1397" s="115">
        <v>108.78</v>
      </c>
      <c r="O1397" s="115">
        <v>106.3</v>
      </c>
      <c r="P1397" s="115">
        <v>107.8</v>
      </c>
      <c r="Q1397" s="115">
        <v>537.70000000000005</v>
      </c>
      <c r="R1397">
        <v>20675</v>
      </c>
    </row>
    <row r="1398" spans="1:18" x14ac:dyDescent="0.25">
      <c r="A1398" s="169">
        <v>44075</v>
      </c>
      <c r="B1398" s="115">
        <v>106.7</v>
      </c>
      <c r="C1398" s="115">
        <v>104.57</v>
      </c>
      <c r="D1398" s="115">
        <v>102.24</v>
      </c>
      <c r="E1398" s="115">
        <v>106.01</v>
      </c>
      <c r="F1398" s="115">
        <v>522.85</v>
      </c>
      <c r="G1398">
        <v>476</v>
      </c>
      <c r="H1398" s="115"/>
      <c r="I1398" s="115"/>
      <c r="L1398" s="169">
        <v>44067</v>
      </c>
      <c r="M1398" s="115">
        <v>106.11</v>
      </c>
      <c r="N1398" s="115">
        <v>108.2</v>
      </c>
      <c r="O1398" s="115">
        <v>105.3</v>
      </c>
      <c r="P1398" s="115">
        <v>108</v>
      </c>
      <c r="Q1398" s="115">
        <v>530.54999999999995</v>
      </c>
      <c r="R1398">
        <v>36950</v>
      </c>
    </row>
    <row r="1399" spans="1:18" x14ac:dyDescent="0.25">
      <c r="A1399" s="169">
        <v>44076</v>
      </c>
      <c r="B1399" s="115">
        <v>111.14</v>
      </c>
      <c r="C1399" s="115">
        <v>108.04</v>
      </c>
      <c r="D1399" s="115">
        <v>103.66</v>
      </c>
      <c r="E1399" s="115">
        <v>104.95</v>
      </c>
      <c r="F1399" s="115">
        <v>540.20000000000005</v>
      </c>
      <c r="G1399">
        <v>1771</v>
      </c>
      <c r="H1399" s="115"/>
      <c r="I1399" s="115"/>
      <c r="L1399" s="169">
        <v>44068</v>
      </c>
      <c r="M1399" s="115">
        <v>109.68</v>
      </c>
      <c r="N1399" s="115">
        <v>110.88</v>
      </c>
      <c r="O1399" s="115">
        <v>106</v>
      </c>
      <c r="P1399" s="115">
        <v>106.21</v>
      </c>
      <c r="Q1399" s="115">
        <v>548.4</v>
      </c>
      <c r="R1399">
        <v>96500</v>
      </c>
    </row>
    <row r="1400" spans="1:18" x14ac:dyDescent="0.25">
      <c r="A1400" s="169">
        <v>44077</v>
      </c>
      <c r="B1400" s="115">
        <v>109.1</v>
      </c>
      <c r="C1400" s="115">
        <v>107.09</v>
      </c>
      <c r="D1400" s="115">
        <v>105.56</v>
      </c>
      <c r="E1400" s="115">
        <v>108.16</v>
      </c>
      <c r="F1400" s="115">
        <v>535.45000000000005</v>
      </c>
      <c r="G1400">
        <v>636</v>
      </c>
      <c r="H1400" s="115"/>
      <c r="I1400" s="115"/>
      <c r="L1400" s="169">
        <v>44069</v>
      </c>
      <c r="M1400" s="115">
        <v>111.28</v>
      </c>
      <c r="N1400" s="115">
        <v>112.8</v>
      </c>
      <c r="O1400" s="115">
        <v>110.7</v>
      </c>
      <c r="P1400" s="115">
        <v>111.78</v>
      </c>
      <c r="Q1400" s="115">
        <v>556.4</v>
      </c>
      <c r="R1400">
        <v>62631</v>
      </c>
    </row>
    <row r="1401" spans="1:18" x14ac:dyDescent="0.25">
      <c r="A1401" s="169">
        <v>44078</v>
      </c>
      <c r="B1401" s="115">
        <v>106.45</v>
      </c>
      <c r="C1401" s="115">
        <v>103.96</v>
      </c>
      <c r="D1401" s="115">
        <v>102.2</v>
      </c>
      <c r="E1401" s="115">
        <v>102.2</v>
      </c>
      <c r="F1401" s="115">
        <v>519.79999999999995</v>
      </c>
      <c r="G1401">
        <v>2251</v>
      </c>
      <c r="H1401" s="115"/>
      <c r="I1401" s="115"/>
      <c r="L1401" s="169">
        <v>44070</v>
      </c>
      <c r="M1401" s="115">
        <v>110.74</v>
      </c>
      <c r="N1401" s="115">
        <v>112.96</v>
      </c>
      <c r="O1401" s="115">
        <v>110</v>
      </c>
      <c r="P1401" s="115">
        <v>111.4</v>
      </c>
      <c r="Q1401" s="115">
        <v>553.70000000000005</v>
      </c>
      <c r="R1401">
        <v>20145</v>
      </c>
    </row>
    <row r="1402" spans="1:18" x14ac:dyDescent="0.25">
      <c r="A1402" s="169">
        <v>44081</v>
      </c>
      <c r="B1402" s="115">
        <v>106.27</v>
      </c>
      <c r="C1402" s="115">
        <v>104.38</v>
      </c>
      <c r="D1402" s="115">
        <v>100.99</v>
      </c>
      <c r="E1402" s="115">
        <v>104</v>
      </c>
      <c r="F1402" s="115">
        <v>521.9</v>
      </c>
      <c r="G1402">
        <v>1413</v>
      </c>
      <c r="H1402" s="115"/>
      <c r="I1402" s="115"/>
      <c r="L1402" s="169">
        <v>44071</v>
      </c>
      <c r="M1402" s="115">
        <v>109.63</v>
      </c>
      <c r="N1402" s="115">
        <v>111.79</v>
      </c>
      <c r="O1402" s="115">
        <v>109.3</v>
      </c>
      <c r="P1402" s="115">
        <v>110.72</v>
      </c>
      <c r="Q1402" s="115">
        <v>548.15</v>
      </c>
      <c r="R1402">
        <v>16101</v>
      </c>
    </row>
    <row r="1403" spans="1:18" x14ac:dyDescent="0.25">
      <c r="A1403" s="169">
        <v>44082</v>
      </c>
      <c r="B1403" s="115">
        <v>106.5</v>
      </c>
      <c r="C1403" s="115">
        <v>103.65</v>
      </c>
      <c r="D1403" s="115">
        <v>102.82</v>
      </c>
      <c r="E1403" s="115">
        <v>104.63</v>
      </c>
      <c r="F1403" s="115">
        <v>518.25</v>
      </c>
      <c r="G1403">
        <v>606</v>
      </c>
      <c r="H1403" s="115"/>
      <c r="I1403" s="115"/>
      <c r="L1403" s="169">
        <v>44074</v>
      </c>
      <c r="M1403" s="115">
        <v>104.74</v>
      </c>
      <c r="N1403" s="115">
        <v>110.99</v>
      </c>
      <c r="O1403" s="115">
        <v>104</v>
      </c>
      <c r="P1403" s="115">
        <v>109.65</v>
      </c>
      <c r="Q1403" s="115">
        <v>523.70000000000005</v>
      </c>
      <c r="R1403">
        <v>20019</v>
      </c>
    </row>
    <row r="1404" spans="1:18" x14ac:dyDescent="0.25">
      <c r="A1404" s="169">
        <v>44083</v>
      </c>
      <c r="B1404" s="115">
        <v>103.29</v>
      </c>
      <c r="C1404" s="115">
        <v>102.67</v>
      </c>
      <c r="D1404" s="115">
        <v>101.5</v>
      </c>
      <c r="E1404" s="115">
        <v>102.52</v>
      </c>
      <c r="F1404" s="115">
        <v>513.35</v>
      </c>
      <c r="G1404">
        <v>225</v>
      </c>
      <c r="H1404" s="115"/>
      <c r="I1404" s="115"/>
      <c r="L1404" s="169">
        <v>44075</v>
      </c>
      <c r="M1404" s="115">
        <v>104.35</v>
      </c>
      <c r="N1404" s="115">
        <v>106.71</v>
      </c>
      <c r="O1404" s="115">
        <v>102.21</v>
      </c>
      <c r="P1404" s="115">
        <v>104.1</v>
      </c>
      <c r="Q1404" s="115">
        <v>521.75</v>
      </c>
      <c r="R1404">
        <v>10688</v>
      </c>
    </row>
    <row r="1405" spans="1:18" x14ac:dyDescent="0.25">
      <c r="A1405" s="169">
        <v>44084</v>
      </c>
      <c r="B1405" s="115">
        <v>105</v>
      </c>
      <c r="C1405" s="115">
        <v>102.13</v>
      </c>
      <c r="D1405" s="115">
        <v>101.3</v>
      </c>
      <c r="E1405" s="115">
        <v>103.6</v>
      </c>
      <c r="F1405" s="115">
        <v>510.65</v>
      </c>
      <c r="G1405">
        <v>1041</v>
      </c>
      <c r="H1405" s="115"/>
      <c r="I1405" s="115"/>
      <c r="L1405" s="169">
        <v>44076</v>
      </c>
      <c r="M1405" s="115">
        <v>108.1</v>
      </c>
      <c r="N1405" s="115">
        <v>111.4</v>
      </c>
      <c r="O1405" s="115">
        <v>103.7</v>
      </c>
      <c r="P1405" s="115">
        <v>104.88</v>
      </c>
      <c r="Q1405" s="115">
        <v>540.5</v>
      </c>
      <c r="R1405">
        <v>19989</v>
      </c>
    </row>
    <row r="1406" spans="1:18" x14ac:dyDescent="0.25">
      <c r="A1406" s="169">
        <v>44085</v>
      </c>
      <c r="B1406" s="115">
        <v>104.05</v>
      </c>
      <c r="C1406" s="115">
        <v>100.94</v>
      </c>
      <c r="D1406" s="115">
        <v>100.08</v>
      </c>
      <c r="E1406" s="115">
        <v>103.01</v>
      </c>
      <c r="F1406" s="115">
        <v>504.7</v>
      </c>
      <c r="G1406">
        <v>2052</v>
      </c>
      <c r="H1406" s="115"/>
      <c r="I1406" s="115"/>
      <c r="L1406" s="169">
        <v>44077</v>
      </c>
      <c r="M1406" s="115">
        <v>106.97</v>
      </c>
      <c r="N1406" s="115">
        <v>109.61</v>
      </c>
      <c r="O1406" s="115">
        <v>105.68</v>
      </c>
      <c r="P1406" s="115">
        <v>108.65</v>
      </c>
      <c r="Q1406" s="115">
        <v>534.85</v>
      </c>
      <c r="R1406">
        <v>8682</v>
      </c>
    </row>
    <row r="1407" spans="1:18" x14ac:dyDescent="0.25">
      <c r="A1407" s="169">
        <v>44088</v>
      </c>
      <c r="B1407" s="115">
        <v>105.8</v>
      </c>
      <c r="C1407" s="115">
        <v>104.53</v>
      </c>
      <c r="D1407" s="115">
        <v>103.1</v>
      </c>
      <c r="E1407" s="115">
        <v>104</v>
      </c>
      <c r="F1407" s="115">
        <v>522.65</v>
      </c>
      <c r="G1407">
        <v>1894</v>
      </c>
      <c r="H1407" s="115"/>
      <c r="I1407" s="115"/>
      <c r="L1407" s="169">
        <v>44078</v>
      </c>
      <c r="M1407" s="115">
        <v>103.94</v>
      </c>
      <c r="N1407" s="115">
        <v>106.32</v>
      </c>
      <c r="O1407" s="115">
        <v>103.24</v>
      </c>
      <c r="P1407" s="115">
        <v>103.6</v>
      </c>
      <c r="Q1407" s="115">
        <v>519.70000000000005</v>
      </c>
      <c r="R1407">
        <v>13947</v>
      </c>
    </row>
    <row r="1408" spans="1:18" x14ac:dyDescent="0.25">
      <c r="A1408" s="169">
        <v>44089</v>
      </c>
      <c r="B1408" s="115">
        <v>105.89</v>
      </c>
      <c r="C1408" s="115">
        <v>103.82</v>
      </c>
      <c r="D1408" s="115">
        <v>103.27</v>
      </c>
      <c r="E1408" s="115">
        <v>104.2</v>
      </c>
      <c r="F1408" s="115">
        <v>519.1</v>
      </c>
      <c r="G1408">
        <v>881</v>
      </c>
      <c r="H1408" s="115"/>
      <c r="I1408" s="115"/>
      <c r="L1408" s="169">
        <v>44081</v>
      </c>
      <c r="M1408" s="115">
        <v>104.41</v>
      </c>
      <c r="N1408" s="115">
        <v>106.18</v>
      </c>
      <c r="O1408" s="115">
        <v>103.24</v>
      </c>
      <c r="P1408" s="115">
        <v>104.46</v>
      </c>
      <c r="Q1408" s="115">
        <v>522.04999999999995</v>
      </c>
      <c r="R1408">
        <v>7207</v>
      </c>
    </row>
    <row r="1409" spans="1:18" x14ac:dyDescent="0.25">
      <c r="A1409" s="169">
        <v>44090</v>
      </c>
      <c r="B1409" s="115">
        <v>106.04</v>
      </c>
      <c r="C1409" s="115">
        <v>105.66</v>
      </c>
      <c r="D1409" s="115">
        <v>103.6</v>
      </c>
      <c r="E1409" s="115">
        <v>105.48</v>
      </c>
      <c r="F1409" s="115">
        <v>528.29999999999995</v>
      </c>
      <c r="G1409">
        <v>1101</v>
      </c>
      <c r="H1409" s="115"/>
      <c r="I1409" s="115"/>
      <c r="L1409" s="169">
        <v>44082</v>
      </c>
      <c r="M1409" s="115">
        <v>103.87</v>
      </c>
      <c r="N1409" s="115">
        <v>106.39</v>
      </c>
      <c r="O1409" s="115">
        <v>102.4</v>
      </c>
      <c r="P1409" s="115">
        <v>104.48</v>
      </c>
      <c r="Q1409" s="115">
        <v>519.35</v>
      </c>
      <c r="R1409">
        <v>16081</v>
      </c>
    </row>
    <row r="1410" spans="1:18" x14ac:dyDescent="0.25">
      <c r="A1410" s="169">
        <v>44091</v>
      </c>
      <c r="B1410" s="115">
        <v>106.74</v>
      </c>
      <c r="C1410" s="115">
        <v>105.89</v>
      </c>
      <c r="D1410" s="115">
        <v>104.21</v>
      </c>
      <c r="E1410" s="115">
        <v>106.4</v>
      </c>
      <c r="F1410" s="115">
        <v>529.45000000000005</v>
      </c>
      <c r="G1410">
        <v>1148</v>
      </c>
      <c r="H1410" s="115"/>
      <c r="I1410" s="115"/>
      <c r="L1410" s="169">
        <v>44083</v>
      </c>
      <c r="M1410" s="115">
        <v>102.38</v>
      </c>
      <c r="N1410" s="115">
        <v>103.77</v>
      </c>
      <c r="O1410" s="115">
        <v>101.28</v>
      </c>
      <c r="P1410" s="115">
        <v>102.3</v>
      </c>
      <c r="Q1410" s="115">
        <v>511.9</v>
      </c>
      <c r="R1410">
        <v>9468</v>
      </c>
    </row>
    <row r="1411" spans="1:18" x14ac:dyDescent="0.25">
      <c r="A1411" s="169">
        <v>44092</v>
      </c>
      <c r="B1411" s="115">
        <v>106</v>
      </c>
      <c r="C1411" s="115">
        <v>105.47</v>
      </c>
      <c r="D1411" s="115">
        <v>104.28</v>
      </c>
      <c r="E1411" s="115">
        <v>106</v>
      </c>
      <c r="F1411" s="115">
        <v>527.35</v>
      </c>
      <c r="G1411">
        <v>557</v>
      </c>
      <c r="H1411" s="115"/>
      <c r="I1411" s="115"/>
      <c r="L1411" s="169">
        <v>44084</v>
      </c>
      <c r="M1411" s="115">
        <v>101.96</v>
      </c>
      <c r="N1411" s="115">
        <v>104.58</v>
      </c>
      <c r="O1411" s="115">
        <v>101.27</v>
      </c>
      <c r="P1411" s="115">
        <v>102.46</v>
      </c>
      <c r="Q1411" s="115">
        <v>509.8</v>
      </c>
      <c r="R1411">
        <v>12861</v>
      </c>
    </row>
    <row r="1412" spans="1:18" x14ac:dyDescent="0.25">
      <c r="A1412" s="169">
        <v>44095</v>
      </c>
      <c r="B1412" s="115">
        <v>105.4</v>
      </c>
      <c r="C1412" s="115">
        <v>101.54</v>
      </c>
      <c r="D1412" s="115">
        <v>101.37</v>
      </c>
      <c r="E1412" s="115">
        <v>105.13</v>
      </c>
      <c r="F1412" s="115">
        <v>507.7</v>
      </c>
      <c r="G1412">
        <v>1510</v>
      </c>
      <c r="H1412" s="115"/>
      <c r="I1412" s="115"/>
      <c r="L1412" s="169">
        <v>44085</v>
      </c>
      <c r="M1412" s="115">
        <v>100.68</v>
      </c>
      <c r="N1412" s="115">
        <v>104.27</v>
      </c>
      <c r="O1412" s="115">
        <v>100</v>
      </c>
      <c r="P1412" s="115">
        <v>102.46</v>
      </c>
      <c r="Q1412" s="115">
        <v>503.4</v>
      </c>
      <c r="R1412">
        <v>28345</v>
      </c>
    </row>
    <row r="1413" spans="1:18" x14ac:dyDescent="0.25">
      <c r="A1413" s="169">
        <v>44096</v>
      </c>
      <c r="B1413" s="115">
        <v>101.3</v>
      </c>
      <c r="C1413" s="115">
        <v>97.79</v>
      </c>
      <c r="D1413" s="115">
        <v>97.4</v>
      </c>
      <c r="E1413" s="115">
        <v>100.06</v>
      </c>
      <c r="F1413" s="115">
        <v>488.95</v>
      </c>
      <c r="G1413">
        <v>1035</v>
      </c>
      <c r="H1413" s="115"/>
      <c r="I1413" s="115"/>
      <c r="L1413" s="169">
        <v>44088</v>
      </c>
      <c r="M1413" s="115">
        <v>104.96</v>
      </c>
      <c r="N1413" s="115">
        <v>105.77</v>
      </c>
      <c r="O1413" s="115">
        <v>102.22</v>
      </c>
      <c r="P1413" s="115">
        <v>104.8</v>
      </c>
      <c r="Q1413" s="115">
        <v>524.79999999999995</v>
      </c>
      <c r="R1413">
        <v>35361</v>
      </c>
    </row>
    <row r="1414" spans="1:18" x14ac:dyDescent="0.25">
      <c r="A1414" s="169">
        <v>44097</v>
      </c>
      <c r="B1414" s="115">
        <v>99.2</v>
      </c>
      <c r="C1414" s="115">
        <v>95.63</v>
      </c>
      <c r="D1414" s="115">
        <v>94.9</v>
      </c>
      <c r="E1414" s="115">
        <v>99.14</v>
      </c>
      <c r="F1414" s="115">
        <v>478.15</v>
      </c>
      <c r="G1414">
        <v>581</v>
      </c>
      <c r="H1414" s="115"/>
      <c r="I1414" s="115"/>
      <c r="L1414" s="169">
        <v>44089</v>
      </c>
      <c r="M1414" s="115">
        <v>103.9</v>
      </c>
      <c r="N1414" s="115">
        <v>107.37</v>
      </c>
      <c r="O1414" s="115">
        <v>103.05</v>
      </c>
      <c r="P1414" s="115">
        <v>104.16</v>
      </c>
      <c r="Q1414" s="115">
        <v>519.5</v>
      </c>
      <c r="R1414">
        <v>14499</v>
      </c>
    </row>
    <row r="1415" spans="1:18" x14ac:dyDescent="0.25">
      <c r="A1415" s="169">
        <v>44098</v>
      </c>
      <c r="B1415" s="115">
        <v>96.3</v>
      </c>
      <c r="C1415" s="115">
        <v>91.45</v>
      </c>
      <c r="D1415" s="115">
        <v>91.11</v>
      </c>
      <c r="E1415" s="115">
        <v>96.3</v>
      </c>
      <c r="F1415" s="115">
        <v>457.25</v>
      </c>
      <c r="G1415">
        <v>3805</v>
      </c>
      <c r="H1415" s="115"/>
      <c r="I1415" s="115"/>
      <c r="L1415" s="169">
        <v>44090</v>
      </c>
      <c r="M1415" s="115">
        <v>105.67</v>
      </c>
      <c r="N1415" s="115">
        <v>106.01</v>
      </c>
      <c r="O1415" s="115">
        <v>104.4</v>
      </c>
      <c r="P1415" s="115">
        <v>105.4</v>
      </c>
      <c r="Q1415" s="115">
        <v>528.35</v>
      </c>
      <c r="R1415">
        <v>16304</v>
      </c>
    </row>
    <row r="1416" spans="1:18" x14ac:dyDescent="0.25">
      <c r="A1416" s="169">
        <v>44099</v>
      </c>
      <c r="B1416" s="115">
        <v>94.63</v>
      </c>
      <c r="C1416" s="115">
        <v>91.86</v>
      </c>
      <c r="D1416" s="115">
        <v>90.46</v>
      </c>
      <c r="E1416" s="115">
        <v>94</v>
      </c>
      <c r="F1416" s="115">
        <v>459.3</v>
      </c>
      <c r="G1416">
        <v>1484</v>
      </c>
      <c r="H1416" s="115"/>
      <c r="I1416" s="115"/>
      <c r="L1416" s="169">
        <v>44091</v>
      </c>
      <c r="M1416" s="115">
        <v>106.01</v>
      </c>
      <c r="N1416" s="115">
        <v>107</v>
      </c>
      <c r="O1416" s="115">
        <v>104.92</v>
      </c>
      <c r="P1416" s="115">
        <v>106</v>
      </c>
      <c r="Q1416" s="115">
        <v>530.04999999999995</v>
      </c>
      <c r="R1416">
        <v>13514</v>
      </c>
    </row>
    <row r="1417" spans="1:18" x14ac:dyDescent="0.25">
      <c r="A1417" s="169">
        <v>44102</v>
      </c>
      <c r="B1417" s="115">
        <v>94.3</v>
      </c>
      <c r="C1417" s="115">
        <v>93.9</v>
      </c>
      <c r="D1417" s="115">
        <v>92.02</v>
      </c>
      <c r="E1417" s="115">
        <v>92.02</v>
      </c>
      <c r="F1417" s="115">
        <v>469.5</v>
      </c>
      <c r="G1417">
        <v>644</v>
      </c>
      <c r="H1417" s="115"/>
      <c r="I1417" s="115"/>
      <c r="L1417" s="169">
        <v>44092</v>
      </c>
      <c r="M1417" s="115">
        <v>105.13</v>
      </c>
      <c r="N1417" s="115">
        <v>106.72</v>
      </c>
      <c r="O1417" s="115">
        <v>104.4</v>
      </c>
      <c r="P1417" s="115">
        <v>106</v>
      </c>
      <c r="Q1417" s="115">
        <v>525.65</v>
      </c>
      <c r="R1417">
        <v>7636</v>
      </c>
    </row>
    <row r="1418" spans="1:18" x14ac:dyDescent="0.25">
      <c r="A1418" s="169">
        <v>44103</v>
      </c>
      <c r="B1418" s="115">
        <v>99.92</v>
      </c>
      <c r="C1418" s="115">
        <v>95.59</v>
      </c>
      <c r="D1418" s="115">
        <v>95.15</v>
      </c>
      <c r="E1418" s="115">
        <v>95.5</v>
      </c>
      <c r="F1418" s="115">
        <v>477.95</v>
      </c>
      <c r="G1418">
        <v>3653</v>
      </c>
      <c r="H1418" s="115"/>
      <c r="I1418" s="115"/>
      <c r="L1418" s="169">
        <v>44095</v>
      </c>
      <c r="M1418" s="115">
        <v>101.79</v>
      </c>
      <c r="N1418" s="115">
        <v>105.6</v>
      </c>
      <c r="O1418" s="115">
        <v>101.51</v>
      </c>
      <c r="P1418" s="115">
        <v>105.4</v>
      </c>
      <c r="Q1418" s="115">
        <v>508.95</v>
      </c>
      <c r="R1418">
        <v>30065</v>
      </c>
    </row>
    <row r="1419" spans="1:18" x14ac:dyDescent="0.25">
      <c r="A1419" s="169">
        <v>44104</v>
      </c>
      <c r="B1419" s="115">
        <v>99.67</v>
      </c>
      <c r="C1419" s="115">
        <v>95.57</v>
      </c>
      <c r="D1419" s="115">
        <v>95</v>
      </c>
      <c r="E1419" s="115">
        <v>97</v>
      </c>
      <c r="F1419" s="115">
        <v>477.85</v>
      </c>
      <c r="G1419">
        <v>2184</v>
      </c>
      <c r="H1419" s="115"/>
      <c r="I1419" s="115"/>
      <c r="L1419" s="169">
        <v>44096</v>
      </c>
      <c r="M1419" s="115">
        <v>97.9</v>
      </c>
      <c r="N1419" s="115">
        <v>102.45</v>
      </c>
      <c r="O1419" s="115">
        <v>97.07</v>
      </c>
      <c r="P1419" s="115">
        <v>101.79</v>
      </c>
      <c r="Q1419" s="115">
        <v>489.5</v>
      </c>
      <c r="R1419">
        <v>52829</v>
      </c>
    </row>
    <row r="1420" spans="1:18" x14ac:dyDescent="0.25">
      <c r="A1420" s="169">
        <v>44105</v>
      </c>
      <c r="B1420" s="115">
        <v>97</v>
      </c>
      <c r="C1420" s="115">
        <v>94.98</v>
      </c>
      <c r="D1420" s="115">
        <v>94.4</v>
      </c>
      <c r="E1420" s="115">
        <v>96.9</v>
      </c>
      <c r="F1420" s="115">
        <v>474.9</v>
      </c>
      <c r="G1420">
        <v>2932</v>
      </c>
      <c r="H1420" s="115"/>
      <c r="I1420" s="115"/>
      <c r="L1420" s="169">
        <v>44097</v>
      </c>
      <c r="M1420" s="115">
        <v>95.41</v>
      </c>
      <c r="N1420" s="115">
        <v>101.01</v>
      </c>
      <c r="O1420" s="115">
        <v>94.82</v>
      </c>
      <c r="P1420" s="115">
        <v>97.83</v>
      </c>
      <c r="Q1420" s="115">
        <v>477.05</v>
      </c>
      <c r="R1420">
        <v>19944</v>
      </c>
    </row>
    <row r="1421" spans="1:18" x14ac:dyDescent="0.25">
      <c r="A1421" s="169">
        <v>44109</v>
      </c>
      <c r="B1421" s="115">
        <v>95.99</v>
      </c>
      <c r="C1421" s="115">
        <v>92.91</v>
      </c>
      <c r="D1421" s="115">
        <v>92.04</v>
      </c>
      <c r="E1421" s="115">
        <v>95.98</v>
      </c>
      <c r="F1421" s="115">
        <v>464.55</v>
      </c>
      <c r="G1421">
        <v>3073</v>
      </c>
      <c r="H1421" s="115"/>
      <c r="I1421" s="115"/>
      <c r="L1421" s="169">
        <v>44098</v>
      </c>
      <c r="M1421" s="115">
        <v>91.86</v>
      </c>
      <c r="N1421" s="115">
        <v>95.41</v>
      </c>
      <c r="O1421" s="115">
        <v>91.01</v>
      </c>
      <c r="P1421" s="115">
        <v>95.41</v>
      </c>
      <c r="Q1421" s="115">
        <v>459.3</v>
      </c>
      <c r="R1421">
        <v>63542</v>
      </c>
    </row>
    <row r="1422" spans="1:18" x14ac:dyDescent="0.25">
      <c r="A1422" s="169">
        <v>44110</v>
      </c>
      <c r="B1422" s="115">
        <v>95.65</v>
      </c>
      <c r="C1422" s="115">
        <v>93.67</v>
      </c>
      <c r="D1422" s="115">
        <v>93.24</v>
      </c>
      <c r="E1422" s="115">
        <v>93.71</v>
      </c>
      <c r="F1422" s="115">
        <v>468.35</v>
      </c>
      <c r="G1422">
        <v>10048</v>
      </c>
      <c r="H1422" s="115"/>
      <c r="I1422" s="115"/>
      <c r="L1422" s="169">
        <v>44099</v>
      </c>
      <c r="M1422" s="115">
        <v>91.89</v>
      </c>
      <c r="N1422" s="115">
        <v>94.52</v>
      </c>
      <c r="O1422" s="115">
        <v>90.39</v>
      </c>
      <c r="P1422" s="115">
        <v>92.32</v>
      </c>
      <c r="Q1422" s="115">
        <v>459.45</v>
      </c>
      <c r="R1422">
        <v>55443</v>
      </c>
    </row>
    <row r="1423" spans="1:18" x14ac:dyDescent="0.25">
      <c r="A1423" s="169">
        <v>44111</v>
      </c>
      <c r="B1423" s="115">
        <v>97.4</v>
      </c>
      <c r="C1423" s="115">
        <v>96.72</v>
      </c>
      <c r="D1423" s="115">
        <v>93.81</v>
      </c>
      <c r="E1423" s="115">
        <v>93.93</v>
      </c>
      <c r="F1423" s="115">
        <v>483.6</v>
      </c>
      <c r="G1423">
        <v>3481</v>
      </c>
      <c r="H1423" s="115"/>
      <c r="I1423" s="115"/>
      <c r="L1423" s="169">
        <v>44102</v>
      </c>
      <c r="M1423" s="115">
        <v>94.05</v>
      </c>
      <c r="N1423" s="115">
        <v>94.89</v>
      </c>
      <c r="O1423" s="115">
        <v>91.98</v>
      </c>
      <c r="P1423" s="115">
        <v>93.98</v>
      </c>
      <c r="Q1423" s="115">
        <v>470.25</v>
      </c>
      <c r="R1423">
        <v>23081</v>
      </c>
    </row>
    <row r="1424" spans="1:18" x14ac:dyDescent="0.25">
      <c r="A1424" s="169">
        <v>44112</v>
      </c>
      <c r="B1424" s="115">
        <v>98.23</v>
      </c>
      <c r="C1424" s="115">
        <v>96.42</v>
      </c>
      <c r="D1424" s="115">
        <v>95.9</v>
      </c>
      <c r="E1424" s="115">
        <v>98.14</v>
      </c>
      <c r="F1424" s="115">
        <v>482.1</v>
      </c>
      <c r="G1424">
        <v>2540</v>
      </c>
      <c r="H1424" s="115"/>
      <c r="I1424" s="115"/>
      <c r="L1424" s="169">
        <v>44103</v>
      </c>
      <c r="M1424" s="115">
        <v>95.59</v>
      </c>
      <c r="N1424" s="115">
        <v>100.2</v>
      </c>
      <c r="O1424" s="115">
        <v>94.61</v>
      </c>
      <c r="P1424" s="115">
        <v>94.8</v>
      </c>
      <c r="Q1424" s="115">
        <v>477.95</v>
      </c>
      <c r="R1424">
        <v>94373</v>
      </c>
    </row>
    <row r="1425" spans="1:18" x14ac:dyDescent="0.25">
      <c r="A1425" s="169">
        <v>44113</v>
      </c>
      <c r="B1425" s="115">
        <v>97.26</v>
      </c>
      <c r="C1425" s="115">
        <v>95.06</v>
      </c>
      <c r="D1425" s="115">
        <v>94.8</v>
      </c>
      <c r="E1425" s="115">
        <v>96.64</v>
      </c>
      <c r="F1425" s="115">
        <v>475.3</v>
      </c>
      <c r="G1425">
        <v>618</v>
      </c>
      <c r="H1425" s="115"/>
      <c r="I1425" s="115"/>
      <c r="L1425" s="169">
        <v>44104</v>
      </c>
      <c r="M1425" s="115">
        <v>95.81</v>
      </c>
      <c r="N1425" s="115">
        <v>100</v>
      </c>
      <c r="O1425" s="115">
        <v>94.51</v>
      </c>
      <c r="P1425" s="115">
        <v>97.03</v>
      </c>
      <c r="Q1425" s="115">
        <v>479.05</v>
      </c>
      <c r="R1425">
        <v>41756</v>
      </c>
    </row>
    <row r="1426" spans="1:18" x14ac:dyDescent="0.25">
      <c r="A1426" s="169">
        <v>44116</v>
      </c>
      <c r="B1426" s="115">
        <v>96</v>
      </c>
      <c r="C1426" s="115">
        <v>92.47</v>
      </c>
      <c r="D1426" s="115">
        <v>92</v>
      </c>
      <c r="E1426" s="115">
        <v>95.69</v>
      </c>
      <c r="F1426" s="115">
        <v>462.35</v>
      </c>
      <c r="G1426">
        <v>3743</v>
      </c>
      <c r="H1426" s="115"/>
      <c r="I1426" s="115"/>
      <c r="L1426" s="169">
        <v>44105</v>
      </c>
      <c r="M1426" s="115">
        <v>94.81</v>
      </c>
      <c r="N1426" s="115">
        <v>97.4</v>
      </c>
      <c r="O1426" s="115">
        <v>94.4</v>
      </c>
      <c r="P1426" s="115">
        <v>96.29</v>
      </c>
      <c r="Q1426" s="115">
        <v>474.05</v>
      </c>
      <c r="R1426">
        <v>27084</v>
      </c>
    </row>
    <row r="1427" spans="1:18" x14ac:dyDescent="0.25">
      <c r="A1427" s="169">
        <v>44117</v>
      </c>
      <c r="B1427" s="115">
        <v>94.23</v>
      </c>
      <c r="C1427" s="115">
        <v>93</v>
      </c>
      <c r="D1427" s="115">
        <v>92.69</v>
      </c>
      <c r="E1427" s="115">
        <v>94.07</v>
      </c>
      <c r="F1427" s="115">
        <v>465</v>
      </c>
      <c r="G1427">
        <v>1945</v>
      </c>
      <c r="H1427" s="115"/>
      <c r="I1427" s="115"/>
      <c r="L1427" s="169">
        <v>44109</v>
      </c>
      <c r="M1427" s="115">
        <v>92.89</v>
      </c>
      <c r="N1427" s="115">
        <v>97</v>
      </c>
      <c r="O1427" s="115">
        <v>91.96</v>
      </c>
      <c r="P1427" s="115">
        <v>95.29</v>
      </c>
      <c r="Q1427" s="115">
        <v>464.45</v>
      </c>
      <c r="R1427">
        <v>49009</v>
      </c>
    </row>
    <row r="1428" spans="1:18" x14ac:dyDescent="0.25">
      <c r="A1428" s="169">
        <v>44118</v>
      </c>
      <c r="B1428" s="115">
        <v>95.8</v>
      </c>
      <c r="C1428" s="115">
        <v>93.4</v>
      </c>
      <c r="D1428" s="115">
        <v>92.38</v>
      </c>
      <c r="E1428" s="115">
        <v>95.8</v>
      </c>
      <c r="F1428" s="115">
        <v>467</v>
      </c>
      <c r="G1428">
        <v>1021</v>
      </c>
      <c r="H1428" s="115"/>
      <c r="I1428" s="115"/>
      <c r="L1428" s="169">
        <v>44110</v>
      </c>
      <c r="M1428" s="115">
        <v>93.4</v>
      </c>
      <c r="N1428" s="115">
        <v>95.55</v>
      </c>
      <c r="O1428" s="115">
        <v>93.02</v>
      </c>
      <c r="P1428" s="115">
        <v>93.02</v>
      </c>
      <c r="Q1428" s="115">
        <v>467</v>
      </c>
      <c r="R1428">
        <v>62389</v>
      </c>
    </row>
    <row r="1429" spans="1:18" x14ac:dyDescent="0.25">
      <c r="A1429" s="169">
        <v>44119</v>
      </c>
      <c r="B1429" s="115">
        <v>94</v>
      </c>
      <c r="C1429" s="115">
        <v>90.58</v>
      </c>
      <c r="D1429" s="115">
        <v>90.39</v>
      </c>
      <c r="E1429" s="115">
        <v>93.79</v>
      </c>
      <c r="F1429" s="115">
        <v>452.9</v>
      </c>
      <c r="G1429">
        <v>1058</v>
      </c>
      <c r="H1429" s="115"/>
      <c r="I1429" s="115"/>
      <c r="L1429" s="169">
        <v>44111</v>
      </c>
      <c r="M1429" s="115">
        <v>96.86</v>
      </c>
      <c r="N1429" s="115">
        <v>97.46</v>
      </c>
      <c r="O1429" s="115">
        <v>93.87</v>
      </c>
      <c r="P1429" s="115">
        <v>93.87</v>
      </c>
      <c r="Q1429" s="115">
        <v>484.3</v>
      </c>
      <c r="R1429">
        <v>40060</v>
      </c>
    </row>
    <row r="1430" spans="1:18" x14ac:dyDescent="0.25">
      <c r="A1430" s="169">
        <v>44120</v>
      </c>
      <c r="B1430" s="115">
        <v>92.65</v>
      </c>
      <c r="C1430" s="115">
        <v>92.11</v>
      </c>
      <c r="D1430" s="115">
        <v>91</v>
      </c>
      <c r="E1430" s="115">
        <v>91</v>
      </c>
      <c r="F1430" s="115">
        <v>460.55</v>
      </c>
      <c r="G1430">
        <v>1309</v>
      </c>
      <c r="H1430" s="115"/>
      <c r="I1430" s="115"/>
      <c r="L1430" s="169">
        <v>44112</v>
      </c>
      <c r="M1430" s="115">
        <v>96.48</v>
      </c>
      <c r="N1430" s="115">
        <v>98.98</v>
      </c>
      <c r="O1430" s="115">
        <v>96.02</v>
      </c>
      <c r="P1430" s="115">
        <v>97.8</v>
      </c>
      <c r="Q1430" s="115">
        <v>482.4</v>
      </c>
      <c r="R1430">
        <v>23912</v>
      </c>
    </row>
    <row r="1431" spans="1:18" x14ac:dyDescent="0.25">
      <c r="A1431" s="169">
        <v>44123</v>
      </c>
      <c r="B1431" s="115">
        <v>94.79</v>
      </c>
      <c r="C1431" s="115">
        <v>93.64</v>
      </c>
      <c r="D1431" s="115">
        <v>93</v>
      </c>
      <c r="E1431" s="115">
        <v>94</v>
      </c>
      <c r="F1431" s="115">
        <v>468.2</v>
      </c>
      <c r="G1431">
        <v>738</v>
      </c>
      <c r="H1431" s="115"/>
      <c r="I1431" s="115"/>
      <c r="L1431" s="169">
        <v>44113</v>
      </c>
      <c r="M1431" s="115">
        <v>94.96</v>
      </c>
      <c r="N1431" s="115">
        <v>97.7</v>
      </c>
      <c r="O1431" s="115">
        <v>94.6</v>
      </c>
      <c r="P1431" s="115">
        <v>96.11</v>
      </c>
      <c r="Q1431" s="115">
        <v>474.8</v>
      </c>
      <c r="R1431">
        <v>10571</v>
      </c>
    </row>
    <row r="1432" spans="1:18" x14ac:dyDescent="0.25">
      <c r="A1432" s="169">
        <v>44124</v>
      </c>
      <c r="B1432" s="115">
        <v>94.82</v>
      </c>
      <c r="C1432" s="115">
        <v>92.62</v>
      </c>
      <c r="D1432" s="115">
        <v>90.99</v>
      </c>
      <c r="E1432" s="115">
        <v>93.61</v>
      </c>
      <c r="F1432" s="115">
        <v>463.1</v>
      </c>
      <c r="G1432">
        <v>1799</v>
      </c>
      <c r="H1432" s="115"/>
      <c r="I1432" s="115"/>
      <c r="L1432" s="169">
        <v>44116</v>
      </c>
      <c r="M1432" s="115">
        <v>93.19</v>
      </c>
      <c r="N1432" s="115">
        <v>96.4</v>
      </c>
      <c r="O1432" s="115">
        <v>92.7</v>
      </c>
      <c r="P1432" s="115">
        <v>95.21</v>
      </c>
      <c r="Q1432" s="115">
        <v>465.95</v>
      </c>
      <c r="R1432">
        <v>14460</v>
      </c>
    </row>
    <row r="1433" spans="1:18" x14ac:dyDescent="0.25">
      <c r="A1433" s="169">
        <v>44125</v>
      </c>
      <c r="B1433" s="115">
        <v>93.69</v>
      </c>
      <c r="C1433" s="115">
        <v>92.85</v>
      </c>
      <c r="D1433" s="115">
        <v>92.26</v>
      </c>
      <c r="E1433" s="115">
        <v>93.69</v>
      </c>
      <c r="F1433" s="115">
        <v>464.25</v>
      </c>
      <c r="G1433">
        <v>1058</v>
      </c>
      <c r="H1433" s="115"/>
      <c r="I1433" s="115"/>
      <c r="L1433" s="169">
        <v>44117</v>
      </c>
      <c r="M1433" s="115">
        <v>92.96</v>
      </c>
      <c r="N1433" s="115">
        <v>94.77</v>
      </c>
      <c r="O1433" s="115">
        <v>92.62</v>
      </c>
      <c r="P1433" s="115">
        <v>93.66</v>
      </c>
      <c r="Q1433" s="115">
        <v>464.8</v>
      </c>
      <c r="R1433">
        <v>13002</v>
      </c>
    </row>
    <row r="1434" spans="1:18" x14ac:dyDescent="0.25">
      <c r="A1434" s="169">
        <v>44126</v>
      </c>
      <c r="B1434" s="115">
        <v>93.27</v>
      </c>
      <c r="C1434" s="115">
        <v>90.81</v>
      </c>
      <c r="D1434" s="115">
        <v>89.61</v>
      </c>
      <c r="E1434" s="115">
        <v>92.86</v>
      </c>
      <c r="F1434" s="115">
        <v>454.05</v>
      </c>
      <c r="G1434">
        <v>1154</v>
      </c>
      <c r="H1434" s="115"/>
      <c r="I1434" s="115"/>
      <c r="L1434" s="169">
        <v>44118</v>
      </c>
      <c r="M1434" s="115">
        <v>93.11</v>
      </c>
      <c r="N1434" s="115">
        <v>94.8</v>
      </c>
      <c r="O1434" s="115">
        <v>92.62</v>
      </c>
      <c r="P1434" s="115">
        <v>92.8</v>
      </c>
      <c r="Q1434" s="115">
        <v>465.55</v>
      </c>
      <c r="R1434">
        <v>13428</v>
      </c>
    </row>
    <row r="1435" spans="1:18" x14ac:dyDescent="0.25">
      <c r="A1435" s="169">
        <v>44127</v>
      </c>
      <c r="B1435" s="115">
        <v>92.24</v>
      </c>
      <c r="C1435" s="115">
        <v>90.83</v>
      </c>
      <c r="D1435" s="115">
        <v>90.6</v>
      </c>
      <c r="E1435" s="115">
        <v>91.08</v>
      </c>
      <c r="F1435" s="115">
        <v>454.15</v>
      </c>
      <c r="G1435">
        <v>1334</v>
      </c>
      <c r="H1435" s="115"/>
      <c r="I1435" s="115"/>
      <c r="L1435" s="169">
        <v>44119</v>
      </c>
      <c r="M1435" s="115">
        <v>90.61</v>
      </c>
      <c r="N1435" s="115">
        <v>94.17</v>
      </c>
      <c r="O1435" s="115">
        <v>90.02</v>
      </c>
      <c r="P1435" s="115">
        <v>93.3</v>
      </c>
      <c r="Q1435" s="115">
        <v>453.05</v>
      </c>
      <c r="R1435">
        <v>13688</v>
      </c>
    </row>
    <row r="1436" spans="1:18" x14ac:dyDescent="0.25">
      <c r="A1436" s="169">
        <v>44130</v>
      </c>
      <c r="B1436" s="115">
        <v>91.98</v>
      </c>
      <c r="C1436" s="115">
        <v>89.07</v>
      </c>
      <c r="D1436" s="115">
        <v>88.89</v>
      </c>
      <c r="E1436" s="115">
        <v>91.79</v>
      </c>
      <c r="F1436" s="115">
        <v>445.35</v>
      </c>
      <c r="G1436">
        <v>1760</v>
      </c>
      <c r="H1436" s="115"/>
      <c r="I1436" s="115"/>
      <c r="L1436" s="169">
        <v>44120</v>
      </c>
      <c r="M1436" s="115">
        <v>92.72</v>
      </c>
      <c r="N1436" s="115">
        <v>92.9</v>
      </c>
      <c r="O1436" s="115">
        <v>91</v>
      </c>
      <c r="P1436" s="115">
        <v>91</v>
      </c>
      <c r="Q1436" s="115">
        <v>463.6</v>
      </c>
      <c r="R1436">
        <v>38254</v>
      </c>
    </row>
    <row r="1437" spans="1:18" x14ac:dyDescent="0.25">
      <c r="A1437" s="169">
        <v>44131</v>
      </c>
      <c r="B1437" s="115">
        <v>89.48</v>
      </c>
      <c r="C1437" s="115">
        <v>89.38</v>
      </c>
      <c r="D1437" s="115">
        <v>88.8</v>
      </c>
      <c r="E1437" s="115">
        <v>89.2</v>
      </c>
      <c r="F1437" s="115">
        <v>446.9</v>
      </c>
      <c r="G1437">
        <v>875</v>
      </c>
      <c r="H1437" s="115"/>
      <c r="I1437" s="115"/>
      <c r="L1437" s="169">
        <v>44123</v>
      </c>
      <c r="M1437" s="115">
        <v>93.61</v>
      </c>
      <c r="N1437" s="115">
        <v>94.98</v>
      </c>
      <c r="O1437" s="115">
        <v>92.8</v>
      </c>
      <c r="P1437" s="115">
        <v>93.26</v>
      </c>
      <c r="Q1437" s="115">
        <v>468.05</v>
      </c>
      <c r="R1437">
        <v>90009</v>
      </c>
    </row>
    <row r="1438" spans="1:18" x14ac:dyDescent="0.25">
      <c r="A1438" s="169">
        <v>44132</v>
      </c>
      <c r="B1438" s="115">
        <v>90.5</v>
      </c>
      <c r="C1438" s="115">
        <v>86.47</v>
      </c>
      <c r="D1438" s="115">
        <v>86</v>
      </c>
      <c r="E1438" s="115">
        <v>89.11</v>
      </c>
      <c r="F1438" s="115">
        <v>432.35</v>
      </c>
      <c r="G1438">
        <v>2884</v>
      </c>
      <c r="H1438" s="115"/>
      <c r="I1438" s="115"/>
      <c r="L1438" s="169">
        <v>44124</v>
      </c>
      <c r="M1438" s="115">
        <v>92.43</v>
      </c>
      <c r="N1438" s="115">
        <v>94.81</v>
      </c>
      <c r="O1438" s="115">
        <v>91.33</v>
      </c>
      <c r="P1438" s="115">
        <v>94.08</v>
      </c>
      <c r="Q1438" s="115">
        <v>462.15</v>
      </c>
      <c r="R1438">
        <v>21372</v>
      </c>
    </row>
    <row r="1439" spans="1:18" x14ac:dyDescent="0.25">
      <c r="A1439" s="169">
        <v>44133</v>
      </c>
      <c r="B1439" s="115">
        <v>88.68</v>
      </c>
      <c r="C1439" s="115">
        <v>87.32</v>
      </c>
      <c r="D1439" s="115">
        <v>85.09</v>
      </c>
      <c r="E1439" s="115">
        <v>86</v>
      </c>
      <c r="F1439" s="115">
        <v>436.6</v>
      </c>
      <c r="G1439">
        <v>2133</v>
      </c>
      <c r="H1439" s="115"/>
      <c r="I1439" s="115"/>
      <c r="L1439" s="169">
        <v>44125</v>
      </c>
      <c r="M1439" s="115">
        <v>92.88</v>
      </c>
      <c r="N1439" s="115">
        <v>93.6</v>
      </c>
      <c r="O1439" s="115">
        <v>92.01</v>
      </c>
      <c r="P1439" s="115">
        <v>92.01</v>
      </c>
      <c r="Q1439" s="115">
        <v>464.4</v>
      </c>
      <c r="R1439">
        <v>5506</v>
      </c>
    </row>
    <row r="1440" spans="1:18" x14ac:dyDescent="0.25">
      <c r="A1440" s="169">
        <v>44134</v>
      </c>
      <c r="B1440" s="115">
        <v>91</v>
      </c>
      <c r="C1440" s="115">
        <v>90.88</v>
      </c>
      <c r="D1440" s="115">
        <v>88.57</v>
      </c>
      <c r="E1440" s="115">
        <v>88.57</v>
      </c>
      <c r="F1440" s="115">
        <v>454.4</v>
      </c>
      <c r="G1440">
        <v>569</v>
      </c>
      <c r="H1440" s="115"/>
      <c r="I1440" s="115"/>
      <c r="L1440" s="169">
        <v>44126</v>
      </c>
      <c r="M1440" s="115">
        <v>90.68</v>
      </c>
      <c r="N1440" s="115">
        <v>93.19</v>
      </c>
      <c r="O1440" s="115">
        <v>89.72</v>
      </c>
      <c r="P1440" s="115">
        <v>92.4</v>
      </c>
      <c r="Q1440" s="115">
        <v>453.4</v>
      </c>
      <c r="R1440">
        <v>44151</v>
      </c>
    </row>
    <row r="1441" spans="1:18" x14ac:dyDescent="0.25">
      <c r="A1441" s="169">
        <v>44137</v>
      </c>
      <c r="B1441" s="115">
        <v>90.35</v>
      </c>
      <c r="C1441" s="115">
        <v>88.25</v>
      </c>
      <c r="D1441" s="115">
        <v>87.8</v>
      </c>
      <c r="E1441" s="115">
        <v>90.05</v>
      </c>
      <c r="F1441" s="115">
        <v>441.25</v>
      </c>
      <c r="G1441">
        <v>1203</v>
      </c>
      <c r="H1441" s="115"/>
      <c r="I1441" s="115"/>
      <c r="L1441" s="169">
        <v>44127</v>
      </c>
      <c r="M1441" s="115">
        <v>90.86</v>
      </c>
      <c r="N1441" s="115">
        <v>92</v>
      </c>
      <c r="O1441" s="115">
        <v>90.42</v>
      </c>
      <c r="P1441" s="115">
        <v>90.68</v>
      </c>
      <c r="Q1441" s="115">
        <v>454.3</v>
      </c>
      <c r="R1441">
        <v>23927</v>
      </c>
    </row>
    <row r="1442" spans="1:18" x14ac:dyDescent="0.25">
      <c r="A1442" s="169">
        <v>44138</v>
      </c>
      <c r="B1442" s="115">
        <v>90.24</v>
      </c>
      <c r="C1442" s="115">
        <v>88.08</v>
      </c>
      <c r="D1442" s="115">
        <v>87.11</v>
      </c>
      <c r="E1442" s="115">
        <v>89</v>
      </c>
      <c r="F1442" s="115">
        <v>440.4</v>
      </c>
      <c r="G1442">
        <v>692</v>
      </c>
      <c r="H1442" s="115"/>
      <c r="I1442" s="115"/>
      <c r="L1442" s="169">
        <v>44130</v>
      </c>
      <c r="M1442" s="115">
        <v>89.18</v>
      </c>
      <c r="N1442" s="115">
        <v>92.22</v>
      </c>
      <c r="O1442" s="115">
        <v>88.71</v>
      </c>
      <c r="P1442" s="115">
        <v>90.6</v>
      </c>
      <c r="Q1442" s="115">
        <v>445.9</v>
      </c>
      <c r="R1442">
        <v>31913</v>
      </c>
    </row>
    <row r="1443" spans="1:18" x14ac:dyDescent="0.25">
      <c r="A1443" s="169">
        <v>44139</v>
      </c>
      <c r="B1443" s="115">
        <v>91.38</v>
      </c>
      <c r="C1443" s="115">
        <v>91.21</v>
      </c>
      <c r="D1443" s="115">
        <v>87.2</v>
      </c>
      <c r="E1443" s="115">
        <v>89.27</v>
      </c>
      <c r="F1443" s="115">
        <v>456.05</v>
      </c>
      <c r="G1443">
        <v>726</v>
      </c>
      <c r="H1443" s="115"/>
      <c r="I1443" s="115"/>
      <c r="L1443" s="169">
        <v>44131</v>
      </c>
      <c r="M1443" s="115">
        <v>89.06</v>
      </c>
      <c r="N1443" s="115">
        <v>90.2</v>
      </c>
      <c r="O1443" s="115">
        <v>88.56</v>
      </c>
      <c r="P1443" s="115">
        <v>90.16</v>
      </c>
      <c r="Q1443" s="115">
        <v>445.3</v>
      </c>
      <c r="R1443">
        <v>16631</v>
      </c>
    </row>
    <row r="1444" spans="1:18" x14ac:dyDescent="0.25">
      <c r="A1444" s="169">
        <v>44140</v>
      </c>
      <c r="B1444" s="115">
        <v>93.4</v>
      </c>
      <c r="C1444" s="115">
        <v>91.96</v>
      </c>
      <c r="D1444" s="115">
        <v>90.87</v>
      </c>
      <c r="E1444" s="115">
        <v>91.46</v>
      </c>
      <c r="F1444" s="115">
        <v>459.8</v>
      </c>
      <c r="G1444">
        <v>697</v>
      </c>
      <c r="H1444" s="115"/>
      <c r="I1444" s="115"/>
      <c r="L1444" s="169">
        <v>44132</v>
      </c>
      <c r="M1444" s="115">
        <v>86.37</v>
      </c>
      <c r="N1444" s="115">
        <v>89.4</v>
      </c>
      <c r="O1444" s="115">
        <v>85.94</v>
      </c>
      <c r="P1444" s="115">
        <v>89.06</v>
      </c>
      <c r="Q1444" s="115">
        <v>431.85</v>
      </c>
      <c r="R1444">
        <v>41509</v>
      </c>
    </row>
    <row r="1445" spans="1:18" x14ac:dyDescent="0.25">
      <c r="A1445" s="169">
        <v>44141</v>
      </c>
      <c r="B1445" s="115">
        <v>107.79</v>
      </c>
      <c r="C1445" s="115">
        <v>102.49</v>
      </c>
      <c r="D1445" s="115">
        <v>98.6</v>
      </c>
      <c r="E1445" s="115">
        <v>98.6</v>
      </c>
      <c r="F1445" s="115">
        <v>512.45000000000005</v>
      </c>
      <c r="G1445">
        <v>34816</v>
      </c>
      <c r="H1445" s="115"/>
      <c r="I1445" s="115"/>
      <c r="L1445" s="169">
        <v>44133</v>
      </c>
      <c r="M1445" s="115">
        <v>87.37</v>
      </c>
      <c r="N1445" s="115">
        <v>89</v>
      </c>
      <c r="O1445" s="115">
        <v>85.5</v>
      </c>
      <c r="P1445" s="115">
        <v>86.37</v>
      </c>
      <c r="Q1445" s="115">
        <v>436.85</v>
      </c>
      <c r="R1445">
        <v>25589</v>
      </c>
    </row>
    <row r="1446" spans="1:18" x14ac:dyDescent="0.25">
      <c r="A1446" s="169">
        <v>44144</v>
      </c>
      <c r="B1446" s="115">
        <v>103.11</v>
      </c>
      <c r="C1446" s="115">
        <v>100.9</v>
      </c>
      <c r="D1446" s="115">
        <v>100.49</v>
      </c>
      <c r="E1446" s="115">
        <v>103</v>
      </c>
      <c r="F1446" s="115">
        <v>504.5</v>
      </c>
      <c r="G1446">
        <v>8685</v>
      </c>
      <c r="H1446" s="115"/>
      <c r="I1446" s="115"/>
      <c r="L1446" s="169">
        <v>44134</v>
      </c>
      <c r="M1446" s="115">
        <v>90.57</v>
      </c>
      <c r="N1446" s="115">
        <v>91.18</v>
      </c>
      <c r="O1446" s="115">
        <v>87.47</v>
      </c>
      <c r="P1446" s="115">
        <v>87.62</v>
      </c>
      <c r="Q1446" s="115">
        <v>452.85</v>
      </c>
      <c r="R1446">
        <v>20838</v>
      </c>
    </row>
    <row r="1447" spans="1:18" x14ac:dyDescent="0.25">
      <c r="A1447" s="169">
        <v>44145</v>
      </c>
      <c r="B1447" s="115">
        <v>101.05</v>
      </c>
      <c r="C1447" s="115">
        <v>99.14</v>
      </c>
      <c r="D1447" s="115">
        <v>98</v>
      </c>
      <c r="E1447" s="115">
        <v>100.52</v>
      </c>
      <c r="F1447" s="115">
        <v>495.7</v>
      </c>
      <c r="G1447">
        <v>1382</v>
      </c>
      <c r="H1447" s="115"/>
      <c r="I1447" s="115"/>
      <c r="L1447" s="169">
        <v>44137</v>
      </c>
      <c r="M1447" s="115">
        <v>88.15</v>
      </c>
      <c r="N1447" s="115">
        <v>90.97</v>
      </c>
      <c r="O1447" s="115">
        <v>87.4</v>
      </c>
      <c r="P1447" s="115">
        <v>90.97</v>
      </c>
      <c r="Q1447" s="115">
        <v>440.75</v>
      </c>
      <c r="R1447">
        <v>28158</v>
      </c>
    </row>
    <row r="1448" spans="1:18" x14ac:dyDescent="0.25">
      <c r="A1448" s="169">
        <v>44146</v>
      </c>
      <c r="B1448" s="115">
        <v>102</v>
      </c>
      <c r="C1448" s="115">
        <v>101.27</v>
      </c>
      <c r="D1448" s="115">
        <v>97.4</v>
      </c>
      <c r="E1448" s="115">
        <v>98.4</v>
      </c>
      <c r="F1448" s="115">
        <v>506.35</v>
      </c>
      <c r="G1448">
        <v>3152</v>
      </c>
      <c r="H1448" s="115"/>
      <c r="I1448" s="115"/>
      <c r="L1448" s="169">
        <v>44138</v>
      </c>
      <c r="M1448" s="115">
        <v>88.45</v>
      </c>
      <c r="N1448" s="115">
        <v>90.4</v>
      </c>
      <c r="O1448" s="115">
        <v>88.15</v>
      </c>
      <c r="P1448" s="115">
        <v>89.2</v>
      </c>
      <c r="Q1448" s="115">
        <v>442.25</v>
      </c>
      <c r="R1448">
        <v>13902</v>
      </c>
    </row>
    <row r="1449" spans="1:18" x14ac:dyDescent="0.25">
      <c r="A1449" s="169">
        <v>44147</v>
      </c>
      <c r="B1449" s="115">
        <v>101.44</v>
      </c>
      <c r="C1449" s="115">
        <v>100.8</v>
      </c>
      <c r="D1449" s="115">
        <v>100</v>
      </c>
      <c r="E1449" s="115">
        <v>100.61</v>
      </c>
      <c r="F1449" s="115">
        <v>504</v>
      </c>
      <c r="G1449">
        <v>1762</v>
      </c>
      <c r="H1449" s="115"/>
      <c r="I1449" s="115"/>
      <c r="L1449" s="169">
        <v>44139</v>
      </c>
      <c r="M1449" s="115">
        <v>91.23</v>
      </c>
      <c r="N1449" s="115">
        <v>91.6</v>
      </c>
      <c r="O1449" s="115">
        <v>88.74</v>
      </c>
      <c r="P1449" s="115">
        <v>88.9</v>
      </c>
      <c r="Q1449" s="115">
        <v>456.15</v>
      </c>
      <c r="R1449">
        <v>20613</v>
      </c>
    </row>
    <row r="1450" spans="1:18" x14ac:dyDescent="0.25">
      <c r="A1450" s="169">
        <v>44148</v>
      </c>
      <c r="B1450" s="115">
        <v>102.6</v>
      </c>
      <c r="C1450" s="115">
        <v>102.15</v>
      </c>
      <c r="D1450" s="115">
        <v>99.43</v>
      </c>
      <c r="E1450" s="115">
        <v>100.06</v>
      </c>
      <c r="F1450" s="115">
        <v>510.75</v>
      </c>
      <c r="G1450">
        <v>1041</v>
      </c>
      <c r="H1450" s="115"/>
      <c r="I1450" s="115"/>
      <c r="L1450" s="169">
        <v>44140</v>
      </c>
      <c r="M1450" s="115">
        <v>92.16</v>
      </c>
      <c r="N1450" s="115">
        <v>94.8</v>
      </c>
      <c r="O1450" s="115">
        <v>90.22</v>
      </c>
      <c r="P1450" s="115">
        <v>91.68</v>
      </c>
      <c r="Q1450" s="115">
        <v>460.8</v>
      </c>
      <c r="R1450">
        <v>30163</v>
      </c>
    </row>
    <row r="1451" spans="1:18" x14ac:dyDescent="0.25">
      <c r="A1451" s="169">
        <v>44149</v>
      </c>
      <c r="B1451" s="115">
        <v>103.59</v>
      </c>
      <c r="C1451" s="115">
        <v>102.84</v>
      </c>
      <c r="D1451" s="115">
        <v>102</v>
      </c>
      <c r="E1451" s="115">
        <v>102.4</v>
      </c>
      <c r="F1451" s="115">
        <v>514.20000000000005</v>
      </c>
      <c r="G1451">
        <v>1032</v>
      </c>
      <c r="H1451" s="115"/>
      <c r="I1451" s="115"/>
      <c r="L1451" s="169">
        <v>44141</v>
      </c>
      <c r="M1451" s="115">
        <v>102.15</v>
      </c>
      <c r="N1451" s="115">
        <v>107.99</v>
      </c>
      <c r="O1451" s="115">
        <v>99.66</v>
      </c>
      <c r="P1451" s="115">
        <v>100.4</v>
      </c>
      <c r="Q1451" s="115">
        <v>510.75</v>
      </c>
      <c r="R1451">
        <v>725189</v>
      </c>
    </row>
    <row r="1452" spans="1:18" x14ac:dyDescent="0.25">
      <c r="A1452" s="169">
        <v>44152</v>
      </c>
      <c r="B1452" s="115">
        <v>105.96</v>
      </c>
      <c r="C1452" s="115">
        <v>105.35</v>
      </c>
      <c r="D1452" s="115">
        <v>102.8</v>
      </c>
      <c r="E1452" s="115">
        <v>102.8</v>
      </c>
      <c r="F1452" s="115">
        <v>526.75</v>
      </c>
      <c r="G1452">
        <v>4085</v>
      </c>
      <c r="H1452" s="115"/>
      <c r="I1452" s="115"/>
      <c r="L1452" s="169">
        <v>44144</v>
      </c>
      <c r="M1452" s="115">
        <v>101.03</v>
      </c>
      <c r="N1452" s="115">
        <v>103.28</v>
      </c>
      <c r="O1452" s="115">
        <v>100.59</v>
      </c>
      <c r="P1452" s="115">
        <v>102</v>
      </c>
      <c r="Q1452" s="115">
        <v>505.15</v>
      </c>
      <c r="R1452">
        <v>47486</v>
      </c>
    </row>
    <row r="1453" spans="1:18" x14ac:dyDescent="0.25">
      <c r="A1453" s="169">
        <v>44153</v>
      </c>
      <c r="B1453" s="115">
        <v>106.79</v>
      </c>
      <c r="C1453" s="115">
        <v>106.08</v>
      </c>
      <c r="D1453" s="115">
        <v>104.33</v>
      </c>
      <c r="E1453" s="115">
        <v>106</v>
      </c>
      <c r="F1453" s="115">
        <v>530.4</v>
      </c>
      <c r="G1453">
        <v>90235</v>
      </c>
      <c r="H1453" s="115"/>
      <c r="I1453" s="115"/>
      <c r="L1453" s="169">
        <v>44145</v>
      </c>
      <c r="M1453" s="115">
        <v>99.01</v>
      </c>
      <c r="N1453" s="115">
        <v>101.53</v>
      </c>
      <c r="O1453" s="115">
        <v>98</v>
      </c>
      <c r="P1453" s="115">
        <v>101.2</v>
      </c>
      <c r="Q1453" s="115">
        <v>495.05</v>
      </c>
      <c r="R1453">
        <v>32184</v>
      </c>
    </row>
    <row r="1454" spans="1:18" x14ac:dyDescent="0.25">
      <c r="A1454" s="169">
        <v>44154</v>
      </c>
      <c r="B1454" s="115">
        <v>107.8</v>
      </c>
      <c r="C1454" s="115">
        <v>105.3</v>
      </c>
      <c r="D1454" s="115">
        <v>104.71</v>
      </c>
      <c r="E1454" s="115">
        <v>105.47</v>
      </c>
      <c r="F1454" s="115">
        <v>526.5</v>
      </c>
      <c r="G1454">
        <v>4901</v>
      </c>
      <c r="H1454" s="115"/>
      <c r="I1454" s="115"/>
      <c r="L1454" s="169">
        <v>44146</v>
      </c>
      <c r="M1454" s="115">
        <v>101.37</v>
      </c>
      <c r="N1454" s="115">
        <v>102.2</v>
      </c>
      <c r="O1454" s="115">
        <v>98.04</v>
      </c>
      <c r="P1454" s="115">
        <v>99.37</v>
      </c>
      <c r="Q1454" s="115">
        <v>506.85</v>
      </c>
      <c r="R1454">
        <v>25646</v>
      </c>
    </row>
    <row r="1455" spans="1:18" x14ac:dyDescent="0.25">
      <c r="A1455" s="169">
        <v>44155</v>
      </c>
      <c r="B1455" s="115">
        <v>105.54</v>
      </c>
      <c r="C1455" s="115">
        <v>105.23</v>
      </c>
      <c r="D1455" s="115">
        <v>102.2</v>
      </c>
      <c r="E1455" s="115">
        <v>102.2</v>
      </c>
      <c r="F1455" s="115">
        <v>526.15</v>
      </c>
      <c r="G1455">
        <v>2076</v>
      </c>
      <c r="H1455" s="115"/>
      <c r="I1455" s="115"/>
      <c r="L1455" s="169">
        <v>44147</v>
      </c>
      <c r="M1455" s="115">
        <v>100.85</v>
      </c>
      <c r="N1455" s="115">
        <v>101.87</v>
      </c>
      <c r="O1455" s="115">
        <v>100.01</v>
      </c>
      <c r="P1455" s="115">
        <v>101.79</v>
      </c>
      <c r="Q1455" s="115">
        <v>504.25</v>
      </c>
      <c r="R1455">
        <v>20085</v>
      </c>
    </row>
    <row r="1456" spans="1:18" x14ac:dyDescent="0.25">
      <c r="A1456" s="169">
        <v>44158</v>
      </c>
      <c r="B1456" s="115">
        <v>109.8</v>
      </c>
      <c r="C1456" s="115">
        <v>108.88</v>
      </c>
      <c r="D1456" s="115">
        <v>104.4</v>
      </c>
      <c r="E1456" s="115">
        <v>104.4</v>
      </c>
      <c r="F1456" s="115">
        <v>544.4</v>
      </c>
      <c r="G1456">
        <v>4884</v>
      </c>
      <c r="H1456" s="115"/>
      <c r="I1456" s="115"/>
      <c r="L1456" s="169">
        <v>44148</v>
      </c>
      <c r="M1456" s="115">
        <v>101.89</v>
      </c>
      <c r="N1456" s="115">
        <v>102.49</v>
      </c>
      <c r="O1456" s="115">
        <v>99.6</v>
      </c>
      <c r="P1456" s="115">
        <v>100.8</v>
      </c>
      <c r="Q1456" s="115">
        <v>509.45</v>
      </c>
      <c r="R1456">
        <v>32483</v>
      </c>
    </row>
    <row r="1457" spans="1:18" x14ac:dyDescent="0.25">
      <c r="A1457" s="169">
        <v>44159</v>
      </c>
      <c r="B1457" s="115">
        <v>115.48</v>
      </c>
      <c r="C1457" s="115">
        <v>114.49</v>
      </c>
      <c r="D1457" s="115">
        <v>109.1</v>
      </c>
      <c r="E1457" s="115">
        <v>109.1</v>
      </c>
      <c r="F1457" s="115">
        <v>572.45000000000005</v>
      </c>
      <c r="G1457">
        <v>16882</v>
      </c>
      <c r="H1457" s="115"/>
      <c r="I1457" s="115"/>
      <c r="L1457" s="169">
        <v>44149</v>
      </c>
      <c r="M1457" s="115">
        <v>102.87</v>
      </c>
      <c r="N1457" s="115">
        <v>103.98</v>
      </c>
      <c r="O1457" s="115">
        <v>102</v>
      </c>
      <c r="P1457" s="115">
        <v>103</v>
      </c>
      <c r="Q1457" s="115">
        <v>514.35</v>
      </c>
      <c r="R1457">
        <v>12898</v>
      </c>
    </row>
    <row r="1458" spans="1:18" x14ac:dyDescent="0.25">
      <c r="A1458" s="169">
        <v>44160</v>
      </c>
      <c r="B1458" s="115">
        <v>114.7</v>
      </c>
      <c r="C1458" s="115">
        <v>112.53</v>
      </c>
      <c r="D1458" s="115">
        <v>111.2</v>
      </c>
      <c r="E1458" s="115">
        <v>114.7</v>
      </c>
      <c r="F1458" s="115">
        <v>562.65</v>
      </c>
      <c r="G1458">
        <v>4278</v>
      </c>
      <c r="H1458" s="115"/>
      <c r="I1458" s="115"/>
      <c r="L1458" s="169">
        <v>44152</v>
      </c>
      <c r="M1458" s="115">
        <v>105.16</v>
      </c>
      <c r="N1458" s="115">
        <v>105.77</v>
      </c>
      <c r="O1458" s="115">
        <v>103.2</v>
      </c>
      <c r="P1458" s="115">
        <v>103.2</v>
      </c>
      <c r="Q1458" s="115">
        <v>525.79999999999995</v>
      </c>
      <c r="R1458">
        <v>47619</v>
      </c>
    </row>
    <row r="1459" spans="1:18" x14ac:dyDescent="0.25">
      <c r="A1459" s="169">
        <v>44161</v>
      </c>
      <c r="B1459" s="115">
        <v>114.91</v>
      </c>
      <c r="C1459" s="115">
        <v>113.48</v>
      </c>
      <c r="D1459" s="115">
        <v>111.4</v>
      </c>
      <c r="E1459" s="115">
        <v>112.23</v>
      </c>
      <c r="F1459" s="115">
        <v>567.4</v>
      </c>
      <c r="G1459">
        <v>2603</v>
      </c>
      <c r="H1459" s="115"/>
      <c r="I1459" s="115"/>
      <c r="L1459" s="169">
        <v>44153</v>
      </c>
      <c r="M1459" s="115">
        <v>106.05</v>
      </c>
      <c r="N1459" s="115">
        <v>106.96</v>
      </c>
      <c r="O1459" s="115">
        <v>104.68</v>
      </c>
      <c r="P1459" s="115">
        <v>105.69</v>
      </c>
      <c r="Q1459" s="115">
        <v>530.25</v>
      </c>
      <c r="R1459">
        <v>34868</v>
      </c>
    </row>
    <row r="1460" spans="1:18" x14ac:dyDescent="0.25">
      <c r="A1460" s="169">
        <v>44162</v>
      </c>
      <c r="B1460" s="115">
        <v>114.6</v>
      </c>
      <c r="C1460" s="115">
        <v>113.66</v>
      </c>
      <c r="D1460" s="115">
        <v>111.69</v>
      </c>
      <c r="E1460" s="115">
        <v>113.1</v>
      </c>
      <c r="F1460" s="115">
        <v>568.29999999999995</v>
      </c>
      <c r="G1460">
        <v>1471</v>
      </c>
      <c r="H1460" s="115"/>
      <c r="I1460" s="115"/>
      <c r="L1460" s="169">
        <v>44154</v>
      </c>
      <c r="M1460" s="115">
        <v>104.99</v>
      </c>
      <c r="N1460" s="115">
        <v>107.8</v>
      </c>
      <c r="O1460" s="115">
        <v>104.35</v>
      </c>
      <c r="P1460" s="115">
        <v>105.1</v>
      </c>
      <c r="Q1460" s="115">
        <v>524.95000000000005</v>
      </c>
      <c r="R1460">
        <v>38803</v>
      </c>
    </row>
    <row r="1461" spans="1:18" x14ac:dyDescent="0.25">
      <c r="A1461" s="169">
        <v>44166</v>
      </c>
      <c r="B1461" s="115">
        <v>116.6</v>
      </c>
      <c r="C1461" s="115">
        <v>113.41</v>
      </c>
      <c r="D1461" s="115">
        <v>112.7</v>
      </c>
      <c r="E1461" s="115">
        <v>116.6</v>
      </c>
      <c r="F1461" s="115">
        <v>567.04999999999995</v>
      </c>
      <c r="G1461">
        <v>1295</v>
      </c>
      <c r="H1461" s="115"/>
      <c r="I1461" s="115"/>
      <c r="L1461" s="169">
        <v>44155</v>
      </c>
      <c r="M1461" s="115">
        <v>105</v>
      </c>
      <c r="N1461" s="115">
        <v>105.49</v>
      </c>
      <c r="O1461" s="115">
        <v>103.39</v>
      </c>
      <c r="P1461" s="115">
        <v>104.2</v>
      </c>
      <c r="Q1461" s="115">
        <v>525</v>
      </c>
      <c r="R1461">
        <v>64003</v>
      </c>
    </row>
    <row r="1462" spans="1:18" x14ac:dyDescent="0.25">
      <c r="A1462" s="169">
        <v>44167</v>
      </c>
      <c r="B1462" s="115">
        <v>114.85</v>
      </c>
      <c r="C1462" s="115">
        <v>114.37</v>
      </c>
      <c r="D1462" s="115">
        <v>113.65</v>
      </c>
      <c r="E1462" s="115">
        <v>113.88</v>
      </c>
      <c r="F1462" s="115">
        <v>571.85</v>
      </c>
      <c r="G1462">
        <v>2753</v>
      </c>
      <c r="H1462" s="115"/>
      <c r="I1462" s="115"/>
      <c r="L1462" s="169">
        <v>44158</v>
      </c>
      <c r="M1462" s="115">
        <v>109.05</v>
      </c>
      <c r="N1462" s="115">
        <v>109.98</v>
      </c>
      <c r="O1462" s="115">
        <v>105</v>
      </c>
      <c r="P1462" s="115">
        <v>105</v>
      </c>
      <c r="Q1462" s="115">
        <v>545.25</v>
      </c>
      <c r="R1462">
        <v>102224</v>
      </c>
    </row>
    <row r="1463" spans="1:18" x14ac:dyDescent="0.25">
      <c r="A1463" s="169">
        <v>44168</v>
      </c>
      <c r="B1463" s="115">
        <v>114.44</v>
      </c>
      <c r="C1463" s="115">
        <v>113.37</v>
      </c>
      <c r="D1463" s="115">
        <v>112.72</v>
      </c>
      <c r="E1463" s="115">
        <v>114</v>
      </c>
      <c r="F1463" s="115">
        <v>566.85</v>
      </c>
      <c r="G1463">
        <v>1548</v>
      </c>
      <c r="H1463" s="115"/>
      <c r="I1463" s="115"/>
      <c r="L1463" s="169">
        <v>44159</v>
      </c>
      <c r="M1463" s="115">
        <v>114.59</v>
      </c>
      <c r="N1463" s="115">
        <v>115.5</v>
      </c>
      <c r="O1463" s="115">
        <v>109.11</v>
      </c>
      <c r="P1463" s="115">
        <v>109.79</v>
      </c>
      <c r="Q1463" s="115">
        <v>572.95000000000005</v>
      </c>
      <c r="R1463">
        <v>200003</v>
      </c>
    </row>
    <row r="1464" spans="1:18" x14ac:dyDescent="0.25">
      <c r="A1464" s="169">
        <v>44169</v>
      </c>
      <c r="B1464" s="115">
        <v>118.98</v>
      </c>
      <c r="C1464" s="115">
        <v>115.84</v>
      </c>
      <c r="D1464" s="115">
        <v>113.72</v>
      </c>
      <c r="E1464" s="115">
        <v>113.92</v>
      </c>
      <c r="F1464" s="115">
        <v>579.20000000000005</v>
      </c>
      <c r="G1464">
        <v>11189</v>
      </c>
      <c r="H1464" s="115"/>
      <c r="I1464" s="115"/>
      <c r="L1464" s="169">
        <v>44160</v>
      </c>
      <c r="M1464" s="115">
        <v>112.37</v>
      </c>
      <c r="N1464" s="115">
        <v>115.65</v>
      </c>
      <c r="O1464" s="115">
        <v>111.07</v>
      </c>
      <c r="P1464" s="115">
        <v>115.65</v>
      </c>
      <c r="Q1464" s="115">
        <v>561.85</v>
      </c>
      <c r="R1464">
        <v>67922</v>
      </c>
    </row>
    <row r="1465" spans="1:18" x14ac:dyDescent="0.25">
      <c r="A1465" s="169">
        <v>44172</v>
      </c>
      <c r="B1465" s="115">
        <v>118.8</v>
      </c>
      <c r="C1465" s="115">
        <v>115.49</v>
      </c>
      <c r="D1465" s="115">
        <v>115.04</v>
      </c>
      <c r="E1465" s="115">
        <v>118.8</v>
      </c>
      <c r="F1465" s="115">
        <v>577.45000000000005</v>
      </c>
      <c r="G1465">
        <v>3813</v>
      </c>
      <c r="H1465" s="115"/>
      <c r="I1465" s="115"/>
      <c r="L1465" s="169">
        <v>44161</v>
      </c>
      <c r="M1465" s="115">
        <v>113.54</v>
      </c>
      <c r="N1465" s="115">
        <v>114.8</v>
      </c>
      <c r="O1465" s="115">
        <v>111.42</v>
      </c>
      <c r="P1465" s="115">
        <v>112.93</v>
      </c>
      <c r="Q1465" s="115">
        <v>567.70000000000005</v>
      </c>
      <c r="R1465">
        <v>21340</v>
      </c>
    </row>
    <row r="1466" spans="1:18" x14ac:dyDescent="0.25">
      <c r="A1466" s="169">
        <v>44173</v>
      </c>
      <c r="B1466" s="115">
        <v>117.12</v>
      </c>
      <c r="C1466" s="115">
        <v>114.4</v>
      </c>
      <c r="D1466" s="115">
        <v>113.26</v>
      </c>
      <c r="E1466" s="115">
        <v>116.84</v>
      </c>
      <c r="F1466" s="115">
        <v>572</v>
      </c>
      <c r="G1466">
        <v>3987</v>
      </c>
      <c r="H1466" s="115"/>
      <c r="I1466" s="115"/>
      <c r="L1466" s="169">
        <v>44162</v>
      </c>
      <c r="M1466" s="115">
        <v>113.85</v>
      </c>
      <c r="N1466" s="115">
        <v>114.53</v>
      </c>
      <c r="O1466" s="115">
        <v>111.45</v>
      </c>
      <c r="P1466" s="115">
        <v>114.11</v>
      </c>
      <c r="Q1466" s="115">
        <v>569.25</v>
      </c>
      <c r="R1466">
        <v>30371</v>
      </c>
    </row>
    <row r="1467" spans="1:18" x14ac:dyDescent="0.25">
      <c r="A1467" s="169">
        <v>44174</v>
      </c>
      <c r="B1467" s="115">
        <v>119.4</v>
      </c>
      <c r="C1467" s="115">
        <v>118.1</v>
      </c>
      <c r="D1467" s="115">
        <v>114.66</v>
      </c>
      <c r="E1467" s="115">
        <v>118.8</v>
      </c>
      <c r="F1467" s="115">
        <v>590.5</v>
      </c>
      <c r="G1467">
        <v>5917</v>
      </c>
      <c r="H1467" s="115"/>
      <c r="I1467" s="115"/>
      <c r="L1467" s="169">
        <v>44166</v>
      </c>
      <c r="M1467" s="115">
        <v>113.55</v>
      </c>
      <c r="N1467" s="115">
        <v>114.6</v>
      </c>
      <c r="O1467" s="115">
        <v>112.67</v>
      </c>
      <c r="P1467" s="115">
        <v>114.42</v>
      </c>
      <c r="Q1467" s="115">
        <v>567.75</v>
      </c>
      <c r="R1467">
        <v>73090</v>
      </c>
    </row>
    <row r="1468" spans="1:18" x14ac:dyDescent="0.25">
      <c r="A1468" s="169">
        <v>44175</v>
      </c>
      <c r="B1468" s="115">
        <v>120.8</v>
      </c>
      <c r="C1468" s="115">
        <v>119.44</v>
      </c>
      <c r="D1468" s="115">
        <v>118.39</v>
      </c>
      <c r="E1468" s="115">
        <v>118.39</v>
      </c>
      <c r="F1468" s="115">
        <v>597.20000000000005</v>
      </c>
      <c r="G1468">
        <v>5725</v>
      </c>
      <c r="H1468" s="115"/>
      <c r="I1468" s="115"/>
      <c r="L1468" s="169">
        <v>44167</v>
      </c>
      <c r="M1468" s="115">
        <v>114.38</v>
      </c>
      <c r="N1468" s="115">
        <v>115.01</v>
      </c>
      <c r="O1468" s="115">
        <v>113.41</v>
      </c>
      <c r="P1468" s="115">
        <v>113.54</v>
      </c>
      <c r="Q1468" s="115">
        <v>571.9</v>
      </c>
      <c r="R1468">
        <v>29840</v>
      </c>
    </row>
    <row r="1469" spans="1:18" x14ac:dyDescent="0.25">
      <c r="A1469" s="169">
        <v>44176</v>
      </c>
      <c r="B1469" s="115">
        <v>124.89</v>
      </c>
      <c r="C1469" s="115">
        <v>122.41</v>
      </c>
      <c r="D1469" s="115">
        <v>118.6</v>
      </c>
      <c r="E1469" s="115">
        <v>118.6</v>
      </c>
      <c r="F1469" s="115">
        <v>612.04999999999995</v>
      </c>
      <c r="G1469">
        <v>3057</v>
      </c>
      <c r="H1469" s="115"/>
      <c r="I1469" s="115"/>
      <c r="L1469" s="169">
        <v>44168</v>
      </c>
      <c r="M1469" s="115">
        <v>113.03</v>
      </c>
      <c r="N1469" s="115">
        <v>114.88</v>
      </c>
      <c r="O1469" s="115">
        <v>112.63</v>
      </c>
      <c r="P1469" s="115">
        <v>114</v>
      </c>
      <c r="Q1469" s="115">
        <v>565.15</v>
      </c>
      <c r="R1469">
        <v>25860</v>
      </c>
    </row>
    <row r="1470" spans="1:18" x14ac:dyDescent="0.25">
      <c r="A1470" s="169">
        <v>44179</v>
      </c>
      <c r="B1470" s="115">
        <v>127.55</v>
      </c>
      <c r="C1470" s="115">
        <v>126.14</v>
      </c>
      <c r="D1470" s="115">
        <v>123</v>
      </c>
      <c r="E1470" s="115">
        <v>123</v>
      </c>
      <c r="F1470" s="115">
        <v>630.70000000000005</v>
      </c>
      <c r="G1470">
        <v>1857</v>
      </c>
      <c r="H1470" s="115"/>
      <c r="I1470" s="115"/>
      <c r="L1470" s="169">
        <v>44169</v>
      </c>
      <c r="M1470" s="115">
        <v>115.62</v>
      </c>
      <c r="N1470" s="115">
        <v>119.2</v>
      </c>
      <c r="O1470" s="115">
        <v>113.6</v>
      </c>
      <c r="P1470" s="115">
        <v>114.8</v>
      </c>
      <c r="Q1470" s="115">
        <v>578.1</v>
      </c>
      <c r="R1470">
        <v>109966</v>
      </c>
    </row>
    <row r="1471" spans="1:18" x14ac:dyDescent="0.25">
      <c r="A1471" s="169">
        <v>44180</v>
      </c>
      <c r="B1471" s="115">
        <v>127.89</v>
      </c>
      <c r="C1471" s="115">
        <v>127.06</v>
      </c>
      <c r="D1471" s="115">
        <v>124.51</v>
      </c>
      <c r="E1471" s="115">
        <v>126.43</v>
      </c>
      <c r="F1471" s="115">
        <v>635.29999999999995</v>
      </c>
      <c r="G1471">
        <v>1330</v>
      </c>
      <c r="H1471" s="115"/>
      <c r="I1471" s="115"/>
      <c r="L1471" s="169">
        <v>44172</v>
      </c>
      <c r="M1471" s="115">
        <v>115.48</v>
      </c>
      <c r="N1471" s="115">
        <v>118</v>
      </c>
      <c r="O1471" s="115">
        <v>114.8</v>
      </c>
      <c r="P1471" s="115">
        <v>118</v>
      </c>
      <c r="Q1471" s="115">
        <v>577.4</v>
      </c>
      <c r="R1471">
        <v>24781</v>
      </c>
    </row>
    <row r="1472" spans="1:18" x14ac:dyDescent="0.25">
      <c r="A1472" s="169">
        <v>44181</v>
      </c>
      <c r="B1472" s="115">
        <v>128.72</v>
      </c>
      <c r="C1472" s="115">
        <v>126.98</v>
      </c>
      <c r="D1472" s="115">
        <v>126.55</v>
      </c>
      <c r="E1472" s="115">
        <v>127</v>
      </c>
      <c r="F1472" s="115">
        <v>634.9</v>
      </c>
      <c r="G1472">
        <v>841</v>
      </c>
      <c r="H1472" s="115"/>
      <c r="I1472" s="115"/>
      <c r="L1472" s="169">
        <v>44173</v>
      </c>
      <c r="M1472" s="115">
        <v>114.57</v>
      </c>
      <c r="N1472" s="115">
        <v>116.78</v>
      </c>
      <c r="O1472" s="115">
        <v>113.27</v>
      </c>
      <c r="P1472" s="115">
        <v>116.06</v>
      </c>
      <c r="Q1472" s="115">
        <v>572.85</v>
      </c>
      <c r="R1472">
        <v>20899</v>
      </c>
    </row>
    <row r="1473" spans="1:18" x14ac:dyDescent="0.25">
      <c r="A1473" s="169">
        <v>44182</v>
      </c>
      <c r="B1473" s="115">
        <v>127.48</v>
      </c>
      <c r="C1473" s="115">
        <v>127.03</v>
      </c>
      <c r="D1473" s="115">
        <v>126.76</v>
      </c>
      <c r="E1473" s="115">
        <v>126.79</v>
      </c>
      <c r="F1473" s="115">
        <v>635.15</v>
      </c>
      <c r="G1473">
        <v>890</v>
      </c>
      <c r="H1473" s="115"/>
      <c r="I1473" s="115"/>
      <c r="L1473" s="169">
        <v>44174</v>
      </c>
      <c r="M1473" s="115">
        <v>117.95</v>
      </c>
      <c r="N1473" s="115">
        <v>119.6</v>
      </c>
      <c r="O1473" s="115">
        <v>114.72</v>
      </c>
      <c r="P1473" s="115">
        <v>115</v>
      </c>
      <c r="Q1473" s="115">
        <v>589.75</v>
      </c>
      <c r="R1473">
        <v>57280</v>
      </c>
    </row>
    <row r="1474" spans="1:18" x14ac:dyDescent="0.25">
      <c r="A1474" s="169">
        <v>44183</v>
      </c>
      <c r="B1474" s="115">
        <v>127.37</v>
      </c>
      <c r="C1474" s="115">
        <v>126.85</v>
      </c>
      <c r="D1474" s="115">
        <v>123.39</v>
      </c>
      <c r="E1474" s="115">
        <v>127.2</v>
      </c>
      <c r="F1474" s="115">
        <v>634.25</v>
      </c>
      <c r="G1474">
        <v>2775</v>
      </c>
      <c r="H1474" s="115"/>
      <c r="I1474" s="115"/>
      <c r="L1474" s="169">
        <v>44175</v>
      </c>
      <c r="M1474" s="115">
        <v>119.67</v>
      </c>
      <c r="N1474" s="115">
        <v>121</v>
      </c>
      <c r="O1474" s="115">
        <v>117.59</v>
      </c>
      <c r="P1474" s="115">
        <v>117.8</v>
      </c>
      <c r="Q1474" s="115">
        <v>598.35</v>
      </c>
      <c r="R1474">
        <v>52308</v>
      </c>
    </row>
    <row r="1475" spans="1:18" x14ac:dyDescent="0.25">
      <c r="A1475" s="169">
        <v>44186</v>
      </c>
      <c r="B1475" s="115">
        <v>126.2</v>
      </c>
      <c r="C1475" s="115">
        <v>117.81</v>
      </c>
      <c r="D1475" s="115">
        <v>117.21</v>
      </c>
      <c r="E1475" s="115">
        <v>124.03</v>
      </c>
      <c r="F1475" s="115">
        <v>589.04999999999995</v>
      </c>
      <c r="G1475">
        <v>3066</v>
      </c>
      <c r="H1475" s="115"/>
      <c r="I1475" s="115"/>
      <c r="L1475" s="169">
        <v>44176</v>
      </c>
      <c r="M1475" s="115">
        <v>122.68</v>
      </c>
      <c r="N1475" s="115">
        <v>124.88</v>
      </c>
      <c r="O1475" s="115">
        <v>119.18</v>
      </c>
      <c r="P1475" s="115">
        <v>121.78</v>
      </c>
      <c r="Q1475" s="115">
        <v>613.4</v>
      </c>
      <c r="R1475">
        <v>42591</v>
      </c>
    </row>
    <row r="1476" spans="1:18" x14ac:dyDescent="0.25">
      <c r="A1476" s="169">
        <v>44187</v>
      </c>
      <c r="B1476" s="115">
        <v>120.27</v>
      </c>
      <c r="C1476" s="115">
        <v>119.35</v>
      </c>
      <c r="D1476" s="115">
        <v>113.23</v>
      </c>
      <c r="E1476" s="115">
        <v>118.85</v>
      </c>
      <c r="F1476" s="115">
        <v>596.75</v>
      </c>
      <c r="G1476">
        <v>1971</v>
      </c>
      <c r="H1476" s="115"/>
      <c r="I1476" s="115"/>
      <c r="L1476" s="169">
        <v>44179</v>
      </c>
      <c r="M1476" s="115">
        <v>126.37</v>
      </c>
      <c r="N1476" s="115">
        <v>127.7</v>
      </c>
      <c r="O1476" s="115">
        <v>123.4</v>
      </c>
      <c r="P1476" s="115">
        <v>123.4</v>
      </c>
      <c r="Q1476" s="115">
        <v>631.85</v>
      </c>
      <c r="R1476">
        <v>43175</v>
      </c>
    </row>
    <row r="1477" spans="1:18" x14ac:dyDescent="0.25">
      <c r="A1477" s="169">
        <v>44188</v>
      </c>
      <c r="B1477" s="115">
        <v>122.86</v>
      </c>
      <c r="C1477" s="115">
        <v>122.1</v>
      </c>
      <c r="D1477" s="115">
        <v>119.53</v>
      </c>
      <c r="E1477" s="115">
        <v>119.53</v>
      </c>
      <c r="F1477" s="115">
        <v>610.5</v>
      </c>
      <c r="G1477">
        <v>1616</v>
      </c>
      <c r="H1477" s="115"/>
      <c r="I1477" s="115"/>
      <c r="L1477" s="169">
        <v>44180</v>
      </c>
      <c r="M1477" s="115">
        <v>127.12</v>
      </c>
      <c r="N1477" s="115">
        <v>128</v>
      </c>
      <c r="O1477" s="115">
        <v>124.22</v>
      </c>
      <c r="P1477" s="115">
        <v>125.12</v>
      </c>
      <c r="Q1477" s="115">
        <v>635.6</v>
      </c>
      <c r="R1477">
        <v>34777</v>
      </c>
    </row>
    <row r="1478" spans="1:18" x14ac:dyDescent="0.25">
      <c r="A1478" s="169">
        <v>44189</v>
      </c>
      <c r="B1478" s="115">
        <v>125.75</v>
      </c>
      <c r="C1478" s="115">
        <v>124.87</v>
      </c>
      <c r="D1478" s="115">
        <v>122.5</v>
      </c>
      <c r="E1478" s="115">
        <v>124</v>
      </c>
      <c r="F1478" s="115">
        <v>624.35</v>
      </c>
      <c r="G1478">
        <v>1237</v>
      </c>
      <c r="H1478" s="115"/>
      <c r="I1478" s="115"/>
      <c r="L1478" s="169">
        <v>44181</v>
      </c>
      <c r="M1478" s="115">
        <v>127.07</v>
      </c>
      <c r="N1478" s="115">
        <v>128.97999999999999</v>
      </c>
      <c r="O1478" s="115">
        <v>126.2</v>
      </c>
      <c r="P1478" s="115">
        <v>128.4</v>
      </c>
      <c r="Q1478" s="115">
        <v>635.35</v>
      </c>
      <c r="R1478">
        <v>24089</v>
      </c>
    </row>
    <row r="1479" spans="1:18" x14ac:dyDescent="0.25">
      <c r="A1479" s="169">
        <v>44193</v>
      </c>
      <c r="B1479" s="115">
        <v>130.80000000000001</v>
      </c>
      <c r="C1479" s="115">
        <v>128.75</v>
      </c>
      <c r="D1479" s="115">
        <v>122.4</v>
      </c>
      <c r="E1479" s="115">
        <v>125.1</v>
      </c>
      <c r="F1479" s="115">
        <v>643.75</v>
      </c>
      <c r="G1479">
        <v>2201</v>
      </c>
      <c r="H1479" s="115"/>
      <c r="I1479" s="115"/>
      <c r="L1479" s="169">
        <v>44182</v>
      </c>
      <c r="M1479" s="115">
        <v>127.02</v>
      </c>
      <c r="N1479" s="115">
        <v>128.01</v>
      </c>
      <c r="O1479" s="115">
        <v>126.26</v>
      </c>
      <c r="P1479" s="115">
        <v>127.71</v>
      </c>
      <c r="Q1479" s="115">
        <v>635.1</v>
      </c>
      <c r="R1479">
        <v>31371</v>
      </c>
    </row>
    <row r="1480" spans="1:18" x14ac:dyDescent="0.25">
      <c r="A1480" s="169">
        <v>44194</v>
      </c>
      <c r="B1480" s="115">
        <v>130.32</v>
      </c>
      <c r="C1480" s="115">
        <v>129.68</v>
      </c>
      <c r="D1480" s="115">
        <v>127.05</v>
      </c>
      <c r="E1480" s="115">
        <v>129.11000000000001</v>
      </c>
      <c r="F1480" s="115">
        <v>648.4</v>
      </c>
      <c r="G1480">
        <v>1082</v>
      </c>
      <c r="H1480" s="115"/>
      <c r="I1480" s="115"/>
      <c r="L1480" s="169">
        <v>44183</v>
      </c>
      <c r="M1480" s="115">
        <v>127.04</v>
      </c>
      <c r="N1480" s="115">
        <v>127.6</v>
      </c>
      <c r="O1480" s="115">
        <v>123.46</v>
      </c>
      <c r="P1480" s="115">
        <v>127.4</v>
      </c>
      <c r="Q1480" s="115">
        <v>635.20000000000005</v>
      </c>
      <c r="R1480">
        <v>32431</v>
      </c>
    </row>
    <row r="1481" spans="1:18" x14ac:dyDescent="0.25">
      <c r="A1481" s="169">
        <v>44195</v>
      </c>
      <c r="B1481" s="115">
        <v>129</v>
      </c>
      <c r="C1481" s="115">
        <v>128.05000000000001</v>
      </c>
      <c r="D1481" s="115">
        <v>127</v>
      </c>
      <c r="E1481" s="115">
        <v>128</v>
      </c>
      <c r="F1481" s="115">
        <v>640.25</v>
      </c>
      <c r="G1481">
        <v>1478</v>
      </c>
      <c r="H1481" s="115"/>
      <c r="I1481" s="115"/>
      <c r="L1481" s="169">
        <v>44186</v>
      </c>
      <c r="M1481" s="115">
        <v>118.07</v>
      </c>
      <c r="N1481" s="115">
        <v>126.76</v>
      </c>
      <c r="O1481" s="115">
        <v>117.46</v>
      </c>
      <c r="P1481" s="115">
        <v>125.47</v>
      </c>
      <c r="Q1481" s="115">
        <v>590.35</v>
      </c>
      <c r="R1481">
        <v>27888</v>
      </c>
    </row>
    <row r="1482" spans="1:18" x14ac:dyDescent="0.25">
      <c r="A1482" s="169">
        <v>44196</v>
      </c>
      <c r="B1482" s="115">
        <v>130.22</v>
      </c>
      <c r="C1482" s="115">
        <v>129.36000000000001</v>
      </c>
      <c r="D1482" s="115">
        <v>125.4</v>
      </c>
      <c r="E1482" s="115">
        <v>128</v>
      </c>
      <c r="F1482" s="115">
        <v>646.79999999999995</v>
      </c>
      <c r="G1482">
        <v>1147</v>
      </c>
      <c r="H1482" s="115"/>
      <c r="I1482" s="115"/>
      <c r="L1482" s="169">
        <v>44187</v>
      </c>
      <c r="M1482" s="115">
        <v>119.65</v>
      </c>
      <c r="N1482" s="115">
        <v>120.75</v>
      </c>
      <c r="O1482" s="115">
        <v>113.32</v>
      </c>
      <c r="P1482" s="115">
        <v>118.07</v>
      </c>
      <c r="Q1482" s="115">
        <v>598.25</v>
      </c>
      <c r="R1482">
        <v>31705</v>
      </c>
    </row>
    <row r="1483" spans="1:18" x14ac:dyDescent="0.25">
      <c r="A1483" s="169">
        <v>44197</v>
      </c>
      <c r="B1483" s="115">
        <v>130</v>
      </c>
      <c r="C1483" s="115">
        <v>127.56</v>
      </c>
      <c r="D1483" s="115">
        <v>126.7</v>
      </c>
      <c r="E1483" s="115">
        <v>128.69999999999999</v>
      </c>
      <c r="F1483" s="115">
        <v>637.79999999999995</v>
      </c>
      <c r="G1483">
        <v>1366</v>
      </c>
      <c r="H1483" s="115"/>
      <c r="I1483" s="115"/>
      <c r="L1483" s="169">
        <v>44188</v>
      </c>
      <c r="M1483" s="115">
        <v>122.33</v>
      </c>
      <c r="N1483" s="115">
        <v>122.8</v>
      </c>
      <c r="O1483" s="115">
        <v>119.08</v>
      </c>
      <c r="P1483" s="115">
        <v>120</v>
      </c>
      <c r="Q1483" s="115">
        <v>611.65</v>
      </c>
      <c r="R1483">
        <v>13066</v>
      </c>
    </row>
    <row r="1484" spans="1:18" x14ac:dyDescent="0.25">
      <c r="A1484" s="169">
        <v>44200</v>
      </c>
      <c r="B1484" s="115">
        <v>132.4</v>
      </c>
      <c r="C1484" s="115">
        <v>131.12</v>
      </c>
      <c r="D1484" s="115">
        <v>128</v>
      </c>
      <c r="E1484" s="115">
        <v>128</v>
      </c>
      <c r="F1484" s="115">
        <v>655.6</v>
      </c>
      <c r="G1484">
        <v>841</v>
      </c>
      <c r="H1484" s="115"/>
      <c r="I1484" s="115"/>
      <c r="L1484" s="169">
        <v>44189</v>
      </c>
      <c r="M1484" s="115">
        <v>124.8</v>
      </c>
      <c r="N1484" s="115">
        <v>126.13</v>
      </c>
      <c r="O1484" s="115">
        <v>122.4</v>
      </c>
      <c r="P1484" s="115">
        <v>125.6</v>
      </c>
      <c r="Q1484" s="115">
        <v>624</v>
      </c>
      <c r="R1484">
        <v>19370</v>
      </c>
    </row>
    <row r="1485" spans="1:18" x14ac:dyDescent="0.25">
      <c r="A1485" s="169">
        <v>44201</v>
      </c>
      <c r="B1485" s="115">
        <v>131.12</v>
      </c>
      <c r="C1485" s="115">
        <v>129.88</v>
      </c>
      <c r="D1485" s="115">
        <v>129.28</v>
      </c>
      <c r="E1485" s="115">
        <v>131.12</v>
      </c>
      <c r="F1485" s="115">
        <v>649.4</v>
      </c>
      <c r="G1485">
        <v>521</v>
      </c>
      <c r="H1485" s="115"/>
      <c r="I1485" s="115"/>
      <c r="L1485" s="169">
        <v>44193</v>
      </c>
      <c r="M1485" s="115">
        <v>128.78</v>
      </c>
      <c r="N1485" s="115">
        <v>131</v>
      </c>
      <c r="O1485" s="115">
        <v>123.9</v>
      </c>
      <c r="P1485" s="115">
        <v>125.43</v>
      </c>
      <c r="Q1485" s="115">
        <v>643.9</v>
      </c>
      <c r="R1485">
        <v>29083</v>
      </c>
    </row>
    <row r="1486" spans="1:18" x14ac:dyDescent="0.25">
      <c r="A1486" s="169">
        <v>44202</v>
      </c>
      <c r="B1486" s="115">
        <v>131.61000000000001</v>
      </c>
      <c r="C1486" s="115">
        <v>128.71</v>
      </c>
      <c r="D1486" s="115">
        <v>128.30000000000001</v>
      </c>
      <c r="E1486" s="115">
        <v>130.44</v>
      </c>
      <c r="F1486" s="115">
        <v>643.54999999999995</v>
      </c>
      <c r="G1486">
        <v>1697</v>
      </c>
      <c r="H1486" s="115"/>
      <c r="I1486" s="115"/>
      <c r="L1486" s="169">
        <v>44194</v>
      </c>
      <c r="M1486" s="115">
        <v>129.66</v>
      </c>
      <c r="N1486" s="115">
        <v>130.85</v>
      </c>
      <c r="O1486" s="115">
        <v>127.09</v>
      </c>
      <c r="P1486" s="115">
        <v>129.43</v>
      </c>
      <c r="Q1486" s="115">
        <v>648.29999999999995</v>
      </c>
      <c r="R1486">
        <v>24562</v>
      </c>
    </row>
    <row r="1487" spans="1:18" x14ac:dyDescent="0.25">
      <c r="A1487" s="169">
        <v>44203</v>
      </c>
      <c r="B1487" s="115">
        <v>130.01</v>
      </c>
      <c r="C1487" s="115">
        <v>127.68</v>
      </c>
      <c r="D1487" s="115">
        <v>127.39</v>
      </c>
      <c r="E1487" s="115">
        <v>130.01</v>
      </c>
      <c r="F1487" s="115">
        <v>638.4</v>
      </c>
      <c r="G1487">
        <v>1775</v>
      </c>
      <c r="H1487" s="115"/>
      <c r="I1487" s="115"/>
      <c r="L1487" s="169">
        <v>44195</v>
      </c>
      <c r="M1487" s="115">
        <v>128.27000000000001</v>
      </c>
      <c r="N1487" s="115">
        <v>129.99</v>
      </c>
      <c r="O1487" s="115">
        <v>126.92</v>
      </c>
      <c r="P1487" s="115">
        <v>129.66</v>
      </c>
      <c r="Q1487" s="115">
        <v>641.35</v>
      </c>
      <c r="R1487">
        <v>21800</v>
      </c>
    </row>
    <row r="1488" spans="1:18" x14ac:dyDescent="0.25">
      <c r="A1488" s="169">
        <v>44204</v>
      </c>
      <c r="B1488" s="115">
        <v>128.62</v>
      </c>
      <c r="C1488" s="115">
        <v>127.34</v>
      </c>
      <c r="D1488" s="115">
        <v>127.1</v>
      </c>
      <c r="E1488" s="115">
        <v>128.12</v>
      </c>
      <c r="F1488" s="115">
        <v>636.70000000000005</v>
      </c>
      <c r="G1488">
        <v>1169</v>
      </c>
      <c r="H1488" s="115"/>
      <c r="I1488" s="115"/>
      <c r="L1488" s="169">
        <v>44196</v>
      </c>
      <c r="M1488" s="115">
        <v>128.88</v>
      </c>
      <c r="N1488" s="115">
        <v>129.96</v>
      </c>
      <c r="O1488" s="115">
        <v>125.22</v>
      </c>
      <c r="P1488" s="115">
        <v>128.19999999999999</v>
      </c>
      <c r="Q1488" s="115">
        <v>644.4</v>
      </c>
      <c r="R1488">
        <v>20968</v>
      </c>
    </row>
    <row r="1489" spans="1:18" x14ac:dyDescent="0.25">
      <c r="A1489" s="169">
        <v>44207</v>
      </c>
      <c r="B1489" s="115">
        <v>128.44</v>
      </c>
      <c r="C1489" s="115">
        <v>125.23</v>
      </c>
      <c r="D1489" s="115">
        <v>124.84</v>
      </c>
      <c r="E1489" s="115">
        <v>127.64</v>
      </c>
      <c r="F1489" s="115">
        <v>626.15</v>
      </c>
      <c r="G1489">
        <v>829</v>
      </c>
      <c r="H1489" s="115"/>
      <c r="I1489" s="115"/>
      <c r="L1489" s="169">
        <v>44197</v>
      </c>
      <c r="M1489" s="115">
        <v>127.95</v>
      </c>
      <c r="N1489" s="115">
        <v>130.01</v>
      </c>
      <c r="O1489" s="115">
        <v>126.63</v>
      </c>
      <c r="P1489" s="115">
        <v>129.53</v>
      </c>
      <c r="Q1489" s="115">
        <v>639.75</v>
      </c>
      <c r="R1489">
        <v>22452</v>
      </c>
    </row>
    <row r="1490" spans="1:18" x14ac:dyDescent="0.25">
      <c r="A1490" s="169">
        <v>44208</v>
      </c>
      <c r="B1490" s="115">
        <v>135.51</v>
      </c>
      <c r="C1490" s="115">
        <v>133.41</v>
      </c>
      <c r="D1490" s="115">
        <v>124.6</v>
      </c>
      <c r="E1490" s="115">
        <v>126</v>
      </c>
      <c r="F1490" s="115">
        <v>667.05</v>
      </c>
      <c r="G1490">
        <v>9194</v>
      </c>
      <c r="H1490" s="115"/>
      <c r="I1490" s="115"/>
      <c r="L1490" s="169">
        <v>44200</v>
      </c>
      <c r="M1490" s="115">
        <v>130.96</v>
      </c>
      <c r="N1490" s="115">
        <v>132.94</v>
      </c>
      <c r="O1490" s="115">
        <v>128</v>
      </c>
      <c r="P1490" s="115">
        <v>128</v>
      </c>
      <c r="Q1490" s="115">
        <v>654.79999999999995</v>
      </c>
      <c r="R1490">
        <v>28918</v>
      </c>
    </row>
    <row r="1491" spans="1:18" x14ac:dyDescent="0.25">
      <c r="A1491" s="169">
        <v>44209</v>
      </c>
      <c r="B1491" s="115">
        <v>134.63</v>
      </c>
      <c r="C1491" s="115">
        <v>130.29</v>
      </c>
      <c r="D1491" s="115">
        <v>129.72</v>
      </c>
      <c r="E1491" s="115">
        <v>134</v>
      </c>
      <c r="F1491" s="115">
        <v>651.45000000000005</v>
      </c>
      <c r="G1491">
        <v>2425</v>
      </c>
      <c r="H1491" s="115"/>
      <c r="I1491" s="115"/>
      <c r="L1491" s="169">
        <v>44201</v>
      </c>
      <c r="M1491" s="115">
        <v>129.72999999999999</v>
      </c>
      <c r="N1491" s="115">
        <v>131</v>
      </c>
      <c r="O1491" s="115">
        <v>129</v>
      </c>
      <c r="P1491" s="115">
        <v>129.22999999999999</v>
      </c>
      <c r="Q1491" s="115">
        <v>648.65</v>
      </c>
      <c r="R1491">
        <v>11662</v>
      </c>
    </row>
    <row r="1492" spans="1:18" x14ac:dyDescent="0.25">
      <c r="A1492" s="169">
        <v>44210</v>
      </c>
      <c r="B1492" s="115">
        <v>134.91999999999999</v>
      </c>
      <c r="C1492" s="115">
        <v>132.57</v>
      </c>
      <c r="D1492" s="115">
        <v>132.18</v>
      </c>
      <c r="E1492" s="115">
        <v>133.66</v>
      </c>
      <c r="F1492" s="115">
        <v>662.85</v>
      </c>
      <c r="G1492">
        <v>2368</v>
      </c>
      <c r="H1492" s="115"/>
      <c r="I1492" s="115"/>
      <c r="L1492" s="169">
        <v>44202</v>
      </c>
      <c r="M1492" s="115">
        <v>128.62</v>
      </c>
      <c r="N1492" s="115">
        <v>131.6</v>
      </c>
      <c r="O1492" s="115">
        <v>128</v>
      </c>
      <c r="P1492" s="115">
        <v>130.38</v>
      </c>
      <c r="Q1492" s="115">
        <v>643.1</v>
      </c>
      <c r="R1492">
        <v>18246</v>
      </c>
    </row>
    <row r="1493" spans="1:18" x14ac:dyDescent="0.25">
      <c r="A1493" s="169">
        <v>44211</v>
      </c>
      <c r="B1493" s="115">
        <v>137.72999999999999</v>
      </c>
      <c r="C1493" s="115">
        <v>135.04</v>
      </c>
      <c r="D1493" s="115">
        <v>132.30000000000001</v>
      </c>
      <c r="E1493" s="115">
        <v>133.6</v>
      </c>
      <c r="F1493" s="115">
        <v>675.2</v>
      </c>
      <c r="G1493">
        <v>9557</v>
      </c>
      <c r="H1493" s="115"/>
      <c r="I1493" s="115"/>
      <c r="L1493" s="169">
        <v>44203</v>
      </c>
      <c r="M1493" s="115">
        <v>127.72</v>
      </c>
      <c r="N1493" s="115">
        <v>129.97</v>
      </c>
      <c r="O1493" s="115">
        <v>127</v>
      </c>
      <c r="P1493" s="115">
        <v>128.6</v>
      </c>
      <c r="Q1493" s="115">
        <v>638.6</v>
      </c>
      <c r="R1493">
        <v>22639</v>
      </c>
    </row>
    <row r="1494" spans="1:18" x14ac:dyDescent="0.25">
      <c r="A1494" s="169">
        <v>44214</v>
      </c>
      <c r="B1494" s="115">
        <v>137.47999999999999</v>
      </c>
      <c r="C1494" s="115">
        <v>132.94</v>
      </c>
      <c r="D1494" s="115">
        <v>129.33000000000001</v>
      </c>
      <c r="E1494" s="115">
        <v>134.41</v>
      </c>
      <c r="F1494" s="115">
        <v>664.7</v>
      </c>
      <c r="G1494">
        <v>2997</v>
      </c>
      <c r="H1494" s="115"/>
      <c r="I1494" s="115"/>
      <c r="L1494" s="169">
        <v>44204</v>
      </c>
      <c r="M1494" s="115">
        <v>127.44</v>
      </c>
      <c r="N1494" s="115">
        <v>128.80000000000001</v>
      </c>
      <c r="O1494" s="115">
        <v>127</v>
      </c>
      <c r="P1494" s="115">
        <v>128.36000000000001</v>
      </c>
      <c r="Q1494" s="115">
        <v>637.20000000000005</v>
      </c>
      <c r="R1494">
        <v>16325</v>
      </c>
    </row>
    <row r="1495" spans="1:18" x14ac:dyDescent="0.25">
      <c r="A1495" s="169">
        <v>44215</v>
      </c>
      <c r="B1495" s="115">
        <v>134.93</v>
      </c>
      <c r="C1495" s="115">
        <v>133.76</v>
      </c>
      <c r="D1495" s="115">
        <v>132.38</v>
      </c>
      <c r="E1495" s="115">
        <v>133.63</v>
      </c>
      <c r="F1495" s="115">
        <v>668.8</v>
      </c>
      <c r="G1495">
        <v>1479</v>
      </c>
      <c r="H1495" s="115"/>
      <c r="I1495" s="115"/>
      <c r="L1495" s="169">
        <v>44207</v>
      </c>
      <c r="M1495" s="115">
        <v>125.21</v>
      </c>
      <c r="N1495" s="115">
        <v>129.36000000000001</v>
      </c>
      <c r="O1495" s="115">
        <v>124.9</v>
      </c>
      <c r="P1495" s="115">
        <v>128.08000000000001</v>
      </c>
      <c r="Q1495" s="115">
        <v>626.04999999999995</v>
      </c>
      <c r="R1495">
        <v>18873</v>
      </c>
    </row>
    <row r="1496" spans="1:18" x14ac:dyDescent="0.25">
      <c r="A1496" s="169">
        <v>44216</v>
      </c>
      <c r="B1496" s="115">
        <v>135.91</v>
      </c>
      <c r="C1496" s="115">
        <v>134.66999999999999</v>
      </c>
      <c r="D1496" s="115">
        <v>134</v>
      </c>
      <c r="E1496" s="115">
        <v>135.91</v>
      </c>
      <c r="F1496" s="115">
        <v>673.35</v>
      </c>
      <c r="G1496">
        <v>823</v>
      </c>
      <c r="H1496" s="115"/>
      <c r="I1496" s="115"/>
      <c r="L1496" s="169">
        <v>44208</v>
      </c>
      <c r="M1496" s="115">
        <v>133.1</v>
      </c>
      <c r="N1496" s="115">
        <v>135.4</v>
      </c>
      <c r="O1496" s="115">
        <v>125.02</v>
      </c>
      <c r="P1496" s="115">
        <v>125.6</v>
      </c>
      <c r="Q1496" s="115">
        <v>665.5</v>
      </c>
      <c r="R1496">
        <v>120537</v>
      </c>
    </row>
    <row r="1497" spans="1:18" x14ac:dyDescent="0.25">
      <c r="A1497" s="169">
        <v>44217</v>
      </c>
      <c r="B1497" s="115">
        <v>140.6</v>
      </c>
      <c r="C1497" s="115">
        <v>139.11000000000001</v>
      </c>
      <c r="D1497" s="115">
        <v>134.15</v>
      </c>
      <c r="E1497" s="115">
        <v>134.80000000000001</v>
      </c>
      <c r="F1497" s="115">
        <v>695.55</v>
      </c>
      <c r="G1497">
        <v>3727</v>
      </c>
      <c r="H1497" s="115"/>
      <c r="I1497" s="115"/>
      <c r="L1497" s="169">
        <v>44209</v>
      </c>
      <c r="M1497" s="115">
        <v>130.46</v>
      </c>
      <c r="N1497" s="115">
        <v>135.4</v>
      </c>
      <c r="O1497" s="115">
        <v>129.69</v>
      </c>
      <c r="P1497" s="115">
        <v>135.4</v>
      </c>
      <c r="Q1497" s="115">
        <v>652.29999999999995</v>
      </c>
      <c r="R1497">
        <v>40859</v>
      </c>
    </row>
    <row r="1498" spans="1:18" x14ac:dyDescent="0.25">
      <c r="A1498" s="169">
        <v>44218</v>
      </c>
      <c r="B1498" s="115">
        <v>141.30000000000001</v>
      </c>
      <c r="C1498" s="115">
        <v>136.72</v>
      </c>
      <c r="D1498" s="115">
        <v>136.28</v>
      </c>
      <c r="E1498" s="115">
        <v>141.08000000000001</v>
      </c>
      <c r="F1498" s="115">
        <v>683.6</v>
      </c>
      <c r="G1498">
        <v>1509</v>
      </c>
      <c r="H1498" s="115"/>
      <c r="I1498" s="115"/>
      <c r="L1498" s="169">
        <v>44210</v>
      </c>
      <c r="M1498" s="115">
        <v>132.72999999999999</v>
      </c>
      <c r="N1498" s="115">
        <v>135.4</v>
      </c>
      <c r="O1498" s="115">
        <v>132</v>
      </c>
      <c r="P1498" s="115">
        <v>135.4</v>
      </c>
      <c r="Q1498" s="115">
        <v>663.65</v>
      </c>
      <c r="R1498">
        <v>43895</v>
      </c>
    </row>
    <row r="1499" spans="1:18" x14ac:dyDescent="0.25">
      <c r="A1499" s="169">
        <v>44221</v>
      </c>
      <c r="B1499" s="115">
        <v>139.16</v>
      </c>
      <c r="C1499" s="115">
        <v>132.16999999999999</v>
      </c>
      <c r="D1499" s="115">
        <v>131.71</v>
      </c>
      <c r="E1499" s="115">
        <v>136</v>
      </c>
      <c r="F1499" s="115">
        <v>660.85</v>
      </c>
      <c r="G1499">
        <v>2504</v>
      </c>
      <c r="H1499" s="115"/>
      <c r="I1499" s="115"/>
      <c r="L1499" s="169">
        <v>44211</v>
      </c>
      <c r="M1499" s="115">
        <v>134.22999999999999</v>
      </c>
      <c r="N1499" s="115">
        <v>137.80000000000001</v>
      </c>
      <c r="O1499" s="115">
        <v>132.4</v>
      </c>
      <c r="P1499" s="115">
        <v>134</v>
      </c>
      <c r="Q1499" s="115">
        <v>671.15</v>
      </c>
      <c r="R1499">
        <v>58601</v>
      </c>
    </row>
    <row r="1500" spans="1:18" x14ac:dyDescent="0.25">
      <c r="A1500" s="169">
        <v>44223</v>
      </c>
      <c r="B1500" s="115">
        <v>132.81</v>
      </c>
      <c r="C1500" s="115">
        <v>129.68</v>
      </c>
      <c r="D1500" s="115">
        <v>128.13</v>
      </c>
      <c r="E1500" s="115">
        <v>132</v>
      </c>
      <c r="F1500" s="115">
        <v>648.4</v>
      </c>
      <c r="G1500">
        <v>2212</v>
      </c>
      <c r="H1500" s="115"/>
      <c r="I1500" s="115"/>
      <c r="L1500" s="169">
        <v>44214</v>
      </c>
      <c r="M1500" s="115">
        <v>133.37</v>
      </c>
      <c r="N1500" s="115">
        <v>137.80000000000001</v>
      </c>
      <c r="O1500" s="115">
        <v>129.41999999999999</v>
      </c>
      <c r="P1500" s="115">
        <v>134.97999999999999</v>
      </c>
      <c r="Q1500" s="115">
        <v>666.85</v>
      </c>
      <c r="R1500">
        <v>33997</v>
      </c>
    </row>
    <row r="1501" spans="1:18" x14ac:dyDescent="0.25">
      <c r="A1501" s="169">
        <v>44224</v>
      </c>
      <c r="B1501" s="115">
        <v>129.35</v>
      </c>
      <c r="C1501" s="115">
        <v>126.07</v>
      </c>
      <c r="D1501" s="115">
        <v>125</v>
      </c>
      <c r="E1501" s="115">
        <v>128.46</v>
      </c>
      <c r="F1501" s="115">
        <v>630.35</v>
      </c>
      <c r="G1501">
        <v>2194</v>
      </c>
      <c r="H1501" s="115"/>
      <c r="I1501" s="115"/>
      <c r="L1501" s="169">
        <v>44215</v>
      </c>
      <c r="M1501" s="115">
        <v>133.62</v>
      </c>
      <c r="N1501" s="115">
        <v>134.9</v>
      </c>
      <c r="O1501" s="115">
        <v>132.4</v>
      </c>
      <c r="P1501" s="115">
        <v>133.6</v>
      </c>
      <c r="Q1501" s="115">
        <v>668.1</v>
      </c>
      <c r="R1501">
        <v>12659</v>
      </c>
    </row>
    <row r="1502" spans="1:18" x14ac:dyDescent="0.25">
      <c r="A1502" s="169">
        <v>44225</v>
      </c>
      <c r="B1502" s="115">
        <v>127.24</v>
      </c>
      <c r="C1502" s="115">
        <v>125.71</v>
      </c>
      <c r="D1502" s="115">
        <v>125.35</v>
      </c>
      <c r="E1502" s="115">
        <v>126</v>
      </c>
      <c r="F1502" s="115">
        <v>628.54999999999995</v>
      </c>
      <c r="G1502">
        <v>3925</v>
      </c>
      <c r="H1502" s="115"/>
      <c r="I1502" s="115"/>
      <c r="L1502" s="169">
        <v>44216</v>
      </c>
      <c r="M1502" s="115">
        <v>134.81</v>
      </c>
      <c r="N1502" s="115">
        <v>135.93</v>
      </c>
      <c r="O1502" s="115">
        <v>134.02000000000001</v>
      </c>
      <c r="P1502" s="115">
        <v>135.80000000000001</v>
      </c>
      <c r="Q1502" s="115">
        <v>674.05</v>
      </c>
      <c r="R1502">
        <v>17846</v>
      </c>
    </row>
    <row r="1503" spans="1:18" x14ac:dyDescent="0.25">
      <c r="A1503" s="169">
        <v>44228</v>
      </c>
      <c r="B1503" s="115">
        <v>128.33000000000001</v>
      </c>
      <c r="C1503" s="115">
        <v>127.85</v>
      </c>
      <c r="D1503" s="115">
        <v>125.34</v>
      </c>
      <c r="E1503" s="115">
        <v>126.88</v>
      </c>
      <c r="F1503" s="115">
        <v>639.25</v>
      </c>
      <c r="G1503">
        <v>1302</v>
      </c>
      <c r="H1503" s="115"/>
      <c r="I1503" s="115"/>
      <c r="L1503" s="169">
        <v>44217</v>
      </c>
      <c r="M1503" s="115">
        <v>139.38999999999999</v>
      </c>
      <c r="N1503" s="115">
        <v>140.4</v>
      </c>
      <c r="O1503" s="115">
        <v>134.69</v>
      </c>
      <c r="P1503" s="115">
        <v>135.49</v>
      </c>
      <c r="Q1503" s="115">
        <v>696.95</v>
      </c>
      <c r="R1503">
        <v>64215</v>
      </c>
    </row>
    <row r="1504" spans="1:18" x14ac:dyDescent="0.25">
      <c r="A1504" s="169">
        <v>44229</v>
      </c>
      <c r="B1504" s="115">
        <v>134.55000000000001</v>
      </c>
      <c r="C1504" s="115">
        <v>130.34</v>
      </c>
      <c r="D1504" s="115">
        <v>128.72999999999999</v>
      </c>
      <c r="E1504" s="115">
        <v>130.18</v>
      </c>
      <c r="F1504" s="115">
        <v>651.70000000000005</v>
      </c>
      <c r="G1504">
        <v>1966</v>
      </c>
      <c r="H1504" s="115"/>
      <c r="I1504" s="115"/>
      <c r="L1504" s="169">
        <v>44218</v>
      </c>
      <c r="M1504" s="115">
        <v>136.57</v>
      </c>
      <c r="N1504" s="115">
        <v>141.6</v>
      </c>
      <c r="O1504" s="115">
        <v>136</v>
      </c>
      <c r="P1504" s="115">
        <v>140</v>
      </c>
      <c r="Q1504" s="115">
        <v>682.85</v>
      </c>
      <c r="R1504">
        <v>17186</v>
      </c>
    </row>
    <row r="1505" spans="1:18" x14ac:dyDescent="0.25">
      <c r="A1505" s="169">
        <v>44230</v>
      </c>
      <c r="B1505" s="115">
        <v>131.75</v>
      </c>
      <c r="C1505" s="115">
        <v>130.01</v>
      </c>
      <c r="D1505" s="115">
        <v>128.91999999999999</v>
      </c>
      <c r="E1505" s="115">
        <v>131</v>
      </c>
      <c r="F1505" s="115">
        <v>650.04999999999995</v>
      </c>
      <c r="G1505">
        <v>1067</v>
      </c>
      <c r="H1505" s="115"/>
      <c r="I1505" s="115"/>
      <c r="L1505" s="169">
        <v>44221</v>
      </c>
      <c r="M1505" s="115">
        <v>131.97999999999999</v>
      </c>
      <c r="N1505" s="115">
        <v>137.99</v>
      </c>
      <c r="O1505" s="115">
        <v>131.22999999999999</v>
      </c>
      <c r="P1505" s="115">
        <v>136.80000000000001</v>
      </c>
      <c r="Q1505" s="115">
        <v>659.9</v>
      </c>
      <c r="R1505">
        <v>15345</v>
      </c>
    </row>
    <row r="1506" spans="1:18" x14ac:dyDescent="0.25">
      <c r="A1506" s="169">
        <v>44231</v>
      </c>
      <c r="B1506" s="115">
        <v>132.34</v>
      </c>
      <c r="C1506" s="115">
        <v>130.99</v>
      </c>
      <c r="D1506" s="115">
        <v>129.6</v>
      </c>
      <c r="E1506" s="115">
        <v>130.80000000000001</v>
      </c>
      <c r="F1506" s="115">
        <v>654.95000000000005</v>
      </c>
      <c r="G1506">
        <v>1295</v>
      </c>
      <c r="H1506" s="115"/>
      <c r="I1506" s="115"/>
      <c r="L1506" s="169">
        <v>44223</v>
      </c>
      <c r="M1506" s="115">
        <v>129.25</v>
      </c>
      <c r="N1506" s="115">
        <v>135</v>
      </c>
      <c r="O1506" s="115">
        <v>128.19999999999999</v>
      </c>
      <c r="P1506" s="115">
        <v>132</v>
      </c>
      <c r="Q1506" s="115">
        <v>646.25</v>
      </c>
      <c r="R1506">
        <v>13192</v>
      </c>
    </row>
    <row r="1507" spans="1:18" x14ac:dyDescent="0.25">
      <c r="A1507" s="169">
        <v>44232</v>
      </c>
      <c r="B1507" s="115">
        <v>135.6</v>
      </c>
      <c r="C1507" s="115">
        <v>131.66</v>
      </c>
      <c r="D1507" s="115">
        <v>130.43</v>
      </c>
      <c r="E1507" s="115">
        <v>132.34</v>
      </c>
      <c r="F1507" s="115">
        <v>658.3</v>
      </c>
      <c r="G1507">
        <v>1668</v>
      </c>
      <c r="H1507" s="115"/>
      <c r="I1507" s="115"/>
      <c r="L1507" s="169">
        <v>44224</v>
      </c>
      <c r="M1507" s="115">
        <v>125.94</v>
      </c>
      <c r="N1507" s="115">
        <v>129.80000000000001</v>
      </c>
      <c r="O1507" s="115">
        <v>125.02</v>
      </c>
      <c r="P1507" s="115">
        <v>129.80000000000001</v>
      </c>
      <c r="Q1507" s="115">
        <v>629.70000000000005</v>
      </c>
      <c r="R1507">
        <v>32183</v>
      </c>
    </row>
    <row r="1508" spans="1:18" x14ac:dyDescent="0.25">
      <c r="A1508" s="169">
        <v>44235</v>
      </c>
      <c r="B1508" s="115">
        <v>134.36000000000001</v>
      </c>
      <c r="C1508" s="115">
        <v>132.4</v>
      </c>
      <c r="D1508" s="115">
        <v>131.80000000000001</v>
      </c>
      <c r="E1508" s="115">
        <v>132.4</v>
      </c>
      <c r="F1508" s="115">
        <v>662</v>
      </c>
      <c r="G1508">
        <v>1406</v>
      </c>
      <c r="H1508" s="115"/>
      <c r="I1508" s="115"/>
      <c r="L1508" s="169">
        <v>44225</v>
      </c>
      <c r="M1508" s="115">
        <v>126.15</v>
      </c>
      <c r="N1508" s="115">
        <v>128.4</v>
      </c>
      <c r="O1508" s="115">
        <v>125.62</v>
      </c>
      <c r="P1508" s="115">
        <v>126.57</v>
      </c>
      <c r="Q1508" s="115">
        <v>630.75</v>
      </c>
      <c r="R1508">
        <v>14301</v>
      </c>
    </row>
    <row r="1509" spans="1:18" x14ac:dyDescent="0.25">
      <c r="A1509" s="169">
        <v>44236</v>
      </c>
      <c r="B1509" s="115">
        <v>136</v>
      </c>
      <c r="C1509" s="115">
        <v>133.6</v>
      </c>
      <c r="D1509" s="115">
        <v>133.53</v>
      </c>
      <c r="E1509" s="115">
        <v>135</v>
      </c>
      <c r="F1509" s="115">
        <v>668</v>
      </c>
      <c r="G1509">
        <v>1113</v>
      </c>
      <c r="H1509" s="115"/>
      <c r="I1509" s="115"/>
      <c r="L1509" s="169">
        <v>44228</v>
      </c>
      <c r="M1509" s="115">
        <v>128.38</v>
      </c>
      <c r="N1509" s="115">
        <v>129.79</v>
      </c>
      <c r="O1509" s="115">
        <v>125.07</v>
      </c>
      <c r="P1509" s="115">
        <v>126.2</v>
      </c>
      <c r="Q1509" s="115">
        <v>641.9</v>
      </c>
      <c r="R1509">
        <v>20154</v>
      </c>
    </row>
    <row r="1510" spans="1:18" x14ac:dyDescent="0.25">
      <c r="A1510" s="169">
        <v>44237</v>
      </c>
      <c r="B1510" s="115">
        <v>132.78</v>
      </c>
      <c r="C1510" s="115">
        <v>131.1</v>
      </c>
      <c r="D1510" s="115">
        <v>130.6</v>
      </c>
      <c r="E1510" s="115">
        <v>132.22</v>
      </c>
      <c r="F1510" s="115">
        <v>655.5</v>
      </c>
      <c r="G1510">
        <v>982</v>
      </c>
      <c r="H1510" s="115"/>
      <c r="I1510" s="115"/>
      <c r="L1510" s="169">
        <v>44229</v>
      </c>
      <c r="M1510" s="115">
        <v>130.69999999999999</v>
      </c>
      <c r="N1510" s="115">
        <v>134.57</v>
      </c>
      <c r="O1510" s="115">
        <v>128.80000000000001</v>
      </c>
      <c r="P1510" s="115">
        <v>131.80000000000001</v>
      </c>
      <c r="Q1510" s="115">
        <v>653.5</v>
      </c>
      <c r="R1510">
        <v>36952</v>
      </c>
    </row>
    <row r="1511" spans="1:18" x14ac:dyDescent="0.25">
      <c r="A1511" s="169">
        <v>44238</v>
      </c>
      <c r="B1511" s="115">
        <v>133</v>
      </c>
      <c r="C1511" s="115">
        <v>132.6</v>
      </c>
      <c r="D1511" s="115">
        <v>131.03</v>
      </c>
      <c r="E1511" s="115">
        <v>132.05000000000001</v>
      </c>
      <c r="F1511" s="115">
        <v>663</v>
      </c>
      <c r="G1511">
        <v>1404</v>
      </c>
      <c r="H1511" s="115"/>
      <c r="I1511" s="115"/>
      <c r="L1511" s="169">
        <v>44230</v>
      </c>
      <c r="M1511" s="115">
        <v>129.82</v>
      </c>
      <c r="N1511" s="115">
        <v>131.80000000000001</v>
      </c>
      <c r="O1511" s="115">
        <v>129.04</v>
      </c>
      <c r="P1511" s="115">
        <v>130.69999999999999</v>
      </c>
      <c r="Q1511" s="115">
        <v>649.1</v>
      </c>
      <c r="R1511">
        <v>13830</v>
      </c>
    </row>
    <row r="1512" spans="1:18" x14ac:dyDescent="0.25">
      <c r="A1512" s="169">
        <v>44239</v>
      </c>
      <c r="B1512" s="115">
        <v>134.1</v>
      </c>
      <c r="C1512" s="115">
        <v>132.6</v>
      </c>
      <c r="D1512" s="115">
        <v>132</v>
      </c>
      <c r="E1512" s="115">
        <v>132.69</v>
      </c>
      <c r="F1512" s="115">
        <v>663</v>
      </c>
      <c r="G1512">
        <v>2109</v>
      </c>
      <c r="H1512" s="115"/>
      <c r="I1512" s="115"/>
      <c r="L1512" s="169">
        <v>44231</v>
      </c>
      <c r="M1512" s="115">
        <v>131.4</v>
      </c>
      <c r="N1512" s="115">
        <v>132</v>
      </c>
      <c r="O1512" s="115">
        <v>129.4</v>
      </c>
      <c r="P1512" s="115">
        <v>130.21</v>
      </c>
      <c r="Q1512" s="115">
        <v>657</v>
      </c>
      <c r="R1512">
        <v>8978</v>
      </c>
    </row>
    <row r="1513" spans="1:18" x14ac:dyDescent="0.25">
      <c r="A1513" s="169">
        <v>44242</v>
      </c>
      <c r="B1513" s="115">
        <v>133.97999999999999</v>
      </c>
      <c r="C1513" s="115">
        <v>132.4</v>
      </c>
      <c r="D1513" s="115">
        <v>131.68</v>
      </c>
      <c r="E1513" s="115">
        <v>133.97999999999999</v>
      </c>
      <c r="F1513" s="115">
        <v>662</v>
      </c>
      <c r="G1513">
        <v>830</v>
      </c>
      <c r="H1513" s="115"/>
      <c r="I1513" s="115"/>
      <c r="L1513" s="169">
        <v>44232</v>
      </c>
      <c r="M1513" s="115">
        <v>131.71</v>
      </c>
      <c r="N1513" s="115">
        <v>135.81</v>
      </c>
      <c r="O1513" s="115">
        <v>130.41999999999999</v>
      </c>
      <c r="P1513" s="115">
        <v>131.99</v>
      </c>
      <c r="Q1513" s="115">
        <v>658.55</v>
      </c>
      <c r="R1513">
        <v>29517</v>
      </c>
    </row>
    <row r="1514" spans="1:18" x14ac:dyDescent="0.25">
      <c r="A1514" s="169">
        <v>44243</v>
      </c>
      <c r="B1514" s="115">
        <v>138.32</v>
      </c>
      <c r="C1514" s="115">
        <v>134.94999999999999</v>
      </c>
      <c r="D1514" s="115">
        <v>132.93</v>
      </c>
      <c r="E1514" s="115">
        <v>133</v>
      </c>
      <c r="F1514" s="115">
        <v>674.75</v>
      </c>
      <c r="G1514">
        <v>2139</v>
      </c>
      <c r="H1514" s="115"/>
      <c r="I1514" s="115"/>
      <c r="L1514" s="169">
        <v>44235</v>
      </c>
      <c r="M1514" s="115">
        <v>132.54</v>
      </c>
      <c r="N1514" s="115">
        <v>134.62</v>
      </c>
      <c r="O1514" s="115">
        <v>130.41999999999999</v>
      </c>
      <c r="P1514" s="115">
        <v>132.36000000000001</v>
      </c>
      <c r="Q1514" s="115">
        <v>662.7</v>
      </c>
      <c r="R1514">
        <v>65720</v>
      </c>
    </row>
    <row r="1515" spans="1:18" x14ac:dyDescent="0.25">
      <c r="A1515" s="169">
        <v>44244</v>
      </c>
      <c r="B1515" s="115">
        <v>137.03</v>
      </c>
      <c r="C1515" s="115">
        <v>135.06</v>
      </c>
      <c r="D1515" s="115">
        <v>133.44</v>
      </c>
      <c r="E1515" s="115">
        <v>136.68</v>
      </c>
      <c r="F1515" s="115">
        <v>675.3</v>
      </c>
      <c r="G1515">
        <v>2565</v>
      </c>
      <c r="H1515" s="115"/>
      <c r="I1515" s="115"/>
      <c r="L1515" s="169">
        <v>44236</v>
      </c>
      <c r="M1515" s="115">
        <v>133.80000000000001</v>
      </c>
      <c r="N1515" s="115">
        <v>135.80000000000001</v>
      </c>
      <c r="O1515" s="115">
        <v>133</v>
      </c>
      <c r="P1515" s="115">
        <v>133.21</v>
      </c>
      <c r="Q1515" s="115">
        <v>669</v>
      </c>
      <c r="R1515">
        <v>26546</v>
      </c>
    </row>
    <row r="1516" spans="1:18" x14ac:dyDescent="0.25">
      <c r="A1516" s="169">
        <v>44245</v>
      </c>
      <c r="B1516" s="115">
        <v>137.02000000000001</v>
      </c>
      <c r="C1516" s="115">
        <v>136.1</v>
      </c>
      <c r="D1516" s="115">
        <v>134.28</v>
      </c>
      <c r="E1516" s="115">
        <v>136.19999999999999</v>
      </c>
      <c r="F1516" s="115">
        <v>680.5</v>
      </c>
      <c r="G1516">
        <v>1546</v>
      </c>
      <c r="H1516" s="115"/>
      <c r="I1516" s="115"/>
      <c r="L1516" s="169">
        <v>44237</v>
      </c>
      <c r="M1516" s="115">
        <v>131.37</v>
      </c>
      <c r="N1516" s="115">
        <v>134.47</v>
      </c>
      <c r="O1516" s="115">
        <v>130.44999999999999</v>
      </c>
      <c r="P1516" s="115">
        <v>134.47</v>
      </c>
      <c r="Q1516" s="115">
        <v>656.85</v>
      </c>
      <c r="R1516">
        <v>23861</v>
      </c>
    </row>
    <row r="1517" spans="1:18" x14ac:dyDescent="0.25">
      <c r="A1517" s="169">
        <v>44246</v>
      </c>
      <c r="B1517" s="115">
        <v>137.44999999999999</v>
      </c>
      <c r="C1517" s="115">
        <v>135.58000000000001</v>
      </c>
      <c r="D1517" s="115">
        <v>133.65</v>
      </c>
      <c r="E1517" s="115">
        <v>137.44999999999999</v>
      </c>
      <c r="F1517" s="115">
        <v>677.9</v>
      </c>
      <c r="G1517">
        <v>1772</v>
      </c>
      <c r="H1517" s="115"/>
      <c r="I1517" s="115"/>
      <c r="L1517" s="169">
        <v>44238</v>
      </c>
      <c r="M1517" s="115">
        <v>132.88</v>
      </c>
      <c r="N1517" s="115">
        <v>133.6</v>
      </c>
      <c r="O1517" s="115">
        <v>130.97</v>
      </c>
      <c r="P1517" s="115">
        <v>132</v>
      </c>
      <c r="Q1517" s="115">
        <v>664.4</v>
      </c>
      <c r="R1517">
        <v>11696</v>
      </c>
    </row>
    <row r="1518" spans="1:18" x14ac:dyDescent="0.25">
      <c r="A1518" s="169">
        <v>44249</v>
      </c>
      <c r="B1518" s="115">
        <v>136.69999999999999</v>
      </c>
      <c r="C1518" s="115">
        <v>132.49</v>
      </c>
      <c r="D1518" s="115">
        <v>132</v>
      </c>
      <c r="E1518" s="115">
        <v>135</v>
      </c>
      <c r="F1518" s="115">
        <v>662.45</v>
      </c>
      <c r="G1518">
        <v>3308</v>
      </c>
      <c r="H1518" s="115"/>
      <c r="I1518" s="115"/>
      <c r="L1518" s="169">
        <v>44239</v>
      </c>
      <c r="M1518" s="115">
        <v>132.44999999999999</v>
      </c>
      <c r="N1518" s="115">
        <v>135.34</v>
      </c>
      <c r="O1518" s="115">
        <v>132.16</v>
      </c>
      <c r="P1518" s="115">
        <v>135.34</v>
      </c>
      <c r="Q1518" s="115">
        <v>662.25</v>
      </c>
      <c r="R1518">
        <v>27280</v>
      </c>
    </row>
    <row r="1519" spans="1:18" x14ac:dyDescent="0.25">
      <c r="A1519" s="169">
        <v>44250</v>
      </c>
      <c r="B1519" s="115">
        <v>133.75</v>
      </c>
      <c r="C1519" s="115">
        <v>131.52000000000001</v>
      </c>
      <c r="D1519" s="115">
        <v>130.9</v>
      </c>
      <c r="E1519" s="115">
        <v>133</v>
      </c>
      <c r="F1519" s="115">
        <v>657.6</v>
      </c>
      <c r="G1519">
        <v>650</v>
      </c>
      <c r="H1519" s="115"/>
      <c r="I1519" s="115"/>
      <c r="L1519" s="169">
        <v>44242</v>
      </c>
      <c r="M1519" s="115">
        <v>133.36000000000001</v>
      </c>
      <c r="N1519" s="115">
        <v>134.38</v>
      </c>
      <c r="O1519" s="115">
        <v>131.88</v>
      </c>
      <c r="P1519" s="115">
        <v>133.12</v>
      </c>
      <c r="Q1519" s="115">
        <v>666.8</v>
      </c>
      <c r="R1519">
        <v>20047</v>
      </c>
    </row>
    <row r="1520" spans="1:18" x14ac:dyDescent="0.25">
      <c r="A1520" s="169">
        <v>44251</v>
      </c>
      <c r="B1520" s="115">
        <v>141</v>
      </c>
      <c r="C1520" s="115">
        <v>139.75</v>
      </c>
      <c r="D1520" s="115">
        <v>134</v>
      </c>
      <c r="E1520" s="115">
        <v>134</v>
      </c>
      <c r="F1520" s="115">
        <v>698.75</v>
      </c>
      <c r="G1520">
        <v>7747</v>
      </c>
      <c r="H1520" s="115"/>
      <c r="I1520" s="115"/>
      <c r="L1520" s="169">
        <v>44243</v>
      </c>
      <c r="M1520" s="115">
        <v>135.29</v>
      </c>
      <c r="N1520" s="115">
        <v>138.5</v>
      </c>
      <c r="O1520" s="115">
        <v>132.76</v>
      </c>
      <c r="P1520" s="115">
        <v>134</v>
      </c>
      <c r="Q1520" s="115">
        <v>676.45</v>
      </c>
      <c r="R1520">
        <v>25968</v>
      </c>
    </row>
    <row r="1521" spans="1:18" x14ac:dyDescent="0.25">
      <c r="A1521" s="169">
        <v>44252</v>
      </c>
      <c r="B1521" s="115">
        <v>143.16</v>
      </c>
      <c r="C1521" s="115">
        <v>141.84</v>
      </c>
      <c r="D1521" s="115">
        <v>136.99</v>
      </c>
      <c r="E1521" s="115">
        <v>141.97999999999999</v>
      </c>
      <c r="F1521" s="115">
        <v>709.2</v>
      </c>
      <c r="G1521">
        <v>9935</v>
      </c>
      <c r="H1521" s="115"/>
      <c r="I1521" s="115"/>
      <c r="L1521" s="169">
        <v>44244</v>
      </c>
      <c r="M1521" s="115">
        <v>134.9</v>
      </c>
      <c r="N1521" s="115">
        <v>137.19999999999999</v>
      </c>
      <c r="O1521" s="115">
        <v>133.44999999999999</v>
      </c>
      <c r="P1521" s="115">
        <v>134.4</v>
      </c>
      <c r="Q1521" s="115">
        <v>674.5</v>
      </c>
      <c r="R1521">
        <v>26660</v>
      </c>
    </row>
    <row r="1522" spans="1:18" x14ac:dyDescent="0.25">
      <c r="A1522" s="169">
        <v>44253</v>
      </c>
      <c r="B1522" s="115">
        <v>157.4</v>
      </c>
      <c r="C1522" s="115">
        <v>144.94</v>
      </c>
      <c r="D1522" s="115">
        <v>136</v>
      </c>
      <c r="E1522" s="115">
        <v>141.80000000000001</v>
      </c>
      <c r="F1522" s="115">
        <v>724.7</v>
      </c>
      <c r="G1522">
        <v>37291</v>
      </c>
      <c r="H1522" s="115"/>
      <c r="I1522" s="115"/>
      <c r="L1522" s="169">
        <v>44245</v>
      </c>
      <c r="M1522" s="115">
        <v>135.81</v>
      </c>
      <c r="N1522" s="115">
        <v>137.19999999999999</v>
      </c>
      <c r="O1522" s="115">
        <v>134.26</v>
      </c>
      <c r="P1522" s="115">
        <v>136.6</v>
      </c>
      <c r="Q1522" s="115">
        <v>679.05</v>
      </c>
      <c r="R1522">
        <v>15672</v>
      </c>
    </row>
    <row r="1523" spans="1:18" x14ac:dyDescent="0.25">
      <c r="A1523" s="169">
        <v>44256</v>
      </c>
      <c r="B1523" s="115">
        <v>152.46</v>
      </c>
      <c r="C1523" s="115">
        <v>146.41</v>
      </c>
      <c r="D1523" s="115">
        <v>144.77000000000001</v>
      </c>
      <c r="E1523" s="115">
        <v>149.59</v>
      </c>
      <c r="F1523" s="115">
        <v>732.05</v>
      </c>
      <c r="G1523">
        <v>3982</v>
      </c>
      <c r="H1523" s="115"/>
      <c r="I1523" s="115"/>
      <c r="L1523" s="169">
        <v>44246</v>
      </c>
      <c r="M1523" s="115">
        <v>135.28</v>
      </c>
      <c r="N1523" s="115">
        <v>137.6</v>
      </c>
      <c r="O1523" s="115">
        <v>133.65</v>
      </c>
      <c r="P1523" s="115">
        <v>136.52000000000001</v>
      </c>
      <c r="Q1523" s="115">
        <v>676.4</v>
      </c>
      <c r="R1523">
        <v>15797</v>
      </c>
    </row>
    <row r="1524" spans="1:18" x14ac:dyDescent="0.25">
      <c r="A1524" s="169">
        <v>44257</v>
      </c>
      <c r="B1524" s="115">
        <v>154.32</v>
      </c>
      <c r="C1524" s="115">
        <v>152.99</v>
      </c>
      <c r="D1524" s="115">
        <v>145.54</v>
      </c>
      <c r="E1524" s="115">
        <v>146.01</v>
      </c>
      <c r="F1524" s="115">
        <v>764.95</v>
      </c>
      <c r="G1524">
        <v>2782</v>
      </c>
      <c r="H1524" s="115"/>
      <c r="I1524" s="115"/>
      <c r="L1524" s="169">
        <v>44249</v>
      </c>
      <c r="M1524" s="115">
        <v>132.76</v>
      </c>
      <c r="N1524" s="115">
        <v>136.80000000000001</v>
      </c>
      <c r="O1524" s="115">
        <v>132.02000000000001</v>
      </c>
      <c r="P1524" s="115">
        <v>135.28</v>
      </c>
      <c r="Q1524" s="115">
        <v>663.8</v>
      </c>
      <c r="R1524">
        <v>23627</v>
      </c>
    </row>
    <row r="1525" spans="1:18" x14ac:dyDescent="0.25">
      <c r="A1525" s="169">
        <v>44258</v>
      </c>
      <c r="B1525" s="115">
        <v>154.4</v>
      </c>
      <c r="C1525" s="115">
        <v>150.51</v>
      </c>
      <c r="D1525" s="115">
        <v>149.55000000000001</v>
      </c>
      <c r="E1525" s="115">
        <v>154</v>
      </c>
      <c r="F1525" s="115">
        <v>752.55</v>
      </c>
      <c r="G1525">
        <v>4016</v>
      </c>
      <c r="H1525" s="115"/>
      <c r="I1525" s="115"/>
      <c r="L1525" s="169">
        <v>44250</v>
      </c>
      <c r="M1525" s="115">
        <v>131.91</v>
      </c>
      <c r="N1525" s="115">
        <v>133.86000000000001</v>
      </c>
      <c r="O1525" s="115">
        <v>130.82</v>
      </c>
      <c r="P1525" s="115">
        <v>132.99</v>
      </c>
      <c r="Q1525" s="115">
        <v>659.55</v>
      </c>
      <c r="R1525">
        <v>127828</v>
      </c>
    </row>
    <row r="1526" spans="1:18" x14ac:dyDescent="0.25">
      <c r="A1526" s="169">
        <v>44259</v>
      </c>
      <c r="B1526" s="115">
        <v>162.61000000000001</v>
      </c>
      <c r="C1526" s="115">
        <v>159.37</v>
      </c>
      <c r="D1526" s="115">
        <v>147.85</v>
      </c>
      <c r="E1526" s="115">
        <v>150.06</v>
      </c>
      <c r="F1526" s="115">
        <v>796.85</v>
      </c>
      <c r="G1526">
        <v>6780</v>
      </c>
      <c r="H1526" s="115"/>
      <c r="I1526" s="115"/>
      <c r="L1526" s="169">
        <v>44251</v>
      </c>
      <c r="M1526" s="115">
        <v>139.34</v>
      </c>
      <c r="N1526" s="115">
        <v>140.5</v>
      </c>
      <c r="O1526" s="115">
        <v>132.57</v>
      </c>
      <c r="P1526" s="115">
        <v>134</v>
      </c>
      <c r="Q1526" s="115">
        <v>696.7</v>
      </c>
      <c r="R1526">
        <v>79365</v>
      </c>
    </row>
    <row r="1527" spans="1:18" x14ac:dyDescent="0.25">
      <c r="A1527" s="169">
        <v>44260</v>
      </c>
      <c r="B1527" s="115">
        <v>165.37</v>
      </c>
      <c r="C1527" s="115">
        <v>162.66</v>
      </c>
      <c r="D1527" s="115">
        <v>156.38999999999999</v>
      </c>
      <c r="E1527" s="115">
        <v>162.6</v>
      </c>
      <c r="F1527" s="115">
        <v>813.3</v>
      </c>
      <c r="G1527">
        <v>3217</v>
      </c>
      <c r="H1527" s="115"/>
      <c r="I1527" s="115"/>
      <c r="L1527" s="169">
        <v>44252</v>
      </c>
      <c r="M1527" s="115">
        <v>141.91</v>
      </c>
      <c r="N1527" s="115">
        <v>143.4</v>
      </c>
      <c r="O1527" s="115">
        <v>137.31</v>
      </c>
      <c r="P1527" s="115">
        <v>141</v>
      </c>
      <c r="Q1527" s="115">
        <v>709.55</v>
      </c>
      <c r="R1527">
        <v>82209</v>
      </c>
    </row>
    <row r="1528" spans="1:18" x14ac:dyDescent="0.25">
      <c r="A1528" s="169">
        <v>44263</v>
      </c>
      <c r="B1528" s="115">
        <v>167.54</v>
      </c>
      <c r="C1528" s="115">
        <v>161.11000000000001</v>
      </c>
      <c r="D1528" s="115">
        <v>158.93</v>
      </c>
      <c r="E1528" s="115">
        <v>165.56</v>
      </c>
      <c r="F1528" s="115">
        <v>805.55</v>
      </c>
      <c r="G1528">
        <v>2100</v>
      </c>
      <c r="H1528" s="115"/>
      <c r="I1528" s="115"/>
      <c r="L1528" s="169">
        <v>44253</v>
      </c>
      <c r="M1528" s="115">
        <v>145.05000000000001</v>
      </c>
      <c r="N1528" s="115">
        <v>157.44999999999999</v>
      </c>
      <c r="O1528" s="115">
        <v>135.82</v>
      </c>
      <c r="P1528" s="115">
        <v>142.19999999999999</v>
      </c>
      <c r="Q1528" s="115">
        <v>725.25</v>
      </c>
      <c r="R1528">
        <v>628763</v>
      </c>
    </row>
    <row r="1529" spans="1:18" x14ac:dyDescent="0.25">
      <c r="A1529" s="169">
        <v>44264</v>
      </c>
      <c r="B1529" s="115">
        <v>166.97</v>
      </c>
      <c r="C1529" s="115">
        <v>162.85</v>
      </c>
      <c r="D1529" s="115">
        <v>159.28</v>
      </c>
      <c r="E1529" s="115">
        <v>163.16</v>
      </c>
      <c r="F1529" s="115">
        <v>814.25</v>
      </c>
      <c r="G1529">
        <v>2387</v>
      </c>
      <c r="H1529" s="115"/>
      <c r="I1529" s="115"/>
      <c r="L1529" s="169">
        <v>44256</v>
      </c>
      <c r="M1529" s="115">
        <v>146.57</v>
      </c>
      <c r="N1529" s="115">
        <v>153</v>
      </c>
      <c r="O1529" s="115">
        <v>144.44999999999999</v>
      </c>
      <c r="P1529" s="115">
        <v>147.81</v>
      </c>
      <c r="Q1529" s="115">
        <v>732.85</v>
      </c>
      <c r="R1529">
        <v>90713</v>
      </c>
    </row>
    <row r="1530" spans="1:18" x14ac:dyDescent="0.25">
      <c r="A1530" s="169">
        <v>44265</v>
      </c>
      <c r="B1530" s="115">
        <v>164.79</v>
      </c>
      <c r="C1530" s="115">
        <v>162.11000000000001</v>
      </c>
      <c r="D1530" s="115">
        <v>161.19999999999999</v>
      </c>
      <c r="E1530" s="115">
        <v>164</v>
      </c>
      <c r="F1530" s="115">
        <v>810.55</v>
      </c>
      <c r="G1530">
        <v>1357</v>
      </c>
      <c r="H1530" s="115"/>
      <c r="I1530" s="115"/>
      <c r="L1530" s="169">
        <v>44257</v>
      </c>
      <c r="M1530" s="115">
        <v>152.99</v>
      </c>
      <c r="N1530" s="115">
        <v>154.4</v>
      </c>
      <c r="O1530" s="115">
        <v>144.82</v>
      </c>
      <c r="P1530" s="115">
        <v>148</v>
      </c>
      <c r="Q1530" s="115">
        <v>764.95</v>
      </c>
      <c r="R1530">
        <v>97963</v>
      </c>
    </row>
    <row r="1531" spans="1:18" x14ac:dyDescent="0.25">
      <c r="A1531" s="169">
        <v>44267</v>
      </c>
      <c r="B1531" s="115">
        <v>164.2</v>
      </c>
      <c r="C1531" s="115">
        <v>157.41999999999999</v>
      </c>
      <c r="D1531" s="115">
        <v>155.85</v>
      </c>
      <c r="E1531" s="115">
        <v>162.06</v>
      </c>
      <c r="F1531" s="115">
        <v>787.1</v>
      </c>
      <c r="G1531">
        <v>5334</v>
      </c>
      <c r="H1531" s="115"/>
      <c r="I1531" s="115"/>
      <c r="L1531" s="169">
        <v>44258</v>
      </c>
      <c r="M1531" s="115">
        <v>150.46</v>
      </c>
      <c r="N1531" s="115">
        <v>154.97999999999999</v>
      </c>
      <c r="O1531" s="115">
        <v>149.01</v>
      </c>
      <c r="P1531" s="115">
        <v>154.97999999999999</v>
      </c>
      <c r="Q1531" s="115">
        <v>752.3</v>
      </c>
      <c r="R1531">
        <v>68484</v>
      </c>
    </row>
    <row r="1532" spans="1:18" x14ac:dyDescent="0.25">
      <c r="A1532" s="169">
        <v>44270</v>
      </c>
      <c r="B1532" s="115">
        <v>161.19999999999999</v>
      </c>
      <c r="C1532" s="115">
        <v>160.16999999999999</v>
      </c>
      <c r="D1532" s="115">
        <v>156.81</v>
      </c>
      <c r="E1532" s="115">
        <v>157.6</v>
      </c>
      <c r="F1532" s="115">
        <v>800.85</v>
      </c>
      <c r="G1532">
        <v>966</v>
      </c>
      <c r="H1532" s="115"/>
      <c r="I1532" s="115"/>
      <c r="L1532" s="169">
        <v>44259</v>
      </c>
      <c r="M1532" s="115">
        <v>160.28</v>
      </c>
      <c r="N1532" s="115">
        <v>162.88</v>
      </c>
      <c r="O1532" s="115">
        <v>147.63</v>
      </c>
      <c r="P1532" s="115">
        <v>152</v>
      </c>
      <c r="Q1532" s="115">
        <v>801.4</v>
      </c>
      <c r="R1532">
        <v>111538</v>
      </c>
    </row>
    <row r="1533" spans="1:18" x14ac:dyDescent="0.25">
      <c r="A1533" s="169">
        <v>44271</v>
      </c>
      <c r="B1533" s="115">
        <v>160.80000000000001</v>
      </c>
      <c r="C1533" s="115">
        <v>159.5</v>
      </c>
      <c r="D1533" s="115">
        <v>158.6</v>
      </c>
      <c r="E1533" s="115">
        <v>160.72</v>
      </c>
      <c r="F1533" s="115">
        <v>797.5</v>
      </c>
      <c r="G1533">
        <v>344</v>
      </c>
      <c r="H1533" s="115"/>
      <c r="I1533" s="115"/>
      <c r="L1533" s="169">
        <v>44260</v>
      </c>
      <c r="M1533" s="115">
        <v>162.68</v>
      </c>
      <c r="N1533" s="115">
        <v>165.45</v>
      </c>
      <c r="O1533" s="115">
        <v>156.41999999999999</v>
      </c>
      <c r="P1533" s="115">
        <v>161.69</v>
      </c>
      <c r="Q1533" s="115">
        <v>813.4</v>
      </c>
      <c r="R1533">
        <v>84794</v>
      </c>
    </row>
    <row r="1534" spans="1:18" x14ac:dyDescent="0.25">
      <c r="A1534" s="169">
        <v>44272</v>
      </c>
      <c r="B1534" s="115">
        <v>160.91999999999999</v>
      </c>
      <c r="C1534" s="115">
        <v>157.25</v>
      </c>
      <c r="D1534" s="115">
        <v>155.6</v>
      </c>
      <c r="E1534" s="115">
        <v>159.24</v>
      </c>
      <c r="F1534" s="115">
        <v>786.25</v>
      </c>
      <c r="G1534">
        <v>1217</v>
      </c>
      <c r="H1534" s="115"/>
      <c r="I1534" s="115"/>
      <c r="L1534" s="169">
        <v>44263</v>
      </c>
      <c r="M1534" s="115">
        <v>162.53</v>
      </c>
      <c r="N1534" s="115">
        <v>167</v>
      </c>
      <c r="O1534" s="115">
        <v>158.71</v>
      </c>
      <c r="P1534" s="115">
        <v>165.3</v>
      </c>
      <c r="Q1534" s="115">
        <v>812.65</v>
      </c>
      <c r="R1534">
        <v>117022</v>
      </c>
    </row>
    <row r="1535" spans="1:18" x14ac:dyDescent="0.25">
      <c r="A1535" s="169">
        <v>44273</v>
      </c>
      <c r="B1535" s="115">
        <v>160.71</v>
      </c>
      <c r="C1535" s="115">
        <v>155.09</v>
      </c>
      <c r="D1535" s="115">
        <v>148.97999999999999</v>
      </c>
      <c r="E1535" s="115">
        <v>159.65</v>
      </c>
      <c r="F1535" s="115">
        <v>775.45</v>
      </c>
      <c r="G1535">
        <v>1466</v>
      </c>
      <c r="H1535" s="115"/>
      <c r="I1535" s="115"/>
      <c r="L1535" s="169">
        <v>44264</v>
      </c>
      <c r="M1535" s="115">
        <v>162.13</v>
      </c>
      <c r="N1535" s="115">
        <v>167.2</v>
      </c>
      <c r="O1535" s="115">
        <v>159.07</v>
      </c>
      <c r="P1535" s="115">
        <v>163.02000000000001</v>
      </c>
      <c r="Q1535" s="115">
        <v>810.65</v>
      </c>
      <c r="R1535">
        <v>57526</v>
      </c>
    </row>
    <row r="1536" spans="1:18" x14ac:dyDescent="0.25">
      <c r="A1536" s="169">
        <v>44274</v>
      </c>
      <c r="B1536" s="115">
        <v>163.88</v>
      </c>
      <c r="C1536" s="115">
        <v>162.79</v>
      </c>
      <c r="D1536" s="115">
        <v>148.96</v>
      </c>
      <c r="E1536" s="115">
        <v>151.44</v>
      </c>
      <c r="F1536" s="115">
        <v>813.95</v>
      </c>
      <c r="G1536">
        <v>4904</v>
      </c>
      <c r="H1536" s="115"/>
      <c r="I1536" s="115"/>
      <c r="L1536" s="169">
        <v>44265</v>
      </c>
      <c r="M1536" s="115">
        <v>162.02000000000001</v>
      </c>
      <c r="N1536" s="115">
        <v>165.8</v>
      </c>
      <c r="O1536" s="115">
        <v>161.36000000000001</v>
      </c>
      <c r="P1536" s="115">
        <v>162.94999999999999</v>
      </c>
      <c r="Q1536" s="115">
        <v>810.1</v>
      </c>
      <c r="R1536">
        <v>13798</v>
      </c>
    </row>
    <row r="1537" spans="1:18" x14ac:dyDescent="0.25">
      <c r="A1537" s="169">
        <v>44277</v>
      </c>
      <c r="B1537" s="115">
        <v>161.69</v>
      </c>
      <c r="C1537" s="115">
        <v>158.55000000000001</v>
      </c>
      <c r="D1537" s="115">
        <v>157.78</v>
      </c>
      <c r="E1537" s="115">
        <v>161</v>
      </c>
      <c r="F1537" s="115">
        <v>792.75</v>
      </c>
      <c r="G1537">
        <v>2937</v>
      </c>
      <c r="H1537" s="115"/>
      <c r="I1537" s="115"/>
      <c r="L1537" s="169">
        <v>44267</v>
      </c>
      <c r="M1537" s="115">
        <v>157.61000000000001</v>
      </c>
      <c r="N1537" s="115">
        <v>164.8</v>
      </c>
      <c r="O1537" s="115">
        <v>155.30000000000001</v>
      </c>
      <c r="P1537" s="115">
        <v>163.19999999999999</v>
      </c>
      <c r="Q1537" s="115">
        <v>788.05</v>
      </c>
      <c r="R1537">
        <v>77464</v>
      </c>
    </row>
    <row r="1538" spans="1:18" x14ac:dyDescent="0.25">
      <c r="A1538" s="169">
        <v>44278</v>
      </c>
      <c r="B1538" s="115">
        <v>173.2</v>
      </c>
      <c r="C1538" s="115">
        <v>168.34</v>
      </c>
      <c r="D1538" s="115">
        <v>159.80000000000001</v>
      </c>
      <c r="E1538" s="115">
        <v>159.84</v>
      </c>
      <c r="F1538" s="115">
        <v>841.7</v>
      </c>
      <c r="G1538">
        <v>7431</v>
      </c>
      <c r="H1538" s="115"/>
      <c r="I1538" s="115"/>
      <c r="L1538" s="169">
        <v>44270</v>
      </c>
      <c r="M1538" s="115">
        <v>160.22999999999999</v>
      </c>
      <c r="N1538" s="115">
        <v>162</v>
      </c>
      <c r="O1538" s="115">
        <v>155.63999999999999</v>
      </c>
      <c r="P1538" s="115">
        <v>155.63999999999999</v>
      </c>
      <c r="Q1538" s="115">
        <v>801.15</v>
      </c>
      <c r="R1538">
        <v>22293</v>
      </c>
    </row>
    <row r="1539" spans="1:18" x14ac:dyDescent="0.25">
      <c r="A1539" s="169">
        <v>44279</v>
      </c>
      <c r="B1539" s="115">
        <v>175.45</v>
      </c>
      <c r="C1539" s="115">
        <v>171.11</v>
      </c>
      <c r="D1539" s="115">
        <v>168</v>
      </c>
      <c r="E1539" s="115">
        <v>169.58</v>
      </c>
      <c r="F1539" s="115">
        <v>855.55</v>
      </c>
      <c r="G1539">
        <v>6430</v>
      </c>
      <c r="H1539" s="115"/>
      <c r="I1539" s="115"/>
      <c r="L1539" s="169">
        <v>44271</v>
      </c>
      <c r="M1539" s="115">
        <v>159.54</v>
      </c>
      <c r="N1539" s="115">
        <v>160.96</v>
      </c>
      <c r="O1539" s="115">
        <v>158.43</v>
      </c>
      <c r="P1539" s="115">
        <v>160</v>
      </c>
      <c r="Q1539" s="115">
        <v>797.7</v>
      </c>
      <c r="R1539">
        <v>8274</v>
      </c>
    </row>
    <row r="1540" spans="1:18" x14ac:dyDescent="0.25">
      <c r="A1540" s="169">
        <v>44280</v>
      </c>
      <c r="B1540" s="115">
        <v>177</v>
      </c>
      <c r="C1540" s="115">
        <v>172.68</v>
      </c>
      <c r="D1540" s="115">
        <v>168.15</v>
      </c>
      <c r="E1540" s="115">
        <v>171.41</v>
      </c>
      <c r="F1540" s="115">
        <v>863.4</v>
      </c>
      <c r="G1540">
        <v>4963</v>
      </c>
      <c r="H1540" s="115"/>
      <c r="I1540" s="115"/>
      <c r="L1540" s="169">
        <v>44272</v>
      </c>
      <c r="M1540" s="115">
        <v>157.55000000000001</v>
      </c>
      <c r="N1540" s="115">
        <v>161.97999999999999</v>
      </c>
      <c r="O1540" s="115">
        <v>155.41</v>
      </c>
      <c r="P1540" s="115">
        <v>161.97999999999999</v>
      </c>
      <c r="Q1540" s="115">
        <v>787.75</v>
      </c>
      <c r="R1540">
        <v>14495</v>
      </c>
    </row>
    <row r="1541" spans="1:18" x14ac:dyDescent="0.25">
      <c r="A1541" s="169">
        <v>44281</v>
      </c>
      <c r="B1541" s="115">
        <v>178.91</v>
      </c>
      <c r="C1541" s="115">
        <v>177.09</v>
      </c>
      <c r="D1541" s="115">
        <v>172.18</v>
      </c>
      <c r="E1541" s="115">
        <v>175.8</v>
      </c>
      <c r="F1541" s="115">
        <v>885.45</v>
      </c>
      <c r="G1541">
        <v>2967</v>
      </c>
      <c r="H1541" s="115"/>
      <c r="I1541" s="115"/>
      <c r="L1541" s="169">
        <v>44273</v>
      </c>
      <c r="M1541" s="115">
        <v>153.07</v>
      </c>
      <c r="N1541" s="115">
        <v>160.80000000000001</v>
      </c>
      <c r="O1541" s="115">
        <v>148.99</v>
      </c>
      <c r="P1541" s="115">
        <v>157.6</v>
      </c>
      <c r="Q1541" s="115">
        <v>765.35</v>
      </c>
      <c r="R1541">
        <v>18157</v>
      </c>
    </row>
    <row r="1542" spans="1:18" x14ac:dyDescent="0.25">
      <c r="A1542" s="169">
        <v>44285</v>
      </c>
      <c r="B1542" s="115">
        <v>181.87</v>
      </c>
      <c r="C1542" s="115">
        <v>179.04</v>
      </c>
      <c r="D1542" s="115">
        <v>177.6</v>
      </c>
      <c r="E1542" s="115">
        <v>177.6</v>
      </c>
      <c r="F1542" s="115">
        <v>895.2</v>
      </c>
      <c r="G1542">
        <v>4070</v>
      </c>
      <c r="H1542" s="115"/>
      <c r="I1542" s="115"/>
      <c r="L1542" s="169">
        <v>44274</v>
      </c>
      <c r="M1542" s="115">
        <v>162.19999999999999</v>
      </c>
      <c r="N1542" s="115">
        <v>163.96</v>
      </c>
      <c r="O1542" s="115">
        <v>148.69</v>
      </c>
      <c r="P1542" s="115">
        <v>151.76</v>
      </c>
      <c r="Q1542" s="115">
        <v>811</v>
      </c>
      <c r="R1542">
        <v>44351</v>
      </c>
    </row>
    <row r="1543" spans="1:18" x14ac:dyDescent="0.25">
      <c r="A1543" s="169">
        <v>44286</v>
      </c>
      <c r="B1543" s="115">
        <v>180.55</v>
      </c>
      <c r="C1543" s="115">
        <v>179.07</v>
      </c>
      <c r="D1543" s="115">
        <v>177.04</v>
      </c>
      <c r="E1543" s="115">
        <v>179.04</v>
      </c>
      <c r="F1543" s="115">
        <v>895.35</v>
      </c>
      <c r="G1543">
        <v>829</v>
      </c>
      <c r="H1543" s="115"/>
      <c r="I1543" s="115"/>
      <c r="L1543" s="169">
        <v>44277</v>
      </c>
      <c r="M1543" s="115">
        <v>159.47999999999999</v>
      </c>
      <c r="N1543" s="115">
        <v>163.02000000000001</v>
      </c>
      <c r="O1543" s="115">
        <v>157.5</v>
      </c>
      <c r="P1543" s="115">
        <v>163.02000000000001</v>
      </c>
      <c r="Q1543" s="115">
        <v>797.4</v>
      </c>
      <c r="R1543">
        <v>19328</v>
      </c>
    </row>
    <row r="1544" spans="1:18" x14ac:dyDescent="0.25">
      <c r="A1544" s="169">
        <v>44287</v>
      </c>
      <c r="B1544" s="115">
        <v>182.02</v>
      </c>
      <c r="C1544" s="115">
        <v>178.41</v>
      </c>
      <c r="D1544" s="115">
        <v>177.23</v>
      </c>
      <c r="E1544" s="115">
        <v>182</v>
      </c>
      <c r="F1544" s="115">
        <v>892.05</v>
      </c>
      <c r="G1544">
        <v>609</v>
      </c>
      <c r="H1544" s="115"/>
      <c r="I1544" s="115"/>
      <c r="L1544" s="169">
        <v>44278</v>
      </c>
      <c r="M1544" s="115">
        <v>168.04</v>
      </c>
      <c r="N1544" s="115">
        <v>173.4</v>
      </c>
      <c r="O1544" s="115">
        <v>159.04</v>
      </c>
      <c r="P1544" s="115">
        <v>160.28</v>
      </c>
      <c r="Q1544" s="115">
        <v>840.2</v>
      </c>
      <c r="R1544">
        <v>204762</v>
      </c>
    </row>
    <row r="1545" spans="1:18" x14ac:dyDescent="0.25">
      <c r="A1545" s="169">
        <v>44291</v>
      </c>
      <c r="B1545" s="115">
        <v>180</v>
      </c>
      <c r="C1545" s="115">
        <v>175.78</v>
      </c>
      <c r="D1545" s="115">
        <v>172.25</v>
      </c>
      <c r="E1545" s="115">
        <v>174.57</v>
      </c>
      <c r="F1545" s="115">
        <v>878.9</v>
      </c>
      <c r="G1545">
        <v>1920</v>
      </c>
      <c r="H1545" s="115"/>
      <c r="I1545" s="115"/>
      <c r="L1545" s="169">
        <v>44279</v>
      </c>
      <c r="M1545" s="115">
        <v>171.01</v>
      </c>
      <c r="N1545" s="115">
        <v>175.78</v>
      </c>
      <c r="O1545" s="115">
        <v>168.07</v>
      </c>
      <c r="P1545" s="115">
        <v>168.38</v>
      </c>
      <c r="Q1545" s="115">
        <v>855.05</v>
      </c>
      <c r="R1545">
        <v>80619</v>
      </c>
    </row>
    <row r="1546" spans="1:18" x14ac:dyDescent="0.25">
      <c r="A1546" s="169">
        <v>44292</v>
      </c>
      <c r="B1546" s="115">
        <v>179.4</v>
      </c>
      <c r="C1546" s="115">
        <v>179.12</v>
      </c>
      <c r="D1546" s="115">
        <v>176</v>
      </c>
      <c r="E1546" s="115">
        <v>177.45</v>
      </c>
      <c r="F1546" s="115">
        <v>895.6</v>
      </c>
      <c r="G1546">
        <v>1041</v>
      </c>
      <c r="H1546" s="115"/>
      <c r="I1546" s="115"/>
      <c r="L1546" s="169">
        <v>44280</v>
      </c>
      <c r="M1546" s="115">
        <v>172.66</v>
      </c>
      <c r="N1546" s="115">
        <v>176.88</v>
      </c>
      <c r="O1546" s="115">
        <v>168.38</v>
      </c>
      <c r="P1546" s="115">
        <v>171</v>
      </c>
      <c r="Q1546" s="115">
        <v>863.3</v>
      </c>
      <c r="R1546">
        <v>51592</v>
      </c>
    </row>
    <row r="1547" spans="1:18" x14ac:dyDescent="0.25">
      <c r="A1547" s="169">
        <v>44293</v>
      </c>
      <c r="B1547" s="115">
        <v>182.43</v>
      </c>
      <c r="C1547" s="115">
        <v>178.62</v>
      </c>
      <c r="D1547" s="115">
        <v>177.4</v>
      </c>
      <c r="E1547" s="115">
        <v>179.8</v>
      </c>
      <c r="F1547" s="115">
        <v>893.1</v>
      </c>
      <c r="G1547">
        <v>4097</v>
      </c>
      <c r="H1547" s="115"/>
      <c r="I1547" s="115"/>
      <c r="L1547" s="169">
        <v>44281</v>
      </c>
      <c r="M1547" s="115">
        <v>176.96</v>
      </c>
      <c r="N1547" s="115">
        <v>179.03</v>
      </c>
      <c r="O1547" s="115">
        <v>171.94</v>
      </c>
      <c r="P1547" s="115">
        <v>175.4</v>
      </c>
      <c r="Q1547" s="115">
        <v>884.8</v>
      </c>
      <c r="R1547">
        <v>77589</v>
      </c>
    </row>
    <row r="1548" spans="1:18" x14ac:dyDescent="0.25">
      <c r="A1548" s="169">
        <v>44294</v>
      </c>
      <c r="B1548" s="115">
        <v>184.55</v>
      </c>
      <c r="C1548" s="115">
        <v>179.81</v>
      </c>
      <c r="D1548" s="115">
        <v>178.71</v>
      </c>
      <c r="E1548" s="115">
        <v>179</v>
      </c>
      <c r="F1548" s="115">
        <v>899.05</v>
      </c>
      <c r="G1548">
        <v>2076</v>
      </c>
      <c r="H1548" s="115"/>
      <c r="I1548" s="115"/>
      <c r="L1548" s="169">
        <v>44285</v>
      </c>
      <c r="M1548" s="115">
        <v>179.22</v>
      </c>
      <c r="N1548" s="115">
        <v>181.58</v>
      </c>
      <c r="O1548" s="115">
        <v>178</v>
      </c>
      <c r="P1548" s="115">
        <v>179</v>
      </c>
      <c r="Q1548" s="115">
        <v>896.1</v>
      </c>
      <c r="R1548">
        <v>91379</v>
      </c>
    </row>
    <row r="1549" spans="1:18" x14ac:dyDescent="0.25">
      <c r="A1549" s="169">
        <v>44295</v>
      </c>
      <c r="B1549" s="115">
        <v>188.51</v>
      </c>
      <c r="C1549" s="115">
        <v>186.33</v>
      </c>
      <c r="D1549" s="115">
        <v>179.22</v>
      </c>
      <c r="E1549" s="115">
        <v>180.77</v>
      </c>
      <c r="F1549" s="115">
        <v>931.65</v>
      </c>
      <c r="G1549">
        <v>3341</v>
      </c>
      <c r="H1549" s="115"/>
      <c r="I1549" s="115"/>
      <c r="L1549" s="169">
        <v>44286</v>
      </c>
      <c r="M1549" s="115">
        <v>179.25</v>
      </c>
      <c r="N1549" s="115">
        <v>181</v>
      </c>
      <c r="O1549" s="115">
        <v>177.2</v>
      </c>
      <c r="P1549" s="115">
        <v>177.2</v>
      </c>
      <c r="Q1549" s="115">
        <v>896.25</v>
      </c>
      <c r="R1549">
        <v>22373</v>
      </c>
    </row>
    <row r="1550" spans="1:18" x14ac:dyDescent="0.25">
      <c r="A1550" s="169">
        <v>44298</v>
      </c>
      <c r="B1550" s="115">
        <v>190.68</v>
      </c>
      <c r="C1550" s="115">
        <v>176.92</v>
      </c>
      <c r="D1550" s="115">
        <v>175.56</v>
      </c>
      <c r="E1550" s="115">
        <v>186.98</v>
      </c>
      <c r="F1550" s="115">
        <v>884.6</v>
      </c>
      <c r="G1550">
        <v>7453</v>
      </c>
      <c r="H1550" s="115"/>
      <c r="I1550" s="115"/>
      <c r="L1550" s="169">
        <v>44287</v>
      </c>
      <c r="M1550" s="115">
        <v>178.31</v>
      </c>
      <c r="N1550" s="115">
        <v>182.71</v>
      </c>
      <c r="O1550" s="115">
        <v>177</v>
      </c>
      <c r="P1550" s="115">
        <v>177.63</v>
      </c>
      <c r="Q1550" s="115">
        <v>891.55</v>
      </c>
      <c r="R1550">
        <v>25908</v>
      </c>
    </row>
    <row r="1551" spans="1:18" x14ac:dyDescent="0.25">
      <c r="A1551" s="169">
        <v>44299</v>
      </c>
      <c r="B1551" s="115">
        <v>185</v>
      </c>
      <c r="C1551" s="115">
        <v>179.5</v>
      </c>
      <c r="D1551" s="115">
        <v>177.3</v>
      </c>
      <c r="E1551" s="115">
        <v>180.77</v>
      </c>
      <c r="F1551" s="115">
        <v>897.5</v>
      </c>
      <c r="G1551">
        <v>1454</v>
      </c>
      <c r="H1551" s="115"/>
      <c r="I1551" s="115"/>
      <c r="L1551" s="169">
        <v>44291</v>
      </c>
      <c r="M1551" s="115">
        <v>176.35</v>
      </c>
      <c r="N1551" s="115">
        <v>180.28</v>
      </c>
      <c r="O1551" s="115">
        <v>172.39</v>
      </c>
      <c r="P1551" s="115">
        <v>178</v>
      </c>
      <c r="Q1551" s="115">
        <v>881.75</v>
      </c>
      <c r="R1551">
        <v>34700</v>
      </c>
    </row>
    <row r="1552" spans="1:18" x14ac:dyDescent="0.25">
      <c r="A1552" s="169">
        <v>44301</v>
      </c>
      <c r="B1552" s="115">
        <v>179.98</v>
      </c>
      <c r="C1552" s="115">
        <v>173.61</v>
      </c>
      <c r="D1552" s="115">
        <v>171</v>
      </c>
      <c r="E1552" s="115">
        <v>176.2</v>
      </c>
      <c r="F1552" s="115">
        <v>868.05</v>
      </c>
      <c r="G1552">
        <v>4725</v>
      </c>
      <c r="H1552" s="115"/>
      <c r="I1552" s="115"/>
      <c r="L1552" s="169">
        <v>44292</v>
      </c>
      <c r="M1552" s="115">
        <v>178.92</v>
      </c>
      <c r="N1552" s="115">
        <v>179.78</v>
      </c>
      <c r="O1552" s="115">
        <v>175.72</v>
      </c>
      <c r="P1552" s="115">
        <v>177</v>
      </c>
      <c r="Q1552" s="115">
        <v>894.6</v>
      </c>
      <c r="R1552">
        <v>33024</v>
      </c>
    </row>
    <row r="1553" spans="1:18" x14ac:dyDescent="0.25">
      <c r="A1553" s="169">
        <v>44302</v>
      </c>
      <c r="B1553" s="115">
        <v>174.77</v>
      </c>
      <c r="C1553" s="115">
        <v>171.2</v>
      </c>
      <c r="D1553" s="115">
        <v>170</v>
      </c>
      <c r="E1553" s="115">
        <v>173.07</v>
      </c>
      <c r="F1553" s="115">
        <v>856</v>
      </c>
      <c r="G1553">
        <v>3169</v>
      </c>
      <c r="H1553" s="115"/>
      <c r="I1553" s="115"/>
      <c r="L1553" s="169">
        <v>44293</v>
      </c>
      <c r="M1553" s="115">
        <v>178.83</v>
      </c>
      <c r="N1553" s="115">
        <v>182.43</v>
      </c>
      <c r="O1553" s="115">
        <v>177.21</v>
      </c>
      <c r="P1553" s="115">
        <v>180</v>
      </c>
      <c r="Q1553" s="115">
        <v>894.15</v>
      </c>
      <c r="R1553">
        <v>50485</v>
      </c>
    </row>
    <row r="1554" spans="1:18" x14ac:dyDescent="0.25">
      <c r="A1554" s="169">
        <v>44305</v>
      </c>
      <c r="B1554" s="115">
        <v>174.2</v>
      </c>
      <c r="C1554" s="115">
        <v>171.9</v>
      </c>
      <c r="D1554" s="115">
        <v>163.12</v>
      </c>
      <c r="E1554" s="115">
        <v>163.12</v>
      </c>
      <c r="F1554" s="115">
        <v>859.5</v>
      </c>
      <c r="G1554">
        <v>2336</v>
      </c>
      <c r="H1554" s="115"/>
      <c r="I1554" s="115"/>
      <c r="L1554" s="169">
        <v>44294</v>
      </c>
      <c r="M1554" s="115">
        <v>180.15</v>
      </c>
      <c r="N1554" s="115">
        <v>184.5</v>
      </c>
      <c r="O1554" s="115">
        <v>178.35</v>
      </c>
      <c r="P1554" s="115">
        <v>181.6</v>
      </c>
      <c r="Q1554" s="115">
        <v>900.75</v>
      </c>
      <c r="R1554">
        <v>60555</v>
      </c>
    </row>
    <row r="1555" spans="1:18" x14ac:dyDescent="0.25">
      <c r="A1555" s="169">
        <v>44306</v>
      </c>
      <c r="B1555" s="115">
        <v>180.02</v>
      </c>
      <c r="C1555" s="115">
        <v>176.19</v>
      </c>
      <c r="D1555" s="115">
        <v>172.42</v>
      </c>
      <c r="E1555" s="115">
        <v>175.1</v>
      </c>
      <c r="F1555" s="115">
        <v>880.95</v>
      </c>
      <c r="G1555">
        <v>2994</v>
      </c>
      <c r="H1555" s="115"/>
      <c r="I1555" s="115"/>
      <c r="L1555" s="169">
        <v>44295</v>
      </c>
      <c r="M1555" s="115">
        <v>186.74</v>
      </c>
      <c r="N1555" s="115">
        <v>188.79</v>
      </c>
      <c r="O1555" s="115">
        <v>179.02</v>
      </c>
      <c r="P1555" s="115">
        <v>181.4</v>
      </c>
      <c r="Q1555" s="115">
        <v>933.7</v>
      </c>
      <c r="R1555">
        <v>128348</v>
      </c>
    </row>
    <row r="1556" spans="1:18" x14ac:dyDescent="0.25">
      <c r="A1556" s="169">
        <v>44308</v>
      </c>
      <c r="B1556" s="115">
        <v>176.71</v>
      </c>
      <c r="C1556" s="115">
        <v>173.06</v>
      </c>
      <c r="D1556" s="115">
        <v>170.4</v>
      </c>
      <c r="E1556" s="115">
        <v>176.4</v>
      </c>
      <c r="F1556" s="115">
        <v>865.3</v>
      </c>
      <c r="G1556">
        <v>5893</v>
      </c>
      <c r="H1556" s="115"/>
      <c r="I1556" s="115"/>
      <c r="L1556" s="169">
        <v>44298</v>
      </c>
      <c r="M1556" s="115">
        <v>177.03</v>
      </c>
      <c r="N1556" s="115">
        <v>190.8</v>
      </c>
      <c r="O1556" s="115">
        <v>175.4</v>
      </c>
      <c r="P1556" s="115">
        <v>186</v>
      </c>
      <c r="Q1556" s="115">
        <v>885.15</v>
      </c>
      <c r="R1556">
        <v>142570</v>
      </c>
    </row>
    <row r="1557" spans="1:18" x14ac:dyDescent="0.25">
      <c r="A1557" s="169">
        <v>44309</v>
      </c>
      <c r="B1557" s="115">
        <v>175.83</v>
      </c>
      <c r="C1557" s="115">
        <v>171.83</v>
      </c>
      <c r="D1557" s="115">
        <v>171.2</v>
      </c>
      <c r="E1557" s="115">
        <v>175.29</v>
      </c>
      <c r="F1557" s="115">
        <v>859.15</v>
      </c>
      <c r="G1557">
        <v>634</v>
      </c>
      <c r="H1557" s="115"/>
      <c r="I1557" s="115"/>
      <c r="L1557" s="169">
        <v>44299</v>
      </c>
      <c r="M1557" s="115">
        <v>179.08</v>
      </c>
      <c r="N1557" s="115">
        <v>182.8</v>
      </c>
      <c r="O1557" s="115">
        <v>176.31</v>
      </c>
      <c r="P1557" s="115">
        <v>180.6</v>
      </c>
      <c r="Q1557" s="115">
        <v>895.4</v>
      </c>
      <c r="R1557">
        <v>56876</v>
      </c>
    </row>
    <row r="1558" spans="1:18" x14ac:dyDescent="0.25">
      <c r="A1558" s="169">
        <v>44312</v>
      </c>
      <c r="B1558" s="115">
        <v>175.6</v>
      </c>
      <c r="C1558" s="115">
        <v>172.39</v>
      </c>
      <c r="D1558" s="115">
        <v>171</v>
      </c>
      <c r="E1558" s="115">
        <v>175.6</v>
      </c>
      <c r="F1558" s="115">
        <v>861.95</v>
      </c>
      <c r="G1558">
        <v>1322</v>
      </c>
      <c r="H1558" s="115"/>
      <c r="I1558" s="115"/>
      <c r="L1558" s="169">
        <v>44301</v>
      </c>
      <c r="M1558" s="115">
        <v>173.6</v>
      </c>
      <c r="N1558" s="115">
        <v>179.87</v>
      </c>
      <c r="O1558" s="115">
        <v>170.54</v>
      </c>
      <c r="P1558" s="115">
        <v>178.4</v>
      </c>
      <c r="Q1558" s="115">
        <v>868</v>
      </c>
      <c r="R1558">
        <v>28145</v>
      </c>
    </row>
    <row r="1559" spans="1:18" x14ac:dyDescent="0.25">
      <c r="A1559" s="169">
        <v>44313</v>
      </c>
      <c r="B1559" s="115">
        <v>180.17</v>
      </c>
      <c r="C1559" s="115">
        <v>176.44</v>
      </c>
      <c r="D1559" s="115">
        <v>173.4</v>
      </c>
      <c r="E1559" s="115">
        <v>174</v>
      </c>
      <c r="F1559" s="115">
        <v>882.2</v>
      </c>
      <c r="G1559">
        <v>3070</v>
      </c>
      <c r="H1559" s="115"/>
      <c r="I1559" s="115"/>
      <c r="L1559" s="169">
        <v>44302</v>
      </c>
      <c r="M1559" s="115">
        <v>172</v>
      </c>
      <c r="N1559" s="115">
        <v>175.6</v>
      </c>
      <c r="O1559" s="115">
        <v>171</v>
      </c>
      <c r="P1559" s="115">
        <v>173.6</v>
      </c>
      <c r="Q1559" s="115">
        <v>860</v>
      </c>
      <c r="R1559">
        <v>20575</v>
      </c>
    </row>
    <row r="1560" spans="1:18" x14ac:dyDescent="0.25">
      <c r="A1560" s="169">
        <v>44314</v>
      </c>
      <c r="B1560" s="115">
        <v>184.85</v>
      </c>
      <c r="C1560" s="115">
        <v>175.73</v>
      </c>
      <c r="D1560" s="115">
        <v>173.3</v>
      </c>
      <c r="E1560" s="115">
        <v>179.6</v>
      </c>
      <c r="F1560" s="115">
        <v>878.65</v>
      </c>
      <c r="G1560">
        <v>11285</v>
      </c>
      <c r="H1560" s="115"/>
      <c r="I1560" s="115"/>
      <c r="L1560" s="169">
        <v>44305</v>
      </c>
      <c r="M1560" s="115">
        <v>171.59</v>
      </c>
      <c r="N1560" s="115">
        <v>174.4</v>
      </c>
      <c r="O1560" s="115">
        <v>164.24</v>
      </c>
      <c r="P1560" s="115">
        <v>171.01</v>
      </c>
      <c r="Q1560" s="115">
        <v>857.95</v>
      </c>
      <c r="R1560">
        <v>32999</v>
      </c>
    </row>
    <row r="1561" spans="1:18" x14ac:dyDescent="0.25">
      <c r="A1561" s="169">
        <v>44315</v>
      </c>
      <c r="B1561" s="115">
        <v>188.96</v>
      </c>
      <c r="C1561" s="115">
        <v>179.47</v>
      </c>
      <c r="D1561" s="115">
        <v>176.8</v>
      </c>
      <c r="E1561" s="115">
        <v>183.6</v>
      </c>
      <c r="F1561" s="115">
        <v>897.35</v>
      </c>
      <c r="G1561">
        <v>18279</v>
      </c>
      <c r="H1561" s="115"/>
      <c r="I1561" s="115"/>
      <c r="L1561" s="169">
        <v>44306</v>
      </c>
      <c r="M1561" s="115">
        <v>176.85</v>
      </c>
      <c r="N1561" s="115">
        <v>184</v>
      </c>
      <c r="O1561" s="115">
        <v>172</v>
      </c>
      <c r="P1561" s="115">
        <v>174</v>
      </c>
      <c r="Q1561" s="115">
        <v>884.25</v>
      </c>
      <c r="R1561">
        <v>36017</v>
      </c>
    </row>
    <row r="1562" spans="1:18" x14ac:dyDescent="0.25">
      <c r="A1562" s="169">
        <v>44316</v>
      </c>
      <c r="B1562" s="115">
        <v>179.94</v>
      </c>
      <c r="C1562" s="115">
        <v>177.85</v>
      </c>
      <c r="D1562" s="115">
        <v>174.2</v>
      </c>
      <c r="E1562" s="115">
        <v>178.1</v>
      </c>
      <c r="F1562" s="115">
        <v>889.25</v>
      </c>
      <c r="G1562">
        <v>8015</v>
      </c>
      <c r="H1562" s="115"/>
      <c r="I1562" s="115"/>
      <c r="L1562" s="169">
        <v>44308</v>
      </c>
      <c r="M1562" s="115">
        <v>173.35</v>
      </c>
      <c r="N1562" s="115">
        <v>178</v>
      </c>
      <c r="O1562" s="115">
        <v>170.78</v>
      </c>
      <c r="P1562" s="115">
        <v>177.78</v>
      </c>
      <c r="Q1562" s="115">
        <v>866.75</v>
      </c>
      <c r="R1562">
        <v>28522</v>
      </c>
    </row>
    <row r="1563" spans="1:18" x14ac:dyDescent="0.25">
      <c r="A1563" s="169">
        <v>44319</v>
      </c>
      <c r="B1563" s="115">
        <v>178.03</v>
      </c>
      <c r="C1563" s="115">
        <v>175.3</v>
      </c>
      <c r="D1563" s="115">
        <v>174.2</v>
      </c>
      <c r="E1563" s="115">
        <v>174.2</v>
      </c>
      <c r="F1563" s="115">
        <v>876.5</v>
      </c>
      <c r="G1563">
        <v>5380</v>
      </c>
      <c r="H1563" s="115"/>
      <c r="I1563" s="115"/>
      <c r="L1563" s="169">
        <v>44309</v>
      </c>
      <c r="M1563" s="115">
        <v>171.74</v>
      </c>
      <c r="N1563" s="115">
        <v>177.83</v>
      </c>
      <c r="O1563" s="115">
        <v>171.02</v>
      </c>
      <c r="P1563" s="115">
        <v>174.78</v>
      </c>
      <c r="Q1563" s="115">
        <v>858.7</v>
      </c>
      <c r="R1563">
        <v>14793</v>
      </c>
    </row>
    <row r="1564" spans="1:18" x14ac:dyDescent="0.25">
      <c r="A1564" s="169">
        <v>44320</v>
      </c>
      <c r="B1564" s="115">
        <v>177.61</v>
      </c>
      <c r="C1564" s="115">
        <v>174.39</v>
      </c>
      <c r="D1564" s="115">
        <v>173.38</v>
      </c>
      <c r="E1564" s="115">
        <v>174.86</v>
      </c>
      <c r="F1564" s="115">
        <v>871.95</v>
      </c>
      <c r="G1564">
        <v>2361</v>
      </c>
      <c r="H1564" s="115"/>
      <c r="I1564" s="115"/>
      <c r="L1564" s="169">
        <v>44312</v>
      </c>
      <c r="M1564" s="115">
        <v>173.03</v>
      </c>
      <c r="N1564" s="115">
        <v>174.58</v>
      </c>
      <c r="O1564" s="115">
        <v>171</v>
      </c>
      <c r="P1564" s="115">
        <v>171.81</v>
      </c>
      <c r="Q1564" s="115">
        <v>865.15</v>
      </c>
      <c r="R1564">
        <v>25607</v>
      </c>
    </row>
    <row r="1565" spans="1:18" x14ac:dyDescent="0.25">
      <c r="A1565" s="169">
        <v>44321</v>
      </c>
      <c r="B1565" s="115">
        <v>177.11</v>
      </c>
      <c r="C1565" s="115">
        <v>173.16</v>
      </c>
      <c r="D1565" s="115">
        <v>172.52</v>
      </c>
      <c r="E1565" s="115">
        <v>175.18</v>
      </c>
      <c r="F1565" s="115">
        <v>865.8</v>
      </c>
      <c r="G1565">
        <v>2036</v>
      </c>
      <c r="H1565" s="115"/>
      <c r="I1565" s="115"/>
      <c r="L1565" s="169">
        <v>44313</v>
      </c>
      <c r="M1565" s="115">
        <v>178.85</v>
      </c>
      <c r="N1565" s="115">
        <v>179.6</v>
      </c>
      <c r="O1565" s="115">
        <v>173.89</v>
      </c>
      <c r="P1565" s="115">
        <v>173.89</v>
      </c>
      <c r="Q1565" s="115">
        <v>894.25</v>
      </c>
      <c r="R1565">
        <v>35695</v>
      </c>
    </row>
    <row r="1566" spans="1:18" x14ac:dyDescent="0.25">
      <c r="A1566" s="169">
        <v>44322</v>
      </c>
      <c r="B1566" s="115">
        <v>186</v>
      </c>
      <c r="C1566" s="115">
        <v>184.54</v>
      </c>
      <c r="D1566" s="115">
        <v>174.8</v>
      </c>
      <c r="E1566" s="115">
        <v>176</v>
      </c>
      <c r="F1566" s="115">
        <v>922.7</v>
      </c>
      <c r="G1566">
        <v>13477</v>
      </c>
      <c r="H1566" s="115"/>
      <c r="I1566" s="115"/>
      <c r="L1566" s="169">
        <v>44314</v>
      </c>
      <c r="M1566" s="115">
        <v>175.02</v>
      </c>
      <c r="N1566" s="115">
        <v>182.8</v>
      </c>
      <c r="O1566" s="115">
        <v>173.07</v>
      </c>
      <c r="P1566" s="115">
        <v>181.8</v>
      </c>
      <c r="Q1566" s="115">
        <v>875.1</v>
      </c>
      <c r="R1566">
        <v>41967</v>
      </c>
    </row>
    <row r="1567" spans="1:18" x14ac:dyDescent="0.25">
      <c r="A1567" s="169">
        <v>44323</v>
      </c>
      <c r="B1567" s="115">
        <v>192.46</v>
      </c>
      <c r="C1567" s="115">
        <v>186.79</v>
      </c>
      <c r="D1567" s="115">
        <v>184.47</v>
      </c>
      <c r="E1567" s="115">
        <v>186</v>
      </c>
      <c r="F1567" s="115">
        <v>933.95</v>
      </c>
      <c r="G1567">
        <v>11670</v>
      </c>
      <c r="H1567" s="115"/>
      <c r="I1567" s="115"/>
      <c r="L1567" s="169">
        <v>44315</v>
      </c>
      <c r="M1567" s="115">
        <v>179.59</v>
      </c>
      <c r="N1567" s="115">
        <v>189.59</v>
      </c>
      <c r="O1567" s="115">
        <v>176.63</v>
      </c>
      <c r="P1567" s="115">
        <v>189.59</v>
      </c>
      <c r="Q1567" s="115">
        <v>897.95</v>
      </c>
      <c r="R1567">
        <v>384463</v>
      </c>
    </row>
    <row r="1568" spans="1:18" x14ac:dyDescent="0.25">
      <c r="A1568" s="169">
        <v>44326</v>
      </c>
      <c r="B1568" s="115">
        <v>193.3</v>
      </c>
      <c r="C1568" s="115">
        <v>190.18</v>
      </c>
      <c r="D1568" s="115">
        <v>187</v>
      </c>
      <c r="E1568" s="115">
        <v>193.3</v>
      </c>
      <c r="F1568" s="115">
        <v>950.9</v>
      </c>
      <c r="G1568">
        <v>4992</v>
      </c>
      <c r="H1568" s="115"/>
      <c r="I1568" s="115"/>
      <c r="L1568" s="169">
        <v>44316</v>
      </c>
      <c r="M1568" s="115">
        <v>176.89</v>
      </c>
      <c r="N1568" s="115">
        <v>180.37</v>
      </c>
      <c r="O1568" s="115">
        <v>174.8</v>
      </c>
      <c r="P1568" s="115">
        <v>177.96</v>
      </c>
      <c r="Q1568" s="115">
        <v>884.45</v>
      </c>
      <c r="R1568">
        <v>68584</v>
      </c>
    </row>
    <row r="1569" spans="1:18" x14ac:dyDescent="0.25">
      <c r="A1569" s="169">
        <v>44327</v>
      </c>
      <c r="B1569" s="115">
        <v>190</v>
      </c>
      <c r="C1569" s="115">
        <v>185.32</v>
      </c>
      <c r="D1569" s="115">
        <v>182.4</v>
      </c>
      <c r="E1569" s="115">
        <v>182.4</v>
      </c>
      <c r="F1569" s="115">
        <v>926.6</v>
      </c>
      <c r="G1569">
        <v>4073</v>
      </c>
      <c r="H1569" s="115"/>
      <c r="I1569" s="115"/>
      <c r="L1569" s="169">
        <v>44319</v>
      </c>
      <c r="M1569" s="115">
        <v>175.01</v>
      </c>
      <c r="N1569" s="115">
        <v>179</v>
      </c>
      <c r="O1569" s="115">
        <v>174.3</v>
      </c>
      <c r="P1569" s="115">
        <v>175.28</v>
      </c>
      <c r="Q1569" s="115">
        <v>875.05</v>
      </c>
      <c r="R1569">
        <v>37985</v>
      </c>
    </row>
    <row r="1570" spans="1:18" x14ac:dyDescent="0.25">
      <c r="A1570" s="169">
        <v>44328</v>
      </c>
      <c r="B1570" s="115">
        <v>189.96</v>
      </c>
      <c r="C1570" s="115">
        <v>186.19</v>
      </c>
      <c r="D1570" s="115">
        <v>184.22</v>
      </c>
      <c r="E1570" s="115">
        <v>189.53</v>
      </c>
      <c r="F1570" s="115">
        <v>930.95</v>
      </c>
      <c r="G1570">
        <v>1980</v>
      </c>
      <c r="H1570" s="115"/>
      <c r="I1570" s="115"/>
      <c r="L1570" s="169">
        <v>44320</v>
      </c>
      <c r="M1570" s="115">
        <v>174.53</v>
      </c>
      <c r="N1570" s="115">
        <v>179.8</v>
      </c>
      <c r="O1570" s="115">
        <v>173</v>
      </c>
      <c r="P1570" s="115">
        <v>176.02</v>
      </c>
      <c r="Q1570" s="115">
        <v>872.65</v>
      </c>
      <c r="R1570">
        <v>51880</v>
      </c>
    </row>
    <row r="1571" spans="1:18" x14ac:dyDescent="0.25">
      <c r="A1571" s="169">
        <v>44330</v>
      </c>
      <c r="B1571" s="115">
        <v>187.89</v>
      </c>
      <c r="C1571" s="115">
        <v>181.34</v>
      </c>
      <c r="D1571" s="115">
        <v>180.62</v>
      </c>
      <c r="E1571" s="115">
        <v>186.77</v>
      </c>
      <c r="F1571" s="115">
        <v>906.7</v>
      </c>
      <c r="G1571">
        <v>1697</v>
      </c>
      <c r="H1571" s="115"/>
      <c r="I1571" s="115"/>
      <c r="L1571" s="169">
        <v>44321</v>
      </c>
      <c r="M1571" s="115">
        <v>173.43</v>
      </c>
      <c r="N1571" s="115">
        <v>176.96</v>
      </c>
      <c r="O1571" s="115">
        <v>172.76</v>
      </c>
      <c r="P1571" s="115">
        <v>176.96</v>
      </c>
      <c r="Q1571" s="115">
        <v>867.15</v>
      </c>
      <c r="R1571">
        <v>18757</v>
      </c>
    </row>
    <row r="1572" spans="1:18" x14ac:dyDescent="0.25">
      <c r="A1572" s="169">
        <v>44333</v>
      </c>
      <c r="B1572" s="115">
        <v>189.2</v>
      </c>
      <c r="C1572" s="115">
        <v>184.9</v>
      </c>
      <c r="D1572" s="115">
        <v>179.03</v>
      </c>
      <c r="E1572" s="115">
        <v>184.96</v>
      </c>
      <c r="F1572" s="115">
        <v>924.5</v>
      </c>
      <c r="G1572">
        <v>1990</v>
      </c>
      <c r="H1572" s="115"/>
      <c r="I1572" s="115"/>
      <c r="L1572" s="169">
        <v>44322</v>
      </c>
      <c r="M1572" s="115">
        <v>184.44</v>
      </c>
      <c r="N1572" s="115">
        <v>185.98</v>
      </c>
      <c r="O1572" s="115">
        <v>174.2</v>
      </c>
      <c r="P1572" s="115">
        <v>175.92</v>
      </c>
      <c r="Q1572" s="115">
        <v>922.2</v>
      </c>
      <c r="R1572">
        <v>330657</v>
      </c>
    </row>
    <row r="1573" spans="1:18" x14ac:dyDescent="0.25">
      <c r="A1573" s="169">
        <v>44334</v>
      </c>
      <c r="B1573" s="115">
        <v>187.16</v>
      </c>
      <c r="C1573" s="115">
        <v>182.89</v>
      </c>
      <c r="D1573" s="115">
        <v>181.71</v>
      </c>
      <c r="E1573" s="115">
        <v>185.24</v>
      </c>
      <c r="F1573" s="115">
        <v>914.45</v>
      </c>
      <c r="G1573">
        <v>3182</v>
      </c>
      <c r="H1573" s="115"/>
      <c r="I1573" s="115"/>
      <c r="L1573" s="169">
        <v>44323</v>
      </c>
      <c r="M1573" s="115">
        <v>186.87</v>
      </c>
      <c r="N1573" s="115">
        <v>192.74</v>
      </c>
      <c r="O1573" s="115">
        <v>184.44</v>
      </c>
      <c r="P1573" s="115">
        <v>184.98</v>
      </c>
      <c r="Q1573" s="115">
        <v>934.35</v>
      </c>
      <c r="R1573">
        <v>150762</v>
      </c>
    </row>
    <row r="1574" spans="1:18" x14ac:dyDescent="0.25">
      <c r="A1574" s="169">
        <v>44335</v>
      </c>
      <c r="B1574" s="115">
        <v>186.19</v>
      </c>
      <c r="C1574" s="115">
        <v>183.32</v>
      </c>
      <c r="D1574" s="115">
        <v>181.51</v>
      </c>
      <c r="E1574" s="115">
        <v>183.67</v>
      </c>
      <c r="F1574" s="115">
        <v>916.6</v>
      </c>
      <c r="G1574">
        <v>1740</v>
      </c>
      <c r="H1574" s="115"/>
      <c r="I1574" s="115"/>
      <c r="L1574" s="169">
        <v>44326</v>
      </c>
      <c r="M1574" s="115">
        <v>190.17</v>
      </c>
      <c r="N1574" s="115">
        <v>192.6</v>
      </c>
      <c r="O1574" s="115">
        <v>187.3</v>
      </c>
      <c r="P1574" s="115">
        <v>189.96</v>
      </c>
      <c r="Q1574" s="115">
        <v>950.85</v>
      </c>
      <c r="R1574">
        <v>72446</v>
      </c>
    </row>
    <row r="1575" spans="1:18" x14ac:dyDescent="0.25">
      <c r="A1575" s="169">
        <v>44336</v>
      </c>
      <c r="B1575" s="115">
        <v>199</v>
      </c>
      <c r="C1575" s="115">
        <v>188.96</v>
      </c>
      <c r="D1575" s="115">
        <v>183.29</v>
      </c>
      <c r="E1575" s="115">
        <v>184.64</v>
      </c>
      <c r="F1575" s="115">
        <v>944.8</v>
      </c>
      <c r="G1575">
        <v>21136</v>
      </c>
      <c r="H1575" s="115"/>
      <c r="I1575" s="115"/>
      <c r="L1575" s="169">
        <v>44327</v>
      </c>
      <c r="M1575" s="115">
        <v>185.37</v>
      </c>
      <c r="N1575" s="115">
        <v>190.03</v>
      </c>
      <c r="O1575" s="115">
        <v>184.82</v>
      </c>
      <c r="P1575" s="115">
        <v>188</v>
      </c>
      <c r="Q1575" s="115">
        <v>926.85</v>
      </c>
      <c r="R1575">
        <v>23737</v>
      </c>
    </row>
    <row r="1576" spans="1:18" x14ac:dyDescent="0.25">
      <c r="A1576" s="169">
        <v>44337</v>
      </c>
      <c r="B1576" s="115">
        <v>195.98</v>
      </c>
      <c r="C1576" s="115">
        <v>194.09</v>
      </c>
      <c r="D1576" s="115">
        <v>184.66</v>
      </c>
      <c r="E1576" s="115">
        <v>192</v>
      </c>
      <c r="F1576" s="115">
        <v>970.45</v>
      </c>
      <c r="G1576">
        <v>8836</v>
      </c>
      <c r="H1576" s="115"/>
      <c r="I1576" s="115"/>
      <c r="L1576" s="169">
        <v>44328</v>
      </c>
      <c r="M1576" s="115">
        <v>186.73</v>
      </c>
      <c r="N1576" s="115">
        <v>189.98</v>
      </c>
      <c r="O1576" s="115">
        <v>185.41</v>
      </c>
      <c r="P1576" s="115">
        <v>188.4</v>
      </c>
      <c r="Q1576" s="115">
        <v>933.65</v>
      </c>
      <c r="R1576">
        <v>24608</v>
      </c>
    </row>
    <row r="1577" spans="1:18" x14ac:dyDescent="0.25">
      <c r="A1577" s="169">
        <v>44340</v>
      </c>
      <c r="B1577" s="115">
        <v>200.78</v>
      </c>
      <c r="C1577" s="115">
        <v>197.42</v>
      </c>
      <c r="D1577" s="115">
        <v>195.08</v>
      </c>
      <c r="E1577" s="115">
        <v>198.8</v>
      </c>
      <c r="F1577" s="115">
        <v>987.1</v>
      </c>
      <c r="G1577">
        <v>6865</v>
      </c>
      <c r="H1577" s="115"/>
      <c r="I1577" s="115"/>
      <c r="L1577" s="169">
        <v>44330</v>
      </c>
      <c r="M1577" s="115">
        <v>181.91</v>
      </c>
      <c r="N1577" s="115">
        <v>189.48</v>
      </c>
      <c r="O1577" s="115">
        <v>180.6</v>
      </c>
      <c r="P1577" s="115">
        <v>189.4</v>
      </c>
      <c r="Q1577" s="115">
        <v>909.55</v>
      </c>
      <c r="R1577">
        <v>24684</v>
      </c>
    </row>
    <row r="1578" spans="1:18" x14ac:dyDescent="0.25">
      <c r="A1578" s="169">
        <v>44341</v>
      </c>
      <c r="B1578" s="115">
        <v>201.94</v>
      </c>
      <c r="C1578" s="115">
        <v>200.73</v>
      </c>
      <c r="D1578" s="115">
        <v>197.52</v>
      </c>
      <c r="E1578" s="115">
        <v>199.99</v>
      </c>
      <c r="F1578" s="115">
        <v>1003.65</v>
      </c>
      <c r="G1578">
        <v>4484</v>
      </c>
      <c r="H1578" s="115"/>
      <c r="I1578" s="115"/>
      <c r="L1578" s="169">
        <v>44333</v>
      </c>
      <c r="M1578" s="115">
        <v>185.16</v>
      </c>
      <c r="N1578" s="115">
        <v>187.76</v>
      </c>
      <c r="O1578" s="115">
        <v>179</v>
      </c>
      <c r="P1578" s="115">
        <v>182.82</v>
      </c>
      <c r="Q1578" s="115">
        <v>925.8</v>
      </c>
      <c r="R1578">
        <v>37517</v>
      </c>
    </row>
    <row r="1579" spans="1:18" x14ac:dyDescent="0.25">
      <c r="A1579" s="169">
        <v>44342</v>
      </c>
      <c r="B1579" s="115">
        <v>207.81</v>
      </c>
      <c r="C1579" s="115">
        <v>205.34</v>
      </c>
      <c r="D1579" s="115">
        <v>200.49</v>
      </c>
      <c r="E1579" s="115">
        <v>200.49</v>
      </c>
      <c r="F1579" s="115">
        <v>1026.7</v>
      </c>
      <c r="G1579">
        <v>4788</v>
      </c>
      <c r="H1579" s="115"/>
      <c r="I1579" s="115"/>
      <c r="L1579" s="169">
        <v>44334</v>
      </c>
      <c r="M1579" s="115">
        <v>182.97</v>
      </c>
      <c r="N1579" s="115">
        <v>188</v>
      </c>
      <c r="O1579" s="115">
        <v>181.8</v>
      </c>
      <c r="P1579" s="115">
        <v>188</v>
      </c>
      <c r="Q1579" s="115">
        <v>914.85</v>
      </c>
      <c r="R1579">
        <v>33353</v>
      </c>
    </row>
    <row r="1580" spans="1:18" x14ac:dyDescent="0.25">
      <c r="A1580" s="169">
        <v>44343</v>
      </c>
      <c r="B1580" s="115">
        <v>210</v>
      </c>
      <c r="C1580" s="115">
        <v>199.4</v>
      </c>
      <c r="D1580" s="115">
        <v>197.42</v>
      </c>
      <c r="E1580" s="115">
        <v>210</v>
      </c>
      <c r="F1580" s="115">
        <v>997</v>
      </c>
      <c r="G1580">
        <v>9655</v>
      </c>
      <c r="H1580" s="115"/>
      <c r="I1580" s="115"/>
      <c r="L1580" s="169">
        <v>44335</v>
      </c>
      <c r="M1580" s="115">
        <v>183.05</v>
      </c>
      <c r="N1580" s="115">
        <v>186.12</v>
      </c>
      <c r="O1580" s="115">
        <v>182.26</v>
      </c>
      <c r="P1580" s="115">
        <v>183.6</v>
      </c>
      <c r="Q1580" s="115">
        <v>915.25</v>
      </c>
      <c r="R1580">
        <v>52025</v>
      </c>
    </row>
    <row r="1581" spans="1:18" x14ac:dyDescent="0.25">
      <c r="A1581" s="169">
        <v>44344</v>
      </c>
      <c r="B1581" s="115">
        <v>208.78</v>
      </c>
      <c r="C1581" s="115">
        <v>200.7</v>
      </c>
      <c r="D1581" s="115">
        <v>198.56</v>
      </c>
      <c r="E1581" s="115">
        <v>205.6</v>
      </c>
      <c r="F1581" s="115">
        <v>1003.5</v>
      </c>
      <c r="G1581">
        <v>3253</v>
      </c>
      <c r="H1581" s="115"/>
      <c r="I1581" s="115"/>
      <c r="L1581" s="169">
        <v>44336</v>
      </c>
      <c r="M1581" s="115">
        <v>188.8</v>
      </c>
      <c r="N1581" s="115">
        <v>199.96</v>
      </c>
      <c r="O1581" s="115">
        <v>183.39</v>
      </c>
      <c r="P1581" s="115">
        <v>183.97</v>
      </c>
      <c r="Q1581" s="115">
        <v>944</v>
      </c>
      <c r="R1581">
        <v>371779</v>
      </c>
    </row>
    <row r="1582" spans="1:18" x14ac:dyDescent="0.25">
      <c r="A1582" s="169">
        <v>44347</v>
      </c>
      <c r="B1582" s="115">
        <v>200.5</v>
      </c>
      <c r="C1582" s="115">
        <v>194.98</v>
      </c>
      <c r="D1582" s="115">
        <v>194</v>
      </c>
      <c r="E1582" s="115">
        <v>199.03</v>
      </c>
      <c r="F1582" s="115">
        <v>974.9</v>
      </c>
      <c r="G1582">
        <v>4710</v>
      </c>
      <c r="H1582" s="115"/>
      <c r="I1582" s="115"/>
      <c r="L1582" s="169">
        <v>44337</v>
      </c>
      <c r="M1582" s="115">
        <v>194.47</v>
      </c>
      <c r="N1582" s="115">
        <v>195.97</v>
      </c>
      <c r="O1582" s="115">
        <v>188.82</v>
      </c>
      <c r="P1582" s="115">
        <v>190.7</v>
      </c>
      <c r="Q1582" s="115">
        <v>972.35</v>
      </c>
      <c r="R1582">
        <v>120169</v>
      </c>
    </row>
    <row r="1583" spans="1:18" x14ac:dyDescent="0.25">
      <c r="A1583" s="169">
        <v>44348</v>
      </c>
      <c r="B1583" s="115">
        <v>201.73</v>
      </c>
      <c r="C1583" s="115">
        <v>196.87</v>
      </c>
      <c r="D1583" s="115">
        <v>195.6</v>
      </c>
      <c r="E1583" s="115">
        <v>196</v>
      </c>
      <c r="F1583" s="115">
        <v>984.35</v>
      </c>
      <c r="G1583">
        <v>1904</v>
      </c>
      <c r="H1583" s="115"/>
      <c r="I1583" s="115"/>
      <c r="L1583" s="169">
        <v>44340</v>
      </c>
      <c r="M1583" s="115">
        <v>197.7</v>
      </c>
      <c r="N1583" s="115">
        <v>201</v>
      </c>
      <c r="O1583" s="115">
        <v>195</v>
      </c>
      <c r="P1583" s="115">
        <v>199</v>
      </c>
      <c r="Q1583" s="115">
        <v>988.5</v>
      </c>
      <c r="R1583">
        <v>125937</v>
      </c>
    </row>
    <row r="1584" spans="1:18" x14ac:dyDescent="0.25">
      <c r="A1584" s="169">
        <v>44349</v>
      </c>
      <c r="B1584" s="115">
        <v>199.8</v>
      </c>
      <c r="C1584" s="115">
        <v>197.17</v>
      </c>
      <c r="D1584" s="115">
        <v>195.4</v>
      </c>
      <c r="E1584" s="115">
        <v>196.8</v>
      </c>
      <c r="F1584" s="115">
        <v>985.85</v>
      </c>
      <c r="G1584">
        <v>1489</v>
      </c>
      <c r="H1584" s="115"/>
      <c r="I1584" s="115"/>
      <c r="L1584" s="169">
        <v>44341</v>
      </c>
      <c r="M1584" s="115">
        <v>201</v>
      </c>
      <c r="N1584" s="115">
        <v>202</v>
      </c>
      <c r="O1584" s="115">
        <v>197.11</v>
      </c>
      <c r="P1584" s="115">
        <v>198.69</v>
      </c>
      <c r="Q1584" s="115">
        <v>1005</v>
      </c>
      <c r="R1584">
        <v>59407</v>
      </c>
    </row>
    <row r="1585" spans="1:18" x14ac:dyDescent="0.25">
      <c r="A1585" s="169">
        <v>44350</v>
      </c>
      <c r="B1585" s="115">
        <v>205.85</v>
      </c>
      <c r="C1585" s="115">
        <v>202.6</v>
      </c>
      <c r="D1585" s="115">
        <v>196.65</v>
      </c>
      <c r="E1585" s="115">
        <v>198.33</v>
      </c>
      <c r="F1585" s="115">
        <v>1013</v>
      </c>
      <c r="G1585">
        <v>6405</v>
      </c>
      <c r="H1585" s="115"/>
      <c r="I1585" s="115"/>
      <c r="L1585" s="169">
        <v>44342</v>
      </c>
      <c r="M1585" s="115">
        <v>205.44</v>
      </c>
      <c r="N1585" s="115">
        <v>206.82</v>
      </c>
      <c r="O1585" s="115">
        <v>200.3</v>
      </c>
      <c r="P1585" s="115">
        <v>202</v>
      </c>
      <c r="Q1585" s="115">
        <v>1027.2</v>
      </c>
      <c r="R1585">
        <v>68469</v>
      </c>
    </row>
    <row r="1586" spans="1:18" x14ac:dyDescent="0.25">
      <c r="A1586" s="169">
        <v>44351</v>
      </c>
      <c r="B1586" s="115">
        <v>204.92</v>
      </c>
      <c r="C1586" s="115">
        <v>203.63</v>
      </c>
      <c r="D1586" s="115">
        <v>201.3</v>
      </c>
      <c r="E1586" s="115">
        <v>202.6</v>
      </c>
      <c r="F1586" s="115">
        <v>1018.15</v>
      </c>
      <c r="G1586">
        <v>2048</v>
      </c>
      <c r="H1586" s="115"/>
      <c r="I1586" s="115"/>
      <c r="L1586" s="169">
        <v>44343</v>
      </c>
      <c r="M1586" s="115">
        <v>199.67</v>
      </c>
      <c r="N1586" s="115">
        <v>207</v>
      </c>
      <c r="O1586" s="115">
        <v>197.47</v>
      </c>
      <c r="P1586" s="115">
        <v>207</v>
      </c>
      <c r="Q1586" s="115">
        <v>998.35</v>
      </c>
      <c r="R1586">
        <v>75584</v>
      </c>
    </row>
    <row r="1587" spans="1:18" x14ac:dyDescent="0.25">
      <c r="A1587" s="169">
        <v>44354</v>
      </c>
      <c r="B1587" s="115">
        <v>221</v>
      </c>
      <c r="C1587" s="115">
        <v>213.75</v>
      </c>
      <c r="D1587" s="115">
        <v>205</v>
      </c>
      <c r="E1587" s="115">
        <v>205.8</v>
      </c>
      <c r="F1587" s="115">
        <v>1068.75</v>
      </c>
      <c r="G1587">
        <v>12799</v>
      </c>
      <c r="H1587" s="115"/>
      <c r="I1587" s="115"/>
      <c r="L1587" s="169">
        <v>44344</v>
      </c>
      <c r="M1587" s="115">
        <v>200.39</v>
      </c>
      <c r="N1587" s="115">
        <v>204</v>
      </c>
      <c r="O1587" s="115">
        <v>198.8</v>
      </c>
      <c r="P1587" s="115">
        <v>199.03</v>
      </c>
      <c r="Q1587" s="115">
        <v>1001.95</v>
      </c>
      <c r="R1587">
        <v>50097</v>
      </c>
    </row>
    <row r="1588" spans="1:18" x14ac:dyDescent="0.25">
      <c r="A1588" s="169">
        <v>44355</v>
      </c>
      <c r="B1588" s="115">
        <v>213.75</v>
      </c>
      <c r="C1588" s="115">
        <v>208.61</v>
      </c>
      <c r="D1588" s="115">
        <v>208</v>
      </c>
      <c r="E1588" s="115">
        <v>213.75</v>
      </c>
      <c r="F1588" s="115">
        <v>1043.05</v>
      </c>
      <c r="G1588">
        <v>9211</v>
      </c>
      <c r="H1588" s="115"/>
      <c r="I1588" s="115"/>
      <c r="L1588" s="169">
        <v>44347</v>
      </c>
      <c r="M1588" s="115">
        <v>195.33</v>
      </c>
      <c r="N1588" s="115">
        <v>200.9</v>
      </c>
      <c r="O1588" s="115">
        <v>194.2</v>
      </c>
      <c r="P1588" s="115">
        <v>200.39</v>
      </c>
      <c r="Q1588" s="115">
        <v>976.65</v>
      </c>
      <c r="R1588">
        <v>45079</v>
      </c>
    </row>
    <row r="1589" spans="1:18" x14ac:dyDescent="0.25">
      <c r="A1589" s="169">
        <v>44356</v>
      </c>
      <c r="B1589" s="115">
        <v>210.77</v>
      </c>
      <c r="C1589" s="115">
        <v>204.24</v>
      </c>
      <c r="D1589" s="115">
        <v>203.1</v>
      </c>
      <c r="E1589" s="115">
        <v>210.22</v>
      </c>
      <c r="F1589" s="115">
        <v>1021.2</v>
      </c>
      <c r="G1589">
        <v>2872</v>
      </c>
      <c r="H1589" s="115"/>
      <c r="I1589" s="115"/>
      <c r="L1589" s="169">
        <v>44348</v>
      </c>
      <c r="M1589" s="115">
        <v>197.1</v>
      </c>
      <c r="N1589" s="115">
        <v>201.98</v>
      </c>
      <c r="O1589" s="115">
        <v>195.51</v>
      </c>
      <c r="P1589" s="115">
        <v>197</v>
      </c>
      <c r="Q1589" s="115">
        <v>985.5</v>
      </c>
      <c r="R1589">
        <v>44111</v>
      </c>
    </row>
    <row r="1590" spans="1:18" x14ac:dyDescent="0.25">
      <c r="A1590" s="169">
        <v>44357</v>
      </c>
      <c r="B1590" s="115">
        <v>207.6</v>
      </c>
      <c r="C1590" s="115">
        <v>202.13</v>
      </c>
      <c r="D1590" s="115">
        <v>200.85</v>
      </c>
      <c r="E1590" s="115">
        <v>206.68</v>
      </c>
      <c r="F1590" s="115">
        <v>1010.65</v>
      </c>
      <c r="G1590">
        <v>4698</v>
      </c>
      <c r="H1590" s="115"/>
      <c r="I1590" s="115"/>
      <c r="L1590" s="169">
        <v>44349</v>
      </c>
      <c r="M1590" s="115">
        <v>196.39</v>
      </c>
      <c r="N1590" s="115">
        <v>200</v>
      </c>
      <c r="O1590" s="115">
        <v>195.01</v>
      </c>
      <c r="P1590" s="115">
        <v>196.2</v>
      </c>
      <c r="Q1590" s="115">
        <v>981.95</v>
      </c>
      <c r="R1590">
        <v>36200</v>
      </c>
    </row>
    <row r="1591" spans="1:18" x14ac:dyDescent="0.25">
      <c r="A1591" s="169">
        <v>44358</v>
      </c>
      <c r="B1591" s="115">
        <v>222</v>
      </c>
      <c r="C1591" s="115">
        <v>202.03</v>
      </c>
      <c r="D1591" s="115">
        <v>201.4</v>
      </c>
      <c r="E1591" s="115">
        <v>202.41</v>
      </c>
      <c r="F1591" s="115">
        <v>1010.15</v>
      </c>
      <c r="G1591">
        <v>4681</v>
      </c>
      <c r="H1591" s="115"/>
      <c r="I1591" s="115"/>
      <c r="L1591" s="169">
        <v>44350</v>
      </c>
      <c r="M1591" s="115">
        <v>202.94</v>
      </c>
      <c r="N1591" s="115">
        <v>205.8</v>
      </c>
      <c r="O1591" s="115">
        <v>196.45</v>
      </c>
      <c r="P1591" s="115">
        <v>199.8</v>
      </c>
      <c r="Q1591" s="115">
        <v>1014.7</v>
      </c>
      <c r="R1591">
        <v>61625</v>
      </c>
    </row>
    <row r="1592" spans="1:18" x14ac:dyDescent="0.25">
      <c r="A1592" s="169">
        <v>44361</v>
      </c>
      <c r="B1592" s="115">
        <v>204</v>
      </c>
      <c r="C1592" s="115">
        <v>199.05</v>
      </c>
      <c r="D1592" s="115">
        <v>198</v>
      </c>
      <c r="E1592" s="115">
        <v>204</v>
      </c>
      <c r="F1592" s="115">
        <v>995.25</v>
      </c>
      <c r="G1592">
        <v>6707</v>
      </c>
      <c r="H1592" s="115"/>
      <c r="I1592" s="115"/>
      <c r="L1592" s="169">
        <v>44351</v>
      </c>
      <c r="M1592" s="115">
        <v>203.51</v>
      </c>
      <c r="N1592" s="115">
        <v>205.31</v>
      </c>
      <c r="O1592" s="115">
        <v>200.24</v>
      </c>
      <c r="P1592" s="115">
        <v>200.24</v>
      </c>
      <c r="Q1592" s="115">
        <v>1017.55</v>
      </c>
      <c r="R1592">
        <v>40716</v>
      </c>
    </row>
    <row r="1593" spans="1:18" x14ac:dyDescent="0.25">
      <c r="A1593" s="169">
        <v>44362</v>
      </c>
      <c r="B1593" s="115">
        <v>206.99</v>
      </c>
      <c r="C1593" s="115">
        <v>199.59</v>
      </c>
      <c r="D1593" s="115">
        <v>198.9</v>
      </c>
      <c r="E1593" s="115">
        <v>205.3</v>
      </c>
      <c r="F1593" s="115">
        <v>997.95</v>
      </c>
      <c r="G1593">
        <v>4676</v>
      </c>
      <c r="H1593" s="115"/>
      <c r="I1593" s="115"/>
      <c r="L1593" s="169">
        <v>44354</v>
      </c>
      <c r="M1593" s="115">
        <v>212.89</v>
      </c>
      <c r="N1593" s="115">
        <v>221</v>
      </c>
      <c r="O1593" s="115">
        <v>205.02</v>
      </c>
      <c r="P1593" s="115">
        <v>206.96</v>
      </c>
      <c r="Q1593" s="115">
        <v>1064.45</v>
      </c>
      <c r="R1593">
        <v>215109</v>
      </c>
    </row>
    <row r="1594" spans="1:18" x14ac:dyDescent="0.25">
      <c r="A1594" s="169">
        <v>44363</v>
      </c>
      <c r="B1594" s="115">
        <v>201.96</v>
      </c>
      <c r="C1594" s="115">
        <v>199.06</v>
      </c>
      <c r="D1594" s="115">
        <v>197.58</v>
      </c>
      <c r="E1594" s="115">
        <v>201.96</v>
      </c>
      <c r="F1594" s="115">
        <v>995.3</v>
      </c>
      <c r="G1594">
        <v>2248</v>
      </c>
      <c r="H1594" s="115"/>
      <c r="I1594" s="115"/>
      <c r="L1594" s="169">
        <v>44355</v>
      </c>
      <c r="M1594" s="115">
        <v>208.81</v>
      </c>
      <c r="N1594" s="115">
        <v>213.77</v>
      </c>
      <c r="O1594" s="115">
        <v>208</v>
      </c>
      <c r="P1594" s="115">
        <v>213.19</v>
      </c>
      <c r="Q1594" s="115">
        <v>1044.05</v>
      </c>
      <c r="R1594">
        <v>54271</v>
      </c>
    </row>
    <row r="1595" spans="1:18" x14ac:dyDescent="0.25">
      <c r="A1595" s="169">
        <v>44364</v>
      </c>
      <c r="B1595" s="115">
        <v>200.8</v>
      </c>
      <c r="C1595" s="115">
        <v>194.59</v>
      </c>
      <c r="D1595" s="115">
        <v>193.6</v>
      </c>
      <c r="E1595" s="115">
        <v>199.06</v>
      </c>
      <c r="F1595" s="115">
        <v>972.95</v>
      </c>
      <c r="G1595">
        <v>1493</v>
      </c>
      <c r="H1595" s="115"/>
      <c r="I1595" s="115"/>
      <c r="L1595" s="169">
        <v>44356</v>
      </c>
      <c r="M1595" s="115">
        <v>204.06</v>
      </c>
      <c r="N1595" s="115">
        <v>211.75</v>
      </c>
      <c r="O1595" s="115">
        <v>203.2</v>
      </c>
      <c r="P1595" s="115">
        <v>211.75</v>
      </c>
      <c r="Q1595" s="115">
        <v>1020.3</v>
      </c>
      <c r="R1595">
        <v>38585</v>
      </c>
    </row>
    <row r="1596" spans="1:18" x14ac:dyDescent="0.25">
      <c r="A1596" s="169">
        <v>44365</v>
      </c>
      <c r="B1596" s="115">
        <v>196.71</v>
      </c>
      <c r="C1596" s="115">
        <v>189.45</v>
      </c>
      <c r="D1596" s="115">
        <v>187.28</v>
      </c>
      <c r="E1596" s="115">
        <v>195.77</v>
      </c>
      <c r="F1596" s="115">
        <v>947.25</v>
      </c>
      <c r="G1596">
        <v>3197</v>
      </c>
      <c r="H1596" s="115"/>
      <c r="I1596" s="115"/>
      <c r="L1596" s="169">
        <v>44357</v>
      </c>
      <c r="M1596" s="115">
        <v>201.71</v>
      </c>
      <c r="N1596" s="115">
        <v>208.01</v>
      </c>
      <c r="O1596" s="115">
        <v>200.64</v>
      </c>
      <c r="P1596" s="115">
        <v>205.09</v>
      </c>
      <c r="Q1596" s="115">
        <v>1008.55</v>
      </c>
      <c r="R1596">
        <v>27603</v>
      </c>
    </row>
    <row r="1597" spans="1:18" x14ac:dyDescent="0.25">
      <c r="A1597" s="169">
        <v>44368</v>
      </c>
      <c r="B1597" s="115">
        <v>194.23</v>
      </c>
      <c r="C1597" s="115">
        <v>185.32</v>
      </c>
      <c r="D1597" s="115">
        <v>184.16</v>
      </c>
      <c r="E1597" s="115">
        <v>186</v>
      </c>
      <c r="F1597" s="115">
        <v>926.6</v>
      </c>
      <c r="G1597">
        <v>4605</v>
      </c>
      <c r="H1597" s="115"/>
      <c r="I1597" s="115"/>
      <c r="L1597" s="169">
        <v>44358</v>
      </c>
      <c r="M1597" s="115">
        <v>202.33</v>
      </c>
      <c r="N1597" s="115">
        <v>208.4</v>
      </c>
      <c r="O1597" s="115">
        <v>201.12</v>
      </c>
      <c r="P1597" s="115">
        <v>204</v>
      </c>
      <c r="Q1597" s="115">
        <v>1011.65</v>
      </c>
      <c r="R1597">
        <v>56163</v>
      </c>
    </row>
    <row r="1598" spans="1:18" x14ac:dyDescent="0.25">
      <c r="A1598" s="169">
        <v>44369</v>
      </c>
      <c r="B1598" s="115">
        <v>189.11</v>
      </c>
      <c r="C1598" s="115">
        <v>185.81</v>
      </c>
      <c r="D1598" s="115">
        <v>184</v>
      </c>
      <c r="E1598" s="115">
        <v>187</v>
      </c>
      <c r="F1598" s="115">
        <v>929.05</v>
      </c>
      <c r="G1598">
        <v>3832</v>
      </c>
      <c r="H1598" s="115"/>
      <c r="I1598" s="115"/>
      <c r="L1598" s="169">
        <v>44361</v>
      </c>
      <c r="M1598" s="115">
        <v>199.17</v>
      </c>
      <c r="N1598" s="115">
        <v>203.78</v>
      </c>
      <c r="O1598" s="115">
        <v>197.8</v>
      </c>
      <c r="P1598" s="115">
        <v>202.4</v>
      </c>
      <c r="Q1598" s="115">
        <v>995.85</v>
      </c>
      <c r="R1598">
        <v>28422</v>
      </c>
    </row>
    <row r="1599" spans="1:18" x14ac:dyDescent="0.25">
      <c r="A1599" s="169">
        <v>44370</v>
      </c>
      <c r="B1599" s="115">
        <v>187.81</v>
      </c>
      <c r="C1599" s="115">
        <v>184.15</v>
      </c>
      <c r="D1599" s="115">
        <v>183.27</v>
      </c>
      <c r="E1599" s="115">
        <v>186</v>
      </c>
      <c r="F1599" s="115">
        <v>920.75</v>
      </c>
      <c r="G1599">
        <v>3225</v>
      </c>
      <c r="H1599" s="115"/>
      <c r="I1599" s="115"/>
      <c r="L1599" s="169">
        <v>44362</v>
      </c>
      <c r="M1599" s="115">
        <v>199.4</v>
      </c>
      <c r="N1599" s="115">
        <v>208.1</v>
      </c>
      <c r="O1599" s="115">
        <v>198.87</v>
      </c>
      <c r="P1599" s="115">
        <v>199.6</v>
      </c>
      <c r="Q1599" s="115">
        <v>997</v>
      </c>
      <c r="R1599">
        <v>63239</v>
      </c>
    </row>
    <row r="1600" spans="1:18" x14ac:dyDescent="0.25">
      <c r="A1600" s="169">
        <v>44371</v>
      </c>
      <c r="B1600" s="115">
        <v>186.35</v>
      </c>
      <c r="C1600" s="115">
        <v>184.03</v>
      </c>
      <c r="D1600" s="115">
        <v>182.46</v>
      </c>
      <c r="E1600" s="115">
        <v>186.28</v>
      </c>
      <c r="F1600" s="115">
        <v>920.15</v>
      </c>
      <c r="G1600">
        <v>2101</v>
      </c>
      <c r="H1600" s="115"/>
      <c r="I1600" s="115"/>
      <c r="L1600" s="169">
        <v>44363</v>
      </c>
      <c r="M1600" s="115">
        <v>199.22</v>
      </c>
      <c r="N1600" s="115">
        <v>202.82</v>
      </c>
      <c r="O1600" s="115">
        <v>197.26</v>
      </c>
      <c r="P1600" s="115">
        <v>200.99</v>
      </c>
      <c r="Q1600" s="115">
        <v>996.1</v>
      </c>
      <c r="R1600">
        <v>16257</v>
      </c>
    </row>
    <row r="1601" spans="1:18" x14ac:dyDescent="0.25">
      <c r="A1601" s="169">
        <v>44372</v>
      </c>
      <c r="B1601" s="115">
        <v>185.49</v>
      </c>
      <c r="C1601" s="115">
        <v>183.81</v>
      </c>
      <c r="D1601" s="115">
        <v>183</v>
      </c>
      <c r="E1601" s="115">
        <v>185.06</v>
      </c>
      <c r="F1601" s="115">
        <v>919.05</v>
      </c>
      <c r="G1601">
        <v>2314</v>
      </c>
      <c r="H1601" s="115"/>
      <c r="I1601" s="115"/>
      <c r="L1601" s="169">
        <v>44364</v>
      </c>
      <c r="M1601" s="115">
        <v>194.6</v>
      </c>
      <c r="N1601" s="115">
        <v>201.07</v>
      </c>
      <c r="O1601" s="115">
        <v>193.8</v>
      </c>
      <c r="P1601" s="115">
        <v>198.87</v>
      </c>
      <c r="Q1601" s="115">
        <v>973</v>
      </c>
      <c r="R1601">
        <v>24380</v>
      </c>
    </row>
    <row r="1602" spans="1:18" x14ac:dyDescent="0.25">
      <c r="A1602" s="169">
        <v>44375</v>
      </c>
      <c r="B1602" s="115">
        <v>189.95</v>
      </c>
      <c r="C1602" s="115">
        <v>184.19</v>
      </c>
      <c r="D1602" s="115">
        <v>182.24</v>
      </c>
      <c r="E1602" s="115">
        <v>184</v>
      </c>
      <c r="F1602" s="115">
        <v>920.95</v>
      </c>
      <c r="G1602">
        <v>11369</v>
      </c>
      <c r="H1602" s="115"/>
      <c r="I1602" s="115"/>
      <c r="L1602" s="169">
        <v>44365</v>
      </c>
      <c r="M1602" s="115">
        <v>189.05</v>
      </c>
      <c r="N1602" s="115">
        <v>196.95</v>
      </c>
      <c r="O1602" s="115">
        <v>187.18</v>
      </c>
      <c r="P1602" s="115">
        <v>194.31</v>
      </c>
      <c r="Q1602" s="115">
        <v>945.25</v>
      </c>
      <c r="R1602">
        <v>41606</v>
      </c>
    </row>
    <row r="1603" spans="1:18" x14ac:dyDescent="0.25">
      <c r="A1603" s="169">
        <v>44376</v>
      </c>
      <c r="B1603" s="115">
        <v>202.13</v>
      </c>
      <c r="C1603" s="115">
        <v>200.08</v>
      </c>
      <c r="D1603" s="115">
        <v>186.06</v>
      </c>
      <c r="E1603" s="115">
        <v>186.06</v>
      </c>
      <c r="F1603" s="115">
        <v>1000.4</v>
      </c>
      <c r="G1603">
        <v>35207</v>
      </c>
      <c r="H1603" s="115"/>
      <c r="I1603" s="115"/>
      <c r="L1603" s="169">
        <v>44368</v>
      </c>
      <c r="M1603" s="115">
        <v>185.31</v>
      </c>
      <c r="N1603" s="115">
        <v>194.4</v>
      </c>
      <c r="O1603" s="115">
        <v>184.01</v>
      </c>
      <c r="P1603" s="115">
        <v>189.17</v>
      </c>
      <c r="Q1603" s="115">
        <v>926.55</v>
      </c>
      <c r="R1603">
        <v>63085</v>
      </c>
    </row>
    <row r="1604" spans="1:18" x14ac:dyDescent="0.25">
      <c r="A1604" s="169">
        <v>44377</v>
      </c>
      <c r="B1604" s="115">
        <v>213</v>
      </c>
      <c r="C1604" s="115">
        <v>202.22</v>
      </c>
      <c r="D1604" s="115">
        <v>197.14</v>
      </c>
      <c r="E1604" s="115">
        <v>202.66</v>
      </c>
      <c r="F1604" s="115">
        <v>1011.1</v>
      </c>
      <c r="G1604">
        <v>29528</v>
      </c>
      <c r="H1604" s="115"/>
      <c r="I1604" s="115"/>
      <c r="L1604" s="169">
        <v>44369</v>
      </c>
      <c r="M1604" s="115">
        <v>185.57</v>
      </c>
      <c r="N1604" s="115">
        <v>189.47</v>
      </c>
      <c r="O1604" s="115">
        <v>184.01</v>
      </c>
      <c r="P1604" s="115">
        <v>187.97</v>
      </c>
      <c r="Q1604" s="115">
        <v>927.85</v>
      </c>
      <c r="R1604">
        <v>47994</v>
      </c>
    </row>
    <row r="1605" spans="1:18" x14ac:dyDescent="0.25">
      <c r="A1605" s="169">
        <v>44378</v>
      </c>
      <c r="B1605" s="115">
        <v>210</v>
      </c>
      <c r="C1605" s="115">
        <v>206.05</v>
      </c>
      <c r="D1605" s="115">
        <v>200.97</v>
      </c>
      <c r="E1605" s="115">
        <v>203.12</v>
      </c>
      <c r="F1605" s="115">
        <v>1030.25</v>
      </c>
      <c r="G1605">
        <v>6600</v>
      </c>
      <c r="H1605" s="115"/>
      <c r="I1605" s="115"/>
      <c r="L1605" s="169">
        <v>44370</v>
      </c>
      <c r="M1605" s="115">
        <v>184.01</v>
      </c>
      <c r="N1605" s="115">
        <v>188.88</v>
      </c>
      <c r="O1605" s="115">
        <v>183</v>
      </c>
      <c r="P1605" s="115">
        <v>185.06</v>
      </c>
      <c r="Q1605" s="115">
        <v>920.05</v>
      </c>
      <c r="R1605">
        <v>41096</v>
      </c>
    </row>
    <row r="1606" spans="1:18" x14ac:dyDescent="0.25">
      <c r="A1606" s="169">
        <v>44379</v>
      </c>
      <c r="B1606" s="115">
        <v>209.51</v>
      </c>
      <c r="C1606" s="115">
        <v>202.78</v>
      </c>
      <c r="D1606" s="115">
        <v>201.4</v>
      </c>
      <c r="E1606" s="115">
        <v>206.4</v>
      </c>
      <c r="F1606" s="115">
        <v>1013.9</v>
      </c>
      <c r="G1606">
        <v>1373</v>
      </c>
      <c r="H1606" s="115"/>
      <c r="I1606" s="115"/>
      <c r="L1606" s="169">
        <v>44371</v>
      </c>
      <c r="M1606" s="115">
        <v>184.03</v>
      </c>
      <c r="N1606" s="115">
        <v>186.65</v>
      </c>
      <c r="O1606" s="115">
        <v>182.6</v>
      </c>
      <c r="P1606" s="115">
        <v>185.01</v>
      </c>
      <c r="Q1606" s="115">
        <v>920.15</v>
      </c>
      <c r="R1606">
        <v>48994</v>
      </c>
    </row>
    <row r="1607" spans="1:18" x14ac:dyDescent="0.25">
      <c r="A1607" s="169">
        <v>44382</v>
      </c>
      <c r="B1607" s="115">
        <v>210.01</v>
      </c>
      <c r="C1607" s="115">
        <v>202.52</v>
      </c>
      <c r="D1607" s="115">
        <v>200.66</v>
      </c>
      <c r="E1607" s="115">
        <v>204.38</v>
      </c>
      <c r="F1607" s="115">
        <v>1012.6</v>
      </c>
      <c r="G1607">
        <v>1892</v>
      </c>
      <c r="H1607" s="115"/>
      <c r="I1607" s="115"/>
      <c r="L1607" s="169">
        <v>44372</v>
      </c>
      <c r="M1607" s="115">
        <v>183.54</v>
      </c>
      <c r="N1607" s="115">
        <v>186</v>
      </c>
      <c r="O1607" s="115">
        <v>183</v>
      </c>
      <c r="P1607" s="115">
        <v>185</v>
      </c>
      <c r="Q1607" s="115">
        <v>917.7</v>
      </c>
      <c r="R1607">
        <v>38716</v>
      </c>
    </row>
    <row r="1608" spans="1:18" x14ac:dyDescent="0.25">
      <c r="A1608" s="169">
        <v>44383</v>
      </c>
      <c r="B1608" s="115">
        <v>211.37</v>
      </c>
      <c r="C1608" s="115">
        <v>207.53</v>
      </c>
      <c r="D1608" s="115">
        <v>202.32</v>
      </c>
      <c r="E1608" s="115">
        <v>204.19</v>
      </c>
      <c r="F1608" s="115">
        <v>1037.6500000000001</v>
      </c>
      <c r="G1608">
        <v>10300</v>
      </c>
      <c r="H1608" s="115"/>
      <c r="I1608" s="115"/>
      <c r="L1608" s="169">
        <v>44375</v>
      </c>
      <c r="M1608" s="115">
        <v>185.15</v>
      </c>
      <c r="N1608" s="115">
        <v>190.07</v>
      </c>
      <c r="O1608" s="115">
        <v>182.65</v>
      </c>
      <c r="P1608" s="115">
        <v>184.8</v>
      </c>
      <c r="Q1608" s="115">
        <v>925.75</v>
      </c>
      <c r="R1608">
        <v>327757</v>
      </c>
    </row>
    <row r="1609" spans="1:18" x14ac:dyDescent="0.25">
      <c r="A1609" s="169">
        <v>44384</v>
      </c>
      <c r="B1609" s="115">
        <v>215</v>
      </c>
      <c r="C1609" s="115">
        <v>207.77</v>
      </c>
      <c r="D1609" s="115">
        <v>207.02</v>
      </c>
      <c r="E1609" s="115">
        <v>207.65</v>
      </c>
      <c r="F1609" s="115">
        <v>1038.8499999999999</v>
      </c>
      <c r="G1609">
        <v>2840</v>
      </c>
      <c r="H1609" s="115"/>
      <c r="I1609" s="115"/>
      <c r="L1609" s="169">
        <v>44376</v>
      </c>
      <c r="M1609" s="115">
        <v>199.94</v>
      </c>
      <c r="N1609" s="115">
        <v>202.2</v>
      </c>
      <c r="O1609" s="115">
        <v>186.84</v>
      </c>
      <c r="P1609" s="115">
        <v>187.8</v>
      </c>
      <c r="Q1609" s="115">
        <v>999.7</v>
      </c>
      <c r="R1609">
        <v>613693</v>
      </c>
    </row>
    <row r="1610" spans="1:18" x14ac:dyDescent="0.25">
      <c r="A1610" s="169">
        <v>44385</v>
      </c>
      <c r="B1610" s="115">
        <v>216.46</v>
      </c>
      <c r="C1610" s="115">
        <v>207.92</v>
      </c>
      <c r="D1610" s="115">
        <v>206.71</v>
      </c>
      <c r="E1610" s="115">
        <v>208.5</v>
      </c>
      <c r="F1610" s="115">
        <v>1039.5999999999999</v>
      </c>
      <c r="G1610">
        <v>10356</v>
      </c>
      <c r="H1610" s="115"/>
      <c r="I1610" s="115"/>
      <c r="L1610" s="169">
        <v>44377</v>
      </c>
      <c r="M1610" s="115">
        <v>202.35</v>
      </c>
      <c r="N1610" s="115">
        <v>213.2</v>
      </c>
      <c r="O1610" s="115">
        <v>197.25</v>
      </c>
      <c r="P1610" s="115">
        <v>202.78</v>
      </c>
      <c r="Q1610" s="115">
        <v>1011.75</v>
      </c>
      <c r="R1610">
        <v>335021</v>
      </c>
    </row>
    <row r="1611" spans="1:18" x14ac:dyDescent="0.25">
      <c r="A1611" s="169">
        <v>44386</v>
      </c>
      <c r="B1611" s="115">
        <v>212.18</v>
      </c>
      <c r="C1611" s="115">
        <v>211.55</v>
      </c>
      <c r="D1611" s="115">
        <v>206.22</v>
      </c>
      <c r="E1611" s="115">
        <v>212.18</v>
      </c>
      <c r="F1611" s="115">
        <v>1057.75</v>
      </c>
      <c r="G1611">
        <v>2930</v>
      </c>
      <c r="H1611" s="115"/>
      <c r="I1611" s="115"/>
      <c r="L1611" s="169">
        <v>44378</v>
      </c>
      <c r="M1611" s="115">
        <v>206.32</v>
      </c>
      <c r="N1611" s="115">
        <v>210.05</v>
      </c>
      <c r="O1611" s="115">
        <v>200.27</v>
      </c>
      <c r="P1611" s="115">
        <v>203.58</v>
      </c>
      <c r="Q1611" s="115">
        <v>1031.5999999999999</v>
      </c>
      <c r="R1611">
        <v>146936</v>
      </c>
    </row>
    <row r="1612" spans="1:18" x14ac:dyDescent="0.25">
      <c r="A1612" s="169">
        <v>44389</v>
      </c>
      <c r="B1612" s="115">
        <v>215.27</v>
      </c>
      <c r="C1612" s="115">
        <v>211.65</v>
      </c>
      <c r="D1612" s="115">
        <v>209.57</v>
      </c>
      <c r="E1612" s="115">
        <v>210.78</v>
      </c>
      <c r="F1612" s="115">
        <v>1058.25</v>
      </c>
      <c r="G1612">
        <v>3978</v>
      </c>
      <c r="H1612" s="115"/>
      <c r="I1612" s="115"/>
      <c r="L1612" s="169">
        <v>44379</v>
      </c>
      <c r="M1612" s="115">
        <v>202.92</v>
      </c>
      <c r="N1612" s="115">
        <v>209.33</v>
      </c>
      <c r="O1612" s="115">
        <v>201</v>
      </c>
      <c r="P1612" s="115">
        <v>207.57</v>
      </c>
      <c r="Q1612" s="115">
        <v>1014.6</v>
      </c>
      <c r="R1612">
        <v>40641</v>
      </c>
    </row>
    <row r="1613" spans="1:18" x14ac:dyDescent="0.25">
      <c r="A1613" s="169">
        <v>44390</v>
      </c>
      <c r="B1613" s="115">
        <v>217.1</v>
      </c>
      <c r="C1613" s="115">
        <v>216.21</v>
      </c>
      <c r="D1613" s="115">
        <v>210.12</v>
      </c>
      <c r="E1613" s="115">
        <v>213.14</v>
      </c>
      <c r="F1613" s="115">
        <v>1081.05</v>
      </c>
      <c r="G1613">
        <v>4582</v>
      </c>
      <c r="H1613" s="115"/>
      <c r="I1613" s="115"/>
      <c r="L1613" s="169">
        <v>44382</v>
      </c>
      <c r="M1613" s="115">
        <v>202.32</v>
      </c>
      <c r="N1613" s="115">
        <v>204.98</v>
      </c>
      <c r="O1613" s="115">
        <v>200.4</v>
      </c>
      <c r="P1613" s="115">
        <v>204.2</v>
      </c>
      <c r="Q1613" s="115">
        <v>1011.6</v>
      </c>
      <c r="R1613">
        <v>33292</v>
      </c>
    </row>
    <row r="1614" spans="1:18" x14ac:dyDescent="0.25">
      <c r="A1614" s="169">
        <v>44391</v>
      </c>
      <c r="B1614" s="115">
        <v>219</v>
      </c>
      <c r="C1614" s="115">
        <v>217.59</v>
      </c>
      <c r="D1614" s="115">
        <v>214</v>
      </c>
      <c r="E1614" s="115">
        <v>217.13</v>
      </c>
      <c r="F1614" s="115">
        <v>1087.95</v>
      </c>
      <c r="G1614">
        <v>1426</v>
      </c>
      <c r="H1614" s="115"/>
      <c r="I1614" s="115"/>
      <c r="L1614" s="169">
        <v>44383</v>
      </c>
      <c r="M1614" s="115">
        <v>208.08</v>
      </c>
      <c r="N1614" s="115">
        <v>210.2</v>
      </c>
      <c r="O1614" s="115">
        <v>200.65</v>
      </c>
      <c r="P1614" s="115">
        <v>204.2</v>
      </c>
      <c r="Q1614" s="115">
        <v>1040.4000000000001</v>
      </c>
      <c r="R1614">
        <v>117491</v>
      </c>
    </row>
    <row r="1615" spans="1:18" x14ac:dyDescent="0.25">
      <c r="A1615" s="169">
        <v>44392</v>
      </c>
      <c r="B1615" s="115">
        <v>222.65</v>
      </c>
      <c r="C1615" s="115">
        <v>214.78</v>
      </c>
      <c r="D1615" s="115">
        <v>211.41</v>
      </c>
      <c r="E1615" s="115">
        <v>219.2</v>
      </c>
      <c r="F1615" s="115">
        <v>1073.9000000000001</v>
      </c>
      <c r="G1615">
        <v>3417</v>
      </c>
      <c r="H1615" s="115"/>
      <c r="I1615" s="115"/>
      <c r="L1615" s="169">
        <v>44384</v>
      </c>
      <c r="M1615" s="115">
        <v>208.33</v>
      </c>
      <c r="N1615" s="115">
        <v>215.49</v>
      </c>
      <c r="O1615" s="115">
        <v>206.57</v>
      </c>
      <c r="P1615" s="115">
        <v>210</v>
      </c>
      <c r="Q1615" s="115">
        <v>1041.6500000000001</v>
      </c>
      <c r="R1615">
        <v>70405</v>
      </c>
    </row>
    <row r="1616" spans="1:18" x14ac:dyDescent="0.25">
      <c r="A1616" s="169">
        <v>44393</v>
      </c>
      <c r="B1616" s="115">
        <v>216.4</v>
      </c>
      <c r="C1616" s="115">
        <v>215.48</v>
      </c>
      <c r="D1616" s="115">
        <v>212.52</v>
      </c>
      <c r="E1616" s="115">
        <v>215.11</v>
      </c>
      <c r="F1616" s="115">
        <v>1077.4000000000001</v>
      </c>
      <c r="G1616">
        <v>4349</v>
      </c>
      <c r="H1616" s="115"/>
      <c r="I1616" s="115"/>
      <c r="L1616" s="169">
        <v>44385</v>
      </c>
      <c r="M1616" s="115">
        <v>208.44</v>
      </c>
      <c r="N1616" s="115">
        <v>217</v>
      </c>
      <c r="O1616" s="115">
        <v>206.41</v>
      </c>
      <c r="P1616" s="115">
        <v>210.6</v>
      </c>
      <c r="Q1616" s="115">
        <v>1042.2</v>
      </c>
      <c r="R1616">
        <v>110166</v>
      </c>
    </row>
    <row r="1617" spans="1:18" x14ac:dyDescent="0.25">
      <c r="A1617" s="169">
        <v>44396</v>
      </c>
      <c r="B1617" s="115">
        <v>217.52</v>
      </c>
      <c r="C1617" s="115">
        <v>214.26</v>
      </c>
      <c r="D1617" s="115">
        <v>207.3</v>
      </c>
      <c r="E1617" s="115">
        <v>213.98</v>
      </c>
      <c r="F1617" s="115">
        <v>1071.3</v>
      </c>
      <c r="G1617">
        <v>3240</v>
      </c>
      <c r="H1617" s="115"/>
      <c r="I1617" s="115"/>
      <c r="L1617" s="169">
        <v>44386</v>
      </c>
      <c r="M1617" s="115">
        <v>211.49</v>
      </c>
      <c r="N1617" s="115">
        <v>212.47</v>
      </c>
      <c r="O1617" s="115">
        <v>209</v>
      </c>
      <c r="P1617" s="115">
        <v>209</v>
      </c>
      <c r="Q1617" s="115">
        <v>1057.45</v>
      </c>
      <c r="R1617">
        <v>31553</v>
      </c>
    </row>
    <row r="1618" spans="1:18" x14ac:dyDescent="0.25">
      <c r="A1618" s="169">
        <v>44397</v>
      </c>
      <c r="B1618" s="115">
        <v>216.89</v>
      </c>
      <c r="C1618" s="115">
        <v>207.68</v>
      </c>
      <c r="D1618" s="115">
        <v>205.72</v>
      </c>
      <c r="E1618" s="115">
        <v>210.8</v>
      </c>
      <c r="F1618" s="115">
        <v>1038.4000000000001</v>
      </c>
      <c r="G1618">
        <v>5552</v>
      </c>
      <c r="H1618" s="115"/>
      <c r="I1618" s="115"/>
      <c r="L1618" s="169">
        <v>44389</v>
      </c>
      <c r="M1618" s="115">
        <v>211.31</v>
      </c>
      <c r="N1618" s="115">
        <v>215.4</v>
      </c>
      <c r="O1618" s="115">
        <v>209.62</v>
      </c>
      <c r="P1618" s="115">
        <v>214</v>
      </c>
      <c r="Q1618" s="115">
        <v>1056.55</v>
      </c>
      <c r="R1618">
        <v>38733</v>
      </c>
    </row>
    <row r="1619" spans="1:18" x14ac:dyDescent="0.25">
      <c r="A1619" s="169">
        <v>44399</v>
      </c>
      <c r="B1619" s="115">
        <v>211.1</v>
      </c>
      <c r="C1619" s="115">
        <v>209.14</v>
      </c>
      <c r="D1619" s="115">
        <v>207.37</v>
      </c>
      <c r="E1619" s="115">
        <v>210</v>
      </c>
      <c r="F1619" s="115">
        <v>1045.7</v>
      </c>
      <c r="G1619">
        <v>3667</v>
      </c>
      <c r="H1619" s="115"/>
      <c r="I1619" s="115"/>
      <c r="L1619" s="169">
        <v>44390</v>
      </c>
      <c r="M1619" s="115">
        <v>216.33</v>
      </c>
      <c r="N1619" s="115">
        <v>217.2</v>
      </c>
      <c r="O1619" s="115">
        <v>209.79</v>
      </c>
      <c r="P1619" s="115">
        <v>212</v>
      </c>
      <c r="Q1619" s="115">
        <v>1081.6500000000001</v>
      </c>
      <c r="R1619">
        <v>43081</v>
      </c>
    </row>
    <row r="1620" spans="1:18" x14ac:dyDescent="0.25">
      <c r="A1620" s="169">
        <v>44400</v>
      </c>
      <c r="B1620" s="115">
        <v>210.92</v>
      </c>
      <c r="C1620" s="115">
        <v>207.51</v>
      </c>
      <c r="D1620" s="115">
        <v>206.56</v>
      </c>
      <c r="E1620" s="115">
        <v>208.65</v>
      </c>
      <c r="F1620" s="115">
        <v>1037.55</v>
      </c>
      <c r="G1620">
        <v>937</v>
      </c>
      <c r="H1620" s="115"/>
      <c r="I1620" s="115"/>
      <c r="L1620" s="169">
        <v>44391</v>
      </c>
      <c r="M1620" s="115">
        <v>217.9</v>
      </c>
      <c r="N1620" s="115">
        <v>218.97</v>
      </c>
      <c r="O1620" s="115">
        <v>214</v>
      </c>
      <c r="P1620" s="115">
        <v>217</v>
      </c>
      <c r="Q1620" s="115">
        <v>1089.5</v>
      </c>
      <c r="R1620">
        <v>25311</v>
      </c>
    </row>
    <row r="1621" spans="1:18" x14ac:dyDescent="0.25">
      <c r="A1621" s="169">
        <v>44403</v>
      </c>
      <c r="B1621" s="115">
        <v>220</v>
      </c>
      <c r="C1621" s="115">
        <v>213.43</v>
      </c>
      <c r="D1621" s="115">
        <v>205.47</v>
      </c>
      <c r="E1621" s="115">
        <v>207.6</v>
      </c>
      <c r="F1621" s="115">
        <v>1067.1500000000001</v>
      </c>
      <c r="G1621">
        <v>6080</v>
      </c>
      <c r="H1621" s="115"/>
      <c r="I1621" s="115"/>
      <c r="L1621" s="169">
        <v>44392</v>
      </c>
      <c r="M1621" s="115">
        <v>214.16</v>
      </c>
      <c r="N1621" s="115">
        <v>222.88</v>
      </c>
      <c r="O1621" s="115">
        <v>211.31</v>
      </c>
      <c r="P1621" s="115">
        <v>217.4</v>
      </c>
      <c r="Q1621" s="115">
        <v>1070.8</v>
      </c>
      <c r="R1621">
        <v>45533</v>
      </c>
    </row>
    <row r="1622" spans="1:18" x14ac:dyDescent="0.25">
      <c r="A1622" s="169">
        <v>44404</v>
      </c>
      <c r="B1622" s="115">
        <v>218.33</v>
      </c>
      <c r="C1622" s="115">
        <v>213.27</v>
      </c>
      <c r="D1622" s="115">
        <v>212.24</v>
      </c>
      <c r="E1622" s="115">
        <v>217.05</v>
      </c>
      <c r="F1622" s="115">
        <v>1066.3499999999999</v>
      </c>
      <c r="G1622">
        <v>1509</v>
      </c>
      <c r="H1622" s="115"/>
      <c r="I1622" s="115"/>
      <c r="L1622" s="169">
        <v>44393</v>
      </c>
      <c r="M1622" s="115">
        <v>215.68</v>
      </c>
      <c r="N1622" s="115">
        <v>216.8</v>
      </c>
      <c r="O1622" s="115">
        <v>213</v>
      </c>
      <c r="P1622" s="115">
        <v>213</v>
      </c>
      <c r="Q1622" s="115">
        <v>1078.4000000000001</v>
      </c>
      <c r="R1622">
        <v>22418</v>
      </c>
    </row>
    <row r="1623" spans="1:18" x14ac:dyDescent="0.25">
      <c r="A1623" s="169">
        <v>44405</v>
      </c>
      <c r="B1623" s="115">
        <v>216.47</v>
      </c>
      <c r="C1623" s="115">
        <v>211.3</v>
      </c>
      <c r="D1623" s="115">
        <v>209.17</v>
      </c>
      <c r="E1623" s="115">
        <v>214.24</v>
      </c>
      <c r="F1623" s="115">
        <v>1056.5</v>
      </c>
      <c r="G1623">
        <v>2888</v>
      </c>
      <c r="H1623" s="115"/>
      <c r="I1623" s="115"/>
      <c r="L1623" s="169">
        <v>44396</v>
      </c>
      <c r="M1623" s="115">
        <v>213.88</v>
      </c>
      <c r="N1623" s="115">
        <v>217.98</v>
      </c>
      <c r="O1623" s="115">
        <v>207.03</v>
      </c>
      <c r="P1623" s="115">
        <v>215</v>
      </c>
      <c r="Q1623" s="115">
        <v>1069.4000000000001</v>
      </c>
      <c r="R1623">
        <v>28879</v>
      </c>
    </row>
    <row r="1624" spans="1:18" x14ac:dyDescent="0.25">
      <c r="A1624" s="169">
        <v>44406</v>
      </c>
      <c r="B1624" s="115">
        <v>217.62</v>
      </c>
      <c r="C1624" s="115">
        <v>215.04</v>
      </c>
      <c r="D1624" s="115">
        <v>213.03</v>
      </c>
      <c r="E1624" s="115">
        <v>213.03</v>
      </c>
      <c r="F1624" s="115">
        <v>1075.2</v>
      </c>
      <c r="G1624">
        <v>2667</v>
      </c>
      <c r="H1624" s="115"/>
      <c r="I1624" s="115"/>
      <c r="L1624" s="169">
        <v>44397</v>
      </c>
      <c r="M1624" s="115">
        <v>207.56</v>
      </c>
      <c r="N1624" s="115">
        <v>217.76</v>
      </c>
      <c r="O1624" s="115">
        <v>206.4</v>
      </c>
      <c r="P1624" s="115">
        <v>213.11</v>
      </c>
      <c r="Q1624" s="115">
        <v>1037.8</v>
      </c>
      <c r="R1624">
        <v>21003</v>
      </c>
    </row>
    <row r="1625" spans="1:18" x14ac:dyDescent="0.25">
      <c r="A1625" s="169">
        <v>44407</v>
      </c>
      <c r="B1625" s="115">
        <v>253</v>
      </c>
      <c r="C1625" s="115">
        <v>231.94</v>
      </c>
      <c r="D1625" s="115">
        <v>210.99</v>
      </c>
      <c r="E1625" s="115">
        <v>217.6</v>
      </c>
      <c r="F1625" s="115">
        <v>1159.7</v>
      </c>
      <c r="G1625">
        <v>52379</v>
      </c>
      <c r="H1625" s="115"/>
      <c r="I1625" s="115"/>
      <c r="L1625" s="169">
        <v>44399</v>
      </c>
      <c r="M1625" s="115">
        <v>208.78</v>
      </c>
      <c r="N1625" s="115">
        <v>211.99</v>
      </c>
      <c r="O1625" s="115">
        <v>207.1</v>
      </c>
      <c r="P1625" s="115">
        <v>209.4</v>
      </c>
      <c r="Q1625" s="115">
        <v>1043.9000000000001</v>
      </c>
      <c r="R1625">
        <v>15503</v>
      </c>
    </row>
    <row r="1626" spans="1:18" x14ac:dyDescent="0.25">
      <c r="A1626" s="169">
        <v>44410</v>
      </c>
      <c r="B1626" s="115">
        <v>239.47</v>
      </c>
      <c r="C1626" s="115">
        <v>236.8</v>
      </c>
      <c r="D1626" s="115">
        <v>226.82</v>
      </c>
      <c r="E1626" s="115">
        <v>233.6</v>
      </c>
      <c r="F1626" s="115">
        <v>1184</v>
      </c>
      <c r="G1626">
        <v>13192</v>
      </c>
      <c r="H1626" s="115"/>
      <c r="I1626" s="115"/>
      <c r="L1626" s="169">
        <v>44400</v>
      </c>
      <c r="M1626" s="115">
        <v>207.79</v>
      </c>
      <c r="N1626" s="115">
        <v>211</v>
      </c>
      <c r="O1626" s="115">
        <v>205.93</v>
      </c>
      <c r="P1626" s="115">
        <v>209.83</v>
      </c>
      <c r="Q1626" s="115">
        <v>1038.95</v>
      </c>
      <c r="R1626">
        <v>12586</v>
      </c>
    </row>
    <row r="1627" spans="1:18" x14ac:dyDescent="0.25">
      <c r="A1627" s="169">
        <v>44411</v>
      </c>
      <c r="B1627" s="115">
        <v>241.42</v>
      </c>
      <c r="C1627" s="115">
        <v>234.7</v>
      </c>
      <c r="D1627" s="115">
        <v>231.92</v>
      </c>
      <c r="E1627" s="115">
        <v>236.04</v>
      </c>
      <c r="F1627" s="115">
        <v>1173.5</v>
      </c>
      <c r="G1627">
        <v>2185</v>
      </c>
      <c r="H1627" s="115"/>
      <c r="I1627" s="115"/>
      <c r="L1627" s="169">
        <v>44403</v>
      </c>
      <c r="M1627" s="115">
        <v>214.03</v>
      </c>
      <c r="N1627" s="115">
        <v>219.94</v>
      </c>
      <c r="O1627" s="115">
        <v>205.24</v>
      </c>
      <c r="P1627" s="115">
        <v>205.6</v>
      </c>
      <c r="Q1627" s="115">
        <v>1070.1500000000001</v>
      </c>
      <c r="R1627">
        <v>101211</v>
      </c>
    </row>
    <row r="1628" spans="1:18" x14ac:dyDescent="0.25">
      <c r="A1628" s="169">
        <v>44412</v>
      </c>
      <c r="B1628" s="115">
        <v>250</v>
      </c>
      <c r="C1628" s="115">
        <v>239.12</v>
      </c>
      <c r="D1628" s="115">
        <v>234.74</v>
      </c>
      <c r="E1628" s="115">
        <v>236.79</v>
      </c>
      <c r="F1628" s="115">
        <v>1195.5999999999999</v>
      </c>
      <c r="G1628">
        <v>13125</v>
      </c>
      <c r="H1628" s="115"/>
      <c r="I1628" s="115"/>
      <c r="L1628" s="169">
        <v>44404</v>
      </c>
      <c r="M1628" s="115">
        <v>213.68</v>
      </c>
      <c r="N1628" s="115">
        <v>219</v>
      </c>
      <c r="O1628" s="115">
        <v>212.41</v>
      </c>
      <c r="P1628" s="115">
        <v>217</v>
      </c>
      <c r="Q1628" s="115">
        <v>1068.4000000000001</v>
      </c>
      <c r="R1628">
        <v>32527</v>
      </c>
    </row>
    <row r="1629" spans="1:18" x14ac:dyDescent="0.25">
      <c r="A1629" s="169">
        <v>44413</v>
      </c>
      <c r="B1629" s="115">
        <v>244.95</v>
      </c>
      <c r="C1629" s="115">
        <v>236.26</v>
      </c>
      <c r="D1629" s="115">
        <v>232.58</v>
      </c>
      <c r="E1629" s="115">
        <v>244.95</v>
      </c>
      <c r="F1629" s="115">
        <v>1181.3</v>
      </c>
      <c r="G1629">
        <v>3472</v>
      </c>
      <c r="H1629" s="115"/>
      <c r="I1629" s="115"/>
      <c r="L1629" s="169">
        <v>44405</v>
      </c>
      <c r="M1629" s="115">
        <v>211.21</v>
      </c>
      <c r="N1629" s="115">
        <v>216.6</v>
      </c>
      <c r="O1629" s="115">
        <v>209.19</v>
      </c>
      <c r="P1629" s="115">
        <v>213.68</v>
      </c>
      <c r="Q1629" s="115">
        <v>1056.05</v>
      </c>
      <c r="R1629">
        <v>23388</v>
      </c>
    </row>
    <row r="1630" spans="1:18" x14ac:dyDescent="0.25">
      <c r="A1630" s="169">
        <v>44414</v>
      </c>
      <c r="B1630" s="115">
        <v>245.61</v>
      </c>
      <c r="C1630" s="115">
        <v>240.99</v>
      </c>
      <c r="D1630" s="115">
        <v>237.29</v>
      </c>
      <c r="E1630" s="115">
        <v>237.29</v>
      </c>
      <c r="F1630" s="115">
        <v>1204.95</v>
      </c>
      <c r="G1630">
        <v>1873</v>
      </c>
      <c r="H1630" s="115"/>
      <c r="I1630" s="115"/>
      <c r="L1630" s="169">
        <v>44406</v>
      </c>
      <c r="M1630" s="115">
        <v>215.46</v>
      </c>
      <c r="N1630" s="115">
        <v>217.8</v>
      </c>
      <c r="O1630" s="115">
        <v>211.4</v>
      </c>
      <c r="P1630" s="115">
        <v>211.4</v>
      </c>
      <c r="Q1630" s="115">
        <v>1077.3</v>
      </c>
      <c r="R1630">
        <v>22398</v>
      </c>
    </row>
    <row r="1631" spans="1:18" x14ac:dyDescent="0.25">
      <c r="A1631" s="169">
        <v>44417</v>
      </c>
      <c r="B1631" s="115">
        <v>248.64</v>
      </c>
      <c r="C1631" s="115">
        <v>244.34</v>
      </c>
      <c r="D1631" s="115">
        <v>236.72</v>
      </c>
      <c r="E1631" s="115">
        <v>241.26</v>
      </c>
      <c r="F1631" s="115">
        <v>1221.7</v>
      </c>
      <c r="G1631">
        <v>2048</v>
      </c>
      <c r="H1631" s="115"/>
      <c r="I1631" s="115"/>
      <c r="L1631" s="169">
        <v>44407</v>
      </c>
      <c r="M1631" s="115">
        <v>231.82</v>
      </c>
      <c r="N1631" s="115">
        <v>254.04</v>
      </c>
      <c r="O1631" s="115">
        <v>211.31</v>
      </c>
      <c r="P1631" s="115">
        <v>220</v>
      </c>
      <c r="Q1631" s="115">
        <v>1159.0999999999999</v>
      </c>
      <c r="R1631">
        <v>1021831</v>
      </c>
    </row>
    <row r="1632" spans="1:18" x14ac:dyDescent="0.25">
      <c r="A1632" s="169">
        <v>44418</v>
      </c>
      <c r="B1632" s="115">
        <v>247.66</v>
      </c>
      <c r="C1632" s="115">
        <v>233.87</v>
      </c>
      <c r="D1632" s="115">
        <v>228.92</v>
      </c>
      <c r="E1632" s="115">
        <v>245.59</v>
      </c>
      <c r="F1632" s="115">
        <v>1169.3499999999999</v>
      </c>
      <c r="G1632">
        <v>8291</v>
      </c>
      <c r="H1632" s="115"/>
      <c r="I1632" s="115"/>
      <c r="L1632" s="169">
        <v>44410</v>
      </c>
      <c r="M1632" s="115">
        <v>237.54</v>
      </c>
      <c r="N1632" s="115">
        <v>240</v>
      </c>
      <c r="O1632" s="115">
        <v>226.55</v>
      </c>
      <c r="P1632" s="115">
        <v>232.4</v>
      </c>
      <c r="Q1632" s="115">
        <v>1187.7</v>
      </c>
      <c r="R1632">
        <v>147812</v>
      </c>
    </row>
    <row r="1633" spans="1:18" x14ac:dyDescent="0.25">
      <c r="A1633" s="169">
        <v>44419</v>
      </c>
      <c r="B1633" s="115">
        <v>238.19</v>
      </c>
      <c r="C1633" s="115">
        <v>236.64</v>
      </c>
      <c r="D1633" s="115">
        <v>224.63</v>
      </c>
      <c r="E1633" s="115">
        <v>233</v>
      </c>
      <c r="F1633" s="115">
        <v>1183.2</v>
      </c>
      <c r="G1633">
        <v>4475</v>
      </c>
      <c r="H1633" s="115"/>
      <c r="I1633" s="115"/>
      <c r="L1633" s="169">
        <v>44411</v>
      </c>
      <c r="M1633" s="115">
        <v>234.19</v>
      </c>
      <c r="N1633" s="115">
        <v>241.7</v>
      </c>
      <c r="O1633" s="115">
        <v>231.64</v>
      </c>
      <c r="P1633" s="115">
        <v>238</v>
      </c>
      <c r="Q1633" s="115">
        <v>1170.95</v>
      </c>
      <c r="R1633">
        <v>56929</v>
      </c>
    </row>
    <row r="1634" spans="1:18" x14ac:dyDescent="0.25">
      <c r="A1634" s="169">
        <v>44420</v>
      </c>
      <c r="B1634" s="115">
        <v>241.8</v>
      </c>
      <c r="C1634" s="115">
        <v>239</v>
      </c>
      <c r="D1634" s="115">
        <v>235.94</v>
      </c>
      <c r="E1634" s="115">
        <v>238.34</v>
      </c>
      <c r="F1634" s="115">
        <v>1195</v>
      </c>
      <c r="G1634">
        <v>3671</v>
      </c>
      <c r="H1634" s="115"/>
      <c r="I1634" s="115"/>
      <c r="L1634" s="169">
        <v>44412</v>
      </c>
      <c r="M1634" s="115">
        <v>239.31</v>
      </c>
      <c r="N1634" s="115">
        <v>250.17</v>
      </c>
      <c r="O1634" s="115">
        <v>235.89</v>
      </c>
      <c r="P1634" s="115">
        <v>235.89</v>
      </c>
      <c r="Q1634" s="115">
        <v>1196.55</v>
      </c>
      <c r="R1634">
        <v>181339</v>
      </c>
    </row>
    <row r="1635" spans="1:18" x14ac:dyDescent="0.25">
      <c r="A1635" s="169">
        <v>44421</v>
      </c>
      <c r="B1635" s="115">
        <v>243.81</v>
      </c>
      <c r="C1635" s="115">
        <v>241.51</v>
      </c>
      <c r="D1635" s="115">
        <v>238.92</v>
      </c>
      <c r="E1635" s="115">
        <v>240.03</v>
      </c>
      <c r="F1635" s="115">
        <v>1207.55</v>
      </c>
      <c r="G1635">
        <v>4795</v>
      </c>
      <c r="H1635" s="115"/>
      <c r="I1635" s="115"/>
      <c r="L1635" s="169">
        <v>44413</v>
      </c>
      <c r="M1635" s="115">
        <v>236.41</v>
      </c>
      <c r="N1635" s="115">
        <v>240</v>
      </c>
      <c r="O1635" s="115">
        <v>232.27</v>
      </c>
      <c r="P1635" s="115">
        <v>239.12</v>
      </c>
      <c r="Q1635" s="115">
        <v>1182.05</v>
      </c>
      <c r="R1635">
        <v>50166</v>
      </c>
    </row>
    <row r="1636" spans="1:18" x14ac:dyDescent="0.25">
      <c r="A1636" s="169">
        <v>44424</v>
      </c>
      <c r="B1636" s="115">
        <v>242.75</v>
      </c>
      <c r="C1636" s="115">
        <v>235.19</v>
      </c>
      <c r="D1636" s="115">
        <v>232.99</v>
      </c>
      <c r="E1636" s="115">
        <v>241.2</v>
      </c>
      <c r="F1636" s="115">
        <v>1175.95</v>
      </c>
      <c r="G1636">
        <v>9834</v>
      </c>
      <c r="H1636" s="115"/>
      <c r="I1636" s="115"/>
      <c r="L1636" s="169">
        <v>44414</v>
      </c>
      <c r="M1636" s="115">
        <v>241.15</v>
      </c>
      <c r="N1636" s="115">
        <v>245.78</v>
      </c>
      <c r="O1636" s="115">
        <v>237</v>
      </c>
      <c r="P1636" s="115">
        <v>237.6</v>
      </c>
      <c r="Q1636" s="115">
        <v>1205.75</v>
      </c>
      <c r="R1636">
        <v>51062</v>
      </c>
    </row>
    <row r="1637" spans="1:18" x14ac:dyDescent="0.25">
      <c r="A1637" s="169">
        <v>44425</v>
      </c>
      <c r="B1637" s="115">
        <v>240.01</v>
      </c>
      <c r="C1637" s="115">
        <v>234.81</v>
      </c>
      <c r="D1637" s="115">
        <v>233.45</v>
      </c>
      <c r="E1637" s="115">
        <v>236.26</v>
      </c>
      <c r="F1637" s="115">
        <v>1174.05</v>
      </c>
      <c r="G1637">
        <v>2568</v>
      </c>
      <c r="H1637" s="115"/>
      <c r="I1637" s="115"/>
      <c r="L1637" s="169">
        <v>44417</v>
      </c>
      <c r="M1637" s="115">
        <v>244.1</v>
      </c>
      <c r="N1637" s="115">
        <v>248.19</v>
      </c>
      <c r="O1637" s="115">
        <v>236</v>
      </c>
      <c r="P1637" s="115">
        <v>236</v>
      </c>
      <c r="Q1637" s="115">
        <v>1220.5</v>
      </c>
      <c r="R1637">
        <v>72519</v>
      </c>
    </row>
    <row r="1638" spans="1:18" x14ac:dyDescent="0.25">
      <c r="A1638" s="169">
        <v>44426</v>
      </c>
      <c r="B1638" s="115">
        <v>237.52</v>
      </c>
      <c r="C1638" s="115">
        <v>231.62</v>
      </c>
      <c r="D1638" s="115">
        <v>231.19</v>
      </c>
      <c r="E1638" s="115">
        <v>231.26</v>
      </c>
      <c r="F1638" s="115">
        <v>1158.0999999999999</v>
      </c>
      <c r="G1638">
        <v>1540</v>
      </c>
      <c r="H1638" s="115"/>
      <c r="I1638" s="115"/>
      <c r="L1638" s="169">
        <v>44418</v>
      </c>
      <c r="M1638" s="115">
        <v>234.01</v>
      </c>
      <c r="N1638" s="115">
        <v>248</v>
      </c>
      <c r="O1638" s="115">
        <v>228.92</v>
      </c>
      <c r="P1638" s="115">
        <v>244.1</v>
      </c>
      <c r="Q1638" s="115">
        <v>1170.05</v>
      </c>
      <c r="R1638">
        <v>56192</v>
      </c>
    </row>
    <row r="1639" spans="1:18" x14ac:dyDescent="0.25">
      <c r="A1639" s="169">
        <v>44428</v>
      </c>
      <c r="B1639" s="115">
        <v>243.79</v>
      </c>
      <c r="C1639" s="115">
        <v>236.39</v>
      </c>
      <c r="D1639" s="115">
        <v>228.52</v>
      </c>
      <c r="E1639" s="115">
        <v>228.66</v>
      </c>
      <c r="F1639" s="115">
        <v>1181.95</v>
      </c>
      <c r="G1639">
        <v>4075</v>
      </c>
      <c r="H1639" s="115"/>
      <c r="I1639" s="115"/>
      <c r="L1639" s="169">
        <v>44419</v>
      </c>
      <c r="M1639" s="115">
        <v>236.76</v>
      </c>
      <c r="N1639" s="115">
        <v>239.4</v>
      </c>
      <c r="O1639" s="115">
        <v>224.61</v>
      </c>
      <c r="P1639" s="115">
        <v>237</v>
      </c>
      <c r="Q1639" s="115">
        <v>1183.8</v>
      </c>
      <c r="R1639">
        <v>63497</v>
      </c>
    </row>
    <row r="1640" spans="1:18" x14ac:dyDescent="0.25">
      <c r="A1640" s="169">
        <v>44431</v>
      </c>
      <c r="B1640" s="115">
        <v>239.21</v>
      </c>
      <c r="C1640" s="115">
        <v>225.75</v>
      </c>
      <c r="D1640" s="115">
        <v>222.12</v>
      </c>
      <c r="E1640" s="115">
        <v>237.52</v>
      </c>
      <c r="F1640" s="115">
        <v>1128.75</v>
      </c>
      <c r="G1640">
        <v>2685</v>
      </c>
      <c r="H1640" s="115"/>
      <c r="I1640" s="115"/>
      <c r="L1640" s="169">
        <v>44420</v>
      </c>
      <c r="M1640" s="115">
        <v>239.31</v>
      </c>
      <c r="N1640" s="115">
        <v>241.82</v>
      </c>
      <c r="O1640" s="115">
        <v>235.34</v>
      </c>
      <c r="P1640" s="115">
        <v>239.8</v>
      </c>
      <c r="Q1640" s="115">
        <v>1196.55</v>
      </c>
      <c r="R1640">
        <v>35185</v>
      </c>
    </row>
    <row r="1641" spans="1:18" x14ac:dyDescent="0.25">
      <c r="A1641" s="169">
        <v>44432</v>
      </c>
      <c r="B1641" s="115">
        <v>235.4</v>
      </c>
      <c r="C1641" s="115">
        <v>233.03</v>
      </c>
      <c r="D1641" s="115">
        <v>224.83</v>
      </c>
      <c r="E1641" s="115">
        <v>224.83</v>
      </c>
      <c r="F1641" s="115">
        <v>1165.1500000000001</v>
      </c>
      <c r="G1641">
        <v>1844</v>
      </c>
      <c r="H1641" s="115"/>
      <c r="I1641" s="115"/>
      <c r="L1641" s="169">
        <v>44421</v>
      </c>
      <c r="M1641" s="115">
        <v>241.44</v>
      </c>
      <c r="N1641" s="115">
        <v>243.73</v>
      </c>
      <c r="O1641" s="115">
        <v>238.06</v>
      </c>
      <c r="P1641" s="115">
        <v>239.13</v>
      </c>
      <c r="Q1641" s="115">
        <v>1207.2</v>
      </c>
      <c r="R1641">
        <v>57214</v>
      </c>
    </row>
    <row r="1642" spans="1:18" x14ac:dyDescent="0.25">
      <c r="A1642" s="169">
        <v>44433</v>
      </c>
      <c r="B1642" s="115">
        <v>236.05</v>
      </c>
      <c r="C1642" s="115">
        <v>233.87</v>
      </c>
      <c r="D1642" s="115">
        <v>230.91</v>
      </c>
      <c r="E1642" s="115">
        <v>231.12</v>
      </c>
      <c r="F1642" s="115">
        <v>1169.3499999999999</v>
      </c>
      <c r="G1642">
        <v>3981</v>
      </c>
      <c r="H1642" s="115"/>
      <c r="I1642" s="115"/>
      <c r="L1642" s="169">
        <v>44424</v>
      </c>
      <c r="M1642" s="115">
        <v>234.39</v>
      </c>
      <c r="N1642" s="115">
        <v>242.97</v>
      </c>
      <c r="O1642" s="115">
        <v>232.69</v>
      </c>
      <c r="P1642" s="115">
        <v>242.65</v>
      </c>
      <c r="Q1642" s="115">
        <v>1171.95</v>
      </c>
      <c r="R1642">
        <v>49086</v>
      </c>
    </row>
    <row r="1643" spans="1:18" x14ac:dyDescent="0.25">
      <c r="A1643" s="169">
        <v>44434</v>
      </c>
      <c r="B1643" s="115">
        <v>237.23</v>
      </c>
      <c r="C1643" s="115">
        <v>234.49</v>
      </c>
      <c r="D1643" s="115">
        <v>229.26</v>
      </c>
      <c r="E1643" s="115">
        <v>236.98</v>
      </c>
      <c r="F1643" s="115">
        <v>1172.45</v>
      </c>
      <c r="G1643">
        <v>812</v>
      </c>
      <c r="H1643" s="115"/>
      <c r="I1643" s="115"/>
      <c r="L1643" s="169">
        <v>44425</v>
      </c>
      <c r="M1643" s="115">
        <v>234.81</v>
      </c>
      <c r="N1643" s="115">
        <v>239.6</v>
      </c>
      <c r="O1643" s="115">
        <v>233</v>
      </c>
      <c r="P1643" s="115">
        <v>236.99</v>
      </c>
      <c r="Q1643" s="115">
        <v>1174.05</v>
      </c>
      <c r="R1643">
        <v>19526</v>
      </c>
    </row>
    <row r="1644" spans="1:18" x14ac:dyDescent="0.25">
      <c r="A1644" s="169">
        <v>44435</v>
      </c>
      <c r="B1644" s="115">
        <v>236.98</v>
      </c>
      <c r="C1644" s="115">
        <v>235.89</v>
      </c>
      <c r="D1644" s="115">
        <v>232.78</v>
      </c>
      <c r="E1644" s="115">
        <v>235.21</v>
      </c>
      <c r="F1644" s="115">
        <v>1179.45</v>
      </c>
      <c r="G1644">
        <v>515</v>
      </c>
      <c r="H1644" s="115"/>
      <c r="I1644" s="115"/>
      <c r="L1644" s="169">
        <v>44426</v>
      </c>
      <c r="M1644" s="115">
        <v>231.97</v>
      </c>
      <c r="N1644" s="115">
        <v>237.96</v>
      </c>
      <c r="O1644" s="115">
        <v>231.39</v>
      </c>
      <c r="P1644" s="115">
        <v>235.4</v>
      </c>
      <c r="Q1644" s="115">
        <v>1159.8499999999999</v>
      </c>
      <c r="R1644">
        <v>17284</v>
      </c>
    </row>
    <row r="1645" spans="1:18" x14ac:dyDescent="0.25">
      <c r="A1645" s="169">
        <v>44438</v>
      </c>
      <c r="B1645" s="115">
        <v>240.29</v>
      </c>
      <c r="C1645" s="115">
        <v>237.93</v>
      </c>
      <c r="D1645" s="115">
        <v>235.18</v>
      </c>
      <c r="E1645" s="115">
        <v>237.96</v>
      </c>
      <c r="F1645" s="115">
        <v>1189.6500000000001</v>
      </c>
      <c r="G1645">
        <v>1195</v>
      </c>
      <c r="H1645" s="115"/>
      <c r="I1645" s="115"/>
      <c r="L1645" s="169">
        <v>44428</v>
      </c>
      <c r="M1645" s="115">
        <v>236.15</v>
      </c>
      <c r="N1645" s="115">
        <v>243.19</v>
      </c>
      <c r="O1645" s="115">
        <v>228.2</v>
      </c>
      <c r="P1645" s="115">
        <v>231.04</v>
      </c>
      <c r="Q1645" s="115">
        <v>1180.75</v>
      </c>
      <c r="R1645">
        <v>68565</v>
      </c>
    </row>
    <row r="1646" spans="1:18" x14ac:dyDescent="0.25">
      <c r="A1646" s="169">
        <v>44439</v>
      </c>
      <c r="B1646" s="115">
        <v>240</v>
      </c>
      <c r="C1646" s="115">
        <v>238.34</v>
      </c>
      <c r="D1646" s="115">
        <v>235.76</v>
      </c>
      <c r="E1646" s="115">
        <v>240</v>
      </c>
      <c r="F1646" s="115">
        <v>1191.7</v>
      </c>
      <c r="G1646">
        <v>976</v>
      </c>
      <c r="H1646" s="115"/>
      <c r="I1646" s="115"/>
      <c r="L1646" s="169">
        <v>44431</v>
      </c>
      <c r="M1646" s="115">
        <v>225.93</v>
      </c>
      <c r="N1646" s="115">
        <v>239.6</v>
      </c>
      <c r="O1646" s="115">
        <v>221.31</v>
      </c>
      <c r="P1646" s="115">
        <v>237.99</v>
      </c>
      <c r="Q1646" s="115">
        <v>1129.6500000000001</v>
      </c>
      <c r="R1646">
        <v>28235</v>
      </c>
    </row>
    <row r="1647" spans="1:18" x14ac:dyDescent="0.25">
      <c r="A1647" s="169">
        <v>44440</v>
      </c>
      <c r="B1647" s="115">
        <v>242.4</v>
      </c>
      <c r="C1647" s="115">
        <v>238.69</v>
      </c>
      <c r="D1647" s="115">
        <v>230.15</v>
      </c>
      <c r="E1647" s="115">
        <v>238.2</v>
      </c>
      <c r="F1647" s="115">
        <v>1193.45</v>
      </c>
      <c r="G1647">
        <v>2244</v>
      </c>
      <c r="H1647" s="115"/>
      <c r="I1647" s="115"/>
      <c r="L1647" s="169">
        <v>44432</v>
      </c>
      <c r="M1647" s="115">
        <v>233.16</v>
      </c>
      <c r="N1647" s="115">
        <v>235.69</v>
      </c>
      <c r="O1647" s="115">
        <v>223.81</v>
      </c>
      <c r="P1647" s="115">
        <v>226.11</v>
      </c>
      <c r="Q1647" s="115">
        <v>1165.8</v>
      </c>
      <c r="R1647">
        <v>22820</v>
      </c>
    </row>
    <row r="1648" spans="1:18" x14ac:dyDescent="0.25">
      <c r="A1648" s="169">
        <v>44441</v>
      </c>
      <c r="B1648" s="115">
        <v>254.57</v>
      </c>
      <c r="C1648" s="115">
        <v>249.04</v>
      </c>
      <c r="D1648" s="115">
        <v>238.56</v>
      </c>
      <c r="E1648" s="115">
        <v>241.18</v>
      </c>
      <c r="F1648" s="115">
        <v>1245.2</v>
      </c>
      <c r="G1648">
        <v>9231</v>
      </c>
      <c r="H1648" s="115"/>
      <c r="I1648" s="115"/>
      <c r="L1648" s="169">
        <v>44433</v>
      </c>
      <c r="M1648" s="115">
        <v>234.09</v>
      </c>
      <c r="N1648" s="115">
        <v>236.23</v>
      </c>
      <c r="O1648" s="115">
        <v>230.68</v>
      </c>
      <c r="P1648" s="115">
        <v>233.16</v>
      </c>
      <c r="Q1648" s="115">
        <v>1170.45</v>
      </c>
      <c r="R1648">
        <v>22048</v>
      </c>
    </row>
    <row r="1649" spans="1:18" x14ac:dyDescent="0.25">
      <c r="A1649" s="169">
        <v>44442</v>
      </c>
      <c r="B1649" s="115">
        <v>256.01</v>
      </c>
      <c r="C1649" s="115">
        <v>242.81</v>
      </c>
      <c r="D1649" s="115">
        <v>240</v>
      </c>
      <c r="E1649" s="115">
        <v>255.2</v>
      </c>
      <c r="F1649" s="115">
        <v>1214.05</v>
      </c>
      <c r="G1649">
        <v>7559</v>
      </c>
      <c r="H1649" s="115"/>
      <c r="I1649" s="115"/>
      <c r="L1649" s="169">
        <v>44434</v>
      </c>
      <c r="M1649" s="115">
        <v>234.87</v>
      </c>
      <c r="N1649" s="115">
        <v>237.8</v>
      </c>
      <c r="O1649" s="115">
        <v>229.1</v>
      </c>
      <c r="P1649" s="115">
        <v>237.8</v>
      </c>
      <c r="Q1649" s="115">
        <v>1174.3499999999999</v>
      </c>
      <c r="R1649">
        <v>15949</v>
      </c>
    </row>
    <row r="1650" spans="1:18" x14ac:dyDescent="0.25">
      <c r="A1650" s="169">
        <v>44445</v>
      </c>
      <c r="B1650" s="115">
        <v>251.86</v>
      </c>
      <c r="C1650" s="115">
        <v>242.22</v>
      </c>
      <c r="D1650" s="115">
        <v>240.59</v>
      </c>
      <c r="E1650" s="115">
        <v>251.86</v>
      </c>
      <c r="F1650" s="115">
        <v>1211.0999999999999</v>
      </c>
      <c r="G1650">
        <v>3729</v>
      </c>
      <c r="H1650" s="115"/>
      <c r="I1650" s="115"/>
      <c r="L1650" s="169">
        <v>44435</v>
      </c>
      <c r="M1650" s="115">
        <v>235.85</v>
      </c>
      <c r="N1650" s="115">
        <v>237.51</v>
      </c>
      <c r="O1650" s="115">
        <v>232</v>
      </c>
      <c r="P1650" s="115">
        <v>236</v>
      </c>
      <c r="Q1650" s="115">
        <v>1179.25</v>
      </c>
      <c r="R1650">
        <v>35845</v>
      </c>
    </row>
    <row r="1651" spans="1:18" x14ac:dyDescent="0.25">
      <c r="A1651" s="169">
        <v>44446</v>
      </c>
      <c r="B1651" s="115">
        <v>241.96</v>
      </c>
      <c r="C1651" s="115">
        <v>239.31</v>
      </c>
      <c r="D1651" s="115">
        <v>236.9</v>
      </c>
      <c r="E1651" s="115">
        <v>240.67</v>
      </c>
      <c r="F1651" s="115">
        <v>1196.55</v>
      </c>
      <c r="G1651">
        <v>4681</v>
      </c>
      <c r="H1651" s="115"/>
      <c r="I1651" s="115"/>
      <c r="L1651" s="169">
        <v>44438</v>
      </c>
      <c r="M1651" s="115">
        <v>238.54</v>
      </c>
      <c r="N1651" s="115">
        <v>240.79</v>
      </c>
      <c r="O1651" s="115">
        <v>235.01</v>
      </c>
      <c r="P1651" s="115">
        <v>239.6</v>
      </c>
      <c r="Q1651" s="115">
        <v>1192.7</v>
      </c>
      <c r="R1651">
        <v>18699</v>
      </c>
    </row>
    <row r="1652" spans="1:18" x14ac:dyDescent="0.25">
      <c r="A1652" s="169">
        <v>44447</v>
      </c>
      <c r="B1652" s="115">
        <v>241.18</v>
      </c>
      <c r="C1652" s="115">
        <v>238.87</v>
      </c>
      <c r="D1652" s="115">
        <v>237.8</v>
      </c>
      <c r="E1652" s="115">
        <v>238.36</v>
      </c>
      <c r="F1652" s="115">
        <v>1194.3499999999999</v>
      </c>
      <c r="G1652">
        <v>2174</v>
      </c>
      <c r="H1652" s="115"/>
      <c r="I1652" s="115"/>
      <c r="L1652" s="169">
        <v>44439</v>
      </c>
      <c r="M1652" s="115">
        <v>238.19</v>
      </c>
      <c r="N1652" s="115">
        <v>240</v>
      </c>
      <c r="O1652" s="115">
        <v>235.8</v>
      </c>
      <c r="P1652" s="115">
        <v>238.6</v>
      </c>
      <c r="Q1652" s="115">
        <v>1190.95</v>
      </c>
      <c r="R1652">
        <v>16247</v>
      </c>
    </row>
    <row r="1653" spans="1:18" x14ac:dyDescent="0.25">
      <c r="A1653" s="169">
        <v>44448</v>
      </c>
      <c r="B1653" s="115">
        <v>243.44</v>
      </c>
      <c r="C1653" s="115">
        <v>238.96</v>
      </c>
      <c r="D1653" s="115">
        <v>234.99</v>
      </c>
      <c r="E1653" s="115">
        <v>237.8</v>
      </c>
      <c r="F1653" s="115">
        <v>1194.8</v>
      </c>
      <c r="G1653">
        <v>961</v>
      </c>
      <c r="H1653" s="115"/>
      <c r="I1653" s="115"/>
      <c r="L1653" s="169">
        <v>44440</v>
      </c>
      <c r="M1653" s="115">
        <v>239.58</v>
      </c>
      <c r="N1653" s="115">
        <v>245</v>
      </c>
      <c r="O1653" s="115">
        <v>230.02</v>
      </c>
      <c r="P1653" s="115">
        <v>235.2</v>
      </c>
      <c r="Q1653" s="115">
        <v>1197.9000000000001</v>
      </c>
      <c r="R1653">
        <v>36461</v>
      </c>
    </row>
    <row r="1654" spans="1:18" x14ac:dyDescent="0.25">
      <c r="A1654" s="169">
        <v>44452</v>
      </c>
      <c r="B1654" s="115">
        <v>250</v>
      </c>
      <c r="C1654" s="115">
        <v>245.67</v>
      </c>
      <c r="D1654" s="115">
        <v>235.51</v>
      </c>
      <c r="E1654" s="115">
        <v>237.2</v>
      </c>
      <c r="F1654" s="115">
        <v>1228.3499999999999</v>
      </c>
      <c r="G1654">
        <v>2649</v>
      </c>
      <c r="H1654" s="115"/>
      <c r="I1654" s="115"/>
      <c r="L1654" s="169">
        <v>44441</v>
      </c>
      <c r="M1654" s="115">
        <v>248.73</v>
      </c>
      <c r="N1654" s="115">
        <v>254.8</v>
      </c>
      <c r="O1654" s="115">
        <v>240.01</v>
      </c>
      <c r="P1654" s="115">
        <v>240.78</v>
      </c>
      <c r="Q1654" s="115">
        <v>1243.6500000000001</v>
      </c>
      <c r="R1654">
        <v>182798</v>
      </c>
    </row>
    <row r="1655" spans="1:18" x14ac:dyDescent="0.25">
      <c r="A1655" s="169">
        <v>44453</v>
      </c>
      <c r="B1655" s="115">
        <v>248.7</v>
      </c>
      <c r="C1655" s="115">
        <v>241.04</v>
      </c>
      <c r="D1655" s="115">
        <v>240.61</v>
      </c>
      <c r="E1655" s="115">
        <v>242</v>
      </c>
      <c r="F1655" s="115">
        <v>1205.2</v>
      </c>
      <c r="G1655">
        <v>3129</v>
      </c>
      <c r="H1655" s="115"/>
      <c r="I1655" s="115"/>
      <c r="L1655" s="169">
        <v>44442</v>
      </c>
      <c r="M1655" s="115">
        <v>242.75</v>
      </c>
      <c r="N1655" s="115">
        <v>257</v>
      </c>
      <c r="O1655" s="115">
        <v>241.24</v>
      </c>
      <c r="P1655" s="115">
        <v>254</v>
      </c>
      <c r="Q1655" s="115">
        <v>1213.75</v>
      </c>
      <c r="R1655">
        <v>44126</v>
      </c>
    </row>
    <row r="1656" spans="1:18" x14ac:dyDescent="0.25">
      <c r="A1656" s="169">
        <v>44454</v>
      </c>
      <c r="B1656" s="115">
        <v>243.6</v>
      </c>
      <c r="C1656" s="115">
        <v>242.29</v>
      </c>
      <c r="D1656" s="115">
        <v>241.31</v>
      </c>
      <c r="E1656" s="115">
        <v>242.14</v>
      </c>
      <c r="F1656" s="115">
        <v>1211.45</v>
      </c>
      <c r="G1656">
        <v>909</v>
      </c>
      <c r="H1656" s="115"/>
      <c r="I1656" s="115"/>
      <c r="L1656" s="169">
        <v>44445</v>
      </c>
      <c r="M1656" s="115">
        <v>242.2</v>
      </c>
      <c r="N1656" s="115">
        <v>248.99</v>
      </c>
      <c r="O1656" s="115">
        <v>240.47</v>
      </c>
      <c r="P1656" s="115">
        <v>248.99</v>
      </c>
      <c r="Q1656" s="115">
        <v>1211</v>
      </c>
      <c r="R1656">
        <v>19399</v>
      </c>
    </row>
    <row r="1657" spans="1:18" x14ac:dyDescent="0.25">
      <c r="A1657" s="169">
        <v>44455</v>
      </c>
      <c r="B1657" s="115">
        <v>242.73</v>
      </c>
      <c r="C1657" s="115">
        <v>239.81</v>
      </c>
      <c r="D1657" s="115">
        <v>238.12</v>
      </c>
      <c r="E1657" s="115">
        <v>239.41</v>
      </c>
      <c r="F1657" s="115">
        <v>1199.05</v>
      </c>
      <c r="G1657">
        <v>1018</v>
      </c>
      <c r="H1657" s="115"/>
      <c r="I1657" s="115"/>
      <c r="L1657" s="169">
        <v>44446</v>
      </c>
      <c r="M1657" s="115">
        <v>239.43</v>
      </c>
      <c r="N1657" s="115">
        <v>242.6</v>
      </c>
      <c r="O1657" s="115">
        <v>236.98</v>
      </c>
      <c r="P1657" s="115">
        <v>242.14</v>
      </c>
      <c r="Q1657" s="115">
        <v>1197.1500000000001</v>
      </c>
      <c r="R1657">
        <v>16016</v>
      </c>
    </row>
    <row r="1658" spans="1:18" x14ac:dyDescent="0.25">
      <c r="A1658" s="169">
        <v>44456</v>
      </c>
      <c r="B1658" s="115">
        <v>275</v>
      </c>
      <c r="C1658" s="115">
        <v>247.59</v>
      </c>
      <c r="D1658" s="115">
        <v>236.19</v>
      </c>
      <c r="E1658" s="115">
        <v>240.06</v>
      </c>
      <c r="F1658" s="115">
        <v>1237.95</v>
      </c>
      <c r="G1658">
        <v>27408</v>
      </c>
      <c r="H1658" s="115"/>
      <c r="I1658" s="115"/>
      <c r="L1658" s="169">
        <v>44447</v>
      </c>
      <c r="M1658" s="115">
        <v>238.96</v>
      </c>
      <c r="N1658" s="115">
        <v>241.12</v>
      </c>
      <c r="O1658" s="115">
        <v>237.62</v>
      </c>
      <c r="P1658" s="115">
        <v>239.94</v>
      </c>
      <c r="Q1658" s="115">
        <v>1194.8</v>
      </c>
      <c r="R1658">
        <v>16133</v>
      </c>
    </row>
    <row r="1659" spans="1:18" x14ac:dyDescent="0.25">
      <c r="A1659" s="169">
        <v>44459</v>
      </c>
      <c r="B1659" s="115">
        <v>251.02</v>
      </c>
      <c r="C1659" s="115">
        <v>246.22</v>
      </c>
      <c r="D1659" s="115">
        <v>243.42</v>
      </c>
      <c r="E1659" s="115">
        <v>249.92</v>
      </c>
      <c r="F1659" s="115">
        <v>1231.0999999999999</v>
      </c>
      <c r="G1659">
        <v>4006</v>
      </c>
      <c r="H1659" s="115"/>
      <c r="I1659" s="115"/>
      <c r="L1659" s="169">
        <v>44448</v>
      </c>
      <c r="M1659" s="115">
        <v>238.88</v>
      </c>
      <c r="N1659" s="115">
        <v>243.82</v>
      </c>
      <c r="O1659" s="115">
        <v>237</v>
      </c>
      <c r="P1659" s="115">
        <v>238.96</v>
      </c>
      <c r="Q1659" s="115">
        <v>1194.4000000000001</v>
      </c>
      <c r="R1659">
        <v>19125</v>
      </c>
    </row>
    <row r="1660" spans="1:18" x14ac:dyDescent="0.25">
      <c r="A1660" s="169">
        <v>44460</v>
      </c>
      <c r="B1660" s="115">
        <v>252</v>
      </c>
      <c r="C1660" s="115">
        <v>250.45</v>
      </c>
      <c r="D1660" s="115">
        <v>242</v>
      </c>
      <c r="E1660" s="115">
        <v>247.46</v>
      </c>
      <c r="F1660" s="115">
        <v>1252.25</v>
      </c>
      <c r="G1660">
        <v>5495</v>
      </c>
      <c r="H1660" s="115"/>
      <c r="I1660" s="115"/>
      <c r="L1660" s="169">
        <v>44452</v>
      </c>
      <c r="M1660" s="115">
        <v>239.82</v>
      </c>
      <c r="N1660" s="115">
        <v>240.8</v>
      </c>
      <c r="O1660" s="115">
        <v>235.27</v>
      </c>
      <c r="P1660" s="115">
        <v>236.4</v>
      </c>
      <c r="Q1660" s="115">
        <v>1199.0999999999999</v>
      </c>
      <c r="R1660">
        <v>18561</v>
      </c>
    </row>
    <row r="1661" spans="1:18" x14ac:dyDescent="0.25">
      <c r="A1661" s="169">
        <v>44461</v>
      </c>
      <c r="B1661" s="115">
        <v>258.3</v>
      </c>
      <c r="C1661" s="115">
        <v>255.27</v>
      </c>
      <c r="D1661" s="115">
        <v>244.2</v>
      </c>
      <c r="E1661" s="115">
        <v>244.2</v>
      </c>
      <c r="F1661" s="115">
        <v>1276.3499999999999</v>
      </c>
      <c r="G1661">
        <v>2065</v>
      </c>
      <c r="H1661" s="115"/>
      <c r="I1661" s="115"/>
      <c r="L1661" s="169">
        <v>44453</v>
      </c>
      <c r="M1661" s="115">
        <v>241.42</v>
      </c>
      <c r="N1661" s="115">
        <v>249</v>
      </c>
      <c r="O1661" s="115">
        <v>240.8</v>
      </c>
      <c r="P1661" s="115">
        <v>243</v>
      </c>
      <c r="Q1661" s="115">
        <v>1207.0999999999999</v>
      </c>
      <c r="R1661">
        <v>40394</v>
      </c>
    </row>
    <row r="1662" spans="1:18" x14ac:dyDescent="0.25">
      <c r="A1662" s="169">
        <v>44462</v>
      </c>
      <c r="B1662" s="115">
        <v>263</v>
      </c>
      <c r="C1662" s="115">
        <v>254.44</v>
      </c>
      <c r="D1662" s="115">
        <v>252.07</v>
      </c>
      <c r="E1662" s="115">
        <v>255.27</v>
      </c>
      <c r="F1662" s="115">
        <v>1272.2</v>
      </c>
      <c r="G1662">
        <v>3841</v>
      </c>
      <c r="H1662" s="115"/>
      <c r="I1662" s="115"/>
      <c r="L1662" s="169">
        <v>44454</v>
      </c>
      <c r="M1662" s="115">
        <v>242.1</v>
      </c>
      <c r="N1662" s="115">
        <v>243.64</v>
      </c>
      <c r="O1662" s="115">
        <v>241.2</v>
      </c>
      <c r="P1662" s="115">
        <v>243.64</v>
      </c>
      <c r="Q1662" s="115">
        <v>1210.5</v>
      </c>
      <c r="R1662">
        <v>11037</v>
      </c>
    </row>
    <row r="1663" spans="1:18" x14ac:dyDescent="0.25">
      <c r="A1663" s="169">
        <v>44463</v>
      </c>
      <c r="B1663" s="115">
        <v>261.39999999999998</v>
      </c>
      <c r="C1663" s="115">
        <v>248.45</v>
      </c>
      <c r="D1663" s="115">
        <v>244.6</v>
      </c>
      <c r="E1663" s="115">
        <v>261.39999999999998</v>
      </c>
      <c r="F1663" s="115">
        <v>1242.25</v>
      </c>
      <c r="G1663">
        <v>4306</v>
      </c>
      <c r="H1663" s="115"/>
      <c r="I1663" s="115"/>
      <c r="L1663" s="169">
        <v>44455</v>
      </c>
      <c r="M1663" s="115">
        <v>240.25</v>
      </c>
      <c r="N1663" s="115">
        <v>242.96</v>
      </c>
      <c r="O1663" s="115">
        <v>238.01</v>
      </c>
      <c r="P1663" s="115">
        <v>242.33</v>
      </c>
      <c r="Q1663" s="115">
        <v>1201.25</v>
      </c>
      <c r="R1663">
        <v>9110</v>
      </c>
    </row>
    <row r="1664" spans="1:18" x14ac:dyDescent="0.25">
      <c r="A1664" s="169">
        <v>44466</v>
      </c>
      <c r="B1664" s="115">
        <v>252.84</v>
      </c>
      <c r="C1664" s="115">
        <v>248</v>
      </c>
      <c r="D1664" s="115">
        <v>246.3</v>
      </c>
      <c r="E1664" s="115">
        <v>249.76</v>
      </c>
      <c r="F1664" s="115">
        <v>1240</v>
      </c>
      <c r="G1664">
        <v>1020</v>
      </c>
      <c r="H1664" s="115"/>
      <c r="I1664" s="115"/>
      <c r="L1664" s="169">
        <v>44456</v>
      </c>
      <c r="M1664" s="115">
        <v>248.92</v>
      </c>
      <c r="N1664" s="115">
        <v>275</v>
      </c>
      <c r="O1664" s="115">
        <v>236.74</v>
      </c>
      <c r="P1664" s="115">
        <v>240.25</v>
      </c>
      <c r="Q1664" s="115">
        <v>1244.5999999999999</v>
      </c>
      <c r="R1664">
        <v>551780</v>
      </c>
    </row>
    <row r="1665" spans="1:18" x14ac:dyDescent="0.25">
      <c r="A1665" s="169">
        <v>44467</v>
      </c>
      <c r="B1665" s="115">
        <v>249.88</v>
      </c>
      <c r="C1665" s="115">
        <v>243.39</v>
      </c>
      <c r="D1665" s="115">
        <v>240.6</v>
      </c>
      <c r="E1665" s="115">
        <v>248.51</v>
      </c>
      <c r="F1665" s="115">
        <v>1216.95</v>
      </c>
      <c r="G1665">
        <v>4418</v>
      </c>
      <c r="H1665" s="115"/>
      <c r="I1665" s="115"/>
      <c r="L1665" s="169">
        <v>44459</v>
      </c>
      <c r="M1665" s="115">
        <v>245.58</v>
      </c>
      <c r="N1665" s="115">
        <v>251.6</v>
      </c>
      <c r="O1665" s="115">
        <v>243</v>
      </c>
      <c r="P1665" s="115">
        <v>248.8</v>
      </c>
      <c r="Q1665" s="115">
        <v>1227.9000000000001</v>
      </c>
      <c r="R1665">
        <v>40615</v>
      </c>
    </row>
    <row r="1666" spans="1:18" x14ac:dyDescent="0.25">
      <c r="A1666" s="169">
        <v>44468</v>
      </c>
      <c r="B1666" s="115">
        <v>253.6</v>
      </c>
      <c r="C1666" s="115">
        <v>248.69</v>
      </c>
      <c r="D1666" s="115">
        <v>239</v>
      </c>
      <c r="E1666" s="115">
        <v>239</v>
      </c>
      <c r="F1666" s="115">
        <v>1243.45</v>
      </c>
      <c r="G1666">
        <v>1852</v>
      </c>
      <c r="H1666" s="115"/>
      <c r="I1666" s="115"/>
      <c r="L1666" s="169">
        <v>44460</v>
      </c>
      <c r="M1666" s="115">
        <v>250.75</v>
      </c>
      <c r="N1666" s="115">
        <v>251.99</v>
      </c>
      <c r="O1666" s="115">
        <v>242.42</v>
      </c>
      <c r="P1666" s="115">
        <v>242.8</v>
      </c>
      <c r="Q1666" s="115">
        <v>1253.75</v>
      </c>
      <c r="R1666">
        <v>68949</v>
      </c>
    </row>
    <row r="1667" spans="1:18" x14ac:dyDescent="0.25">
      <c r="A1667" s="169">
        <v>44469</v>
      </c>
      <c r="B1667" s="115">
        <v>250.88</v>
      </c>
      <c r="C1667" s="115">
        <v>244.3</v>
      </c>
      <c r="D1667" s="115">
        <v>243.42</v>
      </c>
      <c r="E1667" s="115">
        <v>250</v>
      </c>
      <c r="F1667" s="115">
        <v>1221.5</v>
      </c>
      <c r="G1667">
        <v>800</v>
      </c>
      <c r="H1667" s="115"/>
      <c r="I1667" s="115"/>
      <c r="L1667" s="169">
        <v>44461</v>
      </c>
      <c r="M1667" s="115">
        <v>254.92</v>
      </c>
      <c r="N1667" s="115">
        <v>258.74</v>
      </c>
      <c r="O1667" s="115">
        <v>247.16</v>
      </c>
      <c r="P1667" s="115">
        <v>249.99</v>
      </c>
      <c r="Q1667" s="115">
        <v>1274.5999999999999</v>
      </c>
      <c r="R1667">
        <v>78534</v>
      </c>
    </row>
    <row r="1668" spans="1:18" x14ac:dyDescent="0.25">
      <c r="A1668" s="169">
        <v>44470</v>
      </c>
      <c r="B1668" s="115">
        <v>247.6</v>
      </c>
      <c r="C1668" s="115">
        <v>246.54</v>
      </c>
      <c r="D1668" s="115">
        <v>240.8</v>
      </c>
      <c r="E1668" s="115">
        <v>244.44</v>
      </c>
      <c r="F1668" s="115">
        <v>1232.7</v>
      </c>
      <c r="G1668">
        <v>1848</v>
      </c>
      <c r="H1668" s="115"/>
      <c r="I1668" s="115"/>
      <c r="L1668" s="169">
        <v>44462</v>
      </c>
      <c r="M1668" s="115">
        <v>254.16</v>
      </c>
      <c r="N1668" s="115">
        <v>263.8</v>
      </c>
      <c r="O1668" s="115">
        <v>252.02</v>
      </c>
      <c r="P1668" s="115">
        <v>256.95999999999998</v>
      </c>
      <c r="Q1668" s="115">
        <v>1270.8</v>
      </c>
      <c r="R1668">
        <v>33863</v>
      </c>
    </row>
    <row r="1669" spans="1:18" x14ac:dyDescent="0.25">
      <c r="A1669" s="169">
        <v>44473</v>
      </c>
      <c r="B1669" s="115">
        <v>263.8</v>
      </c>
      <c r="C1669" s="115">
        <v>261.83999999999997</v>
      </c>
      <c r="D1669" s="115">
        <v>247.16</v>
      </c>
      <c r="E1669" s="115">
        <v>247.66</v>
      </c>
      <c r="F1669" s="115">
        <v>1309.2</v>
      </c>
      <c r="G1669">
        <v>9751</v>
      </c>
      <c r="H1669" s="115"/>
      <c r="I1669" s="115"/>
      <c r="L1669" s="169">
        <v>44463</v>
      </c>
      <c r="M1669" s="115">
        <v>248.5</v>
      </c>
      <c r="N1669" s="115">
        <v>256.39999999999998</v>
      </c>
      <c r="O1669" s="115">
        <v>244.3</v>
      </c>
      <c r="P1669" s="115">
        <v>256.39999999999998</v>
      </c>
      <c r="Q1669" s="115">
        <v>1242.5</v>
      </c>
      <c r="R1669">
        <v>26511</v>
      </c>
    </row>
    <row r="1670" spans="1:18" x14ac:dyDescent="0.25">
      <c r="A1670" s="169">
        <v>44474</v>
      </c>
      <c r="B1670" s="115">
        <v>269.27</v>
      </c>
      <c r="C1670" s="115">
        <v>262.36</v>
      </c>
      <c r="D1670" s="115">
        <v>257.18</v>
      </c>
      <c r="E1670" s="115">
        <v>263.17</v>
      </c>
      <c r="F1670" s="115">
        <v>1311.8</v>
      </c>
      <c r="G1670">
        <v>11835</v>
      </c>
      <c r="H1670" s="115"/>
      <c r="I1670" s="115"/>
      <c r="L1670" s="169">
        <v>44466</v>
      </c>
      <c r="M1670" s="115">
        <v>247.65</v>
      </c>
      <c r="N1670" s="115">
        <v>253.04</v>
      </c>
      <c r="O1670" s="115">
        <v>246.03</v>
      </c>
      <c r="P1670" s="115">
        <v>248.4</v>
      </c>
      <c r="Q1670" s="115">
        <v>1238.25</v>
      </c>
      <c r="R1670">
        <v>21303</v>
      </c>
    </row>
    <row r="1671" spans="1:18" x14ac:dyDescent="0.25">
      <c r="A1671" s="169">
        <v>44475</v>
      </c>
      <c r="B1671" s="115">
        <v>265.01</v>
      </c>
      <c r="C1671" s="115">
        <v>254.13</v>
      </c>
      <c r="D1671" s="115">
        <v>251.15</v>
      </c>
      <c r="E1671" s="115">
        <v>262.98</v>
      </c>
      <c r="F1671" s="115">
        <v>1270.6500000000001</v>
      </c>
      <c r="G1671">
        <v>4332</v>
      </c>
      <c r="H1671" s="115"/>
      <c r="I1671" s="115"/>
      <c r="L1671" s="169">
        <v>44467</v>
      </c>
      <c r="M1671" s="115">
        <v>243.06</v>
      </c>
      <c r="N1671" s="115">
        <v>250.05</v>
      </c>
      <c r="O1671" s="115">
        <v>240.82</v>
      </c>
      <c r="P1671" s="115">
        <v>248.88</v>
      </c>
      <c r="Q1671" s="115">
        <v>1215.3</v>
      </c>
      <c r="R1671">
        <v>23518</v>
      </c>
    </row>
    <row r="1672" spans="1:18" x14ac:dyDescent="0.25">
      <c r="A1672" s="169">
        <v>44476</v>
      </c>
      <c r="B1672" s="115">
        <v>261.08999999999997</v>
      </c>
      <c r="C1672" s="115">
        <v>257.67</v>
      </c>
      <c r="D1672" s="115">
        <v>254.2</v>
      </c>
      <c r="E1672" s="115">
        <v>258.01</v>
      </c>
      <c r="F1672" s="115">
        <v>1288.3499999999999</v>
      </c>
      <c r="G1672">
        <v>834</v>
      </c>
      <c r="H1672" s="115"/>
      <c r="I1672" s="115"/>
      <c r="L1672" s="169">
        <v>44468</v>
      </c>
      <c r="M1672" s="115">
        <v>248.91</v>
      </c>
      <c r="N1672" s="115">
        <v>253.58</v>
      </c>
      <c r="O1672" s="115">
        <v>241.46</v>
      </c>
      <c r="P1672" s="115">
        <v>243</v>
      </c>
      <c r="Q1672" s="115">
        <v>1244.55</v>
      </c>
      <c r="R1672">
        <v>17597</v>
      </c>
    </row>
    <row r="1673" spans="1:18" x14ac:dyDescent="0.25">
      <c r="A1673" s="169">
        <v>44477</v>
      </c>
      <c r="B1673" s="115">
        <v>263.98</v>
      </c>
      <c r="C1673" s="115">
        <v>258.13</v>
      </c>
      <c r="D1673" s="115">
        <v>252.75</v>
      </c>
      <c r="E1673" s="115">
        <v>261.7</v>
      </c>
      <c r="F1673" s="115">
        <v>1290.6500000000001</v>
      </c>
      <c r="G1673">
        <v>6663</v>
      </c>
      <c r="H1673" s="115"/>
      <c r="I1673" s="115"/>
      <c r="L1673" s="169">
        <v>44469</v>
      </c>
      <c r="M1673" s="115">
        <v>244.24</v>
      </c>
      <c r="N1673" s="115">
        <v>252</v>
      </c>
      <c r="O1673" s="115">
        <v>243.28</v>
      </c>
      <c r="P1673" s="115">
        <v>252</v>
      </c>
      <c r="Q1673" s="115">
        <v>1221.2</v>
      </c>
      <c r="R1673">
        <v>23100</v>
      </c>
    </row>
    <row r="1674" spans="1:18" x14ac:dyDescent="0.25">
      <c r="A1674" s="169">
        <v>44480</v>
      </c>
      <c r="B1674" s="115">
        <v>260.86</v>
      </c>
      <c r="C1674" s="115">
        <v>258.02</v>
      </c>
      <c r="D1674" s="115">
        <v>255.01</v>
      </c>
      <c r="E1674" s="115">
        <v>258.24</v>
      </c>
      <c r="F1674" s="115">
        <v>1290.0999999999999</v>
      </c>
      <c r="G1674">
        <v>2660</v>
      </c>
      <c r="H1674" s="115"/>
      <c r="I1674" s="115"/>
      <c r="L1674" s="169">
        <v>44470</v>
      </c>
      <c r="M1674" s="115">
        <v>246.48</v>
      </c>
      <c r="N1674" s="115">
        <v>247.86</v>
      </c>
      <c r="O1674" s="115">
        <v>240.8</v>
      </c>
      <c r="P1674" s="115">
        <v>245.52</v>
      </c>
      <c r="Q1674" s="115">
        <v>1232.4000000000001</v>
      </c>
      <c r="R1674">
        <v>19999</v>
      </c>
    </row>
    <row r="1675" spans="1:18" x14ac:dyDescent="0.25">
      <c r="A1675" s="169">
        <v>44481</v>
      </c>
      <c r="B1675" s="115">
        <v>261.89</v>
      </c>
      <c r="C1675" s="115">
        <v>257.47000000000003</v>
      </c>
      <c r="D1675" s="115">
        <v>254.03</v>
      </c>
      <c r="E1675" s="115">
        <v>258.62</v>
      </c>
      <c r="F1675" s="115">
        <v>1287.3499999999999</v>
      </c>
      <c r="G1675">
        <v>2694</v>
      </c>
      <c r="H1675" s="115"/>
      <c r="I1675" s="115"/>
      <c r="L1675" s="169">
        <v>44473</v>
      </c>
      <c r="M1675" s="115">
        <v>261.32</v>
      </c>
      <c r="N1675" s="115">
        <v>264.01</v>
      </c>
      <c r="O1675" s="115">
        <v>248.04</v>
      </c>
      <c r="P1675" s="115">
        <v>250.78</v>
      </c>
      <c r="Q1675" s="115">
        <v>1306.5999999999999</v>
      </c>
      <c r="R1675">
        <v>56063</v>
      </c>
    </row>
    <row r="1676" spans="1:18" x14ac:dyDescent="0.25">
      <c r="A1676" s="169">
        <v>44482</v>
      </c>
      <c r="B1676" s="115">
        <v>262.62</v>
      </c>
      <c r="C1676" s="115">
        <v>258.10000000000002</v>
      </c>
      <c r="D1676" s="115">
        <v>257.72000000000003</v>
      </c>
      <c r="E1676" s="115">
        <v>260.13</v>
      </c>
      <c r="F1676" s="115">
        <v>1290.5</v>
      </c>
      <c r="G1676">
        <v>1990</v>
      </c>
      <c r="H1676" s="115"/>
      <c r="I1676" s="115"/>
      <c r="L1676" s="169">
        <v>44474</v>
      </c>
      <c r="M1676" s="115">
        <v>262.58999999999997</v>
      </c>
      <c r="N1676" s="115">
        <v>269.60000000000002</v>
      </c>
      <c r="O1676" s="115">
        <v>256.74</v>
      </c>
      <c r="P1676" s="115">
        <v>260</v>
      </c>
      <c r="Q1676" s="115">
        <v>1312.95</v>
      </c>
      <c r="R1676">
        <v>82839</v>
      </c>
    </row>
    <row r="1677" spans="1:18" x14ac:dyDescent="0.25">
      <c r="A1677" s="169">
        <v>44483</v>
      </c>
      <c r="B1677" s="115">
        <v>269.58</v>
      </c>
      <c r="C1677" s="115">
        <v>263.22000000000003</v>
      </c>
      <c r="D1677" s="115">
        <v>258.38</v>
      </c>
      <c r="E1677" s="115">
        <v>259.68</v>
      </c>
      <c r="F1677" s="115">
        <v>1316.1</v>
      </c>
      <c r="G1677">
        <v>3857</v>
      </c>
      <c r="H1677" s="115"/>
      <c r="I1677" s="115"/>
      <c r="L1677" s="169">
        <v>44475</v>
      </c>
      <c r="M1677" s="115">
        <v>254.6</v>
      </c>
      <c r="N1677" s="115">
        <v>265.14999999999998</v>
      </c>
      <c r="O1677" s="115">
        <v>251.34</v>
      </c>
      <c r="P1677" s="115">
        <v>262.60000000000002</v>
      </c>
      <c r="Q1677" s="115">
        <v>1273</v>
      </c>
      <c r="R1677">
        <v>26895</v>
      </c>
    </row>
    <row r="1678" spans="1:18" x14ac:dyDescent="0.25">
      <c r="A1678" s="169">
        <v>44487</v>
      </c>
      <c r="B1678" s="115">
        <v>268.8</v>
      </c>
      <c r="C1678" s="115">
        <v>261.08</v>
      </c>
      <c r="D1678" s="115">
        <v>259.64</v>
      </c>
      <c r="E1678" s="115">
        <v>268.8</v>
      </c>
      <c r="F1678" s="115">
        <v>1305.4000000000001</v>
      </c>
      <c r="G1678">
        <v>1013</v>
      </c>
      <c r="H1678" s="115"/>
      <c r="I1678" s="115"/>
      <c r="L1678" s="169">
        <v>44476</v>
      </c>
      <c r="M1678" s="115">
        <v>257.63</v>
      </c>
      <c r="N1678" s="115">
        <v>261.49</v>
      </c>
      <c r="O1678" s="115">
        <v>254</v>
      </c>
      <c r="P1678" s="115">
        <v>257.2</v>
      </c>
      <c r="Q1678" s="115">
        <v>1288.1500000000001</v>
      </c>
      <c r="R1678">
        <v>13879</v>
      </c>
    </row>
    <row r="1679" spans="1:18" x14ac:dyDescent="0.25">
      <c r="A1679" s="169">
        <v>44488</v>
      </c>
      <c r="B1679" s="115">
        <v>268.83</v>
      </c>
      <c r="C1679" s="115">
        <v>258.89999999999998</v>
      </c>
      <c r="D1679" s="115">
        <v>256</v>
      </c>
      <c r="E1679" s="115">
        <v>263.88</v>
      </c>
      <c r="F1679" s="115">
        <v>1294.5</v>
      </c>
      <c r="G1679">
        <v>3281</v>
      </c>
      <c r="H1679" s="115"/>
      <c r="I1679" s="115"/>
      <c r="L1679" s="169">
        <v>44477</v>
      </c>
      <c r="M1679" s="115">
        <v>258.7</v>
      </c>
      <c r="N1679" s="115">
        <v>263.39</v>
      </c>
      <c r="O1679" s="115">
        <v>249.34</v>
      </c>
      <c r="P1679" s="115">
        <v>260</v>
      </c>
      <c r="Q1679" s="115">
        <v>1293.5</v>
      </c>
      <c r="R1679">
        <v>41673</v>
      </c>
    </row>
    <row r="1680" spans="1:18" x14ac:dyDescent="0.25">
      <c r="A1680" s="169">
        <v>44489</v>
      </c>
      <c r="B1680" s="115">
        <v>261.61</v>
      </c>
      <c r="C1680" s="115">
        <v>252.1</v>
      </c>
      <c r="D1680" s="115">
        <v>251.62</v>
      </c>
      <c r="E1680" s="115">
        <v>256.5</v>
      </c>
      <c r="F1680" s="115">
        <v>1260.5</v>
      </c>
      <c r="G1680">
        <v>1783</v>
      </c>
      <c r="H1680" s="115"/>
      <c r="I1680" s="115"/>
      <c r="L1680" s="169">
        <v>44480</v>
      </c>
      <c r="M1680" s="115">
        <v>257.81</v>
      </c>
      <c r="N1680" s="115">
        <v>261.41000000000003</v>
      </c>
      <c r="O1680" s="115">
        <v>254.4</v>
      </c>
      <c r="P1680" s="115">
        <v>260</v>
      </c>
      <c r="Q1680" s="115">
        <v>1289.05</v>
      </c>
      <c r="R1680">
        <v>17986</v>
      </c>
    </row>
    <row r="1681" spans="1:18" x14ac:dyDescent="0.25">
      <c r="A1681" s="169">
        <v>44490</v>
      </c>
      <c r="B1681" s="115">
        <v>257.51</v>
      </c>
      <c r="C1681" s="115">
        <v>256.02</v>
      </c>
      <c r="D1681" s="115">
        <v>252</v>
      </c>
      <c r="E1681" s="115">
        <v>253.82</v>
      </c>
      <c r="F1681" s="115">
        <v>1280.0999999999999</v>
      </c>
      <c r="G1681">
        <v>1050</v>
      </c>
      <c r="H1681" s="115"/>
      <c r="I1681" s="115"/>
      <c r="L1681" s="169">
        <v>44481</v>
      </c>
      <c r="M1681" s="115">
        <v>257.91000000000003</v>
      </c>
      <c r="N1681" s="115">
        <v>262</v>
      </c>
      <c r="O1681" s="115">
        <v>254</v>
      </c>
      <c r="P1681" s="115">
        <v>258.45999999999998</v>
      </c>
      <c r="Q1681" s="115">
        <v>1289.55</v>
      </c>
      <c r="R1681">
        <v>26485</v>
      </c>
    </row>
    <row r="1682" spans="1:18" x14ac:dyDescent="0.25">
      <c r="A1682" s="169">
        <v>44491</v>
      </c>
      <c r="B1682" s="115">
        <v>258.57</v>
      </c>
      <c r="C1682" s="115">
        <v>248.08</v>
      </c>
      <c r="D1682" s="115">
        <v>246.46</v>
      </c>
      <c r="E1682" s="115">
        <v>257.76</v>
      </c>
      <c r="F1682" s="115">
        <v>1240.4000000000001</v>
      </c>
      <c r="G1682">
        <v>2513</v>
      </c>
      <c r="H1682" s="115"/>
      <c r="I1682" s="115"/>
      <c r="L1682" s="169">
        <v>44482</v>
      </c>
      <c r="M1682" s="115">
        <v>259.17</v>
      </c>
      <c r="N1682" s="115">
        <v>262.85000000000002</v>
      </c>
      <c r="O1682" s="115">
        <v>258.02999999999997</v>
      </c>
      <c r="P1682" s="115">
        <v>259.2</v>
      </c>
      <c r="Q1682" s="115">
        <v>1295.8499999999999</v>
      </c>
      <c r="R1682">
        <v>15589</v>
      </c>
    </row>
    <row r="1683" spans="1:18" x14ac:dyDescent="0.25">
      <c r="A1683" s="169">
        <v>44494</v>
      </c>
      <c r="B1683" s="115">
        <v>254.2</v>
      </c>
      <c r="C1683" s="115">
        <v>251.24</v>
      </c>
      <c r="D1683" s="115">
        <v>243.33</v>
      </c>
      <c r="E1683" s="115">
        <v>248.62</v>
      </c>
      <c r="F1683" s="115">
        <v>1256.2</v>
      </c>
      <c r="G1683">
        <v>2243</v>
      </c>
      <c r="H1683" s="115"/>
      <c r="I1683" s="115"/>
      <c r="L1683" s="169">
        <v>44483</v>
      </c>
      <c r="M1683" s="115">
        <v>263.97000000000003</v>
      </c>
      <c r="N1683" s="115">
        <v>269.60000000000002</v>
      </c>
      <c r="O1683" s="115">
        <v>258.2</v>
      </c>
      <c r="P1683" s="115">
        <v>259.74</v>
      </c>
      <c r="Q1683" s="115">
        <v>1319.85</v>
      </c>
      <c r="R1683">
        <v>60123</v>
      </c>
    </row>
    <row r="1684" spans="1:18" x14ac:dyDescent="0.25">
      <c r="A1684" s="169">
        <v>44495</v>
      </c>
      <c r="B1684" s="115">
        <v>262</v>
      </c>
      <c r="C1684" s="115">
        <v>259.33</v>
      </c>
      <c r="D1684" s="115">
        <v>251.62</v>
      </c>
      <c r="E1684" s="115">
        <v>253.01</v>
      </c>
      <c r="F1684" s="115">
        <v>1296.6500000000001</v>
      </c>
      <c r="G1684">
        <v>3496</v>
      </c>
      <c r="H1684" s="115"/>
      <c r="I1684" s="115"/>
      <c r="L1684" s="169">
        <v>44487</v>
      </c>
      <c r="M1684" s="115">
        <v>261.07</v>
      </c>
      <c r="N1684" s="115">
        <v>265.77999999999997</v>
      </c>
      <c r="O1684" s="115">
        <v>259.69</v>
      </c>
      <c r="P1684" s="115">
        <v>264</v>
      </c>
      <c r="Q1684" s="115">
        <v>1305.3499999999999</v>
      </c>
      <c r="R1684">
        <v>21045</v>
      </c>
    </row>
    <row r="1685" spans="1:18" x14ac:dyDescent="0.25">
      <c r="A1685" s="169">
        <v>44496</v>
      </c>
      <c r="B1685" s="115">
        <v>261.97000000000003</v>
      </c>
      <c r="C1685" s="115">
        <v>252.93</v>
      </c>
      <c r="D1685" s="115">
        <v>250.92</v>
      </c>
      <c r="E1685" s="115">
        <v>260.81</v>
      </c>
      <c r="F1685" s="115">
        <v>1264.6500000000001</v>
      </c>
      <c r="G1685">
        <v>1456</v>
      </c>
      <c r="H1685" s="115"/>
      <c r="I1685" s="115"/>
      <c r="L1685" s="169">
        <v>44488</v>
      </c>
      <c r="M1685" s="115">
        <v>258.92</v>
      </c>
      <c r="N1685" s="115">
        <v>268.2</v>
      </c>
      <c r="O1685" s="115">
        <v>255.6</v>
      </c>
      <c r="P1685" s="115">
        <v>261.14</v>
      </c>
      <c r="Q1685" s="115">
        <v>1294.5999999999999</v>
      </c>
      <c r="R1685">
        <v>22444</v>
      </c>
    </row>
    <row r="1686" spans="1:18" x14ac:dyDescent="0.25">
      <c r="A1686" s="169">
        <v>44497</v>
      </c>
      <c r="B1686" s="115">
        <v>262.31</v>
      </c>
      <c r="C1686" s="115">
        <v>256.37</v>
      </c>
      <c r="D1686" s="115">
        <v>252.69</v>
      </c>
      <c r="E1686" s="115">
        <v>253.78</v>
      </c>
      <c r="F1686" s="115">
        <v>1281.8499999999999</v>
      </c>
      <c r="G1686">
        <v>1843</v>
      </c>
      <c r="H1686" s="115"/>
      <c r="I1686" s="115"/>
      <c r="L1686" s="169">
        <v>44489</v>
      </c>
      <c r="M1686" s="115">
        <v>252.93</v>
      </c>
      <c r="N1686" s="115">
        <v>262</v>
      </c>
      <c r="O1686" s="115">
        <v>251.38</v>
      </c>
      <c r="P1686" s="115">
        <v>261.8</v>
      </c>
      <c r="Q1686" s="115">
        <v>1264.6500000000001</v>
      </c>
      <c r="R1686">
        <v>14647</v>
      </c>
    </row>
    <row r="1687" spans="1:18" x14ac:dyDescent="0.25">
      <c r="A1687" s="169">
        <v>44498</v>
      </c>
      <c r="B1687" s="115">
        <v>268.64999999999998</v>
      </c>
      <c r="C1687" s="115">
        <v>265</v>
      </c>
      <c r="D1687" s="115">
        <v>253.44</v>
      </c>
      <c r="E1687" s="115">
        <v>257.22000000000003</v>
      </c>
      <c r="F1687" s="115">
        <v>1325</v>
      </c>
      <c r="G1687">
        <v>2173</v>
      </c>
      <c r="H1687" s="115"/>
      <c r="I1687" s="115"/>
      <c r="L1687" s="169">
        <v>44490</v>
      </c>
      <c r="M1687" s="115">
        <v>256.01</v>
      </c>
      <c r="N1687" s="115">
        <v>258</v>
      </c>
      <c r="O1687" s="115">
        <v>252</v>
      </c>
      <c r="P1687" s="115">
        <v>252.93</v>
      </c>
      <c r="Q1687" s="115">
        <v>1280.05</v>
      </c>
      <c r="R1687">
        <v>17741</v>
      </c>
    </row>
    <row r="1688" spans="1:18" x14ac:dyDescent="0.25">
      <c r="A1688" s="169">
        <v>44501</v>
      </c>
      <c r="B1688" s="115">
        <v>281.82</v>
      </c>
      <c r="C1688" s="115">
        <v>260.22000000000003</v>
      </c>
      <c r="D1688" s="115">
        <v>258.45</v>
      </c>
      <c r="E1688" s="115">
        <v>268</v>
      </c>
      <c r="F1688" s="115">
        <v>1301.0999999999999</v>
      </c>
      <c r="G1688">
        <v>6608</v>
      </c>
      <c r="H1688" s="115"/>
      <c r="I1688" s="115"/>
      <c r="L1688" s="169">
        <v>44491</v>
      </c>
      <c r="M1688" s="115">
        <v>248.5</v>
      </c>
      <c r="N1688" s="115">
        <v>259.60000000000002</v>
      </c>
      <c r="O1688" s="115">
        <v>247</v>
      </c>
      <c r="P1688" s="115">
        <v>258.99</v>
      </c>
      <c r="Q1688" s="115">
        <v>1242.5</v>
      </c>
      <c r="R1688">
        <v>19434</v>
      </c>
    </row>
    <row r="1689" spans="1:18" x14ac:dyDescent="0.25">
      <c r="A1689" s="169">
        <v>44502</v>
      </c>
      <c r="B1689" s="115">
        <v>268.32</v>
      </c>
      <c r="C1689" s="115">
        <v>265.82</v>
      </c>
      <c r="D1689" s="115">
        <v>261.32</v>
      </c>
      <c r="E1689" s="115">
        <v>261.83999999999997</v>
      </c>
      <c r="F1689" s="115">
        <v>1329.1</v>
      </c>
      <c r="G1689">
        <v>1182</v>
      </c>
      <c r="H1689" s="115"/>
      <c r="I1689" s="115"/>
      <c r="L1689" s="169">
        <v>44494</v>
      </c>
      <c r="M1689" s="115">
        <v>251.52</v>
      </c>
      <c r="N1689" s="115">
        <v>255.39</v>
      </c>
      <c r="O1689" s="115">
        <v>243.37</v>
      </c>
      <c r="P1689" s="115">
        <v>249.02</v>
      </c>
      <c r="Q1689" s="115">
        <v>1257.5999999999999</v>
      </c>
      <c r="R1689">
        <v>29530</v>
      </c>
    </row>
    <row r="1690" spans="1:18" x14ac:dyDescent="0.25">
      <c r="A1690" s="169">
        <v>44503</v>
      </c>
      <c r="B1690" s="115">
        <v>269.57</v>
      </c>
      <c r="C1690" s="115">
        <v>262.12</v>
      </c>
      <c r="D1690" s="115">
        <v>260.39999999999998</v>
      </c>
      <c r="E1690" s="115">
        <v>263.7</v>
      </c>
      <c r="F1690" s="115">
        <v>1310.5999999999999</v>
      </c>
      <c r="G1690">
        <v>758</v>
      </c>
      <c r="H1690" s="115"/>
      <c r="I1690" s="115"/>
      <c r="L1690" s="169">
        <v>44495</v>
      </c>
      <c r="M1690" s="115">
        <v>259.74</v>
      </c>
      <c r="N1690" s="115">
        <v>262.17</v>
      </c>
      <c r="O1690" s="115">
        <v>250.84</v>
      </c>
      <c r="P1690" s="115">
        <v>251.1</v>
      </c>
      <c r="Q1690" s="115">
        <v>1298.7</v>
      </c>
      <c r="R1690">
        <v>35840</v>
      </c>
    </row>
    <row r="1691" spans="1:18" x14ac:dyDescent="0.25">
      <c r="A1691" s="169">
        <v>44504</v>
      </c>
      <c r="B1691" s="115">
        <v>265.72000000000003</v>
      </c>
      <c r="C1691" s="115">
        <v>263.73</v>
      </c>
      <c r="D1691" s="115">
        <v>259.27999999999997</v>
      </c>
      <c r="E1691" s="115">
        <v>260.29000000000002</v>
      </c>
      <c r="F1691" s="115">
        <v>1318.65</v>
      </c>
      <c r="G1691">
        <v>1338</v>
      </c>
      <c r="H1691" s="115"/>
      <c r="I1691" s="115"/>
      <c r="L1691" s="169">
        <v>44496</v>
      </c>
      <c r="M1691" s="115">
        <v>252.78</v>
      </c>
      <c r="N1691" s="115">
        <v>263.60000000000002</v>
      </c>
      <c r="O1691" s="115">
        <v>250.5</v>
      </c>
      <c r="P1691" s="115">
        <v>260</v>
      </c>
      <c r="Q1691" s="115">
        <v>1263.9000000000001</v>
      </c>
      <c r="R1691">
        <v>16138</v>
      </c>
    </row>
    <row r="1692" spans="1:18" x14ac:dyDescent="0.25">
      <c r="A1692" s="169">
        <v>44508</v>
      </c>
      <c r="B1692" s="115">
        <v>267.29000000000002</v>
      </c>
      <c r="C1692" s="115">
        <v>264.69</v>
      </c>
      <c r="D1692" s="115">
        <v>259</v>
      </c>
      <c r="E1692" s="115">
        <v>263.60000000000002</v>
      </c>
      <c r="F1692" s="115">
        <v>1323.45</v>
      </c>
      <c r="G1692">
        <v>2535</v>
      </c>
      <c r="H1692" s="115"/>
      <c r="I1692" s="115"/>
      <c r="L1692" s="169">
        <v>44497</v>
      </c>
      <c r="M1692" s="115">
        <v>256.61</v>
      </c>
      <c r="N1692" s="115">
        <v>263.99</v>
      </c>
      <c r="O1692" s="115">
        <v>252.38</v>
      </c>
      <c r="P1692" s="115">
        <v>254.05</v>
      </c>
      <c r="Q1692" s="115">
        <v>1283.05</v>
      </c>
      <c r="R1692">
        <v>16624</v>
      </c>
    </row>
    <row r="1693" spans="1:18" x14ac:dyDescent="0.25">
      <c r="A1693" s="169">
        <v>44509</v>
      </c>
      <c r="B1693" s="115">
        <v>270.49</v>
      </c>
      <c r="C1693" s="115">
        <v>263.07</v>
      </c>
      <c r="D1693" s="115">
        <v>257.20999999999998</v>
      </c>
      <c r="E1693" s="115">
        <v>266</v>
      </c>
      <c r="F1693" s="115">
        <v>1315.35</v>
      </c>
      <c r="G1693">
        <v>3886</v>
      </c>
      <c r="H1693" s="115"/>
      <c r="I1693" s="115"/>
      <c r="L1693" s="169">
        <v>44498</v>
      </c>
      <c r="M1693" s="115">
        <v>265.08999999999997</v>
      </c>
      <c r="N1693" s="115">
        <v>269</v>
      </c>
      <c r="O1693" s="115">
        <v>253.34</v>
      </c>
      <c r="P1693" s="115">
        <v>257.48</v>
      </c>
      <c r="Q1693" s="115">
        <v>1325.45</v>
      </c>
      <c r="R1693">
        <v>23297</v>
      </c>
    </row>
    <row r="1694" spans="1:18" x14ac:dyDescent="0.25">
      <c r="A1694" s="169">
        <v>44510</v>
      </c>
      <c r="B1694" s="115">
        <v>274.41000000000003</v>
      </c>
      <c r="C1694" s="115">
        <v>271.99</v>
      </c>
      <c r="D1694" s="115">
        <v>261.31</v>
      </c>
      <c r="E1694" s="115">
        <v>264.93</v>
      </c>
      <c r="F1694" s="115">
        <v>1359.95</v>
      </c>
      <c r="G1694">
        <v>4784</v>
      </c>
      <c r="H1694" s="115"/>
      <c r="I1694" s="115"/>
      <c r="L1694" s="169">
        <v>44501</v>
      </c>
      <c r="M1694" s="115">
        <v>260.94</v>
      </c>
      <c r="N1694" s="115">
        <v>282.2</v>
      </c>
      <c r="O1694" s="115">
        <v>257.95</v>
      </c>
      <c r="P1694" s="115">
        <v>269</v>
      </c>
      <c r="Q1694" s="115">
        <v>1304.7</v>
      </c>
      <c r="R1694">
        <v>92911</v>
      </c>
    </row>
    <row r="1695" spans="1:18" x14ac:dyDescent="0.25">
      <c r="A1695" s="169">
        <v>44511</v>
      </c>
      <c r="B1695" s="115">
        <v>268.31</v>
      </c>
      <c r="C1695" s="115">
        <v>262.88</v>
      </c>
      <c r="D1695" s="115">
        <v>256.61</v>
      </c>
      <c r="E1695" s="115">
        <v>268</v>
      </c>
      <c r="F1695" s="115">
        <v>1314.4</v>
      </c>
      <c r="G1695">
        <v>4354</v>
      </c>
      <c r="H1695" s="115"/>
      <c r="I1695" s="115"/>
      <c r="L1695" s="169">
        <v>44502</v>
      </c>
      <c r="M1695" s="115">
        <v>266.37</v>
      </c>
      <c r="N1695" s="115">
        <v>269</v>
      </c>
      <c r="O1695" s="115">
        <v>260.39999999999998</v>
      </c>
      <c r="P1695" s="115">
        <v>262.25</v>
      </c>
      <c r="Q1695" s="115">
        <v>1331.85</v>
      </c>
      <c r="R1695">
        <v>18683</v>
      </c>
    </row>
    <row r="1696" spans="1:18" x14ac:dyDescent="0.25">
      <c r="A1696" s="169">
        <v>44512</v>
      </c>
      <c r="B1696" s="115">
        <v>264.72000000000003</v>
      </c>
      <c r="C1696" s="115">
        <v>253.6</v>
      </c>
      <c r="D1696" s="115">
        <v>250.92</v>
      </c>
      <c r="E1696" s="115">
        <v>263</v>
      </c>
      <c r="F1696" s="115">
        <v>1268</v>
      </c>
      <c r="G1696">
        <v>3953</v>
      </c>
      <c r="H1696" s="115"/>
      <c r="I1696" s="115"/>
      <c r="L1696" s="169">
        <v>44503</v>
      </c>
      <c r="M1696" s="115">
        <v>262.56</v>
      </c>
      <c r="N1696" s="115">
        <v>271.02999999999997</v>
      </c>
      <c r="O1696" s="115">
        <v>260.22000000000003</v>
      </c>
      <c r="P1696" s="115">
        <v>267.60000000000002</v>
      </c>
      <c r="Q1696" s="115">
        <v>1312.8</v>
      </c>
      <c r="R1696">
        <v>13286</v>
      </c>
    </row>
    <row r="1697" spans="1:18" x14ac:dyDescent="0.25">
      <c r="A1697" s="169">
        <v>44515</v>
      </c>
      <c r="B1697" s="115">
        <v>254.72</v>
      </c>
      <c r="C1697" s="115">
        <v>248.34</v>
      </c>
      <c r="D1697" s="115">
        <v>243.12</v>
      </c>
      <c r="E1697" s="115">
        <v>243.12</v>
      </c>
      <c r="F1697" s="115">
        <v>1241.7</v>
      </c>
      <c r="G1697">
        <v>1966</v>
      </c>
      <c r="H1697" s="115"/>
      <c r="I1697" s="115"/>
      <c r="L1697" s="169">
        <v>44504</v>
      </c>
      <c r="M1697" s="115">
        <v>263.39999999999998</v>
      </c>
      <c r="N1697" s="115">
        <v>265.45999999999998</v>
      </c>
      <c r="O1697" s="115">
        <v>258.02999999999997</v>
      </c>
      <c r="P1697" s="115">
        <v>264</v>
      </c>
      <c r="Q1697" s="115">
        <v>1317</v>
      </c>
      <c r="R1697">
        <v>5822</v>
      </c>
    </row>
    <row r="1698" spans="1:18" x14ac:dyDescent="0.25">
      <c r="A1698" s="169">
        <v>44516</v>
      </c>
      <c r="B1698" s="115">
        <v>247.44</v>
      </c>
      <c r="C1698" s="115">
        <v>240.89</v>
      </c>
      <c r="D1698" s="115">
        <v>239</v>
      </c>
      <c r="E1698" s="115">
        <v>246.86</v>
      </c>
      <c r="F1698" s="115">
        <v>1204.45</v>
      </c>
      <c r="G1698">
        <v>4690</v>
      </c>
      <c r="H1698" s="115"/>
      <c r="I1698" s="115"/>
      <c r="L1698" s="169">
        <v>44508</v>
      </c>
      <c r="M1698" s="115">
        <v>265.08</v>
      </c>
      <c r="N1698" s="115">
        <v>267.2</v>
      </c>
      <c r="O1698" s="115">
        <v>260.77999999999997</v>
      </c>
      <c r="P1698" s="115">
        <v>265.39999999999998</v>
      </c>
      <c r="Q1698" s="115">
        <v>1325.4</v>
      </c>
      <c r="R1698">
        <v>15334</v>
      </c>
    </row>
    <row r="1699" spans="1:18" x14ac:dyDescent="0.25">
      <c r="A1699" s="169">
        <v>44517</v>
      </c>
      <c r="B1699" s="115">
        <v>246.46</v>
      </c>
      <c r="C1699" s="115">
        <v>245.25</v>
      </c>
      <c r="D1699" s="115">
        <v>241.58</v>
      </c>
      <c r="E1699" s="115">
        <v>241.59</v>
      </c>
      <c r="F1699" s="115">
        <v>1226.25</v>
      </c>
      <c r="G1699">
        <v>1639</v>
      </c>
      <c r="H1699" s="115"/>
      <c r="I1699" s="115"/>
      <c r="L1699" s="169">
        <v>44509</v>
      </c>
      <c r="M1699" s="115">
        <v>262.86</v>
      </c>
      <c r="N1699" s="115">
        <v>270.76</v>
      </c>
      <c r="O1699" s="115">
        <v>257.14999999999998</v>
      </c>
      <c r="P1699" s="115">
        <v>266.41000000000003</v>
      </c>
      <c r="Q1699" s="115">
        <v>1314.3</v>
      </c>
      <c r="R1699">
        <v>101651</v>
      </c>
    </row>
    <row r="1700" spans="1:18" x14ac:dyDescent="0.25">
      <c r="A1700" s="169">
        <v>44518</v>
      </c>
      <c r="B1700" s="115">
        <v>252.8</v>
      </c>
      <c r="C1700" s="115">
        <v>244.86</v>
      </c>
      <c r="D1700" s="115">
        <v>240.82</v>
      </c>
      <c r="E1700" s="115">
        <v>252.8</v>
      </c>
      <c r="F1700" s="115">
        <v>1224.3</v>
      </c>
      <c r="G1700">
        <v>2360</v>
      </c>
      <c r="H1700" s="115"/>
      <c r="I1700" s="115"/>
      <c r="L1700" s="169">
        <v>44510</v>
      </c>
      <c r="M1700" s="115">
        <v>272.56</v>
      </c>
      <c r="N1700" s="115">
        <v>274.8</v>
      </c>
      <c r="O1700" s="115">
        <v>257.43</v>
      </c>
      <c r="P1700" s="115">
        <v>264.18</v>
      </c>
      <c r="Q1700" s="115">
        <v>1362.8</v>
      </c>
      <c r="R1700">
        <v>47058</v>
      </c>
    </row>
    <row r="1701" spans="1:18" x14ac:dyDescent="0.25">
      <c r="A1701" s="169">
        <v>44522</v>
      </c>
      <c r="B1701" s="115">
        <v>244.64</v>
      </c>
      <c r="C1701" s="115">
        <v>242.45</v>
      </c>
      <c r="D1701" s="115">
        <v>241.25</v>
      </c>
      <c r="E1701" s="115">
        <v>243.3</v>
      </c>
      <c r="F1701" s="115">
        <v>1212.25</v>
      </c>
      <c r="G1701">
        <v>717</v>
      </c>
      <c r="H1701" s="115"/>
      <c r="I1701" s="115"/>
      <c r="L1701" s="169">
        <v>44511</v>
      </c>
      <c r="M1701" s="115">
        <v>262.68</v>
      </c>
      <c r="N1701" s="115">
        <v>267.98</v>
      </c>
      <c r="O1701" s="115">
        <v>256.2</v>
      </c>
      <c r="P1701" s="115">
        <v>263.62</v>
      </c>
      <c r="Q1701" s="115">
        <v>1313.4</v>
      </c>
      <c r="R1701">
        <v>44074</v>
      </c>
    </row>
    <row r="1702" spans="1:18" x14ac:dyDescent="0.25">
      <c r="A1702" s="169">
        <v>44523</v>
      </c>
      <c r="B1702" s="115">
        <v>252.48</v>
      </c>
      <c r="C1702" s="115">
        <v>250.82</v>
      </c>
      <c r="D1702" s="115">
        <v>238.69</v>
      </c>
      <c r="E1702" s="115">
        <v>242.52</v>
      </c>
      <c r="F1702" s="115">
        <v>1254.0999999999999</v>
      </c>
      <c r="G1702">
        <v>2994</v>
      </c>
      <c r="H1702" s="115"/>
      <c r="I1702" s="115"/>
      <c r="L1702" s="169">
        <v>44512</v>
      </c>
      <c r="M1702" s="115">
        <v>254.46</v>
      </c>
      <c r="N1702" s="115">
        <v>265.8</v>
      </c>
      <c r="O1702" s="115">
        <v>250.68</v>
      </c>
      <c r="P1702" s="115">
        <v>265.8</v>
      </c>
      <c r="Q1702" s="115">
        <v>1272.3</v>
      </c>
      <c r="R1702">
        <v>47897</v>
      </c>
    </row>
    <row r="1703" spans="1:18" x14ac:dyDescent="0.25">
      <c r="A1703" s="169">
        <v>44524</v>
      </c>
      <c r="B1703" s="115">
        <v>255</v>
      </c>
      <c r="C1703" s="115">
        <v>252.91</v>
      </c>
      <c r="D1703" s="115">
        <v>247</v>
      </c>
      <c r="E1703" s="115">
        <v>250.86</v>
      </c>
      <c r="F1703" s="115">
        <v>1264.55</v>
      </c>
      <c r="G1703">
        <v>1568</v>
      </c>
      <c r="H1703" s="115"/>
      <c r="I1703" s="115"/>
      <c r="L1703" s="169">
        <v>44515</v>
      </c>
      <c r="M1703" s="115">
        <v>247.73</v>
      </c>
      <c r="N1703" s="115">
        <v>255.8</v>
      </c>
      <c r="O1703" s="115">
        <v>246.26</v>
      </c>
      <c r="P1703" s="115">
        <v>255.8</v>
      </c>
      <c r="Q1703" s="115">
        <v>1238.6500000000001</v>
      </c>
      <c r="R1703">
        <v>30540</v>
      </c>
    </row>
    <row r="1704" spans="1:18" x14ac:dyDescent="0.25">
      <c r="A1704" s="169">
        <v>44525</v>
      </c>
      <c r="B1704" s="115">
        <v>260.37</v>
      </c>
      <c r="C1704" s="115">
        <v>255.93</v>
      </c>
      <c r="D1704" s="115">
        <v>252.58</v>
      </c>
      <c r="E1704" s="115">
        <v>253.94</v>
      </c>
      <c r="F1704" s="115">
        <v>1279.6500000000001</v>
      </c>
      <c r="G1704">
        <v>2390</v>
      </c>
      <c r="H1704" s="115"/>
      <c r="I1704" s="115"/>
      <c r="L1704" s="169">
        <v>44516</v>
      </c>
      <c r="M1704" s="115">
        <v>240.21</v>
      </c>
      <c r="N1704" s="115">
        <v>247.69</v>
      </c>
      <c r="O1704" s="115">
        <v>238.99</v>
      </c>
      <c r="P1704" s="115">
        <v>245.2</v>
      </c>
      <c r="Q1704" s="115">
        <v>1201.05</v>
      </c>
      <c r="R1704">
        <v>44649</v>
      </c>
    </row>
    <row r="1705" spans="1:18" x14ac:dyDescent="0.25">
      <c r="A1705" s="169">
        <v>44526</v>
      </c>
      <c r="B1705" s="115">
        <v>254.85</v>
      </c>
      <c r="C1705" s="115">
        <v>250.78</v>
      </c>
      <c r="D1705" s="115">
        <v>245.6</v>
      </c>
      <c r="E1705" s="115">
        <v>254.16</v>
      </c>
      <c r="F1705" s="115">
        <v>1253.9000000000001</v>
      </c>
      <c r="G1705">
        <v>2099</v>
      </c>
      <c r="H1705" s="115"/>
      <c r="I1705" s="115"/>
      <c r="L1705" s="169">
        <v>44517</v>
      </c>
      <c r="M1705" s="115">
        <v>245.35</v>
      </c>
      <c r="N1705" s="115">
        <v>247.6</v>
      </c>
      <c r="O1705" s="115">
        <v>240.17</v>
      </c>
      <c r="P1705" s="115">
        <v>240.21</v>
      </c>
      <c r="Q1705" s="115">
        <v>1226.75</v>
      </c>
      <c r="R1705">
        <v>41322</v>
      </c>
    </row>
    <row r="1706" spans="1:18" x14ac:dyDescent="0.25">
      <c r="A1706" s="169">
        <v>44529</v>
      </c>
      <c r="B1706" s="115">
        <v>254</v>
      </c>
      <c r="C1706" s="115">
        <v>245.5</v>
      </c>
      <c r="D1706" s="115">
        <v>238.3</v>
      </c>
      <c r="E1706" s="115">
        <v>247.66</v>
      </c>
      <c r="F1706" s="115">
        <v>1227.5</v>
      </c>
      <c r="G1706">
        <v>1244</v>
      </c>
      <c r="H1706" s="115"/>
      <c r="I1706" s="115"/>
      <c r="L1706" s="169">
        <v>44518</v>
      </c>
      <c r="M1706" s="115">
        <v>245.05</v>
      </c>
      <c r="N1706" s="115">
        <v>249.26</v>
      </c>
      <c r="O1706" s="115">
        <v>240.74</v>
      </c>
      <c r="P1706" s="115">
        <v>246.56</v>
      </c>
      <c r="Q1706" s="115">
        <v>1225.25</v>
      </c>
      <c r="R1706">
        <v>20853</v>
      </c>
    </row>
    <row r="1707" spans="1:18" x14ac:dyDescent="0.25">
      <c r="A1707" s="169">
        <v>44530</v>
      </c>
      <c r="B1707" s="115">
        <v>250</v>
      </c>
      <c r="C1707" s="115">
        <v>247.7</v>
      </c>
      <c r="D1707" s="115">
        <v>244.58</v>
      </c>
      <c r="E1707" s="115">
        <v>247.05</v>
      </c>
      <c r="F1707" s="115">
        <v>1238.5</v>
      </c>
      <c r="G1707">
        <v>1001</v>
      </c>
      <c r="H1707" s="115"/>
      <c r="I1707" s="115"/>
      <c r="L1707" s="169">
        <v>44522</v>
      </c>
      <c r="M1707" s="115">
        <v>242.36</v>
      </c>
      <c r="N1707" s="115">
        <v>247.4</v>
      </c>
      <c r="O1707" s="115">
        <v>240.6</v>
      </c>
      <c r="P1707" s="115">
        <v>247.4</v>
      </c>
      <c r="Q1707" s="115">
        <v>1211.8</v>
      </c>
      <c r="R1707">
        <v>15019</v>
      </c>
    </row>
    <row r="1708" spans="1:18" x14ac:dyDescent="0.25">
      <c r="A1708" s="169">
        <v>44531</v>
      </c>
      <c r="B1708" s="115">
        <v>252.34</v>
      </c>
      <c r="C1708" s="115">
        <v>250.54</v>
      </c>
      <c r="D1708" s="115">
        <v>247.66</v>
      </c>
      <c r="E1708" s="115">
        <v>248.99</v>
      </c>
      <c r="F1708" s="115">
        <v>1252.7</v>
      </c>
      <c r="G1708">
        <v>433</v>
      </c>
      <c r="H1708" s="115"/>
      <c r="I1708" s="115"/>
      <c r="L1708" s="169">
        <v>44523</v>
      </c>
      <c r="M1708" s="115">
        <v>250.4</v>
      </c>
      <c r="N1708" s="115">
        <v>253</v>
      </c>
      <c r="O1708" s="115">
        <v>238.51</v>
      </c>
      <c r="P1708" s="115">
        <v>243.58</v>
      </c>
      <c r="Q1708" s="115">
        <v>1252</v>
      </c>
      <c r="R1708">
        <v>22827</v>
      </c>
    </row>
    <row r="1709" spans="1:18" x14ac:dyDescent="0.25">
      <c r="A1709" s="169">
        <v>44532</v>
      </c>
      <c r="B1709" s="115">
        <v>259.77999999999997</v>
      </c>
      <c r="C1709" s="115">
        <v>254.54</v>
      </c>
      <c r="D1709" s="115">
        <v>249.61</v>
      </c>
      <c r="E1709" s="115">
        <v>251.22</v>
      </c>
      <c r="F1709" s="115">
        <v>1272.7</v>
      </c>
      <c r="G1709">
        <v>824</v>
      </c>
      <c r="H1709" s="115"/>
      <c r="I1709" s="115"/>
      <c r="L1709" s="169">
        <v>44524</v>
      </c>
      <c r="M1709" s="115">
        <v>252.73</v>
      </c>
      <c r="N1709" s="115">
        <v>255.79</v>
      </c>
      <c r="O1709" s="115">
        <v>247</v>
      </c>
      <c r="P1709" s="115">
        <v>252.99</v>
      </c>
      <c r="Q1709" s="115">
        <v>1263.6500000000001</v>
      </c>
      <c r="R1709">
        <v>14457</v>
      </c>
    </row>
    <row r="1710" spans="1:18" x14ac:dyDescent="0.25">
      <c r="A1710" s="169">
        <v>44533</v>
      </c>
      <c r="B1710" s="115">
        <v>256.83999999999997</v>
      </c>
      <c r="C1710" s="115">
        <v>251.41</v>
      </c>
      <c r="D1710" s="115">
        <v>249.77</v>
      </c>
      <c r="E1710" s="115">
        <v>254.16</v>
      </c>
      <c r="F1710" s="115">
        <v>1257.05</v>
      </c>
      <c r="G1710">
        <v>769</v>
      </c>
      <c r="H1710" s="115"/>
      <c r="I1710" s="115"/>
      <c r="L1710" s="169">
        <v>44525</v>
      </c>
      <c r="M1710" s="115">
        <v>255.81</v>
      </c>
      <c r="N1710" s="115">
        <v>261.38</v>
      </c>
      <c r="O1710" s="115">
        <v>252.56</v>
      </c>
      <c r="P1710" s="115">
        <v>256.8</v>
      </c>
      <c r="Q1710" s="115">
        <v>1279.05</v>
      </c>
      <c r="R1710">
        <v>15521</v>
      </c>
    </row>
    <row r="1711" spans="1:18" x14ac:dyDescent="0.25">
      <c r="A1711" s="169">
        <v>44536</v>
      </c>
      <c r="B1711" s="115">
        <v>256.39</v>
      </c>
      <c r="C1711" s="115">
        <v>250.26</v>
      </c>
      <c r="D1711" s="115">
        <v>249.4</v>
      </c>
      <c r="E1711" s="115">
        <v>253.24</v>
      </c>
      <c r="F1711" s="115">
        <v>1251.3</v>
      </c>
      <c r="G1711">
        <v>502</v>
      </c>
      <c r="H1711" s="115"/>
      <c r="I1711" s="115"/>
      <c r="L1711" s="169">
        <v>44526</v>
      </c>
      <c r="M1711" s="115">
        <v>251.17</v>
      </c>
      <c r="N1711" s="115">
        <v>255.2</v>
      </c>
      <c r="O1711" s="115">
        <v>245.8</v>
      </c>
      <c r="P1711" s="115">
        <v>251.98</v>
      </c>
      <c r="Q1711" s="115">
        <v>1255.8499999999999</v>
      </c>
      <c r="R1711">
        <v>11503</v>
      </c>
    </row>
    <row r="1712" spans="1:18" x14ac:dyDescent="0.25">
      <c r="A1712" s="169">
        <v>44537</v>
      </c>
      <c r="B1712" s="115">
        <v>254.53</v>
      </c>
      <c r="C1712" s="115">
        <v>248.04</v>
      </c>
      <c r="D1712" s="115">
        <v>245.51</v>
      </c>
      <c r="E1712" s="115">
        <v>254.53</v>
      </c>
      <c r="F1712" s="115">
        <v>1240.2</v>
      </c>
      <c r="G1712">
        <v>853</v>
      </c>
      <c r="H1712" s="115"/>
      <c r="I1712" s="115"/>
      <c r="L1712" s="169">
        <v>44529</v>
      </c>
      <c r="M1712" s="115">
        <v>245.41</v>
      </c>
      <c r="N1712" s="115">
        <v>253.63</v>
      </c>
      <c r="O1712" s="115">
        <v>237.91</v>
      </c>
      <c r="P1712" s="115">
        <v>246.25</v>
      </c>
      <c r="Q1712" s="115">
        <v>1227.05</v>
      </c>
      <c r="R1712">
        <v>21626</v>
      </c>
    </row>
    <row r="1713" spans="1:18" x14ac:dyDescent="0.25">
      <c r="A1713" s="169">
        <v>44538</v>
      </c>
      <c r="B1713" s="115">
        <v>254</v>
      </c>
      <c r="C1713" s="115">
        <v>251.97</v>
      </c>
      <c r="D1713" s="115">
        <v>248.8</v>
      </c>
      <c r="E1713" s="115">
        <v>250.52</v>
      </c>
      <c r="F1713" s="115">
        <v>1259.8499999999999</v>
      </c>
      <c r="G1713">
        <v>922</v>
      </c>
      <c r="H1713" s="115"/>
      <c r="I1713" s="115"/>
      <c r="L1713" s="169">
        <v>44530</v>
      </c>
      <c r="M1713" s="115">
        <v>248.39</v>
      </c>
      <c r="N1713" s="115">
        <v>250.41</v>
      </c>
      <c r="O1713" s="115">
        <v>241.39</v>
      </c>
      <c r="P1713" s="115">
        <v>241.39</v>
      </c>
      <c r="Q1713" s="115">
        <v>1241.95</v>
      </c>
      <c r="R1713">
        <v>8012</v>
      </c>
    </row>
    <row r="1714" spans="1:18" x14ac:dyDescent="0.25">
      <c r="A1714" s="169">
        <v>44539</v>
      </c>
      <c r="B1714" s="115">
        <v>257.58999999999997</v>
      </c>
      <c r="C1714" s="115">
        <v>255.16</v>
      </c>
      <c r="D1714" s="115">
        <v>251.52</v>
      </c>
      <c r="E1714" s="115">
        <v>252.02</v>
      </c>
      <c r="F1714" s="115">
        <v>1275.8</v>
      </c>
      <c r="G1714">
        <v>1178</v>
      </c>
      <c r="H1714" s="115"/>
      <c r="I1714" s="115"/>
      <c r="L1714" s="169">
        <v>44531</v>
      </c>
      <c r="M1714" s="115">
        <v>250.61</v>
      </c>
      <c r="N1714" s="115">
        <v>253.8</v>
      </c>
      <c r="O1714" s="115">
        <v>246.74</v>
      </c>
      <c r="P1714" s="115">
        <v>246.74</v>
      </c>
      <c r="Q1714" s="115">
        <v>1253.05</v>
      </c>
      <c r="R1714">
        <v>7709</v>
      </c>
    </row>
    <row r="1715" spans="1:18" x14ac:dyDescent="0.25">
      <c r="A1715" s="169">
        <v>44540</v>
      </c>
      <c r="B1715" s="115">
        <v>257.95</v>
      </c>
      <c r="C1715" s="115">
        <v>256.58</v>
      </c>
      <c r="D1715" s="115">
        <v>253.34</v>
      </c>
      <c r="E1715" s="115">
        <v>253.71</v>
      </c>
      <c r="F1715" s="115">
        <v>1282.9000000000001</v>
      </c>
      <c r="G1715">
        <v>368</v>
      </c>
      <c r="H1715" s="115"/>
      <c r="I1715" s="115"/>
      <c r="L1715" s="169">
        <v>44532</v>
      </c>
      <c r="M1715" s="115">
        <v>254.7</v>
      </c>
      <c r="N1715" s="115">
        <v>260</v>
      </c>
      <c r="O1715" s="115">
        <v>249.28</v>
      </c>
      <c r="P1715" s="115">
        <v>251</v>
      </c>
      <c r="Q1715" s="115">
        <v>1273.5</v>
      </c>
      <c r="R1715">
        <v>22706</v>
      </c>
    </row>
    <row r="1716" spans="1:18" x14ac:dyDescent="0.25">
      <c r="A1716" s="169">
        <v>44543</v>
      </c>
      <c r="B1716" s="115">
        <v>260.02</v>
      </c>
      <c r="C1716" s="115">
        <v>253.98</v>
      </c>
      <c r="D1716" s="115">
        <v>253.96</v>
      </c>
      <c r="E1716" s="115">
        <v>258</v>
      </c>
      <c r="F1716" s="115">
        <v>1269.9000000000001</v>
      </c>
      <c r="G1716">
        <v>546</v>
      </c>
      <c r="H1716" s="115"/>
      <c r="I1716" s="115"/>
      <c r="L1716" s="169">
        <v>44533</v>
      </c>
      <c r="M1716" s="115">
        <v>251.44</v>
      </c>
      <c r="N1716" s="115">
        <v>257</v>
      </c>
      <c r="O1716" s="115">
        <v>249.29</v>
      </c>
      <c r="P1716" s="115">
        <v>256</v>
      </c>
      <c r="Q1716" s="115">
        <v>1257.2</v>
      </c>
      <c r="R1716">
        <v>14177</v>
      </c>
    </row>
    <row r="1717" spans="1:18" x14ac:dyDescent="0.25">
      <c r="A1717" s="169">
        <v>44544</v>
      </c>
      <c r="B1717" s="115">
        <v>259.11</v>
      </c>
      <c r="C1717" s="115">
        <v>256.66000000000003</v>
      </c>
      <c r="D1717" s="115">
        <v>253.9</v>
      </c>
      <c r="E1717" s="115">
        <v>254</v>
      </c>
      <c r="F1717" s="115">
        <v>1283.3</v>
      </c>
      <c r="G1717">
        <v>684</v>
      </c>
      <c r="H1717" s="115"/>
      <c r="I1717" s="115"/>
      <c r="L1717" s="169">
        <v>44536</v>
      </c>
      <c r="M1717" s="115">
        <v>250.63</v>
      </c>
      <c r="N1717" s="115">
        <v>257</v>
      </c>
      <c r="O1717" s="115">
        <v>249.53</v>
      </c>
      <c r="P1717" s="115">
        <v>255.49</v>
      </c>
      <c r="Q1717" s="115">
        <v>1253.1500000000001</v>
      </c>
      <c r="R1717">
        <v>9561</v>
      </c>
    </row>
    <row r="1718" spans="1:18" x14ac:dyDescent="0.25">
      <c r="A1718" s="169">
        <v>44545</v>
      </c>
      <c r="B1718" s="115">
        <v>264.39999999999998</v>
      </c>
      <c r="C1718" s="115">
        <v>261.36</v>
      </c>
      <c r="D1718" s="115">
        <v>254.73</v>
      </c>
      <c r="E1718" s="115">
        <v>258.95999999999998</v>
      </c>
      <c r="F1718" s="115">
        <v>1306.8</v>
      </c>
      <c r="G1718">
        <v>547</v>
      </c>
      <c r="H1718" s="115"/>
      <c r="I1718" s="115"/>
      <c r="L1718" s="169">
        <v>44537</v>
      </c>
      <c r="M1718" s="115">
        <v>247.96</v>
      </c>
      <c r="N1718" s="115">
        <v>255.38</v>
      </c>
      <c r="O1718" s="115">
        <v>245.44</v>
      </c>
      <c r="P1718" s="115">
        <v>250.6</v>
      </c>
      <c r="Q1718" s="115">
        <v>1239.8</v>
      </c>
      <c r="R1718">
        <v>171118</v>
      </c>
    </row>
    <row r="1719" spans="1:18" x14ac:dyDescent="0.25">
      <c r="A1719" s="169">
        <v>44546</v>
      </c>
      <c r="B1719" s="115">
        <v>263.38</v>
      </c>
      <c r="C1719" s="115">
        <v>257.95999999999998</v>
      </c>
      <c r="D1719" s="115">
        <v>255.3</v>
      </c>
      <c r="E1719" s="115">
        <v>263.08</v>
      </c>
      <c r="F1719" s="115">
        <v>1289.8</v>
      </c>
      <c r="G1719">
        <v>2309</v>
      </c>
      <c r="H1719" s="115"/>
      <c r="I1719" s="115"/>
      <c r="L1719" s="169">
        <v>44538</v>
      </c>
      <c r="M1719" s="115">
        <v>251.9</v>
      </c>
      <c r="N1719" s="115">
        <v>254</v>
      </c>
      <c r="O1719" s="115">
        <v>247.6</v>
      </c>
      <c r="P1719" s="115">
        <v>247.6</v>
      </c>
      <c r="Q1719" s="115">
        <v>1259.5</v>
      </c>
      <c r="R1719">
        <v>9020</v>
      </c>
    </row>
    <row r="1720" spans="1:18" x14ac:dyDescent="0.25">
      <c r="A1720" s="169">
        <v>44547</v>
      </c>
      <c r="B1720" s="115">
        <v>257.64</v>
      </c>
      <c r="C1720" s="115">
        <v>249.93</v>
      </c>
      <c r="D1720" s="115">
        <v>248.66</v>
      </c>
      <c r="E1720" s="115">
        <v>257.06</v>
      </c>
      <c r="F1720" s="115">
        <v>1249.6500000000001</v>
      </c>
      <c r="G1720">
        <v>847</v>
      </c>
      <c r="H1720" s="115"/>
      <c r="I1720" s="115"/>
      <c r="L1720" s="169">
        <v>44539</v>
      </c>
      <c r="M1720" s="115">
        <v>254.97</v>
      </c>
      <c r="N1720" s="115">
        <v>257.58999999999997</v>
      </c>
      <c r="O1720" s="115">
        <v>249.64</v>
      </c>
      <c r="P1720" s="115">
        <v>252.31</v>
      </c>
      <c r="Q1720" s="115">
        <v>1274.8499999999999</v>
      </c>
      <c r="R1720">
        <v>13622</v>
      </c>
    </row>
    <row r="1721" spans="1:18" x14ac:dyDescent="0.25">
      <c r="A1721" s="169">
        <v>44550</v>
      </c>
      <c r="B1721" s="115">
        <v>251.99</v>
      </c>
      <c r="C1721" s="115">
        <v>238.67</v>
      </c>
      <c r="D1721" s="115">
        <v>236.91</v>
      </c>
      <c r="E1721" s="115">
        <v>249.86</v>
      </c>
      <c r="F1721" s="115">
        <v>1193.3499999999999</v>
      </c>
      <c r="G1721">
        <v>2586</v>
      </c>
      <c r="H1721" s="115"/>
      <c r="I1721" s="115"/>
      <c r="L1721" s="169">
        <v>44540</v>
      </c>
      <c r="M1721" s="115">
        <v>257.49</v>
      </c>
      <c r="N1721" s="115">
        <v>258.8</v>
      </c>
      <c r="O1721" s="115">
        <v>252.01</v>
      </c>
      <c r="P1721" s="115">
        <v>255.18</v>
      </c>
      <c r="Q1721" s="115">
        <v>1287.45</v>
      </c>
      <c r="R1721">
        <v>6903</v>
      </c>
    </row>
    <row r="1722" spans="1:18" x14ac:dyDescent="0.25">
      <c r="A1722" s="169">
        <v>44551</v>
      </c>
      <c r="B1722" s="115">
        <v>244.8</v>
      </c>
      <c r="C1722" s="115">
        <v>241.27</v>
      </c>
      <c r="D1722" s="115">
        <v>238.29</v>
      </c>
      <c r="E1722" s="115">
        <v>238.29</v>
      </c>
      <c r="F1722" s="115">
        <v>1206.3499999999999</v>
      </c>
      <c r="G1722">
        <v>1632</v>
      </c>
      <c r="H1722" s="115"/>
      <c r="I1722" s="115"/>
      <c r="L1722" s="169">
        <v>44543</v>
      </c>
      <c r="M1722" s="115">
        <v>253.61</v>
      </c>
      <c r="N1722" s="115">
        <v>259.94</v>
      </c>
      <c r="O1722" s="115">
        <v>253</v>
      </c>
      <c r="P1722" s="115">
        <v>257.49</v>
      </c>
      <c r="Q1722" s="115">
        <v>1268.05</v>
      </c>
      <c r="R1722">
        <v>127861</v>
      </c>
    </row>
    <row r="1723" spans="1:18" x14ac:dyDescent="0.25">
      <c r="A1723" s="169">
        <v>44552</v>
      </c>
      <c r="B1723" s="115">
        <v>268.2</v>
      </c>
      <c r="C1723" s="115">
        <v>241.34</v>
      </c>
      <c r="D1723" s="115">
        <v>239.2</v>
      </c>
      <c r="E1723" s="115">
        <v>268.2</v>
      </c>
      <c r="F1723" s="115">
        <v>1206.7</v>
      </c>
      <c r="G1723">
        <v>1007</v>
      </c>
      <c r="H1723" s="115"/>
      <c r="I1723" s="115"/>
      <c r="L1723" s="169">
        <v>44544</v>
      </c>
      <c r="M1723" s="115">
        <v>257.63</v>
      </c>
      <c r="N1723" s="115">
        <v>259.54000000000002</v>
      </c>
      <c r="O1723" s="115">
        <v>253.76</v>
      </c>
      <c r="P1723" s="115">
        <v>254.29</v>
      </c>
      <c r="Q1723" s="115">
        <v>1288.1500000000001</v>
      </c>
      <c r="R1723">
        <v>8564</v>
      </c>
    </row>
    <row r="1724" spans="1:18" x14ac:dyDescent="0.25">
      <c r="A1724" s="169">
        <v>44553</v>
      </c>
      <c r="B1724" s="115">
        <v>243.31</v>
      </c>
      <c r="C1724" s="115">
        <v>240.42</v>
      </c>
      <c r="D1724" s="115">
        <v>236</v>
      </c>
      <c r="E1724" s="115">
        <v>241.25</v>
      </c>
      <c r="F1724" s="115">
        <v>1202.0999999999999</v>
      </c>
      <c r="G1724">
        <v>635</v>
      </c>
      <c r="H1724" s="115"/>
      <c r="I1724" s="115"/>
      <c r="L1724" s="169">
        <v>44545</v>
      </c>
      <c r="M1724" s="115">
        <v>261.64</v>
      </c>
      <c r="N1724" s="115">
        <v>263.68</v>
      </c>
      <c r="O1724" s="115">
        <v>254.32</v>
      </c>
      <c r="P1724" s="115">
        <v>259</v>
      </c>
      <c r="Q1724" s="115">
        <v>1308.2</v>
      </c>
      <c r="R1724">
        <v>16897</v>
      </c>
    </row>
    <row r="1725" spans="1:18" x14ac:dyDescent="0.25">
      <c r="A1725" s="169">
        <v>44554</v>
      </c>
      <c r="B1725" s="115">
        <v>243.31</v>
      </c>
      <c r="C1725" s="115">
        <v>239.44</v>
      </c>
      <c r="D1725" s="115">
        <v>237.89</v>
      </c>
      <c r="E1725" s="115">
        <v>240.94</v>
      </c>
      <c r="F1725" s="115">
        <v>1197.2</v>
      </c>
      <c r="G1725">
        <v>571</v>
      </c>
      <c r="H1725" s="115"/>
      <c r="I1725" s="115"/>
      <c r="L1725" s="169">
        <v>44546</v>
      </c>
      <c r="M1725" s="115">
        <v>256.14</v>
      </c>
      <c r="N1725" s="115">
        <v>264.79000000000002</v>
      </c>
      <c r="O1725" s="115">
        <v>255</v>
      </c>
      <c r="P1725" s="115">
        <v>264.79000000000002</v>
      </c>
      <c r="Q1725" s="115">
        <v>1280.7</v>
      </c>
      <c r="R1725">
        <v>8749</v>
      </c>
    </row>
    <row r="1726" spans="1:18" x14ac:dyDescent="0.25">
      <c r="A1726" s="169">
        <v>44557</v>
      </c>
      <c r="B1726" s="115">
        <v>244</v>
      </c>
      <c r="C1726" s="115">
        <v>240.51</v>
      </c>
      <c r="D1726" s="115">
        <v>238.05</v>
      </c>
      <c r="E1726" s="115">
        <v>238.5</v>
      </c>
      <c r="F1726" s="115">
        <v>1202.55</v>
      </c>
      <c r="G1726">
        <v>1645</v>
      </c>
      <c r="H1726" s="115"/>
      <c r="I1726" s="115"/>
      <c r="L1726" s="169">
        <v>44547</v>
      </c>
      <c r="M1726" s="115">
        <v>249.83</v>
      </c>
      <c r="N1726" s="115">
        <v>257.43</v>
      </c>
      <c r="O1726" s="115">
        <v>248.79</v>
      </c>
      <c r="P1726" s="115">
        <v>256.14</v>
      </c>
      <c r="Q1726" s="115">
        <v>1249.1500000000001</v>
      </c>
      <c r="R1726">
        <v>7600</v>
      </c>
    </row>
    <row r="1727" spans="1:18" x14ac:dyDescent="0.25">
      <c r="A1727" s="169">
        <v>44558</v>
      </c>
      <c r="B1727" s="115">
        <v>243.93</v>
      </c>
      <c r="C1727" s="115">
        <v>240.65</v>
      </c>
      <c r="D1727" s="115">
        <v>237.39</v>
      </c>
      <c r="E1727" s="115">
        <v>241.58</v>
      </c>
      <c r="F1727" s="115">
        <v>1203.25</v>
      </c>
      <c r="G1727">
        <v>1157</v>
      </c>
      <c r="H1727" s="115"/>
      <c r="I1727" s="115"/>
      <c r="L1727" s="169">
        <v>44550</v>
      </c>
      <c r="M1727" s="115">
        <v>239.3</v>
      </c>
      <c r="N1727" s="115">
        <v>252</v>
      </c>
      <c r="O1727" s="115">
        <v>237.01</v>
      </c>
      <c r="P1727" s="115">
        <v>251.76</v>
      </c>
      <c r="Q1727" s="115">
        <v>1196.5</v>
      </c>
      <c r="R1727">
        <v>20561</v>
      </c>
    </row>
    <row r="1728" spans="1:18" x14ac:dyDescent="0.25">
      <c r="A1728" s="169">
        <v>44559</v>
      </c>
      <c r="B1728" s="115">
        <v>246.4</v>
      </c>
      <c r="C1728" s="115">
        <v>245.9</v>
      </c>
      <c r="D1728" s="115">
        <v>241.26</v>
      </c>
      <c r="E1728" s="115">
        <v>241.82</v>
      </c>
      <c r="F1728" s="115">
        <v>1229.5</v>
      </c>
      <c r="G1728">
        <v>647</v>
      </c>
      <c r="H1728" s="115"/>
      <c r="I1728" s="115"/>
      <c r="L1728" s="169">
        <v>44551</v>
      </c>
      <c r="M1728" s="115">
        <v>242.53</v>
      </c>
      <c r="N1728" s="115">
        <v>245.11</v>
      </c>
      <c r="O1728" s="115">
        <v>237.52</v>
      </c>
      <c r="P1728" s="115">
        <v>239.99</v>
      </c>
      <c r="Q1728" s="115">
        <v>1212.6500000000001</v>
      </c>
      <c r="R1728">
        <v>14605</v>
      </c>
    </row>
    <row r="1729" spans="1:18" x14ac:dyDescent="0.25">
      <c r="A1729" s="169">
        <v>44560</v>
      </c>
      <c r="B1729" s="115">
        <v>247.23</v>
      </c>
      <c r="C1729" s="115">
        <v>242.47</v>
      </c>
      <c r="D1729" s="115">
        <v>238.34</v>
      </c>
      <c r="E1729" s="115">
        <v>244</v>
      </c>
      <c r="F1729" s="115">
        <v>1212.3499999999999</v>
      </c>
      <c r="G1729">
        <v>1655</v>
      </c>
      <c r="H1729" s="115"/>
      <c r="I1729" s="115"/>
      <c r="L1729" s="169">
        <v>44552</v>
      </c>
      <c r="M1729" s="115">
        <v>240.5</v>
      </c>
      <c r="N1729" s="115">
        <v>248.8</v>
      </c>
      <c r="O1729" s="115">
        <v>238.46</v>
      </c>
      <c r="P1729" s="115">
        <v>243.75</v>
      </c>
      <c r="Q1729" s="115">
        <v>1202.5</v>
      </c>
      <c r="R1729">
        <v>12347</v>
      </c>
    </row>
    <row r="1730" spans="1:18" x14ac:dyDescent="0.25">
      <c r="A1730" s="169">
        <v>44561</v>
      </c>
      <c r="B1730" s="115">
        <v>247.61</v>
      </c>
      <c r="C1730" s="115">
        <v>243.08</v>
      </c>
      <c r="D1730" s="115">
        <v>240.66</v>
      </c>
      <c r="E1730" s="115">
        <v>242.26</v>
      </c>
      <c r="F1730" s="115">
        <v>1215.4000000000001</v>
      </c>
      <c r="G1730">
        <v>1173</v>
      </c>
      <c r="H1730" s="115"/>
      <c r="I1730" s="115"/>
      <c r="L1730" s="169">
        <v>44553</v>
      </c>
      <c r="M1730" s="115">
        <v>240.9</v>
      </c>
      <c r="N1730" s="115">
        <v>243.59</v>
      </c>
      <c r="O1730" s="115">
        <v>235.11</v>
      </c>
      <c r="P1730" s="115">
        <v>238.6</v>
      </c>
      <c r="Q1730" s="115">
        <v>1204.5</v>
      </c>
      <c r="R1730">
        <v>36286</v>
      </c>
    </row>
    <row r="1731" spans="1:18" x14ac:dyDescent="0.25">
      <c r="A1731" s="169">
        <v>44564</v>
      </c>
      <c r="B1731" s="115">
        <v>248.4</v>
      </c>
      <c r="C1731" s="115">
        <v>247.59</v>
      </c>
      <c r="D1731" s="115">
        <v>242.19</v>
      </c>
      <c r="E1731" s="115">
        <v>242.26</v>
      </c>
      <c r="F1731" s="115">
        <v>1237.95</v>
      </c>
      <c r="G1731">
        <v>332</v>
      </c>
      <c r="H1731" s="115"/>
      <c r="I1731" s="115"/>
      <c r="L1731" s="169">
        <v>44554</v>
      </c>
      <c r="M1731" s="115">
        <v>239.64</v>
      </c>
      <c r="N1731" s="115">
        <v>244</v>
      </c>
      <c r="O1731" s="115">
        <v>237.48</v>
      </c>
      <c r="P1731" s="115">
        <v>244</v>
      </c>
      <c r="Q1731" s="115">
        <v>1198.2</v>
      </c>
      <c r="R1731">
        <v>4801</v>
      </c>
    </row>
    <row r="1732" spans="1:18" x14ac:dyDescent="0.25">
      <c r="A1732" s="169">
        <v>44565</v>
      </c>
      <c r="B1732" s="115">
        <v>251.26</v>
      </c>
      <c r="C1732" s="115">
        <v>246.17</v>
      </c>
      <c r="D1732" s="115">
        <v>243.6</v>
      </c>
      <c r="E1732" s="115">
        <v>248.36</v>
      </c>
      <c r="F1732" s="115">
        <v>1230.8499999999999</v>
      </c>
      <c r="G1732">
        <v>1016</v>
      </c>
      <c r="H1732" s="115"/>
      <c r="I1732" s="115"/>
      <c r="L1732" s="169">
        <v>44557</v>
      </c>
      <c r="M1732" s="115">
        <v>241.01</v>
      </c>
      <c r="N1732" s="115">
        <v>244.46</v>
      </c>
      <c r="O1732" s="115">
        <v>237.25</v>
      </c>
      <c r="P1732" s="115">
        <v>240.8</v>
      </c>
      <c r="Q1732" s="115">
        <v>1205.05</v>
      </c>
      <c r="R1732">
        <v>6314</v>
      </c>
    </row>
    <row r="1733" spans="1:18" x14ac:dyDescent="0.25">
      <c r="A1733" s="169">
        <v>44566</v>
      </c>
      <c r="B1733" s="115">
        <v>253.85</v>
      </c>
      <c r="C1733" s="115">
        <v>245.72</v>
      </c>
      <c r="D1733" s="115">
        <v>241.59</v>
      </c>
      <c r="E1733" s="115">
        <v>246.82</v>
      </c>
      <c r="F1733" s="115">
        <v>1228.5999999999999</v>
      </c>
      <c r="G1733">
        <v>500</v>
      </c>
      <c r="H1733" s="115"/>
      <c r="I1733" s="115"/>
      <c r="L1733" s="169">
        <v>44558</v>
      </c>
      <c r="M1733" s="115">
        <v>240.98</v>
      </c>
      <c r="N1733" s="115">
        <v>243.29</v>
      </c>
      <c r="O1733" s="115">
        <v>238.4</v>
      </c>
      <c r="P1733" s="115">
        <v>242.19</v>
      </c>
      <c r="Q1733" s="115">
        <v>1204.9000000000001</v>
      </c>
      <c r="R1733">
        <v>12065</v>
      </c>
    </row>
    <row r="1734" spans="1:18" x14ac:dyDescent="0.25">
      <c r="A1734" s="169">
        <v>44567</v>
      </c>
      <c r="B1734" s="115">
        <v>256.32</v>
      </c>
      <c r="C1734" s="115">
        <v>248.72</v>
      </c>
      <c r="D1734" s="115">
        <v>242.59</v>
      </c>
      <c r="E1734" s="115">
        <v>245.6</v>
      </c>
      <c r="F1734" s="115">
        <v>1243.5999999999999</v>
      </c>
      <c r="G1734">
        <v>2107</v>
      </c>
      <c r="H1734" s="115"/>
      <c r="I1734" s="115"/>
      <c r="L1734" s="169">
        <v>44559</v>
      </c>
      <c r="M1734" s="115">
        <v>244.84</v>
      </c>
      <c r="N1734" s="115">
        <v>246.3</v>
      </c>
      <c r="O1734" s="115">
        <v>240.7</v>
      </c>
      <c r="P1734" s="115">
        <v>241.8</v>
      </c>
      <c r="Q1734" s="115">
        <v>1224.2</v>
      </c>
      <c r="R1734">
        <v>14230</v>
      </c>
    </row>
    <row r="1735" spans="1:18" x14ac:dyDescent="0.25">
      <c r="A1735" s="169">
        <v>44568</v>
      </c>
      <c r="B1735" s="115">
        <v>252.39</v>
      </c>
      <c r="C1735" s="115">
        <v>250.28</v>
      </c>
      <c r="D1735" s="115">
        <v>248.61</v>
      </c>
      <c r="E1735" s="115">
        <v>250.35</v>
      </c>
      <c r="F1735" s="115">
        <v>1251.4000000000001</v>
      </c>
      <c r="G1735">
        <v>602</v>
      </c>
      <c r="H1735" s="115"/>
      <c r="I1735" s="115"/>
      <c r="L1735" s="169">
        <v>44560</v>
      </c>
      <c r="M1735" s="115">
        <v>241.69</v>
      </c>
      <c r="N1735" s="115">
        <v>248</v>
      </c>
      <c r="O1735" s="115">
        <v>237.98</v>
      </c>
      <c r="P1735" s="115">
        <v>241.32</v>
      </c>
      <c r="Q1735" s="115">
        <v>1208.45</v>
      </c>
      <c r="R1735">
        <v>28719</v>
      </c>
    </row>
    <row r="1736" spans="1:18" x14ac:dyDescent="0.25">
      <c r="A1736" s="169">
        <v>44571</v>
      </c>
      <c r="B1736" s="115">
        <v>252.88</v>
      </c>
      <c r="C1736" s="115">
        <v>248.51</v>
      </c>
      <c r="D1736" s="115">
        <v>247.2</v>
      </c>
      <c r="E1736" s="115">
        <v>250.28</v>
      </c>
      <c r="F1736" s="115">
        <v>1242.55</v>
      </c>
      <c r="G1736">
        <v>694</v>
      </c>
      <c r="H1736" s="115"/>
      <c r="I1736" s="115"/>
      <c r="L1736" s="169">
        <v>44561</v>
      </c>
      <c r="M1736" s="115">
        <v>244.05</v>
      </c>
      <c r="N1736" s="115">
        <v>247.98</v>
      </c>
      <c r="O1736" s="115">
        <v>240.3</v>
      </c>
      <c r="P1736" s="115">
        <v>242</v>
      </c>
      <c r="Q1736" s="115">
        <v>1220.25</v>
      </c>
      <c r="R1736">
        <v>26866</v>
      </c>
    </row>
    <row r="1737" spans="1:18" x14ac:dyDescent="0.25">
      <c r="A1737" s="169">
        <v>44572</v>
      </c>
      <c r="B1737" s="115">
        <v>252.01</v>
      </c>
      <c r="C1737" s="115">
        <v>249.92</v>
      </c>
      <c r="D1737" s="115">
        <v>247.49</v>
      </c>
      <c r="E1737" s="115">
        <v>250.5</v>
      </c>
      <c r="F1737" s="115">
        <v>1249.5999999999999</v>
      </c>
      <c r="G1737">
        <v>387</v>
      </c>
      <c r="H1737" s="115"/>
      <c r="I1737" s="115"/>
      <c r="L1737" s="169">
        <v>44564</v>
      </c>
      <c r="M1737" s="115">
        <v>247.17</v>
      </c>
      <c r="N1737" s="115">
        <v>250.86</v>
      </c>
      <c r="O1737" s="115">
        <v>241.41</v>
      </c>
      <c r="P1737" s="115">
        <v>241.41</v>
      </c>
      <c r="Q1737" s="115">
        <v>1235.8499999999999</v>
      </c>
      <c r="R1737">
        <v>12509</v>
      </c>
    </row>
    <row r="1738" spans="1:18" x14ac:dyDescent="0.25">
      <c r="A1738" s="169">
        <v>44573</v>
      </c>
      <c r="B1738" s="115">
        <v>259.95999999999998</v>
      </c>
      <c r="C1738" s="115">
        <v>252.91</v>
      </c>
      <c r="D1738" s="115">
        <v>252.51</v>
      </c>
      <c r="E1738" s="115">
        <v>252.51</v>
      </c>
      <c r="F1738" s="115">
        <v>1264.55</v>
      </c>
      <c r="G1738">
        <v>1828</v>
      </c>
      <c r="H1738" s="115"/>
      <c r="I1738" s="115"/>
      <c r="L1738" s="169">
        <v>44565</v>
      </c>
      <c r="M1738" s="115">
        <v>246.29</v>
      </c>
      <c r="N1738" s="115">
        <v>251.8</v>
      </c>
      <c r="O1738" s="115">
        <v>243</v>
      </c>
      <c r="P1738" s="115">
        <v>248.2</v>
      </c>
      <c r="Q1738" s="115">
        <v>1231.45</v>
      </c>
      <c r="R1738">
        <v>16771</v>
      </c>
    </row>
    <row r="1739" spans="1:18" x14ac:dyDescent="0.25">
      <c r="A1739" s="169">
        <v>44574</v>
      </c>
      <c r="B1739" s="115">
        <v>256.83999999999997</v>
      </c>
      <c r="C1739" s="115">
        <v>249.48</v>
      </c>
      <c r="D1739" s="115">
        <v>248.52</v>
      </c>
      <c r="E1739" s="115">
        <v>253.96</v>
      </c>
      <c r="F1739" s="115">
        <v>1247.4000000000001</v>
      </c>
      <c r="G1739">
        <v>908</v>
      </c>
      <c r="H1739" s="115"/>
      <c r="I1739" s="115"/>
      <c r="L1739" s="169">
        <v>44566</v>
      </c>
      <c r="M1739" s="115">
        <v>245.4</v>
      </c>
      <c r="N1739" s="115">
        <v>250.6</v>
      </c>
      <c r="O1739" s="115">
        <v>244.44</v>
      </c>
      <c r="P1739" s="115">
        <v>246.8</v>
      </c>
      <c r="Q1739" s="115">
        <v>1227</v>
      </c>
      <c r="R1739">
        <v>8993</v>
      </c>
    </row>
    <row r="1740" spans="1:18" x14ac:dyDescent="0.25">
      <c r="A1740" s="169">
        <v>44575</v>
      </c>
      <c r="B1740" s="115">
        <v>252</v>
      </c>
      <c r="C1740" s="115">
        <v>250.02</v>
      </c>
      <c r="D1740" s="115">
        <v>248.28</v>
      </c>
      <c r="E1740" s="115">
        <v>248.29</v>
      </c>
      <c r="F1740" s="115">
        <v>1250.0999999999999</v>
      </c>
      <c r="G1740">
        <v>1387</v>
      </c>
      <c r="H1740" s="115"/>
      <c r="I1740" s="115"/>
      <c r="L1740" s="169">
        <v>44567</v>
      </c>
      <c r="M1740" s="115">
        <v>249.11</v>
      </c>
      <c r="N1740" s="115">
        <v>257.22000000000003</v>
      </c>
      <c r="O1740" s="115">
        <v>242.3</v>
      </c>
      <c r="P1740" s="115">
        <v>247</v>
      </c>
      <c r="Q1740" s="115">
        <v>1245.55</v>
      </c>
      <c r="R1740">
        <v>47050</v>
      </c>
    </row>
    <row r="1741" spans="1:18" x14ac:dyDescent="0.25">
      <c r="A1741" s="169">
        <v>44578</v>
      </c>
      <c r="B1741" s="115">
        <v>258</v>
      </c>
      <c r="C1741" s="115">
        <v>255.11</v>
      </c>
      <c r="D1741" s="115">
        <v>248.51</v>
      </c>
      <c r="E1741" s="115">
        <v>250.61</v>
      </c>
      <c r="F1741" s="115">
        <v>1275.55</v>
      </c>
      <c r="G1741">
        <v>3821</v>
      </c>
      <c r="H1741" s="115"/>
      <c r="I1741" s="115"/>
      <c r="L1741" s="169">
        <v>44568</v>
      </c>
      <c r="M1741" s="115">
        <v>250.22</v>
      </c>
      <c r="N1741" s="115">
        <v>253.26</v>
      </c>
      <c r="O1741" s="115">
        <v>248.28</v>
      </c>
      <c r="P1741" s="115">
        <v>250.6</v>
      </c>
      <c r="Q1741" s="115">
        <v>1251.0999999999999</v>
      </c>
      <c r="R1741">
        <v>8528</v>
      </c>
    </row>
    <row r="1742" spans="1:18" x14ac:dyDescent="0.25">
      <c r="A1742" s="169">
        <v>44579</v>
      </c>
      <c r="B1742" s="115">
        <v>258.85000000000002</v>
      </c>
      <c r="C1742" s="115">
        <v>252.35</v>
      </c>
      <c r="D1742" s="115">
        <v>250.95</v>
      </c>
      <c r="E1742" s="115">
        <v>253.01</v>
      </c>
      <c r="F1742" s="115">
        <v>1261.75</v>
      </c>
      <c r="G1742">
        <v>2129</v>
      </c>
      <c r="H1742" s="115"/>
      <c r="I1742" s="115"/>
      <c r="L1742" s="169">
        <v>44571</v>
      </c>
      <c r="M1742" s="115">
        <v>249.56</v>
      </c>
      <c r="N1742" s="115">
        <v>252.8</v>
      </c>
      <c r="O1742" s="115">
        <v>248</v>
      </c>
      <c r="P1742" s="115">
        <v>249.96</v>
      </c>
      <c r="Q1742" s="115">
        <v>1247.8</v>
      </c>
      <c r="R1742">
        <v>19327</v>
      </c>
    </row>
    <row r="1743" spans="1:18" x14ac:dyDescent="0.25">
      <c r="A1743" s="169">
        <v>44580</v>
      </c>
      <c r="B1743" s="115">
        <v>254.99</v>
      </c>
      <c r="C1743" s="115">
        <v>249.21</v>
      </c>
      <c r="D1743" s="115">
        <v>246.67</v>
      </c>
      <c r="E1743" s="115">
        <v>251.15</v>
      </c>
      <c r="F1743" s="115">
        <v>1246.05</v>
      </c>
      <c r="G1743">
        <v>997</v>
      </c>
      <c r="H1743" s="115"/>
      <c r="I1743" s="115"/>
      <c r="L1743" s="169">
        <v>44572</v>
      </c>
      <c r="M1743" s="115">
        <v>250.13</v>
      </c>
      <c r="N1743" s="115">
        <v>251.99</v>
      </c>
      <c r="O1743" s="115">
        <v>246.11</v>
      </c>
      <c r="P1743" s="115">
        <v>247</v>
      </c>
      <c r="Q1743" s="115">
        <v>1250.6500000000001</v>
      </c>
      <c r="R1743">
        <v>9184</v>
      </c>
    </row>
    <row r="1744" spans="1:18" x14ac:dyDescent="0.25">
      <c r="A1744" s="169">
        <v>44581</v>
      </c>
      <c r="B1744" s="115">
        <v>253.61</v>
      </c>
      <c r="C1744" s="115">
        <v>251.54</v>
      </c>
      <c r="D1744" s="115">
        <v>246.8</v>
      </c>
      <c r="E1744" s="115">
        <v>250.71</v>
      </c>
      <c r="F1744" s="115">
        <v>1257.7</v>
      </c>
      <c r="G1744">
        <v>748</v>
      </c>
      <c r="H1744" s="115"/>
      <c r="I1744" s="115"/>
      <c r="L1744" s="169">
        <v>44573</v>
      </c>
      <c r="M1744" s="115">
        <v>253.8</v>
      </c>
      <c r="N1744" s="115">
        <v>262.22000000000003</v>
      </c>
      <c r="O1744" s="115">
        <v>251.36</v>
      </c>
      <c r="P1744" s="115">
        <v>251.38</v>
      </c>
      <c r="Q1744" s="115">
        <v>1269</v>
      </c>
      <c r="R1744">
        <v>31045</v>
      </c>
    </row>
    <row r="1745" spans="1:18" x14ac:dyDescent="0.25">
      <c r="A1745" s="169">
        <v>44582</v>
      </c>
      <c r="B1745" s="115">
        <v>254.98</v>
      </c>
      <c r="C1745" s="115">
        <v>253.92</v>
      </c>
      <c r="D1745" s="115">
        <v>248.8</v>
      </c>
      <c r="E1745" s="115">
        <v>252.04</v>
      </c>
      <c r="F1745" s="115">
        <v>1269.5999999999999</v>
      </c>
      <c r="G1745">
        <v>525</v>
      </c>
      <c r="H1745" s="115"/>
      <c r="I1745" s="115"/>
      <c r="L1745" s="169">
        <v>44574</v>
      </c>
      <c r="M1745" s="115">
        <v>249.19</v>
      </c>
      <c r="N1745" s="115">
        <v>257.02999999999997</v>
      </c>
      <c r="O1745" s="115">
        <v>248.02</v>
      </c>
      <c r="P1745" s="115">
        <v>255.56</v>
      </c>
      <c r="Q1745" s="115">
        <v>1245.95</v>
      </c>
      <c r="R1745">
        <v>9974</v>
      </c>
    </row>
    <row r="1746" spans="1:18" x14ac:dyDescent="0.25">
      <c r="A1746" s="169">
        <v>44585</v>
      </c>
      <c r="B1746" s="115">
        <v>253.51</v>
      </c>
      <c r="C1746" s="115">
        <v>250.43</v>
      </c>
      <c r="D1746" s="115">
        <v>242.01</v>
      </c>
      <c r="E1746" s="115">
        <v>252.94</v>
      </c>
      <c r="F1746" s="115">
        <v>1252.1500000000001</v>
      </c>
      <c r="G1746">
        <v>2072</v>
      </c>
      <c r="H1746" s="115"/>
      <c r="I1746" s="115"/>
      <c r="L1746" s="169">
        <v>44575</v>
      </c>
      <c r="M1746" s="115">
        <v>249.6</v>
      </c>
      <c r="N1746" s="115">
        <v>252.98</v>
      </c>
      <c r="O1746" s="115">
        <v>248.14</v>
      </c>
      <c r="P1746" s="115">
        <v>248.39</v>
      </c>
      <c r="Q1746" s="115">
        <v>1248</v>
      </c>
      <c r="R1746">
        <v>14845</v>
      </c>
    </row>
    <row r="1747" spans="1:18" x14ac:dyDescent="0.25">
      <c r="A1747" s="169">
        <v>44586</v>
      </c>
      <c r="B1747" s="115">
        <v>250.68</v>
      </c>
      <c r="C1747" s="115">
        <v>243.41</v>
      </c>
      <c r="D1747" s="115">
        <v>240.72</v>
      </c>
      <c r="E1747" s="115">
        <v>247.61</v>
      </c>
      <c r="F1747" s="115">
        <v>1217.05</v>
      </c>
      <c r="G1747">
        <v>2441</v>
      </c>
      <c r="H1747" s="115"/>
      <c r="I1747" s="115"/>
      <c r="L1747" s="169">
        <v>44578</v>
      </c>
      <c r="M1747" s="115">
        <v>254.97</v>
      </c>
      <c r="N1747" s="115">
        <v>257.79000000000002</v>
      </c>
      <c r="O1747" s="115">
        <v>248.27</v>
      </c>
      <c r="P1747" s="115">
        <v>249</v>
      </c>
      <c r="Q1747" s="115">
        <v>1274.8499999999999</v>
      </c>
      <c r="R1747">
        <v>22089</v>
      </c>
    </row>
    <row r="1748" spans="1:18" x14ac:dyDescent="0.25">
      <c r="A1748" s="169">
        <v>44588</v>
      </c>
      <c r="B1748" s="115">
        <v>252.78</v>
      </c>
      <c r="C1748" s="115">
        <v>244.13</v>
      </c>
      <c r="D1748" s="115">
        <v>242.24</v>
      </c>
      <c r="E1748" s="115">
        <v>243.71</v>
      </c>
      <c r="F1748" s="115">
        <v>1220.6500000000001</v>
      </c>
      <c r="G1748">
        <v>634</v>
      </c>
      <c r="H1748" s="115"/>
      <c r="I1748" s="115"/>
      <c r="L1748" s="169">
        <v>44579</v>
      </c>
      <c r="M1748" s="115">
        <v>252.87</v>
      </c>
      <c r="N1748" s="115">
        <v>259.72000000000003</v>
      </c>
      <c r="O1748" s="115">
        <v>251.02</v>
      </c>
      <c r="P1748" s="115">
        <v>256.25</v>
      </c>
      <c r="Q1748" s="115">
        <v>1264.3499999999999</v>
      </c>
      <c r="R1748">
        <v>20286</v>
      </c>
    </row>
    <row r="1749" spans="1:18" x14ac:dyDescent="0.25">
      <c r="A1749" s="169">
        <v>44589</v>
      </c>
      <c r="B1749" s="115">
        <v>250.68</v>
      </c>
      <c r="C1749" s="115">
        <v>249.14</v>
      </c>
      <c r="D1749" s="115">
        <v>245.29</v>
      </c>
      <c r="E1749" s="115">
        <v>245.29</v>
      </c>
      <c r="F1749" s="115">
        <v>1245.7</v>
      </c>
      <c r="G1749">
        <v>934</v>
      </c>
      <c r="H1749" s="115"/>
      <c r="I1749" s="115"/>
      <c r="L1749" s="169">
        <v>44580</v>
      </c>
      <c r="M1749" s="115">
        <v>250.57</v>
      </c>
      <c r="N1749" s="115">
        <v>255.57</v>
      </c>
      <c r="O1749" s="115">
        <v>246.21</v>
      </c>
      <c r="P1749" s="115">
        <v>252.97</v>
      </c>
      <c r="Q1749" s="115">
        <v>1252.8499999999999</v>
      </c>
      <c r="R1749">
        <v>26639</v>
      </c>
    </row>
    <row r="1750" spans="1:18" x14ac:dyDescent="0.25">
      <c r="A1750" s="169">
        <v>44592</v>
      </c>
      <c r="B1750" s="115">
        <v>252.05</v>
      </c>
      <c r="C1750" s="115">
        <v>246.31</v>
      </c>
      <c r="D1750" s="115">
        <v>243.2</v>
      </c>
      <c r="E1750" s="115">
        <v>249.94</v>
      </c>
      <c r="F1750" s="115">
        <v>1231.55</v>
      </c>
      <c r="G1750">
        <v>638</v>
      </c>
      <c r="H1750" s="115"/>
      <c r="I1750" s="115"/>
      <c r="L1750" s="169">
        <v>44581</v>
      </c>
      <c r="M1750" s="115">
        <v>252.74</v>
      </c>
      <c r="N1750" s="115">
        <v>255.8</v>
      </c>
      <c r="O1750" s="115">
        <v>247.53</v>
      </c>
      <c r="P1750" s="115">
        <v>250.66</v>
      </c>
      <c r="Q1750" s="115">
        <v>1263.7</v>
      </c>
      <c r="R1750">
        <v>5276</v>
      </c>
    </row>
    <row r="1751" spans="1:18" x14ac:dyDescent="0.25">
      <c r="A1751" s="169">
        <v>44593</v>
      </c>
      <c r="B1751" s="115">
        <v>249.04</v>
      </c>
      <c r="C1751" s="115">
        <v>245.62</v>
      </c>
      <c r="D1751" s="115">
        <v>243.06</v>
      </c>
      <c r="E1751" s="115">
        <v>247.6</v>
      </c>
      <c r="F1751" s="115">
        <v>1228.0999999999999</v>
      </c>
      <c r="G1751">
        <v>871</v>
      </c>
      <c r="H1751" s="115"/>
      <c r="I1751" s="115"/>
      <c r="L1751" s="169">
        <v>44582</v>
      </c>
      <c r="M1751" s="115">
        <v>254.05</v>
      </c>
      <c r="N1751" s="115">
        <v>255.8</v>
      </c>
      <c r="O1751" s="115">
        <v>248.34</v>
      </c>
      <c r="P1751" s="115">
        <v>252.43</v>
      </c>
      <c r="Q1751" s="115">
        <v>1270.25</v>
      </c>
      <c r="R1751">
        <v>11863</v>
      </c>
    </row>
    <row r="1752" spans="1:18" x14ac:dyDescent="0.25">
      <c r="A1752" s="169">
        <v>44594</v>
      </c>
      <c r="B1752" s="115">
        <v>246.41</v>
      </c>
      <c r="C1752" s="115">
        <v>241.94</v>
      </c>
      <c r="D1752" s="115">
        <v>241.4</v>
      </c>
      <c r="E1752" s="115">
        <v>246.09</v>
      </c>
      <c r="F1752" s="115">
        <v>1209.7</v>
      </c>
      <c r="G1752">
        <v>781</v>
      </c>
      <c r="H1752" s="115"/>
      <c r="I1752" s="115"/>
      <c r="L1752" s="169">
        <v>44585</v>
      </c>
      <c r="M1752" s="115">
        <v>251.14</v>
      </c>
      <c r="N1752" s="115">
        <v>254.55</v>
      </c>
      <c r="O1752" s="115">
        <v>240.51</v>
      </c>
      <c r="P1752" s="115">
        <v>252</v>
      </c>
      <c r="Q1752" s="115">
        <v>1255.7</v>
      </c>
      <c r="R1752">
        <v>33087</v>
      </c>
    </row>
    <row r="1753" spans="1:18" x14ac:dyDescent="0.25">
      <c r="A1753" s="169">
        <v>44595</v>
      </c>
      <c r="B1753" s="115">
        <v>243.36</v>
      </c>
      <c r="C1753" s="115">
        <v>238.45</v>
      </c>
      <c r="D1753" s="115">
        <v>235.95</v>
      </c>
      <c r="E1753" s="115">
        <v>242.34</v>
      </c>
      <c r="F1753" s="115">
        <v>1192.25</v>
      </c>
      <c r="G1753">
        <v>814</v>
      </c>
      <c r="H1753" s="115"/>
      <c r="I1753" s="115"/>
      <c r="L1753" s="169">
        <v>44586</v>
      </c>
      <c r="M1753" s="115">
        <v>243.54</v>
      </c>
      <c r="N1753" s="115">
        <v>251.18</v>
      </c>
      <c r="O1753" s="115">
        <v>240.73</v>
      </c>
      <c r="P1753" s="115">
        <v>251.17</v>
      </c>
      <c r="Q1753" s="115">
        <v>1217.7</v>
      </c>
      <c r="R1753">
        <v>34298</v>
      </c>
    </row>
    <row r="1754" spans="1:18" x14ac:dyDescent="0.25">
      <c r="A1754" s="169">
        <v>44596</v>
      </c>
      <c r="B1754" s="115">
        <v>240.14</v>
      </c>
      <c r="C1754" s="115">
        <v>238.76</v>
      </c>
      <c r="D1754" s="115">
        <v>237.17</v>
      </c>
      <c r="E1754" s="115">
        <v>239.66</v>
      </c>
      <c r="F1754" s="115">
        <v>1193.8</v>
      </c>
      <c r="G1754">
        <v>775</v>
      </c>
      <c r="H1754" s="115"/>
      <c r="I1754" s="115"/>
      <c r="L1754" s="169">
        <v>44588</v>
      </c>
      <c r="M1754" s="115">
        <v>243.99</v>
      </c>
      <c r="N1754" s="115">
        <v>253.6</v>
      </c>
      <c r="O1754" s="115">
        <v>241.61</v>
      </c>
      <c r="P1754" s="115">
        <v>247</v>
      </c>
      <c r="Q1754" s="115">
        <v>1219.95</v>
      </c>
      <c r="R1754">
        <v>17353</v>
      </c>
    </row>
    <row r="1755" spans="1:18" x14ac:dyDescent="0.25">
      <c r="A1755" s="169">
        <v>44599</v>
      </c>
      <c r="B1755" s="115">
        <v>241.26</v>
      </c>
      <c r="C1755" s="115">
        <v>238.06</v>
      </c>
      <c r="D1755" s="115">
        <v>237</v>
      </c>
      <c r="E1755" s="115">
        <v>241.26</v>
      </c>
      <c r="F1755" s="115">
        <v>1190.3</v>
      </c>
      <c r="G1755">
        <v>265</v>
      </c>
      <c r="H1755" s="115"/>
      <c r="I1755" s="115"/>
      <c r="L1755" s="169">
        <v>44589</v>
      </c>
      <c r="M1755" s="115">
        <v>249.38</v>
      </c>
      <c r="N1755" s="115">
        <v>250.67</v>
      </c>
      <c r="O1755" s="115">
        <v>243</v>
      </c>
      <c r="P1755" s="115">
        <v>243</v>
      </c>
      <c r="Q1755" s="115">
        <v>1246.9000000000001</v>
      </c>
      <c r="R1755">
        <v>7731</v>
      </c>
    </row>
    <row r="1756" spans="1:18" x14ac:dyDescent="0.25">
      <c r="A1756" s="169">
        <v>44600</v>
      </c>
      <c r="B1756" s="115">
        <v>238.6</v>
      </c>
      <c r="C1756" s="115">
        <v>229.42</v>
      </c>
      <c r="D1756" s="115">
        <v>228.37</v>
      </c>
      <c r="E1756" s="115">
        <v>238.6</v>
      </c>
      <c r="F1756" s="115">
        <v>1147.0999999999999</v>
      </c>
      <c r="G1756">
        <v>1575</v>
      </c>
      <c r="H1756" s="115"/>
      <c r="I1756" s="115"/>
      <c r="L1756" s="169">
        <v>44592</v>
      </c>
      <c r="M1756" s="115">
        <v>246.03</v>
      </c>
      <c r="N1756" s="115">
        <v>252.54</v>
      </c>
      <c r="O1756" s="115">
        <v>243</v>
      </c>
      <c r="P1756" s="115">
        <v>248</v>
      </c>
      <c r="Q1756" s="115">
        <v>1230.1500000000001</v>
      </c>
      <c r="R1756">
        <v>16996</v>
      </c>
    </row>
    <row r="1757" spans="1:18" x14ac:dyDescent="0.25">
      <c r="A1757" s="169">
        <v>44601</v>
      </c>
      <c r="B1757" s="115">
        <v>236.04</v>
      </c>
      <c r="C1757" s="115">
        <v>229.9</v>
      </c>
      <c r="D1757" s="115">
        <v>229</v>
      </c>
      <c r="E1757" s="115">
        <v>230.86</v>
      </c>
      <c r="F1757" s="115">
        <v>1149.5</v>
      </c>
      <c r="G1757">
        <v>482</v>
      </c>
      <c r="H1757" s="115"/>
      <c r="I1757" s="115"/>
      <c r="L1757" s="169">
        <v>44593</v>
      </c>
      <c r="M1757" s="115">
        <v>246.38</v>
      </c>
      <c r="N1757" s="115">
        <v>248.6</v>
      </c>
      <c r="O1757" s="115">
        <v>243.4</v>
      </c>
      <c r="P1757" s="115">
        <v>247.26</v>
      </c>
      <c r="Q1757" s="115">
        <v>1231.9000000000001</v>
      </c>
      <c r="R1757">
        <v>13979</v>
      </c>
    </row>
    <row r="1758" spans="1:18" x14ac:dyDescent="0.25">
      <c r="A1758" s="169">
        <v>44602</v>
      </c>
      <c r="B1758" s="115">
        <v>232.24</v>
      </c>
      <c r="C1758" s="115">
        <v>229.28</v>
      </c>
      <c r="D1758" s="115">
        <v>227.6</v>
      </c>
      <c r="E1758" s="115">
        <v>232.2</v>
      </c>
      <c r="F1758" s="115">
        <v>1146.4000000000001</v>
      </c>
      <c r="G1758">
        <v>1156</v>
      </c>
      <c r="H1758" s="115"/>
      <c r="I1758" s="115"/>
      <c r="L1758" s="169">
        <v>44594</v>
      </c>
      <c r="M1758" s="115">
        <v>241.99</v>
      </c>
      <c r="N1758" s="115">
        <v>247.61</v>
      </c>
      <c r="O1758" s="115">
        <v>241.13</v>
      </c>
      <c r="P1758" s="115">
        <v>247.61</v>
      </c>
      <c r="Q1758" s="115">
        <v>1209.95</v>
      </c>
      <c r="R1758">
        <v>26401</v>
      </c>
    </row>
    <row r="1759" spans="1:18" x14ac:dyDescent="0.25">
      <c r="A1759" s="169">
        <v>44603</v>
      </c>
      <c r="B1759" s="115">
        <v>229.02</v>
      </c>
      <c r="C1759" s="115">
        <v>226.78</v>
      </c>
      <c r="D1759" s="115">
        <v>225.62</v>
      </c>
      <c r="E1759" s="115">
        <v>228.71</v>
      </c>
      <c r="F1759" s="115">
        <v>1133.9000000000001</v>
      </c>
      <c r="G1759">
        <v>959</v>
      </c>
      <c r="H1759" s="115"/>
      <c r="I1759" s="115"/>
      <c r="L1759" s="169">
        <v>44595</v>
      </c>
      <c r="M1759" s="115">
        <v>237.85</v>
      </c>
      <c r="N1759" s="115">
        <v>243.24</v>
      </c>
      <c r="O1759" s="115">
        <v>236.6</v>
      </c>
      <c r="P1759" s="115">
        <v>241.99</v>
      </c>
      <c r="Q1759" s="115">
        <v>1189.25</v>
      </c>
      <c r="R1759">
        <v>17829</v>
      </c>
    </row>
    <row r="1760" spans="1:18" x14ac:dyDescent="0.25">
      <c r="A1760" s="169">
        <v>44606</v>
      </c>
      <c r="B1760" s="115">
        <v>223.35</v>
      </c>
      <c r="C1760" s="115">
        <v>217.97</v>
      </c>
      <c r="D1760" s="115">
        <v>216.13</v>
      </c>
      <c r="E1760" s="115">
        <v>222.66</v>
      </c>
      <c r="F1760" s="115">
        <v>1089.8499999999999</v>
      </c>
      <c r="G1760">
        <v>1461</v>
      </c>
      <c r="H1760" s="115"/>
      <c r="I1760" s="115"/>
      <c r="L1760" s="169">
        <v>44596</v>
      </c>
      <c r="M1760" s="115">
        <v>239.24</v>
      </c>
      <c r="N1760" s="115">
        <v>240.38</v>
      </c>
      <c r="O1760" s="115">
        <v>237</v>
      </c>
      <c r="P1760" s="115">
        <v>238.57</v>
      </c>
      <c r="Q1760" s="115">
        <v>1196.2</v>
      </c>
      <c r="R1760">
        <v>4622</v>
      </c>
    </row>
    <row r="1761" spans="1:18" x14ac:dyDescent="0.25">
      <c r="A1761" s="169">
        <v>44607</v>
      </c>
      <c r="B1761" s="115">
        <v>222.02</v>
      </c>
      <c r="C1761" s="115">
        <v>221.13</v>
      </c>
      <c r="D1761" s="115">
        <v>211.21</v>
      </c>
      <c r="E1761" s="115">
        <v>218.85</v>
      </c>
      <c r="F1761" s="115">
        <v>1105.6500000000001</v>
      </c>
      <c r="G1761">
        <v>1565</v>
      </c>
      <c r="H1761" s="115"/>
      <c r="I1761" s="115"/>
      <c r="L1761" s="169">
        <v>44599</v>
      </c>
      <c r="M1761" s="115">
        <v>237.67</v>
      </c>
      <c r="N1761" s="115">
        <v>243.78</v>
      </c>
      <c r="O1761" s="115">
        <v>237</v>
      </c>
      <c r="P1761" s="115">
        <v>243.78</v>
      </c>
      <c r="Q1761" s="115">
        <v>1188.3499999999999</v>
      </c>
      <c r="R1761">
        <v>7193</v>
      </c>
    </row>
    <row r="1762" spans="1:18" x14ac:dyDescent="0.25">
      <c r="A1762" s="169">
        <v>44608</v>
      </c>
      <c r="B1762" s="115">
        <v>222.79</v>
      </c>
      <c r="C1762" s="115">
        <v>215.73</v>
      </c>
      <c r="D1762" s="115">
        <v>214.82</v>
      </c>
      <c r="E1762" s="115">
        <v>222.04</v>
      </c>
      <c r="F1762" s="115">
        <v>1078.6500000000001</v>
      </c>
      <c r="G1762">
        <v>541</v>
      </c>
      <c r="H1762" s="115"/>
      <c r="I1762" s="115"/>
      <c r="L1762" s="169">
        <v>44600</v>
      </c>
      <c r="M1762" s="115">
        <v>229.46</v>
      </c>
      <c r="N1762" s="115">
        <v>238.72</v>
      </c>
      <c r="O1762" s="115">
        <v>228.08</v>
      </c>
      <c r="P1762" s="115">
        <v>237</v>
      </c>
      <c r="Q1762" s="115">
        <v>1147.3</v>
      </c>
      <c r="R1762">
        <v>15964</v>
      </c>
    </row>
    <row r="1763" spans="1:18" x14ac:dyDescent="0.25">
      <c r="A1763" s="169">
        <v>44609</v>
      </c>
      <c r="B1763" s="115">
        <v>219.91</v>
      </c>
      <c r="C1763" s="115">
        <v>211.9</v>
      </c>
      <c r="D1763" s="115">
        <v>210.82</v>
      </c>
      <c r="E1763" s="115">
        <v>219.53</v>
      </c>
      <c r="F1763" s="115">
        <v>1059.5</v>
      </c>
      <c r="G1763">
        <v>1125</v>
      </c>
      <c r="H1763" s="115"/>
      <c r="I1763" s="115"/>
      <c r="L1763" s="169">
        <v>44601</v>
      </c>
      <c r="M1763" s="115">
        <v>230.58</v>
      </c>
      <c r="N1763" s="115">
        <v>235.82</v>
      </c>
      <c r="O1763" s="115">
        <v>229</v>
      </c>
      <c r="P1763" s="115">
        <v>230.6</v>
      </c>
      <c r="Q1763" s="115">
        <v>1152.9000000000001</v>
      </c>
      <c r="R1763">
        <v>13173</v>
      </c>
    </row>
    <row r="1764" spans="1:18" x14ac:dyDescent="0.25">
      <c r="A1764" s="169">
        <v>44610</v>
      </c>
      <c r="B1764" s="115">
        <v>220.78</v>
      </c>
      <c r="C1764" s="115">
        <v>215.24</v>
      </c>
      <c r="D1764" s="115">
        <v>212.17</v>
      </c>
      <c r="E1764" s="115">
        <v>214.33</v>
      </c>
      <c r="F1764" s="115">
        <v>1076.2</v>
      </c>
      <c r="G1764">
        <v>1711</v>
      </c>
      <c r="H1764" s="115"/>
      <c r="I1764" s="115"/>
      <c r="L1764" s="169">
        <v>44602</v>
      </c>
      <c r="M1764" s="115">
        <v>230.23</v>
      </c>
      <c r="N1764" s="115">
        <v>233.8</v>
      </c>
      <c r="O1764" s="115">
        <v>227.29</v>
      </c>
      <c r="P1764" s="115">
        <v>231.16</v>
      </c>
      <c r="Q1764" s="115">
        <v>1151.1500000000001</v>
      </c>
      <c r="R1764">
        <v>12051</v>
      </c>
    </row>
    <row r="1765" spans="1:18" x14ac:dyDescent="0.25">
      <c r="A1765" s="169">
        <v>44613</v>
      </c>
      <c r="B1765" s="115">
        <v>217.56</v>
      </c>
      <c r="C1765" s="115">
        <v>212.32</v>
      </c>
      <c r="D1765" s="115">
        <v>211.77</v>
      </c>
      <c r="E1765" s="115">
        <v>216.77</v>
      </c>
      <c r="F1765" s="115">
        <v>1061.5999999999999</v>
      </c>
      <c r="G1765">
        <v>698</v>
      </c>
      <c r="H1765" s="115"/>
      <c r="I1765" s="115"/>
      <c r="L1765" s="169">
        <v>44603</v>
      </c>
      <c r="M1765" s="115">
        <v>226.75</v>
      </c>
      <c r="N1765" s="115">
        <v>229.7</v>
      </c>
      <c r="O1765" s="115">
        <v>225.41</v>
      </c>
      <c r="P1765" s="115">
        <v>227.36</v>
      </c>
      <c r="Q1765" s="115">
        <v>1133.75</v>
      </c>
      <c r="R1765">
        <v>8841</v>
      </c>
    </row>
    <row r="1766" spans="1:18" x14ac:dyDescent="0.25">
      <c r="A1766" s="169">
        <v>44614</v>
      </c>
      <c r="B1766" s="115">
        <v>214.19</v>
      </c>
      <c r="C1766" s="115">
        <v>209.67</v>
      </c>
      <c r="D1766" s="115">
        <v>206.46</v>
      </c>
      <c r="E1766" s="115">
        <v>210</v>
      </c>
      <c r="F1766" s="115">
        <v>1048.3499999999999</v>
      </c>
      <c r="G1766">
        <v>624</v>
      </c>
      <c r="H1766" s="115"/>
      <c r="I1766" s="115"/>
      <c r="L1766" s="169">
        <v>44606</v>
      </c>
      <c r="M1766" s="115">
        <v>217.96</v>
      </c>
      <c r="N1766" s="115">
        <v>225.01</v>
      </c>
      <c r="O1766" s="115">
        <v>216.4</v>
      </c>
      <c r="P1766" s="115">
        <v>224</v>
      </c>
      <c r="Q1766" s="115">
        <v>1089.8</v>
      </c>
      <c r="R1766">
        <v>14704</v>
      </c>
    </row>
    <row r="1767" spans="1:18" x14ac:dyDescent="0.25">
      <c r="A1767" s="169">
        <v>44615</v>
      </c>
      <c r="B1767" s="115">
        <v>213.56</v>
      </c>
      <c r="C1767" s="115">
        <v>205.94</v>
      </c>
      <c r="D1767" s="115">
        <v>205.12</v>
      </c>
      <c r="E1767" s="115">
        <v>213.56</v>
      </c>
      <c r="F1767" s="115">
        <v>1029.7</v>
      </c>
      <c r="G1767">
        <v>1475</v>
      </c>
      <c r="H1767" s="115"/>
      <c r="I1767" s="115"/>
      <c r="L1767" s="169">
        <v>44607</v>
      </c>
      <c r="M1767" s="115">
        <v>221.58</v>
      </c>
      <c r="N1767" s="115">
        <v>223.37</v>
      </c>
      <c r="O1767" s="115">
        <v>211.43</v>
      </c>
      <c r="P1767" s="115">
        <v>217</v>
      </c>
      <c r="Q1767" s="115">
        <v>1107.9000000000001</v>
      </c>
      <c r="R1767">
        <v>9741</v>
      </c>
    </row>
    <row r="1768" spans="1:18" x14ac:dyDescent="0.25">
      <c r="A1768" s="169">
        <v>44616</v>
      </c>
      <c r="B1768" s="115">
        <v>208</v>
      </c>
      <c r="C1768" s="115">
        <v>192.51</v>
      </c>
      <c r="D1768" s="115">
        <v>191.93</v>
      </c>
      <c r="E1768" s="115">
        <v>208</v>
      </c>
      <c r="F1768" s="115">
        <v>962.55</v>
      </c>
      <c r="G1768">
        <v>1437</v>
      </c>
      <c r="H1768" s="115"/>
      <c r="I1768" s="115"/>
      <c r="L1768" s="169">
        <v>44608</v>
      </c>
      <c r="M1768" s="115">
        <v>216.5</v>
      </c>
      <c r="N1768" s="115">
        <v>225.84</v>
      </c>
      <c r="O1768" s="115">
        <v>215.2</v>
      </c>
      <c r="P1768" s="115">
        <v>221.58</v>
      </c>
      <c r="Q1768" s="115">
        <v>1082.5</v>
      </c>
      <c r="R1768">
        <v>59419</v>
      </c>
    </row>
    <row r="1769" spans="1:18" x14ac:dyDescent="0.25">
      <c r="A1769" s="169">
        <v>44617</v>
      </c>
      <c r="B1769" s="115">
        <v>229.6</v>
      </c>
      <c r="C1769" s="115">
        <v>199.41</v>
      </c>
      <c r="D1769" s="115">
        <v>194.51</v>
      </c>
      <c r="E1769" s="115">
        <v>229.6</v>
      </c>
      <c r="F1769" s="115">
        <v>997.05</v>
      </c>
      <c r="G1769">
        <v>1806</v>
      </c>
      <c r="H1769" s="115"/>
      <c r="I1769" s="115"/>
      <c r="L1769" s="169">
        <v>44609</v>
      </c>
      <c r="M1769" s="115">
        <v>212.21</v>
      </c>
      <c r="N1769" s="115">
        <v>222.31</v>
      </c>
      <c r="O1769" s="115">
        <v>210.41</v>
      </c>
      <c r="P1769" s="115">
        <v>216.5</v>
      </c>
      <c r="Q1769" s="115">
        <v>1061.05</v>
      </c>
      <c r="R1769">
        <v>22193</v>
      </c>
    </row>
    <row r="1770" spans="1:18" x14ac:dyDescent="0.25">
      <c r="A1770" s="169">
        <v>44620</v>
      </c>
      <c r="B1770" s="115">
        <v>224.44</v>
      </c>
      <c r="C1770" s="115">
        <v>218.89</v>
      </c>
      <c r="D1770" s="115">
        <v>202.67</v>
      </c>
      <c r="E1770" s="115">
        <v>207.07</v>
      </c>
      <c r="F1770" s="115">
        <v>1094.45</v>
      </c>
      <c r="G1770">
        <v>11023</v>
      </c>
      <c r="H1770" s="115"/>
      <c r="I1770" s="115"/>
      <c r="L1770" s="169">
        <v>44610</v>
      </c>
      <c r="M1770" s="115">
        <v>215.42</v>
      </c>
      <c r="N1770" s="115">
        <v>222.31</v>
      </c>
      <c r="O1770" s="115">
        <v>212.4</v>
      </c>
      <c r="P1770" s="115">
        <v>213.27</v>
      </c>
      <c r="Q1770" s="115">
        <v>1077.0999999999999</v>
      </c>
      <c r="R1770">
        <v>33026</v>
      </c>
    </row>
    <row r="1771" spans="1:18" x14ac:dyDescent="0.25">
      <c r="A1771" s="169">
        <v>44622</v>
      </c>
      <c r="B1771" s="115">
        <v>224.6</v>
      </c>
      <c r="C1771" s="115">
        <v>222.07</v>
      </c>
      <c r="D1771" s="115">
        <v>214.4</v>
      </c>
      <c r="E1771" s="115">
        <v>219.71</v>
      </c>
      <c r="F1771" s="115">
        <v>1110.3499999999999</v>
      </c>
      <c r="G1771">
        <v>5088</v>
      </c>
      <c r="H1771" s="115"/>
      <c r="I1771" s="115"/>
      <c r="L1771" s="169">
        <v>44613</v>
      </c>
      <c r="M1771" s="115">
        <v>212.63</v>
      </c>
      <c r="N1771" s="115">
        <v>217.6</v>
      </c>
      <c r="O1771" s="115">
        <v>212</v>
      </c>
      <c r="P1771" s="115">
        <v>213.19</v>
      </c>
      <c r="Q1771" s="115">
        <v>1063.1500000000001</v>
      </c>
      <c r="R1771">
        <v>7401</v>
      </c>
    </row>
    <row r="1772" spans="1:18" x14ac:dyDescent="0.25">
      <c r="A1772" s="169">
        <v>44623</v>
      </c>
      <c r="B1772" s="115">
        <v>225.17</v>
      </c>
      <c r="C1772" s="115">
        <v>211.2</v>
      </c>
      <c r="D1772" s="115">
        <v>210.44</v>
      </c>
      <c r="E1772" s="115">
        <v>223.6</v>
      </c>
      <c r="F1772" s="115">
        <v>1056</v>
      </c>
      <c r="G1772">
        <v>2604</v>
      </c>
      <c r="H1772" s="115"/>
      <c r="I1772" s="115"/>
      <c r="L1772" s="169">
        <v>44614</v>
      </c>
      <c r="M1772" s="115">
        <v>207.68</v>
      </c>
      <c r="N1772" s="115">
        <v>214.4</v>
      </c>
      <c r="O1772" s="115">
        <v>205.22</v>
      </c>
      <c r="P1772" s="115">
        <v>205.22</v>
      </c>
      <c r="Q1772" s="115">
        <v>1038.4000000000001</v>
      </c>
      <c r="R1772">
        <v>68799</v>
      </c>
    </row>
    <row r="1773" spans="1:18" x14ac:dyDescent="0.25">
      <c r="A1773" s="169">
        <v>44624</v>
      </c>
      <c r="B1773" s="115">
        <v>217.07</v>
      </c>
      <c r="C1773" s="115">
        <v>211.54</v>
      </c>
      <c r="D1773" s="115">
        <v>207.2</v>
      </c>
      <c r="E1773" s="115">
        <v>210.8</v>
      </c>
      <c r="F1773" s="115">
        <v>1057.7</v>
      </c>
      <c r="G1773">
        <v>817</v>
      </c>
      <c r="H1773" s="115"/>
      <c r="I1773" s="115"/>
      <c r="L1773" s="169">
        <v>44615</v>
      </c>
      <c r="M1773" s="115">
        <v>206.14</v>
      </c>
      <c r="N1773" s="115">
        <v>217.8</v>
      </c>
      <c r="O1773" s="115">
        <v>205.11</v>
      </c>
      <c r="P1773" s="115">
        <v>217.8</v>
      </c>
      <c r="Q1773" s="115">
        <v>1030.7</v>
      </c>
      <c r="R1773">
        <v>12611</v>
      </c>
    </row>
    <row r="1774" spans="1:18" x14ac:dyDescent="0.25">
      <c r="A1774" s="169">
        <v>44627</v>
      </c>
      <c r="B1774" s="115">
        <v>231.98</v>
      </c>
      <c r="C1774" s="115">
        <v>228.93</v>
      </c>
      <c r="D1774" s="115">
        <v>204.57</v>
      </c>
      <c r="E1774" s="115">
        <v>219.5</v>
      </c>
      <c r="F1774" s="115">
        <v>1144.6500000000001</v>
      </c>
      <c r="G1774">
        <v>12739</v>
      </c>
      <c r="H1774" s="115"/>
      <c r="I1774" s="115"/>
      <c r="L1774" s="169">
        <v>44616</v>
      </c>
      <c r="M1774" s="115">
        <v>193.48</v>
      </c>
      <c r="N1774" s="115">
        <v>205.51</v>
      </c>
      <c r="O1774" s="115">
        <v>192</v>
      </c>
      <c r="P1774" s="115">
        <v>203</v>
      </c>
      <c r="Q1774" s="115">
        <v>967.4</v>
      </c>
      <c r="R1774">
        <v>76013</v>
      </c>
    </row>
    <row r="1775" spans="1:18" x14ac:dyDescent="0.25">
      <c r="A1775" s="169">
        <v>44628</v>
      </c>
      <c r="B1775" s="115">
        <v>230</v>
      </c>
      <c r="C1775" s="115">
        <v>220.51</v>
      </c>
      <c r="D1775" s="115">
        <v>217.47</v>
      </c>
      <c r="E1775" s="115">
        <v>228.93</v>
      </c>
      <c r="F1775" s="115">
        <v>1102.55</v>
      </c>
      <c r="G1775">
        <v>1926</v>
      </c>
      <c r="H1775" s="115"/>
      <c r="I1775" s="115"/>
      <c r="L1775" s="169">
        <v>44617</v>
      </c>
      <c r="M1775" s="115">
        <v>199.8</v>
      </c>
      <c r="N1775" s="115">
        <v>203.59</v>
      </c>
      <c r="O1775" s="115">
        <v>194</v>
      </c>
      <c r="P1775" s="115">
        <v>199.29</v>
      </c>
      <c r="Q1775" s="115">
        <v>999</v>
      </c>
      <c r="R1775">
        <v>72087</v>
      </c>
    </row>
    <row r="1776" spans="1:18" x14ac:dyDescent="0.25">
      <c r="A1776" s="169">
        <v>44629</v>
      </c>
      <c r="B1776" s="115">
        <v>224.3</v>
      </c>
      <c r="C1776" s="115">
        <v>220.81</v>
      </c>
      <c r="D1776" s="115">
        <v>218.6</v>
      </c>
      <c r="E1776" s="115">
        <v>224.2</v>
      </c>
      <c r="F1776" s="115">
        <v>1104.05</v>
      </c>
      <c r="G1776">
        <v>1207</v>
      </c>
      <c r="H1776" s="115"/>
      <c r="I1776" s="115"/>
      <c r="L1776" s="169">
        <v>44620</v>
      </c>
      <c r="M1776" s="115">
        <v>219.42</v>
      </c>
      <c r="N1776" s="115">
        <v>225.93</v>
      </c>
      <c r="O1776" s="115">
        <v>200.11</v>
      </c>
      <c r="P1776" s="115">
        <v>200.11</v>
      </c>
      <c r="Q1776" s="115">
        <v>1097.0999999999999</v>
      </c>
      <c r="R1776">
        <v>352028</v>
      </c>
    </row>
    <row r="1777" spans="1:18" x14ac:dyDescent="0.25">
      <c r="A1777" s="169">
        <v>44630</v>
      </c>
      <c r="B1777" s="115">
        <v>224.49</v>
      </c>
      <c r="C1777" s="115">
        <v>218.92</v>
      </c>
      <c r="D1777" s="115">
        <v>217.81</v>
      </c>
      <c r="E1777" s="115">
        <v>224.49</v>
      </c>
      <c r="F1777" s="115">
        <v>1094.5999999999999</v>
      </c>
      <c r="G1777">
        <v>2152</v>
      </c>
      <c r="H1777" s="115"/>
      <c r="I1777" s="115"/>
      <c r="L1777" s="169">
        <v>44622</v>
      </c>
      <c r="M1777" s="115">
        <v>220.85</v>
      </c>
      <c r="N1777" s="115">
        <v>225.13</v>
      </c>
      <c r="O1777" s="115">
        <v>214.46</v>
      </c>
      <c r="P1777" s="115">
        <v>217</v>
      </c>
      <c r="Q1777" s="115">
        <v>1104.25</v>
      </c>
      <c r="R1777">
        <v>56011</v>
      </c>
    </row>
    <row r="1778" spans="1:18" x14ac:dyDescent="0.25">
      <c r="A1778" s="169">
        <v>44631</v>
      </c>
      <c r="B1778" s="115">
        <v>226.63</v>
      </c>
      <c r="C1778" s="115">
        <v>224.14</v>
      </c>
      <c r="D1778" s="115">
        <v>217.57</v>
      </c>
      <c r="E1778" s="115">
        <v>218</v>
      </c>
      <c r="F1778" s="115">
        <v>1120.7</v>
      </c>
      <c r="G1778">
        <v>1554</v>
      </c>
      <c r="H1778" s="115"/>
      <c r="I1778" s="115"/>
      <c r="L1778" s="169">
        <v>44623</v>
      </c>
      <c r="M1778" s="115">
        <v>211.15</v>
      </c>
      <c r="N1778" s="115">
        <v>225</v>
      </c>
      <c r="O1778" s="115">
        <v>210.2</v>
      </c>
      <c r="P1778" s="115">
        <v>221.96</v>
      </c>
      <c r="Q1778" s="115">
        <v>1055.75</v>
      </c>
      <c r="R1778">
        <v>28490</v>
      </c>
    </row>
    <row r="1779" spans="1:18" x14ac:dyDescent="0.25">
      <c r="A1779" s="169">
        <v>44634</v>
      </c>
      <c r="B1779" s="115">
        <v>234.71</v>
      </c>
      <c r="C1779" s="115">
        <v>226.34</v>
      </c>
      <c r="D1779" s="115">
        <v>222.97</v>
      </c>
      <c r="E1779" s="115">
        <v>225.65</v>
      </c>
      <c r="F1779" s="115">
        <v>1131.7</v>
      </c>
      <c r="G1779">
        <v>2980</v>
      </c>
      <c r="H1779" s="115"/>
      <c r="I1779" s="115"/>
      <c r="L1779" s="169">
        <v>44624</v>
      </c>
      <c r="M1779" s="115">
        <v>210.76</v>
      </c>
      <c r="N1779" s="115">
        <v>217.6</v>
      </c>
      <c r="O1779" s="115">
        <v>207.2</v>
      </c>
      <c r="P1779" s="115">
        <v>210.8</v>
      </c>
      <c r="Q1779" s="115">
        <v>1053.8</v>
      </c>
      <c r="R1779">
        <v>15522</v>
      </c>
    </row>
    <row r="1780" spans="1:18" x14ac:dyDescent="0.25">
      <c r="A1780" s="169">
        <v>44635</v>
      </c>
      <c r="B1780" s="115">
        <v>231</v>
      </c>
      <c r="C1780" s="115">
        <v>229.32</v>
      </c>
      <c r="D1780" s="115">
        <v>222</v>
      </c>
      <c r="E1780" s="115">
        <v>228.27</v>
      </c>
      <c r="F1780" s="115">
        <v>1146.5999999999999</v>
      </c>
      <c r="G1780">
        <v>740</v>
      </c>
      <c r="H1780" s="115"/>
      <c r="I1780" s="115"/>
      <c r="L1780" s="169">
        <v>44627</v>
      </c>
      <c r="M1780" s="115">
        <v>229.36</v>
      </c>
      <c r="N1780" s="115">
        <v>232.24</v>
      </c>
      <c r="O1780" s="115">
        <v>206</v>
      </c>
      <c r="P1780" s="115">
        <v>210.6</v>
      </c>
      <c r="Q1780" s="115">
        <v>1146.8</v>
      </c>
      <c r="R1780">
        <v>220856</v>
      </c>
    </row>
    <row r="1781" spans="1:18" x14ac:dyDescent="0.25">
      <c r="A1781" s="169">
        <v>44636</v>
      </c>
      <c r="B1781" s="115">
        <v>234.13</v>
      </c>
      <c r="C1781" s="115">
        <v>227.02</v>
      </c>
      <c r="D1781" s="115">
        <v>225</v>
      </c>
      <c r="E1781" s="115">
        <v>229.32</v>
      </c>
      <c r="F1781" s="115">
        <v>1135.0999999999999</v>
      </c>
      <c r="G1781">
        <v>1093</v>
      </c>
      <c r="H1781" s="115"/>
      <c r="I1781" s="115"/>
      <c r="L1781" s="169">
        <v>44628</v>
      </c>
      <c r="M1781" s="115">
        <v>220.68</v>
      </c>
      <c r="N1781" s="115">
        <v>227.36</v>
      </c>
      <c r="O1781" s="115">
        <v>218.29</v>
      </c>
      <c r="P1781" s="115">
        <v>225.02</v>
      </c>
      <c r="Q1781" s="115">
        <v>1103.4000000000001</v>
      </c>
      <c r="R1781">
        <v>31246</v>
      </c>
    </row>
    <row r="1782" spans="1:18" x14ac:dyDescent="0.25">
      <c r="A1782" s="169">
        <v>44637</v>
      </c>
      <c r="B1782" s="115">
        <v>230.8</v>
      </c>
      <c r="C1782" s="115">
        <v>230.22</v>
      </c>
      <c r="D1782" s="115">
        <v>226.5</v>
      </c>
      <c r="E1782" s="115">
        <v>229.34</v>
      </c>
      <c r="F1782" s="115">
        <v>1151.0999999999999</v>
      </c>
      <c r="G1782">
        <v>441</v>
      </c>
      <c r="H1782" s="115"/>
      <c r="I1782" s="115"/>
      <c r="L1782" s="169">
        <v>44629</v>
      </c>
      <c r="M1782" s="115">
        <v>219.38</v>
      </c>
      <c r="N1782" s="115">
        <v>225.23</v>
      </c>
      <c r="O1782" s="115">
        <v>218.26</v>
      </c>
      <c r="P1782" s="115">
        <v>222.8</v>
      </c>
      <c r="Q1782" s="115">
        <v>1096.9000000000001</v>
      </c>
      <c r="R1782">
        <v>46411</v>
      </c>
    </row>
    <row r="1783" spans="1:18" x14ac:dyDescent="0.25">
      <c r="A1783" s="169">
        <v>44641</v>
      </c>
      <c r="B1783" s="115">
        <v>233.6</v>
      </c>
      <c r="C1783" s="115">
        <v>232.46</v>
      </c>
      <c r="D1783" s="115">
        <v>229.5</v>
      </c>
      <c r="E1783" s="115">
        <v>229.5</v>
      </c>
      <c r="F1783" s="115">
        <v>1162.3</v>
      </c>
      <c r="G1783">
        <v>897</v>
      </c>
      <c r="H1783" s="115"/>
      <c r="I1783" s="115"/>
      <c r="L1783" s="169">
        <v>44630</v>
      </c>
      <c r="M1783" s="115">
        <v>218.69</v>
      </c>
      <c r="N1783" s="115">
        <v>227</v>
      </c>
      <c r="O1783" s="115">
        <v>217.6</v>
      </c>
      <c r="P1783" s="115">
        <v>227</v>
      </c>
      <c r="Q1783" s="115">
        <v>1093.45</v>
      </c>
      <c r="R1783">
        <v>24348</v>
      </c>
    </row>
    <row r="1784" spans="1:18" x14ac:dyDescent="0.25">
      <c r="A1784" s="169">
        <v>44642</v>
      </c>
      <c r="B1784" s="115">
        <v>261.58999999999997</v>
      </c>
      <c r="C1784" s="115">
        <v>247.69</v>
      </c>
      <c r="D1784" s="115">
        <v>234</v>
      </c>
      <c r="E1784" s="115">
        <v>234.35</v>
      </c>
      <c r="F1784" s="115">
        <v>1238.45</v>
      </c>
      <c r="G1784">
        <v>22854</v>
      </c>
      <c r="H1784" s="115"/>
      <c r="I1784" s="115"/>
      <c r="L1784" s="169">
        <v>44631</v>
      </c>
      <c r="M1784" s="115">
        <v>224.26</v>
      </c>
      <c r="N1784" s="115">
        <v>226.9</v>
      </c>
      <c r="O1784" s="115">
        <v>217.09</v>
      </c>
      <c r="P1784" s="115">
        <v>219.4</v>
      </c>
      <c r="Q1784" s="115">
        <v>1121.3</v>
      </c>
      <c r="R1784">
        <v>21999</v>
      </c>
    </row>
    <row r="1785" spans="1:18" x14ac:dyDescent="0.25">
      <c r="A1785" s="169">
        <v>44643</v>
      </c>
      <c r="B1785" s="115">
        <v>249.8</v>
      </c>
      <c r="C1785" s="115">
        <v>247.17</v>
      </c>
      <c r="D1785" s="115">
        <v>242</v>
      </c>
      <c r="E1785" s="115">
        <v>246.05</v>
      </c>
      <c r="F1785" s="115">
        <v>1235.8499999999999</v>
      </c>
      <c r="G1785">
        <v>5780</v>
      </c>
      <c r="H1785" s="115"/>
      <c r="I1785" s="115"/>
      <c r="L1785" s="169">
        <v>44634</v>
      </c>
      <c r="M1785" s="115">
        <v>227.4</v>
      </c>
      <c r="N1785" s="115">
        <v>234.67</v>
      </c>
      <c r="O1785" s="115">
        <v>223</v>
      </c>
      <c r="P1785" s="115">
        <v>225.39</v>
      </c>
      <c r="Q1785" s="115">
        <v>1137</v>
      </c>
      <c r="R1785">
        <v>36059</v>
      </c>
    </row>
    <row r="1786" spans="1:18" x14ac:dyDescent="0.25">
      <c r="A1786" s="169">
        <v>44644</v>
      </c>
      <c r="B1786" s="115">
        <v>252</v>
      </c>
      <c r="C1786" s="115">
        <v>249.56</v>
      </c>
      <c r="D1786" s="115">
        <v>243.66</v>
      </c>
      <c r="E1786" s="115">
        <v>246.92</v>
      </c>
      <c r="F1786" s="115">
        <v>1247.8</v>
      </c>
      <c r="G1786">
        <v>3347</v>
      </c>
      <c r="H1786" s="115"/>
      <c r="I1786" s="115"/>
      <c r="L1786" s="169">
        <v>44635</v>
      </c>
      <c r="M1786" s="115">
        <v>228.61</v>
      </c>
      <c r="N1786" s="115">
        <v>231.72</v>
      </c>
      <c r="O1786" s="115">
        <v>222</v>
      </c>
      <c r="P1786" s="115">
        <v>228.54</v>
      </c>
      <c r="Q1786" s="115">
        <v>1143.05</v>
      </c>
      <c r="R1786">
        <v>66025</v>
      </c>
    </row>
    <row r="1787" spans="1:18" x14ac:dyDescent="0.25">
      <c r="A1787" s="169">
        <v>44645</v>
      </c>
      <c r="B1787" s="115">
        <v>250.22</v>
      </c>
      <c r="C1787" s="115">
        <v>244</v>
      </c>
      <c r="D1787" s="115">
        <v>241.55</v>
      </c>
      <c r="E1787" s="115">
        <v>249.82</v>
      </c>
      <c r="F1787" s="115">
        <v>1220</v>
      </c>
      <c r="G1787">
        <v>2433</v>
      </c>
      <c r="H1787" s="115"/>
      <c r="I1787" s="115"/>
      <c r="L1787" s="169">
        <v>44636</v>
      </c>
      <c r="M1787" s="115">
        <v>226.69</v>
      </c>
      <c r="N1787" s="115">
        <v>233</v>
      </c>
      <c r="O1787" s="115">
        <v>224.61</v>
      </c>
      <c r="P1787" s="115">
        <v>232</v>
      </c>
      <c r="Q1787" s="115">
        <v>1133.45</v>
      </c>
      <c r="R1787">
        <v>19084</v>
      </c>
    </row>
    <row r="1788" spans="1:18" x14ac:dyDescent="0.25">
      <c r="A1788" s="169">
        <v>44648</v>
      </c>
      <c r="B1788" s="115">
        <v>247.51</v>
      </c>
      <c r="C1788" s="115">
        <v>246.12</v>
      </c>
      <c r="D1788" s="115">
        <v>239.7</v>
      </c>
      <c r="E1788" s="115">
        <v>246.35</v>
      </c>
      <c r="F1788" s="115">
        <v>1230.5999999999999</v>
      </c>
      <c r="G1788">
        <v>1163</v>
      </c>
      <c r="H1788" s="115"/>
      <c r="I1788" s="115"/>
      <c r="L1788" s="169">
        <v>44637</v>
      </c>
      <c r="M1788" s="115">
        <v>229.93</v>
      </c>
      <c r="N1788" s="115">
        <v>231.28</v>
      </c>
      <c r="O1788" s="115">
        <v>226.4</v>
      </c>
      <c r="P1788" s="115">
        <v>230</v>
      </c>
      <c r="Q1788" s="115">
        <v>1149.6500000000001</v>
      </c>
      <c r="R1788">
        <v>19686</v>
      </c>
    </row>
    <row r="1789" spans="1:18" x14ac:dyDescent="0.25">
      <c r="A1789" s="169">
        <v>44649</v>
      </c>
      <c r="B1789" s="115">
        <v>250.51</v>
      </c>
      <c r="C1789" s="115">
        <v>248.44</v>
      </c>
      <c r="D1789" s="115">
        <v>243.76</v>
      </c>
      <c r="E1789" s="115">
        <v>250</v>
      </c>
      <c r="F1789" s="115">
        <v>1242.2</v>
      </c>
      <c r="G1789">
        <v>7618</v>
      </c>
      <c r="H1789" s="115"/>
      <c r="I1789" s="115"/>
      <c r="L1789" s="169">
        <v>44641</v>
      </c>
      <c r="M1789" s="115">
        <v>232.84</v>
      </c>
      <c r="N1789" s="115">
        <v>234</v>
      </c>
      <c r="O1789" s="115">
        <v>229.75</v>
      </c>
      <c r="P1789" s="115">
        <v>234</v>
      </c>
      <c r="Q1789" s="115">
        <v>1164.2</v>
      </c>
      <c r="R1789">
        <v>22095</v>
      </c>
    </row>
    <row r="1790" spans="1:18" x14ac:dyDescent="0.25">
      <c r="A1790" s="169">
        <v>44650</v>
      </c>
      <c r="B1790" s="115">
        <v>264</v>
      </c>
      <c r="C1790" s="115">
        <v>255.92</v>
      </c>
      <c r="D1790" s="115">
        <v>246.9</v>
      </c>
      <c r="E1790" s="115">
        <v>246.9</v>
      </c>
      <c r="F1790" s="115">
        <v>1279.5999999999999</v>
      </c>
      <c r="G1790">
        <v>1102</v>
      </c>
      <c r="H1790" s="115"/>
      <c r="I1790" s="115"/>
      <c r="L1790" s="169">
        <v>44642</v>
      </c>
      <c r="M1790" s="115">
        <v>247.54</v>
      </c>
      <c r="N1790" s="115">
        <v>261.8</v>
      </c>
      <c r="O1790" s="115">
        <v>236.12</v>
      </c>
      <c r="P1790" s="115">
        <v>238.8</v>
      </c>
      <c r="Q1790" s="115">
        <v>1237.7</v>
      </c>
      <c r="R1790">
        <v>597232</v>
      </c>
    </row>
    <row r="1791" spans="1:18" x14ac:dyDescent="0.25">
      <c r="A1791" s="169">
        <v>44651</v>
      </c>
      <c r="B1791" s="115">
        <v>265.01</v>
      </c>
      <c r="C1791" s="115">
        <v>262.92</v>
      </c>
      <c r="D1791" s="115">
        <v>254.42</v>
      </c>
      <c r="E1791" s="115">
        <v>260.77999999999997</v>
      </c>
      <c r="F1791" s="115">
        <v>1314.6</v>
      </c>
      <c r="G1791">
        <v>5284</v>
      </c>
      <c r="H1791" s="115"/>
      <c r="I1791" s="115"/>
      <c r="L1791" s="169">
        <v>44643</v>
      </c>
      <c r="M1791" s="115">
        <v>247.12</v>
      </c>
      <c r="N1791" s="115">
        <v>251.97</v>
      </c>
      <c r="O1791" s="115">
        <v>242.4</v>
      </c>
      <c r="P1791" s="115">
        <v>248.8</v>
      </c>
      <c r="Q1791" s="115">
        <v>1235.5999999999999</v>
      </c>
      <c r="R1791">
        <v>59739</v>
      </c>
    </row>
    <row r="1792" spans="1:18" x14ac:dyDescent="0.25">
      <c r="A1792" s="169">
        <v>44652</v>
      </c>
      <c r="B1792" s="115">
        <v>271.60000000000002</v>
      </c>
      <c r="C1792" s="115">
        <v>263.57</v>
      </c>
      <c r="D1792" s="115">
        <v>261.14999999999998</v>
      </c>
      <c r="E1792" s="115">
        <v>267.2</v>
      </c>
      <c r="F1792" s="115">
        <v>1317.85</v>
      </c>
      <c r="G1792">
        <v>1159</v>
      </c>
      <c r="H1792" s="115"/>
      <c r="I1792" s="115"/>
      <c r="L1792" s="169">
        <v>44644</v>
      </c>
      <c r="M1792" s="115">
        <v>249.96</v>
      </c>
      <c r="N1792" s="115">
        <v>251.8</v>
      </c>
      <c r="O1792" s="115">
        <v>243.4</v>
      </c>
      <c r="P1792" s="115">
        <v>249.8</v>
      </c>
      <c r="Q1792" s="115">
        <v>1249.8</v>
      </c>
      <c r="R1792">
        <v>38801</v>
      </c>
    </row>
    <row r="1793" spans="1:18" x14ac:dyDescent="0.25">
      <c r="A1793" s="169">
        <v>44655</v>
      </c>
      <c r="B1793" s="115">
        <v>269.95999999999998</v>
      </c>
      <c r="C1793" s="115">
        <v>263.32</v>
      </c>
      <c r="D1793" s="115">
        <v>260.95999999999998</v>
      </c>
      <c r="E1793" s="115">
        <v>263.60000000000002</v>
      </c>
      <c r="F1793" s="115">
        <v>1316.6</v>
      </c>
      <c r="G1793">
        <v>1305</v>
      </c>
      <c r="H1793" s="115"/>
      <c r="I1793" s="115"/>
      <c r="L1793" s="169">
        <v>44645</v>
      </c>
      <c r="M1793" s="115">
        <v>244.33</v>
      </c>
      <c r="N1793" s="115">
        <v>251.6</v>
      </c>
      <c r="O1793" s="115">
        <v>242</v>
      </c>
      <c r="P1793" s="115">
        <v>251.6</v>
      </c>
      <c r="Q1793" s="115">
        <v>1221.6500000000001</v>
      </c>
      <c r="R1793">
        <v>32117</v>
      </c>
    </row>
    <row r="1794" spans="1:18" x14ac:dyDescent="0.25">
      <c r="A1794" s="169">
        <v>44656</v>
      </c>
      <c r="B1794" s="115">
        <v>266.69</v>
      </c>
      <c r="C1794" s="115">
        <v>264.37</v>
      </c>
      <c r="D1794" s="115">
        <v>261.68</v>
      </c>
      <c r="E1794" s="115">
        <v>264.06</v>
      </c>
      <c r="F1794" s="115">
        <v>1321.85</v>
      </c>
      <c r="G1794">
        <v>2155</v>
      </c>
      <c r="H1794" s="115"/>
      <c r="I1794" s="115"/>
      <c r="L1794" s="169">
        <v>44648</v>
      </c>
      <c r="M1794" s="115">
        <v>245.69</v>
      </c>
      <c r="N1794" s="115">
        <v>247.7</v>
      </c>
      <c r="O1794" s="115">
        <v>240.03</v>
      </c>
      <c r="P1794" s="115">
        <v>245.56</v>
      </c>
      <c r="Q1794" s="115">
        <v>1228.45</v>
      </c>
      <c r="R1794">
        <v>37413</v>
      </c>
    </row>
    <row r="1795" spans="1:18" x14ac:dyDescent="0.25">
      <c r="A1795" s="169">
        <v>44657</v>
      </c>
      <c r="B1795" s="115">
        <v>267.52999999999997</v>
      </c>
      <c r="C1795" s="115">
        <v>264.27</v>
      </c>
      <c r="D1795" s="115">
        <v>264</v>
      </c>
      <c r="E1795" s="115">
        <v>264.38</v>
      </c>
      <c r="F1795" s="115">
        <v>1321.35</v>
      </c>
      <c r="G1795">
        <v>994</v>
      </c>
      <c r="H1795" s="115"/>
      <c r="I1795" s="115"/>
      <c r="L1795" s="169">
        <v>44649</v>
      </c>
      <c r="M1795" s="115">
        <v>248.64</v>
      </c>
      <c r="N1795" s="115">
        <v>250.64</v>
      </c>
      <c r="O1795" s="115">
        <v>243.59</v>
      </c>
      <c r="P1795" s="115">
        <v>246.92</v>
      </c>
      <c r="Q1795" s="115">
        <v>1243.2</v>
      </c>
      <c r="R1795">
        <v>28844</v>
      </c>
    </row>
    <row r="1796" spans="1:18" x14ac:dyDescent="0.25">
      <c r="A1796" s="169">
        <v>44658</v>
      </c>
      <c r="B1796" s="115">
        <v>267.45999999999998</v>
      </c>
      <c r="C1796" s="115">
        <v>265</v>
      </c>
      <c r="D1796" s="115">
        <v>264</v>
      </c>
      <c r="E1796" s="115">
        <v>266.29000000000002</v>
      </c>
      <c r="F1796" s="115">
        <v>1325</v>
      </c>
      <c r="G1796">
        <v>3883</v>
      </c>
      <c r="H1796" s="115"/>
      <c r="I1796" s="115"/>
      <c r="L1796" s="169">
        <v>44650</v>
      </c>
      <c r="M1796" s="115">
        <v>257.20999999999998</v>
      </c>
      <c r="N1796" s="115">
        <v>263.60000000000002</v>
      </c>
      <c r="O1796" s="115">
        <v>246.61</v>
      </c>
      <c r="P1796" s="115">
        <v>250.64</v>
      </c>
      <c r="Q1796" s="115">
        <v>1286.05</v>
      </c>
      <c r="R1796">
        <v>58610</v>
      </c>
    </row>
    <row r="1797" spans="1:18" x14ac:dyDescent="0.25">
      <c r="A1797" s="169">
        <v>44659</v>
      </c>
      <c r="B1797" s="115">
        <v>266.76</v>
      </c>
      <c r="C1797" s="115">
        <v>264.55</v>
      </c>
      <c r="D1797" s="115">
        <v>262</v>
      </c>
      <c r="E1797" s="115">
        <v>263.92</v>
      </c>
      <c r="F1797" s="115">
        <v>1322.75</v>
      </c>
      <c r="G1797">
        <v>1154</v>
      </c>
      <c r="H1797" s="115"/>
      <c r="I1797" s="115"/>
      <c r="L1797" s="169">
        <v>44651</v>
      </c>
      <c r="M1797" s="115">
        <v>263.89</v>
      </c>
      <c r="N1797" s="115">
        <v>266.14999999999998</v>
      </c>
      <c r="O1797" s="115">
        <v>254</v>
      </c>
      <c r="P1797" s="115">
        <v>258.39999999999998</v>
      </c>
      <c r="Q1797" s="115">
        <v>1319.45</v>
      </c>
      <c r="R1797">
        <v>44926</v>
      </c>
    </row>
    <row r="1798" spans="1:18" x14ac:dyDescent="0.25">
      <c r="A1798" s="169">
        <v>44662</v>
      </c>
      <c r="B1798" s="115">
        <v>268.83</v>
      </c>
      <c r="C1798" s="115">
        <v>263.43</v>
      </c>
      <c r="D1798" s="115">
        <v>260.70999999999998</v>
      </c>
      <c r="E1798" s="115">
        <v>268.60000000000002</v>
      </c>
      <c r="F1798" s="115">
        <v>1317.15</v>
      </c>
      <c r="G1798">
        <v>1837</v>
      </c>
      <c r="H1798" s="115"/>
      <c r="I1798" s="115"/>
      <c r="L1798" s="169">
        <v>44652</v>
      </c>
      <c r="M1798" s="115">
        <v>264.32</v>
      </c>
      <c r="N1798" s="115">
        <v>272.39999999999998</v>
      </c>
      <c r="O1798" s="115">
        <v>260.79000000000002</v>
      </c>
      <c r="P1798" s="115">
        <v>268</v>
      </c>
      <c r="Q1798" s="115">
        <v>1321.6</v>
      </c>
      <c r="R1798">
        <v>32806</v>
      </c>
    </row>
    <row r="1799" spans="1:18" x14ac:dyDescent="0.25">
      <c r="A1799" s="169">
        <v>44663</v>
      </c>
      <c r="B1799" s="115">
        <v>267.39999999999998</v>
      </c>
      <c r="C1799" s="115">
        <v>261.20999999999998</v>
      </c>
      <c r="D1799" s="115">
        <v>259.08</v>
      </c>
      <c r="E1799" s="115">
        <v>263.02</v>
      </c>
      <c r="F1799" s="115">
        <v>1306.05</v>
      </c>
      <c r="G1799">
        <v>1589</v>
      </c>
      <c r="H1799" s="115"/>
      <c r="I1799" s="115"/>
      <c r="L1799" s="169">
        <v>44655</v>
      </c>
      <c r="M1799" s="115">
        <v>262.23</v>
      </c>
      <c r="N1799" s="115">
        <v>271.42</v>
      </c>
      <c r="O1799" s="115">
        <v>257.5</v>
      </c>
      <c r="P1799" s="115">
        <v>267.56</v>
      </c>
      <c r="Q1799" s="115">
        <v>1311.15</v>
      </c>
      <c r="R1799">
        <v>26478</v>
      </c>
    </row>
    <row r="1800" spans="1:18" x14ac:dyDescent="0.25">
      <c r="A1800" s="169">
        <v>44664</v>
      </c>
      <c r="B1800" s="115">
        <v>273.54000000000002</v>
      </c>
      <c r="C1800" s="115">
        <v>264.58</v>
      </c>
      <c r="D1800" s="115">
        <v>262.95999999999998</v>
      </c>
      <c r="E1800" s="115">
        <v>264.48</v>
      </c>
      <c r="F1800" s="115">
        <v>1322.9</v>
      </c>
      <c r="G1800">
        <v>2020</v>
      </c>
      <c r="H1800" s="115"/>
      <c r="I1800" s="115"/>
      <c r="L1800" s="169">
        <v>44656</v>
      </c>
      <c r="M1800" s="115">
        <v>264.43</v>
      </c>
      <c r="N1800" s="115">
        <v>266.79000000000002</v>
      </c>
      <c r="O1800" s="115">
        <v>262</v>
      </c>
      <c r="P1800" s="115">
        <v>265.75</v>
      </c>
      <c r="Q1800" s="115">
        <v>1322.15</v>
      </c>
      <c r="R1800">
        <v>30430</v>
      </c>
    </row>
    <row r="1801" spans="1:18" x14ac:dyDescent="0.25">
      <c r="A1801" s="169">
        <v>44669</v>
      </c>
      <c r="B1801" s="115">
        <v>266.82</v>
      </c>
      <c r="C1801" s="115">
        <v>265.64999999999998</v>
      </c>
      <c r="D1801" s="115">
        <v>264.11</v>
      </c>
      <c r="E1801" s="115">
        <v>266.60000000000002</v>
      </c>
      <c r="F1801" s="115">
        <v>1328.25</v>
      </c>
      <c r="G1801">
        <v>513</v>
      </c>
      <c r="H1801" s="115"/>
      <c r="I1801" s="115"/>
      <c r="L1801" s="169">
        <v>44657</v>
      </c>
      <c r="M1801" s="115">
        <v>265.16000000000003</v>
      </c>
      <c r="N1801" s="115">
        <v>267.42</v>
      </c>
      <c r="O1801" s="115">
        <v>263.26</v>
      </c>
      <c r="P1801" s="115">
        <v>265.76</v>
      </c>
      <c r="Q1801" s="115">
        <v>1325.8</v>
      </c>
      <c r="R1801">
        <v>19615</v>
      </c>
    </row>
    <row r="1802" spans="1:18" x14ac:dyDescent="0.25">
      <c r="A1802" s="169">
        <v>44670</v>
      </c>
      <c r="B1802" s="115">
        <v>267.81</v>
      </c>
      <c r="C1802" s="115">
        <v>264.64</v>
      </c>
      <c r="D1802" s="115">
        <v>262</v>
      </c>
      <c r="E1802" s="115">
        <v>266.41000000000003</v>
      </c>
      <c r="F1802" s="115">
        <v>1323.2</v>
      </c>
      <c r="G1802">
        <v>1614</v>
      </c>
      <c r="H1802" s="115"/>
      <c r="I1802" s="115"/>
      <c r="L1802" s="169">
        <v>44658</v>
      </c>
      <c r="M1802" s="115">
        <v>264.83999999999997</v>
      </c>
      <c r="N1802" s="115">
        <v>272</v>
      </c>
      <c r="O1802" s="115">
        <v>263.58999999999997</v>
      </c>
      <c r="P1802" s="115">
        <v>264.39999999999998</v>
      </c>
      <c r="Q1802" s="115">
        <v>1324.2</v>
      </c>
      <c r="R1802">
        <v>14851</v>
      </c>
    </row>
    <row r="1803" spans="1:18" x14ac:dyDescent="0.25">
      <c r="A1803" s="169">
        <v>44671</v>
      </c>
      <c r="B1803" s="115">
        <v>277.89999999999998</v>
      </c>
      <c r="C1803" s="115">
        <v>276.17</v>
      </c>
      <c r="D1803" s="115">
        <v>264.13</v>
      </c>
      <c r="E1803" s="115">
        <v>264.13</v>
      </c>
      <c r="F1803" s="115">
        <v>1380.85</v>
      </c>
      <c r="G1803">
        <v>5443</v>
      </c>
      <c r="H1803" s="115"/>
      <c r="I1803" s="115"/>
      <c r="L1803" s="169">
        <v>44659</v>
      </c>
      <c r="M1803" s="115">
        <v>264.43</v>
      </c>
      <c r="N1803" s="115">
        <v>266.99</v>
      </c>
      <c r="O1803" s="115">
        <v>262.19</v>
      </c>
      <c r="P1803" s="115">
        <v>262.19</v>
      </c>
      <c r="Q1803" s="115">
        <v>1322.15</v>
      </c>
      <c r="R1803">
        <v>9742</v>
      </c>
    </row>
    <row r="1804" spans="1:18" x14ac:dyDescent="0.25">
      <c r="A1804" s="169">
        <v>44672</v>
      </c>
      <c r="B1804" s="115">
        <v>283.02</v>
      </c>
      <c r="C1804" s="115">
        <v>274.89999999999998</v>
      </c>
      <c r="D1804" s="115">
        <v>273.25</v>
      </c>
      <c r="E1804" s="115">
        <v>281.60000000000002</v>
      </c>
      <c r="F1804" s="115">
        <v>1374.5</v>
      </c>
      <c r="G1804">
        <v>5388</v>
      </c>
      <c r="H1804" s="115"/>
      <c r="I1804" s="115"/>
      <c r="L1804" s="169">
        <v>44662</v>
      </c>
      <c r="M1804" s="115">
        <v>262.67</v>
      </c>
      <c r="N1804" s="115">
        <v>269</v>
      </c>
      <c r="O1804" s="115">
        <v>261</v>
      </c>
      <c r="P1804" s="115">
        <v>268.74</v>
      </c>
      <c r="Q1804" s="115">
        <v>1313.35</v>
      </c>
      <c r="R1804">
        <v>14703</v>
      </c>
    </row>
    <row r="1805" spans="1:18" x14ac:dyDescent="0.25">
      <c r="A1805" s="169">
        <v>44673</v>
      </c>
      <c r="B1805" s="115">
        <v>278.83999999999997</v>
      </c>
      <c r="C1805" s="115">
        <v>272.52999999999997</v>
      </c>
      <c r="D1805" s="115">
        <v>270.42</v>
      </c>
      <c r="E1805" s="115">
        <v>274</v>
      </c>
      <c r="F1805" s="115">
        <v>1362.65</v>
      </c>
      <c r="G1805">
        <v>2787</v>
      </c>
      <c r="H1805" s="115"/>
      <c r="I1805" s="115"/>
      <c r="L1805" s="169">
        <v>44663</v>
      </c>
      <c r="M1805" s="115">
        <v>261.23</v>
      </c>
      <c r="N1805" s="115">
        <v>267.8</v>
      </c>
      <c r="O1805" s="115">
        <v>258</v>
      </c>
      <c r="P1805" s="115">
        <v>264</v>
      </c>
      <c r="Q1805" s="115">
        <v>1306.1500000000001</v>
      </c>
      <c r="R1805">
        <v>15112</v>
      </c>
    </row>
    <row r="1806" spans="1:18" x14ac:dyDescent="0.25">
      <c r="A1806" s="169">
        <v>44676</v>
      </c>
      <c r="B1806" s="115">
        <v>279.06</v>
      </c>
      <c r="C1806" s="115">
        <v>264.10000000000002</v>
      </c>
      <c r="D1806" s="115">
        <v>263</v>
      </c>
      <c r="E1806" s="115">
        <v>276.69</v>
      </c>
      <c r="F1806" s="115">
        <v>1320.5</v>
      </c>
      <c r="G1806">
        <v>3009</v>
      </c>
      <c r="H1806" s="115"/>
      <c r="I1806" s="115"/>
      <c r="L1806" s="169">
        <v>44664</v>
      </c>
      <c r="M1806" s="115">
        <v>266.48</v>
      </c>
      <c r="N1806" s="115">
        <v>273.99</v>
      </c>
      <c r="O1806" s="115">
        <v>262</v>
      </c>
      <c r="P1806" s="115">
        <v>263.10000000000002</v>
      </c>
      <c r="Q1806" s="115">
        <v>1332.4</v>
      </c>
      <c r="R1806">
        <v>47393</v>
      </c>
    </row>
    <row r="1807" spans="1:18" x14ac:dyDescent="0.25">
      <c r="A1807" s="169">
        <v>44677</v>
      </c>
      <c r="B1807" s="115">
        <v>268.2</v>
      </c>
      <c r="C1807" s="115">
        <v>266.11</v>
      </c>
      <c r="D1807" s="115">
        <v>262.35000000000002</v>
      </c>
      <c r="E1807" s="115">
        <v>266.26</v>
      </c>
      <c r="F1807" s="115">
        <v>1330.55</v>
      </c>
      <c r="G1807">
        <v>1928</v>
      </c>
      <c r="H1807" s="115"/>
      <c r="I1807" s="115"/>
      <c r="L1807" s="169">
        <v>44669</v>
      </c>
      <c r="M1807" s="115">
        <v>265.33999999999997</v>
      </c>
      <c r="N1807" s="115">
        <v>266.52</v>
      </c>
      <c r="O1807" s="115">
        <v>264.2</v>
      </c>
      <c r="P1807" s="115">
        <v>266.33999999999997</v>
      </c>
      <c r="Q1807" s="115">
        <v>1326.7</v>
      </c>
      <c r="R1807">
        <v>9107</v>
      </c>
    </row>
    <row r="1808" spans="1:18" x14ac:dyDescent="0.25">
      <c r="A1808" s="169">
        <v>44678</v>
      </c>
      <c r="B1808" s="115">
        <v>268.8</v>
      </c>
      <c r="C1808" s="115">
        <v>265.45999999999998</v>
      </c>
      <c r="D1808" s="115">
        <v>262.95</v>
      </c>
      <c r="E1808" s="115">
        <v>268.8</v>
      </c>
      <c r="F1808" s="115">
        <v>1327.3</v>
      </c>
      <c r="G1808">
        <v>1374</v>
      </c>
      <c r="H1808" s="115"/>
      <c r="I1808" s="115"/>
      <c r="L1808" s="169">
        <v>44670</v>
      </c>
      <c r="M1808" s="115">
        <v>264.33</v>
      </c>
      <c r="N1808" s="115">
        <v>269.38</v>
      </c>
      <c r="O1808" s="115">
        <v>261.20999999999998</v>
      </c>
      <c r="P1808" s="115">
        <v>269.38</v>
      </c>
      <c r="Q1808" s="115">
        <v>1321.65</v>
      </c>
      <c r="R1808">
        <v>13422</v>
      </c>
    </row>
    <row r="1809" spans="1:18" x14ac:dyDescent="0.25">
      <c r="A1809" s="169">
        <v>44679</v>
      </c>
      <c r="B1809" s="115">
        <v>274.25</v>
      </c>
      <c r="C1809" s="115">
        <v>261.83</v>
      </c>
      <c r="D1809" s="115">
        <v>259.49</v>
      </c>
      <c r="E1809" s="115">
        <v>265.89</v>
      </c>
      <c r="F1809" s="115">
        <v>1309.1500000000001</v>
      </c>
      <c r="G1809">
        <v>2710</v>
      </c>
      <c r="H1809" s="115"/>
      <c r="I1809" s="115"/>
      <c r="L1809" s="169">
        <v>44671</v>
      </c>
      <c r="M1809" s="115">
        <v>276.57</v>
      </c>
      <c r="N1809" s="115">
        <v>278.23</v>
      </c>
      <c r="O1809" s="115">
        <v>263.63</v>
      </c>
      <c r="P1809" s="115">
        <v>266.2</v>
      </c>
      <c r="Q1809" s="115">
        <v>1382.85</v>
      </c>
      <c r="R1809">
        <v>75962</v>
      </c>
    </row>
    <row r="1810" spans="1:18" x14ac:dyDescent="0.25">
      <c r="A1810" s="169">
        <v>44680</v>
      </c>
      <c r="B1810" s="115">
        <v>271.45999999999998</v>
      </c>
      <c r="C1810" s="115">
        <v>264.79000000000002</v>
      </c>
      <c r="D1810" s="115">
        <v>261.8</v>
      </c>
      <c r="E1810" s="115">
        <v>266.58999999999997</v>
      </c>
      <c r="F1810" s="115">
        <v>1323.95</v>
      </c>
      <c r="G1810">
        <v>1847</v>
      </c>
      <c r="H1810" s="115"/>
      <c r="I1810" s="115"/>
      <c r="L1810" s="169">
        <v>44672</v>
      </c>
      <c r="M1810" s="115">
        <v>274.19</v>
      </c>
      <c r="N1810" s="115">
        <v>282.98</v>
      </c>
      <c r="O1810" s="115">
        <v>273.11</v>
      </c>
      <c r="P1810" s="115">
        <v>282.8</v>
      </c>
      <c r="Q1810" s="115">
        <v>1370.95</v>
      </c>
      <c r="R1810">
        <v>64154</v>
      </c>
    </row>
    <row r="1811" spans="1:18" x14ac:dyDescent="0.25">
      <c r="A1811" s="169">
        <v>44683</v>
      </c>
      <c r="B1811" s="115">
        <v>269.66000000000003</v>
      </c>
      <c r="C1811" s="115">
        <v>263.48</v>
      </c>
      <c r="D1811" s="115">
        <v>261.94</v>
      </c>
      <c r="E1811" s="115">
        <v>266.64</v>
      </c>
      <c r="F1811" s="115">
        <v>1317.4</v>
      </c>
      <c r="G1811">
        <v>1252</v>
      </c>
      <c r="H1811" s="115"/>
      <c r="I1811" s="115"/>
      <c r="L1811" s="169">
        <v>44673</v>
      </c>
      <c r="M1811" s="115">
        <v>272.86</v>
      </c>
      <c r="N1811" s="115">
        <v>278.8</v>
      </c>
      <c r="O1811" s="115">
        <v>270.2</v>
      </c>
      <c r="P1811" s="115">
        <v>275.73</v>
      </c>
      <c r="Q1811" s="115">
        <v>1364.3</v>
      </c>
      <c r="R1811">
        <v>22846</v>
      </c>
    </row>
    <row r="1812" spans="1:18" x14ac:dyDescent="0.25">
      <c r="A1812" s="169">
        <v>44685</v>
      </c>
      <c r="B1812" s="115">
        <v>280.76</v>
      </c>
      <c r="C1812" s="115">
        <v>266.73</v>
      </c>
      <c r="D1812" s="115">
        <v>257</v>
      </c>
      <c r="E1812" s="115">
        <v>280.76</v>
      </c>
      <c r="F1812" s="115">
        <v>1333.65</v>
      </c>
      <c r="G1812">
        <v>2063</v>
      </c>
      <c r="H1812" s="115"/>
      <c r="I1812" s="115"/>
      <c r="L1812" s="169">
        <v>44676</v>
      </c>
      <c r="M1812" s="115">
        <v>263.73</v>
      </c>
      <c r="N1812" s="115">
        <v>279.75</v>
      </c>
      <c r="O1812" s="115">
        <v>262.88</v>
      </c>
      <c r="P1812" s="115">
        <v>277.88</v>
      </c>
      <c r="Q1812" s="115">
        <v>1318.65</v>
      </c>
      <c r="R1812">
        <v>26946</v>
      </c>
    </row>
    <row r="1813" spans="1:18" x14ac:dyDescent="0.25">
      <c r="A1813" s="169">
        <v>44686</v>
      </c>
      <c r="B1813" s="115">
        <v>269.02</v>
      </c>
      <c r="C1813" s="115">
        <v>261.85000000000002</v>
      </c>
      <c r="D1813" s="115">
        <v>260.06</v>
      </c>
      <c r="E1813" s="115">
        <v>266.82</v>
      </c>
      <c r="F1813" s="115">
        <v>1309.25</v>
      </c>
      <c r="G1813">
        <v>1432</v>
      </c>
      <c r="H1813" s="115"/>
      <c r="I1813" s="115"/>
      <c r="L1813" s="169">
        <v>44677</v>
      </c>
      <c r="M1813" s="115">
        <v>266.2</v>
      </c>
      <c r="N1813" s="115">
        <v>268.51</v>
      </c>
      <c r="O1813" s="115">
        <v>262.76</v>
      </c>
      <c r="P1813" s="115">
        <v>268.14999999999998</v>
      </c>
      <c r="Q1813" s="115">
        <v>1331</v>
      </c>
      <c r="R1813">
        <v>14562</v>
      </c>
    </row>
    <row r="1814" spans="1:18" x14ac:dyDescent="0.25">
      <c r="A1814" s="169">
        <v>44687</v>
      </c>
      <c r="B1814" s="115">
        <v>267.74</v>
      </c>
      <c r="C1814" s="115">
        <v>261.51</v>
      </c>
      <c r="D1814" s="115">
        <v>260.41000000000003</v>
      </c>
      <c r="E1814" s="115">
        <v>261.83999999999997</v>
      </c>
      <c r="F1814" s="115">
        <v>1307.55</v>
      </c>
      <c r="G1814">
        <v>2977</v>
      </c>
      <c r="H1814" s="115"/>
      <c r="I1814" s="115"/>
      <c r="L1814" s="169">
        <v>44678</v>
      </c>
      <c r="M1814" s="115">
        <v>265.43</v>
      </c>
      <c r="N1814" s="115">
        <v>269.60000000000002</v>
      </c>
      <c r="O1814" s="115">
        <v>262.60000000000002</v>
      </c>
      <c r="P1814" s="115">
        <v>269.60000000000002</v>
      </c>
      <c r="Q1814" s="115">
        <v>1327.15</v>
      </c>
      <c r="R1814">
        <v>8342</v>
      </c>
    </row>
    <row r="1815" spans="1:18" x14ac:dyDescent="0.25">
      <c r="A1815" s="169">
        <v>44690</v>
      </c>
      <c r="B1815" s="115">
        <v>263.60000000000002</v>
      </c>
      <c r="C1815" s="115">
        <v>260.23</v>
      </c>
      <c r="D1815" s="115">
        <v>253.62</v>
      </c>
      <c r="E1815" s="115">
        <v>260.45</v>
      </c>
      <c r="F1815" s="115">
        <v>1301.1500000000001</v>
      </c>
      <c r="G1815">
        <v>1270</v>
      </c>
      <c r="H1815" s="115"/>
      <c r="I1815" s="115"/>
      <c r="L1815" s="169">
        <v>44679</v>
      </c>
      <c r="M1815" s="115">
        <v>264.3</v>
      </c>
      <c r="N1815" s="115">
        <v>274</v>
      </c>
      <c r="O1815" s="115">
        <v>260.27999999999997</v>
      </c>
      <c r="P1815" s="115">
        <v>263.2</v>
      </c>
      <c r="Q1815" s="115">
        <v>1321.5</v>
      </c>
      <c r="R1815">
        <v>25727</v>
      </c>
    </row>
    <row r="1816" spans="1:18" x14ac:dyDescent="0.25">
      <c r="A1816" s="169">
        <v>44691</v>
      </c>
      <c r="B1816" s="115">
        <v>263.77</v>
      </c>
      <c r="C1816" s="115">
        <v>252</v>
      </c>
      <c r="D1816" s="115">
        <v>250.42</v>
      </c>
      <c r="E1816" s="115">
        <v>260.98</v>
      </c>
      <c r="F1816" s="115">
        <v>1260</v>
      </c>
      <c r="G1816">
        <v>2458</v>
      </c>
      <c r="H1816" s="115"/>
      <c r="I1816" s="115"/>
      <c r="L1816" s="169">
        <v>44680</v>
      </c>
      <c r="M1816" s="115">
        <v>266.98</v>
      </c>
      <c r="N1816" s="115">
        <v>271.45</v>
      </c>
      <c r="O1816" s="115">
        <v>261.67</v>
      </c>
      <c r="P1816" s="115">
        <v>265.60000000000002</v>
      </c>
      <c r="Q1816" s="115">
        <v>1334.9</v>
      </c>
      <c r="R1816">
        <v>15452</v>
      </c>
    </row>
    <row r="1817" spans="1:18" x14ac:dyDescent="0.25">
      <c r="A1817" s="169">
        <v>44692</v>
      </c>
      <c r="B1817" s="115">
        <v>254.79</v>
      </c>
      <c r="C1817" s="115">
        <v>249.51</v>
      </c>
      <c r="D1817" s="115">
        <v>246.81</v>
      </c>
      <c r="E1817" s="115">
        <v>253.7</v>
      </c>
      <c r="F1817" s="115">
        <v>1247.55</v>
      </c>
      <c r="G1817">
        <v>2130</v>
      </c>
      <c r="H1817" s="115"/>
      <c r="I1817" s="115"/>
      <c r="L1817" s="169">
        <v>44683</v>
      </c>
      <c r="M1817" s="115">
        <v>264.85000000000002</v>
      </c>
      <c r="N1817" s="115">
        <v>271.2</v>
      </c>
      <c r="O1817" s="115">
        <v>261.66000000000003</v>
      </c>
      <c r="P1817" s="115">
        <v>268</v>
      </c>
      <c r="Q1817" s="115">
        <v>1324.25</v>
      </c>
      <c r="R1817">
        <v>15312</v>
      </c>
    </row>
    <row r="1818" spans="1:18" x14ac:dyDescent="0.25">
      <c r="A1818" s="169">
        <v>44693</v>
      </c>
      <c r="B1818" s="115">
        <v>251.19</v>
      </c>
      <c r="C1818" s="115">
        <v>242.16</v>
      </c>
      <c r="D1818" s="115">
        <v>236.73</v>
      </c>
      <c r="E1818" s="115">
        <v>244.07</v>
      </c>
      <c r="F1818" s="115">
        <v>1210.8</v>
      </c>
      <c r="G1818">
        <v>3553</v>
      </c>
      <c r="H1818" s="115"/>
      <c r="I1818" s="115"/>
      <c r="L1818" s="169">
        <v>44685</v>
      </c>
      <c r="M1818" s="115">
        <v>267.56</v>
      </c>
      <c r="N1818" s="115">
        <v>269.27</v>
      </c>
      <c r="O1818" s="115">
        <v>256.8</v>
      </c>
      <c r="P1818" s="115">
        <v>266.18</v>
      </c>
      <c r="Q1818" s="115">
        <v>1337.8</v>
      </c>
      <c r="R1818">
        <v>13956</v>
      </c>
    </row>
    <row r="1819" spans="1:18" x14ac:dyDescent="0.25">
      <c r="A1819" s="169">
        <v>44694</v>
      </c>
      <c r="B1819" s="115">
        <v>263.94</v>
      </c>
      <c r="C1819" s="115">
        <v>252.89</v>
      </c>
      <c r="D1819" s="115">
        <v>246.4</v>
      </c>
      <c r="E1819" s="115">
        <v>246.4</v>
      </c>
      <c r="F1819" s="115">
        <v>1264.45</v>
      </c>
      <c r="G1819">
        <v>3026</v>
      </c>
      <c r="H1819" s="115"/>
      <c r="I1819" s="115"/>
      <c r="L1819" s="169">
        <v>44686</v>
      </c>
      <c r="M1819" s="115">
        <v>261.18</v>
      </c>
      <c r="N1819" s="115">
        <v>269.37</v>
      </c>
      <c r="O1819" s="115">
        <v>257.39999999999998</v>
      </c>
      <c r="P1819" s="115">
        <v>267.56</v>
      </c>
      <c r="Q1819" s="115">
        <v>1305.9000000000001</v>
      </c>
      <c r="R1819">
        <v>15854</v>
      </c>
    </row>
    <row r="1820" spans="1:18" x14ac:dyDescent="0.25">
      <c r="A1820" s="169">
        <v>44697</v>
      </c>
      <c r="B1820" s="115">
        <v>266.91000000000003</v>
      </c>
      <c r="C1820" s="115">
        <v>263.14</v>
      </c>
      <c r="D1820" s="115">
        <v>250.54</v>
      </c>
      <c r="E1820" s="115">
        <v>265.2</v>
      </c>
      <c r="F1820" s="115">
        <v>1315.7</v>
      </c>
      <c r="G1820">
        <v>1711</v>
      </c>
      <c r="H1820" s="115"/>
      <c r="I1820" s="115"/>
      <c r="L1820" s="169">
        <v>44687</v>
      </c>
      <c r="M1820" s="115">
        <v>261.45999999999998</v>
      </c>
      <c r="N1820" s="115">
        <v>267.92</v>
      </c>
      <c r="O1820" s="115">
        <v>260.39999999999998</v>
      </c>
      <c r="P1820" s="115">
        <v>262.2</v>
      </c>
      <c r="Q1820" s="115">
        <v>1307.3</v>
      </c>
      <c r="R1820">
        <v>33753</v>
      </c>
    </row>
    <row r="1821" spans="1:18" x14ac:dyDescent="0.25">
      <c r="A1821" s="169">
        <v>44698</v>
      </c>
      <c r="B1821" s="115">
        <v>268.42</v>
      </c>
      <c r="C1821" s="115">
        <v>264.13</v>
      </c>
      <c r="D1821" s="115">
        <v>261.69</v>
      </c>
      <c r="E1821" s="115">
        <v>265.06</v>
      </c>
      <c r="F1821" s="115">
        <v>1320.65</v>
      </c>
      <c r="G1821">
        <v>1283</v>
      </c>
      <c r="H1821" s="115"/>
      <c r="I1821" s="115"/>
      <c r="L1821" s="169">
        <v>44690</v>
      </c>
      <c r="M1821" s="115">
        <v>261.11</v>
      </c>
      <c r="N1821" s="115">
        <v>269.39999999999998</v>
      </c>
      <c r="O1821" s="115">
        <v>253.48</v>
      </c>
      <c r="P1821" s="115">
        <v>260.60000000000002</v>
      </c>
      <c r="Q1821" s="115">
        <v>1305.55</v>
      </c>
      <c r="R1821">
        <v>10578</v>
      </c>
    </row>
    <row r="1822" spans="1:18" x14ac:dyDescent="0.25">
      <c r="A1822" s="169">
        <v>44699</v>
      </c>
      <c r="B1822" s="115">
        <v>274</v>
      </c>
      <c r="C1822" s="115">
        <v>270.5</v>
      </c>
      <c r="D1822" s="115">
        <v>266.7</v>
      </c>
      <c r="E1822" s="115">
        <v>266.7</v>
      </c>
      <c r="F1822" s="115">
        <v>1352.5</v>
      </c>
      <c r="G1822">
        <v>4499</v>
      </c>
      <c r="H1822" s="115"/>
      <c r="I1822" s="115"/>
      <c r="L1822" s="169">
        <v>44691</v>
      </c>
      <c r="M1822" s="115">
        <v>252.04</v>
      </c>
      <c r="N1822" s="115">
        <v>264.99</v>
      </c>
      <c r="O1822" s="115">
        <v>250.31</v>
      </c>
      <c r="P1822" s="115">
        <v>261.11</v>
      </c>
      <c r="Q1822" s="115">
        <v>1260.2</v>
      </c>
      <c r="R1822">
        <v>24546</v>
      </c>
    </row>
    <row r="1823" spans="1:18" x14ac:dyDescent="0.25">
      <c r="A1823" s="169">
        <v>44700</v>
      </c>
      <c r="B1823" s="115">
        <v>278.13</v>
      </c>
      <c r="C1823" s="115">
        <v>267.52</v>
      </c>
      <c r="D1823" s="115">
        <v>264</v>
      </c>
      <c r="E1823" s="115">
        <v>267.79000000000002</v>
      </c>
      <c r="F1823" s="115">
        <v>1337.6</v>
      </c>
      <c r="G1823">
        <v>1518</v>
      </c>
      <c r="H1823" s="115"/>
      <c r="I1823" s="115"/>
      <c r="L1823" s="169">
        <v>44692</v>
      </c>
      <c r="M1823" s="115">
        <v>250.63</v>
      </c>
      <c r="N1823" s="115">
        <v>255.01</v>
      </c>
      <c r="O1823" s="115">
        <v>245.7</v>
      </c>
      <c r="P1823" s="115">
        <v>253.31</v>
      </c>
      <c r="Q1823" s="115">
        <v>1253.1500000000001</v>
      </c>
      <c r="R1823">
        <v>10057</v>
      </c>
    </row>
    <row r="1824" spans="1:18" x14ac:dyDescent="0.25">
      <c r="A1824" s="169">
        <v>44701</v>
      </c>
      <c r="B1824" s="115">
        <v>296.16000000000003</v>
      </c>
      <c r="C1824" s="115">
        <v>288.58</v>
      </c>
      <c r="D1824" s="115">
        <v>268.95999999999998</v>
      </c>
      <c r="E1824" s="115">
        <v>271.88</v>
      </c>
      <c r="F1824" s="115">
        <v>1442.9</v>
      </c>
      <c r="G1824">
        <v>5022</v>
      </c>
      <c r="H1824" s="115"/>
      <c r="I1824" s="115"/>
      <c r="L1824" s="169">
        <v>44693</v>
      </c>
      <c r="M1824" s="115">
        <v>245.43</v>
      </c>
      <c r="N1824" s="115">
        <v>251.8</v>
      </c>
      <c r="O1824" s="115">
        <v>241.22</v>
      </c>
      <c r="P1824" s="115">
        <v>246.35</v>
      </c>
      <c r="Q1824" s="115">
        <v>1227.1500000000001</v>
      </c>
      <c r="R1824">
        <v>31287</v>
      </c>
    </row>
    <row r="1825" spans="1:18" x14ac:dyDescent="0.25">
      <c r="A1825" s="169">
        <v>44704</v>
      </c>
      <c r="B1825" s="115">
        <v>301.45</v>
      </c>
      <c r="C1825" s="115">
        <v>293.55</v>
      </c>
      <c r="D1825" s="115">
        <v>288.04000000000002</v>
      </c>
      <c r="E1825" s="115">
        <v>296.8</v>
      </c>
      <c r="F1825" s="115">
        <v>1467.75</v>
      </c>
      <c r="G1825">
        <v>5851</v>
      </c>
      <c r="H1825" s="115"/>
      <c r="I1825" s="115"/>
      <c r="L1825" s="169">
        <v>44694</v>
      </c>
      <c r="M1825" s="115">
        <v>253.6</v>
      </c>
      <c r="N1825" s="115">
        <v>275</v>
      </c>
      <c r="O1825" s="115">
        <v>246</v>
      </c>
      <c r="P1825" s="115">
        <v>246.59</v>
      </c>
      <c r="Q1825" s="115">
        <v>1268</v>
      </c>
      <c r="R1825">
        <v>45784</v>
      </c>
    </row>
    <row r="1826" spans="1:18" x14ac:dyDescent="0.25">
      <c r="A1826" s="169">
        <v>44705</v>
      </c>
      <c r="B1826" s="115">
        <v>304.31</v>
      </c>
      <c r="C1826" s="115">
        <v>294.70999999999998</v>
      </c>
      <c r="D1826" s="115">
        <v>292.87</v>
      </c>
      <c r="E1826" s="115">
        <v>296.31</v>
      </c>
      <c r="F1826" s="115">
        <v>1473.55</v>
      </c>
      <c r="G1826">
        <v>7122</v>
      </c>
      <c r="H1826" s="115"/>
      <c r="I1826" s="115"/>
      <c r="L1826" s="169">
        <v>44697</v>
      </c>
      <c r="M1826" s="115">
        <v>263.86</v>
      </c>
      <c r="N1826" s="115">
        <v>267.2</v>
      </c>
      <c r="O1826" s="115">
        <v>239.66</v>
      </c>
      <c r="P1826" s="115">
        <v>264</v>
      </c>
      <c r="Q1826" s="115">
        <v>1319.3</v>
      </c>
      <c r="R1826">
        <v>35423</v>
      </c>
    </row>
    <row r="1827" spans="1:18" x14ac:dyDescent="0.25">
      <c r="A1827" s="169">
        <v>44706</v>
      </c>
      <c r="B1827" s="115">
        <v>300.32</v>
      </c>
      <c r="C1827" s="115">
        <v>287.64999999999998</v>
      </c>
      <c r="D1827" s="115">
        <v>285.31</v>
      </c>
      <c r="E1827" s="115">
        <v>298.61</v>
      </c>
      <c r="F1827" s="115">
        <v>1438.25</v>
      </c>
      <c r="G1827">
        <v>1560</v>
      </c>
      <c r="H1827" s="115"/>
      <c r="I1827" s="115"/>
      <c r="L1827" s="169">
        <v>44698</v>
      </c>
      <c r="M1827" s="115">
        <v>264.49</v>
      </c>
      <c r="N1827" s="115">
        <v>269</v>
      </c>
      <c r="O1827" s="115">
        <v>260.7</v>
      </c>
      <c r="P1827" s="115">
        <v>262.93</v>
      </c>
      <c r="Q1827" s="115">
        <v>1322.45</v>
      </c>
      <c r="R1827">
        <v>24855</v>
      </c>
    </row>
    <row r="1828" spans="1:18" x14ac:dyDescent="0.25">
      <c r="A1828" s="169">
        <v>44707</v>
      </c>
      <c r="B1828" s="115">
        <v>292.14999999999998</v>
      </c>
      <c r="C1828" s="115">
        <v>290.06</v>
      </c>
      <c r="D1828" s="115">
        <v>285.04000000000002</v>
      </c>
      <c r="E1828" s="115">
        <v>290.27999999999997</v>
      </c>
      <c r="F1828" s="115">
        <v>1450.3</v>
      </c>
      <c r="G1828">
        <v>1066</v>
      </c>
      <c r="H1828" s="115"/>
      <c r="I1828" s="115"/>
      <c r="L1828" s="169">
        <v>44699</v>
      </c>
      <c r="M1828" s="115">
        <v>270.83</v>
      </c>
      <c r="N1828" s="115">
        <v>273.89999999999998</v>
      </c>
      <c r="O1828" s="115">
        <v>265.45999999999998</v>
      </c>
      <c r="P1828" s="115">
        <v>266.95</v>
      </c>
      <c r="Q1828" s="115">
        <v>1354.15</v>
      </c>
      <c r="R1828">
        <v>38583</v>
      </c>
    </row>
    <row r="1829" spans="1:18" x14ac:dyDescent="0.25">
      <c r="A1829" s="169">
        <v>44708</v>
      </c>
      <c r="B1829" s="115">
        <v>297.01</v>
      </c>
      <c r="C1829" s="115">
        <v>290.64999999999998</v>
      </c>
      <c r="D1829" s="115">
        <v>285.2</v>
      </c>
      <c r="E1829" s="115">
        <v>290.5</v>
      </c>
      <c r="F1829" s="115">
        <v>1453.25</v>
      </c>
      <c r="G1829">
        <v>2142</v>
      </c>
      <c r="H1829" s="115"/>
      <c r="I1829" s="115"/>
      <c r="L1829" s="169">
        <v>44700</v>
      </c>
      <c r="M1829" s="115">
        <v>267.98</v>
      </c>
      <c r="N1829" s="115">
        <v>278</v>
      </c>
      <c r="O1829" s="115">
        <v>263.64999999999998</v>
      </c>
      <c r="P1829" s="115">
        <v>267</v>
      </c>
      <c r="Q1829" s="115">
        <v>1339.9</v>
      </c>
      <c r="R1829">
        <v>51178</v>
      </c>
    </row>
    <row r="1830" spans="1:18" x14ac:dyDescent="0.25">
      <c r="A1830" s="169">
        <v>44711</v>
      </c>
      <c r="B1830" s="115">
        <v>287.13</v>
      </c>
      <c r="C1830" s="115">
        <v>283.36</v>
      </c>
      <c r="D1830" s="115">
        <v>276</v>
      </c>
      <c r="E1830" s="115">
        <v>282.2</v>
      </c>
      <c r="F1830" s="115">
        <v>1416.8</v>
      </c>
      <c r="G1830">
        <v>3886</v>
      </c>
      <c r="H1830" s="115"/>
      <c r="I1830" s="115"/>
      <c r="L1830" s="169">
        <v>44701</v>
      </c>
      <c r="M1830" s="115">
        <v>291.06</v>
      </c>
      <c r="N1830" s="115">
        <v>296.8</v>
      </c>
      <c r="O1830" s="115">
        <v>269</v>
      </c>
      <c r="P1830" s="115">
        <v>273</v>
      </c>
      <c r="Q1830" s="115">
        <v>1455.3</v>
      </c>
      <c r="R1830">
        <v>169304</v>
      </c>
    </row>
    <row r="1831" spans="1:18" x14ac:dyDescent="0.25">
      <c r="A1831" s="169">
        <v>44712</v>
      </c>
      <c r="B1831" s="115">
        <v>296.39999999999998</v>
      </c>
      <c r="C1831" s="115">
        <v>269.60000000000002</v>
      </c>
      <c r="D1831" s="115">
        <v>263.08999999999997</v>
      </c>
      <c r="E1831" s="115">
        <v>296.39999999999998</v>
      </c>
      <c r="F1831" s="115">
        <v>1348</v>
      </c>
      <c r="G1831">
        <v>3403</v>
      </c>
      <c r="H1831" s="115"/>
      <c r="I1831" s="115"/>
      <c r="L1831" s="169">
        <v>44704</v>
      </c>
      <c r="M1831" s="115">
        <v>293.72000000000003</v>
      </c>
      <c r="N1831" s="115">
        <v>301.8</v>
      </c>
      <c r="O1831" s="115">
        <v>288</v>
      </c>
      <c r="P1831" s="115">
        <v>295</v>
      </c>
      <c r="Q1831" s="115">
        <v>1468.6</v>
      </c>
      <c r="R1831">
        <v>193704</v>
      </c>
    </row>
    <row r="1832" spans="1:18" x14ac:dyDescent="0.25">
      <c r="A1832" s="169">
        <v>44713</v>
      </c>
      <c r="B1832" s="115">
        <v>284.8</v>
      </c>
      <c r="C1832" s="115">
        <v>282.33</v>
      </c>
      <c r="D1832" s="115">
        <v>266.94</v>
      </c>
      <c r="E1832" s="115">
        <v>267.23</v>
      </c>
      <c r="F1832" s="115">
        <v>1411.65</v>
      </c>
      <c r="G1832">
        <v>1607</v>
      </c>
      <c r="H1832" s="115"/>
      <c r="I1832" s="115"/>
      <c r="L1832" s="169">
        <v>44705</v>
      </c>
      <c r="M1832" s="115">
        <v>294.83</v>
      </c>
      <c r="N1832" s="115">
        <v>304.63</v>
      </c>
      <c r="O1832" s="115">
        <v>293</v>
      </c>
      <c r="P1832" s="115">
        <v>296</v>
      </c>
      <c r="Q1832" s="115">
        <v>1474.15</v>
      </c>
      <c r="R1832">
        <v>84700</v>
      </c>
    </row>
    <row r="1833" spans="1:18" x14ac:dyDescent="0.25">
      <c r="A1833" s="169">
        <v>44714</v>
      </c>
      <c r="B1833" s="115">
        <v>285.62</v>
      </c>
      <c r="C1833" s="115">
        <v>284.48</v>
      </c>
      <c r="D1833" s="115">
        <v>279.94</v>
      </c>
      <c r="E1833" s="115">
        <v>281.01</v>
      </c>
      <c r="F1833" s="115">
        <v>1422.4</v>
      </c>
      <c r="G1833">
        <v>1198</v>
      </c>
      <c r="H1833" s="115"/>
      <c r="I1833" s="115"/>
      <c r="L1833" s="169">
        <v>44706</v>
      </c>
      <c r="M1833" s="115">
        <v>288.60000000000002</v>
      </c>
      <c r="N1833" s="115">
        <v>300</v>
      </c>
      <c r="O1833" s="115">
        <v>287</v>
      </c>
      <c r="P1833" s="115">
        <v>298</v>
      </c>
      <c r="Q1833" s="115">
        <v>1443</v>
      </c>
      <c r="R1833">
        <v>41994</v>
      </c>
    </row>
    <row r="1834" spans="1:18" x14ac:dyDescent="0.25">
      <c r="A1834" s="169">
        <v>44715</v>
      </c>
      <c r="B1834" s="115">
        <v>287.99</v>
      </c>
      <c r="C1834" s="115">
        <v>282.58999999999997</v>
      </c>
      <c r="D1834" s="115">
        <v>279.87</v>
      </c>
      <c r="E1834" s="115">
        <v>287.99</v>
      </c>
      <c r="F1834" s="115">
        <v>1412.95</v>
      </c>
      <c r="G1834">
        <v>4793</v>
      </c>
      <c r="H1834" s="115"/>
      <c r="I1834" s="115"/>
      <c r="L1834" s="169">
        <v>44707</v>
      </c>
      <c r="M1834" s="115">
        <v>289.89999999999998</v>
      </c>
      <c r="N1834" s="115">
        <v>292.58999999999997</v>
      </c>
      <c r="O1834" s="115">
        <v>284.56</v>
      </c>
      <c r="P1834" s="115">
        <v>290</v>
      </c>
      <c r="Q1834" s="115">
        <v>1449.5</v>
      </c>
      <c r="R1834">
        <v>57156</v>
      </c>
    </row>
    <row r="1835" spans="1:18" x14ac:dyDescent="0.25">
      <c r="A1835" s="169">
        <v>44718</v>
      </c>
      <c r="B1835" s="115">
        <v>284.27</v>
      </c>
      <c r="C1835" s="115">
        <v>282.20999999999998</v>
      </c>
      <c r="D1835" s="115">
        <v>279.74</v>
      </c>
      <c r="E1835" s="115">
        <v>284</v>
      </c>
      <c r="F1835" s="115">
        <v>1411.05</v>
      </c>
      <c r="G1835">
        <v>773</v>
      </c>
      <c r="H1835" s="115"/>
      <c r="I1835" s="115"/>
      <c r="L1835" s="169">
        <v>44708</v>
      </c>
      <c r="M1835" s="115">
        <v>287.38</v>
      </c>
      <c r="N1835" s="115">
        <v>291.60000000000002</v>
      </c>
      <c r="O1835" s="115">
        <v>284.36</v>
      </c>
      <c r="P1835" s="115">
        <v>291.60000000000002</v>
      </c>
      <c r="Q1835" s="115">
        <v>1436.9</v>
      </c>
      <c r="R1835">
        <v>17438</v>
      </c>
    </row>
    <row r="1836" spans="1:18" x14ac:dyDescent="0.25">
      <c r="A1836" s="169">
        <v>44719</v>
      </c>
      <c r="B1836" s="115">
        <v>282.8</v>
      </c>
      <c r="C1836" s="115">
        <v>278.25</v>
      </c>
      <c r="D1836" s="115">
        <v>276</v>
      </c>
      <c r="E1836" s="115">
        <v>282.39999999999998</v>
      </c>
      <c r="F1836" s="115">
        <v>1391.25</v>
      </c>
      <c r="G1836">
        <v>515</v>
      </c>
      <c r="H1836" s="115"/>
      <c r="I1836" s="115"/>
      <c r="L1836" s="169">
        <v>44711</v>
      </c>
      <c r="M1836" s="115">
        <v>282.57</v>
      </c>
      <c r="N1836" s="115">
        <v>288.81</v>
      </c>
      <c r="O1836" s="115">
        <v>276.11</v>
      </c>
      <c r="P1836" s="115">
        <v>287.39999999999998</v>
      </c>
      <c r="Q1836" s="115">
        <v>1412.85</v>
      </c>
      <c r="R1836">
        <v>28586</v>
      </c>
    </row>
    <row r="1837" spans="1:18" x14ac:dyDescent="0.25">
      <c r="A1837" s="169">
        <v>44720</v>
      </c>
      <c r="B1837" s="115">
        <v>282.08999999999997</v>
      </c>
      <c r="C1837" s="115">
        <v>273.11</v>
      </c>
      <c r="D1837" s="115">
        <v>272</v>
      </c>
      <c r="E1837" s="115">
        <v>276.67</v>
      </c>
      <c r="F1837" s="115">
        <v>1365.55</v>
      </c>
      <c r="G1837">
        <v>1076</v>
      </c>
      <c r="H1837" s="115"/>
      <c r="I1837" s="115"/>
      <c r="L1837" s="169">
        <v>44712</v>
      </c>
      <c r="M1837" s="115">
        <v>271.02</v>
      </c>
      <c r="N1837" s="115">
        <v>283</v>
      </c>
      <c r="O1837" s="115">
        <v>263.24</v>
      </c>
      <c r="P1837" s="115">
        <v>282</v>
      </c>
      <c r="Q1837" s="115">
        <v>1355.1</v>
      </c>
      <c r="R1837">
        <v>130203</v>
      </c>
    </row>
    <row r="1838" spans="1:18" x14ac:dyDescent="0.25">
      <c r="A1838" s="169">
        <v>44721</v>
      </c>
      <c r="B1838" s="115">
        <v>277.95999999999998</v>
      </c>
      <c r="C1838" s="115">
        <v>273.63</v>
      </c>
      <c r="D1838" s="115">
        <v>272.27</v>
      </c>
      <c r="E1838" s="115">
        <v>272.45</v>
      </c>
      <c r="F1838" s="115">
        <v>1368.15</v>
      </c>
      <c r="G1838">
        <v>757</v>
      </c>
      <c r="H1838" s="115"/>
      <c r="I1838" s="115"/>
      <c r="L1838" s="169">
        <v>44713</v>
      </c>
      <c r="M1838" s="115">
        <v>282.5</v>
      </c>
      <c r="N1838" s="115">
        <v>285</v>
      </c>
      <c r="O1838" s="115">
        <v>265.52999999999997</v>
      </c>
      <c r="P1838" s="115">
        <v>268.79000000000002</v>
      </c>
      <c r="Q1838" s="115">
        <v>1412.5</v>
      </c>
      <c r="R1838">
        <v>37111</v>
      </c>
    </row>
    <row r="1839" spans="1:18" x14ac:dyDescent="0.25">
      <c r="A1839" s="169">
        <v>44722</v>
      </c>
      <c r="B1839" s="115">
        <v>279.61</v>
      </c>
      <c r="C1839" s="115">
        <v>274.33</v>
      </c>
      <c r="D1839" s="115">
        <v>270.37</v>
      </c>
      <c r="E1839" s="115">
        <v>270.37</v>
      </c>
      <c r="F1839" s="115">
        <v>1371.65</v>
      </c>
      <c r="G1839">
        <v>1532</v>
      </c>
      <c r="H1839" s="115"/>
      <c r="I1839" s="115"/>
      <c r="L1839" s="169">
        <v>44714</v>
      </c>
      <c r="M1839" s="115">
        <v>283.33</v>
      </c>
      <c r="N1839" s="115">
        <v>285.8</v>
      </c>
      <c r="O1839" s="115">
        <v>279.48</v>
      </c>
      <c r="P1839" s="115">
        <v>282.5</v>
      </c>
      <c r="Q1839" s="115">
        <v>1416.65</v>
      </c>
      <c r="R1839">
        <v>19792</v>
      </c>
    </row>
    <row r="1840" spans="1:18" x14ac:dyDescent="0.25">
      <c r="A1840" s="169">
        <v>44725</v>
      </c>
      <c r="B1840" s="115">
        <v>274.68</v>
      </c>
      <c r="C1840" s="115">
        <v>273.17</v>
      </c>
      <c r="D1840" s="115">
        <v>258.39999999999998</v>
      </c>
      <c r="E1840" s="115">
        <v>258.39999999999998</v>
      </c>
      <c r="F1840" s="115">
        <v>1365.85</v>
      </c>
      <c r="G1840">
        <v>1018</v>
      </c>
      <c r="H1840" s="115"/>
      <c r="I1840" s="115"/>
      <c r="L1840" s="169">
        <v>44715</v>
      </c>
      <c r="M1840" s="115">
        <v>283.19</v>
      </c>
      <c r="N1840" s="115">
        <v>287.61</v>
      </c>
      <c r="O1840" s="115">
        <v>279.99</v>
      </c>
      <c r="P1840" s="115">
        <v>284.75</v>
      </c>
      <c r="Q1840" s="115">
        <v>1415.95</v>
      </c>
      <c r="R1840">
        <v>13014</v>
      </c>
    </row>
    <row r="1841" spans="1:18" x14ac:dyDescent="0.25">
      <c r="A1841" s="169">
        <v>44726</v>
      </c>
      <c r="B1841" s="115">
        <v>272.64999999999998</v>
      </c>
      <c r="C1841" s="115">
        <v>270.66000000000003</v>
      </c>
      <c r="D1841" s="115">
        <v>268.74</v>
      </c>
      <c r="E1841" s="115">
        <v>270.13</v>
      </c>
      <c r="F1841" s="115">
        <v>1353.3</v>
      </c>
      <c r="G1841">
        <v>1003</v>
      </c>
      <c r="H1841" s="115"/>
      <c r="I1841" s="115"/>
      <c r="L1841" s="169">
        <v>44718</v>
      </c>
      <c r="M1841" s="115">
        <v>282.23</v>
      </c>
      <c r="N1841" s="115">
        <v>284.24</v>
      </c>
      <c r="O1841" s="115">
        <v>279.02</v>
      </c>
      <c r="P1841" s="115">
        <v>283.2</v>
      </c>
      <c r="Q1841" s="115">
        <v>1411.15</v>
      </c>
      <c r="R1841">
        <v>7837</v>
      </c>
    </row>
    <row r="1842" spans="1:18" x14ac:dyDescent="0.25">
      <c r="A1842" s="169">
        <v>44727</v>
      </c>
      <c r="B1842" s="115">
        <v>273.83999999999997</v>
      </c>
      <c r="C1842" s="115">
        <v>271.91000000000003</v>
      </c>
      <c r="D1842" s="115">
        <v>266.56</v>
      </c>
      <c r="E1842" s="115">
        <v>266.56</v>
      </c>
      <c r="F1842" s="115">
        <v>1359.55</v>
      </c>
      <c r="G1842">
        <v>401</v>
      </c>
      <c r="H1842" s="115"/>
      <c r="I1842" s="115"/>
      <c r="L1842" s="169">
        <v>44719</v>
      </c>
      <c r="M1842" s="115">
        <v>277.45</v>
      </c>
      <c r="N1842" s="115">
        <v>283.2</v>
      </c>
      <c r="O1842" s="115">
        <v>275.60000000000002</v>
      </c>
      <c r="P1842" s="115">
        <v>283.2</v>
      </c>
      <c r="Q1842" s="115">
        <v>1387.25</v>
      </c>
      <c r="R1842">
        <v>7297</v>
      </c>
    </row>
    <row r="1843" spans="1:18" x14ac:dyDescent="0.25">
      <c r="A1843" s="169">
        <v>44728</v>
      </c>
      <c r="B1843" s="115">
        <v>273.89</v>
      </c>
      <c r="C1843" s="115">
        <v>265.61</v>
      </c>
      <c r="D1843" s="115">
        <v>259.92</v>
      </c>
      <c r="E1843" s="115">
        <v>269.68</v>
      </c>
      <c r="F1843" s="115">
        <v>1328.05</v>
      </c>
      <c r="G1843">
        <v>3063</v>
      </c>
      <c r="H1843" s="115"/>
      <c r="I1843" s="115"/>
      <c r="L1843" s="169">
        <v>44720</v>
      </c>
      <c r="M1843" s="115">
        <v>273.77999999999997</v>
      </c>
      <c r="N1843" s="115">
        <v>282</v>
      </c>
      <c r="O1843" s="115">
        <v>272</v>
      </c>
      <c r="P1843" s="115">
        <v>278.83999999999997</v>
      </c>
      <c r="Q1843" s="115">
        <v>1368.9</v>
      </c>
      <c r="R1843">
        <v>15945</v>
      </c>
    </row>
    <row r="1844" spans="1:18" x14ac:dyDescent="0.25">
      <c r="A1844" s="169">
        <v>44729</v>
      </c>
      <c r="B1844" s="115">
        <v>275.01</v>
      </c>
      <c r="C1844" s="115">
        <v>270.63</v>
      </c>
      <c r="D1844" s="115">
        <v>256.64</v>
      </c>
      <c r="E1844" s="115">
        <v>262.60000000000002</v>
      </c>
      <c r="F1844" s="115">
        <v>1353.15</v>
      </c>
      <c r="G1844">
        <v>2723</v>
      </c>
      <c r="H1844" s="115"/>
      <c r="I1844" s="115"/>
      <c r="L1844" s="169">
        <v>44721</v>
      </c>
      <c r="M1844" s="115">
        <v>273.37</v>
      </c>
      <c r="N1844" s="115">
        <v>278</v>
      </c>
      <c r="O1844" s="115">
        <v>270.27999999999997</v>
      </c>
      <c r="P1844" s="115">
        <v>270.27999999999997</v>
      </c>
      <c r="Q1844" s="115">
        <v>1366.85</v>
      </c>
      <c r="R1844">
        <v>10497</v>
      </c>
    </row>
    <row r="1845" spans="1:18" x14ac:dyDescent="0.25">
      <c r="A1845" s="169">
        <v>44732</v>
      </c>
      <c r="B1845" s="115">
        <v>273.98</v>
      </c>
      <c r="C1845" s="115">
        <v>262.26</v>
      </c>
      <c r="D1845" s="115">
        <v>258.08</v>
      </c>
      <c r="E1845" s="115">
        <v>273.98</v>
      </c>
      <c r="F1845" s="115">
        <v>1311.3</v>
      </c>
      <c r="G1845">
        <v>1847</v>
      </c>
      <c r="H1845" s="115"/>
      <c r="I1845" s="115"/>
      <c r="L1845" s="169">
        <v>44722</v>
      </c>
      <c r="M1845" s="115">
        <v>274.77999999999997</v>
      </c>
      <c r="N1845" s="115">
        <v>280</v>
      </c>
      <c r="O1845" s="115">
        <v>268.10000000000002</v>
      </c>
      <c r="P1845" s="115">
        <v>268.5</v>
      </c>
      <c r="Q1845" s="115">
        <v>1373.9</v>
      </c>
      <c r="R1845">
        <v>17944</v>
      </c>
    </row>
    <row r="1846" spans="1:18" x14ac:dyDescent="0.25">
      <c r="A1846" s="169">
        <v>44733</v>
      </c>
      <c r="B1846" s="115">
        <v>267.22000000000003</v>
      </c>
      <c r="C1846" s="115">
        <v>261.76</v>
      </c>
      <c r="D1846" s="115">
        <v>258.89999999999998</v>
      </c>
      <c r="E1846" s="115">
        <v>261</v>
      </c>
      <c r="F1846" s="115">
        <v>1308.8</v>
      </c>
      <c r="G1846">
        <v>11046</v>
      </c>
      <c r="H1846" s="115"/>
      <c r="I1846" s="115"/>
      <c r="L1846" s="169">
        <v>44725</v>
      </c>
      <c r="M1846" s="115">
        <v>272.63</v>
      </c>
      <c r="N1846" s="115">
        <v>274.81</v>
      </c>
      <c r="O1846" s="115">
        <v>268</v>
      </c>
      <c r="P1846" s="115">
        <v>268</v>
      </c>
      <c r="Q1846" s="115">
        <v>1363.15</v>
      </c>
      <c r="R1846">
        <v>19238</v>
      </c>
    </row>
    <row r="1847" spans="1:18" x14ac:dyDescent="0.25">
      <c r="A1847" s="169">
        <v>44734</v>
      </c>
      <c r="B1847" s="115">
        <v>273.98</v>
      </c>
      <c r="C1847" s="115">
        <v>270.58</v>
      </c>
      <c r="D1847" s="115">
        <v>257.17</v>
      </c>
      <c r="E1847" s="115">
        <v>265.39999999999998</v>
      </c>
      <c r="F1847" s="115">
        <v>1352.9</v>
      </c>
      <c r="G1847">
        <v>12473</v>
      </c>
      <c r="H1847" s="115"/>
      <c r="I1847" s="115"/>
      <c r="L1847" s="169">
        <v>44726</v>
      </c>
      <c r="M1847" s="115">
        <v>271.26</v>
      </c>
      <c r="N1847" s="115">
        <v>272.58999999999997</v>
      </c>
      <c r="O1847" s="115">
        <v>268.99</v>
      </c>
      <c r="P1847" s="115">
        <v>271.8</v>
      </c>
      <c r="Q1847" s="115">
        <v>1356.3</v>
      </c>
      <c r="R1847">
        <v>17643</v>
      </c>
    </row>
    <row r="1848" spans="1:18" x14ac:dyDescent="0.25">
      <c r="A1848" s="169">
        <v>44735</v>
      </c>
      <c r="B1848" s="115">
        <v>278.33999999999997</v>
      </c>
      <c r="C1848" s="115">
        <v>277.24</v>
      </c>
      <c r="D1848" s="115">
        <v>269.10000000000002</v>
      </c>
      <c r="E1848" s="115">
        <v>275.8</v>
      </c>
      <c r="F1848" s="115">
        <v>1386.2</v>
      </c>
      <c r="G1848">
        <v>6947</v>
      </c>
      <c r="H1848" s="115"/>
      <c r="I1848" s="115"/>
      <c r="L1848" s="169">
        <v>44727</v>
      </c>
      <c r="M1848" s="115">
        <v>272.58999999999997</v>
      </c>
      <c r="N1848" s="115">
        <v>275.19</v>
      </c>
      <c r="O1848" s="115">
        <v>269.82</v>
      </c>
      <c r="P1848" s="115">
        <v>272.39999999999998</v>
      </c>
      <c r="Q1848" s="115">
        <v>1362.95</v>
      </c>
      <c r="R1848">
        <v>15253</v>
      </c>
    </row>
    <row r="1849" spans="1:18" x14ac:dyDescent="0.25">
      <c r="A1849" s="169">
        <v>44736</v>
      </c>
      <c r="B1849" s="115">
        <v>285.58</v>
      </c>
      <c r="C1849" s="115">
        <v>281.25</v>
      </c>
      <c r="D1849" s="115">
        <v>276.39999999999998</v>
      </c>
      <c r="E1849" s="115">
        <v>276.39999999999998</v>
      </c>
      <c r="F1849" s="115">
        <v>1406.25</v>
      </c>
      <c r="G1849">
        <v>3678</v>
      </c>
      <c r="H1849" s="115"/>
      <c r="I1849" s="115"/>
      <c r="L1849" s="169">
        <v>44728</v>
      </c>
      <c r="M1849" s="115">
        <v>265.94</v>
      </c>
      <c r="N1849" s="115">
        <v>273.95999999999998</v>
      </c>
      <c r="O1849" s="115">
        <v>260</v>
      </c>
      <c r="P1849" s="115">
        <v>272.95</v>
      </c>
      <c r="Q1849" s="115">
        <v>1329.7</v>
      </c>
      <c r="R1849">
        <v>24234</v>
      </c>
    </row>
    <row r="1850" spans="1:18" x14ac:dyDescent="0.25">
      <c r="A1850" s="169">
        <v>44739</v>
      </c>
      <c r="B1850" s="115">
        <v>286</v>
      </c>
      <c r="C1850" s="115">
        <v>280.67</v>
      </c>
      <c r="D1850" s="115">
        <v>278.89</v>
      </c>
      <c r="E1850" s="115">
        <v>281.98</v>
      </c>
      <c r="F1850" s="115">
        <v>1403.35</v>
      </c>
      <c r="G1850">
        <v>1273</v>
      </c>
      <c r="H1850" s="115"/>
      <c r="I1850" s="115"/>
      <c r="L1850" s="169">
        <v>44729</v>
      </c>
      <c r="M1850" s="115">
        <v>271.44</v>
      </c>
      <c r="N1850" s="115">
        <v>275.48</v>
      </c>
      <c r="O1850" s="115">
        <v>256.25</v>
      </c>
      <c r="P1850" s="115">
        <v>265</v>
      </c>
      <c r="Q1850" s="115">
        <v>1357.2</v>
      </c>
      <c r="R1850">
        <v>45059</v>
      </c>
    </row>
    <row r="1851" spans="1:18" x14ac:dyDescent="0.25">
      <c r="A1851" s="169">
        <v>44740</v>
      </c>
      <c r="B1851" s="115">
        <v>298.64</v>
      </c>
      <c r="C1851" s="115">
        <v>294.10000000000002</v>
      </c>
      <c r="D1851" s="115">
        <v>280</v>
      </c>
      <c r="E1851" s="115">
        <v>281.7</v>
      </c>
      <c r="F1851" s="115">
        <v>1470.5</v>
      </c>
      <c r="G1851">
        <v>8121</v>
      </c>
      <c r="H1851" s="115"/>
      <c r="I1851" s="115"/>
      <c r="L1851" s="169">
        <v>44732</v>
      </c>
      <c r="M1851" s="115">
        <v>261.86</v>
      </c>
      <c r="N1851" s="115">
        <v>269.95999999999998</v>
      </c>
      <c r="O1851" s="115">
        <v>258.2</v>
      </c>
      <c r="P1851" s="115">
        <v>268.33</v>
      </c>
      <c r="Q1851" s="115">
        <v>1309.3</v>
      </c>
      <c r="R1851">
        <v>25690</v>
      </c>
    </row>
    <row r="1852" spans="1:18" x14ac:dyDescent="0.25">
      <c r="A1852" s="169">
        <v>44741</v>
      </c>
      <c r="B1852" s="115">
        <v>295.32</v>
      </c>
      <c r="C1852" s="115">
        <v>293.87</v>
      </c>
      <c r="D1852" s="115">
        <v>289.02</v>
      </c>
      <c r="E1852" s="115">
        <v>294</v>
      </c>
      <c r="F1852" s="115">
        <v>1469.35</v>
      </c>
      <c r="G1852">
        <v>2719</v>
      </c>
      <c r="H1852" s="115"/>
      <c r="I1852" s="115"/>
      <c r="L1852" s="169">
        <v>44733</v>
      </c>
      <c r="M1852" s="115">
        <v>260.45</v>
      </c>
      <c r="N1852" s="115">
        <v>267.79000000000002</v>
      </c>
      <c r="O1852" s="115">
        <v>258.93</v>
      </c>
      <c r="P1852" s="115">
        <v>262.61</v>
      </c>
      <c r="Q1852" s="115">
        <v>1302.25</v>
      </c>
      <c r="R1852">
        <v>29364</v>
      </c>
    </row>
    <row r="1853" spans="1:18" x14ac:dyDescent="0.25">
      <c r="A1853" s="169">
        <v>44742</v>
      </c>
      <c r="B1853" s="115">
        <v>304</v>
      </c>
      <c r="C1853" s="115">
        <v>296.70999999999998</v>
      </c>
      <c r="D1853" s="115">
        <v>288.58999999999997</v>
      </c>
      <c r="E1853" s="115">
        <v>292.82</v>
      </c>
      <c r="F1853" s="115">
        <v>1483.55</v>
      </c>
      <c r="G1853">
        <v>2600</v>
      </c>
      <c r="H1853" s="115"/>
      <c r="I1853" s="115"/>
      <c r="L1853" s="169">
        <v>44734</v>
      </c>
      <c r="M1853" s="115">
        <v>270.72000000000003</v>
      </c>
      <c r="N1853" s="115">
        <v>273.39999999999998</v>
      </c>
      <c r="O1853" s="115">
        <v>257</v>
      </c>
      <c r="P1853" s="115">
        <v>262.44</v>
      </c>
      <c r="Q1853" s="115">
        <v>1353.6</v>
      </c>
      <c r="R1853">
        <v>47331</v>
      </c>
    </row>
    <row r="1854" spans="1:18" x14ac:dyDescent="0.25">
      <c r="A1854" s="169">
        <v>44743</v>
      </c>
      <c r="B1854" s="115">
        <v>297</v>
      </c>
      <c r="C1854" s="115">
        <v>292.88</v>
      </c>
      <c r="D1854" s="115">
        <v>288.49</v>
      </c>
      <c r="E1854" s="115">
        <v>295.2</v>
      </c>
      <c r="F1854" s="115">
        <v>1464.4</v>
      </c>
      <c r="G1854">
        <v>3161</v>
      </c>
      <c r="H1854" s="115"/>
      <c r="I1854" s="115"/>
      <c r="L1854" s="169">
        <v>44735</v>
      </c>
      <c r="M1854" s="115">
        <v>276.95999999999998</v>
      </c>
      <c r="N1854" s="115">
        <v>278.41000000000003</v>
      </c>
      <c r="O1854" s="115">
        <v>269.17</v>
      </c>
      <c r="P1854" s="115">
        <v>274.41000000000003</v>
      </c>
      <c r="Q1854" s="115">
        <v>1384.8</v>
      </c>
      <c r="R1854">
        <v>33288</v>
      </c>
    </row>
    <row r="1855" spans="1:18" x14ac:dyDescent="0.25">
      <c r="A1855" s="169">
        <v>44746</v>
      </c>
      <c r="B1855" s="115">
        <v>306.87</v>
      </c>
      <c r="C1855" s="115">
        <v>295.41000000000003</v>
      </c>
      <c r="D1855" s="115">
        <v>294.16000000000003</v>
      </c>
      <c r="E1855" s="115">
        <v>297</v>
      </c>
      <c r="F1855" s="115">
        <v>1477.05</v>
      </c>
      <c r="G1855">
        <v>3332</v>
      </c>
      <c r="H1855" s="115"/>
      <c r="I1855" s="115"/>
      <c r="L1855" s="169">
        <v>44736</v>
      </c>
      <c r="M1855" s="115">
        <v>281.58999999999997</v>
      </c>
      <c r="N1855" s="115">
        <v>285.98</v>
      </c>
      <c r="O1855" s="115">
        <v>276.25</v>
      </c>
      <c r="P1855" s="115">
        <v>277.98</v>
      </c>
      <c r="Q1855" s="115">
        <v>1407.95</v>
      </c>
      <c r="R1855">
        <v>29097</v>
      </c>
    </row>
    <row r="1856" spans="1:18" x14ac:dyDescent="0.25">
      <c r="A1856" s="169">
        <v>44747</v>
      </c>
      <c r="B1856" s="115">
        <v>296.54000000000002</v>
      </c>
      <c r="C1856" s="115">
        <v>287.8</v>
      </c>
      <c r="D1856" s="115">
        <v>285.98</v>
      </c>
      <c r="E1856" s="115">
        <v>295.61</v>
      </c>
      <c r="F1856" s="115">
        <v>1439</v>
      </c>
      <c r="G1856">
        <v>1366</v>
      </c>
      <c r="H1856" s="115"/>
      <c r="I1856" s="115"/>
      <c r="L1856" s="169">
        <v>44739</v>
      </c>
      <c r="M1856" s="115">
        <v>280.68</v>
      </c>
      <c r="N1856" s="115">
        <v>286.8</v>
      </c>
      <c r="O1856" s="115">
        <v>279.10000000000002</v>
      </c>
      <c r="P1856" s="115">
        <v>283</v>
      </c>
      <c r="Q1856" s="115">
        <v>1403.4</v>
      </c>
      <c r="R1856">
        <v>21517</v>
      </c>
    </row>
    <row r="1857" spans="1:18" x14ac:dyDescent="0.25">
      <c r="A1857" s="169">
        <v>44748</v>
      </c>
      <c r="B1857" s="115">
        <v>294</v>
      </c>
      <c r="C1857" s="115">
        <v>291.61</v>
      </c>
      <c r="D1857" s="115">
        <v>288.27</v>
      </c>
      <c r="E1857" s="115">
        <v>290.38</v>
      </c>
      <c r="F1857" s="115">
        <v>1458.05</v>
      </c>
      <c r="G1857">
        <v>604</v>
      </c>
      <c r="H1857" s="115"/>
      <c r="I1857" s="115"/>
      <c r="L1857" s="169">
        <v>44740</v>
      </c>
      <c r="M1857" s="115">
        <v>293.97000000000003</v>
      </c>
      <c r="N1857" s="115">
        <v>298.73</v>
      </c>
      <c r="O1857" s="115">
        <v>279.44</v>
      </c>
      <c r="P1857" s="115">
        <v>279.44</v>
      </c>
      <c r="Q1857" s="115">
        <v>1469.85</v>
      </c>
      <c r="R1857">
        <v>63886</v>
      </c>
    </row>
    <row r="1858" spans="1:18" x14ac:dyDescent="0.25">
      <c r="A1858" s="169">
        <v>44749</v>
      </c>
      <c r="B1858" s="115">
        <v>306.02999999999997</v>
      </c>
      <c r="C1858" s="115">
        <v>299.85000000000002</v>
      </c>
      <c r="D1858" s="115">
        <v>292.57</v>
      </c>
      <c r="E1858" s="115">
        <v>292.57</v>
      </c>
      <c r="F1858" s="115">
        <v>1499.25</v>
      </c>
      <c r="G1858">
        <v>1465</v>
      </c>
      <c r="H1858" s="115"/>
      <c r="I1858" s="115"/>
      <c r="L1858" s="169">
        <v>44741</v>
      </c>
      <c r="M1858" s="115">
        <v>293.24</v>
      </c>
      <c r="N1858" s="115">
        <v>295.39999999999998</v>
      </c>
      <c r="O1858" s="115">
        <v>290.01</v>
      </c>
      <c r="P1858" s="115">
        <v>293.60000000000002</v>
      </c>
      <c r="Q1858" s="115">
        <v>1466.2</v>
      </c>
      <c r="R1858">
        <v>23131</v>
      </c>
    </row>
    <row r="1859" spans="1:18" x14ac:dyDescent="0.25">
      <c r="A1859" s="169">
        <v>44750</v>
      </c>
      <c r="B1859" s="115">
        <v>301</v>
      </c>
      <c r="C1859" s="115">
        <v>296.95</v>
      </c>
      <c r="D1859" s="115">
        <v>296</v>
      </c>
      <c r="E1859" s="115">
        <v>298.87</v>
      </c>
      <c r="F1859" s="115">
        <v>1484.75</v>
      </c>
      <c r="G1859">
        <v>768</v>
      </c>
      <c r="H1859" s="115"/>
      <c r="I1859" s="115"/>
      <c r="L1859" s="169">
        <v>44742</v>
      </c>
      <c r="M1859" s="115">
        <v>296.75</v>
      </c>
      <c r="N1859" s="115">
        <v>303.76</v>
      </c>
      <c r="O1859" s="115">
        <v>288.85000000000002</v>
      </c>
      <c r="P1859" s="115">
        <v>292.44</v>
      </c>
      <c r="Q1859" s="115">
        <v>1483.75</v>
      </c>
      <c r="R1859">
        <v>16188</v>
      </c>
    </row>
    <row r="1860" spans="1:18" x14ac:dyDescent="0.25">
      <c r="A1860" s="169">
        <v>44753</v>
      </c>
      <c r="B1860" s="115">
        <v>324.89999999999998</v>
      </c>
      <c r="C1860" s="115">
        <v>290.35000000000002</v>
      </c>
      <c r="D1860" s="115">
        <v>288</v>
      </c>
      <c r="E1860" s="115">
        <v>308</v>
      </c>
      <c r="F1860" s="115">
        <v>1451.75</v>
      </c>
      <c r="G1860">
        <v>13075</v>
      </c>
      <c r="H1860" s="115"/>
      <c r="I1860" s="115"/>
      <c r="L1860" s="169">
        <v>44743</v>
      </c>
      <c r="M1860" s="115">
        <v>292.48</v>
      </c>
      <c r="N1860" s="115">
        <v>297.35000000000002</v>
      </c>
      <c r="O1860" s="115">
        <v>288.11</v>
      </c>
      <c r="P1860" s="115">
        <v>293.99</v>
      </c>
      <c r="Q1860" s="115">
        <v>1462.4</v>
      </c>
      <c r="R1860">
        <v>12349</v>
      </c>
    </row>
    <row r="1861" spans="1:18" x14ac:dyDescent="0.25">
      <c r="A1861" s="169">
        <v>44754</v>
      </c>
      <c r="B1861" s="115">
        <v>291.51</v>
      </c>
      <c r="C1861" s="115">
        <v>290.18</v>
      </c>
      <c r="D1861" s="115">
        <v>287.14</v>
      </c>
      <c r="E1861" s="115">
        <v>290.35000000000002</v>
      </c>
      <c r="F1861" s="115">
        <v>1450.9</v>
      </c>
      <c r="G1861">
        <v>1497</v>
      </c>
      <c r="H1861" s="115"/>
      <c r="I1861" s="115"/>
      <c r="L1861" s="169">
        <v>44746</v>
      </c>
      <c r="M1861" s="115">
        <v>295.55</v>
      </c>
      <c r="N1861" s="115">
        <v>307.88</v>
      </c>
      <c r="O1861" s="115">
        <v>293.95</v>
      </c>
      <c r="P1861" s="115">
        <v>293.95</v>
      </c>
      <c r="Q1861" s="115">
        <v>1477.75</v>
      </c>
      <c r="R1861">
        <v>42099</v>
      </c>
    </row>
    <row r="1862" spans="1:18" x14ac:dyDescent="0.25">
      <c r="A1862" s="169">
        <v>44755</v>
      </c>
      <c r="B1862" s="115">
        <v>292.38</v>
      </c>
      <c r="C1862" s="115">
        <v>289.77999999999997</v>
      </c>
      <c r="D1862" s="115">
        <v>288.43</v>
      </c>
      <c r="E1862" s="115">
        <v>290.67</v>
      </c>
      <c r="F1862" s="115">
        <v>1448.9</v>
      </c>
      <c r="G1862">
        <v>1460</v>
      </c>
      <c r="H1862" s="115"/>
      <c r="I1862" s="115"/>
      <c r="L1862" s="169">
        <v>44747</v>
      </c>
      <c r="M1862" s="115">
        <v>289.83</v>
      </c>
      <c r="N1862" s="115">
        <v>297.91000000000003</v>
      </c>
      <c r="O1862" s="115">
        <v>286.39999999999998</v>
      </c>
      <c r="P1862" s="115">
        <v>294.39999999999998</v>
      </c>
      <c r="Q1862" s="115">
        <v>1449.15</v>
      </c>
      <c r="R1862">
        <v>27321</v>
      </c>
    </row>
    <row r="1863" spans="1:18" x14ac:dyDescent="0.25">
      <c r="A1863" s="169">
        <v>44756</v>
      </c>
      <c r="B1863" s="115">
        <v>291.70999999999998</v>
      </c>
      <c r="C1863" s="115">
        <v>290.89999999999998</v>
      </c>
      <c r="D1863" s="115">
        <v>285.22000000000003</v>
      </c>
      <c r="E1863" s="115">
        <v>289.12</v>
      </c>
      <c r="F1863" s="115">
        <v>1454.5</v>
      </c>
      <c r="G1863">
        <v>2118</v>
      </c>
      <c r="H1863" s="115"/>
      <c r="I1863" s="115"/>
      <c r="L1863" s="169">
        <v>44748</v>
      </c>
      <c r="M1863" s="115">
        <v>291.99</v>
      </c>
      <c r="N1863" s="115">
        <v>294.01</v>
      </c>
      <c r="O1863" s="115">
        <v>288</v>
      </c>
      <c r="P1863" s="115">
        <v>290.39999999999998</v>
      </c>
      <c r="Q1863" s="115">
        <v>1459.95</v>
      </c>
      <c r="R1863">
        <v>10030</v>
      </c>
    </row>
    <row r="1864" spans="1:18" x14ac:dyDescent="0.25">
      <c r="A1864" s="169">
        <v>44757</v>
      </c>
      <c r="B1864" s="115">
        <v>297.56</v>
      </c>
      <c r="C1864" s="115">
        <v>286.14999999999998</v>
      </c>
      <c r="D1864" s="115">
        <v>283.08999999999997</v>
      </c>
      <c r="E1864" s="115">
        <v>297.56</v>
      </c>
      <c r="F1864" s="115">
        <v>1430.75</v>
      </c>
      <c r="G1864">
        <v>454</v>
      </c>
      <c r="H1864" s="115"/>
      <c r="I1864" s="115"/>
      <c r="L1864" s="169">
        <v>44749</v>
      </c>
      <c r="M1864" s="115">
        <v>299.08999999999997</v>
      </c>
      <c r="N1864" s="115">
        <v>305.8</v>
      </c>
      <c r="O1864" s="115">
        <v>290.83</v>
      </c>
      <c r="P1864" s="115">
        <v>290.83</v>
      </c>
      <c r="Q1864" s="115">
        <v>1495.45</v>
      </c>
      <c r="R1864">
        <v>24275</v>
      </c>
    </row>
    <row r="1865" spans="1:18" x14ac:dyDescent="0.25">
      <c r="A1865" s="169">
        <v>44760</v>
      </c>
      <c r="B1865" s="115">
        <v>290.99</v>
      </c>
      <c r="C1865" s="115">
        <v>288.61</v>
      </c>
      <c r="D1865" s="115">
        <v>287.60000000000002</v>
      </c>
      <c r="E1865" s="115">
        <v>289.95999999999998</v>
      </c>
      <c r="F1865" s="115">
        <v>1443.05</v>
      </c>
      <c r="G1865">
        <v>311</v>
      </c>
      <c r="H1865" s="115"/>
      <c r="I1865" s="115"/>
      <c r="L1865" s="169">
        <v>44750</v>
      </c>
      <c r="M1865" s="115">
        <v>297.41000000000003</v>
      </c>
      <c r="N1865" s="115">
        <v>301.47000000000003</v>
      </c>
      <c r="O1865" s="115">
        <v>296.05</v>
      </c>
      <c r="P1865" s="115">
        <v>300.58999999999997</v>
      </c>
      <c r="Q1865" s="115">
        <v>1487.05</v>
      </c>
      <c r="R1865">
        <v>23746</v>
      </c>
    </row>
    <row r="1866" spans="1:18" x14ac:dyDescent="0.25">
      <c r="A1866" s="169">
        <v>44761</v>
      </c>
      <c r="B1866" s="115">
        <v>306</v>
      </c>
      <c r="C1866" s="115">
        <v>286.3</v>
      </c>
      <c r="D1866" s="115">
        <v>286</v>
      </c>
      <c r="E1866" s="115">
        <v>306</v>
      </c>
      <c r="F1866" s="115">
        <v>1431.5</v>
      </c>
      <c r="G1866">
        <v>1603</v>
      </c>
      <c r="H1866" s="115"/>
      <c r="I1866" s="115"/>
      <c r="L1866" s="169">
        <v>44753</v>
      </c>
      <c r="M1866" s="115">
        <v>291.32</v>
      </c>
      <c r="N1866" s="115">
        <v>324.77999999999997</v>
      </c>
      <c r="O1866" s="115">
        <v>287.52999999999997</v>
      </c>
      <c r="P1866" s="115">
        <v>306</v>
      </c>
      <c r="Q1866" s="115">
        <v>1456.6</v>
      </c>
      <c r="R1866">
        <v>269537</v>
      </c>
    </row>
    <row r="1867" spans="1:18" x14ac:dyDescent="0.25">
      <c r="A1867" s="169">
        <v>44762</v>
      </c>
      <c r="B1867" s="115">
        <v>292.66000000000003</v>
      </c>
      <c r="C1867" s="115">
        <v>290.81</v>
      </c>
      <c r="D1867" s="115">
        <v>288.06</v>
      </c>
      <c r="E1867" s="115">
        <v>288.06</v>
      </c>
      <c r="F1867" s="115">
        <v>1454.05</v>
      </c>
      <c r="G1867">
        <v>652</v>
      </c>
      <c r="H1867" s="115"/>
      <c r="I1867" s="115"/>
      <c r="L1867" s="169">
        <v>44754</v>
      </c>
      <c r="M1867" s="115">
        <v>290.43</v>
      </c>
      <c r="N1867" s="115">
        <v>292.04000000000002</v>
      </c>
      <c r="O1867" s="115">
        <v>287.06</v>
      </c>
      <c r="P1867" s="115">
        <v>290</v>
      </c>
      <c r="Q1867" s="115">
        <v>1452.15</v>
      </c>
      <c r="R1867">
        <v>121936</v>
      </c>
    </row>
    <row r="1868" spans="1:18" x14ac:dyDescent="0.25">
      <c r="A1868" s="169">
        <v>44763</v>
      </c>
      <c r="B1868" s="115">
        <v>294.18</v>
      </c>
      <c r="C1868" s="115">
        <v>289.67</v>
      </c>
      <c r="D1868" s="115">
        <v>289.2</v>
      </c>
      <c r="E1868" s="115">
        <v>290.72000000000003</v>
      </c>
      <c r="F1868" s="115">
        <v>1448.35</v>
      </c>
      <c r="G1868">
        <v>2454</v>
      </c>
      <c r="H1868" s="115"/>
      <c r="I1868" s="115"/>
      <c r="L1868" s="169">
        <v>44755</v>
      </c>
      <c r="M1868" s="115">
        <v>289.87</v>
      </c>
      <c r="N1868" s="115">
        <v>297.88</v>
      </c>
      <c r="O1868" s="115">
        <v>288.51</v>
      </c>
      <c r="P1868" s="115">
        <v>297.88</v>
      </c>
      <c r="Q1868" s="115">
        <v>1449.35</v>
      </c>
      <c r="R1868">
        <v>11139</v>
      </c>
    </row>
    <row r="1869" spans="1:18" x14ac:dyDescent="0.25">
      <c r="A1869" s="169">
        <v>44764</v>
      </c>
      <c r="B1869" s="115">
        <v>291.85000000000002</v>
      </c>
      <c r="C1869" s="115">
        <v>288.82</v>
      </c>
      <c r="D1869" s="115">
        <v>287.5</v>
      </c>
      <c r="E1869" s="115">
        <v>290.86</v>
      </c>
      <c r="F1869" s="115">
        <v>1444.1</v>
      </c>
      <c r="G1869">
        <v>2343</v>
      </c>
      <c r="H1869" s="115"/>
      <c r="I1869" s="115"/>
      <c r="L1869" s="169">
        <v>44756</v>
      </c>
      <c r="M1869" s="115">
        <v>289.12</v>
      </c>
      <c r="N1869" s="115">
        <v>292.08999999999997</v>
      </c>
      <c r="O1869" s="115">
        <v>285.2</v>
      </c>
      <c r="P1869" s="115">
        <v>291.32</v>
      </c>
      <c r="Q1869" s="115">
        <v>1445.6</v>
      </c>
      <c r="R1869">
        <v>16702</v>
      </c>
    </row>
    <row r="1870" spans="1:18" x14ac:dyDescent="0.25">
      <c r="A1870" s="169">
        <v>44767</v>
      </c>
      <c r="B1870" s="115">
        <v>292.31</v>
      </c>
      <c r="C1870" s="115">
        <v>291.55</v>
      </c>
      <c r="D1870" s="115">
        <v>289</v>
      </c>
      <c r="E1870" s="115">
        <v>289.82</v>
      </c>
      <c r="F1870" s="115">
        <v>1457.75</v>
      </c>
      <c r="G1870">
        <v>410</v>
      </c>
      <c r="H1870" s="115"/>
      <c r="I1870" s="115"/>
      <c r="L1870" s="169">
        <v>44757</v>
      </c>
      <c r="M1870" s="115">
        <v>286.25</v>
      </c>
      <c r="N1870" s="115">
        <v>290.24</v>
      </c>
      <c r="O1870" s="115">
        <v>286</v>
      </c>
      <c r="P1870" s="115">
        <v>289.52999999999997</v>
      </c>
      <c r="Q1870" s="115">
        <v>1431.25</v>
      </c>
      <c r="R1870">
        <v>5887</v>
      </c>
    </row>
    <row r="1871" spans="1:18" x14ac:dyDescent="0.25">
      <c r="A1871" s="169">
        <v>44768</v>
      </c>
      <c r="B1871" s="115">
        <v>292.27</v>
      </c>
      <c r="C1871" s="115">
        <v>286.04000000000002</v>
      </c>
      <c r="D1871" s="115">
        <v>285.61</v>
      </c>
      <c r="E1871" s="115">
        <v>292.27</v>
      </c>
      <c r="F1871" s="115">
        <v>1430.2</v>
      </c>
      <c r="G1871">
        <v>514</v>
      </c>
      <c r="H1871" s="115"/>
      <c r="I1871" s="115"/>
      <c r="L1871" s="169">
        <v>44760</v>
      </c>
      <c r="M1871" s="115">
        <v>288.60000000000002</v>
      </c>
      <c r="N1871" s="115">
        <v>291.60000000000002</v>
      </c>
      <c r="O1871" s="115">
        <v>287.02</v>
      </c>
      <c r="P1871" s="115">
        <v>289.99</v>
      </c>
      <c r="Q1871" s="115">
        <v>1443</v>
      </c>
      <c r="R1871">
        <v>21755</v>
      </c>
    </row>
    <row r="1872" spans="1:18" x14ac:dyDescent="0.25">
      <c r="A1872" s="169">
        <v>44769</v>
      </c>
      <c r="B1872" s="115">
        <v>288.75</v>
      </c>
      <c r="C1872" s="115">
        <v>284.08</v>
      </c>
      <c r="D1872" s="115">
        <v>282.74</v>
      </c>
      <c r="E1872" s="115">
        <v>288.75</v>
      </c>
      <c r="F1872" s="115">
        <v>1420.4</v>
      </c>
      <c r="G1872">
        <v>384</v>
      </c>
      <c r="H1872" s="115"/>
      <c r="I1872" s="115"/>
      <c r="L1872" s="169">
        <v>44761</v>
      </c>
      <c r="M1872" s="115">
        <v>287.22000000000003</v>
      </c>
      <c r="N1872" s="115">
        <v>290.2</v>
      </c>
      <c r="O1872" s="115">
        <v>285.56</v>
      </c>
      <c r="P1872" s="115">
        <v>290.04000000000002</v>
      </c>
      <c r="Q1872" s="115">
        <v>1436.1</v>
      </c>
      <c r="R1872">
        <v>6532</v>
      </c>
    </row>
    <row r="1873" spans="1:18" x14ac:dyDescent="0.25">
      <c r="A1873" s="169">
        <v>44770</v>
      </c>
      <c r="B1873" s="115">
        <v>290.08999999999997</v>
      </c>
      <c r="C1873" s="115">
        <v>288.10000000000002</v>
      </c>
      <c r="D1873" s="115">
        <v>285.42</v>
      </c>
      <c r="E1873" s="115">
        <v>286.67</v>
      </c>
      <c r="F1873" s="115">
        <v>1440.5</v>
      </c>
      <c r="G1873">
        <v>255</v>
      </c>
      <c r="H1873" s="115"/>
      <c r="I1873" s="115"/>
      <c r="L1873" s="169">
        <v>44762</v>
      </c>
      <c r="M1873" s="115">
        <v>290.39</v>
      </c>
      <c r="N1873" s="115">
        <v>293.39999999999998</v>
      </c>
      <c r="O1873" s="115">
        <v>287.22000000000003</v>
      </c>
      <c r="P1873" s="115">
        <v>287.22000000000003</v>
      </c>
      <c r="Q1873" s="115">
        <v>1451.95</v>
      </c>
      <c r="R1873">
        <v>14163</v>
      </c>
    </row>
    <row r="1874" spans="1:18" x14ac:dyDescent="0.25">
      <c r="A1874" s="169">
        <v>44771</v>
      </c>
      <c r="B1874" s="115">
        <v>296.95</v>
      </c>
      <c r="C1874" s="115">
        <v>295.67</v>
      </c>
      <c r="D1874" s="115">
        <v>289.58</v>
      </c>
      <c r="E1874" s="115">
        <v>289.58</v>
      </c>
      <c r="F1874" s="115">
        <v>1478.35</v>
      </c>
      <c r="G1874">
        <v>1963</v>
      </c>
      <c r="H1874" s="115"/>
      <c r="I1874" s="115"/>
      <c r="L1874" s="169">
        <v>44763</v>
      </c>
      <c r="M1874" s="115">
        <v>290.10000000000002</v>
      </c>
      <c r="N1874" s="115">
        <v>294.19</v>
      </c>
      <c r="O1874" s="115">
        <v>289.2</v>
      </c>
      <c r="P1874" s="115">
        <v>291.85000000000002</v>
      </c>
      <c r="Q1874" s="115">
        <v>1450.5</v>
      </c>
      <c r="R1874">
        <v>17904</v>
      </c>
    </row>
    <row r="1875" spans="1:18" x14ac:dyDescent="0.25">
      <c r="A1875" s="169">
        <v>44774</v>
      </c>
      <c r="B1875" s="115">
        <v>303.5</v>
      </c>
      <c r="C1875" s="115">
        <v>299.86</v>
      </c>
      <c r="D1875" s="115">
        <v>294.81</v>
      </c>
      <c r="E1875" s="115">
        <v>295.52</v>
      </c>
      <c r="F1875" s="115">
        <v>1499.3</v>
      </c>
      <c r="G1875">
        <v>1822</v>
      </c>
      <c r="H1875" s="115"/>
      <c r="I1875" s="115"/>
      <c r="L1875" s="169">
        <v>44764</v>
      </c>
      <c r="M1875" s="115">
        <v>289.83</v>
      </c>
      <c r="N1875" s="115">
        <v>292.01</v>
      </c>
      <c r="O1875" s="115">
        <v>288</v>
      </c>
      <c r="P1875" s="115">
        <v>291.56</v>
      </c>
      <c r="Q1875" s="115">
        <v>1449.15</v>
      </c>
      <c r="R1875">
        <v>21075</v>
      </c>
    </row>
    <row r="1876" spans="1:18" x14ac:dyDescent="0.25">
      <c r="A1876" s="169">
        <v>44775</v>
      </c>
      <c r="B1876" s="115">
        <v>314.39</v>
      </c>
      <c r="C1876" s="115">
        <v>311.62</v>
      </c>
      <c r="D1876" s="115">
        <v>300.61</v>
      </c>
      <c r="E1876" s="115">
        <v>300.61</v>
      </c>
      <c r="F1876" s="115">
        <v>1558.1</v>
      </c>
      <c r="G1876">
        <v>2091</v>
      </c>
      <c r="H1876" s="115"/>
      <c r="I1876" s="115"/>
      <c r="L1876" s="169">
        <v>44767</v>
      </c>
      <c r="M1876" s="115">
        <v>291.68</v>
      </c>
      <c r="N1876" s="115">
        <v>292.98</v>
      </c>
      <c r="O1876" s="115">
        <v>289.05</v>
      </c>
      <c r="P1876" s="115">
        <v>291.77999999999997</v>
      </c>
      <c r="Q1876" s="115">
        <v>1458.4</v>
      </c>
      <c r="R1876">
        <v>5691</v>
      </c>
    </row>
    <row r="1877" spans="1:18" x14ac:dyDescent="0.25">
      <c r="A1877" s="169">
        <v>44776</v>
      </c>
      <c r="B1877" s="115">
        <v>314.70999999999998</v>
      </c>
      <c r="C1877" s="115">
        <v>309.06</v>
      </c>
      <c r="D1877" s="115">
        <v>308.01</v>
      </c>
      <c r="E1877" s="115">
        <v>313.57</v>
      </c>
      <c r="F1877" s="115">
        <v>1545.3</v>
      </c>
      <c r="G1877">
        <v>1473</v>
      </c>
      <c r="H1877" s="115"/>
      <c r="I1877" s="115"/>
      <c r="L1877" s="169">
        <v>44768</v>
      </c>
      <c r="M1877" s="115">
        <v>286.47000000000003</v>
      </c>
      <c r="N1877" s="115">
        <v>293.14</v>
      </c>
      <c r="O1877" s="115">
        <v>286</v>
      </c>
      <c r="P1877" s="115">
        <v>292</v>
      </c>
      <c r="Q1877" s="115">
        <v>1432.35</v>
      </c>
      <c r="R1877">
        <v>13465</v>
      </c>
    </row>
    <row r="1878" spans="1:18" x14ac:dyDescent="0.25">
      <c r="A1878" s="169">
        <v>44777</v>
      </c>
      <c r="B1878" s="115">
        <v>311.85000000000002</v>
      </c>
      <c r="C1878" s="115">
        <v>307.14</v>
      </c>
      <c r="D1878" s="115">
        <v>304.47000000000003</v>
      </c>
      <c r="E1878" s="115">
        <v>311.02999999999997</v>
      </c>
      <c r="F1878" s="115">
        <v>1535.7</v>
      </c>
      <c r="G1878">
        <v>682</v>
      </c>
      <c r="H1878" s="115"/>
      <c r="I1878" s="115"/>
      <c r="L1878" s="169">
        <v>44769</v>
      </c>
      <c r="M1878" s="115">
        <v>284.49</v>
      </c>
      <c r="N1878" s="115">
        <v>288.85000000000002</v>
      </c>
      <c r="O1878" s="115">
        <v>282.3</v>
      </c>
      <c r="P1878" s="115">
        <v>286.22000000000003</v>
      </c>
      <c r="Q1878" s="115">
        <v>1422.45</v>
      </c>
      <c r="R1878">
        <v>9287</v>
      </c>
    </row>
    <row r="1879" spans="1:18" x14ac:dyDescent="0.25">
      <c r="A1879" s="169">
        <v>44778</v>
      </c>
      <c r="B1879" s="115">
        <v>310.61</v>
      </c>
      <c r="C1879" s="115">
        <v>304.27</v>
      </c>
      <c r="D1879" s="115">
        <v>302.86</v>
      </c>
      <c r="E1879" s="115">
        <v>310.61</v>
      </c>
      <c r="F1879" s="115">
        <v>1521.35</v>
      </c>
      <c r="G1879">
        <v>509</v>
      </c>
      <c r="H1879" s="115"/>
      <c r="I1879" s="115"/>
      <c r="L1879" s="169">
        <v>44770</v>
      </c>
      <c r="M1879" s="115">
        <v>288.08</v>
      </c>
      <c r="N1879" s="115">
        <v>290.39</v>
      </c>
      <c r="O1879" s="115">
        <v>285</v>
      </c>
      <c r="P1879" s="115">
        <v>285.39999999999998</v>
      </c>
      <c r="Q1879" s="115">
        <v>1440.4</v>
      </c>
      <c r="R1879">
        <v>10357</v>
      </c>
    </row>
    <row r="1880" spans="1:18" x14ac:dyDescent="0.25">
      <c r="A1880" s="169">
        <v>44781</v>
      </c>
      <c r="B1880" s="115">
        <v>307.07</v>
      </c>
      <c r="C1880" s="115">
        <v>305.97000000000003</v>
      </c>
      <c r="D1880" s="115">
        <v>304.58999999999997</v>
      </c>
      <c r="E1880" s="115">
        <v>306.27999999999997</v>
      </c>
      <c r="F1880" s="115">
        <v>1529.85</v>
      </c>
      <c r="G1880">
        <v>234</v>
      </c>
      <c r="H1880" s="115"/>
      <c r="I1880" s="115"/>
      <c r="L1880" s="169">
        <v>44771</v>
      </c>
      <c r="M1880" s="115">
        <v>295.75</v>
      </c>
      <c r="N1880" s="115">
        <v>296.89999999999998</v>
      </c>
      <c r="O1880" s="115">
        <v>289.52999999999997</v>
      </c>
      <c r="P1880" s="115">
        <v>289.52999999999997</v>
      </c>
      <c r="Q1880" s="115">
        <v>1478.75</v>
      </c>
      <c r="R1880">
        <v>22050</v>
      </c>
    </row>
    <row r="1881" spans="1:18" x14ac:dyDescent="0.25">
      <c r="A1881" s="169">
        <v>44783</v>
      </c>
      <c r="B1881" s="115">
        <v>312.25</v>
      </c>
      <c r="C1881" s="115">
        <v>308.17</v>
      </c>
      <c r="D1881" s="115">
        <v>306.82</v>
      </c>
      <c r="E1881" s="115">
        <v>309.81</v>
      </c>
      <c r="F1881" s="115">
        <v>1540.85</v>
      </c>
      <c r="G1881">
        <v>456</v>
      </c>
      <c r="H1881" s="115"/>
      <c r="I1881" s="115"/>
      <c r="L1881" s="169">
        <v>44774</v>
      </c>
      <c r="M1881" s="115">
        <v>300.58</v>
      </c>
      <c r="N1881" s="115">
        <v>303.8</v>
      </c>
      <c r="O1881" s="115">
        <v>294.04000000000002</v>
      </c>
      <c r="P1881" s="115">
        <v>295.60000000000002</v>
      </c>
      <c r="Q1881" s="115">
        <v>1502.9</v>
      </c>
      <c r="R1881">
        <v>44179</v>
      </c>
    </row>
    <row r="1882" spans="1:18" x14ac:dyDescent="0.25">
      <c r="A1882" s="169">
        <v>44784</v>
      </c>
      <c r="B1882" s="115">
        <v>323.14999999999998</v>
      </c>
      <c r="C1882" s="115">
        <v>316.51</v>
      </c>
      <c r="D1882" s="115">
        <v>312.02999999999997</v>
      </c>
      <c r="E1882" s="115">
        <v>313.87</v>
      </c>
      <c r="F1882" s="115">
        <v>1582.55</v>
      </c>
      <c r="G1882">
        <v>2088</v>
      </c>
      <c r="H1882" s="115"/>
      <c r="I1882" s="115"/>
      <c r="L1882" s="169">
        <v>44775</v>
      </c>
      <c r="M1882" s="115">
        <v>311.91000000000003</v>
      </c>
      <c r="N1882" s="115">
        <v>314.39999999999998</v>
      </c>
      <c r="O1882" s="115">
        <v>300.33</v>
      </c>
      <c r="P1882" s="115">
        <v>300.39999999999998</v>
      </c>
      <c r="Q1882" s="115">
        <v>1559.55</v>
      </c>
      <c r="R1882">
        <v>47950</v>
      </c>
    </row>
    <row r="1883" spans="1:18" x14ac:dyDescent="0.25">
      <c r="A1883" s="169">
        <v>44785</v>
      </c>
      <c r="B1883" s="115">
        <v>346.66</v>
      </c>
      <c r="C1883" s="115">
        <v>342.64</v>
      </c>
      <c r="D1883" s="115">
        <v>325.29000000000002</v>
      </c>
      <c r="E1883" s="115">
        <v>329.4</v>
      </c>
      <c r="F1883" s="115">
        <v>1713.2</v>
      </c>
      <c r="G1883">
        <v>17724</v>
      </c>
      <c r="H1883" s="115"/>
      <c r="I1883" s="115"/>
      <c r="L1883" s="169">
        <v>44776</v>
      </c>
      <c r="M1883" s="115">
        <v>310.20999999999998</v>
      </c>
      <c r="N1883" s="115">
        <v>315.2</v>
      </c>
      <c r="O1883" s="115">
        <v>308.11</v>
      </c>
      <c r="P1883" s="115">
        <v>312</v>
      </c>
      <c r="Q1883" s="115">
        <v>1551.05</v>
      </c>
      <c r="R1883">
        <v>14645</v>
      </c>
    </row>
    <row r="1884" spans="1:18" x14ac:dyDescent="0.25">
      <c r="A1884" s="169">
        <v>44789</v>
      </c>
      <c r="B1884" s="115">
        <v>366.8</v>
      </c>
      <c r="C1884" s="115">
        <v>363.91</v>
      </c>
      <c r="D1884" s="115">
        <v>345.12</v>
      </c>
      <c r="E1884" s="115">
        <v>356</v>
      </c>
      <c r="F1884" s="115">
        <v>1819.55</v>
      </c>
      <c r="G1884">
        <v>9260</v>
      </c>
      <c r="H1884" s="115"/>
      <c r="I1884" s="115"/>
      <c r="L1884" s="169">
        <v>44777</v>
      </c>
      <c r="M1884" s="115">
        <v>307.39999999999998</v>
      </c>
      <c r="N1884" s="115">
        <v>312.38</v>
      </c>
      <c r="O1884" s="115">
        <v>304</v>
      </c>
      <c r="P1884" s="115">
        <v>309</v>
      </c>
      <c r="Q1884" s="115">
        <v>1537</v>
      </c>
      <c r="R1884">
        <v>8162</v>
      </c>
    </row>
    <row r="1885" spans="1:18" x14ac:dyDescent="0.25">
      <c r="A1885" s="169">
        <v>44790</v>
      </c>
      <c r="B1885" s="115">
        <v>365.54</v>
      </c>
      <c r="C1885" s="115">
        <v>358.59</v>
      </c>
      <c r="D1885" s="115">
        <v>356.51</v>
      </c>
      <c r="E1885" s="115">
        <v>365</v>
      </c>
      <c r="F1885" s="115">
        <v>1792.95</v>
      </c>
      <c r="G1885">
        <v>6246</v>
      </c>
      <c r="H1885" s="115"/>
      <c r="I1885" s="115"/>
      <c r="L1885" s="169">
        <v>44778</v>
      </c>
      <c r="M1885" s="115">
        <v>304.36</v>
      </c>
      <c r="N1885" s="115">
        <v>310.76</v>
      </c>
      <c r="O1885" s="115">
        <v>302.98</v>
      </c>
      <c r="P1885" s="115">
        <v>309.7</v>
      </c>
      <c r="Q1885" s="115">
        <v>1521.8</v>
      </c>
      <c r="R1885">
        <v>12101</v>
      </c>
    </row>
    <row r="1886" spans="1:18" x14ac:dyDescent="0.25">
      <c r="A1886" s="169">
        <v>44791</v>
      </c>
      <c r="B1886" s="115">
        <v>361.24</v>
      </c>
      <c r="C1886" s="115">
        <v>355.63</v>
      </c>
      <c r="D1886" s="115">
        <v>352.6</v>
      </c>
      <c r="E1886" s="115">
        <v>359.6</v>
      </c>
      <c r="F1886" s="115">
        <v>1778.15</v>
      </c>
      <c r="G1886">
        <v>2428</v>
      </c>
      <c r="H1886" s="115"/>
      <c r="I1886" s="115"/>
      <c r="L1886" s="169">
        <v>44781</v>
      </c>
      <c r="M1886" s="115">
        <v>306.45999999999998</v>
      </c>
      <c r="N1886" s="115">
        <v>308</v>
      </c>
      <c r="O1886" s="115">
        <v>304.3</v>
      </c>
      <c r="P1886" s="115">
        <v>305.89</v>
      </c>
      <c r="Q1886" s="115">
        <v>1532.3</v>
      </c>
      <c r="R1886">
        <v>5615</v>
      </c>
    </row>
    <row r="1887" spans="1:18" x14ac:dyDescent="0.25">
      <c r="A1887" s="169">
        <v>44792</v>
      </c>
      <c r="B1887" s="115">
        <v>357.39</v>
      </c>
      <c r="C1887" s="115">
        <v>354.93</v>
      </c>
      <c r="D1887" s="115">
        <v>350.8</v>
      </c>
      <c r="E1887" s="115">
        <v>354.27</v>
      </c>
      <c r="F1887" s="115">
        <v>1774.65</v>
      </c>
      <c r="G1887">
        <v>1004</v>
      </c>
      <c r="H1887" s="115"/>
      <c r="I1887" s="115"/>
      <c r="L1887" s="169">
        <v>44783</v>
      </c>
      <c r="M1887" s="115">
        <v>307.77</v>
      </c>
      <c r="N1887" s="115">
        <v>312.39999999999998</v>
      </c>
      <c r="O1887" s="115">
        <v>306.19</v>
      </c>
      <c r="P1887" s="115">
        <v>307.60000000000002</v>
      </c>
      <c r="Q1887" s="115">
        <v>1538.85</v>
      </c>
      <c r="R1887">
        <v>17908</v>
      </c>
    </row>
    <row r="1888" spans="1:18" x14ac:dyDescent="0.25">
      <c r="A1888" s="169">
        <v>44795</v>
      </c>
      <c r="B1888" s="115">
        <v>368</v>
      </c>
      <c r="C1888" s="115">
        <v>362.15</v>
      </c>
      <c r="D1888" s="115">
        <v>351.48</v>
      </c>
      <c r="E1888" s="115">
        <v>354.48</v>
      </c>
      <c r="F1888" s="115">
        <v>1810.75</v>
      </c>
      <c r="G1888">
        <v>1921</v>
      </c>
      <c r="H1888" s="115"/>
      <c r="I1888" s="115"/>
      <c r="L1888" s="169">
        <v>44784</v>
      </c>
      <c r="M1888" s="115">
        <v>316.73</v>
      </c>
      <c r="N1888" s="115">
        <v>322.8</v>
      </c>
      <c r="O1888" s="115">
        <v>312.01</v>
      </c>
      <c r="P1888" s="115">
        <v>312.99</v>
      </c>
      <c r="Q1888" s="115">
        <v>1583.65</v>
      </c>
      <c r="R1888">
        <v>55821</v>
      </c>
    </row>
    <row r="1889" spans="1:18" x14ac:dyDescent="0.25">
      <c r="A1889" s="169">
        <v>44796</v>
      </c>
      <c r="B1889" s="115">
        <v>372.15</v>
      </c>
      <c r="C1889" s="115">
        <v>366.02</v>
      </c>
      <c r="D1889" s="115">
        <v>364</v>
      </c>
      <c r="E1889" s="115">
        <v>364</v>
      </c>
      <c r="F1889" s="115">
        <v>1830.1</v>
      </c>
      <c r="G1889">
        <v>1602</v>
      </c>
      <c r="H1889" s="115"/>
      <c r="I1889" s="115"/>
      <c r="L1889" s="169">
        <v>44785</v>
      </c>
      <c r="M1889" s="115">
        <v>342.47</v>
      </c>
      <c r="N1889" s="115">
        <v>347</v>
      </c>
      <c r="O1889" s="115">
        <v>321.8</v>
      </c>
      <c r="P1889" s="115">
        <v>321.8</v>
      </c>
      <c r="Q1889" s="115">
        <v>1712.35</v>
      </c>
      <c r="R1889">
        <v>332479</v>
      </c>
    </row>
    <row r="1890" spans="1:18" x14ac:dyDescent="0.25">
      <c r="A1890" s="169">
        <v>44797</v>
      </c>
      <c r="B1890" s="115">
        <v>387.78</v>
      </c>
      <c r="C1890" s="115">
        <v>381.77</v>
      </c>
      <c r="D1890" s="115">
        <v>368</v>
      </c>
      <c r="E1890" s="115">
        <v>371.49</v>
      </c>
      <c r="F1890" s="115">
        <v>1908.85</v>
      </c>
      <c r="G1890">
        <v>5527</v>
      </c>
      <c r="H1890" s="115"/>
      <c r="I1890" s="115"/>
      <c r="L1890" s="169">
        <v>44789</v>
      </c>
      <c r="M1890" s="115">
        <v>363.72</v>
      </c>
      <c r="N1890" s="115">
        <v>367</v>
      </c>
      <c r="O1890" s="115">
        <v>344.65</v>
      </c>
      <c r="P1890" s="115">
        <v>348.4</v>
      </c>
      <c r="Q1890" s="115">
        <v>1818.6</v>
      </c>
      <c r="R1890">
        <v>152995</v>
      </c>
    </row>
    <row r="1891" spans="1:18" x14ac:dyDescent="0.25">
      <c r="A1891" s="169">
        <v>44798</v>
      </c>
      <c r="B1891" s="115">
        <v>389.56</v>
      </c>
      <c r="C1891" s="115">
        <v>385.72</v>
      </c>
      <c r="D1891" s="115">
        <v>381.16</v>
      </c>
      <c r="E1891" s="115">
        <v>389.56</v>
      </c>
      <c r="F1891" s="115">
        <v>1928.6</v>
      </c>
      <c r="G1891">
        <v>3889</v>
      </c>
      <c r="H1891" s="115"/>
      <c r="I1891" s="115"/>
      <c r="L1891" s="169">
        <v>44790</v>
      </c>
      <c r="M1891" s="115">
        <v>358.09</v>
      </c>
      <c r="N1891" s="115">
        <v>367</v>
      </c>
      <c r="O1891" s="115">
        <v>357</v>
      </c>
      <c r="P1891" s="115">
        <v>364</v>
      </c>
      <c r="Q1891" s="115">
        <v>1790.45</v>
      </c>
      <c r="R1891">
        <v>65638</v>
      </c>
    </row>
    <row r="1892" spans="1:18" x14ac:dyDescent="0.25">
      <c r="A1892" s="169">
        <v>44799</v>
      </c>
      <c r="B1892" s="115">
        <v>389.74</v>
      </c>
      <c r="C1892" s="115">
        <v>382.33</v>
      </c>
      <c r="D1892" s="115">
        <v>378.02</v>
      </c>
      <c r="E1892" s="115">
        <v>387.58</v>
      </c>
      <c r="F1892" s="115">
        <v>1911.65</v>
      </c>
      <c r="G1892">
        <v>933</v>
      </c>
      <c r="H1892" s="115"/>
      <c r="I1892" s="115"/>
      <c r="L1892" s="169">
        <v>44791</v>
      </c>
      <c r="M1892" s="115">
        <v>355.95</v>
      </c>
      <c r="N1892" s="115">
        <v>362</v>
      </c>
      <c r="O1892" s="115">
        <v>352.52</v>
      </c>
      <c r="P1892" s="115">
        <v>359.89</v>
      </c>
      <c r="Q1892" s="115">
        <v>1779.75</v>
      </c>
      <c r="R1892">
        <v>25600</v>
      </c>
    </row>
    <row r="1893" spans="1:18" x14ac:dyDescent="0.25">
      <c r="A1893" s="169">
        <v>44802</v>
      </c>
      <c r="B1893" s="115">
        <v>379.07</v>
      </c>
      <c r="C1893" s="115">
        <v>368.76</v>
      </c>
      <c r="D1893" s="115">
        <v>360.72</v>
      </c>
      <c r="E1893" s="115">
        <v>360.72</v>
      </c>
      <c r="F1893" s="115">
        <v>1843.8</v>
      </c>
      <c r="G1893">
        <v>2024</v>
      </c>
      <c r="H1893" s="115"/>
      <c r="I1893" s="115"/>
      <c r="L1893" s="169">
        <v>44792</v>
      </c>
      <c r="M1893" s="115">
        <v>355.57</v>
      </c>
      <c r="N1893" s="115">
        <v>358</v>
      </c>
      <c r="O1893" s="115">
        <v>351</v>
      </c>
      <c r="P1893" s="115">
        <v>358</v>
      </c>
      <c r="Q1893" s="115">
        <v>1777.85</v>
      </c>
      <c r="R1893">
        <v>16707</v>
      </c>
    </row>
    <row r="1894" spans="1:18" x14ac:dyDescent="0.25">
      <c r="A1894" s="169">
        <v>44803</v>
      </c>
      <c r="B1894" s="115">
        <v>384.36</v>
      </c>
      <c r="C1894" s="115">
        <v>382.71</v>
      </c>
      <c r="D1894" s="115">
        <v>370.2</v>
      </c>
      <c r="E1894" s="115">
        <v>370.2</v>
      </c>
      <c r="F1894" s="115">
        <v>1913.55</v>
      </c>
      <c r="G1894">
        <v>456</v>
      </c>
      <c r="H1894" s="115"/>
      <c r="I1894" s="115"/>
      <c r="L1894" s="169">
        <v>44795</v>
      </c>
      <c r="M1894" s="115">
        <v>362.53</v>
      </c>
      <c r="N1894" s="115">
        <v>367.99</v>
      </c>
      <c r="O1894" s="115">
        <v>351.24</v>
      </c>
      <c r="P1894" s="115">
        <v>356.79</v>
      </c>
      <c r="Q1894" s="115">
        <v>1812.65</v>
      </c>
      <c r="R1894">
        <v>54006</v>
      </c>
    </row>
    <row r="1895" spans="1:18" x14ac:dyDescent="0.25">
      <c r="A1895" s="169">
        <v>44805</v>
      </c>
      <c r="B1895" s="115">
        <v>389.6</v>
      </c>
      <c r="C1895" s="115">
        <v>383.07</v>
      </c>
      <c r="D1895" s="115">
        <v>375.2</v>
      </c>
      <c r="E1895" s="115">
        <v>375.2</v>
      </c>
      <c r="F1895" s="115">
        <v>1915.35</v>
      </c>
      <c r="G1895">
        <v>1338</v>
      </c>
      <c r="H1895" s="115"/>
      <c r="I1895" s="115"/>
      <c r="L1895" s="169">
        <v>44796</v>
      </c>
      <c r="M1895" s="115">
        <v>365.78</v>
      </c>
      <c r="N1895" s="115">
        <v>372.79</v>
      </c>
      <c r="O1895" s="115">
        <v>360</v>
      </c>
      <c r="P1895" s="115">
        <v>362.53</v>
      </c>
      <c r="Q1895" s="115">
        <v>1828.9</v>
      </c>
      <c r="R1895">
        <v>41902</v>
      </c>
    </row>
    <row r="1896" spans="1:18" x14ac:dyDescent="0.25">
      <c r="A1896" s="169">
        <v>44806</v>
      </c>
      <c r="B1896" s="115">
        <v>391.88</v>
      </c>
      <c r="C1896" s="115">
        <v>388.54</v>
      </c>
      <c r="D1896" s="115">
        <v>383.07</v>
      </c>
      <c r="E1896" s="115">
        <v>383.07</v>
      </c>
      <c r="F1896" s="115">
        <v>1942.7</v>
      </c>
      <c r="G1896">
        <v>1179</v>
      </c>
      <c r="H1896" s="115"/>
      <c r="I1896" s="115"/>
      <c r="L1896" s="169">
        <v>44797</v>
      </c>
      <c r="M1896" s="115">
        <v>382.56</v>
      </c>
      <c r="N1896" s="115">
        <v>387</v>
      </c>
      <c r="O1896" s="115">
        <v>366.4</v>
      </c>
      <c r="P1896" s="115">
        <v>366.4</v>
      </c>
      <c r="Q1896" s="115">
        <v>1912.8</v>
      </c>
      <c r="R1896">
        <v>47203</v>
      </c>
    </row>
    <row r="1897" spans="1:18" x14ac:dyDescent="0.25">
      <c r="A1897" s="169">
        <v>44809</v>
      </c>
      <c r="B1897" s="115">
        <v>396.74</v>
      </c>
      <c r="C1897" s="115">
        <v>388.44</v>
      </c>
      <c r="D1897" s="115">
        <v>382.06</v>
      </c>
      <c r="E1897" s="115">
        <v>391.08</v>
      </c>
      <c r="F1897" s="115">
        <v>1942.2</v>
      </c>
      <c r="G1897">
        <v>1786</v>
      </c>
      <c r="H1897" s="115"/>
      <c r="I1897" s="115"/>
      <c r="L1897" s="169">
        <v>44798</v>
      </c>
      <c r="M1897" s="115">
        <v>385.99</v>
      </c>
      <c r="N1897" s="115">
        <v>389.8</v>
      </c>
      <c r="O1897" s="115">
        <v>380.69</v>
      </c>
      <c r="P1897" s="115">
        <v>386</v>
      </c>
      <c r="Q1897" s="115">
        <v>1929.95</v>
      </c>
      <c r="R1897">
        <v>46036</v>
      </c>
    </row>
    <row r="1898" spans="1:18" x14ac:dyDescent="0.25">
      <c r="A1898" s="169">
        <v>44810</v>
      </c>
      <c r="B1898" s="115">
        <v>390.01</v>
      </c>
      <c r="C1898" s="115">
        <v>385.37</v>
      </c>
      <c r="D1898" s="115">
        <v>378.07</v>
      </c>
      <c r="E1898" s="115">
        <v>390</v>
      </c>
      <c r="F1898" s="115">
        <v>1926.85</v>
      </c>
      <c r="G1898">
        <v>1168</v>
      </c>
      <c r="H1898" s="115"/>
      <c r="I1898" s="115"/>
      <c r="L1898" s="169">
        <v>44799</v>
      </c>
      <c r="M1898" s="115">
        <v>381.79</v>
      </c>
      <c r="N1898" s="115">
        <v>389.8</v>
      </c>
      <c r="O1898" s="115">
        <v>376</v>
      </c>
      <c r="P1898" s="115">
        <v>386.42</v>
      </c>
      <c r="Q1898" s="115">
        <v>1908.95</v>
      </c>
      <c r="R1898">
        <v>48460</v>
      </c>
    </row>
    <row r="1899" spans="1:18" x14ac:dyDescent="0.25">
      <c r="A1899" s="169">
        <v>44811</v>
      </c>
      <c r="B1899" s="115">
        <v>391.31</v>
      </c>
      <c r="C1899" s="115">
        <v>388.58</v>
      </c>
      <c r="D1899" s="115">
        <v>384.02</v>
      </c>
      <c r="E1899" s="115">
        <v>385.21</v>
      </c>
      <c r="F1899" s="115">
        <v>1942.9</v>
      </c>
      <c r="G1899">
        <v>1332</v>
      </c>
      <c r="H1899" s="115"/>
      <c r="I1899" s="115"/>
      <c r="L1899" s="169">
        <v>44802</v>
      </c>
      <c r="M1899" s="115">
        <v>371.02</v>
      </c>
      <c r="N1899" s="115">
        <v>379.6</v>
      </c>
      <c r="O1899" s="115">
        <v>366.53</v>
      </c>
      <c r="P1899" s="115">
        <v>372.02</v>
      </c>
      <c r="Q1899" s="115">
        <v>1855.1</v>
      </c>
      <c r="R1899">
        <v>18631</v>
      </c>
    </row>
    <row r="1900" spans="1:18" x14ac:dyDescent="0.25">
      <c r="A1900" s="169">
        <v>44812</v>
      </c>
      <c r="B1900" s="115">
        <v>416.64</v>
      </c>
      <c r="C1900" s="115">
        <v>410.28</v>
      </c>
      <c r="D1900" s="115">
        <v>389.98</v>
      </c>
      <c r="E1900" s="115">
        <v>389.98</v>
      </c>
      <c r="F1900" s="115">
        <v>2051.4</v>
      </c>
      <c r="G1900">
        <v>8882</v>
      </c>
      <c r="H1900" s="115"/>
      <c r="I1900" s="115"/>
      <c r="L1900" s="169">
        <v>44803</v>
      </c>
      <c r="M1900" s="115">
        <v>382.69</v>
      </c>
      <c r="N1900" s="115">
        <v>384</v>
      </c>
      <c r="O1900" s="115">
        <v>373.57</v>
      </c>
      <c r="P1900" s="115">
        <v>373.9</v>
      </c>
      <c r="Q1900" s="115">
        <v>1913.45</v>
      </c>
      <c r="R1900">
        <v>20135</v>
      </c>
    </row>
    <row r="1901" spans="1:18" x14ac:dyDescent="0.25">
      <c r="A1901" s="169">
        <v>44813</v>
      </c>
      <c r="B1901" s="115">
        <v>419.1</v>
      </c>
      <c r="C1901" s="115">
        <v>406.23</v>
      </c>
      <c r="D1901" s="115">
        <v>402</v>
      </c>
      <c r="E1901" s="115">
        <v>414</v>
      </c>
      <c r="F1901" s="115">
        <v>2031.15</v>
      </c>
      <c r="G1901">
        <v>5259</v>
      </c>
      <c r="H1901" s="115"/>
      <c r="I1901" s="115"/>
      <c r="L1901" s="169">
        <v>44805</v>
      </c>
      <c r="M1901" s="115">
        <v>384.06</v>
      </c>
      <c r="N1901" s="115">
        <v>388.19</v>
      </c>
      <c r="O1901" s="115">
        <v>381</v>
      </c>
      <c r="P1901" s="115">
        <v>381</v>
      </c>
      <c r="Q1901" s="115">
        <v>1920.3</v>
      </c>
      <c r="R1901">
        <v>19540</v>
      </c>
    </row>
    <row r="1902" spans="1:18" x14ac:dyDescent="0.25">
      <c r="A1902" s="169">
        <v>44816</v>
      </c>
      <c r="B1902" s="115">
        <v>411.11</v>
      </c>
      <c r="C1902" s="115">
        <v>406.04</v>
      </c>
      <c r="D1902" s="115">
        <v>395.4</v>
      </c>
      <c r="E1902" s="115">
        <v>395.4</v>
      </c>
      <c r="F1902" s="115">
        <v>2030.2</v>
      </c>
      <c r="G1902">
        <v>3535</v>
      </c>
      <c r="H1902" s="115"/>
      <c r="I1902" s="115"/>
      <c r="L1902" s="169">
        <v>44806</v>
      </c>
      <c r="M1902" s="115">
        <v>388.82</v>
      </c>
      <c r="N1902" s="115">
        <v>392.58</v>
      </c>
      <c r="O1902" s="115">
        <v>381.12</v>
      </c>
      <c r="P1902" s="115">
        <v>381.2</v>
      </c>
      <c r="Q1902" s="115">
        <v>1944.1</v>
      </c>
      <c r="R1902">
        <v>20107</v>
      </c>
    </row>
    <row r="1903" spans="1:18" x14ac:dyDescent="0.25">
      <c r="A1903" s="169">
        <v>44817</v>
      </c>
      <c r="B1903" s="115">
        <v>419.57</v>
      </c>
      <c r="C1903" s="115">
        <v>405.95</v>
      </c>
      <c r="D1903" s="115">
        <v>403.57</v>
      </c>
      <c r="E1903" s="115">
        <v>419.57</v>
      </c>
      <c r="F1903" s="115">
        <v>2029.75</v>
      </c>
      <c r="G1903">
        <v>2013</v>
      </c>
      <c r="H1903" s="115"/>
      <c r="I1903" s="115"/>
      <c r="L1903" s="169">
        <v>44809</v>
      </c>
      <c r="M1903" s="115">
        <v>388.5</v>
      </c>
      <c r="N1903" s="115">
        <v>397.14</v>
      </c>
      <c r="O1903" s="115">
        <v>382.02</v>
      </c>
      <c r="P1903" s="115">
        <v>389.8</v>
      </c>
      <c r="Q1903" s="115">
        <v>1942.5</v>
      </c>
      <c r="R1903">
        <v>22722</v>
      </c>
    </row>
    <row r="1904" spans="1:18" x14ac:dyDescent="0.25">
      <c r="A1904" s="169">
        <v>44818</v>
      </c>
      <c r="B1904" s="115">
        <v>409.67</v>
      </c>
      <c r="C1904" s="115">
        <v>404.07</v>
      </c>
      <c r="D1904" s="115">
        <v>397.9</v>
      </c>
      <c r="E1904" s="115">
        <v>397.9</v>
      </c>
      <c r="F1904" s="115">
        <v>2020.35</v>
      </c>
      <c r="G1904">
        <v>1631</v>
      </c>
      <c r="H1904" s="115"/>
      <c r="I1904" s="115"/>
      <c r="L1904" s="169">
        <v>44810</v>
      </c>
      <c r="M1904" s="115">
        <v>385.68</v>
      </c>
      <c r="N1904" s="115">
        <v>391.99</v>
      </c>
      <c r="O1904" s="115">
        <v>383.43</v>
      </c>
      <c r="P1904" s="115">
        <v>388.5</v>
      </c>
      <c r="Q1904" s="115">
        <v>1928.4</v>
      </c>
      <c r="R1904">
        <v>12897</v>
      </c>
    </row>
    <row r="1905" spans="1:18" x14ac:dyDescent="0.25">
      <c r="A1905" s="169">
        <v>44819</v>
      </c>
      <c r="B1905" s="115">
        <v>403.86</v>
      </c>
      <c r="C1905" s="115">
        <v>388.1</v>
      </c>
      <c r="D1905" s="115">
        <v>385.86</v>
      </c>
      <c r="E1905" s="115">
        <v>403.86</v>
      </c>
      <c r="F1905" s="115">
        <v>1940.5</v>
      </c>
      <c r="G1905">
        <v>3111</v>
      </c>
      <c r="H1905" s="115"/>
      <c r="I1905" s="115"/>
      <c r="L1905" s="169">
        <v>44811</v>
      </c>
      <c r="M1905" s="115">
        <v>388.2</v>
      </c>
      <c r="N1905" s="115">
        <v>391.12</v>
      </c>
      <c r="O1905" s="115">
        <v>383.74</v>
      </c>
      <c r="P1905" s="115">
        <v>387.61</v>
      </c>
      <c r="Q1905" s="115">
        <v>1941</v>
      </c>
      <c r="R1905">
        <v>16224</v>
      </c>
    </row>
    <row r="1906" spans="1:18" x14ac:dyDescent="0.25">
      <c r="A1906" s="169">
        <v>44820</v>
      </c>
      <c r="B1906" s="115">
        <v>394.01</v>
      </c>
      <c r="C1906" s="115">
        <v>376.54</v>
      </c>
      <c r="D1906" s="115">
        <v>374.2</v>
      </c>
      <c r="E1906" s="115">
        <v>390.78</v>
      </c>
      <c r="F1906" s="115">
        <v>1882.7</v>
      </c>
      <c r="G1906">
        <v>2610</v>
      </c>
      <c r="H1906" s="115"/>
      <c r="I1906" s="115"/>
      <c r="L1906" s="169">
        <v>44812</v>
      </c>
      <c r="M1906" s="115">
        <v>410.21</v>
      </c>
      <c r="N1906" s="115">
        <v>417</v>
      </c>
      <c r="O1906" s="115">
        <v>389.22</v>
      </c>
      <c r="P1906" s="115">
        <v>390</v>
      </c>
      <c r="Q1906" s="115">
        <v>2051.0500000000002</v>
      </c>
      <c r="R1906">
        <v>119926</v>
      </c>
    </row>
    <row r="1907" spans="1:18" x14ac:dyDescent="0.25">
      <c r="A1907" s="169">
        <v>44823</v>
      </c>
      <c r="B1907" s="115">
        <v>388.82</v>
      </c>
      <c r="C1907" s="115">
        <v>381.76</v>
      </c>
      <c r="D1907" s="115">
        <v>370.57</v>
      </c>
      <c r="E1907" s="115">
        <v>377.22</v>
      </c>
      <c r="F1907" s="115">
        <v>1908.8</v>
      </c>
      <c r="G1907">
        <v>7012</v>
      </c>
      <c r="H1907" s="115"/>
      <c r="I1907" s="115"/>
      <c r="L1907" s="169">
        <v>44813</v>
      </c>
      <c r="M1907" s="115">
        <v>405.57</v>
      </c>
      <c r="N1907" s="115">
        <v>421.79</v>
      </c>
      <c r="O1907" s="115">
        <v>403</v>
      </c>
      <c r="P1907" s="115">
        <v>416.94</v>
      </c>
      <c r="Q1907" s="115">
        <v>2027.85</v>
      </c>
      <c r="R1907">
        <v>26643</v>
      </c>
    </row>
    <row r="1908" spans="1:18" x14ac:dyDescent="0.25">
      <c r="A1908" s="169">
        <v>44824</v>
      </c>
      <c r="B1908" s="115">
        <v>403.47</v>
      </c>
      <c r="C1908" s="115">
        <v>393.96</v>
      </c>
      <c r="D1908" s="115">
        <v>377.61</v>
      </c>
      <c r="E1908" s="115">
        <v>377.61</v>
      </c>
      <c r="F1908" s="115">
        <v>1969.8</v>
      </c>
      <c r="G1908">
        <v>5266</v>
      </c>
      <c r="H1908" s="115"/>
      <c r="I1908" s="115"/>
      <c r="L1908" s="169">
        <v>44816</v>
      </c>
      <c r="M1908" s="115">
        <v>406.58</v>
      </c>
      <c r="N1908" s="115">
        <v>411.7</v>
      </c>
      <c r="O1908" s="115">
        <v>401.01</v>
      </c>
      <c r="P1908" s="115">
        <v>405.57</v>
      </c>
      <c r="Q1908" s="115">
        <v>2032.9</v>
      </c>
      <c r="R1908">
        <v>20512</v>
      </c>
    </row>
    <row r="1909" spans="1:18" x14ac:dyDescent="0.25">
      <c r="A1909" s="169">
        <v>44825</v>
      </c>
      <c r="B1909" s="115">
        <v>403.91</v>
      </c>
      <c r="C1909" s="115">
        <v>394.5</v>
      </c>
      <c r="D1909" s="115">
        <v>388.55</v>
      </c>
      <c r="E1909" s="115">
        <v>399.99</v>
      </c>
      <c r="F1909" s="115">
        <v>1972.5</v>
      </c>
      <c r="G1909">
        <v>3563</v>
      </c>
      <c r="H1909" s="115"/>
      <c r="I1909" s="115"/>
      <c r="L1909" s="169">
        <v>44817</v>
      </c>
      <c r="M1909" s="115">
        <v>406.02</v>
      </c>
      <c r="N1909" s="115">
        <v>410.63</v>
      </c>
      <c r="O1909" s="115">
        <v>403.6</v>
      </c>
      <c r="P1909" s="115">
        <v>406.4</v>
      </c>
      <c r="Q1909" s="115">
        <v>2030.1</v>
      </c>
      <c r="R1909">
        <v>10589</v>
      </c>
    </row>
    <row r="1910" spans="1:18" x14ac:dyDescent="0.25">
      <c r="A1910" s="169">
        <v>44826</v>
      </c>
      <c r="B1910" s="115">
        <v>398.9</v>
      </c>
      <c r="C1910" s="115">
        <v>396.16</v>
      </c>
      <c r="D1910" s="115">
        <v>386</v>
      </c>
      <c r="E1910" s="115">
        <v>386</v>
      </c>
      <c r="F1910" s="115">
        <v>1980.8</v>
      </c>
      <c r="G1910">
        <v>2064</v>
      </c>
      <c r="H1910" s="115"/>
      <c r="I1910" s="115"/>
      <c r="L1910" s="169">
        <v>44818</v>
      </c>
      <c r="M1910" s="115">
        <v>404.29</v>
      </c>
      <c r="N1910" s="115">
        <v>410</v>
      </c>
      <c r="O1910" s="115">
        <v>398.32</v>
      </c>
      <c r="P1910" s="115">
        <v>400</v>
      </c>
      <c r="Q1910" s="115">
        <v>2021.45</v>
      </c>
      <c r="R1910">
        <v>16818</v>
      </c>
    </row>
    <row r="1911" spans="1:18" x14ac:dyDescent="0.25">
      <c r="A1911" s="169">
        <v>44827</v>
      </c>
      <c r="B1911" s="115">
        <v>397.64</v>
      </c>
      <c r="C1911" s="115">
        <v>380.06</v>
      </c>
      <c r="D1911" s="115">
        <v>372.99</v>
      </c>
      <c r="E1911" s="115">
        <v>396.67</v>
      </c>
      <c r="F1911" s="115">
        <v>1900.3</v>
      </c>
      <c r="G1911">
        <v>2784</v>
      </c>
      <c r="H1911" s="115"/>
      <c r="I1911" s="115"/>
      <c r="L1911" s="169">
        <v>44819</v>
      </c>
      <c r="M1911" s="115">
        <v>388.16</v>
      </c>
      <c r="N1911" s="115">
        <v>407.87</v>
      </c>
      <c r="O1911" s="115">
        <v>384.66</v>
      </c>
      <c r="P1911" s="115">
        <v>400.24</v>
      </c>
      <c r="Q1911" s="115">
        <v>1940.8</v>
      </c>
      <c r="R1911">
        <v>33148</v>
      </c>
    </row>
    <row r="1912" spans="1:18" x14ac:dyDescent="0.25">
      <c r="A1912" s="169">
        <v>44830</v>
      </c>
      <c r="B1912" s="115">
        <v>376.97</v>
      </c>
      <c r="C1912" s="115">
        <v>371.16</v>
      </c>
      <c r="D1912" s="115">
        <v>362</v>
      </c>
      <c r="E1912" s="115">
        <v>365.39</v>
      </c>
      <c r="F1912" s="115">
        <v>1855.8</v>
      </c>
      <c r="G1912">
        <v>5742</v>
      </c>
      <c r="H1912" s="115"/>
      <c r="I1912" s="115"/>
      <c r="L1912" s="169">
        <v>44820</v>
      </c>
      <c r="M1912" s="115">
        <v>377.22</v>
      </c>
      <c r="N1912" s="115">
        <v>393.59</v>
      </c>
      <c r="O1912" s="115">
        <v>374</v>
      </c>
      <c r="P1912" s="115">
        <v>389.16</v>
      </c>
      <c r="Q1912" s="115">
        <v>1886.1</v>
      </c>
      <c r="R1912">
        <v>28254</v>
      </c>
    </row>
    <row r="1913" spans="1:18" x14ac:dyDescent="0.25">
      <c r="A1913" s="169">
        <v>44831</v>
      </c>
      <c r="B1913" s="115">
        <v>379.48</v>
      </c>
      <c r="C1913" s="115">
        <v>375.34</v>
      </c>
      <c r="D1913" s="115">
        <v>366.1</v>
      </c>
      <c r="E1913" s="115">
        <v>366.1</v>
      </c>
      <c r="F1913" s="115">
        <v>1876.7</v>
      </c>
      <c r="G1913">
        <v>1907</v>
      </c>
      <c r="H1913" s="115"/>
      <c r="I1913" s="115"/>
      <c r="L1913" s="169">
        <v>44823</v>
      </c>
      <c r="M1913" s="115">
        <v>381.18</v>
      </c>
      <c r="N1913" s="115">
        <v>389</v>
      </c>
      <c r="O1913" s="115">
        <v>370.45</v>
      </c>
      <c r="P1913" s="115">
        <v>377.2</v>
      </c>
      <c r="Q1913" s="115">
        <v>1905.9</v>
      </c>
      <c r="R1913">
        <v>34702</v>
      </c>
    </row>
    <row r="1914" spans="1:18" x14ac:dyDescent="0.25">
      <c r="A1914" s="169">
        <v>44832</v>
      </c>
      <c r="B1914" s="115">
        <v>394.42</v>
      </c>
      <c r="C1914" s="115">
        <v>386.66</v>
      </c>
      <c r="D1914" s="115">
        <v>374.19</v>
      </c>
      <c r="E1914" s="115">
        <v>375.41</v>
      </c>
      <c r="F1914" s="115">
        <v>1933.3</v>
      </c>
      <c r="G1914">
        <v>2856</v>
      </c>
      <c r="H1914" s="115"/>
      <c r="I1914" s="115"/>
      <c r="L1914" s="169">
        <v>44824</v>
      </c>
      <c r="M1914" s="115">
        <v>398.16</v>
      </c>
      <c r="N1914" s="115">
        <v>403.99</v>
      </c>
      <c r="O1914" s="115">
        <v>382.15</v>
      </c>
      <c r="P1914" s="115">
        <v>382.15</v>
      </c>
      <c r="Q1914" s="115">
        <v>1990.8</v>
      </c>
      <c r="R1914">
        <v>21655</v>
      </c>
    </row>
    <row r="1915" spans="1:18" x14ac:dyDescent="0.25">
      <c r="A1915" s="169">
        <v>44833</v>
      </c>
      <c r="B1915" s="115">
        <v>396.99</v>
      </c>
      <c r="C1915" s="115">
        <v>386.66</v>
      </c>
      <c r="D1915" s="115">
        <v>381.84</v>
      </c>
      <c r="E1915" s="115">
        <v>386.01</v>
      </c>
      <c r="F1915" s="115">
        <v>1933.3</v>
      </c>
      <c r="G1915">
        <v>1805</v>
      </c>
      <c r="H1915" s="115"/>
      <c r="I1915" s="115"/>
      <c r="L1915" s="169">
        <v>44825</v>
      </c>
      <c r="M1915" s="115">
        <v>392.09</v>
      </c>
      <c r="N1915" s="115">
        <v>404</v>
      </c>
      <c r="O1915" s="115">
        <v>386.74</v>
      </c>
      <c r="P1915" s="115">
        <v>397</v>
      </c>
      <c r="Q1915" s="115">
        <v>1960.45</v>
      </c>
      <c r="R1915">
        <v>19651</v>
      </c>
    </row>
    <row r="1916" spans="1:18" x14ac:dyDescent="0.25">
      <c r="A1916" s="169">
        <v>44834</v>
      </c>
      <c r="B1916" s="115">
        <v>405.2</v>
      </c>
      <c r="C1916" s="115">
        <v>401.25</v>
      </c>
      <c r="D1916" s="115">
        <v>387.09</v>
      </c>
      <c r="E1916" s="115">
        <v>388.98</v>
      </c>
      <c r="F1916" s="115">
        <v>2006.25</v>
      </c>
      <c r="G1916">
        <v>3557</v>
      </c>
      <c r="H1916" s="115"/>
      <c r="I1916" s="115"/>
      <c r="L1916" s="169">
        <v>44826</v>
      </c>
      <c r="M1916" s="115">
        <v>395.56</v>
      </c>
      <c r="N1916" s="115">
        <v>398.99</v>
      </c>
      <c r="O1916" s="115">
        <v>390.01</v>
      </c>
      <c r="P1916" s="115">
        <v>392.09</v>
      </c>
      <c r="Q1916" s="115">
        <v>1977.8</v>
      </c>
      <c r="R1916">
        <v>13164</v>
      </c>
    </row>
    <row r="1917" spans="1:18" x14ac:dyDescent="0.25">
      <c r="A1917" s="169">
        <v>44837</v>
      </c>
      <c r="B1917" s="115">
        <v>419</v>
      </c>
      <c r="C1917" s="115">
        <v>409.99</v>
      </c>
      <c r="D1917" s="115">
        <v>394.01</v>
      </c>
      <c r="E1917" s="115">
        <v>394.01</v>
      </c>
      <c r="F1917" s="115">
        <v>2049.9499999999998</v>
      </c>
      <c r="G1917">
        <v>8194</v>
      </c>
      <c r="H1917" s="115"/>
      <c r="I1917" s="115"/>
      <c r="L1917" s="169">
        <v>44827</v>
      </c>
      <c r="M1917" s="115">
        <v>379.25</v>
      </c>
      <c r="N1917" s="115">
        <v>398.33</v>
      </c>
      <c r="O1917" s="115">
        <v>372.56</v>
      </c>
      <c r="P1917" s="115">
        <v>397.54</v>
      </c>
      <c r="Q1917" s="115">
        <v>1896.25</v>
      </c>
      <c r="R1917">
        <v>17478</v>
      </c>
    </row>
    <row r="1918" spans="1:18" x14ac:dyDescent="0.25">
      <c r="A1918" s="169">
        <v>44838</v>
      </c>
      <c r="B1918" s="115">
        <v>421.99</v>
      </c>
      <c r="C1918" s="115">
        <v>404.83</v>
      </c>
      <c r="D1918" s="115">
        <v>403.61</v>
      </c>
      <c r="E1918" s="115">
        <v>421.99</v>
      </c>
      <c r="F1918" s="115">
        <v>2024.15</v>
      </c>
      <c r="G1918">
        <v>1986</v>
      </c>
      <c r="H1918" s="115"/>
      <c r="I1918" s="115"/>
      <c r="L1918" s="169">
        <v>44830</v>
      </c>
      <c r="M1918" s="115">
        <v>371.69</v>
      </c>
      <c r="N1918" s="115">
        <v>378.8</v>
      </c>
      <c r="O1918" s="115">
        <v>361.91</v>
      </c>
      <c r="P1918" s="115">
        <v>375</v>
      </c>
      <c r="Q1918" s="115">
        <v>1858.45</v>
      </c>
      <c r="R1918">
        <v>39062</v>
      </c>
    </row>
    <row r="1919" spans="1:18" x14ac:dyDescent="0.25">
      <c r="A1919" s="169">
        <v>44840</v>
      </c>
      <c r="B1919" s="115">
        <v>414</v>
      </c>
      <c r="C1919" s="115">
        <v>408.72</v>
      </c>
      <c r="D1919" s="115">
        <v>405.8</v>
      </c>
      <c r="E1919" s="115">
        <v>414</v>
      </c>
      <c r="F1919" s="115">
        <v>2043.6</v>
      </c>
      <c r="G1919">
        <v>2278</v>
      </c>
      <c r="H1919" s="115"/>
      <c r="I1919" s="115"/>
      <c r="L1919" s="169">
        <v>44831</v>
      </c>
      <c r="M1919" s="115">
        <v>375.78</v>
      </c>
      <c r="N1919" s="115">
        <v>380</v>
      </c>
      <c r="O1919" s="115">
        <v>369.16</v>
      </c>
      <c r="P1919" s="115">
        <v>375.5</v>
      </c>
      <c r="Q1919" s="115">
        <v>1878.9</v>
      </c>
      <c r="R1919">
        <v>12865</v>
      </c>
    </row>
    <row r="1920" spans="1:18" x14ac:dyDescent="0.25">
      <c r="A1920" s="169">
        <v>44841</v>
      </c>
      <c r="B1920" s="115">
        <v>417.89</v>
      </c>
      <c r="C1920" s="115">
        <v>413.73</v>
      </c>
      <c r="D1920" s="115">
        <v>404.3</v>
      </c>
      <c r="E1920" s="115">
        <v>409</v>
      </c>
      <c r="F1920" s="115">
        <v>2068.65</v>
      </c>
      <c r="G1920">
        <v>2390</v>
      </c>
      <c r="H1920" s="115"/>
      <c r="I1920" s="115"/>
      <c r="L1920" s="169">
        <v>44832</v>
      </c>
      <c r="M1920" s="115">
        <v>386.98</v>
      </c>
      <c r="N1920" s="115">
        <v>395</v>
      </c>
      <c r="O1920" s="115">
        <v>370.14</v>
      </c>
      <c r="P1920" s="115">
        <v>370.14</v>
      </c>
      <c r="Q1920" s="115">
        <v>1934.9</v>
      </c>
      <c r="R1920">
        <v>26647</v>
      </c>
    </row>
    <row r="1921" spans="1:18" x14ac:dyDescent="0.25">
      <c r="A1921" s="169">
        <v>44844</v>
      </c>
      <c r="B1921" s="115">
        <v>419.61</v>
      </c>
      <c r="C1921" s="115">
        <v>406.45</v>
      </c>
      <c r="D1921" s="115">
        <v>398.84</v>
      </c>
      <c r="E1921" s="115">
        <v>419.61</v>
      </c>
      <c r="F1921" s="115">
        <v>2032.25</v>
      </c>
      <c r="G1921">
        <v>2733</v>
      </c>
      <c r="H1921" s="115"/>
      <c r="I1921" s="115"/>
      <c r="L1921" s="169">
        <v>44833</v>
      </c>
      <c r="M1921" s="115">
        <v>388.21</v>
      </c>
      <c r="N1921" s="115">
        <v>399.4</v>
      </c>
      <c r="O1921" s="115">
        <v>382</v>
      </c>
      <c r="P1921" s="115">
        <v>392.8</v>
      </c>
      <c r="Q1921" s="115">
        <v>1941.05</v>
      </c>
      <c r="R1921">
        <v>23642</v>
      </c>
    </row>
    <row r="1922" spans="1:18" x14ac:dyDescent="0.25">
      <c r="A1922" s="169">
        <v>44845</v>
      </c>
      <c r="B1922" s="115">
        <v>414.66</v>
      </c>
      <c r="C1922" s="115">
        <v>406.12</v>
      </c>
      <c r="D1922" s="115">
        <v>403.63</v>
      </c>
      <c r="E1922" s="115">
        <v>410.11</v>
      </c>
      <c r="F1922" s="115">
        <v>2030.6</v>
      </c>
      <c r="G1922">
        <v>5969</v>
      </c>
      <c r="H1922" s="115"/>
      <c r="I1922" s="115"/>
      <c r="L1922" s="169">
        <v>44834</v>
      </c>
      <c r="M1922" s="115">
        <v>399.61</v>
      </c>
      <c r="N1922" s="115">
        <v>405.41</v>
      </c>
      <c r="O1922" s="115">
        <v>386.79</v>
      </c>
      <c r="P1922" s="115">
        <v>386.79</v>
      </c>
      <c r="Q1922" s="115">
        <v>1998.05</v>
      </c>
      <c r="R1922">
        <v>34372</v>
      </c>
    </row>
    <row r="1923" spans="1:18" x14ac:dyDescent="0.25">
      <c r="A1923" s="169">
        <v>44846</v>
      </c>
      <c r="B1923" s="115">
        <v>412.19</v>
      </c>
      <c r="C1923" s="115">
        <v>410.37</v>
      </c>
      <c r="D1923" s="115">
        <v>404.8</v>
      </c>
      <c r="E1923" s="115">
        <v>409.32</v>
      </c>
      <c r="F1923" s="115">
        <v>2051.85</v>
      </c>
      <c r="G1923">
        <v>3072</v>
      </c>
      <c r="H1923" s="115"/>
      <c r="I1923" s="115"/>
      <c r="L1923" s="169">
        <v>44837</v>
      </c>
      <c r="M1923" s="115">
        <v>411.4</v>
      </c>
      <c r="N1923" s="115">
        <v>419.74</v>
      </c>
      <c r="O1923" s="115">
        <v>400</v>
      </c>
      <c r="P1923" s="115">
        <v>400</v>
      </c>
      <c r="Q1923" s="115">
        <v>2057</v>
      </c>
      <c r="R1923">
        <v>52837</v>
      </c>
    </row>
    <row r="1924" spans="1:18" x14ac:dyDescent="0.25">
      <c r="A1924" s="169">
        <v>44847</v>
      </c>
      <c r="B1924" s="115">
        <v>434.2</v>
      </c>
      <c r="C1924" s="115">
        <v>412.02</v>
      </c>
      <c r="D1924" s="115">
        <v>407.71</v>
      </c>
      <c r="E1924" s="115">
        <v>412</v>
      </c>
      <c r="F1924" s="115">
        <v>2060.1</v>
      </c>
      <c r="G1924">
        <v>5517</v>
      </c>
      <c r="H1924" s="115"/>
      <c r="I1924" s="115"/>
      <c r="L1924" s="169">
        <v>44838</v>
      </c>
      <c r="M1924" s="115">
        <v>405.58</v>
      </c>
      <c r="N1924" s="115">
        <v>419.74</v>
      </c>
      <c r="O1924" s="115">
        <v>403.39</v>
      </c>
      <c r="P1924" s="115">
        <v>419.74</v>
      </c>
      <c r="Q1924" s="115">
        <v>2027.9</v>
      </c>
      <c r="R1924">
        <v>32330</v>
      </c>
    </row>
    <row r="1925" spans="1:18" x14ac:dyDescent="0.25">
      <c r="A1925" s="169">
        <v>44848</v>
      </c>
      <c r="B1925" s="115">
        <v>421.03</v>
      </c>
      <c r="C1925" s="115">
        <v>409.21</v>
      </c>
      <c r="D1925" s="115">
        <v>407.17</v>
      </c>
      <c r="E1925" s="115">
        <v>415.4</v>
      </c>
      <c r="F1925" s="115">
        <v>2046.05</v>
      </c>
      <c r="G1925">
        <v>3072</v>
      </c>
      <c r="H1925" s="115"/>
      <c r="I1925" s="115"/>
      <c r="L1925" s="169">
        <v>44840</v>
      </c>
      <c r="M1925" s="115">
        <v>408.38</v>
      </c>
      <c r="N1925" s="115">
        <v>413.69</v>
      </c>
      <c r="O1925" s="115">
        <v>406</v>
      </c>
      <c r="P1925" s="115">
        <v>412.79</v>
      </c>
      <c r="Q1925" s="115">
        <v>2041.9</v>
      </c>
      <c r="R1925">
        <v>30422</v>
      </c>
    </row>
    <row r="1926" spans="1:18" x14ac:dyDescent="0.25">
      <c r="A1926" s="169">
        <v>44851</v>
      </c>
      <c r="B1926" s="115">
        <v>409.51</v>
      </c>
      <c r="C1926" s="115">
        <v>392.34</v>
      </c>
      <c r="D1926" s="115">
        <v>388.8</v>
      </c>
      <c r="E1926" s="115">
        <v>408.13</v>
      </c>
      <c r="F1926" s="115">
        <v>1961.7</v>
      </c>
      <c r="G1926">
        <v>5563</v>
      </c>
      <c r="H1926" s="115"/>
      <c r="I1926" s="115"/>
      <c r="L1926" s="169">
        <v>44841</v>
      </c>
      <c r="M1926" s="115">
        <v>413.36</v>
      </c>
      <c r="N1926" s="115">
        <v>418</v>
      </c>
      <c r="O1926" s="115">
        <v>404.04</v>
      </c>
      <c r="P1926" s="115">
        <v>404.32</v>
      </c>
      <c r="Q1926" s="115">
        <v>2066.8000000000002</v>
      </c>
      <c r="R1926">
        <v>40213</v>
      </c>
    </row>
    <row r="1927" spans="1:18" x14ac:dyDescent="0.25">
      <c r="A1927" s="169">
        <v>44852</v>
      </c>
      <c r="B1927" s="115">
        <v>400.58</v>
      </c>
      <c r="C1927" s="115">
        <v>397.19</v>
      </c>
      <c r="D1927" s="115">
        <v>393.73</v>
      </c>
      <c r="E1927" s="115">
        <v>394.44</v>
      </c>
      <c r="F1927" s="115">
        <v>1985.95</v>
      </c>
      <c r="G1927">
        <v>1542</v>
      </c>
      <c r="H1927" s="115"/>
      <c r="I1927" s="115"/>
      <c r="L1927" s="169">
        <v>44844</v>
      </c>
      <c r="M1927" s="115">
        <v>408.69</v>
      </c>
      <c r="N1927" s="115">
        <v>412.55</v>
      </c>
      <c r="O1927" s="115">
        <v>404.8</v>
      </c>
      <c r="P1927" s="115">
        <v>409.74</v>
      </c>
      <c r="Q1927" s="115">
        <v>2043.45</v>
      </c>
      <c r="R1927">
        <v>30729</v>
      </c>
    </row>
    <row r="1928" spans="1:18" x14ac:dyDescent="0.25">
      <c r="A1928" s="169">
        <v>44853</v>
      </c>
      <c r="B1928" s="115">
        <v>404.25</v>
      </c>
      <c r="C1928" s="115">
        <v>402.66</v>
      </c>
      <c r="D1928" s="115">
        <v>396.4</v>
      </c>
      <c r="E1928" s="115">
        <v>400</v>
      </c>
      <c r="F1928" s="115">
        <v>2013.3</v>
      </c>
      <c r="G1928">
        <v>1243</v>
      </c>
      <c r="H1928" s="115"/>
      <c r="I1928" s="115"/>
      <c r="L1928" s="169">
        <v>44845</v>
      </c>
      <c r="M1928" s="115">
        <v>408.02</v>
      </c>
      <c r="N1928" s="115">
        <v>415</v>
      </c>
      <c r="O1928" s="115">
        <v>406</v>
      </c>
      <c r="P1928" s="115">
        <v>408.6</v>
      </c>
      <c r="Q1928" s="115">
        <v>2040.1</v>
      </c>
      <c r="R1928">
        <v>27945</v>
      </c>
    </row>
    <row r="1929" spans="1:18" x14ac:dyDescent="0.25">
      <c r="A1929" s="169">
        <v>44854</v>
      </c>
      <c r="B1929" s="115">
        <v>413.95</v>
      </c>
      <c r="C1929" s="115">
        <v>407.75</v>
      </c>
      <c r="D1929" s="115">
        <v>399.25</v>
      </c>
      <c r="E1929" s="115">
        <v>399.25</v>
      </c>
      <c r="F1929" s="115">
        <v>2038.75</v>
      </c>
      <c r="G1929">
        <v>2880</v>
      </c>
      <c r="H1929" s="115"/>
      <c r="I1929" s="115"/>
      <c r="L1929" s="169">
        <v>44846</v>
      </c>
      <c r="M1929" s="115">
        <v>409.7</v>
      </c>
      <c r="N1929" s="115">
        <v>412.75</v>
      </c>
      <c r="O1929" s="115">
        <v>404.43</v>
      </c>
      <c r="P1929" s="115">
        <v>408.4</v>
      </c>
      <c r="Q1929" s="115">
        <v>2048.5</v>
      </c>
      <c r="R1929">
        <v>47972</v>
      </c>
    </row>
    <row r="1930" spans="1:18" x14ac:dyDescent="0.25">
      <c r="A1930" s="169">
        <v>44855</v>
      </c>
      <c r="B1930" s="115">
        <v>410.54</v>
      </c>
      <c r="C1930" s="115">
        <v>405.02</v>
      </c>
      <c r="D1930" s="115">
        <v>402.85</v>
      </c>
      <c r="E1930" s="115">
        <v>410.54</v>
      </c>
      <c r="F1930" s="115">
        <v>2025.1</v>
      </c>
      <c r="G1930">
        <v>896</v>
      </c>
      <c r="H1930" s="115"/>
      <c r="I1930" s="115"/>
      <c r="L1930" s="169">
        <v>44847</v>
      </c>
      <c r="M1930" s="115">
        <v>412.86</v>
      </c>
      <c r="N1930" s="115">
        <v>434.8</v>
      </c>
      <c r="O1930" s="115">
        <v>407.81</v>
      </c>
      <c r="P1930" s="115">
        <v>411.6</v>
      </c>
      <c r="Q1930" s="115">
        <v>2064.3000000000002</v>
      </c>
      <c r="R1930">
        <v>83949</v>
      </c>
    </row>
    <row r="1931" spans="1:18" x14ac:dyDescent="0.25">
      <c r="A1931" s="169">
        <v>44858</v>
      </c>
      <c r="B1931" s="115">
        <v>415.8</v>
      </c>
      <c r="C1931" s="115">
        <v>409.11</v>
      </c>
      <c r="D1931" s="115">
        <v>405</v>
      </c>
      <c r="E1931" s="115">
        <v>414</v>
      </c>
      <c r="F1931" s="115">
        <v>2045.55</v>
      </c>
      <c r="G1931">
        <v>342</v>
      </c>
      <c r="H1931" s="115"/>
      <c r="I1931" s="115"/>
      <c r="L1931" s="169">
        <v>44848</v>
      </c>
      <c r="M1931" s="115">
        <v>409.65</v>
      </c>
      <c r="N1931" s="115">
        <v>421.8</v>
      </c>
      <c r="O1931" s="115">
        <v>407</v>
      </c>
      <c r="P1931" s="115">
        <v>414.93</v>
      </c>
      <c r="Q1931" s="115">
        <v>2048.25</v>
      </c>
      <c r="R1931">
        <v>28365</v>
      </c>
    </row>
    <row r="1932" spans="1:18" x14ac:dyDescent="0.25">
      <c r="A1932" s="169">
        <v>44859</v>
      </c>
      <c r="B1932" s="115">
        <v>411.5</v>
      </c>
      <c r="C1932" s="115">
        <v>405.66</v>
      </c>
      <c r="D1932" s="115">
        <v>405.02</v>
      </c>
      <c r="E1932" s="115">
        <v>409.33</v>
      </c>
      <c r="F1932" s="115">
        <v>2028.3</v>
      </c>
      <c r="G1932">
        <v>3115</v>
      </c>
      <c r="H1932" s="115"/>
      <c r="I1932" s="115"/>
      <c r="L1932" s="169">
        <v>44851</v>
      </c>
      <c r="M1932" s="115">
        <v>392.89</v>
      </c>
      <c r="N1932" s="115">
        <v>411.7</v>
      </c>
      <c r="O1932" s="115">
        <v>388.45</v>
      </c>
      <c r="P1932" s="115">
        <v>411.6</v>
      </c>
      <c r="Q1932" s="115">
        <v>1964.45</v>
      </c>
      <c r="R1932">
        <v>41505</v>
      </c>
    </row>
    <row r="1933" spans="1:18" x14ac:dyDescent="0.25">
      <c r="A1933" s="169">
        <v>44861</v>
      </c>
      <c r="B1933" s="115">
        <v>410.19</v>
      </c>
      <c r="C1933" s="115">
        <v>406.62</v>
      </c>
      <c r="D1933" s="115">
        <v>404.58</v>
      </c>
      <c r="E1933" s="115">
        <v>407.01</v>
      </c>
      <c r="F1933" s="115">
        <v>2033.1</v>
      </c>
      <c r="G1933">
        <v>724</v>
      </c>
      <c r="H1933" s="115"/>
      <c r="I1933" s="115"/>
      <c r="L1933" s="169">
        <v>44852</v>
      </c>
      <c r="M1933" s="115">
        <v>398.33</v>
      </c>
      <c r="N1933" s="115">
        <v>400.01</v>
      </c>
      <c r="O1933" s="115">
        <v>393.41</v>
      </c>
      <c r="P1933" s="115">
        <v>394.86</v>
      </c>
      <c r="Q1933" s="115">
        <v>1991.65</v>
      </c>
      <c r="R1933">
        <v>19708</v>
      </c>
    </row>
    <row r="1934" spans="1:18" x14ac:dyDescent="0.25">
      <c r="A1934" s="169">
        <v>44862</v>
      </c>
      <c r="B1934" s="115">
        <v>410.9</v>
      </c>
      <c r="C1934" s="115">
        <v>407.24</v>
      </c>
      <c r="D1934" s="115">
        <v>406.28</v>
      </c>
      <c r="E1934" s="115">
        <v>410.24</v>
      </c>
      <c r="F1934" s="115">
        <v>2036.2</v>
      </c>
      <c r="G1934">
        <v>1440</v>
      </c>
      <c r="H1934" s="115"/>
      <c r="I1934" s="115"/>
      <c r="L1934" s="169">
        <v>44853</v>
      </c>
      <c r="M1934" s="115">
        <v>401.11</v>
      </c>
      <c r="N1934" s="115">
        <v>404.9</v>
      </c>
      <c r="O1934" s="115">
        <v>396.2</v>
      </c>
      <c r="P1934" s="115">
        <v>400.33</v>
      </c>
      <c r="Q1934" s="115">
        <v>2005.55</v>
      </c>
      <c r="R1934">
        <v>7723</v>
      </c>
    </row>
    <row r="1935" spans="1:18" x14ac:dyDescent="0.25">
      <c r="A1935" s="169">
        <v>44865</v>
      </c>
      <c r="B1935" s="115">
        <v>425.47</v>
      </c>
      <c r="C1935" s="115">
        <v>419.07</v>
      </c>
      <c r="D1935" s="115">
        <v>408.47</v>
      </c>
      <c r="E1935" s="115">
        <v>409.21</v>
      </c>
      <c r="F1935" s="115">
        <v>2095.35</v>
      </c>
      <c r="G1935">
        <v>1481</v>
      </c>
      <c r="H1935" s="115"/>
      <c r="I1935" s="115"/>
      <c r="L1935" s="169">
        <v>44854</v>
      </c>
      <c r="M1935" s="115">
        <v>408.01</v>
      </c>
      <c r="N1935" s="115">
        <v>414</v>
      </c>
      <c r="O1935" s="115">
        <v>398.64</v>
      </c>
      <c r="P1935" s="115">
        <v>401.2</v>
      </c>
      <c r="Q1935" s="115">
        <v>2040.05</v>
      </c>
      <c r="R1935">
        <v>77431</v>
      </c>
    </row>
    <row r="1936" spans="1:18" x14ac:dyDescent="0.25">
      <c r="A1936" s="169">
        <v>44866</v>
      </c>
      <c r="B1936" s="115">
        <v>419.9</v>
      </c>
      <c r="C1936" s="115">
        <v>407.76</v>
      </c>
      <c r="D1936" s="115">
        <v>404.14</v>
      </c>
      <c r="E1936" s="115">
        <v>419.9</v>
      </c>
      <c r="F1936" s="115">
        <v>2038.8</v>
      </c>
      <c r="G1936">
        <v>2217</v>
      </c>
      <c r="H1936" s="115"/>
      <c r="I1936" s="115"/>
      <c r="L1936" s="169">
        <v>44855</v>
      </c>
      <c r="M1936" s="115">
        <v>405.13</v>
      </c>
      <c r="N1936" s="115">
        <v>410.06</v>
      </c>
      <c r="O1936" s="115">
        <v>404.58</v>
      </c>
      <c r="P1936" s="115">
        <v>410.06</v>
      </c>
      <c r="Q1936" s="115">
        <v>2025.65</v>
      </c>
      <c r="R1936">
        <v>7068</v>
      </c>
    </row>
    <row r="1937" spans="1:18" x14ac:dyDescent="0.25">
      <c r="A1937" s="169">
        <v>44867</v>
      </c>
      <c r="B1937" s="115">
        <v>413.27</v>
      </c>
      <c r="C1937" s="115">
        <v>399.81</v>
      </c>
      <c r="D1937" s="115">
        <v>395.14</v>
      </c>
      <c r="E1937" s="115">
        <v>407.76</v>
      </c>
      <c r="F1937" s="115">
        <v>1999.05</v>
      </c>
      <c r="G1937">
        <v>2467</v>
      </c>
      <c r="H1937" s="115"/>
      <c r="I1937" s="115"/>
      <c r="L1937" s="169">
        <v>44858</v>
      </c>
      <c r="M1937" s="115">
        <v>407.63</v>
      </c>
      <c r="N1937" s="115">
        <v>415.49</v>
      </c>
      <c r="O1937" s="115">
        <v>405</v>
      </c>
      <c r="P1937" s="115">
        <v>408.11</v>
      </c>
      <c r="Q1937" s="115">
        <v>2038.15</v>
      </c>
      <c r="R1937">
        <v>5599</v>
      </c>
    </row>
    <row r="1938" spans="1:18" x14ac:dyDescent="0.25">
      <c r="A1938" s="169">
        <v>44868</v>
      </c>
      <c r="B1938" s="115">
        <v>394.89</v>
      </c>
      <c r="C1938" s="115">
        <v>383.51</v>
      </c>
      <c r="D1938" s="115">
        <v>376.66</v>
      </c>
      <c r="E1938" s="115">
        <v>394.89</v>
      </c>
      <c r="F1938" s="115">
        <v>1917.55</v>
      </c>
      <c r="G1938">
        <v>3838</v>
      </c>
      <c r="H1938" s="115"/>
      <c r="I1938" s="115"/>
      <c r="L1938" s="169">
        <v>44859</v>
      </c>
      <c r="M1938" s="115">
        <v>407.22</v>
      </c>
      <c r="N1938" s="115">
        <v>411.97</v>
      </c>
      <c r="O1938" s="115">
        <v>405.8</v>
      </c>
      <c r="P1938" s="115">
        <v>409.67</v>
      </c>
      <c r="Q1938" s="115">
        <v>2036.1</v>
      </c>
      <c r="R1938">
        <v>7887</v>
      </c>
    </row>
    <row r="1939" spans="1:18" x14ac:dyDescent="0.25">
      <c r="A1939" s="169">
        <v>44869</v>
      </c>
      <c r="B1939" s="115">
        <v>383.85</v>
      </c>
      <c r="C1939" s="115">
        <v>366.3</v>
      </c>
      <c r="D1939" s="115">
        <v>363.02</v>
      </c>
      <c r="E1939" s="115">
        <v>377.73</v>
      </c>
      <c r="F1939" s="115">
        <v>1831.5</v>
      </c>
      <c r="G1939">
        <v>5803</v>
      </c>
      <c r="H1939" s="115"/>
      <c r="I1939" s="115"/>
      <c r="L1939" s="169">
        <v>44861</v>
      </c>
      <c r="M1939" s="115">
        <v>405.57</v>
      </c>
      <c r="N1939" s="115">
        <v>411</v>
      </c>
      <c r="O1939" s="115">
        <v>404.5</v>
      </c>
      <c r="P1939" s="115">
        <v>409.26</v>
      </c>
      <c r="Q1939" s="115">
        <v>2027.85</v>
      </c>
      <c r="R1939">
        <v>8939</v>
      </c>
    </row>
    <row r="1940" spans="1:18" x14ac:dyDescent="0.25">
      <c r="A1940" s="169">
        <v>44872</v>
      </c>
      <c r="B1940" s="115">
        <v>383.97</v>
      </c>
      <c r="C1940" s="115">
        <v>379.06</v>
      </c>
      <c r="D1940" s="115">
        <v>353.8</v>
      </c>
      <c r="E1940" s="115">
        <v>360.1</v>
      </c>
      <c r="F1940" s="115">
        <v>1895.3</v>
      </c>
      <c r="G1940">
        <v>4610</v>
      </c>
      <c r="H1940" s="115"/>
      <c r="I1940" s="115"/>
      <c r="L1940" s="169">
        <v>44862</v>
      </c>
      <c r="M1940" s="115">
        <v>407.86</v>
      </c>
      <c r="N1940" s="115">
        <v>410.58</v>
      </c>
      <c r="O1940" s="115">
        <v>406.4</v>
      </c>
      <c r="P1940" s="115">
        <v>407.6</v>
      </c>
      <c r="Q1940" s="115">
        <v>2039.3</v>
      </c>
      <c r="R1940">
        <v>8730</v>
      </c>
    </row>
    <row r="1941" spans="1:18" x14ac:dyDescent="0.25">
      <c r="A1941" s="169">
        <v>44874</v>
      </c>
      <c r="B1941" s="115">
        <v>385</v>
      </c>
      <c r="C1941" s="115">
        <v>374.06</v>
      </c>
      <c r="D1941" s="115">
        <v>372.4</v>
      </c>
      <c r="E1941" s="115">
        <v>383.97</v>
      </c>
      <c r="F1941" s="115">
        <v>1870.3</v>
      </c>
      <c r="G1941">
        <v>1611</v>
      </c>
      <c r="H1941" s="115"/>
      <c r="I1941" s="115"/>
      <c r="L1941" s="169">
        <v>44865</v>
      </c>
      <c r="M1941" s="115">
        <v>416.27</v>
      </c>
      <c r="N1941" s="115">
        <v>425</v>
      </c>
      <c r="O1941" s="115">
        <v>408.43</v>
      </c>
      <c r="P1941" s="115">
        <v>409.9</v>
      </c>
      <c r="Q1941" s="115">
        <v>2081.35</v>
      </c>
      <c r="R1941">
        <v>30913</v>
      </c>
    </row>
    <row r="1942" spans="1:18" x14ac:dyDescent="0.25">
      <c r="A1942" s="169">
        <v>44875</v>
      </c>
      <c r="B1942" s="115">
        <v>376.99</v>
      </c>
      <c r="C1942" s="115">
        <v>370.64</v>
      </c>
      <c r="D1942" s="115">
        <v>366.2</v>
      </c>
      <c r="E1942" s="115">
        <v>375.21</v>
      </c>
      <c r="F1942" s="115">
        <v>1853.2</v>
      </c>
      <c r="G1942">
        <v>1240</v>
      </c>
      <c r="H1942" s="115"/>
      <c r="I1942" s="115"/>
      <c r="L1942" s="169">
        <v>44866</v>
      </c>
      <c r="M1942" s="115">
        <v>407.59</v>
      </c>
      <c r="N1942" s="115">
        <v>419.97</v>
      </c>
      <c r="O1942" s="115">
        <v>405.01</v>
      </c>
      <c r="P1942" s="115">
        <v>418.36</v>
      </c>
      <c r="Q1942" s="115">
        <v>2037.95</v>
      </c>
      <c r="R1942">
        <v>12038</v>
      </c>
    </row>
    <row r="1943" spans="1:18" x14ac:dyDescent="0.25">
      <c r="A1943" s="169">
        <v>44876</v>
      </c>
      <c r="B1943" s="115">
        <v>374.71</v>
      </c>
      <c r="C1943" s="115">
        <v>365.44</v>
      </c>
      <c r="D1943" s="115">
        <v>362.2</v>
      </c>
      <c r="E1943" s="115">
        <v>373.01</v>
      </c>
      <c r="F1943" s="115">
        <v>1827.2</v>
      </c>
      <c r="G1943">
        <v>1952</v>
      </c>
      <c r="H1943" s="115"/>
      <c r="I1943" s="115"/>
      <c r="L1943" s="169">
        <v>44867</v>
      </c>
      <c r="M1943" s="115">
        <v>401.47</v>
      </c>
      <c r="N1943" s="115">
        <v>413.39</v>
      </c>
      <c r="O1943" s="115">
        <v>395.1</v>
      </c>
      <c r="P1943" s="115">
        <v>406.9</v>
      </c>
      <c r="Q1943" s="115">
        <v>2007.35</v>
      </c>
      <c r="R1943">
        <v>13486</v>
      </c>
    </row>
    <row r="1944" spans="1:18" x14ac:dyDescent="0.25">
      <c r="A1944" s="169">
        <v>44879</v>
      </c>
      <c r="B1944" s="115">
        <v>374.11</v>
      </c>
      <c r="C1944" s="115">
        <v>368.27</v>
      </c>
      <c r="D1944" s="115">
        <v>362.46</v>
      </c>
      <c r="E1944" s="115">
        <v>363.54</v>
      </c>
      <c r="F1944" s="115">
        <v>1841.35</v>
      </c>
      <c r="G1944">
        <v>1487</v>
      </c>
      <c r="H1944" s="115"/>
      <c r="I1944" s="115"/>
      <c r="L1944" s="169">
        <v>44868</v>
      </c>
      <c r="M1944" s="115">
        <v>383.14</v>
      </c>
      <c r="N1944" s="115">
        <v>394.87</v>
      </c>
      <c r="O1944" s="115">
        <v>376.4</v>
      </c>
      <c r="P1944" s="115">
        <v>390</v>
      </c>
      <c r="Q1944" s="115">
        <v>1915.7</v>
      </c>
      <c r="R1944">
        <v>59571</v>
      </c>
    </row>
    <row r="1945" spans="1:18" x14ac:dyDescent="0.25">
      <c r="A1945" s="169">
        <v>44880</v>
      </c>
      <c r="B1945" s="115">
        <v>396.25</v>
      </c>
      <c r="C1945" s="115">
        <v>390.17</v>
      </c>
      <c r="D1945" s="115">
        <v>370</v>
      </c>
      <c r="E1945" s="115">
        <v>372.49</v>
      </c>
      <c r="F1945" s="115">
        <v>1950.85</v>
      </c>
      <c r="G1945">
        <v>4767</v>
      </c>
      <c r="H1945" s="115"/>
      <c r="I1945" s="115"/>
      <c r="L1945" s="169">
        <v>44869</v>
      </c>
      <c r="M1945" s="115">
        <v>366.63</v>
      </c>
      <c r="N1945" s="115">
        <v>385.06</v>
      </c>
      <c r="O1945" s="115">
        <v>360</v>
      </c>
      <c r="P1945" s="115">
        <v>385.06</v>
      </c>
      <c r="Q1945" s="115">
        <v>1833.15</v>
      </c>
      <c r="R1945">
        <v>39355</v>
      </c>
    </row>
    <row r="1946" spans="1:18" x14ac:dyDescent="0.25">
      <c r="A1946" s="169">
        <v>44881</v>
      </c>
      <c r="B1946" s="115">
        <v>397.38</v>
      </c>
      <c r="C1946" s="115">
        <v>392.83</v>
      </c>
      <c r="D1946" s="115">
        <v>389.1</v>
      </c>
      <c r="E1946" s="115">
        <v>396.4</v>
      </c>
      <c r="F1946" s="115">
        <v>1964.15</v>
      </c>
      <c r="G1946">
        <v>742</v>
      </c>
      <c r="H1946" s="115"/>
      <c r="I1946" s="115"/>
      <c r="L1946" s="169">
        <v>44872</v>
      </c>
      <c r="M1946" s="115">
        <v>377.49</v>
      </c>
      <c r="N1946" s="115">
        <v>381.95</v>
      </c>
      <c r="O1946" s="115">
        <v>353.41</v>
      </c>
      <c r="P1946" s="115">
        <v>366.63</v>
      </c>
      <c r="Q1946" s="115">
        <v>1887.45</v>
      </c>
      <c r="R1946">
        <v>46391</v>
      </c>
    </row>
    <row r="1947" spans="1:18" x14ac:dyDescent="0.25">
      <c r="A1947" s="169">
        <v>44882</v>
      </c>
      <c r="B1947" s="115">
        <v>395.3</v>
      </c>
      <c r="C1947" s="115">
        <v>392.45</v>
      </c>
      <c r="D1947" s="115">
        <v>387.91</v>
      </c>
      <c r="E1947" s="115">
        <v>392.83</v>
      </c>
      <c r="F1947" s="115">
        <v>1962.25</v>
      </c>
      <c r="G1947">
        <v>534</v>
      </c>
      <c r="H1947" s="115"/>
      <c r="I1947" s="115"/>
      <c r="L1947" s="169">
        <v>44874</v>
      </c>
      <c r="M1947" s="115">
        <v>375.03</v>
      </c>
      <c r="N1947" s="115">
        <v>383.69</v>
      </c>
      <c r="O1947" s="115">
        <v>372.11</v>
      </c>
      <c r="P1947" s="115">
        <v>382</v>
      </c>
      <c r="Q1947" s="115">
        <v>1875.15</v>
      </c>
      <c r="R1947">
        <v>25776</v>
      </c>
    </row>
    <row r="1948" spans="1:18" x14ac:dyDescent="0.25">
      <c r="A1948" s="169">
        <v>44883</v>
      </c>
      <c r="B1948" s="115">
        <v>391.52</v>
      </c>
      <c r="C1948" s="115">
        <v>382.77</v>
      </c>
      <c r="D1948" s="115">
        <v>382.01</v>
      </c>
      <c r="E1948" s="115">
        <v>391.1</v>
      </c>
      <c r="F1948" s="115">
        <v>1913.85</v>
      </c>
      <c r="G1948">
        <v>1001</v>
      </c>
      <c r="H1948" s="115"/>
      <c r="I1948" s="115"/>
      <c r="L1948" s="169">
        <v>44875</v>
      </c>
      <c r="M1948" s="115">
        <v>370.62</v>
      </c>
      <c r="N1948" s="115">
        <v>376.91</v>
      </c>
      <c r="O1948" s="115">
        <v>366.11</v>
      </c>
      <c r="P1948" s="115">
        <v>374.33</v>
      </c>
      <c r="Q1948" s="115">
        <v>1853.1</v>
      </c>
      <c r="R1948">
        <v>10246</v>
      </c>
    </row>
    <row r="1949" spans="1:18" x14ac:dyDescent="0.25">
      <c r="A1949" s="169">
        <v>44886</v>
      </c>
      <c r="B1949" s="115">
        <v>383.88</v>
      </c>
      <c r="C1949" s="115">
        <v>374.65</v>
      </c>
      <c r="D1949" s="115">
        <v>371.78</v>
      </c>
      <c r="E1949" s="115">
        <v>383.88</v>
      </c>
      <c r="F1949" s="115">
        <v>1873.25</v>
      </c>
      <c r="G1949">
        <v>960</v>
      </c>
      <c r="H1949" s="115"/>
      <c r="I1949" s="115"/>
      <c r="L1949" s="169">
        <v>44876</v>
      </c>
      <c r="M1949" s="115">
        <v>366.88</v>
      </c>
      <c r="N1949" s="115">
        <v>376.94</v>
      </c>
      <c r="O1949" s="115">
        <v>362.2</v>
      </c>
      <c r="P1949" s="115">
        <v>372.48</v>
      </c>
      <c r="Q1949" s="115">
        <v>1834.4</v>
      </c>
      <c r="R1949">
        <v>61442</v>
      </c>
    </row>
    <row r="1950" spans="1:18" x14ac:dyDescent="0.25">
      <c r="A1950" s="169">
        <v>44887</v>
      </c>
      <c r="B1950" s="115">
        <v>379.43</v>
      </c>
      <c r="C1950" s="115">
        <v>377.3</v>
      </c>
      <c r="D1950" s="115">
        <v>375.37</v>
      </c>
      <c r="E1950" s="115">
        <v>376.22</v>
      </c>
      <c r="F1950" s="115">
        <v>1886.5</v>
      </c>
      <c r="G1950">
        <v>805</v>
      </c>
      <c r="H1950" s="115"/>
      <c r="I1950" s="115"/>
      <c r="L1950" s="169">
        <v>44879</v>
      </c>
      <c r="M1950" s="115">
        <v>369.72</v>
      </c>
      <c r="N1950" s="115">
        <v>374</v>
      </c>
      <c r="O1950" s="115">
        <v>362.21</v>
      </c>
      <c r="P1950" s="115">
        <v>363.13</v>
      </c>
      <c r="Q1950" s="115">
        <v>1848.6</v>
      </c>
      <c r="R1950">
        <v>14086</v>
      </c>
    </row>
    <row r="1951" spans="1:18" x14ac:dyDescent="0.25">
      <c r="A1951" s="169">
        <v>44888</v>
      </c>
      <c r="B1951" s="115">
        <v>389.8</v>
      </c>
      <c r="C1951" s="115">
        <v>387.1</v>
      </c>
      <c r="D1951" s="115">
        <v>376.38</v>
      </c>
      <c r="E1951" s="115">
        <v>377.6</v>
      </c>
      <c r="F1951" s="115">
        <v>1935.5</v>
      </c>
      <c r="G1951">
        <v>1574</v>
      </c>
      <c r="H1951" s="115"/>
      <c r="I1951" s="115"/>
      <c r="L1951" s="169">
        <v>44880</v>
      </c>
      <c r="M1951" s="115">
        <v>390.83</v>
      </c>
      <c r="N1951" s="115">
        <v>395.7</v>
      </c>
      <c r="O1951" s="115">
        <v>369.72</v>
      </c>
      <c r="P1951" s="115">
        <v>369.72</v>
      </c>
      <c r="Q1951" s="115">
        <v>1954.15</v>
      </c>
      <c r="R1951">
        <v>56765</v>
      </c>
    </row>
    <row r="1952" spans="1:18" x14ac:dyDescent="0.25">
      <c r="A1952" s="169">
        <v>44889</v>
      </c>
      <c r="B1952" s="115">
        <v>390.99</v>
      </c>
      <c r="C1952" s="115">
        <v>384.57</v>
      </c>
      <c r="D1952" s="115">
        <v>383.01</v>
      </c>
      <c r="E1952" s="115">
        <v>389.99</v>
      </c>
      <c r="F1952" s="115">
        <v>1922.85</v>
      </c>
      <c r="G1952">
        <v>1405</v>
      </c>
      <c r="H1952" s="115"/>
      <c r="I1952" s="115"/>
      <c r="L1952" s="169">
        <v>44881</v>
      </c>
      <c r="M1952" s="115">
        <v>393.95</v>
      </c>
      <c r="N1952" s="115">
        <v>397.6</v>
      </c>
      <c r="O1952" s="115">
        <v>388.12</v>
      </c>
      <c r="P1952" s="115">
        <v>390</v>
      </c>
      <c r="Q1952" s="115">
        <v>1969.75</v>
      </c>
      <c r="R1952">
        <v>20833</v>
      </c>
    </row>
    <row r="1953" spans="1:18" x14ac:dyDescent="0.25">
      <c r="A1953" s="169">
        <v>44890</v>
      </c>
      <c r="B1953" s="115">
        <v>385.89</v>
      </c>
      <c r="C1953" s="115">
        <v>382.26</v>
      </c>
      <c r="D1953" s="115">
        <v>380.98</v>
      </c>
      <c r="E1953" s="115">
        <v>383.23</v>
      </c>
      <c r="F1953" s="115">
        <v>1911.3</v>
      </c>
      <c r="G1953">
        <v>238</v>
      </c>
      <c r="H1953" s="115"/>
      <c r="I1953" s="115"/>
      <c r="L1953" s="169">
        <v>44882</v>
      </c>
      <c r="M1953" s="115">
        <v>391.91</v>
      </c>
      <c r="N1953" s="115">
        <v>395.92</v>
      </c>
      <c r="O1953" s="115">
        <v>388.19</v>
      </c>
      <c r="P1953" s="115">
        <v>393.8</v>
      </c>
      <c r="Q1953" s="115">
        <v>1959.55</v>
      </c>
      <c r="R1953">
        <v>12561</v>
      </c>
    </row>
    <row r="1954" spans="1:18" x14ac:dyDescent="0.25">
      <c r="A1954" s="169">
        <v>44893</v>
      </c>
      <c r="B1954" s="115">
        <v>387.93</v>
      </c>
      <c r="C1954" s="115">
        <v>385.43</v>
      </c>
      <c r="D1954" s="115">
        <v>371.95</v>
      </c>
      <c r="E1954" s="115">
        <v>371.95</v>
      </c>
      <c r="F1954" s="115">
        <v>1927.15</v>
      </c>
      <c r="G1954">
        <v>3472</v>
      </c>
      <c r="H1954" s="115"/>
      <c r="I1954" s="115"/>
      <c r="L1954" s="169">
        <v>44883</v>
      </c>
      <c r="M1954" s="115">
        <v>383.58</v>
      </c>
      <c r="N1954" s="115">
        <v>393.8</v>
      </c>
      <c r="O1954" s="115">
        <v>382.12</v>
      </c>
      <c r="P1954" s="115">
        <v>392.01</v>
      </c>
      <c r="Q1954" s="115">
        <v>1917.9</v>
      </c>
      <c r="R1954">
        <v>17133</v>
      </c>
    </row>
    <row r="1955" spans="1:18" x14ac:dyDescent="0.25">
      <c r="A1955" s="169">
        <v>44894</v>
      </c>
      <c r="B1955" s="115">
        <v>386.56</v>
      </c>
      <c r="C1955" s="115">
        <v>384.23</v>
      </c>
      <c r="D1955" s="115">
        <v>376.22</v>
      </c>
      <c r="E1955" s="115">
        <v>385.58</v>
      </c>
      <c r="F1955" s="115">
        <v>1921.15</v>
      </c>
      <c r="G1955">
        <v>26931</v>
      </c>
      <c r="H1955" s="115"/>
      <c r="I1955" s="115"/>
      <c r="L1955" s="169">
        <v>44886</v>
      </c>
      <c r="M1955" s="115">
        <v>374.94</v>
      </c>
      <c r="N1955" s="115">
        <v>385.5</v>
      </c>
      <c r="O1955" s="115">
        <v>372.2</v>
      </c>
      <c r="P1955" s="115">
        <v>384</v>
      </c>
      <c r="Q1955" s="115">
        <v>1874.7</v>
      </c>
      <c r="R1955">
        <v>14334</v>
      </c>
    </row>
    <row r="1956" spans="1:18" x14ac:dyDescent="0.25">
      <c r="A1956" s="169">
        <v>44895</v>
      </c>
      <c r="B1956" s="115">
        <v>411.05</v>
      </c>
      <c r="C1956" s="115">
        <v>404.11</v>
      </c>
      <c r="D1956" s="115">
        <v>381.32</v>
      </c>
      <c r="E1956" s="115">
        <v>385.49</v>
      </c>
      <c r="F1956" s="115">
        <v>2020.55</v>
      </c>
      <c r="G1956">
        <v>3258</v>
      </c>
      <c r="H1956" s="115"/>
      <c r="I1956" s="115"/>
      <c r="L1956" s="169">
        <v>44887</v>
      </c>
      <c r="M1956" s="115">
        <v>376.57</v>
      </c>
      <c r="N1956" s="115">
        <v>379.6</v>
      </c>
      <c r="O1956" s="115">
        <v>375</v>
      </c>
      <c r="P1956" s="115">
        <v>375</v>
      </c>
      <c r="Q1956" s="115">
        <v>1882.85</v>
      </c>
      <c r="R1956">
        <v>7877</v>
      </c>
    </row>
    <row r="1957" spans="1:18" x14ac:dyDescent="0.25">
      <c r="A1957" s="169">
        <v>44896</v>
      </c>
      <c r="B1957" s="115">
        <v>408.47</v>
      </c>
      <c r="C1957" s="115">
        <v>391.29</v>
      </c>
      <c r="D1957" s="115">
        <v>389</v>
      </c>
      <c r="E1957" s="115">
        <v>399.64</v>
      </c>
      <c r="F1957" s="115">
        <v>1956.45</v>
      </c>
      <c r="G1957">
        <v>3045</v>
      </c>
      <c r="H1957" s="115"/>
      <c r="I1957" s="115"/>
      <c r="L1957" s="169">
        <v>44888</v>
      </c>
      <c r="M1957" s="115">
        <v>386.18</v>
      </c>
      <c r="N1957" s="115">
        <v>389</v>
      </c>
      <c r="O1957" s="115">
        <v>375.45</v>
      </c>
      <c r="P1957" s="115">
        <v>378.4</v>
      </c>
      <c r="Q1957" s="115">
        <v>1930.9</v>
      </c>
      <c r="R1957">
        <v>25932</v>
      </c>
    </row>
    <row r="1958" spans="1:18" x14ac:dyDescent="0.25">
      <c r="A1958" s="169">
        <v>44897</v>
      </c>
      <c r="B1958" s="115">
        <v>393.2</v>
      </c>
      <c r="C1958" s="115">
        <v>385.54</v>
      </c>
      <c r="D1958" s="115">
        <v>384.47</v>
      </c>
      <c r="E1958" s="115">
        <v>393.16</v>
      </c>
      <c r="F1958" s="115">
        <v>1927.7</v>
      </c>
      <c r="G1958">
        <v>635</v>
      </c>
      <c r="H1958" s="115"/>
      <c r="I1958" s="115"/>
      <c r="L1958" s="169">
        <v>44889</v>
      </c>
      <c r="M1958" s="115">
        <v>385.16</v>
      </c>
      <c r="N1958" s="115">
        <v>390.74</v>
      </c>
      <c r="O1958" s="115">
        <v>383.44</v>
      </c>
      <c r="P1958" s="115">
        <v>383.6</v>
      </c>
      <c r="Q1958" s="115">
        <v>1925.8</v>
      </c>
      <c r="R1958">
        <v>8455</v>
      </c>
    </row>
    <row r="1959" spans="1:18" x14ac:dyDescent="0.25">
      <c r="A1959" s="169">
        <v>44900</v>
      </c>
      <c r="B1959" s="115">
        <v>391.33</v>
      </c>
      <c r="C1959" s="115">
        <v>387.62</v>
      </c>
      <c r="D1959" s="115">
        <v>382.44</v>
      </c>
      <c r="E1959" s="115">
        <v>386.41</v>
      </c>
      <c r="F1959" s="115">
        <v>1938.1</v>
      </c>
      <c r="G1959">
        <v>2519</v>
      </c>
      <c r="H1959" s="115"/>
      <c r="I1959" s="115"/>
      <c r="L1959" s="169">
        <v>44890</v>
      </c>
      <c r="M1959" s="115">
        <v>382.2</v>
      </c>
      <c r="N1959" s="115">
        <v>386.81</v>
      </c>
      <c r="O1959" s="115">
        <v>380.22</v>
      </c>
      <c r="P1959" s="115">
        <v>383.33</v>
      </c>
      <c r="Q1959" s="115">
        <v>1911</v>
      </c>
      <c r="R1959">
        <v>5879</v>
      </c>
    </row>
    <row r="1960" spans="1:18" x14ac:dyDescent="0.25">
      <c r="A1960" s="169">
        <v>44901</v>
      </c>
      <c r="B1960" s="115">
        <v>391.99</v>
      </c>
      <c r="C1960" s="115">
        <v>387.72</v>
      </c>
      <c r="D1960" s="115">
        <v>384.32</v>
      </c>
      <c r="E1960" s="115">
        <v>391.99</v>
      </c>
      <c r="F1960" s="115">
        <v>1938.6</v>
      </c>
      <c r="G1960">
        <v>1075</v>
      </c>
      <c r="H1960" s="115"/>
      <c r="I1960" s="115"/>
      <c r="L1960" s="169">
        <v>44893</v>
      </c>
      <c r="M1960" s="115">
        <v>385.31</v>
      </c>
      <c r="N1960" s="115">
        <v>389</v>
      </c>
      <c r="O1960" s="115">
        <v>376.78</v>
      </c>
      <c r="P1960" s="115">
        <v>380</v>
      </c>
      <c r="Q1960" s="115">
        <v>1926.55</v>
      </c>
      <c r="R1960">
        <v>28141</v>
      </c>
    </row>
    <row r="1961" spans="1:18" x14ac:dyDescent="0.25">
      <c r="A1961" s="169">
        <v>44902</v>
      </c>
      <c r="B1961" s="115">
        <v>397.66</v>
      </c>
      <c r="C1961" s="115">
        <v>389.09</v>
      </c>
      <c r="D1961" s="115">
        <v>387.32</v>
      </c>
      <c r="E1961" s="115">
        <v>389.39</v>
      </c>
      <c r="F1961" s="115">
        <v>1945.45</v>
      </c>
      <c r="G1961">
        <v>1599</v>
      </c>
      <c r="H1961" s="115"/>
      <c r="I1961" s="115"/>
      <c r="L1961" s="169">
        <v>44894</v>
      </c>
      <c r="M1961" s="115">
        <v>383.79</v>
      </c>
      <c r="N1961" s="115">
        <v>387.24</v>
      </c>
      <c r="O1961" s="115">
        <v>376.28</v>
      </c>
      <c r="P1961" s="115">
        <v>385.31</v>
      </c>
      <c r="Q1961" s="115">
        <v>1918.95</v>
      </c>
      <c r="R1961">
        <v>13727</v>
      </c>
    </row>
    <row r="1962" spans="1:18" x14ac:dyDescent="0.25">
      <c r="A1962" s="169">
        <v>44903</v>
      </c>
      <c r="B1962" s="115">
        <v>393.96</v>
      </c>
      <c r="C1962" s="115">
        <v>390.2</v>
      </c>
      <c r="D1962" s="115">
        <v>388.03</v>
      </c>
      <c r="E1962" s="115">
        <v>388.86</v>
      </c>
      <c r="F1962" s="115">
        <v>1951</v>
      </c>
      <c r="G1962">
        <v>1074</v>
      </c>
      <c r="H1962" s="115"/>
      <c r="I1962" s="115"/>
      <c r="L1962" s="169">
        <v>44895</v>
      </c>
      <c r="M1962" s="115">
        <v>404.86</v>
      </c>
      <c r="N1962" s="115">
        <v>411.8</v>
      </c>
      <c r="O1962" s="115">
        <v>381.09</v>
      </c>
      <c r="P1962" s="115">
        <v>381.09</v>
      </c>
      <c r="Q1962" s="115">
        <v>2024.3</v>
      </c>
      <c r="R1962">
        <v>35491</v>
      </c>
    </row>
    <row r="1963" spans="1:18" x14ac:dyDescent="0.25">
      <c r="A1963" s="169">
        <v>44904</v>
      </c>
      <c r="B1963" s="115">
        <v>393.68</v>
      </c>
      <c r="C1963" s="115">
        <v>379.17</v>
      </c>
      <c r="D1963" s="115">
        <v>377.85</v>
      </c>
      <c r="E1963" s="115">
        <v>393.26</v>
      </c>
      <c r="F1963" s="115">
        <v>1895.85</v>
      </c>
      <c r="G1963">
        <v>1143</v>
      </c>
      <c r="H1963" s="115"/>
      <c r="I1963" s="115"/>
      <c r="L1963" s="169">
        <v>44896</v>
      </c>
      <c r="M1963" s="115">
        <v>391.76</v>
      </c>
      <c r="N1963" s="115">
        <v>410.37</v>
      </c>
      <c r="O1963" s="115">
        <v>388.62</v>
      </c>
      <c r="P1963" s="115">
        <v>405.99</v>
      </c>
      <c r="Q1963" s="115">
        <v>1958.8</v>
      </c>
      <c r="R1963">
        <v>43553</v>
      </c>
    </row>
    <row r="1964" spans="1:18" x14ac:dyDescent="0.25">
      <c r="A1964" s="169">
        <v>44907</v>
      </c>
      <c r="B1964" s="115">
        <v>386.82</v>
      </c>
      <c r="C1964" s="115">
        <v>381.96</v>
      </c>
      <c r="D1964" s="115">
        <v>375.39</v>
      </c>
      <c r="E1964" s="115">
        <v>381.26</v>
      </c>
      <c r="F1964" s="115">
        <v>1909.8</v>
      </c>
      <c r="G1964">
        <v>1537</v>
      </c>
      <c r="H1964" s="115"/>
      <c r="I1964" s="115"/>
      <c r="L1964" s="169">
        <v>44897</v>
      </c>
      <c r="M1964" s="115">
        <v>385.5</v>
      </c>
      <c r="N1964" s="115">
        <v>393.72</v>
      </c>
      <c r="O1964" s="115">
        <v>384.27</v>
      </c>
      <c r="P1964" s="115">
        <v>391.6</v>
      </c>
      <c r="Q1964" s="115">
        <v>1927.5</v>
      </c>
      <c r="R1964">
        <v>11742</v>
      </c>
    </row>
    <row r="1965" spans="1:18" x14ac:dyDescent="0.25">
      <c r="A1965" s="169">
        <v>44908</v>
      </c>
      <c r="B1965" s="115">
        <v>391.66</v>
      </c>
      <c r="C1965" s="115">
        <v>390.27</v>
      </c>
      <c r="D1965" s="115">
        <v>382.06</v>
      </c>
      <c r="E1965" s="115">
        <v>384.71</v>
      </c>
      <c r="F1965" s="115">
        <v>1951.35</v>
      </c>
      <c r="G1965">
        <v>1071</v>
      </c>
      <c r="H1965" s="115"/>
      <c r="I1965" s="115"/>
      <c r="L1965" s="169">
        <v>44900</v>
      </c>
      <c r="M1965" s="115">
        <v>387.51</v>
      </c>
      <c r="N1965" s="115">
        <v>391.59</v>
      </c>
      <c r="O1965" s="115">
        <v>382.2</v>
      </c>
      <c r="P1965" s="115">
        <v>387.43</v>
      </c>
      <c r="Q1965" s="115">
        <v>1937.55</v>
      </c>
      <c r="R1965">
        <v>21706</v>
      </c>
    </row>
    <row r="1966" spans="1:18" x14ac:dyDescent="0.25">
      <c r="A1966" s="169">
        <v>44909</v>
      </c>
      <c r="B1966" s="115">
        <v>390.74</v>
      </c>
      <c r="C1966" s="115">
        <v>388.09</v>
      </c>
      <c r="D1966" s="115">
        <v>385.62</v>
      </c>
      <c r="E1966" s="115">
        <v>389.31</v>
      </c>
      <c r="F1966" s="115">
        <v>1940.45</v>
      </c>
      <c r="G1966">
        <v>787</v>
      </c>
      <c r="H1966" s="115"/>
      <c r="I1966" s="115"/>
      <c r="L1966" s="169">
        <v>44901</v>
      </c>
      <c r="M1966" s="115">
        <v>387.96</v>
      </c>
      <c r="N1966" s="115">
        <v>391.01</v>
      </c>
      <c r="O1966" s="115">
        <v>384</v>
      </c>
      <c r="P1966" s="115">
        <v>389.45</v>
      </c>
      <c r="Q1966" s="115">
        <v>1939.8</v>
      </c>
      <c r="R1966">
        <v>13068</v>
      </c>
    </row>
    <row r="1967" spans="1:18" x14ac:dyDescent="0.25">
      <c r="A1967" s="169">
        <v>44910</v>
      </c>
      <c r="B1967" s="115">
        <v>391.06</v>
      </c>
      <c r="C1967" s="115">
        <v>386.94</v>
      </c>
      <c r="D1967" s="115">
        <v>385.42</v>
      </c>
      <c r="E1967" s="115">
        <v>389.82</v>
      </c>
      <c r="F1967" s="115">
        <v>1934.7</v>
      </c>
      <c r="G1967">
        <v>262</v>
      </c>
      <c r="H1967" s="115"/>
      <c r="I1967" s="115"/>
      <c r="L1967" s="169">
        <v>44902</v>
      </c>
      <c r="M1967" s="115">
        <v>389.29</v>
      </c>
      <c r="N1967" s="115">
        <v>398.21</v>
      </c>
      <c r="O1967" s="115">
        <v>386.25</v>
      </c>
      <c r="P1967" s="115">
        <v>386.25</v>
      </c>
      <c r="Q1967" s="115">
        <v>1946.45</v>
      </c>
      <c r="R1967">
        <v>21729</v>
      </c>
    </row>
    <row r="1968" spans="1:18" x14ac:dyDescent="0.25">
      <c r="A1968" s="169">
        <v>44911</v>
      </c>
      <c r="B1968" s="115">
        <v>391.25</v>
      </c>
      <c r="C1968" s="115">
        <v>377.81</v>
      </c>
      <c r="D1968" s="115">
        <v>375.03</v>
      </c>
      <c r="E1968" s="115">
        <v>389.16</v>
      </c>
      <c r="F1968" s="115">
        <v>1889.05</v>
      </c>
      <c r="G1968">
        <v>3145</v>
      </c>
      <c r="H1968" s="115"/>
      <c r="I1968" s="115"/>
      <c r="L1968" s="169">
        <v>44903</v>
      </c>
      <c r="M1968" s="115">
        <v>390.49</v>
      </c>
      <c r="N1968" s="115">
        <v>394.88</v>
      </c>
      <c r="O1968" s="115">
        <v>386.34</v>
      </c>
      <c r="P1968" s="115">
        <v>391.24</v>
      </c>
      <c r="Q1968" s="115">
        <v>1952.45</v>
      </c>
      <c r="R1968">
        <v>7304</v>
      </c>
    </row>
    <row r="1969" spans="1:18" x14ac:dyDescent="0.25">
      <c r="A1969" s="169">
        <v>44914</v>
      </c>
      <c r="B1969" s="115">
        <v>384.51</v>
      </c>
      <c r="C1969" s="115">
        <v>379.6</v>
      </c>
      <c r="D1969" s="115">
        <v>375.26</v>
      </c>
      <c r="E1969" s="115">
        <v>378.75</v>
      </c>
      <c r="F1969" s="115">
        <v>1898</v>
      </c>
      <c r="G1969">
        <v>2334</v>
      </c>
      <c r="H1969" s="115"/>
      <c r="I1969" s="115"/>
      <c r="L1969" s="169">
        <v>44904</v>
      </c>
      <c r="M1969" s="115">
        <v>379.55</v>
      </c>
      <c r="N1969" s="115">
        <v>394</v>
      </c>
      <c r="O1969" s="115">
        <v>378</v>
      </c>
      <c r="P1969" s="115">
        <v>392</v>
      </c>
      <c r="Q1969" s="115">
        <v>1897.75</v>
      </c>
      <c r="R1969">
        <v>8994</v>
      </c>
    </row>
    <row r="1970" spans="1:18" x14ac:dyDescent="0.25">
      <c r="A1970" s="169">
        <v>44915</v>
      </c>
      <c r="B1970" s="115">
        <v>382.71</v>
      </c>
      <c r="C1970" s="115">
        <v>370.87</v>
      </c>
      <c r="D1970" s="115">
        <v>368.5</v>
      </c>
      <c r="E1970" s="115">
        <v>380.41</v>
      </c>
      <c r="F1970" s="115">
        <v>1854.35</v>
      </c>
      <c r="G1970">
        <v>964</v>
      </c>
      <c r="H1970" s="115"/>
      <c r="I1970" s="115"/>
      <c r="L1970" s="169">
        <v>44907</v>
      </c>
      <c r="M1970" s="115">
        <v>383.04</v>
      </c>
      <c r="N1970" s="115">
        <v>387.12</v>
      </c>
      <c r="O1970" s="115">
        <v>375.18</v>
      </c>
      <c r="P1970" s="115">
        <v>383.18</v>
      </c>
      <c r="Q1970" s="115">
        <v>1915.2</v>
      </c>
      <c r="R1970">
        <v>11905</v>
      </c>
    </row>
    <row r="1971" spans="1:18" x14ac:dyDescent="0.25">
      <c r="A1971" s="169">
        <v>44916</v>
      </c>
      <c r="B1971" s="115">
        <v>387</v>
      </c>
      <c r="C1971" s="115">
        <v>377.3</v>
      </c>
      <c r="D1971" s="115">
        <v>362.99</v>
      </c>
      <c r="E1971" s="115">
        <v>373.9</v>
      </c>
      <c r="F1971" s="115">
        <v>1886.5</v>
      </c>
      <c r="G1971">
        <v>4988</v>
      </c>
      <c r="H1971" s="115"/>
      <c r="I1971" s="115"/>
      <c r="L1971" s="169">
        <v>44908</v>
      </c>
      <c r="M1971" s="115">
        <v>389.65</v>
      </c>
      <c r="N1971" s="115">
        <v>392</v>
      </c>
      <c r="O1971" s="115">
        <v>380.09</v>
      </c>
      <c r="P1971" s="115">
        <v>383</v>
      </c>
      <c r="Q1971" s="115">
        <v>1948.25</v>
      </c>
      <c r="R1971">
        <v>13016</v>
      </c>
    </row>
    <row r="1972" spans="1:18" x14ac:dyDescent="0.25">
      <c r="A1972" s="169">
        <v>44917</v>
      </c>
      <c r="B1972" s="115">
        <v>378.38</v>
      </c>
      <c r="C1972" s="115">
        <v>362.95</v>
      </c>
      <c r="D1972" s="115">
        <v>358.01</v>
      </c>
      <c r="E1972" s="115">
        <v>370</v>
      </c>
      <c r="F1972" s="115">
        <v>1814.75</v>
      </c>
      <c r="G1972">
        <v>5689</v>
      </c>
      <c r="H1972" s="115"/>
      <c r="I1972" s="115"/>
      <c r="L1972" s="169">
        <v>44909</v>
      </c>
      <c r="M1972" s="115">
        <v>388.7</v>
      </c>
      <c r="N1972" s="115">
        <v>392.38</v>
      </c>
      <c r="O1972" s="115">
        <v>385.48</v>
      </c>
      <c r="P1972" s="115">
        <v>391.6</v>
      </c>
      <c r="Q1972" s="115">
        <v>1943.5</v>
      </c>
      <c r="R1972">
        <v>3891</v>
      </c>
    </row>
    <row r="1973" spans="1:18" x14ac:dyDescent="0.25">
      <c r="A1973" s="169">
        <v>44918</v>
      </c>
      <c r="B1973" s="115">
        <v>373.25</v>
      </c>
      <c r="C1973" s="115">
        <v>362.88</v>
      </c>
      <c r="D1973" s="115">
        <v>350.29</v>
      </c>
      <c r="E1973" s="115">
        <v>359.06</v>
      </c>
      <c r="F1973" s="115">
        <v>1814.4</v>
      </c>
      <c r="G1973">
        <v>2657</v>
      </c>
      <c r="H1973" s="115"/>
      <c r="I1973" s="115"/>
      <c r="L1973" s="169">
        <v>44910</v>
      </c>
      <c r="M1973" s="115">
        <v>387.95</v>
      </c>
      <c r="N1973" s="115">
        <v>391.94</v>
      </c>
      <c r="O1973" s="115">
        <v>385.2</v>
      </c>
      <c r="P1973" s="115">
        <v>387.19</v>
      </c>
      <c r="Q1973" s="115">
        <v>1939.75</v>
      </c>
      <c r="R1973">
        <v>2533</v>
      </c>
    </row>
    <row r="1974" spans="1:18" x14ac:dyDescent="0.25">
      <c r="A1974" s="169">
        <v>44921</v>
      </c>
      <c r="B1974" s="115">
        <v>387.75</v>
      </c>
      <c r="C1974" s="115">
        <v>377.22</v>
      </c>
      <c r="D1974" s="115">
        <v>357.79</v>
      </c>
      <c r="E1974" s="115">
        <v>357.79</v>
      </c>
      <c r="F1974" s="115">
        <v>1886.1</v>
      </c>
      <c r="G1974">
        <v>1179</v>
      </c>
      <c r="H1974" s="115"/>
      <c r="I1974" s="115"/>
      <c r="L1974" s="169">
        <v>44911</v>
      </c>
      <c r="M1974" s="115">
        <v>377.74</v>
      </c>
      <c r="N1974" s="115">
        <v>391.75</v>
      </c>
      <c r="O1974" s="115">
        <v>375</v>
      </c>
      <c r="P1974" s="115">
        <v>389.89</v>
      </c>
      <c r="Q1974" s="115">
        <v>1888.7</v>
      </c>
      <c r="R1974">
        <v>24129</v>
      </c>
    </row>
    <row r="1975" spans="1:18" x14ac:dyDescent="0.25">
      <c r="A1975" s="169">
        <v>44922</v>
      </c>
      <c r="B1975" s="115">
        <v>389.6</v>
      </c>
      <c r="C1975" s="115">
        <v>383.47</v>
      </c>
      <c r="D1975" s="115">
        <v>380.77</v>
      </c>
      <c r="E1975" s="115">
        <v>385.02</v>
      </c>
      <c r="F1975" s="115">
        <v>1917.35</v>
      </c>
      <c r="G1975">
        <v>751</v>
      </c>
      <c r="H1975" s="115"/>
      <c r="I1975" s="115"/>
      <c r="L1975" s="169">
        <v>44914</v>
      </c>
      <c r="M1975" s="115">
        <v>379.86</v>
      </c>
      <c r="N1975" s="115">
        <v>384.2</v>
      </c>
      <c r="O1975" s="115">
        <v>375.1</v>
      </c>
      <c r="P1975" s="115">
        <v>376.03</v>
      </c>
      <c r="Q1975" s="115">
        <v>1899.3</v>
      </c>
      <c r="R1975">
        <v>9393</v>
      </c>
    </row>
    <row r="1976" spans="1:18" x14ac:dyDescent="0.25">
      <c r="A1976" s="169">
        <v>44923</v>
      </c>
      <c r="B1976" s="115">
        <v>387.96</v>
      </c>
      <c r="C1976" s="115">
        <v>385.54</v>
      </c>
      <c r="D1976" s="115">
        <v>381.16</v>
      </c>
      <c r="E1976" s="115">
        <v>385.83</v>
      </c>
      <c r="F1976" s="115">
        <v>1927.7</v>
      </c>
      <c r="G1976">
        <v>195</v>
      </c>
      <c r="H1976" s="115"/>
      <c r="I1976" s="115"/>
      <c r="L1976" s="169">
        <v>44915</v>
      </c>
      <c r="M1976" s="115">
        <v>371.33</v>
      </c>
      <c r="N1976" s="115">
        <v>383.03</v>
      </c>
      <c r="O1976" s="115">
        <v>368.28</v>
      </c>
      <c r="P1976" s="115">
        <v>381.76</v>
      </c>
      <c r="Q1976" s="115">
        <v>1856.65</v>
      </c>
      <c r="R1976">
        <v>11794</v>
      </c>
    </row>
    <row r="1977" spans="1:18" x14ac:dyDescent="0.25">
      <c r="A1977" s="169">
        <v>44924</v>
      </c>
      <c r="B1977" s="115">
        <v>390</v>
      </c>
      <c r="C1977" s="115">
        <v>382.93</v>
      </c>
      <c r="D1977" s="115">
        <v>373.32</v>
      </c>
      <c r="E1977" s="115">
        <v>383.4</v>
      </c>
      <c r="F1977" s="115">
        <v>1914.65</v>
      </c>
      <c r="G1977">
        <v>1315</v>
      </c>
      <c r="H1977" s="115"/>
      <c r="I1977" s="115"/>
      <c r="L1977" s="169">
        <v>44916</v>
      </c>
      <c r="M1977" s="115">
        <v>376.57</v>
      </c>
      <c r="N1977" s="115">
        <v>387.77</v>
      </c>
      <c r="O1977" s="115">
        <v>362.99</v>
      </c>
      <c r="P1977" s="115">
        <v>373.19</v>
      </c>
      <c r="Q1977" s="115">
        <v>1882.85</v>
      </c>
      <c r="R1977">
        <v>29728</v>
      </c>
    </row>
    <row r="1978" spans="1:18" x14ac:dyDescent="0.25">
      <c r="A1978" s="169">
        <v>44925</v>
      </c>
      <c r="B1978" s="115">
        <v>389.82</v>
      </c>
      <c r="C1978" s="115">
        <v>387.38</v>
      </c>
      <c r="D1978" s="115">
        <v>382.33</v>
      </c>
      <c r="E1978" s="115">
        <v>387.66</v>
      </c>
      <c r="F1978" s="115">
        <v>1936.9</v>
      </c>
      <c r="G1978">
        <v>633</v>
      </c>
      <c r="H1978" s="115"/>
      <c r="I1978" s="115"/>
      <c r="L1978" s="169">
        <v>44917</v>
      </c>
      <c r="M1978" s="115">
        <v>362.83</v>
      </c>
      <c r="N1978" s="115">
        <v>378.59</v>
      </c>
      <c r="O1978" s="115">
        <v>358</v>
      </c>
      <c r="P1978" s="115">
        <v>372.6</v>
      </c>
      <c r="Q1978" s="115">
        <v>1814.15</v>
      </c>
      <c r="R1978">
        <v>39729</v>
      </c>
    </row>
    <row r="1979" spans="1:18" x14ac:dyDescent="0.25">
      <c r="A1979" s="169">
        <v>44928</v>
      </c>
      <c r="B1979" s="115">
        <v>388.16</v>
      </c>
      <c r="C1979" s="115">
        <v>382.86</v>
      </c>
      <c r="D1979" s="115">
        <v>382.05</v>
      </c>
      <c r="E1979" s="115">
        <v>388.16</v>
      </c>
      <c r="F1979" s="115">
        <v>1914.3</v>
      </c>
      <c r="G1979">
        <v>610</v>
      </c>
      <c r="H1979" s="115"/>
      <c r="I1979" s="115"/>
      <c r="L1979" s="169">
        <v>44918</v>
      </c>
      <c r="M1979" s="115">
        <v>365.08</v>
      </c>
      <c r="N1979" s="115">
        <v>389.6</v>
      </c>
      <c r="O1979" s="115">
        <v>350.2</v>
      </c>
      <c r="P1979" s="115">
        <v>352</v>
      </c>
      <c r="Q1979" s="115">
        <v>1825.4</v>
      </c>
      <c r="R1979">
        <v>28241</v>
      </c>
    </row>
    <row r="1980" spans="1:18" x14ac:dyDescent="0.25">
      <c r="A1980" s="169">
        <v>44929</v>
      </c>
      <c r="B1980" s="115">
        <v>385.36</v>
      </c>
      <c r="C1980" s="115">
        <v>380.89</v>
      </c>
      <c r="D1980" s="115">
        <v>380.2</v>
      </c>
      <c r="E1980" s="115">
        <v>383.49</v>
      </c>
      <c r="F1980" s="115">
        <v>1904.45</v>
      </c>
      <c r="G1980">
        <v>1912</v>
      </c>
      <c r="H1980" s="115"/>
      <c r="I1980" s="115"/>
      <c r="L1980" s="169">
        <v>44921</v>
      </c>
      <c r="M1980" s="115">
        <v>380.16</v>
      </c>
      <c r="N1980" s="115">
        <v>388.4</v>
      </c>
      <c r="O1980" s="115">
        <v>359.01</v>
      </c>
      <c r="P1980" s="115">
        <v>362.59</v>
      </c>
      <c r="Q1980" s="115">
        <v>1900.8</v>
      </c>
      <c r="R1980">
        <v>19086</v>
      </c>
    </row>
    <row r="1981" spans="1:18" x14ac:dyDescent="0.25">
      <c r="A1981" s="169">
        <v>44930</v>
      </c>
      <c r="B1981" s="115">
        <v>389.87</v>
      </c>
      <c r="C1981" s="115">
        <v>383.35</v>
      </c>
      <c r="D1981" s="115">
        <v>380.01</v>
      </c>
      <c r="E1981" s="115">
        <v>381</v>
      </c>
      <c r="F1981" s="115">
        <v>1916.75</v>
      </c>
      <c r="G1981">
        <v>1108</v>
      </c>
      <c r="H1981" s="115"/>
      <c r="I1981" s="115"/>
      <c r="L1981" s="169">
        <v>44922</v>
      </c>
      <c r="M1981" s="115">
        <v>383.54</v>
      </c>
      <c r="N1981" s="115">
        <v>390</v>
      </c>
      <c r="O1981" s="115">
        <v>380.29</v>
      </c>
      <c r="P1981" s="115">
        <v>382.07</v>
      </c>
      <c r="Q1981" s="115">
        <v>1917.7</v>
      </c>
      <c r="R1981">
        <v>10353</v>
      </c>
    </row>
    <row r="1982" spans="1:18" x14ac:dyDescent="0.25">
      <c r="A1982" s="169">
        <v>44931</v>
      </c>
      <c r="B1982" s="115">
        <v>383.8</v>
      </c>
      <c r="C1982" s="115">
        <v>380.54</v>
      </c>
      <c r="D1982" s="115">
        <v>378.01</v>
      </c>
      <c r="E1982" s="115">
        <v>382.8</v>
      </c>
      <c r="F1982" s="115">
        <v>1902.7</v>
      </c>
      <c r="G1982">
        <v>330</v>
      </c>
      <c r="H1982" s="115"/>
      <c r="I1982" s="115"/>
      <c r="L1982" s="169">
        <v>44923</v>
      </c>
      <c r="M1982" s="115">
        <v>385.14</v>
      </c>
      <c r="N1982" s="115">
        <v>388.29</v>
      </c>
      <c r="O1982" s="115">
        <v>381.32</v>
      </c>
      <c r="P1982" s="115">
        <v>386.38</v>
      </c>
      <c r="Q1982" s="115">
        <v>1925.7</v>
      </c>
      <c r="R1982">
        <v>5281</v>
      </c>
    </row>
    <row r="1983" spans="1:18" x14ac:dyDescent="0.25">
      <c r="A1983" s="169">
        <v>44932</v>
      </c>
      <c r="B1983" s="115">
        <v>380.02</v>
      </c>
      <c r="C1983" s="115">
        <v>378.37</v>
      </c>
      <c r="D1983" s="115">
        <v>376</v>
      </c>
      <c r="E1983" s="115">
        <v>380.02</v>
      </c>
      <c r="F1983" s="115">
        <v>1891.85</v>
      </c>
      <c r="G1983">
        <v>945</v>
      </c>
      <c r="H1983" s="115"/>
      <c r="I1983" s="115"/>
      <c r="L1983" s="169">
        <v>44924</v>
      </c>
      <c r="M1983" s="115">
        <v>383.02</v>
      </c>
      <c r="N1983" s="115">
        <v>389.45</v>
      </c>
      <c r="O1983" s="115">
        <v>372.62</v>
      </c>
      <c r="P1983" s="115">
        <v>383.43</v>
      </c>
      <c r="Q1983" s="115">
        <v>1915.1</v>
      </c>
      <c r="R1983">
        <v>18198</v>
      </c>
    </row>
    <row r="1984" spans="1:18" x14ac:dyDescent="0.25">
      <c r="A1984" s="169">
        <v>44935</v>
      </c>
      <c r="B1984" s="115">
        <v>380.37</v>
      </c>
      <c r="C1984" s="115">
        <v>376.95</v>
      </c>
      <c r="D1984" s="115">
        <v>375.14</v>
      </c>
      <c r="E1984" s="115">
        <v>379.62</v>
      </c>
      <c r="F1984" s="115">
        <v>1884.75</v>
      </c>
      <c r="G1984">
        <v>325</v>
      </c>
      <c r="H1984" s="115"/>
      <c r="I1984" s="115"/>
      <c r="L1984" s="169">
        <v>44925</v>
      </c>
      <c r="M1984" s="115">
        <v>386.76</v>
      </c>
      <c r="N1984" s="115">
        <v>391.19</v>
      </c>
      <c r="O1984" s="115">
        <v>382.2</v>
      </c>
      <c r="P1984" s="115">
        <v>384.94</v>
      </c>
      <c r="Q1984" s="115">
        <v>1933.8</v>
      </c>
      <c r="R1984">
        <v>18936</v>
      </c>
    </row>
    <row r="1985" spans="1:18" x14ac:dyDescent="0.25">
      <c r="A1985" s="169">
        <v>44936</v>
      </c>
      <c r="B1985" s="115">
        <v>380.24</v>
      </c>
      <c r="C1985" s="115">
        <v>377.63</v>
      </c>
      <c r="D1985" s="115">
        <v>376.78</v>
      </c>
      <c r="E1985" s="115">
        <v>377.31</v>
      </c>
      <c r="F1985" s="115">
        <v>1888.15</v>
      </c>
      <c r="G1985">
        <v>516</v>
      </c>
      <c r="H1985" s="115"/>
      <c r="I1985" s="115"/>
      <c r="L1985" s="169">
        <v>44928</v>
      </c>
      <c r="M1985" s="115">
        <v>382.59</v>
      </c>
      <c r="N1985" s="115">
        <v>388.7</v>
      </c>
      <c r="O1985" s="115">
        <v>382</v>
      </c>
      <c r="P1985" s="115">
        <v>386.76</v>
      </c>
      <c r="Q1985" s="115">
        <v>1912.95</v>
      </c>
      <c r="R1985">
        <v>6255</v>
      </c>
    </row>
    <row r="1986" spans="1:18" x14ac:dyDescent="0.25">
      <c r="A1986" s="169">
        <v>44937</v>
      </c>
      <c r="B1986" s="115">
        <v>378.77</v>
      </c>
      <c r="C1986" s="115">
        <v>374.18</v>
      </c>
      <c r="D1986" s="115">
        <v>368.82</v>
      </c>
      <c r="E1986" s="115">
        <v>376.31</v>
      </c>
      <c r="F1986" s="115">
        <v>1870.9</v>
      </c>
      <c r="G1986">
        <v>1832</v>
      </c>
      <c r="H1986" s="115"/>
      <c r="I1986" s="115"/>
      <c r="L1986" s="169">
        <v>44929</v>
      </c>
      <c r="M1986" s="115">
        <v>380.87</v>
      </c>
      <c r="N1986" s="115">
        <v>385.59</v>
      </c>
      <c r="O1986" s="115">
        <v>380</v>
      </c>
      <c r="P1986" s="115">
        <v>384</v>
      </c>
      <c r="Q1986" s="115">
        <v>1904.35</v>
      </c>
      <c r="R1986">
        <v>7006</v>
      </c>
    </row>
    <row r="1987" spans="1:18" x14ac:dyDescent="0.25">
      <c r="A1987" s="169">
        <v>44938</v>
      </c>
      <c r="B1987" s="115">
        <v>373.87</v>
      </c>
      <c r="C1987" s="115">
        <v>368.64</v>
      </c>
      <c r="D1987" s="115">
        <v>367.08</v>
      </c>
      <c r="E1987" s="115">
        <v>371.44</v>
      </c>
      <c r="F1987" s="115">
        <v>1843.2</v>
      </c>
      <c r="G1987">
        <v>696</v>
      </c>
      <c r="H1987" s="115"/>
      <c r="I1987" s="115"/>
      <c r="L1987" s="169">
        <v>44930</v>
      </c>
      <c r="M1987" s="115">
        <v>383.01</v>
      </c>
      <c r="N1987" s="115">
        <v>392.08</v>
      </c>
      <c r="O1987" s="115">
        <v>379.96</v>
      </c>
      <c r="P1987" s="115">
        <v>380</v>
      </c>
      <c r="Q1987" s="115">
        <v>1915.05</v>
      </c>
      <c r="R1987">
        <v>25583</v>
      </c>
    </row>
    <row r="1988" spans="1:18" x14ac:dyDescent="0.25">
      <c r="A1988" s="169">
        <v>44939</v>
      </c>
      <c r="B1988" s="115">
        <v>372.38</v>
      </c>
      <c r="C1988" s="115">
        <v>368.78</v>
      </c>
      <c r="D1988" s="115">
        <v>362.4</v>
      </c>
      <c r="E1988" s="115">
        <v>368.79</v>
      </c>
      <c r="F1988" s="115">
        <v>1843.9</v>
      </c>
      <c r="G1988">
        <v>846</v>
      </c>
      <c r="H1988" s="115"/>
      <c r="I1988" s="115"/>
      <c r="L1988" s="169">
        <v>44931</v>
      </c>
      <c r="M1988" s="115">
        <v>379.95</v>
      </c>
      <c r="N1988" s="115">
        <v>384.92</v>
      </c>
      <c r="O1988" s="115">
        <v>378.05</v>
      </c>
      <c r="P1988" s="115">
        <v>384.4</v>
      </c>
      <c r="Q1988" s="115">
        <v>1899.75</v>
      </c>
      <c r="R1988">
        <v>8764</v>
      </c>
    </row>
    <row r="1989" spans="1:18" x14ac:dyDescent="0.25">
      <c r="A1989" s="169">
        <v>44942</v>
      </c>
      <c r="B1989" s="115">
        <v>369.56</v>
      </c>
      <c r="C1989" s="115">
        <v>361.79</v>
      </c>
      <c r="D1989" s="115">
        <v>360.5</v>
      </c>
      <c r="E1989" s="115">
        <v>368.66</v>
      </c>
      <c r="F1989" s="115">
        <v>1808.95</v>
      </c>
      <c r="G1989">
        <v>578</v>
      </c>
      <c r="H1989" s="115"/>
      <c r="I1989" s="115"/>
      <c r="L1989" s="169">
        <v>44932</v>
      </c>
      <c r="M1989" s="115">
        <v>379.67</v>
      </c>
      <c r="N1989" s="115">
        <v>381.8</v>
      </c>
      <c r="O1989" s="115">
        <v>375.86</v>
      </c>
      <c r="P1989" s="115">
        <v>381.8</v>
      </c>
      <c r="Q1989" s="115">
        <v>1898.35</v>
      </c>
      <c r="R1989">
        <v>4247</v>
      </c>
    </row>
    <row r="1990" spans="1:18" x14ac:dyDescent="0.25">
      <c r="A1990" s="169">
        <v>44943</v>
      </c>
      <c r="B1990" s="115">
        <v>368.46</v>
      </c>
      <c r="C1990" s="115">
        <v>367.07</v>
      </c>
      <c r="D1990" s="115">
        <v>358.73</v>
      </c>
      <c r="E1990" s="115">
        <v>361.06</v>
      </c>
      <c r="F1990" s="115">
        <v>1835.35</v>
      </c>
      <c r="G1990">
        <v>1028</v>
      </c>
      <c r="H1990" s="115"/>
      <c r="I1990" s="115"/>
      <c r="L1990" s="169">
        <v>44935</v>
      </c>
      <c r="M1990" s="115">
        <v>376.45</v>
      </c>
      <c r="N1990" s="115">
        <v>382.9</v>
      </c>
      <c r="O1990" s="115">
        <v>374.52</v>
      </c>
      <c r="P1990" s="115">
        <v>381.57</v>
      </c>
      <c r="Q1990" s="115">
        <v>1882.25</v>
      </c>
      <c r="R1990">
        <v>5588</v>
      </c>
    </row>
    <row r="1991" spans="1:18" x14ac:dyDescent="0.25">
      <c r="A1991" s="169">
        <v>44944</v>
      </c>
      <c r="B1991" s="115">
        <v>367.07</v>
      </c>
      <c r="C1991" s="115">
        <v>366.54</v>
      </c>
      <c r="D1991" s="115">
        <v>364.26</v>
      </c>
      <c r="E1991" s="115">
        <v>366.33</v>
      </c>
      <c r="F1991" s="115">
        <v>1832.7</v>
      </c>
      <c r="G1991">
        <v>245</v>
      </c>
      <c r="H1991" s="115"/>
      <c r="I1991" s="115"/>
      <c r="L1991" s="169">
        <v>44936</v>
      </c>
      <c r="M1991" s="115">
        <v>377.85</v>
      </c>
      <c r="N1991" s="115">
        <v>380.29</v>
      </c>
      <c r="O1991" s="115">
        <v>374.2</v>
      </c>
      <c r="P1991" s="115">
        <v>374.2</v>
      </c>
      <c r="Q1991" s="115">
        <v>1889.25</v>
      </c>
      <c r="R1991">
        <v>8188</v>
      </c>
    </row>
    <row r="1992" spans="1:18" x14ac:dyDescent="0.25">
      <c r="A1992" s="169">
        <v>44945</v>
      </c>
      <c r="B1992" s="115">
        <v>366.44</v>
      </c>
      <c r="C1992" s="115">
        <v>364.91</v>
      </c>
      <c r="D1992" s="115">
        <v>363.01</v>
      </c>
      <c r="E1992" s="115">
        <v>365.86</v>
      </c>
      <c r="F1992" s="115">
        <v>1824.55</v>
      </c>
      <c r="G1992">
        <v>238</v>
      </c>
      <c r="H1992" s="115"/>
      <c r="I1992" s="115"/>
      <c r="L1992" s="169">
        <v>44937</v>
      </c>
      <c r="M1992" s="115">
        <v>373.69</v>
      </c>
      <c r="N1992" s="115">
        <v>379.74</v>
      </c>
      <c r="O1992" s="115">
        <v>368.51</v>
      </c>
      <c r="P1992" s="115">
        <v>379.74</v>
      </c>
      <c r="Q1992" s="115">
        <v>1868.45</v>
      </c>
      <c r="R1992">
        <v>6458</v>
      </c>
    </row>
    <row r="1993" spans="1:18" x14ac:dyDescent="0.25">
      <c r="A1993" s="169">
        <v>44946</v>
      </c>
      <c r="B1993" s="115">
        <v>364.64</v>
      </c>
      <c r="C1993" s="115">
        <v>363.16</v>
      </c>
      <c r="D1993" s="115">
        <v>362</v>
      </c>
      <c r="E1993" s="115">
        <v>364.27</v>
      </c>
      <c r="F1993" s="115">
        <v>1815.8</v>
      </c>
      <c r="G1993">
        <v>705</v>
      </c>
      <c r="H1993" s="115"/>
      <c r="I1993" s="115"/>
      <c r="L1993" s="169">
        <v>44938</v>
      </c>
      <c r="M1993" s="115">
        <v>368.59</v>
      </c>
      <c r="N1993" s="115">
        <v>375.55</v>
      </c>
      <c r="O1993" s="115">
        <v>367.1</v>
      </c>
      <c r="P1993" s="115">
        <v>375.55</v>
      </c>
      <c r="Q1993" s="115">
        <v>1842.95</v>
      </c>
      <c r="R1993">
        <v>4940</v>
      </c>
    </row>
    <row r="1994" spans="1:18" x14ac:dyDescent="0.25">
      <c r="A1994" s="169">
        <v>44949</v>
      </c>
      <c r="B1994" s="115">
        <v>365.65</v>
      </c>
      <c r="C1994" s="115">
        <v>361.05</v>
      </c>
      <c r="D1994" s="115">
        <v>356.46</v>
      </c>
      <c r="E1994" s="115">
        <v>365.65</v>
      </c>
      <c r="F1994" s="115">
        <v>1805.25</v>
      </c>
      <c r="G1994">
        <v>540</v>
      </c>
      <c r="H1994" s="115"/>
      <c r="I1994" s="115"/>
      <c r="L1994" s="169">
        <v>44939</v>
      </c>
      <c r="M1994" s="115">
        <v>369.46</v>
      </c>
      <c r="N1994" s="115">
        <v>373</v>
      </c>
      <c r="O1994" s="115">
        <v>362.41</v>
      </c>
      <c r="P1994" s="115">
        <v>370.13</v>
      </c>
      <c r="Q1994" s="115">
        <v>1847.3</v>
      </c>
      <c r="R1994">
        <v>6802</v>
      </c>
    </row>
    <row r="1995" spans="1:18" x14ac:dyDescent="0.25">
      <c r="A1995" s="169">
        <v>44950</v>
      </c>
      <c r="B1995" s="115">
        <v>365.2</v>
      </c>
      <c r="C1995" s="115">
        <v>364.94</v>
      </c>
      <c r="D1995" s="115">
        <v>357.99</v>
      </c>
      <c r="E1995" s="115">
        <v>357.99</v>
      </c>
      <c r="F1995" s="115">
        <v>1824.7</v>
      </c>
      <c r="G1995">
        <v>494</v>
      </c>
      <c r="H1995" s="115"/>
      <c r="I1995" s="115"/>
      <c r="L1995" s="169">
        <v>44942</v>
      </c>
      <c r="M1995" s="115">
        <v>361.48</v>
      </c>
      <c r="N1995" s="115">
        <v>370.8</v>
      </c>
      <c r="O1995" s="115">
        <v>360.45</v>
      </c>
      <c r="P1995" s="115">
        <v>370.8</v>
      </c>
      <c r="Q1995" s="115">
        <v>1807.4</v>
      </c>
      <c r="R1995">
        <v>5511</v>
      </c>
    </row>
    <row r="1996" spans="1:18" x14ac:dyDescent="0.25">
      <c r="A1996" s="169">
        <v>44951</v>
      </c>
      <c r="B1996" s="115">
        <v>365.44</v>
      </c>
      <c r="C1996" s="115">
        <v>358.22</v>
      </c>
      <c r="D1996" s="115">
        <v>356.51</v>
      </c>
      <c r="E1996" s="115">
        <v>360.27</v>
      </c>
      <c r="F1996" s="115">
        <v>1791.1</v>
      </c>
      <c r="G1996">
        <v>442</v>
      </c>
      <c r="H1996" s="115"/>
      <c r="I1996" s="115"/>
      <c r="L1996" s="169">
        <v>44943</v>
      </c>
      <c r="M1996" s="115">
        <v>366.19</v>
      </c>
      <c r="N1996" s="115">
        <v>369.2</v>
      </c>
      <c r="O1996" s="115">
        <v>359.2</v>
      </c>
      <c r="P1996" s="115">
        <v>359.2</v>
      </c>
      <c r="Q1996" s="115">
        <v>1830.95</v>
      </c>
      <c r="R1996">
        <v>8396</v>
      </c>
    </row>
    <row r="1997" spans="1:18" x14ac:dyDescent="0.25">
      <c r="A1997" s="169">
        <v>44953</v>
      </c>
      <c r="B1997" s="115">
        <v>361.6</v>
      </c>
      <c r="C1997" s="115">
        <v>351.5</v>
      </c>
      <c r="D1997" s="115">
        <v>345.42</v>
      </c>
      <c r="E1997" s="115">
        <v>358.16</v>
      </c>
      <c r="F1997" s="115">
        <v>1757.5</v>
      </c>
      <c r="G1997">
        <v>1133</v>
      </c>
      <c r="H1997" s="115"/>
      <c r="I1997" s="115"/>
      <c r="L1997" s="169">
        <v>44944</v>
      </c>
      <c r="M1997" s="115">
        <v>366.85</v>
      </c>
      <c r="N1997" s="115">
        <v>368.03</v>
      </c>
      <c r="O1997" s="115">
        <v>363.99</v>
      </c>
      <c r="P1997" s="115">
        <v>363.99</v>
      </c>
      <c r="Q1997" s="115">
        <v>1834.25</v>
      </c>
      <c r="R1997">
        <v>10106</v>
      </c>
    </row>
    <row r="1998" spans="1:18" x14ac:dyDescent="0.25">
      <c r="A1998" s="169">
        <v>44956</v>
      </c>
      <c r="B1998" s="115">
        <v>356.06</v>
      </c>
      <c r="C1998" s="115">
        <v>354.08</v>
      </c>
      <c r="D1998" s="115">
        <v>341.24</v>
      </c>
      <c r="E1998" s="115">
        <v>341.24</v>
      </c>
      <c r="F1998" s="115">
        <v>1770.4</v>
      </c>
      <c r="G1998">
        <v>661</v>
      </c>
      <c r="H1998" s="115"/>
      <c r="I1998" s="115"/>
      <c r="L1998" s="169">
        <v>44945</v>
      </c>
      <c r="M1998" s="115">
        <v>363.74</v>
      </c>
      <c r="N1998" s="115">
        <v>368.69</v>
      </c>
      <c r="O1998" s="115">
        <v>363</v>
      </c>
      <c r="P1998" s="115">
        <v>365.89</v>
      </c>
      <c r="Q1998" s="115">
        <v>1818.7</v>
      </c>
      <c r="R1998">
        <v>2081</v>
      </c>
    </row>
    <row r="1999" spans="1:18" x14ac:dyDescent="0.25">
      <c r="A1999" s="169">
        <v>44957</v>
      </c>
      <c r="B1999" s="115">
        <v>365.26</v>
      </c>
      <c r="C1999" s="115">
        <v>361.54</v>
      </c>
      <c r="D1999" s="115">
        <v>350.42</v>
      </c>
      <c r="E1999" s="115">
        <v>352.86</v>
      </c>
      <c r="F1999" s="115">
        <v>1807.7</v>
      </c>
      <c r="G1999">
        <v>563</v>
      </c>
      <c r="H1999" s="115"/>
      <c r="I1999" s="115"/>
      <c r="L1999" s="169">
        <v>44946</v>
      </c>
      <c r="M1999" s="115">
        <v>363.06</v>
      </c>
      <c r="N1999" s="115">
        <v>365.56</v>
      </c>
      <c r="O1999" s="115">
        <v>362</v>
      </c>
      <c r="P1999" s="115">
        <v>365</v>
      </c>
      <c r="Q1999" s="115">
        <v>1815.3</v>
      </c>
      <c r="R1999">
        <v>4940</v>
      </c>
    </row>
    <row r="2000" spans="1:18" x14ac:dyDescent="0.25">
      <c r="A2000" s="169">
        <v>44958</v>
      </c>
      <c r="B2000" s="115">
        <v>369.57</v>
      </c>
      <c r="C2000" s="115">
        <v>365.28</v>
      </c>
      <c r="D2000" s="115">
        <v>359.69</v>
      </c>
      <c r="E2000" s="115">
        <v>365.06</v>
      </c>
      <c r="F2000" s="115">
        <v>1826.4</v>
      </c>
      <c r="G2000">
        <v>581</v>
      </c>
      <c r="H2000" s="115"/>
      <c r="I2000" s="115"/>
      <c r="L2000" s="169">
        <v>44949</v>
      </c>
      <c r="M2000" s="115">
        <v>360.91</v>
      </c>
      <c r="N2000" s="115">
        <v>364.88</v>
      </c>
      <c r="O2000" s="115">
        <v>355</v>
      </c>
      <c r="P2000" s="115">
        <v>363.06</v>
      </c>
      <c r="Q2000" s="115">
        <v>1804.55</v>
      </c>
      <c r="R2000">
        <v>5116</v>
      </c>
    </row>
    <row r="2001" spans="1:18" x14ac:dyDescent="0.25">
      <c r="A2001" s="169">
        <v>44959</v>
      </c>
      <c r="B2001" s="115">
        <v>364.73</v>
      </c>
      <c r="C2001" s="115">
        <v>358.44</v>
      </c>
      <c r="D2001" s="115">
        <v>357.04</v>
      </c>
      <c r="E2001" s="115">
        <v>362.01</v>
      </c>
      <c r="F2001" s="115">
        <v>1792.2</v>
      </c>
      <c r="G2001">
        <v>436</v>
      </c>
      <c r="H2001" s="115"/>
      <c r="I2001" s="115"/>
      <c r="L2001" s="169">
        <v>44950</v>
      </c>
      <c r="M2001" s="115">
        <v>364.62</v>
      </c>
      <c r="N2001" s="115">
        <v>366</v>
      </c>
      <c r="O2001" s="115">
        <v>357.3</v>
      </c>
      <c r="P2001" s="115">
        <v>357.3</v>
      </c>
      <c r="Q2001" s="115">
        <v>1823.1</v>
      </c>
      <c r="R2001">
        <v>7973</v>
      </c>
    </row>
    <row r="2002" spans="1:18" x14ac:dyDescent="0.25">
      <c r="A2002" s="169">
        <v>44960</v>
      </c>
      <c r="B2002" s="115">
        <v>361.75</v>
      </c>
      <c r="C2002" s="115">
        <v>357.87</v>
      </c>
      <c r="D2002" s="115">
        <v>354.66</v>
      </c>
      <c r="E2002" s="115">
        <v>359.38</v>
      </c>
      <c r="F2002" s="115">
        <v>1789.35</v>
      </c>
      <c r="G2002">
        <v>102</v>
      </c>
      <c r="H2002" s="115"/>
      <c r="I2002" s="115"/>
      <c r="L2002" s="169">
        <v>44951</v>
      </c>
      <c r="M2002" s="115">
        <v>358.04</v>
      </c>
      <c r="N2002" s="115">
        <v>365.95</v>
      </c>
      <c r="O2002" s="115">
        <v>356.4</v>
      </c>
      <c r="P2002" s="115">
        <v>362.48</v>
      </c>
      <c r="Q2002" s="115">
        <v>1790.2</v>
      </c>
      <c r="R2002">
        <v>9910</v>
      </c>
    </row>
    <row r="2003" spans="1:18" x14ac:dyDescent="0.25">
      <c r="A2003" s="169">
        <v>44963</v>
      </c>
      <c r="B2003" s="115">
        <v>360.68</v>
      </c>
      <c r="C2003" s="115">
        <v>358.27</v>
      </c>
      <c r="D2003" s="115">
        <v>354.59</v>
      </c>
      <c r="E2003" s="115">
        <v>354.59</v>
      </c>
      <c r="F2003" s="115">
        <v>1791.35</v>
      </c>
      <c r="G2003">
        <v>118</v>
      </c>
      <c r="H2003" s="115"/>
      <c r="I2003" s="115"/>
      <c r="L2003" s="169">
        <v>44953</v>
      </c>
      <c r="M2003" s="115">
        <v>351.02</v>
      </c>
      <c r="N2003" s="115">
        <v>377.94</v>
      </c>
      <c r="O2003" s="115">
        <v>345.01</v>
      </c>
      <c r="P2003" s="115">
        <v>358.99</v>
      </c>
      <c r="Q2003" s="115">
        <v>1755.1</v>
      </c>
      <c r="R2003">
        <v>14772</v>
      </c>
    </row>
    <row r="2004" spans="1:18" x14ac:dyDescent="0.25">
      <c r="A2004" s="169">
        <v>44964</v>
      </c>
      <c r="B2004" s="115">
        <v>360.78</v>
      </c>
      <c r="C2004" s="115">
        <v>355.14</v>
      </c>
      <c r="D2004" s="115">
        <v>353.02</v>
      </c>
      <c r="E2004" s="115">
        <v>357.51</v>
      </c>
      <c r="F2004" s="115">
        <v>1775.7</v>
      </c>
      <c r="G2004">
        <v>408</v>
      </c>
      <c r="H2004" s="115"/>
      <c r="I2004" s="115"/>
      <c r="L2004" s="169">
        <v>44956</v>
      </c>
      <c r="M2004" s="115">
        <v>353.95</v>
      </c>
      <c r="N2004" s="115">
        <v>356.37</v>
      </c>
      <c r="O2004" s="115">
        <v>343.4</v>
      </c>
      <c r="P2004" s="115">
        <v>343.4</v>
      </c>
      <c r="Q2004" s="115">
        <v>1769.75</v>
      </c>
      <c r="R2004">
        <v>5976</v>
      </c>
    </row>
    <row r="2005" spans="1:18" x14ac:dyDescent="0.25">
      <c r="A2005" s="169">
        <v>44965</v>
      </c>
      <c r="B2005" s="115">
        <v>359.03</v>
      </c>
      <c r="C2005" s="115">
        <v>358.71</v>
      </c>
      <c r="D2005" s="115">
        <v>353.26</v>
      </c>
      <c r="E2005" s="115">
        <v>354.66</v>
      </c>
      <c r="F2005" s="115">
        <v>1793.55</v>
      </c>
      <c r="G2005">
        <v>276</v>
      </c>
      <c r="H2005" s="115"/>
      <c r="I2005" s="115"/>
      <c r="L2005" s="169">
        <v>44957</v>
      </c>
      <c r="M2005" s="115">
        <v>363.53</v>
      </c>
      <c r="N2005" s="115">
        <v>365.44</v>
      </c>
      <c r="O2005" s="115">
        <v>349.31</v>
      </c>
      <c r="P2005" s="115">
        <v>349.31</v>
      </c>
      <c r="Q2005" s="115">
        <v>1817.65</v>
      </c>
      <c r="R2005">
        <v>23493</v>
      </c>
    </row>
    <row r="2006" spans="1:18" x14ac:dyDescent="0.25">
      <c r="A2006" s="169">
        <v>44966</v>
      </c>
      <c r="B2006" s="115">
        <v>360.5</v>
      </c>
      <c r="C2006" s="115">
        <v>357.43</v>
      </c>
      <c r="D2006" s="115">
        <v>355.37</v>
      </c>
      <c r="E2006" s="115">
        <v>360.5</v>
      </c>
      <c r="F2006" s="115">
        <v>1787.15</v>
      </c>
      <c r="G2006">
        <v>110</v>
      </c>
      <c r="H2006" s="115"/>
      <c r="I2006" s="115"/>
      <c r="L2006" s="169">
        <v>44958</v>
      </c>
      <c r="M2006" s="115">
        <v>364.37</v>
      </c>
      <c r="N2006" s="115">
        <v>369.69</v>
      </c>
      <c r="O2006" s="115">
        <v>359.41</v>
      </c>
      <c r="P2006" s="115">
        <v>365.18</v>
      </c>
      <c r="Q2006" s="115">
        <v>1821.85</v>
      </c>
      <c r="R2006">
        <v>14695</v>
      </c>
    </row>
    <row r="2007" spans="1:18" x14ac:dyDescent="0.25">
      <c r="A2007" s="169">
        <v>44967</v>
      </c>
      <c r="B2007" s="115">
        <v>377.32</v>
      </c>
      <c r="C2007" s="115">
        <v>369.64</v>
      </c>
      <c r="D2007" s="115">
        <v>356.99</v>
      </c>
      <c r="E2007" s="115">
        <v>357.22</v>
      </c>
      <c r="F2007" s="115">
        <v>1848.2</v>
      </c>
      <c r="G2007">
        <v>296</v>
      </c>
      <c r="H2007" s="115"/>
      <c r="I2007" s="115"/>
      <c r="L2007" s="169">
        <v>44959</v>
      </c>
      <c r="M2007" s="115">
        <v>359.01</v>
      </c>
      <c r="N2007" s="115">
        <v>367.39</v>
      </c>
      <c r="O2007" s="115">
        <v>357.6</v>
      </c>
      <c r="P2007" s="115">
        <v>365.01</v>
      </c>
      <c r="Q2007" s="115">
        <v>1795.05</v>
      </c>
      <c r="R2007">
        <v>8888</v>
      </c>
    </row>
    <row r="2008" spans="1:18" x14ac:dyDescent="0.25">
      <c r="A2008" s="169">
        <v>44970</v>
      </c>
      <c r="B2008" s="115">
        <v>379.02</v>
      </c>
      <c r="C2008" s="115">
        <v>370.9</v>
      </c>
      <c r="D2008" s="115">
        <v>368.1</v>
      </c>
      <c r="E2008" s="115">
        <v>370.27</v>
      </c>
      <c r="F2008" s="115">
        <v>1854.5</v>
      </c>
      <c r="G2008">
        <v>641</v>
      </c>
      <c r="H2008" s="115"/>
      <c r="I2008" s="115"/>
      <c r="L2008" s="169">
        <v>44960</v>
      </c>
      <c r="M2008" s="115">
        <v>359.82</v>
      </c>
      <c r="N2008" s="115">
        <v>360.81</v>
      </c>
      <c r="O2008" s="115">
        <v>356.2</v>
      </c>
      <c r="P2008" s="115">
        <v>360.81</v>
      </c>
      <c r="Q2008" s="115">
        <v>1799.1</v>
      </c>
      <c r="R2008">
        <v>8053</v>
      </c>
    </row>
    <row r="2009" spans="1:18" x14ac:dyDescent="0.25">
      <c r="A2009" s="169">
        <v>44971</v>
      </c>
      <c r="B2009" s="115">
        <v>372.7</v>
      </c>
      <c r="C2009" s="115">
        <v>365.67</v>
      </c>
      <c r="D2009" s="115">
        <v>363.12</v>
      </c>
      <c r="E2009" s="115">
        <v>372.7</v>
      </c>
      <c r="F2009" s="115">
        <v>1828.35</v>
      </c>
      <c r="G2009">
        <v>759</v>
      </c>
      <c r="H2009" s="115"/>
      <c r="I2009" s="115"/>
      <c r="L2009" s="169">
        <v>44963</v>
      </c>
      <c r="M2009" s="115">
        <v>359.75</v>
      </c>
      <c r="N2009" s="115">
        <v>361.58</v>
      </c>
      <c r="O2009" s="115">
        <v>354.42</v>
      </c>
      <c r="P2009" s="115">
        <v>354.42</v>
      </c>
      <c r="Q2009" s="115">
        <v>1798.75</v>
      </c>
      <c r="R2009">
        <v>6824</v>
      </c>
    </row>
    <row r="2010" spans="1:18" x14ac:dyDescent="0.25">
      <c r="A2010" s="169">
        <v>44972</v>
      </c>
      <c r="B2010" s="115">
        <v>377.39</v>
      </c>
      <c r="C2010" s="115">
        <v>369.72</v>
      </c>
      <c r="D2010" s="115">
        <v>364.94</v>
      </c>
      <c r="E2010" s="115">
        <v>364.94</v>
      </c>
      <c r="F2010" s="115">
        <v>1848.6</v>
      </c>
      <c r="G2010">
        <v>826</v>
      </c>
      <c r="H2010" s="115"/>
      <c r="I2010" s="115"/>
      <c r="L2010" s="169">
        <v>44964</v>
      </c>
      <c r="M2010" s="115">
        <v>358.99</v>
      </c>
      <c r="N2010" s="115">
        <v>361.2</v>
      </c>
      <c r="O2010" s="115">
        <v>352.2</v>
      </c>
      <c r="P2010" s="115">
        <v>361.2</v>
      </c>
      <c r="Q2010" s="115">
        <v>1794.95</v>
      </c>
      <c r="R2010">
        <v>9426</v>
      </c>
    </row>
    <row r="2011" spans="1:18" x14ac:dyDescent="0.25">
      <c r="A2011" s="169">
        <v>44973</v>
      </c>
      <c r="B2011" s="115">
        <v>375.17</v>
      </c>
      <c r="C2011" s="115">
        <v>372.68</v>
      </c>
      <c r="D2011" s="115">
        <v>366.87</v>
      </c>
      <c r="E2011" s="115">
        <v>368.96</v>
      </c>
      <c r="F2011" s="115">
        <v>1863.4</v>
      </c>
      <c r="G2011">
        <v>728</v>
      </c>
      <c r="H2011" s="115"/>
      <c r="I2011" s="115"/>
      <c r="L2011" s="169">
        <v>44965</v>
      </c>
      <c r="M2011" s="115">
        <v>358.13</v>
      </c>
      <c r="N2011" s="115">
        <v>359.2</v>
      </c>
      <c r="O2011" s="115">
        <v>353.2</v>
      </c>
      <c r="P2011" s="115">
        <v>356</v>
      </c>
      <c r="Q2011" s="115">
        <v>1790.65</v>
      </c>
      <c r="R2011">
        <v>11353</v>
      </c>
    </row>
    <row r="2012" spans="1:18" x14ac:dyDescent="0.25">
      <c r="A2012" s="169">
        <v>44974</v>
      </c>
      <c r="B2012" s="115">
        <v>389</v>
      </c>
      <c r="C2012" s="115">
        <v>383.52</v>
      </c>
      <c r="D2012" s="115">
        <v>375.32</v>
      </c>
      <c r="E2012" s="115">
        <v>375.32</v>
      </c>
      <c r="F2012" s="115">
        <v>1917.6</v>
      </c>
      <c r="G2012">
        <v>1130</v>
      </c>
      <c r="H2012" s="115"/>
      <c r="I2012" s="115"/>
      <c r="L2012" s="169">
        <v>44966</v>
      </c>
      <c r="M2012" s="115">
        <v>357.9</v>
      </c>
      <c r="N2012" s="115">
        <v>359.8</v>
      </c>
      <c r="O2012" s="115">
        <v>356.2</v>
      </c>
      <c r="P2012" s="115">
        <v>359.8</v>
      </c>
      <c r="Q2012" s="115">
        <v>1789.5</v>
      </c>
      <c r="R2012">
        <v>5119</v>
      </c>
    </row>
    <row r="2013" spans="1:18" x14ac:dyDescent="0.25">
      <c r="A2013" s="169">
        <v>44977</v>
      </c>
      <c r="B2013" s="115">
        <v>391.88</v>
      </c>
      <c r="C2013" s="115">
        <v>377.39</v>
      </c>
      <c r="D2013" s="115">
        <v>374.42</v>
      </c>
      <c r="E2013" s="115">
        <v>389.57</v>
      </c>
      <c r="F2013" s="115">
        <v>1886.95</v>
      </c>
      <c r="G2013">
        <v>846</v>
      </c>
      <c r="H2013" s="115"/>
      <c r="I2013" s="115"/>
      <c r="L2013" s="169">
        <v>44967</v>
      </c>
      <c r="M2013" s="115">
        <v>370.51</v>
      </c>
      <c r="N2013" s="115">
        <v>378</v>
      </c>
      <c r="O2013" s="115">
        <v>356.07</v>
      </c>
      <c r="P2013" s="115">
        <v>358</v>
      </c>
      <c r="Q2013" s="115">
        <v>1852.55</v>
      </c>
      <c r="R2013">
        <v>27432</v>
      </c>
    </row>
    <row r="2014" spans="1:18" x14ac:dyDescent="0.25">
      <c r="A2014" s="169">
        <v>44978</v>
      </c>
      <c r="B2014" s="115">
        <v>379.95</v>
      </c>
      <c r="C2014" s="115">
        <v>368.25</v>
      </c>
      <c r="D2014" s="115">
        <v>366.73</v>
      </c>
      <c r="E2014" s="115">
        <v>377.59</v>
      </c>
      <c r="F2014" s="115">
        <v>1841.25</v>
      </c>
      <c r="G2014">
        <v>887</v>
      </c>
      <c r="H2014" s="115"/>
      <c r="I2014" s="115"/>
      <c r="L2014" s="169">
        <v>44970</v>
      </c>
      <c r="M2014" s="115">
        <v>371.4</v>
      </c>
      <c r="N2014" s="115">
        <v>379.6</v>
      </c>
      <c r="O2014" s="115">
        <v>366.91</v>
      </c>
      <c r="P2014" s="115">
        <v>371</v>
      </c>
      <c r="Q2014" s="115">
        <v>1857</v>
      </c>
      <c r="R2014">
        <v>15368</v>
      </c>
    </row>
    <row r="2015" spans="1:18" x14ac:dyDescent="0.25">
      <c r="A2015" s="169">
        <v>44979</v>
      </c>
      <c r="B2015" s="115">
        <v>373.91</v>
      </c>
      <c r="C2015" s="115">
        <v>370.38</v>
      </c>
      <c r="D2015" s="115">
        <v>364.27</v>
      </c>
      <c r="E2015" s="115">
        <v>364.27</v>
      </c>
      <c r="F2015" s="115">
        <v>1851.9</v>
      </c>
      <c r="G2015">
        <v>669</v>
      </c>
      <c r="H2015" s="115"/>
      <c r="I2015" s="115"/>
      <c r="L2015" s="169">
        <v>44971</v>
      </c>
      <c r="M2015" s="115">
        <v>365.65</v>
      </c>
      <c r="N2015" s="115">
        <v>374</v>
      </c>
      <c r="O2015" s="115">
        <v>363.01</v>
      </c>
      <c r="P2015" s="115">
        <v>373.26</v>
      </c>
      <c r="Q2015" s="115">
        <v>1828.25</v>
      </c>
      <c r="R2015">
        <v>7023</v>
      </c>
    </row>
    <row r="2016" spans="1:18" x14ac:dyDescent="0.25">
      <c r="A2016" s="169">
        <v>44980</v>
      </c>
      <c r="B2016" s="115">
        <v>372.58</v>
      </c>
      <c r="C2016" s="115">
        <v>370.22</v>
      </c>
      <c r="D2016" s="115">
        <v>363.37</v>
      </c>
      <c r="E2016" s="115">
        <v>369.33</v>
      </c>
      <c r="F2016" s="115">
        <v>1851.1</v>
      </c>
      <c r="G2016">
        <v>642</v>
      </c>
      <c r="H2016" s="115"/>
      <c r="I2016" s="115"/>
      <c r="L2016" s="169">
        <v>44972</v>
      </c>
      <c r="M2016" s="115">
        <v>369.53</v>
      </c>
      <c r="N2016" s="115">
        <v>372.59</v>
      </c>
      <c r="O2016" s="115">
        <v>363.72</v>
      </c>
      <c r="P2016" s="115">
        <v>365.17</v>
      </c>
      <c r="Q2016" s="115">
        <v>1847.65</v>
      </c>
      <c r="R2016">
        <v>14392</v>
      </c>
    </row>
    <row r="2017" spans="1:18" x14ac:dyDescent="0.25">
      <c r="A2017" s="169">
        <v>44981</v>
      </c>
      <c r="B2017" s="115">
        <v>403.34</v>
      </c>
      <c r="C2017" s="115">
        <v>376.95</v>
      </c>
      <c r="D2017" s="115">
        <v>372.6</v>
      </c>
      <c r="E2017" s="115">
        <v>386.01</v>
      </c>
      <c r="F2017" s="115">
        <v>1884.75</v>
      </c>
      <c r="G2017">
        <v>14935</v>
      </c>
      <c r="H2017" s="115"/>
      <c r="I2017" s="115"/>
      <c r="L2017" s="169">
        <v>44973</v>
      </c>
      <c r="M2017" s="115">
        <v>373.4</v>
      </c>
      <c r="N2017" s="115">
        <v>375</v>
      </c>
      <c r="O2017" s="115">
        <v>366.86</v>
      </c>
      <c r="P2017" s="115">
        <v>371.38</v>
      </c>
      <c r="Q2017" s="115">
        <v>1867</v>
      </c>
      <c r="R2017">
        <v>18529</v>
      </c>
    </row>
    <row r="2018" spans="1:18" x14ac:dyDescent="0.25">
      <c r="A2018" s="169">
        <v>44984</v>
      </c>
      <c r="B2018" s="115">
        <v>385.8</v>
      </c>
      <c r="C2018" s="115">
        <v>376.91</v>
      </c>
      <c r="D2018" s="115">
        <v>374.72</v>
      </c>
      <c r="E2018" s="115">
        <v>376.8</v>
      </c>
      <c r="F2018" s="115">
        <v>1884.55</v>
      </c>
      <c r="G2018">
        <v>2360</v>
      </c>
      <c r="H2018" s="115"/>
      <c r="I2018" s="115"/>
      <c r="L2018" s="169">
        <v>44974</v>
      </c>
      <c r="M2018" s="115">
        <v>383.9</v>
      </c>
      <c r="N2018" s="115">
        <v>389</v>
      </c>
      <c r="O2018" s="115">
        <v>369.6</v>
      </c>
      <c r="P2018" s="115">
        <v>375.27</v>
      </c>
      <c r="Q2018" s="115">
        <v>1919.5</v>
      </c>
      <c r="R2018">
        <v>30653</v>
      </c>
    </row>
    <row r="2019" spans="1:18" x14ac:dyDescent="0.25">
      <c r="A2019" s="169">
        <v>44985</v>
      </c>
      <c r="B2019" s="115">
        <v>384.98</v>
      </c>
      <c r="C2019" s="115">
        <v>383.42</v>
      </c>
      <c r="D2019" s="115">
        <v>371.21</v>
      </c>
      <c r="E2019" s="115">
        <v>371.21</v>
      </c>
      <c r="F2019" s="115">
        <v>1917.1</v>
      </c>
      <c r="G2019">
        <v>2285</v>
      </c>
      <c r="H2019" s="115"/>
      <c r="I2019" s="115"/>
      <c r="L2019" s="169">
        <v>44977</v>
      </c>
      <c r="M2019" s="115">
        <v>377.18</v>
      </c>
      <c r="N2019" s="115">
        <v>392.56</v>
      </c>
      <c r="O2019" s="115">
        <v>374.45</v>
      </c>
      <c r="P2019" s="115">
        <v>387.74</v>
      </c>
      <c r="Q2019" s="115">
        <v>1885.9</v>
      </c>
      <c r="R2019">
        <v>17519</v>
      </c>
    </row>
    <row r="2020" spans="1:18" x14ac:dyDescent="0.25">
      <c r="A2020" s="169">
        <v>44986</v>
      </c>
      <c r="B2020" s="115">
        <v>393.39</v>
      </c>
      <c r="C2020" s="115">
        <v>384.65</v>
      </c>
      <c r="D2020" s="115">
        <v>382.94</v>
      </c>
      <c r="E2020" s="115">
        <v>386.95</v>
      </c>
      <c r="F2020" s="115">
        <v>1923.25</v>
      </c>
      <c r="G2020">
        <v>2661</v>
      </c>
      <c r="H2020" s="115"/>
      <c r="I2020" s="115"/>
      <c r="L2020" s="169">
        <v>44978</v>
      </c>
      <c r="M2020" s="115">
        <v>368.14</v>
      </c>
      <c r="N2020" s="115">
        <v>380.87</v>
      </c>
      <c r="O2020" s="115">
        <v>366.7</v>
      </c>
      <c r="P2020" s="115">
        <v>375.19</v>
      </c>
      <c r="Q2020" s="115">
        <v>1840.7</v>
      </c>
      <c r="R2020">
        <v>10037</v>
      </c>
    </row>
    <row r="2021" spans="1:18" x14ac:dyDescent="0.25">
      <c r="A2021" s="169">
        <v>44987</v>
      </c>
      <c r="B2021" s="115">
        <v>395.8</v>
      </c>
      <c r="C2021" s="115">
        <v>393.86</v>
      </c>
      <c r="D2021" s="115">
        <v>385.72</v>
      </c>
      <c r="E2021" s="115">
        <v>389.6</v>
      </c>
      <c r="F2021" s="115">
        <v>1969.3</v>
      </c>
      <c r="G2021">
        <v>2354</v>
      </c>
      <c r="H2021" s="115"/>
      <c r="I2021" s="115"/>
      <c r="L2021" s="169">
        <v>44979</v>
      </c>
      <c r="M2021" s="115">
        <v>369.91</v>
      </c>
      <c r="N2021" s="115">
        <v>374.22</v>
      </c>
      <c r="O2021" s="115">
        <v>365.39</v>
      </c>
      <c r="P2021" s="115">
        <v>365.39</v>
      </c>
      <c r="Q2021" s="115">
        <v>1849.55</v>
      </c>
      <c r="R2021">
        <v>14238</v>
      </c>
    </row>
    <row r="2022" spans="1:18" x14ac:dyDescent="0.25">
      <c r="A2022" s="169">
        <v>44988</v>
      </c>
      <c r="B2022" s="115">
        <v>403.93</v>
      </c>
      <c r="C2022" s="115">
        <v>392.46</v>
      </c>
      <c r="D2022" s="115">
        <v>390.4</v>
      </c>
      <c r="E2022" s="115">
        <v>399.59</v>
      </c>
      <c r="F2022" s="115">
        <v>1962.3</v>
      </c>
      <c r="G2022">
        <v>4680</v>
      </c>
      <c r="H2022" s="115"/>
      <c r="I2022" s="115"/>
      <c r="L2022" s="169">
        <v>44980</v>
      </c>
      <c r="M2022" s="115">
        <v>371.06</v>
      </c>
      <c r="N2022" s="115">
        <v>374</v>
      </c>
      <c r="O2022" s="115">
        <v>363.49</v>
      </c>
      <c r="P2022" s="115">
        <v>371.76</v>
      </c>
      <c r="Q2022" s="115">
        <v>1855.3</v>
      </c>
      <c r="R2022">
        <v>18706</v>
      </c>
    </row>
    <row r="2023" spans="1:18" x14ac:dyDescent="0.25">
      <c r="A2023" s="169">
        <v>44991</v>
      </c>
      <c r="B2023" s="115">
        <v>398</v>
      </c>
      <c r="C2023" s="115">
        <v>388.53</v>
      </c>
      <c r="D2023" s="115">
        <v>387.81</v>
      </c>
      <c r="E2023" s="115">
        <v>394</v>
      </c>
      <c r="F2023" s="115">
        <v>1942.65</v>
      </c>
      <c r="G2023">
        <v>1477</v>
      </c>
      <c r="H2023" s="115"/>
      <c r="I2023" s="115"/>
      <c r="L2023" s="169">
        <v>44981</v>
      </c>
      <c r="M2023" s="115">
        <v>377.92</v>
      </c>
      <c r="N2023" s="115">
        <v>404</v>
      </c>
      <c r="O2023" s="115">
        <v>372.53</v>
      </c>
      <c r="P2023" s="115">
        <v>395.9</v>
      </c>
      <c r="Q2023" s="115">
        <v>1889.6</v>
      </c>
      <c r="R2023">
        <v>444030</v>
      </c>
    </row>
    <row r="2024" spans="1:18" x14ac:dyDescent="0.25">
      <c r="A2024" s="169">
        <v>44993</v>
      </c>
      <c r="B2024" s="115">
        <v>390.17</v>
      </c>
      <c r="C2024" s="115">
        <v>388.4</v>
      </c>
      <c r="D2024" s="115">
        <v>384.55</v>
      </c>
      <c r="E2024" s="115">
        <v>388.53</v>
      </c>
      <c r="F2024" s="115">
        <v>1942</v>
      </c>
      <c r="G2024">
        <v>1062</v>
      </c>
      <c r="H2024" s="115"/>
      <c r="I2024" s="115"/>
      <c r="L2024" s="169">
        <v>44984</v>
      </c>
      <c r="M2024" s="115">
        <v>376.8</v>
      </c>
      <c r="N2024" s="115">
        <v>386.4</v>
      </c>
      <c r="O2024" s="115">
        <v>374.71</v>
      </c>
      <c r="P2024" s="115">
        <v>377.54</v>
      </c>
      <c r="Q2024" s="115">
        <v>1884</v>
      </c>
      <c r="R2024">
        <v>52756</v>
      </c>
    </row>
    <row r="2025" spans="1:18" x14ac:dyDescent="0.25">
      <c r="A2025" s="169">
        <v>44994</v>
      </c>
      <c r="B2025" s="115">
        <v>393.91</v>
      </c>
      <c r="C2025" s="115">
        <v>389.53</v>
      </c>
      <c r="D2025" s="115">
        <v>384.89</v>
      </c>
      <c r="E2025" s="115">
        <v>386.34</v>
      </c>
      <c r="F2025" s="115">
        <v>1947.65</v>
      </c>
      <c r="G2025">
        <v>3550</v>
      </c>
      <c r="H2025" s="115"/>
      <c r="I2025" s="115"/>
      <c r="L2025" s="169">
        <v>44985</v>
      </c>
      <c r="M2025" s="115">
        <v>383.13</v>
      </c>
      <c r="N2025" s="115">
        <v>384.34</v>
      </c>
      <c r="O2025" s="115">
        <v>375.64</v>
      </c>
      <c r="P2025" s="115">
        <v>379.54</v>
      </c>
      <c r="Q2025" s="115">
        <v>1915.65</v>
      </c>
      <c r="R2025">
        <v>64480</v>
      </c>
    </row>
    <row r="2026" spans="1:18" x14ac:dyDescent="0.25">
      <c r="A2026" s="169">
        <v>44995</v>
      </c>
      <c r="B2026" s="115">
        <v>425.6</v>
      </c>
      <c r="C2026" s="115">
        <v>417.92</v>
      </c>
      <c r="D2026" s="115">
        <v>388.1</v>
      </c>
      <c r="E2026" s="115">
        <v>389.8</v>
      </c>
      <c r="F2026" s="115">
        <v>2089.6</v>
      </c>
      <c r="G2026">
        <v>25113</v>
      </c>
      <c r="H2026" s="115"/>
      <c r="I2026" s="115"/>
      <c r="L2026" s="169">
        <v>44986</v>
      </c>
      <c r="M2026" s="115">
        <v>384.35</v>
      </c>
      <c r="N2026" s="115">
        <v>388.58</v>
      </c>
      <c r="O2026" s="115">
        <v>382.56</v>
      </c>
      <c r="P2026" s="115">
        <v>387.8</v>
      </c>
      <c r="Q2026" s="115">
        <v>1921.75</v>
      </c>
      <c r="R2026">
        <v>27697</v>
      </c>
    </row>
    <row r="2027" spans="1:18" x14ac:dyDescent="0.25">
      <c r="A2027" s="169">
        <v>44998</v>
      </c>
      <c r="B2027" s="115">
        <v>427.12</v>
      </c>
      <c r="C2027" s="115">
        <v>404.44</v>
      </c>
      <c r="D2027" s="115">
        <v>401.41</v>
      </c>
      <c r="E2027" s="115">
        <v>420.01</v>
      </c>
      <c r="F2027" s="115">
        <v>2022.2</v>
      </c>
      <c r="G2027">
        <v>8242</v>
      </c>
      <c r="H2027" s="115"/>
      <c r="I2027" s="115"/>
      <c r="L2027" s="169">
        <v>44987</v>
      </c>
      <c r="M2027" s="115">
        <v>393.28</v>
      </c>
      <c r="N2027" s="115">
        <v>395.8</v>
      </c>
      <c r="O2027" s="115">
        <v>385.02</v>
      </c>
      <c r="P2027" s="115">
        <v>388</v>
      </c>
      <c r="Q2027" s="115">
        <v>1966.4</v>
      </c>
      <c r="R2027">
        <v>37520</v>
      </c>
    </row>
    <row r="2028" spans="1:18" x14ac:dyDescent="0.25">
      <c r="A2028" s="169">
        <v>44999</v>
      </c>
      <c r="B2028" s="115">
        <v>410.32</v>
      </c>
      <c r="C2028" s="115">
        <v>402.55</v>
      </c>
      <c r="D2028" s="115">
        <v>400.43</v>
      </c>
      <c r="E2028" s="115">
        <v>404.44</v>
      </c>
      <c r="F2028" s="115">
        <v>2012.75</v>
      </c>
      <c r="G2028">
        <v>1503</v>
      </c>
      <c r="H2028" s="115"/>
      <c r="I2028" s="115"/>
      <c r="L2028" s="169">
        <v>44988</v>
      </c>
      <c r="M2028" s="115">
        <v>392.84</v>
      </c>
      <c r="N2028" s="115">
        <v>403.76</v>
      </c>
      <c r="O2028" s="115">
        <v>390</v>
      </c>
      <c r="P2028" s="115">
        <v>396</v>
      </c>
      <c r="Q2028" s="115">
        <v>1964.2</v>
      </c>
      <c r="R2028">
        <v>52357</v>
      </c>
    </row>
    <row r="2029" spans="1:18" x14ac:dyDescent="0.25">
      <c r="A2029" s="169">
        <v>45000</v>
      </c>
      <c r="B2029" s="115">
        <v>410.4</v>
      </c>
      <c r="C2029" s="115">
        <v>403.08</v>
      </c>
      <c r="D2029" s="115">
        <v>401.2</v>
      </c>
      <c r="E2029" s="115">
        <v>405.18</v>
      </c>
      <c r="F2029" s="115">
        <v>2015.4</v>
      </c>
      <c r="G2029">
        <v>2108</v>
      </c>
      <c r="H2029" s="115"/>
      <c r="I2029" s="115"/>
      <c r="L2029" s="169">
        <v>44991</v>
      </c>
      <c r="M2029" s="115">
        <v>389.03</v>
      </c>
      <c r="N2029" s="115">
        <v>397.86</v>
      </c>
      <c r="O2029" s="115">
        <v>387.8</v>
      </c>
      <c r="P2029" s="115">
        <v>393.2</v>
      </c>
      <c r="Q2029" s="115">
        <v>1945.15</v>
      </c>
      <c r="R2029">
        <v>36972</v>
      </c>
    </row>
    <row r="2030" spans="1:18" x14ac:dyDescent="0.25">
      <c r="A2030" s="169">
        <v>45001</v>
      </c>
      <c r="B2030" s="115">
        <v>402.45</v>
      </c>
      <c r="C2030" s="115">
        <v>397.38</v>
      </c>
      <c r="D2030" s="115">
        <v>392</v>
      </c>
      <c r="E2030" s="115">
        <v>392.21</v>
      </c>
      <c r="F2030" s="115">
        <v>1986.9</v>
      </c>
      <c r="G2030">
        <v>2535</v>
      </c>
      <c r="H2030" s="115"/>
      <c r="I2030" s="115"/>
      <c r="L2030" s="169">
        <v>44993</v>
      </c>
      <c r="M2030" s="115">
        <v>388.04</v>
      </c>
      <c r="N2030" s="115">
        <v>392.18</v>
      </c>
      <c r="O2030" s="115">
        <v>384.8</v>
      </c>
      <c r="P2030" s="115">
        <v>386.59</v>
      </c>
      <c r="Q2030" s="115">
        <v>1940.2</v>
      </c>
      <c r="R2030">
        <v>28472</v>
      </c>
    </row>
    <row r="2031" spans="1:18" x14ac:dyDescent="0.25">
      <c r="A2031" s="169">
        <v>45002</v>
      </c>
      <c r="B2031" s="115">
        <v>417</v>
      </c>
      <c r="C2031" s="115">
        <v>413.25</v>
      </c>
      <c r="D2031" s="115">
        <v>397.4</v>
      </c>
      <c r="E2031" s="115">
        <v>397.4</v>
      </c>
      <c r="F2031" s="115">
        <v>2066.25</v>
      </c>
      <c r="G2031">
        <v>5227</v>
      </c>
      <c r="H2031" s="115"/>
      <c r="I2031" s="115"/>
      <c r="L2031" s="169">
        <v>44994</v>
      </c>
      <c r="M2031" s="115">
        <v>389.25</v>
      </c>
      <c r="N2031" s="115">
        <v>393.6</v>
      </c>
      <c r="O2031" s="115">
        <v>384.3</v>
      </c>
      <c r="P2031" s="115">
        <v>384.3</v>
      </c>
      <c r="Q2031" s="115">
        <v>1946.25</v>
      </c>
      <c r="R2031">
        <v>28675</v>
      </c>
    </row>
    <row r="2032" spans="1:18" x14ac:dyDescent="0.25">
      <c r="A2032" s="169">
        <v>45005</v>
      </c>
      <c r="B2032" s="115">
        <v>416.21</v>
      </c>
      <c r="C2032" s="115">
        <v>410.81</v>
      </c>
      <c r="D2032" s="115">
        <v>407.26</v>
      </c>
      <c r="E2032" s="115">
        <v>410.49</v>
      </c>
      <c r="F2032" s="115">
        <v>2054.0500000000002</v>
      </c>
      <c r="G2032">
        <v>1540</v>
      </c>
      <c r="H2032" s="115"/>
      <c r="I2032" s="115"/>
      <c r="L2032" s="169">
        <v>44995</v>
      </c>
      <c r="M2032" s="115">
        <v>416.76</v>
      </c>
      <c r="N2032" s="115">
        <v>425.78</v>
      </c>
      <c r="O2032" s="115">
        <v>387.32</v>
      </c>
      <c r="P2032" s="115">
        <v>393</v>
      </c>
      <c r="Q2032" s="115">
        <v>2083.8000000000002</v>
      </c>
      <c r="R2032">
        <v>408659</v>
      </c>
    </row>
    <row r="2033" spans="1:18" x14ac:dyDescent="0.25">
      <c r="A2033" s="169">
        <v>45006</v>
      </c>
      <c r="B2033" s="115">
        <v>419.13</v>
      </c>
      <c r="C2033" s="115">
        <v>414.28</v>
      </c>
      <c r="D2033" s="115">
        <v>408.8</v>
      </c>
      <c r="E2033" s="115">
        <v>411.89</v>
      </c>
      <c r="F2033" s="115">
        <v>2071.4</v>
      </c>
      <c r="G2033">
        <v>5417</v>
      </c>
      <c r="H2033" s="115"/>
      <c r="I2033" s="115"/>
      <c r="L2033" s="169">
        <v>44998</v>
      </c>
      <c r="M2033" s="115">
        <v>404.8</v>
      </c>
      <c r="N2033" s="115">
        <v>427.98</v>
      </c>
      <c r="O2033" s="115">
        <v>401.2</v>
      </c>
      <c r="P2033" s="115">
        <v>424.8</v>
      </c>
      <c r="Q2033" s="115">
        <v>2024</v>
      </c>
      <c r="R2033">
        <v>85713</v>
      </c>
    </row>
    <row r="2034" spans="1:18" x14ac:dyDescent="0.25">
      <c r="A2034" s="169">
        <v>45007</v>
      </c>
      <c r="B2034" s="115">
        <v>424.88</v>
      </c>
      <c r="C2034" s="115">
        <v>415.42</v>
      </c>
      <c r="D2034" s="115">
        <v>411.07</v>
      </c>
      <c r="E2034" s="115">
        <v>416.5</v>
      </c>
      <c r="F2034" s="115">
        <v>2077.1</v>
      </c>
      <c r="G2034">
        <v>4692</v>
      </c>
      <c r="H2034" s="115"/>
      <c r="I2034" s="115"/>
      <c r="L2034" s="169">
        <v>44999</v>
      </c>
      <c r="M2034" s="115">
        <v>402.37</v>
      </c>
      <c r="N2034" s="115">
        <v>412</v>
      </c>
      <c r="O2034" s="115">
        <v>400.22</v>
      </c>
      <c r="P2034" s="115">
        <v>408</v>
      </c>
      <c r="Q2034" s="115">
        <v>2011.85</v>
      </c>
      <c r="R2034">
        <v>30727</v>
      </c>
    </row>
    <row r="2035" spans="1:18" x14ac:dyDescent="0.25">
      <c r="A2035" s="169">
        <v>45008</v>
      </c>
      <c r="B2035" s="115">
        <v>423.12</v>
      </c>
      <c r="C2035" s="115">
        <v>415.26</v>
      </c>
      <c r="D2035" s="115">
        <v>407.44</v>
      </c>
      <c r="E2035" s="115">
        <v>407.44</v>
      </c>
      <c r="F2035" s="115">
        <v>2076.3000000000002</v>
      </c>
      <c r="G2035">
        <v>1544</v>
      </c>
      <c r="H2035" s="115"/>
      <c r="I2035" s="115"/>
      <c r="L2035" s="169">
        <v>45000</v>
      </c>
      <c r="M2035" s="115">
        <v>403.82</v>
      </c>
      <c r="N2035" s="115">
        <v>411</v>
      </c>
      <c r="O2035" s="115">
        <v>401.6</v>
      </c>
      <c r="P2035" s="115">
        <v>404.39</v>
      </c>
      <c r="Q2035" s="115">
        <v>2019.1</v>
      </c>
      <c r="R2035">
        <v>29240</v>
      </c>
    </row>
    <row r="2036" spans="1:18" x14ac:dyDescent="0.25">
      <c r="A2036" s="169">
        <v>45009</v>
      </c>
      <c r="B2036" s="115">
        <v>418.56</v>
      </c>
      <c r="C2036" s="115">
        <v>415.95</v>
      </c>
      <c r="D2036" s="115">
        <v>412.88</v>
      </c>
      <c r="E2036" s="115">
        <v>416.13</v>
      </c>
      <c r="F2036" s="115">
        <v>2079.75</v>
      </c>
      <c r="G2036">
        <v>1153</v>
      </c>
      <c r="H2036" s="115"/>
      <c r="I2036" s="115"/>
      <c r="L2036" s="169">
        <v>45001</v>
      </c>
      <c r="M2036" s="115">
        <v>397.18</v>
      </c>
      <c r="N2036" s="115">
        <v>405.83</v>
      </c>
      <c r="O2036" s="115">
        <v>391.8</v>
      </c>
      <c r="P2036" s="115">
        <v>405.83</v>
      </c>
      <c r="Q2036" s="115">
        <v>1985.9</v>
      </c>
      <c r="R2036">
        <v>26259</v>
      </c>
    </row>
    <row r="2037" spans="1:18" x14ac:dyDescent="0.25">
      <c r="A2037" s="169">
        <v>45012</v>
      </c>
      <c r="B2037" s="115">
        <v>420.23</v>
      </c>
      <c r="C2037" s="115">
        <v>410.4</v>
      </c>
      <c r="D2037" s="115">
        <v>407</v>
      </c>
      <c r="E2037" s="115">
        <v>419.71</v>
      </c>
      <c r="F2037" s="115">
        <v>2052</v>
      </c>
      <c r="G2037">
        <v>2788</v>
      </c>
      <c r="H2037" s="115"/>
      <c r="I2037" s="115"/>
      <c r="L2037" s="169">
        <v>45002</v>
      </c>
      <c r="M2037" s="115">
        <v>413.3</v>
      </c>
      <c r="N2037" s="115">
        <v>417</v>
      </c>
      <c r="O2037" s="115">
        <v>398</v>
      </c>
      <c r="P2037" s="115">
        <v>399.15</v>
      </c>
      <c r="Q2037" s="115">
        <v>2066.5</v>
      </c>
      <c r="R2037">
        <v>53649</v>
      </c>
    </row>
    <row r="2038" spans="1:18" x14ac:dyDescent="0.25">
      <c r="A2038" s="169">
        <v>45013</v>
      </c>
      <c r="B2038" s="115">
        <v>413.38</v>
      </c>
      <c r="C2038" s="115">
        <v>411.69</v>
      </c>
      <c r="D2038" s="115">
        <v>407.94</v>
      </c>
      <c r="E2038" s="115">
        <v>410.75</v>
      </c>
      <c r="F2038" s="115">
        <v>2058.4499999999998</v>
      </c>
      <c r="G2038">
        <v>1254</v>
      </c>
      <c r="H2038" s="115"/>
      <c r="I2038" s="115"/>
      <c r="L2038" s="169">
        <v>45005</v>
      </c>
      <c r="M2038" s="115">
        <v>410.6</v>
      </c>
      <c r="N2038" s="115">
        <v>417</v>
      </c>
      <c r="O2038" s="115">
        <v>407</v>
      </c>
      <c r="P2038" s="115">
        <v>411.32</v>
      </c>
      <c r="Q2038" s="115">
        <v>2053</v>
      </c>
      <c r="R2038">
        <v>137760</v>
      </c>
    </row>
    <row r="2039" spans="1:18" x14ac:dyDescent="0.25">
      <c r="A2039" s="169">
        <v>45014</v>
      </c>
      <c r="B2039" s="115">
        <v>424.39</v>
      </c>
      <c r="C2039" s="115">
        <v>414.58</v>
      </c>
      <c r="D2039" s="115">
        <v>410.59</v>
      </c>
      <c r="E2039" s="115">
        <v>412.52</v>
      </c>
      <c r="F2039" s="115">
        <v>2072.9</v>
      </c>
      <c r="G2039">
        <v>3276</v>
      </c>
      <c r="H2039" s="115"/>
      <c r="I2039" s="115"/>
      <c r="L2039" s="169">
        <v>45006</v>
      </c>
      <c r="M2039" s="115">
        <v>414.69</v>
      </c>
      <c r="N2039" s="115">
        <v>419.39</v>
      </c>
      <c r="O2039" s="115">
        <v>408.62</v>
      </c>
      <c r="P2039" s="115">
        <v>413.8</v>
      </c>
      <c r="Q2039" s="115">
        <v>2073.4499999999998</v>
      </c>
      <c r="R2039">
        <v>52758</v>
      </c>
    </row>
    <row r="2040" spans="1:18" x14ac:dyDescent="0.25">
      <c r="A2040" s="169">
        <v>45016</v>
      </c>
      <c r="B2040" s="115">
        <v>426.74</v>
      </c>
      <c r="C2040" s="115">
        <v>418.32</v>
      </c>
      <c r="D2040" s="115">
        <v>414.11</v>
      </c>
      <c r="E2040" s="115">
        <v>414.11</v>
      </c>
      <c r="F2040" s="115">
        <v>2091.6</v>
      </c>
      <c r="G2040">
        <v>1902</v>
      </c>
      <c r="H2040" s="115"/>
      <c r="I2040" s="115"/>
      <c r="L2040" s="169">
        <v>45007</v>
      </c>
      <c r="M2040" s="115">
        <v>415.75</v>
      </c>
      <c r="N2040" s="115">
        <v>423.4</v>
      </c>
      <c r="O2040" s="115">
        <v>411.21</v>
      </c>
      <c r="P2040" s="115">
        <v>416.2</v>
      </c>
      <c r="Q2040" s="115">
        <v>2078.75</v>
      </c>
      <c r="R2040">
        <v>28346</v>
      </c>
    </row>
    <row r="2041" spans="1:18" x14ac:dyDescent="0.25">
      <c r="A2041" s="169">
        <v>45019</v>
      </c>
      <c r="B2041" s="115">
        <v>441.81</v>
      </c>
      <c r="C2041" s="115">
        <v>437.68</v>
      </c>
      <c r="D2041" s="115">
        <v>427.34</v>
      </c>
      <c r="E2041" s="115">
        <v>429.44</v>
      </c>
      <c r="F2041" s="115">
        <v>2188.4</v>
      </c>
      <c r="G2041">
        <v>6150</v>
      </c>
      <c r="H2041" s="115"/>
      <c r="I2041" s="115"/>
      <c r="L2041" s="169">
        <v>45008</v>
      </c>
      <c r="M2041" s="115">
        <v>415.84</v>
      </c>
      <c r="N2041" s="115">
        <v>423.4</v>
      </c>
      <c r="O2041" s="115">
        <v>414</v>
      </c>
      <c r="P2041" s="115">
        <v>416.8</v>
      </c>
      <c r="Q2041" s="115">
        <v>2079.1999999999998</v>
      </c>
      <c r="R2041">
        <v>22608</v>
      </c>
    </row>
    <row r="2042" spans="1:18" x14ac:dyDescent="0.25">
      <c r="A2042" s="169">
        <v>45021</v>
      </c>
      <c r="B2042" s="115">
        <v>448.79</v>
      </c>
      <c r="C2042" s="115">
        <v>446.37</v>
      </c>
      <c r="D2042" s="115">
        <v>430.91</v>
      </c>
      <c r="E2042" s="115">
        <v>437.3</v>
      </c>
      <c r="F2042" s="115">
        <v>2231.85</v>
      </c>
      <c r="G2042">
        <v>6909</v>
      </c>
      <c r="H2042" s="115"/>
      <c r="I2042" s="115"/>
      <c r="L2042" s="169">
        <v>45009</v>
      </c>
      <c r="M2042" s="115">
        <v>416.06</v>
      </c>
      <c r="N2042" s="115">
        <v>419</v>
      </c>
      <c r="O2042" s="115">
        <v>412.62</v>
      </c>
      <c r="P2042" s="115">
        <v>414.2</v>
      </c>
      <c r="Q2042" s="115">
        <v>2080.3000000000002</v>
      </c>
      <c r="R2042">
        <v>58821</v>
      </c>
    </row>
    <row r="2043" spans="1:18" x14ac:dyDescent="0.25">
      <c r="A2043" s="169">
        <v>45022</v>
      </c>
      <c r="B2043" s="115">
        <v>455.02</v>
      </c>
      <c r="C2043" s="115">
        <v>447.53</v>
      </c>
      <c r="D2043" s="115">
        <v>440.4</v>
      </c>
      <c r="E2043" s="115">
        <v>447.48</v>
      </c>
      <c r="F2043" s="115">
        <v>2237.65</v>
      </c>
      <c r="G2043">
        <v>1964</v>
      </c>
      <c r="H2043" s="115"/>
      <c r="I2043" s="115"/>
      <c r="L2043" s="169">
        <v>45012</v>
      </c>
      <c r="M2043" s="115">
        <v>410.61</v>
      </c>
      <c r="N2043" s="115">
        <v>420.58</v>
      </c>
      <c r="O2043" s="115">
        <v>406.51</v>
      </c>
      <c r="P2043" s="115">
        <v>417.98</v>
      </c>
      <c r="Q2043" s="115">
        <v>2053.0500000000002</v>
      </c>
      <c r="R2043">
        <v>36944</v>
      </c>
    </row>
    <row r="2044" spans="1:18" x14ac:dyDescent="0.25">
      <c r="A2044" s="169">
        <v>45026</v>
      </c>
      <c r="B2044" s="115">
        <v>455.79</v>
      </c>
      <c r="C2044" s="115">
        <v>438.94</v>
      </c>
      <c r="D2044" s="115">
        <v>436.2</v>
      </c>
      <c r="E2044" s="115">
        <v>455.79</v>
      </c>
      <c r="F2044" s="115">
        <v>2194.6999999999998</v>
      </c>
      <c r="G2044">
        <v>2670</v>
      </c>
      <c r="H2044" s="115"/>
      <c r="I2044" s="115"/>
      <c r="L2044" s="169">
        <v>45013</v>
      </c>
      <c r="M2044" s="115">
        <v>411.71</v>
      </c>
      <c r="N2044" s="115">
        <v>414.71</v>
      </c>
      <c r="O2044" s="115">
        <v>406.78</v>
      </c>
      <c r="P2044" s="115">
        <v>408</v>
      </c>
      <c r="Q2044" s="115">
        <v>2058.5500000000002</v>
      </c>
      <c r="R2044">
        <v>25676</v>
      </c>
    </row>
    <row r="2045" spans="1:18" x14ac:dyDescent="0.25">
      <c r="A2045" s="169">
        <v>45027</v>
      </c>
      <c r="B2045" s="115">
        <v>450.45</v>
      </c>
      <c r="C2045" s="115">
        <v>447.96</v>
      </c>
      <c r="D2045" s="115">
        <v>432.81</v>
      </c>
      <c r="E2045" s="115">
        <v>432.81</v>
      </c>
      <c r="F2045" s="115">
        <v>2239.8000000000002</v>
      </c>
      <c r="G2045">
        <v>4170</v>
      </c>
      <c r="H2045" s="115"/>
      <c r="I2045" s="115"/>
      <c r="L2045" s="169">
        <v>45014</v>
      </c>
      <c r="M2045" s="115">
        <v>414.75</v>
      </c>
      <c r="N2045" s="115">
        <v>424.78</v>
      </c>
      <c r="O2045" s="115">
        <v>410.57</v>
      </c>
      <c r="P2045" s="115">
        <v>414.43</v>
      </c>
      <c r="Q2045" s="115">
        <v>2073.75</v>
      </c>
      <c r="R2045">
        <v>55190</v>
      </c>
    </row>
    <row r="2046" spans="1:18" x14ac:dyDescent="0.25">
      <c r="A2046" s="169">
        <v>45028</v>
      </c>
      <c r="B2046" s="115">
        <v>454.5</v>
      </c>
      <c r="C2046" s="115">
        <v>444.39</v>
      </c>
      <c r="D2046" s="115">
        <v>441.66</v>
      </c>
      <c r="E2046" s="115">
        <v>446.01</v>
      </c>
      <c r="F2046" s="115">
        <v>2221.9499999999998</v>
      </c>
      <c r="G2046">
        <v>4602</v>
      </c>
      <c r="H2046" s="115"/>
      <c r="I2046" s="115"/>
      <c r="L2046" s="169">
        <v>45016</v>
      </c>
      <c r="M2046" s="115">
        <v>418.96</v>
      </c>
      <c r="N2046" s="115">
        <v>427</v>
      </c>
      <c r="O2046" s="115">
        <v>415.01</v>
      </c>
      <c r="P2046" s="115">
        <v>417.4</v>
      </c>
      <c r="Q2046" s="115">
        <v>2094.8000000000002</v>
      </c>
      <c r="R2046">
        <v>42935</v>
      </c>
    </row>
    <row r="2047" spans="1:18" x14ac:dyDescent="0.25">
      <c r="A2047" s="169">
        <v>45029</v>
      </c>
      <c r="B2047" s="115">
        <v>453</v>
      </c>
      <c r="C2047" s="115">
        <v>448.57</v>
      </c>
      <c r="D2047" s="115">
        <v>442.1</v>
      </c>
      <c r="E2047" s="115">
        <v>453</v>
      </c>
      <c r="F2047" s="115">
        <v>2242.85</v>
      </c>
      <c r="G2047">
        <v>2589</v>
      </c>
      <c r="H2047" s="115"/>
      <c r="I2047" s="115"/>
      <c r="L2047" s="169">
        <v>45019</v>
      </c>
      <c r="M2047" s="115">
        <v>436.53</v>
      </c>
      <c r="N2047" s="115">
        <v>441.96</v>
      </c>
      <c r="O2047" s="115">
        <v>426</v>
      </c>
      <c r="P2047" s="115">
        <v>426</v>
      </c>
      <c r="Q2047" s="115">
        <v>2182.65</v>
      </c>
      <c r="R2047">
        <v>119961</v>
      </c>
    </row>
    <row r="2048" spans="1:18" x14ac:dyDescent="0.25">
      <c r="A2048" s="169">
        <v>45033</v>
      </c>
      <c r="B2048" s="115">
        <v>458.59</v>
      </c>
      <c r="C2048" s="115">
        <v>451.94</v>
      </c>
      <c r="D2048" s="115">
        <v>439.68</v>
      </c>
      <c r="E2048" s="115">
        <v>452.79</v>
      </c>
      <c r="F2048" s="115">
        <v>2259.6999999999998</v>
      </c>
      <c r="G2048">
        <v>9445</v>
      </c>
      <c r="H2048" s="115"/>
      <c r="I2048" s="115"/>
      <c r="L2048" s="169">
        <v>45021</v>
      </c>
      <c r="M2048" s="115">
        <v>447.02</v>
      </c>
      <c r="N2048" s="115">
        <v>449.8</v>
      </c>
      <c r="O2048" s="115">
        <v>431.11</v>
      </c>
      <c r="P2048" s="115">
        <v>440.79</v>
      </c>
      <c r="Q2048" s="115">
        <v>2235.1</v>
      </c>
      <c r="R2048">
        <v>71306</v>
      </c>
    </row>
    <row r="2049" spans="1:18" x14ac:dyDescent="0.25">
      <c r="A2049" s="169">
        <v>45034</v>
      </c>
      <c r="B2049" s="115">
        <v>452.79</v>
      </c>
      <c r="C2049" s="115">
        <v>434.98</v>
      </c>
      <c r="D2049" s="115">
        <v>430.27</v>
      </c>
      <c r="E2049" s="115">
        <v>452.79</v>
      </c>
      <c r="F2049" s="115">
        <v>2174.9</v>
      </c>
      <c r="G2049">
        <v>2407</v>
      </c>
      <c r="H2049" s="115"/>
      <c r="I2049" s="115"/>
      <c r="L2049" s="169">
        <v>45022</v>
      </c>
      <c r="M2049" s="115">
        <v>447.7</v>
      </c>
      <c r="N2049" s="115">
        <v>455.38</v>
      </c>
      <c r="O2049" s="115">
        <v>440.16</v>
      </c>
      <c r="P2049" s="115">
        <v>447.02</v>
      </c>
      <c r="Q2049" s="115">
        <v>2238.5</v>
      </c>
      <c r="R2049">
        <v>56240</v>
      </c>
    </row>
    <row r="2050" spans="1:18" x14ac:dyDescent="0.25">
      <c r="A2050" s="169">
        <v>45035</v>
      </c>
      <c r="B2050" s="115">
        <v>439.01</v>
      </c>
      <c r="C2050" s="115">
        <v>434.28</v>
      </c>
      <c r="D2050" s="115">
        <v>429.2</v>
      </c>
      <c r="E2050" s="115">
        <v>436</v>
      </c>
      <c r="F2050" s="115">
        <v>2171.4</v>
      </c>
      <c r="G2050">
        <v>1850</v>
      </c>
      <c r="H2050" s="115"/>
      <c r="I2050" s="115"/>
      <c r="L2050" s="169">
        <v>45026</v>
      </c>
      <c r="M2050" s="115">
        <v>438.67</v>
      </c>
      <c r="N2050" s="115">
        <v>451.51</v>
      </c>
      <c r="O2050" s="115">
        <v>436.09</v>
      </c>
      <c r="P2050" s="115">
        <v>451</v>
      </c>
      <c r="Q2050" s="115">
        <v>2193.35</v>
      </c>
      <c r="R2050">
        <v>33969</v>
      </c>
    </row>
    <row r="2051" spans="1:18" x14ac:dyDescent="0.25">
      <c r="A2051" s="169">
        <v>45036</v>
      </c>
      <c r="B2051" s="115">
        <v>445.77</v>
      </c>
      <c r="C2051" s="115">
        <v>440.82</v>
      </c>
      <c r="D2051" s="115">
        <v>432.92</v>
      </c>
      <c r="E2051" s="115">
        <v>435.14</v>
      </c>
      <c r="F2051" s="115">
        <v>2204.1</v>
      </c>
      <c r="G2051">
        <v>1525</v>
      </c>
      <c r="H2051" s="115"/>
      <c r="I2051" s="115"/>
      <c r="L2051" s="169">
        <v>45027</v>
      </c>
      <c r="M2051" s="115">
        <v>447.17</v>
      </c>
      <c r="N2051" s="115">
        <v>450.69</v>
      </c>
      <c r="O2051" s="115">
        <v>438.12</v>
      </c>
      <c r="P2051" s="115">
        <v>440.6</v>
      </c>
      <c r="Q2051" s="115">
        <v>2235.85</v>
      </c>
      <c r="R2051">
        <v>45178</v>
      </c>
    </row>
    <row r="2052" spans="1:18" x14ac:dyDescent="0.25">
      <c r="A2052" s="169">
        <v>45037</v>
      </c>
      <c r="B2052" s="115">
        <v>441.69</v>
      </c>
      <c r="C2052" s="115">
        <v>435.22</v>
      </c>
      <c r="D2052" s="115">
        <v>433.25</v>
      </c>
      <c r="E2052" s="115">
        <v>436.01</v>
      </c>
      <c r="F2052" s="115">
        <v>2176.1</v>
      </c>
      <c r="G2052">
        <v>2993</v>
      </c>
      <c r="H2052" s="115"/>
      <c r="I2052" s="115"/>
      <c r="L2052" s="169">
        <v>45028</v>
      </c>
      <c r="M2052" s="115">
        <v>443.84</v>
      </c>
      <c r="N2052" s="115">
        <v>455.39</v>
      </c>
      <c r="O2052" s="115">
        <v>441.31</v>
      </c>
      <c r="P2052" s="115">
        <v>449.2</v>
      </c>
      <c r="Q2052" s="115">
        <v>2219.1999999999998</v>
      </c>
      <c r="R2052">
        <v>18500</v>
      </c>
    </row>
    <row r="2053" spans="1:18" x14ac:dyDescent="0.25">
      <c r="A2053" s="169">
        <v>45040</v>
      </c>
      <c r="B2053" s="115">
        <v>447.47</v>
      </c>
      <c r="C2053" s="115">
        <v>445.9</v>
      </c>
      <c r="D2053" s="115">
        <v>436.52</v>
      </c>
      <c r="E2053" s="115">
        <v>439.99</v>
      </c>
      <c r="F2053" s="115">
        <v>2229.5</v>
      </c>
      <c r="G2053">
        <v>2799</v>
      </c>
      <c r="H2053" s="115"/>
      <c r="I2053" s="115"/>
      <c r="L2053" s="169">
        <v>45029</v>
      </c>
      <c r="M2053" s="115">
        <v>447.8</v>
      </c>
      <c r="N2053" s="115">
        <v>453.97</v>
      </c>
      <c r="O2053" s="115">
        <v>442.32</v>
      </c>
      <c r="P2053" s="115">
        <v>447</v>
      </c>
      <c r="Q2053" s="115">
        <v>2239</v>
      </c>
      <c r="R2053">
        <v>22416</v>
      </c>
    </row>
    <row r="2054" spans="1:18" x14ac:dyDescent="0.25">
      <c r="A2054" s="169">
        <v>45041</v>
      </c>
      <c r="B2054" s="115">
        <v>452.41</v>
      </c>
      <c r="C2054" s="115">
        <v>450.14</v>
      </c>
      <c r="D2054" s="115">
        <v>445.19</v>
      </c>
      <c r="E2054" s="115">
        <v>449.63</v>
      </c>
      <c r="F2054" s="115">
        <v>2250.6999999999998</v>
      </c>
      <c r="G2054">
        <v>559</v>
      </c>
      <c r="H2054" s="115"/>
      <c r="I2054" s="115"/>
      <c r="L2054" s="169">
        <v>45033</v>
      </c>
      <c r="M2054" s="115">
        <v>451.97</v>
      </c>
      <c r="N2054" s="115">
        <v>459.97</v>
      </c>
      <c r="O2054" s="115">
        <v>447</v>
      </c>
      <c r="P2054" s="115">
        <v>449.37</v>
      </c>
      <c r="Q2054" s="115">
        <v>2259.85</v>
      </c>
      <c r="R2054">
        <v>21150</v>
      </c>
    </row>
    <row r="2055" spans="1:18" x14ac:dyDescent="0.25">
      <c r="A2055" s="169">
        <v>45042</v>
      </c>
      <c r="B2055" s="115">
        <v>453.39</v>
      </c>
      <c r="C2055" s="115">
        <v>445.28</v>
      </c>
      <c r="D2055" s="115">
        <v>443.01</v>
      </c>
      <c r="E2055" s="115">
        <v>453.35</v>
      </c>
      <c r="F2055" s="115">
        <v>2226.4</v>
      </c>
      <c r="G2055">
        <v>1707</v>
      </c>
      <c r="H2055" s="115"/>
      <c r="I2055" s="115"/>
      <c r="L2055" s="169">
        <v>45034</v>
      </c>
      <c r="M2055" s="115">
        <v>434.33</v>
      </c>
      <c r="N2055" s="115">
        <v>455.59</v>
      </c>
      <c r="O2055" s="115">
        <v>430.2</v>
      </c>
      <c r="P2055" s="115">
        <v>452.86</v>
      </c>
      <c r="Q2055" s="115">
        <v>2171.65</v>
      </c>
      <c r="R2055">
        <v>42970</v>
      </c>
    </row>
    <row r="2056" spans="1:18" x14ac:dyDescent="0.25">
      <c r="A2056" s="169">
        <v>45043</v>
      </c>
      <c r="B2056" s="115">
        <v>452.39</v>
      </c>
      <c r="C2056" s="115">
        <v>446.75</v>
      </c>
      <c r="D2056" s="115">
        <v>444.81</v>
      </c>
      <c r="E2056" s="115">
        <v>452.39</v>
      </c>
      <c r="F2056" s="115">
        <v>2233.75</v>
      </c>
      <c r="G2056">
        <v>922</v>
      </c>
      <c r="H2056" s="115"/>
      <c r="I2056" s="115"/>
      <c r="L2056" s="169">
        <v>45035</v>
      </c>
      <c r="M2056" s="115">
        <v>433.61</v>
      </c>
      <c r="N2056" s="115">
        <v>439.79</v>
      </c>
      <c r="O2056" s="115">
        <v>429.2</v>
      </c>
      <c r="P2056" s="115">
        <v>436.49</v>
      </c>
      <c r="Q2056" s="115">
        <v>2168.0500000000002</v>
      </c>
      <c r="R2056">
        <v>51865</v>
      </c>
    </row>
    <row r="2057" spans="1:18" x14ac:dyDescent="0.25">
      <c r="A2057" s="169">
        <v>45044</v>
      </c>
      <c r="B2057" s="115">
        <v>451.99</v>
      </c>
      <c r="C2057" s="115">
        <v>449.37</v>
      </c>
      <c r="D2057" s="115">
        <v>444.9</v>
      </c>
      <c r="E2057" s="115">
        <v>451.99</v>
      </c>
      <c r="F2057" s="115">
        <v>2246.85</v>
      </c>
      <c r="G2057">
        <v>2120</v>
      </c>
      <c r="H2057" s="115"/>
      <c r="I2057" s="115"/>
      <c r="L2057" s="169">
        <v>45036</v>
      </c>
      <c r="M2057" s="115">
        <v>440.58</v>
      </c>
      <c r="N2057" s="115">
        <v>445.94</v>
      </c>
      <c r="O2057" s="115">
        <v>432.67</v>
      </c>
      <c r="P2057" s="115">
        <v>437.25</v>
      </c>
      <c r="Q2057" s="115">
        <v>2202.9</v>
      </c>
      <c r="R2057">
        <v>22773</v>
      </c>
    </row>
    <row r="2058" spans="1:18" x14ac:dyDescent="0.25">
      <c r="A2058" s="169">
        <v>45048</v>
      </c>
      <c r="B2058" s="115">
        <v>450.35</v>
      </c>
      <c r="C2058" s="115">
        <v>442.92</v>
      </c>
      <c r="D2058" s="115">
        <v>440</v>
      </c>
      <c r="E2058" s="115">
        <v>450.07</v>
      </c>
      <c r="F2058" s="115">
        <v>2214.6</v>
      </c>
      <c r="G2058">
        <v>920</v>
      </c>
      <c r="H2058" s="115"/>
      <c r="I2058" s="115"/>
      <c r="L2058" s="169">
        <v>45037</v>
      </c>
      <c r="M2058" s="115">
        <v>434.78</v>
      </c>
      <c r="N2058" s="115">
        <v>442.4</v>
      </c>
      <c r="O2058" s="115">
        <v>432.65</v>
      </c>
      <c r="P2058" s="115">
        <v>440.58</v>
      </c>
      <c r="Q2058" s="115">
        <v>2173.9</v>
      </c>
      <c r="R2058">
        <v>20545</v>
      </c>
    </row>
    <row r="2059" spans="1:18" x14ac:dyDescent="0.25">
      <c r="A2059" s="169">
        <v>45049</v>
      </c>
      <c r="B2059" s="115">
        <v>444.59</v>
      </c>
      <c r="C2059" s="115">
        <v>442.7</v>
      </c>
      <c r="D2059" s="115">
        <v>438.37</v>
      </c>
      <c r="E2059" s="115">
        <v>439.26</v>
      </c>
      <c r="F2059" s="115">
        <v>2213.5</v>
      </c>
      <c r="G2059">
        <v>582</v>
      </c>
      <c r="H2059" s="115"/>
      <c r="I2059" s="115"/>
      <c r="L2059" s="169">
        <v>45040</v>
      </c>
      <c r="M2059" s="115">
        <v>446.1</v>
      </c>
      <c r="N2059" s="115">
        <v>449.8</v>
      </c>
      <c r="O2059" s="115">
        <v>435.61</v>
      </c>
      <c r="P2059" s="115">
        <v>438.65</v>
      </c>
      <c r="Q2059" s="115">
        <v>2230.5</v>
      </c>
      <c r="R2059">
        <v>39382</v>
      </c>
    </row>
    <row r="2060" spans="1:18" x14ac:dyDescent="0.25">
      <c r="A2060" s="169">
        <v>45050</v>
      </c>
      <c r="B2060" s="115">
        <v>445.84</v>
      </c>
      <c r="C2060" s="115">
        <v>444.01</v>
      </c>
      <c r="D2060" s="115">
        <v>439</v>
      </c>
      <c r="E2060" s="115">
        <v>439</v>
      </c>
      <c r="F2060" s="115">
        <v>2220.0500000000002</v>
      </c>
      <c r="G2060">
        <v>430</v>
      </c>
      <c r="H2060" s="115"/>
      <c r="I2060" s="115"/>
      <c r="L2060" s="169">
        <v>45041</v>
      </c>
      <c r="M2060" s="115">
        <v>449.85</v>
      </c>
      <c r="N2060" s="115">
        <v>452.8</v>
      </c>
      <c r="O2060" s="115">
        <v>444.75</v>
      </c>
      <c r="P2060" s="115">
        <v>450</v>
      </c>
      <c r="Q2060" s="115">
        <v>2249.25</v>
      </c>
      <c r="R2060">
        <v>18973</v>
      </c>
    </row>
    <row r="2061" spans="1:18" x14ac:dyDescent="0.25">
      <c r="A2061" s="169">
        <v>45051</v>
      </c>
      <c r="B2061" s="115">
        <v>447.51</v>
      </c>
      <c r="C2061" s="115">
        <v>441.99</v>
      </c>
      <c r="D2061" s="115">
        <v>441</v>
      </c>
      <c r="E2061" s="115">
        <v>445.66</v>
      </c>
      <c r="F2061" s="115">
        <v>2209.9499999999998</v>
      </c>
      <c r="G2061">
        <v>696</v>
      </c>
      <c r="H2061" s="115"/>
      <c r="I2061" s="115"/>
      <c r="L2061" s="169">
        <v>45042</v>
      </c>
      <c r="M2061" s="115">
        <v>445.15</v>
      </c>
      <c r="N2061" s="115">
        <v>453.68</v>
      </c>
      <c r="O2061" s="115">
        <v>442.81</v>
      </c>
      <c r="P2061" s="115">
        <v>453.2</v>
      </c>
      <c r="Q2061" s="115">
        <v>2225.75</v>
      </c>
      <c r="R2061">
        <v>16631</v>
      </c>
    </row>
    <row r="2062" spans="1:18" x14ac:dyDescent="0.25">
      <c r="A2062" s="169">
        <v>45054</v>
      </c>
      <c r="B2062" s="115">
        <v>450.64</v>
      </c>
      <c r="C2062" s="115">
        <v>448.5</v>
      </c>
      <c r="D2062" s="115">
        <v>434.41</v>
      </c>
      <c r="E2062" s="115">
        <v>434.41</v>
      </c>
      <c r="F2062" s="115">
        <v>2242.5</v>
      </c>
      <c r="G2062">
        <v>689</v>
      </c>
      <c r="H2062" s="115"/>
      <c r="I2062" s="115"/>
      <c r="L2062" s="169">
        <v>45043</v>
      </c>
      <c r="M2062" s="115">
        <v>445.43</v>
      </c>
      <c r="N2062" s="115">
        <v>449</v>
      </c>
      <c r="O2062" s="115">
        <v>444.6</v>
      </c>
      <c r="P2062" s="115">
        <v>447.38</v>
      </c>
      <c r="Q2062" s="115">
        <v>2227.15</v>
      </c>
      <c r="R2062">
        <v>9455</v>
      </c>
    </row>
    <row r="2063" spans="1:18" x14ac:dyDescent="0.25">
      <c r="A2063" s="169">
        <v>45055</v>
      </c>
      <c r="B2063" s="115">
        <v>471.37</v>
      </c>
      <c r="C2063" s="115">
        <v>455.49</v>
      </c>
      <c r="D2063" s="115">
        <v>439.38</v>
      </c>
      <c r="E2063" s="115">
        <v>439.38</v>
      </c>
      <c r="F2063" s="115">
        <v>2277.4499999999998</v>
      </c>
      <c r="G2063">
        <v>5952</v>
      </c>
      <c r="H2063" s="115"/>
      <c r="I2063" s="115"/>
      <c r="L2063" s="169">
        <v>45044</v>
      </c>
      <c r="M2063" s="115">
        <v>450.11</v>
      </c>
      <c r="N2063" s="115">
        <v>451.58</v>
      </c>
      <c r="O2063" s="115">
        <v>444.6</v>
      </c>
      <c r="P2063" s="115">
        <v>445.2</v>
      </c>
      <c r="Q2063" s="115">
        <v>2250.5500000000002</v>
      </c>
      <c r="R2063">
        <v>20117</v>
      </c>
    </row>
    <row r="2064" spans="1:18" x14ac:dyDescent="0.25">
      <c r="A2064" s="169">
        <v>45056</v>
      </c>
      <c r="B2064" s="115">
        <v>444.58</v>
      </c>
      <c r="C2064" s="115">
        <v>439.32</v>
      </c>
      <c r="D2064" s="115">
        <v>419.89</v>
      </c>
      <c r="E2064" s="115">
        <v>439.99</v>
      </c>
      <c r="F2064" s="115">
        <v>2196.6</v>
      </c>
      <c r="G2064">
        <v>11074</v>
      </c>
      <c r="H2064" s="115"/>
      <c r="I2064" s="115"/>
      <c r="L2064" s="169">
        <v>45048</v>
      </c>
      <c r="M2064" s="115">
        <v>441.81</v>
      </c>
      <c r="N2064" s="115">
        <v>453.65</v>
      </c>
      <c r="O2064" s="115">
        <v>440.2</v>
      </c>
      <c r="P2064" s="115">
        <v>453.4</v>
      </c>
      <c r="Q2064" s="115">
        <v>2209.0500000000002</v>
      </c>
      <c r="R2064">
        <v>16413</v>
      </c>
    </row>
    <row r="2065" spans="1:18" x14ac:dyDescent="0.25">
      <c r="A2065" s="169">
        <v>45057</v>
      </c>
      <c r="B2065" s="115">
        <v>444.02</v>
      </c>
      <c r="C2065" s="115">
        <v>435.46</v>
      </c>
      <c r="D2065" s="115">
        <v>433.11</v>
      </c>
      <c r="E2065" s="115">
        <v>442.94</v>
      </c>
      <c r="F2065" s="115">
        <v>2177.3000000000002</v>
      </c>
      <c r="G2065">
        <v>1203</v>
      </c>
      <c r="H2065" s="115"/>
      <c r="I2065" s="115"/>
      <c r="L2065" s="169">
        <v>45049</v>
      </c>
      <c r="M2065" s="115">
        <v>442.74</v>
      </c>
      <c r="N2065" s="115">
        <v>444.02</v>
      </c>
      <c r="O2065" s="115">
        <v>438.61</v>
      </c>
      <c r="P2065" s="115">
        <v>439.05</v>
      </c>
      <c r="Q2065" s="115">
        <v>2213.6999999999998</v>
      </c>
      <c r="R2065">
        <v>8325</v>
      </c>
    </row>
    <row r="2066" spans="1:18" x14ac:dyDescent="0.25">
      <c r="A2066" s="169">
        <v>45058</v>
      </c>
      <c r="B2066" s="115">
        <v>436.39</v>
      </c>
      <c r="C2066" s="115">
        <v>421.86</v>
      </c>
      <c r="D2066" s="115">
        <v>420.3</v>
      </c>
      <c r="E2066" s="115">
        <v>435.22</v>
      </c>
      <c r="F2066" s="115">
        <v>2109.3000000000002</v>
      </c>
      <c r="G2066">
        <v>3391</v>
      </c>
      <c r="H2066" s="115"/>
      <c r="I2066" s="115"/>
      <c r="L2066" s="169">
        <v>45050</v>
      </c>
      <c r="M2066" s="115">
        <v>443.51</v>
      </c>
      <c r="N2066" s="115">
        <v>446.84</v>
      </c>
      <c r="O2066" s="115">
        <v>438</v>
      </c>
      <c r="P2066" s="115">
        <v>438</v>
      </c>
      <c r="Q2066" s="115">
        <v>2217.5500000000002</v>
      </c>
      <c r="R2066">
        <v>8628</v>
      </c>
    </row>
    <row r="2067" spans="1:18" x14ac:dyDescent="0.25">
      <c r="A2067" s="169">
        <v>45061</v>
      </c>
      <c r="B2067" s="115">
        <v>436.8</v>
      </c>
      <c r="C2067" s="115">
        <v>428.92</v>
      </c>
      <c r="D2067" s="115">
        <v>413.34</v>
      </c>
      <c r="E2067" s="115">
        <v>423.8</v>
      </c>
      <c r="F2067" s="115">
        <v>2144.6</v>
      </c>
      <c r="G2067">
        <v>3013</v>
      </c>
      <c r="H2067" s="115"/>
      <c r="I2067" s="115"/>
      <c r="L2067" s="169">
        <v>45051</v>
      </c>
      <c r="M2067" s="115">
        <v>442.35</v>
      </c>
      <c r="N2067" s="115">
        <v>447.85</v>
      </c>
      <c r="O2067" s="115">
        <v>441.02</v>
      </c>
      <c r="P2067" s="115">
        <v>445.73</v>
      </c>
      <c r="Q2067" s="115">
        <v>2211.75</v>
      </c>
      <c r="R2067">
        <v>9901</v>
      </c>
    </row>
    <row r="2068" spans="1:18" x14ac:dyDescent="0.25">
      <c r="A2068" s="169">
        <v>45062</v>
      </c>
      <c r="B2068" s="115">
        <v>433.19</v>
      </c>
      <c r="C2068" s="115">
        <v>431.56</v>
      </c>
      <c r="D2068" s="115">
        <v>427.85</v>
      </c>
      <c r="E2068" s="115">
        <v>429.26</v>
      </c>
      <c r="F2068" s="115">
        <v>2157.8000000000002</v>
      </c>
      <c r="G2068">
        <v>1400</v>
      </c>
      <c r="H2068" s="115"/>
      <c r="I2068" s="115"/>
      <c r="L2068" s="169">
        <v>45054</v>
      </c>
      <c r="M2068" s="115">
        <v>448.34</v>
      </c>
      <c r="N2068" s="115">
        <v>450.56</v>
      </c>
      <c r="O2068" s="115">
        <v>442</v>
      </c>
      <c r="P2068" s="115">
        <v>444.95</v>
      </c>
      <c r="Q2068" s="115">
        <v>2241.6999999999998</v>
      </c>
      <c r="R2068">
        <v>23813</v>
      </c>
    </row>
    <row r="2069" spans="1:18" x14ac:dyDescent="0.25">
      <c r="A2069" s="169">
        <v>45063</v>
      </c>
      <c r="B2069" s="115">
        <v>441.35</v>
      </c>
      <c r="C2069" s="115">
        <v>437.8</v>
      </c>
      <c r="D2069" s="115">
        <v>434.93</v>
      </c>
      <c r="E2069" s="115">
        <v>435.38</v>
      </c>
      <c r="F2069" s="115">
        <v>2189</v>
      </c>
      <c r="G2069">
        <v>1027</v>
      </c>
      <c r="H2069" s="115"/>
      <c r="I2069" s="115"/>
      <c r="L2069" s="169">
        <v>45055</v>
      </c>
      <c r="M2069" s="115">
        <v>455.42</v>
      </c>
      <c r="N2069" s="115">
        <v>471.4</v>
      </c>
      <c r="O2069" s="115">
        <v>449.97</v>
      </c>
      <c r="P2069" s="115">
        <v>451.8</v>
      </c>
      <c r="Q2069" s="115">
        <v>2277.1</v>
      </c>
      <c r="R2069">
        <v>76918</v>
      </c>
    </row>
    <row r="2070" spans="1:18" x14ac:dyDescent="0.25">
      <c r="A2070" s="169">
        <v>45064</v>
      </c>
      <c r="B2070" s="115">
        <v>446.38</v>
      </c>
      <c r="C2070" s="115">
        <v>432.44</v>
      </c>
      <c r="D2070" s="115">
        <v>430.9</v>
      </c>
      <c r="E2070" s="115">
        <v>443.99</v>
      </c>
      <c r="F2070" s="115">
        <v>2162.1999999999998</v>
      </c>
      <c r="G2070">
        <v>511</v>
      </c>
      <c r="H2070" s="115"/>
      <c r="I2070" s="115"/>
      <c r="L2070" s="169">
        <v>45056</v>
      </c>
      <c r="M2070" s="115">
        <v>439.95</v>
      </c>
      <c r="N2070" s="115">
        <v>444.8</v>
      </c>
      <c r="O2070" s="115">
        <v>420.02</v>
      </c>
      <c r="P2070" s="115">
        <v>435.61</v>
      </c>
      <c r="Q2070" s="115">
        <v>2199.75</v>
      </c>
      <c r="R2070">
        <v>183233</v>
      </c>
    </row>
    <row r="2071" spans="1:18" x14ac:dyDescent="0.25">
      <c r="A2071" s="169">
        <v>45065</v>
      </c>
      <c r="B2071" s="115">
        <v>430.34</v>
      </c>
      <c r="C2071" s="115">
        <v>428.53</v>
      </c>
      <c r="D2071" s="115">
        <v>423</v>
      </c>
      <c r="E2071" s="115">
        <v>423.21</v>
      </c>
      <c r="F2071" s="115">
        <v>2142.65</v>
      </c>
      <c r="G2071">
        <v>1817</v>
      </c>
      <c r="H2071" s="115"/>
      <c r="I2071" s="115"/>
      <c r="L2071" s="169">
        <v>45057</v>
      </c>
      <c r="M2071" s="115">
        <v>434.42</v>
      </c>
      <c r="N2071" s="115">
        <v>444.59</v>
      </c>
      <c r="O2071" s="115">
        <v>433</v>
      </c>
      <c r="P2071" s="115">
        <v>441</v>
      </c>
      <c r="Q2071" s="115">
        <v>2172.1</v>
      </c>
      <c r="R2071">
        <v>29259</v>
      </c>
    </row>
    <row r="2072" spans="1:18" x14ac:dyDescent="0.25">
      <c r="A2072" s="169">
        <v>45068</v>
      </c>
      <c r="B2072" s="115">
        <v>436.99</v>
      </c>
      <c r="C2072" s="115">
        <v>432.63</v>
      </c>
      <c r="D2072" s="115">
        <v>424.22</v>
      </c>
      <c r="E2072" s="115">
        <v>424.22</v>
      </c>
      <c r="F2072" s="115">
        <v>2163.15</v>
      </c>
      <c r="G2072">
        <v>933</v>
      </c>
      <c r="H2072" s="115"/>
      <c r="I2072" s="115"/>
      <c r="L2072" s="169">
        <v>45058</v>
      </c>
      <c r="M2072" s="115">
        <v>421.78</v>
      </c>
      <c r="N2072" s="115">
        <v>437.57</v>
      </c>
      <c r="O2072" s="115">
        <v>420.3</v>
      </c>
      <c r="P2072" s="115">
        <v>437.57</v>
      </c>
      <c r="Q2072" s="115">
        <v>2108.9</v>
      </c>
      <c r="R2072">
        <v>23876</v>
      </c>
    </row>
    <row r="2073" spans="1:18" x14ac:dyDescent="0.25">
      <c r="A2073" s="169">
        <v>45069</v>
      </c>
      <c r="B2073" s="115">
        <v>442.56</v>
      </c>
      <c r="C2073" s="115">
        <v>431.08</v>
      </c>
      <c r="D2073" s="115">
        <v>427.86</v>
      </c>
      <c r="E2073" s="115">
        <v>442.56</v>
      </c>
      <c r="F2073" s="115">
        <v>2155.4</v>
      </c>
      <c r="G2073">
        <v>663</v>
      </c>
      <c r="H2073" s="115"/>
      <c r="I2073" s="115"/>
      <c r="L2073" s="169">
        <v>45061</v>
      </c>
      <c r="M2073" s="115">
        <v>428.19</v>
      </c>
      <c r="N2073" s="115">
        <v>434.42</v>
      </c>
      <c r="O2073" s="115">
        <v>415</v>
      </c>
      <c r="P2073" s="115">
        <v>428.8</v>
      </c>
      <c r="Q2073" s="115">
        <v>2140.9499999999998</v>
      </c>
      <c r="R2073">
        <v>29313</v>
      </c>
    </row>
    <row r="2074" spans="1:18" x14ac:dyDescent="0.25">
      <c r="A2074" s="169">
        <v>45070</v>
      </c>
      <c r="B2074" s="115">
        <v>444.31</v>
      </c>
      <c r="C2074" s="115">
        <v>436.12</v>
      </c>
      <c r="D2074" s="115">
        <v>428.2</v>
      </c>
      <c r="E2074" s="115">
        <v>430.43</v>
      </c>
      <c r="F2074" s="115">
        <v>2180.6</v>
      </c>
      <c r="G2074">
        <v>3081</v>
      </c>
      <c r="H2074" s="115"/>
      <c r="I2074" s="115"/>
      <c r="L2074" s="169">
        <v>45062</v>
      </c>
      <c r="M2074" s="115">
        <v>431.9</v>
      </c>
      <c r="N2074" s="115">
        <v>433.59</v>
      </c>
      <c r="O2074" s="115">
        <v>427.81</v>
      </c>
      <c r="P2074" s="115">
        <v>428.56</v>
      </c>
      <c r="Q2074" s="115">
        <v>2159.5</v>
      </c>
      <c r="R2074">
        <v>11975</v>
      </c>
    </row>
    <row r="2075" spans="1:18" x14ac:dyDescent="0.25">
      <c r="A2075" s="169">
        <v>45071</v>
      </c>
      <c r="B2075" s="115">
        <v>439.99</v>
      </c>
      <c r="C2075" s="115">
        <v>433.13</v>
      </c>
      <c r="D2075" s="115">
        <v>431.8</v>
      </c>
      <c r="E2075" s="115">
        <v>436.17</v>
      </c>
      <c r="F2075" s="115">
        <v>2165.65</v>
      </c>
      <c r="G2075">
        <v>402</v>
      </c>
      <c r="H2075" s="115"/>
      <c r="I2075" s="115"/>
      <c r="L2075" s="169">
        <v>45063</v>
      </c>
      <c r="M2075" s="115">
        <v>437.91</v>
      </c>
      <c r="N2075" s="115">
        <v>442</v>
      </c>
      <c r="O2075" s="115">
        <v>431.94</v>
      </c>
      <c r="P2075" s="115">
        <v>432.27</v>
      </c>
      <c r="Q2075" s="115">
        <v>2189.5500000000002</v>
      </c>
      <c r="R2075">
        <v>56618</v>
      </c>
    </row>
    <row r="2076" spans="1:18" x14ac:dyDescent="0.25">
      <c r="A2076" s="169">
        <v>45072</v>
      </c>
      <c r="B2076" s="115">
        <v>442</v>
      </c>
      <c r="C2076" s="115">
        <v>439.87</v>
      </c>
      <c r="D2076" s="115">
        <v>431.22</v>
      </c>
      <c r="E2076" s="115">
        <v>432.01</v>
      </c>
      <c r="F2076" s="115">
        <v>2199.35</v>
      </c>
      <c r="G2076">
        <v>1429</v>
      </c>
      <c r="H2076" s="115"/>
      <c r="I2076" s="115"/>
      <c r="L2076" s="169">
        <v>45064</v>
      </c>
      <c r="M2076" s="115">
        <v>432.49</v>
      </c>
      <c r="N2076" s="115">
        <v>447.46</v>
      </c>
      <c r="O2076" s="115">
        <v>430</v>
      </c>
      <c r="P2076" s="115">
        <v>440</v>
      </c>
      <c r="Q2076" s="115">
        <v>2162.4499999999998</v>
      </c>
      <c r="R2076">
        <v>14573</v>
      </c>
    </row>
    <row r="2077" spans="1:18" x14ac:dyDescent="0.25">
      <c r="A2077" s="169">
        <v>45075</v>
      </c>
      <c r="B2077" s="115">
        <v>444</v>
      </c>
      <c r="C2077" s="115">
        <v>438.42</v>
      </c>
      <c r="D2077" s="115">
        <v>433.81</v>
      </c>
      <c r="E2077" s="115">
        <v>433.81</v>
      </c>
      <c r="F2077" s="115">
        <v>2192.1</v>
      </c>
      <c r="G2077">
        <v>1175</v>
      </c>
      <c r="H2077" s="115"/>
      <c r="I2077" s="115"/>
      <c r="L2077" s="169">
        <v>45065</v>
      </c>
      <c r="M2077" s="115">
        <v>428.31</v>
      </c>
      <c r="N2077" s="115">
        <v>433.6</v>
      </c>
      <c r="O2077" s="115">
        <v>423.38</v>
      </c>
      <c r="P2077" s="115">
        <v>432.49</v>
      </c>
      <c r="Q2077" s="115">
        <v>2141.5500000000002</v>
      </c>
      <c r="R2077">
        <v>28615</v>
      </c>
    </row>
    <row r="2078" spans="1:18" x14ac:dyDescent="0.25">
      <c r="A2078" s="169">
        <v>45076</v>
      </c>
      <c r="B2078" s="115">
        <v>440.45</v>
      </c>
      <c r="C2078" s="115">
        <v>433.7</v>
      </c>
      <c r="D2078" s="115">
        <v>433.34</v>
      </c>
      <c r="E2078" s="115">
        <v>438.98</v>
      </c>
      <c r="F2078" s="115">
        <v>2168.5</v>
      </c>
      <c r="G2078">
        <v>328</v>
      </c>
      <c r="H2078" s="115"/>
      <c r="I2078" s="115"/>
      <c r="L2078" s="169">
        <v>45068</v>
      </c>
      <c r="M2078" s="115">
        <v>433.12</v>
      </c>
      <c r="N2078" s="115">
        <v>437.79</v>
      </c>
      <c r="O2078" s="115">
        <v>426.13</v>
      </c>
      <c r="P2078" s="115">
        <v>427</v>
      </c>
      <c r="Q2078" s="115">
        <v>2165.6</v>
      </c>
      <c r="R2078">
        <v>13386</v>
      </c>
    </row>
    <row r="2079" spans="1:18" x14ac:dyDescent="0.25">
      <c r="A2079" s="169">
        <v>45077</v>
      </c>
      <c r="B2079" s="115">
        <v>436.59</v>
      </c>
      <c r="C2079" s="115">
        <v>421.29</v>
      </c>
      <c r="D2079" s="115">
        <v>418.21</v>
      </c>
      <c r="E2079" s="115">
        <v>435.23</v>
      </c>
      <c r="F2079" s="115">
        <v>2106.4499999999998</v>
      </c>
      <c r="G2079">
        <v>717</v>
      </c>
      <c r="H2079" s="115"/>
      <c r="I2079" s="115"/>
      <c r="L2079" s="169">
        <v>45069</v>
      </c>
      <c r="M2079" s="115">
        <v>430.96</v>
      </c>
      <c r="N2079" s="115">
        <v>436.39</v>
      </c>
      <c r="O2079" s="115">
        <v>427</v>
      </c>
      <c r="P2079" s="115">
        <v>434.83</v>
      </c>
      <c r="Q2079" s="115">
        <v>2154.8000000000002</v>
      </c>
      <c r="R2079">
        <v>8402</v>
      </c>
    </row>
    <row r="2080" spans="1:18" x14ac:dyDescent="0.25">
      <c r="A2080" s="169">
        <v>45078</v>
      </c>
      <c r="B2080" s="115">
        <v>427.34</v>
      </c>
      <c r="C2080" s="115">
        <v>420.53</v>
      </c>
      <c r="D2080" s="115">
        <v>418</v>
      </c>
      <c r="E2080" s="115">
        <v>420.54</v>
      </c>
      <c r="F2080" s="115">
        <v>2102.65</v>
      </c>
      <c r="G2080">
        <v>311</v>
      </c>
      <c r="H2080" s="115"/>
      <c r="I2080" s="115"/>
      <c r="L2080" s="169">
        <v>45070</v>
      </c>
      <c r="M2080" s="115">
        <v>437.48</v>
      </c>
      <c r="N2080" s="115">
        <v>444</v>
      </c>
      <c r="O2080" s="115">
        <v>428.31</v>
      </c>
      <c r="P2080" s="115">
        <v>430.95</v>
      </c>
      <c r="Q2080" s="115">
        <v>2187.4</v>
      </c>
      <c r="R2080">
        <v>26164</v>
      </c>
    </row>
    <row r="2081" spans="1:18" x14ac:dyDescent="0.25">
      <c r="A2081" s="169">
        <v>45079</v>
      </c>
      <c r="B2081" s="115">
        <v>424.76</v>
      </c>
      <c r="C2081" s="115">
        <v>417.99</v>
      </c>
      <c r="D2081" s="115">
        <v>416.3</v>
      </c>
      <c r="E2081" s="115">
        <v>420.4</v>
      </c>
      <c r="F2081" s="115">
        <v>2089.9499999999998</v>
      </c>
      <c r="G2081">
        <v>1021</v>
      </c>
      <c r="H2081" s="115"/>
      <c r="I2081" s="115"/>
      <c r="L2081" s="169">
        <v>45071</v>
      </c>
      <c r="M2081" s="115">
        <v>433.06</v>
      </c>
      <c r="N2081" s="115">
        <v>440.79</v>
      </c>
      <c r="O2081" s="115">
        <v>432</v>
      </c>
      <c r="P2081" s="115">
        <v>437.9</v>
      </c>
      <c r="Q2081" s="115">
        <v>2165.3000000000002</v>
      </c>
      <c r="R2081">
        <v>11986</v>
      </c>
    </row>
    <row r="2082" spans="1:18" x14ac:dyDescent="0.25">
      <c r="A2082" s="169">
        <v>45082</v>
      </c>
      <c r="B2082" s="115">
        <v>423.5</v>
      </c>
      <c r="C2082" s="115">
        <v>421.92</v>
      </c>
      <c r="D2082" s="115">
        <v>411.46</v>
      </c>
      <c r="E2082" s="115">
        <v>411.46</v>
      </c>
      <c r="F2082" s="115">
        <v>2109.6</v>
      </c>
      <c r="G2082">
        <v>880</v>
      </c>
      <c r="H2082" s="115"/>
      <c r="I2082" s="115"/>
      <c r="L2082" s="169">
        <v>45072</v>
      </c>
      <c r="M2082" s="115">
        <v>439.61</v>
      </c>
      <c r="N2082" s="115">
        <v>442</v>
      </c>
      <c r="O2082" s="115">
        <v>431.33</v>
      </c>
      <c r="P2082" s="115">
        <v>436.86</v>
      </c>
      <c r="Q2082" s="115">
        <v>2198.0500000000002</v>
      </c>
      <c r="R2082">
        <v>19857</v>
      </c>
    </row>
    <row r="2083" spans="1:18" x14ac:dyDescent="0.25">
      <c r="A2083" s="169">
        <v>45083</v>
      </c>
      <c r="B2083" s="115">
        <v>431.15</v>
      </c>
      <c r="C2083" s="115">
        <v>430.37</v>
      </c>
      <c r="D2083" s="115">
        <v>419.76</v>
      </c>
      <c r="E2083" s="115">
        <v>419.76</v>
      </c>
      <c r="F2083" s="115">
        <v>2151.85</v>
      </c>
      <c r="G2083">
        <v>357</v>
      </c>
      <c r="H2083" s="115"/>
      <c r="I2083" s="115"/>
      <c r="L2083" s="169">
        <v>45075</v>
      </c>
      <c r="M2083" s="115">
        <v>439.03</v>
      </c>
      <c r="N2083" s="115">
        <v>445</v>
      </c>
      <c r="O2083" s="115">
        <v>435.62</v>
      </c>
      <c r="P2083" s="115">
        <v>441.34</v>
      </c>
      <c r="Q2083" s="115">
        <v>2195.15</v>
      </c>
      <c r="R2083">
        <v>10628</v>
      </c>
    </row>
    <row r="2084" spans="1:18" x14ac:dyDescent="0.25">
      <c r="A2084" s="169">
        <v>45084</v>
      </c>
      <c r="B2084" s="115">
        <v>439</v>
      </c>
      <c r="C2084" s="115">
        <v>428.63</v>
      </c>
      <c r="D2084" s="115">
        <v>426.33</v>
      </c>
      <c r="E2084" s="115">
        <v>433.34</v>
      </c>
      <c r="F2084" s="115">
        <v>2143.15</v>
      </c>
      <c r="G2084">
        <v>865</v>
      </c>
      <c r="H2084" s="115"/>
      <c r="I2084" s="115"/>
      <c r="L2084" s="169">
        <v>45076</v>
      </c>
      <c r="M2084" s="115">
        <v>434.31</v>
      </c>
      <c r="N2084" s="115">
        <v>441.22</v>
      </c>
      <c r="O2084" s="115">
        <v>433.4</v>
      </c>
      <c r="P2084" s="115">
        <v>439.03</v>
      </c>
      <c r="Q2084" s="115">
        <v>2171.5500000000002</v>
      </c>
      <c r="R2084">
        <v>13828</v>
      </c>
    </row>
    <row r="2085" spans="1:18" x14ac:dyDescent="0.25">
      <c r="A2085" s="169">
        <v>45085</v>
      </c>
      <c r="B2085" s="115">
        <v>432.6</v>
      </c>
      <c r="C2085" s="115">
        <v>427.39</v>
      </c>
      <c r="D2085" s="115">
        <v>424.42</v>
      </c>
      <c r="E2085" s="115">
        <v>431.43</v>
      </c>
      <c r="F2085" s="115">
        <v>2136.9499999999998</v>
      </c>
      <c r="G2085">
        <v>1050</v>
      </c>
      <c r="H2085" s="115"/>
      <c r="I2085" s="115"/>
      <c r="L2085" s="169">
        <v>45077</v>
      </c>
      <c r="M2085" s="115">
        <v>421.33</v>
      </c>
      <c r="N2085" s="115">
        <v>438.14</v>
      </c>
      <c r="O2085" s="115">
        <v>418.87</v>
      </c>
      <c r="P2085" s="115">
        <v>435.6</v>
      </c>
      <c r="Q2085" s="115">
        <v>2106.65</v>
      </c>
      <c r="R2085">
        <v>20861</v>
      </c>
    </row>
    <row r="2086" spans="1:18" x14ac:dyDescent="0.25">
      <c r="A2086" s="169">
        <v>45086</v>
      </c>
      <c r="B2086" s="115">
        <v>432.59</v>
      </c>
      <c r="C2086" s="115">
        <v>430.3</v>
      </c>
      <c r="D2086" s="115">
        <v>425.24</v>
      </c>
      <c r="E2086" s="115">
        <v>431.57</v>
      </c>
      <c r="F2086" s="115">
        <v>2151.5</v>
      </c>
      <c r="G2086">
        <v>773</v>
      </c>
      <c r="H2086" s="115"/>
      <c r="I2086" s="115"/>
      <c r="L2086" s="169">
        <v>45078</v>
      </c>
      <c r="M2086" s="115">
        <v>420.03</v>
      </c>
      <c r="N2086" s="115">
        <v>427.1</v>
      </c>
      <c r="O2086" s="115">
        <v>417.94</v>
      </c>
      <c r="P2086" s="115">
        <v>421.33</v>
      </c>
      <c r="Q2086" s="115">
        <v>2100.15</v>
      </c>
      <c r="R2086">
        <v>15238</v>
      </c>
    </row>
    <row r="2087" spans="1:18" x14ac:dyDescent="0.25">
      <c r="A2087" s="169">
        <v>45089</v>
      </c>
      <c r="B2087" s="115">
        <v>435.49</v>
      </c>
      <c r="C2087" s="115">
        <v>421.16</v>
      </c>
      <c r="D2087" s="115">
        <v>420.23</v>
      </c>
      <c r="E2087" s="115">
        <v>435.49</v>
      </c>
      <c r="F2087" s="115">
        <v>2105.8000000000002</v>
      </c>
      <c r="G2087">
        <v>1112</v>
      </c>
      <c r="H2087" s="115"/>
      <c r="I2087" s="115"/>
      <c r="L2087" s="169">
        <v>45079</v>
      </c>
      <c r="M2087" s="115">
        <v>418.75</v>
      </c>
      <c r="N2087" s="115">
        <v>425.59</v>
      </c>
      <c r="O2087" s="115">
        <v>416.4</v>
      </c>
      <c r="P2087" s="115">
        <v>419.11</v>
      </c>
      <c r="Q2087" s="115">
        <v>2093.75</v>
      </c>
      <c r="R2087">
        <v>13215</v>
      </c>
    </row>
    <row r="2088" spans="1:18" x14ac:dyDescent="0.25">
      <c r="A2088" s="169">
        <v>45090</v>
      </c>
      <c r="B2088" s="115">
        <v>427.2</v>
      </c>
      <c r="C2088" s="115">
        <v>424.9</v>
      </c>
      <c r="D2088" s="115">
        <v>420.92</v>
      </c>
      <c r="E2088" s="115">
        <v>422.19</v>
      </c>
      <c r="F2088" s="115">
        <v>2124.5</v>
      </c>
      <c r="G2088">
        <v>504</v>
      </c>
      <c r="H2088" s="115"/>
      <c r="I2088" s="115"/>
      <c r="L2088" s="169">
        <v>45082</v>
      </c>
      <c r="M2088" s="115">
        <v>422.53</v>
      </c>
      <c r="N2088" s="115">
        <v>426.73</v>
      </c>
      <c r="O2088" s="115">
        <v>416</v>
      </c>
      <c r="P2088" s="115">
        <v>418.8</v>
      </c>
      <c r="Q2088" s="115">
        <v>2112.65</v>
      </c>
      <c r="R2088">
        <v>14827</v>
      </c>
    </row>
    <row r="2089" spans="1:18" x14ac:dyDescent="0.25">
      <c r="A2089" s="169">
        <v>45091</v>
      </c>
      <c r="B2089" s="115">
        <v>431.74</v>
      </c>
      <c r="C2089" s="115">
        <v>429.2</v>
      </c>
      <c r="D2089" s="115">
        <v>425.01</v>
      </c>
      <c r="E2089" s="115">
        <v>425.01</v>
      </c>
      <c r="F2089" s="115">
        <v>2146</v>
      </c>
      <c r="G2089">
        <v>571</v>
      </c>
      <c r="H2089" s="115"/>
      <c r="I2089" s="115"/>
      <c r="L2089" s="169">
        <v>45083</v>
      </c>
      <c r="M2089" s="115">
        <v>430.25</v>
      </c>
      <c r="N2089" s="115">
        <v>432.38</v>
      </c>
      <c r="O2089" s="115">
        <v>423</v>
      </c>
      <c r="P2089" s="115">
        <v>424.23</v>
      </c>
      <c r="Q2089" s="115">
        <v>2151.25</v>
      </c>
      <c r="R2089">
        <v>25652</v>
      </c>
    </row>
    <row r="2090" spans="1:18" x14ac:dyDescent="0.25">
      <c r="A2090" s="169">
        <v>45092</v>
      </c>
      <c r="B2090" s="115">
        <v>432.25</v>
      </c>
      <c r="C2090" s="115">
        <v>428.8</v>
      </c>
      <c r="D2090" s="115">
        <v>426.18</v>
      </c>
      <c r="E2090" s="115">
        <v>429</v>
      </c>
      <c r="F2090" s="115">
        <v>2144</v>
      </c>
      <c r="G2090">
        <v>949</v>
      </c>
      <c r="H2090" s="115"/>
      <c r="I2090" s="115"/>
      <c r="L2090" s="169">
        <v>45084</v>
      </c>
      <c r="M2090" s="115">
        <v>427.94</v>
      </c>
      <c r="N2090" s="115">
        <v>439.59</v>
      </c>
      <c r="O2090" s="115">
        <v>426.6</v>
      </c>
      <c r="P2090" s="115">
        <v>432.41</v>
      </c>
      <c r="Q2090" s="115">
        <v>2139.6999999999998</v>
      </c>
      <c r="R2090">
        <v>14538</v>
      </c>
    </row>
    <row r="2091" spans="1:18" x14ac:dyDescent="0.25">
      <c r="A2091" s="169">
        <v>45093</v>
      </c>
      <c r="B2091" s="115">
        <v>434.63</v>
      </c>
      <c r="C2091" s="115">
        <v>428.96</v>
      </c>
      <c r="D2091" s="115">
        <v>424.92</v>
      </c>
      <c r="E2091" s="115">
        <v>428.8</v>
      </c>
      <c r="F2091" s="115">
        <v>2144.8000000000002</v>
      </c>
      <c r="G2091">
        <v>1530</v>
      </c>
      <c r="H2091" s="115"/>
      <c r="I2091" s="115"/>
      <c r="L2091" s="169">
        <v>45085</v>
      </c>
      <c r="M2091" s="115">
        <v>428</v>
      </c>
      <c r="N2091" s="115">
        <v>433.6</v>
      </c>
      <c r="O2091" s="115">
        <v>424.46</v>
      </c>
      <c r="P2091" s="115">
        <v>432</v>
      </c>
      <c r="Q2091" s="115">
        <v>2140</v>
      </c>
      <c r="R2091">
        <v>13466</v>
      </c>
    </row>
    <row r="2092" spans="1:18" x14ac:dyDescent="0.25">
      <c r="A2092" s="169">
        <v>45096</v>
      </c>
      <c r="B2092" s="115">
        <v>439.8</v>
      </c>
      <c r="C2092" s="115">
        <v>435.89</v>
      </c>
      <c r="D2092" s="115">
        <v>429.97</v>
      </c>
      <c r="E2092" s="115">
        <v>429.97</v>
      </c>
      <c r="F2092" s="115">
        <v>2179.4499999999998</v>
      </c>
      <c r="G2092">
        <v>931</v>
      </c>
      <c r="H2092" s="115"/>
      <c r="I2092" s="115"/>
      <c r="L2092" s="169">
        <v>45086</v>
      </c>
      <c r="M2092" s="115">
        <v>429.18</v>
      </c>
      <c r="N2092" s="115">
        <v>433.6</v>
      </c>
      <c r="O2092" s="115">
        <v>425.17</v>
      </c>
      <c r="P2092" s="115">
        <v>429.31</v>
      </c>
      <c r="Q2092" s="115">
        <v>2145.9</v>
      </c>
      <c r="R2092">
        <v>15052</v>
      </c>
    </row>
    <row r="2093" spans="1:18" x14ac:dyDescent="0.25">
      <c r="A2093" s="169">
        <v>45097</v>
      </c>
      <c r="B2093" s="115">
        <v>439.23</v>
      </c>
      <c r="C2093" s="115">
        <v>433.12</v>
      </c>
      <c r="D2093" s="115">
        <v>429.08</v>
      </c>
      <c r="E2093" s="115">
        <v>429.08</v>
      </c>
      <c r="F2093" s="115">
        <v>2165.6</v>
      </c>
      <c r="G2093">
        <v>1114</v>
      </c>
      <c r="H2093" s="115"/>
      <c r="I2093" s="115"/>
      <c r="L2093" s="169">
        <v>45089</v>
      </c>
      <c r="M2093" s="115">
        <v>420.96</v>
      </c>
      <c r="N2093" s="115">
        <v>437.8</v>
      </c>
      <c r="O2093" s="115">
        <v>420.42</v>
      </c>
      <c r="P2093" s="115">
        <v>432.99</v>
      </c>
      <c r="Q2093" s="115">
        <v>2104.8000000000002</v>
      </c>
      <c r="R2093">
        <v>17537</v>
      </c>
    </row>
    <row r="2094" spans="1:18" x14ac:dyDescent="0.25">
      <c r="A2094" s="169">
        <v>45098</v>
      </c>
      <c r="B2094" s="115">
        <v>438.87</v>
      </c>
      <c r="C2094" s="115">
        <v>433.99</v>
      </c>
      <c r="D2094" s="115">
        <v>431.83</v>
      </c>
      <c r="E2094" s="115">
        <v>438.87</v>
      </c>
      <c r="F2094" s="115">
        <v>2169.9499999999998</v>
      </c>
      <c r="G2094">
        <v>714</v>
      </c>
      <c r="H2094" s="115"/>
      <c r="I2094" s="115"/>
      <c r="L2094" s="169">
        <v>45090</v>
      </c>
      <c r="M2094" s="115">
        <v>425.12</v>
      </c>
      <c r="N2094" s="115">
        <v>427.3</v>
      </c>
      <c r="O2094" s="115">
        <v>420.84</v>
      </c>
      <c r="P2094" s="115">
        <v>421.56</v>
      </c>
      <c r="Q2094" s="115">
        <v>2125.6</v>
      </c>
      <c r="R2094">
        <v>12478</v>
      </c>
    </row>
    <row r="2095" spans="1:18" x14ac:dyDescent="0.25">
      <c r="A2095" s="169">
        <v>45099</v>
      </c>
      <c r="B2095" s="115">
        <v>443.59</v>
      </c>
      <c r="C2095" s="115">
        <v>436.34</v>
      </c>
      <c r="D2095" s="115">
        <v>432.83</v>
      </c>
      <c r="E2095" s="115">
        <v>443.59</v>
      </c>
      <c r="F2095" s="115">
        <v>2181.6999999999998</v>
      </c>
      <c r="G2095">
        <v>615</v>
      </c>
      <c r="H2095" s="115"/>
      <c r="I2095" s="115"/>
      <c r="L2095" s="169">
        <v>45091</v>
      </c>
      <c r="M2095" s="115">
        <v>428.57</v>
      </c>
      <c r="N2095" s="115">
        <v>432</v>
      </c>
      <c r="O2095" s="115">
        <v>426.6</v>
      </c>
      <c r="P2095" s="115">
        <v>427.24</v>
      </c>
      <c r="Q2095" s="115">
        <v>2142.85</v>
      </c>
      <c r="R2095">
        <v>7628</v>
      </c>
    </row>
    <row r="2096" spans="1:18" x14ac:dyDescent="0.25">
      <c r="A2096" s="169">
        <v>45100</v>
      </c>
      <c r="B2096" s="115">
        <v>452.39</v>
      </c>
      <c r="C2096" s="115">
        <v>436.66</v>
      </c>
      <c r="D2096" s="115">
        <v>435.17</v>
      </c>
      <c r="E2096" s="115">
        <v>437.44</v>
      </c>
      <c r="F2096" s="115">
        <v>2183.3000000000002</v>
      </c>
      <c r="G2096">
        <v>1407</v>
      </c>
      <c r="H2096" s="115"/>
      <c r="I2096" s="115"/>
      <c r="L2096" s="169">
        <v>45092</v>
      </c>
      <c r="M2096" s="115">
        <v>428.63</v>
      </c>
      <c r="N2096" s="115">
        <v>433.75</v>
      </c>
      <c r="O2096" s="115">
        <v>426.39</v>
      </c>
      <c r="P2096" s="115">
        <v>430.31</v>
      </c>
      <c r="Q2096" s="115">
        <v>2143.15</v>
      </c>
      <c r="R2096">
        <v>15563</v>
      </c>
    </row>
    <row r="2097" spans="1:18" x14ac:dyDescent="0.25">
      <c r="A2097" s="169">
        <v>45103</v>
      </c>
      <c r="B2097" s="115">
        <v>443.09</v>
      </c>
      <c r="C2097" s="115">
        <v>434.47</v>
      </c>
      <c r="D2097" s="115">
        <v>431.22</v>
      </c>
      <c r="E2097" s="115">
        <v>439.99</v>
      </c>
      <c r="F2097" s="115">
        <v>2172.35</v>
      </c>
      <c r="G2097">
        <v>493</v>
      </c>
      <c r="H2097" s="115"/>
      <c r="I2097" s="115"/>
      <c r="L2097" s="169">
        <v>45093</v>
      </c>
      <c r="M2097" s="115">
        <v>429.86</v>
      </c>
      <c r="N2097" s="115">
        <v>435.71</v>
      </c>
      <c r="O2097" s="115">
        <v>424.4</v>
      </c>
      <c r="P2097" s="115">
        <v>428.82</v>
      </c>
      <c r="Q2097" s="115">
        <v>2149.3000000000002</v>
      </c>
      <c r="R2097">
        <v>29149</v>
      </c>
    </row>
    <row r="2098" spans="1:18" x14ac:dyDescent="0.25">
      <c r="A2098" s="169">
        <v>45104</v>
      </c>
      <c r="B2098" s="115">
        <v>439.69</v>
      </c>
      <c r="C2098" s="115">
        <v>430.17</v>
      </c>
      <c r="D2098" s="115">
        <v>429.26</v>
      </c>
      <c r="E2098" s="115">
        <v>434.47</v>
      </c>
      <c r="F2098" s="115">
        <v>2150.85</v>
      </c>
      <c r="G2098">
        <v>346</v>
      </c>
      <c r="H2098" s="115"/>
      <c r="I2098" s="115"/>
      <c r="L2098" s="169">
        <v>45096</v>
      </c>
      <c r="M2098" s="115">
        <v>435.6</v>
      </c>
      <c r="N2098" s="115">
        <v>439.98</v>
      </c>
      <c r="O2098" s="115">
        <v>430.05</v>
      </c>
      <c r="P2098" s="115">
        <v>430.05</v>
      </c>
      <c r="Q2098" s="115">
        <v>2178</v>
      </c>
      <c r="R2098">
        <v>24642</v>
      </c>
    </row>
    <row r="2099" spans="1:18" x14ac:dyDescent="0.25">
      <c r="A2099" s="169">
        <v>45105</v>
      </c>
      <c r="B2099" s="115">
        <v>448.99</v>
      </c>
      <c r="C2099" s="115">
        <v>432.78</v>
      </c>
      <c r="D2099" s="115">
        <v>429.18</v>
      </c>
      <c r="E2099" s="115">
        <v>448.99</v>
      </c>
      <c r="F2099" s="115">
        <v>2163.9</v>
      </c>
      <c r="G2099">
        <v>529</v>
      </c>
      <c r="H2099" s="115"/>
      <c r="I2099" s="115"/>
      <c r="L2099" s="169">
        <v>45097</v>
      </c>
      <c r="M2099" s="115">
        <v>432.87</v>
      </c>
      <c r="N2099" s="115">
        <v>441</v>
      </c>
      <c r="O2099" s="115">
        <v>430.21</v>
      </c>
      <c r="P2099" s="115">
        <v>437.78</v>
      </c>
      <c r="Q2099" s="115">
        <v>2164.35</v>
      </c>
      <c r="R2099">
        <v>12302</v>
      </c>
    </row>
    <row r="2100" spans="1:18" x14ac:dyDescent="0.25">
      <c r="A2100" s="169">
        <v>45107</v>
      </c>
      <c r="B2100" s="115">
        <v>437.99</v>
      </c>
      <c r="C2100" s="115">
        <v>431.17</v>
      </c>
      <c r="D2100" s="115">
        <v>428.74</v>
      </c>
      <c r="E2100" s="115">
        <v>437.99</v>
      </c>
      <c r="F2100" s="115">
        <v>2155.85</v>
      </c>
      <c r="G2100">
        <v>958</v>
      </c>
      <c r="H2100" s="115"/>
      <c r="I2100" s="115"/>
      <c r="L2100" s="169">
        <v>45098</v>
      </c>
      <c r="M2100" s="115">
        <v>434.03</v>
      </c>
      <c r="N2100" s="115">
        <v>439.76</v>
      </c>
      <c r="O2100" s="115">
        <v>432</v>
      </c>
      <c r="P2100" s="115">
        <v>439.6</v>
      </c>
      <c r="Q2100" s="115">
        <v>2170.15</v>
      </c>
      <c r="R2100">
        <v>9702</v>
      </c>
    </row>
    <row r="2101" spans="1:18" x14ac:dyDescent="0.25">
      <c r="A2101" s="169">
        <v>45110</v>
      </c>
      <c r="B2101" s="115">
        <v>433.67</v>
      </c>
      <c r="C2101" s="115">
        <v>426.14</v>
      </c>
      <c r="D2101" s="115">
        <v>425.25</v>
      </c>
      <c r="E2101" s="115">
        <v>430.08</v>
      </c>
      <c r="F2101" s="115">
        <v>2130.6999999999998</v>
      </c>
      <c r="G2101">
        <v>988</v>
      </c>
      <c r="H2101" s="115"/>
      <c r="I2101" s="115"/>
      <c r="L2101" s="169">
        <v>45099</v>
      </c>
      <c r="M2101" s="115">
        <v>436.99</v>
      </c>
      <c r="N2101" s="115">
        <v>439.91</v>
      </c>
      <c r="O2101" s="115">
        <v>433.95</v>
      </c>
      <c r="P2101" s="115">
        <v>435.36</v>
      </c>
      <c r="Q2101" s="115">
        <v>2184.9499999999998</v>
      </c>
      <c r="R2101">
        <v>15272</v>
      </c>
    </row>
    <row r="2102" spans="1:18" x14ac:dyDescent="0.25">
      <c r="A2102" s="169">
        <v>45111</v>
      </c>
      <c r="B2102" s="115">
        <v>428.86</v>
      </c>
      <c r="C2102" s="115">
        <v>427.74</v>
      </c>
      <c r="D2102" s="115">
        <v>425.59</v>
      </c>
      <c r="E2102" s="115">
        <v>427.66</v>
      </c>
      <c r="F2102" s="115">
        <v>2138.6999999999998</v>
      </c>
      <c r="G2102">
        <v>198</v>
      </c>
      <c r="H2102" s="115"/>
      <c r="I2102" s="115"/>
      <c r="L2102" s="169">
        <v>45100</v>
      </c>
      <c r="M2102" s="115">
        <v>437.3</v>
      </c>
      <c r="N2102" s="115">
        <v>453</v>
      </c>
      <c r="O2102" s="115">
        <v>434.94</v>
      </c>
      <c r="P2102" s="115">
        <v>437.89</v>
      </c>
      <c r="Q2102" s="115">
        <v>2186.5</v>
      </c>
      <c r="R2102">
        <v>63373</v>
      </c>
    </row>
    <row r="2103" spans="1:18" x14ac:dyDescent="0.25">
      <c r="A2103" s="169">
        <v>45112</v>
      </c>
      <c r="B2103" s="115">
        <v>433.38</v>
      </c>
      <c r="C2103" s="115">
        <v>431.32</v>
      </c>
      <c r="D2103" s="115">
        <v>423.39</v>
      </c>
      <c r="E2103" s="115">
        <v>424.01</v>
      </c>
      <c r="F2103" s="115">
        <v>2156.6</v>
      </c>
      <c r="G2103">
        <v>892</v>
      </c>
      <c r="H2103" s="115"/>
      <c r="I2103" s="115"/>
      <c r="L2103" s="169">
        <v>45103</v>
      </c>
      <c r="M2103" s="115">
        <v>435.4</v>
      </c>
      <c r="N2103" s="115">
        <v>443.98</v>
      </c>
      <c r="O2103" s="115">
        <v>432.5</v>
      </c>
      <c r="P2103" s="115">
        <v>437.3</v>
      </c>
      <c r="Q2103" s="115">
        <v>2177</v>
      </c>
      <c r="R2103">
        <v>12513</v>
      </c>
    </row>
    <row r="2104" spans="1:18" x14ac:dyDescent="0.25">
      <c r="A2104" s="169">
        <v>45113</v>
      </c>
      <c r="B2104" s="115">
        <v>439.19</v>
      </c>
      <c r="C2104" s="115">
        <v>426.85</v>
      </c>
      <c r="D2104" s="115">
        <v>425.28</v>
      </c>
      <c r="E2104" s="115">
        <v>439.19</v>
      </c>
      <c r="F2104" s="115">
        <v>2134.25</v>
      </c>
      <c r="G2104">
        <v>497</v>
      </c>
      <c r="H2104" s="115"/>
      <c r="I2104" s="115"/>
      <c r="L2104" s="169">
        <v>45104</v>
      </c>
      <c r="M2104" s="115">
        <v>430.95</v>
      </c>
      <c r="N2104" s="115">
        <v>441.94</v>
      </c>
      <c r="O2104" s="115">
        <v>428.41</v>
      </c>
      <c r="P2104" s="115">
        <v>439.22</v>
      </c>
      <c r="Q2104" s="115">
        <v>2154.75</v>
      </c>
      <c r="R2104">
        <v>12289</v>
      </c>
    </row>
    <row r="2105" spans="1:18" x14ac:dyDescent="0.25">
      <c r="A2105" s="169">
        <v>45114</v>
      </c>
      <c r="B2105" s="115">
        <v>430.5</v>
      </c>
      <c r="C2105" s="115">
        <v>422.93</v>
      </c>
      <c r="D2105" s="115">
        <v>419.23</v>
      </c>
      <c r="E2105" s="115">
        <v>430.5</v>
      </c>
      <c r="F2105" s="115">
        <v>2114.65</v>
      </c>
      <c r="G2105">
        <v>503</v>
      </c>
      <c r="H2105" s="115"/>
      <c r="I2105" s="115"/>
      <c r="L2105" s="169">
        <v>45105</v>
      </c>
      <c r="M2105" s="115">
        <v>431.62</v>
      </c>
      <c r="N2105" s="115">
        <v>433.6</v>
      </c>
      <c r="O2105" s="115">
        <v>428.6</v>
      </c>
      <c r="P2105" s="115">
        <v>433.11</v>
      </c>
      <c r="Q2105" s="115">
        <v>2158.1</v>
      </c>
      <c r="R2105">
        <v>7747</v>
      </c>
    </row>
    <row r="2106" spans="1:18" x14ac:dyDescent="0.25">
      <c r="A2106" s="169">
        <v>45117</v>
      </c>
      <c r="B2106" s="115">
        <v>424</v>
      </c>
      <c r="C2106" s="115">
        <v>421.59</v>
      </c>
      <c r="D2106" s="115">
        <v>417.09</v>
      </c>
      <c r="E2106" s="115">
        <v>422.84</v>
      </c>
      <c r="F2106" s="115">
        <v>2107.9499999999998</v>
      </c>
      <c r="G2106">
        <v>747</v>
      </c>
      <c r="H2106" s="115"/>
      <c r="I2106" s="115"/>
      <c r="L2106" s="169">
        <v>45107</v>
      </c>
      <c r="M2106" s="115">
        <v>431.56</v>
      </c>
      <c r="N2106" s="115">
        <v>437.4</v>
      </c>
      <c r="O2106" s="115">
        <v>428.99</v>
      </c>
      <c r="P2106" s="115">
        <v>431.62</v>
      </c>
      <c r="Q2106" s="115">
        <v>2157.8000000000002</v>
      </c>
      <c r="R2106">
        <v>9197</v>
      </c>
    </row>
    <row r="2107" spans="1:18" x14ac:dyDescent="0.25">
      <c r="A2107" s="169">
        <v>45118</v>
      </c>
      <c r="B2107" s="115">
        <v>423.27</v>
      </c>
      <c r="C2107" s="115">
        <v>414.21</v>
      </c>
      <c r="D2107" s="115">
        <v>412.54</v>
      </c>
      <c r="E2107" s="115">
        <v>423.27</v>
      </c>
      <c r="F2107" s="115">
        <v>2071.0500000000002</v>
      </c>
      <c r="G2107">
        <v>629</v>
      </c>
      <c r="H2107" s="115"/>
      <c r="I2107" s="115"/>
      <c r="L2107" s="169">
        <v>45110</v>
      </c>
      <c r="M2107" s="115">
        <v>426.84</v>
      </c>
      <c r="N2107" s="115">
        <v>434.15</v>
      </c>
      <c r="O2107" s="115">
        <v>425.6</v>
      </c>
      <c r="P2107" s="115">
        <v>428</v>
      </c>
      <c r="Q2107" s="115">
        <v>2134.1999999999998</v>
      </c>
      <c r="R2107">
        <v>26035</v>
      </c>
    </row>
    <row r="2108" spans="1:18" x14ac:dyDescent="0.25">
      <c r="A2108" s="169">
        <v>45119</v>
      </c>
      <c r="B2108" s="115">
        <v>417.55</v>
      </c>
      <c r="C2108" s="115">
        <v>409.09</v>
      </c>
      <c r="D2108" s="115">
        <v>404.83</v>
      </c>
      <c r="E2108" s="115">
        <v>414</v>
      </c>
      <c r="F2108" s="115">
        <v>2045.45</v>
      </c>
      <c r="G2108">
        <v>1594</v>
      </c>
      <c r="H2108" s="115"/>
      <c r="I2108" s="115"/>
      <c r="L2108" s="169">
        <v>45111</v>
      </c>
      <c r="M2108" s="115">
        <v>427.69</v>
      </c>
      <c r="N2108" s="115">
        <v>432</v>
      </c>
      <c r="O2108" s="115">
        <v>425.6</v>
      </c>
      <c r="P2108" s="115">
        <v>428.56</v>
      </c>
      <c r="Q2108" s="115">
        <v>2138.4499999999998</v>
      </c>
      <c r="R2108">
        <v>7468</v>
      </c>
    </row>
    <row r="2109" spans="1:18" x14ac:dyDescent="0.25">
      <c r="A2109" s="169">
        <v>45120</v>
      </c>
      <c r="B2109" s="115">
        <v>417.4</v>
      </c>
      <c r="C2109" s="115">
        <v>405.76</v>
      </c>
      <c r="D2109" s="115">
        <v>402.93</v>
      </c>
      <c r="E2109" s="115">
        <v>414.36</v>
      </c>
      <c r="F2109" s="115">
        <v>2028.8</v>
      </c>
      <c r="G2109">
        <v>1007</v>
      </c>
      <c r="H2109" s="115"/>
      <c r="I2109" s="115"/>
      <c r="L2109" s="169">
        <v>45112</v>
      </c>
      <c r="M2109" s="115">
        <v>431.52</v>
      </c>
      <c r="N2109" s="115">
        <v>435.99</v>
      </c>
      <c r="O2109" s="115">
        <v>422.42</v>
      </c>
      <c r="P2109" s="115">
        <v>429.79</v>
      </c>
      <c r="Q2109" s="115">
        <v>2157.6</v>
      </c>
      <c r="R2109">
        <v>20577</v>
      </c>
    </row>
    <row r="2110" spans="1:18" x14ac:dyDescent="0.25">
      <c r="A2110" s="169">
        <v>45121</v>
      </c>
      <c r="B2110" s="115">
        <v>417.6</v>
      </c>
      <c r="C2110" s="115">
        <v>414.74</v>
      </c>
      <c r="D2110" s="115">
        <v>408.58</v>
      </c>
      <c r="E2110" s="115">
        <v>408.58</v>
      </c>
      <c r="F2110" s="115">
        <v>2073.6999999999998</v>
      </c>
      <c r="G2110">
        <v>903</v>
      </c>
      <c r="H2110" s="115"/>
      <c r="I2110" s="115"/>
      <c r="L2110" s="169">
        <v>45113</v>
      </c>
      <c r="M2110" s="115">
        <v>427.54</v>
      </c>
      <c r="N2110" s="115">
        <v>434</v>
      </c>
      <c r="O2110" s="115">
        <v>425.02</v>
      </c>
      <c r="P2110" s="115">
        <v>433.68</v>
      </c>
      <c r="Q2110" s="115">
        <v>2137.6999999999998</v>
      </c>
      <c r="R2110">
        <v>13096</v>
      </c>
    </row>
    <row r="2111" spans="1:18" x14ac:dyDescent="0.25">
      <c r="A2111" s="169">
        <v>45124</v>
      </c>
      <c r="B2111" s="115">
        <v>424.6</v>
      </c>
      <c r="C2111" s="115">
        <v>419.22</v>
      </c>
      <c r="D2111" s="115">
        <v>412.03</v>
      </c>
      <c r="E2111" s="115">
        <v>419.99</v>
      </c>
      <c r="F2111" s="115">
        <v>2096.1</v>
      </c>
      <c r="G2111">
        <v>1057</v>
      </c>
      <c r="H2111" s="115"/>
      <c r="I2111" s="115"/>
      <c r="L2111" s="169">
        <v>45114</v>
      </c>
      <c r="M2111" s="115">
        <v>421.93</v>
      </c>
      <c r="N2111" s="115">
        <v>431.8</v>
      </c>
      <c r="O2111" s="115">
        <v>419.21</v>
      </c>
      <c r="P2111" s="115">
        <v>429.68</v>
      </c>
      <c r="Q2111" s="115">
        <v>2109.65</v>
      </c>
      <c r="R2111">
        <v>54657</v>
      </c>
    </row>
    <row r="2112" spans="1:18" x14ac:dyDescent="0.25">
      <c r="A2112" s="169">
        <v>45125</v>
      </c>
      <c r="B2112" s="115">
        <v>434.13</v>
      </c>
      <c r="C2112" s="115">
        <v>430.24</v>
      </c>
      <c r="D2112" s="115">
        <v>418.86</v>
      </c>
      <c r="E2112" s="115">
        <v>425.99</v>
      </c>
      <c r="F2112" s="115">
        <v>2151.1999999999998</v>
      </c>
      <c r="G2112">
        <v>2473</v>
      </c>
      <c r="H2112" s="115"/>
      <c r="I2112" s="115"/>
      <c r="L2112" s="169">
        <v>45117</v>
      </c>
      <c r="M2112" s="115">
        <v>422.81</v>
      </c>
      <c r="N2112" s="115">
        <v>425</v>
      </c>
      <c r="O2112" s="115">
        <v>417.38</v>
      </c>
      <c r="P2112" s="115">
        <v>421.93</v>
      </c>
      <c r="Q2112" s="115">
        <v>2114.0500000000002</v>
      </c>
      <c r="R2112">
        <v>18163</v>
      </c>
    </row>
    <row r="2113" spans="1:18" x14ac:dyDescent="0.25">
      <c r="A2113" s="169">
        <v>45126</v>
      </c>
      <c r="B2113" s="115">
        <v>437.16</v>
      </c>
      <c r="C2113" s="115">
        <v>435.05</v>
      </c>
      <c r="D2113" s="115">
        <v>423.53</v>
      </c>
      <c r="E2113" s="115">
        <v>432.4</v>
      </c>
      <c r="F2113" s="115">
        <v>2175.25</v>
      </c>
      <c r="G2113">
        <v>3143</v>
      </c>
      <c r="H2113" s="115"/>
      <c r="I2113" s="115"/>
      <c r="L2113" s="169">
        <v>45118</v>
      </c>
      <c r="M2113" s="115">
        <v>414.1</v>
      </c>
      <c r="N2113" s="115">
        <v>426.4</v>
      </c>
      <c r="O2113" s="115">
        <v>412</v>
      </c>
      <c r="P2113" s="115">
        <v>422.81</v>
      </c>
      <c r="Q2113" s="115">
        <v>2070.5</v>
      </c>
      <c r="R2113">
        <v>27599</v>
      </c>
    </row>
    <row r="2114" spans="1:18" x14ac:dyDescent="0.25">
      <c r="A2114" s="169">
        <v>45127</v>
      </c>
      <c r="B2114" s="115">
        <v>441.74</v>
      </c>
      <c r="C2114" s="115">
        <v>440.14</v>
      </c>
      <c r="D2114" s="115">
        <v>431.43</v>
      </c>
      <c r="E2114" s="115">
        <v>435.06</v>
      </c>
      <c r="F2114" s="115">
        <v>2200.6999999999998</v>
      </c>
      <c r="G2114">
        <v>1439</v>
      </c>
      <c r="H2114" s="115"/>
      <c r="I2114" s="115"/>
      <c r="L2114" s="169">
        <v>45119</v>
      </c>
      <c r="M2114" s="115">
        <v>409.79</v>
      </c>
      <c r="N2114" s="115">
        <v>417.99</v>
      </c>
      <c r="O2114" s="115">
        <v>405.23</v>
      </c>
      <c r="P2114" s="115">
        <v>414.1</v>
      </c>
      <c r="Q2114" s="115">
        <v>2048.9499999999998</v>
      </c>
      <c r="R2114">
        <v>99630</v>
      </c>
    </row>
    <row r="2115" spans="1:18" x14ac:dyDescent="0.25">
      <c r="A2115" s="169">
        <v>45128</v>
      </c>
      <c r="B2115" s="115">
        <v>442.09</v>
      </c>
      <c r="C2115" s="115">
        <v>437.4</v>
      </c>
      <c r="D2115" s="115">
        <v>434.66</v>
      </c>
      <c r="E2115" s="115">
        <v>440.87</v>
      </c>
      <c r="F2115" s="115">
        <v>2187</v>
      </c>
      <c r="G2115">
        <v>573</v>
      </c>
      <c r="H2115" s="115"/>
      <c r="I2115" s="115"/>
      <c r="L2115" s="169">
        <v>45120</v>
      </c>
      <c r="M2115" s="115">
        <v>406.29</v>
      </c>
      <c r="N2115" s="115">
        <v>417.6</v>
      </c>
      <c r="O2115" s="115">
        <v>402.67</v>
      </c>
      <c r="P2115" s="115">
        <v>411</v>
      </c>
      <c r="Q2115" s="115">
        <v>2031.45</v>
      </c>
      <c r="R2115">
        <v>22423</v>
      </c>
    </row>
    <row r="2116" spans="1:18" x14ac:dyDescent="0.25">
      <c r="A2116" s="169">
        <v>45131</v>
      </c>
      <c r="B2116" s="115">
        <v>445</v>
      </c>
      <c r="C2116" s="115">
        <v>435.9</v>
      </c>
      <c r="D2116" s="115">
        <v>434.72</v>
      </c>
      <c r="E2116" s="115">
        <v>441.99</v>
      </c>
      <c r="F2116" s="115">
        <v>2179.5</v>
      </c>
      <c r="G2116">
        <v>994</v>
      </c>
      <c r="H2116" s="115"/>
      <c r="I2116" s="115"/>
      <c r="L2116" s="169">
        <v>45121</v>
      </c>
      <c r="M2116" s="115">
        <v>415.6</v>
      </c>
      <c r="N2116" s="115">
        <v>417.54</v>
      </c>
      <c r="O2116" s="115">
        <v>406.33</v>
      </c>
      <c r="P2116" s="115">
        <v>406.33</v>
      </c>
      <c r="Q2116" s="115">
        <v>2078</v>
      </c>
      <c r="R2116">
        <v>20201</v>
      </c>
    </row>
    <row r="2117" spans="1:18" x14ac:dyDescent="0.25">
      <c r="A2117" s="169">
        <v>45132</v>
      </c>
      <c r="B2117" s="115">
        <v>450.67</v>
      </c>
      <c r="C2117" s="115">
        <v>441.18</v>
      </c>
      <c r="D2117" s="115">
        <v>430.21</v>
      </c>
      <c r="E2117" s="115">
        <v>430.21</v>
      </c>
      <c r="F2117" s="115">
        <v>2205.9</v>
      </c>
      <c r="G2117">
        <v>1748</v>
      </c>
      <c r="H2117" s="115"/>
      <c r="I2117" s="115"/>
      <c r="L2117" s="169">
        <v>45124</v>
      </c>
      <c r="M2117" s="115">
        <v>419.68</v>
      </c>
      <c r="N2117" s="115">
        <v>427.6</v>
      </c>
      <c r="O2117" s="115">
        <v>411.98</v>
      </c>
      <c r="P2117" s="115">
        <v>418</v>
      </c>
      <c r="Q2117" s="115">
        <v>2098.4</v>
      </c>
      <c r="R2117">
        <v>27243</v>
      </c>
    </row>
    <row r="2118" spans="1:18" x14ac:dyDescent="0.25">
      <c r="A2118" s="169">
        <v>45133</v>
      </c>
      <c r="B2118" s="115">
        <v>447.92</v>
      </c>
      <c r="C2118" s="115">
        <v>445.53</v>
      </c>
      <c r="D2118" s="115">
        <v>441.44</v>
      </c>
      <c r="E2118" s="115">
        <v>443.12</v>
      </c>
      <c r="F2118" s="115">
        <v>2227.65</v>
      </c>
      <c r="G2118">
        <v>1199</v>
      </c>
      <c r="H2118" s="115"/>
      <c r="I2118" s="115"/>
      <c r="L2118" s="169">
        <v>45125</v>
      </c>
      <c r="M2118" s="115">
        <v>429.72</v>
      </c>
      <c r="N2118" s="115">
        <v>433.99</v>
      </c>
      <c r="O2118" s="115">
        <v>418.66</v>
      </c>
      <c r="P2118" s="115">
        <v>421.78</v>
      </c>
      <c r="Q2118" s="115">
        <v>2148.6</v>
      </c>
      <c r="R2118">
        <v>62424</v>
      </c>
    </row>
    <row r="2119" spans="1:18" x14ac:dyDescent="0.25">
      <c r="A2119" s="169">
        <v>45134</v>
      </c>
      <c r="B2119" s="115">
        <v>454.39</v>
      </c>
      <c r="C2119" s="115">
        <v>443.05</v>
      </c>
      <c r="D2119" s="115">
        <v>442.11</v>
      </c>
      <c r="E2119" s="115">
        <v>454.39</v>
      </c>
      <c r="F2119" s="115">
        <v>2215.25</v>
      </c>
      <c r="G2119">
        <v>496</v>
      </c>
      <c r="H2119" s="115"/>
      <c r="I2119" s="115"/>
      <c r="L2119" s="169">
        <v>45126</v>
      </c>
      <c r="M2119" s="115">
        <v>435.43</v>
      </c>
      <c r="N2119" s="115">
        <v>437</v>
      </c>
      <c r="O2119" s="115">
        <v>423.13</v>
      </c>
      <c r="P2119" s="115">
        <v>433.6</v>
      </c>
      <c r="Q2119" s="115">
        <v>2177.15</v>
      </c>
      <c r="R2119">
        <v>47196</v>
      </c>
    </row>
    <row r="2120" spans="1:18" x14ac:dyDescent="0.25">
      <c r="A2120" s="169">
        <v>45135</v>
      </c>
      <c r="B2120" s="115">
        <v>446.84</v>
      </c>
      <c r="C2120" s="115">
        <v>445.08</v>
      </c>
      <c r="D2120" s="115">
        <v>439.14</v>
      </c>
      <c r="E2120" s="115">
        <v>444.58</v>
      </c>
      <c r="F2120" s="115">
        <v>2225.4</v>
      </c>
      <c r="G2120">
        <v>508</v>
      </c>
      <c r="H2120" s="115"/>
      <c r="I2120" s="115"/>
      <c r="L2120" s="169">
        <v>45127</v>
      </c>
      <c r="M2120" s="115">
        <v>440.66</v>
      </c>
      <c r="N2120" s="115">
        <v>441.98</v>
      </c>
      <c r="O2120" s="115">
        <v>430.35</v>
      </c>
      <c r="P2120" s="115">
        <v>438.22</v>
      </c>
      <c r="Q2120" s="115">
        <v>2203.3000000000002</v>
      </c>
      <c r="R2120">
        <v>23584</v>
      </c>
    </row>
    <row r="2121" spans="1:18" x14ac:dyDescent="0.25">
      <c r="A2121" s="169">
        <v>45138</v>
      </c>
      <c r="B2121" s="115">
        <v>456.88</v>
      </c>
      <c r="C2121" s="115">
        <v>452.06</v>
      </c>
      <c r="D2121" s="115">
        <v>444.8</v>
      </c>
      <c r="E2121" s="115">
        <v>445.08</v>
      </c>
      <c r="F2121" s="115">
        <v>2260.3000000000002</v>
      </c>
      <c r="G2121">
        <v>1178</v>
      </c>
      <c r="H2121" s="115"/>
      <c r="I2121" s="115"/>
      <c r="L2121" s="169">
        <v>45128</v>
      </c>
      <c r="M2121" s="115">
        <v>437.18</v>
      </c>
      <c r="N2121" s="115">
        <v>442.84</v>
      </c>
      <c r="O2121" s="115">
        <v>434.01</v>
      </c>
      <c r="P2121" s="115">
        <v>442.66</v>
      </c>
      <c r="Q2121" s="115">
        <v>2185.9</v>
      </c>
      <c r="R2121">
        <v>10051</v>
      </c>
    </row>
    <row r="2122" spans="1:18" x14ac:dyDescent="0.25">
      <c r="A2122" s="169">
        <v>45139</v>
      </c>
      <c r="B2122" s="115">
        <v>470</v>
      </c>
      <c r="C2122" s="115">
        <v>468.42</v>
      </c>
      <c r="D2122" s="115">
        <v>453</v>
      </c>
      <c r="E2122" s="115">
        <v>453.01</v>
      </c>
      <c r="F2122" s="115">
        <v>2342.1</v>
      </c>
      <c r="G2122">
        <v>1309</v>
      </c>
      <c r="H2122" s="115"/>
      <c r="I2122" s="115"/>
      <c r="L2122" s="169">
        <v>45131</v>
      </c>
      <c r="M2122" s="115">
        <v>435.91</v>
      </c>
      <c r="N2122" s="115">
        <v>447.34</v>
      </c>
      <c r="O2122" s="115">
        <v>430.8</v>
      </c>
      <c r="P2122" s="115">
        <v>436</v>
      </c>
      <c r="Q2122" s="115">
        <v>2179.5500000000002</v>
      </c>
      <c r="R2122">
        <v>33210</v>
      </c>
    </row>
    <row r="2123" spans="1:18" x14ac:dyDescent="0.25">
      <c r="A2123" s="169">
        <v>45140</v>
      </c>
      <c r="B2123" s="115">
        <v>471</v>
      </c>
      <c r="C2123" s="115">
        <v>460.36</v>
      </c>
      <c r="D2123" s="115">
        <v>451.16</v>
      </c>
      <c r="E2123" s="115">
        <v>468.01</v>
      </c>
      <c r="F2123" s="115">
        <v>2301.8000000000002</v>
      </c>
      <c r="G2123">
        <v>2666</v>
      </c>
      <c r="H2123" s="115"/>
      <c r="I2123" s="115"/>
      <c r="L2123" s="169">
        <v>45132</v>
      </c>
      <c r="M2123" s="115">
        <v>440.19</v>
      </c>
      <c r="N2123" s="115">
        <v>451.98</v>
      </c>
      <c r="O2123" s="115">
        <v>434.46</v>
      </c>
      <c r="P2123" s="115">
        <v>439.73</v>
      </c>
      <c r="Q2123" s="115">
        <v>2200.9499999999998</v>
      </c>
      <c r="R2123">
        <v>75388</v>
      </c>
    </row>
    <row r="2124" spans="1:18" x14ac:dyDescent="0.25">
      <c r="A2124" s="169">
        <v>45141</v>
      </c>
      <c r="B2124" s="115">
        <v>552.42999999999995</v>
      </c>
      <c r="C2124" s="115">
        <v>545.76</v>
      </c>
      <c r="D2124" s="115">
        <v>473.99</v>
      </c>
      <c r="E2124" s="115">
        <v>473.99</v>
      </c>
      <c r="F2124" s="115">
        <v>2728.8</v>
      </c>
      <c r="G2124">
        <v>65451</v>
      </c>
      <c r="H2124" s="115"/>
      <c r="I2124" s="115"/>
      <c r="L2124" s="169">
        <v>45133</v>
      </c>
      <c r="M2124" s="115">
        <v>445.55</v>
      </c>
      <c r="N2124" s="115">
        <v>449.8</v>
      </c>
      <c r="O2124" s="115">
        <v>440.71</v>
      </c>
      <c r="P2124" s="115">
        <v>444</v>
      </c>
      <c r="Q2124" s="115">
        <v>2227.75</v>
      </c>
      <c r="R2124">
        <v>18426</v>
      </c>
    </row>
    <row r="2125" spans="1:18" x14ac:dyDescent="0.25">
      <c r="A2125" s="169">
        <v>45142</v>
      </c>
      <c r="B2125" s="115">
        <v>544.23</v>
      </c>
      <c r="C2125" s="115">
        <v>528.08000000000004</v>
      </c>
      <c r="D2125" s="115">
        <v>524.79999999999995</v>
      </c>
      <c r="E2125" s="115">
        <v>538.99</v>
      </c>
      <c r="F2125" s="115">
        <v>2640.4</v>
      </c>
      <c r="G2125">
        <v>13216</v>
      </c>
      <c r="H2125" s="115"/>
      <c r="I2125" s="115"/>
      <c r="L2125" s="169">
        <v>45134</v>
      </c>
      <c r="M2125" s="115">
        <v>443.32</v>
      </c>
      <c r="N2125" s="115">
        <v>451.75</v>
      </c>
      <c r="O2125" s="115">
        <v>442.2</v>
      </c>
      <c r="P2125" s="115">
        <v>451.75</v>
      </c>
      <c r="Q2125" s="115">
        <v>2216.6</v>
      </c>
      <c r="R2125">
        <v>23292</v>
      </c>
    </row>
    <row r="2126" spans="1:18" x14ac:dyDescent="0.25">
      <c r="A2126" s="169">
        <v>45145</v>
      </c>
      <c r="B2126" s="115">
        <v>533.77</v>
      </c>
      <c r="C2126" s="115">
        <v>518.28</v>
      </c>
      <c r="D2126" s="115">
        <v>515</v>
      </c>
      <c r="E2126" s="115">
        <v>533.77</v>
      </c>
      <c r="F2126" s="115">
        <v>2591.4</v>
      </c>
      <c r="G2126">
        <v>2837</v>
      </c>
      <c r="H2126" s="115"/>
      <c r="I2126" s="115"/>
      <c r="L2126" s="169">
        <v>45135</v>
      </c>
      <c r="M2126" s="115">
        <v>445.35</v>
      </c>
      <c r="N2126" s="115">
        <v>449.74</v>
      </c>
      <c r="O2126" s="115">
        <v>438.82</v>
      </c>
      <c r="P2126" s="115">
        <v>447.98</v>
      </c>
      <c r="Q2126" s="115">
        <v>2226.75</v>
      </c>
      <c r="R2126">
        <v>12681</v>
      </c>
    </row>
    <row r="2127" spans="1:18" x14ac:dyDescent="0.25">
      <c r="A2127" s="169">
        <v>45146</v>
      </c>
      <c r="B2127" s="115">
        <v>530</v>
      </c>
      <c r="C2127" s="115">
        <v>524.52</v>
      </c>
      <c r="D2127" s="115">
        <v>510.4</v>
      </c>
      <c r="E2127" s="115">
        <v>510.4</v>
      </c>
      <c r="F2127" s="115">
        <v>2622.6</v>
      </c>
      <c r="G2127">
        <v>3718</v>
      </c>
      <c r="H2127" s="115"/>
      <c r="I2127" s="115"/>
      <c r="L2127" s="169">
        <v>45138</v>
      </c>
      <c r="M2127" s="115">
        <v>454.28</v>
      </c>
      <c r="N2127" s="115">
        <v>457.4</v>
      </c>
      <c r="O2127" s="115">
        <v>443.61</v>
      </c>
      <c r="P2127" s="115">
        <v>443.61</v>
      </c>
      <c r="Q2127" s="115">
        <v>2271.4</v>
      </c>
      <c r="R2127">
        <v>39099</v>
      </c>
    </row>
    <row r="2128" spans="1:18" x14ac:dyDescent="0.25">
      <c r="A2128" s="169">
        <v>45147</v>
      </c>
      <c r="B2128" s="115">
        <v>527.99</v>
      </c>
      <c r="C2128" s="115">
        <v>516.22</v>
      </c>
      <c r="D2128" s="115">
        <v>514.09</v>
      </c>
      <c r="E2128" s="115">
        <v>523.28</v>
      </c>
      <c r="F2128" s="115">
        <v>2581.1</v>
      </c>
      <c r="G2128">
        <v>3349</v>
      </c>
      <c r="H2128" s="115"/>
      <c r="I2128" s="115"/>
      <c r="L2128" s="169">
        <v>45139</v>
      </c>
      <c r="M2128" s="115">
        <v>467.47</v>
      </c>
      <c r="N2128" s="115">
        <v>471</v>
      </c>
      <c r="O2128" s="115">
        <v>452.26</v>
      </c>
      <c r="P2128" s="115">
        <v>457.96</v>
      </c>
      <c r="Q2128" s="115">
        <v>2337.35</v>
      </c>
      <c r="R2128">
        <v>54466</v>
      </c>
    </row>
    <row r="2129" spans="1:18" x14ac:dyDescent="0.25">
      <c r="A2129" s="169">
        <v>45148</v>
      </c>
      <c r="B2129" s="115">
        <v>537.46</v>
      </c>
      <c r="C2129" s="115">
        <v>516.26</v>
      </c>
      <c r="D2129" s="115">
        <v>513.65</v>
      </c>
      <c r="E2129" s="115">
        <v>521.15</v>
      </c>
      <c r="F2129" s="115">
        <v>2581.3000000000002</v>
      </c>
      <c r="G2129">
        <v>1238</v>
      </c>
      <c r="H2129" s="115"/>
      <c r="I2129" s="115"/>
      <c r="L2129" s="169">
        <v>45140</v>
      </c>
      <c r="M2129" s="115">
        <v>460.38</v>
      </c>
      <c r="N2129" s="115">
        <v>471.46</v>
      </c>
      <c r="O2129" s="115">
        <v>448.53</v>
      </c>
      <c r="P2129" s="115">
        <v>471.4</v>
      </c>
      <c r="Q2129" s="115">
        <v>2301.9</v>
      </c>
      <c r="R2129">
        <v>33140</v>
      </c>
    </row>
    <row r="2130" spans="1:18" x14ac:dyDescent="0.25">
      <c r="A2130" s="169">
        <v>45149</v>
      </c>
      <c r="B2130" s="115">
        <v>535.54</v>
      </c>
      <c r="C2130" s="115">
        <v>526.79999999999995</v>
      </c>
      <c r="D2130" s="115">
        <v>514.37</v>
      </c>
      <c r="E2130" s="115">
        <v>535.54</v>
      </c>
      <c r="F2130" s="115">
        <v>2634</v>
      </c>
      <c r="G2130">
        <v>3591</v>
      </c>
      <c r="H2130" s="115"/>
      <c r="I2130" s="115"/>
      <c r="L2130" s="169">
        <v>45141</v>
      </c>
      <c r="M2130" s="115">
        <v>543.53</v>
      </c>
      <c r="N2130" s="115">
        <v>552.45000000000005</v>
      </c>
      <c r="O2130" s="115">
        <v>472.02</v>
      </c>
      <c r="P2130" s="115">
        <v>472.02</v>
      </c>
      <c r="Q2130" s="115">
        <v>2717.65</v>
      </c>
      <c r="R2130">
        <v>1826099</v>
      </c>
    </row>
    <row r="2131" spans="1:18" x14ac:dyDescent="0.25">
      <c r="A2131" s="169">
        <v>45152</v>
      </c>
      <c r="B2131" s="115">
        <v>536.33000000000004</v>
      </c>
      <c r="C2131" s="115">
        <v>520.75</v>
      </c>
      <c r="D2131" s="115">
        <v>515.66</v>
      </c>
      <c r="E2131" s="115">
        <v>519.45000000000005</v>
      </c>
      <c r="F2131" s="115">
        <v>2603.75</v>
      </c>
      <c r="G2131">
        <v>3037</v>
      </c>
      <c r="H2131" s="115"/>
      <c r="I2131" s="115"/>
      <c r="L2131" s="169">
        <v>45142</v>
      </c>
      <c r="M2131" s="115">
        <v>528.65</v>
      </c>
      <c r="N2131" s="115">
        <v>543.91999999999996</v>
      </c>
      <c r="O2131" s="115">
        <v>524.79</v>
      </c>
      <c r="P2131" s="115">
        <v>537.82000000000005</v>
      </c>
      <c r="Q2131" s="115">
        <v>2643.25</v>
      </c>
      <c r="R2131">
        <v>296001</v>
      </c>
    </row>
    <row r="2132" spans="1:18" x14ac:dyDescent="0.25">
      <c r="A2132" s="169">
        <v>45154</v>
      </c>
      <c r="B2132" s="115">
        <v>542.53</v>
      </c>
      <c r="C2132" s="115">
        <v>531.29999999999995</v>
      </c>
      <c r="D2132" s="115">
        <v>520.19000000000005</v>
      </c>
      <c r="E2132" s="115">
        <v>520.19000000000005</v>
      </c>
      <c r="F2132" s="115">
        <v>2656.5</v>
      </c>
      <c r="G2132">
        <v>5110</v>
      </c>
      <c r="H2132" s="115"/>
      <c r="I2132" s="115"/>
      <c r="L2132" s="169">
        <v>45145</v>
      </c>
      <c r="M2132" s="115">
        <v>517.45000000000005</v>
      </c>
      <c r="N2132" s="115">
        <v>532.99</v>
      </c>
      <c r="O2132" s="115">
        <v>511.39</v>
      </c>
      <c r="P2132" s="115">
        <v>528.6</v>
      </c>
      <c r="Q2132" s="115">
        <v>2587.25</v>
      </c>
      <c r="R2132">
        <v>68753</v>
      </c>
    </row>
    <row r="2133" spans="1:18" x14ac:dyDescent="0.25">
      <c r="A2133" s="169">
        <v>45155</v>
      </c>
      <c r="B2133" s="115">
        <v>552.85</v>
      </c>
      <c r="C2133" s="115">
        <v>542.54999999999995</v>
      </c>
      <c r="D2133" s="115">
        <v>534.39</v>
      </c>
      <c r="E2133" s="115">
        <v>541.99</v>
      </c>
      <c r="F2133" s="115">
        <v>2712.75</v>
      </c>
      <c r="G2133">
        <v>2795</v>
      </c>
      <c r="H2133" s="115"/>
      <c r="I2133" s="115"/>
      <c r="L2133" s="169">
        <v>45146</v>
      </c>
      <c r="M2133" s="115">
        <v>523.83000000000004</v>
      </c>
      <c r="N2133" s="115">
        <v>530</v>
      </c>
      <c r="O2133" s="115">
        <v>511</v>
      </c>
      <c r="P2133" s="115">
        <v>511</v>
      </c>
      <c r="Q2133" s="115">
        <v>2619.15</v>
      </c>
      <c r="R2133">
        <v>52786</v>
      </c>
    </row>
    <row r="2134" spans="1:18" x14ac:dyDescent="0.25">
      <c r="A2134" s="169">
        <v>45156</v>
      </c>
      <c r="B2134" s="115">
        <v>549.4</v>
      </c>
      <c r="C2134" s="115">
        <v>543.41999999999996</v>
      </c>
      <c r="D2134" s="115">
        <v>531.09</v>
      </c>
      <c r="E2134" s="115">
        <v>542</v>
      </c>
      <c r="F2134" s="115">
        <v>2717.1</v>
      </c>
      <c r="G2134">
        <v>3575</v>
      </c>
      <c r="H2134" s="115"/>
      <c r="I2134" s="115"/>
      <c r="L2134" s="169">
        <v>45147</v>
      </c>
      <c r="M2134" s="115">
        <v>516.9</v>
      </c>
      <c r="N2134" s="115">
        <v>527.99</v>
      </c>
      <c r="O2134" s="115">
        <v>515</v>
      </c>
      <c r="P2134" s="115">
        <v>520.41</v>
      </c>
      <c r="Q2134" s="115">
        <v>2584.5</v>
      </c>
      <c r="R2134">
        <v>35147</v>
      </c>
    </row>
    <row r="2135" spans="1:18" x14ac:dyDescent="0.25">
      <c r="A2135" s="169">
        <v>45159</v>
      </c>
      <c r="B2135" s="115">
        <v>552.74</v>
      </c>
      <c r="C2135" s="115">
        <v>524.03</v>
      </c>
      <c r="D2135" s="115">
        <v>518.77</v>
      </c>
      <c r="E2135" s="115">
        <v>547.6</v>
      </c>
      <c r="F2135" s="115">
        <v>2620.15</v>
      </c>
      <c r="G2135">
        <v>3809</v>
      </c>
      <c r="H2135" s="115"/>
      <c r="I2135" s="115"/>
      <c r="L2135" s="169">
        <v>45148</v>
      </c>
      <c r="M2135" s="115">
        <v>515.48</v>
      </c>
      <c r="N2135" s="115">
        <v>537.78</v>
      </c>
      <c r="O2135" s="115">
        <v>513.21</v>
      </c>
      <c r="P2135" s="115">
        <v>524.79999999999995</v>
      </c>
      <c r="Q2135" s="115">
        <v>2577.4</v>
      </c>
      <c r="R2135">
        <v>55801</v>
      </c>
    </row>
    <row r="2136" spans="1:18" x14ac:dyDescent="0.25">
      <c r="A2136" s="169">
        <v>45160</v>
      </c>
      <c r="B2136" s="115">
        <v>533.66</v>
      </c>
      <c r="C2136" s="115">
        <v>527.75</v>
      </c>
      <c r="D2136" s="115">
        <v>519.67999999999995</v>
      </c>
      <c r="E2136" s="115">
        <v>526.98</v>
      </c>
      <c r="F2136" s="115">
        <v>2638.75</v>
      </c>
      <c r="G2136">
        <v>1525</v>
      </c>
      <c r="H2136" s="115"/>
      <c r="I2136" s="115"/>
      <c r="L2136" s="169">
        <v>45149</v>
      </c>
      <c r="M2136" s="115">
        <v>526.74</v>
      </c>
      <c r="N2136" s="115">
        <v>529.59</v>
      </c>
      <c r="O2136" s="115">
        <v>516.73</v>
      </c>
      <c r="P2136" s="115">
        <v>524</v>
      </c>
      <c r="Q2136" s="115">
        <v>2633.7</v>
      </c>
      <c r="R2136">
        <v>44771</v>
      </c>
    </row>
    <row r="2137" spans="1:18" x14ac:dyDescent="0.25">
      <c r="A2137" s="169">
        <v>45161</v>
      </c>
      <c r="B2137" s="115">
        <v>541.76</v>
      </c>
      <c r="C2137" s="115">
        <v>533.03</v>
      </c>
      <c r="D2137" s="115">
        <v>530.01</v>
      </c>
      <c r="E2137" s="115">
        <v>531.99</v>
      </c>
      <c r="F2137" s="115">
        <v>2665.15</v>
      </c>
      <c r="G2137">
        <v>3021</v>
      </c>
      <c r="H2137" s="115"/>
      <c r="I2137" s="115"/>
      <c r="L2137" s="169">
        <v>45152</v>
      </c>
      <c r="M2137" s="115">
        <v>519.91999999999996</v>
      </c>
      <c r="N2137" s="115">
        <v>535.59</v>
      </c>
      <c r="O2137" s="115">
        <v>515.02</v>
      </c>
      <c r="P2137" s="115">
        <v>535</v>
      </c>
      <c r="Q2137" s="115">
        <v>2599.6</v>
      </c>
      <c r="R2137">
        <v>24848</v>
      </c>
    </row>
    <row r="2138" spans="1:18" x14ac:dyDescent="0.25">
      <c r="A2138" s="169">
        <v>45162</v>
      </c>
      <c r="B2138" s="115">
        <v>536.09</v>
      </c>
      <c r="C2138" s="115">
        <v>525.72</v>
      </c>
      <c r="D2138" s="115">
        <v>523.20000000000005</v>
      </c>
      <c r="E2138" s="115">
        <v>535.01</v>
      </c>
      <c r="F2138" s="115">
        <v>2628.6</v>
      </c>
      <c r="G2138">
        <v>2765</v>
      </c>
      <c r="H2138" s="115"/>
      <c r="I2138" s="115"/>
      <c r="L2138" s="169">
        <v>45154</v>
      </c>
      <c r="M2138" s="115">
        <v>532.32000000000005</v>
      </c>
      <c r="N2138" s="115">
        <v>542.91999999999996</v>
      </c>
      <c r="O2138" s="115">
        <v>520.85</v>
      </c>
      <c r="P2138" s="115">
        <v>524.44000000000005</v>
      </c>
      <c r="Q2138" s="115">
        <v>2661.6</v>
      </c>
      <c r="R2138">
        <v>77087</v>
      </c>
    </row>
    <row r="2139" spans="1:18" x14ac:dyDescent="0.25">
      <c r="A2139" s="169">
        <v>45163</v>
      </c>
      <c r="B2139" s="115">
        <v>539.79</v>
      </c>
      <c r="C2139" s="115">
        <v>537.1</v>
      </c>
      <c r="D2139" s="115">
        <v>524.01</v>
      </c>
      <c r="E2139" s="115">
        <v>524.01</v>
      </c>
      <c r="F2139" s="115">
        <v>2685.5</v>
      </c>
      <c r="G2139">
        <v>1261</v>
      </c>
      <c r="H2139" s="115"/>
      <c r="I2139" s="115"/>
      <c r="L2139" s="169">
        <v>45155</v>
      </c>
      <c r="M2139" s="115">
        <v>541.66</v>
      </c>
      <c r="N2139" s="115">
        <v>554</v>
      </c>
      <c r="O2139" s="115">
        <v>532.32000000000005</v>
      </c>
      <c r="P2139" s="115">
        <v>534.5</v>
      </c>
      <c r="Q2139" s="115">
        <v>2708.3</v>
      </c>
      <c r="R2139">
        <v>87424</v>
      </c>
    </row>
    <row r="2140" spans="1:18" x14ac:dyDescent="0.25">
      <c r="A2140" s="169">
        <v>45166</v>
      </c>
      <c r="B2140" s="115">
        <v>550.20000000000005</v>
      </c>
      <c r="C2140" s="115">
        <v>540.15</v>
      </c>
      <c r="D2140" s="115">
        <v>535.02</v>
      </c>
      <c r="E2140" s="115">
        <v>536.79</v>
      </c>
      <c r="F2140" s="115">
        <v>2700.75</v>
      </c>
      <c r="G2140">
        <v>2754</v>
      </c>
      <c r="H2140" s="115"/>
      <c r="I2140" s="115"/>
      <c r="L2140" s="169">
        <v>45156</v>
      </c>
      <c r="M2140" s="115">
        <v>543.30999999999995</v>
      </c>
      <c r="N2140" s="115">
        <v>549.79999999999995</v>
      </c>
      <c r="O2140" s="115">
        <v>530.01</v>
      </c>
      <c r="P2140" s="115">
        <v>540.29</v>
      </c>
      <c r="Q2140" s="115">
        <v>2716.55</v>
      </c>
      <c r="R2140">
        <v>57695</v>
      </c>
    </row>
    <row r="2141" spans="1:18" x14ac:dyDescent="0.25">
      <c r="A2141" s="169">
        <v>45167</v>
      </c>
      <c r="B2141" s="115">
        <v>545.58000000000004</v>
      </c>
      <c r="C2141" s="115">
        <v>541.38</v>
      </c>
      <c r="D2141" s="115">
        <v>537.79999999999995</v>
      </c>
      <c r="E2141" s="115">
        <v>541.39</v>
      </c>
      <c r="F2141" s="115">
        <v>2706.9</v>
      </c>
      <c r="G2141">
        <v>703</v>
      </c>
      <c r="H2141" s="115"/>
      <c r="I2141" s="115"/>
      <c r="L2141" s="169">
        <v>45159</v>
      </c>
      <c r="M2141" s="115">
        <v>526.23</v>
      </c>
      <c r="N2141" s="115">
        <v>552</v>
      </c>
      <c r="O2141" s="115">
        <v>518.23</v>
      </c>
      <c r="P2141" s="115">
        <v>548</v>
      </c>
      <c r="Q2141" s="115">
        <v>2631.15</v>
      </c>
      <c r="R2141">
        <v>62343</v>
      </c>
    </row>
    <row r="2142" spans="1:18" x14ac:dyDescent="0.25">
      <c r="A2142" s="169">
        <v>45168</v>
      </c>
      <c r="B2142" s="115">
        <v>577.28</v>
      </c>
      <c r="C2142" s="115">
        <v>558.04999999999995</v>
      </c>
      <c r="D2142" s="115">
        <v>539.65</v>
      </c>
      <c r="E2142" s="115">
        <v>548.48</v>
      </c>
      <c r="F2142" s="115">
        <v>2790.25</v>
      </c>
      <c r="G2142">
        <v>6649</v>
      </c>
      <c r="H2142" s="115"/>
      <c r="I2142" s="115"/>
      <c r="L2142" s="169">
        <v>45160</v>
      </c>
      <c r="M2142" s="115">
        <v>527.42999999999995</v>
      </c>
      <c r="N2142" s="115">
        <v>538.79999999999995</v>
      </c>
      <c r="O2142" s="115">
        <v>519</v>
      </c>
      <c r="P2142" s="115">
        <v>527</v>
      </c>
      <c r="Q2142" s="115">
        <v>2637.15</v>
      </c>
      <c r="R2142">
        <v>52471</v>
      </c>
    </row>
    <row r="2143" spans="1:18" x14ac:dyDescent="0.25">
      <c r="A2143" s="169">
        <v>45169</v>
      </c>
      <c r="B2143" s="115">
        <v>560.58000000000004</v>
      </c>
      <c r="C2143" s="115">
        <v>559.27</v>
      </c>
      <c r="D2143" s="115">
        <v>543.6</v>
      </c>
      <c r="E2143" s="115">
        <v>558.58000000000004</v>
      </c>
      <c r="F2143" s="115">
        <v>2796.35</v>
      </c>
      <c r="G2143">
        <v>1190</v>
      </c>
      <c r="H2143" s="115"/>
      <c r="I2143" s="115"/>
      <c r="L2143" s="169">
        <v>45161</v>
      </c>
      <c r="M2143" s="115">
        <v>532.59</v>
      </c>
      <c r="N2143" s="115">
        <v>543</v>
      </c>
      <c r="O2143" s="115">
        <v>528.39</v>
      </c>
      <c r="P2143" s="115">
        <v>533.33000000000004</v>
      </c>
      <c r="Q2143" s="115">
        <v>2662.95</v>
      </c>
      <c r="R2143">
        <v>28807</v>
      </c>
    </row>
    <row r="2144" spans="1:18" x14ac:dyDescent="0.25">
      <c r="A2144" s="169">
        <v>45170</v>
      </c>
      <c r="B2144" s="115">
        <v>562.41</v>
      </c>
      <c r="C2144" s="115">
        <v>548.04999999999995</v>
      </c>
      <c r="D2144" s="115">
        <v>540.30999999999995</v>
      </c>
      <c r="E2144" s="115">
        <v>555.94000000000005</v>
      </c>
      <c r="F2144" s="115">
        <v>2740.25</v>
      </c>
      <c r="G2144">
        <v>3417</v>
      </c>
      <c r="H2144" s="115"/>
      <c r="I2144" s="115"/>
      <c r="L2144" s="169">
        <v>45162</v>
      </c>
      <c r="M2144" s="115">
        <v>525.83000000000004</v>
      </c>
      <c r="N2144" s="115">
        <v>542.80999999999995</v>
      </c>
      <c r="O2144" s="115">
        <v>524</v>
      </c>
      <c r="P2144" s="115">
        <v>534.4</v>
      </c>
      <c r="Q2144" s="115">
        <v>2629.15</v>
      </c>
      <c r="R2144">
        <v>70079</v>
      </c>
    </row>
    <row r="2145" spans="1:18" x14ac:dyDescent="0.25">
      <c r="A2145" s="169">
        <v>45173</v>
      </c>
      <c r="B2145" s="115">
        <v>560.04</v>
      </c>
      <c r="C2145" s="115">
        <v>556.14</v>
      </c>
      <c r="D2145" s="115">
        <v>545</v>
      </c>
      <c r="E2145" s="115">
        <v>553.21</v>
      </c>
      <c r="F2145" s="115">
        <v>2780.7</v>
      </c>
      <c r="G2145">
        <v>1653</v>
      </c>
      <c r="H2145" s="115"/>
      <c r="I2145" s="115"/>
      <c r="L2145" s="169">
        <v>45163</v>
      </c>
      <c r="M2145" s="115">
        <v>536.78</v>
      </c>
      <c r="N2145" s="115">
        <v>539.6</v>
      </c>
      <c r="O2145" s="115">
        <v>524</v>
      </c>
      <c r="P2145" s="115">
        <v>524</v>
      </c>
      <c r="Q2145" s="115">
        <v>2683.9</v>
      </c>
      <c r="R2145">
        <v>25877</v>
      </c>
    </row>
    <row r="2146" spans="1:18" x14ac:dyDescent="0.25">
      <c r="A2146" s="169">
        <v>45174</v>
      </c>
      <c r="B2146" s="115">
        <v>567.79</v>
      </c>
      <c r="C2146" s="115">
        <v>553.24</v>
      </c>
      <c r="D2146" s="115">
        <v>548.22</v>
      </c>
      <c r="E2146" s="115">
        <v>567.79</v>
      </c>
      <c r="F2146" s="115">
        <v>2766.2</v>
      </c>
      <c r="G2146">
        <v>1857</v>
      </c>
      <c r="H2146" s="115"/>
      <c r="I2146" s="115"/>
      <c r="L2146" s="169">
        <v>45166</v>
      </c>
      <c r="M2146" s="115">
        <v>540.37</v>
      </c>
      <c r="N2146" s="115">
        <v>550.79</v>
      </c>
      <c r="O2146" s="115">
        <v>533.94000000000005</v>
      </c>
      <c r="P2146" s="115">
        <v>535.42999999999995</v>
      </c>
      <c r="Q2146" s="115">
        <v>2701.85</v>
      </c>
      <c r="R2146">
        <v>32920</v>
      </c>
    </row>
    <row r="2147" spans="1:18" x14ac:dyDescent="0.25">
      <c r="A2147" s="169">
        <v>45175</v>
      </c>
      <c r="B2147" s="115">
        <v>576.29999999999995</v>
      </c>
      <c r="C2147" s="115">
        <v>566.17999999999995</v>
      </c>
      <c r="D2147" s="115">
        <v>556.61</v>
      </c>
      <c r="E2147" s="115">
        <v>557.59</v>
      </c>
      <c r="F2147" s="115">
        <v>2830.9</v>
      </c>
      <c r="G2147">
        <v>3510</v>
      </c>
      <c r="H2147" s="115"/>
      <c r="I2147" s="115"/>
      <c r="L2147" s="169">
        <v>45167</v>
      </c>
      <c r="M2147" s="115">
        <v>540.99</v>
      </c>
      <c r="N2147" s="115">
        <v>549.79999999999995</v>
      </c>
      <c r="O2147" s="115">
        <v>537.03</v>
      </c>
      <c r="P2147" s="115">
        <v>545.05999999999995</v>
      </c>
      <c r="Q2147" s="115">
        <v>2704.95</v>
      </c>
      <c r="R2147">
        <v>21316</v>
      </c>
    </row>
    <row r="2148" spans="1:18" x14ac:dyDescent="0.25">
      <c r="A2148" s="169">
        <v>45176</v>
      </c>
      <c r="B2148" s="115">
        <v>583.98</v>
      </c>
      <c r="C2148" s="115">
        <v>565.74</v>
      </c>
      <c r="D2148" s="115">
        <v>558.73</v>
      </c>
      <c r="E2148" s="115">
        <v>583.98</v>
      </c>
      <c r="F2148" s="115">
        <v>2828.7</v>
      </c>
      <c r="G2148">
        <v>1074</v>
      </c>
      <c r="H2148" s="115"/>
      <c r="I2148" s="115"/>
      <c r="L2148" s="169">
        <v>45168</v>
      </c>
      <c r="M2148" s="115">
        <v>558.32000000000005</v>
      </c>
      <c r="N2148" s="115">
        <v>578.4</v>
      </c>
      <c r="O2148" s="115">
        <v>538.59</v>
      </c>
      <c r="P2148" s="115">
        <v>549.79999999999995</v>
      </c>
      <c r="Q2148" s="115">
        <v>2791.6</v>
      </c>
      <c r="R2148">
        <v>127719</v>
      </c>
    </row>
    <row r="2149" spans="1:18" x14ac:dyDescent="0.25">
      <c r="A2149" s="169">
        <v>45177</v>
      </c>
      <c r="B2149" s="115">
        <v>575.99</v>
      </c>
      <c r="C2149" s="115">
        <v>560.42999999999995</v>
      </c>
      <c r="D2149" s="115">
        <v>556</v>
      </c>
      <c r="E2149" s="115">
        <v>575.99</v>
      </c>
      <c r="F2149" s="115">
        <v>2802.15</v>
      </c>
      <c r="G2149">
        <v>978</v>
      </c>
      <c r="H2149" s="115"/>
      <c r="I2149" s="115"/>
      <c r="L2149" s="169">
        <v>45169</v>
      </c>
      <c r="M2149" s="115">
        <v>558.38</v>
      </c>
      <c r="N2149" s="115">
        <v>567.79999999999995</v>
      </c>
      <c r="O2149" s="115">
        <v>542.51</v>
      </c>
      <c r="P2149" s="115">
        <v>559</v>
      </c>
      <c r="Q2149" s="115">
        <v>2791.9</v>
      </c>
      <c r="R2149">
        <v>29802</v>
      </c>
    </row>
    <row r="2150" spans="1:18" x14ac:dyDescent="0.25">
      <c r="A2150" s="169">
        <v>45180</v>
      </c>
      <c r="B2150" s="115">
        <v>563.59</v>
      </c>
      <c r="C2150" s="115">
        <v>553.44000000000005</v>
      </c>
      <c r="D2150" s="115">
        <v>549.13</v>
      </c>
      <c r="E2150" s="115">
        <v>560.6</v>
      </c>
      <c r="F2150" s="115">
        <v>2767.2</v>
      </c>
      <c r="G2150">
        <v>2255</v>
      </c>
      <c r="H2150" s="115"/>
      <c r="I2150" s="115"/>
      <c r="L2150" s="169">
        <v>45170</v>
      </c>
      <c r="M2150" s="115">
        <v>548.58000000000004</v>
      </c>
      <c r="N2150" s="115">
        <v>567.6</v>
      </c>
      <c r="O2150" s="115">
        <v>541</v>
      </c>
      <c r="P2150" s="115">
        <v>563.75</v>
      </c>
      <c r="Q2150" s="115">
        <v>2742.9</v>
      </c>
      <c r="R2150">
        <v>42469</v>
      </c>
    </row>
    <row r="2151" spans="1:18" x14ac:dyDescent="0.25">
      <c r="A2151" s="169">
        <v>45181</v>
      </c>
      <c r="B2151" s="115">
        <v>563.66</v>
      </c>
      <c r="C2151" s="115">
        <v>547.4</v>
      </c>
      <c r="D2151" s="115">
        <v>524.72</v>
      </c>
      <c r="E2151" s="115">
        <v>554.70000000000005</v>
      </c>
      <c r="F2151" s="115">
        <v>2737</v>
      </c>
      <c r="G2151">
        <v>3915</v>
      </c>
      <c r="H2151" s="115"/>
      <c r="I2151" s="115"/>
      <c r="L2151" s="169">
        <v>45173</v>
      </c>
      <c r="M2151" s="115">
        <v>556.09</v>
      </c>
      <c r="N2151" s="115">
        <v>560.99</v>
      </c>
      <c r="O2151" s="115">
        <v>544.75</v>
      </c>
      <c r="P2151" s="115">
        <v>559.59</v>
      </c>
      <c r="Q2151" s="115">
        <v>2780.45</v>
      </c>
      <c r="R2151">
        <v>35054</v>
      </c>
    </row>
    <row r="2152" spans="1:18" x14ac:dyDescent="0.25">
      <c r="A2152" s="169">
        <v>45182</v>
      </c>
      <c r="B2152" s="115">
        <v>552.29999999999995</v>
      </c>
      <c r="C2152" s="115">
        <v>540.94000000000005</v>
      </c>
      <c r="D2152" s="115">
        <v>533.46</v>
      </c>
      <c r="E2152" s="115">
        <v>542.46</v>
      </c>
      <c r="F2152" s="115">
        <v>2704.7</v>
      </c>
      <c r="G2152">
        <v>969</v>
      </c>
      <c r="H2152" s="115"/>
      <c r="I2152" s="115"/>
      <c r="L2152" s="169">
        <v>45174</v>
      </c>
      <c r="M2152" s="115">
        <v>553.29999999999995</v>
      </c>
      <c r="N2152" s="115">
        <v>559.73</v>
      </c>
      <c r="O2152" s="115">
        <v>547.23</v>
      </c>
      <c r="P2152" s="115">
        <v>557.46</v>
      </c>
      <c r="Q2152" s="115">
        <v>2766.5</v>
      </c>
      <c r="R2152">
        <v>16555</v>
      </c>
    </row>
    <row r="2153" spans="1:18" x14ac:dyDescent="0.25">
      <c r="A2153" s="169">
        <v>45183</v>
      </c>
      <c r="B2153" s="115">
        <v>548.71</v>
      </c>
      <c r="C2153" s="115">
        <v>541.17999999999995</v>
      </c>
      <c r="D2153" s="115">
        <v>538.79999999999995</v>
      </c>
      <c r="E2153" s="115">
        <v>542.47</v>
      </c>
      <c r="F2153" s="115">
        <v>2705.9</v>
      </c>
      <c r="G2153">
        <v>588</v>
      </c>
      <c r="H2153" s="115"/>
      <c r="I2153" s="115"/>
      <c r="L2153" s="169">
        <v>45175</v>
      </c>
      <c r="M2153" s="115">
        <v>566.79999999999995</v>
      </c>
      <c r="N2153" s="115">
        <v>577.77</v>
      </c>
      <c r="O2153" s="115">
        <v>556</v>
      </c>
      <c r="P2153" s="115">
        <v>559.29999999999995</v>
      </c>
      <c r="Q2153" s="115">
        <v>2834</v>
      </c>
      <c r="R2153">
        <v>73892</v>
      </c>
    </row>
    <row r="2154" spans="1:18" x14ac:dyDescent="0.25">
      <c r="A2154" s="169">
        <v>45184</v>
      </c>
      <c r="B2154" s="115">
        <v>549.19000000000005</v>
      </c>
      <c r="C2154" s="115">
        <v>534.03</v>
      </c>
      <c r="D2154" s="115">
        <v>527</v>
      </c>
      <c r="E2154" s="115">
        <v>549.19000000000005</v>
      </c>
      <c r="F2154" s="115">
        <v>2670.15</v>
      </c>
      <c r="G2154">
        <v>1293</v>
      </c>
      <c r="H2154" s="115"/>
      <c r="I2154" s="115"/>
      <c r="L2154" s="169">
        <v>45176</v>
      </c>
      <c r="M2154" s="115">
        <v>567.92999999999995</v>
      </c>
      <c r="N2154" s="115">
        <v>572.79999999999995</v>
      </c>
      <c r="O2154" s="115">
        <v>558.46</v>
      </c>
      <c r="P2154" s="115">
        <v>567.91999999999996</v>
      </c>
      <c r="Q2154" s="115">
        <v>2839.65</v>
      </c>
      <c r="R2154">
        <v>29646</v>
      </c>
    </row>
    <row r="2155" spans="1:18" x14ac:dyDescent="0.25">
      <c r="A2155" s="169">
        <v>45187</v>
      </c>
      <c r="B2155" s="115">
        <v>548</v>
      </c>
      <c r="C2155" s="115">
        <v>545.19000000000005</v>
      </c>
      <c r="D2155" s="115">
        <v>527.07000000000005</v>
      </c>
      <c r="E2155" s="115">
        <v>527.07000000000005</v>
      </c>
      <c r="F2155" s="115">
        <v>2725.95</v>
      </c>
      <c r="G2155">
        <v>1992</v>
      </c>
      <c r="H2155" s="115"/>
      <c r="I2155" s="115"/>
      <c r="L2155" s="169">
        <v>45177</v>
      </c>
      <c r="M2155" s="115">
        <v>560.29</v>
      </c>
      <c r="N2155" s="115">
        <v>573.99</v>
      </c>
      <c r="O2155" s="115">
        <v>555.91999999999996</v>
      </c>
      <c r="P2155" s="115">
        <v>571.98</v>
      </c>
      <c r="Q2155" s="115">
        <v>2801.45</v>
      </c>
      <c r="R2155">
        <v>18253</v>
      </c>
    </row>
    <row r="2156" spans="1:18" x14ac:dyDescent="0.25">
      <c r="A2156" s="169">
        <v>45189</v>
      </c>
      <c r="B2156" s="115">
        <v>555.54999999999995</v>
      </c>
      <c r="C2156" s="115">
        <v>549.54999999999995</v>
      </c>
      <c r="D2156" s="115">
        <v>541.19000000000005</v>
      </c>
      <c r="E2156" s="115">
        <v>541.19000000000005</v>
      </c>
      <c r="F2156" s="115">
        <v>2747.75</v>
      </c>
      <c r="G2156">
        <v>578</v>
      </c>
      <c r="H2156" s="115"/>
      <c r="I2156" s="115"/>
      <c r="L2156" s="169">
        <v>45180</v>
      </c>
      <c r="M2156" s="115">
        <v>553.29</v>
      </c>
      <c r="N2156" s="115">
        <v>569.79999999999995</v>
      </c>
      <c r="O2156" s="115">
        <v>550</v>
      </c>
      <c r="P2156" s="115">
        <v>565.05999999999995</v>
      </c>
      <c r="Q2156" s="115">
        <v>2766.45</v>
      </c>
      <c r="R2156">
        <v>17991</v>
      </c>
    </row>
    <row r="2157" spans="1:18" x14ac:dyDescent="0.25">
      <c r="A2157" s="169">
        <v>45190</v>
      </c>
      <c r="B2157" s="115">
        <v>642.47</v>
      </c>
      <c r="C2157" s="115">
        <v>626.67999999999995</v>
      </c>
      <c r="D2157" s="115">
        <v>550.58000000000004</v>
      </c>
      <c r="E2157" s="115">
        <v>556.59</v>
      </c>
      <c r="F2157" s="115">
        <v>3133.4</v>
      </c>
      <c r="G2157">
        <v>28592</v>
      </c>
      <c r="H2157" s="115"/>
      <c r="I2157" s="115"/>
      <c r="L2157" s="169">
        <v>45181</v>
      </c>
      <c r="M2157" s="115">
        <v>547.47</v>
      </c>
      <c r="N2157" s="115">
        <v>568.79999999999995</v>
      </c>
      <c r="O2157" s="115">
        <v>525.20000000000005</v>
      </c>
      <c r="P2157" s="115">
        <v>558.79999999999995</v>
      </c>
      <c r="Q2157" s="115">
        <v>2737.35</v>
      </c>
      <c r="R2157">
        <v>53043</v>
      </c>
    </row>
    <row r="2158" spans="1:18" x14ac:dyDescent="0.25">
      <c r="A2158" s="169">
        <v>45191</v>
      </c>
      <c r="B2158" s="115">
        <v>644</v>
      </c>
      <c r="C2158" s="115">
        <v>615.88</v>
      </c>
      <c r="D2158" s="115">
        <v>603.02</v>
      </c>
      <c r="E2158" s="115">
        <v>618.01</v>
      </c>
      <c r="F2158" s="115">
        <v>3079.4</v>
      </c>
      <c r="G2158">
        <v>18929</v>
      </c>
      <c r="H2158" s="115"/>
      <c r="I2158" s="115"/>
      <c r="L2158" s="169">
        <v>45182</v>
      </c>
      <c r="M2158" s="115">
        <v>541.05999999999995</v>
      </c>
      <c r="N2158" s="115">
        <v>553.79999999999995</v>
      </c>
      <c r="O2158" s="115">
        <v>533.11</v>
      </c>
      <c r="P2158" s="115">
        <v>547.4</v>
      </c>
      <c r="Q2158" s="115">
        <v>2705.3</v>
      </c>
      <c r="R2158">
        <v>19594</v>
      </c>
    </row>
    <row r="2159" spans="1:18" x14ac:dyDescent="0.25">
      <c r="A2159" s="169">
        <v>45194</v>
      </c>
      <c r="B2159" s="115">
        <v>615.04</v>
      </c>
      <c r="C2159" s="115">
        <v>589.09</v>
      </c>
      <c r="D2159" s="115">
        <v>582.53</v>
      </c>
      <c r="E2159" s="115">
        <v>607.6</v>
      </c>
      <c r="F2159" s="115">
        <v>2945.45</v>
      </c>
      <c r="G2159">
        <v>3185</v>
      </c>
      <c r="H2159" s="115"/>
      <c r="I2159" s="115"/>
      <c r="L2159" s="169">
        <v>45183</v>
      </c>
      <c r="M2159" s="115">
        <v>542.80999999999995</v>
      </c>
      <c r="N2159" s="115">
        <v>549.78</v>
      </c>
      <c r="O2159" s="115">
        <v>536.4</v>
      </c>
      <c r="P2159" s="115">
        <v>536.4</v>
      </c>
      <c r="Q2159" s="115">
        <v>2714.05</v>
      </c>
      <c r="R2159">
        <v>10948</v>
      </c>
    </row>
    <row r="2160" spans="1:18" x14ac:dyDescent="0.25">
      <c r="A2160" s="169">
        <v>45195</v>
      </c>
      <c r="B2160" s="115">
        <v>591.21</v>
      </c>
      <c r="C2160" s="115">
        <v>572.11</v>
      </c>
      <c r="D2160" s="115">
        <v>570</v>
      </c>
      <c r="E2160" s="115">
        <v>589.79</v>
      </c>
      <c r="F2160" s="115">
        <v>2860.55</v>
      </c>
      <c r="G2160">
        <v>4161</v>
      </c>
      <c r="H2160" s="115"/>
      <c r="I2160" s="115"/>
      <c r="L2160" s="169">
        <v>45184</v>
      </c>
      <c r="M2160" s="115">
        <v>533.45000000000005</v>
      </c>
      <c r="N2160" s="115">
        <v>549.79999999999995</v>
      </c>
      <c r="O2160" s="115">
        <v>526.61</v>
      </c>
      <c r="P2160" s="115">
        <v>548.58000000000004</v>
      </c>
      <c r="Q2160" s="115">
        <v>2667.25</v>
      </c>
      <c r="R2160">
        <v>33101</v>
      </c>
    </row>
    <row r="2161" spans="1:18" x14ac:dyDescent="0.25">
      <c r="A2161" s="169">
        <v>45196</v>
      </c>
      <c r="B2161" s="115">
        <v>600.24</v>
      </c>
      <c r="C2161" s="115">
        <v>586.32000000000005</v>
      </c>
      <c r="D2161" s="115">
        <v>573.01</v>
      </c>
      <c r="E2161" s="115">
        <v>573.01</v>
      </c>
      <c r="F2161" s="115">
        <v>2931.6</v>
      </c>
      <c r="G2161">
        <v>2447</v>
      </c>
      <c r="H2161" s="115"/>
      <c r="I2161" s="115"/>
      <c r="L2161" s="169">
        <v>45187</v>
      </c>
      <c r="M2161" s="115">
        <v>545.85</v>
      </c>
      <c r="N2161" s="115">
        <v>548.6</v>
      </c>
      <c r="O2161" s="115">
        <v>526.65</v>
      </c>
      <c r="P2161" s="115">
        <v>532.08000000000004</v>
      </c>
      <c r="Q2161" s="115">
        <v>2729.25</v>
      </c>
      <c r="R2161">
        <v>86449</v>
      </c>
    </row>
    <row r="2162" spans="1:18" x14ac:dyDescent="0.25">
      <c r="A2162" s="169">
        <v>45197</v>
      </c>
      <c r="B2162" s="115">
        <v>609</v>
      </c>
      <c r="C2162" s="115">
        <v>590.23</v>
      </c>
      <c r="D2162" s="115">
        <v>587</v>
      </c>
      <c r="E2162" s="115">
        <v>592.4</v>
      </c>
      <c r="F2162" s="115">
        <v>2951.15</v>
      </c>
      <c r="G2162">
        <v>21124</v>
      </c>
      <c r="H2162" s="115"/>
      <c r="I2162" s="115"/>
      <c r="L2162" s="169">
        <v>45189</v>
      </c>
      <c r="M2162" s="115">
        <v>550.02</v>
      </c>
      <c r="N2162" s="115">
        <v>555.98</v>
      </c>
      <c r="O2162" s="115">
        <v>540</v>
      </c>
      <c r="P2162" s="115">
        <v>540</v>
      </c>
      <c r="Q2162" s="115">
        <v>2750.1</v>
      </c>
      <c r="R2162">
        <v>26866</v>
      </c>
    </row>
    <row r="2163" spans="1:18" x14ac:dyDescent="0.25">
      <c r="A2163" s="169">
        <v>45198</v>
      </c>
      <c r="B2163" s="115">
        <v>604.1</v>
      </c>
      <c r="C2163" s="115">
        <v>599.16</v>
      </c>
      <c r="D2163" s="115">
        <v>578.57000000000005</v>
      </c>
      <c r="E2163" s="115">
        <v>599.39</v>
      </c>
      <c r="F2163" s="115">
        <v>2995.8</v>
      </c>
      <c r="G2163">
        <v>3962</v>
      </c>
      <c r="H2163" s="115"/>
      <c r="I2163" s="115"/>
      <c r="L2163" s="169">
        <v>45190</v>
      </c>
      <c r="M2163" s="115">
        <v>624.47</v>
      </c>
      <c r="N2163" s="115">
        <v>642</v>
      </c>
      <c r="O2163" s="115">
        <v>540</v>
      </c>
      <c r="P2163" s="115">
        <v>552.78</v>
      </c>
      <c r="Q2163" s="115">
        <v>3122.35</v>
      </c>
      <c r="R2163">
        <v>1289260</v>
      </c>
    </row>
    <row r="2164" spans="1:18" x14ac:dyDescent="0.25">
      <c r="A2164" s="169">
        <v>45202</v>
      </c>
      <c r="B2164" s="115">
        <v>617.04</v>
      </c>
      <c r="C2164" s="115">
        <v>608.05999999999995</v>
      </c>
      <c r="D2164" s="115">
        <v>597</v>
      </c>
      <c r="E2164" s="115">
        <v>601.63</v>
      </c>
      <c r="F2164" s="115">
        <v>3040.3</v>
      </c>
      <c r="G2164">
        <v>6112</v>
      </c>
      <c r="H2164" s="115"/>
      <c r="I2164" s="115"/>
      <c r="L2164" s="169">
        <v>45191</v>
      </c>
      <c r="M2164" s="115">
        <v>615.96</v>
      </c>
      <c r="N2164" s="115">
        <v>645.54</v>
      </c>
      <c r="O2164" s="115">
        <v>603.61</v>
      </c>
      <c r="P2164" s="115">
        <v>618.6</v>
      </c>
      <c r="Q2164" s="115">
        <v>3079.8</v>
      </c>
      <c r="R2164">
        <v>454614</v>
      </c>
    </row>
    <row r="2165" spans="1:18" x14ac:dyDescent="0.25">
      <c r="A2165" s="169">
        <v>45203</v>
      </c>
      <c r="B2165" s="115">
        <v>613.33000000000004</v>
      </c>
      <c r="C2165" s="115">
        <v>601.38</v>
      </c>
      <c r="D2165" s="115">
        <v>596.66</v>
      </c>
      <c r="E2165" s="115">
        <v>606</v>
      </c>
      <c r="F2165" s="115">
        <v>3006.9</v>
      </c>
      <c r="G2165">
        <v>1623</v>
      </c>
      <c r="H2165" s="115"/>
      <c r="I2165" s="115"/>
      <c r="L2165" s="169">
        <v>45194</v>
      </c>
      <c r="M2165" s="115">
        <v>588.88</v>
      </c>
      <c r="N2165" s="115">
        <v>614.96</v>
      </c>
      <c r="O2165" s="115">
        <v>582.29999999999995</v>
      </c>
      <c r="P2165" s="115">
        <v>611.74</v>
      </c>
      <c r="Q2165" s="115">
        <v>2944.4</v>
      </c>
      <c r="R2165">
        <v>108780</v>
      </c>
    </row>
    <row r="2166" spans="1:18" x14ac:dyDescent="0.25">
      <c r="A2166" s="169">
        <v>45204</v>
      </c>
      <c r="B2166" s="115">
        <v>616.79999999999995</v>
      </c>
      <c r="C2166" s="115">
        <v>605.26</v>
      </c>
      <c r="D2166" s="115">
        <v>602.39</v>
      </c>
      <c r="E2166" s="115">
        <v>607.17999999999995</v>
      </c>
      <c r="F2166" s="115">
        <v>3026.3</v>
      </c>
      <c r="G2166">
        <v>1006</v>
      </c>
      <c r="H2166" s="115"/>
      <c r="I2166" s="115"/>
      <c r="L2166" s="169">
        <v>45195</v>
      </c>
      <c r="M2166" s="115">
        <v>572.57000000000005</v>
      </c>
      <c r="N2166" s="115">
        <v>592.5</v>
      </c>
      <c r="O2166" s="115">
        <v>569.84</v>
      </c>
      <c r="P2166" s="115">
        <v>587.21</v>
      </c>
      <c r="Q2166" s="115">
        <v>2862.85</v>
      </c>
      <c r="R2166">
        <v>103346</v>
      </c>
    </row>
    <row r="2167" spans="1:18" x14ac:dyDescent="0.25">
      <c r="A2167" s="169">
        <v>45205</v>
      </c>
      <c r="B2167" s="115">
        <v>618.9</v>
      </c>
      <c r="C2167" s="115">
        <v>600.66999999999996</v>
      </c>
      <c r="D2167" s="115">
        <v>593.15</v>
      </c>
      <c r="E2167" s="115">
        <v>596.58000000000004</v>
      </c>
      <c r="F2167" s="115">
        <v>3003.35</v>
      </c>
      <c r="G2167">
        <v>2907</v>
      </c>
      <c r="H2167" s="115"/>
      <c r="I2167" s="115"/>
      <c r="L2167" s="169">
        <v>45196</v>
      </c>
      <c r="M2167" s="115">
        <v>584.24</v>
      </c>
      <c r="N2167" s="115">
        <v>599.97</v>
      </c>
      <c r="O2167" s="115">
        <v>576.69000000000005</v>
      </c>
      <c r="P2167" s="115">
        <v>579.4</v>
      </c>
      <c r="Q2167" s="115">
        <v>2921.2</v>
      </c>
      <c r="R2167">
        <v>126338</v>
      </c>
    </row>
    <row r="2168" spans="1:18" x14ac:dyDescent="0.25">
      <c r="A2168" s="169">
        <v>45208</v>
      </c>
      <c r="B2168" s="115">
        <v>605.15</v>
      </c>
      <c r="C2168" s="115">
        <v>587.99</v>
      </c>
      <c r="D2168" s="115">
        <v>586.01</v>
      </c>
      <c r="E2168" s="115">
        <v>590.01</v>
      </c>
      <c r="F2168" s="115">
        <v>2939.95</v>
      </c>
      <c r="G2168">
        <v>1329</v>
      </c>
      <c r="H2168" s="115"/>
      <c r="I2168" s="115"/>
      <c r="L2168" s="169">
        <v>45197</v>
      </c>
      <c r="M2168" s="115">
        <v>590.19000000000005</v>
      </c>
      <c r="N2168" s="115">
        <v>616.37</v>
      </c>
      <c r="O2168" s="115">
        <v>585.80999999999995</v>
      </c>
      <c r="P2168" s="115">
        <v>597.4</v>
      </c>
      <c r="Q2168" s="115">
        <v>2950.95</v>
      </c>
      <c r="R2168">
        <v>207271</v>
      </c>
    </row>
    <row r="2169" spans="1:18" x14ac:dyDescent="0.25">
      <c r="A2169" s="169">
        <v>45209</v>
      </c>
      <c r="B2169" s="115">
        <v>617.46</v>
      </c>
      <c r="C2169" s="115">
        <v>611.9</v>
      </c>
      <c r="D2169" s="115">
        <v>584.21</v>
      </c>
      <c r="E2169" s="115">
        <v>584.21</v>
      </c>
      <c r="F2169" s="115">
        <v>3059.5</v>
      </c>
      <c r="G2169">
        <v>823</v>
      </c>
      <c r="H2169" s="115"/>
      <c r="I2169" s="115"/>
      <c r="L2169" s="169">
        <v>45198</v>
      </c>
      <c r="M2169" s="115">
        <v>597.92999999999995</v>
      </c>
      <c r="N2169" s="115">
        <v>604.4</v>
      </c>
      <c r="O2169" s="115">
        <v>578</v>
      </c>
      <c r="P2169" s="115">
        <v>595.98</v>
      </c>
      <c r="Q2169" s="115">
        <v>2989.65</v>
      </c>
      <c r="R2169">
        <v>70990</v>
      </c>
    </row>
    <row r="2170" spans="1:18" x14ac:dyDescent="0.25">
      <c r="A2170" s="169">
        <v>45210</v>
      </c>
      <c r="B2170" s="115">
        <v>638.09</v>
      </c>
      <c r="C2170" s="115">
        <v>618.46</v>
      </c>
      <c r="D2170" s="115">
        <v>614</v>
      </c>
      <c r="E2170" s="115">
        <v>616.33000000000004</v>
      </c>
      <c r="F2170" s="115">
        <v>3092.3</v>
      </c>
      <c r="G2170">
        <v>1833</v>
      </c>
      <c r="H2170" s="115"/>
      <c r="I2170" s="115"/>
      <c r="L2170" s="169">
        <v>45202</v>
      </c>
      <c r="M2170" s="115">
        <v>608.62</v>
      </c>
      <c r="N2170" s="115">
        <v>617</v>
      </c>
      <c r="O2170" s="115">
        <v>596.03</v>
      </c>
      <c r="P2170" s="115">
        <v>605.99</v>
      </c>
      <c r="Q2170" s="115">
        <v>3043.1</v>
      </c>
      <c r="R2170">
        <v>57229</v>
      </c>
    </row>
    <row r="2171" spans="1:18" x14ac:dyDescent="0.25">
      <c r="A2171" s="169">
        <v>45211</v>
      </c>
      <c r="B2171" s="115">
        <v>638</v>
      </c>
      <c r="C2171" s="115">
        <v>636.29</v>
      </c>
      <c r="D2171" s="115">
        <v>618.07000000000005</v>
      </c>
      <c r="E2171" s="115">
        <v>618.79999999999995</v>
      </c>
      <c r="F2171" s="115">
        <v>3181.45</v>
      </c>
      <c r="G2171">
        <v>4178</v>
      </c>
      <c r="H2171" s="115"/>
      <c r="I2171" s="115"/>
      <c r="L2171" s="169">
        <v>45203</v>
      </c>
      <c r="M2171" s="115">
        <v>602.07000000000005</v>
      </c>
      <c r="N2171" s="115">
        <v>613.13</v>
      </c>
      <c r="O2171" s="115">
        <v>596.22</v>
      </c>
      <c r="P2171" s="115">
        <v>602</v>
      </c>
      <c r="Q2171" s="115">
        <v>3010.35</v>
      </c>
      <c r="R2171">
        <v>32377</v>
      </c>
    </row>
    <row r="2172" spans="1:18" x14ac:dyDescent="0.25">
      <c r="A2172" s="169">
        <v>45212</v>
      </c>
      <c r="B2172" s="115">
        <v>668.07</v>
      </c>
      <c r="C2172" s="115">
        <v>632.11</v>
      </c>
      <c r="D2172" s="115">
        <v>623.61</v>
      </c>
      <c r="E2172" s="115">
        <v>633.94000000000005</v>
      </c>
      <c r="F2172" s="115">
        <v>3160.55</v>
      </c>
      <c r="G2172">
        <v>7372</v>
      </c>
      <c r="H2172" s="115"/>
      <c r="I2172" s="115"/>
      <c r="L2172" s="169">
        <v>45204</v>
      </c>
      <c r="M2172" s="115">
        <v>605.66</v>
      </c>
      <c r="N2172" s="115">
        <v>619.48</v>
      </c>
      <c r="O2172" s="115">
        <v>602</v>
      </c>
      <c r="P2172" s="115">
        <v>602.20000000000005</v>
      </c>
      <c r="Q2172" s="115">
        <v>3028.3</v>
      </c>
      <c r="R2172">
        <v>36394</v>
      </c>
    </row>
    <row r="2173" spans="1:18" x14ac:dyDescent="0.25">
      <c r="A2173" s="169">
        <v>45215</v>
      </c>
      <c r="B2173" s="115">
        <v>639.79</v>
      </c>
      <c r="C2173" s="115">
        <v>629.02</v>
      </c>
      <c r="D2173" s="115">
        <v>624.72</v>
      </c>
      <c r="E2173" s="115">
        <v>635.92999999999995</v>
      </c>
      <c r="F2173" s="115">
        <v>3145.1</v>
      </c>
      <c r="G2173">
        <v>2310</v>
      </c>
      <c r="H2173" s="115"/>
      <c r="I2173" s="115"/>
      <c r="L2173" s="169">
        <v>45205</v>
      </c>
      <c r="M2173" s="115">
        <v>602.58000000000004</v>
      </c>
      <c r="N2173" s="115">
        <v>613.76</v>
      </c>
      <c r="O2173" s="115">
        <v>591.79</v>
      </c>
      <c r="P2173" s="115">
        <v>591.79</v>
      </c>
      <c r="Q2173" s="115">
        <v>3012.9</v>
      </c>
      <c r="R2173">
        <v>36283</v>
      </c>
    </row>
    <row r="2174" spans="1:18" x14ac:dyDescent="0.25">
      <c r="A2174" s="169">
        <v>45216</v>
      </c>
      <c r="B2174" s="115">
        <v>640</v>
      </c>
      <c r="C2174" s="115">
        <v>632.55999999999995</v>
      </c>
      <c r="D2174" s="115">
        <v>629</v>
      </c>
      <c r="E2174" s="115">
        <v>629</v>
      </c>
      <c r="F2174" s="115">
        <v>3162.8</v>
      </c>
      <c r="G2174">
        <v>889</v>
      </c>
      <c r="H2174" s="115"/>
      <c r="I2174" s="115"/>
      <c r="L2174" s="169">
        <v>45208</v>
      </c>
      <c r="M2174" s="115">
        <v>589.15</v>
      </c>
      <c r="N2174" s="115">
        <v>605.45000000000005</v>
      </c>
      <c r="O2174" s="115">
        <v>584.20000000000005</v>
      </c>
      <c r="P2174" s="115">
        <v>600</v>
      </c>
      <c r="Q2174" s="115">
        <v>2945.75</v>
      </c>
      <c r="R2174">
        <v>23015</v>
      </c>
    </row>
    <row r="2175" spans="1:18" x14ac:dyDescent="0.25">
      <c r="A2175" s="169">
        <v>45217</v>
      </c>
      <c r="B2175" s="115">
        <v>642.65</v>
      </c>
      <c r="C2175" s="115">
        <v>615.67999999999995</v>
      </c>
      <c r="D2175" s="115">
        <v>608.61</v>
      </c>
      <c r="E2175" s="115">
        <v>638.39</v>
      </c>
      <c r="F2175" s="115">
        <v>3078.4</v>
      </c>
      <c r="G2175">
        <v>1849</v>
      </c>
      <c r="H2175" s="115"/>
      <c r="I2175" s="115"/>
      <c r="L2175" s="169">
        <v>45209</v>
      </c>
      <c r="M2175" s="115">
        <v>614.20000000000005</v>
      </c>
      <c r="N2175" s="115">
        <v>620</v>
      </c>
      <c r="O2175" s="115">
        <v>590</v>
      </c>
      <c r="P2175" s="115">
        <v>590</v>
      </c>
      <c r="Q2175" s="115">
        <v>3071</v>
      </c>
      <c r="R2175">
        <v>54850</v>
      </c>
    </row>
    <row r="2176" spans="1:18" x14ac:dyDescent="0.25">
      <c r="A2176" s="169">
        <v>45218</v>
      </c>
      <c r="B2176" s="115">
        <v>664.61</v>
      </c>
      <c r="C2176" s="115">
        <v>646.1</v>
      </c>
      <c r="D2176" s="115">
        <v>593.53</v>
      </c>
      <c r="E2176" s="115">
        <v>593.53</v>
      </c>
      <c r="F2176" s="115">
        <v>3230.5</v>
      </c>
      <c r="G2176">
        <v>7841</v>
      </c>
      <c r="H2176" s="115"/>
      <c r="I2176" s="115"/>
      <c r="L2176" s="169">
        <v>45210</v>
      </c>
      <c r="M2176" s="115">
        <v>617.71</v>
      </c>
      <c r="N2176" s="115">
        <v>639.54</v>
      </c>
      <c r="O2176" s="115">
        <v>612.4</v>
      </c>
      <c r="P2176" s="115">
        <v>617</v>
      </c>
      <c r="Q2176" s="115">
        <v>3088.55</v>
      </c>
      <c r="R2176">
        <v>57389</v>
      </c>
    </row>
    <row r="2177" spans="1:18" x14ac:dyDescent="0.25">
      <c r="A2177" s="169">
        <v>45219</v>
      </c>
      <c r="B2177" s="115">
        <v>656.81</v>
      </c>
      <c r="C2177" s="115">
        <v>617.11</v>
      </c>
      <c r="D2177" s="115">
        <v>612.20000000000005</v>
      </c>
      <c r="E2177" s="115">
        <v>656.81</v>
      </c>
      <c r="F2177" s="115">
        <v>3085.55</v>
      </c>
      <c r="G2177">
        <v>4843</v>
      </c>
      <c r="H2177" s="115"/>
      <c r="I2177" s="115"/>
      <c r="L2177" s="169">
        <v>45211</v>
      </c>
      <c r="M2177" s="115">
        <v>635.54999999999995</v>
      </c>
      <c r="N2177" s="115">
        <v>639.79999999999995</v>
      </c>
      <c r="O2177" s="115">
        <v>611.32000000000005</v>
      </c>
      <c r="P2177" s="115">
        <v>617.70000000000005</v>
      </c>
      <c r="Q2177" s="115">
        <v>3177.75</v>
      </c>
      <c r="R2177">
        <v>40147</v>
      </c>
    </row>
    <row r="2178" spans="1:18" x14ac:dyDescent="0.25">
      <c r="A2178" s="169">
        <v>45222</v>
      </c>
      <c r="B2178" s="115">
        <v>628.89</v>
      </c>
      <c r="C2178" s="115">
        <v>596.25</v>
      </c>
      <c r="D2178" s="115">
        <v>595</v>
      </c>
      <c r="E2178" s="115">
        <v>625.99</v>
      </c>
      <c r="F2178" s="115">
        <v>2981.25</v>
      </c>
      <c r="G2178">
        <v>4148</v>
      </c>
      <c r="H2178" s="115"/>
      <c r="I2178" s="115"/>
      <c r="L2178" s="169">
        <v>45212</v>
      </c>
      <c r="M2178" s="115">
        <v>631.89</v>
      </c>
      <c r="N2178" s="115">
        <v>669.59</v>
      </c>
      <c r="O2178" s="115">
        <v>628.80999999999995</v>
      </c>
      <c r="P2178" s="115">
        <v>628.80999999999995</v>
      </c>
      <c r="Q2178" s="115">
        <v>3159.45</v>
      </c>
      <c r="R2178">
        <v>95767</v>
      </c>
    </row>
    <row r="2179" spans="1:18" x14ac:dyDescent="0.25">
      <c r="A2179" s="169">
        <v>45224</v>
      </c>
      <c r="B2179" s="115">
        <v>609.03</v>
      </c>
      <c r="C2179" s="115">
        <v>573.38</v>
      </c>
      <c r="D2179" s="115">
        <v>564.42999999999995</v>
      </c>
      <c r="E2179" s="115">
        <v>580.02</v>
      </c>
      <c r="F2179" s="115">
        <v>2866.9</v>
      </c>
      <c r="G2179">
        <v>2457</v>
      </c>
      <c r="H2179" s="115"/>
      <c r="I2179" s="115"/>
      <c r="L2179" s="169">
        <v>45215</v>
      </c>
      <c r="M2179" s="115">
        <v>628.76</v>
      </c>
      <c r="N2179" s="115">
        <v>640.73</v>
      </c>
      <c r="O2179" s="115">
        <v>624.22</v>
      </c>
      <c r="P2179" s="115">
        <v>633.79999999999995</v>
      </c>
      <c r="Q2179" s="115">
        <v>3143.8</v>
      </c>
      <c r="R2179">
        <v>30274</v>
      </c>
    </row>
    <row r="2180" spans="1:18" x14ac:dyDescent="0.25">
      <c r="A2180" s="169">
        <v>45225</v>
      </c>
      <c r="B2180" s="115">
        <v>583.65</v>
      </c>
      <c r="C2180" s="115">
        <v>574.46</v>
      </c>
      <c r="D2180" s="115">
        <v>560</v>
      </c>
      <c r="E2180" s="115">
        <v>578.12</v>
      </c>
      <c r="F2180" s="115">
        <v>2872.3</v>
      </c>
      <c r="G2180">
        <v>4568</v>
      </c>
      <c r="H2180" s="115"/>
      <c r="I2180" s="115"/>
      <c r="L2180" s="169">
        <v>45216</v>
      </c>
      <c r="M2180" s="115">
        <v>633.53</v>
      </c>
      <c r="N2180" s="115">
        <v>639.97</v>
      </c>
      <c r="O2180" s="115">
        <v>628.76</v>
      </c>
      <c r="P2180" s="115">
        <v>628.76</v>
      </c>
      <c r="Q2180" s="115">
        <v>3167.65</v>
      </c>
      <c r="R2180">
        <v>20577</v>
      </c>
    </row>
    <row r="2181" spans="1:18" x14ac:dyDescent="0.25">
      <c r="A2181" s="169">
        <v>45226</v>
      </c>
      <c r="B2181" s="115">
        <v>590.15</v>
      </c>
      <c r="C2181" s="115">
        <v>585.45000000000005</v>
      </c>
      <c r="D2181" s="115">
        <v>580.57000000000005</v>
      </c>
      <c r="E2181" s="115">
        <v>580.59</v>
      </c>
      <c r="F2181" s="115">
        <v>2927.25</v>
      </c>
      <c r="G2181">
        <v>1034</v>
      </c>
      <c r="H2181" s="115"/>
      <c r="I2181" s="115"/>
      <c r="L2181" s="169">
        <v>45217</v>
      </c>
      <c r="M2181" s="115">
        <v>614.30999999999995</v>
      </c>
      <c r="N2181" s="115">
        <v>643</v>
      </c>
      <c r="O2181" s="115">
        <v>608.20000000000005</v>
      </c>
      <c r="P2181" s="115">
        <v>634</v>
      </c>
      <c r="Q2181" s="115">
        <v>3071.55</v>
      </c>
      <c r="R2181">
        <v>57012</v>
      </c>
    </row>
    <row r="2182" spans="1:18" x14ac:dyDescent="0.25">
      <c r="A2182" s="169">
        <v>45229</v>
      </c>
      <c r="B2182" s="115">
        <v>603.45000000000005</v>
      </c>
      <c r="C2182" s="115">
        <v>598.33000000000004</v>
      </c>
      <c r="D2182" s="115">
        <v>580</v>
      </c>
      <c r="E2182" s="115">
        <v>585.74</v>
      </c>
      <c r="F2182" s="115">
        <v>2991.65</v>
      </c>
      <c r="G2182">
        <v>1800</v>
      </c>
      <c r="H2182" s="115"/>
      <c r="I2182" s="115"/>
      <c r="L2182" s="169">
        <v>45218</v>
      </c>
      <c r="M2182" s="115">
        <v>644.78</v>
      </c>
      <c r="N2182" s="115">
        <v>666.99</v>
      </c>
      <c r="O2182" s="115">
        <v>606.17999999999995</v>
      </c>
      <c r="P2182" s="115">
        <v>619.94000000000005</v>
      </c>
      <c r="Q2182" s="115">
        <v>3223.9</v>
      </c>
      <c r="R2182">
        <v>287872</v>
      </c>
    </row>
    <row r="2183" spans="1:18" x14ac:dyDescent="0.25">
      <c r="A2183" s="169">
        <v>45230</v>
      </c>
      <c r="B2183" s="115">
        <v>619.51</v>
      </c>
      <c r="C2183" s="115">
        <v>611.25</v>
      </c>
      <c r="D2183" s="115">
        <v>595</v>
      </c>
      <c r="E2183" s="115">
        <v>601.20000000000005</v>
      </c>
      <c r="F2183" s="115">
        <v>3056.25</v>
      </c>
      <c r="G2183">
        <v>64337</v>
      </c>
      <c r="H2183" s="115"/>
      <c r="I2183" s="115"/>
      <c r="L2183" s="169">
        <v>45219</v>
      </c>
      <c r="M2183" s="115">
        <v>616.04</v>
      </c>
      <c r="N2183" s="115">
        <v>646.49</v>
      </c>
      <c r="O2183" s="115">
        <v>610.07000000000005</v>
      </c>
      <c r="P2183" s="115">
        <v>640</v>
      </c>
      <c r="Q2183" s="115">
        <v>3080.2</v>
      </c>
      <c r="R2183">
        <v>49601</v>
      </c>
    </row>
    <row r="2184" spans="1:18" x14ac:dyDescent="0.25">
      <c r="A2184" s="169">
        <v>45231</v>
      </c>
      <c r="B2184" s="115">
        <v>611</v>
      </c>
      <c r="C2184" s="115">
        <v>598.46</v>
      </c>
      <c r="D2184" s="115">
        <v>597.09</v>
      </c>
      <c r="E2184" s="115">
        <v>607.19000000000005</v>
      </c>
      <c r="F2184" s="115">
        <v>2992.3</v>
      </c>
      <c r="G2184">
        <v>1738</v>
      </c>
      <c r="H2184" s="115"/>
      <c r="I2184" s="115"/>
      <c r="L2184" s="169">
        <v>45222</v>
      </c>
      <c r="M2184" s="115">
        <v>596.79</v>
      </c>
      <c r="N2184" s="115">
        <v>639.79999999999995</v>
      </c>
      <c r="O2184" s="115">
        <v>596.21</v>
      </c>
      <c r="P2184" s="115">
        <v>622.01</v>
      </c>
      <c r="Q2184" s="115">
        <v>2983.95</v>
      </c>
      <c r="R2184">
        <v>33720</v>
      </c>
    </row>
    <row r="2185" spans="1:18" x14ac:dyDescent="0.25">
      <c r="A2185" s="169">
        <v>45232</v>
      </c>
      <c r="B2185" s="115">
        <v>614</v>
      </c>
      <c r="C2185" s="115">
        <v>608.83000000000004</v>
      </c>
      <c r="D2185" s="115">
        <v>601.21</v>
      </c>
      <c r="E2185" s="115">
        <v>601.21</v>
      </c>
      <c r="F2185" s="115">
        <v>3044.15</v>
      </c>
      <c r="G2185">
        <v>918</v>
      </c>
      <c r="H2185" s="115"/>
      <c r="I2185" s="115"/>
      <c r="L2185" s="169">
        <v>45224</v>
      </c>
      <c r="M2185" s="115">
        <v>573.07000000000005</v>
      </c>
      <c r="N2185" s="115">
        <v>616.6</v>
      </c>
      <c r="O2185" s="115">
        <v>564.29999999999995</v>
      </c>
      <c r="P2185" s="115">
        <v>595.20000000000005</v>
      </c>
      <c r="Q2185" s="115">
        <v>2865.35</v>
      </c>
      <c r="R2185">
        <v>50651</v>
      </c>
    </row>
    <row r="2186" spans="1:18" x14ac:dyDescent="0.25">
      <c r="A2186" s="169">
        <v>45233</v>
      </c>
      <c r="B2186" s="115">
        <v>614.21</v>
      </c>
      <c r="C2186" s="115">
        <v>602.20000000000005</v>
      </c>
      <c r="D2186" s="115">
        <v>581.42999999999995</v>
      </c>
      <c r="E2186" s="115">
        <v>595.02</v>
      </c>
      <c r="F2186" s="115">
        <v>3011</v>
      </c>
      <c r="G2186">
        <v>2946</v>
      </c>
      <c r="H2186" s="115"/>
      <c r="I2186" s="115"/>
      <c r="L2186" s="169">
        <v>45225</v>
      </c>
      <c r="M2186" s="115">
        <v>575.25</v>
      </c>
      <c r="N2186" s="115">
        <v>584</v>
      </c>
      <c r="O2186" s="115">
        <v>558.94000000000005</v>
      </c>
      <c r="P2186" s="115">
        <v>569.79</v>
      </c>
      <c r="Q2186" s="115">
        <v>2876.25</v>
      </c>
      <c r="R2186">
        <v>47228</v>
      </c>
    </row>
    <row r="2187" spans="1:18" x14ac:dyDescent="0.25">
      <c r="A2187" s="169">
        <v>45236</v>
      </c>
      <c r="B2187" s="115">
        <v>617.46</v>
      </c>
      <c r="C2187" s="115">
        <v>611.07000000000005</v>
      </c>
      <c r="D2187" s="115">
        <v>604.4</v>
      </c>
      <c r="E2187" s="115">
        <v>605.33000000000004</v>
      </c>
      <c r="F2187" s="115">
        <v>3055.35</v>
      </c>
      <c r="G2187">
        <v>849</v>
      </c>
      <c r="H2187" s="115"/>
      <c r="I2187" s="115"/>
      <c r="L2187" s="169">
        <v>45226</v>
      </c>
      <c r="M2187" s="115">
        <v>585.97</v>
      </c>
      <c r="N2187" s="115">
        <v>592</v>
      </c>
      <c r="O2187" s="115">
        <v>577.42999999999995</v>
      </c>
      <c r="P2187" s="115">
        <v>580</v>
      </c>
      <c r="Q2187" s="115">
        <v>2929.85</v>
      </c>
      <c r="R2187">
        <v>24653</v>
      </c>
    </row>
    <row r="2188" spans="1:18" x14ac:dyDescent="0.25">
      <c r="A2188" s="169">
        <v>45237</v>
      </c>
      <c r="B2188" s="115">
        <v>630</v>
      </c>
      <c r="C2188" s="115">
        <v>628.83000000000004</v>
      </c>
      <c r="D2188" s="115">
        <v>610.20000000000005</v>
      </c>
      <c r="E2188" s="115">
        <v>612.01</v>
      </c>
      <c r="F2188" s="115">
        <v>3144.15</v>
      </c>
      <c r="G2188">
        <v>660</v>
      </c>
      <c r="H2188" s="115"/>
      <c r="I2188" s="115"/>
      <c r="L2188" s="169">
        <v>45229</v>
      </c>
      <c r="M2188" s="115">
        <v>597.91</v>
      </c>
      <c r="N2188" s="115">
        <v>604.98</v>
      </c>
      <c r="O2188" s="115">
        <v>579.66</v>
      </c>
      <c r="P2188" s="115">
        <v>586.91999999999996</v>
      </c>
      <c r="Q2188" s="115">
        <v>2989.55</v>
      </c>
      <c r="R2188">
        <v>186634</v>
      </c>
    </row>
    <row r="2189" spans="1:18" x14ac:dyDescent="0.25">
      <c r="A2189" s="169">
        <v>45238</v>
      </c>
      <c r="B2189" s="115">
        <v>638.98</v>
      </c>
      <c r="C2189" s="115">
        <v>621.25</v>
      </c>
      <c r="D2189" s="115">
        <v>619</v>
      </c>
      <c r="E2189" s="115">
        <v>626.39</v>
      </c>
      <c r="F2189" s="115">
        <v>3106.25</v>
      </c>
      <c r="G2189">
        <v>1343</v>
      </c>
      <c r="H2189" s="115"/>
      <c r="I2189" s="115"/>
      <c r="L2189" s="169">
        <v>45230</v>
      </c>
      <c r="M2189" s="115">
        <v>612.32000000000005</v>
      </c>
      <c r="N2189" s="115">
        <v>619.59</v>
      </c>
      <c r="O2189" s="115">
        <v>597.24</v>
      </c>
      <c r="P2189" s="115">
        <v>602.33000000000004</v>
      </c>
      <c r="Q2189" s="115">
        <v>3061.6</v>
      </c>
      <c r="R2189">
        <v>64153</v>
      </c>
    </row>
    <row r="2190" spans="1:18" x14ac:dyDescent="0.25">
      <c r="A2190" s="169">
        <v>45239</v>
      </c>
      <c r="B2190" s="115">
        <v>626.88</v>
      </c>
      <c r="C2190" s="115">
        <v>618.01</v>
      </c>
      <c r="D2190" s="115">
        <v>613.20000000000005</v>
      </c>
      <c r="E2190" s="115">
        <v>618.01</v>
      </c>
      <c r="F2190" s="115">
        <v>3090.05</v>
      </c>
      <c r="G2190">
        <v>808</v>
      </c>
      <c r="H2190" s="115"/>
      <c r="I2190" s="115"/>
      <c r="L2190" s="169">
        <v>45231</v>
      </c>
      <c r="M2190" s="115">
        <v>599.39</v>
      </c>
      <c r="N2190" s="115">
        <v>619.73</v>
      </c>
      <c r="O2190" s="115">
        <v>596.5</v>
      </c>
      <c r="P2190" s="115">
        <v>609</v>
      </c>
      <c r="Q2190" s="115">
        <v>2996.95</v>
      </c>
      <c r="R2190">
        <v>20564</v>
      </c>
    </row>
    <row r="2191" spans="1:18" x14ac:dyDescent="0.25">
      <c r="A2191" s="169">
        <v>45240</v>
      </c>
      <c r="B2191" s="115">
        <v>625.4</v>
      </c>
      <c r="C2191" s="115">
        <v>608.41999999999996</v>
      </c>
      <c r="D2191" s="115">
        <v>602.27</v>
      </c>
      <c r="E2191" s="115">
        <v>614</v>
      </c>
      <c r="F2191" s="115">
        <v>3042.1</v>
      </c>
      <c r="G2191">
        <v>497</v>
      </c>
      <c r="H2191" s="115"/>
      <c r="I2191" s="115"/>
      <c r="L2191" s="169">
        <v>45232</v>
      </c>
      <c r="M2191" s="115">
        <v>608.87</v>
      </c>
      <c r="N2191" s="115">
        <v>614.86</v>
      </c>
      <c r="O2191" s="115">
        <v>600.36</v>
      </c>
      <c r="P2191" s="115">
        <v>601.82000000000005</v>
      </c>
      <c r="Q2191" s="115">
        <v>3044.35</v>
      </c>
      <c r="R2191">
        <v>20832</v>
      </c>
    </row>
    <row r="2192" spans="1:18" x14ac:dyDescent="0.25">
      <c r="A2192" s="169">
        <v>45242</v>
      </c>
      <c r="B2192" s="115">
        <v>618.39</v>
      </c>
      <c r="C2192" s="115">
        <v>612.49</v>
      </c>
      <c r="D2192" s="115">
        <v>607.37</v>
      </c>
      <c r="E2192" s="115">
        <v>608.41999999999996</v>
      </c>
      <c r="F2192" s="115">
        <v>3062.45</v>
      </c>
      <c r="G2192">
        <v>463</v>
      </c>
      <c r="H2192" s="115"/>
      <c r="I2192" s="115"/>
      <c r="L2192" s="169">
        <v>45233</v>
      </c>
      <c r="M2192" s="115">
        <v>602.96</v>
      </c>
      <c r="N2192" s="115">
        <v>614.9</v>
      </c>
      <c r="O2192" s="115">
        <v>578.39</v>
      </c>
      <c r="P2192" s="115">
        <v>599.79999999999995</v>
      </c>
      <c r="Q2192" s="115">
        <v>3014.8</v>
      </c>
      <c r="R2192">
        <v>79452</v>
      </c>
    </row>
    <row r="2193" spans="1:18" x14ac:dyDescent="0.25">
      <c r="A2193" s="169">
        <v>45243</v>
      </c>
      <c r="B2193" s="115">
        <v>622.89</v>
      </c>
      <c r="C2193" s="115">
        <v>612.19000000000005</v>
      </c>
      <c r="D2193" s="115">
        <v>602.79999999999995</v>
      </c>
      <c r="E2193" s="115">
        <v>608.04999999999995</v>
      </c>
      <c r="F2193" s="115">
        <v>3060.95</v>
      </c>
      <c r="G2193">
        <v>1965</v>
      </c>
      <c r="H2193" s="115"/>
      <c r="I2193" s="115"/>
      <c r="L2193" s="169">
        <v>45236</v>
      </c>
      <c r="M2193" s="115">
        <v>612.24</v>
      </c>
      <c r="N2193" s="115">
        <v>618</v>
      </c>
      <c r="O2193" s="115">
        <v>603</v>
      </c>
      <c r="P2193" s="115">
        <v>603.85</v>
      </c>
      <c r="Q2193" s="115">
        <v>3061.2</v>
      </c>
      <c r="R2193">
        <v>19192</v>
      </c>
    </row>
    <row r="2194" spans="1:18" x14ac:dyDescent="0.25">
      <c r="A2194" s="169">
        <v>45245</v>
      </c>
      <c r="B2194" s="115">
        <v>639.54</v>
      </c>
      <c r="C2194" s="115">
        <v>632.47</v>
      </c>
      <c r="D2194" s="115">
        <v>610.66999999999996</v>
      </c>
      <c r="E2194" s="115">
        <v>621.59</v>
      </c>
      <c r="F2194" s="115">
        <v>3162.35</v>
      </c>
      <c r="G2194">
        <v>2840</v>
      </c>
      <c r="H2194" s="115"/>
      <c r="I2194" s="115"/>
      <c r="L2194" s="169">
        <v>45237</v>
      </c>
      <c r="M2194" s="115">
        <v>628.53</v>
      </c>
      <c r="N2194" s="115">
        <v>631.54</v>
      </c>
      <c r="O2194" s="115">
        <v>610.49</v>
      </c>
      <c r="P2194" s="115">
        <v>614.38</v>
      </c>
      <c r="Q2194" s="115">
        <v>3142.65</v>
      </c>
      <c r="R2194">
        <v>26155</v>
      </c>
    </row>
    <row r="2195" spans="1:18" x14ac:dyDescent="0.25">
      <c r="A2195" s="169">
        <v>45246</v>
      </c>
      <c r="B2195" s="115">
        <v>646</v>
      </c>
      <c r="C2195" s="115">
        <v>636.13</v>
      </c>
      <c r="D2195" s="115">
        <v>630</v>
      </c>
      <c r="E2195" s="115">
        <v>636.20000000000005</v>
      </c>
      <c r="F2195" s="115">
        <v>3180.65</v>
      </c>
      <c r="G2195">
        <v>2288</v>
      </c>
      <c r="H2195" s="115"/>
      <c r="I2195" s="115"/>
      <c r="L2195" s="169">
        <v>45238</v>
      </c>
      <c r="M2195" s="115">
        <v>623.07000000000005</v>
      </c>
      <c r="N2195" s="115">
        <v>638.45000000000005</v>
      </c>
      <c r="O2195" s="115">
        <v>620.4</v>
      </c>
      <c r="P2195" s="115">
        <v>629.82000000000005</v>
      </c>
      <c r="Q2195" s="115">
        <v>3115.35</v>
      </c>
      <c r="R2195">
        <v>17194</v>
      </c>
    </row>
    <row r="2196" spans="1:18" x14ac:dyDescent="0.25">
      <c r="A2196" s="169">
        <v>45247</v>
      </c>
      <c r="B2196" s="115">
        <v>662.01</v>
      </c>
      <c r="C2196" s="115">
        <v>657.33</v>
      </c>
      <c r="D2196" s="115">
        <v>633.88</v>
      </c>
      <c r="E2196" s="115">
        <v>636.20000000000005</v>
      </c>
      <c r="F2196" s="115">
        <v>3286.65</v>
      </c>
      <c r="G2196">
        <v>1762</v>
      </c>
      <c r="H2196" s="115"/>
      <c r="I2196" s="115"/>
      <c r="L2196" s="169">
        <v>45239</v>
      </c>
      <c r="M2196" s="115">
        <v>618.41999999999996</v>
      </c>
      <c r="N2196" s="115">
        <v>628.34</v>
      </c>
      <c r="O2196" s="115">
        <v>610.83000000000004</v>
      </c>
      <c r="P2196" s="115">
        <v>624.97</v>
      </c>
      <c r="Q2196" s="115">
        <v>3092.1</v>
      </c>
      <c r="R2196">
        <v>14380</v>
      </c>
    </row>
    <row r="2197" spans="1:18" x14ac:dyDescent="0.25">
      <c r="A2197" s="169">
        <v>45250</v>
      </c>
      <c r="B2197" s="115">
        <v>676</v>
      </c>
      <c r="C2197" s="115">
        <v>655.88</v>
      </c>
      <c r="D2197" s="115">
        <v>652.04999999999995</v>
      </c>
      <c r="E2197" s="115">
        <v>655</v>
      </c>
      <c r="F2197" s="115">
        <v>3279.4</v>
      </c>
      <c r="G2197">
        <v>5394</v>
      </c>
      <c r="H2197" s="115"/>
      <c r="I2197" s="115"/>
      <c r="L2197" s="169">
        <v>45240</v>
      </c>
      <c r="M2197" s="115">
        <v>608.20000000000005</v>
      </c>
      <c r="N2197" s="115">
        <v>625.58000000000004</v>
      </c>
      <c r="O2197" s="115">
        <v>602.24</v>
      </c>
      <c r="P2197" s="115">
        <v>614</v>
      </c>
      <c r="Q2197" s="115">
        <v>3041</v>
      </c>
      <c r="R2197">
        <v>19646</v>
      </c>
    </row>
    <row r="2198" spans="1:18" x14ac:dyDescent="0.25">
      <c r="A2198" s="169">
        <v>45251</v>
      </c>
      <c r="B2198" s="115">
        <v>668.8</v>
      </c>
      <c r="C2198" s="115">
        <v>650.35</v>
      </c>
      <c r="D2198" s="115">
        <v>648</v>
      </c>
      <c r="E2198" s="115">
        <v>656.8</v>
      </c>
      <c r="F2198" s="115">
        <v>3251.75</v>
      </c>
      <c r="G2198">
        <v>2385</v>
      </c>
      <c r="H2198" s="115"/>
      <c r="I2198" s="115"/>
      <c r="L2198" s="169">
        <v>45242</v>
      </c>
      <c r="M2198" s="115">
        <v>611.79999999999995</v>
      </c>
      <c r="N2198" s="115">
        <v>617.79</v>
      </c>
      <c r="O2198" s="115">
        <v>607.62</v>
      </c>
      <c r="P2198" s="115">
        <v>611.75</v>
      </c>
      <c r="Q2198" s="115">
        <v>3059</v>
      </c>
      <c r="R2198">
        <v>7023</v>
      </c>
    </row>
    <row r="2199" spans="1:18" x14ac:dyDescent="0.25">
      <c r="A2199" s="169">
        <v>45252</v>
      </c>
      <c r="B2199" s="115">
        <v>678.06</v>
      </c>
      <c r="C2199" s="115">
        <v>670.31</v>
      </c>
      <c r="D2199" s="115">
        <v>642.4</v>
      </c>
      <c r="E2199" s="115">
        <v>653.99</v>
      </c>
      <c r="F2199" s="115">
        <v>3351.55</v>
      </c>
      <c r="G2199">
        <v>5706</v>
      </c>
      <c r="H2199" s="115"/>
      <c r="I2199" s="115"/>
      <c r="L2199" s="169">
        <v>45243</v>
      </c>
      <c r="M2199" s="115">
        <v>611.97</v>
      </c>
      <c r="N2199" s="115">
        <v>623.20000000000005</v>
      </c>
      <c r="O2199" s="115">
        <v>602.20000000000005</v>
      </c>
      <c r="P2199" s="115">
        <v>611.46</v>
      </c>
      <c r="Q2199" s="115">
        <v>3059.85</v>
      </c>
      <c r="R2199">
        <v>25941</v>
      </c>
    </row>
    <row r="2200" spans="1:18" x14ac:dyDescent="0.25">
      <c r="A2200" s="169">
        <v>45253</v>
      </c>
      <c r="B2200" s="115">
        <v>676.59</v>
      </c>
      <c r="C2200" s="115">
        <v>660.39</v>
      </c>
      <c r="D2200" s="115">
        <v>656.66</v>
      </c>
      <c r="E2200" s="115">
        <v>676.59</v>
      </c>
      <c r="F2200" s="115">
        <v>3301.95</v>
      </c>
      <c r="G2200">
        <v>1227</v>
      </c>
      <c r="H2200" s="115"/>
      <c r="I2200" s="115"/>
      <c r="L2200" s="169">
        <v>45245</v>
      </c>
      <c r="M2200" s="115">
        <v>632.77</v>
      </c>
      <c r="N2200" s="115">
        <v>640</v>
      </c>
      <c r="O2200" s="115">
        <v>614.09</v>
      </c>
      <c r="P2200" s="115">
        <v>617</v>
      </c>
      <c r="Q2200" s="115">
        <v>3163.85</v>
      </c>
      <c r="R2200">
        <v>38769</v>
      </c>
    </row>
    <row r="2201" spans="1:18" x14ac:dyDescent="0.25">
      <c r="A2201" s="169">
        <v>45254</v>
      </c>
      <c r="B2201" s="115">
        <v>668.2</v>
      </c>
      <c r="C2201" s="115">
        <v>657.79</v>
      </c>
      <c r="D2201" s="115">
        <v>656.51</v>
      </c>
      <c r="E2201" s="115">
        <v>662.23</v>
      </c>
      <c r="F2201" s="115">
        <v>3288.95</v>
      </c>
      <c r="G2201">
        <v>605</v>
      </c>
      <c r="H2201" s="115"/>
      <c r="I2201" s="115"/>
      <c r="L2201" s="169">
        <v>45246</v>
      </c>
      <c r="M2201" s="115">
        <v>637.47</v>
      </c>
      <c r="N2201" s="115">
        <v>646.6</v>
      </c>
      <c r="O2201" s="115">
        <v>629.80999999999995</v>
      </c>
      <c r="P2201" s="115">
        <v>636.98</v>
      </c>
      <c r="Q2201" s="115">
        <v>3187.35</v>
      </c>
      <c r="R2201">
        <v>38068</v>
      </c>
    </row>
    <row r="2202" spans="1:18" x14ac:dyDescent="0.25">
      <c r="A2202" s="169">
        <v>45258</v>
      </c>
      <c r="B2202" s="115">
        <v>668.86</v>
      </c>
      <c r="C2202" s="115">
        <v>664.41</v>
      </c>
      <c r="D2202" s="115">
        <v>656.6</v>
      </c>
      <c r="E2202" s="115">
        <v>657.79</v>
      </c>
      <c r="F2202" s="115">
        <v>3322.05</v>
      </c>
      <c r="G2202">
        <v>712</v>
      </c>
      <c r="H2202" s="115"/>
      <c r="I2202" s="115"/>
      <c r="L2202" s="169">
        <v>45247</v>
      </c>
      <c r="M2202" s="115">
        <v>656.21</v>
      </c>
      <c r="N2202" s="115">
        <v>661.59</v>
      </c>
      <c r="O2202" s="115">
        <v>633.12</v>
      </c>
      <c r="P2202" s="115">
        <v>637.48</v>
      </c>
      <c r="Q2202" s="115">
        <v>3281.05</v>
      </c>
      <c r="R2202">
        <v>38843</v>
      </c>
    </row>
    <row r="2203" spans="1:18" x14ac:dyDescent="0.25">
      <c r="A2203" s="169">
        <v>45259</v>
      </c>
      <c r="B2203" s="115">
        <v>670</v>
      </c>
      <c r="C2203" s="115">
        <v>656.79</v>
      </c>
      <c r="D2203" s="115">
        <v>654</v>
      </c>
      <c r="E2203" s="115">
        <v>664.41</v>
      </c>
      <c r="F2203" s="115">
        <v>3283.95</v>
      </c>
      <c r="G2203">
        <v>706</v>
      </c>
      <c r="H2203" s="115"/>
      <c r="I2203" s="115"/>
      <c r="L2203" s="169">
        <v>45250</v>
      </c>
      <c r="M2203" s="115">
        <v>655.37</v>
      </c>
      <c r="N2203" s="115">
        <v>676.82</v>
      </c>
      <c r="O2203" s="115">
        <v>650.59</v>
      </c>
      <c r="P2203" s="115">
        <v>658</v>
      </c>
      <c r="Q2203" s="115">
        <v>3276.85</v>
      </c>
      <c r="R2203">
        <v>35606</v>
      </c>
    </row>
    <row r="2204" spans="1:18" x14ac:dyDescent="0.25">
      <c r="A2204" s="169">
        <v>45260</v>
      </c>
      <c r="B2204" s="115">
        <v>699.4</v>
      </c>
      <c r="C2204" s="115">
        <v>681.74</v>
      </c>
      <c r="D2204" s="115">
        <v>659.26</v>
      </c>
      <c r="E2204" s="115">
        <v>659.79</v>
      </c>
      <c r="F2204" s="115">
        <v>3408.7</v>
      </c>
      <c r="G2204">
        <v>841</v>
      </c>
      <c r="H2204" s="115"/>
      <c r="I2204" s="115"/>
      <c r="L2204" s="169">
        <v>45251</v>
      </c>
      <c r="M2204" s="115">
        <v>651.84</v>
      </c>
      <c r="N2204" s="115">
        <v>669</v>
      </c>
      <c r="O2204" s="115">
        <v>649</v>
      </c>
      <c r="P2204" s="115">
        <v>658.59</v>
      </c>
      <c r="Q2204" s="115">
        <v>3259.2</v>
      </c>
      <c r="R2204">
        <v>13818</v>
      </c>
    </row>
    <row r="2205" spans="1:18" x14ac:dyDescent="0.25">
      <c r="A2205" s="169">
        <v>45261</v>
      </c>
      <c r="B2205" s="115">
        <v>702.72</v>
      </c>
      <c r="C2205" s="115">
        <v>686.78</v>
      </c>
      <c r="D2205" s="115">
        <v>683.66</v>
      </c>
      <c r="E2205" s="115">
        <v>693.99</v>
      </c>
      <c r="F2205" s="115">
        <v>3433.9</v>
      </c>
      <c r="G2205">
        <v>1355</v>
      </c>
      <c r="H2205" s="115"/>
      <c r="I2205" s="115"/>
      <c r="L2205" s="169">
        <v>45252</v>
      </c>
      <c r="M2205" s="115">
        <v>669.44</v>
      </c>
      <c r="N2205" s="115">
        <v>678.8</v>
      </c>
      <c r="O2205" s="115">
        <v>642</v>
      </c>
      <c r="P2205" s="115">
        <v>653.58000000000004</v>
      </c>
      <c r="Q2205" s="115">
        <v>3347.2</v>
      </c>
      <c r="R2205">
        <v>118451</v>
      </c>
    </row>
    <row r="2206" spans="1:18" x14ac:dyDescent="0.25">
      <c r="A2206" s="169">
        <v>45264</v>
      </c>
      <c r="B2206" s="115">
        <v>709.8</v>
      </c>
      <c r="C2206" s="115">
        <v>693.44</v>
      </c>
      <c r="D2206" s="115">
        <v>684.71</v>
      </c>
      <c r="E2206" s="115">
        <v>704.79</v>
      </c>
      <c r="F2206" s="115">
        <v>3467.2</v>
      </c>
      <c r="G2206">
        <v>1656</v>
      </c>
      <c r="H2206" s="115"/>
      <c r="I2206" s="115"/>
      <c r="L2206" s="169">
        <v>45253</v>
      </c>
      <c r="M2206" s="115">
        <v>660.66</v>
      </c>
      <c r="N2206" s="115">
        <v>675.27</v>
      </c>
      <c r="O2206" s="115">
        <v>657.02</v>
      </c>
      <c r="P2206" s="115">
        <v>671.8</v>
      </c>
      <c r="Q2206" s="115">
        <v>3303.3</v>
      </c>
      <c r="R2206">
        <v>47963</v>
      </c>
    </row>
    <row r="2207" spans="1:18" x14ac:dyDescent="0.25">
      <c r="A2207" s="169">
        <v>45265</v>
      </c>
      <c r="B2207" s="115">
        <v>708.79</v>
      </c>
      <c r="C2207" s="115">
        <v>680.92</v>
      </c>
      <c r="D2207" s="115">
        <v>674.72</v>
      </c>
      <c r="E2207" s="115">
        <v>708.79</v>
      </c>
      <c r="F2207" s="115">
        <v>3404.6</v>
      </c>
      <c r="G2207">
        <v>1942</v>
      </c>
      <c r="H2207" s="115"/>
      <c r="I2207" s="115"/>
      <c r="L2207" s="169">
        <v>45254</v>
      </c>
      <c r="M2207" s="115">
        <v>659.3</v>
      </c>
      <c r="N2207" s="115">
        <v>668.75</v>
      </c>
      <c r="O2207" s="115">
        <v>656.31</v>
      </c>
      <c r="P2207" s="115">
        <v>663.33</v>
      </c>
      <c r="Q2207" s="115">
        <v>3296.5</v>
      </c>
      <c r="R2207">
        <v>16836</v>
      </c>
    </row>
    <row r="2208" spans="1:18" x14ac:dyDescent="0.25">
      <c r="A2208" s="169">
        <v>45266</v>
      </c>
      <c r="B2208" s="115">
        <v>684.82</v>
      </c>
      <c r="C2208" s="115">
        <v>682.02</v>
      </c>
      <c r="D2208" s="115">
        <v>674.83</v>
      </c>
      <c r="E2208" s="115">
        <v>680.21</v>
      </c>
      <c r="F2208" s="115">
        <v>3410.1</v>
      </c>
      <c r="G2208">
        <v>452</v>
      </c>
      <c r="H2208" s="115"/>
      <c r="I2208" s="115"/>
      <c r="L2208" s="169">
        <v>45258</v>
      </c>
      <c r="M2208" s="115">
        <v>665.51</v>
      </c>
      <c r="N2208" s="115">
        <v>668.73</v>
      </c>
      <c r="O2208" s="115">
        <v>656.2</v>
      </c>
      <c r="P2208" s="115">
        <v>657.01</v>
      </c>
      <c r="Q2208" s="115">
        <v>3327.55</v>
      </c>
      <c r="R2208">
        <v>81851</v>
      </c>
    </row>
    <row r="2209" spans="1:18" x14ac:dyDescent="0.25">
      <c r="A2209" s="169">
        <v>45267</v>
      </c>
      <c r="B2209" s="115">
        <v>709.23</v>
      </c>
      <c r="C2209" s="115">
        <v>691.95</v>
      </c>
      <c r="D2209" s="115">
        <v>681.44</v>
      </c>
      <c r="E2209" s="115">
        <v>681.44</v>
      </c>
      <c r="F2209" s="115">
        <v>3459.75</v>
      </c>
      <c r="G2209">
        <v>1493</v>
      </c>
      <c r="H2209" s="115"/>
      <c r="I2209" s="115"/>
      <c r="L2209" s="169">
        <v>45259</v>
      </c>
      <c r="M2209" s="115">
        <v>656.99</v>
      </c>
      <c r="N2209" s="115">
        <v>673</v>
      </c>
      <c r="O2209" s="115">
        <v>652.08000000000004</v>
      </c>
      <c r="P2209" s="115">
        <v>669.8</v>
      </c>
      <c r="Q2209" s="115">
        <v>3284.95</v>
      </c>
      <c r="R2209">
        <v>21592</v>
      </c>
    </row>
    <row r="2210" spans="1:18" x14ac:dyDescent="0.25">
      <c r="A2210" s="169">
        <v>45268</v>
      </c>
      <c r="B2210" s="115">
        <v>694.84</v>
      </c>
      <c r="C2210" s="115">
        <v>685.55</v>
      </c>
      <c r="D2210" s="115">
        <v>679.77</v>
      </c>
      <c r="E2210" s="115">
        <v>691.95</v>
      </c>
      <c r="F2210" s="115">
        <v>3427.75</v>
      </c>
      <c r="G2210">
        <v>1085</v>
      </c>
      <c r="H2210" s="115"/>
      <c r="I2210" s="115"/>
      <c r="L2210" s="169">
        <v>45260</v>
      </c>
      <c r="M2210" s="115">
        <v>684.56</v>
      </c>
      <c r="N2210" s="115">
        <v>699.28</v>
      </c>
      <c r="O2210" s="115">
        <v>656.98</v>
      </c>
      <c r="P2210" s="115">
        <v>656.99</v>
      </c>
      <c r="Q2210" s="115">
        <v>3422.8</v>
      </c>
      <c r="R2210">
        <v>41580</v>
      </c>
    </row>
    <row r="2211" spans="1:18" x14ac:dyDescent="0.25">
      <c r="A2211" s="169">
        <v>45271</v>
      </c>
      <c r="B2211" s="115">
        <v>695.37</v>
      </c>
      <c r="C2211" s="115">
        <v>689.16</v>
      </c>
      <c r="D2211" s="115">
        <v>678.01</v>
      </c>
      <c r="E2211" s="115">
        <v>678.01</v>
      </c>
      <c r="F2211" s="115">
        <v>3445.8</v>
      </c>
      <c r="G2211">
        <v>1306</v>
      </c>
      <c r="H2211" s="115"/>
      <c r="I2211" s="115"/>
      <c r="L2211" s="169">
        <v>45261</v>
      </c>
      <c r="M2211" s="115">
        <v>686.58</v>
      </c>
      <c r="N2211" s="115">
        <v>703.99</v>
      </c>
      <c r="O2211" s="115">
        <v>683.11</v>
      </c>
      <c r="P2211" s="115">
        <v>688</v>
      </c>
      <c r="Q2211" s="115">
        <v>3432.9</v>
      </c>
      <c r="R2211">
        <v>35149</v>
      </c>
    </row>
    <row r="2212" spans="1:18" x14ac:dyDescent="0.25">
      <c r="A2212" s="169">
        <v>45272</v>
      </c>
      <c r="B2212" s="115">
        <v>705.73</v>
      </c>
      <c r="C2212" s="115">
        <v>676.21</v>
      </c>
      <c r="D2212" s="115">
        <v>670.94</v>
      </c>
      <c r="E2212" s="115">
        <v>705.73</v>
      </c>
      <c r="F2212" s="115">
        <v>3381.05</v>
      </c>
      <c r="G2212">
        <v>732</v>
      </c>
      <c r="H2212" s="115"/>
      <c r="I2212" s="115"/>
      <c r="L2212" s="169">
        <v>45264</v>
      </c>
      <c r="M2212" s="115">
        <v>692.7</v>
      </c>
      <c r="N2212" s="115">
        <v>710</v>
      </c>
      <c r="O2212" s="115">
        <v>684.81</v>
      </c>
      <c r="P2212" s="115">
        <v>699.98</v>
      </c>
      <c r="Q2212" s="115">
        <v>3463.5</v>
      </c>
      <c r="R2212">
        <v>16668</v>
      </c>
    </row>
    <row r="2213" spans="1:18" x14ac:dyDescent="0.25">
      <c r="A2213" s="169">
        <v>45273</v>
      </c>
      <c r="B2213" s="115">
        <v>678.15</v>
      </c>
      <c r="C2213" s="115">
        <v>662.17</v>
      </c>
      <c r="D2213" s="115">
        <v>660</v>
      </c>
      <c r="E2213" s="115">
        <v>677.86</v>
      </c>
      <c r="F2213" s="115">
        <v>3310.85</v>
      </c>
      <c r="G2213">
        <v>1545</v>
      </c>
      <c r="H2213" s="115"/>
      <c r="I2213" s="115"/>
      <c r="L2213" s="169">
        <v>45265</v>
      </c>
      <c r="M2213" s="115">
        <v>682.74</v>
      </c>
      <c r="N2213" s="115">
        <v>699.3</v>
      </c>
      <c r="O2213" s="115">
        <v>674.67</v>
      </c>
      <c r="P2213" s="115">
        <v>698.59</v>
      </c>
      <c r="Q2213" s="115">
        <v>3413.7</v>
      </c>
      <c r="R2213">
        <v>31678</v>
      </c>
    </row>
    <row r="2214" spans="1:18" x14ac:dyDescent="0.25">
      <c r="A2214" s="169">
        <v>45274</v>
      </c>
      <c r="B2214" s="115">
        <v>675.04</v>
      </c>
      <c r="C2214" s="115">
        <v>652.11</v>
      </c>
      <c r="D2214" s="115">
        <v>649.80999999999995</v>
      </c>
      <c r="E2214" s="115">
        <v>666.73</v>
      </c>
      <c r="F2214" s="115">
        <v>3260.55</v>
      </c>
      <c r="G2214">
        <v>1821</v>
      </c>
      <c r="H2214" s="115"/>
      <c r="I2214" s="115"/>
      <c r="L2214" s="169">
        <v>45266</v>
      </c>
      <c r="M2214" s="115">
        <v>680.48</v>
      </c>
      <c r="N2214" s="115">
        <v>689.96</v>
      </c>
      <c r="O2214" s="115">
        <v>674.41</v>
      </c>
      <c r="P2214" s="115">
        <v>689.96</v>
      </c>
      <c r="Q2214" s="115">
        <v>3402.4</v>
      </c>
      <c r="R2214">
        <v>29263</v>
      </c>
    </row>
    <row r="2215" spans="1:18" x14ac:dyDescent="0.25">
      <c r="A2215" s="169">
        <v>45275</v>
      </c>
      <c r="B2215" s="115">
        <v>674.84</v>
      </c>
      <c r="C2215" s="115">
        <v>661.85</v>
      </c>
      <c r="D2215" s="115">
        <v>655.48</v>
      </c>
      <c r="E2215" s="115">
        <v>662.26</v>
      </c>
      <c r="F2215" s="115">
        <v>3309.25</v>
      </c>
      <c r="G2215">
        <v>805</v>
      </c>
      <c r="H2215" s="115"/>
      <c r="I2215" s="115"/>
      <c r="L2215" s="169">
        <v>45267</v>
      </c>
      <c r="M2215" s="115">
        <v>693.24</v>
      </c>
      <c r="N2215" s="115">
        <v>708.8</v>
      </c>
      <c r="O2215" s="115">
        <v>679.7</v>
      </c>
      <c r="P2215" s="115">
        <v>681.8</v>
      </c>
      <c r="Q2215" s="115">
        <v>3466.2</v>
      </c>
      <c r="R2215">
        <v>40984</v>
      </c>
    </row>
    <row r="2216" spans="1:18" x14ac:dyDescent="0.25">
      <c r="A2216" s="169">
        <v>45278</v>
      </c>
      <c r="B2216" s="115">
        <v>688.82</v>
      </c>
      <c r="C2216" s="115">
        <v>667.82</v>
      </c>
      <c r="D2216" s="115">
        <v>657.61</v>
      </c>
      <c r="E2216" s="115">
        <v>658.21</v>
      </c>
      <c r="F2216" s="115">
        <v>3339.1</v>
      </c>
      <c r="G2216">
        <v>1878</v>
      </c>
      <c r="H2216" s="115"/>
      <c r="I2216" s="115"/>
      <c r="L2216" s="169">
        <v>45268</v>
      </c>
      <c r="M2216" s="115">
        <v>685.22</v>
      </c>
      <c r="N2216" s="115">
        <v>696</v>
      </c>
      <c r="O2216" s="115">
        <v>678</v>
      </c>
      <c r="P2216" s="115">
        <v>696</v>
      </c>
      <c r="Q2216" s="115">
        <v>3426.1</v>
      </c>
      <c r="R2216">
        <v>24004</v>
      </c>
    </row>
    <row r="2217" spans="1:18" x14ac:dyDescent="0.25">
      <c r="A2217" s="169">
        <v>45279</v>
      </c>
      <c r="B2217" s="115">
        <v>688.73</v>
      </c>
      <c r="C2217" s="115">
        <v>683.54</v>
      </c>
      <c r="D2217" s="115">
        <v>663.09</v>
      </c>
      <c r="E2217" s="115">
        <v>677.58</v>
      </c>
      <c r="F2217" s="115">
        <v>3417.7</v>
      </c>
      <c r="G2217">
        <v>2408</v>
      </c>
      <c r="H2217" s="115"/>
      <c r="I2217" s="115"/>
      <c r="L2217" s="169">
        <v>45271</v>
      </c>
      <c r="M2217" s="115">
        <v>689.42</v>
      </c>
      <c r="N2217" s="115">
        <v>696.01</v>
      </c>
      <c r="O2217" s="115">
        <v>682.57</v>
      </c>
      <c r="P2217" s="115">
        <v>685.22</v>
      </c>
      <c r="Q2217" s="115">
        <v>3447.1</v>
      </c>
      <c r="R2217">
        <v>13653</v>
      </c>
    </row>
    <row r="2218" spans="1:18" x14ac:dyDescent="0.25">
      <c r="A2218" s="169">
        <v>45280</v>
      </c>
      <c r="B2218" s="115">
        <v>692.48</v>
      </c>
      <c r="C2218" s="115">
        <v>673.33</v>
      </c>
      <c r="D2218" s="115">
        <v>668.6</v>
      </c>
      <c r="E2218" s="115">
        <v>680.01</v>
      </c>
      <c r="F2218" s="115">
        <v>3366.65</v>
      </c>
      <c r="G2218">
        <v>1988</v>
      </c>
      <c r="H2218" s="115"/>
      <c r="I2218" s="115"/>
      <c r="L2218" s="169">
        <v>45272</v>
      </c>
      <c r="M2218" s="115">
        <v>675.33</v>
      </c>
      <c r="N2218" s="115">
        <v>698.75</v>
      </c>
      <c r="O2218" s="115">
        <v>670.68</v>
      </c>
      <c r="P2218" s="115">
        <v>692.87</v>
      </c>
      <c r="Q2218" s="115">
        <v>3376.65</v>
      </c>
      <c r="R2218">
        <v>31208</v>
      </c>
    </row>
    <row r="2219" spans="1:18" x14ac:dyDescent="0.25">
      <c r="A2219" s="169">
        <v>45281</v>
      </c>
      <c r="B2219" s="115">
        <v>691</v>
      </c>
      <c r="C2219" s="115">
        <v>688.81</v>
      </c>
      <c r="D2219" s="115">
        <v>669.6</v>
      </c>
      <c r="E2219" s="115">
        <v>671</v>
      </c>
      <c r="F2219" s="115">
        <v>3444.05</v>
      </c>
      <c r="G2219">
        <v>2457</v>
      </c>
      <c r="H2219" s="115"/>
      <c r="I2219" s="115"/>
      <c r="L2219" s="169">
        <v>45273</v>
      </c>
      <c r="M2219" s="115">
        <v>661.69</v>
      </c>
      <c r="N2219" s="115">
        <v>679.19</v>
      </c>
      <c r="O2219" s="115">
        <v>659.68</v>
      </c>
      <c r="P2219" s="115">
        <v>675.33</v>
      </c>
      <c r="Q2219" s="115">
        <v>3308.45</v>
      </c>
      <c r="R2219">
        <v>31063</v>
      </c>
    </row>
    <row r="2220" spans="1:18" x14ac:dyDescent="0.25">
      <c r="A2220" s="169">
        <v>45282</v>
      </c>
      <c r="B2220" s="115">
        <v>698.67</v>
      </c>
      <c r="C2220" s="115">
        <v>692.64</v>
      </c>
      <c r="D2220" s="115">
        <v>674.61</v>
      </c>
      <c r="E2220" s="115">
        <v>674.61</v>
      </c>
      <c r="F2220" s="115">
        <v>3463.2</v>
      </c>
      <c r="G2220">
        <v>2019</v>
      </c>
      <c r="H2220" s="115"/>
      <c r="I2220" s="115"/>
      <c r="L2220" s="169">
        <v>45274</v>
      </c>
      <c r="M2220" s="115">
        <v>652.26</v>
      </c>
      <c r="N2220" s="115">
        <v>677.97</v>
      </c>
      <c r="O2220" s="115">
        <v>646.22</v>
      </c>
      <c r="P2220" s="115">
        <v>667.42</v>
      </c>
      <c r="Q2220" s="115">
        <v>3261.3</v>
      </c>
      <c r="R2220">
        <v>69685</v>
      </c>
    </row>
    <row r="2221" spans="1:18" x14ac:dyDescent="0.25">
      <c r="A2221" s="169">
        <v>45286</v>
      </c>
      <c r="B2221" s="115">
        <v>697.4</v>
      </c>
      <c r="C2221" s="115">
        <v>688.56</v>
      </c>
      <c r="D2221" s="115">
        <v>685.3</v>
      </c>
      <c r="E2221" s="115">
        <v>694.51</v>
      </c>
      <c r="F2221" s="115">
        <v>3442.8</v>
      </c>
      <c r="G2221">
        <v>852</v>
      </c>
      <c r="H2221" s="115"/>
      <c r="I2221" s="115"/>
      <c r="L2221" s="169">
        <v>45275</v>
      </c>
      <c r="M2221" s="115">
        <v>662.46</v>
      </c>
      <c r="N2221" s="115">
        <v>674.8</v>
      </c>
      <c r="O2221" s="115">
        <v>653.9</v>
      </c>
      <c r="P2221" s="115">
        <v>658.13</v>
      </c>
      <c r="Q2221" s="115">
        <v>3312.3</v>
      </c>
      <c r="R2221">
        <v>55462</v>
      </c>
    </row>
    <row r="2222" spans="1:18" x14ac:dyDescent="0.25">
      <c r="A2222" s="169">
        <v>45287</v>
      </c>
      <c r="B2222" s="115">
        <v>691.92</v>
      </c>
      <c r="C2222" s="115">
        <v>679.67</v>
      </c>
      <c r="D2222" s="115">
        <v>668.3</v>
      </c>
      <c r="E2222" s="115">
        <v>689.77</v>
      </c>
      <c r="F2222" s="115">
        <v>3398.35</v>
      </c>
      <c r="G2222">
        <v>1578</v>
      </c>
      <c r="H2222" s="115"/>
      <c r="I2222" s="115"/>
      <c r="L2222" s="169">
        <v>45278</v>
      </c>
      <c r="M2222" s="115">
        <v>667.59</v>
      </c>
      <c r="N2222" s="115">
        <v>690.41</v>
      </c>
      <c r="O2222" s="115">
        <v>655.37</v>
      </c>
      <c r="P2222" s="115">
        <v>664.8</v>
      </c>
      <c r="Q2222" s="115">
        <v>3337.95</v>
      </c>
      <c r="R2222">
        <v>61568</v>
      </c>
    </row>
    <row r="2223" spans="1:18" x14ac:dyDescent="0.25">
      <c r="A2223" s="169">
        <v>45288</v>
      </c>
      <c r="B2223" s="115">
        <v>700.96</v>
      </c>
      <c r="C2223" s="115">
        <v>697.6</v>
      </c>
      <c r="D2223" s="115">
        <v>676.14</v>
      </c>
      <c r="E2223" s="115">
        <v>689.95</v>
      </c>
      <c r="F2223" s="115">
        <v>3488</v>
      </c>
      <c r="G2223">
        <v>2807</v>
      </c>
      <c r="H2223" s="115"/>
      <c r="I2223" s="115"/>
      <c r="L2223" s="169">
        <v>45279</v>
      </c>
      <c r="M2223" s="115">
        <v>685.26</v>
      </c>
      <c r="N2223" s="115">
        <v>689.8</v>
      </c>
      <c r="O2223" s="115">
        <v>661.74</v>
      </c>
      <c r="P2223" s="115">
        <v>675.6</v>
      </c>
      <c r="Q2223" s="115">
        <v>3426.3</v>
      </c>
      <c r="R2223">
        <v>56156</v>
      </c>
    </row>
    <row r="2224" spans="1:18" x14ac:dyDescent="0.25">
      <c r="A2224" s="169">
        <v>45289</v>
      </c>
      <c r="B2224" s="115">
        <v>696</v>
      </c>
      <c r="C2224" s="115">
        <v>692.83</v>
      </c>
      <c r="D2224" s="115">
        <v>683.03</v>
      </c>
      <c r="E2224" s="115">
        <v>683.03</v>
      </c>
      <c r="F2224" s="115">
        <v>3464.15</v>
      </c>
      <c r="G2224">
        <v>810</v>
      </c>
      <c r="H2224" s="115"/>
      <c r="I2224" s="115"/>
      <c r="L2224" s="169">
        <v>45280</v>
      </c>
      <c r="M2224" s="115">
        <v>671.62</v>
      </c>
      <c r="N2224" s="115">
        <v>692.75</v>
      </c>
      <c r="O2224" s="115">
        <v>668.3</v>
      </c>
      <c r="P2224" s="115">
        <v>684.8</v>
      </c>
      <c r="Q2224" s="115">
        <v>3358.1</v>
      </c>
      <c r="R2224">
        <v>63443</v>
      </c>
    </row>
    <row r="2225" spans="1:18" x14ac:dyDescent="0.25">
      <c r="A2225" s="169">
        <v>45292</v>
      </c>
      <c r="B2225" s="115">
        <v>696.41</v>
      </c>
      <c r="C2225" s="115">
        <v>692.79</v>
      </c>
      <c r="D2225" s="115">
        <v>682.17</v>
      </c>
      <c r="E2225" s="115">
        <v>689.66</v>
      </c>
      <c r="F2225" s="115">
        <v>3463.95</v>
      </c>
      <c r="G2225">
        <v>531</v>
      </c>
      <c r="H2225" s="115"/>
      <c r="I2225" s="115"/>
      <c r="L2225" s="169">
        <v>45281</v>
      </c>
      <c r="M2225" s="115">
        <v>688.09</v>
      </c>
      <c r="N2225" s="115">
        <v>691.98</v>
      </c>
      <c r="O2225" s="115">
        <v>656</v>
      </c>
      <c r="P2225" s="115">
        <v>672</v>
      </c>
      <c r="Q2225" s="115">
        <v>3440.45</v>
      </c>
      <c r="R2225">
        <v>63962</v>
      </c>
    </row>
    <row r="2226" spans="1:18" x14ac:dyDescent="0.25">
      <c r="A2226" s="169">
        <v>45293</v>
      </c>
      <c r="B2226" s="115">
        <v>703</v>
      </c>
      <c r="C2226" s="115">
        <v>701.33</v>
      </c>
      <c r="D2226" s="115">
        <v>688.84</v>
      </c>
      <c r="E2226" s="115">
        <v>689</v>
      </c>
      <c r="F2226" s="115">
        <v>3506.65</v>
      </c>
      <c r="G2226">
        <v>1683</v>
      </c>
      <c r="H2226" s="115"/>
      <c r="I2226" s="115"/>
      <c r="L2226" s="169">
        <v>45282</v>
      </c>
      <c r="M2226" s="115">
        <v>693.81</v>
      </c>
      <c r="N2226" s="115">
        <v>699.27</v>
      </c>
      <c r="O2226" s="115">
        <v>685.77</v>
      </c>
      <c r="P2226" s="115">
        <v>691.58</v>
      </c>
      <c r="Q2226" s="115">
        <v>3469.05</v>
      </c>
      <c r="R2226">
        <v>71751</v>
      </c>
    </row>
    <row r="2227" spans="1:18" x14ac:dyDescent="0.25">
      <c r="A2227" s="169">
        <v>45294</v>
      </c>
      <c r="B2227" s="115">
        <v>715.99</v>
      </c>
      <c r="C2227" s="115">
        <v>698.87</v>
      </c>
      <c r="D2227" s="115">
        <v>694.01</v>
      </c>
      <c r="E2227" s="115">
        <v>701</v>
      </c>
      <c r="F2227" s="115">
        <v>3494.35</v>
      </c>
      <c r="G2227">
        <v>2656</v>
      </c>
      <c r="H2227" s="115"/>
      <c r="I2227" s="115"/>
      <c r="L2227" s="169">
        <v>45286</v>
      </c>
      <c r="M2227" s="115">
        <v>688.2</v>
      </c>
      <c r="N2227" s="115">
        <v>698.04</v>
      </c>
      <c r="O2227" s="115">
        <v>685.07</v>
      </c>
      <c r="P2227" s="115">
        <v>693.81</v>
      </c>
      <c r="Q2227" s="115">
        <v>3441</v>
      </c>
      <c r="R2227">
        <v>19913</v>
      </c>
    </row>
    <row r="2228" spans="1:18" x14ac:dyDescent="0.25">
      <c r="A2228" s="169">
        <v>45295</v>
      </c>
      <c r="B2228" s="115">
        <v>703.53</v>
      </c>
      <c r="C2228" s="115">
        <v>698.11</v>
      </c>
      <c r="D2228" s="115">
        <v>689.02</v>
      </c>
      <c r="E2228" s="115">
        <v>701.78</v>
      </c>
      <c r="F2228" s="115">
        <v>3490.55</v>
      </c>
      <c r="G2228">
        <v>1380</v>
      </c>
      <c r="H2228" s="115"/>
      <c r="I2228" s="115"/>
      <c r="L2228" s="169">
        <v>45287</v>
      </c>
      <c r="M2228" s="115">
        <v>685.45</v>
      </c>
      <c r="N2228" s="115">
        <v>694.12</v>
      </c>
      <c r="O2228" s="115">
        <v>680.38</v>
      </c>
      <c r="P2228" s="115">
        <v>691.98</v>
      </c>
      <c r="Q2228" s="115">
        <v>3427.25</v>
      </c>
      <c r="R2228">
        <v>8671</v>
      </c>
    </row>
    <row r="2229" spans="1:18" x14ac:dyDescent="0.25">
      <c r="A2229" s="169">
        <v>45296</v>
      </c>
      <c r="B2229" s="115">
        <v>717.1</v>
      </c>
      <c r="C2229" s="115">
        <v>706.72</v>
      </c>
      <c r="D2229" s="115">
        <v>697</v>
      </c>
      <c r="E2229" s="115">
        <v>697</v>
      </c>
      <c r="F2229" s="115">
        <v>3533.6</v>
      </c>
      <c r="G2229">
        <v>1901</v>
      </c>
      <c r="H2229" s="115"/>
      <c r="I2229" s="115"/>
      <c r="L2229" s="169">
        <v>45288</v>
      </c>
      <c r="M2229" s="115">
        <v>698.49</v>
      </c>
      <c r="N2229" s="115">
        <v>701.99</v>
      </c>
      <c r="O2229" s="115">
        <v>676.01</v>
      </c>
      <c r="P2229" s="115">
        <v>684</v>
      </c>
      <c r="Q2229" s="115">
        <v>3492.45</v>
      </c>
      <c r="R2229">
        <v>49236</v>
      </c>
    </row>
    <row r="2230" spans="1:18" x14ac:dyDescent="0.25">
      <c r="A2230" s="169">
        <v>45299</v>
      </c>
      <c r="B2230" s="115">
        <v>719.6</v>
      </c>
      <c r="C2230" s="115">
        <v>693.56</v>
      </c>
      <c r="D2230" s="115">
        <v>692</v>
      </c>
      <c r="E2230" s="115">
        <v>718.59</v>
      </c>
      <c r="F2230" s="115">
        <v>3467.8</v>
      </c>
      <c r="G2230">
        <v>834</v>
      </c>
      <c r="H2230" s="115"/>
      <c r="I2230" s="115"/>
      <c r="L2230" s="169">
        <v>45289</v>
      </c>
      <c r="M2230" s="115">
        <v>693.35</v>
      </c>
      <c r="N2230" s="115">
        <v>696</v>
      </c>
      <c r="O2230" s="115">
        <v>684.99</v>
      </c>
      <c r="P2230" s="115">
        <v>695.4</v>
      </c>
      <c r="Q2230" s="115">
        <v>3466.75</v>
      </c>
      <c r="R2230">
        <v>16626</v>
      </c>
    </row>
    <row r="2231" spans="1:18" x14ac:dyDescent="0.25">
      <c r="A2231" s="169">
        <v>45300</v>
      </c>
      <c r="B2231" s="115">
        <v>700.73</v>
      </c>
      <c r="C2231" s="115">
        <v>676.07</v>
      </c>
      <c r="D2231" s="115">
        <v>672.66</v>
      </c>
      <c r="E2231" s="115">
        <v>698.76</v>
      </c>
      <c r="F2231" s="115">
        <v>3380.35</v>
      </c>
      <c r="G2231">
        <v>1923</v>
      </c>
      <c r="H2231" s="115"/>
      <c r="I2231" s="115"/>
      <c r="L2231" s="169">
        <v>45292</v>
      </c>
      <c r="M2231" s="115">
        <v>692.72</v>
      </c>
      <c r="N2231" s="115">
        <v>697.27</v>
      </c>
      <c r="O2231" s="115">
        <v>677.5</v>
      </c>
      <c r="P2231" s="115">
        <v>694.6</v>
      </c>
      <c r="Q2231" s="115">
        <v>3463.6</v>
      </c>
      <c r="R2231">
        <v>17176</v>
      </c>
    </row>
    <row r="2232" spans="1:18" x14ac:dyDescent="0.25">
      <c r="A2232" s="169">
        <v>45301</v>
      </c>
      <c r="B2232" s="115">
        <v>690.07</v>
      </c>
      <c r="C2232" s="115">
        <v>679.38</v>
      </c>
      <c r="D2232" s="115">
        <v>670.78</v>
      </c>
      <c r="E2232" s="115">
        <v>679.59</v>
      </c>
      <c r="F2232" s="115">
        <v>3396.9</v>
      </c>
      <c r="G2232">
        <v>1539</v>
      </c>
      <c r="H2232" s="115"/>
      <c r="I2232" s="115"/>
      <c r="L2232" s="169">
        <v>45293</v>
      </c>
      <c r="M2232" s="115">
        <v>700.17</v>
      </c>
      <c r="N2232" s="115">
        <v>703.2</v>
      </c>
      <c r="O2232" s="115">
        <v>687.06</v>
      </c>
      <c r="P2232" s="115">
        <v>687.06</v>
      </c>
      <c r="Q2232" s="115">
        <v>3500.85</v>
      </c>
      <c r="R2232">
        <v>19491</v>
      </c>
    </row>
    <row r="2233" spans="1:18" x14ac:dyDescent="0.25">
      <c r="A2233" s="169">
        <v>45302</v>
      </c>
      <c r="B2233" s="115">
        <v>700</v>
      </c>
      <c r="C2233" s="115">
        <v>685.58</v>
      </c>
      <c r="D2233" s="115">
        <v>680.7</v>
      </c>
      <c r="E2233" s="115">
        <v>689.98</v>
      </c>
      <c r="F2233" s="115">
        <v>3427.9</v>
      </c>
      <c r="G2233">
        <v>1764</v>
      </c>
      <c r="H2233" s="115"/>
      <c r="I2233" s="115"/>
      <c r="L2233" s="169">
        <v>45294</v>
      </c>
      <c r="M2233" s="115">
        <v>697.07</v>
      </c>
      <c r="N2233" s="115">
        <v>716</v>
      </c>
      <c r="O2233" s="115">
        <v>690.74</v>
      </c>
      <c r="P2233" s="115">
        <v>703.59</v>
      </c>
      <c r="Q2233" s="115">
        <v>3485.35</v>
      </c>
      <c r="R2233">
        <v>32526</v>
      </c>
    </row>
    <row r="2234" spans="1:18" x14ac:dyDescent="0.25">
      <c r="A2234" s="169">
        <v>45303</v>
      </c>
      <c r="B2234" s="115">
        <v>712.8</v>
      </c>
      <c r="C2234" s="115">
        <v>697.62</v>
      </c>
      <c r="D2234" s="115">
        <v>694.66</v>
      </c>
      <c r="E2234" s="115">
        <v>694.66</v>
      </c>
      <c r="F2234" s="115">
        <v>3488.1</v>
      </c>
      <c r="G2234">
        <v>1838</v>
      </c>
      <c r="H2234" s="115"/>
      <c r="I2234" s="115"/>
      <c r="L2234" s="169">
        <v>45295</v>
      </c>
      <c r="M2234" s="115">
        <v>698.34</v>
      </c>
      <c r="N2234" s="115">
        <v>703.99</v>
      </c>
      <c r="O2234" s="115">
        <v>688.81</v>
      </c>
      <c r="P2234" s="115">
        <v>702.55</v>
      </c>
      <c r="Q2234" s="115">
        <v>3491.7</v>
      </c>
      <c r="R2234">
        <v>17077</v>
      </c>
    </row>
    <row r="2235" spans="1:18" x14ac:dyDescent="0.25">
      <c r="A2235" s="169">
        <v>45306</v>
      </c>
      <c r="B2235" s="115">
        <v>700.18</v>
      </c>
      <c r="C2235" s="115">
        <v>684.75</v>
      </c>
      <c r="D2235" s="115">
        <v>681.06</v>
      </c>
      <c r="E2235" s="115">
        <v>697.94</v>
      </c>
      <c r="F2235" s="115">
        <v>3423.75</v>
      </c>
      <c r="G2235">
        <v>1052</v>
      </c>
      <c r="H2235" s="115"/>
      <c r="I2235" s="115"/>
      <c r="L2235" s="169">
        <v>45296</v>
      </c>
      <c r="M2235" s="115">
        <v>707.4</v>
      </c>
      <c r="N2235" s="115">
        <v>717.8</v>
      </c>
      <c r="O2235" s="115">
        <v>698.34</v>
      </c>
      <c r="P2235" s="115">
        <v>702.99</v>
      </c>
      <c r="Q2235" s="115">
        <v>3537</v>
      </c>
      <c r="R2235">
        <v>32564</v>
      </c>
    </row>
    <row r="2236" spans="1:18" x14ac:dyDescent="0.25">
      <c r="A2236" s="169">
        <v>45307</v>
      </c>
      <c r="B2236" s="115">
        <v>690.96</v>
      </c>
      <c r="C2236" s="115">
        <v>676.12</v>
      </c>
      <c r="D2236" s="115">
        <v>672.4</v>
      </c>
      <c r="E2236" s="115">
        <v>688</v>
      </c>
      <c r="F2236" s="115">
        <v>3380.6</v>
      </c>
      <c r="G2236">
        <v>1005</v>
      </c>
      <c r="H2236" s="115"/>
      <c r="I2236" s="115"/>
      <c r="L2236" s="169">
        <v>45299</v>
      </c>
      <c r="M2236" s="115">
        <v>693.79</v>
      </c>
      <c r="N2236" s="115">
        <v>719.74</v>
      </c>
      <c r="O2236" s="115">
        <v>690.67</v>
      </c>
      <c r="P2236" s="115">
        <v>710.94</v>
      </c>
      <c r="Q2236" s="115">
        <v>3468.95</v>
      </c>
      <c r="R2236">
        <v>21119</v>
      </c>
    </row>
    <row r="2237" spans="1:18" x14ac:dyDescent="0.25">
      <c r="A2237" s="169">
        <v>45308</v>
      </c>
      <c r="B2237" s="115">
        <v>689.9</v>
      </c>
      <c r="C2237" s="115">
        <v>673.12</v>
      </c>
      <c r="D2237" s="115">
        <v>666</v>
      </c>
      <c r="E2237" s="115">
        <v>678.4</v>
      </c>
      <c r="F2237" s="115">
        <v>3365.6</v>
      </c>
      <c r="G2237">
        <v>929</v>
      </c>
      <c r="H2237" s="115"/>
      <c r="I2237" s="115"/>
      <c r="L2237" s="169">
        <v>45300</v>
      </c>
      <c r="M2237" s="115">
        <v>675.86</v>
      </c>
      <c r="N2237" s="115">
        <v>702.39</v>
      </c>
      <c r="O2237" s="115">
        <v>670.82</v>
      </c>
      <c r="P2237" s="115">
        <v>690.6</v>
      </c>
      <c r="Q2237" s="115">
        <v>3379.3</v>
      </c>
      <c r="R2237">
        <v>36221</v>
      </c>
    </row>
    <row r="2238" spans="1:18" x14ac:dyDescent="0.25">
      <c r="A2238" s="169">
        <v>45309</v>
      </c>
      <c r="B2238" s="115">
        <v>694.95</v>
      </c>
      <c r="C2238" s="115">
        <v>650.03</v>
      </c>
      <c r="D2238" s="115">
        <v>647.66999999999996</v>
      </c>
      <c r="E2238" s="115">
        <v>668.87</v>
      </c>
      <c r="F2238" s="115">
        <v>3250.15</v>
      </c>
      <c r="G2238">
        <v>1916</v>
      </c>
      <c r="H2238" s="115"/>
      <c r="I2238" s="115"/>
      <c r="L2238" s="169">
        <v>45301</v>
      </c>
      <c r="M2238" s="115">
        <v>679.71</v>
      </c>
      <c r="N2238" s="115">
        <v>690</v>
      </c>
      <c r="O2238" s="115">
        <v>670.43</v>
      </c>
      <c r="P2238" s="115">
        <v>677.19</v>
      </c>
      <c r="Q2238" s="115">
        <v>3398.55</v>
      </c>
      <c r="R2238">
        <v>42266</v>
      </c>
    </row>
    <row r="2239" spans="1:18" x14ac:dyDescent="0.25">
      <c r="A2239" s="169">
        <v>45310</v>
      </c>
      <c r="B2239" s="115">
        <v>669.47</v>
      </c>
      <c r="C2239" s="115">
        <v>659.78</v>
      </c>
      <c r="D2239" s="115">
        <v>655.6</v>
      </c>
      <c r="E2239" s="115">
        <v>655.6</v>
      </c>
      <c r="F2239" s="115">
        <v>3298.9</v>
      </c>
      <c r="G2239">
        <v>678</v>
      </c>
      <c r="H2239" s="115"/>
      <c r="I2239" s="115"/>
      <c r="L2239" s="169">
        <v>45302</v>
      </c>
      <c r="M2239" s="115">
        <v>687.14</v>
      </c>
      <c r="N2239" s="115">
        <v>700</v>
      </c>
      <c r="O2239" s="115">
        <v>680.21</v>
      </c>
      <c r="P2239" s="115">
        <v>682.03</v>
      </c>
      <c r="Q2239" s="115">
        <v>3435.7</v>
      </c>
      <c r="R2239">
        <v>44788</v>
      </c>
    </row>
    <row r="2240" spans="1:18" x14ac:dyDescent="0.25">
      <c r="A2240" s="169">
        <v>45311</v>
      </c>
      <c r="B2240" s="115">
        <v>665.28</v>
      </c>
      <c r="C2240" s="115">
        <v>652.19000000000005</v>
      </c>
      <c r="D2240" s="115">
        <v>651</v>
      </c>
      <c r="E2240" s="115">
        <v>663.66</v>
      </c>
      <c r="F2240" s="115">
        <v>3260.95</v>
      </c>
      <c r="G2240">
        <v>706</v>
      </c>
      <c r="H2240" s="115"/>
      <c r="I2240" s="115"/>
      <c r="L2240" s="169">
        <v>45303</v>
      </c>
      <c r="M2240" s="115">
        <v>697.92</v>
      </c>
      <c r="N2240" s="115">
        <v>712.98</v>
      </c>
      <c r="O2240" s="115">
        <v>681.63</v>
      </c>
      <c r="P2240" s="115">
        <v>690.35</v>
      </c>
      <c r="Q2240" s="115">
        <v>3489.6</v>
      </c>
      <c r="R2240">
        <v>53272</v>
      </c>
    </row>
    <row r="2241" spans="1:18" x14ac:dyDescent="0.25">
      <c r="A2241" s="169">
        <v>45314</v>
      </c>
      <c r="B2241" s="115">
        <v>663.91</v>
      </c>
      <c r="C2241" s="115">
        <v>644.11</v>
      </c>
      <c r="D2241" s="115">
        <v>635</v>
      </c>
      <c r="E2241" s="115">
        <v>662.84</v>
      </c>
      <c r="F2241" s="115">
        <v>3220.55</v>
      </c>
      <c r="G2241">
        <v>877</v>
      </c>
      <c r="H2241" s="115"/>
      <c r="I2241" s="115"/>
      <c r="L2241" s="169">
        <v>45306</v>
      </c>
      <c r="M2241" s="115">
        <v>684.89</v>
      </c>
      <c r="N2241" s="115">
        <v>704.66</v>
      </c>
      <c r="O2241" s="115">
        <v>681</v>
      </c>
      <c r="P2241" s="115">
        <v>699.72</v>
      </c>
      <c r="Q2241" s="115">
        <v>3424.45</v>
      </c>
      <c r="R2241">
        <v>95595</v>
      </c>
    </row>
    <row r="2242" spans="1:18" x14ac:dyDescent="0.25">
      <c r="A2242" s="169">
        <v>45315</v>
      </c>
      <c r="B2242" s="115">
        <v>696</v>
      </c>
      <c r="C2242" s="115">
        <v>655.30999999999995</v>
      </c>
      <c r="D2242" s="115">
        <v>645.65</v>
      </c>
      <c r="E2242" s="115">
        <v>645.65</v>
      </c>
      <c r="F2242" s="115">
        <v>3276.55</v>
      </c>
      <c r="G2242">
        <v>4738</v>
      </c>
      <c r="H2242" s="115"/>
      <c r="I2242" s="115"/>
      <c r="L2242" s="169">
        <v>45307</v>
      </c>
      <c r="M2242" s="115">
        <v>676.63</v>
      </c>
      <c r="N2242" s="115">
        <v>693.91</v>
      </c>
      <c r="O2242" s="115">
        <v>671.8</v>
      </c>
      <c r="P2242" s="115">
        <v>684.89</v>
      </c>
      <c r="Q2242" s="115">
        <v>3383.15</v>
      </c>
      <c r="R2242">
        <v>23402</v>
      </c>
    </row>
    <row r="2243" spans="1:18" x14ac:dyDescent="0.25">
      <c r="A2243" s="169">
        <v>45316</v>
      </c>
      <c r="B2243" s="115">
        <v>692.73</v>
      </c>
      <c r="C2243" s="115">
        <v>689.67</v>
      </c>
      <c r="D2243" s="115">
        <v>664.01</v>
      </c>
      <c r="E2243" s="115">
        <v>664.01</v>
      </c>
      <c r="F2243" s="115">
        <v>3448.35</v>
      </c>
      <c r="G2243">
        <v>1358</v>
      </c>
      <c r="H2243" s="115"/>
      <c r="I2243" s="115"/>
      <c r="L2243" s="169">
        <v>45308</v>
      </c>
      <c r="M2243" s="115">
        <v>673.46</v>
      </c>
      <c r="N2243" s="115">
        <v>689.48</v>
      </c>
      <c r="O2243" s="115">
        <v>665</v>
      </c>
      <c r="P2243" s="115">
        <v>676.63</v>
      </c>
      <c r="Q2243" s="115">
        <v>3367.3</v>
      </c>
      <c r="R2243">
        <v>43101</v>
      </c>
    </row>
    <row r="2244" spans="1:18" x14ac:dyDescent="0.25">
      <c r="A2244" s="169">
        <v>45320</v>
      </c>
      <c r="B2244" s="115">
        <v>710</v>
      </c>
      <c r="C2244" s="115">
        <v>707.03</v>
      </c>
      <c r="D2244" s="115">
        <v>694.15</v>
      </c>
      <c r="E2244" s="115">
        <v>701.45</v>
      </c>
      <c r="F2244" s="115">
        <v>3535.15</v>
      </c>
      <c r="G2244">
        <v>1330</v>
      </c>
      <c r="H2244" s="115"/>
      <c r="I2244" s="115"/>
      <c r="L2244" s="169">
        <v>45309</v>
      </c>
      <c r="M2244" s="115">
        <v>652.5</v>
      </c>
      <c r="N2244" s="115">
        <v>694.95</v>
      </c>
      <c r="O2244" s="115">
        <v>646.66</v>
      </c>
      <c r="P2244" s="115">
        <v>673.8</v>
      </c>
      <c r="Q2244" s="115">
        <v>3262.5</v>
      </c>
      <c r="R2244">
        <v>68517</v>
      </c>
    </row>
    <row r="2245" spans="1:18" x14ac:dyDescent="0.25">
      <c r="A2245" s="169">
        <v>45321</v>
      </c>
      <c r="B2245" s="115">
        <v>730.6</v>
      </c>
      <c r="C2245" s="115">
        <v>716.12</v>
      </c>
      <c r="D2245" s="115">
        <v>689.86</v>
      </c>
      <c r="E2245" s="115">
        <v>689.86</v>
      </c>
      <c r="F2245" s="115">
        <v>3580.6</v>
      </c>
      <c r="G2245">
        <v>1474</v>
      </c>
      <c r="H2245" s="115"/>
      <c r="I2245" s="115"/>
      <c r="L2245" s="169">
        <v>45310</v>
      </c>
      <c r="M2245" s="115">
        <v>659.46</v>
      </c>
      <c r="N2245" s="115">
        <v>670.2</v>
      </c>
      <c r="O2245" s="115">
        <v>654</v>
      </c>
      <c r="P2245" s="115">
        <v>657.68</v>
      </c>
      <c r="Q2245" s="115">
        <v>3297.3</v>
      </c>
      <c r="R2245">
        <v>35476</v>
      </c>
    </row>
    <row r="2246" spans="1:18" x14ac:dyDescent="0.25">
      <c r="A2246" s="169">
        <v>45322</v>
      </c>
      <c r="B2246" s="115">
        <v>739.19</v>
      </c>
      <c r="C2246" s="115">
        <v>729.06</v>
      </c>
      <c r="D2246" s="115">
        <v>720.35</v>
      </c>
      <c r="E2246" s="115">
        <v>720.35</v>
      </c>
      <c r="F2246" s="115">
        <v>3645.3</v>
      </c>
      <c r="G2246">
        <v>818</v>
      </c>
      <c r="H2246" s="115"/>
      <c r="I2246" s="115"/>
      <c r="L2246" s="169">
        <v>45311</v>
      </c>
      <c r="M2246" s="115">
        <v>652.83000000000004</v>
      </c>
      <c r="N2246" s="115">
        <v>667.38</v>
      </c>
      <c r="O2246" s="115">
        <v>650.20000000000005</v>
      </c>
      <c r="P2246" s="115">
        <v>664.99</v>
      </c>
      <c r="Q2246" s="115">
        <v>3264.15</v>
      </c>
      <c r="R2246">
        <v>6562</v>
      </c>
    </row>
    <row r="2247" spans="1:18" x14ac:dyDescent="0.25">
      <c r="A2247" s="169">
        <v>45323</v>
      </c>
      <c r="B2247" s="115">
        <v>743.63</v>
      </c>
      <c r="C2247" s="115">
        <v>724.06</v>
      </c>
      <c r="D2247" s="115">
        <v>717.2</v>
      </c>
      <c r="E2247" s="115">
        <v>743.63</v>
      </c>
      <c r="F2247" s="115">
        <v>3620.3</v>
      </c>
      <c r="G2247">
        <v>779</v>
      </c>
      <c r="H2247" s="115"/>
      <c r="I2247" s="115"/>
      <c r="L2247" s="169">
        <v>45314</v>
      </c>
      <c r="M2247" s="115">
        <v>643.16999999999996</v>
      </c>
      <c r="N2247" s="115">
        <v>663.92</v>
      </c>
      <c r="O2247" s="115">
        <v>634.4</v>
      </c>
      <c r="P2247" s="115">
        <v>658.59</v>
      </c>
      <c r="Q2247" s="115">
        <v>3215.85</v>
      </c>
      <c r="R2247">
        <v>32106</v>
      </c>
    </row>
    <row r="2248" spans="1:18" x14ac:dyDescent="0.25">
      <c r="A2248" s="169">
        <v>45324</v>
      </c>
      <c r="B2248" s="115">
        <v>736.49</v>
      </c>
      <c r="C2248" s="115">
        <v>726.42</v>
      </c>
      <c r="D2248" s="115">
        <v>716.81</v>
      </c>
      <c r="E2248" s="115">
        <v>731.88</v>
      </c>
      <c r="F2248" s="115">
        <v>3632.1</v>
      </c>
      <c r="G2248">
        <v>1233</v>
      </c>
      <c r="H2248" s="115"/>
      <c r="I2248" s="115"/>
      <c r="L2248" s="169">
        <v>45315</v>
      </c>
      <c r="M2248" s="115">
        <v>657</v>
      </c>
      <c r="N2248" s="115">
        <v>698.88</v>
      </c>
      <c r="O2248" s="115">
        <v>645.26</v>
      </c>
      <c r="P2248" s="115">
        <v>645.79999999999995</v>
      </c>
      <c r="Q2248" s="115">
        <v>3285</v>
      </c>
      <c r="R2248">
        <v>134745</v>
      </c>
    </row>
    <row r="2249" spans="1:18" x14ac:dyDescent="0.25">
      <c r="A2249" s="169">
        <v>45327</v>
      </c>
      <c r="B2249" s="115">
        <v>745.29</v>
      </c>
      <c r="C2249" s="115">
        <v>736.54</v>
      </c>
      <c r="D2249" s="115">
        <v>726.69</v>
      </c>
      <c r="E2249" s="115">
        <v>726.69</v>
      </c>
      <c r="F2249" s="115">
        <v>3682.7</v>
      </c>
      <c r="G2249">
        <v>1136</v>
      </c>
      <c r="H2249" s="115"/>
      <c r="I2249" s="115"/>
      <c r="L2249" s="169">
        <v>45316</v>
      </c>
      <c r="M2249" s="115">
        <v>690.46</v>
      </c>
      <c r="N2249" s="115">
        <v>694</v>
      </c>
      <c r="O2249" s="115">
        <v>659.95</v>
      </c>
      <c r="P2249" s="115">
        <v>659.95</v>
      </c>
      <c r="Q2249" s="115">
        <v>3452.3</v>
      </c>
      <c r="R2249">
        <v>57358</v>
      </c>
    </row>
    <row r="2250" spans="1:18" x14ac:dyDescent="0.25">
      <c r="A2250" s="169">
        <v>45328</v>
      </c>
      <c r="B2250" s="115">
        <v>788.8</v>
      </c>
      <c r="C2250" s="115">
        <v>761.65</v>
      </c>
      <c r="D2250" s="115">
        <v>742</v>
      </c>
      <c r="E2250" s="115">
        <v>745.59</v>
      </c>
      <c r="F2250" s="115">
        <v>3808.25</v>
      </c>
      <c r="G2250">
        <v>4900</v>
      </c>
      <c r="H2250" s="115"/>
      <c r="I2250" s="115"/>
      <c r="L2250" s="169">
        <v>45320</v>
      </c>
      <c r="M2250" s="115">
        <v>708.7</v>
      </c>
      <c r="N2250" s="115">
        <v>710</v>
      </c>
      <c r="O2250" s="115">
        <v>691.99</v>
      </c>
      <c r="P2250" s="115">
        <v>695</v>
      </c>
      <c r="Q2250" s="115">
        <v>3543.5</v>
      </c>
      <c r="R2250">
        <v>45076</v>
      </c>
    </row>
    <row r="2251" spans="1:18" x14ac:dyDescent="0.25">
      <c r="A2251" s="169">
        <v>45329</v>
      </c>
      <c r="B2251" s="115">
        <v>795.64</v>
      </c>
      <c r="C2251" s="115">
        <v>791.4</v>
      </c>
      <c r="D2251" s="115">
        <v>769.8</v>
      </c>
      <c r="E2251" s="115">
        <v>769.8</v>
      </c>
      <c r="F2251" s="115">
        <v>3957</v>
      </c>
      <c r="G2251">
        <v>1611</v>
      </c>
      <c r="H2251" s="115"/>
      <c r="I2251" s="115"/>
      <c r="L2251" s="169">
        <v>45321</v>
      </c>
      <c r="M2251" s="115">
        <v>716.55</v>
      </c>
      <c r="N2251" s="115">
        <v>731.8</v>
      </c>
      <c r="O2251" s="115">
        <v>706.96</v>
      </c>
      <c r="P2251" s="115">
        <v>711.6</v>
      </c>
      <c r="Q2251" s="115">
        <v>3582.75</v>
      </c>
      <c r="R2251">
        <v>59633</v>
      </c>
    </row>
    <row r="2252" spans="1:18" x14ac:dyDescent="0.25">
      <c r="A2252" s="169">
        <v>45330</v>
      </c>
      <c r="B2252" s="115">
        <v>815</v>
      </c>
      <c r="C2252" s="115">
        <v>786.24</v>
      </c>
      <c r="D2252" s="115">
        <v>781.25</v>
      </c>
      <c r="E2252" s="115">
        <v>788.29</v>
      </c>
      <c r="F2252" s="115">
        <v>3931.2</v>
      </c>
      <c r="G2252">
        <v>1863</v>
      </c>
      <c r="H2252" s="115"/>
      <c r="I2252" s="115"/>
      <c r="L2252" s="169">
        <v>45322</v>
      </c>
      <c r="M2252" s="115">
        <v>729.65</v>
      </c>
      <c r="N2252" s="115">
        <v>739.05</v>
      </c>
      <c r="O2252" s="115">
        <v>715.72</v>
      </c>
      <c r="P2252" s="115">
        <v>718</v>
      </c>
      <c r="Q2252" s="115">
        <v>3648.25</v>
      </c>
      <c r="R2252">
        <v>52587</v>
      </c>
    </row>
    <row r="2253" spans="1:18" x14ac:dyDescent="0.25">
      <c r="A2253" s="169">
        <v>45331</v>
      </c>
      <c r="B2253" s="115">
        <v>806</v>
      </c>
      <c r="C2253" s="115">
        <v>801.23</v>
      </c>
      <c r="D2253" s="115">
        <v>772.01</v>
      </c>
      <c r="E2253" s="115">
        <v>772.01</v>
      </c>
      <c r="F2253" s="115">
        <v>4006.15</v>
      </c>
      <c r="G2253">
        <v>1154</v>
      </c>
      <c r="H2253" s="115"/>
      <c r="I2253" s="115"/>
      <c r="L2253" s="169">
        <v>45323</v>
      </c>
      <c r="M2253" s="115">
        <v>723.39</v>
      </c>
      <c r="N2253" s="115">
        <v>731.65</v>
      </c>
      <c r="O2253" s="115">
        <v>716.03</v>
      </c>
      <c r="P2253" s="115">
        <v>729.36</v>
      </c>
      <c r="Q2253" s="115">
        <v>3616.95</v>
      </c>
      <c r="R2253">
        <v>28052</v>
      </c>
    </row>
    <row r="2254" spans="1:18" x14ac:dyDescent="0.25">
      <c r="A2254" s="169">
        <v>45334</v>
      </c>
      <c r="B2254" s="115">
        <v>801.73</v>
      </c>
      <c r="C2254" s="115">
        <v>716.16</v>
      </c>
      <c r="D2254" s="115">
        <v>709.08</v>
      </c>
      <c r="E2254" s="115">
        <v>771.08</v>
      </c>
      <c r="F2254" s="115">
        <v>3580.8</v>
      </c>
      <c r="G2254">
        <v>3309</v>
      </c>
      <c r="H2254" s="115"/>
      <c r="I2254" s="115"/>
      <c r="L2254" s="169">
        <v>45324</v>
      </c>
      <c r="M2254" s="115">
        <v>725.89</v>
      </c>
      <c r="N2254" s="115">
        <v>737.59</v>
      </c>
      <c r="O2254" s="115">
        <v>716.81</v>
      </c>
      <c r="P2254" s="115">
        <v>733.23</v>
      </c>
      <c r="Q2254" s="115">
        <v>3629.45</v>
      </c>
      <c r="R2254">
        <v>21880</v>
      </c>
    </row>
    <row r="2255" spans="1:18" x14ac:dyDescent="0.25">
      <c r="A2255" s="169">
        <v>45335</v>
      </c>
      <c r="B2255" s="115">
        <v>762.04</v>
      </c>
      <c r="C2255" s="115">
        <v>753.74</v>
      </c>
      <c r="D2255" s="115">
        <v>723.76</v>
      </c>
      <c r="E2255" s="115">
        <v>723.76</v>
      </c>
      <c r="F2255" s="115">
        <v>3768.7</v>
      </c>
      <c r="G2255">
        <v>3055</v>
      </c>
      <c r="H2255" s="115"/>
      <c r="I2255" s="115"/>
      <c r="L2255" s="169">
        <v>45327</v>
      </c>
      <c r="M2255" s="115">
        <v>736.31</v>
      </c>
      <c r="N2255" s="115">
        <v>744.94</v>
      </c>
      <c r="O2255" s="115">
        <v>720.21</v>
      </c>
      <c r="P2255" s="115">
        <v>725.81</v>
      </c>
      <c r="Q2255" s="115">
        <v>3681.55</v>
      </c>
      <c r="R2255">
        <v>28974</v>
      </c>
    </row>
    <row r="2256" spans="1:18" x14ac:dyDescent="0.25">
      <c r="A2256" s="169">
        <v>45336</v>
      </c>
      <c r="B2256" s="115">
        <v>789.8</v>
      </c>
      <c r="C2256" s="115">
        <v>772.62</v>
      </c>
      <c r="D2256" s="115">
        <v>747.74</v>
      </c>
      <c r="E2256" s="115">
        <v>747.83</v>
      </c>
      <c r="F2256" s="115">
        <v>3863.1</v>
      </c>
      <c r="G2256">
        <v>2203</v>
      </c>
      <c r="H2256" s="115"/>
      <c r="I2256" s="115"/>
      <c r="L2256" s="169">
        <v>45328</v>
      </c>
      <c r="M2256" s="115">
        <v>762.5</v>
      </c>
      <c r="N2256" s="115">
        <v>789.2</v>
      </c>
      <c r="O2256" s="115">
        <v>739.8</v>
      </c>
      <c r="P2256" s="115">
        <v>739.8</v>
      </c>
      <c r="Q2256" s="115">
        <v>3812.5</v>
      </c>
      <c r="R2256">
        <v>117054</v>
      </c>
    </row>
    <row r="2257" spans="1:18" x14ac:dyDescent="0.25">
      <c r="A2257" s="169">
        <v>45337</v>
      </c>
      <c r="B2257" s="115">
        <v>798.99</v>
      </c>
      <c r="C2257" s="115">
        <v>780.44</v>
      </c>
      <c r="D2257" s="115">
        <v>766.2</v>
      </c>
      <c r="E2257" s="115">
        <v>768.46</v>
      </c>
      <c r="F2257" s="115">
        <v>3902.2</v>
      </c>
      <c r="G2257">
        <v>3075</v>
      </c>
      <c r="H2257" s="115"/>
      <c r="I2257" s="115"/>
      <c r="L2257" s="169">
        <v>45329</v>
      </c>
      <c r="M2257" s="115">
        <v>788</v>
      </c>
      <c r="N2257" s="115">
        <v>794.94</v>
      </c>
      <c r="O2257" s="115">
        <v>763.63</v>
      </c>
      <c r="P2257" s="115">
        <v>763.63</v>
      </c>
      <c r="Q2257" s="115">
        <v>3940</v>
      </c>
      <c r="R2257">
        <v>80791</v>
      </c>
    </row>
    <row r="2258" spans="1:18" x14ac:dyDescent="0.25">
      <c r="A2258" s="169">
        <v>45338</v>
      </c>
      <c r="B2258" s="115">
        <v>820</v>
      </c>
      <c r="C2258" s="115">
        <v>816.93</v>
      </c>
      <c r="D2258" s="115">
        <v>784.31</v>
      </c>
      <c r="E2258" s="115">
        <v>784.73</v>
      </c>
      <c r="F2258" s="115">
        <v>4084.65</v>
      </c>
      <c r="G2258">
        <v>1972</v>
      </c>
      <c r="H2258" s="115"/>
      <c r="I2258" s="115"/>
      <c r="L2258" s="169">
        <v>45330</v>
      </c>
      <c r="M2258" s="115">
        <v>787.74</v>
      </c>
      <c r="N2258" s="115">
        <v>816.37</v>
      </c>
      <c r="O2258" s="115">
        <v>784.3</v>
      </c>
      <c r="P2258" s="115">
        <v>792.93</v>
      </c>
      <c r="Q2258" s="115">
        <v>3938.7</v>
      </c>
      <c r="R2258">
        <v>55007</v>
      </c>
    </row>
    <row r="2259" spans="1:18" x14ac:dyDescent="0.25">
      <c r="A2259" s="169">
        <v>45341</v>
      </c>
      <c r="B2259" s="115">
        <v>842.24</v>
      </c>
      <c r="C2259" s="115">
        <v>816.53</v>
      </c>
      <c r="D2259" s="115">
        <v>805.55</v>
      </c>
      <c r="E2259" s="115">
        <v>811</v>
      </c>
      <c r="F2259" s="115">
        <v>4082.65</v>
      </c>
      <c r="G2259">
        <v>2937</v>
      </c>
      <c r="H2259" s="115"/>
      <c r="I2259" s="115"/>
      <c r="L2259" s="169">
        <v>45331</v>
      </c>
      <c r="M2259" s="115">
        <v>800.83</v>
      </c>
      <c r="N2259" s="115">
        <v>806.44</v>
      </c>
      <c r="O2259" s="115">
        <v>772.02</v>
      </c>
      <c r="P2259" s="115">
        <v>784.54</v>
      </c>
      <c r="Q2259" s="115">
        <v>4004.15</v>
      </c>
      <c r="R2259">
        <v>34347</v>
      </c>
    </row>
    <row r="2260" spans="1:18" x14ac:dyDescent="0.25">
      <c r="A2260" s="169">
        <v>45342</v>
      </c>
      <c r="B2260" s="115">
        <v>828.62</v>
      </c>
      <c r="C2260" s="115">
        <v>810.51</v>
      </c>
      <c r="D2260" s="115">
        <v>799.68</v>
      </c>
      <c r="E2260" s="115">
        <v>828.61</v>
      </c>
      <c r="F2260" s="115">
        <v>4052.55</v>
      </c>
      <c r="G2260">
        <v>2060</v>
      </c>
      <c r="H2260" s="115"/>
      <c r="I2260" s="115"/>
      <c r="L2260" s="169">
        <v>45334</v>
      </c>
      <c r="M2260" s="115">
        <v>717.05</v>
      </c>
      <c r="N2260" s="115">
        <v>807.19</v>
      </c>
      <c r="O2260" s="115">
        <v>710.3</v>
      </c>
      <c r="P2260" s="115">
        <v>803.8</v>
      </c>
      <c r="Q2260" s="115">
        <v>3585.25</v>
      </c>
      <c r="R2260">
        <v>50504</v>
      </c>
    </row>
    <row r="2261" spans="1:18" x14ac:dyDescent="0.25">
      <c r="A2261" s="169">
        <v>45343</v>
      </c>
      <c r="B2261" s="115">
        <v>818.01</v>
      </c>
      <c r="C2261" s="115">
        <v>787.3</v>
      </c>
      <c r="D2261" s="115">
        <v>782.2</v>
      </c>
      <c r="E2261" s="115">
        <v>818.01</v>
      </c>
      <c r="F2261" s="115">
        <v>3936.5</v>
      </c>
      <c r="G2261">
        <v>1851</v>
      </c>
      <c r="H2261" s="115"/>
      <c r="I2261" s="115"/>
      <c r="L2261" s="169">
        <v>45335</v>
      </c>
      <c r="M2261" s="115">
        <v>754.99</v>
      </c>
      <c r="N2261" s="115">
        <v>763</v>
      </c>
      <c r="O2261" s="115">
        <v>729.85</v>
      </c>
      <c r="P2261" s="115">
        <v>730</v>
      </c>
      <c r="Q2261" s="115">
        <v>3774.95</v>
      </c>
      <c r="R2261">
        <v>95484</v>
      </c>
    </row>
    <row r="2262" spans="1:18" x14ac:dyDescent="0.25">
      <c r="A2262" s="169">
        <v>45344</v>
      </c>
      <c r="B2262" s="115">
        <v>798.55</v>
      </c>
      <c r="C2262" s="115">
        <v>784.04</v>
      </c>
      <c r="D2262" s="115">
        <v>766.4</v>
      </c>
      <c r="E2262" s="115">
        <v>787.55</v>
      </c>
      <c r="F2262" s="115">
        <v>3920.2</v>
      </c>
      <c r="G2262">
        <v>2775</v>
      </c>
      <c r="H2262" s="115"/>
      <c r="I2262" s="115"/>
      <c r="L2262" s="169">
        <v>45336</v>
      </c>
      <c r="M2262" s="115">
        <v>771.1</v>
      </c>
      <c r="N2262" s="115">
        <v>789.48</v>
      </c>
      <c r="O2262" s="115">
        <v>744</v>
      </c>
      <c r="P2262" s="115">
        <v>754</v>
      </c>
      <c r="Q2262" s="115">
        <v>3855.5</v>
      </c>
      <c r="R2262">
        <v>78332</v>
      </c>
    </row>
    <row r="2263" spans="1:18" x14ac:dyDescent="0.25">
      <c r="A2263" s="169">
        <v>45345</v>
      </c>
      <c r="B2263" s="115">
        <v>797.87</v>
      </c>
      <c r="C2263" s="115">
        <v>789.53</v>
      </c>
      <c r="D2263" s="115">
        <v>780</v>
      </c>
      <c r="E2263" s="115">
        <v>797.87</v>
      </c>
      <c r="F2263" s="115">
        <v>3947.65</v>
      </c>
      <c r="G2263">
        <v>1284</v>
      </c>
      <c r="H2263" s="115"/>
      <c r="I2263" s="115"/>
      <c r="L2263" s="169">
        <v>45337</v>
      </c>
      <c r="M2263" s="115">
        <v>782.9</v>
      </c>
      <c r="N2263" s="115">
        <v>799.6</v>
      </c>
      <c r="O2263" s="115">
        <v>765</v>
      </c>
      <c r="P2263" s="115">
        <v>769</v>
      </c>
      <c r="Q2263" s="115">
        <v>3914.5</v>
      </c>
      <c r="R2263">
        <v>43302</v>
      </c>
    </row>
    <row r="2264" spans="1:18" x14ac:dyDescent="0.25">
      <c r="A2264" s="169">
        <v>45348</v>
      </c>
      <c r="B2264" s="115">
        <v>806</v>
      </c>
      <c r="C2264" s="115">
        <v>793.79</v>
      </c>
      <c r="D2264" s="115">
        <v>776.53</v>
      </c>
      <c r="E2264" s="115">
        <v>782.71</v>
      </c>
      <c r="F2264" s="115">
        <v>3968.95</v>
      </c>
      <c r="G2264">
        <v>2102</v>
      </c>
      <c r="H2264" s="115"/>
      <c r="I2264" s="115"/>
      <c r="L2264" s="169">
        <v>45338</v>
      </c>
      <c r="M2264" s="115">
        <v>816.48</v>
      </c>
      <c r="N2264" s="115">
        <v>819.74</v>
      </c>
      <c r="O2264" s="115">
        <v>777.72</v>
      </c>
      <c r="P2264" s="115">
        <v>783</v>
      </c>
      <c r="Q2264" s="115">
        <v>4082.4</v>
      </c>
      <c r="R2264">
        <v>74171</v>
      </c>
    </row>
    <row r="2265" spans="1:18" x14ac:dyDescent="0.25">
      <c r="A2265" s="169">
        <v>45349</v>
      </c>
      <c r="B2265" s="115">
        <v>804.55</v>
      </c>
      <c r="C2265" s="115">
        <v>797.49</v>
      </c>
      <c r="D2265" s="115">
        <v>789.59</v>
      </c>
      <c r="E2265" s="115">
        <v>804.55</v>
      </c>
      <c r="F2265" s="115">
        <v>3987.45</v>
      </c>
      <c r="G2265">
        <v>1770</v>
      </c>
      <c r="H2265" s="115"/>
      <c r="I2265" s="115"/>
      <c r="L2265" s="169">
        <v>45341</v>
      </c>
      <c r="M2265" s="115">
        <v>818.56</v>
      </c>
      <c r="N2265" s="115">
        <v>843.13</v>
      </c>
      <c r="O2265" s="115">
        <v>804.36</v>
      </c>
      <c r="P2265" s="115">
        <v>810</v>
      </c>
      <c r="Q2265" s="115">
        <v>4092.8</v>
      </c>
      <c r="R2265">
        <v>70885</v>
      </c>
    </row>
    <row r="2266" spans="1:18" x14ac:dyDescent="0.25">
      <c r="A2266" s="169">
        <v>45350</v>
      </c>
      <c r="B2266" s="115">
        <v>809.93</v>
      </c>
      <c r="C2266" s="115">
        <v>785.52</v>
      </c>
      <c r="D2266" s="115">
        <v>781.21</v>
      </c>
      <c r="E2266" s="115">
        <v>809.93</v>
      </c>
      <c r="F2266" s="115">
        <v>3927.6</v>
      </c>
      <c r="G2266">
        <v>1278</v>
      </c>
      <c r="H2266" s="115"/>
      <c r="I2266" s="115"/>
      <c r="L2266" s="169">
        <v>45342</v>
      </c>
      <c r="M2266" s="115">
        <v>810.89</v>
      </c>
      <c r="N2266" s="115">
        <v>827.83</v>
      </c>
      <c r="O2266" s="115">
        <v>799.9</v>
      </c>
      <c r="P2266" s="115">
        <v>824.2</v>
      </c>
      <c r="Q2266" s="115">
        <v>4054.45</v>
      </c>
      <c r="R2266">
        <v>31721</v>
      </c>
    </row>
    <row r="2267" spans="1:18" x14ac:dyDescent="0.25">
      <c r="A2267" s="169">
        <v>45351</v>
      </c>
      <c r="B2267" s="115">
        <v>764.54</v>
      </c>
      <c r="C2267" s="115">
        <v>731.75</v>
      </c>
      <c r="D2267" s="115">
        <v>723.27</v>
      </c>
      <c r="E2267" s="115">
        <v>757.99</v>
      </c>
      <c r="F2267" s="115">
        <v>3658.75</v>
      </c>
      <c r="G2267">
        <v>7360</v>
      </c>
      <c r="H2267" s="115"/>
      <c r="I2267" s="115"/>
      <c r="L2267" s="169">
        <v>45343</v>
      </c>
      <c r="M2267" s="115">
        <v>787.17</v>
      </c>
      <c r="N2267" s="115">
        <v>817</v>
      </c>
      <c r="O2267" s="115">
        <v>782.2</v>
      </c>
      <c r="P2267" s="115">
        <v>817</v>
      </c>
      <c r="Q2267" s="115">
        <v>3935.85</v>
      </c>
      <c r="R2267">
        <v>49363</v>
      </c>
    </row>
    <row r="2268" spans="1:18" x14ac:dyDescent="0.25">
      <c r="A2268" s="169">
        <v>45352</v>
      </c>
      <c r="B2268" s="115">
        <v>760</v>
      </c>
      <c r="C2268" s="115">
        <v>757.57</v>
      </c>
      <c r="D2268" s="115">
        <v>731.75</v>
      </c>
      <c r="E2268" s="115">
        <v>731.75</v>
      </c>
      <c r="F2268" s="115">
        <v>3787.85</v>
      </c>
      <c r="G2268">
        <v>1134</v>
      </c>
      <c r="H2268" s="115"/>
      <c r="I2268" s="115"/>
      <c r="L2268" s="169">
        <v>45344</v>
      </c>
      <c r="M2268" s="115">
        <v>783.87</v>
      </c>
      <c r="N2268" s="115">
        <v>799.09</v>
      </c>
      <c r="O2268" s="115">
        <v>766.8</v>
      </c>
      <c r="P2268" s="115">
        <v>787.16</v>
      </c>
      <c r="Q2268" s="115">
        <v>3919.35</v>
      </c>
      <c r="R2268">
        <v>43641</v>
      </c>
    </row>
    <row r="2269" spans="1:18" x14ac:dyDescent="0.25">
      <c r="A2269" s="169">
        <v>45353</v>
      </c>
      <c r="B2269" s="115">
        <v>769.14</v>
      </c>
      <c r="C2269" s="115">
        <v>766.59</v>
      </c>
      <c r="D2269" s="115">
        <v>722</v>
      </c>
      <c r="E2269" s="115">
        <v>743.82</v>
      </c>
      <c r="F2269" s="115">
        <v>3832.95</v>
      </c>
      <c r="G2269">
        <v>349</v>
      </c>
      <c r="H2269" s="115"/>
      <c r="I2269" s="115"/>
      <c r="L2269" s="169">
        <v>45345</v>
      </c>
      <c r="M2269" s="115">
        <v>789.53</v>
      </c>
      <c r="N2269" s="115">
        <v>797.77</v>
      </c>
      <c r="O2269" s="115">
        <v>779.96</v>
      </c>
      <c r="P2269" s="115">
        <v>785.83</v>
      </c>
      <c r="Q2269" s="115">
        <v>3947.65</v>
      </c>
      <c r="R2269">
        <v>20214</v>
      </c>
    </row>
    <row r="2270" spans="1:18" x14ac:dyDescent="0.25">
      <c r="A2270" s="169">
        <v>45355</v>
      </c>
      <c r="B2270" s="115">
        <v>771.35</v>
      </c>
      <c r="C2270" s="115">
        <v>753.41</v>
      </c>
      <c r="D2270" s="115">
        <v>746.92</v>
      </c>
      <c r="E2270" s="115">
        <v>771.35</v>
      </c>
      <c r="F2270" s="115">
        <v>3767.05</v>
      </c>
      <c r="G2270">
        <v>3209</v>
      </c>
      <c r="H2270" s="115"/>
      <c r="I2270" s="115"/>
      <c r="L2270" s="169">
        <v>45348</v>
      </c>
      <c r="M2270" s="115">
        <v>794.28</v>
      </c>
      <c r="N2270" s="115">
        <v>806.38</v>
      </c>
      <c r="O2270" s="115">
        <v>777</v>
      </c>
      <c r="P2270" s="115">
        <v>789.52</v>
      </c>
      <c r="Q2270" s="115">
        <v>3971.4</v>
      </c>
      <c r="R2270">
        <v>36939</v>
      </c>
    </row>
    <row r="2271" spans="1:18" x14ac:dyDescent="0.25">
      <c r="A2271" s="169">
        <v>45356</v>
      </c>
      <c r="B2271" s="115">
        <v>767.8</v>
      </c>
      <c r="C2271" s="115">
        <v>762.5</v>
      </c>
      <c r="D2271" s="115">
        <v>742.52</v>
      </c>
      <c r="E2271" s="115">
        <v>750.54</v>
      </c>
      <c r="F2271" s="115">
        <v>3812.5</v>
      </c>
      <c r="G2271">
        <v>1355</v>
      </c>
      <c r="H2271" s="115"/>
      <c r="I2271" s="115"/>
      <c r="L2271" s="169">
        <v>45349</v>
      </c>
      <c r="M2271" s="115">
        <v>797.23</v>
      </c>
      <c r="N2271" s="115">
        <v>802</v>
      </c>
      <c r="O2271" s="115">
        <v>789</v>
      </c>
      <c r="P2271" s="115">
        <v>797.6</v>
      </c>
      <c r="Q2271" s="115">
        <v>3986.15</v>
      </c>
      <c r="R2271">
        <v>41347</v>
      </c>
    </row>
    <row r="2272" spans="1:18" x14ac:dyDescent="0.25">
      <c r="A2272" s="169">
        <v>45357</v>
      </c>
      <c r="B2272" s="115">
        <v>762.46</v>
      </c>
      <c r="C2272" s="115">
        <v>739.58</v>
      </c>
      <c r="D2272" s="115">
        <v>725.53</v>
      </c>
      <c r="E2272" s="115">
        <v>762.46</v>
      </c>
      <c r="F2272" s="115">
        <v>3697.9</v>
      </c>
      <c r="G2272">
        <v>1468</v>
      </c>
      <c r="H2272" s="115"/>
      <c r="I2272" s="115"/>
      <c r="L2272" s="169">
        <v>45350</v>
      </c>
      <c r="M2272" s="115">
        <v>785.41</v>
      </c>
      <c r="N2272" s="115">
        <v>801.6</v>
      </c>
      <c r="O2272" s="115">
        <v>779.75</v>
      </c>
      <c r="P2272" s="115">
        <v>801.22</v>
      </c>
      <c r="Q2272" s="115">
        <v>3927.05</v>
      </c>
      <c r="R2272">
        <v>22634</v>
      </c>
    </row>
    <row r="2273" spans="1:18" x14ac:dyDescent="0.25">
      <c r="A2273" s="169">
        <v>45358</v>
      </c>
      <c r="B2273" s="115">
        <v>766</v>
      </c>
      <c r="C2273" s="115">
        <v>761.99</v>
      </c>
      <c r="D2273" s="115">
        <v>742.12</v>
      </c>
      <c r="E2273" s="115">
        <v>749.35</v>
      </c>
      <c r="F2273" s="115">
        <v>3809.95</v>
      </c>
      <c r="G2273">
        <v>2431</v>
      </c>
      <c r="H2273" s="115"/>
      <c r="I2273" s="115"/>
      <c r="L2273" s="169">
        <v>45351</v>
      </c>
      <c r="M2273" s="115">
        <v>731.92</v>
      </c>
      <c r="N2273" s="115">
        <v>767.6</v>
      </c>
      <c r="O2273" s="115">
        <v>722.79</v>
      </c>
      <c r="P2273" s="115">
        <v>753.22</v>
      </c>
      <c r="Q2273" s="115">
        <v>3659.6</v>
      </c>
      <c r="R2273">
        <v>166793</v>
      </c>
    </row>
    <row r="2274" spans="1:18" x14ac:dyDescent="0.25">
      <c r="A2274" s="169">
        <v>45362</v>
      </c>
      <c r="B2274" s="115">
        <v>771.59</v>
      </c>
      <c r="C2274" s="115">
        <v>722.85</v>
      </c>
      <c r="D2274" s="115">
        <v>714</v>
      </c>
      <c r="E2274" s="115">
        <v>756.37</v>
      </c>
      <c r="F2274" s="115">
        <v>3614.25</v>
      </c>
      <c r="G2274">
        <v>3379</v>
      </c>
      <c r="H2274" s="115"/>
      <c r="I2274" s="115"/>
      <c r="L2274" s="169">
        <v>45352</v>
      </c>
      <c r="M2274" s="115">
        <v>756.81</v>
      </c>
      <c r="N2274" s="115">
        <v>761.75</v>
      </c>
      <c r="O2274" s="115">
        <v>730</v>
      </c>
      <c r="P2274" s="115">
        <v>731.88</v>
      </c>
      <c r="Q2274" s="115">
        <v>3784.05</v>
      </c>
      <c r="R2274">
        <v>46805</v>
      </c>
    </row>
    <row r="2275" spans="1:18" x14ac:dyDescent="0.25">
      <c r="A2275" s="169">
        <v>45363</v>
      </c>
      <c r="B2275" s="115">
        <v>738.85</v>
      </c>
      <c r="C2275" s="115">
        <v>720.8</v>
      </c>
      <c r="D2275" s="115">
        <v>704.85</v>
      </c>
      <c r="E2275" s="115">
        <v>728.85</v>
      </c>
      <c r="F2275" s="115">
        <v>3604</v>
      </c>
      <c r="G2275">
        <v>3803</v>
      </c>
      <c r="H2275" s="115"/>
      <c r="I2275" s="115"/>
      <c r="L2275" s="169">
        <v>45353</v>
      </c>
      <c r="M2275" s="115">
        <v>766.93</v>
      </c>
      <c r="N2275" s="115">
        <v>769.95</v>
      </c>
      <c r="O2275" s="115">
        <v>742.2</v>
      </c>
      <c r="P2275" s="115">
        <v>763.56</v>
      </c>
      <c r="Q2275" s="115">
        <v>3834.65</v>
      </c>
      <c r="R2275">
        <v>1639</v>
      </c>
    </row>
    <row r="2276" spans="1:18" x14ac:dyDescent="0.25">
      <c r="A2276" s="169">
        <v>45364</v>
      </c>
      <c r="B2276" s="115">
        <v>720.41</v>
      </c>
      <c r="C2276" s="115">
        <v>712.74</v>
      </c>
      <c r="D2276" s="115">
        <v>663.49</v>
      </c>
      <c r="E2276" s="115">
        <v>715.13</v>
      </c>
      <c r="F2276" s="115">
        <v>3563.7</v>
      </c>
      <c r="G2276">
        <v>8625</v>
      </c>
      <c r="H2276" s="115"/>
      <c r="I2276" s="115"/>
      <c r="L2276" s="169">
        <v>45355</v>
      </c>
      <c r="M2276" s="115">
        <v>753.57</v>
      </c>
      <c r="N2276" s="115">
        <v>770.19</v>
      </c>
      <c r="O2276" s="115">
        <v>746.4</v>
      </c>
      <c r="P2276" s="115">
        <v>766.94</v>
      </c>
      <c r="Q2276" s="115">
        <v>3767.85</v>
      </c>
      <c r="R2276">
        <v>27890</v>
      </c>
    </row>
    <row r="2277" spans="1:18" x14ac:dyDescent="0.25">
      <c r="A2277" s="169">
        <v>45365</v>
      </c>
      <c r="B2277" s="115">
        <v>717.66</v>
      </c>
      <c r="C2277" s="115">
        <v>694.95</v>
      </c>
      <c r="D2277" s="115">
        <v>678.19</v>
      </c>
      <c r="E2277" s="115">
        <v>687.09</v>
      </c>
      <c r="F2277" s="115">
        <v>3474.75</v>
      </c>
      <c r="G2277">
        <v>3598</v>
      </c>
      <c r="H2277" s="115"/>
      <c r="I2277" s="115"/>
      <c r="L2277" s="169">
        <v>45356</v>
      </c>
      <c r="M2277" s="115">
        <v>763.71</v>
      </c>
      <c r="N2277" s="115">
        <v>767.83</v>
      </c>
      <c r="O2277" s="115">
        <v>742.89</v>
      </c>
      <c r="P2277" s="115">
        <v>753.56</v>
      </c>
      <c r="Q2277" s="115">
        <v>3818.55</v>
      </c>
      <c r="R2277">
        <v>32218</v>
      </c>
    </row>
    <row r="2278" spans="1:18" x14ac:dyDescent="0.25">
      <c r="A2278" s="169">
        <v>45366</v>
      </c>
      <c r="B2278" s="115">
        <v>740.91</v>
      </c>
      <c r="C2278" s="115">
        <v>723.83</v>
      </c>
      <c r="D2278" s="115">
        <v>683.82</v>
      </c>
      <c r="E2278" s="115">
        <v>700.04</v>
      </c>
      <c r="F2278" s="115">
        <v>3619.15</v>
      </c>
      <c r="G2278">
        <v>8448</v>
      </c>
      <c r="H2278" s="115"/>
      <c r="I2278" s="115"/>
      <c r="L2278" s="169">
        <v>45357</v>
      </c>
      <c r="M2278" s="115">
        <v>742.34</v>
      </c>
      <c r="N2278" s="115">
        <v>769.48</v>
      </c>
      <c r="O2278" s="115">
        <v>725.15</v>
      </c>
      <c r="P2278" s="115">
        <v>765.6</v>
      </c>
      <c r="Q2278" s="115">
        <v>3711.7</v>
      </c>
      <c r="R2278">
        <v>39528</v>
      </c>
    </row>
    <row r="2279" spans="1:18" x14ac:dyDescent="0.25">
      <c r="A2279" s="169">
        <v>45369</v>
      </c>
      <c r="B2279" s="115">
        <v>748.48</v>
      </c>
      <c r="C2279" s="115">
        <v>742.83</v>
      </c>
      <c r="D2279" s="115">
        <v>722.03</v>
      </c>
      <c r="E2279" s="115">
        <v>738.57</v>
      </c>
      <c r="F2279" s="115">
        <v>3714.15</v>
      </c>
      <c r="G2279">
        <v>2486</v>
      </c>
      <c r="H2279" s="115"/>
      <c r="I2279" s="115"/>
      <c r="L2279" s="169">
        <v>45358</v>
      </c>
      <c r="M2279" s="115">
        <v>761.98</v>
      </c>
      <c r="N2279" s="115">
        <v>766.19</v>
      </c>
      <c r="O2279" s="115">
        <v>741</v>
      </c>
      <c r="P2279" s="115">
        <v>748</v>
      </c>
      <c r="Q2279" s="115">
        <v>3809.9</v>
      </c>
      <c r="R2279">
        <v>44934</v>
      </c>
    </row>
    <row r="2280" spans="1:18" x14ac:dyDescent="0.25">
      <c r="A2280" s="169">
        <v>45370</v>
      </c>
      <c r="B2280" s="115">
        <v>747.85</v>
      </c>
      <c r="C2280" s="115">
        <v>736.13</v>
      </c>
      <c r="D2280" s="115">
        <v>724.72</v>
      </c>
      <c r="E2280" s="115">
        <v>747.85</v>
      </c>
      <c r="F2280" s="115">
        <v>3680.65</v>
      </c>
      <c r="G2280">
        <v>699</v>
      </c>
      <c r="H2280" s="115"/>
      <c r="I2280" s="115"/>
      <c r="L2280" s="169">
        <v>45362</v>
      </c>
      <c r="M2280" s="115">
        <v>722.72</v>
      </c>
      <c r="N2280" s="115">
        <v>770.68</v>
      </c>
      <c r="O2280" s="115">
        <v>713</v>
      </c>
      <c r="P2280" s="115">
        <v>763.88</v>
      </c>
      <c r="Q2280" s="115">
        <v>3613.6</v>
      </c>
      <c r="R2280">
        <v>75636</v>
      </c>
    </row>
    <row r="2281" spans="1:18" x14ac:dyDescent="0.25">
      <c r="A2281" s="169">
        <v>45371</v>
      </c>
      <c r="B2281" s="115">
        <v>750</v>
      </c>
      <c r="C2281" s="115">
        <v>748.02</v>
      </c>
      <c r="D2281" s="115">
        <v>723</v>
      </c>
      <c r="E2281" s="115">
        <v>723</v>
      </c>
      <c r="F2281" s="115">
        <v>3740.1</v>
      </c>
      <c r="G2281">
        <v>2149</v>
      </c>
      <c r="H2281" s="115"/>
      <c r="I2281" s="115"/>
      <c r="L2281" s="169">
        <v>45363</v>
      </c>
      <c r="M2281" s="115">
        <v>720.33</v>
      </c>
      <c r="N2281" s="115">
        <v>739.99</v>
      </c>
      <c r="O2281" s="115">
        <v>704.81</v>
      </c>
      <c r="P2281" s="115">
        <v>728.6</v>
      </c>
      <c r="Q2281" s="115">
        <v>3601.65</v>
      </c>
      <c r="R2281">
        <v>67947</v>
      </c>
    </row>
    <row r="2282" spans="1:18" x14ac:dyDescent="0.25">
      <c r="A2282" s="169">
        <v>45372</v>
      </c>
      <c r="B2282" s="115">
        <v>764.56</v>
      </c>
      <c r="C2282" s="115">
        <v>747.33</v>
      </c>
      <c r="D2282" s="115">
        <v>743</v>
      </c>
      <c r="E2282" s="115">
        <v>755.34</v>
      </c>
      <c r="F2282" s="115">
        <v>3736.65</v>
      </c>
      <c r="G2282">
        <v>1102</v>
      </c>
      <c r="H2282" s="115"/>
      <c r="I2282" s="115"/>
      <c r="L2282" s="169">
        <v>45364</v>
      </c>
      <c r="M2282" s="115">
        <v>715.43</v>
      </c>
      <c r="N2282" s="115">
        <v>724.94</v>
      </c>
      <c r="O2282" s="115">
        <v>663.51</v>
      </c>
      <c r="P2282" s="115">
        <v>723.93</v>
      </c>
      <c r="Q2282" s="115">
        <v>3577.15</v>
      </c>
      <c r="R2282">
        <v>129990</v>
      </c>
    </row>
    <row r="2283" spans="1:18" x14ac:dyDescent="0.25">
      <c r="A2283" s="169">
        <v>45373</v>
      </c>
      <c r="B2283" s="115">
        <v>756.42</v>
      </c>
      <c r="C2283" s="115">
        <v>744.81</v>
      </c>
      <c r="D2283" s="115">
        <v>740.6</v>
      </c>
      <c r="E2283" s="115">
        <v>752.92</v>
      </c>
      <c r="F2283" s="115">
        <v>3724.05</v>
      </c>
      <c r="G2283">
        <v>700</v>
      </c>
      <c r="H2283" s="115"/>
      <c r="I2283" s="115"/>
      <c r="L2283" s="169">
        <v>45365</v>
      </c>
      <c r="M2283" s="115">
        <v>696.28</v>
      </c>
      <c r="N2283" s="115">
        <v>718</v>
      </c>
      <c r="O2283" s="115">
        <v>677.61</v>
      </c>
      <c r="P2283" s="115">
        <v>699.34</v>
      </c>
      <c r="Q2283" s="115">
        <v>3481.4</v>
      </c>
      <c r="R2283">
        <v>86763</v>
      </c>
    </row>
    <row r="2284" spans="1:18" x14ac:dyDescent="0.25">
      <c r="A2284" s="169">
        <v>45377</v>
      </c>
      <c r="B2284" s="115">
        <v>754.96</v>
      </c>
      <c r="C2284" s="115">
        <v>740.74</v>
      </c>
      <c r="D2284" s="115">
        <v>735.02</v>
      </c>
      <c r="E2284" s="115">
        <v>743.31</v>
      </c>
      <c r="F2284" s="115">
        <v>3703.7</v>
      </c>
      <c r="G2284">
        <v>899</v>
      </c>
      <c r="H2284" s="115"/>
      <c r="I2284" s="115"/>
      <c r="L2284" s="169">
        <v>45366</v>
      </c>
      <c r="M2284" s="115">
        <v>725.18</v>
      </c>
      <c r="N2284" s="115">
        <v>743.31</v>
      </c>
      <c r="O2284" s="115">
        <v>683.52</v>
      </c>
      <c r="P2284" s="115">
        <v>696.28</v>
      </c>
      <c r="Q2284" s="115">
        <v>3625.9</v>
      </c>
      <c r="R2284">
        <v>432704</v>
      </c>
    </row>
    <row r="2285" spans="1:18" x14ac:dyDescent="0.25">
      <c r="A2285" s="169">
        <v>45378</v>
      </c>
      <c r="B2285" s="115">
        <v>767.98</v>
      </c>
      <c r="C2285" s="115">
        <v>747.86</v>
      </c>
      <c r="D2285" s="115">
        <v>739.21</v>
      </c>
      <c r="E2285" s="115">
        <v>767.98</v>
      </c>
      <c r="F2285" s="115">
        <v>3739.3</v>
      </c>
      <c r="G2285">
        <v>1134</v>
      </c>
      <c r="H2285" s="115"/>
      <c r="I2285" s="115"/>
      <c r="L2285" s="169">
        <v>45369</v>
      </c>
      <c r="M2285" s="115">
        <v>745.21</v>
      </c>
      <c r="N2285" s="115">
        <v>749.54</v>
      </c>
      <c r="O2285" s="115">
        <v>720.1</v>
      </c>
      <c r="P2285" s="115">
        <v>739.88</v>
      </c>
      <c r="Q2285" s="115">
        <v>3726.05</v>
      </c>
      <c r="R2285">
        <v>77753</v>
      </c>
    </row>
    <row r="2286" spans="1:18" x14ac:dyDescent="0.25">
      <c r="A2286" s="169">
        <v>45379</v>
      </c>
      <c r="B2286" s="115">
        <v>775.79</v>
      </c>
      <c r="C2286" s="115">
        <v>770.92</v>
      </c>
      <c r="D2286" s="115">
        <v>757.18</v>
      </c>
      <c r="E2286" s="115">
        <v>757.4</v>
      </c>
      <c r="F2286" s="115">
        <v>3854.6</v>
      </c>
      <c r="G2286">
        <v>885</v>
      </c>
      <c r="H2286" s="115"/>
      <c r="I2286" s="115"/>
      <c r="L2286" s="169">
        <v>45370</v>
      </c>
      <c r="M2286" s="115">
        <v>737.33</v>
      </c>
      <c r="N2286" s="115">
        <v>747.61</v>
      </c>
      <c r="O2286" s="115">
        <v>724.97</v>
      </c>
      <c r="P2286" s="115">
        <v>744.2</v>
      </c>
      <c r="Q2286" s="115">
        <v>3686.65</v>
      </c>
      <c r="R2286">
        <v>23630</v>
      </c>
    </row>
    <row r="2287" spans="1:18" x14ac:dyDescent="0.25">
      <c r="A2287" s="169">
        <v>45383</v>
      </c>
      <c r="B2287" s="115">
        <v>787.14</v>
      </c>
      <c r="C2287" s="115">
        <v>778.34</v>
      </c>
      <c r="D2287" s="115">
        <v>770.4</v>
      </c>
      <c r="E2287" s="115">
        <v>771.49</v>
      </c>
      <c r="F2287" s="115">
        <v>3891.7</v>
      </c>
      <c r="G2287">
        <v>839</v>
      </c>
      <c r="H2287" s="115"/>
      <c r="I2287" s="115"/>
      <c r="L2287" s="169">
        <v>45371</v>
      </c>
      <c r="M2287" s="115">
        <v>748.06</v>
      </c>
      <c r="N2287" s="115">
        <v>752.99</v>
      </c>
      <c r="O2287" s="115">
        <v>726.6</v>
      </c>
      <c r="P2287" s="115">
        <v>737.97</v>
      </c>
      <c r="Q2287" s="115">
        <v>3740.3</v>
      </c>
      <c r="R2287">
        <v>14795</v>
      </c>
    </row>
    <row r="2288" spans="1:18" x14ac:dyDescent="0.25">
      <c r="A2288" s="169">
        <v>45384</v>
      </c>
      <c r="B2288" s="115">
        <v>783.51</v>
      </c>
      <c r="C2288" s="115">
        <v>781.1</v>
      </c>
      <c r="D2288" s="115">
        <v>774.9</v>
      </c>
      <c r="E2288" s="115">
        <v>783.16</v>
      </c>
      <c r="F2288" s="115">
        <v>3905.5</v>
      </c>
      <c r="G2288">
        <v>286</v>
      </c>
      <c r="H2288" s="115"/>
      <c r="I2288" s="115"/>
      <c r="L2288" s="169">
        <v>45372</v>
      </c>
      <c r="M2288" s="115">
        <v>748.34</v>
      </c>
      <c r="N2288" s="115">
        <v>766.8</v>
      </c>
      <c r="O2288" s="115">
        <v>742.47</v>
      </c>
      <c r="P2288" s="115">
        <v>753.96</v>
      </c>
      <c r="Q2288" s="115">
        <v>3741.7</v>
      </c>
      <c r="R2288">
        <v>21467</v>
      </c>
    </row>
    <row r="2289" spans="1:18" x14ac:dyDescent="0.25">
      <c r="A2289" s="169">
        <v>45385</v>
      </c>
      <c r="B2289" s="115">
        <v>795</v>
      </c>
      <c r="C2289" s="115">
        <v>784.77</v>
      </c>
      <c r="D2289" s="115">
        <v>778.69</v>
      </c>
      <c r="E2289" s="115">
        <v>780.2</v>
      </c>
      <c r="F2289" s="115">
        <v>3923.85</v>
      </c>
      <c r="G2289">
        <v>1434</v>
      </c>
      <c r="H2289" s="115"/>
      <c r="I2289" s="115"/>
      <c r="L2289" s="169">
        <v>45373</v>
      </c>
      <c r="M2289" s="115">
        <v>744.85</v>
      </c>
      <c r="N2289" s="115">
        <v>759.8</v>
      </c>
      <c r="O2289" s="115">
        <v>740.54</v>
      </c>
      <c r="P2289" s="115">
        <v>752.98</v>
      </c>
      <c r="Q2289" s="115">
        <v>3724.25</v>
      </c>
      <c r="R2289">
        <v>15696</v>
      </c>
    </row>
    <row r="2290" spans="1:18" x14ac:dyDescent="0.25">
      <c r="A2290" s="169">
        <v>45386</v>
      </c>
      <c r="B2290" s="115">
        <v>809.79</v>
      </c>
      <c r="C2290" s="115">
        <v>787.88</v>
      </c>
      <c r="D2290" s="115">
        <v>783.69</v>
      </c>
      <c r="E2290" s="115">
        <v>809.79</v>
      </c>
      <c r="F2290" s="115">
        <v>3939.4</v>
      </c>
      <c r="G2290">
        <v>863</v>
      </c>
      <c r="H2290" s="115"/>
      <c r="I2290" s="115"/>
      <c r="L2290" s="169">
        <v>45377</v>
      </c>
      <c r="M2290" s="115">
        <v>741.08</v>
      </c>
      <c r="N2290" s="115">
        <v>756.4</v>
      </c>
      <c r="O2290" s="115">
        <v>734.44</v>
      </c>
      <c r="P2290" s="115">
        <v>751.27</v>
      </c>
      <c r="Q2290" s="115">
        <v>3705.4</v>
      </c>
      <c r="R2290">
        <v>12105</v>
      </c>
    </row>
    <row r="2291" spans="1:18" x14ac:dyDescent="0.25">
      <c r="A2291" s="169">
        <v>45387</v>
      </c>
      <c r="B2291" s="115">
        <v>791.8</v>
      </c>
      <c r="C2291" s="115">
        <v>782.29</v>
      </c>
      <c r="D2291" s="115">
        <v>768.62</v>
      </c>
      <c r="E2291" s="115">
        <v>778</v>
      </c>
      <c r="F2291" s="115">
        <v>3911.45</v>
      </c>
      <c r="G2291">
        <v>1082</v>
      </c>
      <c r="H2291" s="115"/>
      <c r="I2291" s="115"/>
      <c r="L2291" s="169">
        <v>45378</v>
      </c>
      <c r="M2291" s="115">
        <v>755.37</v>
      </c>
      <c r="N2291" s="115">
        <v>761.68</v>
      </c>
      <c r="O2291" s="115">
        <v>736.65</v>
      </c>
      <c r="P2291" s="115">
        <v>747.56</v>
      </c>
      <c r="Q2291" s="115">
        <v>3776.85</v>
      </c>
      <c r="R2291">
        <v>24350</v>
      </c>
    </row>
    <row r="2292" spans="1:18" x14ac:dyDescent="0.25">
      <c r="A2292" s="169">
        <v>45390</v>
      </c>
      <c r="B2292" s="115">
        <v>801.59</v>
      </c>
      <c r="C2292" s="115">
        <v>794.48</v>
      </c>
      <c r="D2292" s="115">
        <v>783.62</v>
      </c>
      <c r="E2292" s="115">
        <v>783.66</v>
      </c>
      <c r="F2292" s="115">
        <v>3972.4</v>
      </c>
      <c r="G2292">
        <v>738</v>
      </c>
      <c r="H2292" s="115"/>
      <c r="I2292" s="115"/>
      <c r="L2292" s="169">
        <v>45379</v>
      </c>
      <c r="M2292" s="115">
        <v>771.18</v>
      </c>
      <c r="N2292" s="115">
        <v>777.99</v>
      </c>
      <c r="O2292" s="115">
        <v>756.12</v>
      </c>
      <c r="P2292" s="115">
        <v>759.15</v>
      </c>
      <c r="Q2292" s="115">
        <v>3855.9</v>
      </c>
      <c r="R2292">
        <v>41105</v>
      </c>
    </row>
    <row r="2293" spans="1:18" x14ac:dyDescent="0.25">
      <c r="A2293" s="169">
        <v>45391</v>
      </c>
      <c r="B2293" s="115">
        <v>830</v>
      </c>
      <c r="C2293" s="115">
        <v>826.5</v>
      </c>
      <c r="D2293" s="115">
        <v>808</v>
      </c>
      <c r="E2293" s="115">
        <v>822.86</v>
      </c>
      <c r="F2293" s="115">
        <v>4132.5</v>
      </c>
      <c r="G2293">
        <v>3759</v>
      </c>
      <c r="H2293" s="115"/>
      <c r="I2293" s="115"/>
      <c r="L2293" s="169">
        <v>45383</v>
      </c>
      <c r="M2293" s="115">
        <v>779.04</v>
      </c>
      <c r="N2293" s="115">
        <v>789.36</v>
      </c>
      <c r="O2293" s="115">
        <v>769.2</v>
      </c>
      <c r="P2293" s="115">
        <v>776.53</v>
      </c>
      <c r="Q2293" s="115">
        <v>3895.2</v>
      </c>
      <c r="R2293">
        <v>21304</v>
      </c>
    </row>
    <row r="2294" spans="1:18" x14ac:dyDescent="0.25">
      <c r="A2294" s="169">
        <v>45392</v>
      </c>
      <c r="B2294" s="115">
        <v>890</v>
      </c>
      <c r="C2294" s="115">
        <v>878.5</v>
      </c>
      <c r="D2294" s="115">
        <v>831.4</v>
      </c>
      <c r="E2294" s="115">
        <v>832.12</v>
      </c>
      <c r="F2294" s="115">
        <v>4392.5</v>
      </c>
      <c r="G2294">
        <v>6035</v>
      </c>
      <c r="H2294" s="115"/>
      <c r="I2294" s="115"/>
      <c r="L2294" s="169">
        <v>45384</v>
      </c>
      <c r="M2294" s="115">
        <v>779.83</v>
      </c>
      <c r="N2294" s="115">
        <v>783.96</v>
      </c>
      <c r="O2294" s="115">
        <v>772.72</v>
      </c>
      <c r="P2294" s="115">
        <v>779.8</v>
      </c>
      <c r="Q2294" s="115">
        <v>3899.15</v>
      </c>
      <c r="R2294">
        <v>10140</v>
      </c>
    </row>
    <row r="2295" spans="1:18" x14ac:dyDescent="0.25">
      <c r="A2295" s="169">
        <v>45394</v>
      </c>
      <c r="B2295" s="115">
        <v>878.38</v>
      </c>
      <c r="C2295" s="115">
        <v>869.34</v>
      </c>
      <c r="D2295" s="115">
        <v>865.37</v>
      </c>
      <c r="E2295" s="115">
        <v>878.38</v>
      </c>
      <c r="F2295" s="115">
        <v>4346.7</v>
      </c>
      <c r="G2295">
        <v>1815</v>
      </c>
      <c r="H2295" s="115"/>
      <c r="I2295" s="115"/>
      <c r="L2295" s="169">
        <v>45385</v>
      </c>
      <c r="M2295" s="115">
        <v>787.07</v>
      </c>
      <c r="N2295" s="115">
        <v>794.99</v>
      </c>
      <c r="O2295" s="115">
        <v>775.8</v>
      </c>
      <c r="P2295" s="115">
        <v>785.04</v>
      </c>
      <c r="Q2295" s="115">
        <v>3935.35</v>
      </c>
      <c r="R2295">
        <v>35837</v>
      </c>
    </row>
    <row r="2296" spans="1:18" x14ac:dyDescent="0.25">
      <c r="A2296" s="169">
        <v>45397</v>
      </c>
      <c r="B2296" s="115">
        <v>878.21</v>
      </c>
      <c r="C2296" s="115">
        <v>854.05</v>
      </c>
      <c r="D2296" s="115">
        <v>840.64</v>
      </c>
      <c r="E2296" s="115">
        <v>854.01</v>
      </c>
      <c r="F2296" s="115">
        <v>4270.25</v>
      </c>
      <c r="G2296">
        <v>3139</v>
      </c>
      <c r="H2296" s="115"/>
      <c r="I2296" s="115"/>
      <c r="L2296" s="169">
        <v>45386</v>
      </c>
      <c r="M2296" s="115">
        <v>788.16</v>
      </c>
      <c r="N2296" s="115">
        <v>799.38</v>
      </c>
      <c r="O2296" s="115">
        <v>783.37</v>
      </c>
      <c r="P2296" s="115">
        <v>793</v>
      </c>
      <c r="Q2296" s="115">
        <v>3940.8</v>
      </c>
      <c r="R2296">
        <v>12343</v>
      </c>
    </row>
    <row r="2297" spans="1:18" x14ac:dyDescent="0.25">
      <c r="A2297" s="169">
        <v>45398</v>
      </c>
      <c r="B2297" s="115">
        <v>875.03</v>
      </c>
      <c r="C2297" s="115">
        <v>859.11</v>
      </c>
      <c r="D2297" s="115">
        <v>850.99</v>
      </c>
      <c r="E2297" s="115">
        <v>854.26</v>
      </c>
      <c r="F2297" s="115">
        <v>4295.55</v>
      </c>
      <c r="G2297">
        <v>1311</v>
      </c>
      <c r="H2297" s="115"/>
      <c r="I2297" s="115"/>
      <c r="L2297" s="169">
        <v>45387</v>
      </c>
      <c r="M2297" s="115">
        <v>783.59</v>
      </c>
      <c r="N2297" s="115">
        <v>795.06</v>
      </c>
      <c r="O2297" s="115">
        <v>767</v>
      </c>
      <c r="P2297" s="115">
        <v>792.11</v>
      </c>
      <c r="Q2297" s="115">
        <v>3917.95</v>
      </c>
      <c r="R2297">
        <v>14036</v>
      </c>
    </row>
    <row r="2298" spans="1:18" x14ac:dyDescent="0.25">
      <c r="A2298" s="169">
        <v>45400</v>
      </c>
      <c r="B2298" s="115">
        <v>908.51</v>
      </c>
      <c r="C2298" s="115">
        <v>896.06</v>
      </c>
      <c r="D2298" s="115">
        <v>866.77</v>
      </c>
      <c r="E2298" s="115">
        <v>877.69</v>
      </c>
      <c r="F2298" s="115">
        <v>4480.3</v>
      </c>
      <c r="G2298">
        <v>2301</v>
      </c>
      <c r="H2298" s="115"/>
      <c r="I2298" s="115"/>
      <c r="L2298" s="169">
        <v>45390</v>
      </c>
      <c r="M2298" s="115">
        <v>796.77</v>
      </c>
      <c r="N2298" s="115">
        <v>801</v>
      </c>
      <c r="O2298" s="115">
        <v>780</v>
      </c>
      <c r="P2298" s="115">
        <v>782.8</v>
      </c>
      <c r="Q2298" s="115">
        <v>3983.85</v>
      </c>
      <c r="R2298">
        <v>19959</v>
      </c>
    </row>
    <row r="2299" spans="1:18" x14ac:dyDescent="0.25">
      <c r="A2299" s="169">
        <v>45401</v>
      </c>
      <c r="B2299" s="115">
        <v>950.13</v>
      </c>
      <c r="C2299" s="115">
        <v>932.14</v>
      </c>
      <c r="D2299" s="115">
        <v>892</v>
      </c>
      <c r="E2299" s="115">
        <v>892.33</v>
      </c>
      <c r="F2299" s="115">
        <v>4660.7</v>
      </c>
      <c r="G2299">
        <v>6464</v>
      </c>
      <c r="H2299" s="115"/>
      <c r="I2299" s="115"/>
      <c r="L2299" s="169">
        <v>45391</v>
      </c>
      <c r="M2299" s="115">
        <v>826.63</v>
      </c>
      <c r="N2299" s="115">
        <v>830</v>
      </c>
      <c r="O2299" s="115">
        <v>808</v>
      </c>
      <c r="P2299" s="115">
        <v>812</v>
      </c>
      <c r="Q2299" s="115">
        <v>4133.1499999999996</v>
      </c>
      <c r="R2299">
        <v>138759</v>
      </c>
    </row>
    <row r="2300" spans="1:18" x14ac:dyDescent="0.25">
      <c r="A2300" s="169">
        <v>45404</v>
      </c>
      <c r="B2300" s="115">
        <v>956</v>
      </c>
      <c r="C2300" s="115">
        <v>926.95</v>
      </c>
      <c r="D2300" s="115">
        <v>923.22</v>
      </c>
      <c r="E2300" s="115">
        <v>949.31</v>
      </c>
      <c r="F2300" s="115">
        <v>4634.75</v>
      </c>
      <c r="G2300">
        <v>6391</v>
      </c>
      <c r="H2300" s="115"/>
      <c r="I2300" s="115"/>
      <c r="L2300" s="169">
        <v>45392</v>
      </c>
      <c r="M2300" s="115">
        <v>879.98</v>
      </c>
      <c r="N2300" s="115">
        <v>890.22</v>
      </c>
      <c r="O2300" s="115">
        <v>830.2</v>
      </c>
      <c r="P2300" s="115">
        <v>834</v>
      </c>
      <c r="Q2300" s="115">
        <v>4399.8999999999996</v>
      </c>
      <c r="R2300">
        <v>156330</v>
      </c>
    </row>
    <row r="2301" spans="1:18" x14ac:dyDescent="0.25">
      <c r="A2301" s="169">
        <v>45405</v>
      </c>
      <c r="B2301" s="115">
        <v>940</v>
      </c>
      <c r="C2301" s="115">
        <v>932.2</v>
      </c>
      <c r="D2301" s="115">
        <v>899.27</v>
      </c>
      <c r="E2301" s="115">
        <v>920.21</v>
      </c>
      <c r="F2301" s="115">
        <v>4661</v>
      </c>
      <c r="G2301">
        <v>2324</v>
      </c>
      <c r="H2301" s="115"/>
      <c r="I2301" s="115"/>
      <c r="L2301" s="169">
        <v>45394</v>
      </c>
      <c r="M2301" s="115">
        <v>871.34</v>
      </c>
      <c r="N2301" s="115">
        <v>876.99</v>
      </c>
      <c r="O2301" s="115">
        <v>861.14</v>
      </c>
      <c r="P2301" s="115">
        <v>870</v>
      </c>
      <c r="Q2301" s="115">
        <v>4356.7</v>
      </c>
      <c r="R2301">
        <v>40574</v>
      </c>
    </row>
    <row r="2302" spans="1:18" x14ac:dyDescent="0.25">
      <c r="A2302" s="169">
        <v>45406</v>
      </c>
      <c r="B2302" s="115">
        <v>950.14</v>
      </c>
      <c r="C2302" s="115">
        <v>934.94</v>
      </c>
      <c r="D2302" s="115">
        <v>930.57</v>
      </c>
      <c r="E2302" s="115">
        <v>937.85</v>
      </c>
      <c r="F2302" s="115">
        <v>4674.7</v>
      </c>
      <c r="G2302">
        <v>1262</v>
      </c>
      <c r="H2302" s="115"/>
      <c r="I2302" s="115"/>
      <c r="L2302" s="169">
        <v>45397</v>
      </c>
      <c r="M2302" s="115">
        <v>862.22</v>
      </c>
      <c r="N2302" s="115">
        <v>879.98</v>
      </c>
      <c r="O2302" s="115">
        <v>841.8</v>
      </c>
      <c r="P2302" s="115">
        <v>871</v>
      </c>
      <c r="Q2302" s="115">
        <v>4311.1000000000004</v>
      </c>
      <c r="R2302">
        <v>45835</v>
      </c>
    </row>
    <row r="2303" spans="1:18" x14ac:dyDescent="0.25">
      <c r="A2303" s="169">
        <v>45407</v>
      </c>
      <c r="B2303" s="115">
        <v>994.02</v>
      </c>
      <c r="C2303" s="115">
        <v>986.08</v>
      </c>
      <c r="D2303" s="115">
        <v>934.7</v>
      </c>
      <c r="E2303" s="115">
        <v>934.8</v>
      </c>
      <c r="F2303" s="115">
        <v>4930.3999999999996</v>
      </c>
      <c r="G2303">
        <v>6253</v>
      </c>
      <c r="H2303" s="115"/>
      <c r="I2303" s="115"/>
      <c r="L2303" s="169">
        <v>45398</v>
      </c>
      <c r="M2303" s="115">
        <v>860.73</v>
      </c>
      <c r="N2303" s="115">
        <v>875.99</v>
      </c>
      <c r="O2303" s="115">
        <v>848.06</v>
      </c>
      <c r="P2303" s="115">
        <v>850</v>
      </c>
      <c r="Q2303" s="115">
        <v>4303.6499999999996</v>
      </c>
      <c r="R2303">
        <v>24519</v>
      </c>
    </row>
    <row r="2304" spans="1:18" x14ac:dyDescent="0.25">
      <c r="A2304" s="169">
        <v>45408</v>
      </c>
      <c r="B2304" s="115">
        <v>1037</v>
      </c>
      <c r="C2304" s="115">
        <v>935.63</v>
      </c>
      <c r="D2304" s="115">
        <v>928</v>
      </c>
      <c r="E2304" s="115">
        <v>997.8</v>
      </c>
      <c r="F2304" s="115">
        <v>4678.1499999999996</v>
      </c>
      <c r="G2304">
        <v>10249</v>
      </c>
      <c r="H2304" s="115"/>
      <c r="I2304" s="115"/>
      <c r="L2304" s="169">
        <v>45400</v>
      </c>
      <c r="M2304" s="115">
        <v>901.55</v>
      </c>
      <c r="N2304" s="115">
        <v>909.09</v>
      </c>
      <c r="O2304" s="115">
        <v>861.14</v>
      </c>
      <c r="P2304" s="115">
        <v>861.14</v>
      </c>
      <c r="Q2304" s="115">
        <v>4507.75</v>
      </c>
      <c r="R2304">
        <v>78887</v>
      </c>
    </row>
    <row r="2305" spans="1:18" x14ac:dyDescent="0.25">
      <c r="A2305" s="169">
        <v>45411</v>
      </c>
      <c r="B2305" s="115">
        <v>953</v>
      </c>
      <c r="C2305" s="115">
        <v>921.06</v>
      </c>
      <c r="D2305" s="115">
        <v>900</v>
      </c>
      <c r="E2305" s="115">
        <v>938.77</v>
      </c>
      <c r="F2305" s="115">
        <v>4605.3</v>
      </c>
      <c r="G2305">
        <v>8306</v>
      </c>
      <c r="H2305" s="115"/>
      <c r="I2305" s="115"/>
      <c r="L2305" s="169">
        <v>45401</v>
      </c>
      <c r="M2305" s="115">
        <v>931.29</v>
      </c>
      <c r="N2305" s="115">
        <v>951.49</v>
      </c>
      <c r="O2305" s="115">
        <v>890</v>
      </c>
      <c r="P2305" s="115">
        <v>900</v>
      </c>
      <c r="Q2305" s="115">
        <v>4656.45</v>
      </c>
      <c r="R2305">
        <v>173813</v>
      </c>
    </row>
    <row r="2306" spans="1:18" x14ac:dyDescent="0.25">
      <c r="A2306" s="169">
        <v>45412</v>
      </c>
      <c r="B2306" s="115">
        <v>923.08</v>
      </c>
      <c r="C2306" s="115">
        <v>902.06</v>
      </c>
      <c r="D2306" s="115">
        <v>897.13</v>
      </c>
      <c r="E2306" s="115">
        <v>920</v>
      </c>
      <c r="F2306" s="115">
        <v>4510.3</v>
      </c>
      <c r="G2306">
        <v>3412</v>
      </c>
      <c r="H2306" s="115"/>
      <c r="I2306" s="115"/>
      <c r="L2306" s="169">
        <v>45404</v>
      </c>
      <c r="M2306" s="115">
        <v>926.68</v>
      </c>
      <c r="N2306" s="115">
        <v>957.6</v>
      </c>
      <c r="O2306" s="115">
        <v>921.3</v>
      </c>
      <c r="P2306" s="115">
        <v>938.84</v>
      </c>
      <c r="Q2306" s="115">
        <v>4633.3999999999996</v>
      </c>
      <c r="R2306">
        <v>50101</v>
      </c>
    </row>
    <row r="2307" spans="1:18" x14ac:dyDescent="0.25">
      <c r="A2307" s="169">
        <v>45414</v>
      </c>
      <c r="B2307" s="115">
        <v>925.07</v>
      </c>
      <c r="C2307" s="115">
        <v>921.97</v>
      </c>
      <c r="D2307" s="115">
        <v>895.66</v>
      </c>
      <c r="E2307" s="115">
        <v>904</v>
      </c>
      <c r="F2307" s="115">
        <v>4609.8500000000004</v>
      </c>
      <c r="G2307">
        <v>2105</v>
      </c>
      <c r="H2307" s="115"/>
      <c r="I2307" s="115"/>
      <c r="L2307" s="169">
        <v>45405</v>
      </c>
      <c r="M2307" s="115">
        <v>932.7</v>
      </c>
      <c r="N2307" s="115">
        <v>940.2</v>
      </c>
      <c r="O2307" s="115">
        <v>899.83</v>
      </c>
      <c r="P2307" s="115">
        <v>926.99</v>
      </c>
      <c r="Q2307" s="115">
        <v>4663.5</v>
      </c>
      <c r="R2307">
        <v>93314</v>
      </c>
    </row>
    <row r="2308" spans="1:18" x14ac:dyDescent="0.25">
      <c r="A2308" s="169">
        <v>45415</v>
      </c>
      <c r="B2308" s="115">
        <v>944</v>
      </c>
      <c r="C2308" s="115">
        <v>931.78</v>
      </c>
      <c r="D2308" s="115">
        <v>920</v>
      </c>
      <c r="E2308" s="115">
        <v>925.43</v>
      </c>
      <c r="F2308" s="115">
        <v>4658.8999999999996</v>
      </c>
      <c r="G2308">
        <v>1993</v>
      </c>
      <c r="H2308" s="115"/>
      <c r="I2308" s="115"/>
      <c r="L2308" s="169">
        <v>45406</v>
      </c>
      <c r="M2308" s="115">
        <v>936.45</v>
      </c>
      <c r="N2308" s="115">
        <v>948.75</v>
      </c>
      <c r="O2308" s="115">
        <v>930.01</v>
      </c>
      <c r="P2308" s="115">
        <v>939.4</v>
      </c>
      <c r="Q2308" s="115">
        <v>4682.25</v>
      </c>
      <c r="R2308">
        <v>20307</v>
      </c>
    </row>
    <row r="2309" spans="1:18" x14ac:dyDescent="0.25">
      <c r="A2309" s="169">
        <v>45418</v>
      </c>
      <c r="B2309" s="115">
        <v>959.99</v>
      </c>
      <c r="C2309" s="115">
        <v>905.09</v>
      </c>
      <c r="D2309" s="115">
        <v>900.74</v>
      </c>
      <c r="E2309" s="115">
        <v>959.99</v>
      </c>
      <c r="F2309" s="115">
        <v>4525.45</v>
      </c>
      <c r="G2309">
        <v>4321</v>
      </c>
      <c r="H2309" s="115"/>
      <c r="I2309" s="115"/>
      <c r="L2309" s="169">
        <v>45407</v>
      </c>
      <c r="M2309" s="115">
        <v>986.34</v>
      </c>
      <c r="N2309" s="115">
        <v>995.99</v>
      </c>
      <c r="O2309" s="115">
        <v>932.05</v>
      </c>
      <c r="P2309" s="115">
        <v>937.76</v>
      </c>
      <c r="Q2309" s="115">
        <v>4931.7</v>
      </c>
      <c r="R2309">
        <v>224932</v>
      </c>
    </row>
    <row r="2310" spans="1:18" x14ac:dyDescent="0.25">
      <c r="A2310" s="169">
        <v>45419</v>
      </c>
      <c r="B2310" s="115">
        <v>906</v>
      </c>
      <c r="C2310" s="115">
        <v>869.84</v>
      </c>
      <c r="D2310" s="115">
        <v>864.06</v>
      </c>
      <c r="E2310" s="115">
        <v>906</v>
      </c>
      <c r="F2310" s="115">
        <v>4349.2</v>
      </c>
      <c r="G2310">
        <v>2334</v>
      </c>
      <c r="H2310" s="115"/>
      <c r="I2310" s="115"/>
      <c r="L2310" s="169">
        <v>45408</v>
      </c>
      <c r="M2310" s="115">
        <v>934.95</v>
      </c>
      <c r="N2310" s="115">
        <v>1038</v>
      </c>
      <c r="O2310" s="115">
        <v>926.01</v>
      </c>
      <c r="P2310" s="115">
        <v>997.78</v>
      </c>
      <c r="Q2310" s="115">
        <v>4674.75</v>
      </c>
      <c r="R2310">
        <v>278988</v>
      </c>
    </row>
    <row r="2311" spans="1:18" x14ac:dyDescent="0.25">
      <c r="A2311" s="169">
        <v>45420</v>
      </c>
      <c r="B2311" s="115">
        <v>927</v>
      </c>
      <c r="C2311" s="115">
        <v>921.85</v>
      </c>
      <c r="D2311" s="115">
        <v>864</v>
      </c>
      <c r="E2311" s="115">
        <v>869.12</v>
      </c>
      <c r="F2311" s="115">
        <v>4609.25</v>
      </c>
      <c r="G2311">
        <v>2592</v>
      </c>
      <c r="H2311" s="115"/>
      <c r="I2311" s="115"/>
      <c r="L2311" s="169">
        <v>45411</v>
      </c>
      <c r="M2311" s="115">
        <v>920.65</v>
      </c>
      <c r="N2311" s="115">
        <v>954.42</v>
      </c>
      <c r="O2311" s="115">
        <v>905</v>
      </c>
      <c r="P2311" s="115">
        <v>950</v>
      </c>
      <c r="Q2311" s="115">
        <v>4603.25</v>
      </c>
      <c r="R2311">
        <v>76146</v>
      </c>
    </row>
    <row r="2312" spans="1:18" x14ac:dyDescent="0.25">
      <c r="A2312" s="169">
        <v>45421</v>
      </c>
      <c r="B2312" s="115">
        <v>931.04</v>
      </c>
      <c r="C2312" s="115">
        <v>899.37</v>
      </c>
      <c r="D2312" s="115">
        <v>894.23</v>
      </c>
      <c r="E2312" s="115">
        <v>929.99</v>
      </c>
      <c r="F2312" s="115">
        <v>4496.8500000000004</v>
      </c>
      <c r="G2312">
        <v>2300</v>
      </c>
      <c r="H2312" s="115"/>
      <c r="I2312" s="115"/>
      <c r="L2312" s="169">
        <v>45412</v>
      </c>
      <c r="M2312" s="115">
        <v>902.4</v>
      </c>
      <c r="N2312" s="115">
        <v>923.8</v>
      </c>
      <c r="O2312" s="115">
        <v>898</v>
      </c>
      <c r="P2312" s="115">
        <v>920</v>
      </c>
      <c r="Q2312" s="115">
        <v>4512</v>
      </c>
      <c r="R2312">
        <v>29151</v>
      </c>
    </row>
    <row r="2313" spans="1:18" x14ac:dyDescent="0.25">
      <c r="A2313" s="169">
        <v>45422</v>
      </c>
      <c r="B2313" s="115">
        <v>918.04</v>
      </c>
      <c r="C2313" s="115">
        <v>913.61</v>
      </c>
      <c r="D2313" s="115">
        <v>900.56</v>
      </c>
      <c r="E2313" s="115">
        <v>907.6</v>
      </c>
      <c r="F2313" s="115">
        <v>4568.05</v>
      </c>
      <c r="G2313">
        <v>488</v>
      </c>
      <c r="H2313" s="115"/>
      <c r="I2313" s="115"/>
      <c r="L2313" s="169">
        <v>45414</v>
      </c>
      <c r="M2313" s="115">
        <v>922.76</v>
      </c>
      <c r="N2313" s="115">
        <v>930</v>
      </c>
      <c r="O2313" s="115">
        <v>895.6</v>
      </c>
      <c r="P2313" s="115">
        <v>902.8</v>
      </c>
      <c r="Q2313" s="115">
        <v>4613.8</v>
      </c>
      <c r="R2313">
        <v>51460</v>
      </c>
    </row>
    <row r="2314" spans="1:18" x14ac:dyDescent="0.25">
      <c r="A2314" s="169">
        <v>45425</v>
      </c>
      <c r="B2314" s="115">
        <v>928.99</v>
      </c>
      <c r="C2314" s="115">
        <v>910.56</v>
      </c>
      <c r="D2314" s="115">
        <v>890.06</v>
      </c>
      <c r="E2314" s="115">
        <v>928.99</v>
      </c>
      <c r="F2314" s="115">
        <v>4552.8</v>
      </c>
      <c r="G2314">
        <v>2566</v>
      </c>
      <c r="H2314" s="115"/>
      <c r="I2314" s="115"/>
      <c r="L2314" s="169">
        <v>45415</v>
      </c>
      <c r="M2314" s="115">
        <v>930.07</v>
      </c>
      <c r="N2314" s="115">
        <v>945.53</v>
      </c>
      <c r="O2314" s="115">
        <v>916</v>
      </c>
      <c r="P2314" s="115">
        <v>930</v>
      </c>
      <c r="Q2314" s="115">
        <v>4650.3500000000004</v>
      </c>
      <c r="R2314">
        <v>53757</v>
      </c>
    </row>
    <row r="2315" spans="1:18" x14ac:dyDescent="0.25">
      <c r="A2315" s="169">
        <v>45426</v>
      </c>
      <c r="B2315" s="115">
        <v>924.99</v>
      </c>
      <c r="C2315" s="115">
        <v>914.79</v>
      </c>
      <c r="D2315" s="115">
        <v>896.67</v>
      </c>
      <c r="E2315" s="115">
        <v>924.99</v>
      </c>
      <c r="F2315" s="115">
        <v>4573.95</v>
      </c>
      <c r="G2315">
        <v>1218</v>
      </c>
      <c r="H2315" s="115"/>
      <c r="I2315" s="115"/>
      <c r="L2315" s="169">
        <v>45418</v>
      </c>
      <c r="M2315" s="115">
        <v>906.37</v>
      </c>
      <c r="N2315" s="115">
        <v>943.44</v>
      </c>
      <c r="O2315" s="115">
        <v>900</v>
      </c>
      <c r="P2315" s="115">
        <v>938.62</v>
      </c>
      <c r="Q2315" s="115">
        <v>4531.8500000000004</v>
      </c>
      <c r="R2315">
        <v>24507</v>
      </c>
    </row>
    <row r="2316" spans="1:18" x14ac:dyDescent="0.25">
      <c r="A2316" s="169">
        <v>45427</v>
      </c>
      <c r="B2316" s="115">
        <v>977.43</v>
      </c>
      <c r="C2316" s="115">
        <v>964.85</v>
      </c>
      <c r="D2316" s="115">
        <v>918.41</v>
      </c>
      <c r="E2316" s="115">
        <v>930.64</v>
      </c>
      <c r="F2316" s="115">
        <v>4824.25</v>
      </c>
      <c r="G2316">
        <v>5699</v>
      </c>
      <c r="H2316" s="115"/>
      <c r="I2316" s="115"/>
      <c r="L2316" s="169">
        <v>45419</v>
      </c>
      <c r="M2316" s="115">
        <v>871.9</v>
      </c>
      <c r="N2316" s="115">
        <v>912.8</v>
      </c>
      <c r="O2316" s="115">
        <v>863.41</v>
      </c>
      <c r="P2316" s="115">
        <v>912.8</v>
      </c>
      <c r="Q2316" s="115">
        <v>4359.5</v>
      </c>
      <c r="R2316">
        <v>76217</v>
      </c>
    </row>
    <row r="2317" spans="1:18" x14ac:dyDescent="0.25">
      <c r="A2317" s="169">
        <v>45428</v>
      </c>
      <c r="B2317" s="115">
        <v>975.59</v>
      </c>
      <c r="C2317" s="115">
        <v>961.36</v>
      </c>
      <c r="D2317" s="115">
        <v>952.06</v>
      </c>
      <c r="E2317" s="115">
        <v>975.59</v>
      </c>
      <c r="F2317" s="115">
        <v>4806.8</v>
      </c>
      <c r="G2317">
        <v>1358</v>
      </c>
      <c r="H2317" s="115"/>
      <c r="I2317" s="115"/>
      <c r="L2317" s="169">
        <v>45420</v>
      </c>
      <c r="M2317" s="115">
        <v>921.13</v>
      </c>
      <c r="N2317" s="115">
        <v>928</v>
      </c>
      <c r="O2317" s="115">
        <v>863.6</v>
      </c>
      <c r="P2317" s="115">
        <v>870</v>
      </c>
      <c r="Q2317" s="115">
        <v>4605.6499999999996</v>
      </c>
      <c r="R2317">
        <v>41815</v>
      </c>
    </row>
    <row r="2318" spans="1:18" x14ac:dyDescent="0.25">
      <c r="A2318" s="169">
        <v>45429</v>
      </c>
      <c r="B2318" s="115">
        <v>965.8</v>
      </c>
      <c r="C2318" s="115">
        <v>961.95</v>
      </c>
      <c r="D2318" s="115">
        <v>951.72</v>
      </c>
      <c r="E2318" s="115">
        <v>962</v>
      </c>
      <c r="F2318" s="115">
        <v>4809.75</v>
      </c>
      <c r="G2318">
        <v>1623</v>
      </c>
      <c r="H2318" s="115"/>
      <c r="I2318" s="115"/>
      <c r="L2318" s="169">
        <v>45421</v>
      </c>
      <c r="M2318" s="115">
        <v>900.08</v>
      </c>
      <c r="N2318" s="115">
        <v>931.27</v>
      </c>
      <c r="O2318" s="115">
        <v>894.23</v>
      </c>
      <c r="P2318" s="115">
        <v>924.01</v>
      </c>
      <c r="Q2318" s="115">
        <v>4500.3999999999996</v>
      </c>
      <c r="R2318">
        <v>24246</v>
      </c>
    </row>
    <row r="2319" spans="1:18" x14ac:dyDescent="0.25">
      <c r="A2319" s="169">
        <v>45430</v>
      </c>
      <c r="B2319" s="115">
        <v>976.09</v>
      </c>
      <c r="C2319" s="115">
        <v>963.75</v>
      </c>
      <c r="D2319" s="115">
        <v>960</v>
      </c>
      <c r="E2319" s="115">
        <v>970</v>
      </c>
      <c r="F2319" s="115">
        <v>4818.75</v>
      </c>
      <c r="G2319">
        <v>311</v>
      </c>
      <c r="H2319" s="115"/>
      <c r="I2319" s="115"/>
      <c r="L2319" s="169">
        <v>45422</v>
      </c>
      <c r="M2319" s="115">
        <v>912.37</v>
      </c>
      <c r="N2319" s="115">
        <v>918</v>
      </c>
      <c r="O2319" s="115">
        <v>900.11</v>
      </c>
      <c r="P2319" s="115">
        <v>900.11</v>
      </c>
      <c r="Q2319" s="115">
        <v>4561.8500000000004</v>
      </c>
      <c r="R2319">
        <v>13921</v>
      </c>
    </row>
    <row r="2320" spans="1:18" x14ac:dyDescent="0.25">
      <c r="A2320" s="169">
        <v>45433</v>
      </c>
      <c r="B2320" s="115">
        <v>970.13</v>
      </c>
      <c r="C2320" s="115">
        <v>934.4</v>
      </c>
      <c r="D2320" s="115">
        <v>930</v>
      </c>
      <c r="E2320" s="115">
        <v>963.75</v>
      </c>
      <c r="F2320" s="115">
        <v>4672</v>
      </c>
      <c r="G2320">
        <v>3316</v>
      </c>
      <c r="H2320" s="115"/>
      <c r="I2320" s="115"/>
      <c r="L2320" s="169">
        <v>45425</v>
      </c>
      <c r="M2320" s="115">
        <v>912.42</v>
      </c>
      <c r="N2320" s="115">
        <v>919.98</v>
      </c>
      <c r="O2320" s="115">
        <v>890.23</v>
      </c>
      <c r="P2320" s="115">
        <v>915.4</v>
      </c>
      <c r="Q2320" s="115">
        <v>4562.1000000000004</v>
      </c>
      <c r="R2320">
        <v>18134</v>
      </c>
    </row>
    <row r="2321" spans="1:18" x14ac:dyDescent="0.25">
      <c r="A2321" s="169">
        <v>45434</v>
      </c>
      <c r="B2321" s="115">
        <v>948.7</v>
      </c>
      <c r="C2321" s="115">
        <v>927.12</v>
      </c>
      <c r="D2321" s="115">
        <v>918.55</v>
      </c>
      <c r="E2321" s="115">
        <v>936.18</v>
      </c>
      <c r="F2321" s="115">
        <v>4635.6000000000004</v>
      </c>
      <c r="G2321">
        <v>1769</v>
      </c>
      <c r="H2321" s="115"/>
      <c r="I2321" s="115"/>
      <c r="L2321" s="169">
        <v>45426</v>
      </c>
      <c r="M2321" s="115">
        <v>914.62</v>
      </c>
      <c r="N2321" s="115">
        <v>924.3</v>
      </c>
      <c r="O2321" s="115">
        <v>895.02</v>
      </c>
      <c r="P2321" s="115">
        <v>914.71</v>
      </c>
      <c r="Q2321" s="115">
        <v>4573.1000000000004</v>
      </c>
      <c r="R2321">
        <v>17571</v>
      </c>
    </row>
    <row r="2322" spans="1:18" x14ac:dyDescent="0.25">
      <c r="A2322" s="169">
        <v>45435</v>
      </c>
      <c r="B2322" s="115">
        <v>932.31</v>
      </c>
      <c r="C2322" s="115">
        <v>911.28</v>
      </c>
      <c r="D2322" s="115">
        <v>905</v>
      </c>
      <c r="E2322" s="115">
        <v>926.01</v>
      </c>
      <c r="F2322" s="115">
        <v>4556.3999999999996</v>
      </c>
      <c r="G2322">
        <v>2746</v>
      </c>
      <c r="H2322" s="115"/>
      <c r="I2322" s="115"/>
      <c r="L2322" s="169">
        <v>45427</v>
      </c>
      <c r="M2322" s="115">
        <v>965.82</v>
      </c>
      <c r="N2322" s="115">
        <v>977.99</v>
      </c>
      <c r="O2322" s="115">
        <v>916.03</v>
      </c>
      <c r="P2322" s="115">
        <v>916.03</v>
      </c>
      <c r="Q2322" s="115">
        <v>4829.1000000000004</v>
      </c>
      <c r="R2322">
        <v>112786</v>
      </c>
    </row>
    <row r="2323" spans="1:18" x14ac:dyDescent="0.25">
      <c r="A2323" s="169">
        <v>45436</v>
      </c>
      <c r="B2323" s="115">
        <v>922.59</v>
      </c>
      <c r="C2323" s="115">
        <v>912.86</v>
      </c>
      <c r="D2323" s="115">
        <v>899.13</v>
      </c>
      <c r="E2323" s="115">
        <v>911.07</v>
      </c>
      <c r="F2323" s="115">
        <v>4564.3</v>
      </c>
      <c r="G2323">
        <v>3170</v>
      </c>
      <c r="H2323" s="115"/>
      <c r="I2323" s="115"/>
      <c r="L2323" s="169">
        <v>45428</v>
      </c>
      <c r="M2323" s="115">
        <v>960.46</v>
      </c>
      <c r="N2323" s="115">
        <v>974.08</v>
      </c>
      <c r="O2323" s="115">
        <v>950.33</v>
      </c>
      <c r="P2323" s="115">
        <v>970.86</v>
      </c>
      <c r="Q2323" s="115">
        <v>4802.3</v>
      </c>
      <c r="R2323">
        <v>20075</v>
      </c>
    </row>
    <row r="2324" spans="1:18" x14ac:dyDescent="0.25">
      <c r="A2324" s="169">
        <v>45439</v>
      </c>
      <c r="B2324" s="115">
        <v>919.13</v>
      </c>
      <c r="C2324" s="115">
        <v>895.02</v>
      </c>
      <c r="D2324" s="115">
        <v>892</v>
      </c>
      <c r="E2324" s="115">
        <v>901.61</v>
      </c>
      <c r="F2324" s="115">
        <v>4475.1000000000004</v>
      </c>
      <c r="G2324">
        <v>1058</v>
      </c>
      <c r="H2324" s="115"/>
      <c r="I2324" s="115"/>
      <c r="L2324" s="169">
        <v>45429</v>
      </c>
      <c r="M2324" s="115">
        <v>962.25</v>
      </c>
      <c r="N2324" s="115">
        <v>968.67</v>
      </c>
      <c r="O2324" s="115">
        <v>950.01</v>
      </c>
      <c r="P2324" s="115">
        <v>968.62</v>
      </c>
      <c r="Q2324" s="115">
        <v>4811.25</v>
      </c>
      <c r="R2324">
        <v>11333</v>
      </c>
    </row>
    <row r="2325" spans="1:18" x14ac:dyDescent="0.25">
      <c r="A2325" s="169">
        <v>45440</v>
      </c>
      <c r="B2325" s="115">
        <v>915.4</v>
      </c>
      <c r="C2325" s="115">
        <v>907.39</v>
      </c>
      <c r="D2325" s="115">
        <v>882.72</v>
      </c>
      <c r="E2325" s="115">
        <v>915.4</v>
      </c>
      <c r="F2325" s="115">
        <v>4536.95</v>
      </c>
      <c r="G2325">
        <v>1229</v>
      </c>
      <c r="H2325" s="115"/>
      <c r="I2325" s="115"/>
      <c r="L2325" s="169">
        <v>45430</v>
      </c>
      <c r="M2325" s="115">
        <v>963.75</v>
      </c>
      <c r="N2325" s="115">
        <v>976.97</v>
      </c>
      <c r="O2325" s="115">
        <v>956.01</v>
      </c>
      <c r="P2325" s="115">
        <v>970.46</v>
      </c>
      <c r="Q2325" s="115">
        <v>4818.75</v>
      </c>
      <c r="R2325">
        <v>2860</v>
      </c>
    </row>
    <row r="2326" spans="1:18" x14ac:dyDescent="0.25">
      <c r="A2326" s="169">
        <v>45441</v>
      </c>
      <c r="B2326" s="115">
        <v>920.87</v>
      </c>
      <c r="C2326" s="115">
        <v>894.89</v>
      </c>
      <c r="D2326" s="115">
        <v>887.62</v>
      </c>
      <c r="E2326" s="115">
        <v>907.8</v>
      </c>
      <c r="F2326" s="115">
        <v>4474.45</v>
      </c>
      <c r="G2326">
        <v>1273</v>
      </c>
      <c r="H2326" s="115"/>
      <c r="I2326" s="115"/>
      <c r="L2326" s="169">
        <v>45433</v>
      </c>
      <c r="M2326" s="115">
        <v>935.1</v>
      </c>
      <c r="N2326" s="115">
        <v>971.89</v>
      </c>
      <c r="O2326" s="115">
        <v>929.35</v>
      </c>
      <c r="P2326" s="115">
        <v>969.2</v>
      </c>
      <c r="Q2326" s="115">
        <v>4675.5</v>
      </c>
      <c r="R2326">
        <v>30297</v>
      </c>
    </row>
    <row r="2327" spans="1:18" x14ac:dyDescent="0.25">
      <c r="A2327" s="169">
        <v>45442</v>
      </c>
      <c r="B2327" s="115">
        <v>903.22</v>
      </c>
      <c r="C2327" s="115">
        <v>889.87</v>
      </c>
      <c r="D2327" s="115">
        <v>884.49</v>
      </c>
      <c r="E2327" s="115">
        <v>900.89</v>
      </c>
      <c r="F2327" s="115">
        <v>4449.3500000000004</v>
      </c>
      <c r="G2327">
        <v>1024</v>
      </c>
      <c r="H2327" s="115"/>
      <c r="I2327" s="115"/>
      <c r="L2327" s="169">
        <v>45434</v>
      </c>
      <c r="M2327" s="115">
        <v>926.13</v>
      </c>
      <c r="N2327" s="115">
        <v>950</v>
      </c>
      <c r="O2327" s="115">
        <v>921.11</v>
      </c>
      <c r="P2327" s="115">
        <v>938.8</v>
      </c>
      <c r="Q2327" s="115">
        <v>4630.6499999999996</v>
      </c>
      <c r="R2327">
        <v>23672</v>
      </c>
    </row>
    <row r="2328" spans="1:18" x14ac:dyDescent="0.25">
      <c r="A2328" s="169">
        <v>45443</v>
      </c>
      <c r="B2328" s="115">
        <v>963.6</v>
      </c>
      <c r="C2328" s="115">
        <v>943.16</v>
      </c>
      <c r="D2328" s="115">
        <v>892.15</v>
      </c>
      <c r="E2328" s="115">
        <v>899.8</v>
      </c>
      <c r="F2328" s="115">
        <v>4715.8</v>
      </c>
      <c r="G2328">
        <v>1790</v>
      </c>
      <c r="H2328" s="115"/>
      <c r="I2328" s="115"/>
      <c r="L2328" s="169">
        <v>45435</v>
      </c>
      <c r="M2328" s="115">
        <v>911.01</v>
      </c>
      <c r="N2328" s="115">
        <v>932.91</v>
      </c>
      <c r="O2328" s="115">
        <v>904.36</v>
      </c>
      <c r="P2328" s="115">
        <v>928</v>
      </c>
      <c r="Q2328" s="115">
        <v>4555.05</v>
      </c>
      <c r="R2328">
        <v>22333</v>
      </c>
    </row>
    <row r="2329" spans="1:18" x14ac:dyDescent="0.25">
      <c r="A2329" s="169">
        <v>45446</v>
      </c>
      <c r="B2329" s="115">
        <v>972</v>
      </c>
      <c r="C2329" s="115">
        <v>957.86</v>
      </c>
      <c r="D2329" s="115">
        <v>947.35</v>
      </c>
      <c r="E2329" s="115">
        <v>950.01</v>
      </c>
      <c r="F2329" s="115">
        <v>4789.3</v>
      </c>
      <c r="G2329">
        <v>1341</v>
      </c>
      <c r="H2329" s="115"/>
      <c r="I2329" s="115"/>
      <c r="L2329" s="169">
        <v>45436</v>
      </c>
      <c r="M2329" s="115">
        <v>912.89</v>
      </c>
      <c r="N2329" s="115">
        <v>922.19</v>
      </c>
      <c r="O2329" s="115">
        <v>898.21</v>
      </c>
      <c r="P2329" s="115">
        <v>912</v>
      </c>
      <c r="Q2329" s="115">
        <v>4564.45</v>
      </c>
      <c r="R2329">
        <v>27127</v>
      </c>
    </row>
    <row r="2330" spans="1:18" x14ac:dyDescent="0.25">
      <c r="A2330" s="169">
        <v>45447</v>
      </c>
      <c r="B2330" s="115">
        <v>958</v>
      </c>
      <c r="C2330" s="115">
        <v>881.32</v>
      </c>
      <c r="D2330" s="115">
        <v>835.46</v>
      </c>
      <c r="E2330" s="115">
        <v>958</v>
      </c>
      <c r="F2330" s="115">
        <v>4406.6000000000004</v>
      </c>
      <c r="G2330">
        <v>1366</v>
      </c>
      <c r="H2330" s="115"/>
      <c r="I2330" s="115"/>
      <c r="L2330" s="169">
        <v>45439</v>
      </c>
      <c r="M2330" s="115">
        <v>895.67</v>
      </c>
      <c r="N2330" s="115">
        <v>919.08</v>
      </c>
      <c r="O2330" s="115">
        <v>891.12</v>
      </c>
      <c r="P2330" s="115">
        <v>912.89</v>
      </c>
      <c r="Q2330" s="115">
        <v>4478.3500000000004</v>
      </c>
      <c r="R2330">
        <v>18730</v>
      </c>
    </row>
    <row r="2331" spans="1:18" x14ac:dyDescent="0.25">
      <c r="A2331" s="169">
        <v>45448</v>
      </c>
      <c r="B2331" s="115">
        <v>906</v>
      </c>
      <c r="C2331" s="115">
        <v>887.18</v>
      </c>
      <c r="D2331" s="115">
        <v>824.92</v>
      </c>
      <c r="E2331" s="115">
        <v>906</v>
      </c>
      <c r="F2331" s="115">
        <v>4435.8999999999996</v>
      </c>
      <c r="G2331">
        <v>3722</v>
      </c>
      <c r="H2331" s="115"/>
      <c r="I2331" s="115"/>
      <c r="L2331" s="169">
        <v>45440</v>
      </c>
      <c r="M2331" s="115">
        <v>907.56</v>
      </c>
      <c r="N2331" s="115">
        <v>910</v>
      </c>
      <c r="O2331" s="115">
        <v>881.22</v>
      </c>
      <c r="P2331" s="115">
        <v>900.2</v>
      </c>
      <c r="Q2331" s="115">
        <v>4537.8</v>
      </c>
      <c r="R2331">
        <v>28896</v>
      </c>
    </row>
    <row r="2332" spans="1:18" x14ac:dyDescent="0.25">
      <c r="A2332" s="169">
        <v>45449</v>
      </c>
      <c r="B2332" s="115">
        <v>915.63</v>
      </c>
      <c r="C2332" s="115">
        <v>901.47</v>
      </c>
      <c r="D2332" s="115">
        <v>891.46</v>
      </c>
      <c r="E2332" s="115">
        <v>891.46</v>
      </c>
      <c r="F2332" s="115">
        <v>4507.3500000000004</v>
      </c>
      <c r="G2332">
        <v>1007</v>
      </c>
      <c r="H2332" s="115"/>
      <c r="I2332" s="115"/>
      <c r="L2332" s="169">
        <v>45441</v>
      </c>
      <c r="M2332" s="115">
        <v>893.93</v>
      </c>
      <c r="N2332" s="115">
        <v>922.75</v>
      </c>
      <c r="O2332" s="115">
        <v>881.31</v>
      </c>
      <c r="P2332" s="115">
        <v>908.03</v>
      </c>
      <c r="Q2332" s="115">
        <v>4469.6499999999996</v>
      </c>
      <c r="R2332">
        <v>11293</v>
      </c>
    </row>
    <row r="2333" spans="1:18" x14ac:dyDescent="0.25">
      <c r="A2333" s="169">
        <v>45450</v>
      </c>
      <c r="B2333" s="115">
        <v>921.83</v>
      </c>
      <c r="C2333" s="115">
        <v>917.26</v>
      </c>
      <c r="D2333" s="115">
        <v>898.1</v>
      </c>
      <c r="E2333" s="115">
        <v>918.8</v>
      </c>
      <c r="F2333" s="115">
        <v>4586.3</v>
      </c>
      <c r="G2333">
        <v>705</v>
      </c>
      <c r="H2333" s="115"/>
      <c r="I2333" s="115"/>
      <c r="L2333" s="169">
        <v>45442</v>
      </c>
      <c r="M2333" s="115">
        <v>890.19</v>
      </c>
      <c r="N2333" s="115">
        <v>904.99</v>
      </c>
      <c r="O2333" s="115">
        <v>885</v>
      </c>
      <c r="P2333" s="115">
        <v>895.6</v>
      </c>
      <c r="Q2333" s="115">
        <v>4450.95</v>
      </c>
      <c r="R2333">
        <v>9880</v>
      </c>
    </row>
    <row r="2334" spans="1:18" x14ac:dyDescent="0.25">
      <c r="A2334" s="169">
        <v>45453</v>
      </c>
      <c r="B2334" s="115">
        <v>944.28</v>
      </c>
      <c r="C2334" s="115">
        <v>925.03</v>
      </c>
      <c r="D2334" s="115">
        <v>916</v>
      </c>
      <c r="E2334" s="115">
        <v>926.93</v>
      </c>
      <c r="F2334" s="115">
        <v>4625.1499999999996</v>
      </c>
      <c r="G2334">
        <v>879</v>
      </c>
      <c r="H2334" s="115"/>
      <c r="I2334" s="115"/>
      <c r="L2334" s="169">
        <v>45443</v>
      </c>
      <c r="M2334" s="115">
        <v>949.67</v>
      </c>
      <c r="N2334" s="115">
        <v>964.58</v>
      </c>
      <c r="O2334" s="115">
        <v>890</v>
      </c>
      <c r="P2334" s="115">
        <v>894</v>
      </c>
      <c r="Q2334" s="115">
        <v>4748.3500000000004</v>
      </c>
      <c r="R2334">
        <v>51790</v>
      </c>
    </row>
    <row r="2335" spans="1:18" x14ac:dyDescent="0.25">
      <c r="A2335" s="169">
        <v>45454</v>
      </c>
      <c r="B2335" s="115">
        <v>960.8</v>
      </c>
      <c r="C2335" s="115">
        <v>935.94</v>
      </c>
      <c r="D2335" s="115">
        <v>921.62</v>
      </c>
      <c r="E2335" s="115">
        <v>960.8</v>
      </c>
      <c r="F2335" s="115">
        <v>4679.7</v>
      </c>
      <c r="G2335">
        <v>888</v>
      </c>
      <c r="H2335" s="115"/>
      <c r="I2335" s="115"/>
      <c r="L2335" s="169">
        <v>45446</v>
      </c>
      <c r="M2335" s="115">
        <v>958.92</v>
      </c>
      <c r="N2335" s="115">
        <v>972</v>
      </c>
      <c r="O2335" s="115">
        <v>947.03</v>
      </c>
      <c r="P2335" s="115">
        <v>965</v>
      </c>
      <c r="Q2335" s="115">
        <v>4794.6000000000004</v>
      </c>
      <c r="R2335">
        <v>30448</v>
      </c>
    </row>
    <row r="2336" spans="1:18" x14ac:dyDescent="0.25">
      <c r="A2336" s="169">
        <v>45455</v>
      </c>
      <c r="B2336" s="115">
        <v>970.85</v>
      </c>
      <c r="C2336" s="115">
        <v>937.7</v>
      </c>
      <c r="D2336" s="115">
        <v>935.6</v>
      </c>
      <c r="E2336" s="115">
        <v>957.6</v>
      </c>
      <c r="F2336" s="115">
        <v>4688.5</v>
      </c>
      <c r="G2336">
        <v>996</v>
      </c>
      <c r="H2336" s="115"/>
      <c r="I2336" s="115"/>
      <c r="L2336" s="169">
        <v>45447</v>
      </c>
      <c r="M2336" s="115">
        <v>890.68</v>
      </c>
      <c r="N2336" s="115">
        <v>970</v>
      </c>
      <c r="O2336" s="115">
        <v>835.47</v>
      </c>
      <c r="P2336" s="115">
        <v>958.92</v>
      </c>
      <c r="Q2336" s="115">
        <v>4453.3999999999996</v>
      </c>
      <c r="R2336">
        <v>49670</v>
      </c>
    </row>
    <row r="2337" spans="1:18" x14ac:dyDescent="0.25">
      <c r="A2337" s="169">
        <v>45456</v>
      </c>
      <c r="B2337" s="115">
        <v>948.46</v>
      </c>
      <c r="C2337" s="115">
        <v>939.37</v>
      </c>
      <c r="D2337" s="115">
        <v>933.68</v>
      </c>
      <c r="E2337" s="115">
        <v>944.89</v>
      </c>
      <c r="F2337" s="115">
        <v>4696.8500000000004</v>
      </c>
      <c r="G2337">
        <v>1822</v>
      </c>
      <c r="H2337" s="115"/>
      <c r="I2337" s="115"/>
      <c r="L2337" s="169">
        <v>45448</v>
      </c>
      <c r="M2337" s="115">
        <v>889.22</v>
      </c>
      <c r="N2337" s="115">
        <v>918</v>
      </c>
      <c r="O2337" s="115">
        <v>824.41</v>
      </c>
      <c r="P2337" s="115">
        <v>900</v>
      </c>
      <c r="Q2337" s="115">
        <v>4446.1000000000004</v>
      </c>
      <c r="R2337">
        <v>67880</v>
      </c>
    </row>
    <row r="2338" spans="1:18" x14ac:dyDescent="0.25">
      <c r="A2338" s="169">
        <v>45457</v>
      </c>
      <c r="B2338" s="115">
        <v>962.99</v>
      </c>
      <c r="C2338" s="115">
        <v>948.8</v>
      </c>
      <c r="D2338" s="115">
        <v>942.42</v>
      </c>
      <c r="E2338" s="115">
        <v>951.99</v>
      </c>
      <c r="F2338" s="115">
        <v>4744</v>
      </c>
      <c r="G2338">
        <v>2167</v>
      </c>
      <c r="H2338" s="115"/>
      <c r="I2338" s="115"/>
      <c r="L2338" s="169">
        <v>45449</v>
      </c>
      <c r="M2338" s="115">
        <v>903.04</v>
      </c>
      <c r="N2338" s="115">
        <v>915.7</v>
      </c>
      <c r="O2338" s="115">
        <v>891.05</v>
      </c>
      <c r="P2338" s="115">
        <v>899</v>
      </c>
      <c r="Q2338" s="115">
        <v>4515.2</v>
      </c>
      <c r="R2338">
        <v>25927</v>
      </c>
    </row>
    <row r="2339" spans="1:18" x14ac:dyDescent="0.25">
      <c r="A2339" s="169">
        <v>45461</v>
      </c>
      <c r="B2339" s="115">
        <v>987.52</v>
      </c>
      <c r="C2339" s="115">
        <v>940.11</v>
      </c>
      <c r="D2339" s="115">
        <v>932.2</v>
      </c>
      <c r="E2339" s="115">
        <v>987.52</v>
      </c>
      <c r="F2339" s="115">
        <v>4700.55</v>
      </c>
      <c r="G2339">
        <v>796</v>
      </c>
      <c r="H2339" s="115"/>
      <c r="I2339" s="115"/>
      <c r="L2339" s="169">
        <v>45450</v>
      </c>
      <c r="M2339" s="115">
        <v>918.08</v>
      </c>
      <c r="N2339" s="115">
        <v>921.59</v>
      </c>
      <c r="O2339" s="115">
        <v>896.2</v>
      </c>
      <c r="P2339" s="115">
        <v>896.2</v>
      </c>
      <c r="Q2339" s="115">
        <v>4590.3999999999996</v>
      </c>
      <c r="R2339">
        <v>29645</v>
      </c>
    </row>
    <row r="2340" spans="1:18" x14ac:dyDescent="0.25">
      <c r="A2340" s="169">
        <v>45462</v>
      </c>
      <c r="B2340" s="115">
        <v>957.4</v>
      </c>
      <c r="C2340" s="115">
        <v>922.89</v>
      </c>
      <c r="D2340" s="115">
        <v>918.4</v>
      </c>
      <c r="E2340" s="115">
        <v>957.4</v>
      </c>
      <c r="F2340" s="115">
        <v>4614.45</v>
      </c>
      <c r="G2340">
        <v>852</v>
      </c>
      <c r="H2340" s="115"/>
      <c r="I2340" s="115"/>
      <c r="L2340" s="169">
        <v>45453</v>
      </c>
      <c r="M2340" s="115">
        <v>925.57</v>
      </c>
      <c r="N2340" s="115">
        <v>943.47</v>
      </c>
      <c r="O2340" s="115">
        <v>915.01</v>
      </c>
      <c r="P2340" s="115">
        <v>919.74</v>
      </c>
      <c r="Q2340" s="115">
        <v>4627.8500000000004</v>
      </c>
      <c r="R2340">
        <v>23714</v>
      </c>
    </row>
    <row r="2341" spans="1:18" x14ac:dyDescent="0.25">
      <c r="A2341" s="169">
        <v>45463</v>
      </c>
      <c r="B2341" s="115">
        <v>941.35</v>
      </c>
      <c r="C2341" s="115">
        <v>928.05</v>
      </c>
      <c r="D2341" s="115">
        <v>920.76</v>
      </c>
      <c r="E2341" s="115">
        <v>941.35</v>
      </c>
      <c r="F2341" s="115">
        <v>4640.25</v>
      </c>
      <c r="G2341">
        <v>877</v>
      </c>
      <c r="H2341" s="115"/>
      <c r="I2341" s="115"/>
      <c r="L2341" s="169">
        <v>45454</v>
      </c>
      <c r="M2341" s="115">
        <v>936.31</v>
      </c>
      <c r="N2341" s="115">
        <v>949.67</v>
      </c>
      <c r="O2341" s="115">
        <v>921.12</v>
      </c>
      <c r="P2341" s="115">
        <v>933.53</v>
      </c>
      <c r="Q2341" s="115">
        <v>4681.55</v>
      </c>
      <c r="R2341">
        <v>18810</v>
      </c>
    </row>
    <row r="2342" spans="1:18" x14ac:dyDescent="0.25">
      <c r="A2342" s="169">
        <v>45464</v>
      </c>
      <c r="B2342" s="115">
        <v>960</v>
      </c>
      <c r="C2342" s="115">
        <v>955.27</v>
      </c>
      <c r="D2342" s="115">
        <v>929.8</v>
      </c>
      <c r="E2342" s="115">
        <v>929.8</v>
      </c>
      <c r="F2342" s="115">
        <v>4776.3500000000004</v>
      </c>
      <c r="G2342">
        <v>4143</v>
      </c>
      <c r="H2342" s="115"/>
      <c r="I2342" s="115"/>
      <c r="L2342" s="169">
        <v>45455</v>
      </c>
      <c r="M2342" s="115">
        <v>937.04</v>
      </c>
      <c r="N2342" s="115">
        <v>973.15</v>
      </c>
      <c r="O2342" s="115">
        <v>934</v>
      </c>
      <c r="P2342" s="115">
        <v>956</v>
      </c>
      <c r="Q2342" s="115">
        <v>4685.2</v>
      </c>
      <c r="R2342">
        <v>67803</v>
      </c>
    </row>
    <row r="2343" spans="1:18" x14ac:dyDescent="0.25">
      <c r="A2343" s="169">
        <v>45467</v>
      </c>
      <c r="B2343" s="115">
        <v>1017.94</v>
      </c>
      <c r="C2343" s="115">
        <v>955.19</v>
      </c>
      <c r="D2343" s="115">
        <v>942.82</v>
      </c>
      <c r="E2343" s="115">
        <v>974</v>
      </c>
      <c r="F2343" s="115">
        <v>4775.95</v>
      </c>
      <c r="G2343">
        <v>6316</v>
      </c>
      <c r="H2343" s="115"/>
      <c r="I2343" s="115"/>
      <c r="L2343" s="169">
        <v>45456</v>
      </c>
      <c r="M2343" s="115">
        <v>938.64</v>
      </c>
      <c r="N2343" s="115">
        <v>949</v>
      </c>
      <c r="O2343" s="115">
        <v>932.67</v>
      </c>
      <c r="P2343" s="115">
        <v>941.54</v>
      </c>
      <c r="Q2343" s="115">
        <v>4693.2</v>
      </c>
      <c r="R2343">
        <v>17597</v>
      </c>
    </row>
    <row r="2344" spans="1:18" x14ac:dyDescent="0.25">
      <c r="A2344" s="169">
        <v>45468</v>
      </c>
      <c r="B2344" s="115">
        <v>969</v>
      </c>
      <c r="C2344" s="115">
        <v>960.51</v>
      </c>
      <c r="D2344" s="115">
        <v>952.01</v>
      </c>
      <c r="E2344" s="115">
        <v>955.19</v>
      </c>
      <c r="F2344" s="115">
        <v>4802.55</v>
      </c>
      <c r="G2344">
        <v>3276</v>
      </c>
      <c r="H2344" s="115"/>
      <c r="I2344" s="115"/>
      <c r="L2344" s="169">
        <v>45457</v>
      </c>
      <c r="M2344" s="115">
        <v>949.63</v>
      </c>
      <c r="N2344" s="115">
        <v>962.99</v>
      </c>
      <c r="O2344" s="115">
        <v>941.16</v>
      </c>
      <c r="P2344" s="115">
        <v>945.07</v>
      </c>
      <c r="Q2344" s="115">
        <v>4748.1499999999996</v>
      </c>
      <c r="R2344">
        <v>28039</v>
      </c>
    </row>
    <row r="2345" spans="1:18" x14ac:dyDescent="0.25">
      <c r="A2345" s="169">
        <v>45469</v>
      </c>
      <c r="B2345" s="115">
        <v>964</v>
      </c>
      <c r="C2345" s="115">
        <v>949.09</v>
      </c>
      <c r="D2345" s="115">
        <v>940.8</v>
      </c>
      <c r="E2345" s="115">
        <v>952.01</v>
      </c>
      <c r="F2345" s="115">
        <v>4745.45</v>
      </c>
      <c r="G2345">
        <v>4287</v>
      </c>
      <c r="H2345" s="115"/>
      <c r="I2345" s="115"/>
      <c r="L2345" s="169">
        <v>45461</v>
      </c>
      <c r="M2345" s="115">
        <v>942.59</v>
      </c>
      <c r="N2345" s="115">
        <v>969</v>
      </c>
      <c r="O2345" s="115">
        <v>927.98</v>
      </c>
      <c r="P2345" s="115">
        <v>955.98</v>
      </c>
      <c r="Q2345" s="115">
        <v>4712.95</v>
      </c>
      <c r="R2345">
        <v>26787</v>
      </c>
    </row>
    <row r="2346" spans="1:18" x14ac:dyDescent="0.25">
      <c r="A2346" s="169">
        <v>45470</v>
      </c>
      <c r="B2346" s="115">
        <v>956.97</v>
      </c>
      <c r="C2346" s="115">
        <v>937.78</v>
      </c>
      <c r="D2346" s="115">
        <v>936</v>
      </c>
      <c r="E2346" s="115">
        <v>941.21</v>
      </c>
      <c r="F2346" s="115">
        <v>4688.8999999999996</v>
      </c>
      <c r="G2346">
        <v>1526</v>
      </c>
      <c r="H2346" s="115"/>
      <c r="I2346" s="115"/>
      <c r="L2346" s="169">
        <v>45462</v>
      </c>
      <c r="M2346" s="115">
        <v>923.21</v>
      </c>
      <c r="N2346" s="115">
        <v>941.4</v>
      </c>
      <c r="O2346" s="115">
        <v>918.2</v>
      </c>
      <c r="P2346" s="115">
        <v>941.4</v>
      </c>
      <c r="Q2346" s="115">
        <v>4616.05</v>
      </c>
      <c r="R2346">
        <v>17529</v>
      </c>
    </row>
    <row r="2347" spans="1:18" x14ac:dyDescent="0.25">
      <c r="A2347" s="169">
        <v>45471</v>
      </c>
      <c r="B2347" s="115">
        <v>946.57</v>
      </c>
      <c r="C2347" s="115">
        <v>934.99</v>
      </c>
      <c r="D2347" s="115">
        <v>931.85</v>
      </c>
      <c r="E2347" s="115">
        <v>945.4</v>
      </c>
      <c r="F2347" s="115">
        <v>4674.95</v>
      </c>
      <c r="G2347">
        <v>764</v>
      </c>
      <c r="H2347" s="115"/>
      <c r="I2347" s="115"/>
      <c r="L2347" s="169">
        <v>45463</v>
      </c>
      <c r="M2347" s="115">
        <v>927.95</v>
      </c>
      <c r="N2347" s="115">
        <v>939.28</v>
      </c>
      <c r="O2347" s="115">
        <v>920.5</v>
      </c>
      <c r="P2347" s="115">
        <v>923.29</v>
      </c>
      <c r="Q2347" s="115">
        <v>4639.75</v>
      </c>
      <c r="R2347">
        <v>15800</v>
      </c>
    </row>
    <row r="2348" spans="1:18" x14ac:dyDescent="0.25">
      <c r="A2348" s="169">
        <v>45474</v>
      </c>
      <c r="B2348" s="115">
        <v>985.64</v>
      </c>
      <c r="C2348" s="115">
        <v>972.31</v>
      </c>
      <c r="D2348" s="115">
        <v>943.14</v>
      </c>
      <c r="E2348" s="115">
        <v>953.6</v>
      </c>
      <c r="F2348" s="115">
        <v>4861.55</v>
      </c>
      <c r="G2348">
        <v>2346</v>
      </c>
      <c r="H2348" s="115"/>
      <c r="I2348" s="115"/>
      <c r="L2348" s="169">
        <v>45464</v>
      </c>
      <c r="M2348" s="115">
        <v>956.11</v>
      </c>
      <c r="N2348" s="115">
        <v>959.99</v>
      </c>
      <c r="O2348" s="115">
        <v>930.26</v>
      </c>
      <c r="P2348" s="115">
        <v>935.98</v>
      </c>
      <c r="Q2348" s="115">
        <v>4780.55</v>
      </c>
      <c r="R2348">
        <v>35286</v>
      </c>
    </row>
    <row r="2349" spans="1:18" x14ac:dyDescent="0.25">
      <c r="A2349" s="169">
        <v>45475</v>
      </c>
      <c r="B2349" s="115">
        <v>1028</v>
      </c>
      <c r="C2349" s="115">
        <v>981.09</v>
      </c>
      <c r="D2349" s="115">
        <v>976.96</v>
      </c>
      <c r="E2349" s="115">
        <v>979.92</v>
      </c>
      <c r="F2349" s="115">
        <v>4905.45</v>
      </c>
      <c r="G2349">
        <v>9463</v>
      </c>
      <c r="H2349" s="115"/>
      <c r="I2349" s="115"/>
      <c r="L2349" s="169">
        <v>45467</v>
      </c>
      <c r="M2349" s="115">
        <v>954.73</v>
      </c>
      <c r="N2349" s="115">
        <v>1018</v>
      </c>
      <c r="O2349" s="115">
        <v>942</v>
      </c>
      <c r="P2349" s="115">
        <v>975.23</v>
      </c>
      <c r="Q2349" s="115">
        <v>4773.6499999999996</v>
      </c>
      <c r="R2349">
        <v>210373</v>
      </c>
    </row>
    <row r="2350" spans="1:18" x14ac:dyDescent="0.25">
      <c r="A2350" s="169">
        <v>45476</v>
      </c>
      <c r="B2350" s="115">
        <v>1012.8</v>
      </c>
      <c r="C2350" s="115">
        <v>986.92</v>
      </c>
      <c r="D2350" s="115">
        <v>983.65</v>
      </c>
      <c r="E2350" s="115">
        <v>1005.99</v>
      </c>
      <c r="F2350" s="115">
        <v>4934.6000000000004</v>
      </c>
      <c r="G2350">
        <v>2461</v>
      </c>
      <c r="H2350" s="115"/>
      <c r="I2350" s="115"/>
      <c r="L2350" s="169">
        <v>45468</v>
      </c>
      <c r="M2350" s="115">
        <v>959.24</v>
      </c>
      <c r="N2350" s="115">
        <v>969.32</v>
      </c>
      <c r="O2350" s="115">
        <v>951.95</v>
      </c>
      <c r="P2350" s="115">
        <v>955</v>
      </c>
      <c r="Q2350" s="115">
        <v>4796.2</v>
      </c>
      <c r="R2350">
        <v>21041</v>
      </c>
    </row>
    <row r="2351" spans="1:18" x14ac:dyDescent="0.25">
      <c r="A2351" s="169">
        <v>45477</v>
      </c>
      <c r="B2351" s="115">
        <v>1017.88</v>
      </c>
      <c r="C2351" s="115">
        <v>1007.46</v>
      </c>
      <c r="D2351" s="115">
        <v>986.9</v>
      </c>
      <c r="E2351" s="115">
        <v>986.9</v>
      </c>
      <c r="F2351" s="115">
        <v>5037.3</v>
      </c>
      <c r="G2351">
        <v>2227</v>
      </c>
      <c r="H2351" s="115"/>
      <c r="I2351" s="115"/>
      <c r="L2351" s="169">
        <v>45469</v>
      </c>
      <c r="M2351" s="115">
        <v>950.4</v>
      </c>
      <c r="N2351" s="115">
        <v>965</v>
      </c>
      <c r="O2351" s="115">
        <v>940</v>
      </c>
      <c r="P2351" s="115">
        <v>963</v>
      </c>
      <c r="Q2351" s="115">
        <v>4752</v>
      </c>
      <c r="R2351">
        <v>23520</v>
      </c>
    </row>
    <row r="2352" spans="1:18" x14ac:dyDescent="0.25">
      <c r="A2352" s="169">
        <v>45478</v>
      </c>
      <c r="B2352" s="115">
        <v>1020</v>
      </c>
      <c r="C2352" s="115">
        <v>985.14</v>
      </c>
      <c r="D2352" s="115">
        <v>979.6</v>
      </c>
      <c r="E2352" s="115">
        <v>1012.4</v>
      </c>
      <c r="F2352" s="115">
        <v>4925.7</v>
      </c>
      <c r="G2352">
        <v>4893</v>
      </c>
      <c r="H2352" s="115"/>
      <c r="I2352" s="115"/>
      <c r="L2352" s="169">
        <v>45470</v>
      </c>
      <c r="M2352" s="115">
        <v>938.02</v>
      </c>
      <c r="N2352" s="115">
        <v>958.2</v>
      </c>
      <c r="O2352" s="115">
        <v>936</v>
      </c>
      <c r="P2352" s="115">
        <v>950.78</v>
      </c>
      <c r="Q2352" s="115">
        <v>4690.1000000000004</v>
      </c>
      <c r="R2352">
        <v>18521</v>
      </c>
    </row>
    <row r="2353" spans="1:18" x14ac:dyDescent="0.25">
      <c r="A2353" s="169">
        <v>45481</v>
      </c>
      <c r="B2353" s="115">
        <v>1004.85</v>
      </c>
      <c r="C2353" s="115">
        <v>973.47</v>
      </c>
      <c r="D2353" s="115">
        <v>960.83</v>
      </c>
      <c r="E2353" s="115">
        <v>1004.85</v>
      </c>
      <c r="F2353" s="115">
        <v>4867.3500000000004</v>
      </c>
      <c r="G2353">
        <v>3188</v>
      </c>
      <c r="H2353" s="115"/>
      <c r="I2353" s="115"/>
      <c r="L2353" s="169">
        <v>45471</v>
      </c>
      <c r="M2353" s="115">
        <v>939.34</v>
      </c>
      <c r="N2353" s="115">
        <v>948</v>
      </c>
      <c r="O2353" s="115">
        <v>930.2</v>
      </c>
      <c r="P2353" s="115">
        <v>940</v>
      </c>
      <c r="Q2353" s="115">
        <v>4696.7</v>
      </c>
      <c r="R2353">
        <v>16897</v>
      </c>
    </row>
    <row r="2354" spans="1:18" x14ac:dyDescent="0.25">
      <c r="A2354" s="169">
        <v>45482</v>
      </c>
      <c r="B2354" s="115">
        <v>996.29</v>
      </c>
      <c r="C2354" s="115">
        <v>990.71</v>
      </c>
      <c r="D2354" s="115">
        <v>960</v>
      </c>
      <c r="E2354" s="115">
        <v>979.96</v>
      </c>
      <c r="F2354" s="115">
        <v>4953.55</v>
      </c>
      <c r="G2354">
        <v>3805</v>
      </c>
      <c r="H2354" s="115"/>
      <c r="I2354" s="115"/>
      <c r="L2354" s="169">
        <v>45474</v>
      </c>
      <c r="M2354" s="115">
        <v>970.86</v>
      </c>
      <c r="N2354" s="115">
        <v>986.89</v>
      </c>
      <c r="O2354" s="115">
        <v>942.2</v>
      </c>
      <c r="P2354" s="115">
        <v>943.6</v>
      </c>
      <c r="Q2354" s="115">
        <v>4854.3</v>
      </c>
      <c r="R2354">
        <v>48881</v>
      </c>
    </row>
    <row r="2355" spans="1:18" x14ac:dyDescent="0.25">
      <c r="A2355" s="169">
        <v>45483</v>
      </c>
      <c r="B2355" s="115">
        <v>990.77</v>
      </c>
      <c r="C2355" s="115">
        <v>970.08</v>
      </c>
      <c r="D2355" s="115">
        <v>963.96</v>
      </c>
      <c r="E2355" s="115">
        <v>990.77</v>
      </c>
      <c r="F2355" s="115">
        <v>4850.3999999999996</v>
      </c>
      <c r="G2355">
        <v>1957</v>
      </c>
      <c r="H2355" s="115"/>
      <c r="I2355" s="115"/>
      <c r="L2355" s="169">
        <v>45475</v>
      </c>
      <c r="M2355" s="115">
        <v>981.34</v>
      </c>
      <c r="N2355" s="115">
        <v>1028</v>
      </c>
      <c r="O2355" s="115">
        <v>976.24</v>
      </c>
      <c r="P2355" s="115">
        <v>980.2</v>
      </c>
      <c r="Q2355" s="115">
        <v>4906.7</v>
      </c>
      <c r="R2355">
        <v>153250</v>
      </c>
    </row>
    <row r="2356" spans="1:18" x14ac:dyDescent="0.25">
      <c r="A2356" s="169">
        <v>45484</v>
      </c>
      <c r="B2356" s="115">
        <v>973.95</v>
      </c>
      <c r="C2356" s="115">
        <v>958.46</v>
      </c>
      <c r="D2356" s="115">
        <v>955.56</v>
      </c>
      <c r="E2356" s="115">
        <v>972.2</v>
      </c>
      <c r="F2356" s="115">
        <v>4792.3</v>
      </c>
      <c r="G2356">
        <v>2455</v>
      </c>
      <c r="H2356" s="115"/>
      <c r="I2356" s="115"/>
      <c r="L2356" s="169">
        <v>45476</v>
      </c>
      <c r="M2356" s="115">
        <v>987.79</v>
      </c>
      <c r="N2356" s="115">
        <v>1013.4</v>
      </c>
      <c r="O2356" s="115">
        <v>982</v>
      </c>
      <c r="P2356" s="115">
        <v>993.31</v>
      </c>
      <c r="Q2356" s="115">
        <v>4938.95</v>
      </c>
      <c r="R2356">
        <v>60716</v>
      </c>
    </row>
    <row r="2357" spans="1:18" x14ac:dyDescent="0.25">
      <c r="A2357" s="169">
        <v>45485</v>
      </c>
      <c r="B2357" s="115">
        <v>974.4</v>
      </c>
      <c r="C2357" s="115">
        <v>943.65</v>
      </c>
      <c r="D2357" s="115">
        <v>935.98</v>
      </c>
      <c r="E2357" s="115">
        <v>974.4</v>
      </c>
      <c r="F2357" s="115">
        <v>4718.25</v>
      </c>
      <c r="G2357">
        <v>2049</v>
      </c>
      <c r="H2357" s="115"/>
      <c r="I2357" s="115"/>
      <c r="L2357" s="169">
        <v>45477</v>
      </c>
      <c r="M2357" s="115">
        <v>1006.65</v>
      </c>
      <c r="N2357" s="115">
        <v>1017.8</v>
      </c>
      <c r="O2357" s="115">
        <v>988.2</v>
      </c>
      <c r="P2357" s="115">
        <v>995.98</v>
      </c>
      <c r="Q2357" s="115">
        <v>5033.25</v>
      </c>
      <c r="R2357">
        <v>56712</v>
      </c>
    </row>
    <row r="2358" spans="1:18" x14ac:dyDescent="0.25">
      <c r="A2358" s="169">
        <v>45488</v>
      </c>
      <c r="B2358" s="115">
        <v>1057.54</v>
      </c>
      <c r="C2358" s="115">
        <v>1003.38</v>
      </c>
      <c r="D2358" s="115">
        <v>944.89</v>
      </c>
      <c r="E2358" s="115">
        <v>961.91</v>
      </c>
      <c r="F2358" s="115">
        <v>5016.8999999999996</v>
      </c>
      <c r="G2358">
        <v>17689</v>
      </c>
      <c r="H2358" s="115"/>
      <c r="I2358" s="115"/>
      <c r="L2358" s="169">
        <v>45478</v>
      </c>
      <c r="M2358" s="115">
        <v>985.16</v>
      </c>
      <c r="N2358" s="115">
        <v>1017.6</v>
      </c>
      <c r="O2358" s="115">
        <v>978</v>
      </c>
      <c r="P2358" s="115">
        <v>1015.25</v>
      </c>
      <c r="Q2358" s="115">
        <v>4925.8</v>
      </c>
      <c r="R2358">
        <v>28137</v>
      </c>
    </row>
    <row r="2359" spans="1:18" x14ac:dyDescent="0.25">
      <c r="A2359" s="169">
        <v>45489</v>
      </c>
      <c r="B2359" s="115">
        <v>1017.97</v>
      </c>
      <c r="C2359" s="115">
        <v>990.18</v>
      </c>
      <c r="D2359" s="115">
        <v>987.9</v>
      </c>
      <c r="E2359" s="115">
        <v>1017.97</v>
      </c>
      <c r="F2359" s="115">
        <v>4950.8999999999996</v>
      </c>
      <c r="G2359">
        <v>2101</v>
      </c>
      <c r="H2359" s="115"/>
      <c r="I2359" s="115"/>
      <c r="L2359" s="169">
        <v>45481</v>
      </c>
      <c r="M2359" s="115">
        <v>971.97</v>
      </c>
      <c r="N2359" s="115">
        <v>1000</v>
      </c>
      <c r="O2359" s="115">
        <v>959.52</v>
      </c>
      <c r="P2359" s="115">
        <v>996.4</v>
      </c>
      <c r="Q2359" s="115">
        <v>4859.8500000000004</v>
      </c>
      <c r="R2359">
        <v>33679</v>
      </c>
    </row>
    <row r="2360" spans="1:18" x14ac:dyDescent="0.25">
      <c r="A2360" s="169">
        <v>45491</v>
      </c>
      <c r="B2360" s="115">
        <v>1011.3</v>
      </c>
      <c r="C2360" s="115">
        <v>980.28</v>
      </c>
      <c r="D2360" s="115">
        <v>974.92</v>
      </c>
      <c r="E2360" s="115">
        <v>990</v>
      </c>
      <c r="F2360" s="115">
        <v>4901.3999999999996</v>
      </c>
      <c r="G2360">
        <v>2070</v>
      </c>
      <c r="H2360" s="115"/>
      <c r="I2360" s="115"/>
      <c r="L2360" s="169">
        <v>45482</v>
      </c>
      <c r="M2360" s="115">
        <v>992.97</v>
      </c>
      <c r="N2360" s="115">
        <v>997</v>
      </c>
      <c r="O2360" s="115">
        <v>960.22</v>
      </c>
      <c r="P2360" s="115">
        <v>970.01</v>
      </c>
      <c r="Q2360" s="115">
        <v>4964.8500000000004</v>
      </c>
      <c r="R2360">
        <v>20561</v>
      </c>
    </row>
    <row r="2361" spans="1:18" x14ac:dyDescent="0.25">
      <c r="A2361" s="169">
        <v>45492</v>
      </c>
      <c r="B2361" s="115">
        <v>998.68</v>
      </c>
      <c r="C2361" s="115">
        <v>947.6</v>
      </c>
      <c r="D2361" s="115">
        <v>943.11</v>
      </c>
      <c r="E2361" s="115">
        <v>972.01</v>
      </c>
      <c r="F2361" s="115">
        <v>4738</v>
      </c>
      <c r="G2361">
        <v>5803</v>
      </c>
      <c r="H2361" s="115"/>
      <c r="I2361" s="115"/>
      <c r="L2361" s="169">
        <v>45483</v>
      </c>
      <c r="M2361" s="115">
        <v>969.74</v>
      </c>
      <c r="N2361" s="115">
        <v>999</v>
      </c>
      <c r="O2361" s="115">
        <v>961</v>
      </c>
      <c r="P2361" s="115">
        <v>996.8</v>
      </c>
      <c r="Q2361" s="115">
        <v>4848.7</v>
      </c>
      <c r="R2361">
        <v>20264</v>
      </c>
    </row>
    <row r="2362" spans="1:18" x14ac:dyDescent="0.25">
      <c r="A2362" s="169">
        <v>45495</v>
      </c>
      <c r="B2362" s="115">
        <v>968.22</v>
      </c>
      <c r="C2362" s="115">
        <v>959.68</v>
      </c>
      <c r="D2362" s="115">
        <v>947.41</v>
      </c>
      <c r="E2362" s="115">
        <v>949.98</v>
      </c>
      <c r="F2362" s="115">
        <v>4798.3999999999996</v>
      </c>
      <c r="G2362">
        <v>3007</v>
      </c>
      <c r="H2362" s="115"/>
      <c r="I2362" s="115"/>
      <c r="L2362" s="169">
        <v>45484</v>
      </c>
      <c r="M2362" s="115">
        <v>959.87</v>
      </c>
      <c r="N2362" s="115">
        <v>974.59</v>
      </c>
      <c r="O2362" s="115">
        <v>955.51</v>
      </c>
      <c r="P2362" s="115">
        <v>960</v>
      </c>
      <c r="Q2362" s="115">
        <v>4799.3500000000004</v>
      </c>
      <c r="R2362">
        <v>18640</v>
      </c>
    </row>
    <row r="2363" spans="1:18" x14ac:dyDescent="0.25">
      <c r="A2363" s="169">
        <v>45496</v>
      </c>
      <c r="B2363" s="115">
        <v>972.95</v>
      </c>
      <c r="C2363" s="115">
        <v>957.35</v>
      </c>
      <c r="D2363" s="115">
        <v>922.8</v>
      </c>
      <c r="E2363" s="115">
        <v>972.95</v>
      </c>
      <c r="F2363" s="115">
        <v>4786.75</v>
      </c>
      <c r="G2363">
        <v>6515</v>
      </c>
      <c r="H2363" s="115"/>
      <c r="I2363" s="115"/>
      <c r="L2363" s="169">
        <v>45485</v>
      </c>
      <c r="M2363" s="115">
        <v>942.84</v>
      </c>
      <c r="N2363" s="115">
        <v>970.58</v>
      </c>
      <c r="O2363" s="115">
        <v>933.2</v>
      </c>
      <c r="P2363" s="115">
        <v>968.08</v>
      </c>
      <c r="Q2363" s="115">
        <v>4714.2</v>
      </c>
      <c r="R2363">
        <v>23026</v>
      </c>
    </row>
    <row r="2364" spans="1:18" x14ac:dyDescent="0.25">
      <c r="A2364" s="169">
        <v>45497</v>
      </c>
      <c r="B2364" s="115">
        <v>1025</v>
      </c>
      <c r="C2364" s="115">
        <v>996.59</v>
      </c>
      <c r="D2364" s="115">
        <v>959.35</v>
      </c>
      <c r="E2364" s="115">
        <v>959.35</v>
      </c>
      <c r="F2364" s="115">
        <v>4982.95</v>
      </c>
      <c r="G2364">
        <v>9780</v>
      </c>
      <c r="H2364" s="115"/>
      <c r="I2364" s="115"/>
      <c r="L2364" s="169">
        <v>45488</v>
      </c>
      <c r="M2364" s="115">
        <v>1007.34</v>
      </c>
      <c r="N2364" s="115">
        <v>1060</v>
      </c>
      <c r="O2364" s="115">
        <v>946</v>
      </c>
      <c r="P2364" s="115">
        <v>950.99</v>
      </c>
      <c r="Q2364" s="115">
        <v>5036.7</v>
      </c>
      <c r="R2364">
        <v>397489</v>
      </c>
    </row>
    <row r="2365" spans="1:18" x14ac:dyDescent="0.25">
      <c r="A2365" s="169">
        <v>45498</v>
      </c>
      <c r="B2365" s="115">
        <v>1016.25</v>
      </c>
      <c r="C2365" s="115">
        <v>996.45</v>
      </c>
      <c r="D2365" s="115">
        <v>976.5</v>
      </c>
      <c r="E2365" s="115">
        <v>990</v>
      </c>
      <c r="F2365" s="115">
        <v>996.45</v>
      </c>
      <c r="G2365">
        <v>12423</v>
      </c>
      <c r="H2365" s="115"/>
      <c r="I2365" s="115"/>
      <c r="L2365" s="169">
        <v>45489</v>
      </c>
      <c r="M2365" s="115">
        <v>990.53</v>
      </c>
      <c r="N2365" s="115">
        <v>1015.11</v>
      </c>
      <c r="O2365" s="115">
        <v>986.4</v>
      </c>
      <c r="P2365" s="115">
        <v>1009.6</v>
      </c>
      <c r="Q2365" s="115">
        <v>4952.6499999999996</v>
      </c>
      <c r="R2365">
        <v>46057</v>
      </c>
    </row>
    <row r="2366" spans="1:18" x14ac:dyDescent="0.25">
      <c r="A2366" s="169">
        <v>45499</v>
      </c>
      <c r="B2366" s="115">
        <v>1008.3</v>
      </c>
      <c r="C2366" s="115">
        <v>1001.7</v>
      </c>
      <c r="D2366" s="115">
        <v>962.15</v>
      </c>
      <c r="E2366" s="115">
        <v>985.7</v>
      </c>
      <c r="F2366" s="115">
        <v>1001.7</v>
      </c>
      <c r="G2366">
        <v>34490</v>
      </c>
      <c r="H2366" s="115"/>
      <c r="I2366" s="115"/>
      <c r="L2366" s="169">
        <v>45491</v>
      </c>
      <c r="M2366" s="115">
        <v>979.3</v>
      </c>
      <c r="N2366" s="115">
        <v>1012.82</v>
      </c>
      <c r="O2366" s="115">
        <v>974</v>
      </c>
      <c r="P2366" s="115">
        <v>981</v>
      </c>
      <c r="Q2366" s="115">
        <v>4896.5</v>
      </c>
      <c r="R2366">
        <v>41491</v>
      </c>
    </row>
    <row r="2367" spans="1:18" x14ac:dyDescent="0.25">
      <c r="A2367" s="169">
        <v>45502</v>
      </c>
      <c r="B2367" s="115">
        <v>1024.55</v>
      </c>
      <c r="C2367" s="115">
        <v>979.2</v>
      </c>
      <c r="D2367" s="115">
        <v>975</v>
      </c>
      <c r="E2367" s="115">
        <v>1004.35</v>
      </c>
      <c r="F2367" s="115">
        <v>979.2</v>
      </c>
      <c r="G2367">
        <v>22212</v>
      </c>
      <c r="H2367" s="115"/>
      <c r="I2367" s="115"/>
      <c r="L2367" s="169">
        <v>45492</v>
      </c>
      <c r="M2367" s="115">
        <v>947.11</v>
      </c>
      <c r="N2367" s="115">
        <v>998.8</v>
      </c>
      <c r="O2367" s="115">
        <v>942.2</v>
      </c>
      <c r="P2367" s="115">
        <v>979.3</v>
      </c>
      <c r="Q2367" s="115">
        <v>4735.55</v>
      </c>
      <c r="R2367">
        <v>45897</v>
      </c>
    </row>
    <row r="2368" spans="1:18" x14ac:dyDescent="0.25">
      <c r="A2368" s="169">
        <v>45503</v>
      </c>
      <c r="B2368" s="115">
        <v>985.1</v>
      </c>
      <c r="C2368" s="115">
        <v>964.85</v>
      </c>
      <c r="D2368" s="115">
        <v>955.5</v>
      </c>
      <c r="E2368" s="115">
        <v>980</v>
      </c>
      <c r="F2368" s="115">
        <v>964.85</v>
      </c>
      <c r="G2368">
        <v>10134</v>
      </c>
      <c r="H2368" s="115"/>
      <c r="I2368" s="115"/>
      <c r="L2368" s="169">
        <v>45495</v>
      </c>
      <c r="M2368" s="115">
        <v>959.27</v>
      </c>
      <c r="N2368" s="115">
        <v>968.49</v>
      </c>
      <c r="O2368" s="115">
        <v>945</v>
      </c>
      <c r="P2368" s="115">
        <v>947.11</v>
      </c>
      <c r="Q2368" s="115">
        <v>4796.3500000000004</v>
      </c>
      <c r="R2368">
        <v>30226</v>
      </c>
    </row>
    <row r="2369" spans="1:18" x14ac:dyDescent="0.25">
      <c r="A2369" s="169">
        <v>45504</v>
      </c>
      <c r="B2369" s="115">
        <v>980.7</v>
      </c>
      <c r="C2369" s="115">
        <v>963.5</v>
      </c>
      <c r="D2369" s="115">
        <v>955.4</v>
      </c>
      <c r="E2369" s="115">
        <v>955.4</v>
      </c>
      <c r="F2369" s="115">
        <v>963.5</v>
      </c>
      <c r="G2369">
        <v>7839</v>
      </c>
      <c r="H2369" s="115"/>
      <c r="I2369" s="115"/>
      <c r="L2369" s="169">
        <v>45496</v>
      </c>
      <c r="M2369" s="115">
        <v>956.18</v>
      </c>
      <c r="N2369" s="115">
        <v>969.55</v>
      </c>
      <c r="O2369" s="115">
        <v>922.4</v>
      </c>
      <c r="P2369" s="115">
        <v>967.11</v>
      </c>
      <c r="Q2369" s="115">
        <v>4780.8999999999996</v>
      </c>
      <c r="R2369">
        <v>71643</v>
      </c>
    </row>
    <row r="2370" spans="1:18" x14ac:dyDescent="0.25">
      <c r="A2370" s="169">
        <v>45505</v>
      </c>
      <c r="B2370" s="115">
        <v>978.6</v>
      </c>
      <c r="C2370" s="115">
        <v>971.3</v>
      </c>
      <c r="D2370" s="115">
        <v>963.5</v>
      </c>
      <c r="E2370" s="115">
        <v>969.95</v>
      </c>
      <c r="F2370" s="115">
        <v>971.3</v>
      </c>
      <c r="G2370">
        <v>16236</v>
      </c>
      <c r="H2370" s="115"/>
      <c r="I2370" s="115"/>
      <c r="L2370" s="169">
        <v>45497</v>
      </c>
      <c r="M2370" s="115">
        <v>998.26</v>
      </c>
      <c r="N2370" s="115">
        <v>1025.0999999999999</v>
      </c>
      <c r="O2370" s="115">
        <v>956.18</v>
      </c>
      <c r="P2370" s="115">
        <v>962.8</v>
      </c>
      <c r="Q2370" s="115">
        <v>4991.3</v>
      </c>
      <c r="R2370">
        <v>160332</v>
      </c>
    </row>
    <row r="2371" spans="1:18" x14ac:dyDescent="0.25">
      <c r="A2371" s="169">
        <v>45506</v>
      </c>
      <c r="B2371" s="115">
        <v>980</v>
      </c>
      <c r="C2371" s="115">
        <v>947.05</v>
      </c>
      <c r="D2371" s="115">
        <v>943.95</v>
      </c>
      <c r="E2371" s="115">
        <v>980</v>
      </c>
      <c r="F2371" s="115">
        <v>947.05</v>
      </c>
      <c r="G2371">
        <v>11793</v>
      </c>
      <c r="H2371" s="115"/>
      <c r="I2371" s="115"/>
      <c r="L2371" s="169">
        <v>45498</v>
      </c>
      <c r="M2371" s="115">
        <v>995.5</v>
      </c>
      <c r="N2371" s="115">
        <v>1017.95</v>
      </c>
      <c r="O2371" s="115">
        <v>975</v>
      </c>
      <c r="P2371" s="115">
        <v>985</v>
      </c>
      <c r="Q2371" s="115">
        <v>995.5</v>
      </c>
      <c r="R2371">
        <v>290671</v>
      </c>
    </row>
    <row r="2372" spans="1:18" x14ac:dyDescent="0.25">
      <c r="A2372" s="169">
        <v>45509</v>
      </c>
      <c r="B2372" s="115">
        <v>949.4</v>
      </c>
      <c r="C2372" s="115">
        <v>939.4</v>
      </c>
      <c r="D2372" s="115">
        <v>912.8</v>
      </c>
      <c r="E2372" s="115">
        <v>928.1</v>
      </c>
      <c r="F2372" s="115">
        <v>939.4</v>
      </c>
      <c r="G2372">
        <v>8128</v>
      </c>
      <c r="H2372" s="115"/>
      <c r="I2372" s="115"/>
      <c r="L2372" s="169">
        <v>45499</v>
      </c>
      <c r="M2372" s="115">
        <v>1001.15</v>
      </c>
      <c r="N2372" s="115">
        <v>1009.95</v>
      </c>
      <c r="O2372" s="115">
        <v>962</v>
      </c>
      <c r="P2372" s="115">
        <v>995</v>
      </c>
      <c r="Q2372" s="115">
        <v>1001.15</v>
      </c>
      <c r="R2372">
        <v>173038</v>
      </c>
    </row>
    <row r="2373" spans="1:18" x14ac:dyDescent="0.25">
      <c r="A2373" s="169">
        <v>45510</v>
      </c>
      <c r="B2373" s="115">
        <v>988.85</v>
      </c>
      <c r="C2373" s="115">
        <v>935.25</v>
      </c>
      <c r="D2373" s="115">
        <v>928.8</v>
      </c>
      <c r="E2373" s="115">
        <v>988.85</v>
      </c>
      <c r="F2373" s="115">
        <v>935.25</v>
      </c>
      <c r="G2373">
        <v>8965</v>
      </c>
      <c r="H2373" s="115"/>
      <c r="I2373" s="115"/>
      <c r="L2373" s="169">
        <v>45502</v>
      </c>
      <c r="M2373" s="115">
        <v>979.65</v>
      </c>
      <c r="N2373" s="115">
        <v>1025</v>
      </c>
      <c r="O2373" s="115">
        <v>975.05</v>
      </c>
      <c r="P2373" s="115">
        <v>1001.2</v>
      </c>
      <c r="Q2373" s="115">
        <v>979.65</v>
      </c>
      <c r="R2373">
        <v>182387</v>
      </c>
    </row>
    <row r="2374" spans="1:18" x14ac:dyDescent="0.25">
      <c r="A2374" s="169">
        <v>45511</v>
      </c>
      <c r="B2374" s="115">
        <v>955</v>
      </c>
      <c r="C2374" s="115">
        <v>924.9</v>
      </c>
      <c r="D2374" s="115">
        <v>921.8</v>
      </c>
      <c r="E2374" s="115">
        <v>935</v>
      </c>
      <c r="F2374" s="115">
        <v>924.9</v>
      </c>
      <c r="G2374">
        <v>12097</v>
      </c>
      <c r="H2374" s="115"/>
      <c r="I2374" s="115"/>
      <c r="L2374" s="169">
        <v>45503</v>
      </c>
      <c r="M2374" s="115">
        <v>967.7</v>
      </c>
      <c r="N2374" s="115">
        <v>983.85</v>
      </c>
      <c r="O2374" s="115">
        <v>955.05</v>
      </c>
      <c r="P2374" s="115">
        <v>979.75</v>
      </c>
      <c r="Q2374" s="115">
        <v>967.7</v>
      </c>
      <c r="R2374">
        <v>203345</v>
      </c>
    </row>
    <row r="2375" spans="1:18" x14ac:dyDescent="0.25">
      <c r="A2375" s="169">
        <v>45512</v>
      </c>
      <c r="B2375" s="115">
        <v>961.85</v>
      </c>
      <c r="C2375" s="115">
        <v>924</v>
      </c>
      <c r="D2375" s="115">
        <v>916.3</v>
      </c>
      <c r="E2375" s="115">
        <v>930</v>
      </c>
      <c r="F2375" s="115">
        <v>924</v>
      </c>
      <c r="G2375">
        <v>4836</v>
      </c>
      <c r="H2375" s="115"/>
      <c r="I2375" s="115"/>
      <c r="L2375" s="169">
        <v>45504</v>
      </c>
      <c r="M2375" s="115">
        <v>961.65</v>
      </c>
      <c r="N2375" s="115">
        <v>980</v>
      </c>
      <c r="O2375" s="115">
        <v>955</v>
      </c>
      <c r="P2375" s="115">
        <v>975.6</v>
      </c>
      <c r="Q2375" s="115">
        <v>961.65</v>
      </c>
      <c r="R2375">
        <v>90560</v>
      </c>
    </row>
    <row r="2376" spans="1:18" x14ac:dyDescent="0.25">
      <c r="A2376" s="169">
        <v>45513</v>
      </c>
      <c r="B2376" s="115">
        <v>942.5</v>
      </c>
      <c r="C2376" s="115">
        <v>924.85</v>
      </c>
      <c r="D2376" s="115">
        <v>920.35</v>
      </c>
      <c r="E2376" s="115">
        <v>935</v>
      </c>
      <c r="F2376" s="115">
        <v>924.85</v>
      </c>
      <c r="G2376">
        <v>7877</v>
      </c>
      <c r="H2376" s="115"/>
      <c r="I2376" s="115"/>
      <c r="L2376" s="169">
        <v>45505</v>
      </c>
      <c r="M2376" s="115">
        <v>971.25</v>
      </c>
      <c r="N2376" s="115">
        <v>980</v>
      </c>
      <c r="O2376" s="115">
        <v>955</v>
      </c>
      <c r="P2376" s="115">
        <v>966.5</v>
      </c>
      <c r="Q2376" s="115">
        <v>971.25</v>
      </c>
      <c r="R2376">
        <v>129206</v>
      </c>
    </row>
    <row r="2377" spans="1:18" x14ac:dyDescent="0.25">
      <c r="A2377" s="169">
        <v>45516</v>
      </c>
      <c r="B2377" s="115">
        <v>934.6</v>
      </c>
      <c r="C2377" s="115">
        <v>920.6</v>
      </c>
      <c r="D2377" s="115">
        <v>910.05</v>
      </c>
      <c r="E2377" s="115">
        <v>918.6</v>
      </c>
      <c r="F2377" s="115">
        <v>920.6</v>
      </c>
      <c r="G2377">
        <v>3435</v>
      </c>
      <c r="H2377" s="115"/>
      <c r="I2377" s="115"/>
      <c r="L2377" s="169">
        <v>45506</v>
      </c>
      <c r="M2377" s="115">
        <v>947.6</v>
      </c>
      <c r="N2377" s="115">
        <v>978</v>
      </c>
      <c r="O2377" s="115">
        <v>944</v>
      </c>
      <c r="P2377" s="115">
        <v>978</v>
      </c>
      <c r="Q2377" s="115">
        <v>947.6</v>
      </c>
      <c r="R2377">
        <v>136062</v>
      </c>
    </row>
    <row r="2378" spans="1:18" x14ac:dyDescent="0.25">
      <c r="A2378" s="169">
        <v>45517</v>
      </c>
      <c r="B2378" s="115">
        <v>925.7</v>
      </c>
      <c r="C2378" s="115">
        <v>917.6</v>
      </c>
      <c r="D2378" s="115">
        <v>906.05</v>
      </c>
      <c r="E2378" s="115">
        <v>920.6</v>
      </c>
      <c r="F2378" s="115">
        <v>917.6</v>
      </c>
      <c r="G2378">
        <v>6547</v>
      </c>
      <c r="H2378" s="115"/>
      <c r="I2378" s="115"/>
      <c r="L2378" s="169">
        <v>45509</v>
      </c>
      <c r="M2378" s="115">
        <v>939.95</v>
      </c>
      <c r="N2378" s="115">
        <v>951</v>
      </c>
      <c r="O2378" s="115">
        <v>901.05</v>
      </c>
      <c r="P2378" s="115">
        <v>905</v>
      </c>
      <c r="Q2378" s="115">
        <v>939.95</v>
      </c>
      <c r="R2378">
        <v>292381</v>
      </c>
    </row>
    <row r="2379" spans="1:18" x14ac:dyDescent="0.25">
      <c r="A2379" s="169">
        <v>45518</v>
      </c>
      <c r="B2379" s="115">
        <v>917.75</v>
      </c>
      <c r="C2379" s="115">
        <v>914.85</v>
      </c>
      <c r="D2379" s="115">
        <v>902.25</v>
      </c>
      <c r="E2379" s="115">
        <v>912.05</v>
      </c>
      <c r="F2379" s="115">
        <v>914.85</v>
      </c>
      <c r="G2379">
        <v>2435</v>
      </c>
      <c r="H2379" s="115"/>
      <c r="I2379" s="115"/>
      <c r="L2379" s="169">
        <v>45510</v>
      </c>
      <c r="M2379" s="115">
        <v>934.3</v>
      </c>
      <c r="N2379" s="115">
        <v>959.95</v>
      </c>
      <c r="O2379" s="115">
        <v>925.75</v>
      </c>
      <c r="P2379" s="115">
        <v>939.95</v>
      </c>
      <c r="Q2379" s="115">
        <v>934.3</v>
      </c>
      <c r="R2379">
        <v>202747</v>
      </c>
    </row>
    <row r="2380" spans="1:18" x14ac:dyDescent="0.25">
      <c r="A2380" s="169">
        <v>45520</v>
      </c>
      <c r="B2380" s="115">
        <v>930</v>
      </c>
      <c r="C2380" s="115">
        <v>916</v>
      </c>
      <c r="D2380" s="115">
        <v>910.05</v>
      </c>
      <c r="E2380" s="115">
        <v>922.3</v>
      </c>
      <c r="F2380" s="115">
        <v>916</v>
      </c>
      <c r="G2380">
        <v>5536</v>
      </c>
      <c r="H2380" s="115"/>
      <c r="I2380" s="115"/>
      <c r="L2380" s="169">
        <v>45511</v>
      </c>
      <c r="M2380" s="115">
        <v>924.95</v>
      </c>
      <c r="N2380" s="115">
        <v>965</v>
      </c>
      <c r="O2380" s="115">
        <v>921.5</v>
      </c>
      <c r="P2380" s="115">
        <v>930.6</v>
      </c>
      <c r="Q2380" s="115">
        <v>924.95</v>
      </c>
      <c r="R2380">
        <v>192613</v>
      </c>
    </row>
    <row r="2381" spans="1:18" x14ac:dyDescent="0.25">
      <c r="A2381" s="169">
        <v>45523</v>
      </c>
      <c r="B2381" s="115">
        <v>929</v>
      </c>
      <c r="C2381" s="115">
        <v>911.1</v>
      </c>
      <c r="D2381" s="115">
        <v>907.4</v>
      </c>
      <c r="E2381" s="115">
        <v>916</v>
      </c>
      <c r="F2381" s="115">
        <v>911.1</v>
      </c>
      <c r="G2381">
        <v>7321</v>
      </c>
      <c r="H2381" s="115"/>
      <c r="I2381" s="115"/>
      <c r="L2381" s="169">
        <v>45512</v>
      </c>
      <c r="M2381" s="115">
        <v>923.3</v>
      </c>
      <c r="N2381" s="115">
        <v>961.95</v>
      </c>
      <c r="O2381" s="115">
        <v>915</v>
      </c>
      <c r="P2381" s="115">
        <v>934.2</v>
      </c>
      <c r="Q2381" s="115">
        <v>923.3</v>
      </c>
      <c r="R2381">
        <v>149308</v>
      </c>
    </row>
    <row r="2382" spans="1:18" x14ac:dyDescent="0.25">
      <c r="A2382" s="169">
        <v>45524</v>
      </c>
      <c r="B2382" s="115">
        <v>925.35</v>
      </c>
      <c r="C2382" s="115">
        <v>920.95</v>
      </c>
      <c r="D2382" s="115">
        <v>908.35</v>
      </c>
      <c r="E2382" s="115">
        <v>920</v>
      </c>
      <c r="F2382" s="115">
        <v>920.95</v>
      </c>
      <c r="G2382">
        <v>2296</v>
      </c>
      <c r="H2382" s="115"/>
      <c r="I2382" s="115"/>
      <c r="L2382" s="169">
        <v>45513</v>
      </c>
      <c r="M2382" s="115">
        <v>925</v>
      </c>
      <c r="N2382" s="115">
        <v>938.7</v>
      </c>
      <c r="O2382" s="115">
        <v>921</v>
      </c>
      <c r="P2382" s="115">
        <v>927.95</v>
      </c>
      <c r="Q2382" s="115">
        <v>925</v>
      </c>
      <c r="R2382">
        <v>173553</v>
      </c>
    </row>
    <row r="2383" spans="1:18" x14ac:dyDescent="0.25">
      <c r="A2383" s="169">
        <v>45525</v>
      </c>
      <c r="B2383" s="115">
        <v>939.9</v>
      </c>
      <c r="C2383" s="115">
        <v>926.8</v>
      </c>
      <c r="D2383" s="115">
        <v>919.05</v>
      </c>
      <c r="E2383" s="115">
        <v>919.05</v>
      </c>
      <c r="F2383" s="115">
        <v>926.8</v>
      </c>
      <c r="G2383">
        <v>7716</v>
      </c>
      <c r="H2383" s="115"/>
      <c r="I2383" s="115"/>
      <c r="L2383" s="169">
        <v>45516</v>
      </c>
      <c r="M2383" s="115">
        <v>919.8</v>
      </c>
      <c r="N2383" s="115">
        <v>939</v>
      </c>
      <c r="O2383" s="115">
        <v>910</v>
      </c>
      <c r="P2383" s="115">
        <v>914.05</v>
      </c>
      <c r="Q2383" s="115">
        <v>919.8</v>
      </c>
      <c r="R2383">
        <v>85381</v>
      </c>
    </row>
    <row r="2384" spans="1:18" x14ac:dyDescent="0.25">
      <c r="A2384" s="169">
        <v>45526</v>
      </c>
      <c r="B2384" s="115">
        <v>940</v>
      </c>
      <c r="C2384" s="115">
        <v>926.8</v>
      </c>
      <c r="D2384" s="115">
        <v>917.25</v>
      </c>
      <c r="E2384" s="115">
        <v>940</v>
      </c>
      <c r="F2384" s="115">
        <v>926.8</v>
      </c>
      <c r="G2384">
        <v>2134</v>
      </c>
      <c r="H2384" s="115"/>
      <c r="I2384" s="115"/>
      <c r="L2384" s="169">
        <v>45517</v>
      </c>
      <c r="M2384" s="115">
        <v>919</v>
      </c>
      <c r="N2384" s="115">
        <v>923.8</v>
      </c>
      <c r="O2384" s="115">
        <v>906.35</v>
      </c>
      <c r="P2384" s="115">
        <v>923.8</v>
      </c>
      <c r="Q2384" s="115">
        <v>919</v>
      </c>
      <c r="R2384">
        <v>121899</v>
      </c>
    </row>
    <row r="2385" spans="1:18" x14ac:dyDescent="0.25">
      <c r="A2385" s="169">
        <v>45527</v>
      </c>
      <c r="B2385" s="115">
        <v>937.1</v>
      </c>
      <c r="C2385" s="115">
        <v>919.4</v>
      </c>
      <c r="D2385" s="115">
        <v>915.05</v>
      </c>
      <c r="E2385" s="115">
        <v>937.1</v>
      </c>
      <c r="F2385" s="115">
        <v>919.4</v>
      </c>
      <c r="G2385">
        <v>3335</v>
      </c>
      <c r="H2385" s="115"/>
      <c r="I2385" s="115"/>
      <c r="L2385" s="169">
        <v>45518</v>
      </c>
      <c r="M2385" s="115">
        <v>913.85</v>
      </c>
      <c r="N2385" s="115">
        <v>922</v>
      </c>
      <c r="O2385" s="115">
        <v>902.2</v>
      </c>
      <c r="P2385" s="115">
        <v>921.95</v>
      </c>
      <c r="Q2385" s="115">
        <v>913.85</v>
      </c>
      <c r="R2385">
        <v>56020</v>
      </c>
    </row>
    <row r="2386" spans="1:18" x14ac:dyDescent="0.25">
      <c r="A2386" s="169">
        <v>45530</v>
      </c>
      <c r="B2386" s="115">
        <v>926.75</v>
      </c>
      <c r="C2386" s="115">
        <v>914.9</v>
      </c>
      <c r="D2386" s="115">
        <v>901.05</v>
      </c>
      <c r="E2386" s="115">
        <v>922</v>
      </c>
      <c r="F2386" s="115">
        <v>914.9</v>
      </c>
      <c r="G2386">
        <v>6700</v>
      </c>
      <c r="H2386" s="115"/>
      <c r="I2386" s="115"/>
      <c r="L2386" s="169">
        <v>45520</v>
      </c>
      <c r="M2386" s="115">
        <v>915.75</v>
      </c>
      <c r="N2386" s="115">
        <v>930</v>
      </c>
      <c r="O2386" s="115">
        <v>910</v>
      </c>
      <c r="P2386" s="115">
        <v>921.6</v>
      </c>
      <c r="Q2386" s="115">
        <v>915.75</v>
      </c>
      <c r="R2386">
        <v>62721</v>
      </c>
    </row>
    <row r="2387" spans="1:18" x14ac:dyDescent="0.25">
      <c r="A2387" s="169">
        <v>45531</v>
      </c>
      <c r="B2387" s="115">
        <v>931</v>
      </c>
      <c r="C2387" s="115">
        <v>906.85</v>
      </c>
      <c r="D2387" s="115">
        <v>901.9</v>
      </c>
      <c r="E2387" s="115">
        <v>931</v>
      </c>
      <c r="F2387" s="115">
        <v>906.85</v>
      </c>
      <c r="G2387">
        <v>6591</v>
      </c>
      <c r="H2387" s="115"/>
      <c r="I2387" s="115"/>
      <c r="L2387" s="169">
        <v>45523</v>
      </c>
      <c r="M2387" s="115">
        <v>911.45</v>
      </c>
      <c r="N2387" s="115">
        <v>928.85</v>
      </c>
      <c r="O2387" s="115">
        <v>907.5</v>
      </c>
      <c r="P2387" s="115">
        <v>923.4</v>
      </c>
      <c r="Q2387" s="115">
        <v>911.45</v>
      </c>
      <c r="R2387">
        <v>65212</v>
      </c>
    </row>
    <row r="2388" spans="1:18" x14ac:dyDescent="0.25">
      <c r="A2388" s="169">
        <v>45532</v>
      </c>
      <c r="B2388" s="115">
        <v>931.1</v>
      </c>
      <c r="C2388" s="115">
        <v>926.85</v>
      </c>
      <c r="D2388" s="115">
        <v>906.85</v>
      </c>
      <c r="E2388" s="115">
        <v>930</v>
      </c>
      <c r="F2388" s="115">
        <v>926.85</v>
      </c>
      <c r="G2388">
        <v>3788</v>
      </c>
      <c r="H2388" s="115"/>
      <c r="I2388" s="115"/>
      <c r="L2388" s="169">
        <v>45524</v>
      </c>
      <c r="M2388" s="115">
        <v>920.8</v>
      </c>
      <c r="N2388" s="115">
        <v>925.35</v>
      </c>
      <c r="O2388" s="115">
        <v>907</v>
      </c>
      <c r="P2388" s="115">
        <v>907</v>
      </c>
      <c r="Q2388" s="115">
        <v>920.8</v>
      </c>
      <c r="R2388">
        <v>52570</v>
      </c>
    </row>
    <row r="2389" spans="1:18" x14ac:dyDescent="0.25">
      <c r="A2389" s="169">
        <v>45533</v>
      </c>
      <c r="B2389" s="115">
        <v>928.85</v>
      </c>
      <c r="C2389" s="115">
        <v>911.75</v>
      </c>
      <c r="D2389" s="115">
        <v>902.4</v>
      </c>
      <c r="E2389" s="115">
        <v>926</v>
      </c>
      <c r="F2389" s="115">
        <v>911.75</v>
      </c>
      <c r="G2389">
        <v>1711</v>
      </c>
      <c r="H2389" s="115"/>
      <c r="I2389" s="115"/>
      <c r="L2389" s="169">
        <v>45525</v>
      </c>
      <c r="M2389" s="115">
        <v>927.55</v>
      </c>
      <c r="N2389" s="115">
        <v>939.8</v>
      </c>
      <c r="O2389" s="115">
        <v>918</v>
      </c>
      <c r="P2389" s="115">
        <v>923.95</v>
      </c>
      <c r="Q2389" s="115">
        <v>927.55</v>
      </c>
      <c r="R2389">
        <v>60881</v>
      </c>
    </row>
    <row r="2390" spans="1:18" x14ac:dyDescent="0.25">
      <c r="A2390" s="169">
        <v>45534</v>
      </c>
      <c r="B2390" s="115">
        <v>948.85</v>
      </c>
      <c r="C2390" s="115">
        <v>923.1</v>
      </c>
      <c r="D2390" s="115">
        <v>909.15</v>
      </c>
      <c r="E2390" s="115">
        <v>948.85</v>
      </c>
      <c r="F2390" s="115">
        <v>923.1</v>
      </c>
      <c r="G2390">
        <v>1344</v>
      </c>
      <c r="H2390" s="115"/>
      <c r="I2390" s="115"/>
      <c r="L2390" s="169">
        <v>45526</v>
      </c>
      <c r="M2390" s="115">
        <v>925.65</v>
      </c>
      <c r="N2390" s="115">
        <v>939.8</v>
      </c>
      <c r="O2390" s="115">
        <v>917</v>
      </c>
      <c r="P2390" s="115">
        <v>933.9</v>
      </c>
      <c r="Q2390" s="115">
        <v>925.65</v>
      </c>
      <c r="R2390">
        <v>52523</v>
      </c>
    </row>
    <row r="2391" spans="1:18" x14ac:dyDescent="0.25">
      <c r="A2391" s="169">
        <v>45537</v>
      </c>
      <c r="B2391" s="115">
        <v>950</v>
      </c>
      <c r="C2391" s="115">
        <v>918.3</v>
      </c>
      <c r="D2391" s="115">
        <v>912.05</v>
      </c>
      <c r="E2391" s="115">
        <v>941.6</v>
      </c>
      <c r="F2391" s="115">
        <v>918.3</v>
      </c>
      <c r="G2391">
        <v>3572</v>
      </c>
      <c r="H2391" s="115"/>
      <c r="I2391" s="115"/>
      <c r="L2391" s="169">
        <v>45527</v>
      </c>
      <c r="M2391" s="115">
        <v>919.4</v>
      </c>
      <c r="N2391" s="115">
        <v>930</v>
      </c>
      <c r="O2391" s="115">
        <v>913.3</v>
      </c>
      <c r="P2391" s="115">
        <v>925</v>
      </c>
      <c r="Q2391" s="115">
        <v>919.4</v>
      </c>
      <c r="R2391">
        <v>48016</v>
      </c>
    </row>
    <row r="2392" spans="1:18" x14ac:dyDescent="0.25">
      <c r="A2392" s="169">
        <v>45538</v>
      </c>
      <c r="B2392" s="115">
        <v>936.55</v>
      </c>
      <c r="C2392" s="115">
        <v>926.35</v>
      </c>
      <c r="D2392" s="115">
        <v>920</v>
      </c>
      <c r="E2392" s="115">
        <v>931.95</v>
      </c>
      <c r="F2392" s="115">
        <v>926.35</v>
      </c>
      <c r="G2392">
        <v>3437</v>
      </c>
      <c r="H2392" s="115"/>
      <c r="I2392" s="115"/>
      <c r="L2392" s="169">
        <v>45530</v>
      </c>
      <c r="M2392" s="115">
        <v>912.2</v>
      </c>
      <c r="N2392" s="115">
        <v>927.4</v>
      </c>
      <c r="O2392" s="115">
        <v>901.1</v>
      </c>
      <c r="P2392" s="115">
        <v>920.55</v>
      </c>
      <c r="Q2392" s="115">
        <v>912.2</v>
      </c>
      <c r="R2392">
        <v>108635</v>
      </c>
    </row>
    <row r="2393" spans="1:18" x14ac:dyDescent="0.25">
      <c r="A2393" s="169">
        <v>45539</v>
      </c>
      <c r="B2393" s="115">
        <v>912</v>
      </c>
      <c r="C2393" s="115">
        <v>881.2</v>
      </c>
      <c r="D2393" s="115">
        <v>875</v>
      </c>
      <c r="E2393" s="115">
        <v>912</v>
      </c>
      <c r="F2393" s="115">
        <v>881.2</v>
      </c>
      <c r="G2393">
        <v>10488</v>
      </c>
      <c r="H2393" s="115"/>
      <c r="I2393" s="115"/>
      <c r="L2393" s="169">
        <v>45531</v>
      </c>
      <c r="M2393" s="115">
        <v>908.4</v>
      </c>
      <c r="N2393" s="115">
        <v>916.8</v>
      </c>
      <c r="O2393" s="115">
        <v>902.15</v>
      </c>
      <c r="P2393" s="115">
        <v>912.2</v>
      </c>
      <c r="Q2393" s="115">
        <v>908.4</v>
      </c>
      <c r="R2393">
        <v>85351</v>
      </c>
    </row>
    <row r="2394" spans="1:18" x14ac:dyDescent="0.25">
      <c r="A2394" s="169">
        <v>45540</v>
      </c>
      <c r="B2394" s="115">
        <v>894.05</v>
      </c>
      <c r="C2394" s="115">
        <v>890.55</v>
      </c>
      <c r="D2394" s="115">
        <v>876.3</v>
      </c>
      <c r="E2394" s="115">
        <v>877.05</v>
      </c>
      <c r="F2394" s="115">
        <v>890.55</v>
      </c>
      <c r="G2394">
        <v>10627</v>
      </c>
      <c r="H2394" s="115"/>
      <c r="I2394" s="115"/>
      <c r="L2394" s="169">
        <v>45532</v>
      </c>
      <c r="M2394" s="115">
        <v>926.9</v>
      </c>
      <c r="N2394" s="115">
        <v>932</v>
      </c>
      <c r="O2394" s="115">
        <v>905</v>
      </c>
      <c r="P2394" s="115">
        <v>905</v>
      </c>
      <c r="Q2394" s="115">
        <v>926.9</v>
      </c>
      <c r="R2394">
        <v>67541</v>
      </c>
    </row>
    <row r="2395" spans="1:18" x14ac:dyDescent="0.25">
      <c r="A2395" s="169">
        <v>45541</v>
      </c>
      <c r="B2395" s="115">
        <v>897.5</v>
      </c>
      <c r="C2395" s="115">
        <v>895.95</v>
      </c>
      <c r="D2395" s="115">
        <v>885.9</v>
      </c>
      <c r="E2395" s="115">
        <v>892.75</v>
      </c>
      <c r="F2395" s="115">
        <v>895.95</v>
      </c>
      <c r="G2395">
        <v>2143</v>
      </c>
      <c r="H2395" s="115"/>
      <c r="I2395" s="115"/>
      <c r="L2395" s="169">
        <v>45533</v>
      </c>
      <c r="M2395" s="115">
        <v>912.7</v>
      </c>
      <c r="N2395" s="115">
        <v>931.95</v>
      </c>
      <c r="O2395" s="115">
        <v>901.65</v>
      </c>
      <c r="P2395" s="115">
        <v>927.35</v>
      </c>
      <c r="Q2395" s="115">
        <v>912.7</v>
      </c>
      <c r="R2395">
        <v>79230</v>
      </c>
    </row>
    <row r="2396" spans="1:18" x14ac:dyDescent="0.25">
      <c r="A2396" s="169">
        <v>45544</v>
      </c>
      <c r="B2396" s="115">
        <v>893.55</v>
      </c>
      <c r="C2396" s="115">
        <v>867.45</v>
      </c>
      <c r="D2396" s="115">
        <v>856.15</v>
      </c>
      <c r="E2396" s="115">
        <v>880.1</v>
      </c>
      <c r="F2396" s="115">
        <v>867.45</v>
      </c>
      <c r="G2396">
        <v>17123</v>
      </c>
      <c r="H2396" s="115"/>
      <c r="I2396" s="115"/>
      <c r="L2396" s="169">
        <v>45534</v>
      </c>
      <c r="M2396" s="115">
        <v>928.5</v>
      </c>
      <c r="N2396" s="115">
        <v>935</v>
      </c>
      <c r="O2396" s="115">
        <v>906.55</v>
      </c>
      <c r="P2396" s="115">
        <v>911.2</v>
      </c>
      <c r="Q2396" s="115">
        <v>928.5</v>
      </c>
      <c r="R2396">
        <v>120047</v>
      </c>
    </row>
    <row r="2397" spans="1:18" x14ac:dyDescent="0.25">
      <c r="A2397" s="169">
        <v>45545</v>
      </c>
      <c r="B2397" s="115">
        <v>888.75</v>
      </c>
      <c r="C2397" s="115">
        <v>884.45</v>
      </c>
      <c r="D2397" s="115">
        <v>868.95</v>
      </c>
      <c r="E2397" s="115">
        <v>869</v>
      </c>
      <c r="F2397" s="115">
        <v>884.45</v>
      </c>
      <c r="G2397">
        <v>7494</v>
      </c>
      <c r="H2397" s="115"/>
      <c r="I2397" s="115"/>
      <c r="L2397" s="169">
        <v>45537</v>
      </c>
      <c r="M2397" s="115">
        <v>917</v>
      </c>
      <c r="N2397" s="115">
        <v>947.8</v>
      </c>
      <c r="O2397" s="115">
        <v>912</v>
      </c>
      <c r="P2397" s="115">
        <v>944</v>
      </c>
      <c r="Q2397" s="115">
        <v>917</v>
      </c>
      <c r="R2397">
        <v>62976</v>
      </c>
    </row>
    <row r="2398" spans="1:18" x14ac:dyDescent="0.25">
      <c r="A2398" s="169">
        <v>45546</v>
      </c>
      <c r="B2398" s="115">
        <v>895.65</v>
      </c>
      <c r="C2398" s="115">
        <v>893.1</v>
      </c>
      <c r="D2398" s="115">
        <v>875.7</v>
      </c>
      <c r="E2398" s="115">
        <v>884</v>
      </c>
      <c r="F2398" s="115">
        <v>893.1</v>
      </c>
      <c r="G2398">
        <v>9256</v>
      </c>
      <c r="H2398" s="115"/>
      <c r="I2398" s="115"/>
      <c r="L2398" s="169">
        <v>45538</v>
      </c>
      <c r="M2398" s="115">
        <v>927.15</v>
      </c>
      <c r="N2398" s="115">
        <v>936.25</v>
      </c>
      <c r="O2398" s="115">
        <v>916.05</v>
      </c>
      <c r="P2398" s="115">
        <v>920.6</v>
      </c>
      <c r="Q2398" s="115">
        <v>927.15</v>
      </c>
      <c r="R2398">
        <v>55282</v>
      </c>
    </row>
    <row r="2399" spans="1:18" x14ac:dyDescent="0.25">
      <c r="A2399" s="169">
        <v>45547</v>
      </c>
      <c r="B2399" s="115">
        <v>897.7</v>
      </c>
      <c r="C2399" s="115">
        <v>893.4</v>
      </c>
      <c r="D2399" s="115">
        <v>883.5</v>
      </c>
      <c r="E2399" s="115">
        <v>895</v>
      </c>
      <c r="F2399" s="115">
        <v>893.4</v>
      </c>
      <c r="G2399">
        <v>2523</v>
      </c>
      <c r="H2399" s="115"/>
      <c r="I2399" s="115"/>
      <c r="L2399" s="169">
        <v>45539</v>
      </c>
      <c r="M2399" s="115">
        <v>880.15</v>
      </c>
      <c r="N2399" s="115">
        <v>915</v>
      </c>
      <c r="O2399" s="115">
        <v>875.05</v>
      </c>
      <c r="P2399" s="115">
        <v>909.05</v>
      </c>
      <c r="Q2399" s="115">
        <v>880.15</v>
      </c>
      <c r="R2399">
        <v>550860</v>
      </c>
    </row>
    <row r="2400" spans="1:18" x14ac:dyDescent="0.25">
      <c r="A2400" s="169">
        <v>45548</v>
      </c>
      <c r="B2400" s="115">
        <v>902.55</v>
      </c>
      <c r="C2400" s="115">
        <v>890.25</v>
      </c>
      <c r="D2400" s="115">
        <v>877.8</v>
      </c>
      <c r="E2400" s="115">
        <v>902.55</v>
      </c>
      <c r="F2400" s="115">
        <v>890.25</v>
      </c>
      <c r="G2400">
        <v>8104</v>
      </c>
      <c r="H2400" s="115"/>
      <c r="I2400" s="115"/>
      <c r="L2400" s="169">
        <v>45540</v>
      </c>
      <c r="M2400" s="115">
        <v>890.65</v>
      </c>
      <c r="N2400" s="115">
        <v>894.95</v>
      </c>
      <c r="O2400" s="115">
        <v>876</v>
      </c>
      <c r="P2400" s="115">
        <v>880</v>
      </c>
      <c r="Q2400" s="115">
        <v>890.65</v>
      </c>
      <c r="R2400">
        <v>153836</v>
      </c>
    </row>
    <row r="2401" spans="1:18" x14ac:dyDescent="0.25">
      <c r="A2401" s="169">
        <v>45551</v>
      </c>
      <c r="B2401" s="115">
        <v>898.3</v>
      </c>
      <c r="C2401" s="115">
        <v>891.4</v>
      </c>
      <c r="D2401" s="115">
        <v>882.35</v>
      </c>
      <c r="E2401" s="115">
        <v>890.25</v>
      </c>
      <c r="F2401" s="115">
        <v>891.4</v>
      </c>
      <c r="G2401">
        <v>1744</v>
      </c>
      <c r="H2401" s="115"/>
      <c r="I2401" s="115"/>
      <c r="L2401" s="169">
        <v>45541</v>
      </c>
      <c r="M2401" s="115">
        <v>895.8</v>
      </c>
      <c r="N2401" s="115">
        <v>898.7</v>
      </c>
      <c r="O2401" s="115">
        <v>885.75</v>
      </c>
      <c r="P2401" s="115">
        <v>890</v>
      </c>
      <c r="Q2401" s="115">
        <v>895.8</v>
      </c>
      <c r="R2401">
        <v>148522</v>
      </c>
    </row>
    <row r="2402" spans="1:18" x14ac:dyDescent="0.25">
      <c r="A2402" s="169">
        <v>45552</v>
      </c>
      <c r="B2402" s="115">
        <v>914.95</v>
      </c>
      <c r="C2402" s="115">
        <v>899.25</v>
      </c>
      <c r="D2402" s="115">
        <v>878.2</v>
      </c>
      <c r="E2402" s="115">
        <v>909.25</v>
      </c>
      <c r="F2402" s="115">
        <v>899.25</v>
      </c>
      <c r="G2402">
        <v>3310</v>
      </c>
      <c r="H2402" s="115"/>
      <c r="I2402" s="115"/>
      <c r="L2402" s="169">
        <v>45544</v>
      </c>
      <c r="M2402" s="115">
        <v>866.7</v>
      </c>
      <c r="N2402" s="115">
        <v>895</v>
      </c>
      <c r="O2402" s="115">
        <v>856.5</v>
      </c>
      <c r="P2402" s="115">
        <v>885</v>
      </c>
      <c r="Q2402" s="115">
        <v>866.7</v>
      </c>
      <c r="R2402">
        <v>195262</v>
      </c>
    </row>
    <row r="2403" spans="1:18" x14ac:dyDescent="0.25">
      <c r="A2403" s="169">
        <v>45553</v>
      </c>
      <c r="B2403" s="115">
        <v>910.3</v>
      </c>
      <c r="C2403" s="115">
        <v>887.6</v>
      </c>
      <c r="D2403" s="115">
        <v>877.5</v>
      </c>
      <c r="E2403" s="115">
        <v>904</v>
      </c>
      <c r="F2403" s="115">
        <v>887.6</v>
      </c>
      <c r="G2403">
        <v>3778</v>
      </c>
      <c r="H2403" s="115"/>
      <c r="I2403" s="115"/>
      <c r="L2403" s="169">
        <v>45545</v>
      </c>
      <c r="M2403" s="115">
        <v>884.1</v>
      </c>
      <c r="N2403" s="115">
        <v>889.25</v>
      </c>
      <c r="O2403" s="115">
        <v>866.7</v>
      </c>
      <c r="P2403" s="115">
        <v>868</v>
      </c>
      <c r="Q2403" s="115">
        <v>884.1</v>
      </c>
      <c r="R2403">
        <v>112109</v>
      </c>
    </row>
    <row r="2404" spans="1:18" x14ac:dyDescent="0.25">
      <c r="A2404" s="169">
        <v>45554</v>
      </c>
      <c r="B2404" s="115">
        <v>903.15</v>
      </c>
      <c r="C2404" s="115">
        <v>883.05</v>
      </c>
      <c r="D2404" s="115">
        <v>866.8</v>
      </c>
      <c r="E2404" s="115">
        <v>882.05</v>
      </c>
      <c r="F2404" s="115">
        <v>883.05</v>
      </c>
      <c r="G2404">
        <v>17520</v>
      </c>
      <c r="H2404" s="115"/>
      <c r="I2404" s="115"/>
      <c r="L2404" s="169">
        <v>45546</v>
      </c>
      <c r="M2404" s="115">
        <v>893.9</v>
      </c>
      <c r="N2404" s="115">
        <v>896.95</v>
      </c>
      <c r="O2404" s="115">
        <v>875.8</v>
      </c>
      <c r="P2404" s="115">
        <v>875.8</v>
      </c>
      <c r="Q2404" s="115">
        <v>893.9</v>
      </c>
      <c r="R2404">
        <v>102766</v>
      </c>
    </row>
    <row r="2405" spans="1:18" x14ac:dyDescent="0.25">
      <c r="A2405" s="169">
        <v>45555</v>
      </c>
      <c r="B2405" s="115">
        <v>900</v>
      </c>
      <c r="C2405" s="115">
        <v>897.25</v>
      </c>
      <c r="D2405" s="115">
        <v>875.2</v>
      </c>
      <c r="E2405" s="115">
        <v>883.1</v>
      </c>
      <c r="F2405" s="115">
        <v>897.25</v>
      </c>
      <c r="G2405">
        <v>7211</v>
      </c>
      <c r="H2405" s="115"/>
      <c r="I2405" s="115"/>
      <c r="L2405" s="169">
        <v>45547</v>
      </c>
      <c r="M2405" s="115">
        <v>892.95</v>
      </c>
      <c r="N2405" s="115">
        <v>900</v>
      </c>
      <c r="O2405" s="115">
        <v>882.5</v>
      </c>
      <c r="P2405" s="115">
        <v>899.3</v>
      </c>
      <c r="Q2405" s="115">
        <v>892.95</v>
      </c>
      <c r="R2405">
        <v>42379</v>
      </c>
    </row>
    <row r="2406" spans="1:18" x14ac:dyDescent="0.25">
      <c r="A2406" s="169">
        <v>45558</v>
      </c>
      <c r="B2406" s="115">
        <v>907.5</v>
      </c>
      <c r="C2406" s="115">
        <v>904.25</v>
      </c>
      <c r="D2406" s="115">
        <v>869.4</v>
      </c>
      <c r="E2406" s="115">
        <v>893.95</v>
      </c>
      <c r="F2406" s="115">
        <v>904.25</v>
      </c>
      <c r="G2406">
        <v>9088</v>
      </c>
      <c r="H2406" s="115"/>
      <c r="I2406" s="115"/>
      <c r="L2406" s="169">
        <v>45548</v>
      </c>
      <c r="M2406" s="115">
        <v>891</v>
      </c>
      <c r="N2406" s="115">
        <v>896.8</v>
      </c>
      <c r="O2406" s="115">
        <v>878.5</v>
      </c>
      <c r="P2406" s="115">
        <v>892.95</v>
      </c>
      <c r="Q2406" s="115">
        <v>891</v>
      </c>
      <c r="R2406">
        <v>77738</v>
      </c>
    </row>
    <row r="2407" spans="1:18" x14ac:dyDescent="0.25">
      <c r="A2407" s="169">
        <v>45559</v>
      </c>
      <c r="B2407" s="115">
        <v>908</v>
      </c>
      <c r="C2407" s="115">
        <v>905.7</v>
      </c>
      <c r="D2407" s="115">
        <v>888.85</v>
      </c>
      <c r="E2407" s="115">
        <v>905</v>
      </c>
      <c r="F2407" s="115">
        <v>905.7</v>
      </c>
      <c r="G2407">
        <v>3468</v>
      </c>
      <c r="H2407" s="115"/>
      <c r="I2407" s="115"/>
      <c r="L2407" s="169">
        <v>45551</v>
      </c>
      <c r="M2407" s="115">
        <v>891.7</v>
      </c>
      <c r="N2407" s="115">
        <v>900</v>
      </c>
      <c r="O2407" s="115">
        <v>882</v>
      </c>
      <c r="P2407" s="115">
        <v>891</v>
      </c>
      <c r="Q2407" s="115">
        <v>891.7</v>
      </c>
      <c r="R2407">
        <v>58139</v>
      </c>
    </row>
    <row r="2408" spans="1:18" x14ac:dyDescent="0.25">
      <c r="A2408" s="169">
        <v>45560</v>
      </c>
      <c r="B2408" s="115">
        <v>914.7</v>
      </c>
      <c r="C2408" s="115">
        <v>904.55</v>
      </c>
      <c r="D2408" s="115">
        <v>895</v>
      </c>
      <c r="E2408" s="115">
        <v>905.7</v>
      </c>
      <c r="F2408" s="115">
        <v>904.55</v>
      </c>
      <c r="G2408">
        <v>10802</v>
      </c>
      <c r="H2408" s="115"/>
      <c r="I2408" s="115"/>
      <c r="L2408" s="169">
        <v>45552</v>
      </c>
      <c r="M2408" s="115">
        <v>904</v>
      </c>
      <c r="N2408" s="115">
        <v>915</v>
      </c>
      <c r="O2408" s="115">
        <v>878</v>
      </c>
      <c r="P2408" s="115">
        <v>891.7</v>
      </c>
      <c r="Q2408" s="115">
        <v>904</v>
      </c>
      <c r="R2408">
        <v>166610</v>
      </c>
    </row>
    <row r="2409" spans="1:18" x14ac:dyDescent="0.25">
      <c r="A2409" s="169">
        <v>45561</v>
      </c>
      <c r="B2409" s="115">
        <v>911.5</v>
      </c>
      <c r="C2409" s="115">
        <v>903.05</v>
      </c>
      <c r="D2409" s="115">
        <v>886.5</v>
      </c>
      <c r="E2409" s="115">
        <v>890.1</v>
      </c>
      <c r="F2409" s="115">
        <v>903.05</v>
      </c>
      <c r="G2409">
        <v>5687</v>
      </c>
      <c r="H2409" s="115"/>
      <c r="I2409" s="115"/>
      <c r="L2409" s="169">
        <v>45553</v>
      </c>
      <c r="M2409" s="115">
        <v>886.9</v>
      </c>
      <c r="N2409" s="115">
        <v>910.5</v>
      </c>
      <c r="O2409" s="115">
        <v>878</v>
      </c>
      <c r="P2409" s="115">
        <v>894</v>
      </c>
      <c r="Q2409" s="115">
        <v>886.9</v>
      </c>
      <c r="R2409">
        <v>189422</v>
      </c>
    </row>
    <row r="2410" spans="1:18" x14ac:dyDescent="0.25">
      <c r="A2410" s="169">
        <v>45562</v>
      </c>
      <c r="B2410" s="115">
        <v>905.2</v>
      </c>
      <c r="C2410" s="115">
        <v>890.25</v>
      </c>
      <c r="D2410" s="115">
        <v>886.4</v>
      </c>
      <c r="E2410" s="115">
        <v>900.05</v>
      </c>
      <c r="F2410" s="115">
        <v>890.25</v>
      </c>
      <c r="G2410">
        <v>1868</v>
      </c>
      <c r="H2410" s="115"/>
      <c r="I2410" s="115"/>
      <c r="L2410" s="169">
        <v>45554</v>
      </c>
      <c r="M2410" s="115">
        <v>882.25</v>
      </c>
      <c r="N2410" s="115">
        <v>904</v>
      </c>
      <c r="O2410" s="115">
        <v>866.9</v>
      </c>
      <c r="P2410" s="115">
        <v>885.85</v>
      </c>
      <c r="Q2410" s="115">
        <v>882.25</v>
      </c>
      <c r="R2410">
        <v>128811</v>
      </c>
    </row>
    <row r="2411" spans="1:18" x14ac:dyDescent="0.25">
      <c r="A2411" s="169">
        <v>45565</v>
      </c>
      <c r="B2411" s="115">
        <v>901.9</v>
      </c>
      <c r="C2411" s="115">
        <v>898.9</v>
      </c>
      <c r="D2411" s="115">
        <v>876.65</v>
      </c>
      <c r="E2411" s="115">
        <v>876.65</v>
      </c>
      <c r="F2411" s="115">
        <v>898.9</v>
      </c>
      <c r="G2411">
        <v>1902</v>
      </c>
      <c r="H2411" s="115"/>
      <c r="I2411" s="115"/>
      <c r="L2411" s="169">
        <v>45555</v>
      </c>
      <c r="M2411" s="115">
        <v>897.8</v>
      </c>
      <c r="N2411" s="115">
        <v>901</v>
      </c>
      <c r="O2411" s="115">
        <v>875.05</v>
      </c>
      <c r="P2411" s="115">
        <v>887.45</v>
      </c>
      <c r="Q2411" s="115">
        <v>897.8</v>
      </c>
      <c r="R2411">
        <v>129901</v>
      </c>
    </row>
    <row r="2412" spans="1:18" x14ac:dyDescent="0.25">
      <c r="A2412" s="169">
        <v>45566</v>
      </c>
      <c r="B2412" s="115">
        <v>907.75</v>
      </c>
      <c r="C2412" s="115">
        <v>907.05</v>
      </c>
      <c r="D2412" s="115">
        <v>891.05</v>
      </c>
      <c r="E2412" s="115">
        <v>899</v>
      </c>
      <c r="F2412" s="115">
        <v>907.05</v>
      </c>
      <c r="G2412">
        <v>4893</v>
      </c>
      <c r="H2412" s="115"/>
      <c r="I2412" s="115"/>
      <c r="L2412" s="169">
        <v>45558</v>
      </c>
      <c r="M2412" s="115">
        <v>904.9</v>
      </c>
      <c r="N2412" s="115">
        <v>908</v>
      </c>
      <c r="O2412" s="115">
        <v>869.7</v>
      </c>
      <c r="P2412" s="115">
        <v>888.05</v>
      </c>
      <c r="Q2412" s="115">
        <v>904.9</v>
      </c>
      <c r="R2412">
        <v>210701</v>
      </c>
    </row>
    <row r="2413" spans="1:18" x14ac:dyDescent="0.25">
      <c r="A2413" s="169">
        <v>45568</v>
      </c>
      <c r="B2413" s="115">
        <v>923.3</v>
      </c>
      <c r="C2413" s="115">
        <v>876.4</v>
      </c>
      <c r="D2413" s="115">
        <v>873</v>
      </c>
      <c r="E2413" s="115">
        <v>888.95</v>
      </c>
      <c r="F2413" s="115">
        <v>876.4</v>
      </c>
      <c r="G2413">
        <v>8908</v>
      </c>
      <c r="H2413" s="115"/>
      <c r="I2413" s="115"/>
      <c r="L2413" s="169">
        <v>45559</v>
      </c>
      <c r="M2413" s="115">
        <v>904.4</v>
      </c>
      <c r="N2413" s="115">
        <v>911.4</v>
      </c>
      <c r="O2413" s="115">
        <v>887.2</v>
      </c>
      <c r="P2413" s="115">
        <v>891.1</v>
      </c>
      <c r="Q2413" s="115">
        <v>904.4</v>
      </c>
      <c r="R2413">
        <v>161352</v>
      </c>
    </row>
    <row r="2414" spans="1:18" x14ac:dyDescent="0.25">
      <c r="A2414" s="169">
        <v>45569</v>
      </c>
      <c r="B2414" s="115">
        <v>888.25</v>
      </c>
      <c r="C2414" s="115">
        <v>865.7</v>
      </c>
      <c r="D2414" s="115">
        <v>862.95</v>
      </c>
      <c r="E2414" s="115">
        <v>873</v>
      </c>
      <c r="F2414" s="115">
        <v>865.7</v>
      </c>
      <c r="G2414">
        <v>12869</v>
      </c>
      <c r="H2414" s="115"/>
      <c r="I2414" s="115"/>
      <c r="L2414" s="169">
        <v>45560</v>
      </c>
      <c r="M2414" s="115">
        <v>904.05</v>
      </c>
      <c r="N2414" s="115">
        <v>915</v>
      </c>
      <c r="O2414" s="115">
        <v>894.1</v>
      </c>
      <c r="P2414" s="115">
        <v>900</v>
      </c>
      <c r="Q2414" s="115">
        <v>904.05</v>
      </c>
      <c r="R2414">
        <v>126170</v>
      </c>
    </row>
    <row r="2415" spans="1:18" x14ac:dyDescent="0.25">
      <c r="A2415" s="169">
        <v>45572</v>
      </c>
      <c r="B2415" s="115">
        <v>874.95</v>
      </c>
      <c r="C2415" s="115">
        <v>861.15</v>
      </c>
      <c r="D2415" s="115">
        <v>839.1</v>
      </c>
      <c r="E2415" s="115">
        <v>860</v>
      </c>
      <c r="F2415" s="115">
        <v>861.15</v>
      </c>
      <c r="G2415">
        <v>6521</v>
      </c>
      <c r="H2415" s="115"/>
      <c r="I2415" s="115"/>
      <c r="L2415" s="169">
        <v>45561</v>
      </c>
      <c r="M2415" s="115">
        <v>904</v>
      </c>
      <c r="N2415" s="115">
        <v>907.95</v>
      </c>
      <c r="O2415" s="115">
        <v>893</v>
      </c>
      <c r="P2415" s="115">
        <v>905</v>
      </c>
      <c r="Q2415" s="115">
        <v>904</v>
      </c>
      <c r="R2415">
        <v>61233</v>
      </c>
    </row>
    <row r="2416" spans="1:18" x14ac:dyDescent="0.25">
      <c r="A2416" s="169">
        <v>45573</v>
      </c>
      <c r="B2416" s="115">
        <v>892.4</v>
      </c>
      <c r="C2416" s="115">
        <v>889.95</v>
      </c>
      <c r="D2416" s="115">
        <v>840</v>
      </c>
      <c r="E2416" s="115">
        <v>850</v>
      </c>
      <c r="F2416" s="115">
        <v>889.95</v>
      </c>
      <c r="G2416">
        <v>7759</v>
      </c>
      <c r="H2416" s="115"/>
      <c r="I2416" s="115"/>
      <c r="L2416" s="169">
        <v>45562</v>
      </c>
      <c r="M2416" s="115">
        <v>890.45</v>
      </c>
      <c r="N2416" s="115">
        <v>911.65</v>
      </c>
      <c r="O2416" s="115">
        <v>885.65</v>
      </c>
      <c r="P2416" s="115">
        <v>907</v>
      </c>
      <c r="Q2416" s="115">
        <v>890.45</v>
      </c>
      <c r="R2416">
        <v>304998</v>
      </c>
    </row>
    <row r="2417" spans="1:18" x14ac:dyDescent="0.25">
      <c r="A2417" s="169">
        <v>45574</v>
      </c>
      <c r="B2417" s="115">
        <v>894</v>
      </c>
      <c r="C2417" s="115">
        <v>888.9</v>
      </c>
      <c r="D2417" s="115">
        <v>870.3</v>
      </c>
      <c r="E2417" s="115">
        <v>870.3</v>
      </c>
      <c r="F2417" s="115">
        <v>888.9</v>
      </c>
      <c r="G2417">
        <v>1842</v>
      </c>
      <c r="H2417" s="115"/>
      <c r="I2417" s="115"/>
      <c r="L2417" s="169">
        <v>45565</v>
      </c>
      <c r="M2417" s="115">
        <v>899.3</v>
      </c>
      <c r="N2417" s="115">
        <v>901.6</v>
      </c>
      <c r="O2417" s="115">
        <v>880.8</v>
      </c>
      <c r="P2417" s="115">
        <v>888</v>
      </c>
      <c r="Q2417" s="115">
        <v>899.3</v>
      </c>
      <c r="R2417">
        <v>260251</v>
      </c>
    </row>
    <row r="2418" spans="1:18" x14ac:dyDescent="0.25">
      <c r="A2418" s="169">
        <v>45575</v>
      </c>
      <c r="B2418" s="115">
        <v>896.95</v>
      </c>
      <c r="C2418" s="115">
        <v>893.95</v>
      </c>
      <c r="D2418" s="115">
        <v>885</v>
      </c>
      <c r="E2418" s="115">
        <v>892.35</v>
      </c>
      <c r="F2418" s="115">
        <v>893.95</v>
      </c>
      <c r="G2418">
        <v>1602</v>
      </c>
      <c r="H2418" s="115"/>
      <c r="I2418" s="115"/>
      <c r="L2418" s="169">
        <v>45566</v>
      </c>
      <c r="M2418" s="115">
        <v>906.35</v>
      </c>
      <c r="N2418" s="115">
        <v>907</v>
      </c>
      <c r="O2418" s="115">
        <v>891.15</v>
      </c>
      <c r="P2418" s="115">
        <v>894.6</v>
      </c>
      <c r="Q2418" s="115">
        <v>906.35</v>
      </c>
      <c r="R2418">
        <v>149369</v>
      </c>
    </row>
    <row r="2419" spans="1:18" x14ac:dyDescent="0.25">
      <c r="A2419" s="169">
        <v>45576</v>
      </c>
      <c r="B2419" s="115">
        <v>912.15</v>
      </c>
      <c r="C2419" s="115">
        <v>905.5</v>
      </c>
      <c r="D2419" s="115">
        <v>889.65</v>
      </c>
      <c r="E2419" s="115">
        <v>912.15</v>
      </c>
      <c r="F2419" s="115">
        <v>905.5</v>
      </c>
      <c r="G2419">
        <v>2466</v>
      </c>
      <c r="H2419" s="115"/>
      <c r="I2419" s="115"/>
      <c r="L2419" s="169">
        <v>45568</v>
      </c>
      <c r="M2419" s="115">
        <v>876.1</v>
      </c>
      <c r="N2419" s="115">
        <v>923.6</v>
      </c>
      <c r="O2419" s="115">
        <v>871.25</v>
      </c>
      <c r="P2419" s="115">
        <v>900</v>
      </c>
      <c r="Q2419" s="115">
        <v>876.1</v>
      </c>
      <c r="R2419">
        <v>450783</v>
      </c>
    </row>
    <row r="2420" spans="1:18" x14ac:dyDescent="0.25">
      <c r="A2420" s="169">
        <v>45579</v>
      </c>
      <c r="B2420" s="115">
        <v>960</v>
      </c>
      <c r="C2420" s="115">
        <v>915.9</v>
      </c>
      <c r="D2420" s="115">
        <v>910.55</v>
      </c>
      <c r="E2420" s="115">
        <v>919.6</v>
      </c>
      <c r="F2420" s="115">
        <v>915.9</v>
      </c>
      <c r="G2420">
        <v>15536</v>
      </c>
      <c r="H2420" s="115"/>
      <c r="I2420" s="115"/>
      <c r="L2420" s="169">
        <v>45569</v>
      </c>
      <c r="M2420" s="115">
        <v>867.8</v>
      </c>
      <c r="N2420" s="115">
        <v>887.2</v>
      </c>
      <c r="O2420" s="115">
        <v>861.45</v>
      </c>
      <c r="P2420" s="115">
        <v>876.25</v>
      </c>
      <c r="Q2420" s="115">
        <v>867.8</v>
      </c>
      <c r="R2420">
        <v>71355</v>
      </c>
    </row>
    <row r="2421" spans="1:18" x14ac:dyDescent="0.25">
      <c r="A2421" s="169">
        <v>45580</v>
      </c>
      <c r="B2421" s="115">
        <v>937.95</v>
      </c>
      <c r="C2421" s="115">
        <v>902.45</v>
      </c>
      <c r="D2421" s="115">
        <v>893.8</v>
      </c>
      <c r="E2421" s="115">
        <v>914</v>
      </c>
      <c r="F2421" s="115">
        <v>902.45</v>
      </c>
      <c r="G2421">
        <v>13082</v>
      </c>
      <c r="H2421" s="115"/>
      <c r="I2421" s="115"/>
      <c r="L2421" s="169">
        <v>45572</v>
      </c>
      <c r="M2421" s="115">
        <v>860.9</v>
      </c>
      <c r="N2421" s="115">
        <v>875.3</v>
      </c>
      <c r="O2421" s="115">
        <v>836.05</v>
      </c>
      <c r="P2421" s="115">
        <v>865</v>
      </c>
      <c r="Q2421" s="115">
        <v>860.9</v>
      </c>
      <c r="R2421">
        <v>192776</v>
      </c>
    </row>
    <row r="2422" spans="1:18" x14ac:dyDescent="0.25">
      <c r="A2422" s="169">
        <v>45581</v>
      </c>
      <c r="B2422" s="115">
        <v>900.45</v>
      </c>
      <c r="C2422" s="115">
        <v>890.25</v>
      </c>
      <c r="D2422" s="115">
        <v>881.35</v>
      </c>
      <c r="E2422" s="115">
        <v>898.35</v>
      </c>
      <c r="F2422" s="115">
        <v>890.25</v>
      </c>
      <c r="G2422">
        <v>6183</v>
      </c>
      <c r="H2422" s="115"/>
      <c r="I2422" s="115"/>
      <c r="L2422" s="169">
        <v>45573</v>
      </c>
      <c r="M2422" s="115">
        <v>890.45</v>
      </c>
      <c r="N2422" s="115">
        <v>894</v>
      </c>
      <c r="O2422" s="115">
        <v>841</v>
      </c>
      <c r="P2422" s="115">
        <v>847</v>
      </c>
      <c r="Q2422" s="115">
        <v>890.45</v>
      </c>
      <c r="R2422">
        <v>123355</v>
      </c>
    </row>
    <row r="2423" spans="1:18" x14ac:dyDescent="0.25">
      <c r="A2423" s="169">
        <v>45582</v>
      </c>
      <c r="B2423" s="115">
        <v>918.8</v>
      </c>
      <c r="C2423" s="115">
        <v>889.3</v>
      </c>
      <c r="D2423" s="115">
        <v>880</v>
      </c>
      <c r="E2423" s="115">
        <v>918.8</v>
      </c>
      <c r="F2423" s="115">
        <v>889.3</v>
      </c>
      <c r="G2423">
        <v>4275</v>
      </c>
      <c r="H2423" s="115"/>
      <c r="I2423" s="115"/>
      <c r="L2423" s="169">
        <v>45574</v>
      </c>
      <c r="M2423" s="115">
        <v>890.05</v>
      </c>
      <c r="N2423" s="115">
        <v>898.15</v>
      </c>
      <c r="O2423" s="115">
        <v>880.05</v>
      </c>
      <c r="P2423" s="115">
        <v>880.05</v>
      </c>
      <c r="Q2423" s="115">
        <v>890.05</v>
      </c>
      <c r="R2423">
        <v>103659</v>
      </c>
    </row>
    <row r="2424" spans="1:18" x14ac:dyDescent="0.25">
      <c r="A2424" s="169">
        <v>45583</v>
      </c>
      <c r="B2424" s="115">
        <v>892.85</v>
      </c>
      <c r="C2424" s="115">
        <v>885.2</v>
      </c>
      <c r="D2424" s="115">
        <v>872.1</v>
      </c>
      <c r="E2424" s="115">
        <v>885.3</v>
      </c>
      <c r="F2424" s="115">
        <v>885.2</v>
      </c>
      <c r="G2424">
        <v>1650</v>
      </c>
      <c r="H2424" s="115"/>
      <c r="I2424" s="115"/>
      <c r="L2424" s="169">
        <v>45575</v>
      </c>
      <c r="M2424" s="115">
        <v>894.25</v>
      </c>
      <c r="N2424" s="115">
        <v>896</v>
      </c>
      <c r="O2424" s="115">
        <v>884.65</v>
      </c>
      <c r="P2424" s="115">
        <v>891.15</v>
      </c>
      <c r="Q2424" s="115">
        <v>894.25</v>
      </c>
      <c r="R2424">
        <v>55686</v>
      </c>
    </row>
    <row r="2425" spans="1:18" x14ac:dyDescent="0.25">
      <c r="A2425" s="169">
        <v>45586</v>
      </c>
      <c r="B2425" s="115">
        <v>893.5</v>
      </c>
      <c r="C2425" s="115">
        <v>881.8</v>
      </c>
      <c r="D2425" s="115">
        <v>877.65</v>
      </c>
      <c r="E2425" s="115">
        <v>883.4</v>
      </c>
      <c r="F2425" s="115">
        <v>881.8</v>
      </c>
      <c r="G2425">
        <v>1379</v>
      </c>
      <c r="H2425" s="115"/>
      <c r="I2425" s="115"/>
      <c r="L2425" s="169">
        <v>45576</v>
      </c>
      <c r="M2425" s="115">
        <v>906</v>
      </c>
      <c r="N2425" s="115">
        <v>909.8</v>
      </c>
      <c r="O2425" s="115">
        <v>885.95</v>
      </c>
      <c r="P2425" s="115">
        <v>894.25</v>
      </c>
      <c r="Q2425" s="115">
        <v>906</v>
      </c>
      <c r="R2425">
        <v>133712</v>
      </c>
    </row>
    <row r="2426" spans="1:18" x14ac:dyDescent="0.25">
      <c r="A2426" s="169">
        <v>45587</v>
      </c>
      <c r="B2426" s="115">
        <v>886</v>
      </c>
      <c r="C2426" s="115">
        <v>870.05</v>
      </c>
      <c r="D2426" s="115">
        <v>863.95</v>
      </c>
      <c r="E2426" s="115">
        <v>876.1</v>
      </c>
      <c r="F2426" s="115">
        <v>870.05</v>
      </c>
      <c r="G2426">
        <v>3363</v>
      </c>
      <c r="H2426" s="115"/>
      <c r="I2426" s="115"/>
      <c r="L2426" s="169">
        <v>45579</v>
      </c>
      <c r="M2426" s="115">
        <v>914.15</v>
      </c>
      <c r="N2426" s="115">
        <v>958</v>
      </c>
      <c r="O2426" s="115">
        <v>910.05</v>
      </c>
      <c r="P2426" s="115">
        <v>919.85</v>
      </c>
      <c r="Q2426" s="115">
        <v>914.15</v>
      </c>
      <c r="R2426">
        <v>803921</v>
      </c>
    </row>
    <row r="2427" spans="1:18" x14ac:dyDescent="0.25">
      <c r="A2427" s="169">
        <v>45588</v>
      </c>
      <c r="B2427" s="115">
        <v>875</v>
      </c>
      <c r="C2427" s="115">
        <v>864.85</v>
      </c>
      <c r="D2427" s="115">
        <v>852.2</v>
      </c>
      <c r="E2427" s="115">
        <v>875</v>
      </c>
      <c r="F2427" s="115">
        <v>864.85</v>
      </c>
      <c r="G2427">
        <v>4447</v>
      </c>
      <c r="H2427" s="115"/>
      <c r="I2427" s="115"/>
      <c r="L2427" s="169">
        <v>45580</v>
      </c>
      <c r="M2427" s="115">
        <v>902.25</v>
      </c>
      <c r="N2427" s="115">
        <v>937</v>
      </c>
      <c r="O2427" s="115">
        <v>894</v>
      </c>
      <c r="P2427" s="115">
        <v>914.95</v>
      </c>
      <c r="Q2427" s="115">
        <v>902.25</v>
      </c>
      <c r="R2427">
        <v>316486</v>
      </c>
    </row>
    <row r="2428" spans="1:18" x14ac:dyDescent="0.25">
      <c r="A2428" s="169">
        <v>45589</v>
      </c>
      <c r="B2428" s="115">
        <v>872.35</v>
      </c>
      <c r="C2428" s="115">
        <v>846.55</v>
      </c>
      <c r="D2428" s="115">
        <v>842.35</v>
      </c>
      <c r="E2428" s="115">
        <v>851</v>
      </c>
      <c r="F2428" s="115">
        <v>846.55</v>
      </c>
      <c r="G2428">
        <v>6499</v>
      </c>
      <c r="H2428" s="115"/>
      <c r="I2428" s="115"/>
      <c r="L2428" s="169">
        <v>45581</v>
      </c>
      <c r="M2428" s="115">
        <v>889.85</v>
      </c>
      <c r="N2428" s="115">
        <v>911</v>
      </c>
      <c r="O2428" s="115">
        <v>881</v>
      </c>
      <c r="P2428" s="115">
        <v>910</v>
      </c>
      <c r="Q2428" s="115">
        <v>889.85</v>
      </c>
      <c r="R2428">
        <v>141068</v>
      </c>
    </row>
    <row r="2429" spans="1:18" x14ac:dyDescent="0.25">
      <c r="A2429" s="169">
        <v>45590</v>
      </c>
      <c r="B2429" s="115">
        <v>848.7</v>
      </c>
      <c r="C2429" s="115">
        <v>831.6</v>
      </c>
      <c r="D2429" s="115">
        <v>819</v>
      </c>
      <c r="E2429" s="115">
        <v>837</v>
      </c>
      <c r="F2429" s="115">
        <v>831.6</v>
      </c>
      <c r="G2429">
        <v>5150</v>
      </c>
      <c r="H2429" s="115"/>
      <c r="I2429" s="115"/>
      <c r="L2429" s="169">
        <v>45582</v>
      </c>
      <c r="M2429" s="115">
        <v>890.25</v>
      </c>
      <c r="N2429" s="115">
        <v>895</v>
      </c>
      <c r="O2429" s="115">
        <v>880.1</v>
      </c>
      <c r="P2429" s="115">
        <v>894.95</v>
      </c>
      <c r="Q2429" s="115">
        <v>890.25</v>
      </c>
      <c r="R2429">
        <v>71525</v>
      </c>
    </row>
    <row r="2430" spans="1:18" x14ac:dyDescent="0.25">
      <c r="A2430" s="169">
        <v>45593</v>
      </c>
      <c r="B2430" s="115">
        <v>843.15</v>
      </c>
      <c r="C2430" s="115">
        <v>831.9</v>
      </c>
      <c r="D2430" s="115">
        <v>812.75</v>
      </c>
      <c r="E2430" s="115">
        <v>815.25</v>
      </c>
      <c r="F2430" s="115">
        <v>831.9</v>
      </c>
      <c r="G2430">
        <v>4469</v>
      </c>
      <c r="H2430" s="115"/>
      <c r="I2430" s="115"/>
      <c r="L2430" s="169">
        <v>45583</v>
      </c>
      <c r="M2430" s="115">
        <v>886</v>
      </c>
      <c r="N2430" s="115">
        <v>893.95</v>
      </c>
      <c r="O2430" s="115">
        <v>871.5</v>
      </c>
      <c r="P2430" s="115">
        <v>880.15</v>
      </c>
      <c r="Q2430" s="115">
        <v>886</v>
      </c>
      <c r="R2430">
        <v>87796</v>
      </c>
    </row>
    <row r="2431" spans="1:18" x14ac:dyDescent="0.25">
      <c r="A2431" s="169">
        <v>45594</v>
      </c>
      <c r="B2431" s="115">
        <v>809.45</v>
      </c>
      <c r="C2431" s="115">
        <v>791.65</v>
      </c>
      <c r="D2431" s="115">
        <v>741.7</v>
      </c>
      <c r="E2431" s="115">
        <v>797</v>
      </c>
      <c r="F2431" s="115">
        <v>791.65</v>
      </c>
      <c r="G2431">
        <v>19514</v>
      </c>
      <c r="H2431" s="115"/>
      <c r="I2431" s="115"/>
      <c r="L2431" s="169">
        <v>45586</v>
      </c>
      <c r="M2431" s="115">
        <v>883.75</v>
      </c>
      <c r="N2431" s="115">
        <v>893</v>
      </c>
      <c r="O2431" s="115">
        <v>876.65</v>
      </c>
      <c r="P2431" s="115">
        <v>881</v>
      </c>
      <c r="Q2431" s="115">
        <v>883.75</v>
      </c>
      <c r="R2431">
        <v>110866</v>
      </c>
    </row>
    <row r="2432" spans="1:18" x14ac:dyDescent="0.25">
      <c r="A2432" s="169">
        <v>45595</v>
      </c>
      <c r="B2432" s="115">
        <v>864</v>
      </c>
      <c r="C2432" s="115">
        <v>823.65</v>
      </c>
      <c r="D2432" s="115">
        <v>765.9</v>
      </c>
      <c r="E2432" s="115">
        <v>777</v>
      </c>
      <c r="F2432" s="115">
        <v>823.65</v>
      </c>
      <c r="G2432">
        <v>3442</v>
      </c>
      <c r="H2432" s="115"/>
      <c r="I2432" s="115"/>
      <c r="L2432" s="169">
        <v>45587</v>
      </c>
      <c r="M2432" s="115">
        <v>867.8</v>
      </c>
      <c r="N2432" s="115">
        <v>888</v>
      </c>
      <c r="O2432" s="115">
        <v>862.7</v>
      </c>
      <c r="P2432" s="115">
        <v>881</v>
      </c>
      <c r="Q2432" s="115">
        <v>867.8</v>
      </c>
      <c r="R2432">
        <v>132636</v>
      </c>
    </row>
    <row r="2433" spans="1:18" x14ac:dyDescent="0.25">
      <c r="A2433" s="169">
        <v>45596</v>
      </c>
      <c r="B2433" s="115">
        <v>824</v>
      </c>
      <c r="C2433" s="115">
        <v>800.2</v>
      </c>
      <c r="D2433" s="115">
        <v>795.6</v>
      </c>
      <c r="E2433" s="115">
        <v>824</v>
      </c>
      <c r="F2433" s="115">
        <v>800.2</v>
      </c>
      <c r="G2433">
        <v>6399</v>
      </c>
      <c r="H2433" s="115"/>
      <c r="I2433" s="115"/>
      <c r="L2433" s="169">
        <v>45588</v>
      </c>
      <c r="M2433" s="115">
        <v>864.75</v>
      </c>
      <c r="N2433" s="115">
        <v>875.15</v>
      </c>
      <c r="O2433" s="115">
        <v>853</v>
      </c>
      <c r="P2433" s="115">
        <v>862.55</v>
      </c>
      <c r="Q2433" s="115">
        <v>864.75</v>
      </c>
      <c r="R2433">
        <v>71755</v>
      </c>
    </row>
    <row r="2434" spans="1:18" x14ac:dyDescent="0.25">
      <c r="A2434" s="169">
        <v>45597</v>
      </c>
      <c r="B2434" s="115">
        <v>811.4</v>
      </c>
      <c r="C2434" s="115">
        <v>802.15</v>
      </c>
      <c r="D2434" s="115">
        <v>795.65</v>
      </c>
      <c r="E2434" s="115">
        <v>809.3</v>
      </c>
      <c r="F2434" s="115">
        <v>802.15</v>
      </c>
      <c r="G2434">
        <v>920</v>
      </c>
      <c r="H2434" s="115"/>
      <c r="I2434" s="115"/>
      <c r="L2434" s="169">
        <v>45589</v>
      </c>
      <c r="M2434" s="115">
        <v>846.5</v>
      </c>
      <c r="N2434" s="115">
        <v>866.6</v>
      </c>
      <c r="O2434" s="115">
        <v>844.05</v>
      </c>
      <c r="P2434" s="115">
        <v>862.15</v>
      </c>
      <c r="Q2434" s="115">
        <v>846.5</v>
      </c>
      <c r="R2434">
        <v>42989</v>
      </c>
    </row>
    <row r="2435" spans="1:18" x14ac:dyDescent="0.25">
      <c r="A2435" s="169">
        <v>45600</v>
      </c>
      <c r="B2435" s="115">
        <v>804.45</v>
      </c>
      <c r="C2435" s="115">
        <v>793</v>
      </c>
      <c r="D2435" s="115">
        <v>777</v>
      </c>
      <c r="E2435" s="115">
        <v>802.15</v>
      </c>
      <c r="F2435" s="115">
        <v>793</v>
      </c>
      <c r="G2435">
        <v>11389</v>
      </c>
      <c r="H2435" s="115"/>
      <c r="I2435" s="115"/>
      <c r="L2435" s="169">
        <v>45590</v>
      </c>
      <c r="M2435" s="115">
        <v>829.45</v>
      </c>
      <c r="N2435" s="115">
        <v>853.65</v>
      </c>
      <c r="O2435" s="115">
        <v>819.45</v>
      </c>
      <c r="P2435" s="115">
        <v>850.8</v>
      </c>
      <c r="Q2435" s="115">
        <v>829.45</v>
      </c>
      <c r="R2435">
        <v>120018</v>
      </c>
    </row>
    <row r="2436" spans="1:18" x14ac:dyDescent="0.25">
      <c r="A2436" s="169">
        <v>45601</v>
      </c>
      <c r="B2436" s="115">
        <v>809.55</v>
      </c>
      <c r="C2436" s="115">
        <v>795.3</v>
      </c>
      <c r="D2436" s="115">
        <v>787.85</v>
      </c>
      <c r="E2436" s="115">
        <v>793</v>
      </c>
      <c r="F2436" s="115">
        <v>795.3</v>
      </c>
      <c r="G2436">
        <v>7815</v>
      </c>
      <c r="H2436" s="115"/>
      <c r="I2436" s="115"/>
      <c r="L2436" s="169">
        <v>45593</v>
      </c>
      <c r="M2436" s="115">
        <v>832.6</v>
      </c>
      <c r="N2436" s="115">
        <v>843.9</v>
      </c>
      <c r="O2436" s="115">
        <v>812.05</v>
      </c>
      <c r="P2436" s="115">
        <v>829.95</v>
      </c>
      <c r="Q2436" s="115">
        <v>832.6</v>
      </c>
      <c r="R2436">
        <v>71866</v>
      </c>
    </row>
    <row r="2437" spans="1:18" x14ac:dyDescent="0.25">
      <c r="A2437" s="169">
        <v>45602</v>
      </c>
      <c r="B2437" s="115">
        <v>822.55</v>
      </c>
      <c r="C2437" s="115">
        <v>820.35</v>
      </c>
      <c r="D2437" s="115">
        <v>793.35</v>
      </c>
      <c r="E2437" s="115">
        <v>795.3</v>
      </c>
      <c r="F2437" s="115">
        <v>820.35</v>
      </c>
      <c r="G2437">
        <v>2973</v>
      </c>
      <c r="H2437" s="115"/>
      <c r="I2437" s="115"/>
      <c r="L2437" s="169">
        <v>45594</v>
      </c>
      <c r="M2437" s="115">
        <v>792.9</v>
      </c>
      <c r="N2437" s="115">
        <v>820</v>
      </c>
      <c r="O2437" s="115">
        <v>741.25</v>
      </c>
      <c r="P2437" s="115">
        <v>801.45</v>
      </c>
      <c r="Q2437" s="115">
        <v>792.9</v>
      </c>
      <c r="R2437">
        <v>1260516</v>
      </c>
    </row>
    <row r="2438" spans="1:18" x14ac:dyDescent="0.25">
      <c r="A2438" s="169">
        <v>45603</v>
      </c>
      <c r="B2438" s="115">
        <v>829.45</v>
      </c>
      <c r="C2438" s="115">
        <v>808.7</v>
      </c>
      <c r="D2438" s="115">
        <v>806</v>
      </c>
      <c r="E2438" s="115">
        <v>820</v>
      </c>
      <c r="F2438" s="115">
        <v>808.7</v>
      </c>
      <c r="G2438">
        <v>4854</v>
      </c>
      <c r="H2438" s="115"/>
      <c r="I2438" s="115"/>
      <c r="L2438" s="169">
        <v>45595</v>
      </c>
      <c r="M2438" s="115">
        <v>812.4</v>
      </c>
      <c r="N2438" s="115">
        <v>889.7</v>
      </c>
      <c r="O2438" s="115">
        <v>762.35</v>
      </c>
      <c r="P2438" s="115">
        <v>762.35</v>
      </c>
      <c r="Q2438" s="115">
        <v>812.4</v>
      </c>
      <c r="R2438">
        <v>333990</v>
      </c>
    </row>
    <row r="2439" spans="1:18" x14ac:dyDescent="0.25">
      <c r="A2439" s="169">
        <v>45604</v>
      </c>
      <c r="B2439" s="115">
        <v>833.9</v>
      </c>
      <c r="C2439" s="115">
        <v>819</v>
      </c>
      <c r="D2439" s="115">
        <v>801.15</v>
      </c>
      <c r="E2439" s="115">
        <v>833.9</v>
      </c>
      <c r="F2439" s="115">
        <v>819</v>
      </c>
      <c r="G2439">
        <v>3781</v>
      </c>
      <c r="H2439" s="115"/>
      <c r="I2439" s="115"/>
      <c r="L2439" s="169">
        <v>45596</v>
      </c>
      <c r="M2439" s="115">
        <v>800.65</v>
      </c>
      <c r="N2439" s="115">
        <v>818.4</v>
      </c>
      <c r="O2439" s="115">
        <v>795.3</v>
      </c>
      <c r="P2439" s="115">
        <v>812.8</v>
      </c>
      <c r="Q2439" s="115">
        <v>800.65</v>
      </c>
      <c r="R2439">
        <v>140484</v>
      </c>
    </row>
    <row r="2440" spans="1:18" x14ac:dyDescent="0.25">
      <c r="A2440" s="169">
        <v>45607</v>
      </c>
      <c r="B2440" s="115">
        <v>833.2</v>
      </c>
      <c r="C2440" s="115">
        <v>829.25</v>
      </c>
      <c r="D2440" s="115">
        <v>803.3</v>
      </c>
      <c r="E2440" s="115">
        <v>828</v>
      </c>
      <c r="F2440" s="115">
        <v>829.25</v>
      </c>
      <c r="G2440">
        <v>3937</v>
      </c>
      <c r="H2440" s="115"/>
      <c r="I2440" s="115"/>
      <c r="L2440" s="169">
        <v>45597</v>
      </c>
      <c r="M2440" s="115">
        <v>799.55</v>
      </c>
      <c r="N2440" s="115">
        <v>810</v>
      </c>
      <c r="O2440" s="115">
        <v>790</v>
      </c>
      <c r="P2440" s="115">
        <v>807.7</v>
      </c>
      <c r="Q2440" s="115">
        <v>799.55</v>
      </c>
      <c r="R2440">
        <v>24214</v>
      </c>
    </row>
    <row r="2441" spans="1:18" x14ac:dyDescent="0.25">
      <c r="A2441" s="169">
        <v>45608</v>
      </c>
      <c r="B2441" s="115">
        <v>850.45</v>
      </c>
      <c r="C2441" s="115">
        <v>824.4</v>
      </c>
      <c r="D2441" s="115">
        <v>818.35</v>
      </c>
      <c r="E2441" s="115">
        <v>832.7</v>
      </c>
      <c r="F2441" s="115">
        <v>824.4</v>
      </c>
      <c r="G2441">
        <v>3218</v>
      </c>
      <c r="H2441" s="115"/>
      <c r="I2441" s="115"/>
      <c r="L2441" s="169">
        <v>45600</v>
      </c>
      <c r="M2441" s="115">
        <v>792.85</v>
      </c>
      <c r="N2441" s="115">
        <v>803.4</v>
      </c>
      <c r="O2441" s="115">
        <v>777.05</v>
      </c>
      <c r="P2441" s="115">
        <v>799.75</v>
      </c>
      <c r="Q2441" s="115">
        <v>792.85</v>
      </c>
      <c r="R2441">
        <v>105110</v>
      </c>
    </row>
    <row r="2442" spans="1:18" x14ac:dyDescent="0.25">
      <c r="A2442" s="169">
        <v>45609</v>
      </c>
      <c r="B2442" s="115">
        <v>828.6</v>
      </c>
      <c r="C2442" s="115">
        <v>799.15</v>
      </c>
      <c r="D2442" s="115">
        <v>795</v>
      </c>
      <c r="E2442" s="115">
        <v>824.2</v>
      </c>
      <c r="F2442" s="115">
        <v>799.15</v>
      </c>
      <c r="G2442">
        <v>2317</v>
      </c>
      <c r="H2442" s="115"/>
      <c r="I2442" s="115"/>
      <c r="L2442" s="169">
        <v>45601</v>
      </c>
      <c r="M2442" s="115">
        <v>795.6</v>
      </c>
      <c r="N2442" s="115">
        <v>809.85</v>
      </c>
      <c r="O2442" s="115">
        <v>787.75</v>
      </c>
      <c r="P2442" s="115">
        <v>792.15</v>
      </c>
      <c r="Q2442" s="115">
        <v>795.6</v>
      </c>
      <c r="R2442">
        <v>153870</v>
      </c>
    </row>
    <row r="2443" spans="1:18" x14ac:dyDescent="0.25">
      <c r="A2443" s="169">
        <v>45610</v>
      </c>
      <c r="B2443" s="115">
        <v>825.75</v>
      </c>
      <c r="C2443" s="115">
        <v>817.4</v>
      </c>
      <c r="D2443" s="115">
        <v>794</v>
      </c>
      <c r="E2443" s="115">
        <v>815.15</v>
      </c>
      <c r="F2443" s="115">
        <v>817.4</v>
      </c>
      <c r="G2443">
        <v>3992</v>
      </c>
      <c r="H2443" s="115"/>
      <c r="I2443" s="115"/>
      <c r="L2443" s="169">
        <v>45602</v>
      </c>
      <c r="M2443" s="115">
        <v>819.9</v>
      </c>
      <c r="N2443" s="115">
        <v>823.3</v>
      </c>
      <c r="O2443" s="115">
        <v>793.35</v>
      </c>
      <c r="P2443" s="115">
        <v>798.5</v>
      </c>
      <c r="Q2443" s="115">
        <v>819.9</v>
      </c>
      <c r="R2443">
        <v>129904</v>
      </c>
    </row>
    <row r="2444" spans="1:18" x14ac:dyDescent="0.25">
      <c r="A2444" s="169">
        <v>45614</v>
      </c>
      <c r="B2444" s="115">
        <v>820</v>
      </c>
      <c r="C2444" s="115">
        <v>796.95</v>
      </c>
      <c r="D2444" s="115">
        <v>783.3</v>
      </c>
      <c r="E2444" s="115">
        <v>820</v>
      </c>
      <c r="F2444" s="115">
        <v>796.95</v>
      </c>
      <c r="G2444">
        <v>4242</v>
      </c>
      <c r="H2444" s="115"/>
      <c r="I2444" s="115"/>
      <c r="L2444" s="169">
        <v>45603</v>
      </c>
      <c r="M2444" s="115">
        <v>809.3</v>
      </c>
      <c r="N2444" s="115">
        <v>829.2</v>
      </c>
      <c r="O2444" s="115">
        <v>805.8</v>
      </c>
      <c r="P2444" s="115">
        <v>819.9</v>
      </c>
      <c r="Q2444" s="115">
        <v>809.3</v>
      </c>
      <c r="R2444">
        <v>107282</v>
      </c>
    </row>
    <row r="2445" spans="1:18" x14ac:dyDescent="0.25">
      <c r="A2445" s="169">
        <v>45615</v>
      </c>
      <c r="B2445" s="115">
        <v>831.65</v>
      </c>
      <c r="C2445" s="115">
        <v>811.85</v>
      </c>
      <c r="D2445" s="115">
        <v>803</v>
      </c>
      <c r="E2445" s="115">
        <v>803</v>
      </c>
      <c r="F2445" s="115">
        <v>811.85</v>
      </c>
      <c r="G2445">
        <v>2378</v>
      </c>
      <c r="H2445" s="115"/>
      <c r="I2445" s="115"/>
      <c r="L2445" s="169">
        <v>45604</v>
      </c>
      <c r="M2445" s="115">
        <v>815.75</v>
      </c>
      <c r="N2445" s="115">
        <v>819.7</v>
      </c>
      <c r="O2445" s="115">
        <v>801</v>
      </c>
      <c r="P2445" s="115">
        <v>809.3</v>
      </c>
      <c r="Q2445" s="115">
        <v>815.75</v>
      </c>
      <c r="R2445">
        <v>494926</v>
      </c>
    </row>
    <row r="2446" spans="1:18" x14ac:dyDescent="0.25">
      <c r="A2446" s="169">
        <v>45617</v>
      </c>
      <c r="B2446" s="115">
        <v>812.3</v>
      </c>
      <c r="C2446" s="115">
        <v>798.2</v>
      </c>
      <c r="D2446" s="115">
        <v>792</v>
      </c>
      <c r="E2446" s="115">
        <v>812.3</v>
      </c>
      <c r="F2446" s="115">
        <v>798.2</v>
      </c>
      <c r="G2446">
        <v>1759</v>
      </c>
      <c r="H2446" s="115"/>
      <c r="I2446" s="115"/>
      <c r="L2446" s="169">
        <v>45607</v>
      </c>
      <c r="M2446" s="115">
        <v>830.3</v>
      </c>
      <c r="N2446" s="115">
        <v>834.15</v>
      </c>
      <c r="O2446" s="115">
        <v>803.45</v>
      </c>
      <c r="P2446" s="115">
        <v>815.75</v>
      </c>
      <c r="Q2446" s="115">
        <v>830.3</v>
      </c>
      <c r="R2446">
        <v>135418</v>
      </c>
    </row>
    <row r="2447" spans="1:18" x14ac:dyDescent="0.25">
      <c r="A2447" s="169">
        <v>45618</v>
      </c>
      <c r="B2447" s="115">
        <v>808.75</v>
      </c>
      <c r="C2447" s="115">
        <v>797.95</v>
      </c>
      <c r="D2447" s="115">
        <v>788.7</v>
      </c>
      <c r="E2447" s="115">
        <v>808.75</v>
      </c>
      <c r="F2447" s="115">
        <v>797.95</v>
      </c>
      <c r="G2447">
        <v>1557</v>
      </c>
      <c r="H2447" s="115"/>
      <c r="I2447" s="115"/>
      <c r="L2447" s="169">
        <v>45608</v>
      </c>
      <c r="M2447" s="115">
        <v>825.55</v>
      </c>
      <c r="N2447" s="115">
        <v>852.25</v>
      </c>
      <c r="O2447" s="115">
        <v>816.5</v>
      </c>
      <c r="P2447" s="115">
        <v>820</v>
      </c>
      <c r="Q2447" s="115">
        <v>825.55</v>
      </c>
      <c r="R2447">
        <v>127120</v>
      </c>
    </row>
    <row r="2448" spans="1:18" x14ac:dyDescent="0.25">
      <c r="A2448" s="169">
        <v>45621</v>
      </c>
      <c r="B2448" s="115">
        <v>850.65</v>
      </c>
      <c r="C2448" s="115">
        <v>833.65</v>
      </c>
      <c r="D2448" s="115">
        <v>801.9</v>
      </c>
      <c r="E2448" s="115">
        <v>810.95</v>
      </c>
      <c r="F2448" s="115">
        <v>833.65</v>
      </c>
      <c r="G2448">
        <v>5089</v>
      </c>
      <c r="H2448" s="115"/>
      <c r="I2448" s="115"/>
      <c r="L2448" s="169">
        <v>45609</v>
      </c>
      <c r="M2448" s="115">
        <v>799.05</v>
      </c>
      <c r="N2448" s="115">
        <v>829.5</v>
      </c>
      <c r="O2448" s="115">
        <v>790</v>
      </c>
      <c r="P2448" s="115">
        <v>825</v>
      </c>
      <c r="Q2448" s="115">
        <v>799.05</v>
      </c>
      <c r="R2448">
        <v>86260</v>
      </c>
    </row>
    <row r="2449" spans="1:18" x14ac:dyDescent="0.25">
      <c r="A2449" s="169">
        <v>45622</v>
      </c>
      <c r="B2449" s="115">
        <v>837.55</v>
      </c>
      <c r="C2449" s="115">
        <v>834.3</v>
      </c>
      <c r="D2449" s="115">
        <v>820.15</v>
      </c>
      <c r="E2449" s="115">
        <v>833</v>
      </c>
      <c r="F2449" s="115">
        <v>834.3</v>
      </c>
      <c r="G2449">
        <v>2378</v>
      </c>
      <c r="H2449" s="115"/>
      <c r="I2449" s="115"/>
      <c r="L2449" s="169">
        <v>45610</v>
      </c>
      <c r="M2449" s="115">
        <v>818.9</v>
      </c>
      <c r="N2449" s="115">
        <v>825</v>
      </c>
      <c r="O2449" s="115">
        <v>793.75</v>
      </c>
      <c r="P2449" s="115">
        <v>804</v>
      </c>
      <c r="Q2449" s="115">
        <v>818.9</v>
      </c>
      <c r="R2449">
        <v>121112</v>
      </c>
    </row>
    <row r="2450" spans="1:18" x14ac:dyDescent="0.25">
      <c r="A2450" s="169">
        <v>45623</v>
      </c>
      <c r="B2450" s="115">
        <v>850.85</v>
      </c>
      <c r="C2450" s="115">
        <v>839.35</v>
      </c>
      <c r="D2450" s="115">
        <v>832</v>
      </c>
      <c r="E2450" s="115">
        <v>850.85</v>
      </c>
      <c r="F2450" s="115">
        <v>839.35</v>
      </c>
      <c r="G2450">
        <v>2533</v>
      </c>
      <c r="H2450" s="115"/>
      <c r="I2450" s="115"/>
      <c r="L2450" s="169">
        <v>45614</v>
      </c>
      <c r="M2450" s="115">
        <v>798.45</v>
      </c>
      <c r="N2450" s="115">
        <v>817.35</v>
      </c>
      <c r="O2450" s="115">
        <v>783.5</v>
      </c>
      <c r="P2450" s="115">
        <v>810.05</v>
      </c>
      <c r="Q2450" s="115">
        <v>798.45</v>
      </c>
      <c r="R2450">
        <v>120170</v>
      </c>
    </row>
    <row r="2451" spans="1:18" x14ac:dyDescent="0.25">
      <c r="A2451" s="169">
        <v>45624</v>
      </c>
      <c r="B2451" s="115">
        <v>855</v>
      </c>
      <c r="C2451" s="115">
        <v>836.75</v>
      </c>
      <c r="D2451" s="115">
        <v>828</v>
      </c>
      <c r="E2451" s="115">
        <v>849.95</v>
      </c>
      <c r="F2451" s="115">
        <v>836.75</v>
      </c>
      <c r="G2451">
        <v>1865</v>
      </c>
      <c r="H2451" s="115"/>
      <c r="I2451" s="115"/>
      <c r="L2451" s="169">
        <v>45615</v>
      </c>
      <c r="M2451" s="115">
        <v>813.65</v>
      </c>
      <c r="N2451" s="115">
        <v>831.1</v>
      </c>
      <c r="O2451" s="115">
        <v>797.05</v>
      </c>
      <c r="P2451" s="115">
        <v>798.45</v>
      </c>
      <c r="Q2451" s="115">
        <v>813.65</v>
      </c>
      <c r="R2451">
        <v>131454</v>
      </c>
    </row>
    <row r="2452" spans="1:18" x14ac:dyDescent="0.25">
      <c r="A2452" s="169">
        <v>45625</v>
      </c>
      <c r="B2452" s="115">
        <v>838.35</v>
      </c>
      <c r="C2452" s="115">
        <v>832.85</v>
      </c>
      <c r="D2452" s="115">
        <v>820</v>
      </c>
      <c r="E2452" s="115">
        <v>836.75</v>
      </c>
      <c r="F2452" s="115">
        <v>832.85</v>
      </c>
      <c r="G2452">
        <v>2420</v>
      </c>
      <c r="H2452" s="115"/>
      <c r="I2452" s="115"/>
      <c r="L2452" s="169">
        <v>45617</v>
      </c>
      <c r="M2452" s="115">
        <v>797.8</v>
      </c>
      <c r="N2452" s="115">
        <v>818</v>
      </c>
      <c r="O2452" s="115">
        <v>791.45</v>
      </c>
      <c r="P2452" s="115">
        <v>818</v>
      </c>
      <c r="Q2452" s="115">
        <v>797.8</v>
      </c>
      <c r="R2452">
        <v>65470</v>
      </c>
    </row>
    <row r="2453" spans="1:18" x14ac:dyDescent="0.25">
      <c r="A2453" s="169">
        <v>45628</v>
      </c>
      <c r="B2453" s="115">
        <v>848.7</v>
      </c>
      <c r="C2453" s="115">
        <v>827.05</v>
      </c>
      <c r="D2453" s="115">
        <v>822</v>
      </c>
      <c r="E2453" s="115">
        <v>848.7</v>
      </c>
      <c r="F2453" s="115">
        <v>827.05</v>
      </c>
      <c r="G2453">
        <v>2320</v>
      </c>
      <c r="H2453" s="115"/>
      <c r="I2453" s="115"/>
      <c r="L2453" s="169">
        <v>45618</v>
      </c>
      <c r="M2453" s="115">
        <v>797.8</v>
      </c>
      <c r="N2453" s="115">
        <v>802.25</v>
      </c>
      <c r="O2453" s="115">
        <v>785.35</v>
      </c>
      <c r="P2453" s="115">
        <v>792.4</v>
      </c>
      <c r="Q2453" s="115">
        <v>797.8</v>
      </c>
      <c r="R2453">
        <v>74434</v>
      </c>
    </row>
    <row r="2454" spans="1:18" x14ac:dyDescent="0.25">
      <c r="A2454" s="169">
        <v>45629</v>
      </c>
      <c r="B2454" s="115">
        <v>848</v>
      </c>
      <c r="C2454" s="115">
        <v>835.35</v>
      </c>
      <c r="D2454" s="115">
        <v>820.55</v>
      </c>
      <c r="E2454" s="115">
        <v>820.55</v>
      </c>
      <c r="F2454" s="115">
        <v>835.35</v>
      </c>
      <c r="G2454">
        <v>5031</v>
      </c>
      <c r="H2454" s="115"/>
      <c r="I2454" s="115"/>
      <c r="L2454" s="169">
        <v>45621</v>
      </c>
      <c r="M2454" s="115">
        <v>828.5</v>
      </c>
      <c r="N2454" s="115">
        <v>849</v>
      </c>
      <c r="O2454" s="115">
        <v>801.5</v>
      </c>
      <c r="P2454" s="115">
        <v>803</v>
      </c>
      <c r="Q2454" s="115">
        <v>828.5</v>
      </c>
      <c r="R2454">
        <v>159380</v>
      </c>
    </row>
    <row r="2455" spans="1:18" x14ac:dyDescent="0.25">
      <c r="A2455" s="169">
        <v>45630</v>
      </c>
      <c r="B2455" s="115">
        <v>839.75</v>
      </c>
      <c r="C2455" s="115">
        <v>826.4</v>
      </c>
      <c r="D2455" s="115">
        <v>824</v>
      </c>
      <c r="E2455" s="115">
        <v>833</v>
      </c>
      <c r="F2455" s="115">
        <v>826.4</v>
      </c>
      <c r="G2455">
        <v>4238</v>
      </c>
      <c r="H2455" s="115"/>
      <c r="I2455" s="115"/>
      <c r="L2455" s="169">
        <v>45622</v>
      </c>
      <c r="M2455" s="115">
        <v>834.15</v>
      </c>
      <c r="N2455" s="115">
        <v>838.7</v>
      </c>
      <c r="O2455" s="115">
        <v>820.1</v>
      </c>
      <c r="P2455" s="115">
        <v>831</v>
      </c>
      <c r="Q2455" s="115">
        <v>834.15</v>
      </c>
      <c r="R2455">
        <v>33239</v>
      </c>
    </row>
    <row r="2456" spans="1:18" x14ac:dyDescent="0.25">
      <c r="A2456" s="169">
        <v>45631</v>
      </c>
      <c r="B2456" s="115">
        <v>850.75</v>
      </c>
      <c r="C2456" s="115">
        <v>844.25</v>
      </c>
      <c r="D2456" s="115">
        <v>824.05</v>
      </c>
      <c r="E2456" s="115">
        <v>846.05</v>
      </c>
      <c r="F2456" s="115">
        <v>844.25</v>
      </c>
      <c r="G2456">
        <v>8133</v>
      </c>
      <c r="H2456" s="115"/>
      <c r="I2456" s="115"/>
      <c r="L2456" s="169">
        <v>45623</v>
      </c>
      <c r="M2456" s="115">
        <v>839.5</v>
      </c>
      <c r="N2456" s="115">
        <v>849.45</v>
      </c>
      <c r="O2456" s="115">
        <v>828.8</v>
      </c>
      <c r="P2456" s="115">
        <v>828.8</v>
      </c>
      <c r="Q2456" s="115">
        <v>839.5</v>
      </c>
      <c r="R2456">
        <v>45965</v>
      </c>
    </row>
    <row r="2457" spans="1:18" x14ac:dyDescent="0.25">
      <c r="A2457" s="169">
        <v>45632</v>
      </c>
      <c r="B2457" s="115">
        <v>844.55</v>
      </c>
      <c r="C2457" s="115">
        <v>835.1</v>
      </c>
      <c r="D2457" s="115">
        <v>832.55</v>
      </c>
      <c r="E2457" s="115">
        <v>842.3</v>
      </c>
      <c r="F2457" s="115">
        <v>835.1</v>
      </c>
      <c r="G2457">
        <v>3626</v>
      </c>
      <c r="H2457" s="115"/>
      <c r="I2457" s="115"/>
      <c r="L2457" s="169">
        <v>45624</v>
      </c>
      <c r="M2457" s="115">
        <v>837.55</v>
      </c>
      <c r="N2457" s="115">
        <v>858</v>
      </c>
      <c r="O2457" s="115">
        <v>826.5</v>
      </c>
      <c r="P2457" s="115">
        <v>842.75</v>
      </c>
      <c r="Q2457" s="115">
        <v>837.55</v>
      </c>
      <c r="R2457">
        <v>48685</v>
      </c>
    </row>
    <row r="2458" spans="1:18" x14ac:dyDescent="0.25">
      <c r="A2458" s="169">
        <v>45635</v>
      </c>
      <c r="B2458" s="115">
        <v>843.1</v>
      </c>
      <c r="C2458" s="115">
        <v>838.2</v>
      </c>
      <c r="D2458" s="115">
        <v>830.85</v>
      </c>
      <c r="E2458" s="115">
        <v>830.85</v>
      </c>
      <c r="F2458" s="115">
        <v>838.2</v>
      </c>
      <c r="G2458">
        <v>3253</v>
      </c>
      <c r="H2458" s="115"/>
      <c r="I2458" s="115"/>
      <c r="L2458" s="169">
        <v>45625</v>
      </c>
      <c r="M2458" s="115">
        <v>832.05</v>
      </c>
      <c r="N2458" s="115">
        <v>839.9</v>
      </c>
      <c r="O2458" s="115">
        <v>819.75</v>
      </c>
      <c r="P2458" s="115">
        <v>831.1</v>
      </c>
      <c r="Q2458" s="115">
        <v>832.05</v>
      </c>
      <c r="R2458">
        <v>65586</v>
      </c>
    </row>
    <row r="2459" spans="1:18" x14ac:dyDescent="0.25">
      <c r="A2459" s="169">
        <v>45636</v>
      </c>
      <c r="B2459" s="115">
        <v>847.55</v>
      </c>
      <c r="C2459" s="115">
        <v>830.3</v>
      </c>
      <c r="D2459" s="115">
        <v>824.55</v>
      </c>
      <c r="E2459" s="115">
        <v>838.05</v>
      </c>
      <c r="F2459" s="115">
        <v>830.3</v>
      </c>
      <c r="G2459">
        <v>2738</v>
      </c>
      <c r="H2459" s="115"/>
      <c r="I2459" s="115"/>
      <c r="L2459" s="169">
        <v>45628</v>
      </c>
      <c r="M2459" s="115">
        <v>826.65</v>
      </c>
      <c r="N2459" s="115">
        <v>842.3</v>
      </c>
      <c r="O2459" s="115">
        <v>821.3</v>
      </c>
      <c r="P2459" s="115">
        <v>839.25</v>
      </c>
      <c r="Q2459" s="115">
        <v>826.65</v>
      </c>
      <c r="R2459">
        <v>46440</v>
      </c>
    </row>
    <row r="2460" spans="1:18" x14ac:dyDescent="0.25">
      <c r="A2460" s="169">
        <v>45637</v>
      </c>
      <c r="B2460" s="115">
        <v>879.9</v>
      </c>
      <c r="C2460" s="115">
        <v>817.15</v>
      </c>
      <c r="D2460" s="115">
        <v>814.1</v>
      </c>
      <c r="E2460" s="115">
        <v>879.9</v>
      </c>
      <c r="F2460" s="115">
        <v>817.15</v>
      </c>
      <c r="G2460">
        <v>6737</v>
      </c>
      <c r="H2460" s="115"/>
      <c r="I2460" s="115"/>
      <c r="L2460" s="169">
        <v>45629</v>
      </c>
      <c r="M2460" s="115">
        <v>834.75</v>
      </c>
      <c r="N2460" s="115">
        <v>849.7</v>
      </c>
      <c r="O2460" s="115">
        <v>825.5</v>
      </c>
      <c r="P2460" s="115">
        <v>826.55</v>
      </c>
      <c r="Q2460" s="115">
        <v>834.75</v>
      </c>
      <c r="R2460">
        <v>109779</v>
      </c>
    </row>
    <row r="2461" spans="1:18" x14ac:dyDescent="0.25">
      <c r="A2461" s="169">
        <v>45638</v>
      </c>
      <c r="B2461" s="115">
        <v>821.9</v>
      </c>
      <c r="C2461" s="115">
        <v>812.55</v>
      </c>
      <c r="D2461" s="115">
        <v>805</v>
      </c>
      <c r="E2461" s="115">
        <v>819.95</v>
      </c>
      <c r="F2461" s="115">
        <v>812.55</v>
      </c>
      <c r="G2461">
        <v>4213</v>
      </c>
      <c r="H2461" s="115"/>
      <c r="I2461" s="115"/>
      <c r="L2461" s="169">
        <v>45630</v>
      </c>
      <c r="M2461" s="115">
        <v>830.9</v>
      </c>
      <c r="N2461" s="115">
        <v>840.15</v>
      </c>
      <c r="O2461" s="115">
        <v>824</v>
      </c>
      <c r="P2461" s="115">
        <v>834.4</v>
      </c>
      <c r="Q2461" s="115">
        <v>830.9</v>
      </c>
      <c r="R2461">
        <v>78311</v>
      </c>
    </row>
    <row r="2462" spans="1:18" x14ac:dyDescent="0.25">
      <c r="A2462" s="169">
        <v>45639</v>
      </c>
      <c r="B2462" s="115">
        <v>812.55</v>
      </c>
      <c r="C2462" s="115">
        <v>784.2</v>
      </c>
      <c r="D2462" s="115">
        <v>782</v>
      </c>
      <c r="E2462" s="115">
        <v>812.55</v>
      </c>
      <c r="F2462" s="115">
        <v>784.2</v>
      </c>
      <c r="G2462">
        <v>5443</v>
      </c>
      <c r="H2462" s="115"/>
      <c r="I2462" s="115"/>
      <c r="L2462" s="169">
        <v>45631</v>
      </c>
      <c r="M2462" s="115">
        <v>843.7</v>
      </c>
      <c r="N2462" s="115">
        <v>852</v>
      </c>
      <c r="O2462" s="115">
        <v>823.15</v>
      </c>
      <c r="P2462" s="115">
        <v>830.9</v>
      </c>
      <c r="Q2462" s="115">
        <v>843.7</v>
      </c>
      <c r="R2462">
        <v>140261</v>
      </c>
    </row>
    <row r="2463" spans="1:18" x14ac:dyDescent="0.25">
      <c r="A2463" s="169">
        <v>45642</v>
      </c>
      <c r="B2463" s="115">
        <v>812.45</v>
      </c>
      <c r="C2463" s="115">
        <v>804.85</v>
      </c>
      <c r="D2463" s="115">
        <v>780.05</v>
      </c>
      <c r="E2463" s="115">
        <v>790</v>
      </c>
      <c r="F2463" s="115">
        <v>804.85</v>
      </c>
      <c r="G2463">
        <v>6494</v>
      </c>
      <c r="H2463" s="115"/>
      <c r="I2463" s="115"/>
      <c r="L2463" s="169">
        <v>45632</v>
      </c>
      <c r="M2463" s="115">
        <v>834.75</v>
      </c>
      <c r="N2463" s="115">
        <v>847.1</v>
      </c>
      <c r="O2463" s="115">
        <v>832</v>
      </c>
      <c r="P2463" s="115">
        <v>845</v>
      </c>
      <c r="Q2463" s="115">
        <v>834.75</v>
      </c>
      <c r="R2463">
        <v>49341</v>
      </c>
    </row>
    <row r="2464" spans="1:18" x14ac:dyDescent="0.25">
      <c r="A2464" s="169">
        <v>45643</v>
      </c>
      <c r="B2464" s="115">
        <v>813</v>
      </c>
      <c r="C2464" s="115">
        <v>795.85</v>
      </c>
      <c r="D2464" s="115">
        <v>791.75</v>
      </c>
      <c r="E2464" s="115">
        <v>812.6</v>
      </c>
      <c r="F2464" s="115">
        <v>795.85</v>
      </c>
      <c r="G2464">
        <v>3153</v>
      </c>
      <c r="H2464" s="115"/>
      <c r="I2464" s="115"/>
      <c r="L2464" s="169">
        <v>45635</v>
      </c>
      <c r="M2464" s="115">
        <v>838.5</v>
      </c>
      <c r="N2464" s="115">
        <v>842.8</v>
      </c>
      <c r="O2464" s="115">
        <v>831.45</v>
      </c>
      <c r="P2464" s="115">
        <v>832.5</v>
      </c>
      <c r="Q2464" s="115">
        <v>838.5</v>
      </c>
      <c r="R2464">
        <v>31278</v>
      </c>
    </row>
    <row r="2465" spans="1:18" x14ac:dyDescent="0.25">
      <c r="A2465" s="169">
        <v>45644</v>
      </c>
      <c r="B2465" s="115">
        <v>800.65</v>
      </c>
      <c r="C2465" s="115">
        <v>787.25</v>
      </c>
      <c r="D2465" s="115">
        <v>785.65</v>
      </c>
      <c r="E2465" s="115">
        <v>799.95</v>
      </c>
      <c r="F2465" s="115">
        <v>787.25</v>
      </c>
      <c r="G2465">
        <v>4260</v>
      </c>
      <c r="H2465" s="115"/>
      <c r="I2465" s="115"/>
      <c r="L2465" s="169">
        <v>45636</v>
      </c>
      <c r="M2465" s="115">
        <v>830.25</v>
      </c>
      <c r="N2465" s="115">
        <v>849.85</v>
      </c>
      <c r="O2465" s="115">
        <v>822.55</v>
      </c>
      <c r="P2465" s="115">
        <v>838.9</v>
      </c>
      <c r="Q2465" s="115">
        <v>830.25</v>
      </c>
      <c r="R2465">
        <v>108632</v>
      </c>
    </row>
    <row r="2466" spans="1:18" x14ac:dyDescent="0.25">
      <c r="A2466" s="169">
        <v>45645</v>
      </c>
      <c r="B2466" s="115">
        <v>784.2</v>
      </c>
      <c r="C2466" s="115">
        <v>776.8</v>
      </c>
      <c r="D2466" s="115">
        <v>773</v>
      </c>
      <c r="E2466" s="115">
        <v>774.05</v>
      </c>
      <c r="F2466" s="115">
        <v>776.8</v>
      </c>
      <c r="G2466">
        <v>922</v>
      </c>
      <c r="H2466" s="115"/>
      <c r="I2466" s="115"/>
      <c r="L2466" s="169">
        <v>45637</v>
      </c>
      <c r="M2466" s="115">
        <v>819.8</v>
      </c>
      <c r="N2466" s="115">
        <v>839</v>
      </c>
      <c r="O2466" s="115">
        <v>818</v>
      </c>
      <c r="P2466" s="115">
        <v>831.5</v>
      </c>
      <c r="Q2466" s="115">
        <v>819.8</v>
      </c>
      <c r="R2466">
        <v>121590</v>
      </c>
    </row>
    <row r="2467" spans="1:18" x14ac:dyDescent="0.25">
      <c r="A2467" s="169">
        <v>45646</v>
      </c>
      <c r="B2467" s="115">
        <v>781.55</v>
      </c>
      <c r="C2467" s="115">
        <v>771.45</v>
      </c>
      <c r="D2467" s="115">
        <v>766.35</v>
      </c>
      <c r="E2467" s="115">
        <v>778.5</v>
      </c>
      <c r="F2467" s="115">
        <v>771.45</v>
      </c>
      <c r="G2467">
        <v>2281</v>
      </c>
      <c r="H2467" s="115"/>
      <c r="I2467" s="115"/>
      <c r="L2467" s="169">
        <v>45638</v>
      </c>
      <c r="M2467" s="115">
        <v>813.55</v>
      </c>
      <c r="N2467" s="115">
        <v>824.9</v>
      </c>
      <c r="O2467" s="115">
        <v>804.65</v>
      </c>
      <c r="P2467" s="115">
        <v>824.1</v>
      </c>
      <c r="Q2467" s="115">
        <v>813.55</v>
      </c>
      <c r="R2467">
        <v>126052</v>
      </c>
    </row>
    <row r="2468" spans="1:18" x14ac:dyDescent="0.25">
      <c r="A2468" s="169">
        <v>45649</v>
      </c>
      <c r="B2468" s="115">
        <v>772.8</v>
      </c>
      <c r="C2468" s="115">
        <v>748.7</v>
      </c>
      <c r="D2468" s="115">
        <v>743.15</v>
      </c>
      <c r="E2468" s="115">
        <v>770.05</v>
      </c>
      <c r="F2468" s="115">
        <v>748.7</v>
      </c>
      <c r="G2468">
        <v>7727</v>
      </c>
      <c r="H2468" s="115"/>
      <c r="I2468" s="115"/>
      <c r="L2468" s="169">
        <v>45639</v>
      </c>
      <c r="M2468" s="115">
        <v>784.25</v>
      </c>
      <c r="N2468" s="115">
        <v>817.2</v>
      </c>
      <c r="O2468" s="115">
        <v>781.15</v>
      </c>
      <c r="P2468" s="115">
        <v>813.55</v>
      </c>
      <c r="Q2468" s="115">
        <v>784.25</v>
      </c>
      <c r="R2468">
        <v>223214</v>
      </c>
    </row>
    <row r="2469" spans="1:18" x14ac:dyDescent="0.25">
      <c r="A2469" s="169">
        <v>45650</v>
      </c>
      <c r="B2469" s="115">
        <v>763.65</v>
      </c>
      <c r="C2469" s="115">
        <v>758</v>
      </c>
      <c r="D2469" s="115">
        <v>748</v>
      </c>
      <c r="E2469" s="115">
        <v>761.95</v>
      </c>
      <c r="F2469" s="115">
        <v>758</v>
      </c>
      <c r="G2469">
        <v>2163</v>
      </c>
      <c r="H2469" s="115"/>
      <c r="I2469" s="115"/>
      <c r="L2469" s="169">
        <v>45642</v>
      </c>
      <c r="M2469" s="115">
        <v>800.5</v>
      </c>
      <c r="N2469" s="115">
        <v>814.25</v>
      </c>
      <c r="O2469" s="115">
        <v>778.55</v>
      </c>
      <c r="P2469" s="115">
        <v>778.55</v>
      </c>
      <c r="Q2469" s="115">
        <v>800.5</v>
      </c>
      <c r="R2469">
        <v>354766</v>
      </c>
    </row>
    <row r="2470" spans="1:18" x14ac:dyDescent="0.25">
      <c r="A2470" s="169">
        <v>45652</v>
      </c>
      <c r="B2470" s="115">
        <v>764.75</v>
      </c>
      <c r="C2470" s="115">
        <v>756.55</v>
      </c>
      <c r="D2470" s="115">
        <v>746.05</v>
      </c>
      <c r="E2470" s="115">
        <v>746.05</v>
      </c>
      <c r="F2470" s="115">
        <v>756.55</v>
      </c>
      <c r="G2470">
        <v>1446</v>
      </c>
      <c r="H2470" s="115"/>
      <c r="I2470" s="115"/>
      <c r="L2470" s="169">
        <v>45643</v>
      </c>
      <c r="M2470" s="115">
        <v>799.9</v>
      </c>
      <c r="N2470" s="115">
        <v>813.95</v>
      </c>
      <c r="O2470" s="115">
        <v>793.2</v>
      </c>
      <c r="P2470" s="115">
        <v>806.2</v>
      </c>
      <c r="Q2470" s="115">
        <v>799.9</v>
      </c>
      <c r="R2470">
        <v>64893</v>
      </c>
    </row>
    <row r="2471" spans="1:18" x14ac:dyDescent="0.25">
      <c r="A2471" s="169">
        <v>45653</v>
      </c>
      <c r="B2471" s="115">
        <v>765.5</v>
      </c>
      <c r="C2471" s="115">
        <v>759.3</v>
      </c>
      <c r="D2471" s="115">
        <v>756.35</v>
      </c>
      <c r="E2471" s="115">
        <v>759.65</v>
      </c>
      <c r="F2471" s="115">
        <v>759.3</v>
      </c>
      <c r="G2471">
        <v>1042</v>
      </c>
      <c r="H2471" s="115"/>
      <c r="I2471" s="115"/>
      <c r="L2471" s="169">
        <v>45644</v>
      </c>
      <c r="M2471" s="115">
        <v>787.6</v>
      </c>
      <c r="N2471" s="115">
        <v>800.45</v>
      </c>
      <c r="O2471" s="115">
        <v>785.2</v>
      </c>
      <c r="P2471" s="115">
        <v>795</v>
      </c>
      <c r="Q2471" s="115">
        <v>787.6</v>
      </c>
      <c r="R2471">
        <v>73780</v>
      </c>
    </row>
    <row r="2472" spans="1:18" x14ac:dyDescent="0.25">
      <c r="A2472" s="169">
        <v>45656</v>
      </c>
      <c r="B2472" s="115">
        <v>758.6</v>
      </c>
      <c r="C2472" s="115">
        <v>730</v>
      </c>
      <c r="D2472" s="115">
        <v>716.5</v>
      </c>
      <c r="E2472" s="115">
        <v>758.05</v>
      </c>
      <c r="F2472" s="115">
        <v>730</v>
      </c>
      <c r="G2472">
        <v>4976</v>
      </c>
      <c r="H2472" s="115"/>
      <c r="I2472" s="115"/>
      <c r="L2472" s="169">
        <v>45645</v>
      </c>
      <c r="M2472" s="115">
        <v>776.85</v>
      </c>
      <c r="N2472" s="115">
        <v>784.1</v>
      </c>
      <c r="O2472" s="115">
        <v>770.45</v>
      </c>
      <c r="P2472" s="115">
        <v>780</v>
      </c>
      <c r="Q2472" s="115">
        <v>776.85</v>
      </c>
      <c r="R2472">
        <v>41915</v>
      </c>
    </row>
    <row r="2473" spans="1:18" x14ac:dyDescent="0.25">
      <c r="A2473" s="169">
        <v>45657</v>
      </c>
      <c r="B2473" s="115">
        <v>772</v>
      </c>
      <c r="C2473" s="115">
        <v>767.4</v>
      </c>
      <c r="D2473" s="115">
        <v>728.9</v>
      </c>
      <c r="E2473" s="115">
        <v>744.1</v>
      </c>
      <c r="F2473" s="115">
        <v>767.4</v>
      </c>
      <c r="G2473">
        <v>7531</v>
      </c>
      <c r="H2473" s="115"/>
      <c r="I2473" s="115"/>
      <c r="L2473" s="169">
        <v>45646</v>
      </c>
      <c r="M2473" s="115">
        <v>770.65</v>
      </c>
      <c r="N2473" s="115">
        <v>783</v>
      </c>
      <c r="O2473" s="115">
        <v>763</v>
      </c>
      <c r="P2473" s="115">
        <v>776.85</v>
      </c>
      <c r="Q2473" s="115">
        <v>770.65</v>
      </c>
      <c r="R2473">
        <v>107604</v>
      </c>
    </row>
    <row r="2474" spans="1:18" x14ac:dyDescent="0.25">
      <c r="A2474" s="169">
        <v>45658</v>
      </c>
      <c r="B2474" s="115">
        <v>770.35</v>
      </c>
      <c r="C2474" s="115">
        <v>768.65</v>
      </c>
      <c r="D2474" s="115">
        <v>758.45</v>
      </c>
      <c r="E2474" s="115">
        <v>762</v>
      </c>
      <c r="F2474" s="115">
        <v>768.65</v>
      </c>
      <c r="G2474">
        <v>1071</v>
      </c>
      <c r="H2474" s="115"/>
      <c r="I2474" s="115"/>
      <c r="L2474" s="169">
        <v>45649</v>
      </c>
      <c r="M2474" s="115">
        <v>747.65</v>
      </c>
      <c r="N2474" s="115">
        <v>776.85</v>
      </c>
      <c r="O2474" s="115">
        <v>741.1</v>
      </c>
      <c r="P2474" s="115">
        <v>774.7</v>
      </c>
      <c r="Q2474" s="115">
        <v>747.65</v>
      </c>
      <c r="R2474">
        <v>252094</v>
      </c>
    </row>
    <row r="2475" spans="1:18" x14ac:dyDescent="0.25">
      <c r="A2475" s="169">
        <v>45659</v>
      </c>
      <c r="B2475" s="115">
        <v>776.3</v>
      </c>
      <c r="C2475" s="115">
        <v>773.9</v>
      </c>
      <c r="D2475" s="115">
        <v>754.95</v>
      </c>
      <c r="E2475" s="115">
        <v>754.95</v>
      </c>
      <c r="F2475" s="115">
        <v>773.9</v>
      </c>
      <c r="G2475">
        <v>3048</v>
      </c>
      <c r="H2475" s="115"/>
      <c r="I2475" s="115"/>
      <c r="L2475" s="169">
        <v>45650</v>
      </c>
      <c r="M2475" s="115">
        <v>758.05</v>
      </c>
      <c r="N2475" s="115">
        <v>774</v>
      </c>
      <c r="O2475" s="115">
        <v>747.75</v>
      </c>
      <c r="P2475" s="115">
        <v>755.65</v>
      </c>
      <c r="Q2475" s="115">
        <v>758.05</v>
      </c>
      <c r="R2475">
        <v>45109</v>
      </c>
    </row>
    <row r="2476" spans="1:18" x14ac:dyDescent="0.25">
      <c r="A2476" s="169">
        <v>45660</v>
      </c>
      <c r="B2476" s="115">
        <v>779.95</v>
      </c>
      <c r="C2476" s="115">
        <v>768.1</v>
      </c>
      <c r="D2476" s="115">
        <v>765.5</v>
      </c>
      <c r="E2476" s="115">
        <v>767.55</v>
      </c>
      <c r="F2476" s="115">
        <v>768.1</v>
      </c>
      <c r="G2476">
        <v>2151</v>
      </c>
      <c r="H2476" s="115"/>
      <c r="I2476" s="115"/>
      <c r="L2476" s="169">
        <v>45652</v>
      </c>
      <c r="M2476" s="115">
        <v>757.3</v>
      </c>
      <c r="N2476" s="115">
        <v>764.8</v>
      </c>
      <c r="O2476" s="115">
        <v>754</v>
      </c>
      <c r="P2476" s="115">
        <v>758.05</v>
      </c>
      <c r="Q2476" s="115">
        <v>757.3</v>
      </c>
      <c r="R2476">
        <v>29113</v>
      </c>
    </row>
    <row r="2477" spans="1:18" x14ac:dyDescent="0.25">
      <c r="A2477" s="169">
        <v>45663</v>
      </c>
      <c r="B2477" s="115">
        <v>783.5</v>
      </c>
      <c r="C2477" s="115">
        <v>765.9</v>
      </c>
      <c r="D2477" s="115">
        <v>762.9</v>
      </c>
      <c r="E2477" s="115">
        <v>783.5</v>
      </c>
      <c r="F2477" s="115">
        <v>765.9</v>
      </c>
      <c r="G2477">
        <v>4753</v>
      </c>
      <c r="H2477" s="115"/>
      <c r="I2477" s="115"/>
      <c r="L2477" s="169">
        <v>45653</v>
      </c>
      <c r="M2477" s="115">
        <v>759.6</v>
      </c>
      <c r="N2477" s="115">
        <v>766.5</v>
      </c>
      <c r="O2477" s="115">
        <v>755.25</v>
      </c>
      <c r="P2477" s="115">
        <v>761</v>
      </c>
      <c r="Q2477" s="115">
        <v>759.6</v>
      </c>
      <c r="R2477">
        <v>27112</v>
      </c>
    </row>
    <row r="2478" spans="1:18" x14ac:dyDescent="0.25">
      <c r="A2478" s="169">
        <v>45664</v>
      </c>
      <c r="B2478" s="115">
        <v>770.05</v>
      </c>
      <c r="C2478" s="115">
        <v>756.85</v>
      </c>
      <c r="D2478" s="115">
        <v>756</v>
      </c>
      <c r="E2478" s="115">
        <v>759</v>
      </c>
      <c r="F2478" s="115">
        <v>756.85</v>
      </c>
      <c r="G2478">
        <v>2194</v>
      </c>
      <c r="H2478" s="115"/>
      <c r="I2478" s="115"/>
      <c r="L2478" s="169">
        <v>45656</v>
      </c>
      <c r="M2478" s="115">
        <v>729.05</v>
      </c>
      <c r="N2478" s="115">
        <v>760.5</v>
      </c>
      <c r="O2478" s="115">
        <v>715.5</v>
      </c>
      <c r="P2478" s="115">
        <v>759.6</v>
      </c>
      <c r="Q2478" s="115">
        <v>729.05</v>
      </c>
      <c r="R2478">
        <v>563806</v>
      </c>
    </row>
    <row r="2479" spans="1:18" x14ac:dyDescent="0.25">
      <c r="A2479" s="169">
        <v>45665</v>
      </c>
      <c r="B2479" s="115">
        <v>758.75</v>
      </c>
      <c r="C2479" s="115">
        <v>749.95</v>
      </c>
      <c r="D2479" s="115">
        <v>733.9</v>
      </c>
      <c r="E2479" s="115">
        <v>758</v>
      </c>
      <c r="F2479" s="115">
        <v>749.95</v>
      </c>
      <c r="G2479">
        <v>2258</v>
      </c>
      <c r="H2479" s="115"/>
      <c r="I2479" s="115"/>
      <c r="L2479" s="169">
        <v>45657</v>
      </c>
      <c r="M2479" s="115">
        <v>768.3</v>
      </c>
      <c r="N2479" s="115">
        <v>774.95</v>
      </c>
      <c r="O2479" s="115">
        <v>728</v>
      </c>
      <c r="P2479" s="115">
        <v>732.9</v>
      </c>
      <c r="Q2479" s="115">
        <v>768.3</v>
      </c>
      <c r="R2479">
        <v>277132</v>
      </c>
    </row>
    <row r="2480" spans="1:18" x14ac:dyDescent="0.25">
      <c r="A2480" s="169">
        <v>45666</v>
      </c>
      <c r="B2480" s="115">
        <v>754</v>
      </c>
      <c r="C2480" s="115">
        <v>750.9</v>
      </c>
      <c r="D2480" s="115">
        <v>738.05</v>
      </c>
      <c r="E2480" s="115">
        <v>745</v>
      </c>
      <c r="F2480" s="115">
        <v>750.9</v>
      </c>
      <c r="G2480">
        <v>1670</v>
      </c>
      <c r="H2480" s="115"/>
      <c r="I2480" s="115"/>
      <c r="L2480" s="169">
        <v>45658</v>
      </c>
      <c r="M2480" s="115">
        <v>768.5</v>
      </c>
      <c r="N2480" s="115">
        <v>770</v>
      </c>
      <c r="O2480" s="115">
        <v>753</v>
      </c>
      <c r="P2480" s="115">
        <v>753</v>
      </c>
      <c r="Q2480" s="115">
        <v>768.5</v>
      </c>
      <c r="R2480">
        <v>30724</v>
      </c>
    </row>
    <row r="2481" spans="1:18" x14ac:dyDescent="0.25">
      <c r="A2481" s="169">
        <v>45667</v>
      </c>
      <c r="B2481" s="115">
        <v>750.85</v>
      </c>
      <c r="C2481" s="115">
        <v>734.05</v>
      </c>
      <c r="D2481" s="115">
        <v>729.65</v>
      </c>
      <c r="E2481" s="115">
        <v>750.8</v>
      </c>
      <c r="F2481" s="115">
        <v>734.05</v>
      </c>
      <c r="G2481">
        <v>3019</v>
      </c>
      <c r="H2481" s="115"/>
      <c r="I2481" s="115"/>
      <c r="L2481" s="169">
        <v>45659</v>
      </c>
      <c r="M2481" s="115">
        <v>774.35</v>
      </c>
      <c r="N2481" s="115">
        <v>777.85</v>
      </c>
      <c r="O2481" s="115">
        <v>764.05</v>
      </c>
      <c r="P2481" s="115">
        <v>768.5</v>
      </c>
      <c r="Q2481" s="115">
        <v>774.35</v>
      </c>
      <c r="R2481">
        <v>60907</v>
      </c>
    </row>
    <row r="2482" spans="1:18" x14ac:dyDescent="0.25">
      <c r="A2482" s="169">
        <v>45670</v>
      </c>
      <c r="B2482" s="115">
        <v>730</v>
      </c>
      <c r="C2482" s="115">
        <v>706.3</v>
      </c>
      <c r="D2482" s="115">
        <v>701.9</v>
      </c>
      <c r="E2482" s="115">
        <v>730</v>
      </c>
      <c r="F2482" s="115">
        <v>706.3</v>
      </c>
      <c r="G2482">
        <v>2759</v>
      </c>
      <c r="H2482" s="115"/>
      <c r="I2482" s="115"/>
      <c r="L2482" s="169">
        <v>45660</v>
      </c>
      <c r="M2482" s="115">
        <v>767.1</v>
      </c>
      <c r="N2482" s="115">
        <v>779.15</v>
      </c>
      <c r="O2482" s="115">
        <v>766</v>
      </c>
      <c r="P2482" s="115">
        <v>774</v>
      </c>
      <c r="Q2482" s="115">
        <v>767.1</v>
      </c>
      <c r="R2482">
        <v>33801</v>
      </c>
    </row>
    <row r="2483" spans="1:18" x14ac:dyDescent="0.25">
      <c r="A2483" s="169">
        <v>45671</v>
      </c>
      <c r="B2483" s="115">
        <v>722.65</v>
      </c>
      <c r="C2483" s="115">
        <v>717.2</v>
      </c>
      <c r="D2483" s="115">
        <v>693.6</v>
      </c>
      <c r="E2483" s="115">
        <v>706.3</v>
      </c>
      <c r="F2483" s="115">
        <v>717.2</v>
      </c>
      <c r="G2483">
        <v>2075</v>
      </c>
      <c r="H2483" s="115"/>
      <c r="I2483" s="115"/>
      <c r="L2483" s="169">
        <v>45663</v>
      </c>
      <c r="M2483" s="115">
        <v>766.3</v>
      </c>
      <c r="N2483" s="115">
        <v>775.1</v>
      </c>
      <c r="O2483" s="115">
        <v>765</v>
      </c>
      <c r="P2483" s="115">
        <v>773.25</v>
      </c>
      <c r="Q2483" s="115">
        <v>766.3</v>
      </c>
      <c r="R2483">
        <v>79840</v>
      </c>
    </row>
    <row r="2484" spans="1:18" x14ac:dyDescent="0.25">
      <c r="A2484" s="169">
        <v>45672</v>
      </c>
      <c r="B2484" s="115">
        <v>724.05</v>
      </c>
      <c r="C2484" s="115">
        <v>720.4</v>
      </c>
      <c r="D2484" s="115">
        <v>711.8</v>
      </c>
      <c r="E2484" s="115">
        <v>721.05</v>
      </c>
      <c r="F2484" s="115">
        <v>720.4</v>
      </c>
      <c r="G2484">
        <v>1850</v>
      </c>
      <c r="H2484" s="115"/>
      <c r="I2484" s="115"/>
      <c r="L2484" s="169">
        <v>45664</v>
      </c>
      <c r="M2484" s="115">
        <v>757.4</v>
      </c>
      <c r="N2484" s="115">
        <v>770</v>
      </c>
      <c r="O2484" s="115">
        <v>755.65</v>
      </c>
      <c r="P2484" s="115">
        <v>760.1</v>
      </c>
      <c r="Q2484" s="115">
        <v>757.4</v>
      </c>
      <c r="R2484">
        <v>104667</v>
      </c>
    </row>
    <row r="2485" spans="1:18" x14ac:dyDescent="0.25">
      <c r="A2485" s="169">
        <v>45673</v>
      </c>
      <c r="B2485" s="115">
        <v>729.95</v>
      </c>
      <c r="C2485" s="115">
        <v>712.45</v>
      </c>
      <c r="D2485" s="115">
        <v>709</v>
      </c>
      <c r="E2485" s="115">
        <v>725</v>
      </c>
      <c r="F2485" s="115">
        <v>712.45</v>
      </c>
      <c r="G2485">
        <v>3966</v>
      </c>
      <c r="H2485" s="115"/>
      <c r="I2485" s="115"/>
      <c r="L2485" s="169">
        <v>45665</v>
      </c>
      <c r="M2485" s="115">
        <v>748.85</v>
      </c>
      <c r="N2485" s="115">
        <v>761.15</v>
      </c>
      <c r="O2485" s="115">
        <v>732.4</v>
      </c>
      <c r="P2485" s="115">
        <v>758.9</v>
      </c>
      <c r="Q2485" s="115">
        <v>748.85</v>
      </c>
      <c r="R2485">
        <v>117843</v>
      </c>
    </row>
    <row r="2486" spans="1:18" x14ac:dyDescent="0.25">
      <c r="A2486" s="169">
        <v>45674</v>
      </c>
      <c r="B2486" s="115">
        <v>719.45</v>
      </c>
      <c r="C2486" s="115">
        <v>704.5</v>
      </c>
      <c r="D2486" s="115">
        <v>702.65</v>
      </c>
      <c r="E2486" s="115">
        <v>719.45</v>
      </c>
      <c r="F2486" s="115">
        <v>704.5</v>
      </c>
      <c r="G2486">
        <v>5234</v>
      </c>
      <c r="H2486" s="115"/>
      <c r="I2486" s="115"/>
      <c r="L2486" s="169">
        <v>45666</v>
      </c>
      <c r="M2486" s="115">
        <v>752.9</v>
      </c>
      <c r="N2486" s="115">
        <v>755.4</v>
      </c>
      <c r="O2486" s="115">
        <v>738.1</v>
      </c>
      <c r="P2486" s="115">
        <v>742</v>
      </c>
      <c r="Q2486" s="115">
        <v>752.9</v>
      </c>
      <c r="R2486">
        <v>54423</v>
      </c>
    </row>
    <row r="2487" spans="1:18" x14ac:dyDescent="0.25">
      <c r="A2487" s="169">
        <v>45677</v>
      </c>
      <c r="B2487" s="115">
        <v>721</v>
      </c>
      <c r="C2487" s="115">
        <v>714.25</v>
      </c>
      <c r="D2487" s="115">
        <v>699.9</v>
      </c>
      <c r="E2487" s="115">
        <v>721</v>
      </c>
      <c r="F2487" s="115">
        <v>714.25</v>
      </c>
      <c r="G2487">
        <v>1708</v>
      </c>
      <c r="H2487" s="115"/>
      <c r="I2487" s="115"/>
      <c r="L2487" s="169">
        <v>45667</v>
      </c>
      <c r="M2487" s="115">
        <v>734.25</v>
      </c>
      <c r="N2487" s="115">
        <v>752.45</v>
      </c>
      <c r="O2487" s="115">
        <v>730</v>
      </c>
      <c r="P2487" s="115">
        <v>750</v>
      </c>
      <c r="Q2487" s="115">
        <v>734.25</v>
      </c>
      <c r="R2487">
        <v>67922</v>
      </c>
    </row>
    <row r="2488" spans="1:18" x14ac:dyDescent="0.25">
      <c r="A2488" s="169">
        <v>45678</v>
      </c>
      <c r="B2488" s="115">
        <v>718</v>
      </c>
      <c r="C2488" s="115">
        <v>693.4</v>
      </c>
      <c r="D2488" s="115">
        <v>691.25</v>
      </c>
      <c r="E2488" s="115">
        <v>714.25</v>
      </c>
      <c r="F2488" s="115">
        <v>693.4</v>
      </c>
      <c r="G2488">
        <v>2418</v>
      </c>
      <c r="H2488" s="115"/>
      <c r="I2488" s="115"/>
      <c r="L2488" s="169">
        <v>45670</v>
      </c>
      <c r="M2488" s="115">
        <v>707.65</v>
      </c>
      <c r="N2488" s="115">
        <v>729.95</v>
      </c>
      <c r="O2488" s="115">
        <v>701.55</v>
      </c>
      <c r="P2488" s="115">
        <v>720.55</v>
      </c>
      <c r="Q2488" s="115">
        <v>707.65</v>
      </c>
      <c r="R2488">
        <v>190999</v>
      </c>
    </row>
    <row r="2489" spans="1:18" x14ac:dyDescent="0.25">
      <c r="A2489" s="169">
        <v>45679</v>
      </c>
      <c r="B2489" s="115">
        <v>706</v>
      </c>
      <c r="C2489" s="115">
        <v>684.55</v>
      </c>
      <c r="D2489" s="115">
        <v>678.9</v>
      </c>
      <c r="E2489" s="115">
        <v>706</v>
      </c>
      <c r="F2489" s="115">
        <v>684.55</v>
      </c>
      <c r="G2489">
        <v>1488</v>
      </c>
      <c r="H2489" s="115"/>
      <c r="I2489" s="115"/>
      <c r="L2489" s="169">
        <v>45671</v>
      </c>
      <c r="M2489" s="115">
        <v>719.55</v>
      </c>
      <c r="N2489" s="115">
        <v>723.65</v>
      </c>
      <c r="O2489" s="115">
        <v>693.65</v>
      </c>
      <c r="P2489" s="115">
        <v>701.2</v>
      </c>
      <c r="Q2489" s="115">
        <v>719.55</v>
      </c>
      <c r="R2489">
        <v>105867</v>
      </c>
    </row>
    <row r="2490" spans="1:18" x14ac:dyDescent="0.25">
      <c r="A2490" s="169">
        <v>45680</v>
      </c>
      <c r="B2490" s="115">
        <v>702.35</v>
      </c>
      <c r="C2490" s="115">
        <v>687.2</v>
      </c>
      <c r="D2490" s="115">
        <v>684.55</v>
      </c>
      <c r="E2490" s="115">
        <v>702.35</v>
      </c>
      <c r="F2490" s="115">
        <v>687.2</v>
      </c>
      <c r="G2490">
        <v>1100</v>
      </c>
      <c r="H2490" s="115"/>
      <c r="I2490" s="115"/>
      <c r="L2490" s="169">
        <v>45672</v>
      </c>
      <c r="M2490" s="115">
        <v>719.85</v>
      </c>
      <c r="N2490" s="115">
        <v>725.55</v>
      </c>
      <c r="O2490" s="115">
        <v>710.55</v>
      </c>
      <c r="P2490" s="115">
        <v>719.95</v>
      </c>
      <c r="Q2490" s="115">
        <v>719.85</v>
      </c>
      <c r="R2490">
        <v>51990</v>
      </c>
    </row>
    <row r="2491" spans="1:18" x14ac:dyDescent="0.25">
      <c r="A2491" s="169">
        <v>45681</v>
      </c>
      <c r="B2491" s="115">
        <v>691.6</v>
      </c>
      <c r="C2491" s="115">
        <v>677.7</v>
      </c>
      <c r="D2491" s="115">
        <v>675</v>
      </c>
      <c r="E2491" s="115">
        <v>687.2</v>
      </c>
      <c r="F2491" s="115">
        <v>677.7</v>
      </c>
      <c r="G2491">
        <v>3363</v>
      </c>
      <c r="H2491" s="115"/>
      <c r="I2491" s="115"/>
      <c r="L2491" s="169">
        <v>45673</v>
      </c>
      <c r="M2491" s="115">
        <v>711.85</v>
      </c>
      <c r="N2491" s="115">
        <v>728.15</v>
      </c>
      <c r="O2491" s="115">
        <v>709.05</v>
      </c>
      <c r="P2491" s="115">
        <v>719.85</v>
      </c>
      <c r="Q2491" s="115">
        <v>711.85</v>
      </c>
      <c r="R2491">
        <v>131570</v>
      </c>
    </row>
    <row r="2492" spans="1:18" x14ac:dyDescent="0.25">
      <c r="A2492" s="169">
        <v>45684</v>
      </c>
      <c r="B2492" s="115">
        <v>677.75</v>
      </c>
      <c r="C2492" s="115">
        <v>652.6</v>
      </c>
      <c r="D2492" s="115">
        <v>642.15</v>
      </c>
      <c r="E2492" s="115">
        <v>677.75</v>
      </c>
      <c r="F2492" s="115">
        <v>652.6</v>
      </c>
      <c r="G2492">
        <v>5142</v>
      </c>
      <c r="H2492" s="115"/>
      <c r="I2492" s="115"/>
      <c r="L2492" s="169">
        <v>45674</v>
      </c>
      <c r="M2492" s="115">
        <v>705.35</v>
      </c>
      <c r="N2492" s="115">
        <v>716.9</v>
      </c>
      <c r="O2492" s="115">
        <v>701.75</v>
      </c>
      <c r="P2492" s="115">
        <v>712.1</v>
      </c>
      <c r="Q2492" s="115">
        <v>705.35</v>
      </c>
      <c r="R2492">
        <v>47936</v>
      </c>
    </row>
    <row r="2493" spans="1:18" x14ac:dyDescent="0.25">
      <c r="A2493" s="169">
        <v>45685</v>
      </c>
      <c r="B2493" s="115">
        <v>654</v>
      </c>
      <c r="C2493" s="115">
        <v>650</v>
      </c>
      <c r="D2493" s="115">
        <v>618.9</v>
      </c>
      <c r="E2493" s="115">
        <v>654</v>
      </c>
      <c r="F2493" s="115">
        <v>650</v>
      </c>
      <c r="G2493">
        <v>3907</v>
      </c>
      <c r="H2493" s="115"/>
      <c r="I2493" s="115"/>
      <c r="L2493" s="169">
        <v>45677</v>
      </c>
      <c r="M2493" s="115">
        <v>713.15</v>
      </c>
      <c r="N2493" s="115">
        <v>716.95</v>
      </c>
      <c r="O2493" s="115">
        <v>699.15</v>
      </c>
      <c r="P2493" s="115">
        <v>711.85</v>
      </c>
      <c r="Q2493" s="115">
        <v>713.15</v>
      </c>
      <c r="R2493">
        <v>56088</v>
      </c>
    </row>
    <row r="2494" spans="1:18" x14ac:dyDescent="0.25">
      <c r="A2494" s="169">
        <v>45686</v>
      </c>
      <c r="B2494" s="115">
        <v>699.25</v>
      </c>
      <c r="C2494" s="115">
        <v>685.5</v>
      </c>
      <c r="D2494" s="115">
        <v>640.04999999999995</v>
      </c>
      <c r="E2494" s="115">
        <v>640.04999999999995</v>
      </c>
      <c r="F2494" s="115">
        <v>685.5</v>
      </c>
      <c r="G2494">
        <v>3771</v>
      </c>
      <c r="H2494" s="115"/>
      <c r="I2494" s="115"/>
      <c r="L2494" s="169">
        <v>45678</v>
      </c>
      <c r="M2494" s="115">
        <v>693.75</v>
      </c>
      <c r="N2494" s="115">
        <v>720</v>
      </c>
      <c r="O2494" s="115">
        <v>691.05</v>
      </c>
      <c r="P2494" s="115">
        <v>713</v>
      </c>
      <c r="Q2494" s="115">
        <v>693.75</v>
      </c>
      <c r="R2494">
        <v>258002</v>
      </c>
    </row>
    <row r="2495" spans="1:18" x14ac:dyDescent="0.25">
      <c r="A2495" s="169">
        <v>45687</v>
      </c>
      <c r="B2495" s="115">
        <v>729.95</v>
      </c>
      <c r="C2495" s="115">
        <v>689.15</v>
      </c>
      <c r="D2495" s="115">
        <v>677.8</v>
      </c>
      <c r="E2495" s="115">
        <v>729.95</v>
      </c>
      <c r="F2495" s="115">
        <v>689.15</v>
      </c>
      <c r="G2495">
        <v>2015</v>
      </c>
      <c r="H2495" s="115"/>
      <c r="I2495" s="115"/>
      <c r="L2495" s="169">
        <v>45679</v>
      </c>
      <c r="M2495" s="115">
        <v>688.55</v>
      </c>
      <c r="N2495" s="115">
        <v>698</v>
      </c>
      <c r="O2495" s="115">
        <v>678.25</v>
      </c>
      <c r="P2495" s="115">
        <v>694</v>
      </c>
      <c r="Q2495" s="115">
        <v>688.55</v>
      </c>
      <c r="R2495">
        <v>86763</v>
      </c>
    </row>
    <row r="2496" spans="1:18" x14ac:dyDescent="0.25">
      <c r="A2496" s="169">
        <v>45688</v>
      </c>
      <c r="B2496" s="115">
        <v>708.95</v>
      </c>
      <c r="C2496" s="115">
        <v>703.05</v>
      </c>
      <c r="D2496" s="115">
        <v>689.5</v>
      </c>
      <c r="E2496" s="115">
        <v>708.95</v>
      </c>
      <c r="F2496" s="115">
        <v>703.05</v>
      </c>
      <c r="G2496">
        <v>1023</v>
      </c>
      <c r="H2496" s="115"/>
      <c r="I2496" s="115"/>
      <c r="L2496" s="169">
        <v>45680</v>
      </c>
      <c r="M2496" s="115">
        <v>686.75</v>
      </c>
      <c r="N2496" s="115">
        <v>697</v>
      </c>
      <c r="O2496" s="115">
        <v>682.5</v>
      </c>
      <c r="P2496" s="115">
        <v>684.45</v>
      </c>
      <c r="Q2496" s="115">
        <v>686.75</v>
      </c>
      <c r="R2496">
        <v>37239</v>
      </c>
    </row>
    <row r="2497" spans="1:18" x14ac:dyDescent="0.25">
      <c r="A2497" s="169">
        <v>45689</v>
      </c>
      <c r="B2497" s="115">
        <v>750.05</v>
      </c>
      <c r="C2497" s="115">
        <v>744.25</v>
      </c>
      <c r="D2497" s="115">
        <v>698.75</v>
      </c>
      <c r="E2497" s="115">
        <v>698.8</v>
      </c>
      <c r="F2497" s="115">
        <v>744.25</v>
      </c>
      <c r="G2497">
        <v>9250</v>
      </c>
      <c r="H2497" s="115"/>
      <c r="I2497" s="115"/>
      <c r="L2497" s="169">
        <v>45681</v>
      </c>
      <c r="M2497" s="115">
        <v>677.55</v>
      </c>
      <c r="N2497" s="115">
        <v>691.05</v>
      </c>
      <c r="O2497" s="115">
        <v>675.1</v>
      </c>
      <c r="P2497" s="115">
        <v>690.4</v>
      </c>
      <c r="Q2497" s="115">
        <v>677.55</v>
      </c>
      <c r="R2497">
        <v>76685</v>
      </c>
    </row>
    <row r="2498" spans="1:18" x14ac:dyDescent="0.25">
      <c r="A2498" s="169">
        <v>45691</v>
      </c>
      <c r="B2498" s="115">
        <v>728</v>
      </c>
      <c r="C2498" s="115">
        <v>701.65</v>
      </c>
      <c r="D2498" s="115">
        <v>691.05</v>
      </c>
      <c r="E2498" s="115">
        <v>725.1</v>
      </c>
      <c r="F2498" s="115">
        <v>701.65</v>
      </c>
      <c r="G2498">
        <v>12424</v>
      </c>
      <c r="H2498" s="115"/>
      <c r="I2498" s="115"/>
      <c r="L2498" s="169">
        <v>45684</v>
      </c>
      <c r="M2498" s="115">
        <v>653.35</v>
      </c>
      <c r="N2498" s="115">
        <v>683.25</v>
      </c>
      <c r="O2498" s="115">
        <v>642.20000000000005</v>
      </c>
      <c r="P2498" s="115">
        <v>681.15</v>
      </c>
      <c r="Q2498" s="115">
        <v>653.35</v>
      </c>
      <c r="R2498">
        <v>139131</v>
      </c>
    </row>
    <row r="2499" spans="1:18" x14ac:dyDescent="0.25">
      <c r="A2499" s="169">
        <v>45692</v>
      </c>
      <c r="B2499" s="115">
        <v>706.3</v>
      </c>
      <c r="C2499" s="115">
        <v>684.55</v>
      </c>
      <c r="D2499" s="115">
        <v>675.95</v>
      </c>
      <c r="E2499" s="115">
        <v>700.7</v>
      </c>
      <c r="F2499" s="115">
        <v>684.55</v>
      </c>
      <c r="G2499">
        <v>9122</v>
      </c>
      <c r="H2499" s="115"/>
      <c r="I2499" s="115"/>
      <c r="L2499" s="169">
        <v>45685</v>
      </c>
      <c r="M2499" s="115">
        <v>649.79999999999995</v>
      </c>
      <c r="N2499" s="115">
        <v>653.5</v>
      </c>
      <c r="O2499" s="115">
        <v>618.5</v>
      </c>
      <c r="P2499" s="115">
        <v>646</v>
      </c>
      <c r="Q2499" s="115">
        <v>649.79999999999995</v>
      </c>
      <c r="R2499">
        <v>227711</v>
      </c>
    </row>
    <row r="2500" spans="1:18" x14ac:dyDescent="0.25">
      <c r="A2500" s="169">
        <v>45693</v>
      </c>
      <c r="B2500" s="115">
        <v>714.3</v>
      </c>
      <c r="C2500" s="115">
        <v>710.9</v>
      </c>
      <c r="D2500" s="115">
        <v>687.8</v>
      </c>
      <c r="E2500" s="115">
        <v>689.95</v>
      </c>
      <c r="F2500" s="115">
        <v>710.9</v>
      </c>
      <c r="G2500">
        <v>4849</v>
      </c>
      <c r="H2500" s="115"/>
      <c r="I2500" s="115"/>
      <c r="L2500" s="169">
        <v>45686</v>
      </c>
      <c r="M2500" s="115">
        <v>688.4</v>
      </c>
      <c r="N2500" s="115">
        <v>700</v>
      </c>
      <c r="O2500" s="115">
        <v>647.95000000000005</v>
      </c>
      <c r="P2500" s="115">
        <v>653.20000000000005</v>
      </c>
      <c r="Q2500" s="115">
        <v>688.4</v>
      </c>
      <c r="R2500">
        <v>132618</v>
      </c>
    </row>
    <row r="2501" spans="1:18" x14ac:dyDescent="0.25">
      <c r="A2501" s="169">
        <v>45694</v>
      </c>
      <c r="B2501" s="115">
        <v>720</v>
      </c>
      <c r="C2501" s="115">
        <v>700</v>
      </c>
      <c r="D2501" s="115">
        <v>695.55</v>
      </c>
      <c r="E2501" s="115">
        <v>720</v>
      </c>
      <c r="F2501" s="115">
        <v>700</v>
      </c>
      <c r="G2501">
        <v>3514</v>
      </c>
      <c r="H2501" s="115"/>
      <c r="I2501" s="115"/>
      <c r="L2501" s="169">
        <v>45687</v>
      </c>
      <c r="M2501" s="115">
        <v>690</v>
      </c>
      <c r="N2501" s="115">
        <v>699.25</v>
      </c>
      <c r="O2501" s="115">
        <v>676.35</v>
      </c>
      <c r="P2501" s="115">
        <v>678.05</v>
      </c>
      <c r="Q2501" s="115">
        <v>690</v>
      </c>
      <c r="R2501">
        <v>97873</v>
      </c>
    </row>
    <row r="2502" spans="1:18" x14ac:dyDescent="0.25">
      <c r="A2502" s="169">
        <v>45695</v>
      </c>
      <c r="B2502" s="115">
        <v>700</v>
      </c>
      <c r="C2502" s="115">
        <v>684.6</v>
      </c>
      <c r="D2502" s="115">
        <v>678.45</v>
      </c>
      <c r="E2502" s="115">
        <v>700</v>
      </c>
      <c r="F2502" s="115">
        <v>684.6</v>
      </c>
      <c r="G2502">
        <v>3524</v>
      </c>
      <c r="H2502" s="115"/>
      <c r="I2502" s="115"/>
      <c r="L2502" s="169">
        <v>45688</v>
      </c>
      <c r="M2502" s="115">
        <v>702.55</v>
      </c>
      <c r="N2502" s="115">
        <v>704.8</v>
      </c>
      <c r="O2502" s="115">
        <v>689.05</v>
      </c>
      <c r="P2502" s="115">
        <v>690.25</v>
      </c>
      <c r="Q2502" s="115">
        <v>702.55</v>
      </c>
      <c r="R2502">
        <v>30613</v>
      </c>
    </row>
    <row r="2503" spans="1:18" x14ac:dyDescent="0.25">
      <c r="A2503" s="169">
        <v>45698</v>
      </c>
      <c r="B2503" s="115">
        <v>685.45</v>
      </c>
      <c r="C2503" s="115">
        <v>674.9</v>
      </c>
      <c r="D2503" s="115">
        <v>670</v>
      </c>
      <c r="E2503" s="115">
        <v>685</v>
      </c>
      <c r="F2503" s="115">
        <v>674.9</v>
      </c>
      <c r="G2503">
        <v>2624</v>
      </c>
      <c r="H2503" s="115"/>
      <c r="I2503" s="115"/>
      <c r="L2503" s="169">
        <v>45689</v>
      </c>
      <c r="M2503" s="115">
        <v>733.85</v>
      </c>
      <c r="N2503" s="115">
        <v>748.3</v>
      </c>
      <c r="O2503" s="115">
        <v>692</v>
      </c>
      <c r="P2503" s="115">
        <v>692</v>
      </c>
      <c r="Q2503" s="115">
        <v>733.85</v>
      </c>
      <c r="R2503">
        <v>217082</v>
      </c>
    </row>
    <row r="2504" spans="1:18" x14ac:dyDescent="0.25">
      <c r="A2504" s="169">
        <v>45699</v>
      </c>
      <c r="B2504" s="115">
        <v>680.8</v>
      </c>
      <c r="C2504" s="115">
        <v>645.35</v>
      </c>
      <c r="D2504" s="115">
        <v>642</v>
      </c>
      <c r="E2504" s="115">
        <v>679.95</v>
      </c>
      <c r="F2504" s="115">
        <v>645.35</v>
      </c>
      <c r="G2504">
        <v>3918</v>
      </c>
      <c r="H2504" s="115"/>
      <c r="I2504" s="115"/>
      <c r="L2504" s="169">
        <v>45691</v>
      </c>
      <c r="M2504" s="115">
        <v>701.85</v>
      </c>
      <c r="N2504" s="115">
        <v>733</v>
      </c>
      <c r="O2504" s="115">
        <v>691</v>
      </c>
      <c r="P2504" s="115">
        <v>733</v>
      </c>
      <c r="Q2504" s="115">
        <v>701.85</v>
      </c>
      <c r="R2504">
        <v>147749</v>
      </c>
    </row>
    <row r="2505" spans="1:18" x14ac:dyDescent="0.25">
      <c r="A2505" s="169">
        <v>45700</v>
      </c>
      <c r="B2505" s="115">
        <v>646</v>
      </c>
      <c r="C2505" s="115">
        <v>632.1</v>
      </c>
      <c r="D2505" s="115">
        <v>617</v>
      </c>
      <c r="E2505" s="115">
        <v>646</v>
      </c>
      <c r="F2505" s="115">
        <v>632.1</v>
      </c>
      <c r="G2505">
        <v>3579</v>
      </c>
      <c r="H2505" s="115"/>
      <c r="I2505" s="115"/>
      <c r="L2505" s="169">
        <v>45692</v>
      </c>
      <c r="M2505" s="115">
        <v>683.6</v>
      </c>
      <c r="N2505" s="115">
        <v>709.7</v>
      </c>
      <c r="O2505" s="115">
        <v>675</v>
      </c>
      <c r="P2505" s="115">
        <v>702</v>
      </c>
      <c r="Q2505" s="115">
        <v>683.6</v>
      </c>
      <c r="R2505">
        <v>167673</v>
      </c>
    </row>
    <row r="2506" spans="1:18" x14ac:dyDescent="0.25">
      <c r="A2506" s="169">
        <v>45701</v>
      </c>
      <c r="B2506" s="115">
        <v>630.25</v>
      </c>
      <c r="C2506" s="115">
        <v>610</v>
      </c>
      <c r="D2506" s="115">
        <v>607.65</v>
      </c>
      <c r="E2506" s="115">
        <v>611.70000000000005</v>
      </c>
      <c r="F2506" s="115">
        <v>610</v>
      </c>
      <c r="G2506">
        <v>8758</v>
      </c>
      <c r="H2506" s="115"/>
      <c r="I2506" s="115"/>
      <c r="L2506" s="169">
        <v>45693</v>
      </c>
      <c r="M2506" s="115">
        <v>710.35</v>
      </c>
      <c r="N2506" s="115">
        <v>715.85</v>
      </c>
      <c r="O2506" s="115">
        <v>684.7</v>
      </c>
      <c r="P2506" s="115">
        <v>684.7</v>
      </c>
      <c r="Q2506" s="115">
        <v>710.35</v>
      </c>
      <c r="R2506">
        <v>384883</v>
      </c>
    </row>
    <row r="2507" spans="1:18" x14ac:dyDescent="0.25">
      <c r="A2507" s="169">
        <v>45702</v>
      </c>
      <c r="B2507" s="115">
        <v>622.20000000000005</v>
      </c>
      <c r="C2507" s="115">
        <v>598.75</v>
      </c>
      <c r="D2507" s="115">
        <v>592</v>
      </c>
      <c r="E2507" s="115">
        <v>622.20000000000005</v>
      </c>
      <c r="F2507" s="115">
        <v>598.75</v>
      </c>
      <c r="G2507">
        <v>5868</v>
      </c>
      <c r="H2507" s="115"/>
      <c r="I2507" s="115"/>
      <c r="L2507" s="169">
        <v>45694</v>
      </c>
      <c r="M2507" s="115">
        <v>700.45</v>
      </c>
      <c r="N2507" s="115">
        <v>712.4</v>
      </c>
      <c r="O2507" s="115">
        <v>694.15</v>
      </c>
      <c r="P2507" s="115">
        <v>711.2</v>
      </c>
      <c r="Q2507" s="115">
        <v>700.45</v>
      </c>
      <c r="R2507">
        <v>33440</v>
      </c>
    </row>
    <row r="2508" spans="1:18" x14ac:dyDescent="0.25">
      <c r="A2508" s="169">
        <v>45705</v>
      </c>
      <c r="B2508" s="115">
        <v>618.04999999999995</v>
      </c>
      <c r="C2508" s="115">
        <v>613.54999999999995</v>
      </c>
      <c r="D2508" s="115">
        <v>585</v>
      </c>
      <c r="E2508" s="115">
        <v>599</v>
      </c>
      <c r="F2508" s="115">
        <v>613.54999999999995</v>
      </c>
      <c r="G2508">
        <v>6299</v>
      </c>
      <c r="H2508" s="115"/>
      <c r="I2508" s="115"/>
      <c r="L2508" s="169">
        <v>45695</v>
      </c>
      <c r="M2508" s="115">
        <v>683.35</v>
      </c>
      <c r="N2508" s="115">
        <v>698</v>
      </c>
      <c r="O2508" s="115">
        <v>678.8</v>
      </c>
      <c r="P2508" s="115">
        <v>694.05</v>
      </c>
      <c r="Q2508" s="115">
        <v>683.35</v>
      </c>
      <c r="R2508">
        <v>33783</v>
      </c>
    </row>
    <row r="2509" spans="1:18" x14ac:dyDescent="0.25">
      <c r="A2509" s="169">
        <v>45706</v>
      </c>
      <c r="B2509" s="115">
        <v>625.85</v>
      </c>
      <c r="C2509" s="115">
        <v>603.75</v>
      </c>
      <c r="D2509" s="115">
        <v>596.79999999999995</v>
      </c>
      <c r="E2509" s="115">
        <v>625.85</v>
      </c>
      <c r="F2509" s="115">
        <v>603.75</v>
      </c>
      <c r="G2509">
        <v>3120</v>
      </c>
      <c r="H2509" s="115"/>
      <c r="I2509" s="115"/>
      <c r="L2509" s="169">
        <v>45698</v>
      </c>
      <c r="M2509" s="115">
        <v>673.75</v>
      </c>
      <c r="N2509" s="115">
        <v>689.45</v>
      </c>
      <c r="O2509" s="115">
        <v>670.05</v>
      </c>
      <c r="P2509" s="115">
        <v>689.45</v>
      </c>
      <c r="Q2509" s="115">
        <v>673.75</v>
      </c>
      <c r="R2509">
        <v>39454</v>
      </c>
    </row>
    <row r="2510" spans="1:18" x14ac:dyDescent="0.25">
      <c r="A2510" s="169">
        <v>45707</v>
      </c>
      <c r="B2510" s="115">
        <v>624.9</v>
      </c>
      <c r="C2510" s="115">
        <v>611.29999999999995</v>
      </c>
      <c r="D2510" s="115">
        <v>596.85</v>
      </c>
      <c r="E2510" s="115">
        <v>624.9</v>
      </c>
      <c r="F2510" s="115">
        <v>611.29999999999995</v>
      </c>
      <c r="G2510">
        <v>4908</v>
      </c>
      <c r="H2510" s="115"/>
      <c r="I2510" s="115"/>
      <c r="L2510" s="169">
        <v>45699</v>
      </c>
      <c r="M2510" s="115">
        <v>646.15</v>
      </c>
      <c r="N2510" s="115">
        <v>678.2</v>
      </c>
      <c r="O2510" s="115">
        <v>640.85</v>
      </c>
      <c r="P2510" s="115">
        <v>674.55</v>
      </c>
      <c r="Q2510" s="115">
        <v>646.15</v>
      </c>
      <c r="R2510">
        <v>79449</v>
      </c>
    </row>
    <row r="2511" spans="1:18" x14ac:dyDescent="0.25">
      <c r="A2511" s="169">
        <v>45708</v>
      </c>
      <c r="B2511" s="115">
        <v>699.9</v>
      </c>
      <c r="C2511" s="115">
        <v>639.6</v>
      </c>
      <c r="D2511" s="115">
        <v>608.5</v>
      </c>
      <c r="E2511" s="115">
        <v>699.9</v>
      </c>
      <c r="F2511" s="115">
        <v>639.6</v>
      </c>
      <c r="G2511">
        <v>5012</v>
      </c>
      <c r="H2511" s="115"/>
      <c r="I2511" s="115"/>
      <c r="L2511" s="169">
        <v>45700</v>
      </c>
      <c r="M2511" s="115">
        <v>631.45000000000005</v>
      </c>
      <c r="N2511" s="115">
        <v>659.05</v>
      </c>
      <c r="O2511" s="115">
        <v>616.1</v>
      </c>
      <c r="P2511" s="115">
        <v>645</v>
      </c>
      <c r="Q2511" s="115">
        <v>631.45000000000005</v>
      </c>
      <c r="R2511">
        <v>111431</v>
      </c>
    </row>
    <row r="2512" spans="1:18" x14ac:dyDescent="0.25">
      <c r="A2512" s="169">
        <v>45709</v>
      </c>
      <c r="B2512" s="115">
        <v>652.15</v>
      </c>
      <c r="C2512" s="115">
        <v>642.1</v>
      </c>
      <c r="D2512" s="115">
        <v>636</v>
      </c>
      <c r="E2512" s="115">
        <v>639.6</v>
      </c>
      <c r="F2512" s="115">
        <v>642.1</v>
      </c>
      <c r="G2512">
        <v>5359</v>
      </c>
      <c r="H2512" s="115"/>
      <c r="I2512" s="115"/>
      <c r="L2512" s="169">
        <v>45701</v>
      </c>
      <c r="M2512" s="115">
        <v>610</v>
      </c>
      <c r="N2512" s="115">
        <v>630.15</v>
      </c>
      <c r="O2512" s="115">
        <v>606</v>
      </c>
      <c r="P2512" s="115">
        <v>620</v>
      </c>
      <c r="Q2512" s="115">
        <v>610</v>
      </c>
      <c r="R2512">
        <v>131050</v>
      </c>
    </row>
    <row r="2513" spans="1:18" x14ac:dyDescent="0.25">
      <c r="A2513" s="169">
        <v>45712</v>
      </c>
      <c r="B2513" s="115">
        <v>654.75</v>
      </c>
      <c r="C2513" s="115">
        <v>623.4</v>
      </c>
      <c r="D2513" s="115">
        <v>621.45000000000005</v>
      </c>
      <c r="E2513" s="115">
        <v>654.75</v>
      </c>
      <c r="F2513" s="115">
        <v>623.4</v>
      </c>
      <c r="G2513">
        <v>3189</v>
      </c>
      <c r="H2513" s="115"/>
      <c r="I2513" s="115"/>
      <c r="L2513" s="169">
        <v>45702</v>
      </c>
      <c r="M2513" s="115">
        <v>599.1</v>
      </c>
      <c r="N2513" s="115">
        <v>638</v>
      </c>
      <c r="O2513" s="115">
        <v>591</v>
      </c>
      <c r="P2513" s="115">
        <v>610.4</v>
      </c>
      <c r="Q2513" s="115">
        <v>599.1</v>
      </c>
      <c r="R2513">
        <v>75210</v>
      </c>
    </row>
    <row r="2514" spans="1:18" x14ac:dyDescent="0.25">
      <c r="A2514" s="169">
        <v>45713</v>
      </c>
      <c r="B2514" s="115">
        <v>633.65</v>
      </c>
      <c r="C2514" s="115">
        <v>617</v>
      </c>
      <c r="D2514" s="115">
        <v>615.35</v>
      </c>
      <c r="E2514" s="115">
        <v>623.20000000000005</v>
      </c>
      <c r="F2514" s="115">
        <v>617</v>
      </c>
      <c r="G2514">
        <v>1796</v>
      </c>
      <c r="H2514" s="115"/>
      <c r="I2514" s="115"/>
      <c r="L2514" s="169">
        <v>45705</v>
      </c>
      <c r="M2514" s="115">
        <v>613.9</v>
      </c>
      <c r="N2514" s="115">
        <v>618.45000000000005</v>
      </c>
      <c r="O2514" s="115">
        <v>582.25</v>
      </c>
      <c r="P2514" s="115">
        <v>599.1</v>
      </c>
      <c r="Q2514" s="115">
        <v>613.9</v>
      </c>
      <c r="R2514">
        <v>101139</v>
      </c>
    </row>
    <row r="2515" spans="1:18" x14ac:dyDescent="0.25">
      <c r="A2515" s="169">
        <v>45715</v>
      </c>
      <c r="B2515" s="115">
        <v>629.95000000000005</v>
      </c>
      <c r="C2515" s="115">
        <v>609.25</v>
      </c>
      <c r="D2515" s="115">
        <v>605.35</v>
      </c>
      <c r="E2515" s="115">
        <v>629.95000000000005</v>
      </c>
      <c r="F2515" s="115">
        <v>609.25</v>
      </c>
      <c r="G2515">
        <v>1499</v>
      </c>
      <c r="H2515" s="115"/>
      <c r="I2515" s="115"/>
      <c r="L2515" s="169">
        <v>45706</v>
      </c>
      <c r="M2515" s="115">
        <v>604.35</v>
      </c>
      <c r="N2515" s="115">
        <v>612.85</v>
      </c>
      <c r="O2515" s="115">
        <v>595.79999999999995</v>
      </c>
      <c r="P2515" s="115">
        <v>611.54999999999995</v>
      </c>
      <c r="Q2515" s="115">
        <v>604.35</v>
      </c>
      <c r="R2515">
        <v>84102</v>
      </c>
    </row>
    <row r="2516" spans="1:18" x14ac:dyDescent="0.25">
      <c r="A2516" s="169">
        <v>45716</v>
      </c>
      <c r="B2516" s="115">
        <v>658.85</v>
      </c>
      <c r="C2516" s="115">
        <v>617.20000000000005</v>
      </c>
      <c r="D2516" s="115">
        <v>607</v>
      </c>
      <c r="E2516" s="115">
        <v>635</v>
      </c>
      <c r="F2516" s="115">
        <v>617.20000000000005</v>
      </c>
      <c r="G2516">
        <v>168893</v>
      </c>
      <c r="H2516" s="115"/>
      <c r="I2516" s="115"/>
      <c r="L2516" s="169">
        <v>45707</v>
      </c>
      <c r="M2516" s="115">
        <v>611.35</v>
      </c>
      <c r="N2516" s="115">
        <v>615.95000000000005</v>
      </c>
      <c r="O2516" s="115">
        <v>598.45000000000005</v>
      </c>
      <c r="P2516" s="115">
        <v>601</v>
      </c>
      <c r="Q2516" s="115">
        <v>611.35</v>
      </c>
      <c r="R2516">
        <v>52241</v>
      </c>
    </row>
    <row r="2517" spans="1:18" x14ac:dyDescent="0.25">
      <c r="A2517" s="169">
        <v>45719</v>
      </c>
      <c r="B2517" s="115">
        <v>637.45000000000005</v>
      </c>
      <c r="C2517" s="115">
        <v>615.25</v>
      </c>
      <c r="D2517" s="115">
        <v>606.04999999999995</v>
      </c>
      <c r="E2517" s="115">
        <v>610.9</v>
      </c>
      <c r="F2517" s="115">
        <v>615.25</v>
      </c>
      <c r="G2517">
        <v>29633</v>
      </c>
      <c r="H2517" s="115"/>
      <c r="I2517" s="115"/>
      <c r="L2517" s="169">
        <v>45708</v>
      </c>
      <c r="M2517" s="115">
        <v>638.9</v>
      </c>
      <c r="N2517" s="115">
        <v>644</v>
      </c>
      <c r="O2517" s="115">
        <v>606.25</v>
      </c>
      <c r="P2517" s="115">
        <v>617.45000000000005</v>
      </c>
      <c r="Q2517" s="115">
        <v>638.9</v>
      </c>
      <c r="R2517">
        <v>103829</v>
      </c>
    </row>
    <row r="2518" spans="1:18" x14ac:dyDescent="0.25">
      <c r="A2518" s="169">
        <v>45720</v>
      </c>
      <c r="B2518" s="115">
        <v>628.25</v>
      </c>
      <c r="C2518" s="115">
        <v>610.29999999999995</v>
      </c>
      <c r="D2518" s="115">
        <v>601</v>
      </c>
      <c r="E2518" s="115">
        <v>607.1</v>
      </c>
      <c r="F2518" s="115">
        <v>610.29999999999995</v>
      </c>
      <c r="G2518">
        <v>9585</v>
      </c>
      <c r="H2518" s="115"/>
      <c r="I2518" s="115"/>
      <c r="L2518" s="169">
        <v>45709</v>
      </c>
      <c r="M2518" s="115">
        <v>641.9</v>
      </c>
      <c r="N2518" s="115">
        <v>654</v>
      </c>
      <c r="O2518" s="115">
        <v>635.15</v>
      </c>
      <c r="P2518" s="115">
        <v>637.6</v>
      </c>
      <c r="Q2518" s="115">
        <v>641.9</v>
      </c>
      <c r="R2518">
        <v>58966</v>
      </c>
    </row>
    <row r="2519" spans="1:18" x14ac:dyDescent="0.25">
      <c r="A2519" s="169">
        <v>45721</v>
      </c>
      <c r="B2519" s="115">
        <v>646.95000000000005</v>
      </c>
      <c r="C2519" s="115">
        <v>642.20000000000005</v>
      </c>
      <c r="D2519" s="115">
        <v>610.29999999999995</v>
      </c>
      <c r="E2519" s="115">
        <v>610.29999999999995</v>
      </c>
      <c r="F2519" s="115">
        <v>642.20000000000005</v>
      </c>
      <c r="G2519">
        <v>18053</v>
      </c>
      <c r="H2519" s="115"/>
      <c r="I2519" s="115"/>
      <c r="L2519" s="169">
        <v>45712</v>
      </c>
      <c r="M2519" s="115">
        <v>624.20000000000005</v>
      </c>
      <c r="N2519" s="115">
        <v>640.4</v>
      </c>
      <c r="O2519" s="115">
        <v>621</v>
      </c>
      <c r="P2519" s="115">
        <v>640</v>
      </c>
      <c r="Q2519" s="115">
        <v>624.20000000000005</v>
      </c>
      <c r="R2519">
        <v>43449</v>
      </c>
    </row>
    <row r="2520" spans="1:18" x14ac:dyDescent="0.25">
      <c r="A2520" s="169">
        <v>45722</v>
      </c>
      <c r="B2520" s="115">
        <v>654</v>
      </c>
      <c r="C2520" s="115">
        <v>644.54999999999995</v>
      </c>
      <c r="D2520" s="115">
        <v>639.85</v>
      </c>
      <c r="E2520" s="115">
        <v>646.79999999999995</v>
      </c>
      <c r="F2520" s="115">
        <v>644.54999999999995</v>
      </c>
      <c r="G2520">
        <v>4291</v>
      </c>
      <c r="H2520" s="115"/>
      <c r="I2520" s="115"/>
      <c r="L2520" s="169">
        <v>45713</v>
      </c>
      <c r="M2520" s="115">
        <v>618.20000000000005</v>
      </c>
      <c r="N2520" s="115">
        <v>634.20000000000005</v>
      </c>
      <c r="O2520" s="115">
        <v>616.1</v>
      </c>
      <c r="P2520" s="115">
        <v>624.29999999999995</v>
      </c>
      <c r="Q2520" s="115">
        <v>618.20000000000005</v>
      </c>
      <c r="R2520">
        <v>50047</v>
      </c>
    </row>
    <row r="2521" spans="1:18" x14ac:dyDescent="0.25">
      <c r="A2521" s="169">
        <v>45723</v>
      </c>
      <c r="B2521" s="115">
        <v>689.95</v>
      </c>
      <c r="C2521" s="115">
        <v>686</v>
      </c>
      <c r="D2521" s="115">
        <v>640.54999999999995</v>
      </c>
      <c r="E2521" s="115">
        <v>645</v>
      </c>
      <c r="F2521" s="115">
        <v>686</v>
      </c>
      <c r="G2521">
        <v>24546</v>
      </c>
      <c r="H2521" s="115"/>
      <c r="I2521" s="115"/>
      <c r="L2521" s="169">
        <v>45715</v>
      </c>
      <c r="M2521" s="115">
        <v>608.54999999999995</v>
      </c>
      <c r="N2521" s="115">
        <v>625.45000000000005</v>
      </c>
      <c r="O2521" s="115">
        <v>605</v>
      </c>
      <c r="P2521" s="115">
        <v>622</v>
      </c>
      <c r="Q2521" s="115">
        <v>608.54999999999995</v>
      </c>
      <c r="R2521">
        <v>48600</v>
      </c>
    </row>
    <row r="2522" spans="1:18" x14ac:dyDescent="0.25">
      <c r="A2522" s="169">
        <v>45726</v>
      </c>
      <c r="B2522" s="115">
        <v>695.65</v>
      </c>
      <c r="C2522" s="115">
        <v>664.35</v>
      </c>
      <c r="D2522" s="115">
        <v>655.5</v>
      </c>
      <c r="E2522" s="115">
        <v>690.15</v>
      </c>
      <c r="F2522" s="115">
        <v>664.35</v>
      </c>
      <c r="G2522">
        <v>18817</v>
      </c>
      <c r="H2522" s="115"/>
      <c r="I2522" s="115"/>
      <c r="L2522" s="169">
        <v>45716</v>
      </c>
      <c r="M2522" s="115">
        <v>617</v>
      </c>
      <c r="N2522" s="115">
        <v>659</v>
      </c>
      <c r="O2522" s="115">
        <v>606</v>
      </c>
      <c r="P2522" s="115">
        <v>639.75</v>
      </c>
      <c r="Q2522" s="115">
        <v>617</v>
      </c>
      <c r="R2522">
        <v>9731254</v>
      </c>
    </row>
    <row r="2523" spans="1:18" x14ac:dyDescent="0.25">
      <c r="A2523" s="169">
        <v>45727</v>
      </c>
      <c r="B2523" s="115">
        <v>695.35</v>
      </c>
      <c r="C2523" s="115">
        <v>690.85</v>
      </c>
      <c r="D2523" s="115">
        <v>651.54999999999995</v>
      </c>
      <c r="E2523" s="115">
        <v>655</v>
      </c>
      <c r="F2523" s="115">
        <v>690.85</v>
      </c>
      <c r="G2523">
        <v>16169</v>
      </c>
      <c r="H2523" s="115"/>
      <c r="I2523" s="115"/>
      <c r="L2523" s="169">
        <v>45719</v>
      </c>
      <c r="M2523" s="115">
        <v>615.5</v>
      </c>
      <c r="N2523" s="115">
        <v>638</v>
      </c>
      <c r="O2523" s="115">
        <v>606.35</v>
      </c>
      <c r="P2523" s="115">
        <v>617</v>
      </c>
      <c r="Q2523" s="115">
        <v>615.5</v>
      </c>
      <c r="R2523">
        <v>1097163</v>
      </c>
    </row>
    <row r="2524" spans="1:18" x14ac:dyDescent="0.25">
      <c r="A2524" s="169">
        <v>45728</v>
      </c>
      <c r="B2524" s="115">
        <v>713.75</v>
      </c>
      <c r="C2524" s="115">
        <v>709.85</v>
      </c>
      <c r="D2524" s="115">
        <v>682.2</v>
      </c>
      <c r="E2524" s="115">
        <v>692.45</v>
      </c>
      <c r="F2524" s="115">
        <v>709.85</v>
      </c>
      <c r="G2524">
        <v>15345</v>
      </c>
      <c r="H2524" s="115"/>
      <c r="I2524" s="115"/>
      <c r="L2524" s="169">
        <v>45720</v>
      </c>
      <c r="M2524" s="115">
        <v>610</v>
      </c>
      <c r="N2524" s="115">
        <v>627.29999999999995</v>
      </c>
      <c r="O2524" s="115">
        <v>600.75</v>
      </c>
      <c r="P2524" s="115">
        <v>615</v>
      </c>
      <c r="Q2524" s="115">
        <v>610</v>
      </c>
      <c r="R2524">
        <v>364145</v>
      </c>
    </row>
    <row r="2525" spans="1:18" x14ac:dyDescent="0.25">
      <c r="A2525" s="169">
        <v>45729</v>
      </c>
      <c r="B2525" s="115">
        <v>728.1</v>
      </c>
      <c r="C2525" s="115">
        <v>711.15</v>
      </c>
      <c r="D2525" s="115">
        <v>701.8</v>
      </c>
      <c r="E2525" s="115">
        <v>717.95</v>
      </c>
      <c r="F2525" s="115">
        <v>711.15</v>
      </c>
      <c r="G2525">
        <v>17848</v>
      </c>
      <c r="H2525" s="115"/>
      <c r="I2525" s="115"/>
      <c r="L2525" s="169">
        <v>45721</v>
      </c>
      <c r="M2525" s="115">
        <v>643.65</v>
      </c>
      <c r="N2525" s="115">
        <v>646.70000000000005</v>
      </c>
      <c r="O2525" s="115">
        <v>609.15</v>
      </c>
      <c r="P2525" s="115">
        <v>615.95000000000005</v>
      </c>
      <c r="Q2525" s="115">
        <v>643.65</v>
      </c>
      <c r="R2525">
        <v>334145</v>
      </c>
    </row>
    <row r="2526" spans="1:18" x14ac:dyDescent="0.25">
      <c r="A2526" s="169">
        <v>45733</v>
      </c>
      <c r="B2526" s="115">
        <v>726</v>
      </c>
      <c r="C2526" s="115">
        <v>709.55</v>
      </c>
      <c r="D2526" s="115">
        <v>698.65</v>
      </c>
      <c r="E2526" s="115">
        <v>726</v>
      </c>
      <c r="F2526" s="115">
        <v>709.55</v>
      </c>
      <c r="G2526">
        <v>15519</v>
      </c>
      <c r="H2526" s="115"/>
      <c r="I2526" s="115"/>
      <c r="L2526" s="169">
        <v>45722</v>
      </c>
      <c r="M2526" s="115">
        <v>645.65</v>
      </c>
      <c r="N2526" s="115">
        <v>654.79999999999995</v>
      </c>
      <c r="O2526" s="115">
        <v>639.4</v>
      </c>
      <c r="P2526" s="115">
        <v>640.6</v>
      </c>
      <c r="Q2526" s="115">
        <v>645.65</v>
      </c>
      <c r="R2526">
        <v>207000</v>
      </c>
    </row>
    <row r="2527" spans="1:18" x14ac:dyDescent="0.25">
      <c r="A2527" s="169">
        <v>45734</v>
      </c>
      <c r="B2527" s="115">
        <v>729.7</v>
      </c>
      <c r="C2527" s="115">
        <v>722.55</v>
      </c>
      <c r="D2527" s="115">
        <v>708.9</v>
      </c>
      <c r="E2527" s="115">
        <v>714.9</v>
      </c>
      <c r="F2527" s="115">
        <v>722.55</v>
      </c>
      <c r="G2527">
        <v>22992</v>
      </c>
      <c r="H2527" s="115"/>
      <c r="I2527" s="115"/>
      <c r="L2527" s="169">
        <v>45723</v>
      </c>
      <c r="M2527" s="115">
        <v>685.9</v>
      </c>
      <c r="N2527" s="115">
        <v>692</v>
      </c>
      <c r="O2527" s="115">
        <v>640.25</v>
      </c>
      <c r="P2527" s="115">
        <v>646</v>
      </c>
      <c r="Q2527" s="115">
        <v>685.9</v>
      </c>
      <c r="R2527">
        <v>641432</v>
      </c>
    </row>
    <row r="2528" spans="1:18" x14ac:dyDescent="0.25">
      <c r="A2528" s="169">
        <v>45735</v>
      </c>
      <c r="B2528" s="115">
        <v>725.95</v>
      </c>
      <c r="C2528" s="115">
        <v>721.15</v>
      </c>
      <c r="D2528" s="115">
        <v>715</v>
      </c>
      <c r="E2528" s="115">
        <v>719.9</v>
      </c>
      <c r="F2528" s="115">
        <v>721.15</v>
      </c>
      <c r="G2528">
        <v>9552</v>
      </c>
      <c r="H2528" s="115"/>
      <c r="I2528" s="115"/>
      <c r="L2528" s="169">
        <v>45726</v>
      </c>
      <c r="M2528" s="115">
        <v>666.8</v>
      </c>
      <c r="N2528" s="115">
        <v>698.5</v>
      </c>
      <c r="O2528" s="115">
        <v>656.15</v>
      </c>
      <c r="P2528" s="115">
        <v>691.3</v>
      </c>
      <c r="Q2528" s="115">
        <v>666.8</v>
      </c>
      <c r="R2528">
        <v>271140</v>
      </c>
    </row>
    <row r="2529" spans="1:18" x14ac:dyDescent="0.25">
      <c r="A2529" s="169">
        <v>45736</v>
      </c>
      <c r="B2529" s="115">
        <v>734.95</v>
      </c>
      <c r="C2529" s="115">
        <v>723.7</v>
      </c>
      <c r="D2529" s="115">
        <v>713.45</v>
      </c>
      <c r="E2529" s="115">
        <v>734.95</v>
      </c>
      <c r="F2529" s="115">
        <v>723.7</v>
      </c>
      <c r="G2529">
        <v>12600</v>
      </c>
      <c r="H2529" s="115"/>
      <c r="I2529" s="115"/>
      <c r="L2529" s="169">
        <v>45727</v>
      </c>
      <c r="M2529" s="115">
        <v>691.15</v>
      </c>
      <c r="N2529" s="115">
        <v>695.9</v>
      </c>
      <c r="O2529" s="115">
        <v>643.95000000000005</v>
      </c>
      <c r="P2529" s="115">
        <v>655</v>
      </c>
      <c r="Q2529" s="115">
        <v>691.15</v>
      </c>
      <c r="R2529">
        <v>322474</v>
      </c>
    </row>
    <row r="2530" spans="1:18" x14ac:dyDescent="0.25">
      <c r="A2530" s="169">
        <v>45737</v>
      </c>
      <c r="B2530" s="115">
        <v>737.75</v>
      </c>
      <c r="C2530" s="115">
        <v>721.25</v>
      </c>
      <c r="D2530" s="115">
        <v>717</v>
      </c>
      <c r="E2530" s="115">
        <v>737.75</v>
      </c>
      <c r="F2530" s="115">
        <v>721.25</v>
      </c>
      <c r="G2530">
        <v>9076</v>
      </c>
      <c r="H2530" s="115"/>
      <c r="I2530" s="115"/>
      <c r="L2530" s="169">
        <v>45728</v>
      </c>
      <c r="M2530" s="115">
        <v>709.1</v>
      </c>
      <c r="N2530" s="115">
        <v>713.95</v>
      </c>
      <c r="O2530" s="115">
        <v>681.55</v>
      </c>
      <c r="P2530" s="115">
        <v>692.15</v>
      </c>
      <c r="Q2530" s="115">
        <v>709.1</v>
      </c>
      <c r="R2530">
        <v>330982</v>
      </c>
    </row>
    <row r="2531" spans="1:18" x14ac:dyDescent="0.25">
      <c r="A2531" s="169">
        <v>45740</v>
      </c>
      <c r="B2531" s="115">
        <v>733.45</v>
      </c>
      <c r="C2531" s="115">
        <v>722.25</v>
      </c>
      <c r="D2531" s="115">
        <v>714.85</v>
      </c>
      <c r="E2531" s="115">
        <v>721.25</v>
      </c>
      <c r="F2531" s="115">
        <v>722.25</v>
      </c>
      <c r="G2531">
        <v>9471</v>
      </c>
      <c r="H2531" s="115"/>
      <c r="I2531" s="115"/>
      <c r="L2531" s="169">
        <v>45729</v>
      </c>
      <c r="M2531" s="115">
        <v>712.3</v>
      </c>
      <c r="N2531" s="115">
        <v>727.8</v>
      </c>
      <c r="O2531" s="115">
        <v>701.5</v>
      </c>
      <c r="P2531" s="115">
        <v>710</v>
      </c>
      <c r="Q2531" s="115">
        <v>712.3</v>
      </c>
      <c r="R2531">
        <v>247659</v>
      </c>
    </row>
    <row r="2532" spans="1:18" x14ac:dyDescent="0.25">
      <c r="A2532" s="169">
        <v>45741</v>
      </c>
      <c r="B2532" s="115">
        <v>799.55</v>
      </c>
      <c r="C2532" s="115">
        <v>734.35</v>
      </c>
      <c r="D2532" s="115">
        <v>720</v>
      </c>
      <c r="E2532" s="115">
        <v>732</v>
      </c>
      <c r="F2532" s="115">
        <v>734.35</v>
      </c>
      <c r="G2532">
        <v>85213</v>
      </c>
      <c r="H2532" s="115"/>
      <c r="I2532" s="115"/>
      <c r="L2532" s="169">
        <v>45733</v>
      </c>
      <c r="M2532" s="115">
        <v>710.65</v>
      </c>
      <c r="N2532" s="115">
        <v>717</v>
      </c>
      <c r="O2532" s="115">
        <v>699</v>
      </c>
      <c r="P2532" s="115">
        <v>712.3</v>
      </c>
      <c r="Q2532" s="115">
        <v>710.65</v>
      </c>
      <c r="R2532">
        <v>185040</v>
      </c>
    </row>
    <row r="2533" spans="1:18" x14ac:dyDescent="0.25">
      <c r="A2533" s="169">
        <v>45742</v>
      </c>
      <c r="B2533" s="115">
        <v>730</v>
      </c>
      <c r="C2533" s="115">
        <v>719.5</v>
      </c>
      <c r="D2533" s="115">
        <v>706</v>
      </c>
      <c r="E2533" s="115">
        <v>730</v>
      </c>
      <c r="F2533" s="115">
        <v>719.5</v>
      </c>
      <c r="G2533">
        <v>13784</v>
      </c>
      <c r="H2533" s="115"/>
      <c r="I2533" s="115"/>
      <c r="L2533" s="169">
        <v>45734</v>
      </c>
      <c r="M2533" s="115">
        <v>719.6</v>
      </c>
      <c r="N2533" s="115">
        <v>729</v>
      </c>
      <c r="O2533" s="115">
        <v>708.55</v>
      </c>
      <c r="P2533" s="115">
        <v>712.85</v>
      </c>
      <c r="Q2533" s="115">
        <v>719.6</v>
      </c>
      <c r="R2533">
        <v>418147</v>
      </c>
    </row>
    <row r="2534" spans="1:18" x14ac:dyDescent="0.25">
      <c r="A2534" s="169">
        <v>45743</v>
      </c>
      <c r="B2534" s="115">
        <v>755.95</v>
      </c>
      <c r="C2534" s="115">
        <v>722.35</v>
      </c>
      <c r="D2534" s="115">
        <v>700.75</v>
      </c>
      <c r="E2534" s="115">
        <v>705.3</v>
      </c>
      <c r="F2534" s="115">
        <v>722.35</v>
      </c>
      <c r="G2534">
        <v>44884</v>
      </c>
      <c r="H2534" s="115"/>
      <c r="I2534" s="115"/>
      <c r="L2534" s="169">
        <v>45735</v>
      </c>
      <c r="M2534" s="115">
        <v>720.25</v>
      </c>
      <c r="N2534" s="115">
        <v>724.85</v>
      </c>
      <c r="O2534" s="115">
        <v>714.4</v>
      </c>
      <c r="P2534" s="115">
        <v>720</v>
      </c>
      <c r="Q2534" s="115">
        <v>720.25</v>
      </c>
      <c r="R2534">
        <v>93747</v>
      </c>
    </row>
    <row r="2535" spans="1:18" x14ac:dyDescent="0.25">
      <c r="A2535" s="169">
        <v>45744</v>
      </c>
      <c r="B2535" s="115">
        <v>727.9</v>
      </c>
      <c r="C2535" s="115">
        <v>712.7</v>
      </c>
      <c r="D2535" s="115">
        <v>697</v>
      </c>
      <c r="E2535" s="115">
        <v>722.35</v>
      </c>
      <c r="F2535" s="115">
        <v>712.7</v>
      </c>
      <c r="G2535">
        <v>14014</v>
      </c>
      <c r="H2535" s="115"/>
      <c r="I2535" s="115"/>
      <c r="L2535" s="169">
        <v>45736</v>
      </c>
      <c r="M2535" s="115">
        <v>723.6</v>
      </c>
      <c r="N2535" s="115">
        <v>732.05</v>
      </c>
      <c r="O2535" s="115">
        <v>712.4</v>
      </c>
      <c r="P2535" s="115">
        <v>725</v>
      </c>
      <c r="Q2535" s="115">
        <v>723.6</v>
      </c>
      <c r="R2535">
        <v>132875</v>
      </c>
    </row>
    <row r="2536" spans="1:18" x14ac:dyDescent="0.25">
      <c r="A2536" s="169">
        <v>45748</v>
      </c>
      <c r="B2536" s="115">
        <v>719.45</v>
      </c>
      <c r="C2536" s="115">
        <v>697</v>
      </c>
      <c r="D2536" s="115">
        <v>692.7</v>
      </c>
      <c r="E2536" s="115">
        <v>708.25</v>
      </c>
      <c r="F2536" s="115">
        <v>697</v>
      </c>
      <c r="G2536">
        <v>9513</v>
      </c>
      <c r="H2536" s="115"/>
      <c r="I2536" s="115"/>
      <c r="L2536" s="169">
        <v>45737</v>
      </c>
      <c r="M2536" s="115">
        <v>720.5</v>
      </c>
      <c r="N2536" s="115">
        <v>729</v>
      </c>
      <c r="O2536" s="115">
        <v>717.05</v>
      </c>
      <c r="P2536" s="115">
        <v>726.35</v>
      </c>
      <c r="Q2536" s="115">
        <v>720.5</v>
      </c>
      <c r="R2536">
        <v>82007</v>
      </c>
    </row>
    <row r="2537" spans="1:18" x14ac:dyDescent="0.25">
      <c r="A2537" s="169">
        <v>45749</v>
      </c>
      <c r="B2537" s="115">
        <v>702.6</v>
      </c>
      <c r="C2537" s="115">
        <v>697.55</v>
      </c>
      <c r="D2537" s="115">
        <v>683.6</v>
      </c>
      <c r="E2537" s="115">
        <v>698.85</v>
      </c>
      <c r="F2537" s="115">
        <v>697.55</v>
      </c>
      <c r="G2537">
        <v>5339</v>
      </c>
      <c r="H2537" s="115"/>
      <c r="I2537" s="115"/>
      <c r="L2537" s="169">
        <v>45740</v>
      </c>
      <c r="M2537" s="115">
        <v>722.2</v>
      </c>
      <c r="N2537" s="115">
        <v>733.7</v>
      </c>
      <c r="O2537" s="115">
        <v>717.6</v>
      </c>
      <c r="P2537" s="115">
        <v>720.65</v>
      </c>
      <c r="Q2537" s="115">
        <v>722.2</v>
      </c>
      <c r="R2537">
        <v>168078</v>
      </c>
    </row>
    <row r="2538" spans="1:18" x14ac:dyDescent="0.25">
      <c r="A2538" s="169">
        <v>45750</v>
      </c>
      <c r="B2538" s="115">
        <v>719.95</v>
      </c>
      <c r="C2538" s="115">
        <v>703.1</v>
      </c>
      <c r="D2538" s="115">
        <v>691.7</v>
      </c>
      <c r="E2538" s="115">
        <v>719.95</v>
      </c>
      <c r="F2538" s="115">
        <v>703.1</v>
      </c>
      <c r="G2538">
        <v>4606</v>
      </c>
      <c r="H2538" s="115"/>
      <c r="I2538" s="115"/>
      <c r="L2538" s="169">
        <v>45741</v>
      </c>
      <c r="M2538" s="115">
        <v>734.95</v>
      </c>
      <c r="N2538" s="115">
        <v>796.95</v>
      </c>
      <c r="O2538" s="115">
        <v>719.4</v>
      </c>
      <c r="P2538" s="115">
        <v>734</v>
      </c>
      <c r="Q2538" s="115">
        <v>734.95</v>
      </c>
      <c r="R2538">
        <v>2454949</v>
      </c>
    </row>
    <row r="2539" spans="1:18" x14ac:dyDescent="0.25">
      <c r="A2539" s="169">
        <v>45751</v>
      </c>
      <c r="B2539" s="115">
        <v>722.15</v>
      </c>
      <c r="C2539" s="115">
        <v>688.6</v>
      </c>
      <c r="D2539" s="115">
        <v>680.8</v>
      </c>
      <c r="E2539" s="115">
        <v>722.15</v>
      </c>
      <c r="F2539" s="115">
        <v>688.6</v>
      </c>
      <c r="G2539">
        <v>9359</v>
      </c>
      <c r="H2539" s="115"/>
      <c r="I2539" s="115"/>
      <c r="L2539" s="169">
        <v>45742</v>
      </c>
      <c r="M2539" s="115">
        <v>719.65</v>
      </c>
      <c r="N2539" s="115">
        <v>730</v>
      </c>
      <c r="O2539" s="115">
        <v>706</v>
      </c>
      <c r="P2539" s="115">
        <v>729.5</v>
      </c>
      <c r="Q2539" s="115">
        <v>719.65</v>
      </c>
      <c r="R2539">
        <v>292856</v>
      </c>
    </row>
    <row r="2540" spans="1:18" x14ac:dyDescent="0.25">
      <c r="A2540" s="169">
        <v>45754</v>
      </c>
      <c r="B2540" s="115">
        <v>684.95</v>
      </c>
      <c r="C2540" s="115">
        <v>667.9</v>
      </c>
      <c r="D2540" s="115">
        <v>648</v>
      </c>
      <c r="E2540" s="115">
        <v>684.95</v>
      </c>
      <c r="F2540" s="115">
        <v>667.9</v>
      </c>
      <c r="G2540">
        <v>10182</v>
      </c>
      <c r="H2540" s="115"/>
      <c r="I2540" s="115"/>
      <c r="L2540" s="169">
        <v>45743</v>
      </c>
      <c r="M2540" s="115">
        <v>722.8</v>
      </c>
      <c r="N2540" s="115">
        <v>759</v>
      </c>
      <c r="O2540" s="115">
        <v>700.35</v>
      </c>
      <c r="P2540" s="115">
        <v>719.65</v>
      </c>
      <c r="Q2540" s="115">
        <v>722.8</v>
      </c>
      <c r="R2540">
        <v>1259896</v>
      </c>
    </row>
    <row r="2541" spans="1:18" x14ac:dyDescent="0.25">
      <c r="A2541" s="169">
        <v>45755</v>
      </c>
      <c r="B2541" s="115">
        <v>707.2</v>
      </c>
      <c r="C2541" s="115">
        <v>684.4</v>
      </c>
      <c r="D2541" s="115">
        <v>676</v>
      </c>
      <c r="E2541" s="115">
        <v>707.2</v>
      </c>
      <c r="F2541" s="115">
        <v>684.4</v>
      </c>
      <c r="G2541">
        <v>4750</v>
      </c>
      <c r="H2541" s="115"/>
      <c r="I2541" s="115"/>
      <c r="L2541" s="169">
        <v>45744</v>
      </c>
      <c r="M2541" s="115">
        <v>713.8</v>
      </c>
      <c r="N2541" s="115">
        <v>729.75</v>
      </c>
      <c r="O2541" s="115">
        <v>696.65</v>
      </c>
      <c r="P2541" s="115">
        <v>722.8</v>
      </c>
      <c r="Q2541" s="115">
        <v>713.8</v>
      </c>
      <c r="R2541">
        <v>405062</v>
      </c>
    </row>
    <row r="2542" spans="1:18" x14ac:dyDescent="0.25">
      <c r="A2542" s="169">
        <v>45756</v>
      </c>
      <c r="B2542" s="115">
        <v>721.05</v>
      </c>
      <c r="C2542" s="115">
        <v>704</v>
      </c>
      <c r="D2542" s="115">
        <v>673</v>
      </c>
      <c r="E2542" s="115">
        <v>673.2</v>
      </c>
      <c r="F2542" s="115">
        <v>704</v>
      </c>
      <c r="G2542">
        <v>14709</v>
      </c>
      <c r="H2542" s="115"/>
      <c r="I2542" s="115"/>
      <c r="L2542" s="169">
        <v>45748</v>
      </c>
      <c r="M2542" s="115">
        <v>697.55</v>
      </c>
      <c r="N2542" s="115">
        <v>721.2</v>
      </c>
      <c r="O2542" s="115">
        <v>691.55</v>
      </c>
      <c r="P2542" s="115">
        <v>715</v>
      </c>
      <c r="Q2542" s="115">
        <v>697.55</v>
      </c>
      <c r="R2542">
        <v>160888</v>
      </c>
    </row>
    <row r="2543" spans="1:18" x14ac:dyDescent="0.25">
      <c r="A2543" s="169">
        <v>45758</v>
      </c>
      <c r="B2543" s="115">
        <v>727.9</v>
      </c>
      <c r="C2543" s="115">
        <v>717.75</v>
      </c>
      <c r="D2543" s="115">
        <v>703.5</v>
      </c>
      <c r="E2543" s="115">
        <v>718.1</v>
      </c>
      <c r="F2543" s="115">
        <v>717.75</v>
      </c>
      <c r="G2543">
        <v>7736</v>
      </c>
      <c r="H2543" s="115"/>
      <c r="I2543" s="115"/>
      <c r="L2543" s="169">
        <v>45749</v>
      </c>
      <c r="M2543" s="115">
        <v>697.8</v>
      </c>
      <c r="N2543" s="115">
        <v>708</v>
      </c>
      <c r="O2543" s="115">
        <v>683.4</v>
      </c>
      <c r="P2543" s="115">
        <v>708</v>
      </c>
      <c r="Q2543" s="115">
        <v>697.8</v>
      </c>
      <c r="R2543">
        <v>106538</v>
      </c>
    </row>
    <row r="2544" spans="1:18" x14ac:dyDescent="0.25">
      <c r="A2544" s="169">
        <v>45762</v>
      </c>
      <c r="B2544" s="115">
        <v>737.35</v>
      </c>
      <c r="C2544" s="115">
        <v>729.4</v>
      </c>
      <c r="D2544" s="115">
        <v>725</v>
      </c>
      <c r="E2544" s="115">
        <v>733.15</v>
      </c>
      <c r="F2544" s="115">
        <v>729.4</v>
      </c>
      <c r="G2544">
        <v>3960</v>
      </c>
      <c r="H2544" s="115"/>
      <c r="I2544" s="115"/>
      <c r="L2544" s="169">
        <v>45750</v>
      </c>
      <c r="M2544" s="115">
        <v>703.7</v>
      </c>
      <c r="N2544" s="115">
        <v>705</v>
      </c>
      <c r="O2544" s="115">
        <v>691</v>
      </c>
      <c r="P2544" s="115">
        <v>704.1</v>
      </c>
      <c r="Q2544" s="115">
        <v>703.7</v>
      </c>
      <c r="R2544">
        <v>76673</v>
      </c>
    </row>
    <row r="2545" spans="1:18" x14ac:dyDescent="0.25">
      <c r="A2545" s="169">
        <v>45763</v>
      </c>
      <c r="B2545" s="115">
        <v>739.95</v>
      </c>
      <c r="C2545" s="115">
        <v>736.15</v>
      </c>
      <c r="D2545" s="115">
        <v>730.5</v>
      </c>
      <c r="E2545" s="115">
        <v>737.15</v>
      </c>
      <c r="F2545" s="115">
        <v>736.15</v>
      </c>
      <c r="G2545">
        <v>3234</v>
      </c>
      <c r="H2545" s="115"/>
      <c r="I2545" s="115"/>
      <c r="L2545" s="169">
        <v>45751</v>
      </c>
      <c r="M2545" s="115">
        <v>688.65</v>
      </c>
      <c r="N2545" s="115">
        <v>703</v>
      </c>
      <c r="O2545" s="115">
        <v>680.2</v>
      </c>
      <c r="P2545" s="115">
        <v>703</v>
      </c>
      <c r="Q2545" s="115">
        <v>688.65</v>
      </c>
      <c r="R2545">
        <v>131244</v>
      </c>
    </row>
    <row r="2546" spans="1:18" x14ac:dyDescent="0.25">
      <c r="A2546" s="169">
        <v>45764</v>
      </c>
      <c r="B2546" s="115">
        <v>741.1</v>
      </c>
      <c r="C2546" s="115">
        <v>726.85</v>
      </c>
      <c r="D2546" s="115">
        <v>725.2</v>
      </c>
      <c r="E2546" s="115">
        <v>736.5</v>
      </c>
      <c r="F2546" s="115">
        <v>726.85</v>
      </c>
      <c r="G2546">
        <v>2459</v>
      </c>
      <c r="H2546" s="115"/>
      <c r="I2546" s="115"/>
      <c r="L2546" s="169">
        <v>45754</v>
      </c>
      <c r="M2546" s="115">
        <v>668.35</v>
      </c>
      <c r="N2546" s="115">
        <v>675</v>
      </c>
      <c r="O2546" s="115">
        <v>647.79999999999995</v>
      </c>
      <c r="P2546" s="115">
        <v>666</v>
      </c>
      <c r="Q2546" s="115">
        <v>668.35</v>
      </c>
      <c r="R2546">
        <v>166433</v>
      </c>
    </row>
    <row r="2547" spans="1:18" x14ac:dyDescent="0.25">
      <c r="A2547" s="169">
        <v>45768</v>
      </c>
      <c r="B2547" s="115">
        <v>743.75</v>
      </c>
      <c r="C2547" s="115">
        <v>739.35</v>
      </c>
      <c r="D2547" s="115">
        <v>724.85</v>
      </c>
      <c r="E2547" s="115">
        <v>727.15</v>
      </c>
      <c r="F2547" s="115">
        <v>739.35</v>
      </c>
      <c r="G2547">
        <v>3055</v>
      </c>
      <c r="H2547" s="115"/>
      <c r="I2547" s="115"/>
      <c r="L2547" s="169">
        <v>45755</v>
      </c>
      <c r="M2547" s="115">
        <v>684.2</v>
      </c>
      <c r="N2547" s="115">
        <v>691</v>
      </c>
      <c r="O2547" s="115">
        <v>675.6</v>
      </c>
      <c r="P2547" s="115">
        <v>677</v>
      </c>
      <c r="Q2547" s="115">
        <v>684.2</v>
      </c>
      <c r="R2547">
        <v>72181</v>
      </c>
    </row>
    <row r="2548" spans="1:18" x14ac:dyDescent="0.25">
      <c r="A2548" s="169">
        <v>45769</v>
      </c>
      <c r="B2548" s="115">
        <v>753.05</v>
      </c>
      <c r="C2548" s="115">
        <v>751.6</v>
      </c>
      <c r="D2548" s="115">
        <v>735.9</v>
      </c>
      <c r="E2548" s="115">
        <v>752.6</v>
      </c>
      <c r="F2548" s="115">
        <v>751.6</v>
      </c>
      <c r="G2548">
        <v>2811</v>
      </c>
      <c r="H2548" s="115"/>
      <c r="I2548" s="115"/>
      <c r="L2548" s="169">
        <v>45756</v>
      </c>
      <c r="M2548" s="115">
        <v>705.7</v>
      </c>
      <c r="N2548" s="115">
        <v>722.1</v>
      </c>
      <c r="O2548" s="115">
        <v>672.65</v>
      </c>
      <c r="P2548" s="115">
        <v>680</v>
      </c>
      <c r="Q2548" s="115">
        <v>705.7</v>
      </c>
      <c r="R2548">
        <v>377952</v>
      </c>
    </row>
    <row r="2549" spans="1:18" x14ac:dyDescent="0.25">
      <c r="A2549" s="169">
        <v>45770</v>
      </c>
      <c r="B2549" s="115">
        <v>764.05</v>
      </c>
      <c r="C2549" s="115">
        <v>761.8</v>
      </c>
      <c r="D2549" s="115">
        <v>740</v>
      </c>
      <c r="E2549" s="115">
        <v>751.9</v>
      </c>
      <c r="F2549" s="115">
        <v>761.8</v>
      </c>
      <c r="G2549">
        <v>3282</v>
      </c>
      <c r="H2549" s="115"/>
      <c r="I2549" s="115"/>
      <c r="L2549" s="169">
        <v>45758</v>
      </c>
      <c r="M2549" s="115">
        <v>718.75</v>
      </c>
      <c r="N2549" s="115">
        <v>724.5</v>
      </c>
      <c r="O2549" s="115">
        <v>703.2</v>
      </c>
      <c r="P2549" s="115">
        <v>717</v>
      </c>
      <c r="Q2549" s="115">
        <v>718.75</v>
      </c>
      <c r="R2549">
        <v>290397</v>
      </c>
    </row>
    <row r="2550" spans="1:18" x14ac:dyDescent="0.25">
      <c r="A2550" s="169">
        <v>45771</v>
      </c>
      <c r="B2550" s="115">
        <v>774.75</v>
      </c>
      <c r="C2550" s="115">
        <v>748.1</v>
      </c>
      <c r="D2550" s="115">
        <v>743.85</v>
      </c>
      <c r="E2550" s="115">
        <v>774.75</v>
      </c>
      <c r="F2550" s="115">
        <v>748.1</v>
      </c>
      <c r="G2550">
        <v>16639</v>
      </c>
      <c r="H2550" s="115"/>
      <c r="I2550" s="115"/>
      <c r="L2550" s="169">
        <v>45762</v>
      </c>
      <c r="M2550" s="115">
        <v>729.45</v>
      </c>
      <c r="N2550" s="115">
        <v>738.2</v>
      </c>
      <c r="O2550" s="115">
        <v>720</v>
      </c>
      <c r="P2550" s="115">
        <v>724.9</v>
      </c>
      <c r="Q2550" s="115">
        <v>729.45</v>
      </c>
      <c r="R2550">
        <v>82992</v>
      </c>
    </row>
    <row r="2551" spans="1:18" x14ac:dyDescent="0.25">
      <c r="A2551" s="169">
        <v>45772</v>
      </c>
      <c r="B2551" s="115">
        <v>759</v>
      </c>
      <c r="C2551" s="115">
        <v>750.25</v>
      </c>
      <c r="D2551" s="115">
        <v>736.9</v>
      </c>
      <c r="E2551" s="115">
        <v>748.05</v>
      </c>
      <c r="F2551" s="115">
        <v>750.25</v>
      </c>
      <c r="G2551">
        <v>3139</v>
      </c>
      <c r="H2551" s="115"/>
      <c r="I2551" s="115"/>
      <c r="L2551" s="169">
        <v>45763</v>
      </c>
      <c r="M2551" s="115">
        <v>736.45</v>
      </c>
      <c r="N2551" s="115">
        <v>741.25</v>
      </c>
      <c r="O2551" s="115">
        <v>729.05</v>
      </c>
      <c r="P2551" s="115">
        <v>736</v>
      </c>
      <c r="Q2551" s="115">
        <v>736.45</v>
      </c>
      <c r="R2551">
        <v>76680</v>
      </c>
    </row>
    <row r="2552" spans="1:18" x14ac:dyDescent="0.25">
      <c r="A2552" s="169">
        <v>45775</v>
      </c>
      <c r="B2552" s="115">
        <v>761.1</v>
      </c>
      <c r="C2552" s="115">
        <v>749.25</v>
      </c>
      <c r="D2552" s="115">
        <v>740.05</v>
      </c>
      <c r="E2552" s="115">
        <v>740.05</v>
      </c>
      <c r="F2552" s="115">
        <v>749.25</v>
      </c>
      <c r="G2552">
        <v>5604</v>
      </c>
      <c r="H2552" s="115"/>
      <c r="I2552" s="115"/>
      <c r="L2552" s="169">
        <v>45764</v>
      </c>
      <c r="M2552" s="115">
        <v>729</v>
      </c>
      <c r="N2552" s="115">
        <v>743</v>
      </c>
      <c r="O2552" s="115">
        <v>725.05</v>
      </c>
      <c r="P2552" s="115">
        <v>743</v>
      </c>
      <c r="Q2552" s="115">
        <v>729</v>
      </c>
      <c r="R2552">
        <v>61174</v>
      </c>
    </row>
    <row r="2553" spans="1:18" x14ac:dyDescent="0.25">
      <c r="A2553" s="169">
        <v>45776</v>
      </c>
      <c r="B2553" s="115">
        <v>763.4</v>
      </c>
      <c r="C2553" s="115">
        <v>747.35</v>
      </c>
      <c r="D2553" s="115">
        <v>745.95</v>
      </c>
      <c r="E2553" s="115">
        <v>752.15</v>
      </c>
      <c r="F2553" s="115">
        <v>747.35</v>
      </c>
      <c r="G2553">
        <v>3134</v>
      </c>
      <c r="H2553" s="115"/>
      <c r="I2553" s="115"/>
      <c r="L2553" s="169">
        <v>45768</v>
      </c>
      <c r="M2553" s="115">
        <v>739.75</v>
      </c>
      <c r="N2553" s="115">
        <v>744.15</v>
      </c>
      <c r="O2553" s="115">
        <v>723</v>
      </c>
      <c r="P2553" s="115">
        <v>729.45</v>
      </c>
      <c r="Q2553" s="115">
        <v>739.75</v>
      </c>
      <c r="R2553">
        <v>102585</v>
      </c>
    </row>
    <row r="2554" spans="1:18" x14ac:dyDescent="0.25">
      <c r="A2554" s="169">
        <v>45777</v>
      </c>
      <c r="B2554" s="115">
        <v>746.1</v>
      </c>
      <c r="C2554" s="115">
        <v>732.35</v>
      </c>
      <c r="D2554" s="115">
        <v>716.5</v>
      </c>
      <c r="E2554" s="115">
        <v>740</v>
      </c>
      <c r="F2554" s="115">
        <v>732.35</v>
      </c>
      <c r="G2554">
        <v>5859</v>
      </c>
      <c r="H2554" s="115"/>
      <c r="I2554" s="115"/>
      <c r="L2554" s="169">
        <v>45769</v>
      </c>
      <c r="M2554" s="115">
        <v>752.15</v>
      </c>
      <c r="N2554" s="115">
        <v>753.85</v>
      </c>
      <c r="O2554" s="115">
        <v>734.1</v>
      </c>
      <c r="P2554" s="115">
        <v>746.2</v>
      </c>
      <c r="Q2554" s="115">
        <v>752.15</v>
      </c>
      <c r="R2554">
        <v>74019</v>
      </c>
    </row>
    <row r="2555" spans="1:18" x14ac:dyDescent="0.25">
      <c r="A2555" s="169">
        <v>45779</v>
      </c>
      <c r="B2555" s="115">
        <v>725.85</v>
      </c>
      <c r="C2555" s="115">
        <v>719.8</v>
      </c>
      <c r="D2555" s="115">
        <v>706.1</v>
      </c>
      <c r="E2555" s="115">
        <v>720.2</v>
      </c>
      <c r="F2555" s="115">
        <v>719.8</v>
      </c>
      <c r="G2555">
        <v>3034</v>
      </c>
      <c r="H2555" s="115"/>
      <c r="I2555" s="115"/>
      <c r="L2555" s="169">
        <v>45770</v>
      </c>
      <c r="M2555" s="115">
        <v>760.45</v>
      </c>
      <c r="N2555" s="115">
        <v>763.5</v>
      </c>
      <c r="O2555" s="115">
        <v>739</v>
      </c>
      <c r="P2555" s="115">
        <v>754</v>
      </c>
      <c r="Q2555" s="115">
        <v>760.45</v>
      </c>
      <c r="R2555">
        <v>103514</v>
      </c>
    </row>
    <row r="2556" spans="1:18" x14ac:dyDescent="0.25">
      <c r="A2556" s="169">
        <v>45782</v>
      </c>
      <c r="B2556" s="115">
        <v>730.7</v>
      </c>
      <c r="C2556" s="115">
        <v>724.8</v>
      </c>
      <c r="D2556" s="115">
        <v>695.4</v>
      </c>
      <c r="E2556" s="115">
        <v>695.4</v>
      </c>
      <c r="F2556" s="115">
        <v>724.8</v>
      </c>
      <c r="G2556">
        <v>6919</v>
      </c>
      <c r="H2556" s="115"/>
      <c r="I2556" s="115"/>
      <c r="L2556" s="169">
        <v>45771</v>
      </c>
      <c r="M2556" s="115">
        <v>754.15</v>
      </c>
      <c r="N2556" s="115">
        <v>773.7</v>
      </c>
      <c r="O2556" s="115">
        <v>746.35</v>
      </c>
      <c r="P2556" s="115">
        <v>765</v>
      </c>
      <c r="Q2556" s="115">
        <v>754.15</v>
      </c>
      <c r="R2556">
        <v>126703</v>
      </c>
    </row>
    <row r="2557" spans="1:18" x14ac:dyDescent="0.25">
      <c r="A2557" s="169">
        <v>45783</v>
      </c>
      <c r="B2557" s="115">
        <v>727.95</v>
      </c>
      <c r="C2557" s="115">
        <v>725</v>
      </c>
      <c r="D2557" s="115">
        <v>718.15</v>
      </c>
      <c r="E2557" s="115">
        <v>725</v>
      </c>
      <c r="F2557" s="115">
        <v>725</v>
      </c>
      <c r="G2557">
        <v>4196</v>
      </c>
      <c r="H2557" s="115"/>
      <c r="I2557" s="115"/>
      <c r="L2557" s="169">
        <v>45772</v>
      </c>
      <c r="M2557" s="115">
        <v>750</v>
      </c>
      <c r="N2557" s="115">
        <v>764</v>
      </c>
      <c r="O2557" s="115">
        <v>736.05</v>
      </c>
      <c r="P2557" s="115">
        <v>740.2</v>
      </c>
      <c r="Q2557" s="115">
        <v>750</v>
      </c>
      <c r="R2557">
        <v>119554</v>
      </c>
    </row>
    <row r="2558" spans="1:18" x14ac:dyDescent="0.25">
      <c r="A2558" s="169">
        <v>45784</v>
      </c>
      <c r="B2558" s="115">
        <v>738.65</v>
      </c>
      <c r="C2558" s="115">
        <v>731.6</v>
      </c>
      <c r="D2558" s="115">
        <v>700.3</v>
      </c>
      <c r="E2558" s="115">
        <v>700.3</v>
      </c>
      <c r="F2558" s="115">
        <v>731.6</v>
      </c>
      <c r="G2558">
        <v>4033</v>
      </c>
      <c r="H2558" s="115"/>
      <c r="I2558" s="115"/>
      <c r="L2558" s="169">
        <v>45775</v>
      </c>
      <c r="M2558" s="115">
        <v>750.4</v>
      </c>
      <c r="N2558" s="115">
        <v>761.8</v>
      </c>
      <c r="O2558" s="115">
        <v>742.3</v>
      </c>
      <c r="P2558" s="115">
        <v>754.7</v>
      </c>
      <c r="Q2558" s="115">
        <v>750.4</v>
      </c>
      <c r="R2558">
        <v>58448</v>
      </c>
    </row>
    <row r="2559" spans="1:18" x14ac:dyDescent="0.25">
      <c r="A2559" s="169">
        <v>45785</v>
      </c>
      <c r="B2559" s="115">
        <v>745.4</v>
      </c>
      <c r="C2559" s="115">
        <v>734.4</v>
      </c>
      <c r="D2559" s="115">
        <v>726.6</v>
      </c>
      <c r="E2559" s="115">
        <v>726.65</v>
      </c>
      <c r="F2559" s="115">
        <v>734.4</v>
      </c>
      <c r="G2559">
        <v>2192</v>
      </c>
      <c r="H2559" s="115"/>
      <c r="I2559" s="115"/>
      <c r="L2559" s="169">
        <v>45776</v>
      </c>
      <c r="M2559" s="115">
        <v>747.6</v>
      </c>
      <c r="N2559" s="115">
        <v>763.9</v>
      </c>
      <c r="O2559" s="115">
        <v>745.1</v>
      </c>
      <c r="P2559" s="115">
        <v>756.05</v>
      </c>
      <c r="Q2559" s="115">
        <v>747.6</v>
      </c>
      <c r="R2559">
        <v>44990</v>
      </c>
    </row>
    <row r="2560" spans="1:18" x14ac:dyDescent="0.25">
      <c r="A2560" s="169">
        <v>45786</v>
      </c>
      <c r="B2560" s="115">
        <v>761.65</v>
      </c>
      <c r="C2560" s="115">
        <v>757.5</v>
      </c>
      <c r="D2560" s="115">
        <v>710.05</v>
      </c>
      <c r="E2560" s="115">
        <v>724.95</v>
      </c>
      <c r="F2560" s="115">
        <v>757.5</v>
      </c>
      <c r="G2560">
        <v>5097</v>
      </c>
      <c r="H2560" s="115"/>
      <c r="I2560" s="115"/>
      <c r="L2560" s="169">
        <v>45777</v>
      </c>
      <c r="M2560" s="115">
        <v>732.65</v>
      </c>
      <c r="N2560" s="115">
        <v>750</v>
      </c>
      <c r="O2560" s="115">
        <v>716</v>
      </c>
      <c r="P2560" s="115">
        <v>741.2</v>
      </c>
      <c r="Q2560" s="115">
        <v>732.65</v>
      </c>
      <c r="R2560">
        <v>500805</v>
      </c>
    </row>
    <row r="2561" spans="1:18" x14ac:dyDescent="0.25">
      <c r="A2561" s="169">
        <v>45789</v>
      </c>
      <c r="B2561" s="115">
        <v>840</v>
      </c>
      <c r="C2561" s="115">
        <v>780.8</v>
      </c>
      <c r="D2561" s="115">
        <v>771.2</v>
      </c>
      <c r="E2561" s="115">
        <v>840</v>
      </c>
      <c r="F2561" s="115">
        <v>780.8</v>
      </c>
      <c r="G2561">
        <v>11240</v>
      </c>
      <c r="H2561" s="115"/>
      <c r="I2561" s="115"/>
      <c r="L2561" s="169">
        <v>45779</v>
      </c>
      <c r="M2561" s="115">
        <v>719.2</v>
      </c>
      <c r="N2561" s="115">
        <v>726.4</v>
      </c>
      <c r="O2561" s="115">
        <v>704.15</v>
      </c>
      <c r="P2561" s="115">
        <v>721</v>
      </c>
      <c r="Q2561" s="115">
        <v>719.2</v>
      </c>
      <c r="R2561">
        <v>80317</v>
      </c>
    </row>
    <row r="2562" spans="1:18" x14ac:dyDescent="0.25">
      <c r="A2562" s="169">
        <v>45790</v>
      </c>
      <c r="B2562" s="115">
        <v>804.9</v>
      </c>
      <c r="C2562" s="115">
        <v>801.1</v>
      </c>
      <c r="D2562" s="115">
        <v>781.35</v>
      </c>
      <c r="E2562" s="115">
        <v>799.95</v>
      </c>
      <c r="F2562" s="115">
        <v>801.1</v>
      </c>
      <c r="G2562">
        <v>4919</v>
      </c>
      <c r="H2562" s="115"/>
      <c r="I2562" s="115"/>
      <c r="L2562" s="169">
        <v>45782</v>
      </c>
      <c r="M2562" s="115">
        <v>724.8</v>
      </c>
      <c r="N2562" s="115">
        <v>730</v>
      </c>
      <c r="O2562" s="115">
        <v>713.55</v>
      </c>
      <c r="P2562" s="115">
        <v>719.2</v>
      </c>
      <c r="Q2562" s="115">
        <v>724.8</v>
      </c>
      <c r="R2562">
        <v>125769</v>
      </c>
    </row>
    <row r="2563" spans="1:18" x14ac:dyDescent="0.25">
      <c r="A2563" s="169">
        <v>45791</v>
      </c>
      <c r="B2563" s="115">
        <v>813.55</v>
      </c>
      <c r="C2563" s="115">
        <v>806.1</v>
      </c>
      <c r="D2563" s="115">
        <v>799.4</v>
      </c>
      <c r="E2563" s="115">
        <v>805</v>
      </c>
      <c r="F2563" s="115">
        <v>806.1</v>
      </c>
      <c r="G2563">
        <v>2890</v>
      </c>
      <c r="H2563" s="115"/>
      <c r="I2563" s="115"/>
      <c r="L2563" s="169">
        <v>45783</v>
      </c>
      <c r="M2563" s="115">
        <v>725.4</v>
      </c>
      <c r="N2563" s="115">
        <v>730.7</v>
      </c>
      <c r="O2563" s="115">
        <v>717.5</v>
      </c>
      <c r="P2563" s="115">
        <v>727</v>
      </c>
      <c r="Q2563" s="115">
        <v>725.4</v>
      </c>
      <c r="R2563">
        <v>111849</v>
      </c>
    </row>
    <row r="2564" spans="1:18" x14ac:dyDescent="0.25">
      <c r="A2564" s="169">
        <v>45792</v>
      </c>
      <c r="B2564" s="115">
        <v>809.95</v>
      </c>
      <c r="C2564" s="115">
        <v>783.7</v>
      </c>
      <c r="D2564" s="115">
        <v>775</v>
      </c>
      <c r="E2564" s="115">
        <v>809.95</v>
      </c>
      <c r="F2564" s="115">
        <v>783.7</v>
      </c>
      <c r="G2564">
        <v>2800</v>
      </c>
      <c r="H2564" s="115"/>
      <c r="I2564" s="115"/>
      <c r="L2564" s="169">
        <v>45784</v>
      </c>
      <c r="M2564" s="115">
        <v>731.85</v>
      </c>
      <c r="N2564" s="115">
        <v>737.55</v>
      </c>
      <c r="O2564" s="115">
        <v>690</v>
      </c>
      <c r="P2564" s="115">
        <v>709.85</v>
      </c>
      <c r="Q2564" s="115">
        <v>731.85</v>
      </c>
      <c r="R2564">
        <v>88496</v>
      </c>
    </row>
    <row r="2565" spans="1:18" x14ac:dyDescent="0.25">
      <c r="A2565" s="169">
        <v>45793</v>
      </c>
      <c r="B2565" s="115">
        <v>787.15</v>
      </c>
      <c r="C2565" s="115">
        <v>776.5</v>
      </c>
      <c r="D2565" s="115">
        <v>758.05</v>
      </c>
      <c r="E2565" s="115">
        <v>784</v>
      </c>
      <c r="F2565" s="115">
        <v>776.5</v>
      </c>
      <c r="G2565">
        <v>13400</v>
      </c>
      <c r="H2565" s="115"/>
      <c r="I2565" s="115"/>
      <c r="L2565" s="169">
        <v>45785</v>
      </c>
      <c r="M2565" s="115">
        <v>735.9</v>
      </c>
      <c r="N2565" s="115">
        <v>744.4</v>
      </c>
      <c r="O2565" s="115">
        <v>725.2</v>
      </c>
      <c r="P2565" s="115">
        <v>731.9</v>
      </c>
      <c r="Q2565" s="115">
        <v>735.9</v>
      </c>
      <c r="R2565">
        <v>60261</v>
      </c>
    </row>
    <row r="2566" spans="1:18" x14ac:dyDescent="0.25">
      <c r="A2566" s="169">
        <v>45796</v>
      </c>
      <c r="B2566" s="115">
        <v>801.4</v>
      </c>
      <c r="C2566" s="115">
        <v>795.75</v>
      </c>
      <c r="D2566" s="115">
        <v>780</v>
      </c>
      <c r="E2566" s="115">
        <v>780</v>
      </c>
      <c r="F2566" s="115">
        <v>795.75</v>
      </c>
      <c r="G2566">
        <v>2006</v>
      </c>
      <c r="H2566" s="115"/>
      <c r="I2566" s="115"/>
      <c r="L2566" s="169">
        <v>45786</v>
      </c>
      <c r="M2566" s="115">
        <v>759.1</v>
      </c>
      <c r="N2566" s="115">
        <v>762.45</v>
      </c>
      <c r="O2566" s="115">
        <v>701</v>
      </c>
      <c r="P2566" s="115">
        <v>701</v>
      </c>
      <c r="Q2566" s="115">
        <v>759.1</v>
      </c>
      <c r="R2566">
        <v>123792</v>
      </c>
    </row>
    <row r="2567" spans="1:18" x14ac:dyDescent="0.25">
      <c r="A2567" s="169">
        <v>45797</v>
      </c>
      <c r="B2567" s="115">
        <v>814.25</v>
      </c>
      <c r="C2567" s="115">
        <v>803.6</v>
      </c>
      <c r="D2567" s="115">
        <v>791.45</v>
      </c>
      <c r="E2567" s="115">
        <v>796.65</v>
      </c>
      <c r="F2567" s="115">
        <v>803.6</v>
      </c>
      <c r="G2567">
        <v>4710</v>
      </c>
      <c r="H2567" s="115"/>
      <c r="I2567" s="115"/>
      <c r="L2567" s="169">
        <v>45789</v>
      </c>
      <c r="M2567" s="115">
        <v>780.85</v>
      </c>
      <c r="N2567" s="115">
        <v>806</v>
      </c>
      <c r="O2567" s="115">
        <v>770</v>
      </c>
      <c r="P2567" s="115">
        <v>804.15</v>
      </c>
      <c r="Q2567" s="115">
        <v>780.85</v>
      </c>
      <c r="R2567">
        <v>103188</v>
      </c>
    </row>
    <row r="2568" spans="1:18" x14ac:dyDescent="0.25">
      <c r="A2568" s="169">
        <v>45798</v>
      </c>
      <c r="B2568" s="115">
        <v>811.45</v>
      </c>
      <c r="C2568" s="115">
        <v>798.6</v>
      </c>
      <c r="D2568" s="115">
        <v>794.25</v>
      </c>
      <c r="E2568" s="115">
        <v>801</v>
      </c>
      <c r="F2568" s="115">
        <v>798.6</v>
      </c>
      <c r="G2568">
        <v>8580</v>
      </c>
      <c r="H2568" s="115"/>
      <c r="I2568" s="115"/>
      <c r="L2568" s="169">
        <v>45790</v>
      </c>
      <c r="M2568" s="115">
        <v>801.3</v>
      </c>
      <c r="N2568" s="115">
        <v>804.95</v>
      </c>
      <c r="O2568" s="115">
        <v>778.8</v>
      </c>
      <c r="P2568" s="115">
        <v>785</v>
      </c>
      <c r="Q2568" s="115">
        <v>801.3</v>
      </c>
      <c r="R2568">
        <v>96053</v>
      </c>
    </row>
    <row r="2569" spans="1:18" x14ac:dyDescent="0.25">
      <c r="A2569" s="169">
        <v>45799</v>
      </c>
      <c r="B2569" s="115">
        <v>808.15</v>
      </c>
      <c r="C2569" s="115">
        <v>795.9</v>
      </c>
      <c r="D2569" s="115">
        <v>792</v>
      </c>
      <c r="E2569" s="115">
        <v>797.65</v>
      </c>
      <c r="F2569" s="115">
        <v>795.9</v>
      </c>
      <c r="G2569">
        <v>4460</v>
      </c>
      <c r="H2569" s="115"/>
      <c r="I2569" s="115"/>
      <c r="L2569" s="169">
        <v>45791</v>
      </c>
      <c r="M2569" s="115">
        <v>806.4</v>
      </c>
      <c r="N2569" s="115">
        <v>814</v>
      </c>
      <c r="O2569" s="115">
        <v>798.75</v>
      </c>
      <c r="P2569" s="115">
        <v>802</v>
      </c>
      <c r="Q2569" s="115">
        <v>806.4</v>
      </c>
      <c r="R2569">
        <v>74610</v>
      </c>
    </row>
    <row r="2570" spans="1:18" x14ac:dyDescent="0.25">
      <c r="A2570" s="169">
        <v>45800</v>
      </c>
      <c r="B2570" s="115">
        <v>813</v>
      </c>
      <c r="C2570" s="115">
        <v>801.1</v>
      </c>
      <c r="D2570" s="115">
        <v>787.1</v>
      </c>
      <c r="E2570" s="115">
        <v>798.2</v>
      </c>
      <c r="F2570" s="115">
        <v>801.1</v>
      </c>
      <c r="G2570">
        <v>1133</v>
      </c>
      <c r="H2570" s="115"/>
      <c r="I2570" s="115"/>
      <c r="L2570" s="169">
        <v>45792</v>
      </c>
      <c r="M2570" s="115">
        <v>779.75</v>
      </c>
      <c r="N2570" s="115">
        <v>807.6</v>
      </c>
      <c r="O2570" s="115">
        <v>772.1</v>
      </c>
      <c r="P2570" s="115">
        <v>806.4</v>
      </c>
      <c r="Q2570" s="115">
        <v>779.75</v>
      </c>
      <c r="R2570">
        <v>91444</v>
      </c>
    </row>
    <row r="2571" spans="1:18" x14ac:dyDescent="0.25">
      <c r="A2571" s="169">
        <v>45803</v>
      </c>
      <c r="B2571" s="115">
        <v>825.2</v>
      </c>
      <c r="C2571" s="115">
        <v>812.5</v>
      </c>
      <c r="D2571" s="115">
        <v>802.25</v>
      </c>
      <c r="E2571" s="115">
        <v>803.75</v>
      </c>
      <c r="F2571" s="115">
        <v>812.5</v>
      </c>
      <c r="G2571">
        <v>773</v>
      </c>
      <c r="H2571" s="115"/>
      <c r="I2571" s="115"/>
      <c r="L2571" s="169">
        <v>45793</v>
      </c>
      <c r="M2571" s="115">
        <v>776.65</v>
      </c>
      <c r="N2571" s="115">
        <v>787.4</v>
      </c>
      <c r="O2571" s="115">
        <v>757.85</v>
      </c>
      <c r="P2571" s="115">
        <v>787.2</v>
      </c>
      <c r="Q2571" s="115">
        <v>776.65</v>
      </c>
      <c r="R2571">
        <v>128920</v>
      </c>
    </row>
    <row r="2572" spans="1:18" x14ac:dyDescent="0.25">
      <c r="A2572" s="169">
        <v>45804</v>
      </c>
      <c r="B2572" s="115">
        <v>837.55</v>
      </c>
      <c r="C2572" s="115">
        <v>830.35</v>
      </c>
      <c r="D2572" s="115">
        <v>810.05</v>
      </c>
      <c r="E2572" s="115">
        <v>815.35</v>
      </c>
      <c r="F2572" s="115">
        <v>830.35</v>
      </c>
      <c r="G2572">
        <v>9810</v>
      </c>
      <c r="H2572" s="115"/>
      <c r="I2572" s="115"/>
      <c r="L2572" s="169">
        <v>45796</v>
      </c>
      <c r="M2572" s="115">
        <v>796.65</v>
      </c>
      <c r="N2572" s="115">
        <v>802</v>
      </c>
      <c r="O2572" s="115">
        <v>782.05</v>
      </c>
      <c r="P2572" s="115">
        <v>788.3</v>
      </c>
      <c r="Q2572" s="115">
        <v>796.65</v>
      </c>
      <c r="R2572">
        <v>71017</v>
      </c>
    </row>
    <row r="2573" spans="1:18" x14ac:dyDescent="0.25">
      <c r="A2573" s="169">
        <v>45805</v>
      </c>
      <c r="B2573" s="115">
        <v>834.35</v>
      </c>
      <c r="C2573" s="115">
        <v>825.3</v>
      </c>
      <c r="D2573" s="115">
        <v>818.7</v>
      </c>
      <c r="E2573" s="115">
        <v>830.25</v>
      </c>
      <c r="F2573" s="115">
        <v>825.3</v>
      </c>
      <c r="G2573">
        <v>1887</v>
      </c>
      <c r="H2573" s="115"/>
      <c r="I2573" s="115"/>
      <c r="L2573" s="169">
        <v>45797</v>
      </c>
      <c r="M2573" s="115">
        <v>804.1</v>
      </c>
      <c r="N2573" s="115">
        <v>814.75</v>
      </c>
      <c r="O2573" s="115">
        <v>790.3</v>
      </c>
      <c r="P2573" s="115">
        <v>799</v>
      </c>
      <c r="Q2573" s="115">
        <v>804.1</v>
      </c>
      <c r="R2573">
        <v>88389</v>
      </c>
    </row>
    <row r="2574" spans="1:18" x14ac:dyDescent="0.25">
      <c r="A2574" s="169">
        <v>45806</v>
      </c>
      <c r="B2574" s="115">
        <v>843.3</v>
      </c>
      <c r="C2574" s="115">
        <v>836.75</v>
      </c>
      <c r="D2574" s="115">
        <v>825.65</v>
      </c>
      <c r="E2574" s="115">
        <v>828.1</v>
      </c>
      <c r="F2574" s="115">
        <v>836.75</v>
      </c>
      <c r="G2574">
        <v>2823</v>
      </c>
      <c r="H2574" s="115"/>
      <c r="I2574" s="115"/>
      <c r="L2574" s="169">
        <v>45798</v>
      </c>
      <c r="M2574" s="115">
        <v>798.45</v>
      </c>
      <c r="N2574" s="115">
        <v>811.5</v>
      </c>
      <c r="O2574" s="115">
        <v>792.5</v>
      </c>
      <c r="P2574" s="115">
        <v>799</v>
      </c>
      <c r="Q2574" s="115">
        <v>798.45</v>
      </c>
      <c r="R2574">
        <v>50567</v>
      </c>
    </row>
    <row r="2575" spans="1:18" x14ac:dyDescent="0.25">
      <c r="A2575" s="169">
        <v>45807</v>
      </c>
      <c r="B2575" s="115">
        <v>856</v>
      </c>
      <c r="C2575" s="115">
        <v>850.7</v>
      </c>
      <c r="D2575" s="115">
        <v>830.35</v>
      </c>
      <c r="E2575" s="115">
        <v>840.2</v>
      </c>
      <c r="F2575" s="115">
        <v>850.7</v>
      </c>
      <c r="G2575">
        <v>5356</v>
      </c>
      <c r="H2575" s="115"/>
      <c r="I2575" s="115"/>
      <c r="L2575" s="169">
        <v>45799</v>
      </c>
      <c r="M2575" s="115">
        <v>796.9</v>
      </c>
      <c r="N2575" s="115">
        <v>808.9</v>
      </c>
      <c r="O2575" s="115">
        <v>791.25</v>
      </c>
      <c r="P2575" s="115">
        <v>807.3</v>
      </c>
      <c r="Q2575" s="115">
        <v>796.9</v>
      </c>
      <c r="R2575">
        <v>35281</v>
      </c>
    </row>
    <row r="2576" spans="1:18" x14ac:dyDescent="0.25">
      <c r="A2576" s="169">
        <v>45810</v>
      </c>
      <c r="B2576" s="115">
        <v>855</v>
      </c>
      <c r="C2576" s="115">
        <v>819.2</v>
      </c>
      <c r="D2576" s="115">
        <v>815.15</v>
      </c>
      <c r="E2576" s="115">
        <v>855</v>
      </c>
      <c r="F2576" s="115">
        <v>819.2</v>
      </c>
      <c r="G2576">
        <v>8490</v>
      </c>
      <c r="H2576" s="115"/>
      <c r="I2576" s="115"/>
      <c r="L2576" s="169">
        <v>45800</v>
      </c>
      <c r="M2576" s="115">
        <v>802.45</v>
      </c>
      <c r="N2576" s="115">
        <v>813.85</v>
      </c>
      <c r="O2576" s="115">
        <v>786.8</v>
      </c>
      <c r="P2576" s="115">
        <v>803</v>
      </c>
      <c r="Q2576" s="115">
        <v>802.45</v>
      </c>
      <c r="R2576">
        <v>39919</v>
      </c>
    </row>
    <row r="2577" spans="1:18" x14ac:dyDescent="0.25">
      <c r="A2577" s="169">
        <v>45811</v>
      </c>
      <c r="B2577" s="115">
        <v>848</v>
      </c>
      <c r="C2577" s="115">
        <v>838.4</v>
      </c>
      <c r="D2577" s="115">
        <v>819.2</v>
      </c>
      <c r="E2577" s="115">
        <v>819.25</v>
      </c>
      <c r="F2577" s="115">
        <v>838.4</v>
      </c>
      <c r="G2577">
        <v>9821</v>
      </c>
      <c r="H2577" s="115"/>
      <c r="I2577" s="115"/>
      <c r="L2577" s="169">
        <v>45803</v>
      </c>
      <c r="M2577" s="115">
        <v>813.1</v>
      </c>
      <c r="N2577" s="115">
        <v>834</v>
      </c>
      <c r="O2577" s="115">
        <v>799.15</v>
      </c>
      <c r="P2577" s="115">
        <v>809.5</v>
      </c>
      <c r="Q2577" s="115">
        <v>813.1</v>
      </c>
      <c r="R2577">
        <v>51706</v>
      </c>
    </row>
    <row r="2578" spans="1:18" x14ac:dyDescent="0.25">
      <c r="A2578" s="169">
        <v>45812</v>
      </c>
      <c r="B2578" s="115">
        <v>871.4</v>
      </c>
      <c r="C2578" s="115">
        <v>862.25</v>
      </c>
      <c r="D2578" s="115">
        <v>830.3</v>
      </c>
      <c r="E2578" s="115">
        <v>847.95</v>
      </c>
      <c r="F2578" s="115">
        <v>862.25</v>
      </c>
      <c r="G2578">
        <v>14075</v>
      </c>
      <c r="H2578" s="115"/>
      <c r="I2578" s="115"/>
      <c r="L2578" s="169">
        <v>45804</v>
      </c>
      <c r="M2578" s="115">
        <v>830.65</v>
      </c>
      <c r="N2578" s="115">
        <v>839.65</v>
      </c>
      <c r="O2578" s="115">
        <v>809.75</v>
      </c>
      <c r="P2578" s="115">
        <v>817.4</v>
      </c>
      <c r="Q2578" s="115">
        <v>830.65</v>
      </c>
      <c r="R2578">
        <v>208180</v>
      </c>
    </row>
    <row r="2579" spans="1:18" x14ac:dyDescent="0.25">
      <c r="A2579" s="169">
        <v>45813</v>
      </c>
      <c r="B2579" s="115">
        <v>907.3</v>
      </c>
      <c r="C2579" s="115">
        <v>874.5</v>
      </c>
      <c r="D2579" s="115">
        <v>863.1</v>
      </c>
      <c r="E2579" s="115">
        <v>883.25</v>
      </c>
      <c r="F2579" s="115">
        <v>874.5</v>
      </c>
      <c r="G2579">
        <v>18878</v>
      </c>
      <c r="H2579" s="115"/>
      <c r="I2579" s="115"/>
      <c r="L2579" s="169">
        <v>45805</v>
      </c>
      <c r="M2579" s="115">
        <v>827.95</v>
      </c>
      <c r="N2579" s="115">
        <v>836.9</v>
      </c>
      <c r="O2579" s="115">
        <v>818</v>
      </c>
      <c r="P2579" s="115">
        <v>836.9</v>
      </c>
      <c r="Q2579" s="115">
        <v>827.95</v>
      </c>
      <c r="R2579">
        <v>49888</v>
      </c>
    </row>
    <row r="2580" spans="1:18" x14ac:dyDescent="0.25">
      <c r="A2580" s="169">
        <v>45814</v>
      </c>
      <c r="B2580" s="115">
        <v>878.85</v>
      </c>
      <c r="C2580" s="115">
        <v>864.05</v>
      </c>
      <c r="D2580" s="115">
        <v>854.95</v>
      </c>
      <c r="E2580" s="115">
        <v>874.5</v>
      </c>
      <c r="F2580" s="115">
        <v>864.05</v>
      </c>
      <c r="G2580">
        <v>14407</v>
      </c>
      <c r="H2580" s="115"/>
      <c r="I2580" s="115"/>
      <c r="L2580" s="169">
        <v>45806</v>
      </c>
      <c r="M2580" s="115">
        <v>837.75</v>
      </c>
      <c r="N2580" s="115">
        <v>845</v>
      </c>
      <c r="O2580" s="115">
        <v>825</v>
      </c>
      <c r="P2580" s="115">
        <v>834.3</v>
      </c>
      <c r="Q2580" s="115">
        <v>837.75</v>
      </c>
      <c r="R2580">
        <v>74997</v>
      </c>
    </row>
    <row r="2581" spans="1:18" x14ac:dyDescent="0.25">
      <c r="A2581" s="169">
        <v>45817</v>
      </c>
      <c r="B2581" s="115">
        <v>873.55</v>
      </c>
      <c r="C2581" s="115">
        <v>869.75</v>
      </c>
      <c r="D2581" s="115">
        <v>853</v>
      </c>
      <c r="E2581" s="115">
        <v>862.75</v>
      </c>
      <c r="F2581" s="115">
        <v>869.75</v>
      </c>
      <c r="G2581">
        <v>9163</v>
      </c>
      <c r="H2581" s="115"/>
      <c r="I2581" s="115"/>
      <c r="L2581" s="169">
        <v>45807</v>
      </c>
      <c r="M2581" s="115">
        <v>846.2</v>
      </c>
      <c r="N2581" s="115">
        <v>856.9</v>
      </c>
      <c r="O2581" s="115">
        <v>834.35</v>
      </c>
      <c r="P2581" s="115">
        <v>839.85</v>
      </c>
      <c r="Q2581" s="115">
        <v>846.2</v>
      </c>
      <c r="R2581">
        <v>131228</v>
      </c>
    </row>
    <row r="2582" spans="1:18" x14ac:dyDescent="0.25">
      <c r="A2582" s="169">
        <v>45818</v>
      </c>
      <c r="B2582" s="115">
        <v>870</v>
      </c>
      <c r="C2582" s="115">
        <v>858.85</v>
      </c>
      <c r="D2582" s="115">
        <v>857.25</v>
      </c>
      <c r="E2582" s="115">
        <v>870</v>
      </c>
      <c r="F2582" s="115">
        <v>858.85</v>
      </c>
      <c r="G2582">
        <v>2075</v>
      </c>
      <c r="H2582" s="115"/>
      <c r="I2582" s="115"/>
      <c r="L2582" s="169">
        <v>45810</v>
      </c>
      <c r="M2582" s="115">
        <v>818.45</v>
      </c>
      <c r="N2582" s="115">
        <v>854.6</v>
      </c>
      <c r="O2582" s="115">
        <v>815</v>
      </c>
      <c r="P2582" s="115">
        <v>854.6</v>
      </c>
      <c r="Q2582" s="115">
        <v>818.45</v>
      </c>
      <c r="R2582">
        <v>70778</v>
      </c>
    </row>
    <row r="2583" spans="1:18" x14ac:dyDescent="0.25">
      <c r="A2583" s="169">
        <v>45819</v>
      </c>
      <c r="B2583" s="115">
        <v>858.8</v>
      </c>
      <c r="C2583" s="115">
        <v>848.7</v>
      </c>
      <c r="D2583" s="115">
        <v>841.4</v>
      </c>
      <c r="E2583" s="115">
        <v>851</v>
      </c>
      <c r="F2583" s="115">
        <v>848.7</v>
      </c>
      <c r="G2583">
        <v>2044</v>
      </c>
      <c r="H2583" s="115"/>
      <c r="I2583" s="115"/>
      <c r="L2583" s="169">
        <v>45811</v>
      </c>
      <c r="M2583" s="115">
        <v>837</v>
      </c>
      <c r="N2583" s="115">
        <v>848.95</v>
      </c>
      <c r="O2583" s="115">
        <v>816.2</v>
      </c>
      <c r="P2583" s="115">
        <v>825</v>
      </c>
      <c r="Q2583" s="115">
        <v>837</v>
      </c>
      <c r="R2583">
        <v>85048</v>
      </c>
    </row>
    <row r="2584" spans="1:18" x14ac:dyDescent="0.25">
      <c r="A2584" s="169">
        <v>45820</v>
      </c>
      <c r="B2584" s="115">
        <v>850</v>
      </c>
      <c r="C2584" s="115">
        <v>838.7</v>
      </c>
      <c r="D2584" s="115">
        <v>829.1</v>
      </c>
      <c r="E2584" s="115">
        <v>850</v>
      </c>
      <c r="F2584" s="115">
        <v>838.7</v>
      </c>
      <c r="G2584">
        <v>2815</v>
      </c>
      <c r="H2584" s="115"/>
      <c r="I2584" s="115"/>
      <c r="L2584" s="169">
        <v>45812</v>
      </c>
      <c r="M2584" s="115">
        <v>861.05</v>
      </c>
      <c r="N2584" s="115">
        <v>872</v>
      </c>
      <c r="O2584" s="115">
        <v>832.25</v>
      </c>
      <c r="P2584" s="115">
        <v>838.05</v>
      </c>
      <c r="Q2584" s="115">
        <v>861.05</v>
      </c>
      <c r="R2584">
        <v>130535</v>
      </c>
    </row>
    <row r="2585" spans="1:18" x14ac:dyDescent="0.25">
      <c r="A2585" s="169">
        <v>45821</v>
      </c>
      <c r="B2585" s="115">
        <v>835</v>
      </c>
      <c r="C2585" s="115">
        <v>827.15</v>
      </c>
      <c r="D2585" s="115">
        <v>818</v>
      </c>
      <c r="E2585" s="115">
        <v>830.05</v>
      </c>
      <c r="F2585" s="115">
        <v>827.15</v>
      </c>
      <c r="G2585">
        <v>4863</v>
      </c>
      <c r="H2585" s="115"/>
      <c r="I2585" s="115"/>
      <c r="L2585" s="169">
        <v>45813</v>
      </c>
      <c r="M2585" s="115">
        <v>873.1</v>
      </c>
      <c r="N2585" s="115">
        <v>908</v>
      </c>
      <c r="O2585" s="115">
        <v>862.8</v>
      </c>
      <c r="P2585" s="115">
        <v>878</v>
      </c>
      <c r="Q2585" s="115">
        <v>873.1</v>
      </c>
      <c r="R2585">
        <v>338943</v>
      </c>
    </row>
    <row r="2586" spans="1:18" x14ac:dyDescent="0.25">
      <c r="A2586" s="169">
        <v>45824</v>
      </c>
      <c r="B2586" s="115">
        <v>827.65</v>
      </c>
      <c r="C2586" s="115">
        <v>817.5</v>
      </c>
      <c r="D2586" s="115">
        <v>811</v>
      </c>
      <c r="E2586" s="115">
        <v>820.05</v>
      </c>
      <c r="F2586" s="115">
        <v>817.5</v>
      </c>
      <c r="G2586">
        <v>4595</v>
      </c>
      <c r="H2586" s="115"/>
      <c r="I2586" s="115"/>
      <c r="L2586" s="169">
        <v>45814</v>
      </c>
      <c r="M2586" s="115">
        <v>862.65</v>
      </c>
      <c r="N2586" s="115">
        <v>890</v>
      </c>
      <c r="O2586" s="115">
        <v>855.5</v>
      </c>
      <c r="P2586" s="115">
        <v>889.95</v>
      </c>
      <c r="Q2586" s="115">
        <v>862.65</v>
      </c>
      <c r="R2586">
        <v>79281</v>
      </c>
    </row>
    <row r="2587" spans="1:18" x14ac:dyDescent="0.25">
      <c r="A2587" s="169">
        <v>45825</v>
      </c>
      <c r="B2587" s="115">
        <v>827.85</v>
      </c>
      <c r="C2587" s="115">
        <v>820.85</v>
      </c>
      <c r="D2587" s="115">
        <v>811</v>
      </c>
      <c r="E2587" s="115">
        <v>811</v>
      </c>
      <c r="F2587" s="115">
        <v>820.85</v>
      </c>
      <c r="G2587">
        <v>3245</v>
      </c>
      <c r="H2587" s="115"/>
      <c r="I2587" s="115"/>
      <c r="L2587" s="169">
        <v>45817</v>
      </c>
      <c r="M2587" s="115">
        <v>869.9</v>
      </c>
      <c r="N2587" s="115">
        <v>875</v>
      </c>
      <c r="O2587" s="115">
        <v>852.8</v>
      </c>
      <c r="P2587" s="115">
        <v>866</v>
      </c>
      <c r="Q2587" s="115">
        <v>869.9</v>
      </c>
      <c r="R2587">
        <v>59417</v>
      </c>
    </row>
    <row r="2588" spans="1:18" x14ac:dyDescent="0.25">
      <c r="A2588" s="169">
        <v>45826</v>
      </c>
      <c r="B2588" s="115">
        <v>863</v>
      </c>
      <c r="C2588" s="115">
        <v>848.85</v>
      </c>
      <c r="D2588" s="115">
        <v>810.05</v>
      </c>
      <c r="E2588" s="115">
        <v>810.05</v>
      </c>
      <c r="F2588" s="115">
        <v>848.85</v>
      </c>
      <c r="G2588">
        <v>6003</v>
      </c>
      <c r="H2588" s="115"/>
      <c r="I2588" s="115"/>
      <c r="L2588" s="169">
        <v>45818</v>
      </c>
      <c r="M2588" s="115">
        <v>859.35</v>
      </c>
      <c r="N2588" s="115">
        <v>874</v>
      </c>
      <c r="O2588" s="115">
        <v>856.55</v>
      </c>
      <c r="P2588" s="115">
        <v>873.4</v>
      </c>
      <c r="Q2588" s="115">
        <v>859.35</v>
      </c>
      <c r="R2588">
        <v>47368</v>
      </c>
    </row>
    <row r="2589" spans="1:18" x14ac:dyDescent="0.25">
      <c r="A2589" s="169">
        <v>45827</v>
      </c>
      <c r="B2589" s="115">
        <v>876.95</v>
      </c>
      <c r="C2589" s="115">
        <v>833.4</v>
      </c>
      <c r="D2589" s="115">
        <v>816.6</v>
      </c>
      <c r="E2589" s="115">
        <v>876.95</v>
      </c>
      <c r="F2589" s="115">
        <v>833.4</v>
      </c>
      <c r="G2589">
        <v>5248</v>
      </c>
      <c r="H2589" s="115"/>
      <c r="I2589" s="115"/>
      <c r="L2589" s="169">
        <v>45819</v>
      </c>
      <c r="M2589" s="115">
        <v>849</v>
      </c>
      <c r="N2589" s="115">
        <v>863.9</v>
      </c>
      <c r="O2589" s="115">
        <v>841.05</v>
      </c>
      <c r="P2589" s="115">
        <v>863.7</v>
      </c>
      <c r="Q2589" s="115">
        <v>849</v>
      </c>
      <c r="R2589">
        <v>56687</v>
      </c>
    </row>
    <row r="2590" spans="1:18" x14ac:dyDescent="0.25">
      <c r="A2590" s="169">
        <v>45828</v>
      </c>
      <c r="B2590" s="115">
        <v>830.75</v>
      </c>
      <c r="C2590" s="115">
        <v>827.3</v>
      </c>
      <c r="D2590" s="115">
        <v>810.05</v>
      </c>
      <c r="E2590" s="115">
        <v>810.05</v>
      </c>
      <c r="F2590" s="115">
        <v>827.3</v>
      </c>
      <c r="G2590">
        <v>3996</v>
      </c>
      <c r="H2590" s="115"/>
      <c r="I2590" s="115"/>
      <c r="L2590" s="169">
        <v>45820</v>
      </c>
      <c r="M2590" s="115">
        <v>837.75</v>
      </c>
      <c r="N2590" s="115">
        <v>853.5</v>
      </c>
      <c r="O2590" s="115">
        <v>828.05</v>
      </c>
      <c r="P2590" s="115">
        <v>842.55</v>
      </c>
      <c r="Q2590" s="115">
        <v>837.75</v>
      </c>
      <c r="R2590">
        <v>57294</v>
      </c>
    </row>
    <row r="2591" spans="1:18" x14ac:dyDescent="0.25">
      <c r="A2591" s="169">
        <v>45831</v>
      </c>
      <c r="B2591" s="115">
        <v>876.9</v>
      </c>
      <c r="C2591" s="115">
        <v>808.1</v>
      </c>
      <c r="D2591" s="115">
        <v>805</v>
      </c>
      <c r="E2591" s="115">
        <v>876.9</v>
      </c>
      <c r="F2591" s="115">
        <v>808.1</v>
      </c>
      <c r="G2591">
        <v>2247</v>
      </c>
      <c r="H2591" s="115"/>
      <c r="I2591" s="115"/>
      <c r="L2591" s="169">
        <v>45821</v>
      </c>
      <c r="M2591" s="115">
        <v>827.75</v>
      </c>
      <c r="N2591" s="115">
        <v>835.4</v>
      </c>
      <c r="O2591" s="115">
        <v>817.6</v>
      </c>
      <c r="P2591" s="115">
        <v>835</v>
      </c>
      <c r="Q2591" s="115">
        <v>827.75</v>
      </c>
      <c r="R2591">
        <v>57605</v>
      </c>
    </row>
    <row r="2592" spans="1:18" x14ac:dyDescent="0.25">
      <c r="A2592" s="169">
        <v>45832</v>
      </c>
      <c r="B2592" s="115">
        <v>838</v>
      </c>
      <c r="C2592" s="115">
        <v>805.4</v>
      </c>
      <c r="D2592" s="115">
        <v>795.05</v>
      </c>
      <c r="E2592" s="115">
        <v>838</v>
      </c>
      <c r="F2592" s="115">
        <v>805.4</v>
      </c>
      <c r="G2592">
        <v>5829</v>
      </c>
      <c r="H2592" s="115"/>
      <c r="I2592" s="115"/>
      <c r="L2592" s="169">
        <v>45824</v>
      </c>
      <c r="M2592" s="115">
        <v>816.8</v>
      </c>
      <c r="N2592" s="115">
        <v>827.7</v>
      </c>
      <c r="O2592" s="115">
        <v>810.15</v>
      </c>
      <c r="P2592" s="115">
        <v>822</v>
      </c>
      <c r="Q2592" s="115">
        <v>816.8</v>
      </c>
      <c r="R2592">
        <v>54611</v>
      </c>
    </row>
    <row r="2593" spans="1:18" x14ac:dyDescent="0.25">
      <c r="A2593" s="169">
        <v>45833</v>
      </c>
      <c r="B2593" s="115">
        <v>817.7</v>
      </c>
      <c r="C2593" s="115">
        <v>804.9</v>
      </c>
      <c r="D2593" s="115">
        <v>800</v>
      </c>
      <c r="E2593" s="115">
        <v>814.85</v>
      </c>
      <c r="F2593" s="115">
        <v>804.9</v>
      </c>
      <c r="G2593">
        <v>2690</v>
      </c>
      <c r="H2593" s="115"/>
      <c r="I2593" s="115"/>
      <c r="L2593" s="169">
        <v>45825</v>
      </c>
      <c r="M2593" s="115">
        <v>822.35</v>
      </c>
      <c r="N2593" s="115">
        <v>827.4</v>
      </c>
      <c r="O2593" s="115">
        <v>812.05</v>
      </c>
      <c r="P2593" s="115">
        <v>820.8</v>
      </c>
      <c r="Q2593" s="115">
        <v>822.35</v>
      </c>
      <c r="R2593">
        <v>42064</v>
      </c>
    </row>
    <row r="2594" spans="1:18" x14ac:dyDescent="0.25">
      <c r="A2594" s="169">
        <v>45834</v>
      </c>
      <c r="B2594" s="115">
        <v>815.05</v>
      </c>
      <c r="C2594" s="115">
        <v>804</v>
      </c>
      <c r="D2594" s="115">
        <v>801</v>
      </c>
      <c r="E2594" s="115">
        <v>805.4</v>
      </c>
      <c r="F2594" s="115">
        <v>804</v>
      </c>
      <c r="G2594">
        <v>1360</v>
      </c>
      <c r="H2594" s="115"/>
      <c r="I2594" s="115"/>
      <c r="L2594" s="169">
        <v>45826</v>
      </c>
      <c r="M2594" s="115">
        <v>850</v>
      </c>
      <c r="N2594" s="115">
        <v>864.8</v>
      </c>
      <c r="O2594" s="115">
        <v>810.15</v>
      </c>
      <c r="P2594" s="115">
        <v>821.5</v>
      </c>
      <c r="Q2594" s="115">
        <v>850</v>
      </c>
      <c r="R2594">
        <v>154152</v>
      </c>
    </row>
    <row r="2595" spans="1:18" x14ac:dyDescent="0.25">
      <c r="A2595" s="169">
        <v>45835</v>
      </c>
      <c r="B2595" s="115">
        <v>828</v>
      </c>
      <c r="C2595" s="115">
        <v>818.15</v>
      </c>
      <c r="D2595" s="115">
        <v>803.65</v>
      </c>
      <c r="E2595" s="115">
        <v>810.95</v>
      </c>
      <c r="F2595" s="115">
        <v>818.15</v>
      </c>
      <c r="G2595">
        <v>3697</v>
      </c>
      <c r="H2595" s="115"/>
      <c r="I2595" s="115"/>
      <c r="L2595" s="169">
        <v>45827</v>
      </c>
      <c r="M2595" s="115">
        <v>828</v>
      </c>
      <c r="N2595" s="115">
        <v>847.9</v>
      </c>
      <c r="O2595" s="115">
        <v>816</v>
      </c>
      <c r="P2595" s="115">
        <v>846</v>
      </c>
      <c r="Q2595" s="115">
        <v>828</v>
      </c>
      <c r="R2595">
        <v>49908</v>
      </c>
    </row>
    <row r="2596" spans="1:18" x14ac:dyDescent="0.25">
      <c r="A2596" s="169">
        <v>45838</v>
      </c>
      <c r="B2596" s="115">
        <v>832.05</v>
      </c>
      <c r="C2596" s="115">
        <v>817.9</v>
      </c>
      <c r="D2596" s="115">
        <v>808.5</v>
      </c>
      <c r="E2596" s="115">
        <v>820</v>
      </c>
      <c r="F2596" s="115">
        <v>817.9</v>
      </c>
      <c r="G2596">
        <v>1612</v>
      </c>
      <c r="H2596" s="115"/>
      <c r="I2596" s="115"/>
      <c r="L2596" s="169">
        <v>45828</v>
      </c>
      <c r="M2596" s="115">
        <v>827.85</v>
      </c>
      <c r="N2596" s="115">
        <v>834</v>
      </c>
      <c r="O2596" s="115">
        <v>812.7</v>
      </c>
      <c r="P2596" s="115">
        <v>834</v>
      </c>
      <c r="Q2596" s="115">
        <v>827.85</v>
      </c>
      <c r="R2596">
        <v>43493</v>
      </c>
    </row>
    <row r="2597" spans="1:18" x14ac:dyDescent="0.25">
      <c r="A2597" s="169">
        <v>45839</v>
      </c>
      <c r="B2597" s="115">
        <v>857.75</v>
      </c>
      <c r="C2597" s="115">
        <v>840.15</v>
      </c>
      <c r="D2597" s="115">
        <v>820.9</v>
      </c>
      <c r="E2597" s="115">
        <v>847.75</v>
      </c>
      <c r="F2597" s="115">
        <v>840.15</v>
      </c>
      <c r="G2597">
        <v>24999</v>
      </c>
      <c r="H2597" s="115"/>
      <c r="I2597" s="115"/>
      <c r="L2597" s="169">
        <v>45831</v>
      </c>
      <c r="M2597" s="115">
        <v>809.9</v>
      </c>
      <c r="N2597" s="115">
        <v>825</v>
      </c>
      <c r="O2597" s="115">
        <v>805</v>
      </c>
      <c r="P2597" s="115">
        <v>825</v>
      </c>
      <c r="Q2597" s="115">
        <v>809.9</v>
      </c>
      <c r="R2597">
        <v>41053</v>
      </c>
    </row>
    <row r="2598" spans="1:18" x14ac:dyDescent="0.25">
      <c r="A2598" s="169">
        <v>45840</v>
      </c>
      <c r="B2598" s="115">
        <v>856.95</v>
      </c>
      <c r="C2598" s="115">
        <v>824.45</v>
      </c>
      <c r="D2598" s="115">
        <v>821.05</v>
      </c>
      <c r="E2598" s="115">
        <v>856.95</v>
      </c>
      <c r="F2598" s="115">
        <v>824.45</v>
      </c>
      <c r="G2598">
        <v>3483</v>
      </c>
      <c r="H2598" s="115"/>
      <c r="I2598" s="115"/>
      <c r="L2598" s="169">
        <v>45832</v>
      </c>
      <c r="M2598" s="115">
        <v>805.5</v>
      </c>
      <c r="N2598" s="115">
        <v>816.9</v>
      </c>
      <c r="O2598" s="115">
        <v>795.2</v>
      </c>
      <c r="P2598" s="115">
        <v>816.1</v>
      </c>
      <c r="Q2598" s="115">
        <v>805.5</v>
      </c>
      <c r="R2598">
        <v>70955</v>
      </c>
    </row>
    <row r="2599" spans="1:18" x14ac:dyDescent="0.25">
      <c r="A2599" s="169">
        <v>45841</v>
      </c>
      <c r="B2599" s="115">
        <v>825</v>
      </c>
      <c r="C2599" s="115">
        <v>820.95</v>
      </c>
      <c r="D2599" s="115">
        <v>811.25</v>
      </c>
      <c r="E2599" s="115">
        <v>811.25</v>
      </c>
      <c r="F2599" s="115">
        <v>820.95</v>
      </c>
      <c r="G2599">
        <v>990</v>
      </c>
      <c r="H2599" s="115"/>
      <c r="I2599" s="115"/>
      <c r="L2599" s="169">
        <v>45833</v>
      </c>
      <c r="M2599" s="115">
        <v>805.15</v>
      </c>
      <c r="N2599" s="115">
        <v>816.95</v>
      </c>
      <c r="O2599" s="115">
        <v>800.1</v>
      </c>
      <c r="P2599" s="115">
        <v>807.05</v>
      </c>
      <c r="Q2599" s="115">
        <v>805.15</v>
      </c>
      <c r="R2599">
        <v>59893</v>
      </c>
    </row>
    <row r="2600" spans="1:18" x14ac:dyDescent="0.25">
      <c r="A2600" s="169">
        <v>45842</v>
      </c>
      <c r="B2600" s="115">
        <v>839.05</v>
      </c>
      <c r="C2600" s="115">
        <v>829.85</v>
      </c>
      <c r="D2600" s="115">
        <v>815</v>
      </c>
      <c r="E2600" s="115">
        <v>816.85</v>
      </c>
      <c r="F2600" s="115">
        <v>829.85</v>
      </c>
      <c r="G2600">
        <v>1969</v>
      </c>
      <c r="H2600" s="115"/>
      <c r="I2600" s="115"/>
      <c r="L2600" s="169">
        <v>45834</v>
      </c>
      <c r="M2600" s="115">
        <v>804.25</v>
      </c>
      <c r="N2600" s="115">
        <v>814.7</v>
      </c>
      <c r="O2600" s="115">
        <v>800.1</v>
      </c>
      <c r="P2600" s="115">
        <v>809.4</v>
      </c>
      <c r="Q2600" s="115">
        <v>804.25</v>
      </c>
      <c r="R2600">
        <v>46875</v>
      </c>
    </row>
    <row r="2601" spans="1:18" x14ac:dyDescent="0.25">
      <c r="A2601" s="169">
        <v>45845</v>
      </c>
      <c r="B2601" s="115">
        <v>835.85</v>
      </c>
      <c r="C2601" s="115">
        <v>818.9</v>
      </c>
      <c r="D2601" s="115">
        <v>815.95</v>
      </c>
      <c r="E2601" s="115">
        <v>829.85</v>
      </c>
      <c r="F2601" s="115">
        <v>818.9</v>
      </c>
      <c r="G2601">
        <v>4357</v>
      </c>
      <c r="H2601" s="115"/>
      <c r="I2601" s="115"/>
      <c r="L2601" s="169">
        <v>45835</v>
      </c>
      <c r="M2601" s="115">
        <v>818.65</v>
      </c>
      <c r="N2601" s="115">
        <v>828.95</v>
      </c>
      <c r="O2601" s="115">
        <v>801.5</v>
      </c>
      <c r="P2601" s="115">
        <v>804.3</v>
      </c>
      <c r="Q2601" s="115">
        <v>818.65</v>
      </c>
      <c r="R2601">
        <v>105533</v>
      </c>
    </row>
    <row r="2602" spans="1:18" x14ac:dyDescent="0.25">
      <c r="A2602" s="169">
        <v>45846</v>
      </c>
      <c r="B2602" s="115">
        <v>828</v>
      </c>
      <c r="C2602" s="115">
        <v>824</v>
      </c>
      <c r="D2602" s="115">
        <v>814.7</v>
      </c>
      <c r="E2602" s="115">
        <v>817.05</v>
      </c>
      <c r="F2602" s="115">
        <v>824</v>
      </c>
      <c r="G2602">
        <v>1392</v>
      </c>
      <c r="H2602" s="115"/>
      <c r="I2602" s="115"/>
      <c r="L2602" s="169">
        <v>45838</v>
      </c>
      <c r="M2602" s="115">
        <v>818.05</v>
      </c>
      <c r="N2602" s="115">
        <v>833.5</v>
      </c>
      <c r="O2602" s="115">
        <v>809</v>
      </c>
      <c r="P2602" s="115">
        <v>825.85</v>
      </c>
      <c r="Q2602" s="115">
        <v>818.05</v>
      </c>
      <c r="R2602">
        <v>179796</v>
      </c>
    </row>
    <row r="2603" spans="1:18" x14ac:dyDescent="0.25">
      <c r="A2603" s="169">
        <v>45847</v>
      </c>
      <c r="B2603" s="115">
        <v>827.9</v>
      </c>
      <c r="C2603" s="115">
        <v>826.65</v>
      </c>
      <c r="D2603" s="115">
        <v>817</v>
      </c>
      <c r="E2603" s="115">
        <v>826.85</v>
      </c>
      <c r="F2603" s="115">
        <v>826.65</v>
      </c>
      <c r="G2603">
        <v>1274</v>
      </c>
      <c r="H2603" s="115"/>
      <c r="I2603" s="115"/>
      <c r="L2603" s="169">
        <v>45839</v>
      </c>
      <c r="M2603" s="115">
        <v>838.9</v>
      </c>
      <c r="N2603" s="115">
        <v>858</v>
      </c>
      <c r="O2603" s="115">
        <v>819.4</v>
      </c>
      <c r="P2603" s="115">
        <v>845</v>
      </c>
      <c r="Q2603" s="115">
        <v>838.9</v>
      </c>
      <c r="R2603">
        <v>598479</v>
      </c>
    </row>
    <row r="2604" spans="1:18" x14ac:dyDescent="0.25">
      <c r="A2604" s="169">
        <v>45848</v>
      </c>
      <c r="B2604" s="115">
        <v>844</v>
      </c>
      <c r="C2604" s="115">
        <v>840.85</v>
      </c>
      <c r="D2604" s="115">
        <v>827.75</v>
      </c>
      <c r="E2604" s="115">
        <v>827.75</v>
      </c>
      <c r="F2604" s="115">
        <v>840.85</v>
      </c>
      <c r="G2604">
        <v>4762</v>
      </c>
      <c r="H2604" s="115"/>
      <c r="I2604" s="115"/>
      <c r="L2604" s="169">
        <v>45840</v>
      </c>
      <c r="M2604" s="115">
        <v>825.4</v>
      </c>
      <c r="N2604" s="115">
        <v>843.55</v>
      </c>
      <c r="O2604" s="115">
        <v>821.7</v>
      </c>
      <c r="P2604" s="115">
        <v>842.05</v>
      </c>
      <c r="Q2604" s="115">
        <v>825.4</v>
      </c>
      <c r="R2604">
        <v>41717</v>
      </c>
    </row>
    <row r="2605" spans="1:18" x14ac:dyDescent="0.25">
      <c r="A2605" s="169">
        <v>45849</v>
      </c>
      <c r="B2605" s="115">
        <v>889</v>
      </c>
      <c r="C2605" s="115">
        <v>881.55</v>
      </c>
      <c r="D2605" s="115">
        <v>839.55</v>
      </c>
      <c r="E2605" s="115">
        <v>842</v>
      </c>
      <c r="F2605" s="115">
        <v>881.55</v>
      </c>
      <c r="G2605">
        <v>14890</v>
      </c>
      <c r="H2605" s="115"/>
      <c r="I2605" s="115"/>
      <c r="L2605" s="169">
        <v>45841</v>
      </c>
      <c r="M2605" s="115">
        <v>821</v>
      </c>
      <c r="N2605" s="115">
        <v>829.65</v>
      </c>
      <c r="O2605" s="115">
        <v>815.1</v>
      </c>
      <c r="P2605" s="115">
        <v>825.95</v>
      </c>
      <c r="Q2605" s="115">
        <v>821</v>
      </c>
      <c r="R2605">
        <v>45250</v>
      </c>
    </row>
    <row r="2606" spans="1:18" x14ac:dyDescent="0.25">
      <c r="A2606" s="169">
        <v>45852</v>
      </c>
      <c r="B2606" s="115">
        <v>897.75</v>
      </c>
      <c r="C2606" s="115">
        <v>868.1</v>
      </c>
      <c r="D2606" s="115">
        <v>862.4</v>
      </c>
      <c r="E2606" s="115">
        <v>881.6</v>
      </c>
      <c r="F2606" s="115">
        <v>868.1</v>
      </c>
      <c r="G2606">
        <v>17829</v>
      </c>
      <c r="H2606" s="115"/>
      <c r="I2606" s="115"/>
      <c r="L2606" s="169">
        <v>45842</v>
      </c>
      <c r="M2606" s="115">
        <v>829.75</v>
      </c>
      <c r="N2606" s="115">
        <v>843</v>
      </c>
      <c r="O2606" s="115">
        <v>811.1</v>
      </c>
      <c r="P2606" s="115">
        <v>821.5</v>
      </c>
      <c r="Q2606" s="115">
        <v>829.75</v>
      </c>
      <c r="R2606">
        <v>65324</v>
      </c>
    </row>
    <row r="2607" spans="1:18" x14ac:dyDescent="0.25">
      <c r="A2607" s="169">
        <v>45853</v>
      </c>
      <c r="B2607" s="115">
        <v>877</v>
      </c>
      <c r="C2607" s="115">
        <v>871.6</v>
      </c>
      <c r="D2607" s="115">
        <v>862.2</v>
      </c>
      <c r="E2607" s="115">
        <v>865.95</v>
      </c>
      <c r="F2607" s="115">
        <v>871.6</v>
      </c>
      <c r="G2607">
        <v>9234</v>
      </c>
      <c r="H2607" s="115"/>
      <c r="I2607" s="115"/>
      <c r="L2607" s="169">
        <v>45845</v>
      </c>
      <c r="M2607" s="115">
        <v>819.65</v>
      </c>
      <c r="N2607" s="115">
        <v>836.15</v>
      </c>
      <c r="O2607" s="115">
        <v>815.9</v>
      </c>
      <c r="P2607" s="115">
        <v>820.1</v>
      </c>
      <c r="Q2607" s="115">
        <v>819.65</v>
      </c>
      <c r="R2607">
        <v>37099</v>
      </c>
    </row>
    <row r="2608" spans="1:18" x14ac:dyDescent="0.25">
      <c r="A2608" s="169">
        <v>45854</v>
      </c>
      <c r="B2608" s="115">
        <v>879.3</v>
      </c>
      <c r="C2608" s="115">
        <v>866.85</v>
      </c>
      <c r="D2608" s="115">
        <v>864</v>
      </c>
      <c r="E2608" s="115">
        <v>875.7</v>
      </c>
      <c r="F2608" s="115">
        <v>866.85</v>
      </c>
      <c r="G2608">
        <v>4148</v>
      </c>
      <c r="H2608" s="115"/>
      <c r="I2608" s="115"/>
      <c r="L2608" s="169">
        <v>45846</v>
      </c>
      <c r="M2608" s="115">
        <v>823.85</v>
      </c>
      <c r="N2608" s="115">
        <v>828</v>
      </c>
      <c r="O2608" s="115">
        <v>814.1</v>
      </c>
      <c r="P2608" s="115">
        <v>821</v>
      </c>
      <c r="Q2608" s="115">
        <v>823.85</v>
      </c>
      <c r="R2608">
        <v>53748</v>
      </c>
    </row>
    <row r="2609" spans="1:18" x14ac:dyDescent="0.25">
      <c r="A2609" s="169">
        <v>45855</v>
      </c>
      <c r="B2609" s="115">
        <v>883.25</v>
      </c>
      <c r="C2609" s="115">
        <v>879.85</v>
      </c>
      <c r="D2609" s="115">
        <v>868.05</v>
      </c>
      <c r="E2609" s="115">
        <v>871.15</v>
      </c>
      <c r="F2609" s="115">
        <v>879.85</v>
      </c>
      <c r="G2609">
        <v>3566</v>
      </c>
      <c r="H2609" s="115"/>
      <c r="I2609" s="115"/>
      <c r="L2609" s="169">
        <v>45847</v>
      </c>
      <c r="M2609" s="115">
        <v>826.5</v>
      </c>
      <c r="N2609" s="115">
        <v>829.3</v>
      </c>
      <c r="O2609" s="115">
        <v>817.05</v>
      </c>
      <c r="P2609" s="115">
        <v>825.05</v>
      </c>
      <c r="Q2609" s="115">
        <v>826.5</v>
      </c>
      <c r="R2609">
        <v>40529</v>
      </c>
    </row>
    <row r="2610" spans="1:18" x14ac:dyDescent="0.25">
      <c r="A2610" s="169">
        <v>45856</v>
      </c>
      <c r="B2610" s="115">
        <v>887.25</v>
      </c>
      <c r="C2610" s="115">
        <v>870.3</v>
      </c>
      <c r="D2610" s="115">
        <v>866.55</v>
      </c>
      <c r="E2610" s="115">
        <v>887.25</v>
      </c>
      <c r="F2610" s="115">
        <v>870.3</v>
      </c>
      <c r="G2610">
        <v>3186</v>
      </c>
      <c r="H2610" s="115"/>
      <c r="I2610" s="115"/>
      <c r="L2610" s="169">
        <v>45848</v>
      </c>
      <c r="M2610" s="115">
        <v>841.55</v>
      </c>
      <c r="N2610" s="115">
        <v>844.9</v>
      </c>
      <c r="O2610" s="115">
        <v>827.5</v>
      </c>
      <c r="P2610" s="115">
        <v>830.9</v>
      </c>
      <c r="Q2610" s="115">
        <v>841.55</v>
      </c>
      <c r="R2610">
        <v>67820</v>
      </c>
    </row>
    <row r="2611" spans="1:18" x14ac:dyDescent="0.25">
      <c r="A2611" s="169">
        <v>45859</v>
      </c>
      <c r="B2611" s="115">
        <v>871.2</v>
      </c>
      <c r="C2611" s="115">
        <v>868.4</v>
      </c>
      <c r="D2611" s="115">
        <v>851.25</v>
      </c>
      <c r="E2611" s="115">
        <v>870.25</v>
      </c>
      <c r="F2611" s="115">
        <v>868.4</v>
      </c>
      <c r="G2611">
        <v>3788</v>
      </c>
      <c r="H2611" s="115"/>
      <c r="I2611" s="115"/>
      <c r="L2611" s="169">
        <v>45849</v>
      </c>
      <c r="M2611" s="115">
        <v>879.75</v>
      </c>
      <c r="N2611" s="115">
        <v>889.9</v>
      </c>
      <c r="O2611" s="115">
        <v>838.05</v>
      </c>
      <c r="P2611" s="115">
        <v>847</v>
      </c>
      <c r="Q2611" s="115">
        <v>879.75</v>
      </c>
      <c r="R2611">
        <v>453260</v>
      </c>
    </row>
    <row r="2612" spans="1:18" x14ac:dyDescent="0.25">
      <c r="A2612" s="169">
        <v>45860</v>
      </c>
      <c r="B2612" s="115">
        <v>874.5</v>
      </c>
      <c r="C2612" s="115">
        <v>867.05</v>
      </c>
      <c r="D2612" s="115">
        <v>855.05</v>
      </c>
      <c r="E2612" s="115">
        <v>855.05</v>
      </c>
      <c r="F2612" s="115">
        <v>867.05</v>
      </c>
      <c r="G2612">
        <v>2982</v>
      </c>
      <c r="H2612" s="115"/>
      <c r="I2612" s="115"/>
      <c r="L2612" s="169">
        <v>45852</v>
      </c>
      <c r="M2612" s="115">
        <v>867.95</v>
      </c>
      <c r="N2612" s="115">
        <v>898</v>
      </c>
      <c r="O2612" s="115">
        <v>861.5</v>
      </c>
      <c r="P2612" s="115">
        <v>880</v>
      </c>
      <c r="Q2612" s="115">
        <v>867.95</v>
      </c>
      <c r="R2612">
        <v>584308</v>
      </c>
    </row>
    <row r="2613" spans="1:18" x14ac:dyDescent="0.25">
      <c r="A2613" s="169">
        <v>45861</v>
      </c>
      <c r="B2613" s="115">
        <v>888</v>
      </c>
      <c r="C2613" s="115">
        <v>884.3</v>
      </c>
      <c r="D2613" s="115">
        <v>857.05</v>
      </c>
      <c r="E2613" s="115">
        <v>857.05</v>
      </c>
      <c r="F2613" s="115">
        <v>884.3</v>
      </c>
      <c r="G2613">
        <v>6916</v>
      </c>
      <c r="H2613" s="115"/>
      <c r="I2613" s="115"/>
      <c r="L2613" s="169">
        <v>45853</v>
      </c>
      <c r="M2613" s="115">
        <v>871.95</v>
      </c>
      <c r="N2613" s="115">
        <v>880</v>
      </c>
      <c r="O2613" s="115">
        <v>862.5</v>
      </c>
      <c r="P2613" s="115">
        <v>863</v>
      </c>
      <c r="Q2613" s="115">
        <v>871.95</v>
      </c>
      <c r="R2613">
        <v>190945</v>
      </c>
    </row>
    <row r="2614" spans="1:18" x14ac:dyDescent="0.25">
      <c r="A2614" s="169">
        <v>45862</v>
      </c>
      <c r="B2614" s="115">
        <v>899.95</v>
      </c>
      <c r="C2614" s="115">
        <v>878.45</v>
      </c>
      <c r="D2614" s="115">
        <v>876.65</v>
      </c>
      <c r="E2614" s="115">
        <v>890</v>
      </c>
      <c r="F2614" s="115">
        <v>878.45</v>
      </c>
      <c r="G2614">
        <v>7182</v>
      </c>
      <c r="H2614" s="115"/>
      <c r="I2614" s="115"/>
      <c r="L2614" s="169">
        <v>45854</v>
      </c>
      <c r="M2614" s="115">
        <v>867.25</v>
      </c>
      <c r="N2614" s="115">
        <v>880.7</v>
      </c>
      <c r="O2614" s="115">
        <v>864</v>
      </c>
      <c r="P2614" s="115">
        <v>878</v>
      </c>
      <c r="Q2614" s="115">
        <v>867.25</v>
      </c>
      <c r="R2614">
        <v>41570</v>
      </c>
    </row>
    <row r="2615" spans="1:18" x14ac:dyDescent="0.25">
      <c r="A2615" s="169">
        <v>45863</v>
      </c>
      <c r="B2615" s="115">
        <v>878</v>
      </c>
      <c r="C2615" s="115">
        <v>853.15</v>
      </c>
      <c r="D2615" s="115">
        <v>842</v>
      </c>
      <c r="E2615" s="115">
        <v>871.05</v>
      </c>
      <c r="F2615" s="115">
        <v>853.15</v>
      </c>
      <c r="G2615">
        <v>10085</v>
      </c>
      <c r="H2615" s="115"/>
      <c r="I2615" s="115"/>
      <c r="L2615" s="169">
        <v>45855</v>
      </c>
      <c r="M2615" s="115">
        <v>880.55</v>
      </c>
      <c r="N2615" s="115">
        <v>885</v>
      </c>
      <c r="O2615" s="115">
        <v>863</v>
      </c>
      <c r="P2615" s="115">
        <v>870</v>
      </c>
      <c r="Q2615" s="115">
        <v>880.55</v>
      </c>
      <c r="R2615">
        <v>95984</v>
      </c>
    </row>
    <row r="2616" spans="1:18" x14ac:dyDescent="0.25">
      <c r="A2616" s="169">
        <v>45866</v>
      </c>
      <c r="B2616" s="115">
        <v>892.3</v>
      </c>
      <c r="C2616" s="115">
        <v>859.85</v>
      </c>
      <c r="D2616" s="115">
        <v>830.05</v>
      </c>
      <c r="E2616" s="115">
        <v>830.05</v>
      </c>
      <c r="F2616" s="115">
        <v>859.85</v>
      </c>
      <c r="G2616">
        <v>11783</v>
      </c>
      <c r="H2616" s="115"/>
      <c r="I2616" s="115"/>
      <c r="L2616" s="169">
        <v>45856</v>
      </c>
      <c r="M2616" s="115">
        <v>872.15</v>
      </c>
      <c r="N2616" s="115">
        <v>885.2</v>
      </c>
      <c r="O2616" s="115">
        <v>865.95</v>
      </c>
      <c r="P2616" s="115">
        <v>885.05</v>
      </c>
      <c r="Q2616" s="115">
        <v>872.15</v>
      </c>
      <c r="R2616">
        <v>102721</v>
      </c>
    </row>
    <row r="2617" spans="1:18" x14ac:dyDescent="0.25">
      <c r="A2617" s="169">
        <v>45867</v>
      </c>
      <c r="B2617" s="115">
        <v>863</v>
      </c>
      <c r="C2617" s="115">
        <v>854.8</v>
      </c>
      <c r="D2617" s="115">
        <v>843.05</v>
      </c>
      <c r="E2617" s="115">
        <v>843.05</v>
      </c>
      <c r="F2617" s="115">
        <v>854.8</v>
      </c>
      <c r="G2617">
        <v>5778</v>
      </c>
      <c r="H2617" s="115"/>
      <c r="I2617" s="115"/>
      <c r="L2617" s="169">
        <v>45859</v>
      </c>
      <c r="M2617" s="115">
        <v>868.25</v>
      </c>
      <c r="N2617" s="115">
        <v>874.8</v>
      </c>
      <c r="O2617" s="115">
        <v>851.65</v>
      </c>
      <c r="P2617" s="115">
        <v>873</v>
      </c>
      <c r="Q2617" s="115">
        <v>868.25</v>
      </c>
      <c r="R2617">
        <v>61239</v>
      </c>
    </row>
    <row r="2618" spans="1:18" x14ac:dyDescent="0.25">
      <c r="A2618" s="169">
        <v>45868</v>
      </c>
      <c r="B2618" s="115">
        <v>860.45</v>
      </c>
      <c r="C2618" s="115">
        <v>853.65</v>
      </c>
      <c r="D2618" s="115">
        <v>852.15</v>
      </c>
      <c r="E2618" s="115">
        <v>852.15</v>
      </c>
      <c r="F2618" s="115">
        <v>853.65</v>
      </c>
      <c r="G2618">
        <v>1978</v>
      </c>
      <c r="H2618" s="115"/>
      <c r="I2618" s="115"/>
      <c r="L2618" s="169">
        <v>45860</v>
      </c>
      <c r="M2618" s="115">
        <v>868.5</v>
      </c>
      <c r="N2618" s="115">
        <v>874.1</v>
      </c>
      <c r="O2618" s="115">
        <v>860</v>
      </c>
      <c r="P2618" s="115">
        <v>871.95</v>
      </c>
      <c r="Q2618" s="115">
        <v>868.5</v>
      </c>
      <c r="R2618">
        <v>34135</v>
      </c>
    </row>
    <row r="2619" spans="1:18" x14ac:dyDescent="0.25">
      <c r="A2619" s="169">
        <v>45869</v>
      </c>
      <c r="B2619" s="115">
        <v>851.3</v>
      </c>
      <c r="C2619" s="115">
        <v>840.2</v>
      </c>
      <c r="D2619" s="115">
        <v>833.9</v>
      </c>
      <c r="E2619" s="115">
        <v>840.5</v>
      </c>
      <c r="F2619" s="115">
        <v>840.2</v>
      </c>
      <c r="G2619">
        <v>2581</v>
      </c>
      <c r="H2619" s="115"/>
      <c r="I2619" s="115"/>
      <c r="L2619" s="169">
        <v>45861</v>
      </c>
      <c r="M2619" s="115">
        <v>884.1</v>
      </c>
      <c r="N2619" s="115">
        <v>887</v>
      </c>
      <c r="O2619" s="115">
        <v>864</v>
      </c>
      <c r="P2619" s="115">
        <v>872.9</v>
      </c>
      <c r="Q2619" s="115">
        <v>884.1</v>
      </c>
      <c r="R2619">
        <v>89974</v>
      </c>
    </row>
    <row r="2620" spans="1:18" x14ac:dyDescent="0.25">
      <c r="A2620" s="169">
        <v>45870</v>
      </c>
      <c r="B2620" s="115">
        <v>850.45</v>
      </c>
      <c r="C2620" s="115">
        <v>841.7</v>
      </c>
      <c r="D2620" s="115">
        <v>835.7</v>
      </c>
      <c r="E2620" s="115">
        <v>849.95</v>
      </c>
      <c r="F2620" s="115">
        <v>841.7</v>
      </c>
      <c r="G2620">
        <v>4975</v>
      </c>
      <c r="H2620" s="115"/>
      <c r="I2620" s="115"/>
      <c r="L2620" s="169">
        <v>45862</v>
      </c>
      <c r="M2620" s="115">
        <v>880.85</v>
      </c>
      <c r="N2620" s="115">
        <v>900</v>
      </c>
      <c r="O2620" s="115">
        <v>877.9</v>
      </c>
      <c r="P2620" s="115">
        <v>887</v>
      </c>
      <c r="Q2620" s="115">
        <v>880.85</v>
      </c>
      <c r="R2620">
        <v>119450</v>
      </c>
    </row>
    <row r="2621" spans="1:18" x14ac:dyDescent="0.25">
      <c r="A2621" s="169">
        <v>45873</v>
      </c>
      <c r="B2621" s="115">
        <v>843.4</v>
      </c>
      <c r="C2621" s="115">
        <v>828.65</v>
      </c>
      <c r="D2621" s="115">
        <v>820.55</v>
      </c>
      <c r="E2621" s="115">
        <v>822.2</v>
      </c>
      <c r="F2621" s="115">
        <v>828.65</v>
      </c>
      <c r="G2621">
        <v>4023</v>
      </c>
      <c r="H2621" s="115"/>
      <c r="I2621" s="115"/>
      <c r="L2621" s="169">
        <v>45863</v>
      </c>
      <c r="M2621" s="115">
        <v>850.25</v>
      </c>
      <c r="N2621" s="115">
        <v>884.7</v>
      </c>
      <c r="O2621" s="115">
        <v>842</v>
      </c>
      <c r="P2621" s="115">
        <v>880.85</v>
      </c>
      <c r="Q2621" s="115">
        <v>850.25</v>
      </c>
      <c r="R2621">
        <v>96167</v>
      </c>
    </row>
    <row r="2622" spans="1:18" x14ac:dyDescent="0.25">
      <c r="A2622" s="169">
        <v>45874</v>
      </c>
      <c r="B2622" s="115">
        <v>846.1</v>
      </c>
      <c r="C2622" s="115">
        <v>839.8</v>
      </c>
      <c r="D2622" s="115">
        <v>824</v>
      </c>
      <c r="E2622" s="115">
        <v>826</v>
      </c>
      <c r="F2622" s="115">
        <v>839.8</v>
      </c>
      <c r="G2622">
        <v>1639</v>
      </c>
      <c r="H2622" s="115"/>
      <c r="I2622" s="115"/>
      <c r="L2622" s="169">
        <v>45866</v>
      </c>
      <c r="M2622" s="115">
        <v>859.85</v>
      </c>
      <c r="N2622" s="115">
        <v>891.95</v>
      </c>
      <c r="O2622" s="115">
        <v>851.05</v>
      </c>
      <c r="P2622" s="115">
        <v>851.05</v>
      </c>
      <c r="Q2622" s="115">
        <v>859.85</v>
      </c>
      <c r="R2622">
        <v>224389</v>
      </c>
    </row>
    <row r="2623" spans="1:18" x14ac:dyDescent="0.25">
      <c r="A2623" s="169">
        <v>45875</v>
      </c>
      <c r="B2623" s="115">
        <v>843.65</v>
      </c>
      <c r="C2623" s="115">
        <v>830.55</v>
      </c>
      <c r="D2623" s="115">
        <v>828.75</v>
      </c>
      <c r="E2623" s="115">
        <v>843.65</v>
      </c>
      <c r="F2623" s="115">
        <v>830.55</v>
      </c>
      <c r="G2623">
        <v>1537</v>
      </c>
      <c r="H2623" s="115"/>
      <c r="I2623" s="115"/>
      <c r="L2623" s="169">
        <v>45867</v>
      </c>
      <c r="M2623" s="115">
        <v>855.45</v>
      </c>
      <c r="N2623" s="115">
        <v>864.15</v>
      </c>
      <c r="O2623" s="115">
        <v>845.7</v>
      </c>
      <c r="P2623" s="115">
        <v>859.95</v>
      </c>
      <c r="Q2623" s="115">
        <v>855.45</v>
      </c>
      <c r="R2623">
        <v>63009</v>
      </c>
    </row>
    <row r="2624" spans="1:18" x14ac:dyDescent="0.25">
      <c r="A2624" s="169">
        <v>45876</v>
      </c>
      <c r="B2624" s="115">
        <v>832.95</v>
      </c>
      <c r="C2624" s="115">
        <v>831.8</v>
      </c>
      <c r="D2624" s="115">
        <v>814.3</v>
      </c>
      <c r="E2624" s="115">
        <v>814.3</v>
      </c>
      <c r="F2624" s="115">
        <v>831.8</v>
      </c>
      <c r="G2624">
        <v>1076</v>
      </c>
      <c r="H2624" s="115"/>
      <c r="I2624" s="115"/>
      <c r="L2624" s="169">
        <v>45868</v>
      </c>
      <c r="M2624" s="115">
        <v>855.5</v>
      </c>
      <c r="N2624" s="115">
        <v>862</v>
      </c>
      <c r="O2624" s="115">
        <v>852.25</v>
      </c>
      <c r="P2624" s="115">
        <v>859</v>
      </c>
      <c r="Q2624" s="115">
        <v>855.5</v>
      </c>
      <c r="R2624">
        <v>25972</v>
      </c>
    </row>
    <row r="2625" spans="1:18" x14ac:dyDescent="0.25">
      <c r="A2625" s="169">
        <v>45877</v>
      </c>
      <c r="B2625" s="115">
        <v>840.45</v>
      </c>
      <c r="C2625" s="115">
        <v>814.55</v>
      </c>
      <c r="D2625" s="115">
        <v>810.55</v>
      </c>
      <c r="E2625" s="115">
        <v>830.9</v>
      </c>
      <c r="F2625" s="115">
        <v>814.55</v>
      </c>
      <c r="G2625">
        <v>6772</v>
      </c>
      <c r="H2625" s="115"/>
      <c r="I2625" s="115"/>
      <c r="L2625" s="169">
        <v>45869</v>
      </c>
      <c r="M2625" s="115">
        <v>838.6</v>
      </c>
      <c r="N2625" s="115">
        <v>853</v>
      </c>
      <c r="O2625" s="115">
        <v>831</v>
      </c>
      <c r="P2625" s="115">
        <v>847.7</v>
      </c>
      <c r="Q2625" s="115">
        <v>838.6</v>
      </c>
      <c r="R2625">
        <v>30966</v>
      </c>
    </row>
    <row r="2626" spans="1:18" x14ac:dyDescent="0.25">
      <c r="A2626" s="169">
        <v>45880</v>
      </c>
      <c r="B2626" s="115">
        <v>800.55</v>
      </c>
      <c r="C2626" s="115">
        <v>796.65</v>
      </c>
      <c r="D2626" s="115">
        <v>770</v>
      </c>
      <c r="E2626" s="115">
        <v>800</v>
      </c>
      <c r="F2626" s="115">
        <v>796.65</v>
      </c>
      <c r="G2626">
        <v>4709</v>
      </c>
      <c r="H2626" s="115"/>
      <c r="I2626" s="115"/>
      <c r="L2626" s="169">
        <v>45870</v>
      </c>
      <c r="M2626" s="115">
        <v>842.6</v>
      </c>
      <c r="N2626" s="115">
        <v>852</v>
      </c>
      <c r="O2626" s="115">
        <v>835</v>
      </c>
      <c r="P2626" s="115">
        <v>835</v>
      </c>
      <c r="Q2626" s="115">
        <v>842.6</v>
      </c>
      <c r="R2626">
        <v>44286</v>
      </c>
    </row>
    <row r="2627" spans="1:18" x14ac:dyDescent="0.25">
      <c r="A2627" s="169">
        <v>45881</v>
      </c>
      <c r="B2627" s="115">
        <v>798.65</v>
      </c>
      <c r="C2627" s="115">
        <v>791.1</v>
      </c>
      <c r="D2627" s="115">
        <v>785.55</v>
      </c>
      <c r="E2627" s="115">
        <v>795.3</v>
      </c>
      <c r="F2627" s="115">
        <v>791.1</v>
      </c>
      <c r="G2627">
        <v>2714</v>
      </c>
      <c r="H2627" s="115"/>
      <c r="I2627" s="115"/>
      <c r="L2627" s="169">
        <v>45873</v>
      </c>
      <c r="M2627" s="115">
        <v>828.7</v>
      </c>
      <c r="N2627" s="115">
        <v>844.95</v>
      </c>
      <c r="O2627" s="115">
        <v>821</v>
      </c>
      <c r="P2627" s="115">
        <v>844.95</v>
      </c>
      <c r="Q2627" s="115">
        <v>828.7</v>
      </c>
      <c r="R2627">
        <v>49618</v>
      </c>
    </row>
    <row r="2628" spans="1:18" x14ac:dyDescent="0.25">
      <c r="A2628" s="169">
        <v>45882</v>
      </c>
      <c r="B2628" s="115">
        <v>800</v>
      </c>
      <c r="C2628" s="115">
        <v>794.55</v>
      </c>
      <c r="D2628" s="115">
        <v>778.5</v>
      </c>
      <c r="E2628" s="115">
        <v>790</v>
      </c>
      <c r="F2628" s="115">
        <v>794.55</v>
      </c>
      <c r="G2628">
        <v>4276</v>
      </c>
      <c r="H2628" s="115"/>
      <c r="I2628" s="115"/>
      <c r="L2628" s="169">
        <v>45874</v>
      </c>
      <c r="M2628" s="115">
        <v>845.15</v>
      </c>
      <c r="N2628" s="115">
        <v>855</v>
      </c>
      <c r="O2628" s="115">
        <v>821.2</v>
      </c>
      <c r="P2628" s="115">
        <v>821.2</v>
      </c>
      <c r="Q2628" s="115">
        <v>845.15</v>
      </c>
      <c r="R2628">
        <v>53202</v>
      </c>
    </row>
    <row r="2629" spans="1:18" x14ac:dyDescent="0.25">
      <c r="A2629" s="169">
        <v>45883</v>
      </c>
      <c r="B2629" s="115">
        <v>805.2</v>
      </c>
      <c r="C2629" s="115">
        <v>801.4</v>
      </c>
      <c r="D2629" s="115">
        <v>783.05</v>
      </c>
      <c r="E2629" s="115">
        <v>792</v>
      </c>
      <c r="F2629" s="115">
        <v>801.4</v>
      </c>
      <c r="G2629">
        <v>1283</v>
      </c>
      <c r="H2629" s="115"/>
      <c r="I2629" s="115"/>
      <c r="L2629" s="169">
        <v>45875</v>
      </c>
      <c r="M2629" s="115">
        <v>830.9</v>
      </c>
      <c r="N2629" s="115">
        <v>849.6</v>
      </c>
      <c r="O2629" s="115">
        <v>828.05</v>
      </c>
      <c r="P2629" s="115">
        <v>837.5</v>
      </c>
      <c r="Q2629" s="115">
        <v>830.9</v>
      </c>
      <c r="R2629">
        <v>24952</v>
      </c>
    </row>
    <row r="2630" spans="1:18" x14ac:dyDescent="0.25">
      <c r="A2630" s="169">
        <v>45887</v>
      </c>
      <c r="B2630" s="115">
        <v>827</v>
      </c>
      <c r="C2630" s="115">
        <v>817</v>
      </c>
      <c r="D2630" s="115">
        <v>790.65</v>
      </c>
      <c r="E2630" s="115">
        <v>805</v>
      </c>
      <c r="F2630" s="115">
        <v>817</v>
      </c>
      <c r="G2630">
        <v>5240</v>
      </c>
      <c r="H2630" s="115"/>
      <c r="I2630" s="115"/>
      <c r="L2630" s="169">
        <v>45876</v>
      </c>
      <c r="M2630" s="115">
        <v>831.1</v>
      </c>
      <c r="N2630" s="115">
        <v>835.3</v>
      </c>
      <c r="O2630" s="115">
        <v>818.8</v>
      </c>
      <c r="P2630" s="115">
        <v>823.3</v>
      </c>
      <c r="Q2630" s="115">
        <v>831.1</v>
      </c>
      <c r="R2630">
        <v>46686</v>
      </c>
    </row>
    <row r="2631" spans="1:18" x14ac:dyDescent="0.25">
      <c r="A2631" s="169">
        <v>45888</v>
      </c>
      <c r="B2631" s="115">
        <v>815</v>
      </c>
      <c r="C2631" s="115">
        <v>808.85</v>
      </c>
      <c r="D2631" s="115">
        <v>800</v>
      </c>
      <c r="E2631" s="115">
        <v>814.9</v>
      </c>
      <c r="F2631" s="115">
        <v>808.85</v>
      </c>
      <c r="G2631">
        <v>3220</v>
      </c>
      <c r="H2631" s="115"/>
      <c r="I2631" s="115"/>
      <c r="L2631" s="169">
        <v>45877</v>
      </c>
      <c r="M2631" s="115">
        <v>817.4</v>
      </c>
      <c r="N2631" s="115">
        <v>849</v>
      </c>
      <c r="O2631" s="115">
        <v>811.85</v>
      </c>
      <c r="P2631" s="115">
        <v>835</v>
      </c>
      <c r="Q2631" s="115">
        <v>817.4</v>
      </c>
      <c r="R2631">
        <v>55930</v>
      </c>
    </row>
    <row r="2632" spans="1:18" x14ac:dyDescent="0.25">
      <c r="A2632" s="169">
        <v>45889</v>
      </c>
      <c r="B2632" s="115">
        <v>808.85</v>
      </c>
      <c r="C2632" s="115">
        <v>800.7</v>
      </c>
      <c r="D2632" s="115">
        <v>799.25</v>
      </c>
      <c r="E2632" s="115">
        <v>808.85</v>
      </c>
      <c r="F2632" s="115">
        <v>800.7</v>
      </c>
      <c r="G2632">
        <v>2522</v>
      </c>
      <c r="H2632" s="115"/>
      <c r="I2632" s="115"/>
      <c r="L2632" s="169">
        <v>45880</v>
      </c>
      <c r="M2632" s="115">
        <v>795.4</v>
      </c>
      <c r="N2632" s="115">
        <v>807</v>
      </c>
      <c r="O2632" s="115">
        <v>766.8</v>
      </c>
      <c r="P2632" s="115">
        <v>792.3</v>
      </c>
      <c r="Q2632" s="115">
        <v>795.4</v>
      </c>
      <c r="R2632">
        <v>138916</v>
      </c>
    </row>
    <row r="2633" spans="1:18" x14ac:dyDescent="0.25">
      <c r="A2633" s="169">
        <v>45890</v>
      </c>
      <c r="B2633" s="115">
        <v>806.2</v>
      </c>
      <c r="C2633" s="115">
        <v>796.65</v>
      </c>
      <c r="D2633" s="115">
        <v>791.55</v>
      </c>
      <c r="E2633" s="115">
        <v>801.05</v>
      </c>
      <c r="F2633" s="115">
        <v>796.65</v>
      </c>
      <c r="G2633">
        <v>2520</v>
      </c>
      <c r="H2633" s="115"/>
      <c r="I2633" s="115"/>
      <c r="L2633" s="169">
        <v>45881</v>
      </c>
      <c r="M2633" s="115">
        <v>790.55</v>
      </c>
      <c r="N2633" s="115">
        <v>800.75</v>
      </c>
      <c r="O2633" s="115">
        <v>785.5</v>
      </c>
      <c r="P2633" s="115">
        <v>799.6</v>
      </c>
      <c r="Q2633" s="115">
        <v>790.55</v>
      </c>
      <c r="R2633">
        <v>38721</v>
      </c>
    </row>
    <row r="2634" spans="1:18" x14ac:dyDescent="0.25">
      <c r="A2634" s="169">
        <v>45891</v>
      </c>
      <c r="B2634" s="115">
        <v>815.2</v>
      </c>
      <c r="C2634" s="115">
        <v>806.6</v>
      </c>
      <c r="D2634" s="115">
        <v>790.85</v>
      </c>
      <c r="E2634" s="115">
        <v>797</v>
      </c>
      <c r="F2634" s="115">
        <v>806.6</v>
      </c>
      <c r="G2634">
        <v>2344</v>
      </c>
      <c r="H2634" s="115"/>
      <c r="I2634" s="115"/>
      <c r="L2634" s="169">
        <v>45882</v>
      </c>
      <c r="M2634" s="115">
        <v>794.9</v>
      </c>
      <c r="N2634" s="115">
        <v>801.15</v>
      </c>
      <c r="O2634" s="115">
        <v>778.1</v>
      </c>
      <c r="P2634" s="115">
        <v>795.05</v>
      </c>
      <c r="Q2634" s="115">
        <v>794.9</v>
      </c>
      <c r="R2634">
        <v>74214</v>
      </c>
    </row>
    <row r="2635" spans="1:18" x14ac:dyDescent="0.25">
      <c r="A2635" s="169">
        <v>45894</v>
      </c>
      <c r="B2635" s="115">
        <v>817.35</v>
      </c>
      <c r="C2635" s="115">
        <v>804.95</v>
      </c>
      <c r="D2635" s="115">
        <v>798.05</v>
      </c>
      <c r="E2635" s="115">
        <v>805</v>
      </c>
      <c r="F2635" s="115">
        <v>804.95</v>
      </c>
      <c r="G2635">
        <v>1090</v>
      </c>
      <c r="H2635" s="115"/>
      <c r="I2635" s="115"/>
      <c r="L2635" s="169">
        <v>45883</v>
      </c>
      <c r="M2635" s="115">
        <v>800.55</v>
      </c>
      <c r="N2635" s="115">
        <v>807</v>
      </c>
      <c r="O2635" s="115">
        <v>783.8</v>
      </c>
      <c r="P2635" s="115">
        <v>799.1</v>
      </c>
      <c r="Q2635" s="115">
        <v>800.55</v>
      </c>
      <c r="R2635">
        <v>41791</v>
      </c>
    </row>
    <row r="2636" spans="1:18" x14ac:dyDescent="0.25">
      <c r="A2636" s="169">
        <v>45895</v>
      </c>
      <c r="B2636" s="115">
        <v>917.9</v>
      </c>
      <c r="C2636" s="115">
        <v>840.75</v>
      </c>
      <c r="D2636" s="115">
        <v>790.95</v>
      </c>
      <c r="E2636" s="115">
        <v>801.05</v>
      </c>
      <c r="F2636" s="115">
        <v>840.75</v>
      </c>
      <c r="G2636">
        <v>560063</v>
      </c>
      <c r="H2636" s="115"/>
      <c r="I2636" s="115"/>
      <c r="L2636" s="169">
        <v>45887</v>
      </c>
      <c r="M2636" s="115">
        <v>816.6</v>
      </c>
      <c r="N2636" s="115">
        <v>828</v>
      </c>
      <c r="O2636" s="115">
        <v>791.05</v>
      </c>
      <c r="P2636" s="115">
        <v>805</v>
      </c>
      <c r="Q2636" s="115">
        <v>816.6</v>
      </c>
      <c r="R2636">
        <v>138498</v>
      </c>
    </row>
    <row r="2637" spans="1:18" x14ac:dyDescent="0.25">
      <c r="A2637" s="169">
        <v>45897</v>
      </c>
      <c r="B2637" s="115">
        <v>839.5</v>
      </c>
      <c r="C2637" s="115">
        <v>814.7</v>
      </c>
      <c r="D2637" s="115">
        <v>809.05</v>
      </c>
      <c r="E2637" s="115">
        <v>830.55</v>
      </c>
      <c r="F2637" s="115">
        <v>814.7</v>
      </c>
      <c r="G2637">
        <v>51724</v>
      </c>
      <c r="H2637" s="115"/>
      <c r="I2637" s="115"/>
      <c r="L2637" s="169">
        <v>45888</v>
      </c>
      <c r="M2637" s="115">
        <v>806.65</v>
      </c>
      <c r="N2637" s="115">
        <v>819</v>
      </c>
      <c r="O2637" s="115">
        <v>799.45</v>
      </c>
      <c r="P2637" s="115">
        <v>809.8</v>
      </c>
      <c r="Q2637" s="115">
        <v>806.65</v>
      </c>
      <c r="R2637">
        <v>43278</v>
      </c>
    </row>
    <row r="2638" spans="1:18" x14ac:dyDescent="0.25">
      <c r="A2638" s="169">
        <v>45898</v>
      </c>
      <c r="B2638" s="115">
        <v>833.25</v>
      </c>
      <c r="C2638" s="115">
        <v>825.4</v>
      </c>
      <c r="D2638" s="115">
        <v>792.75</v>
      </c>
      <c r="E2638" s="115">
        <v>816</v>
      </c>
      <c r="F2638" s="115">
        <v>825.4</v>
      </c>
      <c r="G2638">
        <v>10035</v>
      </c>
      <c r="H2638" s="115"/>
      <c r="I2638" s="115"/>
      <c r="L2638" s="169">
        <v>45889</v>
      </c>
      <c r="M2638" s="115">
        <v>801.35</v>
      </c>
      <c r="N2638" s="115">
        <v>809.55</v>
      </c>
      <c r="O2638" s="115">
        <v>800</v>
      </c>
      <c r="P2638" s="115">
        <v>805.1</v>
      </c>
      <c r="Q2638" s="115">
        <v>801.35</v>
      </c>
      <c r="R2638">
        <v>18027</v>
      </c>
    </row>
    <row r="2639" spans="1:18" x14ac:dyDescent="0.25">
      <c r="A2639" s="169">
        <v>45901</v>
      </c>
      <c r="B2639" s="115">
        <v>831.95</v>
      </c>
      <c r="C2639" s="115">
        <v>820</v>
      </c>
      <c r="D2639" s="115">
        <v>817.4</v>
      </c>
      <c r="E2639" s="115">
        <v>825.4</v>
      </c>
      <c r="F2639" s="115">
        <v>820</v>
      </c>
      <c r="G2639">
        <v>4170</v>
      </c>
      <c r="H2639" s="115"/>
      <c r="I2639" s="115"/>
      <c r="L2639" s="169">
        <v>45890</v>
      </c>
      <c r="M2639" s="115">
        <v>795.4</v>
      </c>
      <c r="N2639" s="115">
        <v>808.25</v>
      </c>
      <c r="O2639" s="115">
        <v>791</v>
      </c>
      <c r="P2639" s="115">
        <v>805.55</v>
      </c>
      <c r="Q2639" s="115">
        <v>795.4</v>
      </c>
      <c r="R2639">
        <v>79864</v>
      </c>
    </row>
    <row r="2640" spans="1:18" x14ac:dyDescent="0.25">
      <c r="A2640" s="169">
        <v>45902</v>
      </c>
      <c r="B2640" s="115">
        <v>837.45</v>
      </c>
      <c r="C2640" s="115">
        <v>830.85</v>
      </c>
      <c r="D2640" s="115">
        <v>810.3</v>
      </c>
      <c r="E2640" s="115">
        <v>817.75</v>
      </c>
      <c r="F2640" s="115">
        <v>830.85</v>
      </c>
      <c r="G2640">
        <v>5193</v>
      </c>
      <c r="H2640" s="115"/>
      <c r="I2640" s="115"/>
      <c r="L2640" s="169">
        <v>45891</v>
      </c>
      <c r="M2640" s="115">
        <v>810.1</v>
      </c>
      <c r="N2640" s="115">
        <v>816.4</v>
      </c>
      <c r="O2640" s="115">
        <v>791</v>
      </c>
      <c r="P2640" s="115">
        <v>798</v>
      </c>
      <c r="Q2640" s="115">
        <v>810.1</v>
      </c>
      <c r="R2640">
        <v>43157</v>
      </c>
    </row>
    <row r="2641" spans="1:18" x14ac:dyDescent="0.25">
      <c r="A2641" s="169">
        <v>45903</v>
      </c>
      <c r="B2641" s="115">
        <v>851</v>
      </c>
      <c r="C2641" s="115">
        <v>842.4</v>
      </c>
      <c r="D2641" s="115">
        <v>810.1</v>
      </c>
      <c r="E2641" s="115">
        <v>810.1</v>
      </c>
      <c r="F2641" s="115">
        <v>842.4</v>
      </c>
      <c r="G2641">
        <v>4767</v>
      </c>
      <c r="H2641" s="115"/>
      <c r="I2641" s="115"/>
      <c r="L2641" s="169">
        <v>45894</v>
      </c>
      <c r="M2641" s="115">
        <v>806.55</v>
      </c>
      <c r="N2641" s="115">
        <v>819</v>
      </c>
      <c r="O2641" s="115">
        <v>797.85</v>
      </c>
      <c r="P2641" s="115">
        <v>814.4</v>
      </c>
      <c r="Q2641" s="115">
        <v>806.55</v>
      </c>
      <c r="R2641">
        <v>63619</v>
      </c>
    </row>
    <row r="2642" spans="1:18" x14ac:dyDescent="0.25">
      <c r="A2642" s="169">
        <v>45904</v>
      </c>
      <c r="B2642" s="115">
        <v>848.45</v>
      </c>
      <c r="C2642" s="115">
        <v>815.5</v>
      </c>
      <c r="D2642" s="115">
        <v>811</v>
      </c>
      <c r="E2642" s="115">
        <v>825</v>
      </c>
      <c r="F2642" s="115">
        <v>815.5</v>
      </c>
      <c r="G2642">
        <v>2899</v>
      </c>
      <c r="H2642" s="115"/>
      <c r="I2642" s="115"/>
      <c r="L2642" s="169">
        <v>45895</v>
      </c>
      <c r="M2642" s="115">
        <v>840.3</v>
      </c>
      <c r="N2642" s="115">
        <v>912</v>
      </c>
      <c r="O2642" s="115">
        <v>790.25</v>
      </c>
      <c r="P2642" s="115">
        <v>806.5</v>
      </c>
      <c r="Q2642" s="115">
        <v>840.3</v>
      </c>
      <c r="R2642">
        <v>7958826</v>
      </c>
    </row>
    <row r="2643" spans="1:18" x14ac:dyDescent="0.25">
      <c r="A2643" s="169">
        <v>45905</v>
      </c>
      <c r="B2643" s="115">
        <v>825</v>
      </c>
      <c r="C2643" s="115">
        <v>821.05</v>
      </c>
      <c r="D2643" s="115">
        <v>810.95</v>
      </c>
      <c r="E2643" s="115">
        <v>819.25</v>
      </c>
      <c r="F2643" s="115">
        <v>821.05</v>
      </c>
      <c r="G2643">
        <v>3041</v>
      </c>
      <c r="H2643" s="115"/>
      <c r="I2643" s="115"/>
      <c r="L2643" s="169">
        <v>45897</v>
      </c>
      <c r="M2643" s="115">
        <v>816.1</v>
      </c>
      <c r="N2643" s="115">
        <v>839.45</v>
      </c>
      <c r="O2643" s="115">
        <v>807</v>
      </c>
      <c r="P2643" s="115">
        <v>835</v>
      </c>
      <c r="Q2643" s="115">
        <v>816.1</v>
      </c>
      <c r="R2643">
        <v>589016</v>
      </c>
    </row>
    <row r="2644" spans="1:18" x14ac:dyDescent="0.25">
      <c r="A2644" s="169">
        <v>45908</v>
      </c>
      <c r="B2644" s="115">
        <v>822.5</v>
      </c>
      <c r="C2644" s="115">
        <v>807.55</v>
      </c>
      <c r="D2644" s="115">
        <v>803.7</v>
      </c>
      <c r="E2644" s="115">
        <v>822</v>
      </c>
      <c r="F2644" s="115">
        <v>807.55</v>
      </c>
      <c r="G2644">
        <v>4440</v>
      </c>
      <c r="H2644" s="115"/>
      <c r="I2644" s="115"/>
      <c r="L2644" s="169">
        <v>45898</v>
      </c>
      <c r="M2644" s="115">
        <v>825.9</v>
      </c>
      <c r="N2644" s="115">
        <v>833</v>
      </c>
      <c r="O2644" s="115">
        <v>792.5</v>
      </c>
      <c r="P2644" s="115">
        <v>817</v>
      </c>
      <c r="Q2644" s="115">
        <v>825.9</v>
      </c>
      <c r="R2644">
        <v>267161</v>
      </c>
    </row>
    <row r="2645" spans="1:18" x14ac:dyDescent="0.25">
      <c r="A2645" s="169">
        <v>45909</v>
      </c>
      <c r="B2645" s="115">
        <v>820.05</v>
      </c>
      <c r="C2645" s="115">
        <v>810.45</v>
      </c>
      <c r="D2645" s="115">
        <v>804.2</v>
      </c>
      <c r="E2645" s="115">
        <v>812.65</v>
      </c>
      <c r="F2645" s="115">
        <v>810.45</v>
      </c>
      <c r="G2645">
        <v>2050</v>
      </c>
      <c r="H2645" s="115"/>
      <c r="I2645" s="115"/>
      <c r="L2645" s="169">
        <v>45901</v>
      </c>
      <c r="M2645" s="115">
        <v>820.85</v>
      </c>
      <c r="N2645" s="115">
        <v>833.55</v>
      </c>
      <c r="O2645" s="115">
        <v>816.1</v>
      </c>
      <c r="P2645" s="115">
        <v>825.9</v>
      </c>
      <c r="Q2645" s="115">
        <v>820.85</v>
      </c>
      <c r="R2645">
        <v>137298</v>
      </c>
    </row>
    <row r="2646" spans="1:18" x14ac:dyDescent="0.25">
      <c r="A2646" s="169">
        <v>45910</v>
      </c>
      <c r="B2646" s="115">
        <v>818.25</v>
      </c>
      <c r="C2646" s="115">
        <v>815.65</v>
      </c>
      <c r="D2646" s="115">
        <v>806</v>
      </c>
      <c r="E2646" s="115">
        <v>806</v>
      </c>
      <c r="F2646" s="115">
        <v>815.65</v>
      </c>
      <c r="G2646">
        <v>2090</v>
      </c>
      <c r="H2646" s="115"/>
      <c r="I2646" s="115"/>
      <c r="L2646" s="169">
        <v>45902</v>
      </c>
      <c r="M2646" s="115">
        <v>832.6</v>
      </c>
      <c r="N2646" s="115">
        <v>837.25</v>
      </c>
      <c r="O2646" s="115">
        <v>805</v>
      </c>
      <c r="P2646" s="115">
        <v>820</v>
      </c>
      <c r="Q2646" s="115">
        <v>832.6</v>
      </c>
      <c r="R2646">
        <v>118954</v>
      </c>
    </row>
    <row r="2647" spans="1:18" x14ac:dyDescent="0.25">
      <c r="A2647" s="169">
        <v>45911</v>
      </c>
      <c r="B2647" s="115">
        <v>827</v>
      </c>
      <c r="C2647" s="115">
        <v>815.7</v>
      </c>
      <c r="D2647" s="115">
        <v>814.6</v>
      </c>
      <c r="E2647" s="115">
        <v>815.75</v>
      </c>
      <c r="F2647" s="115">
        <v>815.7</v>
      </c>
      <c r="G2647">
        <v>1971</v>
      </c>
      <c r="H2647" s="115"/>
      <c r="I2647" s="115"/>
      <c r="L2647" s="169">
        <v>45903</v>
      </c>
      <c r="M2647" s="115">
        <v>842.65</v>
      </c>
      <c r="N2647" s="115">
        <v>852.95</v>
      </c>
      <c r="O2647" s="115">
        <v>826.25</v>
      </c>
      <c r="P2647" s="115">
        <v>840</v>
      </c>
      <c r="Q2647" s="115">
        <v>842.65</v>
      </c>
      <c r="R2647">
        <v>144033</v>
      </c>
    </row>
    <row r="2648" spans="1:18" x14ac:dyDescent="0.25">
      <c r="A2648" s="169">
        <v>45912</v>
      </c>
      <c r="B2648" s="115">
        <v>832.8</v>
      </c>
      <c r="C2648" s="115">
        <v>830.05</v>
      </c>
      <c r="D2648" s="115">
        <v>817.1</v>
      </c>
      <c r="E2648" s="115">
        <v>821</v>
      </c>
      <c r="F2648" s="115">
        <v>830.05</v>
      </c>
      <c r="G2648">
        <v>3537</v>
      </c>
      <c r="H2648" s="115"/>
      <c r="I2648" s="115"/>
      <c r="L2648" s="169">
        <v>45904</v>
      </c>
      <c r="M2648" s="115">
        <v>815.4</v>
      </c>
      <c r="N2648" s="115">
        <v>851.65</v>
      </c>
      <c r="O2648" s="115">
        <v>811</v>
      </c>
      <c r="P2648" s="115">
        <v>845.7</v>
      </c>
      <c r="Q2648" s="115">
        <v>815.4</v>
      </c>
      <c r="R2648">
        <v>79176</v>
      </c>
    </row>
    <row r="2649" spans="1:18" x14ac:dyDescent="0.25">
      <c r="A2649" s="169">
        <v>45915</v>
      </c>
      <c r="B2649" s="115">
        <v>850.2</v>
      </c>
      <c r="C2649" s="115">
        <v>845</v>
      </c>
      <c r="D2649" s="115">
        <v>834.05</v>
      </c>
      <c r="E2649" s="115">
        <v>846.65</v>
      </c>
      <c r="F2649" s="115">
        <v>845</v>
      </c>
      <c r="G2649">
        <v>4776</v>
      </c>
      <c r="H2649" s="115"/>
      <c r="I2649" s="115"/>
      <c r="L2649" s="169">
        <v>45905</v>
      </c>
      <c r="M2649" s="115">
        <v>821.05</v>
      </c>
      <c r="N2649" s="115">
        <v>825</v>
      </c>
      <c r="O2649" s="115">
        <v>810.6</v>
      </c>
      <c r="P2649" s="115">
        <v>818</v>
      </c>
      <c r="Q2649" s="115">
        <v>821.05</v>
      </c>
      <c r="R2649">
        <v>70502</v>
      </c>
    </row>
    <row r="2650" spans="1:18" x14ac:dyDescent="0.25">
      <c r="A2650" s="169">
        <v>45916</v>
      </c>
      <c r="B2650" s="115">
        <v>876.75</v>
      </c>
      <c r="C2650" s="115">
        <v>855.05</v>
      </c>
      <c r="D2650" s="115">
        <v>842.15</v>
      </c>
      <c r="E2650" s="115">
        <v>876.75</v>
      </c>
      <c r="F2650" s="115">
        <v>855.05</v>
      </c>
      <c r="G2650">
        <v>2110</v>
      </c>
      <c r="H2650" s="115"/>
      <c r="I2650" s="115"/>
      <c r="L2650" s="169">
        <v>45908</v>
      </c>
      <c r="M2650" s="115">
        <v>807.55</v>
      </c>
      <c r="N2650" s="115">
        <v>822</v>
      </c>
      <c r="O2650" s="115">
        <v>804.05</v>
      </c>
      <c r="P2650" s="115">
        <v>822</v>
      </c>
      <c r="Q2650" s="115">
        <v>807.55</v>
      </c>
      <c r="R2650">
        <v>42338</v>
      </c>
    </row>
    <row r="2651" spans="1:18" x14ac:dyDescent="0.25">
      <c r="A2651" s="169">
        <v>45917</v>
      </c>
      <c r="B2651" s="115">
        <v>873.6</v>
      </c>
      <c r="C2651" s="115">
        <v>869.35</v>
      </c>
      <c r="D2651" s="115">
        <v>850.1</v>
      </c>
      <c r="E2651" s="115">
        <v>855.7</v>
      </c>
      <c r="F2651" s="115">
        <v>869.35</v>
      </c>
      <c r="G2651">
        <v>3832</v>
      </c>
      <c r="H2651" s="115"/>
      <c r="I2651" s="115"/>
      <c r="L2651" s="169">
        <v>45909</v>
      </c>
      <c r="M2651" s="115">
        <v>810.45</v>
      </c>
      <c r="N2651" s="115">
        <v>815</v>
      </c>
      <c r="O2651" s="115">
        <v>804.05</v>
      </c>
      <c r="P2651" s="115">
        <v>807.55</v>
      </c>
      <c r="Q2651" s="115">
        <v>810.45</v>
      </c>
      <c r="R2651">
        <v>45433</v>
      </c>
    </row>
    <row r="2652" spans="1:18" x14ac:dyDescent="0.25">
      <c r="A2652" s="169">
        <v>45918</v>
      </c>
      <c r="B2652" s="115">
        <v>869.4</v>
      </c>
      <c r="C2652" s="115">
        <v>857.2</v>
      </c>
      <c r="D2652" s="115">
        <v>855</v>
      </c>
      <c r="E2652" s="115">
        <v>869.35</v>
      </c>
      <c r="F2652" s="115">
        <v>857.2</v>
      </c>
      <c r="G2652">
        <v>2322</v>
      </c>
      <c r="H2652" s="115"/>
      <c r="I2652" s="115"/>
      <c r="L2652" s="169">
        <v>45910</v>
      </c>
      <c r="M2652" s="115">
        <v>815.6</v>
      </c>
      <c r="N2652" s="115">
        <v>819.7</v>
      </c>
      <c r="O2652" s="115">
        <v>809.5</v>
      </c>
      <c r="P2652" s="115">
        <v>812</v>
      </c>
      <c r="Q2652" s="115">
        <v>815.6</v>
      </c>
      <c r="R2652">
        <v>61583</v>
      </c>
    </row>
    <row r="2653" spans="1:18" x14ac:dyDescent="0.25">
      <c r="A2653" s="169">
        <v>45919</v>
      </c>
      <c r="B2653" s="115">
        <v>869.2</v>
      </c>
      <c r="C2653" s="115">
        <v>859.2</v>
      </c>
      <c r="D2653" s="115">
        <v>847.3</v>
      </c>
      <c r="E2653" s="115">
        <v>850.05</v>
      </c>
      <c r="F2653" s="115">
        <v>859.2</v>
      </c>
      <c r="G2653">
        <v>4092</v>
      </c>
      <c r="H2653" s="115"/>
      <c r="I2653" s="115"/>
      <c r="L2653" s="169">
        <v>45911</v>
      </c>
      <c r="M2653" s="115">
        <v>815.4</v>
      </c>
      <c r="N2653" s="115">
        <v>828</v>
      </c>
      <c r="O2653" s="115">
        <v>811</v>
      </c>
      <c r="P2653" s="115">
        <v>818</v>
      </c>
      <c r="Q2653" s="115">
        <v>815.4</v>
      </c>
      <c r="R2653">
        <v>46937</v>
      </c>
    </row>
    <row r="2654" spans="1:18" x14ac:dyDescent="0.25">
      <c r="A2654" s="169">
        <v>45922</v>
      </c>
      <c r="B2654" s="115">
        <v>868</v>
      </c>
      <c r="C2654" s="115">
        <v>851.7</v>
      </c>
      <c r="D2654" s="115">
        <v>848.35</v>
      </c>
      <c r="E2654" s="115">
        <v>868</v>
      </c>
      <c r="F2654" s="115">
        <v>851.7</v>
      </c>
      <c r="G2654">
        <v>2007</v>
      </c>
      <c r="H2654" s="115"/>
      <c r="I2654" s="115"/>
      <c r="L2654" s="169">
        <v>45912</v>
      </c>
      <c r="M2654" s="115">
        <v>829.45</v>
      </c>
      <c r="N2654" s="115">
        <v>833.8</v>
      </c>
      <c r="O2654" s="115">
        <v>815.45</v>
      </c>
      <c r="P2654" s="115">
        <v>822.8</v>
      </c>
      <c r="Q2654" s="115">
        <v>829.45</v>
      </c>
      <c r="R2654">
        <v>71452</v>
      </c>
    </row>
    <row r="2655" spans="1:18" x14ac:dyDescent="0.25">
      <c r="A2655" s="169">
        <v>45923</v>
      </c>
      <c r="B2655" s="115">
        <v>857</v>
      </c>
      <c r="C2655" s="115">
        <v>838.75</v>
      </c>
      <c r="D2655" s="115">
        <v>835.1</v>
      </c>
      <c r="E2655" s="115">
        <v>855</v>
      </c>
      <c r="F2655" s="115">
        <v>838.75</v>
      </c>
      <c r="G2655">
        <v>1693</v>
      </c>
      <c r="H2655" s="115"/>
      <c r="I2655" s="115"/>
      <c r="L2655" s="169">
        <v>45915</v>
      </c>
      <c r="M2655" s="115">
        <v>845.1</v>
      </c>
      <c r="N2655" s="115">
        <v>850.75</v>
      </c>
      <c r="O2655" s="115">
        <v>833.55</v>
      </c>
      <c r="P2655" s="115">
        <v>836.9</v>
      </c>
      <c r="Q2655" s="115">
        <v>845.1</v>
      </c>
      <c r="R2655">
        <v>192195</v>
      </c>
    </row>
    <row r="2656" spans="1:18" x14ac:dyDescent="0.25">
      <c r="A2656" s="169">
        <v>45924</v>
      </c>
      <c r="B2656" s="115">
        <v>862</v>
      </c>
      <c r="C2656" s="115">
        <v>856.95</v>
      </c>
      <c r="D2656" s="115">
        <v>835</v>
      </c>
      <c r="E2656" s="115">
        <v>836.25</v>
      </c>
      <c r="F2656" s="115">
        <v>856.95</v>
      </c>
      <c r="G2656">
        <v>2079</v>
      </c>
      <c r="H2656" s="115"/>
      <c r="I2656" s="115"/>
      <c r="L2656" s="169">
        <v>45916</v>
      </c>
      <c r="M2656" s="115">
        <v>855.7</v>
      </c>
      <c r="N2656" s="115">
        <v>857.45</v>
      </c>
      <c r="O2656" s="115">
        <v>842.5</v>
      </c>
      <c r="P2656" s="115">
        <v>848.05</v>
      </c>
      <c r="Q2656" s="115">
        <v>855.7</v>
      </c>
      <c r="R2656">
        <v>88594</v>
      </c>
    </row>
    <row r="2657" spans="1:18" x14ac:dyDescent="0.25">
      <c r="A2657" s="169">
        <v>45925</v>
      </c>
      <c r="B2657" s="115">
        <v>859</v>
      </c>
      <c r="C2657" s="115">
        <v>846.45</v>
      </c>
      <c r="D2657" s="115">
        <v>843.3</v>
      </c>
      <c r="E2657" s="115">
        <v>856.95</v>
      </c>
      <c r="F2657" s="115">
        <v>846.45</v>
      </c>
      <c r="G2657">
        <v>3892</v>
      </c>
      <c r="H2657" s="115"/>
      <c r="I2657" s="115"/>
      <c r="L2657" s="169">
        <v>45917</v>
      </c>
      <c r="M2657" s="115">
        <v>868.6</v>
      </c>
      <c r="N2657" s="115">
        <v>875</v>
      </c>
      <c r="O2657" s="115">
        <v>848.7</v>
      </c>
      <c r="P2657" s="115">
        <v>856</v>
      </c>
      <c r="Q2657" s="115">
        <v>868.6</v>
      </c>
      <c r="R2657">
        <v>135247</v>
      </c>
    </row>
    <row r="2658" spans="1:18" x14ac:dyDescent="0.25">
      <c r="A2658" s="169">
        <v>45926</v>
      </c>
      <c r="B2658" s="115">
        <v>843</v>
      </c>
      <c r="C2658" s="115">
        <v>819.4</v>
      </c>
      <c r="D2658" s="115">
        <v>816.4</v>
      </c>
      <c r="E2658" s="115">
        <v>842.95</v>
      </c>
      <c r="F2658" s="115">
        <v>819.4</v>
      </c>
      <c r="G2658">
        <v>1852</v>
      </c>
      <c r="H2658" s="115"/>
      <c r="I2658" s="115"/>
      <c r="L2658" s="169">
        <v>45918</v>
      </c>
      <c r="M2658" s="115">
        <v>856.8</v>
      </c>
      <c r="N2658" s="115">
        <v>872.95</v>
      </c>
      <c r="O2658" s="115">
        <v>855</v>
      </c>
      <c r="P2658" s="115">
        <v>872.95</v>
      </c>
      <c r="Q2658" s="115">
        <v>856.8</v>
      </c>
      <c r="R2658">
        <v>27394</v>
      </c>
    </row>
    <row r="2659" spans="1:18" x14ac:dyDescent="0.25">
      <c r="A2659" s="169">
        <v>45929</v>
      </c>
      <c r="B2659" s="115">
        <v>835</v>
      </c>
      <c r="C2659" s="115">
        <v>809.3</v>
      </c>
      <c r="D2659" s="115">
        <v>787</v>
      </c>
      <c r="E2659" s="115">
        <v>824.8</v>
      </c>
      <c r="F2659" s="115">
        <v>809.3</v>
      </c>
      <c r="G2659">
        <v>9332</v>
      </c>
      <c r="H2659" s="115"/>
      <c r="I2659" s="115"/>
      <c r="L2659" s="169">
        <v>45919</v>
      </c>
      <c r="M2659" s="115">
        <v>864.45</v>
      </c>
      <c r="N2659" s="115">
        <v>869.35</v>
      </c>
      <c r="O2659" s="115">
        <v>847.05</v>
      </c>
      <c r="P2659" s="115">
        <v>859.5</v>
      </c>
      <c r="Q2659" s="115">
        <v>864.45</v>
      </c>
      <c r="R2659">
        <v>105906</v>
      </c>
    </row>
    <row r="2660" spans="1:18" x14ac:dyDescent="0.25">
      <c r="A2660" s="169">
        <v>45930</v>
      </c>
      <c r="B2660" s="115">
        <v>836</v>
      </c>
      <c r="C2660" s="115">
        <v>821.45</v>
      </c>
      <c r="D2660" s="115">
        <v>813.65</v>
      </c>
      <c r="E2660" s="115">
        <v>822.1</v>
      </c>
      <c r="F2660" s="115">
        <v>821.45</v>
      </c>
      <c r="G2660">
        <v>2686</v>
      </c>
      <c r="H2660" s="115"/>
      <c r="I2660" s="115"/>
      <c r="L2660" s="169">
        <v>45922</v>
      </c>
      <c r="M2660" s="115">
        <v>852.45</v>
      </c>
      <c r="N2660" s="115">
        <v>867.3</v>
      </c>
      <c r="O2660" s="115">
        <v>847.8</v>
      </c>
      <c r="P2660" s="115">
        <v>860</v>
      </c>
      <c r="Q2660" s="115">
        <v>852.45</v>
      </c>
      <c r="R2660">
        <v>53796</v>
      </c>
    </row>
    <row r="2661" spans="1:18" x14ac:dyDescent="0.25">
      <c r="A2661" s="169">
        <v>45931</v>
      </c>
      <c r="B2661" s="115">
        <v>826.3</v>
      </c>
      <c r="C2661" s="115">
        <v>812.65</v>
      </c>
      <c r="D2661" s="115">
        <v>809</v>
      </c>
      <c r="E2661" s="115">
        <v>815.2</v>
      </c>
      <c r="F2661" s="115">
        <v>812.65</v>
      </c>
      <c r="G2661">
        <v>1058</v>
      </c>
      <c r="H2661" s="115"/>
      <c r="I2661" s="115"/>
      <c r="L2661" s="169">
        <v>45923</v>
      </c>
      <c r="M2661" s="115">
        <v>840.95</v>
      </c>
      <c r="N2661" s="115">
        <v>857.65</v>
      </c>
      <c r="O2661" s="115">
        <v>834.55</v>
      </c>
      <c r="P2661" s="115">
        <v>852</v>
      </c>
      <c r="Q2661" s="115">
        <v>840.95</v>
      </c>
      <c r="R2661">
        <v>83318</v>
      </c>
    </row>
    <row r="2662" spans="1:18" x14ac:dyDescent="0.25">
      <c r="A2662" s="169">
        <v>45933</v>
      </c>
      <c r="B2662" s="115">
        <v>826.1</v>
      </c>
      <c r="C2662" s="115">
        <v>814.05</v>
      </c>
      <c r="D2662" s="115">
        <v>810.2</v>
      </c>
      <c r="E2662" s="115">
        <v>812.55</v>
      </c>
      <c r="F2662" s="115">
        <v>814.05</v>
      </c>
      <c r="G2662">
        <v>1069</v>
      </c>
      <c r="H2662" s="115"/>
      <c r="I2662" s="115"/>
      <c r="L2662" s="169">
        <v>45924</v>
      </c>
      <c r="M2662" s="115">
        <v>856.75</v>
      </c>
      <c r="N2662" s="115">
        <v>862.75</v>
      </c>
      <c r="O2662" s="115">
        <v>835.45</v>
      </c>
      <c r="P2662" s="115">
        <v>839.4</v>
      </c>
      <c r="Q2662" s="115">
        <v>856.75</v>
      </c>
      <c r="R2662">
        <v>49901</v>
      </c>
    </row>
    <row r="2663" spans="1:18" x14ac:dyDescent="0.25">
      <c r="A2663" s="169">
        <v>45936</v>
      </c>
      <c r="B2663" s="115">
        <v>814.05</v>
      </c>
      <c r="C2663" s="115">
        <v>801.2</v>
      </c>
      <c r="D2663" s="115">
        <v>798</v>
      </c>
      <c r="E2663" s="115">
        <v>810.5</v>
      </c>
      <c r="F2663" s="115">
        <v>801.2</v>
      </c>
      <c r="G2663">
        <v>4116</v>
      </c>
      <c r="H2663" s="115"/>
      <c r="I2663" s="115"/>
      <c r="L2663" s="169">
        <v>45925</v>
      </c>
      <c r="M2663" s="115">
        <v>849.85</v>
      </c>
      <c r="N2663" s="115">
        <v>859.65</v>
      </c>
      <c r="O2663" s="115">
        <v>844</v>
      </c>
      <c r="P2663" s="115">
        <v>858.95</v>
      </c>
      <c r="Q2663" s="115">
        <v>849.85</v>
      </c>
      <c r="R2663">
        <v>58613</v>
      </c>
    </row>
    <row r="2664" spans="1:18" x14ac:dyDescent="0.25">
      <c r="A2664" s="169">
        <v>45937</v>
      </c>
      <c r="B2664" s="115">
        <v>809.15</v>
      </c>
      <c r="C2664" s="115">
        <v>800.4</v>
      </c>
      <c r="D2664" s="115">
        <v>796.65</v>
      </c>
      <c r="E2664" s="115">
        <v>804</v>
      </c>
      <c r="F2664" s="115">
        <v>800.4</v>
      </c>
      <c r="G2664">
        <v>2561</v>
      </c>
      <c r="H2664" s="115"/>
      <c r="I2664" s="115"/>
      <c r="L2664" s="169">
        <v>45926</v>
      </c>
      <c r="M2664" s="115">
        <v>819.65</v>
      </c>
      <c r="N2664" s="115">
        <v>845.95</v>
      </c>
      <c r="O2664" s="115">
        <v>816.1</v>
      </c>
      <c r="P2664" s="115">
        <v>844</v>
      </c>
      <c r="Q2664" s="115">
        <v>819.65</v>
      </c>
      <c r="R2664">
        <v>56455</v>
      </c>
    </row>
    <row r="2665" spans="1:18" x14ac:dyDescent="0.25">
      <c r="A2665" s="169">
        <v>45938</v>
      </c>
      <c r="B2665" s="115">
        <v>809.65</v>
      </c>
      <c r="C2665" s="115">
        <v>806.75</v>
      </c>
      <c r="D2665" s="115">
        <v>795</v>
      </c>
      <c r="E2665" s="115">
        <v>807.95</v>
      </c>
      <c r="F2665" s="115">
        <v>806.75</v>
      </c>
      <c r="G2665">
        <v>2916</v>
      </c>
      <c r="H2665" s="115"/>
      <c r="I2665" s="115"/>
      <c r="L2665" s="169">
        <v>45929</v>
      </c>
      <c r="M2665" s="115">
        <v>809.3</v>
      </c>
      <c r="N2665" s="115">
        <v>837.45</v>
      </c>
      <c r="O2665" s="115">
        <v>785.15</v>
      </c>
      <c r="P2665" s="115">
        <v>821.15</v>
      </c>
      <c r="Q2665" s="115">
        <v>809.3</v>
      </c>
      <c r="R2665">
        <v>678244</v>
      </c>
    </row>
    <row r="2666" spans="1:18" x14ac:dyDescent="0.25">
      <c r="A2666" s="169">
        <v>45939</v>
      </c>
      <c r="B2666" s="115">
        <v>814.25</v>
      </c>
      <c r="C2666" s="115">
        <v>804.9</v>
      </c>
      <c r="D2666" s="115">
        <v>799.95</v>
      </c>
      <c r="E2666" s="115">
        <v>807.95</v>
      </c>
      <c r="F2666" s="115">
        <v>804.9</v>
      </c>
      <c r="G2666">
        <v>1225</v>
      </c>
      <c r="H2666" s="115"/>
      <c r="I2666" s="115"/>
      <c r="L2666" s="169">
        <v>45930</v>
      </c>
      <c r="M2666" s="115">
        <v>821.6</v>
      </c>
      <c r="N2666" s="115">
        <v>837.6</v>
      </c>
      <c r="O2666" s="115">
        <v>809.3</v>
      </c>
      <c r="P2666" s="115">
        <v>809.3</v>
      </c>
      <c r="Q2666" s="115">
        <v>821.6</v>
      </c>
      <c r="R2666">
        <v>77055</v>
      </c>
    </row>
    <row r="2667" spans="1:18" x14ac:dyDescent="0.25">
      <c r="A2667" s="169">
        <v>45940</v>
      </c>
      <c r="B2667" s="115">
        <v>809.95</v>
      </c>
      <c r="C2667" s="115">
        <v>803.6</v>
      </c>
      <c r="D2667" s="115">
        <v>801</v>
      </c>
      <c r="E2667" s="115">
        <v>805</v>
      </c>
      <c r="F2667" s="115">
        <v>803.6</v>
      </c>
      <c r="G2667">
        <v>2519</v>
      </c>
      <c r="H2667" s="115"/>
      <c r="I2667" s="115"/>
      <c r="L2667" s="169">
        <v>45931</v>
      </c>
      <c r="M2667" s="115">
        <v>813.3</v>
      </c>
      <c r="N2667" s="115">
        <v>828.45</v>
      </c>
      <c r="O2667" s="115">
        <v>808.1</v>
      </c>
      <c r="P2667" s="115">
        <v>821.6</v>
      </c>
      <c r="Q2667" s="115">
        <v>813.3</v>
      </c>
      <c r="R2667">
        <v>41823</v>
      </c>
    </row>
    <row r="2668" spans="1:18" x14ac:dyDescent="0.25">
      <c r="A2668" s="169">
        <v>45943</v>
      </c>
      <c r="B2668" s="115">
        <v>803.35</v>
      </c>
      <c r="C2668" s="115">
        <v>799.25</v>
      </c>
      <c r="D2668" s="115">
        <v>790.5</v>
      </c>
      <c r="E2668" s="115">
        <v>793.85</v>
      </c>
      <c r="F2668" s="115">
        <v>799.25</v>
      </c>
      <c r="G2668">
        <v>2707</v>
      </c>
      <c r="H2668" s="115"/>
      <c r="I2668" s="115"/>
      <c r="L2668" s="169">
        <v>45933</v>
      </c>
      <c r="M2668" s="115">
        <v>813.85</v>
      </c>
      <c r="N2668" s="115">
        <v>827.35</v>
      </c>
      <c r="O2668" s="115">
        <v>808</v>
      </c>
      <c r="P2668" s="115">
        <v>812</v>
      </c>
      <c r="Q2668" s="115">
        <v>813.85</v>
      </c>
      <c r="R2668">
        <v>44373</v>
      </c>
    </row>
    <row r="2669" spans="1:18" x14ac:dyDescent="0.25">
      <c r="A2669" s="169">
        <v>45944</v>
      </c>
      <c r="B2669" s="115">
        <v>805.65</v>
      </c>
      <c r="C2669" s="115">
        <v>800.7</v>
      </c>
      <c r="D2669" s="115">
        <v>793.05</v>
      </c>
      <c r="E2669" s="115">
        <v>793.05</v>
      </c>
      <c r="F2669" s="115">
        <v>800.7</v>
      </c>
      <c r="G2669">
        <v>1806</v>
      </c>
      <c r="H2669" s="115"/>
      <c r="I2669" s="115"/>
      <c r="L2669" s="169">
        <v>45936</v>
      </c>
      <c r="M2669" s="115">
        <v>800.35</v>
      </c>
      <c r="N2669" s="115">
        <v>814.1</v>
      </c>
      <c r="O2669" s="115">
        <v>797.7</v>
      </c>
      <c r="P2669" s="115">
        <v>805</v>
      </c>
      <c r="Q2669" s="115">
        <v>800.35</v>
      </c>
      <c r="R2669">
        <v>71111</v>
      </c>
    </row>
    <row r="2670" spans="1:18" x14ac:dyDescent="0.25">
      <c r="A2670" s="169">
        <v>45945</v>
      </c>
      <c r="B2670" s="115">
        <v>809</v>
      </c>
      <c r="C2670" s="115">
        <v>805.9</v>
      </c>
      <c r="D2670" s="115">
        <v>799.4</v>
      </c>
      <c r="E2670" s="115">
        <v>799.4</v>
      </c>
      <c r="F2670" s="115">
        <v>805.9</v>
      </c>
      <c r="G2670">
        <v>688</v>
      </c>
      <c r="H2670" s="115"/>
      <c r="I2670" s="115"/>
      <c r="L2670" s="169">
        <v>45937</v>
      </c>
      <c r="M2670" s="115">
        <v>799.65</v>
      </c>
      <c r="N2670" s="115">
        <v>810.7</v>
      </c>
      <c r="O2670" s="115">
        <v>795</v>
      </c>
      <c r="P2670" s="115">
        <v>804.6</v>
      </c>
      <c r="Q2670" s="115">
        <v>799.65</v>
      </c>
      <c r="R2670">
        <v>36209</v>
      </c>
    </row>
    <row r="2671" spans="1:18" x14ac:dyDescent="0.25">
      <c r="A2671" s="169">
        <v>45946</v>
      </c>
      <c r="B2671" s="115">
        <v>807.7</v>
      </c>
      <c r="C2671" s="115">
        <v>796.7</v>
      </c>
      <c r="D2671" s="115">
        <v>795</v>
      </c>
      <c r="E2671" s="115">
        <v>802.35</v>
      </c>
      <c r="F2671" s="115">
        <v>796.7</v>
      </c>
      <c r="G2671">
        <v>2423</v>
      </c>
      <c r="H2671" s="115"/>
      <c r="I2671" s="115"/>
      <c r="L2671" s="169">
        <v>45938</v>
      </c>
      <c r="M2671" s="115">
        <v>807.05</v>
      </c>
      <c r="N2671" s="115">
        <v>813</v>
      </c>
      <c r="O2671" s="115">
        <v>795</v>
      </c>
      <c r="P2671" s="115">
        <v>803.9</v>
      </c>
      <c r="Q2671" s="115">
        <v>807.05</v>
      </c>
      <c r="R2671">
        <v>61431</v>
      </c>
    </row>
    <row r="2672" spans="1:18" x14ac:dyDescent="0.25">
      <c r="A2672" s="169">
        <v>45947</v>
      </c>
      <c r="B2672" s="115">
        <v>808.25</v>
      </c>
      <c r="C2672" s="115">
        <v>807.1</v>
      </c>
      <c r="D2672" s="115">
        <v>791.2</v>
      </c>
      <c r="E2672" s="115">
        <v>803.35</v>
      </c>
      <c r="F2672" s="115">
        <v>807.1</v>
      </c>
      <c r="G2672">
        <v>3700</v>
      </c>
      <c r="H2672" s="115"/>
      <c r="I2672" s="115"/>
      <c r="L2672" s="169">
        <v>45939</v>
      </c>
      <c r="M2672" s="115">
        <v>802.2</v>
      </c>
      <c r="N2672" s="115">
        <v>814.55</v>
      </c>
      <c r="O2672" s="115">
        <v>799.75</v>
      </c>
      <c r="P2672" s="115">
        <v>811.3</v>
      </c>
      <c r="Q2672" s="115">
        <v>802.2</v>
      </c>
      <c r="R2672">
        <v>40724</v>
      </c>
    </row>
    <row r="2673" spans="1:18" x14ac:dyDescent="0.25">
      <c r="A2673" s="169">
        <v>45950</v>
      </c>
      <c r="B2673" s="115">
        <v>814.85</v>
      </c>
      <c r="C2673" s="115">
        <v>809.25</v>
      </c>
      <c r="D2673" s="115">
        <v>785.3</v>
      </c>
      <c r="E2673" s="115">
        <v>804.7</v>
      </c>
      <c r="F2673" s="115">
        <v>809.25</v>
      </c>
      <c r="G2673">
        <v>4272</v>
      </c>
      <c r="H2673" s="115"/>
      <c r="I2673" s="115"/>
      <c r="L2673" s="169">
        <v>45940</v>
      </c>
      <c r="M2673" s="115">
        <v>803.15</v>
      </c>
      <c r="N2673" s="115">
        <v>809.55</v>
      </c>
      <c r="O2673" s="115">
        <v>801</v>
      </c>
      <c r="P2673" s="115">
        <v>806.4</v>
      </c>
      <c r="Q2673" s="115">
        <v>803.15</v>
      </c>
      <c r="R2673">
        <v>21070</v>
      </c>
    </row>
    <row r="2674" spans="1:18" x14ac:dyDescent="0.25">
      <c r="A2674" s="169">
        <v>45951</v>
      </c>
      <c r="B2674" s="115">
        <v>814.5</v>
      </c>
      <c r="C2674" s="115">
        <v>810.9</v>
      </c>
      <c r="D2674" s="115">
        <v>795.05</v>
      </c>
      <c r="E2674" s="115">
        <v>795.05</v>
      </c>
      <c r="F2674" s="115">
        <v>810.9</v>
      </c>
      <c r="G2674">
        <v>494</v>
      </c>
      <c r="H2674" s="115"/>
      <c r="I2674" s="115"/>
      <c r="L2674" s="169">
        <v>45943</v>
      </c>
      <c r="M2674" s="115">
        <v>799.65</v>
      </c>
      <c r="N2674" s="115">
        <v>802.45</v>
      </c>
      <c r="O2674" s="115">
        <v>789.7</v>
      </c>
      <c r="P2674" s="115">
        <v>796.5</v>
      </c>
      <c r="Q2674" s="115">
        <v>799.65</v>
      </c>
      <c r="R2674">
        <v>36878</v>
      </c>
    </row>
    <row r="2675" spans="1:18" x14ac:dyDescent="0.25">
      <c r="A2675" s="169">
        <v>45953</v>
      </c>
      <c r="B2675" s="115">
        <v>825.45</v>
      </c>
      <c r="C2675" s="115">
        <v>807.3</v>
      </c>
      <c r="D2675" s="115">
        <v>804.25</v>
      </c>
      <c r="E2675" s="115">
        <v>825.45</v>
      </c>
      <c r="F2675" s="115">
        <v>807.3</v>
      </c>
      <c r="G2675">
        <v>2023</v>
      </c>
      <c r="H2675" s="115"/>
      <c r="I2675" s="115"/>
      <c r="L2675" s="169">
        <v>45944</v>
      </c>
      <c r="M2675" s="115">
        <v>800.9</v>
      </c>
      <c r="N2675" s="115">
        <v>805.95</v>
      </c>
      <c r="O2675" s="115">
        <v>793</v>
      </c>
      <c r="P2675" s="115">
        <v>796.5</v>
      </c>
      <c r="Q2675" s="115">
        <v>800.9</v>
      </c>
      <c r="R2675">
        <v>70636</v>
      </c>
    </row>
    <row r="2676" spans="1:18" x14ac:dyDescent="0.25">
      <c r="A2676" s="169">
        <v>45954</v>
      </c>
      <c r="B2676" s="115">
        <v>809.95</v>
      </c>
      <c r="C2676" s="115">
        <v>801.5</v>
      </c>
      <c r="D2676" s="115">
        <v>799</v>
      </c>
      <c r="E2676" s="115">
        <v>801</v>
      </c>
      <c r="F2676" s="115">
        <v>801.5</v>
      </c>
      <c r="G2676">
        <v>3086</v>
      </c>
      <c r="H2676" s="115"/>
      <c r="I2676" s="115"/>
      <c r="L2676" s="169">
        <v>45945</v>
      </c>
      <c r="M2676" s="115">
        <v>805.15</v>
      </c>
      <c r="N2676" s="115">
        <v>815</v>
      </c>
      <c r="O2676" s="115">
        <v>796.5</v>
      </c>
      <c r="P2676" s="115">
        <v>804</v>
      </c>
      <c r="Q2676" s="115">
        <v>805.15</v>
      </c>
      <c r="R2676">
        <v>36356</v>
      </c>
    </row>
    <row r="2677" spans="1:18" x14ac:dyDescent="0.25">
      <c r="A2677" s="169">
        <v>45957</v>
      </c>
      <c r="B2677" s="115">
        <v>808.05</v>
      </c>
      <c r="C2677" s="115">
        <v>799.7</v>
      </c>
      <c r="D2677" s="115">
        <v>794</v>
      </c>
      <c r="E2677" s="115">
        <v>804.2</v>
      </c>
      <c r="F2677" s="115">
        <v>799.7</v>
      </c>
      <c r="G2677">
        <v>1557</v>
      </c>
      <c r="H2677" s="115"/>
      <c r="I2677" s="115"/>
      <c r="L2677" s="169">
        <v>45946</v>
      </c>
      <c r="M2677" s="115">
        <v>797</v>
      </c>
      <c r="N2677" s="115">
        <v>809.4</v>
      </c>
      <c r="O2677" s="115">
        <v>794</v>
      </c>
      <c r="P2677" s="115">
        <v>806.75</v>
      </c>
      <c r="Q2677" s="115">
        <v>797</v>
      </c>
      <c r="R2677">
        <v>42706</v>
      </c>
    </row>
    <row r="2678" spans="1:18" x14ac:dyDescent="0.25">
      <c r="A2678" s="169">
        <v>45958</v>
      </c>
      <c r="B2678" s="115">
        <v>810</v>
      </c>
      <c r="C2678" s="115">
        <v>793.35</v>
      </c>
      <c r="D2678" s="115">
        <v>780.65</v>
      </c>
      <c r="E2678" s="115">
        <v>799.75</v>
      </c>
      <c r="F2678" s="115">
        <v>793.35</v>
      </c>
      <c r="G2678">
        <v>7410</v>
      </c>
      <c r="H2678" s="115"/>
      <c r="I2678" s="115"/>
      <c r="L2678" s="169">
        <v>45947</v>
      </c>
      <c r="M2678" s="115">
        <v>807.2</v>
      </c>
      <c r="N2678" s="115">
        <v>809</v>
      </c>
      <c r="O2678" s="115">
        <v>789.1</v>
      </c>
      <c r="P2678" s="115">
        <v>801.5</v>
      </c>
      <c r="Q2678" s="115">
        <v>807.2</v>
      </c>
      <c r="R2678">
        <v>78310</v>
      </c>
    </row>
    <row r="2679" spans="1:18" x14ac:dyDescent="0.25">
      <c r="A2679" s="169">
        <v>45959</v>
      </c>
      <c r="B2679" s="115">
        <v>800.1</v>
      </c>
      <c r="C2679" s="115">
        <v>798.4</v>
      </c>
      <c r="D2679" s="115">
        <v>785</v>
      </c>
      <c r="E2679" s="115">
        <v>796.55</v>
      </c>
      <c r="F2679" s="115">
        <v>798.4</v>
      </c>
      <c r="G2679">
        <v>4857</v>
      </c>
      <c r="H2679" s="115"/>
      <c r="I2679" s="115"/>
      <c r="L2679" s="169">
        <v>45950</v>
      </c>
      <c r="M2679" s="115">
        <v>809.45</v>
      </c>
      <c r="N2679" s="115">
        <v>814.9</v>
      </c>
      <c r="O2679" s="115">
        <v>780</v>
      </c>
      <c r="P2679" s="115">
        <v>810.85</v>
      </c>
      <c r="Q2679" s="115">
        <v>809.45</v>
      </c>
      <c r="R2679">
        <v>106613</v>
      </c>
    </row>
    <row r="2680" spans="1:18" x14ac:dyDescent="0.25">
      <c r="A2680" s="169">
        <v>45960</v>
      </c>
      <c r="B2680" s="115">
        <v>812</v>
      </c>
      <c r="C2680" s="115">
        <v>799.75</v>
      </c>
      <c r="D2680" s="115">
        <v>787.25</v>
      </c>
      <c r="E2680" s="115">
        <v>797.95</v>
      </c>
      <c r="F2680" s="115">
        <v>799.75</v>
      </c>
      <c r="G2680">
        <v>4495</v>
      </c>
      <c r="H2680" s="115"/>
      <c r="I2680" s="115"/>
      <c r="L2680" s="169">
        <v>45951</v>
      </c>
      <c r="M2680" s="115">
        <v>809.45</v>
      </c>
      <c r="N2680" s="115">
        <v>816.15</v>
      </c>
      <c r="O2680" s="115">
        <v>798.05</v>
      </c>
      <c r="P2680" s="115">
        <v>798.05</v>
      </c>
      <c r="Q2680" s="115">
        <v>809.45</v>
      </c>
      <c r="R2680">
        <v>11877</v>
      </c>
    </row>
    <row r="2681" spans="1:18" x14ac:dyDescent="0.25">
      <c r="A2681" s="169">
        <v>45961</v>
      </c>
      <c r="B2681" s="115">
        <v>800.7</v>
      </c>
      <c r="C2681" s="115">
        <v>791.2</v>
      </c>
      <c r="D2681" s="115">
        <v>788</v>
      </c>
      <c r="E2681" s="115">
        <v>797</v>
      </c>
      <c r="F2681" s="115">
        <v>791.2</v>
      </c>
      <c r="G2681">
        <v>3596</v>
      </c>
      <c r="H2681" s="115"/>
      <c r="I2681" s="115"/>
      <c r="L2681" s="169">
        <v>45953</v>
      </c>
      <c r="M2681" s="115">
        <v>807.8</v>
      </c>
      <c r="N2681" s="115">
        <v>814.5</v>
      </c>
      <c r="O2681" s="115">
        <v>804.1</v>
      </c>
      <c r="P2681" s="115">
        <v>810</v>
      </c>
      <c r="Q2681" s="115">
        <v>807.8</v>
      </c>
      <c r="R2681">
        <v>28864</v>
      </c>
    </row>
    <row r="2682" spans="1:18" x14ac:dyDescent="0.25">
      <c r="A2682" s="169">
        <v>45964</v>
      </c>
      <c r="B2682" s="115">
        <v>796.15</v>
      </c>
      <c r="C2682" s="115">
        <v>785.1</v>
      </c>
      <c r="D2682" s="115">
        <v>783.3</v>
      </c>
      <c r="E2682" s="115">
        <v>786.95</v>
      </c>
      <c r="F2682" s="115">
        <v>785.1</v>
      </c>
      <c r="G2682">
        <v>3612</v>
      </c>
      <c r="H2682" s="115"/>
      <c r="I2682" s="115"/>
      <c r="L2682" s="169">
        <v>45954</v>
      </c>
      <c r="M2682" s="115">
        <v>802.95</v>
      </c>
      <c r="N2682" s="115">
        <v>812.05</v>
      </c>
      <c r="O2682" s="115">
        <v>799.2</v>
      </c>
      <c r="P2682" s="115">
        <v>807.8</v>
      </c>
      <c r="Q2682" s="115">
        <v>802.95</v>
      </c>
      <c r="R2682">
        <v>43008</v>
      </c>
    </row>
    <row r="2683" spans="1:18" x14ac:dyDescent="0.25">
      <c r="A2683" s="169">
        <v>45965</v>
      </c>
      <c r="B2683" s="115">
        <v>794.35</v>
      </c>
      <c r="C2683" s="115">
        <v>773.05</v>
      </c>
      <c r="D2683" s="115">
        <v>770.05</v>
      </c>
      <c r="E2683" s="115">
        <v>786.6</v>
      </c>
      <c r="F2683" s="115">
        <v>773.05</v>
      </c>
      <c r="G2683">
        <v>1536</v>
      </c>
      <c r="H2683" s="115"/>
      <c r="I2683" s="115"/>
      <c r="L2683" s="169">
        <v>45957</v>
      </c>
      <c r="M2683" s="115">
        <v>799.65</v>
      </c>
      <c r="N2683" s="115">
        <v>807.2</v>
      </c>
      <c r="O2683" s="115">
        <v>793.55</v>
      </c>
      <c r="P2683" s="115">
        <v>802</v>
      </c>
      <c r="Q2683" s="115">
        <v>799.65</v>
      </c>
      <c r="R2683">
        <v>53565</v>
      </c>
    </row>
    <row r="2684" spans="1:18" x14ac:dyDescent="0.25">
      <c r="A2684" s="169">
        <v>45967</v>
      </c>
      <c r="B2684" s="115">
        <v>782.95</v>
      </c>
      <c r="C2684" s="115">
        <v>768.55</v>
      </c>
      <c r="D2684" s="115">
        <v>768</v>
      </c>
      <c r="E2684" s="115">
        <v>773.5</v>
      </c>
      <c r="F2684" s="115">
        <v>768.55</v>
      </c>
      <c r="G2684">
        <v>958</v>
      </c>
      <c r="H2684" s="115"/>
      <c r="I2684" s="115"/>
      <c r="L2684" s="169">
        <v>45958</v>
      </c>
      <c r="M2684" s="115">
        <v>793.75</v>
      </c>
      <c r="N2684" s="115">
        <v>811.3</v>
      </c>
      <c r="O2684" s="115">
        <v>781.5</v>
      </c>
      <c r="P2684" s="115">
        <v>799.65</v>
      </c>
      <c r="Q2684" s="115">
        <v>793.75</v>
      </c>
      <c r="R2684">
        <v>269486</v>
      </c>
    </row>
    <row r="2685" spans="1:18" x14ac:dyDescent="0.25">
      <c r="A2685" s="169">
        <v>45968</v>
      </c>
      <c r="B2685" s="115">
        <v>769.1</v>
      </c>
      <c r="C2685" s="115">
        <v>757.65</v>
      </c>
      <c r="D2685" s="115">
        <v>752.55</v>
      </c>
      <c r="E2685" s="115">
        <v>769.1</v>
      </c>
      <c r="F2685" s="115">
        <v>757.65</v>
      </c>
      <c r="G2685">
        <v>1001</v>
      </c>
      <c r="H2685" s="115"/>
      <c r="I2685" s="115"/>
      <c r="L2685" s="169">
        <v>45959</v>
      </c>
      <c r="M2685" s="115">
        <v>796.4</v>
      </c>
      <c r="N2685" s="115">
        <v>800.45</v>
      </c>
      <c r="O2685" s="115">
        <v>786</v>
      </c>
      <c r="P2685" s="115">
        <v>794.5</v>
      </c>
      <c r="Q2685" s="115">
        <v>796.4</v>
      </c>
      <c r="R2685">
        <v>37842</v>
      </c>
    </row>
    <row r="2686" spans="1:18" x14ac:dyDescent="0.25">
      <c r="A2686" s="169">
        <v>45971</v>
      </c>
      <c r="B2686" s="115">
        <v>758.35</v>
      </c>
      <c r="C2686" s="115">
        <v>744.2</v>
      </c>
      <c r="D2686" s="115">
        <v>735.75</v>
      </c>
      <c r="E2686" s="115">
        <v>755.05</v>
      </c>
      <c r="F2686" s="115">
        <v>744.2</v>
      </c>
      <c r="G2686">
        <v>2704</v>
      </c>
      <c r="H2686" s="115"/>
      <c r="I2686" s="115"/>
      <c r="L2686" s="169">
        <v>45960</v>
      </c>
      <c r="M2686" s="115">
        <v>795.7</v>
      </c>
      <c r="N2686" s="115">
        <v>813.4</v>
      </c>
      <c r="O2686" s="115">
        <v>788.5</v>
      </c>
      <c r="P2686" s="115">
        <v>798.5</v>
      </c>
      <c r="Q2686" s="115">
        <v>795.7</v>
      </c>
      <c r="R2686">
        <v>50609</v>
      </c>
    </row>
    <row r="2687" spans="1:18" x14ac:dyDescent="0.25">
      <c r="A2687" s="169">
        <v>45972</v>
      </c>
      <c r="B2687" s="115">
        <v>772.2</v>
      </c>
      <c r="C2687" s="115">
        <v>762.3</v>
      </c>
      <c r="D2687" s="115">
        <v>739.15</v>
      </c>
      <c r="E2687" s="115">
        <v>745.15</v>
      </c>
      <c r="F2687" s="115">
        <v>762.3</v>
      </c>
      <c r="G2687">
        <v>3273</v>
      </c>
      <c r="H2687" s="115"/>
      <c r="I2687" s="115"/>
      <c r="L2687" s="169">
        <v>45961</v>
      </c>
      <c r="M2687" s="115">
        <v>790.65</v>
      </c>
      <c r="N2687" s="115">
        <v>801.7</v>
      </c>
      <c r="O2687" s="115">
        <v>788</v>
      </c>
      <c r="P2687" s="115">
        <v>799.9</v>
      </c>
      <c r="Q2687" s="115">
        <v>790.65</v>
      </c>
      <c r="R2687">
        <v>47495</v>
      </c>
    </row>
    <row r="2688" spans="1:18" x14ac:dyDescent="0.25">
      <c r="A2688" s="169">
        <v>45973</v>
      </c>
      <c r="B2688" s="115">
        <v>774.9</v>
      </c>
      <c r="C2688" s="115">
        <v>763.95</v>
      </c>
      <c r="D2688" s="115">
        <v>754.05</v>
      </c>
      <c r="E2688" s="115">
        <v>774.9</v>
      </c>
      <c r="F2688" s="115">
        <v>763.95</v>
      </c>
      <c r="G2688">
        <v>1131</v>
      </c>
      <c r="H2688" s="115"/>
      <c r="I2688" s="115"/>
      <c r="L2688" s="169">
        <v>45964</v>
      </c>
      <c r="M2688" s="115">
        <v>785.55</v>
      </c>
      <c r="N2688" s="115">
        <v>796.6</v>
      </c>
      <c r="O2688" s="115">
        <v>782.9</v>
      </c>
      <c r="P2688" s="115">
        <v>792</v>
      </c>
      <c r="Q2688" s="115">
        <v>785.55</v>
      </c>
      <c r="R2688">
        <v>29974</v>
      </c>
    </row>
    <row r="2689" spans="1:18" x14ac:dyDescent="0.25">
      <c r="A2689" s="169">
        <v>45974</v>
      </c>
      <c r="B2689" s="115">
        <v>765.55</v>
      </c>
      <c r="C2689" s="115">
        <v>760</v>
      </c>
      <c r="D2689" s="115">
        <v>753.85</v>
      </c>
      <c r="E2689" s="115">
        <v>762.2</v>
      </c>
      <c r="F2689" s="115">
        <v>760</v>
      </c>
      <c r="G2689">
        <v>3150</v>
      </c>
      <c r="H2689" s="115"/>
      <c r="I2689" s="115"/>
      <c r="L2689" s="169">
        <v>45965</v>
      </c>
      <c r="M2689" s="115">
        <v>773.35</v>
      </c>
      <c r="N2689" s="115">
        <v>795</v>
      </c>
      <c r="O2689" s="115">
        <v>770.05</v>
      </c>
      <c r="P2689" s="115">
        <v>789.7</v>
      </c>
      <c r="Q2689" s="115">
        <v>773.35</v>
      </c>
      <c r="R2689">
        <v>43275</v>
      </c>
    </row>
    <row r="2690" spans="1:18" x14ac:dyDescent="0.25">
      <c r="A2690" s="169">
        <v>45975</v>
      </c>
      <c r="B2690" s="115">
        <v>761.95</v>
      </c>
      <c r="C2690" s="115">
        <v>758.25</v>
      </c>
      <c r="D2690" s="115">
        <v>753.05</v>
      </c>
      <c r="E2690" s="115">
        <v>756.55</v>
      </c>
      <c r="F2690" s="115">
        <v>758.25</v>
      </c>
      <c r="G2690">
        <v>3782</v>
      </c>
      <c r="H2690" s="115"/>
      <c r="I2690" s="115"/>
      <c r="L2690" s="169">
        <v>45967</v>
      </c>
      <c r="M2690" s="115">
        <v>769.05</v>
      </c>
      <c r="N2690" s="115">
        <v>781.7</v>
      </c>
      <c r="O2690" s="115">
        <v>767</v>
      </c>
      <c r="P2690" s="115">
        <v>780</v>
      </c>
      <c r="Q2690" s="115">
        <v>769.05</v>
      </c>
      <c r="R2690">
        <v>85441</v>
      </c>
    </row>
    <row r="2691" spans="1:18" x14ac:dyDescent="0.25">
      <c r="A2691" s="169">
        <v>45978</v>
      </c>
      <c r="B2691" s="115">
        <v>766</v>
      </c>
      <c r="C2691" s="115">
        <v>752.85</v>
      </c>
      <c r="D2691" s="115">
        <v>751.45</v>
      </c>
      <c r="E2691" s="115">
        <v>757.2</v>
      </c>
      <c r="F2691" s="115">
        <v>752.85</v>
      </c>
      <c r="G2691">
        <v>2699</v>
      </c>
      <c r="H2691" s="115"/>
      <c r="I2691" s="115"/>
      <c r="L2691" s="169">
        <v>45968</v>
      </c>
      <c r="M2691" s="115">
        <v>757</v>
      </c>
      <c r="N2691" s="115">
        <v>770</v>
      </c>
      <c r="O2691" s="115">
        <v>752</v>
      </c>
      <c r="P2691" s="115">
        <v>769.05</v>
      </c>
      <c r="Q2691" s="115">
        <v>757</v>
      </c>
      <c r="R2691">
        <v>34697</v>
      </c>
    </row>
    <row r="2692" spans="1:18" x14ac:dyDescent="0.25">
      <c r="A2692" s="169">
        <v>45979</v>
      </c>
      <c r="B2692" s="115">
        <v>758.95</v>
      </c>
      <c r="C2692" s="115">
        <v>739.3</v>
      </c>
      <c r="D2692" s="115">
        <v>738.3</v>
      </c>
      <c r="E2692" s="115">
        <v>756</v>
      </c>
      <c r="F2692" s="115">
        <v>739.3</v>
      </c>
      <c r="G2692">
        <v>2037</v>
      </c>
      <c r="H2692" s="115"/>
      <c r="I2692" s="115"/>
      <c r="L2692" s="169">
        <v>45971</v>
      </c>
      <c r="M2692" s="115">
        <v>745.05</v>
      </c>
      <c r="N2692" s="115">
        <v>761</v>
      </c>
      <c r="O2692" s="115">
        <v>736.05</v>
      </c>
      <c r="P2692" s="115">
        <v>756.25</v>
      </c>
      <c r="Q2692" s="115">
        <v>745.05</v>
      </c>
      <c r="R2692">
        <v>50155</v>
      </c>
    </row>
    <row r="2693" spans="1:18" x14ac:dyDescent="0.25">
      <c r="A2693" s="169">
        <v>45980</v>
      </c>
      <c r="B2693" s="115">
        <v>739.25</v>
      </c>
      <c r="C2693" s="115">
        <v>724.9</v>
      </c>
      <c r="D2693" s="115">
        <v>722.8</v>
      </c>
      <c r="E2693" s="115">
        <v>738.25</v>
      </c>
      <c r="F2693" s="115">
        <v>724.9</v>
      </c>
      <c r="G2693">
        <v>2524</v>
      </c>
      <c r="H2693" s="115"/>
      <c r="I2693" s="115"/>
      <c r="L2693" s="169">
        <v>45972</v>
      </c>
      <c r="M2693" s="115">
        <v>764.65</v>
      </c>
      <c r="N2693" s="115">
        <v>775</v>
      </c>
      <c r="O2693" s="115">
        <v>738.3</v>
      </c>
      <c r="P2693" s="115">
        <v>750.5</v>
      </c>
      <c r="Q2693" s="115">
        <v>764.65</v>
      </c>
      <c r="R2693">
        <v>81540</v>
      </c>
    </row>
    <row r="2694" spans="1:18" x14ac:dyDescent="0.25">
      <c r="A2694" s="169">
        <v>45981</v>
      </c>
      <c r="B2694" s="115">
        <v>727.25</v>
      </c>
      <c r="C2694" s="115">
        <v>718.3</v>
      </c>
      <c r="D2694" s="115">
        <v>711.2</v>
      </c>
      <c r="E2694" s="115">
        <v>725</v>
      </c>
      <c r="F2694" s="115">
        <v>718.3</v>
      </c>
      <c r="G2694">
        <v>3751</v>
      </c>
      <c r="H2694" s="115"/>
      <c r="I2694" s="115"/>
      <c r="L2694" s="169">
        <v>45973</v>
      </c>
      <c r="M2694" s="115">
        <v>764.4</v>
      </c>
      <c r="N2694" s="115">
        <v>767.35</v>
      </c>
      <c r="O2694" s="115">
        <v>753.05</v>
      </c>
      <c r="P2694" s="115">
        <v>764</v>
      </c>
      <c r="Q2694" s="115">
        <v>764.4</v>
      </c>
      <c r="R2694">
        <v>51221</v>
      </c>
    </row>
    <row r="2695" spans="1:18" x14ac:dyDescent="0.25">
      <c r="A2695" s="169">
        <v>45982</v>
      </c>
      <c r="B2695" s="115">
        <v>718.15</v>
      </c>
      <c r="C2695" s="115">
        <v>714.95</v>
      </c>
      <c r="D2695" s="115">
        <v>702</v>
      </c>
      <c r="E2695" s="115">
        <v>717.95</v>
      </c>
      <c r="F2695" s="115">
        <v>714.95</v>
      </c>
      <c r="G2695">
        <v>3075</v>
      </c>
      <c r="H2695" s="115"/>
      <c r="I2695" s="115"/>
      <c r="L2695" s="169">
        <v>45974</v>
      </c>
      <c r="M2695" s="115">
        <v>759.1</v>
      </c>
      <c r="N2695" s="115">
        <v>767.95</v>
      </c>
      <c r="O2695" s="115">
        <v>754</v>
      </c>
      <c r="P2695" s="115">
        <v>763.45</v>
      </c>
      <c r="Q2695" s="115">
        <v>759.1</v>
      </c>
      <c r="R2695">
        <v>40173</v>
      </c>
    </row>
    <row r="2696" spans="1:18" x14ac:dyDescent="0.25">
      <c r="A2696" s="169">
        <v>45985</v>
      </c>
      <c r="B2696" s="115">
        <v>759.55</v>
      </c>
      <c r="C2696" s="115">
        <v>737.95</v>
      </c>
      <c r="D2696" s="115">
        <v>710.9</v>
      </c>
      <c r="E2696" s="115">
        <v>711.35</v>
      </c>
      <c r="F2696" s="115">
        <v>737.95</v>
      </c>
      <c r="G2696">
        <v>1641</v>
      </c>
      <c r="H2696" s="115"/>
      <c r="I2696" s="115"/>
      <c r="L2696" s="169">
        <v>45975</v>
      </c>
      <c r="M2696" s="115">
        <v>759.95</v>
      </c>
      <c r="N2696" s="115">
        <v>765.8</v>
      </c>
      <c r="O2696" s="115">
        <v>752.95</v>
      </c>
      <c r="P2696" s="115">
        <v>765.8</v>
      </c>
      <c r="Q2696" s="115">
        <v>759.95</v>
      </c>
      <c r="R2696">
        <v>34567</v>
      </c>
    </row>
    <row r="2697" spans="1:18" x14ac:dyDescent="0.25">
      <c r="A2697" s="169">
        <v>45986</v>
      </c>
      <c r="B2697" s="115">
        <v>752.65</v>
      </c>
      <c r="C2697" s="115">
        <v>748.8</v>
      </c>
      <c r="D2697" s="115">
        <v>716.6</v>
      </c>
      <c r="E2697" s="115">
        <v>737.95</v>
      </c>
      <c r="F2697" s="115">
        <v>748.8</v>
      </c>
      <c r="G2697">
        <v>5178</v>
      </c>
      <c r="H2697" s="115"/>
      <c r="I2697" s="115"/>
      <c r="L2697" s="169">
        <v>45978</v>
      </c>
      <c r="M2697" s="115">
        <v>754.65</v>
      </c>
      <c r="N2697" s="115">
        <v>768</v>
      </c>
      <c r="O2697" s="115">
        <v>752</v>
      </c>
      <c r="P2697" s="115">
        <v>765.8</v>
      </c>
      <c r="Q2697" s="115">
        <v>754.65</v>
      </c>
      <c r="R2697">
        <v>26449</v>
      </c>
    </row>
    <row r="2698" spans="1:18" x14ac:dyDescent="0.25">
      <c r="A2698" s="169">
        <v>45987</v>
      </c>
      <c r="B2698" s="115">
        <v>745.5</v>
      </c>
      <c r="C2698" s="115">
        <v>739.7</v>
      </c>
      <c r="D2698" s="115">
        <v>730.15</v>
      </c>
      <c r="E2698" s="115">
        <v>745.5</v>
      </c>
      <c r="F2698" s="115">
        <v>739.7</v>
      </c>
      <c r="G2698">
        <v>2689</v>
      </c>
      <c r="H2698" s="115"/>
      <c r="I2698" s="115"/>
      <c r="L2698" s="169">
        <v>45979</v>
      </c>
      <c r="M2698" s="115">
        <v>739.6</v>
      </c>
      <c r="N2698" s="115">
        <v>759</v>
      </c>
      <c r="O2698" s="115">
        <v>737.1</v>
      </c>
      <c r="P2698" s="115">
        <v>754</v>
      </c>
      <c r="Q2698" s="115">
        <v>739.6</v>
      </c>
      <c r="R2698">
        <v>34903</v>
      </c>
    </row>
    <row r="2699" spans="1:18" x14ac:dyDescent="0.25">
      <c r="A2699" s="169">
        <v>45988</v>
      </c>
      <c r="B2699" s="115">
        <v>742.6</v>
      </c>
      <c r="C2699" s="115">
        <v>741.95</v>
      </c>
      <c r="D2699" s="115">
        <v>733.6</v>
      </c>
      <c r="E2699" s="115">
        <v>742.6</v>
      </c>
      <c r="F2699" s="115">
        <v>741.95</v>
      </c>
      <c r="G2699">
        <v>757</v>
      </c>
      <c r="H2699" s="115"/>
      <c r="I2699" s="115"/>
      <c r="L2699" s="169">
        <v>45980</v>
      </c>
      <c r="M2699" s="115">
        <v>724.3</v>
      </c>
      <c r="N2699" s="115">
        <v>745.15</v>
      </c>
      <c r="O2699" s="115">
        <v>723</v>
      </c>
      <c r="P2699" s="115">
        <v>743.5</v>
      </c>
      <c r="Q2699" s="115">
        <v>724.3</v>
      </c>
      <c r="R2699">
        <v>53697</v>
      </c>
    </row>
    <row r="2700" spans="1:18" x14ac:dyDescent="0.25">
      <c r="A2700" s="169">
        <v>45989</v>
      </c>
      <c r="B2700" s="115">
        <v>786.45</v>
      </c>
      <c r="C2700" s="115">
        <v>768.4</v>
      </c>
      <c r="D2700" s="115">
        <v>756.6</v>
      </c>
      <c r="E2700" s="115">
        <v>757.35</v>
      </c>
      <c r="F2700" s="115">
        <v>768.4</v>
      </c>
      <c r="G2700">
        <v>97994</v>
      </c>
      <c r="H2700" s="115"/>
      <c r="I2700" s="115"/>
      <c r="L2700" s="169">
        <v>45981</v>
      </c>
      <c r="M2700" s="115">
        <v>721.35</v>
      </c>
      <c r="N2700" s="115">
        <v>734.7</v>
      </c>
      <c r="O2700" s="115">
        <v>717.75</v>
      </c>
      <c r="P2700" s="115">
        <v>725.1</v>
      </c>
      <c r="Q2700" s="115">
        <v>721.35</v>
      </c>
      <c r="R2700">
        <v>39331</v>
      </c>
    </row>
    <row r="2701" spans="1:18" x14ac:dyDescent="0.25">
      <c r="A2701" s="169">
        <v>45992</v>
      </c>
      <c r="B2701" s="115">
        <v>764.15</v>
      </c>
      <c r="C2701" s="115">
        <v>744.2</v>
      </c>
      <c r="D2701" s="115">
        <v>741.45</v>
      </c>
      <c r="E2701" s="115">
        <v>764.15</v>
      </c>
      <c r="F2701" s="115">
        <v>744.2</v>
      </c>
      <c r="G2701">
        <v>9051</v>
      </c>
      <c r="H2701" s="115"/>
      <c r="I2701" s="115"/>
      <c r="L2701" s="169">
        <v>45982</v>
      </c>
      <c r="M2701" s="115">
        <v>715.1</v>
      </c>
      <c r="N2701" s="115">
        <v>725.1</v>
      </c>
      <c r="O2701" s="115">
        <v>701.1</v>
      </c>
      <c r="P2701" s="115">
        <v>716.5</v>
      </c>
      <c r="Q2701" s="115">
        <v>715.1</v>
      </c>
      <c r="R2701">
        <v>86040</v>
      </c>
    </row>
    <row r="2702" spans="1:18" x14ac:dyDescent="0.25">
      <c r="A2702" s="169">
        <v>45993</v>
      </c>
      <c r="B2702" s="115">
        <v>760.4</v>
      </c>
      <c r="C2702" s="115">
        <v>753.6</v>
      </c>
      <c r="D2702" s="115">
        <v>743.25</v>
      </c>
      <c r="E2702" s="115">
        <v>744.2</v>
      </c>
      <c r="F2702" s="115">
        <v>753.6</v>
      </c>
      <c r="G2702">
        <v>3966</v>
      </c>
      <c r="H2702" s="115"/>
      <c r="I2702" s="115"/>
      <c r="L2702" s="169">
        <v>45985</v>
      </c>
      <c r="M2702" s="115">
        <v>744.5</v>
      </c>
      <c r="N2702" s="115">
        <v>759.8</v>
      </c>
      <c r="O2702" s="115">
        <v>710.3</v>
      </c>
      <c r="P2702" s="115">
        <v>715.1</v>
      </c>
      <c r="Q2702" s="115">
        <v>744.5</v>
      </c>
      <c r="R2702">
        <v>79317</v>
      </c>
    </row>
    <row r="2703" spans="1:18" x14ac:dyDescent="0.25">
      <c r="A2703" s="169">
        <v>45994</v>
      </c>
      <c r="B2703" s="115">
        <v>763.65</v>
      </c>
      <c r="C2703" s="115">
        <v>757.7</v>
      </c>
      <c r="D2703" s="115">
        <v>740.65</v>
      </c>
      <c r="E2703" s="115">
        <v>756.3</v>
      </c>
      <c r="F2703" s="115">
        <v>757.7</v>
      </c>
      <c r="G2703">
        <v>3330</v>
      </c>
      <c r="H2703" s="115"/>
      <c r="I2703" s="115"/>
      <c r="L2703" s="169">
        <v>45986</v>
      </c>
      <c r="M2703" s="115">
        <v>748.25</v>
      </c>
      <c r="N2703" s="115">
        <v>754.85</v>
      </c>
      <c r="O2703" s="115">
        <v>716.25</v>
      </c>
      <c r="P2703" s="115">
        <v>725.05</v>
      </c>
      <c r="Q2703" s="115">
        <v>748.25</v>
      </c>
      <c r="R2703">
        <v>100011</v>
      </c>
    </row>
    <row r="2704" spans="1:18" x14ac:dyDescent="0.25">
      <c r="A2704" s="169">
        <v>45995</v>
      </c>
      <c r="B2704" s="115">
        <v>759.35</v>
      </c>
      <c r="C2704" s="115">
        <v>755.55</v>
      </c>
      <c r="D2704" s="115">
        <v>747.65</v>
      </c>
      <c r="E2704" s="115">
        <v>753.85</v>
      </c>
      <c r="F2704" s="115">
        <v>755.55</v>
      </c>
      <c r="G2704">
        <v>3703</v>
      </c>
      <c r="H2704" s="115"/>
      <c r="I2704" s="115"/>
      <c r="L2704" s="169">
        <v>45987</v>
      </c>
      <c r="M2704" s="115">
        <v>740.15</v>
      </c>
      <c r="N2704" s="115">
        <v>748.25</v>
      </c>
      <c r="O2704" s="115">
        <v>730.55</v>
      </c>
      <c r="P2704" s="115">
        <v>748.25</v>
      </c>
      <c r="Q2704" s="115">
        <v>740.15</v>
      </c>
      <c r="R2704">
        <v>74966</v>
      </c>
    </row>
    <row r="2705" spans="1:18" x14ac:dyDescent="0.25">
      <c r="A2705" s="169">
        <v>45996</v>
      </c>
      <c r="B2705" s="115">
        <v>753.75</v>
      </c>
      <c r="C2705" s="115">
        <v>748.25</v>
      </c>
      <c r="D2705" s="115">
        <v>743.9</v>
      </c>
      <c r="E2705" s="115">
        <v>749.1</v>
      </c>
      <c r="F2705" s="115">
        <v>748.25</v>
      </c>
      <c r="G2705">
        <v>2754</v>
      </c>
      <c r="H2705" s="115"/>
      <c r="I2705" s="115"/>
      <c r="L2705" s="169">
        <v>45988</v>
      </c>
      <c r="M2705" s="115">
        <v>741.6</v>
      </c>
      <c r="N2705" s="115">
        <v>745.95</v>
      </c>
      <c r="O2705" s="115">
        <v>730.45</v>
      </c>
      <c r="P2705" s="115">
        <v>742</v>
      </c>
      <c r="Q2705" s="115">
        <v>741.6</v>
      </c>
      <c r="R2705">
        <v>38877</v>
      </c>
    </row>
    <row r="2706" spans="1:18" x14ac:dyDescent="0.25">
      <c r="A2706" s="169">
        <v>45999</v>
      </c>
      <c r="B2706" s="115">
        <v>746.05</v>
      </c>
      <c r="C2706" s="115">
        <v>734</v>
      </c>
      <c r="D2706" s="115">
        <v>730.75</v>
      </c>
      <c r="E2706" s="115">
        <v>746.05</v>
      </c>
      <c r="F2706" s="115">
        <v>734</v>
      </c>
      <c r="G2706">
        <v>1867</v>
      </c>
      <c r="H2706" s="115"/>
      <c r="I2706" s="115"/>
      <c r="L2706" s="169">
        <v>45989</v>
      </c>
      <c r="M2706" s="115">
        <v>767.85</v>
      </c>
      <c r="N2706" s="115">
        <v>786.3</v>
      </c>
      <c r="O2706" s="115">
        <v>749</v>
      </c>
      <c r="P2706" s="115">
        <v>749</v>
      </c>
      <c r="Q2706" s="115">
        <v>767.85</v>
      </c>
      <c r="R2706">
        <v>2347332</v>
      </c>
    </row>
    <row r="2707" spans="1:18" x14ac:dyDescent="0.25">
      <c r="A2707" s="169">
        <v>46000</v>
      </c>
      <c r="B2707" s="115">
        <v>743.5</v>
      </c>
      <c r="C2707" s="115">
        <v>741.5</v>
      </c>
      <c r="D2707" s="115">
        <v>724.25</v>
      </c>
      <c r="E2707" s="115">
        <v>732.75</v>
      </c>
      <c r="F2707" s="115">
        <v>741.5</v>
      </c>
      <c r="G2707">
        <v>1675</v>
      </c>
      <c r="H2707" s="115"/>
      <c r="I2707" s="115"/>
      <c r="L2707" s="169">
        <v>45992</v>
      </c>
      <c r="M2707" s="115">
        <v>745.65</v>
      </c>
      <c r="N2707" s="115">
        <v>765.2</v>
      </c>
      <c r="O2707" s="115">
        <v>741</v>
      </c>
      <c r="P2707" s="115">
        <v>765.2</v>
      </c>
      <c r="Q2707" s="115">
        <v>745.65</v>
      </c>
      <c r="R2707">
        <v>85101</v>
      </c>
    </row>
    <row r="2708" spans="1:18" x14ac:dyDescent="0.25">
      <c r="A2708" s="169">
        <v>46001</v>
      </c>
      <c r="B2708" s="115">
        <v>750.8</v>
      </c>
      <c r="C2708" s="115">
        <v>734.9</v>
      </c>
      <c r="D2708" s="115">
        <v>731.75</v>
      </c>
      <c r="E2708" s="115">
        <v>734.3</v>
      </c>
      <c r="F2708" s="115">
        <v>734.9</v>
      </c>
      <c r="G2708">
        <v>905</v>
      </c>
      <c r="H2708" s="115"/>
      <c r="I2708" s="115"/>
      <c r="L2708" s="169">
        <v>45993</v>
      </c>
      <c r="M2708" s="115">
        <v>752.75</v>
      </c>
      <c r="N2708" s="115">
        <v>760</v>
      </c>
      <c r="O2708" s="115">
        <v>742.55</v>
      </c>
      <c r="P2708" s="115">
        <v>743.05</v>
      </c>
      <c r="Q2708" s="115">
        <v>752.75</v>
      </c>
      <c r="R2708">
        <v>92416</v>
      </c>
    </row>
    <row r="2709" spans="1:18" x14ac:dyDescent="0.25">
      <c r="A2709" s="169">
        <v>46002</v>
      </c>
      <c r="B2709">
        <v>742</v>
      </c>
      <c r="C2709">
        <v>739.2</v>
      </c>
      <c r="D2709">
        <v>727.15</v>
      </c>
      <c r="E2709">
        <v>727.15</v>
      </c>
      <c r="F2709">
        <v>739.2</v>
      </c>
      <c r="G2709">
        <v>3450</v>
      </c>
      <c r="H2709" s="115"/>
      <c r="I2709" s="115"/>
      <c r="L2709" s="169">
        <v>45994</v>
      </c>
      <c r="M2709" s="115">
        <v>758.25</v>
      </c>
      <c r="N2709" s="115">
        <v>764</v>
      </c>
      <c r="O2709" s="115">
        <v>739</v>
      </c>
      <c r="P2709" s="115">
        <v>749.5</v>
      </c>
      <c r="Q2709" s="115">
        <v>758.25</v>
      </c>
      <c r="R2709">
        <v>46749</v>
      </c>
    </row>
    <row r="2710" spans="1:18" x14ac:dyDescent="0.25">
      <c r="A2710" s="169">
        <v>46003</v>
      </c>
      <c r="B2710">
        <v>746.4</v>
      </c>
      <c r="C2710">
        <v>736.85</v>
      </c>
      <c r="D2710">
        <v>735.1</v>
      </c>
      <c r="E2710">
        <v>741.05</v>
      </c>
      <c r="F2710">
        <v>736.85</v>
      </c>
      <c r="G2710">
        <v>3838</v>
      </c>
      <c r="H2710" s="115"/>
      <c r="I2710" s="115"/>
      <c r="L2710" s="169">
        <v>45995</v>
      </c>
      <c r="M2710" s="115">
        <v>756</v>
      </c>
      <c r="N2710" s="115">
        <v>758.5</v>
      </c>
      <c r="O2710" s="115">
        <v>747.05</v>
      </c>
      <c r="P2710" s="115">
        <v>752.5</v>
      </c>
      <c r="Q2710" s="115">
        <v>756</v>
      </c>
      <c r="R2710">
        <v>33832</v>
      </c>
    </row>
    <row r="2711" spans="1:18" x14ac:dyDescent="0.25">
      <c r="A2711" s="169">
        <v>46006</v>
      </c>
      <c r="B2711">
        <v>779</v>
      </c>
      <c r="C2711">
        <v>766.15</v>
      </c>
      <c r="D2711">
        <v>739.85</v>
      </c>
      <c r="E2711">
        <v>754.7</v>
      </c>
      <c r="F2711">
        <v>766.15</v>
      </c>
      <c r="G2711">
        <v>4464</v>
      </c>
      <c r="H2711" s="115"/>
      <c r="I2711" s="115"/>
      <c r="L2711" s="169">
        <v>45996</v>
      </c>
      <c r="M2711" s="115">
        <v>748.75</v>
      </c>
      <c r="N2711" s="115">
        <v>755</v>
      </c>
      <c r="O2711" s="115">
        <v>742.35</v>
      </c>
      <c r="P2711" s="115">
        <v>755</v>
      </c>
      <c r="Q2711" s="115">
        <v>748.75</v>
      </c>
      <c r="R2711">
        <v>49902</v>
      </c>
    </row>
    <row r="2712" spans="1:18" x14ac:dyDescent="0.25">
      <c r="A2712" s="169">
        <v>46007</v>
      </c>
      <c r="B2712">
        <v>771.85</v>
      </c>
      <c r="C2712">
        <v>737.45</v>
      </c>
      <c r="D2712">
        <v>735</v>
      </c>
      <c r="E2712">
        <v>764.15</v>
      </c>
      <c r="F2712">
        <v>737.45</v>
      </c>
      <c r="G2712">
        <v>4276</v>
      </c>
      <c r="H2712" s="115"/>
      <c r="I2712" s="115"/>
      <c r="L2712" s="169">
        <v>45999</v>
      </c>
      <c r="M2712" s="115">
        <v>737</v>
      </c>
      <c r="N2712" s="115">
        <v>747.95</v>
      </c>
      <c r="O2712" s="115">
        <v>730.55</v>
      </c>
      <c r="P2712" s="115">
        <v>745</v>
      </c>
      <c r="Q2712" s="115">
        <v>737</v>
      </c>
      <c r="R2712">
        <v>55019</v>
      </c>
    </row>
    <row r="2713" spans="1:18" x14ac:dyDescent="0.25">
      <c r="A2713" s="169">
        <v>46008</v>
      </c>
      <c r="B2713">
        <v>739.45</v>
      </c>
      <c r="C2713">
        <v>722.6</v>
      </c>
      <c r="D2713">
        <v>715.9</v>
      </c>
      <c r="E2713">
        <v>736.45</v>
      </c>
      <c r="F2713">
        <v>722.6</v>
      </c>
      <c r="G2713">
        <v>2881</v>
      </c>
      <c r="H2713" s="115"/>
      <c r="I2713" s="115"/>
      <c r="L2713" s="169">
        <v>46000</v>
      </c>
      <c r="M2713" s="115">
        <v>741.05</v>
      </c>
      <c r="N2713" s="115">
        <v>743</v>
      </c>
      <c r="O2713" s="115">
        <v>725</v>
      </c>
      <c r="P2713" s="115">
        <v>735</v>
      </c>
      <c r="Q2713" s="115">
        <v>741.05</v>
      </c>
      <c r="R2713">
        <v>22590</v>
      </c>
    </row>
    <row r="2714" spans="1:18" x14ac:dyDescent="0.25">
      <c r="A2714" s="169">
        <v>46009</v>
      </c>
      <c r="B2714">
        <v>744.95</v>
      </c>
      <c r="C2714">
        <v>739.85</v>
      </c>
      <c r="D2714">
        <v>719.65</v>
      </c>
      <c r="E2714">
        <v>722.3</v>
      </c>
      <c r="F2714">
        <v>739.85</v>
      </c>
      <c r="G2714">
        <v>8618</v>
      </c>
      <c r="H2714" s="115"/>
      <c r="I2714" s="115"/>
      <c r="L2714" s="169">
        <v>46001</v>
      </c>
      <c r="M2714" s="115">
        <v>734.6</v>
      </c>
      <c r="N2714" s="115">
        <v>752</v>
      </c>
      <c r="O2714" s="115">
        <v>731.3</v>
      </c>
      <c r="P2714" s="115">
        <v>747</v>
      </c>
      <c r="Q2714" s="115">
        <v>734.6</v>
      </c>
      <c r="R2714">
        <v>19455</v>
      </c>
    </row>
    <row r="2715" spans="1:18" x14ac:dyDescent="0.25">
      <c r="A2715" s="169">
        <v>46010</v>
      </c>
      <c r="B2715">
        <v>774.9</v>
      </c>
      <c r="C2715">
        <v>768.95</v>
      </c>
      <c r="D2715">
        <v>736</v>
      </c>
      <c r="E2715">
        <v>746.65</v>
      </c>
      <c r="F2715">
        <v>768.95</v>
      </c>
      <c r="G2715">
        <v>8772</v>
      </c>
      <c r="H2715" s="115"/>
      <c r="I2715" s="115"/>
      <c r="L2715" s="169">
        <v>46002</v>
      </c>
      <c r="M2715" s="115">
        <v>739.2</v>
      </c>
      <c r="N2715" s="115">
        <v>742.4</v>
      </c>
      <c r="O2715" s="115">
        <v>727.8</v>
      </c>
      <c r="P2715" s="115">
        <v>737.45</v>
      </c>
      <c r="Q2715" s="115">
        <v>739.2</v>
      </c>
      <c r="R2715">
        <v>36939</v>
      </c>
    </row>
    <row r="2716" spans="1:18" x14ac:dyDescent="0.25">
      <c r="A2716" s="169">
        <v>46013</v>
      </c>
      <c r="B2716">
        <v>810.9</v>
      </c>
      <c r="C2716">
        <v>777.7</v>
      </c>
      <c r="D2716">
        <v>770.5</v>
      </c>
      <c r="E2716">
        <v>770.5</v>
      </c>
      <c r="F2716">
        <v>777.7</v>
      </c>
      <c r="G2716">
        <v>23017</v>
      </c>
      <c r="H2716" s="115"/>
      <c r="I2716" s="115"/>
      <c r="L2716" s="169">
        <v>46003</v>
      </c>
      <c r="M2716" s="115">
        <v>738.1</v>
      </c>
      <c r="N2716" s="115">
        <v>748</v>
      </c>
      <c r="O2716" s="115">
        <v>735.05</v>
      </c>
      <c r="P2716" s="115">
        <v>738</v>
      </c>
      <c r="Q2716" s="115">
        <v>738.1</v>
      </c>
      <c r="R2716">
        <v>32956</v>
      </c>
    </row>
    <row r="2717" spans="1:18" x14ac:dyDescent="0.25">
      <c r="A2717" s="169">
        <v>46014</v>
      </c>
      <c r="B2717">
        <v>788</v>
      </c>
      <c r="C2717">
        <v>779.6</v>
      </c>
      <c r="D2717">
        <v>766.1</v>
      </c>
      <c r="E2717">
        <v>778.85</v>
      </c>
      <c r="F2717">
        <v>779.6</v>
      </c>
      <c r="G2717">
        <v>2887</v>
      </c>
      <c r="H2717" s="115"/>
      <c r="I2717" s="115"/>
      <c r="L2717" s="169">
        <v>46006</v>
      </c>
      <c r="M2717" s="115">
        <v>767.1</v>
      </c>
      <c r="N2717" s="115">
        <v>777.75</v>
      </c>
      <c r="O2717" s="115">
        <v>735</v>
      </c>
      <c r="P2717" s="115">
        <v>735</v>
      </c>
      <c r="Q2717" s="115">
        <v>767.1</v>
      </c>
      <c r="R2717">
        <v>81094</v>
      </c>
    </row>
    <row r="2718" spans="1:18" x14ac:dyDescent="0.25">
      <c r="A2718" s="169">
        <v>46015</v>
      </c>
      <c r="B2718">
        <v>788.45</v>
      </c>
      <c r="C2718">
        <v>771.1</v>
      </c>
      <c r="D2718">
        <v>766.5</v>
      </c>
      <c r="E2718">
        <v>771.05</v>
      </c>
      <c r="F2718">
        <v>771.1</v>
      </c>
      <c r="G2718">
        <v>2615</v>
      </c>
      <c r="H2718" s="115"/>
      <c r="I2718" s="115"/>
      <c r="L2718" s="169">
        <v>46007</v>
      </c>
      <c r="M2718" s="115">
        <v>739.15</v>
      </c>
      <c r="N2718" s="115">
        <v>771.1</v>
      </c>
      <c r="O2718" s="115">
        <v>734.15</v>
      </c>
      <c r="P2718" s="115">
        <v>767.9</v>
      </c>
      <c r="Q2718" s="115">
        <v>739.15</v>
      </c>
      <c r="R2718">
        <v>75008</v>
      </c>
    </row>
    <row r="2719" spans="1:18" x14ac:dyDescent="0.25">
      <c r="A2719" s="169">
        <v>46017</v>
      </c>
      <c r="B2719">
        <v>775.15</v>
      </c>
      <c r="C2719">
        <v>760.6</v>
      </c>
      <c r="D2719">
        <v>756</v>
      </c>
      <c r="E2719">
        <v>774</v>
      </c>
      <c r="F2719">
        <v>760.6</v>
      </c>
      <c r="G2719">
        <v>2127</v>
      </c>
      <c r="H2719" s="115"/>
      <c r="I2719" s="115"/>
      <c r="L2719" s="169">
        <v>46008</v>
      </c>
      <c r="M2719" s="115">
        <v>721.75</v>
      </c>
      <c r="N2719" s="115">
        <v>743.25</v>
      </c>
      <c r="O2719" s="115">
        <v>714.75</v>
      </c>
      <c r="P2719" s="115">
        <v>739.4</v>
      </c>
      <c r="Q2719" s="115">
        <v>721.75</v>
      </c>
      <c r="R2719">
        <v>58123</v>
      </c>
    </row>
    <row r="2720" spans="1:18" x14ac:dyDescent="0.25">
      <c r="A2720" s="169">
        <v>46020</v>
      </c>
      <c r="B2720">
        <v>756.05</v>
      </c>
      <c r="C2720">
        <v>745.8</v>
      </c>
      <c r="D2720">
        <v>739.75</v>
      </c>
      <c r="E2720">
        <v>748.15</v>
      </c>
      <c r="F2720">
        <v>745.8</v>
      </c>
      <c r="G2720">
        <v>7894</v>
      </c>
      <c r="H2720" s="115"/>
      <c r="I2720" s="115"/>
      <c r="L2720" s="169">
        <v>46009</v>
      </c>
      <c r="M2720" s="115">
        <v>740.65</v>
      </c>
      <c r="N2720" s="115">
        <v>744.9</v>
      </c>
      <c r="O2720" s="115">
        <v>717.75</v>
      </c>
      <c r="P2720" s="115">
        <v>717.75</v>
      </c>
      <c r="Q2720" s="115">
        <v>740.65</v>
      </c>
      <c r="R2720">
        <v>118244</v>
      </c>
    </row>
    <row r="2721" spans="1:18" x14ac:dyDescent="0.25">
      <c r="A2721" s="169">
        <v>46021</v>
      </c>
      <c r="B2721">
        <v>747.5</v>
      </c>
      <c r="C2721">
        <v>744.6</v>
      </c>
      <c r="D2721">
        <v>726.75</v>
      </c>
      <c r="E2721">
        <v>740.55</v>
      </c>
      <c r="F2721">
        <v>744.6</v>
      </c>
      <c r="G2721">
        <v>4425</v>
      </c>
      <c r="H2721" s="115"/>
      <c r="I2721" s="115"/>
      <c r="L2721" s="169">
        <v>46010</v>
      </c>
      <c r="M2721" s="115">
        <v>766.25</v>
      </c>
      <c r="N2721" s="115">
        <v>776.15</v>
      </c>
      <c r="O2721" s="115">
        <v>733.9</v>
      </c>
      <c r="P2721" s="115">
        <v>737.3</v>
      </c>
      <c r="Q2721" s="115">
        <v>766.25</v>
      </c>
      <c r="R2721">
        <v>228045</v>
      </c>
    </row>
    <row r="2722" spans="1:18" x14ac:dyDescent="0.25">
      <c r="A2722" s="169">
        <v>46022</v>
      </c>
      <c r="B2722">
        <v>756.6</v>
      </c>
      <c r="C2722">
        <v>754.25</v>
      </c>
      <c r="D2722">
        <v>740</v>
      </c>
      <c r="E2722">
        <v>743</v>
      </c>
      <c r="F2722">
        <v>754.25</v>
      </c>
      <c r="G2722">
        <v>1429</v>
      </c>
      <c r="H2722" s="115"/>
      <c r="I2722" s="115"/>
      <c r="L2722" s="169">
        <v>46013</v>
      </c>
      <c r="M2722" s="115">
        <v>778.6</v>
      </c>
      <c r="N2722" s="115">
        <v>810.85</v>
      </c>
      <c r="O2722" s="115">
        <v>770</v>
      </c>
      <c r="P2722" s="115">
        <v>776</v>
      </c>
      <c r="Q2722" s="115">
        <v>778.6</v>
      </c>
      <c r="R2722">
        <v>651389</v>
      </c>
    </row>
    <row r="2723" spans="1:18" x14ac:dyDescent="0.25">
      <c r="A2723" s="169">
        <v>46023</v>
      </c>
      <c r="B2723">
        <v>757.5</v>
      </c>
      <c r="C2723">
        <v>745.8</v>
      </c>
      <c r="D2723">
        <v>740</v>
      </c>
      <c r="E2723">
        <v>754.2</v>
      </c>
      <c r="F2723">
        <v>745.8</v>
      </c>
      <c r="G2723">
        <v>4365</v>
      </c>
      <c r="H2723" s="115"/>
      <c r="I2723" s="115"/>
      <c r="L2723" s="169">
        <v>46014</v>
      </c>
      <c r="M2723" s="115">
        <v>781.1</v>
      </c>
      <c r="N2723" s="115">
        <v>788.15</v>
      </c>
      <c r="O2723" s="115">
        <v>766.25</v>
      </c>
      <c r="P2723" s="115">
        <v>778.6</v>
      </c>
      <c r="Q2723" s="115">
        <v>781.1</v>
      </c>
      <c r="R2723">
        <v>97157</v>
      </c>
    </row>
    <row r="2724" spans="1:18" x14ac:dyDescent="0.25">
      <c r="A2724" s="169">
        <v>46024</v>
      </c>
      <c r="B2724">
        <v>760.75</v>
      </c>
      <c r="C2724">
        <v>751.65</v>
      </c>
      <c r="D2724">
        <v>745.75</v>
      </c>
      <c r="E2724">
        <v>755.35</v>
      </c>
      <c r="F2724">
        <v>751.65</v>
      </c>
      <c r="G2724">
        <v>486</v>
      </c>
      <c r="H2724" s="115"/>
      <c r="I2724" s="115"/>
      <c r="L2724" s="169">
        <v>46015</v>
      </c>
      <c r="M2724" s="115">
        <v>771.5</v>
      </c>
      <c r="N2724" s="115">
        <v>788</v>
      </c>
      <c r="O2724" s="115">
        <v>766.1</v>
      </c>
      <c r="P2724" s="115">
        <v>777.1</v>
      </c>
      <c r="Q2724" s="115">
        <v>771.5</v>
      </c>
      <c r="R2724">
        <v>71842</v>
      </c>
    </row>
    <row r="2725" spans="1:18" x14ac:dyDescent="0.25">
      <c r="A2725" s="169">
        <v>46027</v>
      </c>
      <c r="B2725">
        <v>760.5</v>
      </c>
      <c r="C2725">
        <v>756.4</v>
      </c>
      <c r="D2725">
        <v>747.25</v>
      </c>
      <c r="E2725">
        <v>759.4</v>
      </c>
      <c r="F2725">
        <v>756.4</v>
      </c>
      <c r="G2725">
        <v>1134</v>
      </c>
      <c r="H2725" s="115"/>
      <c r="I2725" s="115"/>
      <c r="L2725" s="169">
        <v>46017</v>
      </c>
      <c r="M2725" s="115">
        <v>760</v>
      </c>
      <c r="N2725" s="115">
        <v>777.15</v>
      </c>
      <c r="O2725" s="115">
        <v>755.05</v>
      </c>
      <c r="P2725" s="115">
        <v>772.5</v>
      </c>
      <c r="Q2725" s="115">
        <v>760</v>
      </c>
      <c r="R2725">
        <v>47080</v>
      </c>
    </row>
    <row r="2726" spans="1:18" x14ac:dyDescent="0.25">
      <c r="A2726" s="169">
        <v>46028</v>
      </c>
      <c r="B2726">
        <v>756.3</v>
      </c>
      <c r="C2726">
        <v>750.45</v>
      </c>
      <c r="D2726">
        <v>749</v>
      </c>
      <c r="E2726">
        <v>753.05</v>
      </c>
      <c r="F2726">
        <v>750.45</v>
      </c>
      <c r="G2726">
        <v>519</v>
      </c>
      <c r="H2726" s="115"/>
      <c r="I2726" s="115"/>
      <c r="L2726" s="169">
        <v>46020</v>
      </c>
      <c r="M2726" s="115">
        <v>745.7</v>
      </c>
      <c r="N2726" s="115">
        <v>755.95</v>
      </c>
      <c r="O2726" s="115">
        <v>740.55</v>
      </c>
      <c r="P2726" s="115">
        <v>750</v>
      </c>
      <c r="Q2726" s="115">
        <v>745.7</v>
      </c>
      <c r="R2726">
        <v>88470</v>
      </c>
    </row>
    <row r="2727" spans="1:18" x14ac:dyDescent="0.25">
      <c r="A2727" s="169">
        <v>46029</v>
      </c>
      <c r="B2727">
        <v>816.75</v>
      </c>
      <c r="C2727">
        <v>752.35</v>
      </c>
      <c r="D2727">
        <v>736</v>
      </c>
      <c r="E2727">
        <v>816.75</v>
      </c>
      <c r="F2727">
        <v>752.35</v>
      </c>
      <c r="G2727">
        <v>5265</v>
      </c>
      <c r="H2727" s="115"/>
      <c r="I2727" s="115"/>
      <c r="L2727" s="169">
        <v>46021</v>
      </c>
      <c r="M2727" s="115">
        <v>744.9</v>
      </c>
      <c r="N2727" s="115">
        <v>748.95</v>
      </c>
      <c r="O2727" s="115">
        <v>726</v>
      </c>
      <c r="P2727" s="115">
        <v>743</v>
      </c>
      <c r="Q2727" s="115">
        <v>744.9</v>
      </c>
      <c r="R2727">
        <v>135669</v>
      </c>
    </row>
    <row r="2728" spans="1:18" x14ac:dyDescent="0.25">
      <c r="A2728" s="169">
        <v>46030</v>
      </c>
      <c r="B2728">
        <v>761.1</v>
      </c>
      <c r="C2728">
        <v>755.85</v>
      </c>
      <c r="D2728">
        <v>747.7</v>
      </c>
      <c r="E2728">
        <v>747.7</v>
      </c>
      <c r="F2728">
        <v>755.85</v>
      </c>
      <c r="G2728">
        <v>1580</v>
      </c>
      <c r="H2728" s="115"/>
      <c r="I2728" s="115"/>
      <c r="L2728" s="169">
        <v>46022</v>
      </c>
      <c r="M2728" s="115">
        <v>754.75</v>
      </c>
      <c r="N2728" s="115">
        <v>758.3</v>
      </c>
      <c r="O2728" s="115">
        <v>738.2</v>
      </c>
      <c r="P2728" s="115">
        <v>744.9</v>
      </c>
      <c r="Q2728" s="115">
        <v>754.75</v>
      </c>
      <c r="R2728">
        <v>39623</v>
      </c>
    </row>
    <row r="2729" spans="1:18" x14ac:dyDescent="0.25">
      <c r="A2729" s="169">
        <v>46031</v>
      </c>
      <c r="B2729">
        <v>771.15</v>
      </c>
      <c r="C2729">
        <v>763.15</v>
      </c>
      <c r="D2729">
        <v>750.8</v>
      </c>
      <c r="E2729">
        <v>750.8</v>
      </c>
      <c r="F2729">
        <v>763.15</v>
      </c>
      <c r="G2729">
        <v>6223</v>
      </c>
      <c r="H2729" s="115"/>
      <c r="I2729" s="115"/>
      <c r="L2729" s="169">
        <v>46023</v>
      </c>
      <c r="M2729" s="115">
        <v>746.25</v>
      </c>
      <c r="N2729" s="115">
        <v>758.95</v>
      </c>
      <c r="O2729" s="115">
        <v>739.25</v>
      </c>
      <c r="P2729" s="115">
        <v>752.1</v>
      </c>
      <c r="Q2729" s="115">
        <v>746.25</v>
      </c>
      <c r="R2729">
        <v>86832</v>
      </c>
    </row>
    <row r="2730" spans="1:18" x14ac:dyDescent="0.25">
      <c r="A2730" s="169">
        <v>46034</v>
      </c>
      <c r="B2730">
        <v>774.9</v>
      </c>
      <c r="C2730">
        <v>751.5</v>
      </c>
      <c r="D2730">
        <v>746.7</v>
      </c>
      <c r="E2730">
        <v>753.6</v>
      </c>
      <c r="F2730">
        <v>751.5</v>
      </c>
      <c r="G2730">
        <v>6955</v>
      </c>
      <c r="H2730" s="115"/>
      <c r="I2730" s="115"/>
      <c r="L2730" s="169">
        <v>46024</v>
      </c>
      <c r="M2730" s="115">
        <v>753.05</v>
      </c>
      <c r="N2730" s="115">
        <v>763.9</v>
      </c>
      <c r="O2730" s="115">
        <v>725</v>
      </c>
      <c r="P2730" s="115">
        <v>746</v>
      </c>
      <c r="Q2730" s="115">
        <v>753.05</v>
      </c>
      <c r="R2730">
        <v>45498</v>
      </c>
    </row>
    <row r="2731" spans="1:18" x14ac:dyDescent="0.25">
      <c r="A2731" s="169">
        <v>46035</v>
      </c>
      <c r="B2731">
        <v>753.6</v>
      </c>
      <c r="C2731">
        <v>733.65</v>
      </c>
      <c r="D2731">
        <v>729.85</v>
      </c>
      <c r="E2731">
        <v>751.5</v>
      </c>
      <c r="F2731">
        <v>733.65</v>
      </c>
      <c r="G2731">
        <v>4974</v>
      </c>
      <c r="H2731" s="115"/>
      <c r="I2731" s="115"/>
      <c r="L2731" s="169">
        <v>46027</v>
      </c>
      <c r="M2731" s="115">
        <v>756.9</v>
      </c>
      <c r="N2731" s="115">
        <v>761.65</v>
      </c>
      <c r="O2731" s="115">
        <v>748</v>
      </c>
      <c r="P2731" s="115">
        <v>754.9</v>
      </c>
      <c r="Q2731" s="115">
        <v>756.9</v>
      </c>
      <c r="R2731">
        <v>82170</v>
      </c>
    </row>
    <row r="2732" spans="1:18" x14ac:dyDescent="0.25">
      <c r="A2732" s="169">
        <v>46036</v>
      </c>
      <c r="B2732">
        <v>736.7</v>
      </c>
      <c r="C2732">
        <v>728.55</v>
      </c>
      <c r="D2732">
        <v>725</v>
      </c>
      <c r="E2732">
        <v>734.65</v>
      </c>
      <c r="F2732">
        <v>728.55</v>
      </c>
      <c r="G2732">
        <v>2013</v>
      </c>
      <c r="H2732" s="115"/>
      <c r="I2732" s="115"/>
      <c r="L2732" s="169">
        <v>46028</v>
      </c>
      <c r="M2732" s="115">
        <v>750.2</v>
      </c>
      <c r="N2732" s="115">
        <v>756.65</v>
      </c>
      <c r="O2732" s="115">
        <v>746</v>
      </c>
      <c r="P2732" s="115">
        <v>756.1</v>
      </c>
      <c r="Q2732" s="115">
        <v>750.2</v>
      </c>
      <c r="R2732">
        <v>12908</v>
      </c>
    </row>
    <row r="2733" spans="1:18" x14ac:dyDescent="0.25">
      <c r="A2733" s="169">
        <v>46038</v>
      </c>
      <c r="B2733">
        <v>749</v>
      </c>
      <c r="C2733">
        <v>739.3</v>
      </c>
      <c r="D2733">
        <v>723.3</v>
      </c>
      <c r="E2733">
        <v>723.3</v>
      </c>
      <c r="F2733">
        <v>739.3</v>
      </c>
      <c r="G2733">
        <v>2552</v>
      </c>
      <c r="H2733" s="115"/>
      <c r="I2733" s="115"/>
      <c r="L2733" s="169">
        <v>46029</v>
      </c>
      <c r="M2733" s="115">
        <v>753.15</v>
      </c>
      <c r="N2733" s="115">
        <v>758.95</v>
      </c>
      <c r="O2733" s="115">
        <v>735.6</v>
      </c>
      <c r="P2733" s="115">
        <v>752</v>
      </c>
      <c r="Q2733" s="115">
        <v>753.15</v>
      </c>
      <c r="R2733">
        <v>189965</v>
      </c>
    </row>
    <row r="2734" spans="1:18" x14ac:dyDescent="0.25">
      <c r="A2734" s="169">
        <v>46041</v>
      </c>
      <c r="B2734">
        <v>739.9</v>
      </c>
      <c r="C2734">
        <v>725.6</v>
      </c>
      <c r="D2734">
        <v>723</v>
      </c>
      <c r="E2734">
        <v>723.7</v>
      </c>
      <c r="F2734">
        <v>725.6</v>
      </c>
      <c r="G2734">
        <v>51411</v>
      </c>
      <c r="H2734" s="115"/>
      <c r="I2734" s="115"/>
      <c r="L2734" s="169">
        <v>46030</v>
      </c>
      <c r="M2734" s="115">
        <v>755.35</v>
      </c>
      <c r="N2734" s="115">
        <v>761.95</v>
      </c>
      <c r="O2734" s="115">
        <v>748</v>
      </c>
      <c r="P2734" s="115">
        <v>753.45</v>
      </c>
      <c r="Q2734" s="115">
        <v>755.35</v>
      </c>
      <c r="R2734">
        <v>96390</v>
      </c>
    </row>
    <row r="2735" spans="1:18" x14ac:dyDescent="0.25">
      <c r="A2735" s="169">
        <v>46042</v>
      </c>
      <c r="B2735">
        <v>726.2</v>
      </c>
      <c r="C2735">
        <v>704.55</v>
      </c>
      <c r="D2735">
        <v>702.55</v>
      </c>
      <c r="E2735">
        <v>725.95</v>
      </c>
      <c r="F2735">
        <v>704.55</v>
      </c>
      <c r="G2735">
        <v>1950</v>
      </c>
      <c r="H2735" s="115"/>
      <c r="I2735" s="115"/>
      <c r="L2735" s="169">
        <v>46031</v>
      </c>
      <c r="M2735" s="115">
        <v>763.7</v>
      </c>
      <c r="N2735" s="115">
        <v>772.2</v>
      </c>
      <c r="O2735" s="115">
        <v>748.55</v>
      </c>
      <c r="P2735" s="115">
        <v>752.65</v>
      </c>
      <c r="Q2735" s="115">
        <v>763.7</v>
      </c>
      <c r="R2735">
        <v>102463</v>
      </c>
    </row>
    <row r="2736" spans="1:18" x14ac:dyDescent="0.25">
      <c r="A2736" s="169">
        <v>46043</v>
      </c>
      <c r="B2736">
        <v>701.25</v>
      </c>
      <c r="C2736">
        <v>682.15</v>
      </c>
      <c r="D2736">
        <v>676.5</v>
      </c>
      <c r="E2736">
        <v>700.05</v>
      </c>
      <c r="F2736">
        <v>682.15</v>
      </c>
      <c r="G2736">
        <v>60384</v>
      </c>
      <c r="H2736" s="115"/>
      <c r="I2736" s="115"/>
      <c r="L2736" s="169">
        <v>46034</v>
      </c>
      <c r="M2736" s="115">
        <v>750.85</v>
      </c>
      <c r="N2736" s="115">
        <v>774.4</v>
      </c>
      <c r="O2736" s="115">
        <v>746.9</v>
      </c>
      <c r="P2736" s="115">
        <v>771.5</v>
      </c>
      <c r="Q2736" s="115">
        <v>750.85</v>
      </c>
      <c r="R2736">
        <v>116176</v>
      </c>
    </row>
    <row r="2737" spans="1:18" x14ac:dyDescent="0.25">
      <c r="A2737" s="169">
        <v>46044</v>
      </c>
      <c r="B2737">
        <v>707.35</v>
      </c>
      <c r="C2737">
        <v>703.3</v>
      </c>
      <c r="D2737">
        <v>685</v>
      </c>
      <c r="E2737">
        <v>686.85</v>
      </c>
      <c r="F2737">
        <v>703.3</v>
      </c>
      <c r="G2737">
        <v>5368</v>
      </c>
      <c r="H2737" s="115"/>
      <c r="I2737" s="115"/>
      <c r="L2737" s="169">
        <v>46035</v>
      </c>
      <c r="M2737" s="115">
        <v>733.9</v>
      </c>
      <c r="N2737" s="115">
        <v>759</v>
      </c>
      <c r="O2737" s="115">
        <v>729.1</v>
      </c>
      <c r="P2737" s="115">
        <v>759</v>
      </c>
      <c r="Q2737" s="115">
        <v>733.9</v>
      </c>
      <c r="R2737">
        <v>46731</v>
      </c>
    </row>
    <row r="2738" spans="1:18" x14ac:dyDescent="0.25">
      <c r="A2738" s="169">
        <v>46045</v>
      </c>
      <c r="B2738">
        <v>705</v>
      </c>
      <c r="C2738">
        <v>693.55</v>
      </c>
      <c r="D2738">
        <v>685.3</v>
      </c>
      <c r="E2738">
        <v>705</v>
      </c>
      <c r="F2738">
        <v>693.55</v>
      </c>
      <c r="G2738">
        <v>4060</v>
      </c>
      <c r="H2738" s="115"/>
      <c r="I2738" s="115"/>
      <c r="L2738" s="169">
        <v>46036</v>
      </c>
      <c r="M2738" s="115">
        <v>728.4</v>
      </c>
      <c r="N2738" s="115">
        <v>739.55</v>
      </c>
      <c r="O2738" s="115">
        <v>725</v>
      </c>
      <c r="P2738" s="115">
        <v>737.8</v>
      </c>
      <c r="Q2738" s="115">
        <v>728.4</v>
      </c>
      <c r="R2738">
        <v>26974</v>
      </c>
    </row>
    <row r="2739" spans="1:18" x14ac:dyDescent="0.25">
      <c r="A2739" s="169">
        <v>46049</v>
      </c>
      <c r="B2739">
        <v>688.95</v>
      </c>
      <c r="C2739">
        <v>680.45</v>
      </c>
      <c r="D2739">
        <v>668.65</v>
      </c>
      <c r="E2739">
        <v>685</v>
      </c>
      <c r="F2739">
        <v>680.45</v>
      </c>
      <c r="G2739">
        <v>5753</v>
      </c>
      <c r="H2739" s="115"/>
      <c r="I2739" s="115"/>
      <c r="L2739" s="169">
        <v>46038</v>
      </c>
      <c r="M2739" s="115">
        <v>740.2</v>
      </c>
      <c r="N2739" s="115">
        <v>749.9</v>
      </c>
      <c r="O2739" s="115">
        <v>723.1</v>
      </c>
      <c r="P2739" s="115">
        <v>723.1</v>
      </c>
      <c r="Q2739" s="115">
        <v>740.2</v>
      </c>
      <c r="R2739">
        <v>39331</v>
      </c>
    </row>
    <row r="2740" spans="1:18" x14ac:dyDescent="0.25">
      <c r="A2740" s="169">
        <v>46050</v>
      </c>
      <c r="B2740">
        <v>700.65</v>
      </c>
      <c r="C2740">
        <v>689.55</v>
      </c>
      <c r="D2740">
        <v>676.05</v>
      </c>
      <c r="E2740">
        <v>679</v>
      </c>
      <c r="F2740">
        <v>689.55</v>
      </c>
      <c r="G2740">
        <v>10319</v>
      </c>
      <c r="H2740" s="115"/>
      <c r="I2740" s="115"/>
      <c r="L2740" s="169">
        <v>46041</v>
      </c>
      <c r="M2740" s="115">
        <v>727</v>
      </c>
      <c r="N2740" s="115">
        <v>741.85</v>
      </c>
      <c r="O2740" s="115">
        <v>722.4</v>
      </c>
      <c r="P2740" s="115">
        <v>733.5</v>
      </c>
      <c r="Q2740" s="115">
        <v>727</v>
      </c>
      <c r="R2740">
        <v>30286</v>
      </c>
    </row>
    <row r="2741" spans="1:18" x14ac:dyDescent="0.25">
      <c r="A2741" s="169">
        <v>46051</v>
      </c>
      <c r="B2741">
        <v>692.85</v>
      </c>
      <c r="C2741">
        <v>681.25</v>
      </c>
      <c r="D2741">
        <v>676.9</v>
      </c>
      <c r="E2741">
        <v>688.25</v>
      </c>
      <c r="F2741">
        <v>681.25</v>
      </c>
      <c r="G2741">
        <v>3722</v>
      </c>
      <c r="H2741" s="115"/>
      <c r="I2741" s="115"/>
      <c r="L2741" s="169">
        <v>46042</v>
      </c>
      <c r="M2741" s="115">
        <v>704.3</v>
      </c>
      <c r="N2741" s="115">
        <v>732.2</v>
      </c>
      <c r="O2741" s="115">
        <v>702</v>
      </c>
      <c r="P2741" s="115">
        <v>732.2</v>
      </c>
      <c r="Q2741" s="115">
        <v>704.3</v>
      </c>
      <c r="R2741">
        <v>35539</v>
      </c>
    </row>
    <row r="2742" spans="1:18" x14ac:dyDescent="0.25">
      <c r="A2742" s="169">
        <v>46052</v>
      </c>
      <c r="B2742">
        <v>739</v>
      </c>
      <c r="C2742">
        <v>708.55</v>
      </c>
      <c r="D2742">
        <v>673.15</v>
      </c>
      <c r="E2742">
        <v>673.15</v>
      </c>
      <c r="F2742">
        <v>708.55</v>
      </c>
      <c r="G2742">
        <v>8169</v>
      </c>
      <c r="H2742" s="115"/>
      <c r="I2742" s="115"/>
      <c r="L2742" s="169">
        <v>46043</v>
      </c>
      <c r="M2742" s="115">
        <v>684.55</v>
      </c>
      <c r="N2742" s="115">
        <v>706.6</v>
      </c>
      <c r="O2742" s="115">
        <v>676.05</v>
      </c>
      <c r="P2742" s="115">
        <v>702</v>
      </c>
      <c r="Q2742" s="115">
        <v>684.55</v>
      </c>
      <c r="R2742">
        <v>115735</v>
      </c>
    </row>
    <row r="2743" spans="1:18" x14ac:dyDescent="0.25">
      <c r="A2743" s="169">
        <v>46054</v>
      </c>
      <c r="B2743">
        <v>720.05</v>
      </c>
      <c r="C2743">
        <v>685</v>
      </c>
      <c r="D2743">
        <v>682</v>
      </c>
      <c r="E2743">
        <v>705</v>
      </c>
      <c r="F2743">
        <v>685</v>
      </c>
      <c r="G2743">
        <v>3106</v>
      </c>
      <c r="H2743" s="115"/>
      <c r="I2743" s="115"/>
      <c r="L2743" s="169">
        <v>46044</v>
      </c>
      <c r="M2743" s="115">
        <v>704.6</v>
      </c>
      <c r="N2743" s="115">
        <v>709</v>
      </c>
      <c r="O2743" s="115">
        <v>683.4</v>
      </c>
      <c r="P2743" s="115">
        <v>690.95</v>
      </c>
      <c r="Q2743" s="115">
        <v>704.6</v>
      </c>
      <c r="R2743">
        <v>29817</v>
      </c>
    </row>
    <row r="2744" spans="1:18" x14ac:dyDescent="0.25">
      <c r="A2744" s="169">
        <v>46055</v>
      </c>
      <c r="B2744">
        <v>710.25</v>
      </c>
      <c r="C2744">
        <v>697.3</v>
      </c>
      <c r="D2744">
        <v>687.85</v>
      </c>
      <c r="E2744">
        <v>702.1</v>
      </c>
      <c r="F2744">
        <v>697.3</v>
      </c>
      <c r="G2744">
        <v>8666</v>
      </c>
      <c r="H2744" s="115"/>
      <c r="I2744" s="115"/>
      <c r="L2744" s="169">
        <v>46045</v>
      </c>
      <c r="M2744" s="115">
        <v>693.45</v>
      </c>
      <c r="N2744" s="115">
        <v>711.25</v>
      </c>
      <c r="O2744" s="115">
        <v>684.3</v>
      </c>
      <c r="P2744" s="115">
        <v>709.95</v>
      </c>
      <c r="Q2744" s="115">
        <v>693.45</v>
      </c>
      <c r="R2744">
        <v>30658</v>
      </c>
    </row>
    <row r="2745" spans="1:18" x14ac:dyDescent="0.25">
      <c r="A2745" s="169">
        <v>46056</v>
      </c>
      <c r="B2745">
        <v>727.1</v>
      </c>
      <c r="C2745">
        <v>719.65</v>
      </c>
      <c r="D2745">
        <v>708.3</v>
      </c>
      <c r="E2745">
        <v>711</v>
      </c>
      <c r="F2745">
        <v>719.65</v>
      </c>
      <c r="G2745">
        <v>3696</v>
      </c>
      <c r="H2745" s="115"/>
      <c r="I2745" s="115"/>
      <c r="L2745" s="169">
        <v>46049</v>
      </c>
      <c r="M2745" s="115">
        <v>680</v>
      </c>
      <c r="N2745" s="115">
        <v>689.2</v>
      </c>
      <c r="O2745" s="115">
        <v>666.65</v>
      </c>
      <c r="P2745" s="115">
        <v>686</v>
      </c>
      <c r="Q2745" s="115">
        <v>680</v>
      </c>
      <c r="R2745">
        <v>109600</v>
      </c>
    </row>
    <row r="2746" spans="1:18" x14ac:dyDescent="0.25">
      <c r="A2746" s="169">
        <v>46057</v>
      </c>
      <c r="B2746">
        <v>722.65</v>
      </c>
      <c r="C2746">
        <v>718.75</v>
      </c>
      <c r="D2746">
        <v>704.15</v>
      </c>
      <c r="E2746">
        <v>704.15</v>
      </c>
      <c r="F2746">
        <v>718.75</v>
      </c>
      <c r="G2746">
        <v>2620</v>
      </c>
      <c r="H2746" s="115"/>
      <c r="I2746" s="115"/>
      <c r="L2746" s="169">
        <v>46050</v>
      </c>
      <c r="M2746" s="115">
        <v>693.4</v>
      </c>
      <c r="N2746" s="115">
        <v>702</v>
      </c>
      <c r="O2746" s="115">
        <v>675.05</v>
      </c>
      <c r="P2746" s="115">
        <v>686.9</v>
      </c>
      <c r="Q2746" s="115">
        <v>693.4</v>
      </c>
      <c r="R2746">
        <v>64846</v>
      </c>
    </row>
    <row r="2747" spans="1:18" x14ac:dyDescent="0.25">
      <c r="A2747" s="169">
        <v>46058</v>
      </c>
      <c r="B2747">
        <v>722.95</v>
      </c>
      <c r="C2747">
        <v>702.4</v>
      </c>
      <c r="D2747">
        <v>700.6</v>
      </c>
      <c r="E2747">
        <v>705.3</v>
      </c>
      <c r="F2747">
        <v>702.4</v>
      </c>
      <c r="G2747">
        <v>5772</v>
      </c>
      <c r="H2747" s="115"/>
      <c r="I2747" s="115"/>
      <c r="L2747" s="169">
        <v>46051</v>
      </c>
      <c r="M2747" s="115">
        <v>681.4</v>
      </c>
      <c r="N2747" s="115">
        <v>694.3</v>
      </c>
      <c r="O2747" s="115">
        <v>676.25</v>
      </c>
      <c r="P2747" s="115">
        <v>684</v>
      </c>
      <c r="Q2747" s="115">
        <v>681.4</v>
      </c>
      <c r="R2747">
        <v>119265</v>
      </c>
    </row>
    <row r="2748" spans="1:18" x14ac:dyDescent="0.25">
      <c r="A2748" s="169">
        <v>46059</v>
      </c>
      <c r="B2748">
        <v>714.3</v>
      </c>
      <c r="C2748">
        <v>708.25</v>
      </c>
      <c r="D2748">
        <v>692.05</v>
      </c>
      <c r="E2748">
        <v>692.05</v>
      </c>
      <c r="F2748">
        <v>708.25</v>
      </c>
      <c r="G2748">
        <v>1296</v>
      </c>
      <c r="H2748" s="115"/>
      <c r="I2748" s="115"/>
      <c r="L2748" s="169">
        <v>46052</v>
      </c>
      <c r="M2748" s="115">
        <v>708.2</v>
      </c>
      <c r="N2748" s="115">
        <v>738.7</v>
      </c>
      <c r="O2748" s="115">
        <v>675.2</v>
      </c>
      <c r="P2748" s="115">
        <v>675.2</v>
      </c>
      <c r="Q2748" s="115">
        <v>708.2</v>
      </c>
      <c r="R2748">
        <v>229373</v>
      </c>
    </row>
    <row r="2749" spans="1:18" x14ac:dyDescent="0.25">
      <c r="A2749" s="169">
        <v>46062</v>
      </c>
      <c r="B2749">
        <v>739.1</v>
      </c>
      <c r="C2749">
        <v>729.9</v>
      </c>
      <c r="D2749">
        <v>706.55</v>
      </c>
      <c r="E2749">
        <v>710</v>
      </c>
      <c r="F2749">
        <v>729.9</v>
      </c>
      <c r="G2749">
        <v>7932</v>
      </c>
      <c r="H2749" s="115"/>
      <c r="I2749" s="115"/>
      <c r="L2749" s="169">
        <v>46054</v>
      </c>
      <c r="M2749" s="115">
        <v>686.6</v>
      </c>
      <c r="N2749" s="115">
        <v>718.75</v>
      </c>
      <c r="O2749" s="115">
        <v>681.4</v>
      </c>
      <c r="P2749" s="115">
        <v>705</v>
      </c>
      <c r="Q2749" s="115">
        <v>686.6</v>
      </c>
      <c r="R2749">
        <v>32895</v>
      </c>
    </row>
    <row r="2750" spans="1:18" x14ac:dyDescent="0.25">
      <c r="A2750" s="169">
        <v>46063</v>
      </c>
      <c r="B2750">
        <v>743.3</v>
      </c>
      <c r="C2750">
        <v>733</v>
      </c>
      <c r="D2750">
        <v>725.1</v>
      </c>
      <c r="E2750">
        <v>726.7</v>
      </c>
      <c r="F2750">
        <v>733</v>
      </c>
      <c r="G2750">
        <v>2008</v>
      </c>
      <c r="H2750" s="115"/>
      <c r="I2750" s="115"/>
      <c r="L2750" s="169">
        <v>46055</v>
      </c>
      <c r="M2750" s="115">
        <v>698.15</v>
      </c>
      <c r="N2750" s="115">
        <v>715</v>
      </c>
      <c r="O2750" s="115">
        <v>687</v>
      </c>
      <c r="P2750" s="115">
        <v>698.1</v>
      </c>
      <c r="Q2750" s="115">
        <v>698.15</v>
      </c>
      <c r="R2750">
        <v>140476</v>
      </c>
    </row>
    <row r="2751" spans="1:18" x14ac:dyDescent="0.25">
      <c r="A2751" s="169">
        <v>46064</v>
      </c>
      <c r="B2751">
        <v>734.3</v>
      </c>
      <c r="C2751">
        <v>730.6</v>
      </c>
      <c r="D2751">
        <v>728.25</v>
      </c>
      <c r="E2751">
        <v>734</v>
      </c>
      <c r="F2751">
        <v>730.6</v>
      </c>
      <c r="G2751">
        <v>446</v>
      </c>
      <c r="H2751" s="115"/>
      <c r="I2751" s="115"/>
      <c r="L2751" s="169">
        <v>46056</v>
      </c>
      <c r="M2751" s="115">
        <v>718.05</v>
      </c>
      <c r="N2751" s="115">
        <v>728.2</v>
      </c>
      <c r="O2751" s="115">
        <v>707.75</v>
      </c>
      <c r="P2751" s="115">
        <v>715</v>
      </c>
      <c r="Q2751" s="115">
        <v>718.05</v>
      </c>
      <c r="R2751">
        <v>78476</v>
      </c>
    </row>
    <row r="2752" spans="1:18" x14ac:dyDescent="0.25">
      <c r="A2752" s="169">
        <v>46065</v>
      </c>
      <c r="B2752">
        <v>732.55</v>
      </c>
      <c r="C2752">
        <v>722</v>
      </c>
      <c r="D2752">
        <v>710</v>
      </c>
      <c r="E2752">
        <v>731</v>
      </c>
      <c r="F2752">
        <v>722</v>
      </c>
      <c r="G2752">
        <v>1112</v>
      </c>
      <c r="H2752" s="115"/>
      <c r="I2752" s="115"/>
      <c r="L2752" s="169">
        <v>46057</v>
      </c>
      <c r="M2752" s="115">
        <v>717.8</v>
      </c>
      <c r="N2752" s="115">
        <v>723</v>
      </c>
      <c r="O2752" s="115">
        <v>711.65</v>
      </c>
      <c r="P2752" s="115">
        <v>715</v>
      </c>
      <c r="Q2752" s="115">
        <v>717.8</v>
      </c>
      <c r="R2752">
        <v>25882</v>
      </c>
    </row>
    <row r="2753" spans="1:18" x14ac:dyDescent="0.25">
      <c r="A2753" s="169">
        <v>46066</v>
      </c>
      <c r="B2753">
        <v>719</v>
      </c>
      <c r="C2753">
        <v>710.35</v>
      </c>
      <c r="D2753">
        <v>708</v>
      </c>
      <c r="E2753">
        <v>715</v>
      </c>
      <c r="F2753">
        <v>710.35</v>
      </c>
      <c r="G2753">
        <v>768</v>
      </c>
      <c r="H2753" s="115"/>
      <c r="I2753" s="115"/>
      <c r="L2753" s="169">
        <v>46058</v>
      </c>
      <c r="M2753" s="115">
        <v>702.9</v>
      </c>
      <c r="N2753" s="115">
        <v>723.2</v>
      </c>
      <c r="O2753" s="115">
        <v>699</v>
      </c>
      <c r="P2753" s="115">
        <v>721.55</v>
      </c>
      <c r="Q2753" s="115">
        <v>702.9</v>
      </c>
      <c r="R2753">
        <v>43808</v>
      </c>
    </row>
    <row r="2754" spans="1:18" x14ac:dyDescent="0.25">
      <c r="A2754" s="169">
        <v>46069</v>
      </c>
      <c r="B2754">
        <v>722.15</v>
      </c>
      <c r="C2754">
        <v>707.95</v>
      </c>
      <c r="D2754">
        <v>692.6</v>
      </c>
      <c r="E2754">
        <v>701.35</v>
      </c>
      <c r="F2754">
        <v>707.95</v>
      </c>
      <c r="G2754">
        <v>2777</v>
      </c>
      <c r="H2754" s="115"/>
      <c r="I2754" s="115"/>
      <c r="L2754" s="169">
        <v>46059</v>
      </c>
      <c r="M2754" s="115">
        <v>708</v>
      </c>
      <c r="N2754" s="115">
        <v>715</v>
      </c>
      <c r="O2754" s="115">
        <v>698.95</v>
      </c>
      <c r="P2754" s="115">
        <v>698.95</v>
      </c>
      <c r="Q2754" s="115">
        <v>708</v>
      </c>
      <c r="R2754">
        <v>26249</v>
      </c>
    </row>
    <row r="2755" spans="1:18" x14ac:dyDescent="0.25">
      <c r="A2755" s="169">
        <v>46070</v>
      </c>
      <c r="B2755">
        <v>725.5</v>
      </c>
      <c r="C2755">
        <v>720.1</v>
      </c>
      <c r="D2755">
        <v>693.75</v>
      </c>
      <c r="E2755">
        <v>693.75</v>
      </c>
      <c r="F2755">
        <v>720.1</v>
      </c>
      <c r="G2755">
        <v>1503</v>
      </c>
      <c r="H2755" s="115"/>
      <c r="I2755" s="115"/>
      <c r="L2755" s="169">
        <v>46062</v>
      </c>
      <c r="M2755" s="115">
        <v>730.2</v>
      </c>
      <c r="N2755" s="115">
        <v>738</v>
      </c>
      <c r="O2755" s="115">
        <v>707.05</v>
      </c>
      <c r="P2755" s="115">
        <v>711.7</v>
      </c>
      <c r="Q2755" s="115">
        <v>730.2</v>
      </c>
      <c r="R2755">
        <v>70476</v>
      </c>
    </row>
    <row r="2756" spans="1:18" x14ac:dyDescent="0.25">
      <c r="A2756" s="169">
        <v>46071</v>
      </c>
      <c r="B2756">
        <v>734</v>
      </c>
      <c r="C2756">
        <v>724.05</v>
      </c>
      <c r="D2756">
        <v>723.25</v>
      </c>
      <c r="E2756">
        <v>724.45</v>
      </c>
      <c r="F2756">
        <v>724.05</v>
      </c>
      <c r="G2756">
        <v>1764</v>
      </c>
      <c r="H2756" s="115"/>
      <c r="I2756" s="115"/>
      <c r="L2756" s="169">
        <v>46063</v>
      </c>
      <c r="M2756" s="115">
        <v>733.15</v>
      </c>
      <c r="N2756" s="115">
        <v>745.25</v>
      </c>
      <c r="O2756" s="115">
        <v>725.6</v>
      </c>
      <c r="P2756" s="115">
        <v>730.2</v>
      </c>
      <c r="Q2756" s="115">
        <v>733.15</v>
      </c>
      <c r="R2756">
        <v>44346</v>
      </c>
    </row>
    <row r="2757" spans="1:18" x14ac:dyDescent="0.25">
      <c r="A2757" s="169">
        <v>46072</v>
      </c>
      <c r="B2757">
        <v>727.05</v>
      </c>
      <c r="C2757">
        <v>713.3</v>
      </c>
      <c r="D2757">
        <v>708.8</v>
      </c>
      <c r="E2757">
        <v>723</v>
      </c>
      <c r="F2757">
        <v>713.3</v>
      </c>
      <c r="G2757">
        <v>2195</v>
      </c>
      <c r="H2757" s="115"/>
      <c r="I2757" s="115"/>
      <c r="L2757" s="169">
        <v>46064</v>
      </c>
      <c r="M2757" s="115">
        <v>730.95</v>
      </c>
      <c r="N2757" s="115">
        <v>739.2</v>
      </c>
      <c r="O2757" s="115">
        <v>728</v>
      </c>
      <c r="P2757" s="115">
        <v>733.15</v>
      </c>
      <c r="Q2757" s="115">
        <v>730.95</v>
      </c>
      <c r="R2757">
        <v>31451</v>
      </c>
    </row>
    <row r="2758" spans="1:18" x14ac:dyDescent="0.25">
      <c r="A2758" s="169">
        <v>46073</v>
      </c>
      <c r="B2758">
        <v>729</v>
      </c>
      <c r="C2758">
        <v>719.5</v>
      </c>
      <c r="D2758">
        <v>681</v>
      </c>
      <c r="E2758">
        <v>681</v>
      </c>
      <c r="F2758">
        <v>719.5</v>
      </c>
      <c r="G2758">
        <v>1731</v>
      </c>
      <c r="H2758" s="115"/>
      <c r="I2758" s="115"/>
      <c r="L2758" s="169">
        <v>46065</v>
      </c>
      <c r="M2758" s="115">
        <v>720.85</v>
      </c>
      <c r="N2758" s="115">
        <v>731.4</v>
      </c>
      <c r="O2758" s="115">
        <v>709.1</v>
      </c>
      <c r="P2758" s="115">
        <v>726</v>
      </c>
      <c r="Q2758" s="115">
        <v>720.85</v>
      </c>
      <c r="R2758">
        <v>125885</v>
      </c>
    </row>
    <row r="2759" spans="1:18" x14ac:dyDescent="0.25">
      <c r="A2759" s="169">
        <v>46076</v>
      </c>
      <c r="B2759">
        <v>731.6</v>
      </c>
      <c r="C2759">
        <v>726.85</v>
      </c>
      <c r="D2759">
        <v>710.4</v>
      </c>
      <c r="E2759">
        <v>710.4</v>
      </c>
      <c r="F2759">
        <v>726.85</v>
      </c>
      <c r="G2759">
        <v>3613</v>
      </c>
      <c r="H2759" s="115"/>
      <c r="I2759" s="115"/>
      <c r="L2759" s="169">
        <v>46066</v>
      </c>
      <c r="M2759" s="115">
        <v>709.65</v>
      </c>
      <c r="N2759" s="115">
        <v>719.65</v>
      </c>
      <c r="O2759" s="115">
        <v>707.65</v>
      </c>
      <c r="P2759" s="115">
        <v>716</v>
      </c>
      <c r="Q2759" s="115">
        <v>709.65</v>
      </c>
      <c r="R2759">
        <v>32687</v>
      </c>
    </row>
    <row r="2760" spans="1:18" x14ac:dyDescent="0.25">
      <c r="A2760" s="169">
        <v>46077</v>
      </c>
      <c r="B2760">
        <v>733.25</v>
      </c>
      <c r="C2760">
        <v>711.3</v>
      </c>
      <c r="D2760">
        <v>706.5</v>
      </c>
      <c r="E2760">
        <v>724.25</v>
      </c>
      <c r="F2760">
        <v>711.3</v>
      </c>
      <c r="G2760">
        <v>6751</v>
      </c>
      <c r="H2760" s="115"/>
      <c r="I2760" s="115"/>
      <c r="L2760" s="169">
        <v>46069</v>
      </c>
      <c r="M2760" s="115">
        <v>707.45</v>
      </c>
      <c r="N2760" s="115">
        <v>717</v>
      </c>
      <c r="O2760" s="115">
        <v>693.2</v>
      </c>
      <c r="P2760" s="115">
        <v>704</v>
      </c>
      <c r="Q2760" s="115">
        <v>707.45</v>
      </c>
      <c r="R2760">
        <v>77559</v>
      </c>
    </row>
    <row r="2761" spans="1:18" x14ac:dyDescent="0.25">
      <c r="A2761" s="169">
        <v>46078</v>
      </c>
      <c r="B2761">
        <v>730</v>
      </c>
      <c r="C2761">
        <v>718.45</v>
      </c>
      <c r="D2761">
        <v>703.4</v>
      </c>
      <c r="E2761">
        <v>714.05</v>
      </c>
      <c r="F2761">
        <v>718.45</v>
      </c>
      <c r="G2761">
        <v>6693</v>
      </c>
      <c r="H2761" s="115"/>
      <c r="I2761" s="115"/>
      <c r="L2761" s="169">
        <v>46070</v>
      </c>
      <c r="M2761" s="115">
        <v>721.2</v>
      </c>
      <c r="N2761" s="115">
        <v>725</v>
      </c>
      <c r="O2761" s="115">
        <v>706.9</v>
      </c>
      <c r="P2761" s="115">
        <v>707.45</v>
      </c>
      <c r="Q2761" s="115">
        <v>721.2</v>
      </c>
      <c r="R2761">
        <v>31290</v>
      </c>
    </row>
    <row r="2762" spans="1:18" x14ac:dyDescent="0.25">
      <c r="A2762" s="169">
        <v>46079</v>
      </c>
      <c r="B2762">
        <v>805.1</v>
      </c>
      <c r="C2762">
        <v>783.3</v>
      </c>
      <c r="D2762">
        <v>753</v>
      </c>
      <c r="E2762">
        <v>770.2</v>
      </c>
      <c r="F2762">
        <v>783.3</v>
      </c>
      <c r="G2762">
        <v>1116392</v>
      </c>
      <c r="H2762" s="115"/>
      <c r="I2762" s="115"/>
      <c r="L2762" s="169">
        <v>46071</v>
      </c>
      <c r="M2762" s="115">
        <v>724.05</v>
      </c>
      <c r="N2762" s="115">
        <v>733.85</v>
      </c>
      <c r="O2762" s="115">
        <v>720.5</v>
      </c>
      <c r="P2762" s="115">
        <v>721.2</v>
      </c>
      <c r="Q2762" s="115">
        <v>724.05</v>
      </c>
      <c r="R2762">
        <v>30717</v>
      </c>
    </row>
    <row r="2763" spans="1:18" x14ac:dyDescent="0.25">
      <c r="A2763" s="169">
        <v>46080</v>
      </c>
      <c r="B2763">
        <v>807.45</v>
      </c>
      <c r="C2763">
        <v>771.1</v>
      </c>
      <c r="D2763">
        <v>766</v>
      </c>
      <c r="E2763">
        <v>779</v>
      </c>
      <c r="F2763">
        <v>771.1</v>
      </c>
      <c r="G2763">
        <v>119174</v>
      </c>
      <c r="H2763" s="115"/>
      <c r="I2763" s="115"/>
      <c r="L2763" s="169">
        <v>46072</v>
      </c>
      <c r="M2763" s="115">
        <v>713.55</v>
      </c>
      <c r="N2763" s="115">
        <v>728</v>
      </c>
      <c r="O2763" s="115">
        <v>709.6</v>
      </c>
      <c r="P2763" s="115">
        <v>724.05</v>
      </c>
      <c r="Q2763" s="115">
        <v>713.55</v>
      </c>
      <c r="R2763">
        <v>26249</v>
      </c>
    </row>
    <row r="2764" spans="1:18" x14ac:dyDescent="0.25">
      <c r="A2764" s="169">
        <v>46083</v>
      </c>
      <c r="B2764">
        <v>761.45</v>
      </c>
      <c r="C2764">
        <v>741.3</v>
      </c>
      <c r="D2764">
        <v>720.15</v>
      </c>
      <c r="E2764">
        <v>744.3</v>
      </c>
      <c r="F2764">
        <v>741.3</v>
      </c>
      <c r="G2764">
        <v>43015</v>
      </c>
      <c r="H2764" s="115"/>
      <c r="I2764" s="115"/>
      <c r="L2764" s="169">
        <v>46073</v>
      </c>
      <c r="M2764" s="115">
        <v>719.25</v>
      </c>
      <c r="N2764" s="115">
        <v>730</v>
      </c>
      <c r="O2764" s="115">
        <v>701</v>
      </c>
      <c r="P2764" s="115">
        <v>713</v>
      </c>
      <c r="Q2764" s="115">
        <v>719.25</v>
      </c>
      <c r="R2764">
        <v>31524</v>
      </c>
    </row>
    <row r="2765" spans="1:18" x14ac:dyDescent="0.25">
      <c r="A2765" s="169">
        <v>46085</v>
      </c>
      <c r="B2765">
        <v>751.5</v>
      </c>
      <c r="C2765">
        <v>737.35</v>
      </c>
      <c r="D2765">
        <v>720</v>
      </c>
      <c r="E2765">
        <v>725.65</v>
      </c>
      <c r="F2765">
        <v>737.35</v>
      </c>
      <c r="G2765">
        <v>28879</v>
      </c>
      <c r="H2765" s="115"/>
      <c r="I2765" s="115"/>
      <c r="L2765" s="169">
        <v>46076</v>
      </c>
      <c r="M2765" s="115">
        <v>725.85</v>
      </c>
      <c r="N2765" s="115">
        <v>730</v>
      </c>
      <c r="O2765" s="115">
        <v>719.25</v>
      </c>
      <c r="P2765" s="115">
        <v>720.9</v>
      </c>
      <c r="Q2765" s="115">
        <v>725.85</v>
      </c>
      <c r="R2765">
        <v>41111</v>
      </c>
    </row>
    <row r="2766" spans="1:18" x14ac:dyDescent="0.25">
      <c r="A2766" s="169">
        <v>46086</v>
      </c>
      <c r="B2766">
        <v>755.5</v>
      </c>
      <c r="C2766">
        <v>751.2</v>
      </c>
      <c r="D2766">
        <v>730</v>
      </c>
      <c r="E2766">
        <v>753.75</v>
      </c>
      <c r="F2766">
        <v>751.2</v>
      </c>
      <c r="G2766">
        <v>5606</v>
      </c>
      <c r="H2766" s="115"/>
      <c r="I2766" s="115"/>
      <c r="L2766" s="169">
        <v>46077</v>
      </c>
      <c r="M2766" s="115">
        <v>710.4</v>
      </c>
      <c r="N2766" s="115">
        <v>747</v>
      </c>
      <c r="O2766" s="115">
        <v>705</v>
      </c>
      <c r="P2766" s="115">
        <v>725.85</v>
      </c>
      <c r="Q2766" s="115">
        <v>710.4</v>
      </c>
      <c r="R2766">
        <v>166035</v>
      </c>
    </row>
    <row r="2767" spans="1:18" x14ac:dyDescent="0.25">
      <c r="A2767" s="169">
        <v>46087</v>
      </c>
      <c r="B2767">
        <v>762.35</v>
      </c>
      <c r="C2767">
        <v>757</v>
      </c>
      <c r="D2767">
        <v>738.2</v>
      </c>
      <c r="E2767">
        <v>738.2</v>
      </c>
      <c r="F2767">
        <v>757</v>
      </c>
      <c r="G2767">
        <v>7211</v>
      </c>
      <c r="H2767" s="115"/>
      <c r="I2767" s="115"/>
      <c r="L2767" s="169">
        <v>46078</v>
      </c>
      <c r="M2767" s="115">
        <v>717.1</v>
      </c>
      <c r="N2767" s="115">
        <v>730.4</v>
      </c>
      <c r="O2767" s="115">
        <v>704.3</v>
      </c>
      <c r="P2767" s="115">
        <v>716.1</v>
      </c>
      <c r="Q2767" s="115">
        <v>717.1</v>
      </c>
      <c r="R2767">
        <v>229177</v>
      </c>
    </row>
    <row r="2768" spans="1:18" x14ac:dyDescent="0.25">
      <c r="A2768" s="169">
        <v>46090</v>
      </c>
      <c r="B2768">
        <v>788.6</v>
      </c>
      <c r="C2768">
        <v>753.55</v>
      </c>
      <c r="D2768">
        <v>732.3</v>
      </c>
      <c r="E2768">
        <v>788.6</v>
      </c>
      <c r="F2768">
        <v>753.55</v>
      </c>
      <c r="G2768">
        <v>5867</v>
      </c>
      <c r="H2768" s="115"/>
      <c r="I2768" s="115"/>
      <c r="L2768" s="169">
        <v>46079</v>
      </c>
      <c r="M2768" s="115">
        <v>783.35</v>
      </c>
      <c r="N2768" s="115">
        <v>806</v>
      </c>
      <c r="O2768" s="115">
        <v>752.65</v>
      </c>
      <c r="P2768" s="115">
        <v>779</v>
      </c>
      <c r="Q2768" s="115">
        <v>783.35</v>
      </c>
      <c r="R2768">
        <v>17434400</v>
      </c>
    </row>
    <row r="2769" spans="1:18" x14ac:dyDescent="0.25">
      <c r="A2769" s="169">
        <v>46091</v>
      </c>
      <c r="B2769">
        <v>763.8</v>
      </c>
      <c r="C2769">
        <v>762.1</v>
      </c>
      <c r="D2769">
        <v>752.3</v>
      </c>
      <c r="E2769">
        <v>754.35</v>
      </c>
      <c r="F2769">
        <v>762.1</v>
      </c>
      <c r="G2769">
        <v>3109</v>
      </c>
      <c r="H2769" s="115"/>
      <c r="I2769" s="115"/>
      <c r="L2769" s="169">
        <v>46080</v>
      </c>
      <c r="M2769" s="115">
        <v>770.25</v>
      </c>
      <c r="N2769" s="115">
        <v>807</v>
      </c>
      <c r="O2769" s="115">
        <v>765.05</v>
      </c>
      <c r="P2769" s="115">
        <v>779.45</v>
      </c>
      <c r="Q2769" s="115">
        <v>770.25</v>
      </c>
      <c r="R2769">
        <v>2366059</v>
      </c>
    </row>
    <row r="2770" spans="1:18" x14ac:dyDescent="0.25">
      <c r="A2770" s="169">
        <v>46092</v>
      </c>
      <c r="B2770">
        <v>796.3</v>
      </c>
      <c r="C2770">
        <v>764.7</v>
      </c>
      <c r="D2770">
        <v>756.3</v>
      </c>
      <c r="E2770">
        <v>782</v>
      </c>
      <c r="F2770">
        <v>764.7</v>
      </c>
      <c r="G2770">
        <v>28233</v>
      </c>
      <c r="H2770" s="115"/>
      <c r="I2770" s="115"/>
      <c r="L2770" s="169">
        <v>46083</v>
      </c>
      <c r="M2770" s="115">
        <v>740.7</v>
      </c>
      <c r="N2770" s="115">
        <v>760.75</v>
      </c>
      <c r="O2770" s="115">
        <v>717.45</v>
      </c>
      <c r="P2770" s="115">
        <v>738</v>
      </c>
      <c r="Q2770" s="115">
        <v>740.7</v>
      </c>
      <c r="R2770">
        <v>384069</v>
      </c>
    </row>
    <row r="2771" spans="1:18" x14ac:dyDescent="0.25">
      <c r="A2771" s="169">
        <v>46093</v>
      </c>
      <c r="B2771">
        <v>780</v>
      </c>
      <c r="C2771">
        <v>768</v>
      </c>
      <c r="D2771">
        <v>748.05</v>
      </c>
      <c r="E2771">
        <v>780</v>
      </c>
      <c r="F2771">
        <v>768</v>
      </c>
      <c r="G2771">
        <v>5153</v>
      </c>
      <c r="H2771" s="115"/>
      <c r="I2771" s="115"/>
      <c r="L2771" s="169">
        <v>46085</v>
      </c>
      <c r="M2771" s="115">
        <v>738.9</v>
      </c>
      <c r="N2771" s="115">
        <v>751.55</v>
      </c>
      <c r="O2771" s="115">
        <v>719</v>
      </c>
      <c r="P2771" s="115">
        <v>737</v>
      </c>
      <c r="Q2771" s="115">
        <v>738.9</v>
      </c>
      <c r="R2771">
        <v>364271</v>
      </c>
    </row>
    <row r="2772" spans="1:18" x14ac:dyDescent="0.25">
      <c r="A2772" s="169">
        <v>46094</v>
      </c>
      <c r="B2772">
        <v>777.65</v>
      </c>
      <c r="C2772">
        <v>751.8</v>
      </c>
      <c r="D2772">
        <v>748</v>
      </c>
      <c r="E2772">
        <v>777.65</v>
      </c>
      <c r="F2772">
        <v>751.8</v>
      </c>
      <c r="G2772">
        <v>4500</v>
      </c>
      <c r="H2772" s="115"/>
      <c r="I2772" s="115"/>
      <c r="L2772" s="169">
        <v>46086</v>
      </c>
      <c r="M2772" s="115">
        <v>751.1</v>
      </c>
      <c r="N2772" s="115">
        <v>756.55</v>
      </c>
      <c r="O2772" s="115">
        <v>729.65</v>
      </c>
      <c r="P2772" s="115">
        <v>738</v>
      </c>
      <c r="Q2772" s="115">
        <v>751.1</v>
      </c>
      <c r="R2772">
        <v>205233</v>
      </c>
    </row>
    <row r="2773" spans="1:18" x14ac:dyDescent="0.25">
      <c r="A2773" s="169">
        <v>46097</v>
      </c>
      <c r="B2773">
        <v>757.85</v>
      </c>
      <c r="C2773">
        <v>752.3</v>
      </c>
      <c r="D2773">
        <v>738.35</v>
      </c>
      <c r="E2773">
        <v>738.35</v>
      </c>
      <c r="F2773">
        <v>752.3</v>
      </c>
      <c r="G2773">
        <v>5344</v>
      </c>
      <c r="H2773" s="115"/>
      <c r="I2773" s="115"/>
      <c r="L2773" s="169">
        <v>46087</v>
      </c>
      <c r="M2773" s="115">
        <v>757.7</v>
      </c>
      <c r="N2773" s="115">
        <v>762.95</v>
      </c>
      <c r="O2773" s="115">
        <v>746.55</v>
      </c>
      <c r="P2773" s="115">
        <v>750.9</v>
      </c>
      <c r="Q2773" s="115">
        <v>757.7</v>
      </c>
      <c r="R2773">
        <v>103918</v>
      </c>
    </row>
    <row r="2774" spans="1:18" x14ac:dyDescent="0.25">
      <c r="A2774" s="169">
        <v>46098</v>
      </c>
      <c r="B2774">
        <v>764.55</v>
      </c>
      <c r="C2774">
        <v>760.05</v>
      </c>
      <c r="D2774">
        <v>745.85</v>
      </c>
      <c r="E2774">
        <v>752.7</v>
      </c>
      <c r="F2774">
        <v>760.05</v>
      </c>
      <c r="G2774">
        <v>3471</v>
      </c>
      <c r="H2774" s="115"/>
      <c r="I2774" s="115"/>
      <c r="L2774" s="169">
        <v>46090</v>
      </c>
      <c r="M2774" s="115">
        <v>753.6</v>
      </c>
      <c r="N2774" s="115">
        <v>756.45</v>
      </c>
      <c r="O2774" s="115">
        <v>730.15</v>
      </c>
      <c r="P2774" s="115">
        <v>739</v>
      </c>
      <c r="Q2774" s="115">
        <v>753.6</v>
      </c>
      <c r="R2774">
        <v>134579</v>
      </c>
    </row>
    <row r="2775" spans="1:18" x14ac:dyDescent="0.25">
      <c r="A2775" s="169">
        <v>46099</v>
      </c>
      <c r="B2775">
        <v>821.55</v>
      </c>
      <c r="C2775">
        <v>811.3</v>
      </c>
      <c r="D2775">
        <v>760.05</v>
      </c>
      <c r="E2775">
        <v>761</v>
      </c>
      <c r="F2775">
        <v>811.3</v>
      </c>
      <c r="G2775">
        <v>16425</v>
      </c>
      <c r="H2775" s="115"/>
      <c r="I2775" s="115"/>
      <c r="L2775" s="169">
        <v>46091</v>
      </c>
      <c r="M2775" s="115">
        <v>761.25</v>
      </c>
      <c r="N2775" s="115">
        <v>763.95</v>
      </c>
      <c r="O2775" s="115">
        <v>751</v>
      </c>
      <c r="P2775" s="115">
        <v>753.55</v>
      </c>
      <c r="Q2775" s="115">
        <v>761.25</v>
      </c>
      <c r="R2775">
        <v>77373</v>
      </c>
    </row>
    <row r="2776" spans="1:18" x14ac:dyDescent="0.25">
      <c r="A2776" s="169">
        <v>46100</v>
      </c>
      <c r="B2776">
        <v>835.15</v>
      </c>
      <c r="C2776">
        <v>798.9</v>
      </c>
      <c r="D2776">
        <v>793.75</v>
      </c>
      <c r="E2776">
        <v>800</v>
      </c>
      <c r="F2776">
        <v>798.9</v>
      </c>
      <c r="G2776">
        <v>55882</v>
      </c>
      <c r="H2776" s="115"/>
      <c r="I2776" s="115"/>
      <c r="L2776" s="169">
        <v>46092</v>
      </c>
      <c r="M2776" s="115">
        <v>764</v>
      </c>
      <c r="N2776" s="115">
        <v>797.35</v>
      </c>
      <c r="O2776" s="115">
        <v>754.45</v>
      </c>
      <c r="P2776" s="115">
        <v>777</v>
      </c>
      <c r="Q2776" s="115">
        <v>764</v>
      </c>
      <c r="R2776">
        <v>511579</v>
      </c>
    </row>
    <row r="2777" spans="1:18" x14ac:dyDescent="0.25">
      <c r="A2777" s="169">
        <v>46101</v>
      </c>
      <c r="B2777">
        <v>822.2</v>
      </c>
      <c r="C2777">
        <v>782.1</v>
      </c>
      <c r="D2777">
        <v>775.6</v>
      </c>
      <c r="E2777">
        <v>800.1</v>
      </c>
      <c r="F2777">
        <v>782.1</v>
      </c>
      <c r="G2777">
        <v>11664</v>
      </c>
      <c r="H2777" s="115"/>
      <c r="I2777" s="115"/>
      <c r="L2777" s="169">
        <v>46093</v>
      </c>
      <c r="M2777" s="115">
        <v>768.15</v>
      </c>
      <c r="N2777" s="115">
        <v>770.4</v>
      </c>
      <c r="O2777" s="115">
        <v>748.95</v>
      </c>
      <c r="P2777" s="115">
        <v>768</v>
      </c>
      <c r="Q2777" s="115">
        <v>768.15</v>
      </c>
      <c r="R2777">
        <v>136023</v>
      </c>
    </row>
    <row r="2778" spans="1:18" x14ac:dyDescent="0.25">
      <c r="A2778" s="169">
        <v>46104</v>
      </c>
      <c r="B2778">
        <v>788</v>
      </c>
      <c r="C2778">
        <v>783.05</v>
      </c>
      <c r="D2778">
        <v>756.95</v>
      </c>
      <c r="E2778">
        <v>779.4</v>
      </c>
      <c r="F2778">
        <v>783.05</v>
      </c>
      <c r="G2778">
        <v>26471</v>
      </c>
      <c r="H2778" s="115"/>
      <c r="I2778" s="115"/>
      <c r="L2778" s="169">
        <v>46094</v>
      </c>
      <c r="M2778" s="115">
        <v>751</v>
      </c>
      <c r="N2778" s="115">
        <v>768.95</v>
      </c>
      <c r="O2778" s="115">
        <v>747.3</v>
      </c>
      <c r="P2778" s="115">
        <v>764.35</v>
      </c>
      <c r="Q2778" s="115">
        <v>751</v>
      </c>
      <c r="R2778">
        <v>97087</v>
      </c>
    </row>
    <row r="2779" spans="1:18" x14ac:dyDescent="0.25">
      <c r="A2779" s="169">
        <v>46105</v>
      </c>
      <c r="B2779">
        <v>810.6</v>
      </c>
      <c r="C2779">
        <v>797.25</v>
      </c>
      <c r="D2779">
        <v>779.9</v>
      </c>
      <c r="E2779">
        <v>786.85</v>
      </c>
      <c r="F2779">
        <v>797.25</v>
      </c>
      <c r="G2779">
        <v>12013</v>
      </c>
      <c r="H2779" s="115"/>
      <c r="I2779" s="115"/>
      <c r="L2779" s="169">
        <v>46097</v>
      </c>
      <c r="M2779" s="115">
        <v>752.6</v>
      </c>
      <c r="N2779" s="115">
        <v>757</v>
      </c>
      <c r="O2779" s="115">
        <v>738.3</v>
      </c>
      <c r="P2779" s="115">
        <v>745.05</v>
      </c>
      <c r="Q2779" s="115">
        <v>752.6</v>
      </c>
      <c r="R2779">
        <v>70751</v>
      </c>
    </row>
    <row r="2780" spans="1:18" x14ac:dyDescent="0.25">
      <c r="A2780" s="169">
        <v>46106</v>
      </c>
      <c r="B2780">
        <v>823.45</v>
      </c>
      <c r="C2780">
        <v>811.2</v>
      </c>
      <c r="D2780">
        <v>800</v>
      </c>
      <c r="E2780">
        <v>815.5</v>
      </c>
      <c r="F2780">
        <v>811.2</v>
      </c>
      <c r="G2780">
        <v>19968</v>
      </c>
      <c r="H2780" s="115"/>
      <c r="I2780" s="115"/>
      <c r="L2780" s="169">
        <v>46098</v>
      </c>
      <c r="M2780" s="115">
        <v>761.1</v>
      </c>
      <c r="N2780" s="115">
        <v>765.65</v>
      </c>
      <c r="O2780" s="115">
        <v>745.25</v>
      </c>
      <c r="P2780" s="115">
        <v>758.6</v>
      </c>
      <c r="Q2780" s="115">
        <v>761.1</v>
      </c>
      <c r="R2780">
        <v>130644</v>
      </c>
    </row>
    <row r="2781" spans="1:18" x14ac:dyDescent="0.25">
      <c r="A2781" s="169">
        <v>46108</v>
      </c>
      <c r="B2781">
        <v>823.45</v>
      </c>
      <c r="C2781">
        <v>795.6</v>
      </c>
      <c r="D2781">
        <v>787.6</v>
      </c>
      <c r="E2781">
        <v>823.45</v>
      </c>
      <c r="F2781">
        <v>795.6</v>
      </c>
      <c r="G2781">
        <v>26712</v>
      </c>
      <c r="H2781" s="115"/>
      <c r="I2781" s="115"/>
      <c r="L2781" s="169">
        <v>46099</v>
      </c>
      <c r="M2781" s="115">
        <v>811.3</v>
      </c>
      <c r="N2781" s="115">
        <v>823.05</v>
      </c>
      <c r="O2781" s="115">
        <v>758.85</v>
      </c>
      <c r="P2781" s="115">
        <v>760</v>
      </c>
      <c r="Q2781" s="115">
        <v>811.3</v>
      </c>
      <c r="R2781">
        <v>661167</v>
      </c>
    </row>
    <row r="2782" spans="1:18" x14ac:dyDescent="0.25">
      <c r="A2782" s="169">
        <v>46111</v>
      </c>
      <c r="B2782">
        <v>810</v>
      </c>
      <c r="C2782">
        <v>792.25</v>
      </c>
      <c r="D2782">
        <v>776.95</v>
      </c>
      <c r="E2782">
        <v>787.7</v>
      </c>
      <c r="F2782">
        <v>792.25</v>
      </c>
      <c r="G2782">
        <v>13658</v>
      </c>
      <c r="H2782" s="115"/>
      <c r="I2782" s="115"/>
      <c r="L2782" s="169">
        <v>46100</v>
      </c>
      <c r="M2782" s="115">
        <v>799.85</v>
      </c>
      <c r="N2782" s="115">
        <v>837.05</v>
      </c>
      <c r="O2782" s="115">
        <v>793</v>
      </c>
      <c r="P2782" s="115">
        <v>805.6</v>
      </c>
      <c r="Q2782" s="115">
        <v>799.85</v>
      </c>
      <c r="R2782">
        <v>752441</v>
      </c>
    </row>
    <row r="2783" spans="1:18" x14ac:dyDescent="0.25">
      <c r="A2783" s="169">
        <v>46113</v>
      </c>
      <c r="B2783">
        <v>833.4</v>
      </c>
      <c r="C2783">
        <v>827.9</v>
      </c>
      <c r="D2783">
        <v>799.9</v>
      </c>
      <c r="E2783">
        <v>807.95</v>
      </c>
      <c r="F2783">
        <v>827.9</v>
      </c>
      <c r="G2783">
        <v>15587</v>
      </c>
      <c r="H2783" s="115"/>
      <c r="I2783" s="115"/>
      <c r="L2783" s="169">
        <v>46101</v>
      </c>
      <c r="M2783" s="115">
        <v>782.3</v>
      </c>
      <c r="N2783" s="115">
        <v>822.6</v>
      </c>
      <c r="O2783" s="115">
        <v>769.9</v>
      </c>
      <c r="P2783" s="115">
        <v>809</v>
      </c>
      <c r="Q2783" s="115">
        <v>782.3</v>
      </c>
      <c r="R2783">
        <v>388129</v>
      </c>
    </row>
    <row r="2784" spans="1:18" x14ac:dyDescent="0.25">
      <c r="A2784" s="169">
        <v>46114</v>
      </c>
      <c r="B2784">
        <v>842</v>
      </c>
      <c r="C2784">
        <v>839.05</v>
      </c>
      <c r="D2784">
        <v>804.65</v>
      </c>
      <c r="E2784">
        <v>829.95</v>
      </c>
      <c r="F2784">
        <v>839.05</v>
      </c>
      <c r="G2784">
        <v>11109</v>
      </c>
      <c r="H2784" s="115"/>
      <c r="I2784" s="115"/>
      <c r="L2784" s="169">
        <v>46104</v>
      </c>
      <c r="M2784" s="115">
        <v>782.85</v>
      </c>
      <c r="N2784" s="115">
        <v>788.8</v>
      </c>
      <c r="O2784" s="115">
        <v>757.05</v>
      </c>
      <c r="P2784" s="115">
        <v>777.7</v>
      </c>
      <c r="Q2784" s="115">
        <v>782.85</v>
      </c>
      <c r="R2784">
        <v>536554</v>
      </c>
    </row>
    <row r="2785" spans="1:18" x14ac:dyDescent="0.25">
      <c r="A2785" s="169">
        <v>46118</v>
      </c>
      <c r="B2785">
        <v>850</v>
      </c>
      <c r="C2785">
        <v>831.85</v>
      </c>
      <c r="D2785">
        <v>827</v>
      </c>
      <c r="E2785">
        <v>841.25</v>
      </c>
      <c r="F2785">
        <v>831.85</v>
      </c>
      <c r="G2785">
        <v>21284</v>
      </c>
      <c r="H2785" s="115"/>
      <c r="I2785" s="115"/>
      <c r="L2785" s="169">
        <v>46105</v>
      </c>
      <c r="M2785" s="115">
        <v>799.2</v>
      </c>
      <c r="N2785" s="115">
        <v>809.75</v>
      </c>
      <c r="O2785" s="115">
        <v>780.15</v>
      </c>
      <c r="P2785" s="115">
        <v>792</v>
      </c>
      <c r="Q2785" s="115">
        <v>799.2</v>
      </c>
      <c r="R2785">
        <v>212642</v>
      </c>
    </row>
    <row r="2786" spans="1:18" x14ac:dyDescent="0.25">
      <c r="A2786" s="169">
        <v>46119</v>
      </c>
      <c r="B2786">
        <v>840.35</v>
      </c>
      <c r="C2786">
        <v>834.3</v>
      </c>
      <c r="D2786">
        <v>823.85</v>
      </c>
      <c r="E2786">
        <v>828.8</v>
      </c>
      <c r="F2786">
        <v>834.3</v>
      </c>
      <c r="G2786">
        <v>10692</v>
      </c>
      <c r="H2786" s="115"/>
      <c r="I2786" s="115"/>
      <c r="L2786" s="169">
        <v>46106</v>
      </c>
      <c r="M2786" s="115">
        <v>812</v>
      </c>
      <c r="N2786" s="115">
        <v>824</v>
      </c>
      <c r="O2786" s="115">
        <v>798.45</v>
      </c>
      <c r="P2786" s="115">
        <v>800</v>
      </c>
      <c r="Q2786" s="115">
        <v>812</v>
      </c>
      <c r="R2786">
        <v>401500</v>
      </c>
    </row>
    <row r="2787" spans="1:18" x14ac:dyDescent="0.25">
      <c r="A2787" s="169">
        <v>46120</v>
      </c>
      <c r="B2787">
        <v>859.5</v>
      </c>
      <c r="C2787">
        <v>852.4</v>
      </c>
      <c r="D2787">
        <v>833.45</v>
      </c>
      <c r="E2787">
        <v>850.15</v>
      </c>
      <c r="F2787">
        <v>852.4</v>
      </c>
      <c r="G2787">
        <v>12780</v>
      </c>
      <c r="H2787" s="115"/>
      <c r="I2787" s="115"/>
      <c r="L2787" s="169">
        <v>46108</v>
      </c>
      <c r="M2787" s="115">
        <v>795.85</v>
      </c>
      <c r="N2787" s="115">
        <v>823.7</v>
      </c>
      <c r="O2787" s="115">
        <v>788.6</v>
      </c>
      <c r="P2787" s="115">
        <v>815</v>
      </c>
      <c r="Q2787" s="115">
        <v>795.85</v>
      </c>
      <c r="R2787">
        <v>718279</v>
      </c>
    </row>
    <row r="2788" spans="1:18" x14ac:dyDescent="0.25">
      <c r="A2788" s="169">
        <v>46121</v>
      </c>
      <c r="B2788">
        <v>878.75</v>
      </c>
      <c r="C2788">
        <v>860.3</v>
      </c>
      <c r="D2788">
        <v>845.1</v>
      </c>
      <c r="E2788">
        <v>845.1</v>
      </c>
      <c r="F2788">
        <v>860.3</v>
      </c>
      <c r="G2788">
        <v>19228</v>
      </c>
      <c r="H2788" s="115"/>
      <c r="I2788" s="115"/>
      <c r="L2788" s="169">
        <v>46111</v>
      </c>
      <c r="M2788" s="115">
        <v>796.85</v>
      </c>
      <c r="N2788" s="115">
        <v>810.75</v>
      </c>
      <c r="O2788" s="115">
        <v>776</v>
      </c>
      <c r="P2788" s="115">
        <v>795.85</v>
      </c>
      <c r="Q2788" s="115">
        <v>796.85</v>
      </c>
      <c r="R2788">
        <v>335719</v>
      </c>
    </row>
    <row r="2789" spans="1:18" x14ac:dyDescent="0.25">
      <c r="A2789" s="169">
        <v>46122</v>
      </c>
      <c r="B2789">
        <v>895</v>
      </c>
      <c r="C2789">
        <v>892.5</v>
      </c>
      <c r="D2789">
        <v>866.8</v>
      </c>
      <c r="E2789">
        <v>879.2</v>
      </c>
      <c r="F2789">
        <v>892.5</v>
      </c>
      <c r="G2789">
        <v>11706</v>
      </c>
      <c r="H2789" s="115"/>
      <c r="I2789" s="115"/>
      <c r="L2789" s="169">
        <v>46113</v>
      </c>
      <c r="M2789" s="115">
        <v>828.2</v>
      </c>
      <c r="N2789" s="115">
        <v>835.05</v>
      </c>
      <c r="O2789" s="115">
        <v>797.05</v>
      </c>
      <c r="P2789" s="115">
        <v>797.05</v>
      </c>
      <c r="Q2789" s="115">
        <v>828.2</v>
      </c>
      <c r="R2789">
        <v>383477</v>
      </c>
    </row>
    <row r="2790" spans="1:18" x14ac:dyDescent="0.25">
      <c r="A2790" s="169">
        <v>46125</v>
      </c>
      <c r="B2790">
        <v>930</v>
      </c>
      <c r="C2790">
        <v>908.05</v>
      </c>
      <c r="D2790">
        <v>868</v>
      </c>
      <c r="E2790">
        <v>892.35</v>
      </c>
      <c r="F2790">
        <v>908.05</v>
      </c>
      <c r="G2790">
        <v>35214</v>
      </c>
      <c r="H2790" s="115"/>
      <c r="I2790" s="115"/>
      <c r="L2790" s="169">
        <v>46114</v>
      </c>
      <c r="M2790" s="115">
        <v>838.3</v>
      </c>
      <c r="N2790" s="115">
        <v>842.15</v>
      </c>
      <c r="O2790" s="115">
        <v>802.8</v>
      </c>
      <c r="P2790" s="115">
        <v>827</v>
      </c>
      <c r="Q2790" s="115">
        <v>838.3</v>
      </c>
      <c r="R2790">
        <v>210420</v>
      </c>
    </row>
    <row r="2791" spans="1:18" x14ac:dyDescent="0.25">
      <c r="A2791" s="169">
        <v>46127</v>
      </c>
      <c r="B2791">
        <v>954</v>
      </c>
      <c r="C2791">
        <v>943.5</v>
      </c>
      <c r="D2791">
        <v>920</v>
      </c>
      <c r="E2791">
        <v>930</v>
      </c>
      <c r="F2791">
        <v>943.5</v>
      </c>
      <c r="G2791">
        <v>36067</v>
      </c>
      <c r="H2791" s="115"/>
      <c r="I2791" s="115"/>
      <c r="L2791" s="169">
        <v>46118</v>
      </c>
      <c r="M2791" s="115">
        <v>832.15</v>
      </c>
      <c r="N2791" s="115">
        <v>851.8</v>
      </c>
      <c r="O2791" s="115">
        <v>826.6</v>
      </c>
      <c r="P2791" s="115">
        <v>849.1</v>
      </c>
      <c r="Q2791" s="115">
        <v>832.15</v>
      </c>
      <c r="R2791">
        <v>211473</v>
      </c>
    </row>
    <row r="2792" spans="1:18" x14ac:dyDescent="0.25">
      <c r="A2792" s="169">
        <v>46128</v>
      </c>
      <c r="B2792">
        <v>968.55</v>
      </c>
      <c r="C2792">
        <v>942.6</v>
      </c>
      <c r="D2792">
        <v>932.6</v>
      </c>
      <c r="E2792">
        <v>953.35</v>
      </c>
      <c r="F2792">
        <v>942.6</v>
      </c>
      <c r="G2792">
        <v>24155</v>
      </c>
      <c r="H2792" s="115"/>
      <c r="I2792" s="115"/>
      <c r="L2792" s="169">
        <v>46119</v>
      </c>
      <c r="M2792" s="115">
        <v>832.85</v>
      </c>
      <c r="N2792" s="115">
        <v>842.15</v>
      </c>
      <c r="O2792" s="115">
        <v>822.55</v>
      </c>
      <c r="P2792" s="115">
        <v>834.95</v>
      </c>
      <c r="Q2792" s="115">
        <v>832.85</v>
      </c>
      <c r="R2792">
        <v>111239</v>
      </c>
    </row>
    <row r="2793" spans="1:18" x14ac:dyDescent="0.25">
      <c r="A2793" s="169">
        <v>46129</v>
      </c>
      <c r="B2793">
        <v>979.3</v>
      </c>
      <c r="C2793">
        <v>966.6</v>
      </c>
      <c r="D2793">
        <v>945.65</v>
      </c>
      <c r="E2793">
        <v>949.4</v>
      </c>
      <c r="F2793">
        <v>966.6</v>
      </c>
      <c r="G2793">
        <v>117515</v>
      </c>
      <c r="H2793" s="115"/>
      <c r="I2793" s="115"/>
      <c r="L2793" s="169">
        <v>46120</v>
      </c>
      <c r="M2793" s="115">
        <v>852.25</v>
      </c>
      <c r="N2793" s="115">
        <v>859.5</v>
      </c>
      <c r="O2793" s="115">
        <v>833.2</v>
      </c>
      <c r="P2793" s="115">
        <v>854.9</v>
      </c>
      <c r="Q2793" s="115">
        <v>852.25</v>
      </c>
      <c r="R2793">
        <v>301456</v>
      </c>
    </row>
    <row r="2794" spans="1:18" x14ac:dyDescent="0.25">
      <c r="A2794" s="169">
        <v>46132</v>
      </c>
      <c r="B2794">
        <v>1001.35</v>
      </c>
      <c r="C2794">
        <v>980.3</v>
      </c>
      <c r="D2794">
        <v>969</v>
      </c>
      <c r="E2794">
        <v>983.5</v>
      </c>
      <c r="F2794">
        <v>980.3</v>
      </c>
      <c r="G2794">
        <v>24543</v>
      </c>
      <c r="H2794" s="115"/>
      <c r="I2794" s="115"/>
      <c r="L2794" s="169">
        <v>46121</v>
      </c>
      <c r="M2794" s="115">
        <v>860.4</v>
      </c>
      <c r="N2794" s="115">
        <v>878.8</v>
      </c>
      <c r="O2794" s="115">
        <v>847.1</v>
      </c>
      <c r="P2794" s="115">
        <v>852.25</v>
      </c>
      <c r="Q2794" s="115">
        <v>860.4</v>
      </c>
      <c r="R2794">
        <v>220870</v>
      </c>
    </row>
    <row r="2795" spans="1:18" x14ac:dyDescent="0.25">
      <c r="A2795" s="169">
        <v>46133</v>
      </c>
      <c r="B2795">
        <v>1003.35</v>
      </c>
      <c r="C2795">
        <v>989.9</v>
      </c>
      <c r="D2795">
        <v>978</v>
      </c>
      <c r="E2795">
        <v>1002.55</v>
      </c>
      <c r="F2795">
        <v>989.9</v>
      </c>
      <c r="G2795">
        <v>20719</v>
      </c>
      <c r="H2795" s="115"/>
      <c r="I2795" s="115"/>
      <c r="L2795" s="169">
        <v>46122</v>
      </c>
      <c r="M2795" s="115">
        <v>893.25</v>
      </c>
      <c r="N2795" s="115">
        <v>897.5</v>
      </c>
      <c r="O2795" s="115">
        <v>864.75</v>
      </c>
      <c r="P2795" s="115">
        <v>870</v>
      </c>
      <c r="Q2795" s="115">
        <v>893.25</v>
      </c>
      <c r="R2795">
        <v>206827</v>
      </c>
    </row>
    <row r="2796" spans="1:18" x14ac:dyDescent="0.25">
      <c r="A2796" s="169">
        <v>46134</v>
      </c>
      <c r="B2796">
        <v>1007</v>
      </c>
      <c r="C2796">
        <v>996.05</v>
      </c>
      <c r="D2796">
        <v>982.3</v>
      </c>
      <c r="E2796">
        <v>982.3</v>
      </c>
      <c r="F2796">
        <v>996.05</v>
      </c>
      <c r="G2796">
        <v>34846</v>
      </c>
      <c r="H2796" s="115"/>
      <c r="I2796" s="115"/>
      <c r="L2796" s="169">
        <v>46125</v>
      </c>
      <c r="M2796" s="115">
        <v>908.05</v>
      </c>
      <c r="N2796" s="115">
        <v>931.45</v>
      </c>
      <c r="O2796" s="115">
        <v>870</v>
      </c>
      <c r="P2796" s="115">
        <v>890</v>
      </c>
      <c r="Q2796" s="115">
        <v>908.05</v>
      </c>
      <c r="R2796">
        <v>650750</v>
      </c>
    </row>
    <row r="2797" spans="1:18" x14ac:dyDescent="0.25">
      <c r="A2797" s="169">
        <v>46135</v>
      </c>
      <c r="B2797">
        <v>999.65</v>
      </c>
      <c r="C2797">
        <v>976.55</v>
      </c>
      <c r="D2797">
        <v>975</v>
      </c>
      <c r="E2797">
        <v>997.3</v>
      </c>
      <c r="F2797">
        <v>976.55</v>
      </c>
      <c r="G2797">
        <v>5656</v>
      </c>
      <c r="H2797" s="115"/>
      <c r="I2797" s="115"/>
      <c r="L2797" s="169">
        <v>46127</v>
      </c>
      <c r="M2797" s="115">
        <v>941.35</v>
      </c>
      <c r="N2797" s="115">
        <v>952.85</v>
      </c>
      <c r="O2797" s="115">
        <v>920.1</v>
      </c>
      <c r="P2797" s="115">
        <v>931.95</v>
      </c>
      <c r="Q2797" s="115">
        <v>941.35</v>
      </c>
      <c r="R2797">
        <v>1218433</v>
      </c>
    </row>
    <row r="2798" spans="1:18" x14ac:dyDescent="0.25">
      <c r="A2798" s="169">
        <v>46136</v>
      </c>
      <c r="B2798">
        <v>988.45</v>
      </c>
      <c r="C2798">
        <v>971.15</v>
      </c>
      <c r="D2798">
        <v>965.4</v>
      </c>
      <c r="E2798">
        <v>988.45</v>
      </c>
      <c r="F2798">
        <v>971.15</v>
      </c>
      <c r="G2798">
        <v>120893</v>
      </c>
      <c r="H2798" s="115"/>
      <c r="I2798" s="115"/>
      <c r="L2798" s="169">
        <v>46128</v>
      </c>
      <c r="M2798" s="115">
        <v>941.95</v>
      </c>
      <c r="N2798" s="115">
        <v>968.75</v>
      </c>
      <c r="O2798" s="115">
        <v>933.15</v>
      </c>
      <c r="P2798" s="115">
        <v>955.95</v>
      </c>
      <c r="Q2798" s="115">
        <v>941.95</v>
      </c>
      <c r="R2798">
        <v>394196</v>
      </c>
    </row>
    <row r="2799" spans="1:18" x14ac:dyDescent="0.25">
      <c r="A2799" s="169">
        <v>46139</v>
      </c>
      <c r="B2799">
        <v>1004.15</v>
      </c>
      <c r="C2799">
        <v>1000.4</v>
      </c>
      <c r="D2799">
        <v>977.25</v>
      </c>
      <c r="E2799">
        <v>985</v>
      </c>
      <c r="F2799">
        <v>1000.4</v>
      </c>
      <c r="G2799">
        <v>14831</v>
      </c>
      <c r="H2799" s="115"/>
      <c r="I2799" s="115"/>
      <c r="L2799" s="169">
        <v>46129</v>
      </c>
      <c r="M2799" s="115">
        <v>968.2</v>
      </c>
      <c r="N2799" s="115">
        <v>979.5</v>
      </c>
      <c r="O2799" s="115">
        <v>945</v>
      </c>
      <c r="P2799" s="115">
        <v>945.05</v>
      </c>
      <c r="Q2799" s="115">
        <v>968.2</v>
      </c>
      <c r="R2799">
        <v>778474</v>
      </c>
    </row>
    <row r="2800" spans="1:18" x14ac:dyDescent="0.25">
      <c r="A2800" s="169">
        <v>46140</v>
      </c>
      <c r="B2800">
        <v>1028</v>
      </c>
      <c r="C2800">
        <v>989.6</v>
      </c>
      <c r="D2800">
        <v>983.25</v>
      </c>
      <c r="E2800">
        <v>1006.05</v>
      </c>
      <c r="F2800">
        <v>989.6</v>
      </c>
      <c r="G2800">
        <v>21526</v>
      </c>
      <c r="H2800" s="115"/>
      <c r="I2800" s="115"/>
      <c r="L2800" s="169">
        <v>46132</v>
      </c>
      <c r="M2800" s="115">
        <v>981.95</v>
      </c>
      <c r="N2800" s="115">
        <v>1011.5</v>
      </c>
      <c r="O2800" s="115">
        <v>959.05</v>
      </c>
      <c r="P2800" s="115">
        <v>978.2</v>
      </c>
      <c r="Q2800" s="115">
        <v>981.95</v>
      </c>
      <c r="R2800">
        <v>983657</v>
      </c>
    </row>
    <row r="2801" spans="1:18" x14ac:dyDescent="0.25">
      <c r="A2801" s="169">
        <v>46141</v>
      </c>
      <c r="B2801">
        <v>1009.2</v>
      </c>
      <c r="C2801">
        <v>984.55</v>
      </c>
      <c r="D2801">
        <v>973.1</v>
      </c>
      <c r="E2801">
        <v>999.05</v>
      </c>
      <c r="F2801">
        <v>984.55</v>
      </c>
      <c r="G2801">
        <v>14587</v>
      </c>
      <c r="H2801" s="115"/>
      <c r="I2801" s="115"/>
      <c r="L2801" s="169">
        <v>46133</v>
      </c>
      <c r="M2801" s="115">
        <v>990.05</v>
      </c>
      <c r="N2801" s="115">
        <v>1004.4</v>
      </c>
      <c r="O2801" s="115">
        <v>978</v>
      </c>
      <c r="P2801" s="115">
        <v>980</v>
      </c>
      <c r="Q2801" s="115">
        <v>990.05</v>
      </c>
      <c r="R2801">
        <v>362082</v>
      </c>
    </row>
    <row r="2802" spans="1:18" x14ac:dyDescent="0.25">
      <c r="A2802" s="169">
        <v>46142</v>
      </c>
      <c r="B2802">
        <v>1000.9</v>
      </c>
      <c r="C2802">
        <v>976.95</v>
      </c>
      <c r="D2802">
        <v>967.3</v>
      </c>
      <c r="E2802">
        <v>986.8</v>
      </c>
      <c r="F2802">
        <v>976.95</v>
      </c>
      <c r="G2802">
        <v>30876</v>
      </c>
      <c r="H2802" s="115"/>
      <c r="I2802" s="115"/>
      <c r="L2802" s="169">
        <v>46134</v>
      </c>
      <c r="M2802" s="115">
        <v>996.1</v>
      </c>
      <c r="N2802" s="115">
        <v>1007.5</v>
      </c>
      <c r="O2802" s="115">
        <v>980.05</v>
      </c>
      <c r="P2802" s="115">
        <v>995.85</v>
      </c>
      <c r="Q2802" s="115">
        <v>996.1</v>
      </c>
      <c r="R2802">
        <v>362399</v>
      </c>
    </row>
    <row r="2803" spans="1:18" x14ac:dyDescent="0.25">
      <c r="A2803" s="169">
        <v>46146</v>
      </c>
      <c r="B2803">
        <v>976.15</v>
      </c>
      <c r="C2803">
        <v>895.05</v>
      </c>
      <c r="D2803">
        <v>888</v>
      </c>
      <c r="E2803">
        <v>976.15</v>
      </c>
      <c r="F2803">
        <v>895.05</v>
      </c>
      <c r="G2803">
        <v>58939</v>
      </c>
      <c r="H2803" s="115"/>
      <c r="I2803" s="115"/>
      <c r="L2803" s="169">
        <v>46135</v>
      </c>
      <c r="M2803" s="115">
        <v>977.65</v>
      </c>
      <c r="N2803" s="115">
        <v>998.65</v>
      </c>
      <c r="O2803" s="115">
        <v>973.7</v>
      </c>
      <c r="P2803" s="115">
        <v>995.95</v>
      </c>
      <c r="Q2803" s="115">
        <v>977.65</v>
      </c>
      <c r="R2803">
        <v>198241</v>
      </c>
    </row>
    <row r="2804" spans="1:18" x14ac:dyDescent="0.25">
      <c r="A2804" s="169">
        <v>46147</v>
      </c>
      <c r="B2804">
        <v>928.2</v>
      </c>
      <c r="C2804">
        <v>888.25</v>
      </c>
      <c r="D2804">
        <v>882.5</v>
      </c>
      <c r="E2804">
        <v>898.1</v>
      </c>
      <c r="F2804">
        <v>888.25</v>
      </c>
      <c r="G2804">
        <v>20443</v>
      </c>
      <c r="H2804" s="115"/>
      <c r="I2804" s="115"/>
      <c r="L2804" s="169">
        <v>46136</v>
      </c>
      <c r="M2804" s="115">
        <v>971.5</v>
      </c>
      <c r="N2804" s="115">
        <v>989.55</v>
      </c>
      <c r="O2804" s="115">
        <v>965.7</v>
      </c>
      <c r="P2804" s="115">
        <v>985</v>
      </c>
      <c r="Q2804" s="115">
        <v>971.5</v>
      </c>
      <c r="R2804">
        <v>248908</v>
      </c>
    </row>
    <row r="2805" spans="1:18" x14ac:dyDescent="0.25">
      <c r="A2805" s="169">
        <v>46148</v>
      </c>
      <c r="B2805">
        <v>893.15</v>
      </c>
      <c r="C2805">
        <v>881.5</v>
      </c>
      <c r="D2805">
        <v>873</v>
      </c>
      <c r="E2805">
        <v>891</v>
      </c>
      <c r="F2805">
        <v>881.5</v>
      </c>
      <c r="G2805">
        <v>173803</v>
      </c>
      <c r="H2805" s="115"/>
      <c r="I2805" s="115"/>
      <c r="L2805" s="169">
        <v>46139</v>
      </c>
      <c r="M2805" s="115">
        <v>1000.05</v>
      </c>
      <c r="N2805" s="115">
        <v>1004.6</v>
      </c>
      <c r="O2805" s="115">
        <v>975</v>
      </c>
      <c r="P2805" s="115">
        <v>986.25</v>
      </c>
      <c r="Q2805" s="115">
        <v>1000.05</v>
      </c>
      <c r="R2805">
        <v>306837</v>
      </c>
    </row>
    <row r="2806" spans="1:18" x14ac:dyDescent="0.25">
      <c r="A2806" s="169">
        <v>46149</v>
      </c>
      <c r="B2806">
        <v>900.45</v>
      </c>
      <c r="C2806">
        <v>895.75</v>
      </c>
      <c r="D2806">
        <v>882</v>
      </c>
      <c r="E2806">
        <v>885.1</v>
      </c>
      <c r="F2806">
        <v>895.75</v>
      </c>
      <c r="G2806">
        <v>172510</v>
      </c>
      <c r="H2806" s="115"/>
      <c r="I2806" s="115"/>
      <c r="L2806" s="169">
        <v>46140</v>
      </c>
      <c r="M2806" s="115">
        <v>989.05</v>
      </c>
      <c r="N2806" s="115">
        <v>1028.3</v>
      </c>
      <c r="O2806" s="115">
        <v>983.1</v>
      </c>
      <c r="P2806" s="115">
        <v>1008.15</v>
      </c>
      <c r="Q2806" s="115">
        <v>989.05</v>
      </c>
      <c r="R2806">
        <v>347126</v>
      </c>
    </row>
    <row r="2807" spans="1:18" x14ac:dyDescent="0.25">
      <c r="A2807" s="169">
        <v>46150</v>
      </c>
      <c r="B2807">
        <v>894.35</v>
      </c>
      <c r="C2807">
        <v>873.9</v>
      </c>
      <c r="D2807">
        <v>872.1</v>
      </c>
      <c r="E2807">
        <v>892.6</v>
      </c>
      <c r="F2807">
        <v>873.9</v>
      </c>
      <c r="G2807">
        <v>16228</v>
      </c>
      <c r="H2807" s="115"/>
      <c r="I2807" s="115"/>
      <c r="L2807" s="169">
        <v>46141</v>
      </c>
      <c r="M2807" s="115">
        <v>985.3</v>
      </c>
      <c r="N2807" s="115">
        <v>1008.9</v>
      </c>
      <c r="O2807" s="115">
        <v>980.95</v>
      </c>
      <c r="P2807" s="115">
        <v>989</v>
      </c>
      <c r="Q2807" s="115">
        <v>985.3</v>
      </c>
      <c r="R2807">
        <v>179298</v>
      </c>
    </row>
    <row r="2808" spans="1:18" x14ac:dyDescent="0.25">
      <c r="A2808" s="169">
        <v>46153</v>
      </c>
      <c r="B2808">
        <v>891.6</v>
      </c>
      <c r="C2808">
        <v>883.8</v>
      </c>
      <c r="D2808">
        <v>864</v>
      </c>
      <c r="E2808">
        <v>891.25</v>
      </c>
      <c r="F2808">
        <v>883.8</v>
      </c>
      <c r="G2808">
        <v>14620</v>
      </c>
      <c r="H2808" s="115"/>
      <c r="I2808" s="115"/>
      <c r="L2808" s="169">
        <v>46142</v>
      </c>
      <c r="M2808" s="115">
        <v>978.6</v>
      </c>
      <c r="N2808" s="115">
        <v>1001.75</v>
      </c>
      <c r="O2808" s="115">
        <v>961</v>
      </c>
      <c r="P2808" s="115">
        <v>983</v>
      </c>
      <c r="Q2808" s="115">
        <v>978.6</v>
      </c>
      <c r="R2808">
        <v>694012</v>
      </c>
    </row>
    <row r="2809" spans="1:18" x14ac:dyDescent="0.25">
      <c r="A2809" s="169">
        <v>46154</v>
      </c>
      <c r="B2809">
        <v>887.55</v>
      </c>
      <c r="C2809">
        <v>854</v>
      </c>
      <c r="D2809">
        <v>852.05</v>
      </c>
      <c r="E2809">
        <v>887.55</v>
      </c>
      <c r="F2809">
        <v>854</v>
      </c>
      <c r="G2809">
        <v>63520</v>
      </c>
      <c r="H2809" s="115"/>
      <c r="I2809" s="115"/>
      <c r="L2809" s="169">
        <v>46146</v>
      </c>
      <c r="M2809" s="115">
        <v>895.3</v>
      </c>
      <c r="N2809" s="115">
        <v>973.1</v>
      </c>
      <c r="O2809" s="115">
        <v>888</v>
      </c>
      <c r="P2809" s="115">
        <v>971</v>
      </c>
      <c r="Q2809" s="115">
        <v>895.3</v>
      </c>
      <c r="R2809">
        <v>1278698</v>
      </c>
    </row>
    <row r="2810" spans="1:18" x14ac:dyDescent="0.25">
      <c r="A2810" s="169">
        <v>46155</v>
      </c>
      <c r="B2810">
        <v>860.2</v>
      </c>
      <c r="C2810">
        <v>847.5</v>
      </c>
      <c r="D2810">
        <v>845.25</v>
      </c>
      <c r="E2810">
        <v>851.1</v>
      </c>
      <c r="F2810">
        <v>847.5</v>
      </c>
      <c r="G2810">
        <v>7289</v>
      </c>
      <c r="H2810" s="115"/>
      <c r="I2810" s="115"/>
      <c r="L2810" s="169">
        <v>46147</v>
      </c>
      <c r="M2810" s="115">
        <v>887.25</v>
      </c>
      <c r="N2810" s="115">
        <v>929.35</v>
      </c>
      <c r="O2810" s="115">
        <v>882.5</v>
      </c>
      <c r="P2810" s="115">
        <v>896</v>
      </c>
      <c r="Q2810" s="115">
        <v>887.25</v>
      </c>
      <c r="R2810">
        <v>351191</v>
      </c>
    </row>
    <row r="2811" spans="1:18" x14ac:dyDescent="0.25">
      <c r="A2811" s="169">
        <v>46156</v>
      </c>
      <c r="B2811">
        <v>855.7</v>
      </c>
      <c r="C2811">
        <v>852.4</v>
      </c>
      <c r="D2811">
        <v>835.25</v>
      </c>
      <c r="E2811">
        <v>852</v>
      </c>
      <c r="F2811">
        <v>852.4</v>
      </c>
      <c r="G2811">
        <v>6805</v>
      </c>
      <c r="H2811" s="115"/>
      <c r="I2811" s="115"/>
      <c r="L2811" s="169">
        <v>46148</v>
      </c>
      <c r="M2811" s="115">
        <v>882.15</v>
      </c>
      <c r="N2811" s="115">
        <v>893.35</v>
      </c>
      <c r="O2811" s="115">
        <v>873.05</v>
      </c>
      <c r="P2811" s="115">
        <v>889.25</v>
      </c>
      <c r="Q2811" s="115">
        <v>882.15</v>
      </c>
      <c r="R2811">
        <v>339827</v>
      </c>
    </row>
    <row r="2812" spans="1:18" x14ac:dyDescent="0.25">
      <c r="A2812" s="169">
        <v>46157</v>
      </c>
      <c r="B2812">
        <v>863.4</v>
      </c>
      <c r="C2812">
        <v>850.3</v>
      </c>
      <c r="D2812">
        <v>835</v>
      </c>
      <c r="E2812">
        <v>844.15</v>
      </c>
      <c r="F2812">
        <v>850.3</v>
      </c>
      <c r="G2812">
        <v>6360</v>
      </c>
      <c r="H2812" s="115"/>
      <c r="I2812" s="115"/>
      <c r="L2812" s="169">
        <v>46149</v>
      </c>
      <c r="M2812" s="115">
        <v>895.25</v>
      </c>
      <c r="N2812" s="115">
        <v>900</v>
      </c>
      <c r="O2812" s="115">
        <v>880.25</v>
      </c>
      <c r="P2812" s="115">
        <v>889</v>
      </c>
      <c r="Q2812" s="115">
        <v>895.25</v>
      </c>
      <c r="R2812">
        <v>158522</v>
      </c>
    </row>
    <row r="2813" spans="1:18" x14ac:dyDescent="0.25">
      <c r="A2813" s="169">
        <v>46160</v>
      </c>
      <c r="B2813">
        <v>842.3</v>
      </c>
      <c r="C2813">
        <v>839.95</v>
      </c>
      <c r="D2813">
        <v>818</v>
      </c>
      <c r="E2813">
        <v>839.7</v>
      </c>
      <c r="F2813">
        <v>839.95</v>
      </c>
      <c r="G2813">
        <v>4483</v>
      </c>
      <c r="H2813" s="115"/>
      <c r="I2813" s="115"/>
      <c r="L2813" s="169">
        <v>46150</v>
      </c>
      <c r="M2813" s="115">
        <v>877.35</v>
      </c>
      <c r="N2813" s="115">
        <v>894.15</v>
      </c>
      <c r="O2813" s="115">
        <v>872.5</v>
      </c>
      <c r="P2813" s="115">
        <v>886.3</v>
      </c>
      <c r="Q2813" s="115">
        <v>877.35</v>
      </c>
      <c r="R2813">
        <v>165423</v>
      </c>
    </row>
    <row r="2814" spans="1:18" x14ac:dyDescent="0.25">
      <c r="A2814" s="169">
        <v>46161</v>
      </c>
      <c r="B2814">
        <v>851.4</v>
      </c>
      <c r="C2814">
        <v>837.25</v>
      </c>
      <c r="D2814">
        <v>834</v>
      </c>
      <c r="E2814">
        <v>851.4</v>
      </c>
      <c r="F2814">
        <v>837.25</v>
      </c>
      <c r="G2814">
        <v>135145</v>
      </c>
      <c r="H2814" s="115"/>
      <c r="I2814" s="115"/>
      <c r="L2814" s="169">
        <v>46153</v>
      </c>
      <c r="M2814" s="115">
        <v>884.5</v>
      </c>
      <c r="N2814" s="115">
        <v>892</v>
      </c>
      <c r="O2814" s="115">
        <v>864.35</v>
      </c>
      <c r="P2814" s="115">
        <v>882.5</v>
      </c>
      <c r="Q2814" s="115">
        <v>884.5</v>
      </c>
      <c r="R2814">
        <v>236695</v>
      </c>
    </row>
    <row r="2815" spans="1:18" x14ac:dyDescent="0.25">
      <c r="A2815" s="169">
        <v>46162</v>
      </c>
      <c r="B2815">
        <v>838.5</v>
      </c>
      <c r="C2815">
        <v>825.75</v>
      </c>
      <c r="D2815">
        <v>823.55</v>
      </c>
      <c r="E2815">
        <v>826.8</v>
      </c>
      <c r="F2815">
        <v>825.75</v>
      </c>
      <c r="G2815">
        <v>8311</v>
      </c>
      <c r="H2815" s="115"/>
      <c r="I2815" s="115"/>
      <c r="L2815" s="169">
        <v>46154</v>
      </c>
      <c r="M2815" s="115">
        <v>853.9</v>
      </c>
      <c r="N2815" s="115">
        <v>884.5</v>
      </c>
      <c r="O2815" s="115">
        <v>851</v>
      </c>
      <c r="P2815" s="115">
        <v>880.2</v>
      </c>
      <c r="Q2815" s="115">
        <v>853.9</v>
      </c>
      <c r="R2815">
        <v>166524</v>
      </c>
    </row>
    <row r="2816" spans="1:18" x14ac:dyDescent="0.25">
      <c r="A2816" s="169">
        <v>46163</v>
      </c>
      <c r="B2816">
        <v>848.2</v>
      </c>
      <c r="C2816">
        <v>818.75</v>
      </c>
      <c r="D2816">
        <v>813.75</v>
      </c>
      <c r="E2816">
        <v>827.15</v>
      </c>
      <c r="F2816">
        <v>818.75</v>
      </c>
      <c r="G2816">
        <v>11844</v>
      </c>
      <c r="H2816" s="115"/>
      <c r="I2816" s="115"/>
      <c r="L2816" s="169">
        <v>46155</v>
      </c>
      <c r="M2816" s="115">
        <v>848.3</v>
      </c>
      <c r="N2816" s="115">
        <v>862.9</v>
      </c>
      <c r="O2816" s="115">
        <v>845.15</v>
      </c>
      <c r="P2816" s="115">
        <v>853.6</v>
      </c>
      <c r="Q2816" s="115">
        <v>848.3</v>
      </c>
      <c r="R2816">
        <v>59164</v>
      </c>
    </row>
    <row r="2817" spans="1:18" x14ac:dyDescent="0.25">
      <c r="A2817" s="169">
        <v>46164</v>
      </c>
      <c r="B2817">
        <v>830</v>
      </c>
      <c r="C2817">
        <v>820.4</v>
      </c>
      <c r="D2817">
        <v>813.75</v>
      </c>
      <c r="E2817">
        <v>818.8</v>
      </c>
      <c r="F2817">
        <v>820.4</v>
      </c>
      <c r="G2817">
        <v>3140</v>
      </c>
      <c r="H2817" s="115"/>
      <c r="I2817" s="115"/>
      <c r="L2817" s="169">
        <v>46156</v>
      </c>
      <c r="M2817" s="115">
        <v>850.55</v>
      </c>
      <c r="N2817" s="115">
        <v>856.85</v>
      </c>
      <c r="O2817" s="115">
        <v>835.5</v>
      </c>
      <c r="P2817" s="115">
        <v>850.05</v>
      </c>
      <c r="Q2817" s="115">
        <v>850.55</v>
      </c>
      <c r="R2817">
        <v>117515</v>
      </c>
    </row>
    <row r="2818" spans="1:18" x14ac:dyDescent="0.25">
      <c r="A2818" s="169">
        <v>46167</v>
      </c>
      <c r="B2818">
        <v>832.05</v>
      </c>
      <c r="C2818">
        <v>816.8</v>
      </c>
      <c r="D2818">
        <v>815</v>
      </c>
      <c r="E2818">
        <v>820.8</v>
      </c>
      <c r="F2818">
        <v>816.8</v>
      </c>
      <c r="G2818">
        <v>10236</v>
      </c>
      <c r="H2818" s="115"/>
      <c r="I2818" s="115"/>
      <c r="L2818" s="169">
        <v>46157</v>
      </c>
      <c r="M2818" s="115">
        <v>851.1</v>
      </c>
      <c r="N2818" s="115">
        <v>864.7</v>
      </c>
      <c r="O2818" s="115">
        <v>833.05</v>
      </c>
      <c r="P2818" s="115">
        <v>850.5</v>
      </c>
      <c r="Q2818" s="115">
        <v>851.1</v>
      </c>
      <c r="R2818">
        <v>107579</v>
      </c>
    </row>
    <row r="2819" spans="1:18" x14ac:dyDescent="0.25">
      <c r="A2819" s="169">
        <v>46168</v>
      </c>
      <c r="B2819">
        <v>840</v>
      </c>
      <c r="C2819">
        <v>811.45</v>
      </c>
      <c r="D2819">
        <v>808.2</v>
      </c>
      <c r="E2819">
        <v>827.85</v>
      </c>
      <c r="F2819">
        <v>811.45</v>
      </c>
      <c r="G2819">
        <v>5906</v>
      </c>
      <c r="H2819" s="115"/>
      <c r="I2819" s="115"/>
      <c r="L2819" s="169">
        <v>46160</v>
      </c>
      <c r="M2819" s="115">
        <v>840.2</v>
      </c>
      <c r="N2819" s="115">
        <v>847.85</v>
      </c>
      <c r="O2819" s="115">
        <v>816.9</v>
      </c>
      <c r="P2819" s="115">
        <v>847.85</v>
      </c>
      <c r="Q2819" s="115">
        <v>840.2</v>
      </c>
      <c r="R2819">
        <v>137719</v>
      </c>
    </row>
    <row r="2820" spans="1:18" x14ac:dyDescent="0.25">
      <c r="A2820" s="169">
        <v>46169</v>
      </c>
      <c r="B2820">
        <v>816.85</v>
      </c>
      <c r="C2820">
        <v>813.45</v>
      </c>
      <c r="D2820">
        <v>807</v>
      </c>
      <c r="E2820">
        <v>807.5</v>
      </c>
      <c r="F2820">
        <v>813.45</v>
      </c>
      <c r="G2820">
        <v>10454</v>
      </c>
      <c r="H2820" s="115"/>
      <c r="I2820" s="115"/>
      <c r="L2820" s="169">
        <v>46161</v>
      </c>
      <c r="M2820" s="115">
        <v>837.2</v>
      </c>
      <c r="N2820" s="115">
        <v>848</v>
      </c>
      <c r="O2820" s="115">
        <v>833</v>
      </c>
      <c r="P2820" s="115">
        <v>848</v>
      </c>
      <c r="Q2820" s="115">
        <v>837.2</v>
      </c>
      <c r="R2820">
        <v>59441</v>
      </c>
    </row>
    <row r="2821" spans="1:18" x14ac:dyDescent="0.25">
      <c r="A2821" s="169">
        <v>46171</v>
      </c>
      <c r="B2821">
        <v>826</v>
      </c>
      <c r="C2821">
        <v>791.15</v>
      </c>
      <c r="D2821">
        <v>785</v>
      </c>
      <c r="E2821">
        <v>802.05</v>
      </c>
      <c r="F2821">
        <v>791.15</v>
      </c>
      <c r="G2821">
        <v>7412</v>
      </c>
      <c r="H2821" s="115"/>
      <c r="I2821" s="115"/>
      <c r="L2821" s="169">
        <v>46162</v>
      </c>
      <c r="M2821" s="115">
        <v>827.8</v>
      </c>
      <c r="N2821" s="115">
        <v>843.2</v>
      </c>
      <c r="O2821" s="115">
        <v>823</v>
      </c>
      <c r="P2821" s="115">
        <v>837.8</v>
      </c>
      <c r="Q2821" s="115">
        <v>827.8</v>
      </c>
      <c r="R2821">
        <v>69202</v>
      </c>
    </row>
    <row r="2822" spans="1:18" x14ac:dyDescent="0.25">
      <c r="A2822" s="169">
        <v>46174</v>
      </c>
      <c r="B2822">
        <v>791.95</v>
      </c>
      <c r="C2822">
        <v>768.85</v>
      </c>
      <c r="D2822">
        <v>765</v>
      </c>
      <c r="E2822">
        <v>787.1</v>
      </c>
      <c r="F2822">
        <v>768.85</v>
      </c>
      <c r="G2822">
        <v>146451</v>
      </c>
      <c r="H2822" s="115"/>
      <c r="I2822" s="115"/>
      <c r="L2822" s="169">
        <v>46163</v>
      </c>
      <c r="M2822" s="115">
        <v>819.35</v>
      </c>
      <c r="N2822" s="115">
        <v>847.9</v>
      </c>
      <c r="O2822" s="115">
        <v>813.15</v>
      </c>
      <c r="P2822" s="115">
        <v>828.2</v>
      </c>
      <c r="Q2822" s="115">
        <v>819.35</v>
      </c>
      <c r="R2822">
        <v>220960</v>
      </c>
    </row>
    <row r="2823" spans="1:18" x14ac:dyDescent="0.25">
      <c r="A2823" s="169">
        <v>46175</v>
      </c>
      <c r="B2823">
        <v>775</v>
      </c>
      <c r="C2823">
        <v>771.2</v>
      </c>
      <c r="D2823">
        <v>749.6</v>
      </c>
      <c r="E2823">
        <v>768.85</v>
      </c>
      <c r="F2823">
        <v>771.2</v>
      </c>
      <c r="G2823">
        <v>9476</v>
      </c>
      <c r="H2823" s="115"/>
      <c r="I2823" s="115"/>
      <c r="L2823" s="169">
        <v>46164</v>
      </c>
      <c r="M2823" s="115">
        <v>819.7</v>
      </c>
      <c r="N2823" s="115">
        <v>842.9</v>
      </c>
      <c r="O2823" s="115">
        <v>813.15</v>
      </c>
      <c r="P2823" s="115">
        <v>819.35</v>
      </c>
      <c r="Q2823" s="115">
        <v>819.7</v>
      </c>
      <c r="R2823">
        <v>69603</v>
      </c>
    </row>
    <row r="2824" spans="1:18" x14ac:dyDescent="0.25">
      <c r="A2824" s="169">
        <v>46176</v>
      </c>
      <c r="B2824">
        <v>773</v>
      </c>
      <c r="C2824">
        <v>768.45</v>
      </c>
      <c r="D2824">
        <v>756.1</v>
      </c>
      <c r="E2824">
        <v>769.85</v>
      </c>
      <c r="F2824">
        <v>768.45</v>
      </c>
      <c r="G2824">
        <v>6331</v>
      </c>
      <c r="H2824" s="115"/>
      <c r="I2824" s="115"/>
      <c r="L2824" s="169">
        <v>46167</v>
      </c>
      <c r="M2824" s="115">
        <v>817.15</v>
      </c>
      <c r="N2824" s="115">
        <v>831.5</v>
      </c>
      <c r="O2824" s="115">
        <v>815</v>
      </c>
      <c r="P2824" s="115">
        <v>823.9</v>
      </c>
      <c r="Q2824" s="115">
        <v>817.15</v>
      </c>
      <c r="R2824">
        <v>77128</v>
      </c>
    </row>
    <row r="2825" spans="1:18" x14ac:dyDescent="0.25">
      <c r="A2825" s="169">
        <v>46177</v>
      </c>
      <c r="B2825">
        <v>809.45</v>
      </c>
      <c r="C2825">
        <v>793.2</v>
      </c>
      <c r="D2825">
        <v>765</v>
      </c>
      <c r="E2825">
        <v>765.25</v>
      </c>
      <c r="F2825">
        <v>793.2</v>
      </c>
      <c r="G2825">
        <v>11432</v>
      </c>
      <c r="H2825" s="115"/>
      <c r="I2825" s="115"/>
      <c r="L2825" s="169">
        <v>46168</v>
      </c>
      <c r="M2825" s="115">
        <v>811.35</v>
      </c>
      <c r="N2825" s="115">
        <v>824</v>
      </c>
      <c r="O2825" s="115">
        <v>808.45</v>
      </c>
      <c r="P2825" s="115">
        <v>818</v>
      </c>
      <c r="Q2825" s="115">
        <v>811.35</v>
      </c>
      <c r="R2825">
        <v>95845</v>
      </c>
    </row>
    <row r="2826" spans="1:18" x14ac:dyDescent="0.25">
      <c r="A2826" s="169">
        <v>46178</v>
      </c>
      <c r="B2826">
        <v>817</v>
      </c>
      <c r="C2826">
        <v>813.4</v>
      </c>
      <c r="D2826">
        <v>796.65</v>
      </c>
      <c r="E2826">
        <v>809.95</v>
      </c>
      <c r="F2826">
        <v>813.4</v>
      </c>
      <c r="G2826">
        <v>10555</v>
      </c>
      <c r="H2826" s="115"/>
      <c r="I2826" s="115"/>
      <c r="L2826" s="169">
        <v>46169</v>
      </c>
      <c r="M2826" s="115">
        <v>813.6</v>
      </c>
      <c r="N2826" s="115">
        <v>817</v>
      </c>
      <c r="O2826" s="115">
        <v>805.05</v>
      </c>
      <c r="P2826" s="115">
        <v>809.2</v>
      </c>
      <c r="Q2826" s="115">
        <v>813.6</v>
      </c>
      <c r="R2826">
        <v>68812</v>
      </c>
    </row>
    <row r="2827" spans="1:18" x14ac:dyDescent="0.25">
      <c r="A2827" s="169">
        <v>46181</v>
      </c>
      <c r="B2827">
        <v>833.8</v>
      </c>
      <c r="C2827">
        <v>805.15</v>
      </c>
      <c r="D2827">
        <v>794.2</v>
      </c>
      <c r="E2827">
        <v>801.85</v>
      </c>
      <c r="F2827">
        <v>805.15</v>
      </c>
      <c r="G2827">
        <v>8275</v>
      </c>
      <c r="H2827" s="115"/>
      <c r="I2827" s="115"/>
      <c r="L2827" s="169">
        <v>46171</v>
      </c>
      <c r="M2827" s="115">
        <v>789.9</v>
      </c>
      <c r="N2827" s="115">
        <v>825.9</v>
      </c>
      <c r="O2827" s="115">
        <v>784</v>
      </c>
      <c r="P2827" s="115">
        <v>813.6</v>
      </c>
      <c r="Q2827" s="115">
        <v>789.9</v>
      </c>
      <c r="R2827">
        <v>297734</v>
      </c>
    </row>
    <row r="2828" spans="1:18" x14ac:dyDescent="0.25">
      <c r="A2828" s="169">
        <v>46182</v>
      </c>
      <c r="B2828">
        <v>820.85</v>
      </c>
      <c r="C2828">
        <v>818.8</v>
      </c>
      <c r="D2828">
        <v>795.45</v>
      </c>
      <c r="E2828">
        <v>801.5</v>
      </c>
      <c r="F2828">
        <v>818.8</v>
      </c>
      <c r="G2828">
        <v>10404</v>
      </c>
      <c r="H2828" s="115"/>
      <c r="I2828" s="115"/>
      <c r="L2828" s="169">
        <v>46174</v>
      </c>
      <c r="M2828" s="115">
        <v>769.5</v>
      </c>
      <c r="N2828" s="115">
        <v>792.85</v>
      </c>
      <c r="O2828" s="115">
        <v>763</v>
      </c>
      <c r="P2828" s="115">
        <v>789.5</v>
      </c>
      <c r="Q2828" s="115">
        <v>769.5</v>
      </c>
      <c r="R2828">
        <v>230463</v>
      </c>
    </row>
    <row r="2829" spans="1:18" x14ac:dyDescent="0.25">
      <c r="A2829" s="169">
        <v>46183</v>
      </c>
      <c r="B2829">
        <v>833.85</v>
      </c>
      <c r="C2829">
        <v>819.15</v>
      </c>
      <c r="D2829">
        <v>809.65</v>
      </c>
      <c r="E2829">
        <v>815.15</v>
      </c>
      <c r="F2829">
        <v>819.15</v>
      </c>
      <c r="G2829">
        <v>10918</v>
      </c>
      <c r="H2829" s="115"/>
      <c r="I2829" s="115"/>
      <c r="L2829" s="169">
        <v>46175</v>
      </c>
      <c r="M2829" s="115">
        <v>771.1</v>
      </c>
      <c r="N2829" s="115">
        <v>777.35</v>
      </c>
      <c r="O2829" s="115">
        <v>750</v>
      </c>
      <c r="P2829" s="115">
        <v>769.5</v>
      </c>
      <c r="Q2829" s="115">
        <v>771.1</v>
      </c>
      <c r="R2829">
        <v>213902</v>
      </c>
    </row>
    <row r="2830" spans="1:18" x14ac:dyDescent="0.25">
      <c r="A2830" s="169">
        <v>46184</v>
      </c>
      <c r="B2830">
        <v>819.3</v>
      </c>
      <c r="C2830">
        <v>807.45</v>
      </c>
      <c r="D2830">
        <v>800.95</v>
      </c>
      <c r="E2830">
        <v>819.3</v>
      </c>
      <c r="F2830">
        <v>807.45</v>
      </c>
      <c r="G2830">
        <v>37889</v>
      </c>
      <c r="H2830" s="115"/>
      <c r="I2830" s="115"/>
      <c r="L2830" s="169">
        <v>46176</v>
      </c>
      <c r="M2830" s="115">
        <v>769</v>
      </c>
      <c r="N2830" s="115">
        <v>773.05</v>
      </c>
      <c r="O2830" s="115">
        <v>756</v>
      </c>
      <c r="P2830" s="115">
        <v>771.1</v>
      </c>
      <c r="Q2830" s="115">
        <v>769</v>
      </c>
      <c r="R2830">
        <v>132441</v>
      </c>
    </row>
    <row r="2831" spans="1:18" x14ac:dyDescent="0.25">
      <c r="A2831" s="169">
        <v>46185</v>
      </c>
      <c r="B2831">
        <v>844.6</v>
      </c>
      <c r="C2831">
        <v>835.5</v>
      </c>
      <c r="D2831">
        <v>810.05</v>
      </c>
      <c r="E2831">
        <v>810.05</v>
      </c>
      <c r="F2831">
        <v>835.5</v>
      </c>
      <c r="G2831">
        <v>18979</v>
      </c>
      <c r="H2831" s="115"/>
      <c r="I2831" s="115"/>
      <c r="L2831" s="169">
        <v>46177</v>
      </c>
      <c r="M2831" s="115">
        <v>795.55</v>
      </c>
      <c r="N2831" s="115">
        <v>825</v>
      </c>
      <c r="O2831" s="115">
        <v>761.85</v>
      </c>
      <c r="P2831" s="115">
        <v>768</v>
      </c>
      <c r="Q2831" s="115">
        <v>795.55</v>
      </c>
      <c r="R2831">
        <v>428934</v>
      </c>
    </row>
    <row r="2832" spans="1:18" x14ac:dyDescent="0.25">
      <c r="A2832" s="169">
        <v>46188</v>
      </c>
      <c r="B2832">
        <v>871.45</v>
      </c>
      <c r="C2832">
        <v>855.65</v>
      </c>
      <c r="D2832">
        <v>841.9</v>
      </c>
      <c r="E2832">
        <v>843</v>
      </c>
      <c r="F2832">
        <v>855.65</v>
      </c>
      <c r="G2832">
        <v>24581</v>
      </c>
      <c r="H2832" s="115"/>
      <c r="I2832" s="115"/>
      <c r="L2832" s="169">
        <v>46178</v>
      </c>
      <c r="M2832" s="115">
        <v>814.1</v>
      </c>
      <c r="N2832" s="115">
        <v>817</v>
      </c>
      <c r="O2832" s="115">
        <v>797.65</v>
      </c>
      <c r="P2832" s="115">
        <v>809.5</v>
      </c>
      <c r="Q2832" s="115">
        <v>814.1</v>
      </c>
      <c r="R2832">
        <v>298661</v>
      </c>
    </row>
    <row r="2833" spans="1:18" x14ac:dyDescent="0.25">
      <c r="A2833" s="169">
        <v>46189</v>
      </c>
      <c r="B2833">
        <v>867.9</v>
      </c>
      <c r="C2833">
        <v>864.15</v>
      </c>
      <c r="D2833">
        <v>852.9</v>
      </c>
      <c r="E2833">
        <v>852.9</v>
      </c>
      <c r="F2833">
        <v>864.15</v>
      </c>
      <c r="G2833">
        <v>9135</v>
      </c>
      <c r="H2833" s="115"/>
      <c r="I2833" s="115"/>
      <c r="L2833" s="169">
        <v>46181</v>
      </c>
      <c r="M2833" s="115">
        <v>804.65</v>
      </c>
      <c r="N2833" s="115">
        <v>833.7</v>
      </c>
      <c r="O2833" s="115">
        <v>794.05</v>
      </c>
      <c r="P2833" s="115">
        <v>810</v>
      </c>
      <c r="Q2833" s="115">
        <v>804.65</v>
      </c>
      <c r="R2833">
        <v>197779</v>
      </c>
    </row>
    <row r="2834" spans="1:18" x14ac:dyDescent="0.25">
      <c r="A2834" s="169">
        <v>46190</v>
      </c>
      <c r="B2834">
        <v>874.4</v>
      </c>
      <c r="C2834">
        <v>870.1</v>
      </c>
      <c r="D2834">
        <v>860</v>
      </c>
      <c r="E2834">
        <v>869.75</v>
      </c>
      <c r="F2834">
        <v>870.1</v>
      </c>
      <c r="G2834">
        <v>7830</v>
      </c>
      <c r="H2834" s="115"/>
      <c r="I2834" s="115"/>
      <c r="L2834" s="169">
        <v>46182</v>
      </c>
      <c r="M2834" s="115">
        <v>818.75</v>
      </c>
      <c r="N2834" s="115">
        <v>821.1</v>
      </c>
      <c r="O2834" s="115">
        <v>795.4</v>
      </c>
      <c r="P2834" s="115">
        <v>804.65</v>
      </c>
      <c r="Q2834" s="115">
        <v>818.75</v>
      </c>
      <c r="R2834">
        <v>236072</v>
      </c>
    </row>
    <row r="2835" spans="1:18" x14ac:dyDescent="0.25">
      <c r="H2835" s="115"/>
      <c r="I2835" s="115"/>
      <c r="L2835" s="169">
        <v>46183</v>
      </c>
      <c r="M2835" s="115">
        <v>819.9</v>
      </c>
      <c r="N2835" s="115">
        <v>833</v>
      </c>
      <c r="O2835" s="115">
        <v>808.05</v>
      </c>
      <c r="P2835" s="115">
        <v>820.5</v>
      </c>
      <c r="Q2835" s="115">
        <v>819.9</v>
      </c>
      <c r="R2835">
        <v>206489</v>
      </c>
    </row>
    <row r="2836" spans="1:18" x14ac:dyDescent="0.25">
      <c r="H2836" s="115"/>
      <c r="I2836" s="115"/>
      <c r="L2836" s="169">
        <v>46184</v>
      </c>
      <c r="M2836" s="115">
        <v>807.3</v>
      </c>
      <c r="N2836" s="115">
        <v>818.45</v>
      </c>
      <c r="O2836" s="115">
        <v>800.2</v>
      </c>
      <c r="P2836" s="115">
        <v>816</v>
      </c>
      <c r="Q2836" s="115">
        <v>807.3</v>
      </c>
      <c r="R2836">
        <v>101299</v>
      </c>
    </row>
    <row r="2837" spans="1:18" x14ac:dyDescent="0.25">
      <c r="H2837" s="115"/>
      <c r="I2837" s="115"/>
      <c r="L2837" s="169">
        <v>46185</v>
      </c>
      <c r="M2837" s="115">
        <v>834.8</v>
      </c>
      <c r="N2837" s="115">
        <v>844.8</v>
      </c>
      <c r="O2837" s="115">
        <v>810.4</v>
      </c>
      <c r="P2837" s="115">
        <v>813.1</v>
      </c>
      <c r="Q2837" s="115">
        <v>834.8</v>
      </c>
      <c r="R2837">
        <v>233451</v>
      </c>
    </row>
    <row r="2838" spans="1:18" x14ac:dyDescent="0.25">
      <c r="H2838" s="115"/>
      <c r="I2838" s="115"/>
      <c r="L2838" s="169">
        <v>46188</v>
      </c>
      <c r="M2838" s="115">
        <v>855.3</v>
      </c>
      <c r="N2838" s="115">
        <v>870.4</v>
      </c>
      <c r="O2838" s="115">
        <v>841.55</v>
      </c>
      <c r="P2838" s="115">
        <v>844.8</v>
      </c>
      <c r="Q2838" s="115">
        <v>855.3</v>
      </c>
      <c r="R2838">
        <v>374055</v>
      </c>
    </row>
    <row r="2839" spans="1:18" x14ac:dyDescent="0.25">
      <c r="H2839" s="115"/>
      <c r="I2839" s="115"/>
      <c r="L2839" s="169">
        <v>46189</v>
      </c>
      <c r="M2839" s="115">
        <v>865.45</v>
      </c>
      <c r="N2839" s="115">
        <v>868.1</v>
      </c>
      <c r="O2839" s="115">
        <v>855</v>
      </c>
      <c r="P2839" s="115">
        <v>855</v>
      </c>
      <c r="Q2839" s="115">
        <v>865.45</v>
      </c>
      <c r="R2839">
        <v>130451</v>
      </c>
    </row>
    <row r="2840" spans="1:18" x14ac:dyDescent="0.25">
      <c r="H2840" s="115"/>
      <c r="I2840" s="115"/>
      <c r="L2840" s="169">
        <v>46190</v>
      </c>
      <c r="M2840" s="115">
        <v>870.25</v>
      </c>
      <c r="N2840" s="115">
        <v>875</v>
      </c>
      <c r="O2840" s="115">
        <v>860.05</v>
      </c>
      <c r="P2840" s="115">
        <v>865.5</v>
      </c>
      <c r="Q2840" s="115">
        <v>870.25</v>
      </c>
      <c r="R2840">
        <v>86818</v>
      </c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2026-06-17T15:17:09Z</dcterms:modified>
  <cp:category/>
  <cp:contentStatus/>
</cp:coreProperties>
</file>